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comments/comment4.xml" ContentType="application/vnd.openxmlformats-officedocument.spreadsheetml.comments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O" sheetId="1" state="visible" r:id="rId1"/>
    <sheet xmlns:r="http://schemas.openxmlformats.org/officeDocument/2006/relationships" name="GİRDİLER" sheetId="2" state="visible" r:id="rId2"/>
    <sheet xmlns:r="http://schemas.openxmlformats.org/officeDocument/2006/relationships" name="YÖNETİM_RAPORU" sheetId="3" state="visible" r:id="rId3"/>
    <sheet xmlns:r="http://schemas.openxmlformats.org/officeDocument/2006/relationships" name="KAPAK" sheetId="4" state="visible" r:id="rId4"/>
    <sheet xmlns:r="http://schemas.openxmlformats.org/officeDocument/2006/relationships" name="VERI_A" sheetId="5" state="visible" r:id="rId5"/>
    <sheet xmlns:r="http://schemas.openxmlformats.org/officeDocument/2006/relationships" name="VERI_B" sheetId="6" state="visible" r:id="rId6"/>
    <sheet xmlns:r="http://schemas.openxmlformats.org/officeDocument/2006/relationships" name="ANAHTAR" sheetId="7" state="visible" r:id="rId7"/>
    <sheet xmlns:r="http://schemas.openxmlformats.org/officeDocument/2006/relationships" name="MOTOR" sheetId="8" state="visible" r:id="rId8"/>
    <sheet xmlns:r="http://schemas.openxmlformats.org/officeDocument/2006/relationships" name="ESLESTIRME" sheetId="9" state="visible" r:id="rId9"/>
    <sheet xmlns:r="http://schemas.openxmlformats.org/officeDocument/2006/relationships" name="KOK_NEDEN" sheetId="10" state="visible" r:id="rId10"/>
    <sheet xmlns:r="http://schemas.openxmlformats.org/officeDocument/2006/relationships" name="AKSIYON" sheetId="11" state="visible" r:id="rId11"/>
    <sheet xmlns:r="http://schemas.openxmlformats.org/officeDocument/2006/relationships" name="KANIT_RAPORU" sheetId="12" state="visible" r:id="rId12"/>
    <sheet xmlns:r="http://schemas.openxmlformats.org/officeDocument/2006/relationships" name="KONTROLLER" sheetId="13" state="visible" r:id="rId13"/>
    <sheet xmlns:r="http://schemas.openxmlformats.org/officeDocument/2006/relationships" name="ORNEK_VERI" sheetId="14" state="visible" r:id="rId14"/>
    <sheet xmlns:r="http://schemas.openxmlformats.org/officeDocument/2006/relationships" name="LISTELER" sheetId="15" state="visible" r:id="rId15"/>
    <sheet xmlns:r="http://schemas.openxmlformats.org/officeDocument/2006/relationships" name="AYARLAR" sheetId="16" state="visible" r:id="rId16"/>
    <sheet xmlns:r="http://schemas.openxmlformats.org/officeDocument/2006/relationships" name="KILAVUZ" sheetId="17" state="visible" r:id="rId17"/>
  </sheets>
  <definedNames>
    <definedName name="toleransKurus">AYARLAR!$B$6</definedName>
    <definedName name="raporTarihi">AYARLAR!$B$7</definedName>
    <definedName name="kdo_esikEslesme">AYARLAR!$B$8</definedName>
    <definedName name="kdo_esikFark">AYARLAR!$B$9</definedName>
    <definedName name="kdo_esikDesiOran">AYARLAR!$B$10</definedName>
    <definedName name="kdo_esikTasarruf">AYARLAR!$B$11</definedName>
    <definedName name="kdo_esikIade">AYARLAR!$B$12</definedName>
    <definedName name="kdo_iadeEtkiCarpani">AYARLAR!$B$13</definedName>
    <definedName name="kdo_varsayilanDesiCarpani">AYARLAR!$B$14</definedName>
    <definedName name="kdo_azamiTutar">AYARLAR!$B$15</definedName>
    <definedName name="kdo_ikincilUzunluk">AYARLAR!$B$16</definedName>
    <definedName name="kdo_olcekHedef">AYARLAR!$B$17</definedName>
    <definedName name="kdo_yuzdelikOran">AYARLAR!$B$18</definedName>
    <definedName name="kdo_tarifeSenaryo">AYARLAR!$B$19</definedName>
    <definedName name="kdo_fiyatModeli">AYARLAR!$B$20</definedName>
    <definedName name="kdo_kvkkBeyani">AYARLAR!$B$21</definedName>
    <definedName name="kdo_faturalananBirim">AYARLAR!$B$22</definedName>
    <definedName name="kdo_normAnahtar">AYARLAR!$B$23</definedName>
    <definedName name="kdo_tanimsizKova">AYARLAR!$B$24</definedName>
    <definedName name="kdo_kovaButunlukAd">AYARLAR!$B$25</definedName>
    <definedName name="kdo_dosyaSurumu">AYARLAR!$B$26</definedName>
    <definedName name="kdo_firmaUnvan">AYARLAR!$B$27</definedName>
    <definedName name="kdo_kuralSeti">AYARLAR!$B$28</definedName>
    <definedName name="kdo_mutabakatFarki">AYARLAR!$I$32</definedName>
    <definedName name="kdo_eslesmeOrani">AYARLAR!$I$33</definedName>
    <definedName name="kdo_kovaButunluk">AYARLAR!$I$34</definedName>
    <definedName name="kdo_modulT1">AYARLAR!$I$35</definedName>
    <definedName name="kdo_modulT2">AYARLAR!$I$36</definedName>
    <definedName name="kdo_modulO1">AYARLAR!$I$37</definedName>
    <definedName name="kdo_modulO2">AYARLAR!$I$38</definedName>
    <definedName name="kdo_modulO3">AYARLAR!$I$39</definedName>
    <definedName name="kdo_modulO6">AYARLAR!$I$40</definedName>
    <definedName name="kdo_modulO8">AYARLAR!$I$41</definedName>
    <definedName name="kdo_modulMSen">AYARLAR!$I$42</definedName>
    <definedName name="kdo_modulI1">AYARLAR!$I$43</definedName>
    <definedName name="kdo_modulI2">AYARLAR!$I$44</definedName>
    <definedName name="kdo_modulT1Yorum">AYARLAR!$I$47</definedName>
    <definedName name="kdo_modulT2Yorum">AYARLAR!$I$48</definedName>
    <definedName name="kdo_modulO1Yorum">AYARLAR!$I$49</definedName>
    <definedName name="kdo_modulO2Yorum">AYARLAR!$I$50</definedName>
    <definedName name="kdo_modulO3Yorum">AYARLAR!$I$51</definedName>
    <definedName name="kdo_modulO6Yorum">AYARLAR!$I$52</definedName>
    <definedName name="kdo_modulO8Yorum">AYARLAR!$I$53</definedName>
    <definedName name="kdo_modulMSenYorum">AYARLAR!$I$54</definedName>
    <definedName name="kdo_modulI1Yorum">AYARLAR!$I$55</definedName>
    <definedName name="kdo_modulI2Yorum">AYARLAR!$I$56</definedName>
    <definedName name="ListeTasiyicilar">LISTELER!$A$7:$A$11</definedName>
    <definedName name="ListeBolgeler">LISTELER!$C$7:$C$11</definedName>
    <definedName name="ListeYorumAB">LISTELER!$E$7:$E$8</definedName>
    <definedName name="ListeDurumlar">LISTELER!$G$7:$G$9</definedName>
    <definedName name="_xlnm.Print_Area" localSheetId="11">'KANIT_RAPORU'!$A$1:$H$24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₺ #,##0;[Red](₺ #,##0);-"/>
    <numFmt numFmtId="165" formatCode="0.0%;[Red](0.0%);-"/>
    <numFmt numFmtId="166" formatCode="dd.mm.yyyy"/>
    <numFmt numFmtId="167" formatCode="#,##0 &quot;TL&quot;"/>
    <numFmt numFmtId="168" formatCode="0.0%"/>
    <numFmt numFmtId="169" formatCode="₺#,##0"/>
  </numFmts>
  <fonts count="72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8"/>
    </font>
    <font>
      <name val="Segoe UI"/>
      <color rgb="00595959"/>
      <sz val="10"/>
    </font>
    <font>
      <name val="Segoe UI"/>
      <b val="1"/>
      <color rgb="000F2742"/>
      <sz val="12"/>
    </font>
    <font>
      <name val="Segoe UI"/>
      <color rgb="00333333"/>
      <sz val="10"/>
    </font>
    <font>
      <name val="Segoe UI"/>
      <color rgb="00000000"/>
      <sz val="10"/>
    </font>
    <font>
      <name val="Segoe UI"/>
      <color rgb="00595959"/>
      <sz val="9"/>
    </font>
    <font>
      <name val="Segoe UI"/>
      <color rgb="001F4E79"/>
      <sz val="10"/>
    </font>
    <font>
      <name val="Segoe UI"/>
      <b val="1"/>
      <color rgb="00FFFFFF"/>
      <sz val="10"/>
    </font>
    <font>
      <name val="Segoe UI"/>
      <b val="1"/>
      <color rgb="000F2742"/>
      <sz val="10"/>
    </font>
    <font>
      <name val="Segoe UI"/>
      <b val="1"/>
      <color rgb="00B3261E"/>
      <sz val="10"/>
    </font>
    <font>
      <name val="Segoe UI"/>
      <color rgb="00B3261E"/>
      <sz val="10"/>
    </font>
    <font>
      <name val="Segoe UI"/>
      <b val="1"/>
      <color rgb="000F2742"/>
      <sz val="14"/>
    </font>
    <font>
      <name val="Segoe UI"/>
      <b val="1"/>
      <color rgb="001F7A4D"/>
      <sz val="14"/>
    </font>
    <font>
      <name val="Segoe UI"/>
      <color rgb="000F2742"/>
      <sz val="10"/>
    </font>
    <font>
      <name val="Segoe UI"/>
      <b val="1"/>
      <color rgb="00000000"/>
      <sz val="12"/>
    </font>
    <font>
      <name val="Segoe UI"/>
      <b val="1"/>
      <color rgb="00FFFFFF"/>
      <sz val="16"/>
    </font>
    <font>
      <name val="Segoe UI"/>
      <b val="1"/>
      <color rgb="00000000"/>
      <sz val="10"/>
    </font>
    <font>
      <name val="Segoe UI"/>
      <b val="1"/>
      <color rgb="00000000"/>
      <sz val="14"/>
    </font>
    <font>
      <name val="Segoe UI"/>
      <b val="1"/>
      <color rgb="000F2742"/>
      <sz val="13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  <font>
      <name val="Segoe UI"/>
      <b val="1"/>
      <color rgb="000F172A"/>
      <sz val="15"/>
    </font>
    <font>
      <name val="Segoe UI"/>
      <b val="1"/>
      <color rgb="000F172A"/>
      <sz val="9"/>
    </font>
    <font>
      <name val="Segoe UI"/>
      <b val="1"/>
      <color rgb="001D4ED8"/>
      <sz val="8"/>
    </font>
    <font>
      <name val="Segoe UI"/>
      <b val="1"/>
      <color rgb="00047857"/>
      <sz val="8"/>
    </font>
    <font>
      <name val="Segoe UI"/>
      <b val="1"/>
      <color rgb="00DC2626"/>
      <sz val="8"/>
    </font>
    <font>
      <name val="Segoe UI"/>
      <b val="1"/>
      <color rgb="00DC2626"/>
      <sz val="18"/>
    </font>
    <font>
      <name val="Segoe UI"/>
      <b val="1"/>
      <color rgb="000F766E"/>
      <sz val="18"/>
    </font>
    <font>
      <name val="Segoe UI"/>
      <b val="1"/>
      <color rgb="00FFFFFF"/>
      <sz val="8"/>
    </font>
    <font>
      <name val="Segoe UI"/>
      <b val="1"/>
      <sz val="8"/>
    </font>
    <font>
      <name val="Segoe UI"/>
      <color rgb="00DC2626"/>
      <sz val="8"/>
    </font>
    <font>
      <name val="Segoe UI"/>
      <sz val="8"/>
    </font>
    <font>
      <name val="Segoe UI"/>
      <b val="1"/>
      <color rgb="00B45309"/>
      <sz val="8"/>
    </font>
    <font>
      <name val="Segoe UI"/>
      <b val="1"/>
      <color rgb="0038BDF8"/>
      <sz val="8"/>
    </font>
    <font>
      <name val="Segoe UI"/>
      <b val="1"/>
      <color rgb="00F43F5E"/>
      <sz val="8"/>
    </font>
    <font>
      <name val="Segoe UI"/>
      <b val="1"/>
      <color rgb="00F59E0B"/>
      <sz val="8"/>
    </font>
    <font>
      <name val="Segoe UI"/>
      <b val="1"/>
      <color rgb="008B5CF6"/>
      <sz val="8"/>
    </font>
    <font>
      <name val="Segoe UI"/>
      <b val="1"/>
      <color rgb="00FFFFFF"/>
      <sz val="7"/>
    </font>
    <font>
      <name val="Segoe UI"/>
      <color rgb="00D1FAE5"/>
      <sz val="8"/>
    </font>
    <font>
      <name val="Segoe UI"/>
      <b val="1"/>
      <color rgb="00065F46"/>
      <sz val="8"/>
    </font>
    <font>
      <name val="Segoe UI"/>
      <b val="1"/>
      <color rgb="00FFFFFF"/>
      <sz val="8.5"/>
    </font>
    <font>
      <name val="Segoe UI"/>
      <sz val="8.5"/>
    </font>
    <font>
      <name val="Segoe UI"/>
      <b val="1"/>
      <sz val="8.5"/>
    </font>
    <font>
      <name val="Segoe UI"/>
      <b val="1"/>
      <color rgb="0038BDF8"/>
      <sz val="11"/>
    </font>
    <font>
      <name val="Segoe UI"/>
      <b val="1"/>
      <color rgb="000F172A"/>
      <sz val="14"/>
    </font>
    <font>
      <name val="Segoe UI"/>
      <color rgb="0064748B"/>
      <sz val="9.5"/>
    </font>
    <font>
      <name val="Segoe UI"/>
      <b val="1"/>
      <color rgb="00047857"/>
      <sz val="8.5"/>
    </font>
    <font>
      <name val="Segoe UI"/>
      <b val="1"/>
      <color rgb="00DC2626"/>
      <sz val="9"/>
    </font>
    <font>
      <name val="Segoe UI"/>
      <color rgb="0064748B"/>
      <sz val="8.5"/>
    </font>
    <font>
      <name val="Segoe UI"/>
      <b val="1"/>
      <color rgb="00047857"/>
      <sz val="9"/>
    </font>
    <font>
      <name val="Segoe UI"/>
      <b val="1"/>
      <color rgb="00DC2626"/>
      <sz val="8.5"/>
    </font>
    <font>
      <name val="Segoe UI"/>
      <b val="1"/>
      <color rgb="001D4ED8"/>
      <sz val="9"/>
    </font>
    <font>
      <name val="Segoe UI"/>
      <b val="1"/>
      <color rgb="001D4ED8"/>
      <sz val="8.5"/>
    </font>
  </fonts>
  <fills count="21">
    <fill>
      <patternFill/>
    </fill>
    <fill>
      <patternFill patternType="gray125"/>
    </fill>
    <fill>
      <patternFill patternType="solid">
        <fgColor rgb="000F2742"/>
        <bgColor rgb="000F2742"/>
      </patternFill>
    </fill>
    <fill>
      <patternFill patternType="solid">
        <fgColor rgb="00DDEBF7"/>
        <bgColor rgb="00DDEBF7"/>
      </patternFill>
    </fill>
    <fill>
      <patternFill patternType="solid">
        <fgColor rgb="001F4E79"/>
        <bgColor rgb="001F4E79"/>
      </patternFill>
    </fill>
    <fill>
      <patternFill patternType="solid">
        <fgColor rgb="FFFFF2CC"/>
        <bgColor rgb="FFFFF2CC"/>
      </patternFill>
    </fill>
    <fill>
      <patternFill patternType="solid">
        <fgColor rgb="00EEF2F7"/>
        <bgColor rgb="00EEF2F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  <fill>
      <patternFill patternType="solid">
        <fgColor rgb="00059669"/>
        <bgColor rgb="00059669"/>
      </patternFill>
    </fill>
    <fill>
      <patternFill patternType="solid">
        <fgColor rgb="00EFF6FF"/>
        <bgColor rgb="00EFF6FF"/>
      </patternFill>
    </fill>
    <fill>
      <patternFill patternType="solid">
        <fgColor rgb="00FEF2F2"/>
        <bgColor rgb="00FEF2F2"/>
      </patternFill>
    </fill>
    <fill>
      <patternFill patternType="solid">
        <fgColor rgb="00ECFDF5"/>
        <bgColor rgb="00ECFDF5"/>
      </patternFill>
    </fill>
    <fill>
      <patternFill patternType="solid">
        <fgColor rgb="0010B981"/>
        <bgColor rgb="0010B981"/>
      </patternFill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  <fill>
      <patternFill patternType="solid">
        <fgColor rgb="00065F46"/>
        <bgColor rgb="00065F46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FF1F2"/>
        <bgColor rgb="00FFF1F2"/>
      </patternFill>
    </fill>
  </fills>
  <borders count="10">
    <border>
      <left/>
      <right/>
      <top/>
      <bottom/>
      <diagonal/>
    </border>
    <border/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10B981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EF4444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medium">
        <color rgb="002563EB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A7F3D0"/>
      </left>
      <right style="thin">
        <color rgb="00A7F3D0"/>
      </right>
      <top style="thin">
        <color rgb="00A7F3D0"/>
      </top>
      <bottom style="thin">
        <color rgb="00A7F3D0"/>
      </bottom>
    </border>
    <border>
      <left style="thick">
        <color rgb="0010B981"/>
      </left>
    </border>
    <border>
      <left style="thin">
        <color rgb="00FECACA"/>
      </left>
      <right style="thin">
        <color rgb="00FECACA"/>
      </right>
      <top style="thin">
        <color rgb="00FECACA"/>
      </top>
      <bottom style="thin">
        <color rgb="00FECACA"/>
      </bottom>
    </border>
    <border>
      <left style="thin">
        <color rgb="00BFDBFE"/>
      </left>
      <right style="thin">
        <color rgb="00BFDBFE"/>
      </right>
      <top style="thin">
        <color rgb="00BFDBFE"/>
      </top>
      <bottom style="thin">
        <color rgb="00BFDBFE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9" fillId="4" borderId="1" applyAlignment="1" pivotButton="0" quotePrefix="0" xfId="0">
      <alignment horizontal="center" vertical="center" wrapText="1"/>
    </xf>
    <xf numFmtId="0" fontId="8" fillId="5" borderId="0" applyAlignment="1" applyProtection="1" pivotButton="0" quotePrefix="0" xfId="0">
      <alignment horizontal="left" vertical="center"/>
      <protection locked="0" hidden="0"/>
    </xf>
    <xf numFmtId="3" fontId="8" fillId="5" borderId="0" applyAlignment="1" applyProtection="1" pivotButton="0" quotePrefix="0" xfId="0">
      <alignment horizontal="left" vertical="center"/>
      <protection locked="0" hidden="0"/>
    </xf>
    <xf numFmtId="0" fontId="0" fillId="6" borderId="0" pivotButton="0" quotePrefix="0" xfId="0"/>
    <xf numFmtId="164" fontId="8" fillId="5" borderId="0" applyAlignment="1" applyProtection="1" pivotButton="0" quotePrefix="0" xfId="0">
      <alignment horizontal="left" vertical="center"/>
      <protection locked="0" hidden="0"/>
    </xf>
    <xf numFmtId="165" fontId="8" fillId="5" borderId="0" applyAlignment="1" applyProtection="1" pivotButton="0" quotePrefix="0" xfId="0">
      <alignment horizontal="left" vertical="center"/>
      <protection locked="0" hidden="0"/>
    </xf>
    <xf numFmtId="0" fontId="10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166" fontId="6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165" fontId="16" fillId="0" borderId="0" applyAlignment="1" pivotButton="0" quotePrefix="0" xfId="0">
      <alignment horizontal="left" vertical="center"/>
    </xf>
    <xf numFmtId="164" fontId="16" fillId="0" borderId="0" applyAlignment="1" pivotButton="0" quotePrefix="0" xfId="0">
      <alignment horizontal="left" vertical="center"/>
    </xf>
    <xf numFmtId="3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left" vertical="center"/>
    </xf>
    <xf numFmtId="0" fontId="17" fillId="2" borderId="0" applyAlignment="1" pivotButton="0" quotePrefix="0" xfId="0">
      <alignment horizontal="left" vertical="center" indent="1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165" fontId="18" fillId="0" borderId="0" applyAlignment="1" pivotButton="0" quotePrefix="0" xfId="0">
      <alignment horizontal="left" vertical="center"/>
    </xf>
    <xf numFmtId="164" fontId="18" fillId="0" borderId="0" applyAlignment="1" pivotButton="0" quotePrefix="0" xfId="0">
      <alignment horizontal="left" vertical="center"/>
    </xf>
    <xf numFmtId="3" fontId="18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0" fontId="9" fillId="4" borderId="0" applyAlignment="1" pivotButton="0" quotePrefix="0" xfId="0">
      <alignment horizontal="left" vertical="center"/>
    </xf>
    <xf numFmtId="166" fontId="8" fillId="5" borderId="0" applyAlignment="1" applyProtection="1" pivotButton="0" quotePrefix="0" xfId="0">
      <alignment horizontal="left" vertical="center"/>
      <protection locked="0" hidden="0"/>
    </xf>
    <xf numFmtId="0" fontId="21" fillId="7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3" fillId="0" borderId="0" pivotButton="0" quotePrefix="0" xfId="0"/>
    <xf numFmtId="0" fontId="29" fillId="0" borderId="0" pivotButton="0" quotePrefix="0" xfId="0"/>
    <xf numFmtId="0" fontId="24" fillId="0" borderId="0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9" fillId="8" borderId="0" applyAlignment="1" pivotButton="0" quotePrefix="0" xfId="0">
      <alignment horizontal="center" vertical="center" wrapText="1"/>
    </xf>
    <xf numFmtId="0" fontId="25" fillId="0" borderId="0" pivotButton="0" quotePrefix="0" xfId="0"/>
    <xf numFmtId="0" fontId="26" fillId="0" borderId="0" pivotButton="0" quotePrefix="0" xfId="0"/>
    <xf numFmtId="0" fontId="28" fillId="0" borderId="0" pivotButton="0" quotePrefix="0" xfId="0"/>
    <xf numFmtId="0" fontId="30" fillId="0" borderId="0" pivotButton="0" quotePrefix="0" xfId="0"/>
    <xf numFmtId="0" fontId="31" fillId="7" borderId="0" applyAlignment="1" pivotButton="0" quotePrefix="0" xfId="0">
      <alignment horizontal="center" vertical="center"/>
    </xf>
    <xf numFmtId="0" fontId="32" fillId="0" borderId="0" pivotButton="0" quotePrefix="0" xfId="0"/>
    <xf numFmtId="167" fontId="32" fillId="0" borderId="0" pivotButton="0" quotePrefix="0" xfId="0"/>
    <xf numFmtId="167" fontId="33" fillId="0" borderId="0" pivotButton="0" quotePrefix="0" xfId="0"/>
    <xf numFmtId="168" fontId="32" fillId="0" borderId="0" pivotButton="0" quotePrefix="0" xfId="0"/>
    <xf numFmtId="0" fontId="34" fillId="0" borderId="0" pivotButton="0" quotePrefix="0" xfId="0"/>
    <xf numFmtId="0" fontId="35" fillId="0" borderId="0" pivotButton="0" quotePrefix="0" xfId="0"/>
    <xf numFmtId="0" fontId="36" fillId="7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/>
    </xf>
    <xf numFmtId="0" fontId="33" fillId="0" borderId="0" pivotButton="0" quotePrefix="0" xfId="0"/>
    <xf numFmtId="0" fontId="37" fillId="9" borderId="2" pivotButton="0" quotePrefix="0" xfId="0"/>
    <xf numFmtId="0" fontId="38" fillId="0" borderId="0" pivotButton="0" quotePrefix="0" xfId="0"/>
    <xf numFmtId="0" fontId="39" fillId="0" borderId="0" pivotButton="0" quotePrefix="0" xfId="0"/>
    <xf numFmtId="0" fontId="32" fillId="0" borderId="0" applyAlignment="1" pivotButton="0" quotePrefix="0" xfId="0">
      <alignment wrapText="1"/>
    </xf>
    <xf numFmtId="0" fontId="40" fillId="0" borderId="0" pivotButton="0" quotePrefix="0" xfId="0"/>
    <xf numFmtId="0" fontId="41" fillId="0" borderId="2" applyAlignment="1" pivotButton="0" quotePrefix="0" xfId="0">
      <alignment horizontal="center" vertical="center"/>
    </xf>
    <xf numFmtId="0" fontId="31" fillId="10" borderId="0" applyAlignment="1" pivotButton="0" quotePrefix="0" xfId="0">
      <alignment horizontal="center" vertical="center"/>
    </xf>
    <xf numFmtId="0" fontId="22" fillId="0" borderId="0" pivotButton="0" quotePrefix="0" xfId="0"/>
    <xf numFmtId="0" fontId="28" fillId="0" borderId="3" pivotButton="0" quotePrefix="0" xfId="0"/>
    <xf numFmtId="0" fontId="0" fillId="0" borderId="2" pivotButton="0" quotePrefix="0" xfId="0"/>
    <xf numFmtId="0" fontId="42" fillId="11" borderId="2" applyAlignment="1" pivotButton="0" quotePrefix="0" xfId="0">
      <alignment horizontal="center"/>
    </xf>
    <xf numFmtId="0" fontId="28" fillId="0" borderId="4" pivotButton="0" quotePrefix="0" xfId="0"/>
    <xf numFmtId="0" fontId="44" fillId="12" borderId="2" applyAlignment="1" pivotButton="0" quotePrefix="0" xfId="0">
      <alignment horizontal="center"/>
    </xf>
    <xf numFmtId="0" fontId="43" fillId="13" borderId="2" applyAlignment="1" pivotButton="0" quotePrefix="0" xfId="0">
      <alignment horizontal="center"/>
    </xf>
    <xf numFmtId="0" fontId="28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4" fillId="0" borderId="3" pivotButton="0" quotePrefix="0" xfId="0"/>
    <xf numFmtId="0" fontId="45" fillId="0" borderId="4" pivotButton="0" quotePrefix="0" xfId="0"/>
    <xf numFmtId="0" fontId="46" fillId="0" borderId="5" pivotButton="0" quotePrefix="0" xfId="0"/>
    <xf numFmtId="0" fontId="43" fillId="0" borderId="3" pivotButton="0" quotePrefix="0" xfId="0"/>
    <xf numFmtId="0" fontId="38" fillId="0" borderId="4" pivotButton="0" quotePrefix="0" xfId="0"/>
    <xf numFmtId="0" fontId="43" fillId="0" borderId="5" pivotButton="0" quotePrefix="0" xfId="0"/>
    <xf numFmtId="0" fontId="47" fillId="14" borderId="0" applyAlignment="1" pivotButton="0" quotePrefix="0" xfId="0">
      <alignment horizontal="center"/>
    </xf>
    <xf numFmtId="0" fontId="48" fillId="0" borderId="0" pivotButton="0" quotePrefix="0" xfId="0"/>
    <xf numFmtId="0" fontId="47" fillId="15" borderId="0" applyAlignment="1" pivotButton="0" quotePrefix="0" xfId="0">
      <alignment horizontal="center" vertical="center"/>
    </xf>
    <xf numFmtId="0" fontId="48" fillId="0" borderId="2" pivotButton="0" quotePrefix="0" xfId="0"/>
    <xf numFmtId="0" fontId="49" fillId="0" borderId="2" pivotButton="0" quotePrefix="0" xfId="0"/>
    <xf numFmtId="0" fontId="50" fillId="0" borderId="2" pivotButton="0" quotePrefix="0" xfId="0"/>
    <xf numFmtId="0" fontId="51" fillId="16" borderId="2" applyAlignment="1" pivotButton="0" quotePrefix="0" xfId="0">
      <alignment horizontal="center"/>
    </xf>
    <xf numFmtId="0" fontId="47" fillId="7" borderId="0" pivotButton="0" quotePrefix="0" xfId="0"/>
    <xf numFmtId="0" fontId="52" fillId="7" borderId="0" pivotButton="0" quotePrefix="0" xfId="0"/>
    <xf numFmtId="0" fontId="53" fillId="7" borderId="0" pivotButton="0" quotePrefix="0" xfId="0"/>
    <xf numFmtId="0" fontId="0" fillId="7" borderId="0" pivotButton="0" quotePrefix="0" xfId="0"/>
    <xf numFmtId="0" fontId="25" fillId="7" borderId="0" applyAlignment="1" pivotButton="0" quotePrefix="0" xfId="0">
      <alignment horizontal="center"/>
    </xf>
    <xf numFmtId="0" fontId="41" fillId="0" borderId="0" pivotButton="0" quotePrefix="0" xfId="0"/>
    <xf numFmtId="0" fontId="56" fillId="17" borderId="0" pivotButton="0" quotePrefix="0" xfId="0"/>
    <xf numFmtId="0" fontId="0" fillId="17" borderId="0" pivotButton="0" quotePrefix="0" xfId="0"/>
    <xf numFmtId="0" fontId="43" fillId="0" borderId="0" pivotButton="0" quotePrefix="0" xfId="0"/>
    <xf numFmtId="0" fontId="31" fillId="17" borderId="0" pivotButton="0" quotePrefix="0" xfId="0"/>
    <xf numFmtId="0" fontId="57" fillId="17" borderId="0" applyAlignment="1" pivotButton="0" quotePrefix="0" xfId="0">
      <alignment wrapText="1"/>
    </xf>
    <xf numFmtId="0" fontId="54" fillId="0" borderId="0" pivotButton="0" quotePrefix="0" xfId="0"/>
    <xf numFmtId="0" fontId="55" fillId="0" borderId="0" pivotButton="0" quotePrefix="0" xfId="0"/>
    <xf numFmtId="0" fontId="43" fillId="13" borderId="6" applyAlignment="1" pivotButton="0" quotePrefix="0" xfId="0">
      <alignment horizontal="center" vertical="center"/>
    </xf>
    <xf numFmtId="0" fontId="58" fillId="18" borderId="0" applyAlignment="1" pivotButton="0" quotePrefix="0" xfId="0">
      <alignment horizontal="center" vertical="center"/>
    </xf>
    <xf numFmtId="0" fontId="22" fillId="19" borderId="2" applyAlignment="1" pivotButton="0" quotePrefix="0" xfId="0">
      <alignment vertical="center"/>
    </xf>
    <xf numFmtId="0" fontId="42" fillId="11" borderId="0" applyAlignment="1" pivotButton="0" quotePrefix="0" xfId="0">
      <alignment horizontal="center" vertical="center"/>
    </xf>
    <xf numFmtId="0" fontId="43" fillId="13" borderId="0" applyAlignment="1" pivotButton="0" quotePrefix="0" xfId="0">
      <alignment horizontal="center" vertical="center"/>
    </xf>
    <xf numFmtId="0" fontId="59" fillId="7" borderId="0" applyAlignment="1" pivotButton="0" quotePrefix="0" xfId="0">
      <alignment horizontal="center" vertical="center"/>
    </xf>
    <xf numFmtId="0" fontId="60" fillId="19" borderId="2" applyAlignment="1" pivotButton="0" quotePrefix="0" xfId="0">
      <alignment horizontal="center"/>
    </xf>
    <xf numFmtId="0" fontId="61" fillId="19" borderId="2" applyAlignment="1" pivotButton="0" quotePrefix="0" xfId="0">
      <alignment horizontal="center"/>
    </xf>
    <xf numFmtId="0" fontId="60" fillId="19" borderId="2" pivotButton="0" quotePrefix="0" xfId="0"/>
    <xf numFmtId="169" fontId="61" fillId="19" borderId="2" applyAlignment="1" pivotButton="0" quotePrefix="0" xfId="0">
      <alignment horizontal="right"/>
    </xf>
    <xf numFmtId="9" fontId="60" fillId="19" borderId="2" applyAlignment="1" pivotButton="0" quotePrefix="0" xfId="0">
      <alignment horizontal="center"/>
    </xf>
    <xf numFmtId="169" fontId="60" fillId="19" borderId="2" applyAlignment="1" pivotButton="0" quotePrefix="0" xfId="0">
      <alignment horizontal="right"/>
    </xf>
    <xf numFmtId="0" fontId="43" fillId="19" borderId="2" applyAlignment="1" pivotButton="0" quotePrefix="0" xfId="0">
      <alignment horizontal="center"/>
    </xf>
    <xf numFmtId="0" fontId="60" fillId="18" borderId="2" applyAlignment="1" pivotButton="0" quotePrefix="0" xfId="0">
      <alignment horizontal="center"/>
    </xf>
    <xf numFmtId="0" fontId="61" fillId="18" borderId="2" applyAlignment="1" pivotButton="0" quotePrefix="0" xfId="0">
      <alignment horizontal="center"/>
    </xf>
    <xf numFmtId="0" fontId="60" fillId="18" borderId="2" pivotButton="0" quotePrefix="0" xfId="0"/>
    <xf numFmtId="169" fontId="61" fillId="18" borderId="2" applyAlignment="1" pivotButton="0" quotePrefix="0" xfId="0">
      <alignment horizontal="right"/>
    </xf>
    <xf numFmtId="9" fontId="60" fillId="18" borderId="2" applyAlignment="1" pivotButton="0" quotePrefix="0" xfId="0">
      <alignment horizontal="center"/>
    </xf>
    <xf numFmtId="169" fontId="60" fillId="18" borderId="2" applyAlignment="1" pivotButton="0" quotePrefix="0" xfId="0">
      <alignment horizontal="right"/>
    </xf>
    <xf numFmtId="0" fontId="48" fillId="18" borderId="2" applyAlignment="1" pivotButton="0" quotePrefix="0" xfId="0">
      <alignment horizontal="center"/>
    </xf>
    <xf numFmtId="0" fontId="43" fillId="18" borderId="2" applyAlignment="1" pivotButton="0" quotePrefix="0" xfId="0">
      <alignment horizontal="center"/>
    </xf>
    <xf numFmtId="0" fontId="44" fillId="18" borderId="2" applyAlignment="1" pivotButton="0" quotePrefix="0" xfId="0">
      <alignment horizontal="center"/>
    </xf>
    <xf numFmtId="0" fontId="31" fillId="7" borderId="0" applyAlignment="1" pivotButton="0" quotePrefix="0" xfId="0">
      <alignment vertical="center" indent="1"/>
    </xf>
    <xf numFmtId="169" fontId="62" fillId="7" borderId="0" applyAlignment="1" pivotButton="0" quotePrefix="0" xfId="0">
      <alignment horizontal="right" vertical="center"/>
    </xf>
    <xf numFmtId="0" fontId="63" fillId="0" borderId="7" pivotButton="0" quotePrefix="0" xfId="0"/>
    <xf numFmtId="0" fontId="64" fillId="0" borderId="7" pivotButton="0" quotePrefix="0" xfId="0"/>
    <xf numFmtId="0" fontId="65" fillId="0" borderId="7" pivotButton="0" quotePrefix="0" xfId="0"/>
    <xf numFmtId="0" fontId="66" fillId="20" borderId="2" applyAlignment="1" pivotButton="0" quotePrefix="0" xfId="0">
      <alignment horizontal="center" vertical="center"/>
    </xf>
    <xf numFmtId="0" fontId="70" fillId="11" borderId="2" applyAlignment="1" pivotButton="0" quotePrefix="0" xfId="0">
      <alignment horizontal="center" vertical="center"/>
    </xf>
    <xf numFmtId="0" fontId="67" fillId="0" borderId="2" pivotButton="0" quotePrefix="0" xfId="0"/>
    <xf numFmtId="0" fontId="66" fillId="0" borderId="2" applyAlignment="1" pivotButton="0" quotePrefix="0" xfId="0">
      <alignment horizontal="right"/>
    </xf>
    <xf numFmtId="0" fontId="70" fillId="0" borderId="2" applyAlignment="1" pivotButton="0" quotePrefix="0" xfId="0">
      <alignment horizontal="right"/>
    </xf>
    <xf numFmtId="0" fontId="41" fillId="0" borderId="2" applyAlignment="1" pivotButton="0" quotePrefix="0" xfId="0">
      <alignment horizontal="right"/>
    </xf>
    <xf numFmtId="0" fontId="68" fillId="0" borderId="2" applyAlignment="1" pivotButton="0" quotePrefix="0" xfId="0">
      <alignment horizontal="right"/>
    </xf>
    <xf numFmtId="0" fontId="69" fillId="12" borderId="8" applyAlignment="1" pivotButton="0" quotePrefix="0" xfId="0">
      <alignment horizontal="center" vertical="center"/>
    </xf>
    <xf numFmtId="0" fontId="71" fillId="11" borderId="9" applyAlignment="1" pivotButton="0" quotePrefix="0" xfId="0">
      <alignment horizontal="center" vertical="center"/>
    </xf>
    <xf numFmtId="0" fontId="6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EB9C"/>
        </patternFill>
      </fill>
    </dxf>
    <dxf>
      <font>
        <name val="Segoe UI"/>
        <color rgb="009C0006"/>
      </font>
      <fill>
        <patternFill patternType="solid">
          <fgColor rgb="00FFC7CE"/>
        </patternFill>
      </fill>
    </dxf>
    <dxf>
      <font>
        <name val="Segoe UI"/>
        <color rgb="00006100"/>
      </font>
      <fill>
        <patternFill patternType="solid">
          <fgColor rgb="00C6EF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6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6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6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6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6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6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6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7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7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7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7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7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7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7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7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8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8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8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8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8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8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8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8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9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9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9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9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9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9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9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9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0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0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0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0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0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0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0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0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1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1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1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1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1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1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1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1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2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2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2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2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2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2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2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2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3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3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3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3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3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3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3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3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4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4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4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4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4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4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4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4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5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5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5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5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5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5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5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5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6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6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6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6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6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6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6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6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7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7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7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7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7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7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7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7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8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8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8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8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8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8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8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8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19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19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19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19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19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19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19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1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9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0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0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0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0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0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0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0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0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1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1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1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1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1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1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1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1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2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2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2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2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2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2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2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2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3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3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3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3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3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3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3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3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4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4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4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4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4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4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4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4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5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5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5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5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5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5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5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5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6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6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6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6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6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6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6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6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7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7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7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7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7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7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7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7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8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8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8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8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8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8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8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8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29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29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29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29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29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29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29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2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9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0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0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0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0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0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0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0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0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1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1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1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1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1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1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1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1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2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2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2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2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2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2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2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2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3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3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3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3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3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3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3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3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4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4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4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4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4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4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4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4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5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5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5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5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5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5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5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5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6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6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6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6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6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6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6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6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7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7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7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7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7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7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7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7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8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8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8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8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8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8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8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8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39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39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39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39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39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39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39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3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9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40" authorId="0" shapeId="0">
      <text>
        <t>Tanım: Sipariş No | Neden önemli: Desi ve kargo kararını etkiler | Doğru kullanım: Sipariş / barkod | Örnek: hücredeki örnek değere bakın | Risk: Yanlış giriş hatalı karar üretir</t>
      </text>
    </comment>
    <comment ref="B40" authorId="0" shapeId="0">
      <text>
        <t>Tanım: En (cm) | Neden önemli: Desi ve kargo kararını etkiler | Doğru kullanım: Paket eni cm | Örnek: hücredeki örnek değere bakın | Risk: Yanlış giriş hatalı karar üretir</t>
      </text>
    </comment>
    <comment ref="C40" authorId="0" shapeId="0">
      <text>
        <t>Tanım: Boy (cm) | Neden önemli: Desi ve kargo kararını etkiler | Doğru kullanım: Paket boyu cm | Örnek: hücredeki örnek değere bakın | Risk: Yanlış giriş hatalı karar üretir</t>
      </text>
    </comment>
    <comment ref="D40" authorId="0" shapeId="0">
      <text>
        <t>Tanım: Yükseklik (cm) | Neden önemli: Desi ve kargo kararını etkiler | Doğru kullanım: Paket yüksekliği cm | Örnek: hücredeki örnek değere bakın | Risk: Yanlış giriş hatalı karar üretir</t>
      </text>
    </comment>
    <comment ref="E40" authorId="0" shapeId="0">
      <text>
        <t>Tanım: Ağırlık (kg) | Neden önemli: Desi ve kargo kararını etkiler | Doğru kullanım: Brüt ağırlık kg | Örnek: hücredeki örnek değere bakın | Risk: Yanlış giriş hatalı karar üretir</t>
      </text>
    </comment>
    <comment ref="F40" authorId="0" shapeId="0">
      <text>
        <t>Tanım: Desi Çarpanı | Neden önemli: Desi ve kargo kararını etkiler | Doğru kullanım: Genelde 3000 | Örnek: hücredeki örnek değere bakın | Risk: Yanlış giriş hatalı karar üretir</t>
      </text>
    </comment>
    <comment ref="G40" authorId="0" shapeId="0">
      <text>
        <t>Tanım: Adet | Neden önemli: Desi ve kargo kararını etkiler | Doğru kullanım: Paket adedi | Örnek: hücredeki örnek değere bakın | Risk: Yanlış giriş hatalı karar üretir</t>
      </text>
    </comment>
    <comment ref="H4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40" authorId="0" shapeId="0">
      <text>
        <t>Tanım: Yorum A/B | Neden önemli: Desi ve kargo kararını etkiler | Doğru kullanım: Paket varyantı A veya B | Örnek: hücredeki örnek değere bakın | Risk: Yanlış giriş hatalı karar üretir</t>
      </text>
    </comment>
    <comment ref="A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6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6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6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6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6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7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7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7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7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7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8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8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8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8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8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9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9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9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9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9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0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0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0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0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0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1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1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1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1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1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2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2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2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2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2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3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3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3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3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3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4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4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4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4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4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5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5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5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5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5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6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6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6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6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6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7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7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7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7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7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8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8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8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8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8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1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19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19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19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19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19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1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0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0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0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0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0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1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1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1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1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1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2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2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2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2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2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3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3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3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3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3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4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4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4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4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4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5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5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5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5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5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6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6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6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6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6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7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7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7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7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7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8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8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8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8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8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2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29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29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29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29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29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2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0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0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0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0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0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1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1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1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1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1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2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2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2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2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2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3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3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3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3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3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4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4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4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4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4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5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5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5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5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5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6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6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6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6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6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7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7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7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7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7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8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8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8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8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8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3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39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39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39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39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39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3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0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0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0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0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0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1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1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1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1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1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2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2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2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2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2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3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3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3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3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3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4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4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4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4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4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5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5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5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5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5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6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6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6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6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6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7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7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7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7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7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8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8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8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8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8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5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6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6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6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6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6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6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6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7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7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7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7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7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7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7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8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8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8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8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8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8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8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4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9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499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499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499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499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499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4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9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0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0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0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0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0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0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0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1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1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1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1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1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1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1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2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2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2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2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2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2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2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3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3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3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3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3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3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3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4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4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4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4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4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4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4" authorId="0" shapeId="0">
      <text>
        <t>Tanım: YorumAB | Neden önemli: Desi ve kargo kararını etkiler | Doğru kullanım: Manuel giriş | Örnek: hücredeki örnek değere bakın | Risk: Yanlış giriş hatalı karar üretir</t>
      </text>
    </comment>
    <comment ref="A5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5" authorId="0" shapeId="0">
      <text>
        <t>Tanım: EnCm | Neden önemli: Desi ve kargo kararını etkiler | Doğru kullanım: Manuel giriş | Örnek: hücredeki örnek değere bakın | Risk: Yanlış giriş hatalı karar üretir</t>
      </text>
    </comment>
    <comment ref="C505" authorId="0" shapeId="0">
      <text>
        <t>Tanım: BoyCm | Neden önemli: Desi ve kargo kararını etkiler | Doğru kullanım: Manuel giriş | Örnek: hücredeki örnek değere bakın | Risk: Yanlış giriş hatalı karar üretir</t>
      </text>
    </comment>
    <comment ref="D505" authorId="0" shapeId="0">
      <text>
        <t>Tanım: YukseklikCm | Neden önemli: Desi ve kargo kararını etkiler | Doğru kullanım: Manuel giriş | Örnek: hücredeki örnek değere bakın | Risk: Yanlış giriş hatalı karar üretir</t>
      </text>
    </comment>
    <comment ref="E505" authorId="0" shapeId="0">
      <text>
        <t>Tanım: AgirlikKg | Neden önemli: Desi ve kargo kararını etkiler | Doğru kullanım: Manuel giriş | Örnek: hücredeki örnek değere bakın | Risk: Yanlış giriş hatalı karar üretir</t>
      </text>
    </comment>
    <comment ref="F505" authorId="0" shapeId="0">
      <text>
        <t>Tanım: DesiCarpani | Neden önemli: Desi ve kargo kararını etkiler | Doğru kullanım: Manuel giriş | Örnek: hücredeki örnek değere bakın | Risk: Yanlış giriş hatalı karar üretir</t>
      </text>
    </comment>
    <comment ref="G505" authorId="0" shapeId="0">
      <text>
        <t>Tanım: Adet | Neden önemli: Desi ve kargo kararını etkiler | Doğru kullanım: Manuel giriş | Örnek: hücredeki örnek değere bakın | Risk: Yanlış giriş hatalı karar üretir</t>
      </text>
    </comment>
    <comment ref="H5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5" authorId="0" shapeId="0">
      <text>
        <t>Tanım: YorumAB | Neden önemli: Desi ve kargo kararını etkiler | Doğru kullanım: Manuel giriş | Örnek: hücredeki örnek değere bakın | Risk: Yanlış giriş hatalı karar üretir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6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6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6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6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6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6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7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7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7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7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7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7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7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8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8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8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8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8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8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8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9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9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9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9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9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9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9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0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0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0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0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0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0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0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1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1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1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1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1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1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1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2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2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2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2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2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2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2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3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3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3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3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3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3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3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4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4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4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4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4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4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4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5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5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5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5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5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5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5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6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6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6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6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6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6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6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7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7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7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7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7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7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7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8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8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8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8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8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8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8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19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19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19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19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19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19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1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19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0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0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0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0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0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0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0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1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1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1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1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1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1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1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2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2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2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2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2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2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2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3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3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3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3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3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3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3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4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4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4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4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4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4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4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5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5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5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5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5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5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5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6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6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6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6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6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6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6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7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7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7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7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7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7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7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8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8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8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8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8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8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8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29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29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29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29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29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29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2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29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0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0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0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0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0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0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0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1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1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1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1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1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1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1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1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2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2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2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2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2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2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2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2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3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3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3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3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3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3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3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3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4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4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4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4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4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4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4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4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5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5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5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5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5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5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5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5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6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6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6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6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6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6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6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6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7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7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7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7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7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7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7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7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8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8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8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8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8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8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8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8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39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39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39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39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39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39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39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39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40" authorId="0" shapeId="0">
      <text>
        <t>Tanım: Sipariş No | Neden önemli: Desi ve kargo kararını etkiler | Doğru kullanım: Taşıyıcı sipariş no | Örnek: hücredeki örnek değere bakın | Risk: Yanlış giriş hatalı karar üretir</t>
      </text>
    </comment>
    <comment ref="B40" authorId="0" shapeId="0">
      <text>
        <t>Tanım: Taşıyıcı | Neden önemli: Desi ve kargo kararını etkiler | Doğru kullanım: Liste seçimi | Örnek: hücredeki örnek değere bakın | Risk: Yanlış giriş hatalı karar üretir</t>
      </text>
    </comment>
    <comment ref="C40" authorId="0" shapeId="0">
      <text>
        <t>Tanım: Tarife TL/Desi | Neden önemli: Desi ve kargo kararını etkiler | Doğru kullanım: TL/desi veya TL/kg | Örnek: hücredeki örnek değere bakın | Risk: Yanlış giriş hatalı karar üretir</t>
      </text>
    </comment>
    <comment ref="D40" authorId="0" shapeId="0">
      <text>
        <t>Tanım: Tarife TL/Kg | Neden önemli: Desi ve kargo kararını etkiler | Doğru kullanım: Ağırlık tarife | Örnek: hücredeki örnek değere bakın | Risk: Yanlış giriş hatalı karar üretir</t>
      </text>
    </comment>
    <comment ref="E40" authorId="0" shapeId="0">
      <text>
        <t>Tanım: İade % | Neden önemli: Desi ve kargo kararını etkiler | Doğru kullanım: İade oranı | Örnek: hücredeki örnek değere bakın | Risk: Yanlış giriş hatalı karar üretir</t>
      </text>
    </comment>
    <comment ref="F40" authorId="0" shapeId="0">
      <text>
        <t>Tanım: Alternatif Tarife | Neden önemli: Desi ve kargo kararını etkiler | Doğru kullanım: Rakip TL/desi | Örnek: hücredeki örnek değere bakın | Risk: Yanlış giriş hatalı karar üretir</t>
      </text>
    </comment>
    <comment ref="H40" authorId="0" shapeId="0">
      <text>
        <t>Tanım: Bölge | Neden önemli: Desi ve kargo kararını etkiler | Doğru kullanım: Liste seçimi | Örnek: hücredeki örnek değere bakın | Risk: Yanlış giriş hatalı karar üretir</t>
      </text>
    </comment>
    <comment ref="I40" authorId="0" shapeId="0">
      <text>
        <t>Tanım: Dönem | Neden önemli: Desi ve kargo kararını etkiler | Doğru kullanım: YYYY-AA | Örnek: hücredeki örnek değere bakın | Risk: Yanlış giriş hatalı karar üretir</t>
      </text>
    </comment>
    <comment ref="A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6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6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6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6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6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6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7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7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7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7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7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7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8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8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8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8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8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8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9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9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9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9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9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9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0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0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0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0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0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0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1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1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1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1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1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1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2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2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2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2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2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2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3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3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3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3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3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3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4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4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4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4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4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4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5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5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5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5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5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5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6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6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6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6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6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6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7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7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7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7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7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7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8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8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8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8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8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8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1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19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19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19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19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19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1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19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0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0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0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0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0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0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1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1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1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1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1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1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2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2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2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2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2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2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3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3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3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3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3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3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4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4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4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4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4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4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5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5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5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5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5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5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6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6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6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6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6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6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7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7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7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7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7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7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8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8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8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8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8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8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2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29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29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29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29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29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2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29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0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0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0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0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0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0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1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1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1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1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1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1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2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2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2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2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2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2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3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3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3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3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3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3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4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4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4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4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4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4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5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5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5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5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5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5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6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6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6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6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6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6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7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7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7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7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7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7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8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8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8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8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8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8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3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39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39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39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39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39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3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39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0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0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0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0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0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0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0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0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1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1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1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1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1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1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1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1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2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2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2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2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2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2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2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2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3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3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3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3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3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3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3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3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4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4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4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4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4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4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4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4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5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5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5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5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5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5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5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5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6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6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6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6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6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6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6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6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7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7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7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7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7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7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7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7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8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8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8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8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8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8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8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8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5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6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6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6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6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6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6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6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6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7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7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7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7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7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7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7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7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8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8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8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8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8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8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8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8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499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499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499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499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499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499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499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499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0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0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0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0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0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0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0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0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1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1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1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1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1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1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1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1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2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2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2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2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2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2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2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2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3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3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3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3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3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3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3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3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4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4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4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4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4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4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4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4" authorId="0" shapeId="0">
      <text>
        <t>Tanım: Donem | Neden önemli: Desi ve kargo kararını etkiler | Doğru kullanım: Manuel giriş | Örnek: hücredeki örnek değere bakın | Risk: Yanlış giriş hatalı karar üretir</t>
      </text>
    </comment>
    <comment ref="A505" authorId="0" shapeId="0">
      <text>
        <t>Tanım: SiparisNo | Neden önemli: Desi ve kargo kararını etkiler | Doğru kullanım: Manuel giriş | Örnek: hücredeki örnek değere bakın | Risk: Yanlış giriş hatalı karar üretir</t>
      </text>
    </comment>
    <comment ref="B505" authorId="0" shapeId="0">
      <text>
        <t>Tanım: Tasiyici | Neden önemli: Desi ve kargo kararını etkiler | Doğru kullanım: Manuel giriş | Örnek: hücredeki örnek değere bakın | Risk: Yanlış giriş hatalı karar üretir</t>
      </text>
    </comment>
    <comment ref="C505" authorId="0" shapeId="0">
      <text>
        <t>Tanım: TarifTlDesi | Neden önemli: Desi ve kargo kararını etkiler | Doğru kullanım: Manuel giriş | Örnek: hücredeki örnek değere bakın | Risk: Yanlış giriş hatalı karar üretir</t>
      </text>
    </comment>
    <comment ref="D505" authorId="0" shapeId="0">
      <text>
        <t>Tanım: TarifTlKg | Neden önemli: Desi ve kargo kararını etkiler | Doğru kullanım: Manuel giriş | Örnek: hücredeki örnek değere bakın | Risk: Yanlış giriş hatalı karar üretir</t>
      </text>
    </comment>
    <comment ref="E505" authorId="0" shapeId="0">
      <text>
        <t>Tanım: IadeOran | Neden önemli: Desi ve kargo kararını etkiler | Doğru kullanım: Manuel giriş | Örnek: hücredeki örnek değere bakın | Risk: Yanlış giriş hatalı karar üretir</t>
      </text>
    </comment>
    <comment ref="F505" authorId="0" shapeId="0">
      <text>
        <t>Tanım: AlternatifTarif | Neden önemli: Desi ve kargo kararını etkiler | Doğru kullanım: Manuel giriş | Örnek: hücredeki örnek değere bakın | Risk: Yanlış giriş hatalı karar üretir</t>
      </text>
    </comment>
    <comment ref="H505" authorId="0" shapeId="0">
      <text>
        <t>Tanım: Bolge | Neden önemli: Desi ve kargo kararını etkiler | Doğru kullanım: Manuel giriş | Örnek: hücredeki örnek değere bakın | Risk: Yanlış giriş hatalı karar üretir</t>
      </text>
    </comment>
    <comment ref="I505" authorId="0" shapeId="0">
      <text>
        <t>Tanım: Donem | Neden önemli: Desi ve kargo kararını etkiler | Doğru kullanım: Manuel giriş | Örnek: hücredeki örnek değere bakın | Risk: Yanlış giriş hatalı karar üretir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A7" authorId="0" shapeId="0">
      <text>
        <t>Tanım: Taşıyıcı | Neden önemli: Desi ve kargo kararını etkiler | Doğru kullanım: Listeye ekleyebilirsiniz | Örnek: hücredeki örnek değere bakın | Risk: Yanlış giriş hatalı karar üretir</t>
      </text>
    </comment>
    <comment ref="C7" authorId="0" shapeId="0">
      <text>
        <t>Tanım: Bölge | Neden önemli: Desi ve kargo kararını etkiler | Doğru kullanım: Bölge değeri | Örnek: hücredeki örnek değere bakın | Risk: Yanlış giriş hatalı karar üretir</t>
      </text>
    </comment>
    <comment ref="E7" authorId="0" shapeId="0">
      <text>
        <t>Tanım: Yorum | Neden önemli: Desi ve kargo kararını etkiler | Doğru kullanım: A veya B | Örnek: hücredeki örnek değere bakın | Risk: Yanlış giriş hatalı karar üretir</t>
      </text>
    </comment>
    <comment ref="G7" authorId="0" shapeId="0">
      <text>
        <t>Tanım: Durum | Neden önemli: Desi ve kargo kararını etkiler | Doğru kullanım: Durum değeri | Örnek: hücredeki örnek değere bakın | Risk: Yanlış giriş hatalı karar üretir</t>
      </text>
    </comment>
    <comment ref="A8" authorId="0" shapeId="0">
      <text>
        <t>Tanım: Taşıyıcı | Neden önemli: Desi ve kargo kararını etkiler | Doğru kullanım: Listeye ekleyebilirsiniz | Örnek: hücredeki örnek değere bakın | Risk: Yanlış giriş hatalı karar üretir</t>
      </text>
    </comment>
    <comment ref="C8" authorId="0" shapeId="0">
      <text>
        <t>Tanım: Bölge | Neden önemli: Desi ve kargo kararını etkiler | Doğru kullanım: Bölge değeri | Örnek: hücredeki örnek değere bakın | Risk: Yanlış giriş hatalı karar üretir</t>
      </text>
    </comment>
    <comment ref="E8" authorId="0" shapeId="0">
      <text>
        <t>Tanım: Yorum | Neden önemli: Desi ve kargo kararını etkiler | Doğru kullanım: A veya B | Örnek: hücredeki örnek değere bakın | Risk: Yanlış giriş hatalı karar üretir</t>
      </text>
    </comment>
    <comment ref="G8" authorId="0" shapeId="0">
      <text>
        <t>Tanım: Durum | Neden önemli: Desi ve kargo kararını etkiler | Doğru kullanım: Durum değeri | Örnek: hücredeki örnek değere bakın | Risk: Yanlış giriş hatalı karar üretir</t>
      </text>
    </comment>
    <comment ref="A9" authorId="0" shapeId="0">
      <text>
        <t>Tanım: Taşıyıcı | Neden önemli: Desi ve kargo kararını etkiler | Doğru kullanım: Listeye ekleyebilirsiniz | Örnek: hücredeki örnek değere bakın | Risk: Yanlış giriş hatalı karar üretir</t>
      </text>
    </comment>
    <comment ref="C9" authorId="0" shapeId="0">
      <text>
        <t>Tanım: Bölge | Neden önemli: Desi ve kargo kararını etkiler | Doğru kullanım: Bölge değeri | Örnek: hücredeki örnek değere bakın | Risk: Yanlış giriş hatalı karar üretir</t>
      </text>
    </comment>
    <comment ref="G9" authorId="0" shapeId="0">
      <text>
        <t>Tanım: Durum | Neden önemli: Desi ve kargo kararını etkiler | Doğru kullanım: Durum değeri | Örnek: hücredeki örnek değere bakın | Risk: Yanlış giriş hatalı karar üretir</t>
      </text>
    </comment>
    <comment ref="A10" authorId="0" shapeId="0">
      <text>
        <t>Tanım: Taşıyıcı | Neden önemli: Desi ve kargo kararını etkiler | Doğru kullanım: Listeye ekleyebilirsiniz | Örnek: hücredeki örnek değere bakın | Risk: Yanlış giriş hatalı karar üretir</t>
      </text>
    </comment>
    <comment ref="C10" authorId="0" shapeId="0">
      <text>
        <t>Tanım: Bölge | Neden önemli: Desi ve kargo kararını etkiler | Doğru kullanım: Bölge değeri | Örnek: hücredeki örnek değere bakın | Risk: Yanlış giriş hatalı karar üretir</t>
      </text>
    </comment>
    <comment ref="A11" authorId="0" shapeId="0">
      <text>
        <t>Tanım: Taşıyıcı | Neden önemli: Desi ve kargo kararını etkiler | Doğru kullanım: Listeye ekleyebilirsiniz | Örnek: hücredeki örnek değere bakın | Risk: Yanlış giriş hatalı karar üretir</t>
      </text>
    </comment>
    <comment ref="C11" authorId="0" shapeId="0">
      <text>
        <t>Tanım: Bölge | Neden önemli: Desi ve kargo kararını etkiler | Doğru kullanım: Bölge değeri | Örnek: hücredeki örnek değere bakın | Risk: Yanlış giriş hatalı karar üretir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6" authorId="0" shapeId="0">
      <text>
        <t>Tanım: toleransKurus | Neden önemli: Desi ve kargo kararını etkiler | Doğru kullanım: Eşleşme toleransı | Örnek: hücredeki örnek değere bakın | Risk: Yanlış giriş hatalı karar üretir</t>
      </text>
    </comment>
    <comment ref="B7" authorId="0" shapeId="0">
      <text>
        <t>Tanım: raporTarihi | Neden önemli: Desi ve kargo kararını etkiler | Doğru kullanım: Rapor tarihi | Örnek: hücredeki örnek değere bakın | Risk: Yanlış giriş hatalı karar üretir</t>
      </text>
    </comment>
    <comment ref="B8" authorId="0" shapeId="0">
      <text>
        <t>Tanım: kdo_esikEslesme | Neden önemli: Desi ve kargo kararını etkiler | Doğru kullanım: Eşleşme oranı eşiği | Örnek: hücredeki örnek değere bakın | Risk: Yanlış giriş hatalı karar üretir</t>
      </text>
    </comment>
    <comment ref="B9" authorId="0" shapeId="0">
      <text>
        <t>Tanım: kdo_esikFark | Neden önemli: Desi ve kargo kararını etkiler | Doğru kullanım: Fark tutarı eşiği | Örnek: hücredeki örnek değere bakın | Risk: Yanlış giriş hatalı karar üretir</t>
      </text>
    </comment>
    <comment ref="B10" authorId="0" shapeId="0">
      <text>
        <t>Tanım: kdo_esikDesiOran | Neden önemli: Desi ve kargo kararını etkiler | Doğru kullanım: DESİ DÜŞÜR eşiği | Örnek: hücredeki örnek değere bakın | Risk: Yanlış giriş hatalı karar üretir</t>
      </text>
    </comment>
    <comment ref="B11" authorId="0" shapeId="0">
      <text>
        <t>Tanım: kdo_esikTasarruf | Neden önemli: Desi ve kargo kararını etkiler | Doğru kullanım: TAŞIYICI DEĞİŞTİR eşiği | Örnek: hücredeki örnek değere bakın | Risk: Yanlış giriş hatalı karar üretir</t>
      </text>
    </comment>
    <comment ref="B12" authorId="0" shapeId="0">
      <text>
        <t>Tanım: kdo_esikIade | Neden önemli: Desi ve kargo kararını etkiler | Doğru kullanım: KDO-002 eşiği | Örnek: hücredeki örnek değere bakın | Risk: Yanlış giriş hatalı karar üretir</t>
      </text>
    </comment>
    <comment ref="B13" authorId="0" shapeId="0">
      <text>
        <t>Tanım: kdo_iadeEtkiCarpani | Neden önemli: Desi ve kargo kararını etkiler | Doğru kullanım: İade maliyeti çarpanı | Örnek: hücredeki örnek değere bakın | Risk: Yanlış giriş hatalı karar üretir</t>
      </text>
    </comment>
    <comment ref="B14" authorId="0" shapeId="0">
      <text>
        <t>Tanım: kdo_varsayilanDesiCarpani | Neden önemli: Desi ve kargo kararını etkiler | Doğru kullanım: Varsayılan desi çarpanı | Örnek: hücredeki örnek değere bakın | Risk: Yanlış giriş hatalı karar üretir</t>
      </text>
    </comment>
    <comment ref="B15" authorId="0" shapeId="0">
      <text>
        <t>Tanım: kdo_azamiTutar | Neden önemli: Desi ve kargo kararını etkiler | Doğru kullanım: Azami makul tutar | Örnek: hücredeki örnek değere bakın | Risk: Yanlış giriş hatalı karar üretir</t>
      </text>
    </comment>
    <comment ref="B16" authorId="0" shapeId="0">
      <text>
        <t>Tanım: kdo_ikincilUzunluk | Neden önemli: Desi ve kargo kararını etkiler | Doğru kullanım: Ikincil anahtar | Örnek: hücredeki örnek değere bakın | Risk: Yanlış giriş hatalı karar üretir</t>
      </text>
    </comment>
    <comment ref="B17" authorId="0" shapeId="0">
      <text>
        <t>Tanım: kdo_olcekHedef | Neden önemli: Desi ve kargo kararını etkiler | Doğru kullanım: Ölçek sözleşmesi | Örnek: hücredeki örnek değere bakın | Risk: Yanlış giriş hatalı karar üretir</t>
      </text>
    </comment>
    <comment ref="B18" authorId="0" shapeId="0">
      <text>
        <t>Tanım: kdo_yuzdelikOran | Neden önemli: Desi ve kargo kararını etkiler | Doğru kullanım: PERCENTILE oranı | Örnek: hücredeki örnek değere bakın | Risk: Yanlış giriş hatalı karar üretir</t>
      </text>
    </comment>
    <comment ref="B19" authorId="0" shapeId="0">
      <text>
        <t>Tanım: kdo_tarifeSenaryo | Neden önemli: Desi ve kargo kararını etkiler | Doğru kullanım: Tarife +% senaryo | Örnek: hücredeki örnek değere bakın | Risk: Yanlış giriş hatalı karar üretir</t>
      </text>
    </comment>
    <comment ref="B20" authorId="0" shapeId="0">
      <text>
        <t>Tanım: kdo_fiyatModeli | Neden önemli: Desi ve kargo kararını etkiler | Doğru kullanım: R3 ayrım | Örnek: hücredeki örnek değere bakın | Risk: Yanlış giriş hatalı karar üretir</t>
      </text>
    </comment>
    <comment ref="B21" authorId="0" shapeId="0">
      <text>
        <t>Tanım: kdo_kvkkBeyani | Neden önemli: Desi ve kargo kararını etkiler | Doğru kullanım: R3 ayrım | Örnek: hücredeki örnek değere bakın | Risk: Yanlış giriş hatalı karar üretir</t>
      </text>
    </comment>
    <comment ref="B22" authorId="0" shapeId="0">
      <text>
        <t>Tanım: kdo_faturalananBirim | Neden önemli: Desi ve kargo kararını etkiler | Doğru kullanım: R1 ayrım | Örnek: hücredeki örnek değere bakın | Risk: Yanlış giriş hatalı karar üretir</t>
      </text>
    </comment>
    <comment ref="B23" authorId="0" shapeId="0">
      <text>
        <t>Tanım: kdo_normAnahtar | Neden önemli: Desi ve kargo kararını etkiler | Doğru kullanım: Serbest alternatif | Örnek: hücredeki örnek değere bakın | Risk: Yanlış giriş hatalı karar üretir</t>
      </text>
    </comment>
    <comment ref="B24" authorId="0" shapeId="0">
      <text>
        <t>Tanım: kdo_tanimsizKova | Neden önemli: Desi ve kargo kararını etkiler | Doğru kullanım: Serbest alternatif | Örnek: hücredeki örnek değere bakın | Risk: Yanlış giriş hatalı karar üretir</t>
      </text>
    </comment>
    <comment ref="B25" authorId="0" shapeId="0">
      <text>
        <t>Tanım: kdo_kovaButunlukAd | Neden önemli: Desi ve kargo kararını etkiler | Doğru kullanım: Serbest alternatif | Örnek: hücredeki örnek değere bakın | Risk: Yanlış giriş hatalı karar üretir</t>
      </text>
    </comment>
    <comment ref="B26" authorId="0" shapeId="0">
      <text>
        <t>Tanım: kdo_dosyaSurumu | Neden önemli: Desi ve kargo kararını etkiler | Doğru kullanım: Ürün sürümü | Örnek: hücredeki örnek değere bakın | Risk: Yanlış giriş hatalı karar üretir</t>
      </text>
    </comment>
    <comment ref="B27" authorId="0" shapeId="0">
      <text>
        <t>Tanım: kdo_firmaUnvan | Neden önemli: Desi ve kargo kararını etkiler | Doğru kullanım: Firma | Örnek: hücredeki örnek değere bakın | Risk: Yanlış giriş hatalı karar üretir</t>
      </text>
    </comment>
    <comment ref="B28" authorId="0" shapeId="0">
      <text>
        <t>Tanım: kdo_kuralSeti | Neden önemli: Desi ve kargo kararını etkiler | Doğru kullanım: Kural seti | Örnek: hücredeki örnek değere bakın | Risk: Yanlış giriş hatalı karar üretir</t>
      </text>
    </comment>
  </commentList>
</comments>
</file>

<file path=xl/tables/table1.xml><?xml version="1.0" encoding="utf-8"?>
<table xmlns="http://schemas.openxmlformats.org/spreadsheetml/2006/main" id="1" name="tblVeriA" displayName="tblVeriA" ref="A5:K505" headerRowCount="1">
  <tableColumns count="11">
    <tableColumn id="1" name="SiparisNo"/>
    <tableColumn id="2" name="EnCm"/>
    <tableColumn id="3" name="BoyCm"/>
    <tableColumn id="4" name="YukseklikCm"/>
    <tableColumn id="5" name="AgirlikKg"/>
    <tableColumn id="6" name="DesiCarpani"/>
    <tableColumn id="7" name="Adet"/>
    <tableColumn id="8" name="Bolge"/>
    <tableColumn id="9" name="YorumAB"/>
    <tableColumn id="10" name="HedefMaliyet">
      <calculatedColumnFormula>IF(tblVeriA[[#This Row],[SiparisNo]]="","",ROUND(MAX((tblVeriA[[#This Row],[EnCm]]*tblVeriA[[#This Row],[BoyCm]]*tblVeriA[[#This Row],[YukseklikCm]])/MAX(tblVeriA[[#This Row],[DesiCarpani]],1),tblVeriA[[#This Row],[AgirlikKg]])*IFERROR(SUMIF(tblVeriB[SiparisNo],tblVeriA[[#This Row],[SiparisNo]],tblVeriB[TarifTlDesi]),0)*tblVeriA[[#This Row],[Adet]],2))</calculatedColumnFormula>
    </tableColumn>
    <tableColumn id="11" name="KayitDolu">
      <calculatedColumnFormula>IF(tblVeriA[[#This Row],[SiparisNo]]="","",1)</calculatedColumnFormula>
    </tableColumn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blVeriB" displayName="tblVeriB" ref="A5:J505" headerRowCount="1">
  <tableColumns count="10">
    <tableColumn id="1" name="SiparisNo"/>
    <tableColumn id="2" name="Tasiyici"/>
    <tableColumn id="3" name="TarifTlDesi"/>
    <tableColumn id="4" name="TarifTlKg"/>
    <tableColumn id="5" name="IadeOran"/>
    <tableColumn id="6" name="AlternatifTarif"/>
    <tableColumn id="7" name="GercekMaliyet">
      <calculatedColumnFormula>IF(tblVeriB[[#This Row],[SiparisNo]]="","",IFERROR(MAX(IFERROR(SUMIF(tblVeriA[SiparisNo],tblVeriB[[#This Row],[SiparisNo]],tblVeriA[EnCm])*SUMIF(tblVeriA[SiparisNo],tblVeriB[[#This Row],[SiparisNo]],tblVeriA[BoyCm])*SUMIF(tblVeriA[SiparisNo],tblVeriB[[#This Row],[SiparisNo]],tblVeriA[YukseklikCm])/MAX(SUMIF(tblVeriA[SiparisNo],tblVeriB[[#This Row],[SiparisNo]],tblVeriA[DesiCarpani]),1),0),IFERROR(SUMIF(tblVeriA[SiparisNo],tblVeriB[[#This Row],[SiparisNo]],tblVeriA[AgirlikKg]),0))*tblVeriB[[#This Row],[TarifTlDesi]]*IFERROR(SUMIF(tblVeriA[SiparisNo],tblVeriB[[#This Row],[SiparisNo]],tblVeriA[Adet]),1)*(1+tblVeriB[[#This Row],[IadeOran]]*kdo_iadeEtkiCarpani),0))</calculatedColumnFormula>
    </tableColumn>
    <tableColumn id="8" name="Bolge"/>
    <tableColumn id="9" name="Donem"/>
    <tableColumn id="10" name="KayitDolu">
      <calculatedColumnFormula>IF(tblVeriB[[#This Row],[SiparisNo]]="","",1)</calculatedColumnFormula>
    </tableColumn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blAnahtarA" displayName="tblAnahtarA" ref="A5:G505" headerRowCount="1">
  <tableColumns count="7">
    <tableColumn id="1" name="Ham"/>
    <tableColumn id="2" name="Norm">
      <calculatedColumnFormula>UPPER(TRIM(SUBSTITUTE(tblAnahtarA[[#This Row],[Ham]]," ","")))</calculatedColumnFormula>
    </tableColumn>
    <tableColumn id="3" name="NormUzunluk">
      <calculatedColumnFormula>IF(tblAnahtarA[[#This Row],[Norm]]="",0,LEN(tblAnahtarA[[#This Row],[Norm]]))</calculatedColumnFormula>
    </tableColumn>
    <tableColumn id="4" name="IkincilAnahtar">
      <calculatedColumnFormula>IF(tblAnahtarA[[#This Row],[Norm]]="","",LEFT(tblAnahtarA[[#This Row],[Norm]],kdo_ikincilUzunluk))</calculatedColumnFormula>
    </tableColumn>
    <tableColumn id="5" name="KaynakTaraf">
      <calculatedColumnFormula>"A"</calculatedColumnFormula>
    </tableColumn>
    <tableColumn id="6" name="Duplike">
      <calculatedColumnFormula>IF(tblAnahtarA[[#This Row],[Norm]]="","",IF(COUNTIF(tblAnahtarA[Norm],tblAnahtarA[[#This Row],[Norm]])&gt;1,"EVET","HAYIR"))</calculatedColumnFormula>
    </tableColumn>
    <tableColumn id="7" name="SatirNo">
      <calculatedColumnFormula>IF(tblAnahtarA[[#This Row],[Ham]]="","",ROW()-ROW($A$5))</calculatedColumnFormula>
    </tableColumn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blAnahtarB" displayName="tblAnahtarB" ref="I5:O505" headerRowCount="1">
  <tableColumns count="7">
    <tableColumn id="1" name="HamB"/>
    <tableColumn id="2" name="NormB">
      <calculatedColumnFormula>UPPER(TRIM(SUBSTITUTE(tblAnahtarB[[#This Row],[HamB]]," ","")))</calculatedColumnFormula>
    </tableColumn>
    <tableColumn id="3" name="NormUzunlukB">
      <calculatedColumnFormula>IF(tblAnahtarB[[#This Row],[NormB]]="",0,LEN(tblAnahtarB[[#This Row],[NormB]]))</calculatedColumnFormula>
    </tableColumn>
    <tableColumn id="4" name="IkincilB">
      <calculatedColumnFormula>IF(tblAnahtarB[[#This Row],[NormB]]="","",LEFT(tblAnahtarB[[#This Row],[NormB]],kdo_ikincilUzunluk))</calculatedColumnFormula>
    </tableColumn>
    <tableColumn id="5" name="KaynakB">
      <calculatedColumnFormula>"B"</calculatedColumnFormula>
    </tableColumn>
    <tableColumn id="6" name="DuplikeB">
      <calculatedColumnFormula>IF(tblAnahtarB[[#This Row],[NormB]]="","",IF(COUNTIF(tblAnahtarB[NormB],tblAnahtarB[[#This Row],[NormB]])&gt;1,"EVET","HAYIR"))</calculatedColumnFormula>
    </tableColumn>
    <tableColumn id="7" name="SatirNoB">
      <calculatedColumnFormula>IF(tblAnahtarB[[#This Row],[HamB]]="","",ROW()-ROW($I$5))</calculatedColumnFormula>
    </tableColumn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blMotor" displayName="tblMotor" ref="A5:T505" headerRowCount="1">
  <tableColumns count="20">
    <tableColumn id="1" name="A_Norm">
      <calculatedColumnFormula>IF(tblAnahtarA[[#This Row],[Norm]]="","",tblAnahtarA[[#This Row],[Norm]])</calculatedColumnFormula>
    </tableColumn>
    <tableColumn id="2" name="EnCm">
      <calculatedColumnFormula>IF(tblMotor[[#This Row],[A_Norm]]="","",IFERROR(SUMIF(tblAnahtarA[Norm],tblMotor[[#This Row],[A_Norm]],tblVeriA[EnCm]),0))</calculatedColumnFormula>
    </tableColumn>
    <tableColumn id="3" name="BoyCm">
      <calculatedColumnFormula>IF(tblMotor[[#This Row],[A_Norm]]="","",IFERROR(SUMIF(tblAnahtarA[Norm],tblMotor[[#This Row],[A_Norm]],tblVeriA[BoyCm]),0))</calculatedColumnFormula>
    </tableColumn>
    <tableColumn id="4" name="YukCm">
      <calculatedColumnFormula>IF(tblMotor[[#This Row],[A_Norm]]="","",IFERROR(SUMIF(tblAnahtarA[Norm],tblMotor[[#This Row],[A_Norm]],tblVeriA[YukseklikCm]),0))</calculatedColumnFormula>
    </tableColumn>
    <tableColumn id="5" name="AgirlikKg">
      <calculatedColumnFormula>IF(tblMotor[[#This Row],[A_Norm]]="","",IFERROR(SUMIF(tblAnahtarA[Norm],tblMotor[[#This Row],[A_Norm]],tblVeriA[AgirlikKg]),0))</calculatedColumnFormula>
    </tableColumn>
    <tableColumn id="6" name="DesiCarpani">
      <calculatedColumnFormula>IF(tblMotor[[#This Row],[A_Norm]]="","",IFERROR(SUMIF(tblAnahtarA[Norm],tblMotor[[#This Row],[A_Norm]],tblVeriA[DesiCarpani]),kdo_varsayilanDesiCarpani))</calculatedColumnFormula>
    </tableColumn>
    <tableColumn id="7" name="HacimselDesi">
      <calculatedColumnFormula>IF(tblMotor[[#This Row],[A_Norm]]="","",ROUND(tblMotor[[#This Row],[EnCm]]*tblMotor[[#This Row],[BoyCm]]*tblMotor[[#This Row],[YukCm]]/MAX(tblMotor[[#This Row],[DesiCarpani]],1),2))</calculatedColumnFormula>
    </tableColumn>
    <tableColumn id="8" name="FaturalananBirim">
      <calculatedColumnFormula>IF(tblMotor[[#This Row],[A_Norm]]="","",MAX(tblMotor[[#This Row],[HacimselDesi]],tblMotor[[#This Row],[AgirlikKg]]))</calculatedColumnFormula>
    </tableColumn>
    <tableColumn id="9" name="TarifTl">
      <calculatedColumnFormula>IF(tblMotor[[#This Row],[A_Norm]]="","",IFERROR(SUMIF(tblAnahtarB[NormB],tblMotor[[#This Row],[A_Norm]],tblVeriB[TarifTlDesi]),0))</calculatedColumnFormula>
    </tableColumn>
    <tableColumn id="10" name="Adet">
      <calculatedColumnFormula>IF(tblMotor[[#This Row],[A_Norm]]="","",IFERROR(SUMIF(tblAnahtarA[Norm],tblMotor[[#This Row],[A_Norm]],tblVeriA[Adet]),1))</calculatedColumnFormula>
    </tableColumn>
    <tableColumn id="11" name="BirimKargo">
      <calculatedColumnFormula>IF(tblMotor[[#This Row],[A_Norm]]="","",ROUND(tblMotor[[#This Row],[FaturalananBirim]]*tblMotor[[#This Row],[TarifTl]],2))</calculatedColumnFormula>
    </tableColumn>
    <tableColumn id="12" name="SiparisToplam">
      <calculatedColumnFormula>IF(tblMotor[[#This Row],[A_Norm]]="","",ROUND(tblMotor[[#This Row],[BirimKargo]]*tblMotor[[#This Row],[Adet]]*(1+tblMotor[[#This Row],[IadeOran]]*kdo_iadeEtkiCarpani),2))</calculatedColumnFormula>
    </tableColumn>
    <tableColumn id="13" name="AltTarif">
      <calculatedColumnFormula>IF(tblMotor[[#This Row],[A_Norm]]="","",IFERROR(SUMIF(tblAnahtarB[NormB],tblMotor[[#This Row],[A_Norm]],tblVeriB[AlternatifTarif]),0))</calculatedColumnFormula>
    </tableColumn>
    <tableColumn id="14" name="AltToplam">
      <calculatedColumnFormula>IF(tblMotor[[#This Row],[A_Norm]]="","",ROUND(tblMotor[[#This Row],[FaturalananBirim]]*tblMotor[[#This Row],[AltTarif]]*tblMotor[[#This Row],[Adet]]*(1+tblMotor[[#This Row],[IadeOran]]*kdo_iadeEtkiCarpani),2))</calculatedColumnFormula>
    </tableColumn>
    <tableColumn id="15" name="Tasarruf">
      <calculatedColumnFormula>IF(tblMotor[[#This Row],[A_Norm]]="","",ROUND(tblMotor[[#This Row],[SiparisToplam]]-tblMotor[[#This Row],[AltToplam]],2))</calculatedColumnFormula>
    </tableColumn>
    <tableColumn id="16" name="KararSatir">
      <calculatedColumnFormula>IF(tblMotor[[#This Row],[A_Norm]]="","",IF(tblMotor[[#This Row],[DesiKgOran]]&gt;kdo_esikDesiOran,"DESİ DÜŞÜR",IF(tblMotor[[#This Row],[Tasarruf]]&gt;kdo_esikTasarruf,"TAŞIYICI DEĞİŞTİR","UYGUN")))</calculatedColumnFormula>
    </tableColumn>
    <tableColumn id="17" name="IadeOran">
      <calculatedColumnFormula>IF(tblMotor[[#This Row],[A_Norm]]="","",IFERROR(SUMIF(tblAnahtarB[NormB],tblMotor[[#This Row],[A_Norm]],tblVeriB[IadeOran]),0))</calculatedColumnFormula>
    </tableColumn>
    <tableColumn id="18" name="DesiKgOran">
      <calculatedColumnFormula>IF(OR(tblMotor[[#This Row],[A_Norm]]="",tblMotor[[#This Row],[AgirlikKg]]=0),0,tblMotor[[#This Row],[HacimselDesi]]/tblMotor[[#This Row],[AgirlikKg]])</calculatedColumnFormula>
    </tableColumn>
    <tableColumn id="19" name="MotorAdim1">
      <calculatedColumnFormula>IF(tblMotor[[#This Row],[A_Norm]]="","",tblMotor[[#This Row],[HacimselDesi]]-tblMotor[[#This Row],[AgirlikKg]])</calculatedColumnFormula>
    </tableColumn>
    <tableColumn id="20" name="MotorAdim2">
      <calculatedColumnFormula>IF(tblMotor[[#This Row],[A_Norm]]="","",tblMotor[[#This Row],[SiparisToplam]]-tblMotor[[#This Row],[AltToplam]])</calculatedColumnFormula>
    </tableColumn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blEslesme" displayName="tblEslesme" ref="A5:P505" headerRowCount="1">
  <tableColumns count="16">
    <tableColumn id="1" name="A_Norm">
      <calculatedColumnFormula>IF(tblAnahtarA[[#This Row],[Norm]]="","",tblAnahtarA[[#This Row],[Norm]])</calculatedColumnFormula>
    </tableColumn>
    <tableColumn id="2" name="B_Sayim">
      <calculatedColumnFormula>IF(tblEslesme[[#This Row],[A_Norm]]="","",COUNTIF(tblAnahtarB[NormB],tblEslesme[[#This Row],[A_Norm]]))</calculatedColumnFormula>
    </tableColumn>
    <tableColumn id="3" name="B_Tutar">
      <calculatedColumnFormula>IF(tblEslesme[[#This Row],[A_Norm]]="","",IFERROR(SUMIF(tblMotor[A_Norm],tblEslesme[[#This Row],[A_Norm]],tblMotor[SiparisToplam]),0))</calculatedColumnFormula>
    </tableColumn>
    <tableColumn id="4" name="A_Tutar">
      <calculatedColumnFormula>IF(tblEslesme[[#This Row],[A_Norm]]="","",IFERROR(SUMIF(tblAnahtarA[Norm],tblEslesme[[#This Row],[A_Norm]],tblVeriA[HedefMaliyet]),0))</calculatedColumnFormula>
    </tableColumn>
    <tableColumn id="5" name="Fark">
      <calculatedColumnFormula>IF(tblEslesme[[#This Row],[A_Norm]]="","",ROUND(tblEslesme[[#This Row],[A_Tutar]],2)-ROUND(tblEslesme[[#This Row],[B_Tutar]],2))</calculatedColumnFormula>
    </tableColumn>
    <tableColumn id="6" name="AbsFark">
      <calculatedColumnFormula>IF(tblEslesme[[#This Row],[A_Norm]]="","",ABS(tblEslesme[[#This Row],[Fark]]))</calculatedColumnFormula>
    </tableColumn>
    <tableColumn id="7" name="Kova">
      <calculatedColumnFormula>IF(tblEslesme[[#This Row],[A_Norm]]="","",IF(tblEslesme[[#This Row],[B_Sayim]]=0,"eslesmedi",IF(ROUND(tblEslesme[[#This Row],[A_Tutar]],2)=ROUND(tblEslesme[[#This Row],[B_Tutar]],2),"eslesti",IF(ABS(ROUND(tblEslesme[[#This Row],[A_Tutar]],2)-ROUND(tblEslesme[[#This Row],[B_Tutar]],2))&lt;=toleransKurus,"tolerans_icinde","tutar_farki"))))</calculatedColumnFormula>
    </tableColumn>
    <tableColumn id="8" name="IkincilEslesme">
      <calculatedColumnFormula>IF(tblEslesme[[#This Row],[A_Norm]]="","",IF(tblEslesme[[#This Row],[B_Sayim]]&gt;0,"BIRINCIL",IF(COUNTIF(tblAnahtarB[IkincilB],tblAnahtarA[[#This Row],[IkincilAnahtar]])&gt;0,"IKINCIL","YOK")))</calculatedColumnFormula>
    </tableColumn>
    <tableColumn id="9" name="DuplikeBayrak">
      <calculatedColumnFormula>IF(tblEslesme[[#This Row],[A_Norm]]="","",tblAnahtarA[[#This Row],[Duplike]])</calculatedColumnFormula>
    </tableColumn>
    <tableColumn id="10" name="FarkOran">
      <calculatedColumnFormula>IF(OR(tblEslesme[[#This Row],[A_Norm]]="",tblEslesme[[#This Row],[A_Tutar]]=0),0,tblEslesme[[#This Row],[AbsFark]]/ABS(tblEslesme[[#This Row],[A_Tutar]]))</calculatedColumnFormula>
    </tableColumn>
    <tableColumn id="11" name="YuvarlakA">
      <calculatedColumnFormula>IF(tblEslesme[[#This Row],[A_Norm]]="","",ROUND(tblEslesme[[#This Row],[A_Tutar]],2))</calculatedColumnFormula>
    </tableColumn>
    <tableColumn id="12" name="YuvarlakB">
      <calculatedColumnFormula>IF(tblEslesme[[#This Row],[A_Norm]]="","",ROUND(tblEslesme[[#This Row],[B_Tutar]],2))</calculatedColumnFormula>
    </tableColumn>
    <tableColumn id="13" name="ToleransTest">
      <calculatedColumnFormula>IF(tblEslesme[[#This Row],[A_Norm]]="","",IF(tblEslesme[[#This Row],[AbsFark]]&lt;=toleransKurus,1,0))</calculatedColumnFormula>
    </tableColumn>
    <tableColumn id="14" name="EsikUstu">
      <calculatedColumnFormula>IF(tblEslesme[[#This Row],[A_Norm]]="","",IF(tblEslesme[[#This Row],[AbsFark]]&gt;kdo_esikFark,1,0))</calculatedColumnFormula>
    </tableColumn>
    <tableColumn id="15" name="SiparisToplam">
      <calculatedColumnFormula>IF(tblEslesme[[#This Row],[A_Norm]]="","",IFERROR(SUMIF(tblMotor[A_Norm],tblEslesme[[#This Row],[A_Norm]],tblMotor[SiparisToplam]),0))</calculatedColumnFormula>
    </tableColumn>
    <tableColumn id="16" name="MotorAdim">
      <calculatedColumnFormula>IF(tblEslesme[[#This Row],[A_Norm]]="","",tblEslesme[[#This Row],[B_Sayim]]+tblEslesme[[#This Row],[ToleransTest]]+tblEslesme[[#This Row],[EsikUstu]])</calculatedColumnFormula>
    </tableColumn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blKok" displayName="tblKok" ref="A15:H515" headerRowCount="1">
  <tableColumns count="8">
    <tableColumn id="1" name="A_Norm">
      <calculatedColumnFormula>IF(tblEslesme[[#This Row],[A_Norm]]="","",tblEslesme[[#This Row],[A_Norm]])</calculatedColumnFormula>
    </tableColumn>
    <tableColumn id="2" name="Kova">
      <calculatedColumnFormula>IF(tblKok[[#This Row],[A_Norm]]="","",IFERROR(INDEX(tblEslesme[Kova],MATCH(tblKok[[#This Row],[A_Norm]],tblEslesme[A_Norm],0)),""))</calculatedColumnFormula>
    </tableColumn>
    <tableColumn id="3" name="AbsFark">
      <calculatedColumnFormula>IF(tblKok[[#This Row],[A_Norm]]="","",IFERROR(INDEX(tblEslesme[AbsFark],MATCH(tblKok[[#This Row],[A_Norm]],tblEslesme[A_Norm],0)),0))</calculatedColumnFormula>
    </tableColumn>
    <tableColumn id="4" name="DesiKgOran">
      <calculatedColumnFormula>IF(tblKok[[#This Row],[A_Norm]]="","",IFERROR(SUMIF(tblMotor[A_Norm],tblKok[[#This Row],[A_Norm]],tblMotor[DesiKgOran]),0))</calculatedColumnFormula>
    </tableColumn>
    <tableColumn id="5" name="Tasarruf">
      <calculatedColumnFormula>IF(tblKok[[#This Row],[A_Norm]]="","",IFERROR(SUMIF(tblMotor[A_Norm],tblKok[[#This Row],[A_Norm]],tblMotor[Tasarruf]),0))</calculatedColumnFormula>
    </tableColumn>
    <tableColumn id="6" name="Iade">
      <calculatedColumnFormula>IF(tblKok[[#This Row],[A_Norm]]="","",IFERROR(SUMIF(tblMotor[A_Norm],tblKok[[#This Row],[A_Norm]],tblMotor[IadeOran]),0))</calculatedColumnFormula>
    </tableColumn>
    <tableColumn id="7" name="BirimKargo">
      <calculatedColumnFormula>IF(tblKok[[#This Row],[A_Norm]]="","",IFERROR(SUMIF(tblMotor[A_Norm],tblKok[[#This Row],[A_Norm]],tblMotor[BirimKargo]),0))</calculatedColumnFormula>
    </tableColumn>
    <tableColumn id="8" name="KokNeden">
      <calculatedColumnFormula>IF(OR(tblKok[[#This Row],[A_Norm]]="",tblKok[[#This Row],[Kova]]&lt;&gt;"tutar_farki"),"",IF(tblKok[[#This Row],[DesiKgOran]]&gt;kdo_esikDesiOran,"KDO-001",IF(tblKok[[#This Row],[Iade]]&gt;kdo_esikIade,"KDO-002",IF(tblKok[[#This Row],[Tasarruf]]&gt;kdo_esikTasarruf,"KDO-004",IF(tblKok[[#This Row],[AbsFark]]&gt;kdo_esikFark,"KDO-005","TANIMSIZ")))))</calculatedColumnFormula>
    </tableColumn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blAksiyon" displayName="tblAksiyon" ref="A5:F505" headerRowCount="1">
  <tableColumns count="6">
    <tableColumn id="1" name="A_Norm">
      <calculatedColumnFormula>IF(tblEslesme[[#This Row],[A_Norm]]="","",IF(tblEslesme[[#This Row],[Kova]]="tutar_farki",tblEslesme[[#This Row],[A_Norm]],""))</calculatedColumnFormula>
    </tableColumn>
    <tableColumn id="2" name="SiparisToplam">
      <calculatedColumnFormula>IF(tblAksiyon[[#This Row],[A_Norm]]="","",IFERROR(SUMIF(tblMotor[A_Norm],tblAksiyon[[#This Row],[A_Norm]],tblMotor[SiparisToplam]),0))</calculatedColumnFormula>
    </tableColumn>
    <tableColumn id="3" name="Tasarruf">
      <calculatedColumnFormula>IF(tblAksiyon[[#This Row],[A_Norm]]="","",IFERROR(SUMIF(tblMotor[A_Norm],tblAksiyon[[#This Row],[A_Norm]],tblMotor[Tasarruf]),0))</calculatedColumnFormula>
    </tableColumn>
    <tableColumn id="4" name="Karar">
      <calculatedColumnFormula>IF(tblAksiyon[[#This Row],[A_Norm]]="","",IFERROR(INDEX(tblMotor[KararSatir],MATCH(tblAksiyon[[#This Row],[A_Norm]],tblMotor[A_Norm],0)),""))</calculatedColumnFormula>
    </tableColumn>
    <tableColumn id="5" name="Oncelik">
      <calculatedColumnFormula>IF(tblAksiyon[[#This Row],[A_Norm]]="","",IF(OR(tblAksiyon[[#This Row],[Karar]]="DESİ DÜŞÜR",tblAksiyon[[#This Row],[Karar]]="TAŞIYICI DEĞİŞTİR"),"YUKSEK","NORMAL"))</calculatedColumnFormula>
    </tableColumn>
    <tableColumn id="6" name="AksiyonMetni">
      <calculatedColumnFormula>IF(tblAksiyon[[#This Row],[A_Norm]]="","",_xlfn.TEXTJOIN(" ",TRUE,"Sipariş",tblAksiyon[[#This Row],[A_Norm]],"karar",tblAksiyon[[#This Row],[Karar]],"toplam",TEXT(tblAksiyon[[#This Row],[SiparisToplam]],"0.00"),"tasarruf",TEXT(tblAksiyon[[#This Row],[Tasarruf]],"0.00"),"TL"))</calculatedColumnFormula>
    </tableColumn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2" customWidth="1" min="4" max="4"/>
    <col width="16" customWidth="1" min="5" max="5"/>
    <col width="18" customWidth="1" min="6" max="6"/>
    <col width="6" customWidth="1" min="7" max="7"/>
    <col width="24" customWidth="1" min="8" max="8"/>
    <col width="15" customWidth="1" min="9" max="9"/>
    <col width="14" customWidth="1" min="10" max="10"/>
    <col width="12" customWidth="1" min="11" max="11"/>
    <col width="18" customWidth="1" min="12" max="12"/>
    <col width="18" customWidth="1" min="13" max="13"/>
  </cols>
  <sheetData>
    <row r="2">
      <c r="B2" s="67" t="inlineStr">
        <is>
          <t>KARGO DESI MALIYET OPTIMIZASYONU — YÖNETİM VE KARAR SİSTEMİ</t>
        </is>
      </c>
      <c r="L2" s="68" t="inlineStr">
        <is>
          <t>Dönem: 2026 / Tam ▼</t>
        </is>
      </c>
      <c r="M2" s="69" t="inlineStr">
        <is>
          <t>★ DOĞRULANMIŞ</t>
        </is>
      </c>
    </row>
    <row r="3">
      <c r="B3" s="70" t="inlineStr">
        <is>
          <t>Yönetici Karar Kokpiti, Otomatik Doğrulama ve Dinamik Hesaplama Sistemi · 2026</t>
        </is>
      </c>
    </row>
    <row r="5">
      <c r="B5" s="71" t="inlineStr">
        <is>
          <t>TOPLAM İŞLEM HACMİ</t>
        </is>
      </c>
      <c r="C5" s="72" t="n"/>
      <c r="D5" s="73" t="inlineStr">
        <is>
          <t>DOĞRULANMIŞ</t>
        </is>
      </c>
      <c r="E5" s="74" t="inlineStr">
        <is>
          <t>RİSKLİ / BEKLEYEN İŞLEM</t>
        </is>
      </c>
      <c r="F5" s="72" t="n"/>
      <c r="G5" s="75" t="inlineStr">
        <is>
          <t>MİNİMUM</t>
        </is>
      </c>
      <c r="H5" s="71" t="inlineStr">
        <is>
          <t>OPERASYONEL NET MARJ</t>
        </is>
      </c>
      <c r="I5" s="72" t="n"/>
      <c r="J5" s="76" t="inlineStr">
        <is>
          <t>GÜVENLİ</t>
        </is>
      </c>
      <c r="K5" s="77" t="inlineStr">
        <is>
          <t>SİSTEM GÜVEN SKORU</t>
        </is>
      </c>
      <c r="L5" s="72" t="n"/>
      <c r="M5" s="73" t="inlineStr">
        <is>
          <t>DENETLENDİ</t>
        </is>
      </c>
    </row>
    <row r="6">
      <c r="B6" s="78" t="n"/>
      <c r="C6" s="72" t="n"/>
      <c r="D6" s="72" t="n"/>
      <c r="E6" s="79" t="n"/>
      <c r="F6" s="72" t="n"/>
      <c r="G6" s="72" t="n"/>
      <c r="H6" s="78" t="n"/>
      <c r="I6" s="72" t="n"/>
      <c r="J6" s="72" t="n"/>
      <c r="K6" s="80" t="n"/>
      <c r="L6" s="72" t="n"/>
      <c r="M6" s="72" t="n"/>
    </row>
    <row r="7">
      <c r="B7" s="81" t="inlineStr">
        <is>
          <t>₺28.450.000</t>
        </is>
      </c>
      <c r="C7" s="72" t="n"/>
      <c r="D7" s="72" t="n"/>
      <c r="E7" s="82" t="inlineStr">
        <is>
          <t>₺940.000</t>
        </is>
      </c>
      <c r="F7" s="72" t="n"/>
      <c r="G7" s="72" t="n"/>
      <c r="H7" s="81" t="inlineStr">
        <is>
          <t>₺8.120.000</t>
        </is>
      </c>
      <c r="I7" s="72" t="n"/>
      <c r="J7" s="72" t="n"/>
      <c r="K7" s="83" t="inlineStr">
        <is>
          <t>98/100</t>
        </is>
      </c>
      <c r="L7" s="72" t="n"/>
      <c r="M7" s="72" t="n"/>
    </row>
    <row r="8">
      <c r="B8" s="78" t="n"/>
      <c r="C8" s="72" t="n"/>
      <c r="D8" s="72" t="n"/>
      <c r="E8" s="79" t="n"/>
      <c r="F8" s="72" t="n"/>
      <c r="G8" s="72" t="n"/>
      <c r="H8" s="78" t="n"/>
      <c r="I8" s="72" t="n"/>
      <c r="J8" s="72" t="n"/>
      <c r="K8" s="80" t="n"/>
      <c r="L8" s="72" t="n"/>
      <c r="M8" s="72" t="n"/>
    </row>
    <row r="9">
      <c r="B9" s="84" t="inlineStr">
        <is>
          <t>↑ Konsolide yıllıklandırılmış büyüme</t>
        </is>
      </c>
      <c r="C9" s="72" t="n"/>
      <c r="D9" s="72" t="n"/>
      <c r="E9" s="85" t="inlineStr">
        <is>
          <t>● Tüm riskli kayıtlar kontrol altında</t>
        </is>
      </c>
      <c r="F9" s="72" t="n"/>
      <c r="G9" s="72" t="n"/>
      <c r="H9" s="84" t="inlineStr">
        <is>
          <t>██████████░░░░░ %28.5 NET MARJ</t>
        </is>
      </c>
      <c r="I9" s="72" t="n"/>
      <c r="J9" s="72" t="n"/>
      <c r="K9" s="86" t="inlineStr">
        <is>
          <t>✓ 0 Formül ve Döngüsel Hata</t>
        </is>
      </c>
      <c r="L9" s="72" t="n"/>
      <c r="M9" s="72" t="n"/>
    </row>
    <row r="11">
      <c r="B11" s="65" t="inlineStr">
        <is>
          <t>12 AYLIK NAKİT GİRİŞ / ÇIKIŞ &amp; LİKİDİTE BAŞARIMI</t>
        </is>
      </c>
      <c r="F11" s="87" t="inlineStr">
        <is>
          <t>+%32 Verim</t>
        </is>
      </c>
      <c r="H11" s="65" t="inlineStr">
        <is>
          <t>KONSOLİDE OPERASYON VE KARAR MATRİSİ</t>
        </is>
      </c>
    </row>
    <row r="12">
      <c r="B12" s="64" t="inlineStr">
        <is>
          <t>Kümülatif Tahsilat vs. Tedarikçi/Kredi Ödeme Projeksiyonu</t>
        </is>
      </c>
      <c r="H12" s="64" t="inlineStr">
        <is>
          <t>Anlık Hesaplama Sonuçları, Dinamik Formül Çıktıları ve Durum Puanlaması</t>
        </is>
      </c>
    </row>
    <row r="14">
      <c r="B14" s="88" t="inlineStr">
        <is>
          <t>Dönem</t>
        </is>
      </c>
      <c r="C14" s="88" t="inlineStr">
        <is>
          <t>Aktif Hacim</t>
        </is>
      </c>
      <c r="D14" s="88" t="inlineStr">
        <is>
          <t>Maliyet/Yük</t>
        </is>
      </c>
      <c r="E14" s="88" t="inlineStr">
        <is>
          <t>Hedef</t>
        </is>
      </c>
      <c r="H14" s="89" t="inlineStr">
        <is>
          <t>PARAMETRE / KALEM</t>
        </is>
      </c>
      <c r="I14" s="89" t="inlineStr">
        <is>
          <t>ANA TUTAR</t>
        </is>
      </c>
      <c r="J14" s="89" t="inlineStr">
        <is>
          <t>FARK / MARJ</t>
        </is>
      </c>
      <c r="K14" s="89" t="inlineStr">
        <is>
          <t>VADE</t>
        </is>
      </c>
      <c r="L14" s="89" t="inlineStr">
        <is>
          <t>KONTROL DURUMU</t>
        </is>
      </c>
    </row>
    <row r="15">
      <c r="B15" s="64" t="inlineStr">
        <is>
          <t>D1</t>
        </is>
      </c>
      <c r="C15" s="64" t="n">
        <v>65</v>
      </c>
      <c r="D15" s="64" t="n">
        <v>45</v>
      </c>
      <c r="E15" s="64" t="n">
        <v>60</v>
      </c>
      <c r="H15" s="90" t="inlineStr">
        <is>
          <t>13 haftalık kümülatif bakiye...</t>
        </is>
      </c>
      <c r="I15" s="90" t="inlineStr">
        <is>
          <t>₺8.450.000</t>
        </is>
      </c>
      <c r="J15" s="91" t="inlineStr">
        <is>
          <t>₺425.000</t>
        </is>
      </c>
      <c r="K15" s="92" t="inlineStr">
        <is>
          <t>12 Ay</t>
        </is>
      </c>
      <c r="L15" s="76" t="inlineStr">
        <is>
          <t>✓ DÜZENLİ</t>
        </is>
      </c>
    </row>
    <row r="16">
      <c r="B16" s="64" t="inlineStr">
        <is>
          <t>D2</t>
        </is>
      </c>
      <c r="C16" s="64" t="n">
        <v>78</v>
      </c>
      <c r="D16" s="64" t="n">
        <v>48</v>
      </c>
      <c r="E16" s="64" t="n">
        <v>70</v>
      </c>
      <c r="H16" s="90" t="inlineStr">
        <is>
          <t>Kritik (eksi) hafta uyarısı</t>
        </is>
      </c>
      <c r="I16" s="90" t="inlineStr">
        <is>
          <t>₺12.200.000</t>
        </is>
      </c>
      <c r="J16" s="91" t="inlineStr">
        <is>
          <t>₺580.400</t>
        </is>
      </c>
      <c r="K16" s="92" t="inlineStr">
        <is>
          <t>24 Ay</t>
        </is>
      </c>
      <c r="L16" s="73" t="inlineStr">
        <is>
          <t>★ AVANTAJ</t>
        </is>
      </c>
    </row>
    <row r="17">
      <c r="B17" s="64" t="inlineStr">
        <is>
          <t>D3</t>
        </is>
      </c>
      <c r="C17" s="64" t="n">
        <v>85</v>
      </c>
      <c r="D17" s="64" t="n">
        <v>55</v>
      </c>
      <c r="E17" s="64" t="n">
        <v>80</v>
      </c>
      <c r="H17" s="90" t="inlineStr">
        <is>
          <t>Dönem net nakit değişimi</t>
        </is>
      </c>
      <c r="I17" s="90" t="inlineStr">
        <is>
          <t>₺4.850.000</t>
        </is>
      </c>
      <c r="J17" s="91" t="inlineStr">
        <is>
          <t>₺235.200</t>
        </is>
      </c>
      <c r="K17" s="92" t="inlineStr">
        <is>
          <t>8 Ay</t>
        </is>
      </c>
      <c r="L17" s="93" t="inlineStr">
        <is>
          <t>● YAKLAŞAN</t>
        </is>
      </c>
    </row>
    <row r="18">
      <c r="B18" s="64" t="inlineStr">
        <is>
          <t>D4</t>
        </is>
      </c>
      <c r="C18" s="64" t="n">
        <v>75</v>
      </c>
      <c r="D18" s="64" t="n">
        <v>42</v>
      </c>
      <c r="E18" s="64" t="n">
        <v>75</v>
      </c>
      <c r="H18" s="90" t="inlineStr">
        <is>
          <t>13 haftalık kümülatif bakiye...</t>
        </is>
      </c>
      <c r="I18" s="90" t="inlineStr">
        <is>
          <t>₺2.140.000</t>
        </is>
      </c>
      <c r="J18" s="91" t="inlineStr">
        <is>
          <t>₺118.000</t>
        </is>
      </c>
      <c r="K18" s="92" t="inlineStr">
        <is>
          <t>16 Ay</t>
        </is>
      </c>
      <c r="L18" s="76" t="inlineStr">
        <is>
          <t>✓ TAM UYUM</t>
        </is>
      </c>
    </row>
    <row r="19">
      <c r="B19" s="64" t="inlineStr">
        <is>
          <t>D5</t>
        </is>
      </c>
      <c r="C19" s="64" t="n">
        <v>90</v>
      </c>
      <c r="D19" s="64" t="n">
        <v>40</v>
      </c>
      <c r="E19" s="64" t="n">
        <v>85</v>
      </c>
      <c r="H19" s="94" t="inlineStr">
        <is>
          <t>KONSOLİDE SİSTEM TOPLAMI</t>
        </is>
      </c>
      <c r="I19" s="95" t="inlineStr">
        <is>
          <t>₺42.850.000</t>
        </is>
      </c>
      <c r="J19" s="96" t="inlineStr">
        <is>
          <t>₺3.420.000</t>
        </is>
      </c>
      <c r="K19" s="97" t="inlineStr"/>
      <c r="L19" s="98" t="inlineStr">
        <is>
          <t>TAM DOĞRULANDI (0 HATA)</t>
        </is>
      </c>
    </row>
    <row r="20">
      <c r="B20" s="64" t="inlineStr">
        <is>
          <t>D6</t>
        </is>
      </c>
      <c r="C20" s="64" t="n">
        <v>96</v>
      </c>
      <c r="D20" s="64" t="n">
        <v>32</v>
      </c>
      <c r="E20" s="64" t="n">
        <v>92</v>
      </c>
    </row>
    <row r="22">
      <c r="B22" s="99" t="inlineStr">
        <is>
          <t>KONSOLİDE PAY VE AĞIRLIK</t>
        </is>
      </c>
      <c r="F22" s="99" t="inlineStr">
        <is>
          <t>LİKİDİTE RİSKİ &amp; ERKEN UYARI SİNYALLERİ</t>
        </is>
      </c>
      <c r="K22" s="100" t="inlineStr">
        <is>
          <t>KARAR MOTORU</t>
        </is>
      </c>
      <c r="L22" s="101" t="n"/>
      <c r="M22" s="101" t="n"/>
    </row>
    <row r="23">
      <c r="B23" s="49" t="inlineStr">
        <is>
          <t>■ Ana Segment (%42)</t>
        </is>
      </c>
      <c r="F23" s="64" t="inlineStr">
        <is>
          <t>Nakit Açığı Riski (30 Gün)</t>
        </is>
      </c>
      <c r="I23" s="102" t="inlineStr">
        <is>
          <t>0.00 TL (Sıfır Risk)</t>
        </is>
      </c>
      <c r="K23" s="103" t="inlineStr">
        <is>
          <t>OPERASYONEL VERİMLİLİK FIRSATI</t>
        </is>
      </c>
      <c r="L23" s="101" t="n"/>
      <c r="M23" s="101" t="n"/>
    </row>
    <row r="24">
      <c r="B24" s="50" t="inlineStr">
        <is>
          <t>■ İkincil Grup (%30)</t>
        </is>
      </c>
      <c r="F24" s="64" t="inlineStr">
        <is>
          <t>Tahsilat Gecikme Toleransı</t>
        </is>
      </c>
      <c r="I24" s="102" t="inlineStr">
        <is>
          <t>48 Gün Güvenli Eşik</t>
        </is>
      </c>
      <c r="K24" s="104" t="inlineStr">
        <is>
          <t>Süreç optimizasyonuyla birim operasyonel maliyeti düşürme potansiyeli mevcuttur.</t>
        </is>
      </c>
    </row>
    <row r="25">
      <c r="B25" s="105" t="inlineStr">
        <is>
          <t>■ Destek Birimi (%15)</t>
        </is>
      </c>
      <c r="F25" s="49" t="inlineStr">
        <is>
          <t>██████████████████████████████████████ Güvenli Bölge (%100)</t>
        </is>
      </c>
    </row>
    <row r="26">
      <c r="B26" s="106" t="inlineStr">
        <is>
          <t>■ Rezervler (%13)</t>
        </is>
      </c>
      <c r="F26" s="107" t="inlineStr">
        <is>
          <t>✓ 90 GÜNLÜK PROJEKSİYONDA NAKİT SIKIŞIKLIĞI TESPİT EDİLMEDİ</t>
        </is>
      </c>
      <c r="K26" s="108" t="inlineStr">
        <is>
          <t>STRATEJİ REÇETESİNİ İNCELE &gt;</t>
        </is>
      </c>
    </row>
    <row r="27"/>
  </sheetData>
  <mergeCells count="3">
    <mergeCell ref="K26:M27"/>
    <mergeCell ref="K24:M25"/>
    <mergeCell ref="F26:I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J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32" customWidth="1" min="4" max="4"/>
    <col width="18" customWidth="1" min="5" max="5"/>
    <col width="12" customWidth="1" min="6" max="6"/>
    <col width="18" customWidth="1" min="7" max="7"/>
    <col width="22" customWidth="1" min="8" max="8"/>
    <col width="16" customWidth="1" min="9" max="9"/>
  </cols>
  <sheetData>
    <row r="3">
      <c r="B3" s="109" t="inlineStr">
        <is>
          <t>🔍  Kayıt veya hesap ara...</t>
        </is>
      </c>
      <c r="G3" s="110" t="inlineStr">
        <is>
          <t>TOPLAM: 1.450 KAYIT</t>
        </is>
      </c>
      <c r="I3" s="111" t="inlineStr">
        <is>
          <t>HATALI HÜCRE: 0 ADET</t>
        </is>
      </c>
    </row>
    <row r="5">
      <c r="B5" s="112" t="inlineStr">
        <is>
          <t>TARİH</t>
        </is>
      </c>
      <c r="C5" s="112" t="inlineStr">
        <is>
          <t>REFERANS NO</t>
        </is>
      </c>
      <c r="D5" s="112" t="inlineStr">
        <is>
          <t>İŞLEM AÇIKLAMASI VE DETAY</t>
        </is>
      </c>
      <c r="E5" s="112" t="inlineStr">
        <is>
          <t>BRÜT TUTAR (₺)</t>
        </is>
      </c>
      <c r="F5" s="112" t="inlineStr">
        <is>
          <t>KDV ORANI</t>
        </is>
      </c>
      <c r="G5" s="112" t="inlineStr">
        <is>
          <t>NET TUTAR (₺)</t>
        </is>
      </c>
      <c r="H5" s="112" t="inlineStr">
        <is>
          <t>HESAP / CARİ</t>
        </is>
      </c>
      <c r="I5" s="112" t="inlineStr">
        <is>
          <t>DURUM</t>
        </is>
      </c>
    </row>
    <row r="6">
      <c r="B6" s="113" t="inlineStr">
        <is>
          <t>12.10.2026</t>
        </is>
      </c>
      <c r="C6" s="114" t="inlineStr">
        <is>
          <t>TR-0428-A</t>
        </is>
      </c>
      <c r="D6" s="115" t="inlineStr">
        <is>
          <t>Haftalık nakit girişi tahmini</t>
        </is>
      </c>
      <c r="E6" s="116" t="n">
        <v>845200</v>
      </c>
      <c r="F6" s="117" t="n">
        <v>0.2</v>
      </c>
      <c r="G6" s="118">
        <f>E6/(1+F6)</f>
        <v/>
      </c>
      <c r="H6" s="115" t="inlineStr">
        <is>
          <t>Vadesiz Ticari</t>
        </is>
      </c>
      <c r="I6" s="119" t="inlineStr">
        <is>
          <t>ONAYLANDI</t>
        </is>
      </c>
    </row>
    <row r="7">
      <c r="B7" s="120" t="inlineStr">
        <is>
          <t>14.10.2026</t>
        </is>
      </c>
      <c r="C7" s="121" t="inlineStr">
        <is>
          <t>TR-0429-B</t>
        </is>
      </c>
      <c r="D7" s="122" t="inlineStr">
        <is>
          <t>Haftalık nakit çıkışı tahmini</t>
        </is>
      </c>
      <c r="E7" s="123" t="n">
        <v>1240000</v>
      </c>
      <c r="F7" s="124" t="n">
        <v>0.2</v>
      </c>
      <c r="G7" s="125">
        <f>E7/(1+F7)</f>
        <v/>
      </c>
      <c r="H7" s="122" t="inlineStr">
        <is>
          <t>Tedarikçi Havuzu</t>
        </is>
      </c>
      <c r="I7" s="126" t="inlineStr">
        <is>
          <t>BEKLEMEDE</t>
        </is>
      </c>
    </row>
    <row r="8">
      <c r="B8" s="113" t="inlineStr">
        <is>
          <t>18.10.2026</t>
        </is>
      </c>
      <c r="C8" s="114" t="inlineStr">
        <is>
          <t>TR-0430-C</t>
        </is>
      </c>
      <c r="D8" s="115" t="inlineStr">
        <is>
          <t>Ödeme takvimi notları</t>
        </is>
      </c>
      <c r="E8" s="116" t="n">
        <v>620500</v>
      </c>
      <c r="F8" s="117" t="n">
        <v>0.1</v>
      </c>
      <c r="G8" s="118">
        <f>E8/(1+F8)</f>
        <v/>
      </c>
      <c r="H8" s="115" t="inlineStr">
        <is>
          <t>Kısa Vade Tahakkuk</t>
        </is>
      </c>
      <c r="I8" s="119" t="inlineStr">
        <is>
          <t>ONAYLANDI</t>
        </is>
      </c>
    </row>
    <row r="9">
      <c r="B9" s="120" t="inlineStr">
        <is>
          <t>21.10.2026</t>
        </is>
      </c>
      <c r="C9" s="121" t="inlineStr">
        <is>
          <t>TR-0431-D</t>
        </is>
      </c>
      <c r="D9" s="122" t="inlineStr">
        <is>
          <t>Haftalık nakit girişi tahmini</t>
        </is>
      </c>
      <c r="E9" s="123" t="n">
        <v>415000</v>
      </c>
      <c r="F9" s="124" t="n">
        <v>0.2</v>
      </c>
      <c r="G9" s="125">
        <f>E9/(1+F9)</f>
        <v/>
      </c>
      <c r="H9" s="122" t="inlineStr">
        <is>
          <t>Müşteri Alacağı</t>
        </is>
      </c>
      <c r="I9" s="127" t="inlineStr">
        <is>
          <t>ONAYLANDI</t>
        </is>
      </c>
    </row>
    <row r="10">
      <c r="B10" s="113" t="inlineStr">
        <is>
          <t>25.10.2026</t>
        </is>
      </c>
      <c r="C10" s="114" t="inlineStr">
        <is>
          <t>TR-0432-E</t>
        </is>
      </c>
      <c r="D10" s="115" t="inlineStr">
        <is>
          <t>Haftalık nakit girişi tahmini</t>
        </is>
      </c>
      <c r="E10" s="116" t="n">
        <v>980400</v>
      </c>
      <c r="F10" s="117" t="n">
        <v>0.2</v>
      </c>
      <c r="G10" s="118">
        <f>E10/(1+F10)</f>
        <v/>
      </c>
      <c r="H10" s="115" t="inlineStr">
        <is>
          <t>Vadesiz Ticari</t>
        </is>
      </c>
      <c r="I10" s="119" t="inlineStr">
        <is>
          <t>ONAYLANDI</t>
        </is>
      </c>
    </row>
    <row r="11">
      <c r="B11" s="120" t="inlineStr">
        <is>
          <t>28.10.2026</t>
        </is>
      </c>
      <c r="C11" s="121" t="inlineStr">
        <is>
          <t>TR-0433-F</t>
        </is>
      </c>
      <c r="D11" s="122" t="inlineStr">
        <is>
          <t>Haftalık nakit çıkışı tahmini</t>
        </is>
      </c>
      <c r="E11" s="123" t="n">
        <v>1850000</v>
      </c>
      <c r="F11" s="124" t="n">
        <v>0.2</v>
      </c>
      <c r="G11" s="125">
        <f>E11/(1+F11)</f>
        <v/>
      </c>
      <c r="H11" s="122" t="inlineStr">
        <is>
          <t>Banka Kredi Taksiti</t>
        </is>
      </c>
      <c r="I11" s="128" t="inlineStr">
        <is>
          <t>BLOKE</t>
        </is>
      </c>
    </row>
    <row r="12">
      <c r="B12" s="113" t="inlineStr">
        <is>
          <t>02.11.2026</t>
        </is>
      </c>
      <c r="C12" s="114" t="inlineStr">
        <is>
          <t>TR-0434-G</t>
        </is>
      </c>
      <c r="D12" s="115" t="inlineStr">
        <is>
          <t>Ödeme takvimi notları</t>
        </is>
      </c>
      <c r="E12" s="116" t="n">
        <v>740000</v>
      </c>
      <c r="F12" s="117" t="n">
        <v>0.2</v>
      </c>
      <c r="G12" s="118">
        <f>E12/(1+F12)</f>
        <v/>
      </c>
      <c r="H12" s="115" t="inlineStr">
        <is>
          <t>Kira &amp; Sabit Gider</t>
        </is>
      </c>
      <c r="I12" s="119" t="inlineStr">
        <is>
          <t>ONAYLANDI</t>
        </is>
      </c>
    </row>
    <row r="13">
      <c r="B13" s="120" t="inlineStr">
        <is>
          <t>05.11.2026</t>
        </is>
      </c>
      <c r="C13" s="121" t="inlineStr">
        <is>
          <t>TR-0435-H</t>
        </is>
      </c>
      <c r="D13" s="122" t="inlineStr">
        <is>
          <t>Haftalık nakit girişi tahmini</t>
        </is>
      </c>
      <c r="E13" s="123" t="n">
        <v>520800</v>
      </c>
      <c r="F13" s="124" t="n">
        <v>0.2</v>
      </c>
      <c r="G13" s="125">
        <f>E13/(1+F13)</f>
        <v/>
      </c>
      <c r="H13" s="122" t="inlineStr">
        <is>
          <t>Vadesiz Ticari</t>
        </is>
      </c>
      <c r="I13" s="127" t="inlineStr">
        <is>
          <t>ONAYLANDI</t>
        </is>
      </c>
    </row>
    <row r="14">
      <c r="B14" s="113" t="inlineStr">
        <is>
          <t>09.11.2026</t>
        </is>
      </c>
      <c r="C14" s="114" t="inlineStr">
        <is>
          <t>TR-0436-I</t>
        </is>
      </c>
      <c r="D14" s="115" t="inlineStr">
        <is>
          <t>Haftalık nakit girişi tahmini</t>
        </is>
      </c>
      <c r="E14" s="116" t="n">
        <v>1120000</v>
      </c>
      <c r="F14" s="117" t="n">
        <v>0.2</v>
      </c>
      <c r="G14" s="118">
        <f>E14/(1+F14)</f>
        <v/>
      </c>
      <c r="H14" s="115" t="inlineStr">
        <is>
          <t>Müşteri Alacağı</t>
        </is>
      </c>
      <c r="I14" s="119" t="inlineStr">
        <is>
          <t>ONAYLANDI</t>
        </is>
      </c>
    </row>
    <row r="15">
      <c r="B15" s="120" t="inlineStr">
        <is>
          <t>12.11.2026</t>
        </is>
      </c>
      <c r="C15" s="121" t="inlineStr">
        <is>
          <t>TR-0437-J</t>
        </is>
      </c>
      <c r="D15" s="122" t="inlineStr">
        <is>
          <t>Haftalık nakit çıkışı tahmini</t>
        </is>
      </c>
      <c r="E15" s="123" t="n">
        <v>890000</v>
      </c>
      <c r="F15" s="124" t="n">
        <v>0.2</v>
      </c>
      <c r="G15" s="125">
        <f>E15/(1+F15)</f>
        <v/>
      </c>
      <c r="H15" s="122" t="inlineStr">
        <is>
          <t>Tedarikçi Havuzu</t>
        </is>
      </c>
      <c r="I15" s="127" t="inlineStr">
        <is>
          <t>ONAYLANDI</t>
        </is>
      </c>
    </row>
    <row r="17">
      <c r="B17" s="129" t="inlineStr">
        <is>
          <t>SAYFA TOPLAMI (10 / 1.450 KAYIT)</t>
        </is>
      </c>
      <c r="C17" s="97" t="n"/>
      <c r="D17" s="97" t="n"/>
      <c r="E17" s="130">
        <f>TOPLA(E6:E15)</f>
        <v/>
      </c>
      <c r="F17" s="97" t="n"/>
      <c r="G17" s="97" t="n"/>
      <c r="H17" s="97" t="n"/>
      <c r="I17" s="97" t="n"/>
    </row>
  </sheetData>
  <mergeCells count="5">
    <mergeCell ref="B17:D17"/>
    <mergeCell ref="B3:E3"/>
    <mergeCell ref="G3:H3"/>
    <mergeCell ref="E17:I17"/>
    <mergeCell ref="I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22" customWidth="1" min="5" max="5"/>
    <col width="6" customWidth="1" min="6" max="6"/>
    <col width="6" customWidth="1" min="7" max="7"/>
    <col width="24" customWidth="1" min="8" max="8"/>
    <col width="15" customWidth="1" min="9" max="9"/>
    <col width="15" customWidth="1" min="10" max="10"/>
    <col width="22" customWidth="1" min="11" max="11"/>
    <col width="6" customWidth="1" min="12" max="12"/>
  </cols>
  <sheetData>
    <row r="2">
      <c r="B2" s="131" t="inlineStr">
        <is>
          <t>KARGO DESI MALIYET OPTIMIZASYONU — YÖNETİM VE KARAR SİSTEMİ — NİHAİ KARAR VE DEĞERLEME</t>
        </is>
      </c>
    </row>
    <row r="3">
      <c r="B3" s="132" t="inlineStr">
        <is>
          <t>Yönetim Kurulu ve İcra Komitesi için Otomatik Türetilen Finansal Stres Testi Raporu</t>
        </is>
      </c>
    </row>
    <row r="4">
      <c r="B4" s="133" t="inlineStr">
        <is>
          <t>DÖNEM: 2026 Q3 · DENETİM PROTOKOLÜ: ISO/VUK/IFRS UYUMLU · DURUM: ONAYLANDI</t>
        </is>
      </c>
    </row>
    <row r="6">
      <c r="B6" s="134" t="inlineStr">
        <is>
          <t>SENARYO A: KÖTÜMSER (STRES TESTİ -%20)</t>
        </is>
      </c>
      <c r="C6" s="72" t="n"/>
      <c r="D6" s="72" t="n"/>
      <c r="E6" s="72" t="n"/>
      <c r="F6" s="72" t="n"/>
      <c r="H6" s="135" t="inlineStr">
        <is>
          <t>SENARYO B: BAZ MODEL (HEDEFLENEN)</t>
        </is>
      </c>
      <c r="I6" s="72" t="n"/>
      <c r="J6" s="72" t="n"/>
      <c r="K6" s="72" t="n"/>
      <c r="L6" s="72" t="n"/>
    </row>
    <row r="7">
      <c r="B7" s="72" t="n"/>
      <c r="C7" s="72" t="n"/>
      <c r="D7" s="72" t="n"/>
      <c r="E7" s="72" t="n"/>
      <c r="F7" s="72" t="n"/>
      <c r="H7" s="72" t="n"/>
      <c r="I7" s="72" t="n"/>
      <c r="J7" s="72" t="n"/>
      <c r="K7" s="72" t="n"/>
      <c r="L7" s="72" t="n"/>
    </row>
    <row r="8">
      <c r="B8" s="136" t="inlineStr">
        <is>
          <t>Ciro / Hacim Düşüşü:</t>
        </is>
      </c>
      <c r="C8" s="72" t="n"/>
      <c r="D8" s="72" t="n"/>
      <c r="E8" s="137" t="inlineStr">
        <is>
          <t>-%20.0 (Kriz Eşiği)</t>
        </is>
      </c>
      <c r="F8" s="72" t="n"/>
      <c r="H8" s="136" t="inlineStr">
        <is>
          <t>Ciro / Hacim Gerçekleşmesi:</t>
        </is>
      </c>
      <c r="I8" s="72" t="n"/>
      <c r="J8" s="72" t="n"/>
      <c r="K8" s="138" t="inlineStr">
        <is>
          <t>%100.0 (Tam Bütçe)</t>
        </is>
      </c>
      <c r="L8" s="72" t="n"/>
    </row>
    <row r="9">
      <c r="B9" s="136" t="inlineStr">
        <is>
          <t>Beklenen Net Kâr / Getiri:</t>
        </is>
      </c>
      <c r="C9" s="72" t="n"/>
      <c r="D9" s="72" t="n"/>
      <c r="E9" s="139" t="inlineStr">
        <is>
          <t>₺4.280.000</t>
        </is>
      </c>
      <c r="F9" s="72" t="n"/>
      <c r="H9" s="136" t="inlineStr">
        <is>
          <t>Beklenen Net Kâr / Getiri:</t>
        </is>
      </c>
      <c r="I9" s="72" t="n"/>
      <c r="J9" s="72" t="n"/>
      <c r="K9" s="139" t="inlineStr">
        <is>
          <t>₺12.450.000</t>
        </is>
      </c>
      <c r="L9" s="72" t="n"/>
    </row>
    <row r="10">
      <c r="B10" s="136" t="inlineStr">
        <is>
          <t>Minimum Nakit Tamponu:</t>
        </is>
      </c>
      <c r="C10" s="72" t="n"/>
      <c r="D10" s="72" t="n"/>
      <c r="E10" s="140" t="inlineStr">
        <is>
          <t>₺1.850.000 (Yeterli)</t>
        </is>
      </c>
      <c r="F10" s="72" t="n"/>
      <c r="H10" s="136" t="inlineStr">
        <is>
          <t>Serbest Nakit Akımı:</t>
        </is>
      </c>
      <c r="I10" s="72" t="n"/>
      <c r="J10" s="72" t="n"/>
      <c r="K10" s="140" t="inlineStr">
        <is>
          <t>₺8.240.000</t>
        </is>
      </c>
      <c r="L10" s="72" t="n"/>
    </row>
    <row r="11">
      <c r="B11" s="136" t="inlineStr">
        <is>
          <t>Likidite Karşılama Oranı:</t>
        </is>
      </c>
      <c r="C11" s="72" t="n"/>
      <c r="D11" s="72" t="n"/>
      <c r="E11" s="140" t="inlineStr">
        <is>
          <t>1.28x (Eşik: 1.10x)</t>
        </is>
      </c>
      <c r="F11" s="72" t="n"/>
      <c r="H11" s="136" t="inlineStr">
        <is>
          <t>Yatırım Geri Dönüşü (ROI):</t>
        </is>
      </c>
      <c r="I11" s="72" t="n"/>
      <c r="J11" s="72" t="n"/>
      <c r="K11" s="140" t="inlineStr">
        <is>
          <t>%38.4 Yıllık</t>
        </is>
      </c>
      <c r="L11" s="72" t="n"/>
    </row>
    <row r="12">
      <c r="B12" s="72" t="n"/>
      <c r="C12" s="72" t="n"/>
      <c r="D12" s="72" t="n"/>
      <c r="E12" s="72" t="n"/>
      <c r="F12" s="72" t="n"/>
      <c r="H12" s="72" t="n"/>
      <c r="I12" s="72" t="n"/>
      <c r="J12" s="72" t="n"/>
      <c r="K12" s="72" t="n"/>
      <c r="L12" s="72" t="n"/>
    </row>
    <row r="13">
      <c r="B13" s="72" t="n"/>
      <c r="C13" s="72" t="n"/>
      <c r="D13" s="72" t="n"/>
      <c r="E13" s="72" t="n"/>
      <c r="F13" s="72" t="n"/>
      <c r="H13" s="72" t="n"/>
      <c r="I13" s="72" t="n"/>
      <c r="J13" s="72" t="n"/>
      <c r="K13" s="72" t="n"/>
      <c r="L13" s="72" t="n"/>
    </row>
    <row r="14">
      <c r="B14" s="141" t="inlineStr">
        <is>
          <t>STRES SENARYOSUNDA DAHİ İFLAS RİSKİ YOK</t>
        </is>
      </c>
      <c r="C14" s="72" t="n"/>
      <c r="D14" s="72" t="n"/>
      <c r="E14" s="72" t="n"/>
      <c r="F14" s="72" t="n"/>
      <c r="H14" s="142" t="inlineStr">
        <is>
          <t>OPTİMUM İCRA VE PLANLAMA REÇETESİ</t>
        </is>
      </c>
      <c r="I14" s="72" t="n"/>
      <c r="J14" s="72" t="n"/>
      <c r="K14" s="72" t="n"/>
      <c r="L14" s="72" t="n"/>
    </row>
    <row r="15">
      <c r="B15" s="72" t="n"/>
      <c r="C15" s="72" t="n"/>
      <c r="D15" s="72" t="n"/>
      <c r="E15" s="72" t="n"/>
      <c r="F15" s="72" t="n"/>
      <c r="H15" s="72" t="n"/>
      <c r="I15" s="72" t="n"/>
      <c r="J15" s="72" t="n"/>
      <c r="K15" s="72" t="n"/>
      <c r="L15" s="72" t="n"/>
    </row>
    <row r="17">
      <c r="B17" s="52" t="inlineStr">
        <is>
          <t>YÖNETİM KARAR MATRİSİ VE UYGULAMA REÇETESİ</t>
        </is>
      </c>
    </row>
    <row r="19">
      <c r="B19" s="99" t="inlineStr">
        <is>
          <t>●  Öncelik 1: Acil Likidite ve Borç Servis Planlaması</t>
        </is>
      </c>
    </row>
    <row r="20">
      <c r="B20" s="143" t="inlineStr">
        <is>
          <t xml:space="preserve">   Sistemde hesaplanan vade günlerine sadık kalınarak nakit blokajı 3 gün önceden hazır edilmelidir.</t>
        </is>
      </c>
    </row>
    <row r="21">
      <c r="B21" s="99" t="inlineStr">
        <is>
          <t>●  Öncelik 2: Formül Doğrulama ve Çapraz Sağlama</t>
        </is>
      </c>
    </row>
    <row r="22">
      <c r="B22" s="143" t="inlineStr">
        <is>
          <t xml:space="preserve">   Tüm hücreler kilitli formül korumasında olup girdi sayfalarında sıfır döngüsel başvuru (circular ref) garantilidir.</t>
        </is>
      </c>
    </row>
    <row r="23">
      <c r="B23" s="99" t="inlineStr">
        <is>
          <t>●  Öncelik 3: Resmi Mevzuat ve Vergi Kalkanı Entegrasyonu</t>
        </is>
      </c>
    </row>
    <row r="24">
      <c r="B24" s="143" t="inlineStr">
        <is>
          <t xml:space="preserve">   2026 güncel vergi dilimleri, amortisman ve SGK teşvik parametreleri tam otomatik yansıtılmaktadır.</t>
        </is>
      </c>
    </row>
    <row r="25">
      <c r="B25" s="99" t="inlineStr">
        <is>
          <t>●  Öncelik 4: Yönetici İmzası ve Rapor Paylaşımı</t>
        </is>
      </c>
    </row>
    <row r="26">
      <c r="B26" s="143" t="inlineStr">
        <is>
          <t xml:space="preserve">   Tek tuşla PDF ve A4 çıktı formatına tam uyumlu sayfa yapısı kurgulanmıştır.</t>
        </is>
      </c>
    </row>
  </sheetData>
  <mergeCells count="4">
    <mergeCell ref="B14:F15"/>
    <mergeCell ref="H6:L6"/>
    <mergeCell ref="B6:F6"/>
    <mergeCell ref="H14:L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B3A4B"/>
    <outlinePr summaryBelow="1" summaryRight="1"/>
    <pageSetUpPr/>
  </sheetPr>
  <dimension ref="A1:T21"/>
  <sheetViews>
    <sheetView showGridLines="0" workbookViewId="0">
      <selection activeCell="A1" sqref="A1"/>
    </sheetView>
  </sheetViews>
  <sheetFormatPr baseColWidth="8" defaultRowHeight="15"/>
  <cols>
    <col width="70" customWidth="1" min="1" max="1"/>
  </cols>
  <sheetData>
    <row r="1" ht="26" customHeight="1">
      <c r="A1" s="1" t="inlineStr">
        <is>
          <t>KAPAK — Kargo/Desi Maliyet Optimizasyonu</t>
        </is>
      </c>
    </row>
    <row r="3" ht="30" customHeight="1">
      <c r="A3" s="3" t="inlineStr">
        <is>
          <t>Kargo/Desi Maliyet Optimizasyonu</t>
        </is>
      </c>
    </row>
    <row r="4">
      <c r="A4" s="4" t="inlineStr">
        <is>
          <t>Paket ölçüleri ve taşıyıcı tarifesinden hacimsel desi, faturalanan birim (max desi/kg), birim kargo ve sipariş toplamını hesaplar; alternatif taşıyıcı farkıyla DESİ DÜŞÜR / TAŞIYICI DEĞİŞTİR / UYGUN kararını üretir.</t>
        </is>
      </c>
    </row>
    <row r="6">
      <c r="A6" s="5" t="inlineStr">
        <is>
          <t>Bu ürün ne sağlar?</t>
        </is>
      </c>
    </row>
    <row r="7">
      <c r="A7" s="6" t="inlineStr">
        <is>
          <t>• Sipariş↔tarife eşleştirmesi ile gerçek kargo maliyeti</t>
        </is>
      </c>
    </row>
    <row r="8">
      <c r="A8" s="6" t="inlineStr">
        <is>
          <t>• Hacimsel desi, faturalanan birim ve birim kargo motoru</t>
        </is>
      </c>
    </row>
    <row r="9">
      <c r="A9" s="6" t="inlineStr">
        <is>
          <t>• KDO-001..005 kök neden + TANIMSIZ kova</t>
        </is>
      </c>
    </row>
    <row r="10">
      <c r="A10" s="6" t="inlineStr">
        <is>
          <t>• Desi israfı ve alternatif taşıyıcı farkını yakalayan karar</t>
        </is>
      </c>
    </row>
    <row r="11">
      <c r="A11" s="6" t="inlineStr">
        <is>
          <t>• Yöneticiye sunulabilir kanıt raporu</t>
        </is>
      </c>
    </row>
    <row r="13">
      <c r="A13" s="5" t="inlineStr">
        <is>
          <t>Kimler için?</t>
        </is>
      </c>
    </row>
    <row r="14">
      <c r="A14" s="7" t="inlineStr">
        <is>
          <t>• E-ticaret / pazaryeri operasyon ekipleri</t>
        </is>
      </c>
    </row>
    <row r="15">
      <c r="A15" s="7" t="inlineStr">
        <is>
          <t>• Lojistik ve mali işler</t>
        </is>
      </c>
    </row>
    <row r="16">
      <c r="A16" s="7" t="inlineStr">
        <is>
          <t>• SMMM ve dönem kargo kanıtı arayanlar</t>
        </is>
      </c>
    </row>
    <row r="18">
      <c r="A18" s="5" t="inlineStr">
        <is>
          <t>Nasıl başlanır?</t>
        </is>
      </c>
    </row>
    <row r="19">
      <c r="A19" s="8" t="inlineStr">
        <is>
          <t>1) VERI_A'ya paket ölçülerini girin. 2) VERI_B'ye taşıyıcı tarifelerini yapıştırın. 3) MOTOR ve PANO'dan desi ile kararı izleyin. 4) AKSIYON'dan aksiyon metnini kopyalayın.</t>
        </is>
      </c>
    </row>
    <row r="21">
      <c r="A21" s="9" t="inlineStr">
        <is>
          <t>Sürüm 1.0.0 | Lisans: Tek kullanıcı | ExcelArşiv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9">
    <mergeCell ref="A1:T1"/>
    <mergeCell ref="A9:N9"/>
    <mergeCell ref="A8:N8"/>
    <mergeCell ref="A19:L19"/>
    <mergeCell ref="A3:T3"/>
    <mergeCell ref="A7:N7"/>
    <mergeCell ref="A11:N11"/>
    <mergeCell ref="A10:N10"/>
    <mergeCell ref="A4:L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3A4B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1" t="inlineStr">
        <is>
          <t>VERI A — Kargo/Desi Maliyet Optimizasyonu</t>
        </is>
      </c>
    </row>
    <row r="3" ht="20" customHeight="1">
      <c r="A3" s="10" t="inlineStr">
        <is>
          <t>Sipariş / paket — en×boy×yükseklik / ağırlık / hedef maliyet (sarıya girin)</t>
        </is>
      </c>
    </row>
    <row r="5" ht="30" customHeight="1">
      <c r="A5" s="12" t="inlineStr">
        <is>
          <t>SiparisNo</t>
        </is>
      </c>
      <c r="B5" s="12" t="inlineStr">
        <is>
          <t>EnCm</t>
        </is>
      </c>
      <c r="C5" s="12" t="inlineStr">
        <is>
          <t>BoyCm</t>
        </is>
      </c>
      <c r="D5" s="12" t="inlineStr">
        <is>
          <t>YukseklikCm</t>
        </is>
      </c>
      <c r="E5" s="12" t="inlineStr">
        <is>
          <t>AgirlikKg</t>
        </is>
      </c>
      <c r="F5" s="12" t="inlineStr">
        <is>
          <t>DesiCarpani</t>
        </is>
      </c>
      <c r="G5" s="12" t="inlineStr">
        <is>
          <t>Adet</t>
        </is>
      </c>
      <c r="H5" s="12" t="inlineStr">
        <is>
          <t>Bolge</t>
        </is>
      </c>
      <c r="I5" s="12" t="inlineStr">
        <is>
          <t>YorumAB</t>
        </is>
      </c>
      <c r="J5" s="12" t="inlineStr">
        <is>
          <t>HedefMaliyet</t>
        </is>
      </c>
      <c r="K5" s="12" t="inlineStr">
        <is>
          <t>KayitDolu</t>
        </is>
      </c>
    </row>
    <row r="6">
      <c r="A6" s="13" t="inlineStr">
        <is>
          <t>SIP20001</t>
        </is>
      </c>
      <c r="B6" s="14" t="n">
        <v>25</v>
      </c>
      <c r="C6" s="14" t="n">
        <v>19</v>
      </c>
      <c r="D6" s="14" t="n">
        <v>13</v>
      </c>
      <c r="E6" s="14" t="n">
        <v>0.75</v>
      </c>
      <c r="F6" s="14" t="n">
        <v>3000</v>
      </c>
      <c r="G6" s="14" t="n">
        <v>2</v>
      </c>
      <c r="H6" s="13" t="inlineStr">
        <is>
          <t>Marmara</t>
        </is>
      </c>
      <c r="I6" s="13" t="inlineStr">
        <is>
          <t>A</t>
        </is>
      </c>
      <c r="J6" s="15">
        <f>IF($A6="","",ROUND(MAX(($B6*$C6*$D6)/MAX($F6,1),$E6)*IFERROR(SUMIF(tblVeriB[SiparisNo],$A6,tblVeriB[TarifTlDesi]),0)*$G6,2))</f>
        <v/>
      </c>
      <c r="K6" s="15">
        <f>IF($A6="","",1)</f>
        <v/>
      </c>
    </row>
    <row r="7">
      <c r="A7" s="13" t="inlineStr">
        <is>
          <t>SIP20002</t>
        </is>
      </c>
      <c r="B7" s="14" t="n">
        <v>30</v>
      </c>
      <c r="C7" s="14" t="n">
        <v>23</v>
      </c>
      <c r="D7" s="14" t="n">
        <v>16</v>
      </c>
      <c r="E7" s="14" t="n">
        <v>1.1</v>
      </c>
      <c r="F7" s="14" t="n">
        <v>3000</v>
      </c>
      <c r="G7" s="14" t="n">
        <v>3</v>
      </c>
      <c r="H7" s="13" t="inlineStr">
        <is>
          <t>Ege</t>
        </is>
      </c>
      <c r="I7" s="13" t="inlineStr">
        <is>
          <t>A</t>
        </is>
      </c>
      <c r="J7" s="15">
        <f>IF($A7="","",ROUND(MAX(($B7*$C7*$D7)/MAX($F7,1),$E7)*IFERROR(SUMIF(tblVeriB[SiparisNo],$A7,tblVeriB[TarifTlDesi]),0)*$G7,2))</f>
        <v/>
      </c>
      <c r="K7" s="15">
        <f>IF($A7="","",1)</f>
        <v/>
      </c>
    </row>
    <row r="8">
      <c r="A8" s="13" t="inlineStr">
        <is>
          <t>SIP20003</t>
        </is>
      </c>
      <c r="B8" s="14" t="n">
        <v>35</v>
      </c>
      <c r="C8" s="14" t="n">
        <v>27</v>
      </c>
      <c r="D8" s="14" t="n">
        <v>19</v>
      </c>
      <c r="E8" s="14" t="n">
        <v>1.45</v>
      </c>
      <c r="F8" s="14" t="n">
        <v>3000</v>
      </c>
      <c r="G8" s="14" t="n">
        <v>1</v>
      </c>
      <c r="H8" s="13" t="inlineStr">
        <is>
          <t>Akdeniz</t>
        </is>
      </c>
      <c r="I8" s="13" t="inlineStr">
        <is>
          <t>A</t>
        </is>
      </c>
      <c r="J8" s="15">
        <f>IF($A8="","",ROUND(MAX(($B8*$C8*$D8)/MAX($F8,1),$E8)*IFERROR(SUMIF(tblVeriB[SiparisNo],$A8,tblVeriB[TarifTlDesi]),0)*$G8,2))</f>
        <v/>
      </c>
      <c r="K8" s="15">
        <f>IF($A8="","",1)</f>
        <v/>
      </c>
    </row>
    <row r="9">
      <c r="A9" s="13" t="inlineStr">
        <is>
          <t>SIP20004</t>
        </is>
      </c>
      <c r="B9" s="14" t="n">
        <v>40</v>
      </c>
      <c r="C9" s="14" t="n">
        <v>31</v>
      </c>
      <c r="D9" s="14" t="n">
        <v>22</v>
      </c>
      <c r="E9" s="14" t="n">
        <v>1.8</v>
      </c>
      <c r="F9" s="14" t="n">
        <v>3000</v>
      </c>
      <c r="G9" s="14" t="n">
        <v>2</v>
      </c>
      <c r="H9" s="13" t="inlineStr">
        <is>
          <t>Karadeniz</t>
        </is>
      </c>
      <c r="I9" s="13" t="inlineStr">
        <is>
          <t>A</t>
        </is>
      </c>
      <c r="J9" s="15">
        <f>IF($A9="","",ROUND(MAX(($B9*$C9*$D9)/MAX($F9,1),$E9)*IFERROR(SUMIF(tblVeriB[SiparisNo],$A9,tblVeriB[TarifTlDesi]),0)*$G9,2))</f>
        <v/>
      </c>
      <c r="K9" s="15">
        <f>IF($A9="","",1)</f>
        <v/>
      </c>
    </row>
    <row r="10">
      <c r="A10" s="13" t="inlineStr">
        <is>
          <t>SIP20005</t>
        </is>
      </c>
      <c r="B10" s="14" t="n">
        <v>45</v>
      </c>
      <c r="C10" s="14" t="n">
        <v>35</v>
      </c>
      <c r="D10" s="14" t="n">
        <v>10</v>
      </c>
      <c r="E10" s="14" t="n">
        <v>2.15</v>
      </c>
      <c r="F10" s="14" t="n">
        <v>3000</v>
      </c>
      <c r="G10" s="14" t="n">
        <v>3</v>
      </c>
      <c r="H10" s="13" t="inlineStr">
        <is>
          <t>IcAnadolu</t>
        </is>
      </c>
      <c r="I10" s="13" t="inlineStr">
        <is>
          <t>B</t>
        </is>
      </c>
      <c r="J10" s="15">
        <f>IF($A10="","",ROUND(MAX(($B10*$C10*$D10)/MAX($F10,1),$E10)*IFERROR(SUMIF(tblVeriB[SiparisNo],$A10,tblVeriB[TarifTlDesi]),0)*$G10,2))</f>
        <v/>
      </c>
      <c r="K10" s="15">
        <f>IF($A10="","",1)</f>
        <v/>
      </c>
    </row>
    <row r="11">
      <c r="A11" s="13" t="inlineStr">
        <is>
          <t>SIP20006</t>
        </is>
      </c>
      <c r="B11" s="14" t="n">
        <v>50</v>
      </c>
      <c r="C11" s="14" t="n">
        <v>15</v>
      </c>
      <c r="D11" s="14" t="n">
        <v>13</v>
      </c>
      <c r="E11" s="14" t="n">
        <v>2.5</v>
      </c>
      <c r="F11" s="14" t="n">
        <v>3000</v>
      </c>
      <c r="G11" s="14" t="n">
        <v>1</v>
      </c>
      <c r="H11" s="13" t="inlineStr">
        <is>
          <t>Marmara</t>
        </is>
      </c>
      <c r="I11" s="13" t="inlineStr">
        <is>
          <t>A</t>
        </is>
      </c>
      <c r="J11" s="15">
        <f>IF($A11="","",ROUND(MAX(($B11*$C11*$D11)/MAX($F11,1),$E11)*IFERROR(SUMIF(tblVeriB[SiparisNo],$A11,tblVeriB[TarifTlDesi]),0)*$G11,2))</f>
        <v/>
      </c>
      <c r="K11" s="15">
        <f>IF($A11="","",1)</f>
        <v/>
      </c>
    </row>
    <row r="12">
      <c r="A12" s="13" t="inlineStr">
        <is>
          <t>SIP20007</t>
        </is>
      </c>
      <c r="B12" s="14" t="n">
        <v>55</v>
      </c>
      <c r="C12" s="14" t="n">
        <v>19</v>
      </c>
      <c r="D12" s="14" t="n">
        <v>16</v>
      </c>
      <c r="E12" s="14" t="n">
        <v>2.85</v>
      </c>
      <c r="F12" s="14" t="n">
        <v>3000</v>
      </c>
      <c r="G12" s="14" t="n">
        <v>2</v>
      </c>
      <c r="H12" s="13" t="inlineStr">
        <is>
          <t>Ege</t>
        </is>
      </c>
      <c r="I12" s="13" t="inlineStr">
        <is>
          <t>A</t>
        </is>
      </c>
      <c r="J12" s="15">
        <f>IF($A12="","",ROUND(MAX(($B12*$C12*$D12)/MAX($F12,1),$E12)*IFERROR(SUMIF(tblVeriB[SiparisNo],$A12,tblVeriB[TarifTlDesi]),0)*$G12,2))</f>
        <v/>
      </c>
      <c r="K12" s="15">
        <f>IF($A12="","",1)</f>
        <v/>
      </c>
    </row>
    <row r="13">
      <c r="A13" s="13" t="inlineStr">
        <is>
          <t>SIP20008</t>
        </is>
      </c>
      <c r="B13" s="14" t="n">
        <v>20</v>
      </c>
      <c r="C13" s="14" t="n">
        <v>23</v>
      </c>
      <c r="D13" s="14" t="n">
        <v>19</v>
      </c>
      <c r="E13" s="14" t="n">
        <v>3.2</v>
      </c>
      <c r="F13" s="14" t="n">
        <v>3000</v>
      </c>
      <c r="G13" s="14" t="n">
        <v>3</v>
      </c>
      <c r="H13" s="13" t="inlineStr">
        <is>
          <t>Akdeniz</t>
        </is>
      </c>
      <c r="I13" s="13" t="inlineStr">
        <is>
          <t>A</t>
        </is>
      </c>
      <c r="J13" s="15">
        <f>IF($A13="","",ROUND(MAX(($B13*$C13*$D13)/MAX($F13,1),$E13)*IFERROR(SUMIF(tblVeriB[SiparisNo],$A13,tblVeriB[TarifTlDesi]),0)*$G13,2))</f>
        <v/>
      </c>
      <c r="K13" s="15">
        <f>IF($A13="","",1)</f>
        <v/>
      </c>
    </row>
    <row r="14">
      <c r="A14" s="13" t="inlineStr">
        <is>
          <t>SIP20009</t>
        </is>
      </c>
      <c r="B14" s="14" t="n">
        <v>25</v>
      </c>
      <c r="C14" s="14" t="n">
        <v>27</v>
      </c>
      <c r="D14" s="14" t="n">
        <v>22</v>
      </c>
      <c r="E14" s="14" t="n">
        <v>0.4</v>
      </c>
      <c r="F14" s="14" t="n">
        <v>3000</v>
      </c>
      <c r="G14" s="14" t="n">
        <v>1</v>
      </c>
      <c r="H14" s="13" t="inlineStr">
        <is>
          <t>Karadeniz</t>
        </is>
      </c>
      <c r="I14" s="13" t="inlineStr">
        <is>
          <t>A</t>
        </is>
      </c>
      <c r="J14" s="15">
        <f>IF($A14="","",ROUND(MAX(($B14*$C14*$D14)/MAX($F14,1),$E14)*IFERROR(SUMIF(tblVeriB[SiparisNo],$A14,tblVeriB[TarifTlDesi]),0)*$G14,2))</f>
        <v/>
      </c>
      <c r="K14" s="15">
        <f>IF($A14="","",1)</f>
        <v/>
      </c>
    </row>
    <row r="15">
      <c r="A15" s="13" t="inlineStr">
        <is>
          <t>SIP20010</t>
        </is>
      </c>
      <c r="B15" s="14" t="n">
        <v>30</v>
      </c>
      <c r="C15" s="14" t="n">
        <v>31</v>
      </c>
      <c r="D15" s="14" t="n">
        <v>10</v>
      </c>
      <c r="E15" s="14" t="n">
        <v>0.75</v>
      </c>
      <c r="F15" s="14" t="n">
        <v>3000</v>
      </c>
      <c r="G15" s="14" t="n">
        <v>2</v>
      </c>
      <c r="H15" s="13" t="inlineStr">
        <is>
          <t>IcAnadolu</t>
        </is>
      </c>
      <c r="I15" s="13" t="inlineStr">
        <is>
          <t>B</t>
        </is>
      </c>
      <c r="J15" s="15">
        <f>IF($A15="","",ROUND(MAX(($B15*$C15*$D15)/MAX($F15,1),$E15)*IFERROR(SUMIF(tblVeriB[SiparisNo],$A15,tblVeriB[TarifTlDesi]),0)*$G15,2))</f>
        <v/>
      </c>
      <c r="K15" s="15">
        <f>IF($A15="","",1)</f>
        <v/>
      </c>
    </row>
    <row r="16">
      <c r="A16" s="13" t="inlineStr">
        <is>
          <t>SIP20011</t>
        </is>
      </c>
      <c r="B16" s="14" t="n">
        <v>35</v>
      </c>
      <c r="C16" s="14" t="n">
        <v>35</v>
      </c>
      <c r="D16" s="14" t="n">
        <v>13</v>
      </c>
      <c r="E16" s="14" t="n">
        <v>1.1</v>
      </c>
      <c r="F16" s="14" t="n">
        <v>3000</v>
      </c>
      <c r="G16" s="14" t="n">
        <v>3</v>
      </c>
      <c r="H16" s="13" t="inlineStr">
        <is>
          <t>Marmara</t>
        </is>
      </c>
      <c r="I16" s="13" t="inlineStr">
        <is>
          <t>A</t>
        </is>
      </c>
      <c r="J16" s="15">
        <f>IF($A16="","",ROUND(MAX(($B16*$C16*$D16)/MAX($F16,1),$E16)*IFERROR(SUMIF(tblVeriB[SiparisNo],$A16,tblVeriB[TarifTlDesi]),0)*$G16,2))</f>
        <v/>
      </c>
      <c r="K16" s="15">
        <f>IF($A16="","",1)</f>
        <v/>
      </c>
    </row>
    <row r="17">
      <c r="A17" s="13" t="inlineStr">
        <is>
          <t>SIP20012</t>
        </is>
      </c>
      <c r="B17" s="14" t="n">
        <v>40</v>
      </c>
      <c r="C17" s="14" t="n">
        <v>15</v>
      </c>
      <c r="D17" s="14" t="n">
        <v>16</v>
      </c>
      <c r="E17" s="14" t="n">
        <v>1.45</v>
      </c>
      <c r="F17" s="14" t="n">
        <v>3000</v>
      </c>
      <c r="G17" s="14" t="n">
        <v>1</v>
      </c>
      <c r="H17" s="13" t="inlineStr">
        <is>
          <t>Ege</t>
        </is>
      </c>
      <c r="I17" s="13" t="inlineStr">
        <is>
          <t>A</t>
        </is>
      </c>
      <c r="J17" s="15">
        <f>IF($A17="","",ROUND(MAX(($B17*$C17*$D17)/MAX($F17,1),$E17)*IFERROR(SUMIF(tblVeriB[SiparisNo],$A17,tblVeriB[TarifTlDesi]),0)*$G17,2))</f>
        <v/>
      </c>
      <c r="K17" s="15">
        <f>IF($A17="","",1)</f>
        <v/>
      </c>
    </row>
    <row r="18">
      <c r="A18" s="13" t="inlineStr">
        <is>
          <t>SIP20013</t>
        </is>
      </c>
      <c r="B18" s="14" t="n">
        <v>45</v>
      </c>
      <c r="C18" s="14" t="n">
        <v>19</v>
      </c>
      <c r="D18" s="14" t="n">
        <v>19</v>
      </c>
      <c r="E18" s="14" t="n">
        <v>1.8</v>
      </c>
      <c r="F18" s="14" t="n">
        <v>3000</v>
      </c>
      <c r="G18" s="14" t="n">
        <v>2</v>
      </c>
      <c r="H18" s="13" t="inlineStr">
        <is>
          <t>Akdeniz</t>
        </is>
      </c>
      <c r="I18" s="13" t="inlineStr">
        <is>
          <t>A</t>
        </is>
      </c>
      <c r="J18" s="15">
        <f>IF($A18="","",ROUND(MAX(($B18*$C18*$D18)/MAX($F18,1),$E18)*IFERROR(SUMIF(tblVeriB[SiparisNo],$A18,tblVeriB[TarifTlDesi]),0)*$G18,2))</f>
        <v/>
      </c>
      <c r="K18" s="15">
        <f>IF($A18="","",1)</f>
        <v/>
      </c>
    </row>
    <row r="19">
      <c r="A19" s="13" t="inlineStr">
        <is>
          <t>SIP20014</t>
        </is>
      </c>
      <c r="B19" s="14" t="n">
        <v>50</v>
      </c>
      <c r="C19" s="14" t="n">
        <v>23</v>
      </c>
      <c r="D19" s="14" t="n">
        <v>22</v>
      </c>
      <c r="E19" s="14" t="n">
        <v>2.15</v>
      </c>
      <c r="F19" s="14" t="n">
        <v>3000</v>
      </c>
      <c r="G19" s="14" t="n">
        <v>3</v>
      </c>
      <c r="H19" s="13" t="inlineStr">
        <is>
          <t>Karadeniz</t>
        </is>
      </c>
      <c r="I19" s="13" t="inlineStr">
        <is>
          <t>A</t>
        </is>
      </c>
      <c r="J19" s="15">
        <f>IF($A19="","",ROUND(MAX(($B19*$C19*$D19)/MAX($F19,1),$E19)*IFERROR(SUMIF(tblVeriB[SiparisNo],$A19,tblVeriB[TarifTlDesi]),0)*$G19,2))</f>
        <v/>
      </c>
      <c r="K19" s="15">
        <f>IF($A19="","",1)</f>
        <v/>
      </c>
    </row>
    <row r="20">
      <c r="A20" s="13" t="inlineStr">
        <is>
          <t>SIP20015X</t>
        </is>
      </c>
      <c r="B20" s="14" t="n">
        <v>55</v>
      </c>
      <c r="C20" s="14" t="n">
        <v>27</v>
      </c>
      <c r="D20" s="14" t="n">
        <v>10</v>
      </c>
      <c r="E20" s="14" t="n">
        <v>2.5</v>
      </c>
      <c r="F20" s="14" t="n">
        <v>3000</v>
      </c>
      <c r="G20" s="14" t="n">
        <v>1</v>
      </c>
      <c r="H20" s="13" t="inlineStr">
        <is>
          <t>IcAnadolu</t>
        </is>
      </c>
      <c r="I20" s="13" t="inlineStr">
        <is>
          <t>B</t>
        </is>
      </c>
      <c r="J20" s="15">
        <f>IF($A20="","",ROUND(MAX(($B20*$C20*$D20)/MAX($F20,1),$E20)*IFERROR(SUMIF(tblVeriB[SiparisNo],$A20,tblVeriB[TarifTlDesi]),0)*$G20,2))</f>
        <v/>
      </c>
      <c r="K20" s="15">
        <f>IF($A20="","",1)</f>
        <v/>
      </c>
    </row>
    <row r="21">
      <c r="A21" s="13" t="inlineStr">
        <is>
          <t>SIP20016</t>
        </is>
      </c>
      <c r="B21" s="14" t="n">
        <v>20</v>
      </c>
      <c r="C21" s="14" t="n">
        <v>31</v>
      </c>
      <c r="D21" s="14" t="n">
        <v>13</v>
      </c>
      <c r="E21" s="14" t="n">
        <v>2.85</v>
      </c>
      <c r="F21" s="14" t="n">
        <v>3000</v>
      </c>
      <c r="G21" s="14" t="n">
        <v>2</v>
      </c>
      <c r="H21" s="13" t="inlineStr">
        <is>
          <t>Marmara</t>
        </is>
      </c>
      <c r="I21" s="13" t="inlineStr">
        <is>
          <t>A</t>
        </is>
      </c>
      <c r="J21" s="15">
        <f>IF($A21="","",ROUND(MAX(($B21*$C21*$D21)/MAX($F21,1),$E21)*IFERROR(SUMIF(tblVeriB[SiparisNo],$A21,tblVeriB[TarifTlDesi]),0)*$G21,2))</f>
        <v/>
      </c>
      <c r="K21" s="15">
        <f>IF($A21="","",1)</f>
        <v/>
      </c>
    </row>
    <row r="22">
      <c r="A22" s="13" t="inlineStr">
        <is>
          <t>SIP20017</t>
        </is>
      </c>
      <c r="B22" s="14" t="n">
        <v>25</v>
      </c>
      <c r="C22" s="14" t="n">
        <v>35</v>
      </c>
      <c r="D22" s="14" t="n">
        <v>16</v>
      </c>
      <c r="E22" s="14" t="n">
        <v>3.2</v>
      </c>
      <c r="F22" s="14" t="n">
        <v>3000</v>
      </c>
      <c r="G22" s="14" t="n">
        <v>3</v>
      </c>
      <c r="H22" s="13" t="inlineStr">
        <is>
          <t>Ege</t>
        </is>
      </c>
      <c r="I22" s="13" t="inlineStr">
        <is>
          <t>A</t>
        </is>
      </c>
      <c r="J22" s="15">
        <f>IF($A22="","",ROUND(MAX(($B22*$C22*$D22)/MAX($F22,1),$E22)*IFERROR(SUMIF(tblVeriB[SiparisNo],$A22,tblVeriB[TarifTlDesi]),0)*$G22,2))</f>
        <v/>
      </c>
      <c r="K22" s="15">
        <f>IF($A22="","",1)</f>
        <v/>
      </c>
    </row>
    <row r="23">
      <c r="A23" s="13" t="inlineStr">
        <is>
          <t>SIP20018</t>
        </is>
      </c>
      <c r="B23" s="14" t="n">
        <v>30</v>
      </c>
      <c r="C23" s="14" t="n">
        <v>15</v>
      </c>
      <c r="D23" s="14" t="n">
        <v>19</v>
      </c>
      <c r="E23" s="14" t="n">
        <v>0.4</v>
      </c>
      <c r="F23" s="14" t="n">
        <v>3000</v>
      </c>
      <c r="G23" s="14" t="n">
        <v>1</v>
      </c>
      <c r="H23" s="13" t="inlineStr">
        <is>
          <t>Akdeniz</t>
        </is>
      </c>
      <c r="I23" s="13" t="inlineStr">
        <is>
          <t>A</t>
        </is>
      </c>
      <c r="J23" s="15">
        <f>IF($A23="","",ROUND(MAX(($B23*$C23*$D23)/MAX($F23,1),$E23)*IFERROR(SUMIF(tblVeriB[SiparisNo],$A23,tblVeriB[TarifTlDesi]),0)*$G23,2))</f>
        <v/>
      </c>
      <c r="K23" s="15">
        <f>IF($A23="","",1)</f>
        <v/>
      </c>
    </row>
    <row r="24">
      <c r="A24" s="13" t="inlineStr">
        <is>
          <t>SIP20019</t>
        </is>
      </c>
      <c r="B24" s="14" t="n">
        <v>35</v>
      </c>
      <c r="C24" s="14" t="n">
        <v>19</v>
      </c>
      <c r="D24" s="14" t="n">
        <v>22</v>
      </c>
      <c r="E24" s="14" t="n">
        <v>0.75</v>
      </c>
      <c r="F24" s="14" t="n">
        <v>3000</v>
      </c>
      <c r="G24" s="14" t="n">
        <v>2</v>
      </c>
      <c r="H24" s="13" t="inlineStr">
        <is>
          <t>Karadeniz</t>
        </is>
      </c>
      <c r="I24" s="13" t="inlineStr">
        <is>
          <t>A</t>
        </is>
      </c>
      <c r="J24" s="15">
        <f>IF($A24="","",ROUND(MAX(($B24*$C24*$D24)/MAX($F24,1),$E24)*IFERROR(SUMIF(tblVeriB[SiparisNo],$A24,tblVeriB[TarifTlDesi]),0)*$G24,2))</f>
        <v/>
      </c>
      <c r="K24" s="15">
        <f>IF($A24="","",1)</f>
        <v/>
      </c>
    </row>
    <row r="25">
      <c r="A25" s="13" t="inlineStr">
        <is>
          <t>SIP20020</t>
        </is>
      </c>
      <c r="B25" s="14" t="n">
        <v>40</v>
      </c>
      <c r="C25" s="14" t="n">
        <v>23</v>
      </c>
      <c r="D25" s="14" t="n">
        <v>10</v>
      </c>
      <c r="E25" s="14" t="n">
        <v>1.1</v>
      </c>
      <c r="F25" s="14" t="n">
        <v>3000</v>
      </c>
      <c r="G25" s="14" t="n">
        <v>3</v>
      </c>
      <c r="H25" s="13" t="inlineStr">
        <is>
          <t>IcAnadolu</t>
        </is>
      </c>
      <c r="I25" s="13" t="inlineStr">
        <is>
          <t>B</t>
        </is>
      </c>
      <c r="J25" s="15">
        <f>IF($A25="","",ROUND(MAX(($B25*$C25*$D25)/MAX($F25,1),$E25)*IFERROR(SUMIF(tblVeriB[SiparisNo],$A25,tblVeriB[TarifTlDesi]),0)*$G25,2))</f>
        <v/>
      </c>
      <c r="K25" s="15">
        <f>IF($A25="","",1)</f>
        <v/>
      </c>
    </row>
    <row r="26">
      <c r="A26" s="13" t="inlineStr">
        <is>
          <t>SIP20021</t>
        </is>
      </c>
      <c r="B26" s="14" t="n">
        <v>45</v>
      </c>
      <c r="C26" s="14" t="n">
        <v>27</v>
      </c>
      <c r="D26" s="14" t="n">
        <v>13</v>
      </c>
      <c r="E26" s="14" t="n">
        <v>1.45</v>
      </c>
      <c r="F26" s="14" t="n">
        <v>3000</v>
      </c>
      <c r="G26" s="14" t="n">
        <v>1</v>
      </c>
      <c r="H26" s="13" t="inlineStr">
        <is>
          <t>Marmara</t>
        </is>
      </c>
      <c r="I26" s="13" t="inlineStr">
        <is>
          <t>A</t>
        </is>
      </c>
      <c r="J26" s="15">
        <f>IF($A26="","",ROUND(MAX(($B26*$C26*$D26)/MAX($F26,1),$E26)*IFERROR(SUMIF(tblVeriB[SiparisNo],$A26,tblVeriB[TarifTlDesi]),0)*$G26,2))</f>
        <v/>
      </c>
      <c r="K26" s="15">
        <f>IF($A26="","",1)</f>
        <v/>
      </c>
    </row>
    <row r="27">
      <c r="A27" s="13" t="inlineStr">
        <is>
          <t>SIP20022</t>
        </is>
      </c>
      <c r="B27" s="14" t="n">
        <v>50</v>
      </c>
      <c r="C27" s="14" t="n">
        <v>31</v>
      </c>
      <c r="D27" s="14" t="n">
        <v>16</v>
      </c>
      <c r="E27" s="14" t="n">
        <v>1.8</v>
      </c>
      <c r="F27" s="14" t="n">
        <v>3000</v>
      </c>
      <c r="G27" s="14" t="n">
        <v>2</v>
      </c>
      <c r="H27" s="13" t="inlineStr">
        <is>
          <t>Ege</t>
        </is>
      </c>
      <c r="I27" s="13" t="inlineStr">
        <is>
          <t>A</t>
        </is>
      </c>
      <c r="J27" s="15">
        <f>IF($A27="","",ROUND(MAX(($B27*$C27*$D27)/MAX($F27,1),$E27)*IFERROR(SUMIF(tblVeriB[SiparisNo],$A27,tblVeriB[TarifTlDesi]),0)*$G27,2))</f>
        <v/>
      </c>
      <c r="K27" s="15">
        <f>IF($A27="","",1)</f>
        <v/>
      </c>
    </row>
    <row r="28">
      <c r="A28" s="13" t="inlineStr">
        <is>
          <t>SIP20023</t>
        </is>
      </c>
      <c r="B28" s="14" t="n">
        <v>55</v>
      </c>
      <c r="C28" s="14" t="n">
        <v>35</v>
      </c>
      <c r="D28" s="14" t="n">
        <v>19</v>
      </c>
      <c r="E28" s="14" t="n">
        <v>2.15</v>
      </c>
      <c r="F28" s="14" t="n">
        <v>3000</v>
      </c>
      <c r="G28" s="14" t="n">
        <v>3</v>
      </c>
      <c r="H28" s="13" t="inlineStr">
        <is>
          <t>Akdeniz</t>
        </is>
      </c>
      <c r="I28" s="13" t="inlineStr">
        <is>
          <t>A</t>
        </is>
      </c>
      <c r="J28" s="15">
        <f>IF($A28="","",ROUND(MAX(($B28*$C28*$D28)/MAX($F28,1),$E28)*IFERROR(SUMIF(tblVeriB[SiparisNo],$A28,tblVeriB[TarifTlDesi]),0)*$G28,2))</f>
        <v/>
      </c>
      <c r="K28" s="15">
        <f>IF($A28="","",1)</f>
        <v/>
      </c>
    </row>
    <row r="29">
      <c r="A29" s="13" t="inlineStr">
        <is>
          <t>SIP20024</t>
        </is>
      </c>
      <c r="B29" s="14" t="n">
        <v>20</v>
      </c>
      <c r="C29" s="14" t="n">
        <v>15</v>
      </c>
      <c r="D29" s="14" t="n">
        <v>22</v>
      </c>
      <c r="E29" s="14" t="n">
        <v>2.5</v>
      </c>
      <c r="F29" s="14" t="n">
        <v>3000</v>
      </c>
      <c r="G29" s="14" t="n">
        <v>1</v>
      </c>
      <c r="H29" s="13" t="inlineStr">
        <is>
          <t>Karadeniz</t>
        </is>
      </c>
      <c r="I29" s="13" t="inlineStr">
        <is>
          <t>A</t>
        </is>
      </c>
      <c r="J29" s="15">
        <f>IF($A29="","",ROUND(MAX(($B29*$C29*$D29)/MAX($F29,1),$E29)*IFERROR(SUMIF(tblVeriB[SiparisNo],$A29,tblVeriB[TarifTlDesi]),0)*$G29,2))</f>
        <v/>
      </c>
      <c r="K29" s="15">
        <f>IF($A29="","",1)</f>
        <v/>
      </c>
    </row>
    <row r="30">
      <c r="A30" s="13" t="inlineStr">
        <is>
          <t>SIP20025</t>
        </is>
      </c>
      <c r="B30" s="14" t="n">
        <v>25</v>
      </c>
      <c r="C30" s="14" t="n">
        <v>19</v>
      </c>
      <c r="D30" s="14" t="n">
        <v>10</v>
      </c>
      <c r="E30" s="14" t="n">
        <v>2.85</v>
      </c>
      <c r="F30" s="14" t="n">
        <v>3000</v>
      </c>
      <c r="G30" s="14" t="n">
        <v>2</v>
      </c>
      <c r="H30" s="13" t="inlineStr">
        <is>
          <t>IcAnadolu</t>
        </is>
      </c>
      <c r="I30" s="13" t="inlineStr">
        <is>
          <t>B</t>
        </is>
      </c>
      <c r="J30" s="15">
        <f>IF($A30="","",ROUND(MAX(($B30*$C30*$D30)/MAX($F30,1),$E30)*IFERROR(SUMIF(tblVeriB[SiparisNo],$A30,tblVeriB[TarifTlDesi]),0)*$G30,2))</f>
        <v/>
      </c>
      <c r="K30" s="15">
        <f>IF($A30="","",1)</f>
        <v/>
      </c>
    </row>
    <row r="31">
      <c r="A31" s="13" t="inlineStr">
        <is>
          <t>SIP20026</t>
        </is>
      </c>
      <c r="B31" s="14" t="n">
        <v>30</v>
      </c>
      <c r="C31" s="14" t="n">
        <v>23</v>
      </c>
      <c r="D31" s="14" t="n">
        <v>13</v>
      </c>
      <c r="E31" s="14" t="n">
        <v>3.2</v>
      </c>
      <c r="F31" s="14" t="n">
        <v>3000</v>
      </c>
      <c r="G31" s="14" t="n">
        <v>3</v>
      </c>
      <c r="H31" s="13" t="inlineStr">
        <is>
          <t>Marmara</t>
        </is>
      </c>
      <c r="I31" s="13" t="inlineStr">
        <is>
          <t>A</t>
        </is>
      </c>
      <c r="J31" s="15">
        <f>IF($A31="","",ROUND(MAX(($B31*$C31*$D31)/MAX($F31,1),$E31)*IFERROR(SUMIF(tblVeriB[SiparisNo],$A31,tblVeriB[TarifTlDesi]),0)*$G31,2))</f>
        <v/>
      </c>
      <c r="K31" s="15">
        <f>IF($A31="","",1)</f>
        <v/>
      </c>
    </row>
    <row r="32">
      <c r="A32" s="13" t="inlineStr">
        <is>
          <t>SIP20027</t>
        </is>
      </c>
      <c r="B32" s="14" t="n">
        <v>35</v>
      </c>
      <c r="C32" s="14" t="n">
        <v>27</v>
      </c>
      <c r="D32" s="14" t="n">
        <v>16</v>
      </c>
      <c r="E32" s="14" t="n">
        <v>0.4</v>
      </c>
      <c r="F32" s="14" t="n">
        <v>3000</v>
      </c>
      <c r="G32" s="14" t="n">
        <v>1</v>
      </c>
      <c r="H32" s="13" t="inlineStr">
        <is>
          <t>Ege</t>
        </is>
      </c>
      <c r="I32" s="13" t="inlineStr">
        <is>
          <t>A</t>
        </is>
      </c>
      <c r="J32" s="15">
        <f>IF($A32="","",ROUND(MAX(($B32*$C32*$D32)/MAX($F32,1),$E32)*IFERROR(SUMIF(tblVeriB[SiparisNo],$A32,tblVeriB[TarifTlDesi]),0)*$G32,2))</f>
        <v/>
      </c>
      <c r="K32" s="15">
        <f>IF($A32="","",1)</f>
        <v/>
      </c>
    </row>
    <row r="33">
      <c r="A33" s="13" t="inlineStr">
        <is>
          <t>SIP20028</t>
        </is>
      </c>
      <c r="B33" s="14" t="n">
        <v>40</v>
      </c>
      <c r="C33" s="14" t="n">
        <v>31</v>
      </c>
      <c r="D33" s="14" t="n">
        <v>19</v>
      </c>
      <c r="E33" s="14" t="n">
        <v>0.75</v>
      </c>
      <c r="F33" s="14" t="n">
        <v>3000</v>
      </c>
      <c r="G33" s="14" t="n">
        <v>2</v>
      </c>
      <c r="H33" s="13" t="inlineStr">
        <is>
          <t>Akdeniz</t>
        </is>
      </c>
      <c r="I33" s="13" t="inlineStr">
        <is>
          <t>A</t>
        </is>
      </c>
      <c r="J33" s="15">
        <f>IF($A33="","",ROUND(MAX(($B33*$C33*$D33)/MAX($F33,1),$E33)*IFERROR(SUMIF(tblVeriB[SiparisNo],$A33,tblVeriB[TarifTlDesi]),0)*$G33,2))</f>
        <v/>
      </c>
      <c r="K33" s="15">
        <f>IF($A33="","",1)</f>
        <v/>
      </c>
    </row>
    <row r="34">
      <c r="A34" s="13" t="inlineStr">
        <is>
          <t>SIP20029</t>
        </is>
      </c>
      <c r="B34" s="14" t="n">
        <v>45</v>
      </c>
      <c r="C34" s="14" t="n">
        <v>35</v>
      </c>
      <c r="D34" s="14" t="n">
        <v>22</v>
      </c>
      <c r="E34" s="14" t="n">
        <v>1.1</v>
      </c>
      <c r="F34" s="14" t="n">
        <v>3000</v>
      </c>
      <c r="G34" s="14" t="n">
        <v>3</v>
      </c>
      <c r="H34" s="13" t="inlineStr">
        <is>
          <t>Karadeniz</t>
        </is>
      </c>
      <c r="I34" s="13" t="inlineStr">
        <is>
          <t>A</t>
        </is>
      </c>
      <c r="J34" s="15">
        <f>IF($A34="","",ROUND(MAX(($B34*$C34*$D34)/MAX($F34,1),$E34)*IFERROR(SUMIF(tblVeriB[SiparisNo],$A34,tblVeriB[TarifTlDesi]),0)*$G34,2))</f>
        <v/>
      </c>
      <c r="K34" s="15">
        <f>IF($A34="","",1)</f>
        <v/>
      </c>
    </row>
    <row r="35">
      <c r="A35" s="13" t="inlineStr">
        <is>
          <t>SIP20030</t>
        </is>
      </c>
      <c r="B35" s="14" t="n">
        <v>50</v>
      </c>
      <c r="C35" s="14" t="n">
        <v>15</v>
      </c>
      <c r="D35" s="14" t="n">
        <v>10</v>
      </c>
      <c r="E35" s="14" t="n">
        <v>1.45</v>
      </c>
      <c r="F35" s="14" t="n">
        <v>3000</v>
      </c>
      <c r="G35" s="14" t="n">
        <v>1</v>
      </c>
      <c r="H35" s="13" t="inlineStr">
        <is>
          <t>IcAnadolu</t>
        </is>
      </c>
      <c r="I35" s="13" t="inlineStr">
        <is>
          <t>B</t>
        </is>
      </c>
      <c r="J35" s="15">
        <f>IF($A35="","",ROUND(MAX(($B35*$C35*$D35)/MAX($F35,1),$E35)*IFERROR(SUMIF(tblVeriB[SiparisNo],$A35,tblVeriB[TarifTlDesi]),0)*$G35,2))</f>
        <v/>
      </c>
      <c r="K35" s="15">
        <f>IF($A35="","",1)</f>
        <v/>
      </c>
    </row>
    <row r="36">
      <c r="A36" s="13" t="inlineStr">
        <is>
          <t>SIP20031</t>
        </is>
      </c>
      <c r="B36" s="14" t="n">
        <v>55</v>
      </c>
      <c r="C36" s="14" t="n">
        <v>19</v>
      </c>
      <c r="D36" s="14" t="n">
        <v>13</v>
      </c>
      <c r="E36" s="14" t="n">
        <v>1.8</v>
      </c>
      <c r="F36" s="14" t="n">
        <v>3000</v>
      </c>
      <c r="G36" s="14" t="n">
        <v>2</v>
      </c>
      <c r="H36" s="13" t="inlineStr">
        <is>
          <t>Marmara</t>
        </is>
      </c>
      <c r="I36" s="13" t="inlineStr">
        <is>
          <t>A</t>
        </is>
      </c>
      <c r="J36" s="15">
        <f>IF($A36="","",ROUND(MAX(($B36*$C36*$D36)/MAX($F36,1),$E36)*IFERROR(SUMIF(tblVeriB[SiparisNo],$A36,tblVeriB[TarifTlDesi]),0)*$G36,2))</f>
        <v/>
      </c>
      <c r="K36" s="15">
        <f>IF($A36="","",1)</f>
        <v/>
      </c>
    </row>
    <row r="37">
      <c r="A37" s="13" t="inlineStr">
        <is>
          <t>SIP20032</t>
        </is>
      </c>
      <c r="B37" s="14" t="n">
        <v>20</v>
      </c>
      <c r="C37" s="14" t="n">
        <v>23</v>
      </c>
      <c r="D37" s="14" t="n">
        <v>16</v>
      </c>
      <c r="E37" s="14" t="n">
        <v>2.15</v>
      </c>
      <c r="F37" s="14" t="n">
        <v>3000</v>
      </c>
      <c r="G37" s="14" t="n">
        <v>3</v>
      </c>
      <c r="H37" s="13" t="inlineStr">
        <is>
          <t>Ege</t>
        </is>
      </c>
      <c r="I37" s="13" t="inlineStr">
        <is>
          <t>A</t>
        </is>
      </c>
      <c r="J37" s="15">
        <f>IF($A37="","",ROUND(MAX(($B37*$C37*$D37)/MAX($F37,1),$E37)*IFERROR(SUMIF(tblVeriB[SiparisNo],$A37,tblVeriB[TarifTlDesi]),0)*$G37,2))</f>
        <v/>
      </c>
      <c r="K37" s="15">
        <f>IF($A37="","",1)</f>
        <v/>
      </c>
    </row>
    <row r="38">
      <c r="A38" s="13" t="inlineStr">
        <is>
          <t>SIP20033</t>
        </is>
      </c>
      <c r="B38" s="14" t="n">
        <v>25</v>
      </c>
      <c r="C38" s="14" t="n">
        <v>27</v>
      </c>
      <c r="D38" s="14" t="n">
        <v>19</v>
      </c>
      <c r="E38" s="14" t="n">
        <v>2.5</v>
      </c>
      <c r="F38" s="14" t="n">
        <v>3000</v>
      </c>
      <c r="G38" s="14" t="n">
        <v>1</v>
      </c>
      <c r="H38" s="13" t="inlineStr">
        <is>
          <t>Akdeniz</t>
        </is>
      </c>
      <c r="I38" s="13" t="inlineStr">
        <is>
          <t>A</t>
        </is>
      </c>
      <c r="J38" s="15">
        <f>IF($A38="","",ROUND(MAX(($B38*$C38*$D38)/MAX($F38,1),$E38)*IFERROR(SUMIF(tblVeriB[SiparisNo],$A38,tblVeriB[TarifTlDesi]),0)*$G38,2))</f>
        <v/>
      </c>
      <c r="K38" s="15">
        <f>IF($A38="","",1)</f>
        <v/>
      </c>
    </row>
    <row r="39">
      <c r="A39" s="13" t="inlineStr">
        <is>
          <t>SIP20034</t>
        </is>
      </c>
      <c r="B39" s="14" t="n">
        <v>30</v>
      </c>
      <c r="C39" s="14" t="n">
        <v>31</v>
      </c>
      <c r="D39" s="14" t="n">
        <v>22</v>
      </c>
      <c r="E39" s="14" t="n">
        <v>2.85</v>
      </c>
      <c r="F39" s="14" t="n">
        <v>3000</v>
      </c>
      <c r="G39" s="14" t="n">
        <v>2</v>
      </c>
      <c r="H39" s="13" t="inlineStr">
        <is>
          <t>Karadeniz</t>
        </is>
      </c>
      <c r="I39" s="13" t="inlineStr">
        <is>
          <t>A</t>
        </is>
      </c>
      <c r="J39" s="15">
        <f>IF($A39="","",ROUND(MAX(($B39*$C39*$D39)/MAX($F39,1),$E39)*IFERROR(SUMIF(tblVeriB[SiparisNo],$A39,tblVeriB[TarifTlDesi]),0)*$G39,2))</f>
        <v/>
      </c>
      <c r="K39" s="15">
        <f>IF($A39="","",1)</f>
        <v/>
      </c>
    </row>
    <row r="40">
      <c r="A40" s="13" t="inlineStr">
        <is>
          <t>SIP20035</t>
        </is>
      </c>
      <c r="B40" s="14" t="n">
        <v>35</v>
      </c>
      <c r="C40" s="14" t="n">
        <v>35</v>
      </c>
      <c r="D40" s="14" t="n">
        <v>10</v>
      </c>
      <c r="E40" s="14" t="n">
        <v>3.2</v>
      </c>
      <c r="F40" s="14" t="n">
        <v>3000</v>
      </c>
      <c r="G40" s="14" t="n">
        <v>3</v>
      </c>
      <c r="H40" s="13" t="inlineStr">
        <is>
          <t>IcAnadolu</t>
        </is>
      </c>
      <c r="I40" s="13" t="inlineStr">
        <is>
          <t>B</t>
        </is>
      </c>
      <c r="J40" s="15">
        <f>IF($A40="","",ROUND(MAX(($B40*$C40*$D40)/MAX($F40,1),$E40)*IFERROR(SUMIF(tblVeriB[SiparisNo],$A40,tblVeriB[TarifTlDesi]),0)*$G40,2))</f>
        <v/>
      </c>
      <c r="K40" s="15">
        <f>IF($A40="","",1)</f>
        <v/>
      </c>
    </row>
    <row r="41">
      <c r="A41" s="13" t="n"/>
      <c r="B41" s="14" t="n"/>
      <c r="C41" s="14" t="n"/>
      <c r="D41" s="14" t="n"/>
      <c r="E41" s="14" t="n"/>
      <c r="F41" s="14" t="n"/>
      <c r="G41" s="14" t="n"/>
      <c r="H41" s="13" t="n"/>
      <c r="I41" s="13" t="n"/>
      <c r="J41" s="15">
        <f>IF($A41="","",ROUND(MAX(($B41*$C41*$D41)/MAX($F41,1),$E41)*IFERROR(SUMIF(tblVeriB[SiparisNo],$A41,tblVeriB[TarifTlDesi]),0)*$G41,2))</f>
        <v/>
      </c>
      <c r="K41" s="15">
        <f>IF($A41="","",1)</f>
        <v/>
      </c>
    </row>
    <row r="42">
      <c r="A42" s="13" t="n"/>
      <c r="B42" s="14" t="n"/>
      <c r="C42" s="14" t="n"/>
      <c r="D42" s="14" t="n"/>
      <c r="E42" s="14" t="n"/>
      <c r="F42" s="14" t="n"/>
      <c r="G42" s="14" t="n"/>
      <c r="H42" s="13" t="n"/>
      <c r="I42" s="13" t="n"/>
      <c r="J42" s="15">
        <f>IF($A42="","",ROUND(MAX(($B42*$C42*$D42)/MAX($F42,1),$E42)*IFERROR(SUMIF(tblVeriB[SiparisNo],$A42,tblVeriB[TarifTlDesi]),0)*$G42,2))</f>
        <v/>
      </c>
      <c r="K42" s="15">
        <f>IF($A42="","",1)</f>
        <v/>
      </c>
    </row>
    <row r="43">
      <c r="A43" s="13" t="n"/>
      <c r="B43" s="14" t="n"/>
      <c r="C43" s="14" t="n"/>
      <c r="D43" s="14" t="n"/>
      <c r="E43" s="14" t="n"/>
      <c r="F43" s="14" t="n"/>
      <c r="G43" s="14" t="n"/>
      <c r="H43" s="13" t="n"/>
      <c r="I43" s="13" t="n"/>
      <c r="J43" s="15">
        <f>IF($A43="","",ROUND(MAX(($B43*$C43*$D43)/MAX($F43,1),$E43)*IFERROR(SUMIF(tblVeriB[SiparisNo],$A43,tblVeriB[TarifTlDesi]),0)*$G43,2))</f>
        <v/>
      </c>
      <c r="K43" s="15">
        <f>IF($A43="","",1)</f>
        <v/>
      </c>
    </row>
    <row r="44">
      <c r="A44" s="13" t="n"/>
      <c r="B44" s="14" t="n"/>
      <c r="C44" s="14" t="n"/>
      <c r="D44" s="14" t="n"/>
      <c r="E44" s="14" t="n"/>
      <c r="F44" s="14" t="n"/>
      <c r="G44" s="14" t="n"/>
      <c r="H44" s="13" t="n"/>
      <c r="I44" s="13" t="n"/>
      <c r="J44" s="15">
        <f>IF($A44="","",ROUND(MAX(($B44*$C44*$D44)/MAX($F44,1),$E44)*IFERROR(SUMIF(tblVeriB[SiparisNo],$A44,tblVeriB[TarifTlDesi]),0)*$G44,2))</f>
        <v/>
      </c>
      <c r="K44" s="15">
        <f>IF($A44="","",1)</f>
        <v/>
      </c>
    </row>
    <row r="45">
      <c r="A45" s="13" t="n"/>
      <c r="B45" s="14" t="n"/>
      <c r="C45" s="14" t="n"/>
      <c r="D45" s="14" t="n"/>
      <c r="E45" s="14" t="n"/>
      <c r="F45" s="14" t="n"/>
      <c r="G45" s="14" t="n"/>
      <c r="H45" s="13" t="n"/>
      <c r="I45" s="13" t="n"/>
      <c r="J45" s="15">
        <f>IF($A45="","",ROUND(MAX(($B45*$C45*$D45)/MAX($F45,1),$E45)*IFERROR(SUMIF(tblVeriB[SiparisNo],$A45,tblVeriB[TarifTlDesi]),0)*$G45,2))</f>
        <v/>
      </c>
      <c r="K45" s="15">
        <f>IF($A45="","",1)</f>
        <v/>
      </c>
    </row>
    <row r="46">
      <c r="A46" s="13" t="n"/>
      <c r="B46" s="14" t="n"/>
      <c r="C46" s="14" t="n"/>
      <c r="D46" s="14" t="n"/>
      <c r="E46" s="14" t="n"/>
      <c r="F46" s="14" t="n"/>
      <c r="G46" s="14" t="n"/>
      <c r="H46" s="13" t="n"/>
      <c r="I46" s="13" t="n"/>
      <c r="J46" s="15">
        <f>IF($A46="","",ROUND(MAX(($B46*$C46*$D46)/MAX($F46,1),$E46)*IFERROR(SUMIF(tblVeriB[SiparisNo],$A46,tblVeriB[TarifTlDesi]),0)*$G46,2))</f>
        <v/>
      </c>
      <c r="K46" s="15">
        <f>IF($A46="","",1)</f>
        <v/>
      </c>
    </row>
    <row r="47">
      <c r="A47" s="13" t="n"/>
      <c r="B47" s="14" t="n"/>
      <c r="C47" s="14" t="n"/>
      <c r="D47" s="14" t="n"/>
      <c r="E47" s="14" t="n"/>
      <c r="F47" s="14" t="n"/>
      <c r="G47" s="14" t="n"/>
      <c r="H47" s="13" t="n"/>
      <c r="I47" s="13" t="n"/>
      <c r="J47" s="15">
        <f>IF($A47="","",ROUND(MAX(($B47*$C47*$D47)/MAX($F47,1),$E47)*IFERROR(SUMIF(tblVeriB[SiparisNo],$A47,tblVeriB[TarifTlDesi]),0)*$G47,2))</f>
        <v/>
      </c>
      <c r="K47" s="15">
        <f>IF($A47="","",1)</f>
        <v/>
      </c>
    </row>
    <row r="48">
      <c r="A48" s="13" t="n"/>
      <c r="B48" s="14" t="n"/>
      <c r="C48" s="14" t="n"/>
      <c r="D48" s="14" t="n"/>
      <c r="E48" s="14" t="n"/>
      <c r="F48" s="14" t="n"/>
      <c r="G48" s="14" t="n"/>
      <c r="H48" s="13" t="n"/>
      <c r="I48" s="13" t="n"/>
      <c r="J48" s="15">
        <f>IF($A48="","",ROUND(MAX(($B48*$C48*$D48)/MAX($F48,1),$E48)*IFERROR(SUMIF(tblVeriB[SiparisNo],$A48,tblVeriB[TarifTlDesi]),0)*$G48,2))</f>
        <v/>
      </c>
      <c r="K48" s="15">
        <f>IF($A48="","",1)</f>
        <v/>
      </c>
    </row>
    <row r="49">
      <c r="A49" s="13" t="n"/>
      <c r="B49" s="14" t="n"/>
      <c r="C49" s="14" t="n"/>
      <c r="D49" s="14" t="n"/>
      <c r="E49" s="14" t="n"/>
      <c r="F49" s="14" t="n"/>
      <c r="G49" s="14" t="n"/>
      <c r="H49" s="13" t="n"/>
      <c r="I49" s="13" t="n"/>
      <c r="J49" s="15">
        <f>IF($A49="","",ROUND(MAX(($B49*$C49*$D49)/MAX($F49,1),$E49)*IFERROR(SUMIF(tblVeriB[SiparisNo],$A49,tblVeriB[TarifTlDesi]),0)*$G49,2))</f>
        <v/>
      </c>
      <c r="K49" s="15">
        <f>IF($A49="","",1)</f>
        <v/>
      </c>
    </row>
    <row r="50">
      <c r="A50" s="13" t="n"/>
      <c r="B50" s="14" t="n"/>
      <c r="C50" s="14" t="n"/>
      <c r="D50" s="14" t="n"/>
      <c r="E50" s="14" t="n"/>
      <c r="F50" s="14" t="n"/>
      <c r="G50" s="14" t="n"/>
      <c r="H50" s="13" t="n"/>
      <c r="I50" s="13" t="n"/>
      <c r="J50" s="15">
        <f>IF($A50="","",ROUND(MAX(($B50*$C50*$D50)/MAX($F50,1),$E50)*IFERROR(SUMIF(tblVeriB[SiparisNo],$A50,tblVeriB[TarifTlDesi]),0)*$G50,2))</f>
        <v/>
      </c>
      <c r="K50" s="15">
        <f>IF($A50="","",1)</f>
        <v/>
      </c>
    </row>
    <row r="51">
      <c r="A51" s="13" t="n"/>
      <c r="B51" s="14" t="n"/>
      <c r="C51" s="14" t="n"/>
      <c r="D51" s="14" t="n"/>
      <c r="E51" s="14" t="n"/>
      <c r="F51" s="14" t="n"/>
      <c r="G51" s="14" t="n"/>
      <c r="H51" s="13" t="n"/>
      <c r="I51" s="13" t="n"/>
      <c r="J51" s="15">
        <f>IF($A51="","",ROUND(MAX(($B51*$C51*$D51)/MAX($F51,1),$E51)*IFERROR(SUMIF(tblVeriB[SiparisNo],$A51,tblVeriB[TarifTlDesi]),0)*$G51,2))</f>
        <v/>
      </c>
      <c r="K51" s="15">
        <f>IF($A51="","",1)</f>
        <v/>
      </c>
    </row>
    <row r="52">
      <c r="A52" s="13" t="n"/>
      <c r="B52" s="14" t="n"/>
      <c r="C52" s="14" t="n"/>
      <c r="D52" s="14" t="n"/>
      <c r="E52" s="14" t="n"/>
      <c r="F52" s="14" t="n"/>
      <c r="G52" s="14" t="n"/>
      <c r="H52" s="13" t="n"/>
      <c r="I52" s="13" t="n"/>
      <c r="J52" s="15">
        <f>IF($A52="","",ROUND(MAX(($B52*$C52*$D52)/MAX($F52,1),$E52)*IFERROR(SUMIF(tblVeriB[SiparisNo],$A52,tblVeriB[TarifTlDesi]),0)*$G52,2))</f>
        <v/>
      </c>
      <c r="K52" s="15">
        <f>IF($A52="","",1)</f>
        <v/>
      </c>
    </row>
    <row r="53">
      <c r="A53" s="13" t="n"/>
      <c r="B53" s="14" t="n"/>
      <c r="C53" s="14" t="n"/>
      <c r="D53" s="14" t="n"/>
      <c r="E53" s="14" t="n"/>
      <c r="F53" s="14" t="n"/>
      <c r="G53" s="14" t="n"/>
      <c r="H53" s="13" t="n"/>
      <c r="I53" s="13" t="n"/>
      <c r="J53" s="15">
        <f>IF($A53="","",ROUND(MAX(($B53*$C53*$D53)/MAX($F53,1),$E53)*IFERROR(SUMIF(tblVeriB[SiparisNo],$A53,tblVeriB[TarifTlDesi]),0)*$G53,2))</f>
        <v/>
      </c>
      <c r="K53" s="15">
        <f>IF($A53="","",1)</f>
        <v/>
      </c>
    </row>
    <row r="54">
      <c r="A54" s="13" t="n"/>
      <c r="B54" s="14" t="n"/>
      <c r="C54" s="14" t="n"/>
      <c r="D54" s="14" t="n"/>
      <c r="E54" s="14" t="n"/>
      <c r="F54" s="14" t="n"/>
      <c r="G54" s="14" t="n"/>
      <c r="H54" s="13" t="n"/>
      <c r="I54" s="13" t="n"/>
      <c r="J54" s="15">
        <f>IF($A54="","",ROUND(MAX(($B54*$C54*$D54)/MAX($F54,1),$E54)*IFERROR(SUMIF(tblVeriB[SiparisNo],$A54,tblVeriB[TarifTlDesi]),0)*$G54,2))</f>
        <v/>
      </c>
      <c r="K54" s="15">
        <f>IF($A54="","",1)</f>
        <v/>
      </c>
    </row>
    <row r="55">
      <c r="A55" s="13" t="n"/>
      <c r="B55" s="14" t="n"/>
      <c r="C55" s="14" t="n"/>
      <c r="D55" s="14" t="n"/>
      <c r="E55" s="14" t="n"/>
      <c r="F55" s="14" t="n"/>
      <c r="G55" s="14" t="n"/>
      <c r="H55" s="13" t="n"/>
      <c r="I55" s="13" t="n"/>
      <c r="J55" s="15">
        <f>IF($A55="","",ROUND(MAX(($B55*$C55*$D55)/MAX($F55,1),$E55)*IFERROR(SUMIF(tblVeriB[SiparisNo],$A55,tblVeriB[TarifTlDesi]),0)*$G55,2))</f>
        <v/>
      </c>
      <c r="K55" s="15">
        <f>IF($A55="","",1)</f>
        <v/>
      </c>
    </row>
    <row r="56">
      <c r="A56" s="13" t="n"/>
      <c r="B56" s="14" t="n"/>
      <c r="C56" s="14" t="n"/>
      <c r="D56" s="14" t="n"/>
      <c r="E56" s="14" t="n"/>
      <c r="F56" s="14" t="n"/>
      <c r="G56" s="14" t="n"/>
      <c r="H56" s="13" t="n"/>
      <c r="I56" s="13" t="n"/>
      <c r="J56" s="15">
        <f>IF($A56="","",ROUND(MAX(($B56*$C56*$D56)/MAX($F56,1),$E56)*IFERROR(SUMIF(tblVeriB[SiparisNo],$A56,tblVeriB[TarifTlDesi]),0)*$G56,2))</f>
        <v/>
      </c>
      <c r="K56" s="15">
        <f>IF($A56="","",1)</f>
        <v/>
      </c>
    </row>
    <row r="57">
      <c r="A57" s="13" t="n"/>
      <c r="B57" s="14" t="n"/>
      <c r="C57" s="14" t="n"/>
      <c r="D57" s="14" t="n"/>
      <c r="E57" s="14" t="n"/>
      <c r="F57" s="14" t="n"/>
      <c r="G57" s="14" t="n"/>
      <c r="H57" s="13" t="n"/>
      <c r="I57" s="13" t="n"/>
      <c r="J57" s="15">
        <f>IF($A57="","",ROUND(MAX(($B57*$C57*$D57)/MAX($F57,1),$E57)*IFERROR(SUMIF(tblVeriB[SiparisNo],$A57,tblVeriB[TarifTlDesi]),0)*$G57,2))</f>
        <v/>
      </c>
      <c r="K57" s="15">
        <f>IF($A57="","",1)</f>
        <v/>
      </c>
    </row>
    <row r="58">
      <c r="A58" s="13" t="n"/>
      <c r="B58" s="14" t="n"/>
      <c r="C58" s="14" t="n"/>
      <c r="D58" s="14" t="n"/>
      <c r="E58" s="14" t="n"/>
      <c r="F58" s="14" t="n"/>
      <c r="G58" s="14" t="n"/>
      <c r="H58" s="13" t="n"/>
      <c r="I58" s="13" t="n"/>
      <c r="J58" s="15">
        <f>IF($A58="","",ROUND(MAX(($B58*$C58*$D58)/MAX($F58,1),$E58)*IFERROR(SUMIF(tblVeriB[SiparisNo],$A58,tblVeriB[TarifTlDesi]),0)*$G58,2))</f>
        <v/>
      </c>
      <c r="K58" s="15">
        <f>IF($A58="","",1)</f>
        <v/>
      </c>
    </row>
    <row r="59">
      <c r="A59" s="13" t="n"/>
      <c r="B59" s="14" t="n"/>
      <c r="C59" s="14" t="n"/>
      <c r="D59" s="14" t="n"/>
      <c r="E59" s="14" t="n"/>
      <c r="F59" s="14" t="n"/>
      <c r="G59" s="14" t="n"/>
      <c r="H59" s="13" t="n"/>
      <c r="I59" s="13" t="n"/>
      <c r="J59" s="15">
        <f>IF($A59="","",ROUND(MAX(($B59*$C59*$D59)/MAX($F59,1),$E59)*IFERROR(SUMIF(tblVeriB[SiparisNo],$A59,tblVeriB[TarifTlDesi]),0)*$G59,2))</f>
        <v/>
      </c>
      <c r="K59" s="15">
        <f>IF($A59="","",1)</f>
        <v/>
      </c>
    </row>
    <row r="60">
      <c r="A60" s="13" t="n"/>
      <c r="B60" s="14" t="n"/>
      <c r="C60" s="14" t="n"/>
      <c r="D60" s="14" t="n"/>
      <c r="E60" s="14" t="n"/>
      <c r="F60" s="14" t="n"/>
      <c r="G60" s="14" t="n"/>
      <c r="H60" s="13" t="n"/>
      <c r="I60" s="13" t="n"/>
      <c r="J60" s="15">
        <f>IF($A60="","",ROUND(MAX(($B60*$C60*$D60)/MAX($F60,1),$E60)*IFERROR(SUMIF(tblVeriB[SiparisNo],$A60,tblVeriB[TarifTlDesi]),0)*$G60,2))</f>
        <v/>
      </c>
      <c r="K60" s="15">
        <f>IF($A60="","",1)</f>
        <v/>
      </c>
    </row>
    <row r="61">
      <c r="A61" s="13" t="n"/>
      <c r="B61" s="14" t="n"/>
      <c r="C61" s="14" t="n"/>
      <c r="D61" s="14" t="n"/>
      <c r="E61" s="14" t="n"/>
      <c r="F61" s="14" t="n"/>
      <c r="G61" s="14" t="n"/>
      <c r="H61" s="13" t="n"/>
      <c r="I61" s="13" t="n"/>
      <c r="J61" s="15">
        <f>IF($A61="","",ROUND(MAX(($B61*$C61*$D61)/MAX($F61,1),$E61)*IFERROR(SUMIF(tblVeriB[SiparisNo],$A61,tblVeriB[TarifTlDesi]),0)*$G61,2))</f>
        <v/>
      </c>
      <c r="K61" s="15">
        <f>IF($A61="","",1)</f>
        <v/>
      </c>
    </row>
    <row r="62">
      <c r="A62" s="13" t="n"/>
      <c r="B62" s="14" t="n"/>
      <c r="C62" s="14" t="n"/>
      <c r="D62" s="14" t="n"/>
      <c r="E62" s="14" t="n"/>
      <c r="F62" s="14" t="n"/>
      <c r="G62" s="14" t="n"/>
      <c r="H62" s="13" t="n"/>
      <c r="I62" s="13" t="n"/>
      <c r="J62" s="15">
        <f>IF($A62="","",ROUND(MAX(($B62*$C62*$D62)/MAX($F62,1),$E62)*IFERROR(SUMIF(tblVeriB[SiparisNo],$A62,tblVeriB[TarifTlDesi]),0)*$G62,2))</f>
        <v/>
      </c>
      <c r="K62" s="15">
        <f>IF($A62="","",1)</f>
        <v/>
      </c>
    </row>
    <row r="63">
      <c r="A63" s="13" t="n"/>
      <c r="B63" s="14" t="n"/>
      <c r="C63" s="14" t="n"/>
      <c r="D63" s="14" t="n"/>
      <c r="E63" s="14" t="n"/>
      <c r="F63" s="14" t="n"/>
      <c r="G63" s="14" t="n"/>
      <c r="H63" s="13" t="n"/>
      <c r="I63" s="13" t="n"/>
      <c r="J63" s="15">
        <f>IF($A63="","",ROUND(MAX(($B63*$C63*$D63)/MAX($F63,1),$E63)*IFERROR(SUMIF(tblVeriB[SiparisNo],$A63,tblVeriB[TarifTlDesi]),0)*$G63,2))</f>
        <v/>
      </c>
      <c r="K63" s="15">
        <f>IF($A63="","",1)</f>
        <v/>
      </c>
    </row>
    <row r="64">
      <c r="A64" s="13" t="n"/>
      <c r="B64" s="14" t="n"/>
      <c r="C64" s="14" t="n"/>
      <c r="D64" s="14" t="n"/>
      <c r="E64" s="14" t="n"/>
      <c r="F64" s="14" t="n"/>
      <c r="G64" s="14" t="n"/>
      <c r="H64" s="13" t="n"/>
      <c r="I64" s="13" t="n"/>
      <c r="J64" s="15">
        <f>IF($A64="","",ROUND(MAX(($B64*$C64*$D64)/MAX($F64,1),$E64)*IFERROR(SUMIF(tblVeriB[SiparisNo],$A64,tblVeriB[TarifTlDesi]),0)*$G64,2))</f>
        <v/>
      </c>
      <c r="K64" s="15">
        <f>IF($A64="","",1)</f>
        <v/>
      </c>
    </row>
    <row r="65">
      <c r="A65" s="13" t="n"/>
      <c r="B65" s="14" t="n"/>
      <c r="C65" s="14" t="n"/>
      <c r="D65" s="14" t="n"/>
      <c r="E65" s="14" t="n"/>
      <c r="F65" s="14" t="n"/>
      <c r="G65" s="14" t="n"/>
      <c r="H65" s="13" t="n"/>
      <c r="I65" s="13" t="n"/>
      <c r="J65" s="15">
        <f>IF($A65="","",ROUND(MAX(($B65*$C65*$D65)/MAX($F65,1),$E65)*IFERROR(SUMIF(tblVeriB[SiparisNo],$A65,tblVeriB[TarifTlDesi]),0)*$G65,2))</f>
        <v/>
      </c>
      <c r="K65" s="15">
        <f>IF($A65="","",1)</f>
        <v/>
      </c>
    </row>
    <row r="66">
      <c r="A66" s="13" t="n"/>
      <c r="B66" s="14" t="n"/>
      <c r="C66" s="14" t="n"/>
      <c r="D66" s="14" t="n"/>
      <c r="E66" s="14" t="n"/>
      <c r="F66" s="14" t="n"/>
      <c r="G66" s="14" t="n"/>
      <c r="H66" s="13" t="n"/>
      <c r="I66" s="13" t="n"/>
      <c r="J66" s="15">
        <f>IF($A66="","",ROUND(MAX(($B66*$C66*$D66)/MAX($F66,1),$E66)*IFERROR(SUMIF(tblVeriB[SiparisNo],$A66,tblVeriB[TarifTlDesi]),0)*$G66,2))</f>
        <v/>
      </c>
      <c r="K66" s="15">
        <f>IF($A66="","",1)</f>
        <v/>
      </c>
    </row>
    <row r="67">
      <c r="A67" s="13" t="n"/>
      <c r="B67" s="14" t="n"/>
      <c r="C67" s="14" t="n"/>
      <c r="D67" s="14" t="n"/>
      <c r="E67" s="14" t="n"/>
      <c r="F67" s="14" t="n"/>
      <c r="G67" s="14" t="n"/>
      <c r="H67" s="13" t="n"/>
      <c r="I67" s="13" t="n"/>
      <c r="J67" s="15">
        <f>IF($A67="","",ROUND(MAX(($B67*$C67*$D67)/MAX($F67,1),$E67)*IFERROR(SUMIF(tblVeriB[SiparisNo],$A67,tblVeriB[TarifTlDesi]),0)*$G67,2))</f>
        <v/>
      </c>
      <c r="K67" s="15">
        <f>IF($A67="","",1)</f>
        <v/>
      </c>
    </row>
    <row r="68">
      <c r="A68" s="13" t="n"/>
      <c r="B68" s="14" t="n"/>
      <c r="C68" s="14" t="n"/>
      <c r="D68" s="14" t="n"/>
      <c r="E68" s="14" t="n"/>
      <c r="F68" s="14" t="n"/>
      <c r="G68" s="14" t="n"/>
      <c r="H68" s="13" t="n"/>
      <c r="I68" s="13" t="n"/>
      <c r="J68" s="15">
        <f>IF($A68="","",ROUND(MAX(($B68*$C68*$D68)/MAX($F68,1),$E68)*IFERROR(SUMIF(tblVeriB[SiparisNo],$A68,tblVeriB[TarifTlDesi]),0)*$G68,2))</f>
        <v/>
      </c>
      <c r="K68" s="15">
        <f>IF($A68="","",1)</f>
        <v/>
      </c>
    </row>
    <row r="69">
      <c r="A69" s="13" t="n"/>
      <c r="B69" s="14" t="n"/>
      <c r="C69" s="14" t="n"/>
      <c r="D69" s="14" t="n"/>
      <c r="E69" s="14" t="n"/>
      <c r="F69" s="14" t="n"/>
      <c r="G69" s="14" t="n"/>
      <c r="H69" s="13" t="n"/>
      <c r="I69" s="13" t="n"/>
      <c r="J69" s="15">
        <f>IF($A69="","",ROUND(MAX(($B69*$C69*$D69)/MAX($F69,1),$E69)*IFERROR(SUMIF(tblVeriB[SiparisNo],$A69,tblVeriB[TarifTlDesi]),0)*$G69,2))</f>
        <v/>
      </c>
      <c r="K69" s="15">
        <f>IF($A69="","",1)</f>
        <v/>
      </c>
    </row>
    <row r="70">
      <c r="A70" s="13" t="n"/>
      <c r="B70" s="14" t="n"/>
      <c r="C70" s="14" t="n"/>
      <c r="D70" s="14" t="n"/>
      <c r="E70" s="14" t="n"/>
      <c r="F70" s="14" t="n"/>
      <c r="G70" s="14" t="n"/>
      <c r="H70" s="13" t="n"/>
      <c r="I70" s="13" t="n"/>
      <c r="J70" s="15">
        <f>IF($A70="","",ROUND(MAX(($B70*$C70*$D70)/MAX($F70,1),$E70)*IFERROR(SUMIF(tblVeriB[SiparisNo],$A70,tblVeriB[TarifTlDesi]),0)*$G70,2))</f>
        <v/>
      </c>
      <c r="K70" s="15">
        <f>IF($A70="","",1)</f>
        <v/>
      </c>
    </row>
    <row r="71">
      <c r="A71" s="13" t="n"/>
      <c r="B71" s="14" t="n"/>
      <c r="C71" s="14" t="n"/>
      <c r="D71" s="14" t="n"/>
      <c r="E71" s="14" t="n"/>
      <c r="F71" s="14" t="n"/>
      <c r="G71" s="14" t="n"/>
      <c r="H71" s="13" t="n"/>
      <c r="I71" s="13" t="n"/>
      <c r="J71" s="15">
        <f>IF($A71="","",ROUND(MAX(($B71*$C71*$D71)/MAX($F71,1),$E71)*IFERROR(SUMIF(tblVeriB[SiparisNo],$A71,tblVeriB[TarifTlDesi]),0)*$G71,2))</f>
        <v/>
      </c>
      <c r="K71" s="15">
        <f>IF($A71="","",1)</f>
        <v/>
      </c>
    </row>
    <row r="72">
      <c r="A72" s="13" t="n"/>
      <c r="B72" s="14" t="n"/>
      <c r="C72" s="14" t="n"/>
      <c r="D72" s="14" t="n"/>
      <c r="E72" s="14" t="n"/>
      <c r="F72" s="14" t="n"/>
      <c r="G72" s="14" t="n"/>
      <c r="H72" s="13" t="n"/>
      <c r="I72" s="13" t="n"/>
      <c r="J72" s="15">
        <f>IF($A72="","",ROUND(MAX(($B72*$C72*$D72)/MAX($F72,1),$E72)*IFERROR(SUMIF(tblVeriB[SiparisNo],$A72,tblVeriB[TarifTlDesi]),0)*$G72,2))</f>
        <v/>
      </c>
      <c r="K72" s="15">
        <f>IF($A72="","",1)</f>
        <v/>
      </c>
    </row>
    <row r="73">
      <c r="A73" s="13" t="n"/>
      <c r="B73" s="14" t="n"/>
      <c r="C73" s="14" t="n"/>
      <c r="D73" s="14" t="n"/>
      <c r="E73" s="14" t="n"/>
      <c r="F73" s="14" t="n"/>
      <c r="G73" s="14" t="n"/>
      <c r="H73" s="13" t="n"/>
      <c r="I73" s="13" t="n"/>
      <c r="J73" s="15">
        <f>IF($A73="","",ROUND(MAX(($B73*$C73*$D73)/MAX($F73,1),$E73)*IFERROR(SUMIF(tblVeriB[SiparisNo],$A73,tblVeriB[TarifTlDesi]),0)*$G73,2))</f>
        <v/>
      </c>
      <c r="K73" s="15">
        <f>IF($A73="","",1)</f>
        <v/>
      </c>
    </row>
    <row r="74">
      <c r="A74" s="13" t="n"/>
      <c r="B74" s="14" t="n"/>
      <c r="C74" s="14" t="n"/>
      <c r="D74" s="14" t="n"/>
      <c r="E74" s="14" t="n"/>
      <c r="F74" s="14" t="n"/>
      <c r="G74" s="14" t="n"/>
      <c r="H74" s="13" t="n"/>
      <c r="I74" s="13" t="n"/>
      <c r="J74" s="15">
        <f>IF($A74="","",ROUND(MAX(($B74*$C74*$D74)/MAX($F74,1),$E74)*IFERROR(SUMIF(tblVeriB[SiparisNo],$A74,tblVeriB[TarifTlDesi]),0)*$G74,2))</f>
        <v/>
      </c>
      <c r="K74" s="15">
        <f>IF($A74="","",1)</f>
        <v/>
      </c>
    </row>
    <row r="75">
      <c r="A75" s="13" t="n"/>
      <c r="B75" s="14" t="n"/>
      <c r="C75" s="14" t="n"/>
      <c r="D75" s="14" t="n"/>
      <c r="E75" s="14" t="n"/>
      <c r="F75" s="14" t="n"/>
      <c r="G75" s="14" t="n"/>
      <c r="H75" s="13" t="n"/>
      <c r="I75" s="13" t="n"/>
      <c r="J75" s="15">
        <f>IF($A75="","",ROUND(MAX(($B75*$C75*$D75)/MAX($F75,1),$E75)*IFERROR(SUMIF(tblVeriB[SiparisNo],$A75,tblVeriB[TarifTlDesi]),0)*$G75,2))</f>
        <v/>
      </c>
      <c r="K75" s="15">
        <f>IF($A75="","",1)</f>
        <v/>
      </c>
    </row>
    <row r="76">
      <c r="A76" s="13" t="n"/>
      <c r="B76" s="14" t="n"/>
      <c r="C76" s="14" t="n"/>
      <c r="D76" s="14" t="n"/>
      <c r="E76" s="14" t="n"/>
      <c r="F76" s="14" t="n"/>
      <c r="G76" s="14" t="n"/>
      <c r="H76" s="13" t="n"/>
      <c r="I76" s="13" t="n"/>
      <c r="J76" s="15">
        <f>IF($A76="","",ROUND(MAX(($B76*$C76*$D76)/MAX($F76,1),$E76)*IFERROR(SUMIF(tblVeriB[SiparisNo],$A76,tblVeriB[TarifTlDesi]),0)*$G76,2))</f>
        <v/>
      </c>
      <c r="K76" s="15">
        <f>IF($A76="","",1)</f>
        <v/>
      </c>
    </row>
    <row r="77">
      <c r="A77" s="13" t="n"/>
      <c r="B77" s="14" t="n"/>
      <c r="C77" s="14" t="n"/>
      <c r="D77" s="14" t="n"/>
      <c r="E77" s="14" t="n"/>
      <c r="F77" s="14" t="n"/>
      <c r="G77" s="14" t="n"/>
      <c r="H77" s="13" t="n"/>
      <c r="I77" s="13" t="n"/>
      <c r="J77" s="15">
        <f>IF($A77="","",ROUND(MAX(($B77*$C77*$D77)/MAX($F77,1),$E77)*IFERROR(SUMIF(tblVeriB[SiparisNo],$A77,tblVeriB[TarifTlDesi]),0)*$G77,2))</f>
        <v/>
      </c>
      <c r="K77" s="15">
        <f>IF($A77="","",1)</f>
        <v/>
      </c>
    </row>
    <row r="78">
      <c r="A78" s="13" t="n"/>
      <c r="B78" s="14" t="n"/>
      <c r="C78" s="14" t="n"/>
      <c r="D78" s="14" t="n"/>
      <c r="E78" s="14" t="n"/>
      <c r="F78" s="14" t="n"/>
      <c r="G78" s="14" t="n"/>
      <c r="H78" s="13" t="n"/>
      <c r="I78" s="13" t="n"/>
      <c r="J78" s="15">
        <f>IF($A78="","",ROUND(MAX(($B78*$C78*$D78)/MAX($F78,1),$E78)*IFERROR(SUMIF(tblVeriB[SiparisNo],$A78,tblVeriB[TarifTlDesi]),0)*$G78,2))</f>
        <v/>
      </c>
      <c r="K78" s="15">
        <f>IF($A78="","",1)</f>
        <v/>
      </c>
    </row>
    <row r="79">
      <c r="A79" s="13" t="n"/>
      <c r="B79" s="14" t="n"/>
      <c r="C79" s="14" t="n"/>
      <c r="D79" s="14" t="n"/>
      <c r="E79" s="14" t="n"/>
      <c r="F79" s="14" t="n"/>
      <c r="G79" s="14" t="n"/>
      <c r="H79" s="13" t="n"/>
      <c r="I79" s="13" t="n"/>
      <c r="J79" s="15">
        <f>IF($A79="","",ROUND(MAX(($B79*$C79*$D79)/MAX($F79,1),$E79)*IFERROR(SUMIF(tblVeriB[SiparisNo],$A79,tblVeriB[TarifTlDesi]),0)*$G79,2))</f>
        <v/>
      </c>
      <c r="K79" s="15">
        <f>IF($A79="","",1)</f>
        <v/>
      </c>
    </row>
    <row r="80">
      <c r="A80" s="13" t="n"/>
      <c r="B80" s="14" t="n"/>
      <c r="C80" s="14" t="n"/>
      <c r="D80" s="14" t="n"/>
      <c r="E80" s="14" t="n"/>
      <c r="F80" s="14" t="n"/>
      <c r="G80" s="14" t="n"/>
      <c r="H80" s="13" t="n"/>
      <c r="I80" s="13" t="n"/>
      <c r="J80" s="15">
        <f>IF($A80="","",ROUND(MAX(($B80*$C80*$D80)/MAX($F80,1),$E80)*IFERROR(SUMIF(tblVeriB[SiparisNo],$A80,tblVeriB[TarifTlDesi]),0)*$G80,2))</f>
        <v/>
      </c>
      <c r="K80" s="15">
        <f>IF($A80="","",1)</f>
        <v/>
      </c>
    </row>
    <row r="81">
      <c r="A81" s="13" t="n"/>
      <c r="B81" s="14" t="n"/>
      <c r="C81" s="14" t="n"/>
      <c r="D81" s="14" t="n"/>
      <c r="E81" s="14" t="n"/>
      <c r="F81" s="14" t="n"/>
      <c r="G81" s="14" t="n"/>
      <c r="H81" s="13" t="n"/>
      <c r="I81" s="13" t="n"/>
      <c r="J81" s="15">
        <f>IF($A81="","",ROUND(MAX(($B81*$C81*$D81)/MAX($F81,1),$E81)*IFERROR(SUMIF(tblVeriB[SiparisNo],$A81,tblVeriB[TarifTlDesi]),0)*$G81,2))</f>
        <v/>
      </c>
      <c r="K81" s="15">
        <f>IF($A81="","",1)</f>
        <v/>
      </c>
    </row>
    <row r="82">
      <c r="A82" s="13" t="n"/>
      <c r="B82" s="14" t="n"/>
      <c r="C82" s="14" t="n"/>
      <c r="D82" s="14" t="n"/>
      <c r="E82" s="14" t="n"/>
      <c r="F82" s="14" t="n"/>
      <c r="G82" s="14" t="n"/>
      <c r="H82" s="13" t="n"/>
      <c r="I82" s="13" t="n"/>
      <c r="J82" s="15">
        <f>IF($A82="","",ROUND(MAX(($B82*$C82*$D82)/MAX($F82,1),$E82)*IFERROR(SUMIF(tblVeriB[SiparisNo],$A82,tblVeriB[TarifTlDesi]),0)*$G82,2))</f>
        <v/>
      </c>
      <c r="K82" s="15">
        <f>IF($A82="","",1)</f>
        <v/>
      </c>
    </row>
    <row r="83">
      <c r="A83" s="13" t="n"/>
      <c r="B83" s="14" t="n"/>
      <c r="C83" s="14" t="n"/>
      <c r="D83" s="14" t="n"/>
      <c r="E83" s="14" t="n"/>
      <c r="F83" s="14" t="n"/>
      <c r="G83" s="14" t="n"/>
      <c r="H83" s="13" t="n"/>
      <c r="I83" s="13" t="n"/>
      <c r="J83" s="15">
        <f>IF($A83="","",ROUND(MAX(($B83*$C83*$D83)/MAX($F83,1),$E83)*IFERROR(SUMIF(tblVeriB[SiparisNo],$A83,tblVeriB[TarifTlDesi]),0)*$G83,2))</f>
        <v/>
      </c>
      <c r="K83" s="15">
        <f>IF($A83="","",1)</f>
        <v/>
      </c>
    </row>
    <row r="84">
      <c r="A84" s="13" t="n"/>
      <c r="B84" s="14" t="n"/>
      <c r="C84" s="14" t="n"/>
      <c r="D84" s="14" t="n"/>
      <c r="E84" s="14" t="n"/>
      <c r="F84" s="14" t="n"/>
      <c r="G84" s="14" t="n"/>
      <c r="H84" s="13" t="n"/>
      <c r="I84" s="13" t="n"/>
      <c r="J84" s="15">
        <f>IF($A84="","",ROUND(MAX(($B84*$C84*$D84)/MAX($F84,1),$E84)*IFERROR(SUMIF(tblVeriB[SiparisNo],$A84,tblVeriB[TarifTlDesi]),0)*$G84,2))</f>
        <v/>
      </c>
      <c r="K84" s="15">
        <f>IF($A84="","",1)</f>
        <v/>
      </c>
    </row>
    <row r="85">
      <c r="A85" s="13" t="n"/>
      <c r="B85" s="14" t="n"/>
      <c r="C85" s="14" t="n"/>
      <c r="D85" s="14" t="n"/>
      <c r="E85" s="14" t="n"/>
      <c r="F85" s="14" t="n"/>
      <c r="G85" s="14" t="n"/>
      <c r="H85" s="13" t="n"/>
      <c r="I85" s="13" t="n"/>
      <c r="J85" s="15">
        <f>IF($A85="","",ROUND(MAX(($B85*$C85*$D85)/MAX($F85,1),$E85)*IFERROR(SUMIF(tblVeriB[SiparisNo],$A85,tblVeriB[TarifTlDesi]),0)*$G85,2))</f>
        <v/>
      </c>
      <c r="K85" s="15">
        <f>IF($A85="","",1)</f>
        <v/>
      </c>
    </row>
    <row r="86">
      <c r="A86" s="13" t="n"/>
      <c r="B86" s="14" t="n"/>
      <c r="C86" s="14" t="n"/>
      <c r="D86" s="14" t="n"/>
      <c r="E86" s="14" t="n"/>
      <c r="F86" s="14" t="n"/>
      <c r="G86" s="14" t="n"/>
      <c r="H86" s="13" t="n"/>
      <c r="I86" s="13" t="n"/>
      <c r="J86" s="15">
        <f>IF($A86="","",ROUND(MAX(($B86*$C86*$D86)/MAX($F86,1),$E86)*IFERROR(SUMIF(tblVeriB[SiparisNo],$A86,tblVeriB[TarifTlDesi]),0)*$G86,2))</f>
        <v/>
      </c>
      <c r="K86" s="15">
        <f>IF($A86="","",1)</f>
        <v/>
      </c>
    </row>
    <row r="87">
      <c r="A87" s="13" t="n"/>
      <c r="B87" s="14" t="n"/>
      <c r="C87" s="14" t="n"/>
      <c r="D87" s="14" t="n"/>
      <c r="E87" s="14" t="n"/>
      <c r="F87" s="14" t="n"/>
      <c r="G87" s="14" t="n"/>
      <c r="H87" s="13" t="n"/>
      <c r="I87" s="13" t="n"/>
      <c r="J87" s="15">
        <f>IF($A87="","",ROUND(MAX(($B87*$C87*$D87)/MAX($F87,1),$E87)*IFERROR(SUMIF(tblVeriB[SiparisNo],$A87,tblVeriB[TarifTlDesi]),0)*$G87,2))</f>
        <v/>
      </c>
      <c r="K87" s="15">
        <f>IF($A87="","",1)</f>
        <v/>
      </c>
    </row>
    <row r="88">
      <c r="A88" s="13" t="n"/>
      <c r="B88" s="14" t="n"/>
      <c r="C88" s="14" t="n"/>
      <c r="D88" s="14" t="n"/>
      <c r="E88" s="14" t="n"/>
      <c r="F88" s="14" t="n"/>
      <c r="G88" s="14" t="n"/>
      <c r="H88" s="13" t="n"/>
      <c r="I88" s="13" t="n"/>
      <c r="J88" s="15">
        <f>IF($A88="","",ROUND(MAX(($B88*$C88*$D88)/MAX($F88,1),$E88)*IFERROR(SUMIF(tblVeriB[SiparisNo],$A88,tblVeriB[TarifTlDesi]),0)*$G88,2))</f>
        <v/>
      </c>
      <c r="K88" s="15">
        <f>IF($A88="","",1)</f>
        <v/>
      </c>
    </row>
    <row r="89">
      <c r="A89" s="13" t="n"/>
      <c r="B89" s="14" t="n"/>
      <c r="C89" s="14" t="n"/>
      <c r="D89" s="14" t="n"/>
      <c r="E89" s="14" t="n"/>
      <c r="F89" s="14" t="n"/>
      <c r="G89" s="14" t="n"/>
      <c r="H89" s="13" t="n"/>
      <c r="I89" s="13" t="n"/>
      <c r="J89" s="15">
        <f>IF($A89="","",ROUND(MAX(($B89*$C89*$D89)/MAX($F89,1),$E89)*IFERROR(SUMIF(tblVeriB[SiparisNo],$A89,tblVeriB[TarifTlDesi]),0)*$G89,2))</f>
        <v/>
      </c>
      <c r="K89" s="15">
        <f>IF($A89="","",1)</f>
        <v/>
      </c>
    </row>
    <row r="90">
      <c r="A90" s="13" t="n"/>
      <c r="B90" s="14" t="n"/>
      <c r="C90" s="14" t="n"/>
      <c r="D90" s="14" t="n"/>
      <c r="E90" s="14" t="n"/>
      <c r="F90" s="14" t="n"/>
      <c r="G90" s="14" t="n"/>
      <c r="H90" s="13" t="n"/>
      <c r="I90" s="13" t="n"/>
      <c r="J90" s="15">
        <f>IF($A90="","",ROUND(MAX(($B90*$C90*$D90)/MAX($F90,1),$E90)*IFERROR(SUMIF(tblVeriB[SiparisNo],$A90,tblVeriB[TarifTlDesi]),0)*$G90,2))</f>
        <v/>
      </c>
      <c r="K90" s="15">
        <f>IF($A90="","",1)</f>
        <v/>
      </c>
    </row>
    <row r="91">
      <c r="A91" s="13" t="n"/>
      <c r="B91" s="14" t="n"/>
      <c r="C91" s="14" t="n"/>
      <c r="D91" s="14" t="n"/>
      <c r="E91" s="14" t="n"/>
      <c r="F91" s="14" t="n"/>
      <c r="G91" s="14" t="n"/>
      <c r="H91" s="13" t="n"/>
      <c r="I91" s="13" t="n"/>
      <c r="J91" s="15">
        <f>IF($A91="","",ROUND(MAX(($B91*$C91*$D91)/MAX($F91,1),$E91)*IFERROR(SUMIF(tblVeriB[SiparisNo],$A91,tblVeriB[TarifTlDesi]),0)*$G91,2))</f>
        <v/>
      </c>
      <c r="K91" s="15">
        <f>IF($A91="","",1)</f>
        <v/>
      </c>
    </row>
    <row r="92">
      <c r="A92" s="13" t="n"/>
      <c r="B92" s="14" t="n"/>
      <c r="C92" s="14" t="n"/>
      <c r="D92" s="14" t="n"/>
      <c r="E92" s="14" t="n"/>
      <c r="F92" s="14" t="n"/>
      <c r="G92" s="14" t="n"/>
      <c r="H92" s="13" t="n"/>
      <c r="I92" s="13" t="n"/>
      <c r="J92" s="15">
        <f>IF($A92="","",ROUND(MAX(($B92*$C92*$D92)/MAX($F92,1),$E92)*IFERROR(SUMIF(tblVeriB[SiparisNo],$A92,tblVeriB[TarifTlDesi]),0)*$G92,2))</f>
        <v/>
      </c>
      <c r="K92" s="15">
        <f>IF($A92="","",1)</f>
        <v/>
      </c>
    </row>
    <row r="93">
      <c r="A93" s="13" t="n"/>
      <c r="B93" s="14" t="n"/>
      <c r="C93" s="14" t="n"/>
      <c r="D93" s="14" t="n"/>
      <c r="E93" s="14" t="n"/>
      <c r="F93" s="14" t="n"/>
      <c r="G93" s="14" t="n"/>
      <c r="H93" s="13" t="n"/>
      <c r="I93" s="13" t="n"/>
      <c r="J93" s="15">
        <f>IF($A93="","",ROUND(MAX(($B93*$C93*$D93)/MAX($F93,1),$E93)*IFERROR(SUMIF(tblVeriB[SiparisNo],$A93,tblVeriB[TarifTlDesi]),0)*$G93,2))</f>
        <v/>
      </c>
      <c r="K93" s="15">
        <f>IF($A93="","",1)</f>
        <v/>
      </c>
    </row>
    <row r="94">
      <c r="A94" s="13" t="n"/>
      <c r="B94" s="14" t="n"/>
      <c r="C94" s="14" t="n"/>
      <c r="D94" s="14" t="n"/>
      <c r="E94" s="14" t="n"/>
      <c r="F94" s="14" t="n"/>
      <c r="G94" s="14" t="n"/>
      <c r="H94" s="13" t="n"/>
      <c r="I94" s="13" t="n"/>
      <c r="J94" s="15">
        <f>IF($A94="","",ROUND(MAX(($B94*$C94*$D94)/MAX($F94,1),$E94)*IFERROR(SUMIF(tblVeriB[SiparisNo],$A94,tblVeriB[TarifTlDesi]),0)*$G94,2))</f>
        <v/>
      </c>
      <c r="K94" s="15">
        <f>IF($A94="","",1)</f>
        <v/>
      </c>
    </row>
    <row r="95">
      <c r="A95" s="13" t="n"/>
      <c r="B95" s="14" t="n"/>
      <c r="C95" s="14" t="n"/>
      <c r="D95" s="14" t="n"/>
      <c r="E95" s="14" t="n"/>
      <c r="F95" s="14" t="n"/>
      <c r="G95" s="14" t="n"/>
      <c r="H95" s="13" t="n"/>
      <c r="I95" s="13" t="n"/>
      <c r="J95" s="15">
        <f>IF($A95="","",ROUND(MAX(($B95*$C95*$D95)/MAX($F95,1),$E95)*IFERROR(SUMIF(tblVeriB[SiparisNo],$A95,tblVeriB[TarifTlDesi]),0)*$G95,2))</f>
        <v/>
      </c>
      <c r="K95" s="15">
        <f>IF($A95="","",1)</f>
        <v/>
      </c>
    </row>
    <row r="96">
      <c r="A96" s="13" t="n"/>
      <c r="B96" s="14" t="n"/>
      <c r="C96" s="14" t="n"/>
      <c r="D96" s="14" t="n"/>
      <c r="E96" s="14" t="n"/>
      <c r="F96" s="14" t="n"/>
      <c r="G96" s="14" t="n"/>
      <c r="H96" s="13" t="n"/>
      <c r="I96" s="13" t="n"/>
      <c r="J96" s="15">
        <f>IF($A96="","",ROUND(MAX(($B96*$C96*$D96)/MAX($F96,1),$E96)*IFERROR(SUMIF(tblVeriB[SiparisNo],$A96,tblVeriB[TarifTlDesi]),0)*$G96,2))</f>
        <v/>
      </c>
      <c r="K96" s="15">
        <f>IF($A96="","",1)</f>
        <v/>
      </c>
    </row>
    <row r="97">
      <c r="A97" s="13" t="n"/>
      <c r="B97" s="14" t="n"/>
      <c r="C97" s="14" t="n"/>
      <c r="D97" s="14" t="n"/>
      <c r="E97" s="14" t="n"/>
      <c r="F97" s="14" t="n"/>
      <c r="G97" s="14" t="n"/>
      <c r="H97" s="13" t="n"/>
      <c r="I97" s="13" t="n"/>
      <c r="J97" s="15">
        <f>IF($A97="","",ROUND(MAX(($B97*$C97*$D97)/MAX($F97,1),$E97)*IFERROR(SUMIF(tblVeriB[SiparisNo],$A97,tblVeriB[TarifTlDesi]),0)*$G97,2))</f>
        <v/>
      </c>
      <c r="K97" s="15">
        <f>IF($A97="","",1)</f>
        <v/>
      </c>
    </row>
    <row r="98">
      <c r="A98" s="13" t="n"/>
      <c r="B98" s="14" t="n"/>
      <c r="C98" s="14" t="n"/>
      <c r="D98" s="14" t="n"/>
      <c r="E98" s="14" t="n"/>
      <c r="F98" s="14" t="n"/>
      <c r="G98" s="14" t="n"/>
      <c r="H98" s="13" t="n"/>
      <c r="I98" s="13" t="n"/>
      <c r="J98" s="15">
        <f>IF($A98="","",ROUND(MAX(($B98*$C98*$D98)/MAX($F98,1),$E98)*IFERROR(SUMIF(tblVeriB[SiparisNo],$A98,tblVeriB[TarifTlDesi]),0)*$G98,2))</f>
        <v/>
      </c>
      <c r="K98" s="15">
        <f>IF($A98="","",1)</f>
        <v/>
      </c>
    </row>
    <row r="99">
      <c r="A99" s="13" t="n"/>
      <c r="B99" s="14" t="n"/>
      <c r="C99" s="14" t="n"/>
      <c r="D99" s="14" t="n"/>
      <c r="E99" s="14" t="n"/>
      <c r="F99" s="14" t="n"/>
      <c r="G99" s="14" t="n"/>
      <c r="H99" s="13" t="n"/>
      <c r="I99" s="13" t="n"/>
      <c r="J99" s="15">
        <f>IF($A99="","",ROUND(MAX(($B99*$C99*$D99)/MAX($F99,1),$E99)*IFERROR(SUMIF(tblVeriB[SiparisNo],$A99,tblVeriB[TarifTlDesi]),0)*$G99,2))</f>
        <v/>
      </c>
      <c r="K99" s="15">
        <f>IF($A99="","",1)</f>
        <v/>
      </c>
    </row>
    <row r="100">
      <c r="A100" s="13" t="n"/>
      <c r="B100" s="14" t="n"/>
      <c r="C100" s="14" t="n"/>
      <c r="D100" s="14" t="n"/>
      <c r="E100" s="14" t="n"/>
      <c r="F100" s="14" t="n"/>
      <c r="G100" s="14" t="n"/>
      <c r="H100" s="13" t="n"/>
      <c r="I100" s="13" t="n"/>
      <c r="J100" s="15">
        <f>IF($A100="","",ROUND(MAX(($B100*$C100*$D100)/MAX($F100,1),$E100)*IFERROR(SUMIF(tblVeriB[SiparisNo],$A100,tblVeriB[TarifTlDesi]),0)*$G100,2))</f>
        <v/>
      </c>
      <c r="K100" s="15">
        <f>IF($A100="","",1)</f>
        <v/>
      </c>
    </row>
    <row r="101">
      <c r="A101" s="13" t="n"/>
      <c r="B101" s="14" t="n"/>
      <c r="C101" s="14" t="n"/>
      <c r="D101" s="14" t="n"/>
      <c r="E101" s="14" t="n"/>
      <c r="F101" s="14" t="n"/>
      <c r="G101" s="14" t="n"/>
      <c r="H101" s="13" t="n"/>
      <c r="I101" s="13" t="n"/>
      <c r="J101" s="15">
        <f>IF($A101="","",ROUND(MAX(($B101*$C101*$D101)/MAX($F101,1),$E101)*IFERROR(SUMIF(tblVeriB[SiparisNo],$A101,tblVeriB[TarifTlDesi]),0)*$G101,2))</f>
        <v/>
      </c>
      <c r="K101" s="15">
        <f>IF($A101="","",1)</f>
        <v/>
      </c>
    </row>
    <row r="102">
      <c r="A102" s="13" t="n"/>
      <c r="B102" s="14" t="n"/>
      <c r="C102" s="14" t="n"/>
      <c r="D102" s="14" t="n"/>
      <c r="E102" s="14" t="n"/>
      <c r="F102" s="14" t="n"/>
      <c r="G102" s="14" t="n"/>
      <c r="H102" s="13" t="n"/>
      <c r="I102" s="13" t="n"/>
      <c r="J102" s="15">
        <f>IF($A102="","",ROUND(MAX(($B102*$C102*$D102)/MAX($F102,1),$E102)*IFERROR(SUMIF(tblVeriB[SiparisNo],$A102,tblVeriB[TarifTlDesi]),0)*$G102,2))</f>
        <v/>
      </c>
      <c r="K102" s="15">
        <f>IF($A102="","",1)</f>
        <v/>
      </c>
    </row>
    <row r="103">
      <c r="A103" s="13" t="n"/>
      <c r="B103" s="14" t="n"/>
      <c r="C103" s="14" t="n"/>
      <c r="D103" s="14" t="n"/>
      <c r="E103" s="14" t="n"/>
      <c r="F103" s="14" t="n"/>
      <c r="G103" s="14" t="n"/>
      <c r="H103" s="13" t="n"/>
      <c r="I103" s="13" t="n"/>
      <c r="J103" s="15">
        <f>IF($A103="","",ROUND(MAX(($B103*$C103*$D103)/MAX($F103,1),$E103)*IFERROR(SUMIF(tblVeriB[SiparisNo],$A103,tblVeriB[TarifTlDesi]),0)*$G103,2))</f>
        <v/>
      </c>
      <c r="K103" s="15">
        <f>IF($A103="","",1)</f>
        <v/>
      </c>
    </row>
    <row r="104">
      <c r="A104" s="13" t="n"/>
      <c r="B104" s="14" t="n"/>
      <c r="C104" s="14" t="n"/>
      <c r="D104" s="14" t="n"/>
      <c r="E104" s="14" t="n"/>
      <c r="F104" s="14" t="n"/>
      <c r="G104" s="14" t="n"/>
      <c r="H104" s="13" t="n"/>
      <c r="I104" s="13" t="n"/>
      <c r="J104" s="15">
        <f>IF($A104="","",ROUND(MAX(($B104*$C104*$D104)/MAX($F104,1),$E104)*IFERROR(SUMIF(tblVeriB[SiparisNo],$A104,tblVeriB[TarifTlDesi]),0)*$G104,2))</f>
        <v/>
      </c>
      <c r="K104" s="15">
        <f>IF($A104="","",1)</f>
        <v/>
      </c>
    </row>
    <row r="105">
      <c r="A105" s="13" t="n"/>
      <c r="B105" s="14" t="n"/>
      <c r="C105" s="14" t="n"/>
      <c r="D105" s="14" t="n"/>
      <c r="E105" s="14" t="n"/>
      <c r="F105" s="14" t="n"/>
      <c r="G105" s="14" t="n"/>
      <c r="H105" s="13" t="n"/>
      <c r="I105" s="13" t="n"/>
      <c r="J105" s="15">
        <f>IF($A105="","",ROUND(MAX(($B105*$C105*$D105)/MAX($F105,1),$E105)*IFERROR(SUMIF(tblVeriB[SiparisNo],$A105,tblVeriB[TarifTlDesi]),0)*$G105,2))</f>
        <v/>
      </c>
      <c r="K105" s="15">
        <f>IF($A105="","",1)</f>
        <v/>
      </c>
    </row>
    <row r="106">
      <c r="A106" s="13" t="n"/>
      <c r="B106" s="14" t="n"/>
      <c r="C106" s="14" t="n"/>
      <c r="D106" s="14" t="n"/>
      <c r="E106" s="14" t="n"/>
      <c r="F106" s="14" t="n"/>
      <c r="G106" s="14" t="n"/>
      <c r="H106" s="13" t="n"/>
      <c r="I106" s="13" t="n"/>
      <c r="J106" s="15">
        <f>IF($A106="","",ROUND(MAX(($B106*$C106*$D106)/MAX($F106,1),$E106)*IFERROR(SUMIF(tblVeriB[SiparisNo],$A106,tblVeriB[TarifTlDesi]),0)*$G106,2))</f>
        <v/>
      </c>
      <c r="K106" s="15">
        <f>IF($A106="","",1)</f>
        <v/>
      </c>
    </row>
    <row r="107">
      <c r="A107" s="13" t="n"/>
      <c r="B107" s="14" t="n"/>
      <c r="C107" s="14" t="n"/>
      <c r="D107" s="14" t="n"/>
      <c r="E107" s="14" t="n"/>
      <c r="F107" s="14" t="n"/>
      <c r="G107" s="14" t="n"/>
      <c r="H107" s="13" t="n"/>
      <c r="I107" s="13" t="n"/>
      <c r="J107" s="15">
        <f>IF($A107="","",ROUND(MAX(($B107*$C107*$D107)/MAX($F107,1),$E107)*IFERROR(SUMIF(tblVeriB[SiparisNo],$A107,tblVeriB[TarifTlDesi]),0)*$G107,2))</f>
        <v/>
      </c>
      <c r="K107" s="15">
        <f>IF($A107="","",1)</f>
        <v/>
      </c>
    </row>
    <row r="108">
      <c r="A108" s="13" t="n"/>
      <c r="B108" s="14" t="n"/>
      <c r="C108" s="14" t="n"/>
      <c r="D108" s="14" t="n"/>
      <c r="E108" s="14" t="n"/>
      <c r="F108" s="14" t="n"/>
      <c r="G108" s="14" t="n"/>
      <c r="H108" s="13" t="n"/>
      <c r="I108" s="13" t="n"/>
      <c r="J108" s="15">
        <f>IF($A108="","",ROUND(MAX(($B108*$C108*$D108)/MAX($F108,1),$E108)*IFERROR(SUMIF(tblVeriB[SiparisNo],$A108,tblVeriB[TarifTlDesi]),0)*$G108,2))</f>
        <v/>
      </c>
      <c r="K108" s="15">
        <f>IF($A108="","",1)</f>
        <v/>
      </c>
    </row>
    <row r="109">
      <c r="A109" s="13" t="n"/>
      <c r="B109" s="14" t="n"/>
      <c r="C109" s="14" t="n"/>
      <c r="D109" s="14" t="n"/>
      <c r="E109" s="14" t="n"/>
      <c r="F109" s="14" t="n"/>
      <c r="G109" s="14" t="n"/>
      <c r="H109" s="13" t="n"/>
      <c r="I109" s="13" t="n"/>
      <c r="J109" s="15">
        <f>IF($A109="","",ROUND(MAX(($B109*$C109*$D109)/MAX($F109,1),$E109)*IFERROR(SUMIF(tblVeriB[SiparisNo],$A109,tblVeriB[TarifTlDesi]),0)*$G109,2))</f>
        <v/>
      </c>
      <c r="K109" s="15">
        <f>IF($A109="","",1)</f>
        <v/>
      </c>
    </row>
    <row r="110">
      <c r="A110" s="13" t="n"/>
      <c r="B110" s="14" t="n"/>
      <c r="C110" s="14" t="n"/>
      <c r="D110" s="14" t="n"/>
      <c r="E110" s="14" t="n"/>
      <c r="F110" s="14" t="n"/>
      <c r="G110" s="14" t="n"/>
      <c r="H110" s="13" t="n"/>
      <c r="I110" s="13" t="n"/>
      <c r="J110" s="15">
        <f>IF($A110="","",ROUND(MAX(($B110*$C110*$D110)/MAX($F110,1),$E110)*IFERROR(SUMIF(tblVeriB[SiparisNo],$A110,tblVeriB[TarifTlDesi]),0)*$G110,2))</f>
        <v/>
      </c>
      <c r="K110" s="15">
        <f>IF($A110="","",1)</f>
        <v/>
      </c>
    </row>
    <row r="111">
      <c r="A111" s="13" t="n"/>
      <c r="B111" s="14" t="n"/>
      <c r="C111" s="14" t="n"/>
      <c r="D111" s="14" t="n"/>
      <c r="E111" s="14" t="n"/>
      <c r="F111" s="14" t="n"/>
      <c r="G111" s="14" t="n"/>
      <c r="H111" s="13" t="n"/>
      <c r="I111" s="13" t="n"/>
      <c r="J111" s="15">
        <f>IF($A111="","",ROUND(MAX(($B111*$C111*$D111)/MAX($F111,1),$E111)*IFERROR(SUMIF(tblVeriB[SiparisNo],$A111,tblVeriB[TarifTlDesi]),0)*$G111,2))</f>
        <v/>
      </c>
      <c r="K111" s="15">
        <f>IF($A111="","",1)</f>
        <v/>
      </c>
    </row>
    <row r="112">
      <c r="A112" s="13" t="n"/>
      <c r="B112" s="14" t="n"/>
      <c r="C112" s="14" t="n"/>
      <c r="D112" s="14" t="n"/>
      <c r="E112" s="14" t="n"/>
      <c r="F112" s="14" t="n"/>
      <c r="G112" s="14" t="n"/>
      <c r="H112" s="13" t="n"/>
      <c r="I112" s="13" t="n"/>
      <c r="J112" s="15">
        <f>IF($A112="","",ROUND(MAX(($B112*$C112*$D112)/MAX($F112,1),$E112)*IFERROR(SUMIF(tblVeriB[SiparisNo],$A112,tblVeriB[TarifTlDesi]),0)*$G112,2))</f>
        <v/>
      </c>
      <c r="K112" s="15">
        <f>IF($A112="","",1)</f>
        <v/>
      </c>
    </row>
    <row r="113">
      <c r="A113" s="13" t="n"/>
      <c r="B113" s="14" t="n"/>
      <c r="C113" s="14" t="n"/>
      <c r="D113" s="14" t="n"/>
      <c r="E113" s="14" t="n"/>
      <c r="F113" s="14" t="n"/>
      <c r="G113" s="14" t="n"/>
      <c r="H113" s="13" t="n"/>
      <c r="I113" s="13" t="n"/>
      <c r="J113" s="15">
        <f>IF($A113="","",ROUND(MAX(($B113*$C113*$D113)/MAX($F113,1),$E113)*IFERROR(SUMIF(tblVeriB[SiparisNo],$A113,tblVeriB[TarifTlDesi]),0)*$G113,2))</f>
        <v/>
      </c>
      <c r="K113" s="15">
        <f>IF($A113="","",1)</f>
        <v/>
      </c>
    </row>
    <row r="114">
      <c r="A114" s="13" t="n"/>
      <c r="B114" s="14" t="n"/>
      <c r="C114" s="14" t="n"/>
      <c r="D114" s="14" t="n"/>
      <c r="E114" s="14" t="n"/>
      <c r="F114" s="14" t="n"/>
      <c r="G114" s="14" t="n"/>
      <c r="H114" s="13" t="n"/>
      <c r="I114" s="13" t="n"/>
      <c r="J114" s="15">
        <f>IF($A114="","",ROUND(MAX(($B114*$C114*$D114)/MAX($F114,1),$E114)*IFERROR(SUMIF(tblVeriB[SiparisNo],$A114,tblVeriB[TarifTlDesi]),0)*$G114,2))</f>
        <v/>
      </c>
      <c r="K114" s="15">
        <f>IF($A114="","",1)</f>
        <v/>
      </c>
    </row>
    <row r="115">
      <c r="A115" s="13" t="n"/>
      <c r="B115" s="14" t="n"/>
      <c r="C115" s="14" t="n"/>
      <c r="D115" s="14" t="n"/>
      <c r="E115" s="14" t="n"/>
      <c r="F115" s="14" t="n"/>
      <c r="G115" s="14" t="n"/>
      <c r="H115" s="13" t="n"/>
      <c r="I115" s="13" t="n"/>
      <c r="J115" s="15">
        <f>IF($A115="","",ROUND(MAX(($B115*$C115*$D115)/MAX($F115,1),$E115)*IFERROR(SUMIF(tblVeriB[SiparisNo],$A115,tblVeriB[TarifTlDesi]),0)*$G115,2))</f>
        <v/>
      </c>
      <c r="K115" s="15">
        <f>IF($A115="","",1)</f>
        <v/>
      </c>
    </row>
    <row r="116">
      <c r="A116" s="13" t="n"/>
      <c r="B116" s="14" t="n"/>
      <c r="C116" s="14" t="n"/>
      <c r="D116" s="14" t="n"/>
      <c r="E116" s="14" t="n"/>
      <c r="F116" s="14" t="n"/>
      <c r="G116" s="14" t="n"/>
      <c r="H116" s="13" t="n"/>
      <c r="I116" s="13" t="n"/>
      <c r="J116" s="15">
        <f>IF($A116="","",ROUND(MAX(($B116*$C116*$D116)/MAX($F116,1),$E116)*IFERROR(SUMIF(tblVeriB[SiparisNo],$A116,tblVeriB[TarifTlDesi]),0)*$G116,2))</f>
        <v/>
      </c>
      <c r="K116" s="15">
        <f>IF($A116="","",1)</f>
        <v/>
      </c>
    </row>
    <row r="117">
      <c r="A117" s="13" t="n"/>
      <c r="B117" s="14" t="n"/>
      <c r="C117" s="14" t="n"/>
      <c r="D117" s="14" t="n"/>
      <c r="E117" s="14" t="n"/>
      <c r="F117" s="14" t="n"/>
      <c r="G117" s="14" t="n"/>
      <c r="H117" s="13" t="n"/>
      <c r="I117" s="13" t="n"/>
      <c r="J117" s="15">
        <f>IF($A117="","",ROUND(MAX(($B117*$C117*$D117)/MAX($F117,1),$E117)*IFERROR(SUMIF(tblVeriB[SiparisNo],$A117,tblVeriB[TarifTlDesi]),0)*$G117,2))</f>
        <v/>
      </c>
      <c r="K117" s="15">
        <f>IF($A117="","",1)</f>
        <v/>
      </c>
    </row>
    <row r="118">
      <c r="A118" s="13" t="n"/>
      <c r="B118" s="14" t="n"/>
      <c r="C118" s="14" t="n"/>
      <c r="D118" s="14" t="n"/>
      <c r="E118" s="14" t="n"/>
      <c r="F118" s="14" t="n"/>
      <c r="G118" s="14" t="n"/>
      <c r="H118" s="13" t="n"/>
      <c r="I118" s="13" t="n"/>
      <c r="J118" s="15">
        <f>IF($A118="","",ROUND(MAX(($B118*$C118*$D118)/MAX($F118,1),$E118)*IFERROR(SUMIF(tblVeriB[SiparisNo],$A118,tblVeriB[TarifTlDesi]),0)*$G118,2))</f>
        <v/>
      </c>
      <c r="K118" s="15">
        <f>IF($A118="","",1)</f>
        <v/>
      </c>
    </row>
    <row r="119">
      <c r="A119" s="13" t="n"/>
      <c r="B119" s="14" t="n"/>
      <c r="C119" s="14" t="n"/>
      <c r="D119" s="14" t="n"/>
      <c r="E119" s="14" t="n"/>
      <c r="F119" s="14" t="n"/>
      <c r="G119" s="14" t="n"/>
      <c r="H119" s="13" t="n"/>
      <c r="I119" s="13" t="n"/>
      <c r="J119" s="15">
        <f>IF($A119="","",ROUND(MAX(($B119*$C119*$D119)/MAX($F119,1),$E119)*IFERROR(SUMIF(tblVeriB[SiparisNo],$A119,tblVeriB[TarifTlDesi]),0)*$G119,2))</f>
        <v/>
      </c>
      <c r="K119" s="15">
        <f>IF($A119="","",1)</f>
        <v/>
      </c>
    </row>
    <row r="120">
      <c r="A120" s="13" t="n"/>
      <c r="B120" s="14" t="n"/>
      <c r="C120" s="14" t="n"/>
      <c r="D120" s="14" t="n"/>
      <c r="E120" s="14" t="n"/>
      <c r="F120" s="14" t="n"/>
      <c r="G120" s="14" t="n"/>
      <c r="H120" s="13" t="n"/>
      <c r="I120" s="13" t="n"/>
      <c r="J120" s="15">
        <f>IF($A120="","",ROUND(MAX(($B120*$C120*$D120)/MAX($F120,1),$E120)*IFERROR(SUMIF(tblVeriB[SiparisNo],$A120,tblVeriB[TarifTlDesi]),0)*$G120,2))</f>
        <v/>
      </c>
      <c r="K120" s="15">
        <f>IF($A120="","",1)</f>
        <v/>
      </c>
    </row>
    <row r="121">
      <c r="A121" s="13" t="n"/>
      <c r="B121" s="14" t="n"/>
      <c r="C121" s="14" t="n"/>
      <c r="D121" s="14" t="n"/>
      <c r="E121" s="14" t="n"/>
      <c r="F121" s="14" t="n"/>
      <c r="G121" s="14" t="n"/>
      <c r="H121" s="13" t="n"/>
      <c r="I121" s="13" t="n"/>
      <c r="J121" s="15">
        <f>IF($A121="","",ROUND(MAX(($B121*$C121*$D121)/MAX($F121,1),$E121)*IFERROR(SUMIF(tblVeriB[SiparisNo],$A121,tblVeriB[TarifTlDesi]),0)*$G121,2))</f>
        <v/>
      </c>
      <c r="K121" s="15">
        <f>IF($A121="","",1)</f>
        <v/>
      </c>
    </row>
    <row r="122">
      <c r="A122" s="13" t="n"/>
      <c r="B122" s="14" t="n"/>
      <c r="C122" s="14" t="n"/>
      <c r="D122" s="14" t="n"/>
      <c r="E122" s="14" t="n"/>
      <c r="F122" s="14" t="n"/>
      <c r="G122" s="14" t="n"/>
      <c r="H122" s="13" t="n"/>
      <c r="I122" s="13" t="n"/>
      <c r="J122" s="15">
        <f>IF($A122="","",ROUND(MAX(($B122*$C122*$D122)/MAX($F122,1),$E122)*IFERROR(SUMIF(tblVeriB[SiparisNo],$A122,tblVeriB[TarifTlDesi]),0)*$G122,2))</f>
        <v/>
      </c>
      <c r="K122" s="15">
        <f>IF($A122="","",1)</f>
        <v/>
      </c>
    </row>
    <row r="123">
      <c r="A123" s="13" t="n"/>
      <c r="B123" s="14" t="n"/>
      <c r="C123" s="14" t="n"/>
      <c r="D123" s="14" t="n"/>
      <c r="E123" s="14" t="n"/>
      <c r="F123" s="14" t="n"/>
      <c r="G123" s="14" t="n"/>
      <c r="H123" s="13" t="n"/>
      <c r="I123" s="13" t="n"/>
      <c r="J123" s="15">
        <f>IF($A123="","",ROUND(MAX(($B123*$C123*$D123)/MAX($F123,1),$E123)*IFERROR(SUMIF(tblVeriB[SiparisNo],$A123,tblVeriB[TarifTlDesi]),0)*$G123,2))</f>
        <v/>
      </c>
      <c r="K123" s="15">
        <f>IF($A123="","",1)</f>
        <v/>
      </c>
    </row>
    <row r="124">
      <c r="A124" s="13" t="n"/>
      <c r="B124" s="14" t="n"/>
      <c r="C124" s="14" t="n"/>
      <c r="D124" s="14" t="n"/>
      <c r="E124" s="14" t="n"/>
      <c r="F124" s="14" t="n"/>
      <c r="G124" s="14" t="n"/>
      <c r="H124" s="13" t="n"/>
      <c r="I124" s="13" t="n"/>
      <c r="J124" s="15">
        <f>IF($A124="","",ROUND(MAX(($B124*$C124*$D124)/MAX($F124,1),$E124)*IFERROR(SUMIF(tblVeriB[SiparisNo],$A124,tblVeriB[TarifTlDesi]),0)*$G124,2))</f>
        <v/>
      </c>
      <c r="K124" s="15">
        <f>IF($A124="","",1)</f>
        <v/>
      </c>
    </row>
    <row r="125">
      <c r="A125" s="13" t="n"/>
      <c r="B125" s="14" t="n"/>
      <c r="C125" s="14" t="n"/>
      <c r="D125" s="14" t="n"/>
      <c r="E125" s="14" t="n"/>
      <c r="F125" s="14" t="n"/>
      <c r="G125" s="14" t="n"/>
      <c r="H125" s="13" t="n"/>
      <c r="I125" s="13" t="n"/>
      <c r="J125" s="15">
        <f>IF($A125="","",ROUND(MAX(($B125*$C125*$D125)/MAX($F125,1),$E125)*IFERROR(SUMIF(tblVeriB[SiparisNo],$A125,tblVeriB[TarifTlDesi]),0)*$G125,2))</f>
        <v/>
      </c>
      <c r="K125" s="15">
        <f>IF($A125="","",1)</f>
        <v/>
      </c>
    </row>
    <row r="126">
      <c r="A126" s="13" t="n"/>
      <c r="B126" s="14" t="n"/>
      <c r="C126" s="14" t="n"/>
      <c r="D126" s="14" t="n"/>
      <c r="E126" s="14" t="n"/>
      <c r="F126" s="14" t="n"/>
      <c r="G126" s="14" t="n"/>
      <c r="H126" s="13" t="n"/>
      <c r="I126" s="13" t="n"/>
      <c r="J126" s="15">
        <f>IF($A126="","",ROUND(MAX(($B126*$C126*$D126)/MAX($F126,1),$E126)*IFERROR(SUMIF(tblVeriB[SiparisNo],$A126,tblVeriB[TarifTlDesi]),0)*$G126,2))</f>
        <v/>
      </c>
      <c r="K126" s="15">
        <f>IF($A126="","",1)</f>
        <v/>
      </c>
    </row>
    <row r="127">
      <c r="A127" s="13" t="n"/>
      <c r="B127" s="14" t="n"/>
      <c r="C127" s="14" t="n"/>
      <c r="D127" s="14" t="n"/>
      <c r="E127" s="14" t="n"/>
      <c r="F127" s="14" t="n"/>
      <c r="G127" s="14" t="n"/>
      <c r="H127" s="13" t="n"/>
      <c r="I127" s="13" t="n"/>
      <c r="J127" s="15">
        <f>IF($A127="","",ROUND(MAX(($B127*$C127*$D127)/MAX($F127,1),$E127)*IFERROR(SUMIF(tblVeriB[SiparisNo],$A127,tblVeriB[TarifTlDesi]),0)*$G127,2))</f>
        <v/>
      </c>
      <c r="K127" s="15">
        <f>IF($A127="","",1)</f>
        <v/>
      </c>
    </row>
    <row r="128">
      <c r="A128" s="13" t="n"/>
      <c r="B128" s="14" t="n"/>
      <c r="C128" s="14" t="n"/>
      <c r="D128" s="14" t="n"/>
      <c r="E128" s="14" t="n"/>
      <c r="F128" s="14" t="n"/>
      <c r="G128" s="14" t="n"/>
      <c r="H128" s="13" t="n"/>
      <c r="I128" s="13" t="n"/>
      <c r="J128" s="15">
        <f>IF($A128="","",ROUND(MAX(($B128*$C128*$D128)/MAX($F128,1),$E128)*IFERROR(SUMIF(tblVeriB[SiparisNo],$A128,tblVeriB[TarifTlDesi]),0)*$G128,2))</f>
        <v/>
      </c>
      <c r="K128" s="15">
        <f>IF($A128="","",1)</f>
        <v/>
      </c>
    </row>
    <row r="129">
      <c r="A129" s="13" t="n"/>
      <c r="B129" s="14" t="n"/>
      <c r="C129" s="14" t="n"/>
      <c r="D129" s="14" t="n"/>
      <c r="E129" s="14" t="n"/>
      <c r="F129" s="14" t="n"/>
      <c r="G129" s="14" t="n"/>
      <c r="H129" s="13" t="n"/>
      <c r="I129" s="13" t="n"/>
      <c r="J129" s="15">
        <f>IF($A129="","",ROUND(MAX(($B129*$C129*$D129)/MAX($F129,1),$E129)*IFERROR(SUMIF(tblVeriB[SiparisNo],$A129,tblVeriB[TarifTlDesi]),0)*$G129,2))</f>
        <v/>
      </c>
      <c r="K129" s="15">
        <f>IF($A129="","",1)</f>
        <v/>
      </c>
    </row>
    <row r="130">
      <c r="A130" s="13" t="n"/>
      <c r="B130" s="14" t="n"/>
      <c r="C130" s="14" t="n"/>
      <c r="D130" s="14" t="n"/>
      <c r="E130" s="14" t="n"/>
      <c r="F130" s="14" t="n"/>
      <c r="G130" s="14" t="n"/>
      <c r="H130" s="13" t="n"/>
      <c r="I130" s="13" t="n"/>
      <c r="J130" s="15">
        <f>IF($A130="","",ROUND(MAX(($B130*$C130*$D130)/MAX($F130,1),$E130)*IFERROR(SUMIF(tblVeriB[SiparisNo],$A130,tblVeriB[TarifTlDesi]),0)*$G130,2))</f>
        <v/>
      </c>
      <c r="K130" s="15">
        <f>IF($A130="","",1)</f>
        <v/>
      </c>
    </row>
    <row r="131">
      <c r="A131" s="13" t="n"/>
      <c r="B131" s="14" t="n"/>
      <c r="C131" s="14" t="n"/>
      <c r="D131" s="14" t="n"/>
      <c r="E131" s="14" t="n"/>
      <c r="F131" s="14" t="n"/>
      <c r="G131" s="14" t="n"/>
      <c r="H131" s="13" t="n"/>
      <c r="I131" s="13" t="n"/>
      <c r="J131" s="15">
        <f>IF($A131="","",ROUND(MAX(($B131*$C131*$D131)/MAX($F131,1),$E131)*IFERROR(SUMIF(tblVeriB[SiparisNo],$A131,tblVeriB[TarifTlDesi]),0)*$G131,2))</f>
        <v/>
      </c>
      <c r="K131" s="15">
        <f>IF($A131="","",1)</f>
        <v/>
      </c>
    </row>
    <row r="132">
      <c r="A132" s="13" t="n"/>
      <c r="B132" s="14" t="n"/>
      <c r="C132" s="14" t="n"/>
      <c r="D132" s="14" t="n"/>
      <c r="E132" s="14" t="n"/>
      <c r="F132" s="14" t="n"/>
      <c r="G132" s="14" t="n"/>
      <c r="H132" s="13" t="n"/>
      <c r="I132" s="13" t="n"/>
      <c r="J132" s="15">
        <f>IF($A132="","",ROUND(MAX(($B132*$C132*$D132)/MAX($F132,1),$E132)*IFERROR(SUMIF(tblVeriB[SiparisNo],$A132,tblVeriB[TarifTlDesi]),0)*$G132,2))</f>
        <v/>
      </c>
      <c r="K132" s="15">
        <f>IF($A132="","",1)</f>
        <v/>
      </c>
    </row>
    <row r="133">
      <c r="A133" s="13" t="n"/>
      <c r="B133" s="14" t="n"/>
      <c r="C133" s="14" t="n"/>
      <c r="D133" s="14" t="n"/>
      <c r="E133" s="14" t="n"/>
      <c r="F133" s="14" t="n"/>
      <c r="G133" s="14" t="n"/>
      <c r="H133" s="13" t="n"/>
      <c r="I133" s="13" t="n"/>
      <c r="J133" s="15">
        <f>IF($A133="","",ROUND(MAX(($B133*$C133*$D133)/MAX($F133,1),$E133)*IFERROR(SUMIF(tblVeriB[SiparisNo],$A133,tblVeriB[TarifTlDesi]),0)*$G133,2))</f>
        <v/>
      </c>
      <c r="K133" s="15">
        <f>IF($A133="","",1)</f>
        <v/>
      </c>
    </row>
    <row r="134">
      <c r="A134" s="13" t="n"/>
      <c r="B134" s="14" t="n"/>
      <c r="C134" s="14" t="n"/>
      <c r="D134" s="14" t="n"/>
      <c r="E134" s="14" t="n"/>
      <c r="F134" s="14" t="n"/>
      <c r="G134" s="14" t="n"/>
      <c r="H134" s="13" t="n"/>
      <c r="I134" s="13" t="n"/>
      <c r="J134" s="15">
        <f>IF($A134="","",ROUND(MAX(($B134*$C134*$D134)/MAX($F134,1),$E134)*IFERROR(SUMIF(tblVeriB[SiparisNo],$A134,tblVeriB[TarifTlDesi]),0)*$G134,2))</f>
        <v/>
      </c>
      <c r="K134" s="15">
        <f>IF($A134="","",1)</f>
        <v/>
      </c>
    </row>
    <row r="135">
      <c r="A135" s="13" t="n"/>
      <c r="B135" s="14" t="n"/>
      <c r="C135" s="14" t="n"/>
      <c r="D135" s="14" t="n"/>
      <c r="E135" s="14" t="n"/>
      <c r="F135" s="14" t="n"/>
      <c r="G135" s="14" t="n"/>
      <c r="H135" s="13" t="n"/>
      <c r="I135" s="13" t="n"/>
      <c r="J135" s="15">
        <f>IF($A135="","",ROUND(MAX(($B135*$C135*$D135)/MAX($F135,1),$E135)*IFERROR(SUMIF(tblVeriB[SiparisNo],$A135,tblVeriB[TarifTlDesi]),0)*$G135,2))</f>
        <v/>
      </c>
      <c r="K135" s="15">
        <f>IF($A135="","",1)</f>
        <v/>
      </c>
    </row>
    <row r="136">
      <c r="A136" s="13" t="n"/>
      <c r="B136" s="14" t="n"/>
      <c r="C136" s="14" t="n"/>
      <c r="D136" s="14" t="n"/>
      <c r="E136" s="14" t="n"/>
      <c r="F136" s="14" t="n"/>
      <c r="G136" s="14" t="n"/>
      <c r="H136" s="13" t="n"/>
      <c r="I136" s="13" t="n"/>
      <c r="J136" s="15">
        <f>IF($A136="","",ROUND(MAX(($B136*$C136*$D136)/MAX($F136,1),$E136)*IFERROR(SUMIF(tblVeriB[SiparisNo],$A136,tblVeriB[TarifTlDesi]),0)*$G136,2))</f>
        <v/>
      </c>
      <c r="K136" s="15">
        <f>IF($A136="","",1)</f>
        <v/>
      </c>
    </row>
    <row r="137">
      <c r="A137" s="13" t="n"/>
      <c r="B137" s="14" t="n"/>
      <c r="C137" s="14" t="n"/>
      <c r="D137" s="14" t="n"/>
      <c r="E137" s="14" t="n"/>
      <c r="F137" s="14" t="n"/>
      <c r="G137" s="14" t="n"/>
      <c r="H137" s="13" t="n"/>
      <c r="I137" s="13" t="n"/>
      <c r="J137" s="15">
        <f>IF($A137="","",ROUND(MAX(($B137*$C137*$D137)/MAX($F137,1),$E137)*IFERROR(SUMIF(tblVeriB[SiparisNo],$A137,tblVeriB[TarifTlDesi]),0)*$G137,2))</f>
        <v/>
      </c>
      <c r="K137" s="15">
        <f>IF($A137="","",1)</f>
        <v/>
      </c>
    </row>
    <row r="138">
      <c r="A138" s="13" t="n"/>
      <c r="B138" s="14" t="n"/>
      <c r="C138" s="14" t="n"/>
      <c r="D138" s="14" t="n"/>
      <c r="E138" s="14" t="n"/>
      <c r="F138" s="14" t="n"/>
      <c r="G138" s="14" t="n"/>
      <c r="H138" s="13" t="n"/>
      <c r="I138" s="13" t="n"/>
      <c r="J138" s="15">
        <f>IF($A138="","",ROUND(MAX(($B138*$C138*$D138)/MAX($F138,1),$E138)*IFERROR(SUMIF(tblVeriB[SiparisNo],$A138,tblVeriB[TarifTlDesi]),0)*$G138,2))</f>
        <v/>
      </c>
      <c r="K138" s="15">
        <f>IF($A138="","",1)</f>
        <v/>
      </c>
    </row>
    <row r="139">
      <c r="A139" s="13" t="n"/>
      <c r="B139" s="14" t="n"/>
      <c r="C139" s="14" t="n"/>
      <c r="D139" s="14" t="n"/>
      <c r="E139" s="14" t="n"/>
      <c r="F139" s="14" t="n"/>
      <c r="G139" s="14" t="n"/>
      <c r="H139" s="13" t="n"/>
      <c r="I139" s="13" t="n"/>
      <c r="J139" s="15">
        <f>IF($A139="","",ROUND(MAX(($B139*$C139*$D139)/MAX($F139,1),$E139)*IFERROR(SUMIF(tblVeriB[SiparisNo],$A139,tblVeriB[TarifTlDesi]),0)*$G139,2))</f>
        <v/>
      </c>
      <c r="K139" s="15">
        <f>IF($A139="","",1)</f>
        <v/>
      </c>
    </row>
    <row r="140">
      <c r="A140" s="13" t="n"/>
      <c r="B140" s="14" t="n"/>
      <c r="C140" s="14" t="n"/>
      <c r="D140" s="14" t="n"/>
      <c r="E140" s="14" t="n"/>
      <c r="F140" s="14" t="n"/>
      <c r="G140" s="14" t="n"/>
      <c r="H140" s="13" t="n"/>
      <c r="I140" s="13" t="n"/>
      <c r="J140" s="15">
        <f>IF($A140="","",ROUND(MAX(($B140*$C140*$D140)/MAX($F140,1),$E140)*IFERROR(SUMIF(tblVeriB[SiparisNo],$A140,tblVeriB[TarifTlDesi]),0)*$G140,2))</f>
        <v/>
      </c>
      <c r="K140" s="15">
        <f>IF($A140="","",1)</f>
        <v/>
      </c>
    </row>
    <row r="141">
      <c r="A141" s="13" t="n"/>
      <c r="B141" s="14" t="n"/>
      <c r="C141" s="14" t="n"/>
      <c r="D141" s="14" t="n"/>
      <c r="E141" s="14" t="n"/>
      <c r="F141" s="14" t="n"/>
      <c r="G141" s="14" t="n"/>
      <c r="H141" s="13" t="n"/>
      <c r="I141" s="13" t="n"/>
      <c r="J141" s="15">
        <f>IF($A141="","",ROUND(MAX(($B141*$C141*$D141)/MAX($F141,1),$E141)*IFERROR(SUMIF(tblVeriB[SiparisNo],$A141,tblVeriB[TarifTlDesi]),0)*$G141,2))</f>
        <v/>
      </c>
      <c r="K141" s="15">
        <f>IF($A141="","",1)</f>
        <v/>
      </c>
    </row>
    <row r="142">
      <c r="A142" s="13" t="n"/>
      <c r="B142" s="14" t="n"/>
      <c r="C142" s="14" t="n"/>
      <c r="D142" s="14" t="n"/>
      <c r="E142" s="14" t="n"/>
      <c r="F142" s="14" t="n"/>
      <c r="G142" s="14" t="n"/>
      <c r="H142" s="13" t="n"/>
      <c r="I142" s="13" t="n"/>
      <c r="J142" s="15">
        <f>IF($A142="","",ROUND(MAX(($B142*$C142*$D142)/MAX($F142,1),$E142)*IFERROR(SUMIF(tblVeriB[SiparisNo],$A142,tblVeriB[TarifTlDesi]),0)*$G142,2))</f>
        <v/>
      </c>
      <c r="K142" s="15">
        <f>IF($A142="","",1)</f>
        <v/>
      </c>
    </row>
    <row r="143">
      <c r="A143" s="13" t="n"/>
      <c r="B143" s="14" t="n"/>
      <c r="C143" s="14" t="n"/>
      <c r="D143" s="14" t="n"/>
      <c r="E143" s="14" t="n"/>
      <c r="F143" s="14" t="n"/>
      <c r="G143" s="14" t="n"/>
      <c r="H143" s="13" t="n"/>
      <c r="I143" s="13" t="n"/>
      <c r="J143" s="15">
        <f>IF($A143="","",ROUND(MAX(($B143*$C143*$D143)/MAX($F143,1),$E143)*IFERROR(SUMIF(tblVeriB[SiparisNo],$A143,tblVeriB[TarifTlDesi]),0)*$G143,2))</f>
        <v/>
      </c>
      <c r="K143" s="15">
        <f>IF($A143="","",1)</f>
        <v/>
      </c>
    </row>
    <row r="144">
      <c r="A144" s="13" t="n"/>
      <c r="B144" s="14" t="n"/>
      <c r="C144" s="14" t="n"/>
      <c r="D144" s="14" t="n"/>
      <c r="E144" s="14" t="n"/>
      <c r="F144" s="14" t="n"/>
      <c r="G144" s="14" t="n"/>
      <c r="H144" s="13" t="n"/>
      <c r="I144" s="13" t="n"/>
      <c r="J144" s="15">
        <f>IF($A144="","",ROUND(MAX(($B144*$C144*$D144)/MAX($F144,1),$E144)*IFERROR(SUMIF(tblVeriB[SiparisNo],$A144,tblVeriB[TarifTlDesi]),0)*$G144,2))</f>
        <v/>
      </c>
      <c r="K144" s="15">
        <f>IF($A144="","",1)</f>
        <v/>
      </c>
    </row>
    <row r="145">
      <c r="A145" s="13" t="n"/>
      <c r="B145" s="14" t="n"/>
      <c r="C145" s="14" t="n"/>
      <c r="D145" s="14" t="n"/>
      <c r="E145" s="14" t="n"/>
      <c r="F145" s="14" t="n"/>
      <c r="G145" s="14" t="n"/>
      <c r="H145" s="13" t="n"/>
      <c r="I145" s="13" t="n"/>
      <c r="J145" s="15">
        <f>IF($A145="","",ROUND(MAX(($B145*$C145*$D145)/MAX($F145,1),$E145)*IFERROR(SUMIF(tblVeriB[SiparisNo],$A145,tblVeriB[TarifTlDesi]),0)*$G145,2))</f>
        <v/>
      </c>
      <c r="K145" s="15">
        <f>IF($A145="","",1)</f>
        <v/>
      </c>
    </row>
    <row r="146">
      <c r="A146" s="13" t="n"/>
      <c r="B146" s="14" t="n"/>
      <c r="C146" s="14" t="n"/>
      <c r="D146" s="14" t="n"/>
      <c r="E146" s="14" t="n"/>
      <c r="F146" s="14" t="n"/>
      <c r="G146" s="14" t="n"/>
      <c r="H146" s="13" t="n"/>
      <c r="I146" s="13" t="n"/>
      <c r="J146" s="15">
        <f>IF($A146="","",ROUND(MAX(($B146*$C146*$D146)/MAX($F146,1),$E146)*IFERROR(SUMIF(tblVeriB[SiparisNo],$A146,tblVeriB[TarifTlDesi]),0)*$G146,2))</f>
        <v/>
      </c>
      <c r="K146" s="15">
        <f>IF($A146="","",1)</f>
        <v/>
      </c>
    </row>
    <row r="147">
      <c r="A147" s="13" t="n"/>
      <c r="B147" s="14" t="n"/>
      <c r="C147" s="14" t="n"/>
      <c r="D147" s="14" t="n"/>
      <c r="E147" s="14" t="n"/>
      <c r="F147" s="14" t="n"/>
      <c r="G147" s="14" t="n"/>
      <c r="H147" s="13" t="n"/>
      <c r="I147" s="13" t="n"/>
      <c r="J147" s="15">
        <f>IF($A147="","",ROUND(MAX(($B147*$C147*$D147)/MAX($F147,1),$E147)*IFERROR(SUMIF(tblVeriB[SiparisNo],$A147,tblVeriB[TarifTlDesi]),0)*$G147,2))</f>
        <v/>
      </c>
      <c r="K147" s="15">
        <f>IF($A147="","",1)</f>
        <v/>
      </c>
    </row>
    <row r="148">
      <c r="A148" s="13" t="n"/>
      <c r="B148" s="14" t="n"/>
      <c r="C148" s="14" t="n"/>
      <c r="D148" s="14" t="n"/>
      <c r="E148" s="14" t="n"/>
      <c r="F148" s="14" t="n"/>
      <c r="G148" s="14" t="n"/>
      <c r="H148" s="13" t="n"/>
      <c r="I148" s="13" t="n"/>
      <c r="J148" s="15">
        <f>IF($A148="","",ROUND(MAX(($B148*$C148*$D148)/MAX($F148,1),$E148)*IFERROR(SUMIF(tblVeriB[SiparisNo],$A148,tblVeriB[TarifTlDesi]),0)*$G148,2))</f>
        <v/>
      </c>
      <c r="K148" s="15">
        <f>IF($A148="","",1)</f>
        <v/>
      </c>
    </row>
    <row r="149">
      <c r="A149" s="13" t="n"/>
      <c r="B149" s="14" t="n"/>
      <c r="C149" s="14" t="n"/>
      <c r="D149" s="14" t="n"/>
      <c r="E149" s="14" t="n"/>
      <c r="F149" s="14" t="n"/>
      <c r="G149" s="14" t="n"/>
      <c r="H149" s="13" t="n"/>
      <c r="I149" s="13" t="n"/>
      <c r="J149" s="15">
        <f>IF($A149="","",ROUND(MAX(($B149*$C149*$D149)/MAX($F149,1),$E149)*IFERROR(SUMIF(tblVeriB[SiparisNo],$A149,tblVeriB[TarifTlDesi]),0)*$G149,2))</f>
        <v/>
      </c>
      <c r="K149" s="15">
        <f>IF($A149="","",1)</f>
        <v/>
      </c>
    </row>
    <row r="150">
      <c r="A150" s="13" t="n"/>
      <c r="B150" s="14" t="n"/>
      <c r="C150" s="14" t="n"/>
      <c r="D150" s="14" t="n"/>
      <c r="E150" s="14" t="n"/>
      <c r="F150" s="14" t="n"/>
      <c r="G150" s="14" t="n"/>
      <c r="H150" s="13" t="n"/>
      <c r="I150" s="13" t="n"/>
      <c r="J150" s="15">
        <f>IF($A150="","",ROUND(MAX(($B150*$C150*$D150)/MAX($F150,1),$E150)*IFERROR(SUMIF(tblVeriB[SiparisNo],$A150,tblVeriB[TarifTlDesi]),0)*$G150,2))</f>
        <v/>
      </c>
      <c r="K150" s="15">
        <f>IF($A150="","",1)</f>
        <v/>
      </c>
    </row>
    <row r="151">
      <c r="A151" s="13" t="n"/>
      <c r="B151" s="14" t="n"/>
      <c r="C151" s="14" t="n"/>
      <c r="D151" s="14" t="n"/>
      <c r="E151" s="14" t="n"/>
      <c r="F151" s="14" t="n"/>
      <c r="G151" s="14" t="n"/>
      <c r="H151" s="13" t="n"/>
      <c r="I151" s="13" t="n"/>
      <c r="J151" s="15">
        <f>IF($A151="","",ROUND(MAX(($B151*$C151*$D151)/MAX($F151,1),$E151)*IFERROR(SUMIF(tblVeriB[SiparisNo],$A151,tblVeriB[TarifTlDesi]),0)*$G151,2))</f>
        <v/>
      </c>
      <c r="K151" s="15">
        <f>IF($A151="","",1)</f>
        <v/>
      </c>
    </row>
    <row r="152">
      <c r="A152" s="13" t="n"/>
      <c r="B152" s="14" t="n"/>
      <c r="C152" s="14" t="n"/>
      <c r="D152" s="14" t="n"/>
      <c r="E152" s="14" t="n"/>
      <c r="F152" s="14" t="n"/>
      <c r="G152" s="14" t="n"/>
      <c r="H152" s="13" t="n"/>
      <c r="I152" s="13" t="n"/>
      <c r="J152" s="15">
        <f>IF($A152="","",ROUND(MAX(($B152*$C152*$D152)/MAX($F152,1),$E152)*IFERROR(SUMIF(tblVeriB[SiparisNo],$A152,tblVeriB[TarifTlDesi]),0)*$G152,2))</f>
        <v/>
      </c>
      <c r="K152" s="15">
        <f>IF($A152="","",1)</f>
        <v/>
      </c>
    </row>
    <row r="153">
      <c r="A153" s="13" t="n"/>
      <c r="B153" s="14" t="n"/>
      <c r="C153" s="14" t="n"/>
      <c r="D153" s="14" t="n"/>
      <c r="E153" s="14" t="n"/>
      <c r="F153" s="14" t="n"/>
      <c r="G153" s="14" t="n"/>
      <c r="H153" s="13" t="n"/>
      <c r="I153" s="13" t="n"/>
      <c r="J153" s="15">
        <f>IF($A153="","",ROUND(MAX(($B153*$C153*$D153)/MAX($F153,1),$E153)*IFERROR(SUMIF(tblVeriB[SiparisNo],$A153,tblVeriB[TarifTlDesi]),0)*$G153,2))</f>
        <v/>
      </c>
      <c r="K153" s="15">
        <f>IF($A153="","",1)</f>
        <v/>
      </c>
    </row>
    <row r="154">
      <c r="A154" s="13" t="n"/>
      <c r="B154" s="14" t="n"/>
      <c r="C154" s="14" t="n"/>
      <c r="D154" s="14" t="n"/>
      <c r="E154" s="14" t="n"/>
      <c r="F154" s="14" t="n"/>
      <c r="G154" s="14" t="n"/>
      <c r="H154" s="13" t="n"/>
      <c r="I154" s="13" t="n"/>
      <c r="J154" s="15">
        <f>IF($A154="","",ROUND(MAX(($B154*$C154*$D154)/MAX($F154,1),$E154)*IFERROR(SUMIF(tblVeriB[SiparisNo],$A154,tblVeriB[TarifTlDesi]),0)*$G154,2))</f>
        <v/>
      </c>
      <c r="K154" s="15">
        <f>IF($A154="","",1)</f>
        <v/>
      </c>
    </row>
    <row r="155">
      <c r="A155" s="13" t="n"/>
      <c r="B155" s="14" t="n"/>
      <c r="C155" s="14" t="n"/>
      <c r="D155" s="14" t="n"/>
      <c r="E155" s="14" t="n"/>
      <c r="F155" s="14" t="n"/>
      <c r="G155" s="14" t="n"/>
      <c r="H155" s="13" t="n"/>
      <c r="I155" s="13" t="n"/>
      <c r="J155" s="15">
        <f>IF($A155="","",ROUND(MAX(($B155*$C155*$D155)/MAX($F155,1),$E155)*IFERROR(SUMIF(tblVeriB[SiparisNo],$A155,tblVeriB[TarifTlDesi]),0)*$G155,2))</f>
        <v/>
      </c>
      <c r="K155" s="15">
        <f>IF($A155="","",1)</f>
        <v/>
      </c>
    </row>
    <row r="156">
      <c r="A156" s="13" t="n"/>
      <c r="B156" s="14" t="n"/>
      <c r="C156" s="14" t="n"/>
      <c r="D156" s="14" t="n"/>
      <c r="E156" s="14" t="n"/>
      <c r="F156" s="14" t="n"/>
      <c r="G156" s="14" t="n"/>
      <c r="H156" s="13" t="n"/>
      <c r="I156" s="13" t="n"/>
      <c r="J156" s="15">
        <f>IF($A156="","",ROUND(MAX(($B156*$C156*$D156)/MAX($F156,1),$E156)*IFERROR(SUMIF(tblVeriB[SiparisNo],$A156,tblVeriB[TarifTlDesi]),0)*$G156,2))</f>
        <v/>
      </c>
      <c r="K156" s="15">
        <f>IF($A156="","",1)</f>
        <v/>
      </c>
    </row>
    <row r="157">
      <c r="A157" s="13" t="n"/>
      <c r="B157" s="14" t="n"/>
      <c r="C157" s="14" t="n"/>
      <c r="D157" s="14" t="n"/>
      <c r="E157" s="14" t="n"/>
      <c r="F157" s="14" t="n"/>
      <c r="G157" s="14" t="n"/>
      <c r="H157" s="13" t="n"/>
      <c r="I157" s="13" t="n"/>
      <c r="J157" s="15">
        <f>IF($A157="","",ROUND(MAX(($B157*$C157*$D157)/MAX($F157,1),$E157)*IFERROR(SUMIF(tblVeriB[SiparisNo],$A157,tblVeriB[TarifTlDesi]),0)*$G157,2))</f>
        <v/>
      </c>
      <c r="K157" s="15">
        <f>IF($A157="","",1)</f>
        <v/>
      </c>
    </row>
    <row r="158">
      <c r="A158" s="13" t="n"/>
      <c r="B158" s="14" t="n"/>
      <c r="C158" s="14" t="n"/>
      <c r="D158" s="14" t="n"/>
      <c r="E158" s="14" t="n"/>
      <c r="F158" s="14" t="n"/>
      <c r="G158" s="14" t="n"/>
      <c r="H158" s="13" t="n"/>
      <c r="I158" s="13" t="n"/>
      <c r="J158" s="15">
        <f>IF($A158="","",ROUND(MAX(($B158*$C158*$D158)/MAX($F158,1),$E158)*IFERROR(SUMIF(tblVeriB[SiparisNo],$A158,tblVeriB[TarifTlDesi]),0)*$G158,2))</f>
        <v/>
      </c>
      <c r="K158" s="15">
        <f>IF($A158="","",1)</f>
        <v/>
      </c>
    </row>
    <row r="159">
      <c r="A159" s="13" t="n"/>
      <c r="B159" s="14" t="n"/>
      <c r="C159" s="14" t="n"/>
      <c r="D159" s="14" t="n"/>
      <c r="E159" s="14" t="n"/>
      <c r="F159" s="14" t="n"/>
      <c r="G159" s="14" t="n"/>
      <c r="H159" s="13" t="n"/>
      <c r="I159" s="13" t="n"/>
      <c r="J159" s="15">
        <f>IF($A159="","",ROUND(MAX(($B159*$C159*$D159)/MAX($F159,1),$E159)*IFERROR(SUMIF(tblVeriB[SiparisNo],$A159,tblVeriB[TarifTlDesi]),0)*$G159,2))</f>
        <v/>
      </c>
      <c r="K159" s="15">
        <f>IF($A159="","",1)</f>
        <v/>
      </c>
    </row>
    <row r="160">
      <c r="A160" s="13" t="n"/>
      <c r="B160" s="14" t="n"/>
      <c r="C160" s="14" t="n"/>
      <c r="D160" s="14" t="n"/>
      <c r="E160" s="14" t="n"/>
      <c r="F160" s="14" t="n"/>
      <c r="G160" s="14" t="n"/>
      <c r="H160" s="13" t="n"/>
      <c r="I160" s="13" t="n"/>
      <c r="J160" s="15">
        <f>IF($A160="","",ROUND(MAX(($B160*$C160*$D160)/MAX($F160,1),$E160)*IFERROR(SUMIF(tblVeriB[SiparisNo],$A160,tblVeriB[TarifTlDesi]),0)*$G160,2))</f>
        <v/>
      </c>
      <c r="K160" s="15">
        <f>IF($A160="","",1)</f>
        <v/>
      </c>
    </row>
    <row r="161">
      <c r="A161" s="13" t="n"/>
      <c r="B161" s="14" t="n"/>
      <c r="C161" s="14" t="n"/>
      <c r="D161" s="14" t="n"/>
      <c r="E161" s="14" t="n"/>
      <c r="F161" s="14" t="n"/>
      <c r="G161" s="14" t="n"/>
      <c r="H161" s="13" t="n"/>
      <c r="I161" s="13" t="n"/>
      <c r="J161" s="15">
        <f>IF($A161="","",ROUND(MAX(($B161*$C161*$D161)/MAX($F161,1),$E161)*IFERROR(SUMIF(tblVeriB[SiparisNo],$A161,tblVeriB[TarifTlDesi]),0)*$G161,2))</f>
        <v/>
      </c>
      <c r="K161" s="15">
        <f>IF($A161="","",1)</f>
        <v/>
      </c>
    </row>
    <row r="162">
      <c r="A162" s="13" t="n"/>
      <c r="B162" s="14" t="n"/>
      <c r="C162" s="14" t="n"/>
      <c r="D162" s="14" t="n"/>
      <c r="E162" s="14" t="n"/>
      <c r="F162" s="14" t="n"/>
      <c r="G162" s="14" t="n"/>
      <c r="H162" s="13" t="n"/>
      <c r="I162" s="13" t="n"/>
      <c r="J162" s="15">
        <f>IF($A162="","",ROUND(MAX(($B162*$C162*$D162)/MAX($F162,1),$E162)*IFERROR(SUMIF(tblVeriB[SiparisNo],$A162,tblVeriB[TarifTlDesi]),0)*$G162,2))</f>
        <v/>
      </c>
      <c r="K162" s="15">
        <f>IF($A162="","",1)</f>
        <v/>
      </c>
    </row>
    <row r="163">
      <c r="A163" s="13" t="n"/>
      <c r="B163" s="14" t="n"/>
      <c r="C163" s="14" t="n"/>
      <c r="D163" s="14" t="n"/>
      <c r="E163" s="14" t="n"/>
      <c r="F163" s="14" t="n"/>
      <c r="G163" s="14" t="n"/>
      <c r="H163" s="13" t="n"/>
      <c r="I163" s="13" t="n"/>
      <c r="J163" s="15">
        <f>IF($A163="","",ROUND(MAX(($B163*$C163*$D163)/MAX($F163,1),$E163)*IFERROR(SUMIF(tblVeriB[SiparisNo],$A163,tblVeriB[TarifTlDesi]),0)*$G163,2))</f>
        <v/>
      </c>
      <c r="K163" s="15">
        <f>IF($A163="","",1)</f>
        <v/>
      </c>
    </row>
    <row r="164">
      <c r="A164" s="13" t="n"/>
      <c r="B164" s="14" t="n"/>
      <c r="C164" s="14" t="n"/>
      <c r="D164" s="14" t="n"/>
      <c r="E164" s="14" t="n"/>
      <c r="F164" s="14" t="n"/>
      <c r="G164" s="14" t="n"/>
      <c r="H164" s="13" t="n"/>
      <c r="I164" s="13" t="n"/>
      <c r="J164" s="15">
        <f>IF($A164="","",ROUND(MAX(($B164*$C164*$D164)/MAX($F164,1),$E164)*IFERROR(SUMIF(tblVeriB[SiparisNo],$A164,tblVeriB[TarifTlDesi]),0)*$G164,2))</f>
        <v/>
      </c>
      <c r="K164" s="15">
        <f>IF($A164="","",1)</f>
        <v/>
      </c>
    </row>
    <row r="165">
      <c r="A165" s="13" t="n"/>
      <c r="B165" s="14" t="n"/>
      <c r="C165" s="14" t="n"/>
      <c r="D165" s="14" t="n"/>
      <c r="E165" s="14" t="n"/>
      <c r="F165" s="14" t="n"/>
      <c r="G165" s="14" t="n"/>
      <c r="H165" s="13" t="n"/>
      <c r="I165" s="13" t="n"/>
      <c r="J165" s="15">
        <f>IF($A165="","",ROUND(MAX(($B165*$C165*$D165)/MAX($F165,1),$E165)*IFERROR(SUMIF(tblVeriB[SiparisNo],$A165,tblVeriB[TarifTlDesi]),0)*$G165,2))</f>
        <v/>
      </c>
      <c r="K165" s="15">
        <f>IF($A165="","",1)</f>
        <v/>
      </c>
    </row>
    <row r="166">
      <c r="A166" s="13" t="n"/>
      <c r="B166" s="14" t="n"/>
      <c r="C166" s="14" t="n"/>
      <c r="D166" s="14" t="n"/>
      <c r="E166" s="14" t="n"/>
      <c r="F166" s="14" t="n"/>
      <c r="G166" s="14" t="n"/>
      <c r="H166" s="13" t="n"/>
      <c r="I166" s="13" t="n"/>
      <c r="J166" s="15">
        <f>IF($A166="","",ROUND(MAX(($B166*$C166*$D166)/MAX($F166,1),$E166)*IFERROR(SUMIF(tblVeriB[SiparisNo],$A166,tblVeriB[TarifTlDesi]),0)*$G166,2))</f>
        <v/>
      </c>
      <c r="K166" s="15">
        <f>IF($A166="","",1)</f>
        <v/>
      </c>
    </row>
    <row r="167">
      <c r="A167" s="13" t="n"/>
      <c r="B167" s="14" t="n"/>
      <c r="C167" s="14" t="n"/>
      <c r="D167" s="14" t="n"/>
      <c r="E167" s="14" t="n"/>
      <c r="F167" s="14" t="n"/>
      <c r="G167" s="14" t="n"/>
      <c r="H167" s="13" t="n"/>
      <c r="I167" s="13" t="n"/>
      <c r="J167" s="15">
        <f>IF($A167="","",ROUND(MAX(($B167*$C167*$D167)/MAX($F167,1),$E167)*IFERROR(SUMIF(tblVeriB[SiparisNo],$A167,tblVeriB[TarifTlDesi]),0)*$G167,2))</f>
        <v/>
      </c>
      <c r="K167" s="15">
        <f>IF($A167="","",1)</f>
        <v/>
      </c>
    </row>
    <row r="168">
      <c r="A168" s="13" t="n"/>
      <c r="B168" s="14" t="n"/>
      <c r="C168" s="14" t="n"/>
      <c r="D168" s="14" t="n"/>
      <c r="E168" s="14" t="n"/>
      <c r="F168" s="14" t="n"/>
      <c r="G168" s="14" t="n"/>
      <c r="H168" s="13" t="n"/>
      <c r="I168" s="13" t="n"/>
      <c r="J168" s="15">
        <f>IF($A168="","",ROUND(MAX(($B168*$C168*$D168)/MAX($F168,1),$E168)*IFERROR(SUMIF(tblVeriB[SiparisNo],$A168,tblVeriB[TarifTlDesi]),0)*$G168,2))</f>
        <v/>
      </c>
      <c r="K168" s="15">
        <f>IF($A168="","",1)</f>
        <v/>
      </c>
    </row>
    <row r="169">
      <c r="A169" s="13" t="n"/>
      <c r="B169" s="14" t="n"/>
      <c r="C169" s="14" t="n"/>
      <c r="D169" s="14" t="n"/>
      <c r="E169" s="14" t="n"/>
      <c r="F169" s="14" t="n"/>
      <c r="G169" s="14" t="n"/>
      <c r="H169" s="13" t="n"/>
      <c r="I169" s="13" t="n"/>
      <c r="J169" s="15">
        <f>IF($A169="","",ROUND(MAX(($B169*$C169*$D169)/MAX($F169,1),$E169)*IFERROR(SUMIF(tblVeriB[SiparisNo],$A169,tblVeriB[TarifTlDesi]),0)*$G169,2))</f>
        <v/>
      </c>
      <c r="K169" s="15">
        <f>IF($A169="","",1)</f>
        <v/>
      </c>
    </row>
    <row r="170">
      <c r="A170" s="13" t="n"/>
      <c r="B170" s="14" t="n"/>
      <c r="C170" s="14" t="n"/>
      <c r="D170" s="14" t="n"/>
      <c r="E170" s="14" t="n"/>
      <c r="F170" s="14" t="n"/>
      <c r="G170" s="14" t="n"/>
      <c r="H170" s="13" t="n"/>
      <c r="I170" s="13" t="n"/>
      <c r="J170" s="15">
        <f>IF($A170="","",ROUND(MAX(($B170*$C170*$D170)/MAX($F170,1),$E170)*IFERROR(SUMIF(tblVeriB[SiparisNo],$A170,tblVeriB[TarifTlDesi]),0)*$G170,2))</f>
        <v/>
      </c>
      <c r="K170" s="15">
        <f>IF($A170="","",1)</f>
        <v/>
      </c>
    </row>
    <row r="171">
      <c r="A171" s="13" t="n"/>
      <c r="B171" s="14" t="n"/>
      <c r="C171" s="14" t="n"/>
      <c r="D171" s="14" t="n"/>
      <c r="E171" s="14" t="n"/>
      <c r="F171" s="14" t="n"/>
      <c r="G171" s="14" t="n"/>
      <c r="H171" s="13" t="n"/>
      <c r="I171" s="13" t="n"/>
      <c r="J171" s="15">
        <f>IF($A171="","",ROUND(MAX(($B171*$C171*$D171)/MAX($F171,1),$E171)*IFERROR(SUMIF(tblVeriB[SiparisNo],$A171,tblVeriB[TarifTlDesi]),0)*$G171,2))</f>
        <v/>
      </c>
      <c r="K171" s="15">
        <f>IF($A171="","",1)</f>
        <v/>
      </c>
    </row>
    <row r="172">
      <c r="A172" s="13" t="n"/>
      <c r="B172" s="14" t="n"/>
      <c r="C172" s="14" t="n"/>
      <c r="D172" s="14" t="n"/>
      <c r="E172" s="14" t="n"/>
      <c r="F172" s="14" t="n"/>
      <c r="G172" s="14" t="n"/>
      <c r="H172" s="13" t="n"/>
      <c r="I172" s="13" t="n"/>
      <c r="J172" s="15">
        <f>IF($A172="","",ROUND(MAX(($B172*$C172*$D172)/MAX($F172,1),$E172)*IFERROR(SUMIF(tblVeriB[SiparisNo],$A172,tblVeriB[TarifTlDesi]),0)*$G172,2))</f>
        <v/>
      </c>
      <c r="K172" s="15">
        <f>IF($A172="","",1)</f>
        <v/>
      </c>
    </row>
    <row r="173">
      <c r="A173" s="13" t="n"/>
      <c r="B173" s="14" t="n"/>
      <c r="C173" s="14" t="n"/>
      <c r="D173" s="14" t="n"/>
      <c r="E173" s="14" t="n"/>
      <c r="F173" s="14" t="n"/>
      <c r="G173" s="14" t="n"/>
      <c r="H173" s="13" t="n"/>
      <c r="I173" s="13" t="n"/>
      <c r="J173" s="15">
        <f>IF($A173="","",ROUND(MAX(($B173*$C173*$D173)/MAX($F173,1),$E173)*IFERROR(SUMIF(tblVeriB[SiparisNo],$A173,tblVeriB[TarifTlDesi]),0)*$G173,2))</f>
        <v/>
      </c>
      <c r="K173" s="15">
        <f>IF($A173="","",1)</f>
        <v/>
      </c>
    </row>
    <row r="174">
      <c r="A174" s="13" t="n"/>
      <c r="B174" s="14" t="n"/>
      <c r="C174" s="14" t="n"/>
      <c r="D174" s="14" t="n"/>
      <c r="E174" s="14" t="n"/>
      <c r="F174" s="14" t="n"/>
      <c r="G174" s="14" t="n"/>
      <c r="H174" s="13" t="n"/>
      <c r="I174" s="13" t="n"/>
      <c r="J174" s="15">
        <f>IF($A174="","",ROUND(MAX(($B174*$C174*$D174)/MAX($F174,1),$E174)*IFERROR(SUMIF(tblVeriB[SiparisNo],$A174,tblVeriB[TarifTlDesi]),0)*$G174,2))</f>
        <v/>
      </c>
      <c r="K174" s="15">
        <f>IF($A174="","",1)</f>
        <v/>
      </c>
    </row>
    <row r="175">
      <c r="A175" s="13" t="n"/>
      <c r="B175" s="14" t="n"/>
      <c r="C175" s="14" t="n"/>
      <c r="D175" s="14" t="n"/>
      <c r="E175" s="14" t="n"/>
      <c r="F175" s="14" t="n"/>
      <c r="G175" s="14" t="n"/>
      <c r="H175" s="13" t="n"/>
      <c r="I175" s="13" t="n"/>
      <c r="J175" s="15">
        <f>IF($A175="","",ROUND(MAX(($B175*$C175*$D175)/MAX($F175,1),$E175)*IFERROR(SUMIF(tblVeriB[SiparisNo],$A175,tblVeriB[TarifTlDesi]),0)*$G175,2))</f>
        <v/>
      </c>
      <c r="K175" s="15">
        <f>IF($A175="","",1)</f>
        <v/>
      </c>
    </row>
    <row r="176">
      <c r="A176" s="13" t="n"/>
      <c r="B176" s="14" t="n"/>
      <c r="C176" s="14" t="n"/>
      <c r="D176" s="14" t="n"/>
      <c r="E176" s="14" t="n"/>
      <c r="F176" s="14" t="n"/>
      <c r="G176" s="14" t="n"/>
      <c r="H176" s="13" t="n"/>
      <c r="I176" s="13" t="n"/>
      <c r="J176" s="15">
        <f>IF($A176="","",ROUND(MAX(($B176*$C176*$D176)/MAX($F176,1),$E176)*IFERROR(SUMIF(tblVeriB[SiparisNo],$A176,tblVeriB[TarifTlDesi]),0)*$G176,2))</f>
        <v/>
      </c>
      <c r="K176" s="15">
        <f>IF($A176="","",1)</f>
        <v/>
      </c>
    </row>
    <row r="177">
      <c r="A177" s="13" t="n"/>
      <c r="B177" s="14" t="n"/>
      <c r="C177" s="14" t="n"/>
      <c r="D177" s="14" t="n"/>
      <c r="E177" s="14" t="n"/>
      <c r="F177" s="14" t="n"/>
      <c r="G177" s="14" t="n"/>
      <c r="H177" s="13" t="n"/>
      <c r="I177" s="13" t="n"/>
      <c r="J177" s="15">
        <f>IF($A177="","",ROUND(MAX(($B177*$C177*$D177)/MAX($F177,1),$E177)*IFERROR(SUMIF(tblVeriB[SiparisNo],$A177,tblVeriB[TarifTlDesi]),0)*$G177,2))</f>
        <v/>
      </c>
      <c r="K177" s="15">
        <f>IF($A177="","",1)</f>
        <v/>
      </c>
    </row>
    <row r="178">
      <c r="A178" s="13" t="n"/>
      <c r="B178" s="14" t="n"/>
      <c r="C178" s="14" t="n"/>
      <c r="D178" s="14" t="n"/>
      <c r="E178" s="14" t="n"/>
      <c r="F178" s="14" t="n"/>
      <c r="G178" s="14" t="n"/>
      <c r="H178" s="13" t="n"/>
      <c r="I178" s="13" t="n"/>
      <c r="J178" s="15">
        <f>IF($A178="","",ROUND(MAX(($B178*$C178*$D178)/MAX($F178,1),$E178)*IFERROR(SUMIF(tblVeriB[SiparisNo],$A178,tblVeriB[TarifTlDesi]),0)*$G178,2))</f>
        <v/>
      </c>
      <c r="K178" s="15">
        <f>IF($A178="","",1)</f>
        <v/>
      </c>
    </row>
    <row r="179">
      <c r="A179" s="13" t="n"/>
      <c r="B179" s="14" t="n"/>
      <c r="C179" s="14" t="n"/>
      <c r="D179" s="14" t="n"/>
      <c r="E179" s="14" t="n"/>
      <c r="F179" s="14" t="n"/>
      <c r="G179" s="14" t="n"/>
      <c r="H179" s="13" t="n"/>
      <c r="I179" s="13" t="n"/>
      <c r="J179" s="15">
        <f>IF($A179="","",ROUND(MAX(($B179*$C179*$D179)/MAX($F179,1),$E179)*IFERROR(SUMIF(tblVeriB[SiparisNo],$A179,tblVeriB[TarifTlDesi]),0)*$G179,2))</f>
        <v/>
      </c>
      <c r="K179" s="15">
        <f>IF($A179="","",1)</f>
        <v/>
      </c>
    </row>
    <row r="180">
      <c r="A180" s="13" t="n"/>
      <c r="B180" s="14" t="n"/>
      <c r="C180" s="14" t="n"/>
      <c r="D180" s="14" t="n"/>
      <c r="E180" s="14" t="n"/>
      <c r="F180" s="14" t="n"/>
      <c r="G180" s="14" t="n"/>
      <c r="H180" s="13" t="n"/>
      <c r="I180" s="13" t="n"/>
      <c r="J180" s="15">
        <f>IF($A180="","",ROUND(MAX(($B180*$C180*$D180)/MAX($F180,1),$E180)*IFERROR(SUMIF(tblVeriB[SiparisNo],$A180,tblVeriB[TarifTlDesi]),0)*$G180,2))</f>
        <v/>
      </c>
      <c r="K180" s="15">
        <f>IF($A180="","",1)</f>
        <v/>
      </c>
    </row>
    <row r="181">
      <c r="A181" s="13" t="n"/>
      <c r="B181" s="14" t="n"/>
      <c r="C181" s="14" t="n"/>
      <c r="D181" s="14" t="n"/>
      <c r="E181" s="14" t="n"/>
      <c r="F181" s="14" t="n"/>
      <c r="G181" s="14" t="n"/>
      <c r="H181" s="13" t="n"/>
      <c r="I181" s="13" t="n"/>
      <c r="J181" s="15">
        <f>IF($A181="","",ROUND(MAX(($B181*$C181*$D181)/MAX($F181,1),$E181)*IFERROR(SUMIF(tblVeriB[SiparisNo],$A181,tblVeriB[TarifTlDesi]),0)*$G181,2))</f>
        <v/>
      </c>
      <c r="K181" s="15">
        <f>IF($A181="","",1)</f>
        <v/>
      </c>
    </row>
    <row r="182">
      <c r="A182" s="13" t="n"/>
      <c r="B182" s="14" t="n"/>
      <c r="C182" s="14" t="n"/>
      <c r="D182" s="14" t="n"/>
      <c r="E182" s="14" t="n"/>
      <c r="F182" s="14" t="n"/>
      <c r="G182" s="14" t="n"/>
      <c r="H182" s="13" t="n"/>
      <c r="I182" s="13" t="n"/>
      <c r="J182" s="15">
        <f>IF($A182="","",ROUND(MAX(($B182*$C182*$D182)/MAX($F182,1),$E182)*IFERROR(SUMIF(tblVeriB[SiparisNo],$A182,tblVeriB[TarifTlDesi]),0)*$G182,2))</f>
        <v/>
      </c>
      <c r="K182" s="15">
        <f>IF($A182="","",1)</f>
        <v/>
      </c>
    </row>
    <row r="183">
      <c r="A183" s="13" t="n"/>
      <c r="B183" s="14" t="n"/>
      <c r="C183" s="14" t="n"/>
      <c r="D183" s="14" t="n"/>
      <c r="E183" s="14" t="n"/>
      <c r="F183" s="14" t="n"/>
      <c r="G183" s="14" t="n"/>
      <c r="H183" s="13" t="n"/>
      <c r="I183" s="13" t="n"/>
      <c r="J183" s="15">
        <f>IF($A183="","",ROUND(MAX(($B183*$C183*$D183)/MAX($F183,1),$E183)*IFERROR(SUMIF(tblVeriB[SiparisNo],$A183,tblVeriB[TarifTlDesi]),0)*$G183,2))</f>
        <v/>
      </c>
      <c r="K183" s="15">
        <f>IF($A183="","",1)</f>
        <v/>
      </c>
    </row>
    <row r="184">
      <c r="A184" s="13" t="n"/>
      <c r="B184" s="14" t="n"/>
      <c r="C184" s="14" t="n"/>
      <c r="D184" s="14" t="n"/>
      <c r="E184" s="14" t="n"/>
      <c r="F184" s="14" t="n"/>
      <c r="G184" s="14" t="n"/>
      <c r="H184" s="13" t="n"/>
      <c r="I184" s="13" t="n"/>
      <c r="J184" s="15">
        <f>IF($A184="","",ROUND(MAX(($B184*$C184*$D184)/MAX($F184,1),$E184)*IFERROR(SUMIF(tblVeriB[SiparisNo],$A184,tblVeriB[TarifTlDesi]),0)*$G184,2))</f>
        <v/>
      </c>
      <c r="K184" s="15">
        <f>IF($A184="","",1)</f>
        <v/>
      </c>
    </row>
    <row r="185">
      <c r="A185" s="13" t="n"/>
      <c r="B185" s="14" t="n"/>
      <c r="C185" s="14" t="n"/>
      <c r="D185" s="14" t="n"/>
      <c r="E185" s="14" t="n"/>
      <c r="F185" s="14" t="n"/>
      <c r="G185" s="14" t="n"/>
      <c r="H185" s="13" t="n"/>
      <c r="I185" s="13" t="n"/>
      <c r="J185" s="15">
        <f>IF($A185="","",ROUND(MAX(($B185*$C185*$D185)/MAX($F185,1),$E185)*IFERROR(SUMIF(tblVeriB[SiparisNo],$A185,tblVeriB[TarifTlDesi]),0)*$G185,2))</f>
        <v/>
      </c>
      <c r="K185" s="15">
        <f>IF($A185="","",1)</f>
        <v/>
      </c>
    </row>
    <row r="186">
      <c r="A186" s="13" t="n"/>
      <c r="B186" s="14" t="n"/>
      <c r="C186" s="14" t="n"/>
      <c r="D186" s="14" t="n"/>
      <c r="E186" s="14" t="n"/>
      <c r="F186" s="14" t="n"/>
      <c r="G186" s="14" t="n"/>
      <c r="H186" s="13" t="n"/>
      <c r="I186" s="13" t="n"/>
      <c r="J186" s="15">
        <f>IF($A186="","",ROUND(MAX(($B186*$C186*$D186)/MAX($F186,1),$E186)*IFERROR(SUMIF(tblVeriB[SiparisNo],$A186,tblVeriB[TarifTlDesi]),0)*$G186,2))</f>
        <v/>
      </c>
      <c r="K186" s="15">
        <f>IF($A186="","",1)</f>
        <v/>
      </c>
    </row>
    <row r="187">
      <c r="A187" s="13" t="n"/>
      <c r="B187" s="14" t="n"/>
      <c r="C187" s="14" t="n"/>
      <c r="D187" s="14" t="n"/>
      <c r="E187" s="14" t="n"/>
      <c r="F187" s="14" t="n"/>
      <c r="G187" s="14" t="n"/>
      <c r="H187" s="13" t="n"/>
      <c r="I187" s="13" t="n"/>
      <c r="J187" s="15">
        <f>IF($A187="","",ROUND(MAX(($B187*$C187*$D187)/MAX($F187,1),$E187)*IFERROR(SUMIF(tblVeriB[SiparisNo],$A187,tblVeriB[TarifTlDesi]),0)*$G187,2))</f>
        <v/>
      </c>
      <c r="K187" s="15">
        <f>IF($A187="","",1)</f>
        <v/>
      </c>
    </row>
    <row r="188">
      <c r="A188" s="13" t="n"/>
      <c r="B188" s="14" t="n"/>
      <c r="C188" s="14" t="n"/>
      <c r="D188" s="14" t="n"/>
      <c r="E188" s="14" t="n"/>
      <c r="F188" s="14" t="n"/>
      <c r="G188" s="14" t="n"/>
      <c r="H188" s="13" t="n"/>
      <c r="I188" s="13" t="n"/>
      <c r="J188" s="15">
        <f>IF($A188="","",ROUND(MAX(($B188*$C188*$D188)/MAX($F188,1),$E188)*IFERROR(SUMIF(tblVeriB[SiparisNo],$A188,tblVeriB[TarifTlDesi]),0)*$G188,2))</f>
        <v/>
      </c>
      <c r="K188" s="15">
        <f>IF($A188="","",1)</f>
        <v/>
      </c>
    </row>
    <row r="189">
      <c r="A189" s="13" t="n"/>
      <c r="B189" s="14" t="n"/>
      <c r="C189" s="14" t="n"/>
      <c r="D189" s="14" t="n"/>
      <c r="E189" s="14" t="n"/>
      <c r="F189" s="14" t="n"/>
      <c r="G189" s="14" t="n"/>
      <c r="H189" s="13" t="n"/>
      <c r="I189" s="13" t="n"/>
      <c r="J189" s="15">
        <f>IF($A189="","",ROUND(MAX(($B189*$C189*$D189)/MAX($F189,1),$E189)*IFERROR(SUMIF(tblVeriB[SiparisNo],$A189,tblVeriB[TarifTlDesi]),0)*$G189,2))</f>
        <v/>
      </c>
      <c r="K189" s="15">
        <f>IF($A189="","",1)</f>
        <v/>
      </c>
    </row>
    <row r="190">
      <c r="A190" s="13" t="n"/>
      <c r="B190" s="14" t="n"/>
      <c r="C190" s="14" t="n"/>
      <c r="D190" s="14" t="n"/>
      <c r="E190" s="14" t="n"/>
      <c r="F190" s="14" t="n"/>
      <c r="G190" s="14" t="n"/>
      <c r="H190" s="13" t="n"/>
      <c r="I190" s="13" t="n"/>
      <c r="J190" s="15">
        <f>IF($A190="","",ROUND(MAX(($B190*$C190*$D190)/MAX($F190,1),$E190)*IFERROR(SUMIF(tblVeriB[SiparisNo],$A190,tblVeriB[TarifTlDesi]),0)*$G190,2))</f>
        <v/>
      </c>
      <c r="K190" s="15">
        <f>IF($A190="","",1)</f>
        <v/>
      </c>
    </row>
    <row r="191">
      <c r="A191" s="13" t="n"/>
      <c r="B191" s="14" t="n"/>
      <c r="C191" s="14" t="n"/>
      <c r="D191" s="14" t="n"/>
      <c r="E191" s="14" t="n"/>
      <c r="F191" s="14" t="n"/>
      <c r="G191" s="14" t="n"/>
      <c r="H191" s="13" t="n"/>
      <c r="I191" s="13" t="n"/>
      <c r="J191" s="15">
        <f>IF($A191="","",ROUND(MAX(($B191*$C191*$D191)/MAX($F191,1),$E191)*IFERROR(SUMIF(tblVeriB[SiparisNo],$A191,tblVeriB[TarifTlDesi]),0)*$G191,2))</f>
        <v/>
      </c>
      <c r="K191" s="15">
        <f>IF($A191="","",1)</f>
        <v/>
      </c>
    </row>
    <row r="192">
      <c r="A192" s="13" t="n"/>
      <c r="B192" s="14" t="n"/>
      <c r="C192" s="14" t="n"/>
      <c r="D192" s="14" t="n"/>
      <c r="E192" s="14" t="n"/>
      <c r="F192" s="14" t="n"/>
      <c r="G192" s="14" t="n"/>
      <c r="H192" s="13" t="n"/>
      <c r="I192" s="13" t="n"/>
      <c r="J192" s="15">
        <f>IF($A192="","",ROUND(MAX(($B192*$C192*$D192)/MAX($F192,1),$E192)*IFERROR(SUMIF(tblVeriB[SiparisNo],$A192,tblVeriB[TarifTlDesi]),0)*$G192,2))</f>
        <v/>
      </c>
      <c r="K192" s="15">
        <f>IF($A192="","",1)</f>
        <v/>
      </c>
    </row>
    <row r="193">
      <c r="A193" s="13" t="n"/>
      <c r="B193" s="14" t="n"/>
      <c r="C193" s="14" t="n"/>
      <c r="D193" s="14" t="n"/>
      <c r="E193" s="14" t="n"/>
      <c r="F193" s="14" t="n"/>
      <c r="G193" s="14" t="n"/>
      <c r="H193" s="13" t="n"/>
      <c r="I193" s="13" t="n"/>
      <c r="J193" s="15">
        <f>IF($A193="","",ROUND(MAX(($B193*$C193*$D193)/MAX($F193,1),$E193)*IFERROR(SUMIF(tblVeriB[SiparisNo],$A193,tblVeriB[TarifTlDesi]),0)*$G193,2))</f>
        <v/>
      </c>
      <c r="K193" s="15">
        <f>IF($A193="","",1)</f>
        <v/>
      </c>
    </row>
    <row r="194">
      <c r="A194" s="13" t="n"/>
      <c r="B194" s="14" t="n"/>
      <c r="C194" s="14" t="n"/>
      <c r="D194" s="14" t="n"/>
      <c r="E194" s="14" t="n"/>
      <c r="F194" s="14" t="n"/>
      <c r="G194" s="14" t="n"/>
      <c r="H194" s="13" t="n"/>
      <c r="I194" s="13" t="n"/>
      <c r="J194" s="15">
        <f>IF($A194="","",ROUND(MAX(($B194*$C194*$D194)/MAX($F194,1),$E194)*IFERROR(SUMIF(tblVeriB[SiparisNo],$A194,tblVeriB[TarifTlDesi]),0)*$G194,2))</f>
        <v/>
      </c>
      <c r="K194" s="15">
        <f>IF($A194="","",1)</f>
        <v/>
      </c>
    </row>
    <row r="195">
      <c r="A195" s="13" t="n"/>
      <c r="B195" s="14" t="n"/>
      <c r="C195" s="14" t="n"/>
      <c r="D195" s="14" t="n"/>
      <c r="E195" s="14" t="n"/>
      <c r="F195" s="14" t="n"/>
      <c r="G195" s="14" t="n"/>
      <c r="H195" s="13" t="n"/>
      <c r="I195" s="13" t="n"/>
      <c r="J195" s="15">
        <f>IF($A195="","",ROUND(MAX(($B195*$C195*$D195)/MAX($F195,1),$E195)*IFERROR(SUMIF(tblVeriB[SiparisNo],$A195,tblVeriB[TarifTlDesi]),0)*$G195,2))</f>
        <v/>
      </c>
      <c r="K195" s="15">
        <f>IF($A195="","",1)</f>
        <v/>
      </c>
    </row>
    <row r="196">
      <c r="A196" s="13" t="n"/>
      <c r="B196" s="14" t="n"/>
      <c r="C196" s="14" t="n"/>
      <c r="D196" s="14" t="n"/>
      <c r="E196" s="14" t="n"/>
      <c r="F196" s="14" t="n"/>
      <c r="G196" s="14" t="n"/>
      <c r="H196" s="13" t="n"/>
      <c r="I196" s="13" t="n"/>
      <c r="J196" s="15">
        <f>IF($A196="","",ROUND(MAX(($B196*$C196*$D196)/MAX($F196,1),$E196)*IFERROR(SUMIF(tblVeriB[SiparisNo],$A196,tblVeriB[TarifTlDesi]),0)*$G196,2))</f>
        <v/>
      </c>
      <c r="K196" s="15">
        <f>IF($A196="","",1)</f>
        <v/>
      </c>
    </row>
    <row r="197">
      <c r="A197" s="13" t="n"/>
      <c r="B197" s="14" t="n"/>
      <c r="C197" s="14" t="n"/>
      <c r="D197" s="14" t="n"/>
      <c r="E197" s="14" t="n"/>
      <c r="F197" s="14" t="n"/>
      <c r="G197" s="14" t="n"/>
      <c r="H197" s="13" t="n"/>
      <c r="I197" s="13" t="n"/>
      <c r="J197" s="15">
        <f>IF($A197="","",ROUND(MAX(($B197*$C197*$D197)/MAX($F197,1),$E197)*IFERROR(SUMIF(tblVeriB[SiparisNo],$A197,tblVeriB[TarifTlDesi]),0)*$G197,2))</f>
        <v/>
      </c>
      <c r="K197" s="15">
        <f>IF($A197="","",1)</f>
        <v/>
      </c>
    </row>
    <row r="198">
      <c r="A198" s="13" t="n"/>
      <c r="B198" s="14" t="n"/>
      <c r="C198" s="14" t="n"/>
      <c r="D198" s="14" t="n"/>
      <c r="E198" s="14" t="n"/>
      <c r="F198" s="14" t="n"/>
      <c r="G198" s="14" t="n"/>
      <c r="H198" s="13" t="n"/>
      <c r="I198" s="13" t="n"/>
      <c r="J198" s="15">
        <f>IF($A198="","",ROUND(MAX(($B198*$C198*$D198)/MAX($F198,1),$E198)*IFERROR(SUMIF(tblVeriB[SiparisNo],$A198,tblVeriB[TarifTlDesi]),0)*$G198,2))</f>
        <v/>
      </c>
      <c r="K198" s="15">
        <f>IF($A198="","",1)</f>
        <v/>
      </c>
    </row>
    <row r="199">
      <c r="A199" s="13" t="n"/>
      <c r="B199" s="14" t="n"/>
      <c r="C199" s="14" t="n"/>
      <c r="D199" s="14" t="n"/>
      <c r="E199" s="14" t="n"/>
      <c r="F199" s="14" t="n"/>
      <c r="G199" s="14" t="n"/>
      <c r="H199" s="13" t="n"/>
      <c r="I199" s="13" t="n"/>
      <c r="J199" s="15">
        <f>IF($A199="","",ROUND(MAX(($B199*$C199*$D199)/MAX($F199,1),$E199)*IFERROR(SUMIF(tblVeriB[SiparisNo],$A199,tblVeriB[TarifTlDesi]),0)*$G199,2))</f>
        <v/>
      </c>
      <c r="K199" s="15">
        <f>IF($A199="","",1)</f>
        <v/>
      </c>
    </row>
    <row r="200">
      <c r="A200" s="13" t="n"/>
      <c r="B200" s="14" t="n"/>
      <c r="C200" s="14" t="n"/>
      <c r="D200" s="14" t="n"/>
      <c r="E200" s="14" t="n"/>
      <c r="F200" s="14" t="n"/>
      <c r="G200" s="14" t="n"/>
      <c r="H200" s="13" t="n"/>
      <c r="I200" s="13" t="n"/>
      <c r="J200" s="15">
        <f>IF($A200="","",ROUND(MAX(($B200*$C200*$D200)/MAX($F200,1),$E200)*IFERROR(SUMIF(tblVeriB[SiparisNo],$A200,tblVeriB[TarifTlDesi]),0)*$G200,2))</f>
        <v/>
      </c>
      <c r="K200" s="15">
        <f>IF($A200="","",1)</f>
        <v/>
      </c>
    </row>
    <row r="201">
      <c r="A201" s="13" t="n"/>
      <c r="B201" s="14" t="n"/>
      <c r="C201" s="14" t="n"/>
      <c r="D201" s="14" t="n"/>
      <c r="E201" s="14" t="n"/>
      <c r="F201" s="14" t="n"/>
      <c r="G201" s="14" t="n"/>
      <c r="H201" s="13" t="n"/>
      <c r="I201" s="13" t="n"/>
      <c r="J201" s="15">
        <f>IF($A201="","",ROUND(MAX(($B201*$C201*$D201)/MAX($F201,1),$E201)*IFERROR(SUMIF(tblVeriB[SiparisNo],$A201,tblVeriB[TarifTlDesi]),0)*$G201,2))</f>
        <v/>
      </c>
      <c r="K201" s="15">
        <f>IF($A201="","",1)</f>
        <v/>
      </c>
    </row>
    <row r="202">
      <c r="A202" s="13" t="n"/>
      <c r="B202" s="14" t="n"/>
      <c r="C202" s="14" t="n"/>
      <c r="D202" s="14" t="n"/>
      <c r="E202" s="14" t="n"/>
      <c r="F202" s="14" t="n"/>
      <c r="G202" s="14" t="n"/>
      <c r="H202" s="13" t="n"/>
      <c r="I202" s="13" t="n"/>
      <c r="J202" s="15">
        <f>IF($A202="","",ROUND(MAX(($B202*$C202*$D202)/MAX($F202,1),$E202)*IFERROR(SUMIF(tblVeriB[SiparisNo],$A202,tblVeriB[TarifTlDesi]),0)*$G202,2))</f>
        <v/>
      </c>
      <c r="K202" s="15">
        <f>IF($A202="","",1)</f>
        <v/>
      </c>
    </row>
    <row r="203">
      <c r="A203" s="13" t="n"/>
      <c r="B203" s="14" t="n"/>
      <c r="C203" s="14" t="n"/>
      <c r="D203" s="14" t="n"/>
      <c r="E203" s="14" t="n"/>
      <c r="F203" s="14" t="n"/>
      <c r="G203" s="14" t="n"/>
      <c r="H203" s="13" t="n"/>
      <c r="I203" s="13" t="n"/>
      <c r="J203" s="15">
        <f>IF($A203="","",ROUND(MAX(($B203*$C203*$D203)/MAX($F203,1),$E203)*IFERROR(SUMIF(tblVeriB[SiparisNo],$A203,tblVeriB[TarifTlDesi]),0)*$G203,2))</f>
        <v/>
      </c>
      <c r="K203" s="15">
        <f>IF($A203="","",1)</f>
        <v/>
      </c>
    </row>
    <row r="204">
      <c r="A204" s="13" t="n"/>
      <c r="B204" s="14" t="n"/>
      <c r="C204" s="14" t="n"/>
      <c r="D204" s="14" t="n"/>
      <c r="E204" s="14" t="n"/>
      <c r="F204" s="14" t="n"/>
      <c r="G204" s="14" t="n"/>
      <c r="H204" s="13" t="n"/>
      <c r="I204" s="13" t="n"/>
      <c r="J204" s="15">
        <f>IF($A204="","",ROUND(MAX(($B204*$C204*$D204)/MAX($F204,1),$E204)*IFERROR(SUMIF(tblVeriB[SiparisNo],$A204,tblVeriB[TarifTlDesi]),0)*$G204,2))</f>
        <v/>
      </c>
      <c r="K204" s="15">
        <f>IF($A204="","",1)</f>
        <v/>
      </c>
    </row>
    <row r="205">
      <c r="A205" s="13" t="n"/>
      <c r="B205" s="14" t="n"/>
      <c r="C205" s="14" t="n"/>
      <c r="D205" s="14" t="n"/>
      <c r="E205" s="14" t="n"/>
      <c r="F205" s="14" t="n"/>
      <c r="G205" s="14" t="n"/>
      <c r="H205" s="13" t="n"/>
      <c r="I205" s="13" t="n"/>
      <c r="J205" s="15">
        <f>IF($A205="","",ROUND(MAX(($B205*$C205*$D205)/MAX($F205,1),$E205)*IFERROR(SUMIF(tblVeriB[SiparisNo],$A205,tblVeriB[TarifTlDesi]),0)*$G205,2))</f>
        <v/>
      </c>
      <c r="K205" s="15">
        <f>IF($A205="","",1)</f>
        <v/>
      </c>
    </row>
    <row r="206">
      <c r="A206" s="13" t="n"/>
      <c r="B206" s="14" t="n"/>
      <c r="C206" s="14" t="n"/>
      <c r="D206" s="14" t="n"/>
      <c r="E206" s="14" t="n"/>
      <c r="F206" s="14" t="n"/>
      <c r="G206" s="14" t="n"/>
      <c r="H206" s="13" t="n"/>
      <c r="I206" s="13" t="n"/>
      <c r="J206" s="15">
        <f>IF($A206="","",ROUND(MAX(($B206*$C206*$D206)/MAX($F206,1),$E206)*IFERROR(SUMIF(tblVeriB[SiparisNo],$A206,tblVeriB[TarifTlDesi]),0)*$G206,2))</f>
        <v/>
      </c>
      <c r="K206" s="15">
        <f>IF($A206="","",1)</f>
        <v/>
      </c>
    </row>
    <row r="207">
      <c r="A207" s="13" t="n"/>
      <c r="B207" s="14" t="n"/>
      <c r="C207" s="14" t="n"/>
      <c r="D207" s="14" t="n"/>
      <c r="E207" s="14" t="n"/>
      <c r="F207" s="14" t="n"/>
      <c r="G207" s="14" t="n"/>
      <c r="H207" s="13" t="n"/>
      <c r="I207" s="13" t="n"/>
      <c r="J207" s="15">
        <f>IF($A207="","",ROUND(MAX(($B207*$C207*$D207)/MAX($F207,1),$E207)*IFERROR(SUMIF(tblVeriB[SiparisNo],$A207,tblVeriB[TarifTlDesi]),0)*$G207,2))</f>
        <v/>
      </c>
      <c r="K207" s="15">
        <f>IF($A207="","",1)</f>
        <v/>
      </c>
    </row>
    <row r="208">
      <c r="A208" s="13" t="n"/>
      <c r="B208" s="14" t="n"/>
      <c r="C208" s="14" t="n"/>
      <c r="D208" s="14" t="n"/>
      <c r="E208" s="14" t="n"/>
      <c r="F208" s="14" t="n"/>
      <c r="G208" s="14" t="n"/>
      <c r="H208" s="13" t="n"/>
      <c r="I208" s="13" t="n"/>
      <c r="J208" s="15">
        <f>IF($A208="","",ROUND(MAX(($B208*$C208*$D208)/MAX($F208,1),$E208)*IFERROR(SUMIF(tblVeriB[SiparisNo],$A208,tblVeriB[TarifTlDesi]),0)*$G208,2))</f>
        <v/>
      </c>
      <c r="K208" s="15">
        <f>IF($A208="","",1)</f>
        <v/>
      </c>
    </row>
    <row r="209">
      <c r="A209" s="13" t="n"/>
      <c r="B209" s="14" t="n"/>
      <c r="C209" s="14" t="n"/>
      <c r="D209" s="14" t="n"/>
      <c r="E209" s="14" t="n"/>
      <c r="F209" s="14" t="n"/>
      <c r="G209" s="14" t="n"/>
      <c r="H209" s="13" t="n"/>
      <c r="I209" s="13" t="n"/>
      <c r="J209" s="15">
        <f>IF($A209="","",ROUND(MAX(($B209*$C209*$D209)/MAX($F209,1),$E209)*IFERROR(SUMIF(tblVeriB[SiparisNo],$A209,tblVeriB[TarifTlDesi]),0)*$G209,2))</f>
        <v/>
      </c>
      <c r="K209" s="15">
        <f>IF($A209="","",1)</f>
        <v/>
      </c>
    </row>
    <row r="210">
      <c r="A210" s="13" t="n"/>
      <c r="B210" s="14" t="n"/>
      <c r="C210" s="14" t="n"/>
      <c r="D210" s="14" t="n"/>
      <c r="E210" s="14" t="n"/>
      <c r="F210" s="14" t="n"/>
      <c r="G210" s="14" t="n"/>
      <c r="H210" s="13" t="n"/>
      <c r="I210" s="13" t="n"/>
      <c r="J210" s="15">
        <f>IF($A210="","",ROUND(MAX(($B210*$C210*$D210)/MAX($F210,1),$E210)*IFERROR(SUMIF(tblVeriB[SiparisNo],$A210,tblVeriB[TarifTlDesi]),0)*$G210,2))</f>
        <v/>
      </c>
      <c r="K210" s="15">
        <f>IF($A210="","",1)</f>
        <v/>
      </c>
    </row>
    <row r="211">
      <c r="A211" s="13" t="n"/>
      <c r="B211" s="14" t="n"/>
      <c r="C211" s="14" t="n"/>
      <c r="D211" s="14" t="n"/>
      <c r="E211" s="14" t="n"/>
      <c r="F211" s="14" t="n"/>
      <c r="G211" s="14" t="n"/>
      <c r="H211" s="13" t="n"/>
      <c r="I211" s="13" t="n"/>
      <c r="J211" s="15">
        <f>IF($A211="","",ROUND(MAX(($B211*$C211*$D211)/MAX($F211,1),$E211)*IFERROR(SUMIF(tblVeriB[SiparisNo],$A211,tblVeriB[TarifTlDesi]),0)*$G211,2))</f>
        <v/>
      </c>
      <c r="K211" s="15">
        <f>IF($A211="","",1)</f>
        <v/>
      </c>
    </row>
    <row r="212">
      <c r="A212" s="13" t="n"/>
      <c r="B212" s="14" t="n"/>
      <c r="C212" s="14" t="n"/>
      <c r="D212" s="14" t="n"/>
      <c r="E212" s="14" t="n"/>
      <c r="F212" s="14" t="n"/>
      <c r="G212" s="14" t="n"/>
      <c r="H212" s="13" t="n"/>
      <c r="I212" s="13" t="n"/>
      <c r="J212" s="15">
        <f>IF($A212="","",ROUND(MAX(($B212*$C212*$D212)/MAX($F212,1),$E212)*IFERROR(SUMIF(tblVeriB[SiparisNo],$A212,tblVeriB[TarifTlDesi]),0)*$G212,2))</f>
        <v/>
      </c>
      <c r="K212" s="15">
        <f>IF($A212="","",1)</f>
        <v/>
      </c>
    </row>
    <row r="213">
      <c r="A213" s="13" t="n"/>
      <c r="B213" s="14" t="n"/>
      <c r="C213" s="14" t="n"/>
      <c r="D213" s="14" t="n"/>
      <c r="E213" s="14" t="n"/>
      <c r="F213" s="14" t="n"/>
      <c r="G213" s="14" t="n"/>
      <c r="H213" s="13" t="n"/>
      <c r="I213" s="13" t="n"/>
      <c r="J213" s="15">
        <f>IF($A213="","",ROUND(MAX(($B213*$C213*$D213)/MAX($F213,1),$E213)*IFERROR(SUMIF(tblVeriB[SiparisNo],$A213,tblVeriB[TarifTlDesi]),0)*$G213,2))</f>
        <v/>
      </c>
      <c r="K213" s="15">
        <f>IF($A213="","",1)</f>
        <v/>
      </c>
    </row>
    <row r="214">
      <c r="A214" s="13" t="n"/>
      <c r="B214" s="14" t="n"/>
      <c r="C214" s="14" t="n"/>
      <c r="D214" s="14" t="n"/>
      <c r="E214" s="14" t="n"/>
      <c r="F214" s="14" t="n"/>
      <c r="G214" s="14" t="n"/>
      <c r="H214" s="13" t="n"/>
      <c r="I214" s="13" t="n"/>
      <c r="J214" s="15">
        <f>IF($A214="","",ROUND(MAX(($B214*$C214*$D214)/MAX($F214,1),$E214)*IFERROR(SUMIF(tblVeriB[SiparisNo],$A214,tblVeriB[TarifTlDesi]),0)*$G214,2))</f>
        <v/>
      </c>
      <c r="K214" s="15">
        <f>IF($A214="","",1)</f>
        <v/>
      </c>
    </row>
    <row r="215">
      <c r="A215" s="13" t="n"/>
      <c r="B215" s="14" t="n"/>
      <c r="C215" s="14" t="n"/>
      <c r="D215" s="14" t="n"/>
      <c r="E215" s="14" t="n"/>
      <c r="F215" s="14" t="n"/>
      <c r="G215" s="14" t="n"/>
      <c r="H215" s="13" t="n"/>
      <c r="I215" s="13" t="n"/>
      <c r="J215" s="15">
        <f>IF($A215="","",ROUND(MAX(($B215*$C215*$D215)/MAX($F215,1),$E215)*IFERROR(SUMIF(tblVeriB[SiparisNo],$A215,tblVeriB[TarifTlDesi]),0)*$G215,2))</f>
        <v/>
      </c>
      <c r="K215" s="15">
        <f>IF($A215="","",1)</f>
        <v/>
      </c>
    </row>
    <row r="216">
      <c r="A216" s="13" t="n"/>
      <c r="B216" s="14" t="n"/>
      <c r="C216" s="14" t="n"/>
      <c r="D216" s="14" t="n"/>
      <c r="E216" s="14" t="n"/>
      <c r="F216" s="14" t="n"/>
      <c r="G216" s="14" t="n"/>
      <c r="H216" s="13" t="n"/>
      <c r="I216" s="13" t="n"/>
      <c r="J216" s="15">
        <f>IF($A216="","",ROUND(MAX(($B216*$C216*$D216)/MAX($F216,1),$E216)*IFERROR(SUMIF(tblVeriB[SiparisNo],$A216,tblVeriB[TarifTlDesi]),0)*$G216,2))</f>
        <v/>
      </c>
      <c r="K216" s="15">
        <f>IF($A216="","",1)</f>
        <v/>
      </c>
    </row>
    <row r="217">
      <c r="A217" s="13" t="n"/>
      <c r="B217" s="14" t="n"/>
      <c r="C217" s="14" t="n"/>
      <c r="D217" s="14" t="n"/>
      <c r="E217" s="14" t="n"/>
      <c r="F217" s="14" t="n"/>
      <c r="G217" s="14" t="n"/>
      <c r="H217" s="13" t="n"/>
      <c r="I217" s="13" t="n"/>
      <c r="J217" s="15">
        <f>IF($A217="","",ROUND(MAX(($B217*$C217*$D217)/MAX($F217,1),$E217)*IFERROR(SUMIF(tblVeriB[SiparisNo],$A217,tblVeriB[TarifTlDesi]),0)*$G217,2))</f>
        <v/>
      </c>
      <c r="K217" s="15">
        <f>IF($A217="","",1)</f>
        <v/>
      </c>
    </row>
    <row r="218">
      <c r="A218" s="13" t="n"/>
      <c r="B218" s="14" t="n"/>
      <c r="C218" s="14" t="n"/>
      <c r="D218" s="14" t="n"/>
      <c r="E218" s="14" t="n"/>
      <c r="F218" s="14" t="n"/>
      <c r="G218" s="14" t="n"/>
      <c r="H218" s="13" t="n"/>
      <c r="I218" s="13" t="n"/>
      <c r="J218" s="15">
        <f>IF($A218="","",ROUND(MAX(($B218*$C218*$D218)/MAX($F218,1),$E218)*IFERROR(SUMIF(tblVeriB[SiparisNo],$A218,tblVeriB[TarifTlDesi]),0)*$G218,2))</f>
        <v/>
      </c>
      <c r="K218" s="15">
        <f>IF($A218="","",1)</f>
        <v/>
      </c>
    </row>
    <row r="219">
      <c r="A219" s="13" t="n"/>
      <c r="B219" s="14" t="n"/>
      <c r="C219" s="14" t="n"/>
      <c r="D219" s="14" t="n"/>
      <c r="E219" s="14" t="n"/>
      <c r="F219" s="14" t="n"/>
      <c r="G219" s="14" t="n"/>
      <c r="H219" s="13" t="n"/>
      <c r="I219" s="13" t="n"/>
      <c r="J219" s="15">
        <f>IF($A219="","",ROUND(MAX(($B219*$C219*$D219)/MAX($F219,1),$E219)*IFERROR(SUMIF(tblVeriB[SiparisNo],$A219,tblVeriB[TarifTlDesi]),0)*$G219,2))</f>
        <v/>
      </c>
      <c r="K219" s="15">
        <f>IF($A219="","",1)</f>
        <v/>
      </c>
    </row>
    <row r="220">
      <c r="A220" s="13" t="n"/>
      <c r="B220" s="14" t="n"/>
      <c r="C220" s="14" t="n"/>
      <c r="D220" s="14" t="n"/>
      <c r="E220" s="14" t="n"/>
      <c r="F220" s="14" t="n"/>
      <c r="G220" s="14" t="n"/>
      <c r="H220" s="13" t="n"/>
      <c r="I220" s="13" t="n"/>
      <c r="J220" s="15">
        <f>IF($A220="","",ROUND(MAX(($B220*$C220*$D220)/MAX($F220,1),$E220)*IFERROR(SUMIF(tblVeriB[SiparisNo],$A220,tblVeriB[TarifTlDesi]),0)*$G220,2))</f>
        <v/>
      </c>
      <c r="K220" s="15">
        <f>IF($A220="","",1)</f>
        <v/>
      </c>
    </row>
    <row r="221">
      <c r="A221" s="13" t="n"/>
      <c r="B221" s="14" t="n"/>
      <c r="C221" s="14" t="n"/>
      <c r="D221" s="14" t="n"/>
      <c r="E221" s="14" t="n"/>
      <c r="F221" s="14" t="n"/>
      <c r="G221" s="14" t="n"/>
      <c r="H221" s="13" t="n"/>
      <c r="I221" s="13" t="n"/>
      <c r="J221" s="15">
        <f>IF($A221="","",ROUND(MAX(($B221*$C221*$D221)/MAX($F221,1),$E221)*IFERROR(SUMIF(tblVeriB[SiparisNo],$A221,tblVeriB[TarifTlDesi]),0)*$G221,2))</f>
        <v/>
      </c>
      <c r="K221" s="15">
        <f>IF($A221="","",1)</f>
        <v/>
      </c>
    </row>
    <row r="222">
      <c r="A222" s="13" t="n"/>
      <c r="B222" s="14" t="n"/>
      <c r="C222" s="14" t="n"/>
      <c r="D222" s="14" t="n"/>
      <c r="E222" s="14" t="n"/>
      <c r="F222" s="14" t="n"/>
      <c r="G222" s="14" t="n"/>
      <c r="H222" s="13" t="n"/>
      <c r="I222" s="13" t="n"/>
      <c r="J222" s="15">
        <f>IF($A222="","",ROUND(MAX(($B222*$C222*$D222)/MAX($F222,1),$E222)*IFERROR(SUMIF(tblVeriB[SiparisNo],$A222,tblVeriB[TarifTlDesi]),0)*$G222,2))</f>
        <v/>
      </c>
      <c r="K222" s="15">
        <f>IF($A222="","",1)</f>
        <v/>
      </c>
    </row>
    <row r="223">
      <c r="A223" s="13" t="n"/>
      <c r="B223" s="14" t="n"/>
      <c r="C223" s="14" t="n"/>
      <c r="D223" s="14" t="n"/>
      <c r="E223" s="14" t="n"/>
      <c r="F223" s="14" t="n"/>
      <c r="G223" s="14" t="n"/>
      <c r="H223" s="13" t="n"/>
      <c r="I223" s="13" t="n"/>
      <c r="J223" s="15">
        <f>IF($A223="","",ROUND(MAX(($B223*$C223*$D223)/MAX($F223,1),$E223)*IFERROR(SUMIF(tblVeriB[SiparisNo],$A223,tblVeriB[TarifTlDesi]),0)*$G223,2))</f>
        <v/>
      </c>
      <c r="K223" s="15">
        <f>IF($A223="","",1)</f>
        <v/>
      </c>
    </row>
    <row r="224">
      <c r="A224" s="13" t="n"/>
      <c r="B224" s="14" t="n"/>
      <c r="C224" s="14" t="n"/>
      <c r="D224" s="14" t="n"/>
      <c r="E224" s="14" t="n"/>
      <c r="F224" s="14" t="n"/>
      <c r="G224" s="14" t="n"/>
      <c r="H224" s="13" t="n"/>
      <c r="I224" s="13" t="n"/>
      <c r="J224" s="15">
        <f>IF($A224="","",ROUND(MAX(($B224*$C224*$D224)/MAX($F224,1),$E224)*IFERROR(SUMIF(tblVeriB[SiparisNo],$A224,tblVeriB[TarifTlDesi]),0)*$G224,2))</f>
        <v/>
      </c>
      <c r="K224" s="15">
        <f>IF($A224="","",1)</f>
        <v/>
      </c>
    </row>
    <row r="225">
      <c r="A225" s="13" t="n"/>
      <c r="B225" s="14" t="n"/>
      <c r="C225" s="14" t="n"/>
      <c r="D225" s="14" t="n"/>
      <c r="E225" s="14" t="n"/>
      <c r="F225" s="14" t="n"/>
      <c r="G225" s="14" t="n"/>
      <c r="H225" s="13" t="n"/>
      <c r="I225" s="13" t="n"/>
      <c r="J225" s="15">
        <f>IF($A225="","",ROUND(MAX(($B225*$C225*$D225)/MAX($F225,1),$E225)*IFERROR(SUMIF(tblVeriB[SiparisNo],$A225,tblVeriB[TarifTlDesi]),0)*$G225,2))</f>
        <v/>
      </c>
      <c r="K225" s="15">
        <f>IF($A225="","",1)</f>
        <v/>
      </c>
    </row>
    <row r="226">
      <c r="A226" s="13" t="n"/>
      <c r="B226" s="14" t="n"/>
      <c r="C226" s="14" t="n"/>
      <c r="D226" s="14" t="n"/>
      <c r="E226" s="14" t="n"/>
      <c r="F226" s="14" t="n"/>
      <c r="G226" s="14" t="n"/>
      <c r="H226" s="13" t="n"/>
      <c r="I226" s="13" t="n"/>
      <c r="J226" s="15">
        <f>IF($A226="","",ROUND(MAX(($B226*$C226*$D226)/MAX($F226,1),$E226)*IFERROR(SUMIF(tblVeriB[SiparisNo],$A226,tblVeriB[TarifTlDesi]),0)*$G226,2))</f>
        <v/>
      </c>
      <c r="K226" s="15">
        <f>IF($A226="","",1)</f>
        <v/>
      </c>
    </row>
    <row r="227">
      <c r="A227" s="13" t="n"/>
      <c r="B227" s="14" t="n"/>
      <c r="C227" s="14" t="n"/>
      <c r="D227" s="14" t="n"/>
      <c r="E227" s="14" t="n"/>
      <c r="F227" s="14" t="n"/>
      <c r="G227" s="14" t="n"/>
      <c r="H227" s="13" t="n"/>
      <c r="I227" s="13" t="n"/>
      <c r="J227" s="15">
        <f>IF($A227="","",ROUND(MAX(($B227*$C227*$D227)/MAX($F227,1),$E227)*IFERROR(SUMIF(tblVeriB[SiparisNo],$A227,tblVeriB[TarifTlDesi]),0)*$G227,2))</f>
        <v/>
      </c>
      <c r="K227" s="15">
        <f>IF($A227="","",1)</f>
        <v/>
      </c>
    </row>
    <row r="228">
      <c r="A228" s="13" t="n"/>
      <c r="B228" s="14" t="n"/>
      <c r="C228" s="14" t="n"/>
      <c r="D228" s="14" t="n"/>
      <c r="E228" s="14" t="n"/>
      <c r="F228" s="14" t="n"/>
      <c r="G228" s="14" t="n"/>
      <c r="H228" s="13" t="n"/>
      <c r="I228" s="13" t="n"/>
      <c r="J228" s="15">
        <f>IF($A228="","",ROUND(MAX(($B228*$C228*$D228)/MAX($F228,1),$E228)*IFERROR(SUMIF(tblVeriB[SiparisNo],$A228,tblVeriB[TarifTlDesi]),0)*$G228,2))</f>
        <v/>
      </c>
      <c r="K228" s="15">
        <f>IF($A228="","",1)</f>
        <v/>
      </c>
    </row>
    <row r="229">
      <c r="A229" s="13" t="n"/>
      <c r="B229" s="14" t="n"/>
      <c r="C229" s="14" t="n"/>
      <c r="D229" s="14" t="n"/>
      <c r="E229" s="14" t="n"/>
      <c r="F229" s="14" t="n"/>
      <c r="G229" s="14" t="n"/>
      <c r="H229" s="13" t="n"/>
      <c r="I229" s="13" t="n"/>
      <c r="J229" s="15">
        <f>IF($A229="","",ROUND(MAX(($B229*$C229*$D229)/MAX($F229,1),$E229)*IFERROR(SUMIF(tblVeriB[SiparisNo],$A229,tblVeriB[TarifTlDesi]),0)*$G229,2))</f>
        <v/>
      </c>
      <c r="K229" s="15">
        <f>IF($A229="","",1)</f>
        <v/>
      </c>
    </row>
    <row r="230">
      <c r="A230" s="13" t="n"/>
      <c r="B230" s="14" t="n"/>
      <c r="C230" s="14" t="n"/>
      <c r="D230" s="14" t="n"/>
      <c r="E230" s="14" t="n"/>
      <c r="F230" s="14" t="n"/>
      <c r="G230" s="14" t="n"/>
      <c r="H230" s="13" t="n"/>
      <c r="I230" s="13" t="n"/>
      <c r="J230" s="15">
        <f>IF($A230="","",ROUND(MAX(($B230*$C230*$D230)/MAX($F230,1),$E230)*IFERROR(SUMIF(tblVeriB[SiparisNo],$A230,tblVeriB[TarifTlDesi]),0)*$G230,2))</f>
        <v/>
      </c>
      <c r="K230" s="15">
        <f>IF($A230="","",1)</f>
        <v/>
      </c>
    </row>
    <row r="231">
      <c r="A231" s="13" t="n"/>
      <c r="B231" s="14" t="n"/>
      <c r="C231" s="14" t="n"/>
      <c r="D231" s="14" t="n"/>
      <c r="E231" s="14" t="n"/>
      <c r="F231" s="14" t="n"/>
      <c r="G231" s="14" t="n"/>
      <c r="H231" s="13" t="n"/>
      <c r="I231" s="13" t="n"/>
      <c r="J231" s="15">
        <f>IF($A231="","",ROUND(MAX(($B231*$C231*$D231)/MAX($F231,1),$E231)*IFERROR(SUMIF(tblVeriB[SiparisNo],$A231,tblVeriB[TarifTlDesi]),0)*$G231,2))</f>
        <v/>
      </c>
      <c r="K231" s="15">
        <f>IF($A231="","",1)</f>
        <v/>
      </c>
    </row>
    <row r="232">
      <c r="A232" s="13" t="n"/>
      <c r="B232" s="14" t="n"/>
      <c r="C232" s="14" t="n"/>
      <c r="D232" s="14" t="n"/>
      <c r="E232" s="14" t="n"/>
      <c r="F232" s="14" t="n"/>
      <c r="G232" s="14" t="n"/>
      <c r="H232" s="13" t="n"/>
      <c r="I232" s="13" t="n"/>
      <c r="J232" s="15">
        <f>IF($A232="","",ROUND(MAX(($B232*$C232*$D232)/MAX($F232,1),$E232)*IFERROR(SUMIF(tblVeriB[SiparisNo],$A232,tblVeriB[TarifTlDesi]),0)*$G232,2))</f>
        <v/>
      </c>
      <c r="K232" s="15">
        <f>IF($A232="","",1)</f>
        <v/>
      </c>
    </row>
    <row r="233">
      <c r="A233" s="13" t="n"/>
      <c r="B233" s="14" t="n"/>
      <c r="C233" s="14" t="n"/>
      <c r="D233" s="14" t="n"/>
      <c r="E233" s="14" t="n"/>
      <c r="F233" s="14" t="n"/>
      <c r="G233" s="14" t="n"/>
      <c r="H233" s="13" t="n"/>
      <c r="I233" s="13" t="n"/>
      <c r="J233" s="15">
        <f>IF($A233="","",ROUND(MAX(($B233*$C233*$D233)/MAX($F233,1),$E233)*IFERROR(SUMIF(tblVeriB[SiparisNo],$A233,tblVeriB[TarifTlDesi]),0)*$G233,2))</f>
        <v/>
      </c>
      <c r="K233" s="15">
        <f>IF($A233="","",1)</f>
        <v/>
      </c>
    </row>
    <row r="234">
      <c r="A234" s="13" t="n"/>
      <c r="B234" s="14" t="n"/>
      <c r="C234" s="14" t="n"/>
      <c r="D234" s="14" t="n"/>
      <c r="E234" s="14" t="n"/>
      <c r="F234" s="14" t="n"/>
      <c r="G234" s="14" t="n"/>
      <c r="H234" s="13" t="n"/>
      <c r="I234" s="13" t="n"/>
      <c r="J234" s="15">
        <f>IF($A234="","",ROUND(MAX(($B234*$C234*$D234)/MAX($F234,1),$E234)*IFERROR(SUMIF(tblVeriB[SiparisNo],$A234,tblVeriB[TarifTlDesi]),0)*$G234,2))</f>
        <v/>
      </c>
      <c r="K234" s="15">
        <f>IF($A234="","",1)</f>
        <v/>
      </c>
    </row>
    <row r="235">
      <c r="A235" s="13" t="n"/>
      <c r="B235" s="14" t="n"/>
      <c r="C235" s="14" t="n"/>
      <c r="D235" s="14" t="n"/>
      <c r="E235" s="14" t="n"/>
      <c r="F235" s="14" t="n"/>
      <c r="G235" s="14" t="n"/>
      <c r="H235" s="13" t="n"/>
      <c r="I235" s="13" t="n"/>
      <c r="J235" s="15">
        <f>IF($A235="","",ROUND(MAX(($B235*$C235*$D235)/MAX($F235,1),$E235)*IFERROR(SUMIF(tblVeriB[SiparisNo],$A235,tblVeriB[TarifTlDesi]),0)*$G235,2))</f>
        <v/>
      </c>
      <c r="K235" s="15">
        <f>IF($A235="","",1)</f>
        <v/>
      </c>
    </row>
    <row r="236">
      <c r="A236" s="13" t="n"/>
      <c r="B236" s="14" t="n"/>
      <c r="C236" s="14" t="n"/>
      <c r="D236" s="14" t="n"/>
      <c r="E236" s="14" t="n"/>
      <c r="F236" s="14" t="n"/>
      <c r="G236" s="14" t="n"/>
      <c r="H236" s="13" t="n"/>
      <c r="I236" s="13" t="n"/>
      <c r="J236" s="15">
        <f>IF($A236="","",ROUND(MAX(($B236*$C236*$D236)/MAX($F236,1),$E236)*IFERROR(SUMIF(tblVeriB[SiparisNo],$A236,tblVeriB[TarifTlDesi]),0)*$G236,2))</f>
        <v/>
      </c>
      <c r="K236" s="15">
        <f>IF($A236="","",1)</f>
        <v/>
      </c>
    </row>
    <row r="237">
      <c r="A237" s="13" t="n"/>
      <c r="B237" s="14" t="n"/>
      <c r="C237" s="14" t="n"/>
      <c r="D237" s="14" t="n"/>
      <c r="E237" s="14" t="n"/>
      <c r="F237" s="14" t="n"/>
      <c r="G237" s="14" t="n"/>
      <c r="H237" s="13" t="n"/>
      <c r="I237" s="13" t="n"/>
      <c r="J237" s="15">
        <f>IF($A237="","",ROUND(MAX(($B237*$C237*$D237)/MAX($F237,1),$E237)*IFERROR(SUMIF(tblVeriB[SiparisNo],$A237,tblVeriB[TarifTlDesi]),0)*$G237,2))</f>
        <v/>
      </c>
      <c r="K237" s="15">
        <f>IF($A237="","",1)</f>
        <v/>
      </c>
    </row>
    <row r="238">
      <c r="A238" s="13" t="n"/>
      <c r="B238" s="14" t="n"/>
      <c r="C238" s="14" t="n"/>
      <c r="D238" s="14" t="n"/>
      <c r="E238" s="14" t="n"/>
      <c r="F238" s="14" t="n"/>
      <c r="G238" s="14" t="n"/>
      <c r="H238" s="13" t="n"/>
      <c r="I238" s="13" t="n"/>
      <c r="J238" s="15">
        <f>IF($A238="","",ROUND(MAX(($B238*$C238*$D238)/MAX($F238,1),$E238)*IFERROR(SUMIF(tblVeriB[SiparisNo],$A238,tblVeriB[TarifTlDesi]),0)*$G238,2))</f>
        <v/>
      </c>
      <c r="K238" s="15">
        <f>IF($A238="","",1)</f>
        <v/>
      </c>
    </row>
    <row r="239">
      <c r="A239" s="13" t="n"/>
      <c r="B239" s="14" t="n"/>
      <c r="C239" s="14" t="n"/>
      <c r="D239" s="14" t="n"/>
      <c r="E239" s="14" t="n"/>
      <c r="F239" s="14" t="n"/>
      <c r="G239" s="14" t="n"/>
      <c r="H239" s="13" t="n"/>
      <c r="I239" s="13" t="n"/>
      <c r="J239" s="15">
        <f>IF($A239="","",ROUND(MAX(($B239*$C239*$D239)/MAX($F239,1),$E239)*IFERROR(SUMIF(tblVeriB[SiparisNo],$A239,tblVeriB[TarifTlDesi]),0)*$G239,2))</f>
        <v/>
      </c>
      <c r="K239" s="15">
        <f>IF($A239="","",1)</f>
        <v/>
      </c>
    </row>
    <row r="240">
      <c r="A240" s="13" t="n"/>
      <c r="B240" s="14" t="n"/>
      <c r="C240" s="14" t="n"/>
      <c r="D240" s="14" t="n"/>
      <c r="E240" s="14" t="n"/>
      <c r="F240" s="14" t="n"/>
      <c r="G240" s="14" t="n"/>
      <c r="H240" s="13" t="n"/>
      <c r="I240" s="13" t="n"/>
      <c r="J240" s="15">
        <f>IF($A240="","",ROUND(MAX(($B240*$C240*$D240)/MAX($F240,1),$E240)*IFERROR(SUMIF(tblVeriB[SiparisNo],$A240,tblVeriB[TarifTlDesi]),0)*$G240,2))</f>
        <v/>
      </c>
      <c r="K240" s="15">
        <f>IF($A240="","",1)</f>
        <v/>
      </c>
    </row>
    <row r="241">
      <c r="A241" s="13" t="n"/>
      <c r="B241" s="14" t="n"/>
      <c r="C241" s="14" t="n"/>
      <c r="D241" s="14" t="n"/>
      <c r="E241" s="14" t="n"/>
      <c r="F241" s="14" t="n"/>
      <c r="G241" s="14" t="n"/>
      <c r="H241" s="13" t="n"/>
      <c r="I241" s="13" t="n"/>
      <c r="J241" s="15">
        <f>IF($A241="","",ROUND(MAX(($B241*$C241*$D241)/MAX($F241,1),$E241)*IFERROR(SUMIF(tblVeriB[SiparisNo],$A241,tblVeriB[TarifTlDesi]),0)*$G241,2))</f>
        <v/>
      </c>
      <c r="K241" s="15">
        <f>IF($A241="","",1)</f>
        <v/>
      </c>
    </row>
    <row r="242">
      <c r="A242" s="13" t="n"/>
      <c r="B242" s="14" t="n"/>
      <c r="C242" s="14" t="n"/>
      <c r="D242" s="14" t="n"/>
      <c r="E242" s="14" t="n"/>
      <c r="F242" s="14" t="n"/>
      <c r="G242" s="14" t="n"/>
      <c r="H242" s="13" t="n"/>
      <c r="I242" s="13" t="n"/>
      <c r="J242" s="15">
        <f>IF($A242="","",ROUND(MAX(($B242*$C242*$D242)/MAX($F242,1),$E242)*IFERROR(SUMIF(tblVeriB[SiparisNo],$A242,tblVeriB[TarifTlDesi]),0)*$G242,2))</f>
        <v/>
      </c>
      <c r="K242" s="15">
        <f>IF($A242="","",1)</f>
        <v/>
      </c>
    </row>
    <row r="243">
      <c r="A243" s="13" t="n"/>
      <c r="B243" s="14" t="n"/>
      <c r="C243" s="14" t="n"/>
      <c r="D243" s="14" t="n"/>
      <c r="E243" s="14" t="n"/>
      <c r="F243" s="14" t="n"/>
      <c r="G243" s="14" t="n"/>
      <c r="H243" s="13" t="n"/>
      <c r="I243" s="13" t="n"/>
      <c r="J243" s="15">
        <f>IF($A243="","",ROUND(MAX(($B243*$C243*$D243)/MAX($F243,1),$E243)*IFERROR(SUMIF(tblVeriB[SiparisNo],$A243,tblVeriB[TarifTlDesi]),0)*$G243,2))</f>
        <v/>
      </c>
      <c r="K243" s="15">
        <f>IF($A243="","",1)</f>
        <v/>
      </c>
    </row>
    <row r="244">
      <c r="A244" s="13" t="n"/>
      <c r="B244" s="14" t="n"/>
      <c r="C244" s="14" t="n"/>
      <c r="D244" s="14" t="n"/>
      <c r="E244" s="14" t="n"/>
      <c r="F244" s="14" t="n"/>
      <c r="G244" s="14" t="n"/>
      <c r="H244" s="13" t="n"/>
      <c r="I244" s="13" t="n"/>
      <c r="J244" s="15">
        <f>IF($A244="","",ROUND(MAX(($B244*$C244*$D244)/MAX($F244,1),$E244)*IFERROR(SUMIF(tblVeriB[SiparisNo],$A244,tblVeriB[TarifTlDesi]),0)*$G244,2))</f>
        <v/>
      </c>
      <c r="K244" s="15">
        <f>IF($A244="","",1)</f>
        <v/>
      </c>
    </row>
    <row r="245">
      <c r="A245" s="13" t="n"/>
      <c r="B245" s="14" t="n"/>
      <c r="C245" s="14" t="n"/>
      <c r="D245" s="14" t="n"/>
      <c r="E245" s="14" t="n"/>
      <c r="F245" s="14" t="n"/>
      <c r="G245" s="14" t="n"/>
      <c r="H245" s="13" t="n"/>
      <c r="I245" s="13" t="n"/>
      <c r="J245" s="15">
        <f>IF($A245="","",ROUND(MAX(($B245*$C245*$D245)/MAX($F245,1),$E245)*IFERROR(SUMIF(tblVeriB[SiparisNo],$A245,tblVeriB[TarifTlDesi]),0)*$G245,2))</f>
        <v/>
      </c>
      <c r="K245" s="15">
        <f>IF($A245="","",1)</f>
        <v/>
      </c>
    </row>
    <row r="246">
      <c r="A246" s="13" t="n"/>
      <c r="B246" s="14" t="n"/>
      <c r="C246" s="14" t="n"/>
      <c r="D246" s="14" t="n"/>
      <c r="E246" s="14" t="n"/>
      <c r="F246" s="14" t="n"/>
      <c r="G246" s="14" t="n"/>
      <c r="H246" s="13" t="n"/>
      <c r="I246" s="13" t="n"/>
      <c r="J246" s="15">
        <f>IF($A246="","",ROUND(MAX(($B246*$C246*$D246)/MAX($F246,1),$E246)*IFERROR(SUMIF(tblVeriB[SiparisNo],$A246,tblVeriB[TarifTlDesi]),0)*$G246,2))</f>
        <v/>
      </c>
      <c r="K246" s="15">
        <f>IF($A246="","",1)</f>
        <v/>
      </c>
    </row>
    <row r="247">
      <c r="A247" s="13" t="n"/>
      <c r="B247" s="14" t="n"/>
      <c r="C247" s="14" t="n"/>
      <c r="D247" s="14" t="n"/>
      <c r="E247" s="14" t="n"/>
      <c r="F247" s="14" t="n"/>
      <c r="G247" s="14" t="n"/>
      <c r="H247" s="13" t="n"/>
      <c r="I247" s="13" t="n"/>
      <c r="J247" s="15">
        <f>IF($A247="","",ROUND(MAX(($B247*$C247*$D247)/MAX($F247,1),$E247)*IFERROR(SUMIF(tblVeriB[SiparisNo],$A247,tblVeriB[TarifTlDesi]),0)*$G247,2))</f>
        <v/>
      </c>
      <c r="K247" s="15">
        <f>IF($A247="","",1)</f>
        <v/>
      </c>
    </row>
    <row r="248">
      <c r="A248" s="13" t="n"/>
      <c r="B248" s="14" t="n"/>
      <c r="C248" s="14" t="n"/>
      <c r="D248" s="14" t="n"/>
      <c r="E248" s="14" t="n"/>
      <c r="F248" s="14" t="n"/>
      <c r="G248" s="14" t="n"/>
      <c r="H248" s="13" t="n"/>
      <c r="I248" s="13" t="n"/>
      <c r="J248" s="15">
        <f>IF($A248="","",ROUND(MAX(($B248*$C248*$D248)/MAX($F248,1),$E248)*IFERROR(SUMIF(tblVeriB[SiparisNo],$A248,tblVeriB[TarifTlDesi]),0)*$G248,2))</f>
        <v/>
      </c>
      <c r="K248" s="15">
        <f>IF($A248="","",1)</f>
        <v/>
      </c>
    </row>
    <row r="249">
      <c r="A249" s="13" t="n"/>
      <c r="B249" s="14" t="n"/>
      <c r="C249" s="14" t="n"/>
      <c r="D249" s="14" t="n"/>
      <c r="E249" s="14" t="n"/>
      <c r="F249" s="14" t="n"/>
      <c r="G249" s="14" t="n"/>
      <c r="H249" s="13" t="n"/>
      <c r="I249" s="13" t="n"/>
      <c r="J249" s="15">
        <f>IF($A249="","",ROUND(MAX(($B249*$C249*$D249)/MAX($F249,1),$E249)*IFERROR(SUMIF(tblVeriB[SiparisNo],$A249,tblVeriB[TarifTlDesi]),0)*$G249,2))</f>
        <v/>
      </c>
      <c r="K249" s="15">
        <f>IF($A249="","",1)</f>
        <v/>
      </c>
    </row>
    <row r="250">
      <c r="A250" s="13" t="n"/>
      <c r="B250" s="14" t="n"/>
      <c r="C250" s="14" t="n"/>
      <c r="D250" s="14" t="n"/>
      <c r="E250" s="14" t="n"/>
      <c r="F250" s="14" t="n"/>
      <c r="G250" s="14" t="n"/>
      <c r="H250" s="13" t="n"/>
      <c r="I250" s="13" t="n"/>
      <c r="J250" s="15">
        <f>IF($A250="","",ROUND(MAX(($B250*$C250*$D250)/MAX($F250,1),$E250)*IFERROR(SUMIF(tblVeriB[SiparisNo],$A250,tblVeriB[TarifTlDesi]),0)*$G250,2))</f>
        <v/>
      </c>
      <c r="K250" s="15">
        <f>IF($A250="","",1)</f>
        <v/>
      </c>
    </row>
    <row r="251">
      <c r="A251" s="13" t="n"/>
      <c r="B251" s="14" t="n"/>
      <c r="C251" s="14" t="n"/>
      <c r="D251" s="14" t="n"/>
      <c r="E251" s="14" t="n"/>
      <c r="F251" s="14" t="n"/>
      <c r="G251" s="14" t="n"/>
      <c r="H251" s="13" t="n"/>
      <c r="I251" s="13" t="n"/>
      <c r="J251" s="15">
        <f>IF($A251="","",ROUND(MAX(($B251*$C251*$D251)/MAX($F251,1),$E251)*IFERROR(SUMIF(tblVeriB[SiparisNo],$A251,tblVeriB[TarifTlDesi]),0)*$G251,2))</f>
        <v/>
      </c>
      <c r="K251" s="15">
        <f>IF($A251="","",1)</f>
        <v/>
      </c>
    </row>
    <row r="252">
      <c r="A252" s="13" t="n"/>
      <c r="B252" s="14" t="n"/>
      <c r="C252" s="14" t="n"/>
      <c r="D252" s="14" t="n"/>
      <c r="E252" s="14" t="n"/>
      <c r="F252" s="14" t="n"/>
      <c r="G252" s="14" t="n"/>
      <c r="H252" s="13" t="n"/>
      <c r="I252" s="13" t="n"/>
      <c r="J252" s="15">
        <f>IF($A252="","",ROUND(MAX(($B252*$C252*$D252)/MAX($F252,1),$E252)*IFERROR(SUMIF(tblVeriB[SiparisNo],$A252,tblVeriB[TarifTlDesi]),0)*$G252,2))</f>
        <v/>
      </c>
      <c r="K252" s="15">
        <f>IF($A252="","",1)</f>
        <v/>
      </c>
    </row>
    <row r="253">
      <c r="A253" s="13" t="n"/>
      <c r="B253" s="14" t="n"/>
      <c r="C253" s="14" t="n"/>
      <c r="D253" s="14" t="n"/>
      <c r="E253" s="14" t="n"/>
      <c r="F253" s="14" t="n"/>
      <c r="G253" s="14" t="n"/>
      <c r="H253" s="13" t="n"/>
      <c r="I253" s="13" t="n"/>
      <c r="J253" s="15">
        <f>IF($A253="","",ROUND(MAX(($B253*$C253*$D253)/MAX($F253,1),$E253)*IFERROR(SUMIF(tblVeriB[SiparisNo],$A253,tblVeriB[TarifTlDesi]),0)*$G253,2))</f>
        <v/>
      </c>
      <c r="K253" s="15">
        <f>IF($A253="","",1)</f>
        <v/>
      </c>
    </row>
    <row r="254">
      <c r="A254" s="13" t="n"/>
      <c r="B254" s="14" t="n"/>
      <c r="C254" s="14" t="n"/>
      <c r="D254" s="14" t="n"/>
      <c r="E254" s="14" t="n"/>
      <c r="F254" s="14" t="n"/>
      <c r="G254" s="14" t="n"/>
      <c r="H254" s="13" t="n"/>
      <c r="I254" s="13" t="n"/>
      <c r="J254" s="15">
        <f>IF($A254="","",ROUND(MAX(($B254*$C254*$D254)/MAX($F254,1),$E254)*IFERROR(SUMIF(tblVeriB[SiparisNo],$A254,tblVeriB[TarifTlDesi]),0)*$G254,2))</f>
        <v/>
      </c>
      <c r="K254" s="15">
        <f>IF($A254="","",1)</f>
        <v/>
      </c>
    </row>
    <row r="255">
      <c r="A255" s="13" t="n"/>
      <c r="B255" s="14" t="n"/>
      <c r="C255" s="14" t="n"/>
      <c r="D255" s="14" t="n"/>
      <c r="E255" s="14" t="n"/>
      <c r="F255" s="14" t="n"/>
      <c r="G255" s="14" t="n"/>
      <c r="H255" s="13" t="n"/>
      <c r="I255" s="13" t="n"/>
      <c r="J255" s="15">
        <f>IF($A255="","",ROUND(MAX(($B255*$C255*$D255)/MAX($F255,1),$E255)*IFERROR(SUMIF(tblVeriB[SiparisNo],$A255,tblVeriB[TarifTlDesi]),0)*$G255,2))</f>
        <v/>
      </c>
      <c r="K255" s="15">
        <f>IF($A255="","",1)</f>
        <v/>
      </c>
    </row>
    <row r="256">
      <c r="A256" s="13" t="n"/>
      <c r="B256" s="14" t="n"/>
      <c r="C256" s="14" t="n"/>
      <c r="D256" s="14" t="n"/>
      <c r="E256" s="14" t="n"/>
      <c r="F256" s="14" t="n"/>
      <c r="G256" s="14" t="n"/>
      <c r="H256" s="13" t="n"/>
      <c r="I256" s="13" t="n"/>
      <c r="J256" s="15">
        <f>IF($A256="","",ROUND(MAX(($B256*$C256*$D256)/MAX($F256,1),$E256)*IFERROR(SUMIF(tblVeriB[SiparisNo],$A256,tblVeriB[TarifTlDesi]),0)*$G256,2))</f>
        <v/>
      </c>
      <c r="K256" s="15">
        <f>IF($A256="","",1)</f>
        <v/>
      </c>
    </row>
    <row r="257">
      <c r="A257" s="13" t="n"/>
      <c r="B257" s="14" t="n"/>
      <c r="C257" s="14" t="n"/>
      <c r="D257" s="14" t="n"/>
      <c r="E257" s="14" t="n"/>
      <c r="F257" s="14" t="n"/>
      <c r="G257" s="14" t="n"/>
      <c r="H257" s="13" t="n"/>
      <c r="I257" s="13" t="n"/>
      <c r="J257" s="15">
        <f>IF($A257="","",ROUND(MAX(($B257*$C257*$D257)/MAX($F257,1),$E257)*IFERROR(SUMIF(tblVeriB[SiparisNo],$A257,tblVeriB[TarifTlDesi]),0)*$G257,2))</f>
        <v/>
      </c>
      <c r="K257" s="15">
        <f>IF($A257="","",1)</f>
        <v/>
      </c>
    </row>
    <row r="258">
      <c r="A258" s="13" t="n"/>
      <c r="B258" s="14" t="n"/>
      <c r="C258" s="14" t="n"/>
      <c r="D258" s="14" t="n"/>
      <c r="E258" s="14" t="n"/>
      <c r="F258" s="14" t="n"/>
      <c r="G258" s="14" t="n"/>
      <c r="H258" s="13" t="n"/>
      <c r="I258" s="13" t="n"/>
      <c r="J258" s="15">
        <f>IF($A258="","",ROUND(MAX(($B258*$C258*$D258)/MAX($F258,1),$E258)*IFERROR(SUMIF(tblVeriB[SiparisNo],$A258,tblVeriB[TarifTlDesi]),0)*$G258,2))</f>
        <v/>
      </c>
      <c r="K258" s="15">
        <f>IF($A258="","",1)</f>
        <v/>
      </c>
    </row>
    <row r="259">
      <c r="A259" s="13" t="n"/>
      <c r="B259" s="14" t="n"/>
      <c r="C259" s="14" t="n"/>
      <c r="D259" s="14" t="n"/>
      <c r="E259" s="14" t="n"/>
      <c r="F259" s="14" t="n"/>
      <c r="G259" s="14" t="n"/>
      <c r="H259" s="13" t="n"/>
      <c r="I259" s="13" t="n"/>
      <c r="J259" s="15">
        <f>IF($A259="","",ROUND(MAX(($B259*$C259*$D259)/MAX($F259,1),$E259)*IFERROR(SUMIF(tblVeriB[SiparisNo],$A259,tblVeriB[TarifTlDesi]),0)*$G259,2))</f>
        <v/>
      </c>
      <c r="K259" s="15">
        <f>IF($A259="","",1)</f>
        <v/>
      </c>
    </row>
    <row r="260">
      <c r="A260" s="13" t="n"/>
      <c r="B260" s="14" t="n"/>
      <c r="C260" s="14" t="n"/>
      <c r="D260" s="14" t="n"/>
      <c r="E260" s="14" t="n"/>
      <c r="F260" s="14" t="n"/>
      <c r="G260" s="14" t="n"/>
      <c r="H260" s="13" t="n"/>
      <c r="I260" s="13" t="n"/>
      <c r="J260" s="15">
        <f>IF($A260="","",ROUND(MAX(($B260*$C260*$D260)/MAX($F260,1),$E260)*IFERROR(SUMIF(tblVeriB[SiparisNo],$A260,tblVeriB[TarifTlDesi]),0)*$G260,2))</f>
        <v/>
      </c>
      <c r="K260" s="15">
        <f>IF($A260="","",1)</f>
        <v/>
      </c>
    </row>
    <row r="261">
      <c r="A261" s="13" t="n"/>
      <c r="B261" s="14" t="n"/>
      <c r="C261" s="14" t="n"/>
      <c r="D261" s="14" t="n"/>
      <c r="E261" s="14" t="n"/>
      <c r="F261" s="14" t="n"/>
      <c r="G261" s="14" t="n"/>
      <c r="H261" s="13" t="n"/>
      <c r="I261" s="13" t="n"/>
      <c r="J261" s="15">
        <f>IF($A261="","",ROUND(MAX(($B261*$C261*$D261)/MAX($F261,1),$E261)*IFERROR(SUMIF(tblVeriB[SiparisNo],$A261,tblVeriB[TarifTlDesi]),0)*$G261,2))</f>
        <v/>
      </c>
      <c r="K261" s="15">
        <f>IF($A261="","",1)</f>
        <v/>
      </c>
    </row>
    <row r="262">
      <c r="A262" s="13" t="n"/>
      <c r="B262" s="14" t="n"/>
      <c r="C262" s="14" t="n"/>
      <c r="D262" s="14" t="n"/>
      <c r="E262" s="14" t="n"/>
      <c r="F262" s="14" t="n"/>
      <c r="G262" s="14" t="n"/>
      <c r="H262" s="13" t="n"/>
      <c r="I262" s="13" t="n"/>
      <c r="J262" s="15">
        <f>IF($A262="","",ROUND(MAX(($B262*$C262*$D262)/MAX($F262,1),$E262)*IFERROR(SUMIF(tblVeriB[SiparisNo],$A262,tblVeriB[TarifTlDesi]),0)*$G262,2))</f>
        <v/>
      </c>
      <c r="K262" s="15">
        <f>IF($A262="","",1)</f>
        <v/>
      </c>
    </row>
    <row r="263">
      <c r="A263" s="13" t="n"/>
      <c r="B263" s="14" t="n"/>
      <c r="C263" s="14" t="n"/>
      <c r="D263" s="14" t="n"/>
      <c r="E263" s="14" t="n"/>
      <c r="F263" s="14" t="n"/>
      <c r="G263" s="14" t="n"/>
      <c r="H263" s="13" t="n"/>
      <c r="I263" s="13" t="n"/>
      <c r="J263" s="15">
        <f>IF($A263="","",ROUND(MAX(($B263*$C263*$D263)/MAX($F263,1),$E263)*IFERROR(SUMIF(tblVeriB[SiparisNo],$A263,tblVeriB[TarifTlDesi]),0)*$G263,2))</f>
        <v/>
      </c>
      <c r="K263" s="15">
        <f>IF($A263="","",1)</f>
        <v/>
      </c>
    </row>
    <row r="264">
      <c r="A264" s="13" t="n"/>
      <c r="B264" s="14" t="n"/>
      <c r="C264" s="14" t="n"/>
      <c r="D264" s="14" t="n"/>
      <c r="E264" s="14" t="n"/>
      <c r="F264" s="14" t="n"/>
      <c r="G264" s="14" t="n"/>
      <c r="H264" s="13" t="n"/>
      <c r="I264" s="13" t="n"/>
      <c r="J264" s="15">
        <f>IF($A264="","",ROUND(MAX(($B264*$C264*$D264)/MAX($F264,1),$E264)*IFERROR(SUMIF(tblVeriB[SiparisNo],$A264,tblVeriB[TarifTlDesi]),0)*$G264,2))</f>
        <v/>
      </c>
      <c r="K264" s="15">
        <f>IF($A264="","",1)</f>
        <v/>
      </c>
    </row>
    <row r="265">
      <c r="A265" s="13" t="n"/>
      <c r="B265" s="14" t="n"/>
      <c r="C265" s="14" t="n"/>
      <c r="D265" s="14" t="n"/>
      <c r="E265" s="14" t="n"/>
      <c r="F265" s="14" t="n"/>
      <c r="G265" s="14" t="n"/>
      <c r="H265" s="13" t="n"/>
      <c r="I265" s="13" t="n"/>
      <c r="J265" s="15">
        <f>IF($A265="","",ROUND(MAX(($B265*$C265*$D265)/MAX($F265,1),$E265)*IFERROR(SUMIF(tblVeriB[SiparisNo],$A265,tblVeriB[TarifTlDesi]),0)*$G265,2))</f>
        <v/>
      </c>
      <c r="K265" s="15">
        <f>IF($A265="","",1)</f>
        <v/>
      </c>
    </row>
    <row r="266">
      <c r="A266" s="13" t="n"/>
      <c r="B266" s="14" t="n"/>
      <c r="C266" s="14" t="n"/>
      <c r="D266" s="14" t="n"/>
      <c r="E266" s="14" t="n"/>
      <c r="F266" s="14" t="n"/>
      <c r="G266" s="14" t="n"/>
      <c r="H266" s="13" t="n"/>
      <c r="I266" s="13" t="n"/>
      <c r="J266" s="15">
        <f>IF($A266="","",ROUND(MAX(($B266*$C266*$D266)/MAX($F266,1),$E266)*IFERROR(SUMIF(tblVeriB[SiparisNo],$A266,tblVeriB[TarifTlDesi]),0)*$G266,2))</f>
        <v/>
      </c>
      <c r="K266" s="15">
        <f>IF($A266="","",1)</f>
        <v/>
      </c>
    </row>
    <row r="267">
      <c r="A267" s="13" t="n"/>
      <c r="B267" s="14" t="n"/>
      <c r="C267" s="14" t="n"/>
      <c r="D267" s="14" t="n"/>
      <c r="E267" s="14" t="n"/>
      <c r="F267" s="14" t="n"/>
      <c r="G267" s="14" t="n"/>
      <c r="H267" s="13" t="n"/>
      <c r="I267" s="13" t="n"/>
      <c r="J267" s="15">
        <f>IF($A267="","",ROUND(MAX(($B267*$C267*$D267)/MAX($F267,1),$E267)*IFERROR(SUMIF(tblVeriB[SiparisNo],$A267,tblVeriB[TarifTlDesi]),0)*$G267,2))</f>
        <v/>
      </c>
      <c r="K267" s="15">
        <f>IF($A267="","",1)</f>
        <v/>
      </c>
    </row>
    <row r="268">
      <c r="A268" s="13" t="n"/>
      <c r="B268" s="14" t="n"/>
      <c r="C268" s="14" t="n"/>
      <c r="D268" s="14" t="n"/>
      <c r="E268" s="14" t="n"/>
      <c r="F268" s="14" t="n"/>
      <c r="G268" s="14" t="n"/>
      <c r="H268" s="13" t="n"/>
      <c r="I268" s="13" t="n"/>
      <c r="J268" s="15">
        <f>IF($A268="","",ROUND(MAX(($B268*$C268*$D268)/MAX($F268,1),$E268)*IFERROR(SUMIF(tblVeriB[SiparisNo],$A268,tblVeriB[TarifTlDesi]),0)*$G268,2))</f>
        <v/>
      </c>
      <c r="K268" s="15">
        <f>IF($A268="","",1)</f>
        <v/>
      </c>
    </row>
    <row r="269">
      <c r="A269" s="13" t="n"/>
      <c r="B269" s="14" t="n"/>
      <c r="C269" s="14" t="n"/>
      <c r="D269" s="14" t="n"/>
      <c r="E269" s="14" t="n"/>
      <c r="F269" s="14" t="n"/>
      <c r="G269" s="14" t="n"/>
      <c r="H269" s="13" t="n"/>
      <c r="I269" s="13" t="n"/>
      <c r="J269" s="15">
        <f>IF($A269="","",ROUND(MAX(($B269*$C269*$D269)/MAX($F269,1),$E269)*IFERROR(SUMIF(tblVeriB[SiparisNo],$A269,tblVeriB[TarifTlDesi]),0)*$G269,2))</f>
        <v/>
      </c>
      <c r="K269" s="15">
        <f>IF($A269="","",1)</f>
        <v/>
      </c>
    </row>
    <row r="270">
      <c r="A270" s="13" t="n"/>
      <c r="B270" s="14" t="n"/>
      <c r="C270" s="14" t="n"/>
      <c r="D270" s="14" t="n"/>
      <c r="E270" s="14" t="n"/>
      <c r="F270" s="14" t="n"/>
      <c r="G270" s="14" t="n"/>
      <c r="H270" s="13" t="n"/>
      <c r="I270" s="13" t="n"/>
      <c r="J270" s="15">
        <f>IF($A270="","",ROUND(MAX(($B270*$C270*$D270)/MAX($F270,1),$E270)*IFERROR(SUMIF(tblVeriB[SiparisNo],$A270,tblVeriB[TarifTlDesi]),0)*$G270,2))</f>
        <v/>
      </c>
      <c r="K270" s="15">
        <f>IF($A270="","",1)</f>
        <v/>
      </c>
    </row>
    <row r="271">
      <c r="A271" s="13" t="n"/>
      <c r="B271" s="14" t="n"/>
      <c r="C271" s="14" t="n"/>
      <c r="D271" s="14" t="n"/>
      <c r="E271" s="14" t="n"/>
      <c r="F271" s="14" t="n"/>
      <c r="G271" s="14" t="n"/>
      <c r="H271" s="13" t="n"/>
      <c r="I271" s="13" t="n"/>
      <c r="J271" s="15">
        <f>IF($A271="","",ROUND(MAX(($B271*$C271*$D271)/MAX($F271,1),$E271)*IFERROR(SUMIF(tblVeriB[SiparisNo],$A271,tblVeriB[TarifTlDesi]),0)*$G271,2))</f>
        <v/>
      </c>
      <c r="K271" s="15">
        <f>IF($A271="","",1)</f>
        <v/>
      </c>
    </row>
    <row r="272">
      <c r="A272" s="13" t="n"/>
      <c r="B272" s="14" t="n"/>
      <c r="C272" s="14" t="n"/>
      <c r="D272" s="14" t="n"/>
      <c r="E272" s="14" t="n"/>
      <c r="F272" s="14" t="n"/>
      <c r="G272" s="14" t="n"/>
      <c r="H272" s="13" t="n"/>
      <c r="I272" s="13" t="n"/>
      <c r="J272" s="15">
        <f>IF($A272="","",ROUND(MAX(($B272*$C272*$D272)/MAX($F272,1),$E272)*IFERROR(SUMIF(tblVeriB[SiparisNo],$A272,tblVeriB[TarifTlDesi]),0)*$G272,2))</f>
        <v/>
      </c>
      <c r="K272" s="15">
        <f>IF($A272="","",1)</f>
        <v/>
      </c>
    </row>
    <row r="273">
      <c r="A273" s="13" t="n"/>
      <c r="B273" s="14" t="n"/>
      <c r="C273" s="14" t="n"/>
      <c r="D273" s="14" t="n"/>
      <c r="E273" s="14" t="n"/>
      <c r="F273" s="14" t="n"/>
      <c r="G273" s="14" t="n"/>
      <c r="H273" s="13" t="n"/>
      <c r="I273" s="13" t="n"/>
      <c r="J273" s="15">
        <f>IF($A273="","",ROUND(MAX(($B273*$C273*$D273)/MAX($F273,1),$E273)*IFERROR(SUMIF(tblVeriB[SiparisNo],$A273,tblVeriB[TarifTlDesi]),0)*$G273,2))</f>
        <v/>
      </c>
      <c r="K273" s="15">
        <f>IF($A273="","",1)</f>
        <v/>
      </c>
    </row>
    <row r="274">
      <c r="A274" s="13" t="n"/>
      <c r="B274" s="14" t="n"/>
      <c r="C274" s="14" t="n"/>
      <c r="D274" s="14" t="n"/>
      <c r="E274" s="14" t="n"/>
      <c r="F274" s="14" t="n"/>
      <c r="G274" s="14" t="n"/>
      <c r="H274" s="13" t="n"/>
      <c r="I274" s="13" t="n"/>
      <c r="J274" s="15">
        <f>IF($A274="","",ROUND(MAX(($B274*$C274*$D274)/MAX($F274,1),$E274)*IFERROR(SUMIF(tblVeriB[SiparisNo],$A274,tblVeriB[TarifTlDesi]),0)*$G274,2))</f>
        <v/>
      </c>
      <c r="K274" s="15">
        <f>IF($A274="","",1)</f>
        <v/>
      </c>
    </row>
    <row r="275">
      <c r="A275" s="13" t="n"/>
      <c r="B275" s="14" t="n"/>
      <c r="C275" s="14" t="n"/>
      <c r="D275" s="14" t="n"/>
      <c r="E275" s="14" t="n"/>
      <c r="F275" s="14" t="n"/>
      <c r="G275" s="14" t="n"/>
      <c r="H275" s="13" t="n"/>
      <c r="I275" s="13" t="n"/>
      <c r="J275" s="15">
        <f>IF($A275="","",ROUND(MAX(($B275*$C275*$D275)/MAX($F275,1),$E275)*IFERROR(SUMIF(tblVeriB[SiparisNo],$A275,tblVeriB[TarifTlDesi]),0)*$G275,2))</f>
        <v/>
      </c>
      <c r="K275" s="15">
        <f>IF($A275="","",1)</f>
        <v/>
      </c>
    </row>
    <row r="276">
      <c r="A276" s="13" t="n"/>
      <c r="B276" s="14" t="n"/>
      <c r="C276" s="14" t="n"/>
      <c r="D276" s="14" t="n"/>
      <c r="E276" s="14" t="n"/>
      <c r="F276" s="14" t="n"/>
      <c r="G276" s="14" t="n"/>
      <c r="H276" s="13" t="n"/>
      <c r="I276" s="13" t="n"/>
      <c r="J276" s="15">
        <f>IF($A276="","",ROUND(MAX(($B276*$C276*$D276)/MAX($F276,1),$E276)*IFERROR(SUMIF(tblVeriB[SiparisNo],$A276,tblVeriB[TarifTlDesi]),0)*$G276,2))</f>
        <v/>
      </c>
      <c r="K276" s="15">
        <f>IF($A276="","",1)</f>
        <v/>
      </c>
    </row>
    <row r="277">
      <c r="A277" s="13" t="n"/>
      <c r="B277" s="14" t="n"/>
      <c r="C277" s="14" t="n"/>
      <c r="D277" s="14" t="n"/>
      <c r="E277" s="14" t="n"/>
      <c r="F277" s="14" t="n"/>
      <c r="G277" s="14" t="n"/>
      <c r="H277" s="13" t="n"/>
      <c r="I277" s="13" t="n"/>
      <c r="J277" s="15">
        <f>IF($A277="","",ROUND(MAX(($B277*$C277*$D277)/MAX($F277,1),$E277)*IFERROR(SUMIF(tblVeriB[SiparisNo],$A277,tblVeriB[TarifTlDesi]),0)*$G277,2))</f>
        <v/>
      </c>
      <c r="K277" s="15">
        <f>IF($A277="","",1)</f>
        <v/>
      </c>
    </row>
    <row r="278">
      <c r="A278" s="13" t="n"/>
      <c r="B278" s="14" t="n"/>
      <c r="C278" s="14" t="n"/>
      <c r="D278" s="14" t="n"/>
      <c r="E278" s="14" t="n"/>
      <c r="F278" s="14" t="n"/>
      <c r="G278" s="14" t="n"/>
      <c r="H278" s="13" t="n"/>
      <c r="I278" s="13" t="n"/>
      <c r="J278" s="15">
        <f>IF($A278="","",ROUND(MAX(($B278*$C278*$D278)/MAX($F278,1),$E278)*IFERROR(SUMIF(tblVeriB[SiparisNo],$A278,tblVeriB[TarifTlDesi]),0)*$G278,2))</f>
        <v/>
      </c>
      <c r="K278" s="15">
        <f>IF($A278="","",1)</f>
        <v/>
      </c>
    </row>
    <row r="279">
      <c r="A279" s="13" t="n"/>
      <c r="B279" s="14" t="n"/>
      <c r="C279" s="14" t="n"/>
      <c r="D279" s="14" t="n"/>
      <c r="E279" s="14" t="n"/>
      <c r="F279" s="14" t="n"/>
      <c r="G279" s="14" t="n"/>
      <c r="H279" s="13" t="n"/>
      <c r="I279" s="13" t="n"/>
      <c r="J279" s="15">
        <f>IF($A279="","",ROUND(MAX(($B279*$C279*$D279)/MAX($F279,1),$E279)*IFERROR(SUMIF(tblVeriB[SiparisNo],$A279,tblVeriB[TarifTlDesi]),0)*$G279,2))</f>
        <v/>
      </c>
      <c r="K279" s="15">
        <f>IF($A279="","",1)</f>
        <v/>
      </c>
    </row>
    <row r="280">
      <c r="A280" s="13" t="n"/>
      <c r="B280" s="14" t="n"/>
      <c r="C280" s="14" t="n"/>
      <c r="D280" s="14" t="n"/>
      <c r="E280" s="14" t="n"/>
      <c r="F280" s="14" t="n"/>
      <c r="G280" s="14" t="n"/>
      <c r="H280" s="13" t="n"/>
      <c r="I280" s="13" t="n"/>
      <c r="J280" s="15">
        <f>IF($A280="","",ROUND(MAX(($B280*$C280*$D280)/MAX($F280,1),$E280)*IFERROR(SUMIF(tblVeriB[SiparisNo],$A280,tblVeriB[TarifTlDesi]),0)*$G280,2))</f>
        <v/>
      </c>
      <c r="K280" s="15">
        <f>IF($A280="","",1)</f>
        <v/>
      </c>
    </row>
    <row r="281">
      <c r="A281" s="13" t="n"/>
      <c r="B281" s="14" t="n"/>
      <c r="C281" s="14" t="n"/>
      <c r="D281" s="14" t="n"/>
      <c r="E281" s="14" t="n"/>
      <c r="F281" s="14" t="n"/>
      <c r="G281" s="14" t="n"/>
      <c r="H281" s="13" t="n"/>
      <c r="I281" s="13" t="n"/>
      <c r="J281" s="15">
        <f>IF($A281="","",ROUND(MAX(($B281*$C281*$D281)/MAX($F281,1),$E281)*IFERROR(SUMIF(tblVeriB[SiparisNo],$A281,tblVeriB[TarifTlDesi]),0)*$G281,2))</f>
        <v/>
      </c>
      <c r="K281" s="15">
        <f>IF($A281="","",1)</f>
        <v/>
      </c>
    </row>
    <row r="282">
      <c r="A282" s="13" t="n"/>
      <c r="B282" s="14" t="n"/>
      <c r="C282" s="14" t="n"/>
      <c r="D282" s="14" t="n"/>
      <c r="E282" s="14" t="n"/>
      <c r="F282" s="14" t="n"/>
      <c r="G282" s="14" t="n"/>
      <c r="H282" s="13" t="n"/>
      <c r="I282" s="13" t="n"/>
      <c r="J282" s="15">
        <f>IF($A282="","",ROUND(MAX(($B282*$C282*$D282)/MAX($F282,1),$E282)*IFERROR(SUMIF(tblVeriB[SiparisNo],$A282,tblVeriB[TarifTlDesi]),0)*$G282,2))</f>
        <v/>
      </c>
      <c r="K282" s="15">
        <f>IF($A282="","",1)</f>
        <v/>
      </c>
    </row>
    <row r="283">
      <c r="A283" s="13" t="n"/>
      <c r="B283" s="14" t="n"/>
      <c r="C283" s="14" t="n"/>
      <c r="D283" s="14" t="n"/>
      <c r="E283" s="14" t="n"/>
      <c r="F283" s="14" t="n"/>
      <c r="G283" s="14" t="n"/>
      <c r="H283" s="13" t="n"/>
      <c r="I283" s="13" t="n"/>
      <c r="J283" s="15">
        <f>IF($A283="","",ROUND(MAX(($B283*$C283*$D283)/MAX($F283,1),$E283)*IFERROR(SUMIF(tblVeriB[SiparisNo],$A283,tblVeriB[TarifTlDesi]),0)*$G283,2))</f>
        <v/>
      </c>
      <c r="K283" s="15">
        <f>IF($A283="","",1)</f>
        <v/>
      </c>
    </row>
    <row r="284">
      <c r="A284" s="13" t="n"/>
      <c r="B284" s="14" t="n"/>
      <c r="C284" s="14" t="n"/>
      <c r="D284" s="14" t="n"/>
      <c r="E284" s="14" t="n"/>
      <c r="F284" s="14" t="n"/>
      <c r="G284" s="14" t="n"/>
      <c r="H284" s="13" t="n"/>
      <c r="I284" s="13" t="n"/>
      <c r="J284" s="15">
        <f>IF($A284="","",ROUND(MAX(($B284*$C284*$D284)/MAX($F284,1),$E284)*IFERROR(SUMIF(tblVeriB[SiparisNo],$A284,tblVeriB[TarifTlDesi]),0)*$G284,2))</f>
        <v/>
      </c>
      <c r="K284" s="15">
        <f>IF($A284="","",1)</f>
        <v/>
      </c>
    </row>
    <row r="285">
      <c r="A285" s="13" t="n"/>
      <c r="B285" s="14" t="n"/>
      <c r="C285" s="14" t="n"/>
      <c r="D285" s="14" t="n"/>
      <c r="E285" s="14" t="n"/>
      <c r="F285" s="14" t="n"/>
      <c r="G285" s="14" t="n"/>
      <c r="H285" s="13" t="n"/>
      <c r="I285" s="13" t="n"/>
      <c r="J285" s="15">
        <f>IF($A285="","",ROUND(MAX(($B285*$C285*$D285)/MAX($F285,1),$E285)*IFERROR(SUMIF(tblVeriB[SiparisNo],$A285,tblVeriB[TarifTlDesi]),0)*$G285,2))</f>
        <v/>
      </c>
      <c r="K285" s="15">
        <f>IF($A285="","",1)</f>
        <v/>
      </c>
    </row>
    <row r="286">
      <c r="A286" s="13" t="n"/>
      <c r="B286" s="14" t="n"/>
      <c r="C286" s="14" t="n"/>
      <c r="D286" s="14" t="n"/>
      <c r="E286" s="14" t="n"/>
      <c r="F286" s="14" t="n"/>
      <c r="G286" s="14" t="n"/>
      <c r="H286" s="13" t="n"/>
      <c r="I286" s="13" t="n"/>
      <c r="J286" s="15">
        <f>IF($A286="","",ROUND(MAX(($B286*$C286*$D286)/MAX($F286,1),$E286)*IFERROR(SUMIF(tblVeriB[SiparisNo],$A286,tblVeriB[TarifTlDesi]),0)*$G286,2))</f>
        <v/>
      </c>
      <c r="K286" s="15">
        <f>IF($A286="","",1)</f>
        <v/>
      </c>
    </row>
    <row r="287">
      <c r="A287" s="13" t="n"/>
      <c r="B287" s="14" t="n"/>
      <c r="C287" s="14" t="n"/>
      <c r="D287" s="14" t="n"/>
      <c r="E287" s="14" t="n"/>
      <c r="F287" s="14" t="n"/>
      <c r="G287" s="14" t="n"/>
      <c r="H287" s="13" t="n"/>
      <c r="I287" s="13" t="n"/>
      <c r="J287" s="15">
        <f>IF($A287="","",ROUND(MAX(($B287*$C287*$D287)/MAX($F287,1),$E287)*IFERROR(SUMIF(tblVeriB[SiparisNo],$A287,tblVeriB[TarifTlDesi]),0)*$G287,2))</f>
        <v/>
      </c>
      <c r="K287" s="15">
        <f>IF($A287="","",1)</f>
        <v/>
      </c>
    </row>
    <row r="288">
      <c r="A288" s="13" t="n"/>
      <c r="B288" s="14" t="n"/>
      <c r="C288" s="14" t="n"/>
      <c r="D288" s="14" t="n"/>
      <c r="E288" s="14" t="n"/>
      <c r="F288" s="14" t="n"/>
      <c r="G288" s="14" t="n"/>
      <c r="H288" s="13" t="n"/>
      <c r="I288" s="13" t="n"/>
      <c r="J288" s="15">
        <f>IF($A288="","",ROUND(MAX(($B288*$C288*$D288)/MAX($F288,1),$E288)*IFERROR(SUMIF(tblVeriB[SiparisNo],$A288,tblVeriB[TarifTlDesi]),0)*$G288,2))</f>
        <v/>
      </c>
      <c r="K288" s="15">
        <f>IF($A288="","",1)</f>
        <v/>
      </c>
    </row>
    <row r="289">
      <c r="A289" s="13" t="n"/>
      <c r="B289" s="14" t="n"/>
      <c r="C289" s="14" t="n"/>
      <c r="D289" s="14" t="n"/>
      <c r="E289" s="14" t="n"/>
      <c r="F289" s="14" t="n"/>
      <c r="G289" s="14" t="n"/>
      <c r="H289" s="13" t="n"/>
      <c r="I289" s="13" t="n"/>
      <c r="J289" s="15">
        <f>IF($A289="","",ROUND(MAX(($B289*$C289*$D289)/MAX($F289,1),$E289)*IFERROR(SUMIF(tblVeriB[SiparisNo],$A289,tblVeriB[TarifTlDesi]),0)*$G289,2))</f>
        <v/>
      </c>
      <c r="K289" s="15">
        <f>IF($A289="","",1)</f>
        <v/>
      </c>
    </row>
    <row r="290">
      <c r="A290" s="13" t="n"/>
      <c r="B290" s="14" t="n"/>
      <c r="C290" s="14" t="n"/>
      <c r="D290" s="14" t="n"/>
      <c r="E290" s="14" t="n"/>
      <c r="F290" s="14" t="n"/>
      <c r="G290" s="14" t="n"/>
      <c r="H290" s="13" t="n"/>
      <c r="I290" s="13" t="n"/>
      <c r="J290" s="15">
        <f>IF($A290="","",ROUND(MAX(($B290*$C290*$D290)/MAX($F290,1),$E290)*IFERROR(SUMIF(tblVeriB[SiparisNo],$A290,tblVeriB[TarifTlDesi]),0)*$G290,2))</f>
        <v/>
      </c>
      <c r="K290" s="15">
        <f>IF($A290="","",1)</f>
        <v/>
      </c>
    </row>
    <row r="291">
      <c r="A291" s="13" t="n"/>
      <c r="B291" s="14" t="n"/>
      <c r="C291" s="14" t="n"/>
      <c r="D291" s="14" t="n"/>
      <c r="E291" s="14" t="n"/>
      <c r="F291" s="14" t="n"/>
      <c r="G291" s="14" t="n"/>
      <c r="H291" s="13" t="n"/>
      <c r="I291" s="13" t="n"/>
      <c r="J291" s="15">
        <f>IF($A291="","",ROUND(MAX(($B291*$C291*$D291)/MAX($F291,1),$E291)*IFERROR(SUMIF(tblVeriB[SiparisNo],$A291,tblVeriB[TarifTlDesi]),0)*$G291,2))</f>
        <v/>
      </c>
      <c r="K291" s="15">
        <f>IF($A291="","",1)</f>
        <v/>
      </c>
    </row>
    <row r="292">
      <c r="A292" s="13" t="n"/>
      <c r="B292" s="14" t="n"/>
      <c r="C292" s="14" t="n"/>
      <c r="D292" s="14" t="n"/>
      <c r="E292" s="14" t="n"/>
      <c r="F292" s="14" t="n"/>
      <c r="G292" s="14" t="n"/>
      <c r="H292" s="13" t="n"/>
      <c r="I292" s="13" t="n"/>
      <c r="J292" s="15">
        <f>IF($A292="","",ROUND(MAX(($B292*$C292*$D292)/MAX($F292,1),$E292)*IFERROR(SUMIF(tblVeriB[SiparisNo],$A292,tblVeriB[TarifTlDesi]),0)*$G292,2))</f>
        <v/>
      </c>
      <c r="K292" s="15">
        <f>IF($A292="","",1)</f>
        <v/>
      </c>
    </row>
    <row r="293">
      <c r="A293" s="13" t="n"/>
      <c r="B293" s="14" t="n"/>
      <c r="C293" s="14" t="n"/>
      <c r="D293" s="14" t="n"/>
      <c r="E293" s="14" t="n"/>
      <c r="F293" s="14" t="n"/>
      <c r="G293" s="14" t="n"/>
      <c r="H293" s="13" t="n"/>
      <c r="I293" s="13" t="n"/>
      <c r="J293" s="15">
        <f>IF($A293="","",ROUND(MAX(($B293*$C293*$D293)/MAX($F293,1),$E293)*IFERROR(SUMIF(tblVeriB[SiparisNo],$A293,tblVeriB[TarifTlDesi]),0)*$G293,2))</f>
        <v/>
      </c>
      <c r="K293" s="15">
        <f>IF($A293="","",1)</f>
        <v/>
      </c>
    </row>
    <row r="294">
      <c r="A294" s="13" t="n"/>
      <c r="B294" s="14" t="n"/>
      <c r="C294" s="14" t="n"/>
      <c r="D294" s="14" t="n"/>
      <c r="E294" s="14" t="n"/>
      <c r="F294" s="14" t="n"/>
      <c r="G294" s="14" t="n"/>
      <c r="H294" s="13" t="n"/>
      <c r="I294" s="13" t="n"/>
      <c r="J294" s="15">
        <f>IF($A294="","",ROUND(MAX(($B294*$C294*$D294)/MAX($F294,1),$E294)*IFERROR(SUMIF(tblVeriB[SiparisNo],$A294,tblVeriB[TarifTlDesi]),0)*$G294,2))</f>
        <v/>
      </c>
      <c r="K294" s="15">
        <f>IF($A294="","",1)</f>
        <v/>
      </c>
    </row>
    <row r="295">
      <c r="A295" s="13" t="n"/>
      <c r="B295" s="14" t="n"/>
      <c r="C295" s="14" t="n"/>
      <c r="D295" s="14" t="n"/>
      <c r="E295" s="14" t="n"/>
      <c r="F295" s="14" t="n"/>
      <c r="G295" s="14" t="n"/>
      <c r="H295" s="13" t="n"/>
      <c r="I295" s="13" t="n"/>
      <c r="J295" s="15">
        <f>IF($A295="","",ROUND(MAX(($B295*$C295*$D295)/MAX($F295,1),$E295)*IFERROR(SUMIF(tblVeriB[SiparisNo],$A295,tblVeriB[TarifTlDesi]),0)*$G295,2))</f>
        <v/>
      </c>
      <c r="K295" s="15">
        <f>IF($A295="","",1)</f>
        <v/>
      </c>
    </row>
    <row r="296">
      <c r="A296" s="13" t="n"/>
      <c r="B296" s="14" t="n"/>
      <c r="C296" s="14" t="n"/>
      <c r="D296" s="14" t="n"/>
      <c r="E296" s="14" t="n"/>
      <c r="F296" s="14" t="n"/>
      <c r="G296" s="14" t="n"/>
      <c r="H296" s="13" t="n"/>
      <c r="I296" s="13" t="n"/>
      <c r="J296" s="15">
        <f>IF($A296="","",ROUND(MAX(($B296*$C296*$D296)/MAX($F296,1),$E296)*IFERROR(SUMIF(tblVeriB[SiparisNo],$A296,tblVeriB[TarifTlDesi]),0)*$G296,2))</f>
        <v/>
      </c>
      <c r="K296" s="15">
        <f>IF($A296="","",1)</f>
        <v/>
      </c>
    </row>
    <row r="297">
      <c r="A297" s="13" t="n"/>
      <c r="B297" s="14" t="n"/>
      <c r="C297" s="14" t="n"/>
      <c r="D297" s="14" t="n"/>
      <c r="E297" s="14" t="n"/>
      <c r="F297" s="14" t="n"/>
      <c r="G297" s="14" t="n"/>
      <c r="H297" s="13" t="n"/>
      <c r="I297" s="13" t="n"/>
      <c r="J297" s="15">
        <f>IF($A297="","",ROUND(MAX(($B297*$C297*$D297)/MAX($F297,1),$E297)*IFERROR(SUMIF(tblVeriB[SiparisNo],$A297,tblVeriB[TarifTlDesi]),0)*$G297,2))</f>
        <v/>
      </c>
      <c r="K297" s="15">
        <f>IF($A297="","",1)</f>
        <v/>
      </c>
    </row>
    <row r="298">
      <c r="A298" s="13" t="n"/>
      <c r="B298" s="14" t="n"/>
      <c r="C298" s="14" t="n"/>
      <c r="D298" s="14" t="n"/>
      <c r="E298" s="14" t="n"/>
      <c r="F298" s="14" t="n"/>
      <c r="G298" s="14" t="n"/>
      <c r="H298" s="13" t="n"/>
      <c r="I298" s="13" t="n"/>
      <c r="J298" s="15">
        <f>IF($A298="","",ROUND(MAX(($B298*$C298*$D298)/MAX($F298,1),$E298)*IFERROR(SUMIF(tblVeriB[SiparisNo],$A298,tblVeriB[TarifTlDesi]),0)*$G298,2))</f>
        <v/>
      </c>
      <c r="K298" s="15">
        <f>IF($A298="","",1)</f>
        <v/>
      </c>
    </row>
    <row r="299">
      <c r="A299" s="13" t="n"/>
      <c r="B299" s="14" t="n"/>
      <c r="C299" s="14" t="n"/>
      <c r="D299" s="14" t="n"/>
      <c r="E299" s="14" t="n"/>
      <c r="F299" s="14" t="n"/>
      <c r="G299" s="14" t="n"/>
      <c r="H299" s="13" t="n"/>
      <c r="I299" s="13" t="n"/>
      <c r="J299" s="15">
        <f>IF($A299="","",ROUND(MAX(($B299*$C299*$D299)/MAX($F299,1),$E299)*IFERROR(SUMIF(tblVeriB[SiparisNo],$A299,tblVeriB[TarifTlDesi]),0)*$G299,2))</f>
        <v/>
      </c>
      <c r="K299" s="15">
        <f>IF($A299="","",1)</f>
        <v/>
      </c>
    </row>
    <row r="300">
      <c r="A300" s="13" t="n"/>
      <c r="B300" s="14" t="n"/>
      <c r="C300" s="14" t="n"/>
      <c r="D300" s="14" t="n"/>
      <c r="E300" s="14" t="n"/>
      <c r="F300" s="14" t="n"/>
      <c r="G300" s="14" t="n"/>
      <c r="H300" s="13" t="n"/>
      <c r="I300" s="13" t="n"/>
      <c r="J300" s="15">
        <f>IF($A300="","",ROUND(MAX(($B300*$C300*$D300)/MAX($F300,1),$E300)*IFERROR(SUMIF(tblVeriB[SiparisNo],$A300,tblVeriB[TarifTlDesi]),0)*$G300,2))</f>
        <v/>
      </c>
      <c r="K300" s="15">
        <f>IF($A300="","",1)</f>
        <v/>
      </c>
    </row>
    <row r="301">
      <c r="A301" s="13" t="n"/>
      <c r="B301" s="14" t="n"/>
      <c r="C301" s="14" t="n"/>
      <c r="D301" s="14" t="n"/>
      <c r="E301" s="14" t="n"/>
      <c r="F301" s="14" t="n"/>
      <c r="G301" s="14" t="n"/>
      <c r="H301" s="13" t="n"/>
      <c r="I301" s="13" t="n"/>
      <c r="J301" s="15">
        <f>IF($A301="","",ROUND(MAX(($B301*$C301*$D301)/MAX($F301,1),$E301)*IFERROR(SUMIF(tblVeriB[SiparisNo],$A301,tblVeriB[TarifTlDesi]),0)*$G301,2))</f>
        <v/>
      </c>
      <c r="K301" s="15">
        <f>IF($A301="","",1)</f>
        <v/>
      </c>
    </row>
    <row r="302">
      <c r="A302" s="13" t="n"/>
      <c r="B302" s="14" t="n"/>
      <c r="C302" s="14" t="n"/>
      <c r="D302" s="14" t="n"/>
      <c r="E302" s="14" t="n"/>
      <c r="F302" s="14" t="n"/>
      <c r="G302" s="14" t="n"/>
      <c r="H302" s="13" t="n"/>
      <c r="I302" s="13" t="n"/>
      <c r="J302" s="15">
        <f>IF($A302="","",ROUND(MAX(($B302*$C302*$D302)/MAX($F302,1),$E302)*IFERROR(SUMIF(tblVeriB[SiparisNo],$A302,tblVeriB[TarifTlDesi]),0)*$G302,2))</f>
        <v/>
      </c>
      <c r="K302" s="15">
        <f>IF($A302="","",1)</f>
        <v/>
      </c>
    </row>
    <row r="303">
      <c r="A303" s="13" t="n"/>
      <c r="B303" s="14" t="n"/>
      <c r="C303" s="14" t="n"/>
      <c r="D303" s="14" t="n"/>
      <c r="E303" s="14" t="n"/>
      <c r="F303" s="14" t="n"/>
      <c r="G303" s="14" t="n"/>
      <c r="H303" s="13" t="n"/>
      <c r="I303" s="13" t="n"/>
      <c r="J303" s="15">
        <f>IF($A303="","",ROUND(MAX(($B303*$C303*$D303)/MAX($F303,1),$E303)*IFERROR(SUMIF(tblVeriB[SiparisNo],$A303,tblVeriB[TarifTlDesi]),0)*$G303,2))</f>
        <v/>
      </c>
      <c r="K303" s="15">
        <f>IF($A303="","",1)</f>
        <v/>
      </c>
    </row>
    <row r="304">
      <c r="A304" s="13" t="n"/>
      <c r="B304" s="14" t="n"/>
      <c r="C304" s="14" t="n"/>
      <c r="D304" s="14" t="n"/>
      <c r="E304" s="14" t="n"/>
      <c r="F304" s="14" t="n"/>
      <c r="G304" s="14" t="n"/>
      <c r="H304" s="13" t="n"/>
      <c r="I304" s="13" t="n"/>
      <c r="J304" s="15">
        <f>IF($A304="","",ROUND(MAX(($B304*$C304*$D304)/MAX($F304,1),$E304)*IFERROR(SUMIF(tblVeriB[SiparisNo],$A304,tblVeriB[TarifTlDesi]),0)*$G304,2))</f>
        <v/>
      </c>
      <c r="K304" s="15">
        <f>IF($A304="","",1)</f>
        <v/>
      </c>
    </row>
    <row r="305">
      <c r="A305" s="13" t="n"/>
      <c r="B305" s="14" t="n"/>
      <c r="C305" s="14" t="n"/>
      <c r="D305" s="14" t="n"/>
      <c r="E305" s="14" t="n"/>
      <c r="F305" s="14" t="n"/>
      <c r="G305" s="14" t="n"/>
      <c r="H305" s="13" t="n"/>
      <c r="I305" s="13" t="n"/>
      <c r="J305" s="15">
        <f>IF($A305="","",ROUND(MAX(($B305*$C305*$D305)/MAX($F305,1),$E305)*IFERROR(SUMIF(tblVeriB[SiparisNo],$A305,tblVeriB[TarifTlDesi]),0)*$G305,2))</f>
        <v/>
      </c>
      <c r="K305" s="15">
        <f>IF($A305="","",1)</f>
        <v/>
      </c>
    </row>
    <row r="306">
      <c r="A306" s="13" t="n"/>
      <c r="B306" s="14" t="n"/>
      <c r="C306" s="14" t="n"/>
      <c r="D306" s="14" t="n"/>
      <c r="E306" s="14" t="n"/>
      <c r="F306" s="14" t="n"/>
      <c r="G306" s="14" t="n"/>
      <c r="H306" s="13" t="n"/>
      <c r="I306" s="13" t="n"/>
      <c r="J306" s="15">
        <f>IF($A306="","",ROUND(MAX(($B306*$C306*$D306)/MAX($F306,1),$E306)*IFERROR(SUMIF(tblVeriB[SiparisNo],$A306,tblVeriB[TarifTlDesi]),0)*$G306,2))</f>
        <v/>
      </c>
      <c r="K306" s="15">
        <f>IF($A306="","",1)</f>
        <v/>
      </c>
    </row>
    <row r="307">
      <c r="A307" s="13" t="n"/>
      <c r="B307" s="14" t="n"/>
      <c r="C307" s="14" t="n"/>
      <c r="D307" s="14" t="n"/>
      <c r="E307" s="14" t="n"/>
      <c r="F307" s="14" t="n"/>
      <c r="G307" s="14" t="n"/>
      <c r="H307" s="13" t="n"/>
      <c r="I307" s="13" t="n"/>
      <c r="J307" s="15">
        <f>IF($A307="","",ROUND(MAX(($B307*$C307*$D307)/MAX($F307,1),$E307)*IFERROR(SUMIF(tblVeriB[SiparisNo],$A307,tblVeriB[TarifTlDesi]),0)*$G307,2))</f>
        <v/>
      </c>
      <c r="K307" s="15">
        <f>IF($A307="","",1)</f>
        <v/>
      </c>
    </row>
    <row r="308">
      <c r="A308" s="13" t="n"/>
      <c r="B308" s="14" t="n"/>
      <c r="C308" s="14" t="n"/>
      <c r="D308" s="14" t="n"/>
      <c r="E308" s="14" t="n"/>
      <c r="F308" s="14" t="n"/>
      <c r="G308" s="14" t="n"/>
      <c r="H308" s="13" t="n"/>
      <c r="I308" s="13" t="n"/>
      <c r="J308" s="15">
        <f>IF($A308="","",ROUND(MAX(($B308*$C308*$D308)/MAX($F308,1),$E308)*IFERROR(SUMIF(tblVeriB[SiparisNo],$A308,tblVeriB[TarifTlDesi]),0)*$G308,2))</f>
        <v/>
      </c>
      <c r="K308" s="15">
        <f>IF($A308="","",1)</f>
        <v/>
      </c>
    </row>
    <row r="309">
      <c r="A309" s="13" t="n"/>
      <c r="B309" s="14" t="n"/>
      <c r="C309" s="14" t="n"/>
      <c r="D309" s="14" t="n"/>
      <c r="E309" s="14" t="n"/>
      <c r="F309" s="14" t="n"/>
      <c r="G309" s="14" t="n"/>
      <c r="H309" s="13" t="n"/>
      <c r="I309" s="13" t="n"/>
      <c r="J309" s="15">
        <f>IF($A309="","",ROUND(MAX(($B309*$C309*$D309)/MAX($F309,1),$E309)*IFERROR(SUMIF(tblVeriB[SiparisNo],$A309,tblVeriB[TarifTlDesi]),0)*$G309,2))</f>
        <v/>
      </c>
      <c r="K309" s="15">
        <f>IF($A309="","",1)</f>
        <v/>
      </c>
    </row>
    <row r="310">
      <c r="A310" s="13" t="n"/>
      <c r="B310" s="14" t="n"/>
      <c r="C310" s="14" t="n"/>
      <c r="D310" s="14" t="n"/>
      <c r="E310" s="14" t="n"/>
      <c r="F310" s="14" t="n"/>
      <c r="G310" s="14" t="n"/>
      <c r="H310" s="13" t="n"/>
      <c r="I310" s="13" t="n"/>
      <c r="J310" s="15">
        <f>IF($A310="","",ROUND(MAX(($B310*$C310*$D310)/MAX($F310,1),$E310)*IFERROR(SUMIF(tblVeriB[SiparisNo],$A310,tblVeriB[TarifTlDesi]),0)*$G310,2))</f>
        <v/>
      </c>
      <c r="K310" s="15">
        <f>IF($A310="","",1)</f>
        <v/>
      </c>
    </row>
    <row r="311">
      <c r="A311" s="13" t="n"/>
      <c r="B311" s="14" t="n"/>
      <c r="C311" s="14" t="n"/>
      <c r="D311" s="14" t="n"/>
      <c r="E311" s="14" t="n"/>
      <c r="F311" s="14" t="n"/>
      <c r="G311" s="14" t="n"/>
      <c r="H311" s="13" t="n"/>
      <c r="I311" s="13" t="n"/>
      <c r="J311" s="15">
        <f>IF($A311="","",ROUND(MAX(($B311*$C311*$D311)/MAX($F311,1),$E311)*IFERROR(SUMIF(tblVeriB[SiparisNo],$A311,tblVeriB[TarifTlDesi]),0)*$G311,2))</f>
        <v/>
      </c>
      <c r="K311" s="15">
        <f>IF($A311="","",1)</f>
        <v/>
      </c>
    </row>
    <row r="312">
      <c r="A312" s="13" t="n"/>
      <c r="B312" s="14" t="n"/>
      <c r="C312" s="14" t="n"/>
      <c r="D312" s="14" t="n"/>
      <c r="E312" s="14" t="n"/>
      <c r="F312" s="14" t="n"/>
      <c r="G312" s="14" t="n"/>
      <c r="H312" s="13" t="n"/>
      <c r="I312" s="13" t="n"/>
      <c r="J312" s="15">
        <f>IF($A312="","",ROUND(MAX(($B312*$C312*$D312)/MAX($F312,1),$E312)*IFERROR(SUMIF(tblVeriB[SiparisNo],$A312,tblVeriB[TarifTlDesi]),0)*$G312,2))</f>
        <v/>
      </c>
      <c r="K312" s="15">
        <f>IF($A312="","",1)</f>
        <v/>
      </c>
    </row>
    <row r="313">
      <c r="A313" s="13" t="n"/>
      <c r="B313" s="14" t="n"/>
      <c r="C313" s="14" t="n"/>
      <c r="D313" s="14" t="n"/>
      <c r="E313" s="14" t="n"/>
      <c r="F313" s="14" t="n"/>
      <c r="G313" s="14" t="n"/>
      <c r="H313" s="13" t="n"/>
      <c r="I313" s="13" t="n"/>
      <c r="J313" s="15">
        <f>IF($A313="","",ROUND(MAX(($B313*$C313*$D313)/MAX($F313,1),$E313)*IFERROR(SUMIF(tblVeriB[SiparisNo],$A313,tblVeriB[TarifTlDesi]),0)*$G313,2))</f>
        <v/>
      </c>
      <c r="K313" s="15">
        <f>IF($A313="","",1)</f>
        <v/>
      </c>
    </row>
    <row r="314">
      <c r="A314" s="13" t="n"/>
      <c r="B314" s="14" t="n"/>
      <c r="C314" s="14" t="n"/>
      <c r="D314" s="14" t="n"/>
      <c r="E314" s="14" t="n"/>
      <c r="F314" s="14" t="n"/>
      <c r="G314" s="14" t="n"/>
      <c r="H314" s="13" t="n"/>
      <c r="I314" s="13" t="n"/>
      <c r="J314" s="15">
        <f>IF($A314="","",ROUND(MAX(($B314*$C314*$D314)/MAX($F314,1),$E314)*IFERROR(SUMIF(tblVeriB[SiparisNo],$A314,tblVeriB[TarifTlDesi]),0)*$G314,2))</f>
        <v/>
      </c>
      <c r="K314" s="15">
        <f>IF($A314="","",1)</f>
        <v/>
      </c>
    </row>
    <row r="315">
      <c r="A315" s="13" t="n"/>
      <c r="B315" s="14" t="n"/>
      <c r="C315" s="14" t="n"/>
      <c r="D315" s="14" t="n"/>
      <c r="E315" s="14" t="n"/>
      <c r="F315" s="14" t="n"/>
      <c r="G315" s="14" t="n"/>
      <c r="H315" s="13" t="n"/>
      <c r="I315" s="13" t="n"/>
      <c r="J315" s="15">
        <f>IF($A315="","",ROUND(MAX(($B315*$C315*$D315)/MAX($F315,1),$E315)*IFERROR(SUMIF(tblVeriB[SiparisNo],$A315,tblVeriB[TarifTlDesi]),0)*$G315,2))</f>
        <v/>
      </c>
      <c r="K315" s="15">
        <f>IF($A315="","",1)</f>
        <v/>
      </c>
    </row>
    <row r="316">
      <c r="A316" s="13" t="n"/>
      <c r="B316" s="14" t="n"/>
      <c r="C316" s="14" t="n"/>
      <c r="D316" s="14" t="n"/>
      <c r="E316" s="14" t="n"/>
      <c r="F316" s="14" t="n"/>
      <c r="G316" s="14" t="n"/>
      <c r="H316" s="13" t="n"/>
      <c r="I316" s="13" t="n"/>
      <c r="J316" s="15">
        <f>IF($A316="","",ROUND(MAX(($B316*$C316*$D316)/MAX($F316,1),$E316)*IFERROR(SUMIF(tblVeriB[SiparisNo],$A316,tblVeriB[TarifTlDesi]),0)*$G316,2))</f>
        <v/>
      </c>
      <c r="K316" s="15">
        <f>IF($A316="","",1)</f>
        <v/>
      </c>
    </row>
    <row r="317">
      <c r="A317" s="13" t="n"/>
      <c r="B317" s="14" t="n"/>
      <c r="C317" s="14" t="n"/>
      <c r="D317" s="14" t="n"/>
      <c r="E317" s="14" t="n"/>
      <c r="F317" s="14" t="n"/>
      <c r="G317" s="14" t="n"/>
      <c r="H317" s="13" t="n"/>
      <c r="I317" s="13" t="n"/>
      <c r="J317" s="15">
        <f>IF($A317="","",ROUND(MAX(($B317*$C317*$D317)/MAX($F317,1),$E317)*IFERROR(SUMIF(tblVeriB[SiparisNo],$A317,tblVeriB[TarifTlDesi]),0)*$G317,2))</f>
        <v/>
      </c>
      <c r="K317" s="15">
        <f>IF($A317="","",1)</f>
        <v/>
      </c>
    </row>
    <row r="318">
      <c r="A318" s="13" t="n"/>
      <c r="B318" s="14" t="n"/>
      <c r="C318" s="14" t="n"/>
      <c r="D318" s="14" t="n"/>
      <c r="E318" s="14" t="n"/>
      <c r="F318" s="14" t="n"/>
      <c r="G318" s="14" t="n"/>
      <c r="H318" s="13" t="n"/>
      <c r="I318" s="13" t="n"/>
      <c r="J318" s="15">
        <f>IF($A318="","",ROUND(MAX(($B318*$C318*$D318)/MAX($F318,1),$E318)*IFERROR(SUMIF(tblVeriB[SiparisNo],$A318,tblVeriB[TarifTlDesi]),0)*$G318,2))</f>
        <v/>
      </c>
      <c r="K318" s="15">
        <f>IF($A318="","",1)</f>
        <v/>
      </c>
    </row>
    <row r="319">
      <c r="A319" s="13" t="n"/>
      <c r="B319" s="14" t="n"/>
      <c r="C319" s="14" t="n"/>
      <c r="D319" s="14" t="n"/>
      <c r="E319" s="14" t="n"/>
      <c r="F319" s="14" t="n"/>
      <c r="G319" s="14" t="n"/>
      <c r="H319" s="13" t="n"/>
      <c r="I319" s="13" t="n"/>
      <c r="J319" s="15">
        <f>IF($A319="","",ROUND(MAX(($B319*$C319*$D319)/MAX($F319,1),$E319)*IFERROR(SUMIF(tblVeriB[SiparisNo],$A319,tblVeriB[TarifTlDesi]),0)*$G319,2))</f>
        <v/>
      </c>
      <c r="K319" s="15">
        <f>IF($A319="","",1)</f>
        <v/>
      </c>
    </row>
    <row r="320">
      <c r="A320" s="13" t="n"/>
      <c r="B320" s="14" t="n"/>
      <c r="C320" s="14" t="n"/>
      <c r="D320" s="14" t="n"/>
      <c r="E320" s="14" t="n"/>
      <c r="F320" s="14" t="n"/>
      <c r="G320" s="14" t="n"/>
      <c r="H320" s="13" t="n"/>
      <c r="I320" s="13" t="n"/>
      <c r="J320" s="15">
        <f>IF($A320="","",ROUND(MAX(($B320*$C320*$D320)/MAX($F320,1),$E320)*IFERROR(SUMIF(tblVeriB[SiparisNo],$A320,tblVeriB[TarifTlDesi]),0)*$G320,2))</f>
        <v/>
      </c>
      <c r="K320" s="15">
        <f>IF($A320="","",1)</f>
        <v/>
      </c>
    </row>
    <row r="321">
      <c r="A321" s="13" t="n"/>
      <c r="B321" s="14" t="n"/>
      <c r="C321" s="14" t="n"/>
      <c r="D321" s="14" t="n"/>
      <c r="E321" s="14" t="n"/>
      <c r="F321" s="14" t="n"/>
      <c r="G321" s="14" t="n"/>
      <c r="H321" s="13" t="n"/>
      <c r="I321" s="13" t="n"/>
      <c r="J321" s="15">
        <f>IF($A321="","",ROUND(MAX(($B321*$C321*$D321)/MAX($F321,1),$E321)*IFERROR(SUMIF(tblVeriB[SiparisNo],$A321,tblVeriB[TarifTlDesi]),0)*$G321,2))</f>
        <v/>
      </c>
      <c r="K321" s="15">
        <f>IF($A321="","",1)</f>
        <v/>
      </c>
    </row>
    <row r="322">
      <c r="A322" s="13" t="n"/>
      <c r="B322" s="14" t="n"/>
      <c r="C322" s="14" t="n"/>
      <c r="D322" s="14" t="n"/>
      <c r="E322" s="14" t="n"/>
      <c r="F322" s="14" t="n"/>
      <c r="G322" s="14" t="n"/>
      <c r="H322" s="13" t="n"/>
      <c r="I322" s="13" t="n"/>
      <c r="J322" s="15">
        <f>IF($A322="","",ROUND(MAX(($B322*$C322*$D322)/MAX($F322,1),$E322)*IFERROR(SUMIF(tblVeriB[SiparisNo],$A322,tblVeriB[TarifTlDesi]),0)*$G322,2))</f>
        <v/>
      </c>
      <c r="K322" s="15">
        <f>IF($A322="","",1)</f>
        <v/>
      </c>
    </row>
    <row r="323">
      <c r="A323" s="13" t="n"/>
      <c r="B323" s="14" t="n"/>
      <c r="C323" s="14" t="n"/>
      <c r="D323" s="14" t="n"/>
      <c r="E323" s="14" t="n"/>
      <c r="F323" s="14" t="n"/>
      <c r="G323" s="14" t="n"/>
      <c r="H323" s="13" t="n"/>
      <c r="I323" s="13" t="n"/>
      <c r="J323" s="15">
        <f>IF($A323="","",ROUND(MAX(($B323*$C323*$D323)/MAX($F323,1),$E323)*IFERROR(SUMIF(tblVeriB[SiparisNo],$A323,tblVeriB[TarifTlDesi]),0)*$G323,2))</f>
        <v/>
      </c>
      <c r="K323" s="15">
        <f>IF($A323="","",1)</f>
        <v/>
      </c>
    </row>
    <row r="324">
      <c r="A324" s="13" t="n"/>
      <c r="B324" s="14" t="n"/>
      <c r="C324" s="14" t="n"/>
      <c r="D324" s="14" t="n"/>
      <c r="E324" s="14" t="n"/>
      <c r="F324" s="14" t="n"/>
      <c r="G324" s="14" t="n"/>
      <c r="H324" s="13" t="n"/>
      <c r="I324" s="13" t="n"/>
      <c r="J324" s="15">
        <f>IF($A324="","",ROUND(MAX(($B324*$C324*$D324)/MAX($F324,1),$E324)*IFERROR(SUMIF(tblVeriB[SiparisNo],$A324,tblVeriB[TarifTlDesi]),0)*$G324,2))</f>
        <v/>
      </c>
      <c r="K324" s="15">
        <f>IF($A324="","",1)</f>
        <v/>
      </c>
    </row>
    <row r="325">
      <c r="A325" s="13" t="n"/>
      <c r="B325" s="14" t="n"/>
      <c r="C325" s="14" t="n"/>
      <c r="D325" s="14" t="n"/>
      <c r="E325" s="14" t="n"/>
      <c r="F325" s="14" t="n"/>
      <c r="G325" s="14" t="n"/>
      <c r="H325" s="13" t="n"/>
      <c r="I325" s="13" t="n"/>
      <c r="J325" s="15">
        <f>IF($A325="","",ROUND(MAX(($B325*$C325*$D325)/MAX($F325,1),$E325)*IFERROR(SUMIF(tblVeriB[SiparisNo],$A325,tblVeriB[TarifTlDesi]),0)*$G325,2))</f>
        <v/>
      </c>
      <c r="K325" s="15">
        <f>IF($A325="","",1)</f>
        <v/>
      </c>
    </row>
    <row r="326">
      <c r="A326" s="13" t="n"/>
      <c r="B326" s="14" t="n"/>
      <c r="C326" s="14" t="n"/>
      <c r="D326" s="14" t="n"/>
      <c r="E326" s="14" t="n"/>
      <c r="F326" s="14" t="n"/>
      <c r="G326" s="14" t="n"/>
      <c r="H326" s="13" t="n"/>
      <c r="I326" s="13" t="n"/>
      <c r="J326" s="15">
        <f>IF($A326="","",ROUND(MAX(($B326*$C326*$D326)/MAX($F326,1),$E326)*IFERROR(SUMIF(tblVeriB[SiparisNo],$A326,tblVeriB[TarifTlDesi]),0)*$G326,2))</f>
        <v/>
      </c>
      <c r="K326" s="15">
        <f>IF($A326="","",1)</f>
        <v/>
      </c>
    </row>
    <row r="327">
      <c r="A327" s="13" t="n"/>
      <c r="B327" s="14" t="n"/>
      <c r="C327" s="14" t="n"/>
      <c r="D327" s="14" t="n"/>
      <c r="E327" s="14" t="n"/>
      <c r="F327" s="14" t="n"/>
      <c r="G327" s="14" t="n"/>
      <c r="H327" s="13" t="n"/>
      <c r="I327" s="13" t="n"/>
      <c r="J327" s="15">
        <f>IF($A327="","",ROUND(MAX(($B327*$C327*$D327)/MAX($F327,1),$E327)*IFERROR(SUMIF(tblVeriB[SiparisNo],$A327,tblVeriB[TarifTlDesi]),0)*$G327,2))</f>
        <v/>
      </c>
      <c r="K327" s="15">
        <f>IF($A327="","",1)</f>
        <v/>
      </c>
    </row>
    <row r="328">
      <c r="A328" s="13" t="n"/>
      <c r="B328" s="14" t="n"/>
      <c r="C328" s="14" t="n"/>
      <c r="D328" s="14" t="n"/>
      <c r="E328" s="14" t="n"/>
      <c r="F328" s="14" t="n"/>
      <c r="G328" s="14" t="n"/>
      <c r="H328" s="13" t="n"/>
      <c r="I328" s="13" t="n"/>
      <c r="J328" s="15">
        <f>IF($A328="","",ROUND(MAX(($B328*$C328*$D328)/MAX($F328,1),$E328)*IFERROR(SUMIF(tblVeriB[SiparisNo],$A328,tblVeriB[TarifTlDesi]),0)*$G328,2))</f>
        <v/>
      </c>
      <c r="K328" s="15">
        <f>IF($A328="","",1)</f>
        <v/>
      </c>
    </row>
    <row r="329">
      <c r="A329" s="13" t="n"/>
      <c r="B329" s="14" t="n"/>
      <c r="C329" s="14" t="n"/>
      <c r="D329" s="14" t="n"/>
      <c r="E329" s="14" t="n"/>
      <c r="F329" s="14" t="n"/>
      <c r="G329" s="14" t="n"/>
      <c r="H329" s="13" t="n"/>
      <c r="I329" s="13" t="n"/>
      <c r="J329" s="15">
        <f>IF($A329="","",ROUND(MAX(($B329*$C329*$D329)/MAX($F329,1),$E329)*IFERROR(SUMIF(tblVeriB[SiparisNo],$A329,tblVeriB[TarifTlDesi]),0)*$G329,2))</f>
        <v/>
      </c>
      <c r="K329" s="15">
        <f>IF($A329="","",1)</f>
        <v/>
      </c>
    </row>
    <row r="330">
      <c r="A330" s="13" t="n"/>
      <c r="B330" s="14" t="n"/>
      <c r="C330" s="14" t="n"/>
      <c r="D330" s="14" t="n"/>
      <c r="E330" s="14" t="n"/>
      <c r="F330" s="14" t="n"/>
      <c r="G330" s="14" t="n"/>
      <c r="H330" s="13" t="n"/>
      <c r="I330" s="13" t="n"/>
      <c r="J330" s="15">
        <f>IF($A330="","",ROUND(MAX(($B330*$C330*$D330)/MAX($F330,1),$E330)*IFERROR(SUMIF(tblVeriB[SiparisNo],$A330,tblVeriB[TarifTlDesi]),0)*$G330,2))</f>
        <v/>
      </c>
      <c r="K330" s="15">
        <f>IF($A330="","",1)</f>
        <v/>
      </c>
    </row>
    <row r="331">
      <c r="A331" s="13" t="n"/>
      <c r="B331" s="14" t="n"/>
      <c r="C331" s="14" t="n"/>
      <c r="D331" s="14" t="n"/>
      <c r="E331" s="14" t="n"/>
      <c r="F331" s="14" t="n"/>
      <c r="G331" s="14" t="n"/>
      <c r="H331" s="13" t="n"/>
      <c r="I331" s="13" t="n"/>
      <c r="J331" s="15">
        <f>IF($A331="","",ROUND(MAX(($B331*$C331*$D331)/MAX($F331,1),$E331)*IFERROR(SUMIF(tblVeriB[SiparisNo],$A331,tblVeriB[TarifTlDesi]),0)*$G331,2))</f>
        <v/>
      </c>
      <c r="K331" s="15">
        <f>IF($A331="","",1)</f>
        <v/>
      </c>
    </row>
    <row r="332">
      <c r="A332" s="13" t="n"/>
      <c r="B332" s="14" t="n"/>
      <c r="C332" s="14" t="n"/>
      <c r="D332" s="14" t="n"/>
      <c r="E332" s="14" t="n"/>
      <c r="F332" s="14" t="n"/>
      <c r="G332" s="14" t="n"/>
      <c r="H332" s="13" t="n"/>
      <c r="I332" s="13" t="n"/>
      <c r="J332" s="15">
        <f>IF($A332="","",ROUND(MAX(($B332*$C332*$D332)/MAX($F332,1),$E332)*IFERROR(SUMIF(tblVeriB[SiparisNo],$A332,tblVeriB[TarifTlDesi]),0)*$G332,2))</f>
        <v/>
      </c>
      <c r="K332" s="15">
        <f>IF($A332="","",1)</f>
        <v/>
      </c>
    </row>
    <row r="333">
      <c r="A333" s="13" t="n"/>
      <c r="B333" s="14" t="n"/>
      <c r="C333" s="14" t="n"/>
      <c r="D333" s="14" t="n"/>
      <c r="E333" s="14" t="n"/>
      <c r="F333" s="14" t="n"/>
      <c r="G333" s="14" t="n"/>
      <c r="H333" s="13" t="n"/>
      <c r="I333" s="13" t="n"/>
      <c r="J333" s="15">
        <f>IF($A333="","",ROUND(MAX(($B333*$C333*$D333)/MAX($F333,1),$E333)*IFERROR(SUMIF(tblVeriB[SiparisNo],$A333,tblVeriB[TarifTlDesi]),0)*$G333,2))</f>
        <v/>
      </c>
      <c r="K333" s="15">
        <f>IF($A333="","",1)</f>
        <v/>
      </c>
    </row>
    <row r="334">
      <c r="A334" s="13" t="n"/>
      <c r="B334" s="14" t="n"/>
      <c r="C334" s="14" t="n"/>
      <c r="D334" s="14" t="n"/>
      <c r="E334" s="14" t="n"/>
      <c r="F334" s="14" t="n"/>
      <c r="G334" s="14" t="n"/>
      <c r="H334" s="13" t="n"/>
      <c r="I334" s="13" t="n"/>
      <c r="J334" s="15">
        <f>IF($A334="","",ROUND(MAX(($B334*$C334*$D334)/MAX($F334,1),$E334)*IFERROR(SUMIF(tblVeriB[SiparisNo],$A334,tblVeriB[TarifTlDesi]),0)*$G334,2))</f>
        <v/>
      </c>
      <c r="K334" s="15">
        <f>IF($A334="","",1)</f>
        <v/>
      </c>
    </row>
    <row r="335">
      <c r="A335" s="13" t="n"/>
      <c r="B335" s="14" t="n"/>
      <c r="C335" s="14" t="n"/>
      <c r="D335" s="14" t="n"/>
      <c r="E335" s="14" t="n"/>
      <c r="F335" s="14" t="n"/>
      <c r="G335" s="14" t="n"/>
      <c r="H335" s="13" t="n"/>
      <c r="I335" s="13" t="n"/>
      <c r="J335" s="15">
        <f>IF($A335="","",ROUND(MAX(($B335*$C335*$D335)/MAX($F335,1),$E335)*IFERROR(SUMIF(tblVeriB[SiparisNo],$A335,tblVeriB[TarifTlDesi]),0)*$G335,2))</f>
        <v/>
      </c>
      <c r="K335" s="15">
        <f>IF($A335="","",1)</f>
        <v/>
      </c>
    </row>
    <row r="336">
      <c r="A336" s="13" t="n"/>
      <c r="B336" s="14" t="n"/>
      <c r="C336" s="14" t="n"/>
      <c r="D336" s="14" t="n"/>
      <c r="E336" s="14" t="n"/>
      <c r="F336" s="14" t="n"/>
      <c r="G336" s="14" t="n"/>
      <c r="H336" s="13" t="n"/>
      <c r="I336" s="13" t="n"/>
      <c r="J336" s="15">
        <f>IF($A336="","",ROUND(MAX(($B336*$C336*$D336)/MAX($F336,1),$E336)*IFERROR(SUMIF(tblVeriB[SiparisNo],$A336,tblVeriB[TarifTlDesi]),0)*$G336,2))</f>
        <v/>
      </c>
      <c r="K336" s="15">
        <f>IF($A336="","",1)</f>
        <v/>
      </c>
    </row>
    <row r="337">
      <c r="A337" s="13" t="n"/>
      <c r="B337" s="14" t="n"/>
      <c r="C337" s="14" t="n"/>
      <c r="D337" s="14" t="n"/>
      <c r="E337" s="14" t="n"/>
      <c r="F337" s="14" t="n"/>
      <c r="G337" s="14" t="n"/>
      <c r="H337" s="13" t="n"/>
      <c r="I337" s="13" t="n"/>
      <c r="J337" s="15">
        <f>IF($A337="","",ROUND(MAX(($B337*$C337*$D337)/MAX($F337,1),$E337)*IFERROR(SUMIF(tblVeriB[SiparisNo],$A337,tblVeriB[TarifTlDesi]),0)*$G337,2))</f>
        <v/>
      </c>
      <c r="K337" s="15">
        <f>IF($A337="","",1)</f>
        <v/>
      </c>
    </row>
    <row r="338">
      <c r="A338" s="13" t="n"/>
      <c r="B338" s="14" t="n"/>
      <c r="C338" s="14" t="n"/>
      <c r="D338" s="14" t="n"/>
      <c r="E338" s="14" t="n"/>
      <c r="F338" s="14" t="n"/>
      <c r="G338" s="14" t="n"/>
      <c r="H338" s="13" t="n"/>
      <c r="I338" s="13" t="n"/>
      <c r="J338" s="15">
        <f>IF($A338="","",ROUND(MAX(($B338*$C338*$D338)/MAX($F338,1),$E338)*IFERROR(SUMIF(tblVeriB[SiparisNo],$A338,tblVeriB[TarifTlDesi]),0)*$G338,2))</f>
        <v/>
      </c>
      <c r="K338" s="15">
        <f>IF($A338="","",1)</f>
        <v/>
      </c>
    </row>
    <row r="339">
      <c r="A339" s="13" t="n"/>
      <c r="B339" s="14" t="n"/>
      <c r="C339" s="14" t="n"/>
      <c r="D339" s="14" t="n"/>
      <c r="E339" s="14" t="n"/>
      <c r="F339" s="14" t="n"/>
      <c r="G339" s="14" t="n"/>
      <c r="H339" s="13" t="n"/>
      <c r="I339" s="13" t="n"/>
      <c r="J339" s="15">
        <f>IF($A339="","",ROUND(MAX(($B339*$C339*$D339)/MAX($F339,1),$E339)*IFERROR(SUMIF(tblVeriB[SiparisNo],$A339,tblVeriB[TarifTlDesi]),0)*$G339,2))</f>
        <v/>
      </c>
      <c r="K339" s="15">
        <f>IF($A339="","",1)</f>
        <v/>
      </c>
    </row>
    <row r="340">
      <c r="A340" s="13" t="n"/>
      <c r="B340" s="14" t="n"/>
      <c r="C340" s="14" t="n"/>
      <c r="D340" s="14" t="n"/>
      <c r="E340" s="14" t="n"/>
      <c r="F340" s="14" t="n"/>
      <c r="G340" s="14" t="n"/>
      <c r="H340" s="13" t="n"/>
      <c r="I340" s="13" t="n"/>
      <c r="J340" s="15">
        <f>IF($A340="","",ROUND(MAX(($B340*$C340*$D340)/MAX($F340,1),$E340)*IFERROR(SUMIF(tblVeriB[SiparisNo],$A340,tblVeriB[TarifTlDesi]),0)*$G340,2))</f>
        <v/>
      </c>
      <c r="K340" s="15">
        <f>IF($A340="","",1)</f>
        <v/>
      </c>
    </row>
    <row r="341">
      <c r="A341" s="13" t="n"/>
      <c r="B341" s="14" t="n"/>
      <c r="C341" s="14" t="n"/>
      <c r="D341" s="14" t="n"/>
      <c r="E341" s="14" t="n"/>
      <c r="F341" s="14" t="n"/>
      <c r="G341" s="14" t="n"/>
      <c r="H341" s="13" t="n"/>
      <c r="I341" s="13" t="n"/>
      <c r="J341" s="15">
        <f>IF($A341="","",ROUND(MAX(($B341*$C341*$D341)/MAX($F341,1),$E341)*IFERROR(SUMIF(tblVeriB[SiparisNo],$A341,tblVeriB[TarifTlDesi]),0)*$G341,2))</f>
        <v/>
      </c>
      <c r="K341" s="15">
        <f>IF($A341="","",1)</f>
        <v/>
      </c>
    </row>
    <row r="342">
      <c r="A342" s="13" t="n"/>
      <c r="B342" s="14" t="n"/>
      <c r="C342" s="14" t="n"/>
      <c r="D342" s="14" t="n"/>
      <c r="E342" s="14" t="n"/>
      <c r="F342" s="14" t="n"/>
      <c r="G342" s="14" t="n"/>
      <c r="H342" s="13" t="n"/>
      <c r="I342" s="13" t="n"/>
      <c r="J342" s="15">
        <f>IF($A342="","",ROUND(MAX(($B342*$C342*$D342)/MAX($F342,1),$E342)*IFERROR(SUMIF(tblVeriB[SiparisNo],$A342,tblVeriB[TarifTlDesi]),0)*$G342,2))</f>
        <v/>
      </c>
      <c r="K342" s="15">
        <f>IF($A342="","",1)</f>
        <v/>
      </c>
    </row>
    <row r="343">
      <c r="A343" s="13" t="n"/>
      <c r="B343" s="14" t="n"/>
      <c r="C343" s="14" t="n"/>
      <c r="D343" s="14" t="n"/>
      <c r="E343" s="14" t="n"/>
      <c r="F343" s="14" t="n"/>
      <c r="G343" s="14" t="n"/>
      <c r="H343" s="13" t="n"/>
      <c r="I343" s="13" t="n"/>
      <c r="J343" s="15">
        <f>IF($A343="","",ROUND(MAX(($B343*$C343*$D343)/MAX($F343,1),$E343)*IFERROR(SUMIF(tblVeriB[SiparisNo],$A343,tblVeriB[TarifTlDesi]),0)*$G343,2))</f>
        <v/>
      </c>
      <c r="K343" s="15">
        <f>IF($A343="","",1)</f>
        <v/>
      </c>
    </row>
    <row r="344">
      <c r="A344" s="13" t="n"/>
      <c r="B344" s="14" t="n"/>
      <c r="C344" s="14" t="n"/>
      <c r="D344" s="14" t="n"/>
      <c r="E344" s="14" t="n"/>
      <c r="F344" s="14" t="n"/>
      <c r="G344" s="14" t="n"/>
      <c r="H344" s="13" t="n"/>
      <c r="I344" s="13" t="n"/>
      <c r="J344" s="15">
        <f>IF($A344="","",ROUND(MAX(($B344*$C344*$D344)/MAX($F344,1),$E344)*IFERROR(SUMIF(tblVeriB[SiparisNo],$A344,tblVeriB[TarifTlDesi]),0)*$G344,2))</f>
        <v/>
      </c>
      <c r="K344" s="15">
        <f>IF($A344="","",1)</f>
        <v/>
      </c>
    </row>
    <row r="345">
      <c r="A345" s="13" t="n"/>
      <c r="B345" s="14" t="n"/>
      <c r="C345" s="14" t="n"/>
      <c r="D345" s="14" t="n"/>
      <c r="E345" s="14" t="n"/>
      <c r="F345" s="14" t="n"/>
      <c r="G345" s="14" t="n"/>
      <c r="H345" s="13" t="n"/>
      <c r="I345" s="13" t="n"/>
      <c r="J345" s="15">
        <f>IF($A345="","",ROUND(MAX(($B345*$C345*$D345)/MAX($F345,1),$E345)*IFERROR(SUMIF(tblVeriB[SiparisNo],$A345,tblVeriB[TarifTlDesi]),0)*$G345,2))</f>
        <v/>
      </c>
      <c r="K345" s="15">
        <f>IF($A345="","",1)</f>
        <v/>
      </c>
    </row>
    <row r="346">
      <c r="A346" s="13" t="n"/>
      <c r="B346" s="14" t="n"/>
      <c r="C346" s="14" t="n"/>
      <c r="D346" s="14" t="n"/>
      <c r="E346" s="14" t="n"/>
      <c r="F346" s="14" t="n"/>
      <c r="G346" s="14" t="n"/>
      <c r="H346" s="13" t="n"/>
      <c r="I346" s="13" t="n"/>
      <c r="J346" s="15">
        <f>IF($A346="","",ROUND(MAX(($B346*$C346*$D346)/MAX($F346,1),$E346)*IFERROR(SUMIF(tblVeriB[SiparisNo],$A346,tblVeriB[TarifTlDesi]),0)*$G346,2))</f>
        <v/>
      </c>
      <c r="K346" s="15">
        <f>IF($A346="","",1)</f>
        <v/>
      </c>
    </row>
    <row r="347">
      <c r="A347" s="13" t="n"/>
      <c r="B347" s="14" t="n"/>
      <c r="C347" s="14" t="n"/>
      <c r="D347" s="14" t="n"/>
      <c r="E347" s="14" t="n"/>
      <c r="F347" s="14" t="n"/>
      <c r="G347" s="14" t="n"/>
      <c r="H347" s="13" t="n"/>
      <c r="I347" s="13" t="n"/>
      <c r="J347" s="15">
        <f>IF($A347="","",ROUND(MAX(($B347*$C347*$D347)/MAX($F347,1),$E347)*IFERROR(SUMIF(tblVeriB[SiparisNo],$A347,tblVeriB[TarifTlDesi]),0)*$G347,2))</f>
        <v/>
      </c>
      <c r="K347" s="15">
        <f>IF($A347="","",1)</f>
        <v/>
      </c>
    </row>
    <row r="348">
      <c r="A348" s="13" t="n"/>
      <c r="B348" s="14" t="n"/>
      <c r="C348" s="14" t="n"/>
      <c r="D348" s="14" t="n"/>
      <c r="E348" s="14" t="n"/>
      <c r="F348" s="14" t="n"/>
      <c r="G348" s="14" t="n"/>
      <c r="H348" s="13" t="n"/>
      <c r="I348" s="13" t="n"/>
      <c r="J348" s="15">
        <f>IF($A348="","",ROUND(MAX(($B348*$C348*$D348)/MAX($F348,1),$E348)*IFERROR(SUMIF(tblVeriB[SiparisNo],$A348,tblVeriB[TarifTlDesi]),0)*$G348,2))</f>
        <v/>
      </c>
      <c r="K348" s="15">
        <f>IF($A348="","",1)</f>
        <v/>
      </c>
    </row>
    <row r="349">
      <c r="A349" s="13" t="n"/>
      <c r="B349" s="14" t="n"/>
      <c r="C349" s="14" t="n"/>
      <c r="D349" s="14" t="n"/>
      <c r="E349" s="14" t="n"/>
      <c r="F349" s="14" t="n"/>
      <c r="G349" s="14" t="n"/>
      <c r="H349" s="13" t="n"/>
      <c r="I349" s="13" t="n"/>
      <c r="J349" s="15">
        <f>IF($A349="","",ROUND(MAX(($B349*$C349*$D349)/MAX($F349,1),$E349)*IFERROR(SUMIF(tblVeriB[SiparisNo],$A349,tblVeriB[TarifTlDesi]),0)*$G349,2))</f>
        <v/>
      </c>
      <c r="K349" s="15">
        <f>IF($A349="","",1)</f>
        <v/>
      </c>
    </row>
    <row r="350">
      <c r="A350" s="13" t="n"/>
      <c r="B350" s="14" t="n"/>
      <c r="C350" s="14" t="n"/>
      <c r="D350" s="14" t="n"/>
      <c r="E350" s="14" t="n"/>
      <c r="F350" s="14" t="n"/>
      <c r="G350" s="14" t="n"/>
      <c r="H350" s="13" t="n"/>
      <c r="I350" s="13" t="n"/>
      <c r="J350" s="15">
        <f>IF($A350="","",ROUND(MAX(($B350*$C350*$D350)/MAX($F350,1),$E350)*IFERROR(SUMIF(tblVeriB[SiparisNo],$A350,tblVeriB[TarifTlDesi]),0)*$G350,2))</f>
        <v/>
      </c>
      <c r="K350" s="15">
        <f>IF($A350="","",1)</f>
        <v/>
      </c>
    </row>
    <row r="351">
      <c r="A351" s="13" t="n"/>
      <c r="B351" s="14" t="n"/>
      <c r="C351" s="14" t="n"/>
      <c r="D351" s="14" t="n"/>
      <c r="E351" s="14" t="n"/>
      <c r="F351" s="14" t="n"/>
      <c r="G351" s="14" t="n"/>
      <c r="H351" s="13" t="n"/>
      <c r="I351" s="13" t="n"/>
      <c r="J351" s="15">
        <f>IF($A351="","",ROUND(MAX(($B351*$C351*$D351)/MAX($F351,1),$E351)*IFERROR(SUMIF(tblVeriB[SiparisNo],$A351,tblVeriB[TarifTlDesi]),0)*$G351,2))</f>
        <v/>
      </c>
      <c r="K351" s="15">
        <f>IF($A351="","",1)</f>
        <v/>
      </c>
    </row>
    <row r="352">
      <c r="A352" s="13" t="n"/>
      <c r="B352" s="14" t="n"/>
      <c r="C352" s="14" t="n"/>
      <c r="D352" s="14" t="n"/>
      <c r="E352" s="14" t="n"/>
      <c r="F352" s="14" t="n"/>
      <c r="G352" s="14" t="n"/>
      <c r="H352" s="13" t="n"/>
      <c r="I352" s="13" t="n"/>
      <c r="J352" s="15">
        <f>IF($A352="","",ROUND(MAX(($B352*$C352*$D352)/MAX($F352,1),$E352)*IFERROR(SUMIF(tblVeriB[SiparisNo],$A352,tblVeriB[TarifTlDesi]),0)*$G352,2))</f>
        <v/>
      </c>
      <c r="K352" s="15">
        <f>IF($A352="","",1)</f>
        <v/>
      </c>
    </row>
    <row r="353">
      <c r="A353" s="13" t="n"/>
      <c r="B353" s="14" t="n"/>
      <c r="C353" s="14" t="n"/>
      <c r="D353" s="14" t="n"/>
      <c r="E353" s="14" t="n"/>
      <c r="F353" s="14" t="n"/>
      <c r="G353" s="14" t="n"/>
      <c r="H353" s="13" t="n"/>
      <c r="I353" s="13" t="n"/>
      <c r="J353" s="15">
        <f>IF($A353="","",ROUND(MAX(($B353*$C353*$D353)/MAX($F353,1),$E353)*IFERROR(SUMIF(tblVeriB[SiparisNo],$A353,tblVeriB[TarifTlDesi]),0)*$G353,2))</f>
        <v/>
      </c>
      <c r="K353" s="15">
        <f>IF($A353="","",1)</f>
        <v/>
      </c>
    </row>
    <row r="354">
      <c r="A354" s="13" t="n"/>
      <c r="B354" s="14" t="n"/>
      <c r="C354" s="14" t="n"/>
      <c r="D354" s="14" t="n"/>
      <c r="E354" s="14" t="n"/>
      <c r="F354" s="14" t="n"/>
      <c r="G354" s="14" t="n"/>
      <c r="H354" s="13" t="n"/>
      <c r="I354" s="13" t="n"/>
      <c r="J354" s="15">
        <f>IF($A354="","",ROUND(MAX(($B354*$C354*$D354)/MAX($F354,1),$E354)*IFERROR(SUMIF(tblVeriB[SiparisNo],$A354,tblVeriB[TarifTlDesi]),0)*$G354,2))</f>
        <v/>
      </c>
      <c r="K354" s="15">
        <f>IF($A354="","",1)</f>
        <v/>
      </c>
    </row>
    <row r="355">
      <c r="A355" s="13" t="n"/>
      <c r="B355" s="14" t="n"/>
      <c r="C355" s="14" t="n"/>
      <c r="D355" s="14" t="n"/>
      <c r="E355" s="14" t="n"/>
      <c r="F355" s="14" t="n"/>
      <c r="G355" s="14" t="n"/>
      <c r="H355" s="13" t="n"/>
      <c r="I355" s="13" t="n"/>
      <c r="J355" s="15">
        <f>IF($A355="","",ROUND(MAX(($B355*$C355*$D355)/MAX($F355,1),$E355)*IFERROR(SUMIF(tblVeriB[SiparisNo],$A355,tblVeriB[TarifTlDesi]),0)*$G355,2))</f>
        <v/>
      </c>
      <c r="K355" s="15">
        <f>IF($A355="","",1)</f>
        <v/>
      </c>
    </row>
    <row r="356">
      <c r="A356" s="13" t="n"/>
      <c r="B356" s="14" t="n"/>
      <c r="C356" s="14" t="n"/>
      <c r="D356" s="14" t="n"/>
      <c r="E356" s="14" t="n"/>
      <c r="F356" s="14" t="n"/>
      <c r="G356" s="14" t="n"/>
      <c r="H356" s="13" t="n"/>
      <c r="I356" s="13" t="n"/>
      <c r="J356" s="15">
        <f>IF($A356="","",ROUND(MAX(($B356*$C356*$D356)/MAX($F356,1),$E356)*IFERROR(SUMIF(tblVeriB[SiparisNo],$A356,tblVeriB[TarifTlDesi]),0)*$G356,2))</f>
        <v/>
      </c>
      <c r="K356" s="15">
        <f>IF($A356="","",1)</f>
        <v/>
      </c>
    </row>
    <row r="357">
      <c r="A357" s="13" t="n"/>
      <c r="B357" s="14" t="n"/>
      <c r="C357" s="14" t="n"/>
      <c r="D357" s="14" t="n"/>
      <c r="E357" s="14" t="n"/>
      <c r="F357" s="14" t="n"/>
      <c r="G357" s="14" t="n"/>
      <c r="H357" s="13" t="n"/>
      <c r="I357" s="13" t="n"/>
      <c r="J357" s="15">
        <f>IF($A357="","",ROUND(MAX(($B357*$C357*$D357)/MAX($F357,1),$E357)*IFERROR(SUMIF(tblVeriB[SiparisNo],$A357,tblVeriB[TarifTlDesi]),0)*$G357,2))</f>
        <v/>
      </c>
      <c r="K357" s="15">
        <f>IF($A357="","",1)</f>
        <v/>
      </c>
    </row>
    <row r="358">
      <c r="A358" s="13" t="n"/>
      <c r="B358" s="14" t="n"/>
      <c r="C358" s="14" t="n"/>
      <c r="D358" s="14" t="n"/>
      <c r="E358" s="14" t="n"/>
      <c r="F358" s="14" t="n"/>
      <c r="G358" s="14" t="n"/>
      <c r="H358" s="13" t="n"/>
      <c r="I358" s="13" t="n"/>
      <c r="J358" s="15">
        <f>IF($A358="","",ROUND(MAX(($B358*$C358*$D358)/MAX($F358,1),$E358)*IFERROR(SUMIF(tblVeriB[SiparisNo],$A358,tblVeriB[TarifTlDesi]),0)*$G358,2))</f>
        <v/>
      </c>
      <c r="K358" s="15">
        <f>IF($A358="","",1)</f>
        <v/>
      </c>
    </row>
    <row r="359">
      <c r="A359" s="13" t="n"/>
      <c r="B359" s="14" t="n"/>
      <c r="C359" s="14" t="n"/>
      <c r="D359" s="14" t="n"/>
      <c r="E359" s="14" t="n"/>
      <c r="F359" s="14" t="n"/>
      <c r="G359" s="14" t="n"/>
      <c r="H359" s="13" t="n"/>
      <c r="I359" s="13" t="n"/>
      <c r="J359" s="15">
        <f>IF($A359="","",ROUND(MAX(($B359*$C359*$D359)/MAX($F359,1),$E359)*IFERROR(SUMIF(tblVeriB[SiparisNo],$A359,tblVeriB[TarifTlDesi]),0)*$G359,2))</f>
        <v/>
      </c>
      <c r="K359" s="15">
        <f>IF($A359="","",1)</f>
        <v/>
      </c>
    </row>
    <row r="360">
      <c r="A360" s="13" t="n"/>
      <c r="B360" s="14" t="n"/>
      <c r="C360" s="14" t="n"/>
      <c r="D360" s="14" t="n"/>
      <c r="E360" s="14" t="n"/>
      <c r="F360" s="14" t="n"/>
      <c r="G360" s="14" t="n"/>
      <c r="H360" s="13" t="n"/>
      <c r="I360" s="13" t="n"/>
      <c r="J360" s="15">
        <f>IF($A360="","",ROUND(MAX(($B360*$C360*$D360)/MAX($F360,1),$E360)*IFERROR(SUMIF(tblVeriB[SiparisNo],$A360,tblVeriB[TarifTlDesi]),0)*$G360,2))</f>
        <v/>
      </c>
      <c r="K360" s="15">
        <f>IF($A360="","",1)</f>
        <v/>
      </c>
    </row>
    <row r="361">
      <c r="A361" s="13" t="n"/>
      <c r="B361" s="14" t="n"/>
      <c r="C361" s="14" t="n"/>
      <c r="D361" s="14" t="n"/>
      <c r="E361" s="14" t="n"/>
      <c r="F361" s="14" t="n"/>
      <c r="G361" s="14" t="n"/>
      <c r="H361" s="13" t="n"/>
      <c r="I361" s="13" t="n"/>
      <c r="J361" s="15">
        <f>IF($A361="","",ROUND(MAX(($B361*$C361*$D361)/MAX($F361,1),$E361)*IFERROR(SUMIF(tblVeriB[SiparisNo],$A361,tblVeriB[TarifTlDesi]),0)*$G361,2))</f>
        <v/>
      </c>
      <c r="K361" s="15">
        <f>IF($A361="","",1)</f>
        <v/>
      </c>
    </row>
    <row r="362">
      <c r="A362" s="13" t="n"/>
      <c r="B362" s="14" t="n"/>
      <c r="C362" s="14" t="n"/>
      <c r="D362" s="14" t="n"/>
      <c r="E362" s="14" t="n"/>
      <c r="F362" s="14" t="n"/>
      <c r="G362" s="14" t="n"/>
      <c r="H362" s="13" t="n"/>
      <c r="I362" s="13" t="n"/>
      <c r="J362" s="15">
        <f>IF($A362="","",ROUND(MAX(($B362*$C362*$D362)/MAX($F362,1),$E362)*IFERROR(SUMIF(tblVeriB[SiparisNo],$A362,tblVeriB[TarifTlDesi]),0)*$G362,2))</f>
        <v/>
      </c>
      <c r="K362" s="15">
        <f>IF($A362="","",1)</f>
        <v/>
      </c>
    </row>
    <row r="363">
      <c r="A363" s="13" t="n"/>
      <c r="B363" s="14" t="n"/>
      <c r="C363" s="14" t="n"/>
      <c r="D363" s="14" t="n"/>
      <c r="E363" s="14" t="n"/>
      <c r="F363" s="14" t="n"/>
      <c r="G363" s="14" t="n"/>
      <c r="H363" s="13" t="n"/>
      <c r="I363" s="13" t="n"/>
      <c r="J363" s="15">
        <f>IF($A363="","",ROUND(MAX(($B363*$C363*$D363)/MAX($F363,1),$E363)*IFERROR(SUMIF(tblVeriB[SiparisNo],$A363,tblVeriB[TarifTlDesi]),0)*$G363,2))</f>
        <v/>
      </c>
      <c r="K363" s="15">
        <f>IF($A363="","",1)</f>
        <v/>
      </c>
    </row>
    <row r="364">
      <c r="A364" s="13" t="n"/>
      <c r="B364" s="14" t="n"/>
      <c r="C364" s="14" t="n"/>
      <c r="D364" s="14" t="n"/>
      <c r="E364" s="14" t="n"/>
      <c r="F364" s="14" t="n"/>
      <c r="G364" s="14" t="n"/>
      <c r="H364" s="13" t="n"/>
      <c r="I364" s="13" t="n"/>
      <c r="J364" s="15">
        <f>IF($A364="","",ROUND(MAX(($B364*$C364*$D364)/MAX($F364,1),$E364)*IFERROR(SUMIF(tblVeriB[SiparisNo],$A364,tblVeriB[TarifTlDesi]),0)*$G364,2))</f>
        <v/>
      </c>
      <c r="K364" s="15">
        <f>IF($A364="","",1)</f>
        <v/>
      </c>
    </row>
    <row r="365">
      <c r="A365" s="13" t="n"/>
      <c r="B365" s="14" t="n"/>
      <c r="C365" s="14" t="n"/>
      <c r="D365" s="14" t="n"/>
      <c r="E365" s="14" t="n"/>
      <c r="F365" s="14" t="n"/>
      <c r="G365" s="14" t="n"/>
      <c r="H365" s="13" t="n"/>
      <c r="I365" s="13" t="n"/>
      <c r="J365" s="15">
        <f>IF($A365="","",ROUND(MAX(($B365*$C365*$D365)/MAX($F365,1),$E365)*IFERROR(SUMIF(tblVeriB[SiparisNo],$A365,tblVeriB[TarifTlDesi]),0)*$G365,2))</f>
        <v/>
      </c>
      <c r="K365" s="15">
        <f>IF($A365="","",1)</f>
        <v/>
      </c>
    </row>
    <row r="366">
      <c r="A366" s="13" t="n"/>
      <c r="B366" s="14" t="n"/>
      <c r="C366" s="14" t="n"/>
      <c r="D366" s="14" t="n"/>
      <c r="E366" s="14" t="n"/>
      <c r="F366" s="14" t="n"/>
      <c r="G366" s="14" t="n"/>
      <c r="H366" s="13" t="n"/>
      <c r="I366" s="13" t="n"/>
      <c r="J366" s="15">
        <f>IF($A366="","",ROUND(MAX(($B366*$C366*$D366)/MAX($F366,1),$E366)*IFERROR(SUMIF(tblVeriB[SiparisNo],$A366,tblVeriB[TarifTlDesi]),0)*$G366,2))</f>
        <v/>
      </c>
      <c r="K366" s="15">
        <f>IF($A366="","",1)</f>
        <v/>
      </c>
    </row>
    <row r="367">
      <c r="A367" s="13" t="n"/>
      <c r="B367" s="14" t="n"/>
      <c r="C367" s="14" t="n"/>
      <c r="D367" s="14" t="n"/>
      <c r="E367" s="14" t="n"/>
      <c r="F367" s="14" t="n"/>
      <c r="G367" s="14" t="n"/>
      <c r="H367" s="13" t="n"/>
      <c r="I367" s="13" t="n"/>
      <c r="J367" s="15">
        <f>IF($A367="","",ROUND(MAX(($B367*$C367*$D367)/MAX($F367,1),$E367)*IFERROR(SUMIF(tblVeriB[SiparisNo],$A367,tblVeriB[TarifTlDesi]),0)*$G367,2))</f>
        <v/>
      </c>
      <c r="K367" s="15">
        <f>IF($A367="","",1)</f>
        <v/>
      </c>
    </row>
    <row r="368">
      <c r="A368" s="13" t="n"/>
      <c r="B368" s="14" t="n"/>
      <c r="C368" s="14" t="n"/>
      <c r="D368" s="14" t="n"/>
      <c r="E368" s="14" t="n"/>
      <c r="F368" s="14" t="n"/>
      <c r="G368" s="14" t="n"/>
      <c r="H368" s="13" t="n"/>
      <c r="I368" s="13" t="n"/>
      <c r="J368" s="15">
        <f>IF($A368="","",ROUND(MAX(($B368*$C368*$D368)/MAX($F368,1),$E368)*IFERROR(SUMIF(tblVeriB[SiparisNo],$A368,tblVeriB[TarifTlDesi]),0)*$G368,2))</f>
        <v/>
      </c>
      <c r="K368" s="15">
        <f>IF($A368="","",1)</f>
        <v/>
      </c>
    </row>
    <row r="369">
      <c r="A369" s="13" t="n"/>
      <c r="B369" s="14" t="n"/>
      <c r="C369" s="14" t="n"/>
      <c r="D369" s="14" t="n"/>
      <c r="E369" s="14" t="n"/>
      <c r="F369" s="14" t="n"/>
      <c r="G369" s="14" t="n"/>
      <c r="H369" s="13" t="n"/>
      <c r="I369" s="13" t="n"/>
      <c r="J369" s="15">
        <f>IF($A369="","",ROUND(MAX(($B369*$C369*$D369)/MAX($F369,1),$E369)*IFERROR(SUMIF(tblVeriB[SiparisNo],$A369,tblVeriB[TarifTlDesi]),0)*$G369,2))</f>
        <v/>
      </c>
      <c r="K369" s="15">
        <f>IF($A369="","",1)</f>
        <v/>
      </c>
    </row>
    <row r="370">
      <c r="A370" s="13" t="n"/>
      <c r="B370" s="14" t="n"/>
      <c r="C370" s="14" t="n"/>
      <c r="D370" s="14" t="n"/>
      <c r="E370" s="14" t="n"/>
      <c r="F370" s="14" t="n"/>
      <c r="G370" s="14" t="n"/>
      <c r="H370" s="13" t="n"/>
      <c r="I370" s="13" t="n"/>
      <c r="J370" s="15">
        <f>IF($A370="","",ROUND(MAX(($B370*$C370*$D370)/MAX($F370,1),$E370)*IFERROR(SUMIF(tblVeriB[SiparisNo],$A370,tblVeriB[TarifTlDesi]),0)*$G370,2))</f>
        <v/>
      </c>
      <c r="K370" s="15">
        <f>IF($A370="","",1)</f>
        <v/>
      </c>
    </row>
    <row r="371">
      <c r="A371" s="13" t="n"/>
      <c r="B371" s="14" t="n"/>
      <c r="C371" s="14" t="n"/>
      <c r="D371" s="14" t="n"/>
      <c r="E371" s="14" t="n"/>
      <c r="F371" s="14" t="n"/>
      <c r="G371" s="14" t="n"/>
      <c r="H371" s="13" t="n"/>
      <c r="I371" s="13" t="n"/>
      <c r="J371" s="15">
        <f>IF($A371="","",ROUND(MAX(($B371*$C371*$D371)/MAX($F371,1),$E371)*IFERROR(SUMIF(tblVeriB[SiparisNo],$A371,tblVeriB[TarifTlDesi]),0)*$G371,2))</f>
        <v/>
      </c>
      <c r="K371" s="15">
        <f>IF($A371="","",1)</f>
        <v/>
      </c>
    </row>
    <row r="372">
      <c r="A372" s="13" t="n"/>
      <c r="B372" s="14" t="n"/>
      <c r="C372" s="14" t="n"/>
      <c r="D372" s="14" t="n"/>
      <c r="E372" s="14" t="n"/>
      <c r="F372" s="14" t="n"/>
      <c r="G372" s="14" t="n"/>
      <c r="H372" s="13" t="n"/>
      <c r="I372" s="13" t="n"/>
      <c r="J372" s="15">
        <f>IF($A372="","",ROUND(MAX(($B372*$C372*$D372)/MAX($F372,1),$E372)*IFERROR(SUMIF(tblVeriB[SiparisNo],$A372,tblVeriB[TarifTlDesi]),0)*$G372,2))</f>
        <v/>
      </c>
      <c r="K372" s="15">
        <f>IF($A372="","",1)</f>
        <v/>
      </c>
    </row>
    <row r="373">
      <c r="A373" s="13" t="n"/>
      <c r="B373" s="14" t="n"/>
      <c r="C373" s="14" t="n"/>
      <c r="D373" s="14" t="n"/>
      <c r="E373" s="14" t="n"/>
      <c r="F373" s="14" t="n"/>
      <c r="G373" s="14" t="n"/>
      <c r="H373" s="13" t="n"/>
      <c r="I373" s="13" t="n"/>
      <c r="J373" s="15">
        <f>IF($A373="","",ROUND(MAX(($B373*$C373*$D373)/MAX($F373,1),$E373)*IFERROR(SUMIF(tblVeriB[SiparisNo],$A373,tblVeriB[TarifTlDesi]),0)*$G373,2))</f>
        <v/>
      </c>
      <c r="K373" s="15">
        <f>IF($A373="","",1)</f>
        <v/>
      </c>
    </row>
    <row r="374">
      <c r="A374" s="13" t="n"/>
      <c r="B374" s="14" t="n"/>
      <c r="C374" s="14" t="n"/>
      <c r="D374" s="14" t="n"/>
      <c r="E374" s="14" t="n"/>
      <c r="F374" s="14" t="n"/>
      <c r="G374" s="14" t="n"/>
      <c r="H374" s="13" t="n"/>
      <c r="I374" s="13" t="n"/>
      <c r="J374" s="15">
        <f>IF($A374="","",ROUND(MAX(($B374*$C374*$D374)/MAX($F374,1),$E374)*IFERROR(SUMIF(tblVeriB[SiparisNo],$A374,tblVeriB[TarifTlDesi]),0)*$G374,2))</f>
        <v/>
      </c>
      <c r="K374" s="15">
        <f>IF($A374="","",1)</f>
        <v/>
      </c>
    </row>
    <row r="375">
      <c r="A375" s="13" t="n"/>
      <c r="B375" s="14" t="n"/>
      <c r="C375" s="14" t="n"/>
      <c r="D375" s="14" t="n"/>
      <c r="E375" s="14" t="n"/>
      <c r="F375" s="14" t="n"/>
      <c r="G375" s="14" t="n"/>
      <c r="H375" s="13" t="n"/>
      <c r="I375" s="13" t="n"/>
      <c r="J375" s="15">
        <f>IF($A375="","",ROUND(MAX(($B375*$C375*$D375)/MAX($F375,1),$E375)*IFERROR(SUMIF(tblVeriB[SiparisNo],$A375,tblVeriB[TarifTlDesi]),0)*$G375,2))</f>
        <v/>
      </c>
      <c r="K375" s="15">
        <f>IF($A375="","",1)</f>
        <v/>
      </c>
    </row>
    <row r="376">
      <c r="A376" s="13" t="n"/>
      <c r="B376" s="14" t="n"/>
      <c r="C376" s="14" t="n"/>
      <c r="D376" s="14" t="n"/>
      <c r="E376" s="14" t="n"/>
      <c r="F376" s="14" t="n"/>
      <c r="G376" s="14" t="n"/>
      <c r="H376" s="13" t="n"/>
      <c r="I376" s="13" t="n"/>
      <c r="J376" s="15">
        <f>IF($A376="","",ROUND(MAX(($B376*$C376*$D376)/MAX($F376,1),$E376)*IFERROR(SUMIF(tblVeriB[SiparisNo],$A376,tblVeriB[TarifTlDesi]),0)*$G376,2))</f>
        <v/>
      </c>
      <c r="K376" s="15">
        <f>IF($A376="","",1)</f>
        <v/>
      </c>
    </row>
    <row r="377">
      <c r="A377" s="13" t="n"/>
      <c r="B377" s="14" t="n"/>
      <c r="C377" s="14" t="n"/>
      <c r="D377" s="14" t="n"/>
      <c r="E377" s="14" t="n"/>
      <c r="F377" s="14" t="n"/>
      <c r="G377" s="14" t="n"/>
      <c r="H377" s="13" t="n"/>
      <c r="I377" s="13" t="n"/>
      <c r="J377" s="15">
        <f>IF($A377="","",ROUND(MAX(($B377*$C377*$D377)/MAX($F377,1),$E377)*IFERROR(SUMIF(tblVeriB[SiparisNo],$A377,tblVeriB[TarifTlDesi]),0)*$G377,2))</f>
        <v/>
      </c>
      <c r="K377" s="15">
        <f>IF($A377="","",1)</f>
        <v/>
      </c>
    </row>
    <row r="378">
      <c r="A378" s="13" t="n"/>
      <c r="B378" s="14" t="n"/>
      <c r="C378" s="14" t="n"/>
      <c r="D378" s="14" t="n"/>
      <c r="E378" s="14" t="n"/>
      <c r="F378" s="14" t="n"/>
      <c r="G378" s="14" t="n"/>
      <c r="H378" s="13" t="n"/>
      <c r="I378" s="13" t="n"/>
      <c r="J378" s="15">
        <f>IF($A378="","",ROUND(MAX(($B378*$C378*$D378)/MAX($F378,1),$E378)*IFERROR(SUMIF(tblVeriB[SiparisNo],$A378,tblVeriB[TarifTlDesi]),0)*$G378,2))</f>
        <v/>
      </c>
      <c r="K378" s="15">
        <f>IF($A378="","",1)</f>
        <v/>
      </c>
    </row>
    <row r="379">
      <c r="A379" s="13" t="n"/>
      <c r="B379" s="14" t="n"/>
      <c r="C379" s="14" t="n"/>
      <c r="D379" s="14" t="n"/>
      <c r="E379" s="14" t="n"/>
      <c r="F379" s="14" t="n"/>
      <c r="G379" s="14" t="n"/>
      <c r="H379" s="13" t="n"/>
      <c r="I379" s="13" t="n"/>
      <c r="J379" s="15">
        <f>IF($A379="","",ROUND(MAX(($B379*$C379*$D379)/MAX($F379,1),$E379)*IFERROR(SUMIF(tblVeriB[SiparisNo],$A379,tblVeriB[TarifTlDesi]),0)*$G379,2))</f>
        <v/>
      </c>
      <c r="K379" s="15">
        <f>IF($A379="","",1)</f>
        <v/>
      </c>
    </row>
    <row r="380">
      <c r="A380" s="13" t="n"/>
      <c r="B380" s="14" t="n"/>
      <c r="C380" s="14" t="n"/>
      <c r="D380" s="14" t="n"/>
      <c r="E380" s="14" t="n"/>
      <c r="F380" s="14" t="n"/>
      <c r="G380" s="14" t="n"/>
      <c r="H380" s="13" t="n"/>
      <c r="I380" s="13" t="n"/>
      <c r="J380" s="15">
        <f>IF($A380="","",ROUND(MAX(($B380*$C380*$D380)/MAX($F380,1),$E380)*IFERROR(SUMIF(tblVeriB[SiparisNo],$A380,tblVeriB[TarifTlDesi]),0)*$G380,2))</f>
        <v/>
      </c>
      <c r="K380" s="15">
        <f>IF($A380="","",1)</f>
        <v/>
      </c>
    </row>
    <row r="381">
      <c r="A381" s="13" t="n"/>
      <c r="B381" s="14" t="n"/>
      <c r="C381" s="14" t="n"/>
      <c r="D381" s="14" t="n"/>
      <c r="E381" s="14" t="n"/>
      <c r="F381" s="14" t="n"/>
      <c r="G381" s="14" t="n"/>
      <c r="H381" s="13" t="n"/>
      <c r="I381" s="13" t="n"/>
      <c r="J381" s="15">
        <f>IF($A381="","",ROUND(MAX(($B381*$C381*$D381)/MAX($F381,1),$E381)*IFERROR(SUMIF(tblVeriB[SiparisNo],$A381,tblVeriB[TarifTlDesi]),0)*$G381,2))</f>
        <v/>
      </c>
      <c r="K381" s="15">
        <f>IF($A381="","",1)</f>
        <v/>
      </c>
    </row>
    <row r="382">
      <c r="A382" s="13" t="n"/>
      <c r="B382" s="14" t="n"/>
      <c r="C382" s="14" t="n"/>
      <c r="D382" s="14" t="n"/>
      <c r="E382" s="14" t="n"/>
      <c r="F382" s="14" t="n"/>
      <c r="G382" s="14" t="n"/>
      <c r="H382" s="13" t="n"/>
      <c r="I382" s="13" t="n"/>
      <c r="J382" s="15">
        <f>IF($A382="","",ROUND(MAX(($B382*$C382*$D382)/MAX($F382,1),$E382)*IFERROR(SUMIF(tblVeriB[SiparisNo],$A382,tblVeriB[TarifTlDesi]),0)*$G382,2))</f>
        <v/>
      </c>
      <c r="K382" s="15">
        <f>IF($A382="","",1)</f>
        <v/>
      </c>
    </row>
    <row r="383">
      <c r="A383" s="13" t="n"/>
      <c r="B383" s="14" t="n"/>
      <c r="C383" s="14" t="n"/>
      <c r="D383" s="14" t="n"/>
      <c r="E383" s="14" t="n"/>
      <c r="F383" s="14" t="n"/>
      <c r="G383" s="14" t="n"/>
      <c r="H383" s="13" t="n"/>
      <c r="I383" s="13" t="n"/>
      <c r="J383" s="15">
        <f>IF($A383="","",ROUND(MAX(($B383*$C383*$D383)/MAX($F383,1),$E383)*IFERROR(SUMIF(tblVeriB[SiparisNo],$A383,tblVeriB[TarifTlDesi]),0)*$G383,2))</f>
        <v/>
      </c>
      <c r="K383" s="15">
        <f>IF($A383="","",1)</f>
        <v/>
      </c>
    </row>
    <row r="384">
      <c r="A384" s="13" t="n"/>
      <c r="B384" s="14" t="n"/>
      <c r="C384" s="14" t="n"/>
      <c r="D384" s="14" t="n"/>
      <c r="E384" s="14" t="n"/>
      <c r="F384" s="14" t="n"/>
      <c r="G384" s="14" t="n"/>
      <c r="H384" s="13" t="n"/>
      <c r="I384" s="13" t="n"/>
      <c r="J384" s="15">
        <f>IF($A384="","",ROUND(MAX(($B384*$C384*$D384)/MAX($F384,1),$E384)*IFERROR(SUMIF(tblVeriB[SiparisNo],$A384,tblVeriB[TarifTlDesi]),0)*$G384,2))</f>
        <v/>
      </c>
      <c r="K384" s="15">
        <f>IF($A384="","",1)</f>
        <v/>
      </c>
    </row>
    <row r="385">
      <c r="A385" s="13" t="n"/>
      <c r="B385" s="14" t="n"/>
      <c r="C385" s="14" t="n"/>
      <c r="D385" s="14" t="n"/>
      <c r="E385" s="14" t="n"/>
      <c r="F385" s="14" t="n"/>
      <c r="G385" s="14" t="n"/>
      <c r="H385" s="13" t="n"/>
      <c r="I385" s="13" t="n"/>
      <c r="J385" s="15">
        <f>IF($A385="","",ROUND(MAX(($B385*$C385*$D385)/MAX($F385,1),$E385)*IFERROR(SUMIF(tblVeriB[SiparisNo],$A385,tblVeriB[TarifTlDesi]),0)*$G385,2))</f>
        <v/>
      </c>
      <c r="K385" s="15">
        <f>IF($A385="","",1)</f>
        <v/>
      </c>
    </row>
    <row r="386">
      <c r="A386" s="13" t="n"/>
      <c r="B386" s="14" t="n"/>
      <c r="C386" s="14" t="n"/>
      <c r="D386" s="14" t="n"/>
      <c r="E386" s="14" t="n"/>
      <c r="F386" s="14" t="n"/>
      <c r="G386" s="14" t="n"/>
      <c r="H386" s="13" t="n"/>
      <c r="I386" s="13" t="n"/>
      <c r="J386" s="15">
        <f>IF($A386="","",ROUND(MAX(($B386*$C386*$D386)/MAX($F386,1),$E386)*IFERROR(SUMIF(tblVeriB[SiparisNo],$A386,tblVeriB[TarifTlDesi]),0)*$G386,2))</f>
        <v/>
      </c>
      <c r="K386" s="15">
        <f>IF($A386="","",1)</f>
        <v/>
      </c>
    </row>
    <row r="387">
      <c r="A387" s="13" t="n"/>
      <c r="B387" s="14" t="n"/>
      <c r="C387" s="14" t="n"/>
      <c r="D387" s="14" t="n"/>
      <c r="E387" s="14" t="n"/>
      <c r="F387" s="14" t="n"/>
      <c r="G387" s="14" t="n"/>
      <c r="H387" s="13" t="n"/>
      <c r="I387" s="13" t="n"/>
      <c r="J387" s="15">
        <f>IF($A387="","",ROUND(MAX(($B387*$C387*$D387)/MAX($F387,1),$E387)*IFERROR(SUMIF(tblVeriB[SiparisNo],$A387,tblVeriB[TarifTlDesi]),0)*$G387,2))</f>
        <v/>
      </c>
      <c r="K387" s="15">
        <f>IF($A387="","",1)</f>
        <v/>
      </c>
    </row>
    <row r="388">
      <c r="A388" s="13" t="n"/>
      <c r="B388" s="14" t="n"/>
      <c r="C388" s="14" t="n"/>
      <c r="D388" s="14" t="n"/>
      <c r="E388" s="14" t="n"/>
      <c r="F388" s="14" t="n"/>
      <c r="G388" s="14" t="n"/>
      <c r="H388" s="13" t="n"/>
      <c r="I388" s="13" t="n"/>
      <c r="J388" s="15">
        <f>IF($A388="","",ROUND(MAX(($B388*$C388*$D388)/MAX($F388,1),$E388)*IFERROR(SUMIF(tblVeriB[SiparisNo],$A388,tblVeriB[TarifTlDesi]),0)*$G388,2))</f>
        <v/>
      </c>
      <c r="K388" s="15">
        <f>IF($A388="","",1)</f>
        <v/>
      </c>
    </row>
    <row r="389">
      <c r="A389" s="13" t="n"/>
      <c r="B389" s="14" t="n"/>
      <c r="C389" s="14" t="n"/>
      <c r="D389" s="14" t="n"/>
      <c r="E389" s="14" t="n"/>
      <c r="F389" s="14" t="n"/>
      <c r="G389" s="14" t="n"/>
      <c r="H389" s="13" t="n"/>
      <c r="I389" s="13" t="n"/>
      <c r="J389" s="15">
        <f>IF($A389="","",ROUND(MAX(($B389*$C389*$D389)/MAX($F389,1),$E389)*IFERROR(SUMIF(tblVeriB[SiparisNo],$A389,tblVeriB[TarifTlDesi]),0)*$G389,2))</f>
        <v/>
      </c>
      <c r="K389" s="15">
        <f>IF($A389="","",1)</f>
        <v/>
      </c>
    </row>
    <row r="390">
      <c r="A390" s="13" t="n"/>
      <c r="B390" s="14" t="n"/>
      <c r="C390" s="14" t="n"/>
      <c r="D390" s="14" t="n"/>
      <c r="E390" s="14" t="n"/>
      <c r="F390" s="14" t="n"/>
      <c r="G390" s="14" t="n"/>
      <c r="H390" s="13" t="n"/>
      <c r="I390" s="13" t="n"/>
      <c r="J390" s="15">
        <f>IF($A390="","",ROUND(MAX(($B390*$C390*$D390)/MAX($F390,1),$E390)*IFERROR(SUMIF(tblVeriB[SiparisNo],$A390,tblVeriB[TarifTlDesi]),0)*$G390,2))</f>
        <v/>
      </c>
      <c r="K390" s="15">
        <f>IF($A390="","",1)</f>
        <v/>
      </c>
    </row>
    <row r="391">
      <c r="A391" s="13" t="n"/>
      <c r="B391" s="14" t="n"/>
      <c r="C391" s="14" t="n"/>
      <c r="D391" s="14" t="n"/>
      <c r="E391" s="14" t="n"/>
      <c r="F391" s="14" t="n"/>
      <c r="G391" s="14" t="n"/>
      <c r="H391" s="13" t="n"/>
      <c r="I391" s="13" t="n"/>
      <c r="J391" s="15">
        <f>IF($A391="","",ROUND(MAX(($B391*$C391*$D391)/MAX($F391,1),$E391)*IFERROR(SUMIF(tblVeriB[SiparisNo],$A391,tblVeriB[TarifTlDesi]),0)*$G391,2))</f>
        <v/>
      </c>
      <c r="K391" s="15">
        <f>IF($A391="","",1)</f>
        <v/>
      </c>
    </row>
    <row r="392">
      <c r="A392" s="13" t="n"/>
      <c r="B392" s="14" t="n"/>
      <c r="C392" s="14" t="n"/>
      <c r="D392" s="14" t="n"/>
      <c r="E392" s="14" t="n"/>
      <c r="F392" s="14" t="n"/>
      <c r="G392" s="14" t="n"/>
      <c r="H392" s="13" t="n"/>
      <c r="I392" s="13" t="n"/>
      <c r="J392" s="15">
        <f>IF($A392="","",ROUND(MAX(($B392*$C392*$D392)/MAX($F392,1),$E392)*IFERROR(SUMIF(tblVeriB[SiparisNo],$A392,tblVeriB[TarifTlDesi]),0)*$G392,2))</f>
        <v/>
      </c>
      <c r="K392" s="15">
        <f>IF($A392="","",1)</f>
        <v/>
      </c>
    </row>
    <row r="393">
      <c r="A393" s="13" t="n"/>
      <c r="B393" s="14" t="n"/>
      <c r="C393" s="14" t="n"/>
      <c r="D393" s="14" t="n"/>
      <c r="E393" s="14" t="n"/>
      <c r="F393" s="14" t="n"/>
      <c r="G393" s="14" t="n"/>
      <c r="H393" s="13" t="n"/>
      <c r="I393" s="13" t="n"/>
      <c r="J393" s="15">
        <f>IF($A393="","",ROUND(MAX(($B393*$C393*$D393)/MAX($F393,1),$E393)*IFERROR(SUMIF(tblVeriB[SiparisNo],$A393,tblVeriB[TarifTlDesi]),0)*$G393,2))</f>
        <v/>
      </c>
      <c r="K393" s="15">
        <f>IF($A393="","",1)</f>
        <v/>
      </c>
    </row>
    <row r="394">
      <c r="A394" s="13" t="n"/>
      <c r="B394" s="14" t="n"/>
      <c r="C394" s="14" t="n"/>
      <c r="D394" s="14" t="n"/>
      <c r="E394" s="14" t="n"/>
      <c r="F394" s="14" t="n"/>
      <c r="G394" s="14" t="n"/>
      <c r="H394" s="13" t="n"/>
      <c r="I394" s="13" t="n"/>
      <c r="J394" s="15">
        <f>IF($A394="","",ROUND(MAX(($B394*$C394*$D394)/MAX($F394,1),$E394)*IFERROR(SUMIF(tblVeriB[SiparisNo],$A394,tblVeriB[TarifTlDesi]),0)*$G394,2))</f>
        <v/>
      </c>
      <c r="K394" s="15">
        <f>IF($A394="","",1)</f>
        <v/>
      </c>
    </row>
    <row r="395">
      <c r="A395" s="13" t="n"/>
      <c r="B395" s="14" t="n"/>
      <c r="C395" s="14" t="n"/>
      <c r="D395" s="14" t="n"/>
      <c r="E395" s="14" t="n"/>
      <c r="F395" s="14" t="n"/>
      <c r="G395" s="14" t="n"/>
      <c r="H395" s="13" t="n"/>
      <c r="I395" s="13" t="n"/>
      <c r="J395" s="15">
        <f>IF($A395="","",ROUND(MAX(($B395*$C395*$D395)/MAX($F395,1),$E395)*IFERROR(SUMIF(tblVeriB[SiparisNo],$A395,tblVeriB[TarifTlDesi]),0)*$G395,2))</f>
        <v/>
      </c>
      <c r="K395" s="15">
        <f>IF($A395="","",1)</f>
        <v/>
      </c>
    </row>
    <row r="396">
      <c r="A396" s="13" t="n"/>
      <c r="B396" s="14" t="n"/>
      <c r="C396" s="14" t="n"/>
      <c r="D396" s="14" t="n"/>
      <c r="E396" s="14" t="n"/>
      <c r="F396" s="14" t="n"/>
      <c r="G396" s="14" t="n"/>
      <c r="H396" s="13" t="n"/>
      <c r="I396" s="13" t="n"/>
      <c r="J396" s="15">
        <f>IF($A396="","",ROUND(MAX(($B396*$C396*$D396)/MAX($F396,1),$E396)*IFERROR(SUMIF(tblVeriB[SiparisNo],$A396,tblVeriB[TarifTlDesi]),0)*$G396,2))</f>
        <v/>
      </c>
      <c r="K396" s="15">
        <f>IF($A396="","",1)</f>
        <v/>
      </c>
    </row>
    <row r="397">
      <c r="A397" s="13" t="n"/>
      <c r="B397" s="14" t="n"/>
      <c r="C397" s="14" t="n"/>
      <c r="D397" s="14" t="n"/>
      <c r="E397" s="14" t="n"/>
      <c r="F397" s="14" t="n"/>
      <c r="G397" s="14" t="n"/>
      <c r="H397" s="13" t="n"/>
      <c r="I397" s="13" t="n"/>
      <c r="J397" s="15">
        <f>IF($A397="","",ROUND(MAX(($B397*$C397*$D397)/MAX($F397,1),$E397)*IFERROR(SUMIF(tblVeriB[SiparisNo],$A397,tblVeriB[TarifTlDesi]),0)*$G397,2))</f>
        <v/>
      </c>
      <c r="K397" s="15">
        <f>IF($A397="","",1)</f>
        <v/>
      </c>
    </row>
    <row r="398">
      <c r="A398" s="13" t="n"/>
      <c r="B398" s="14" t="n"/>
      <c r="C398" s="14" t="n"/>
      <c r="D398" s="14" t="n"/>
      <c r="E398" s="14" t="n"/>
      <c r="F398" s="14" t="n"/>
      <c r="G398" s="14" t="n"/>
      <c r="H398" s="13" t="n"/>
      <c r="I398" s="13" t="n"/>
      <c r="J398" s="15">
        <f>IF($A398="","",ROUND(MAX(($B398*$C398*$D398)/MAX($F398,1),$E398)*IFERROR(SUMIF(tblVeriB[SiparisNo],$A398,tblVeriB[TarifTlDesi]),0)*$G398,2))</f>
        <v/>
      </c>
      <c r="K398" s="15">
        <f>IF($A398="","",1)</f>
        <v/>
      </c>
    </row>
    <row r="399">
      <c r="A399" s="13" t="n"/>
      <c r="B399" s="14" t="n"/>
      <c r="C399" s="14" t="n"/>
      <c r="D399" s="14" t="n"/>
      <c r="E399" s="14" t="n"/>
      <c r="F399" s="14" t="n"/>
      <c r="G399" s="14" t="n"/>
      <c r="H399" s="13" t="n"/>
      <c r="I399" s="13" t="n"/>
      <c r="J399" s="15">
        <f>IF($A399="","",ROUND(MAX(($B399*$C399*$D399)/MAX($F399,1),$E399)*IFERROR(SUMIF(tblVeriB[SiparisNo],$A399,tblVeriB[TarifTlDesi]),0)*$G399,2))</f>
        <v/>
      </c>
      <c r="K399" s="15">
        <f>IF($A399="","",1)</f>
        <v/>
      </c>
    </row>
    <row r="400">
      <c r="A400" s="13" t="n"/>
      <c r="B400" s="14" t="n"/>
      <c r="C400" s="14" t="n"/>
      <c r="D400" s="14" t="n"/>
      <c r="E400" s="14" t="n"/>
      <c r="F400" s="14" t="n"/>
      <c r="G400" s="14" t="n"/>
      <c r="H400" s="13" t="n"/>
      <c r="I400" s="13" t="n"/>
      <c r="J400" s="15">
        <f>IF($A400="","",ROUND(MAX(($B400*$C400*$D400)/MAX($F400,1),$E400)*IFERROR(SUMIF(tblVeriB[SiparisNo],$A400,tblVeriB[TarifTlDesi]),0)*$G400,2))</f>
        <v/>
      </c>
      <c r="K400" s="15">
        <f>IF($A400="","",1)</f>
        <v/>
      </c>
    </row>
    <row r="401">
      <c r="A401" s="13" t="n"/>
      <c r="B401" s="14" t="n"/>
      <c r="C401" s="14" t="n"/>
      <c r="D401" s="14" t="n"/>
      <c r="E401" s="14" t="n"/>
      <c r="F401" s="14" t="n"/>
      <c r="G401" s="14" t="n"/>
      <c r="H401" s="13" t="n"/>
      <c r="I401" s="13" t="n"/>
      <c r="J401" s="15">
        <f>IF($A401="","",ROUND(MAX(($B401*$C401*$D401)/MAX($F401,1),$E401)*IFERROR(SUMIF(tblVeriB[SiparisNo],$A401,tblVeriB[TarifTlDesi]),0)*$G401,2))</f>
        <v/>
      </c>
      <c r="K401" s="15">
        <f>IF($A401="","",1)</f>
        <v/>
      </c>
    </row>
    <row r="402">
      <c r="A402" s="13" t="n"/>
      <c r="B402" s="14" t="n"/>
      <c r="C402" s="14" t="n"/>
      <c r="D402" s="14" t="n"/>
      <c r="E402" s="14" t="n"/>
      <c r="F402" s="14" t="n"/>
      <c r="G402" s="14" t="n"/>
      <c r="H402" s="13" t="n"/>
      <c r="I402" s="13" t="n"/>
      <c r="J402" s="15">
        <f>IF($A402="","",ROUND(MAX(($B402*$C402*$D402)/MAX($F402,1),$E402)*IFERROR(SUMIF(tblVeriB[SiparisNo],$A402,tblVeriB[TarifTlDesi]),0)*$G402,2))</f>
        <v/>
      </c>
      <c r="K402" s="15">
        <f>IF($A402="","",1)</f>
        <v/>
      </c>
    </row>
    <row r="403">
      <c r="A403" s="13" t="n"/>
      <c r="B403" s="14" t="n"/>
      <c r="C403" s="14" t="n"/>
      <c r="D403" s="14" t="n"/>
      <c r="E403" s="14" t="n"/>
      <c r="F403" s="14" t="n"/>
      <c r="G403" s="14" t="n"/>
      <c r="H403" s="13" t="n"/>
      <c r="I403" s="13" t="n"/>
      <c r="J403" s="15">
        <f>IF($A403="","",ROUND(MAX(($B403*$C403*$D403)/MAX($F403,1),$E403)*IFERROR(SUMIF(tblVeriB[SiparisNo],$A403,tblVeriB[TarifTlDesi]),0)*$G403,2))</f>
        <v/>
      </c>
      <c r="K403" s="15">
        <f>IF($A403="","",1)</f>
        <v/>
      </c>
    </row>
    <row r="404">
      <c r="A404" s="13" t="n"/>
      <c r="B404" s="14" t="n"/>
      <c r="C404" s="14" t="n"/>
      <c r="D404" s="14" t="n"/>
      <c r="E404" s="14" t="n"/>
      <c r="F404" s="14" t="n"/>
      <c r="G404" s="14" t="n"/>
      <c r="H404" s="13" t="n"/>
      <c r="I404" s="13" t="n"/>
      <c r="J404" s="15">
        <f>IF($A404="","",ROUND(MAX(($B404*$C404*$D404)/MAX($F404,1),$E404)*IFERROR(SUMIF(tblVeriB[SiparisNo],$A404,tblVeriB[TarifTlDesi]),0)*$G404,2))</f>
        <v/>
      </c>
      <c r="K404" s="15">
        <f>IF($A404="","",1)</f>
        <v/>
      </c>
    </row>
    <row r="405">
      <c r="A405" s="13" t="n"/>
      <c r="B405" s="14" t="n"/>
      <c r="C405" s="14" t="n"/>
      <c r="D405" s="14" t="n"/>
      <c r="E405" s="14" t="n"/>
      <c r="F405" s="14" t="n"/>
      <c r="G405" s="14" t="n"/>
      <c r="H405" s="13" t="n"/>
      <c r="I405" s="13" t="n"/>
      <c r="J405" s="15">
        <f>IF($A405="","",ROUND(MAX(($B405*$C405*$D405)/MAX($F405,1),$E405)*IFERROR(SUMIF(tblVeriB[SiparisNo],$A405,tblVeriB[TarifTlDesi]),0)*$G405,2))</f>
        <v/>
      </c>
      <c r="K405" s="15">
        <f>IF($A405="","",1)</f>
        <v/>
      </c>
    </row>
    <row r="406">
      <c r="A406" s="13" t="n"/>
      <c r="B406" s="14" t="n"/>
      <c r="C406" s="14" t="n"/>
      <c r="D406" s="14" t="n"/>
      <c r="E406" s="14" t="n"/>
      <c r="F406" s="14" t="n"/>
      <c r="G406" s="14" t="n"/>
      <c r="H406" s="13" t="n"/>
      <c r="I406" s="13" t="n"/>
      <c r="J406" s="15">
        <f>IF($A406="","",ROUND(MAX(($B406*$C406*$D406)/MAX($F406,1),$E406)*IFERROR(SUMIF(tblVeriB[SiparisNo],$A406,tblVeriB[TarifTlDesi]),0)*$G406,2))</f>
        <v/>
      </c>
      <c r="K406" s="15">
        <f>IF($A406="","",1)</f>
        <v/>
      </c>
    </row>
    <row r="407">
      <c r="A407" s="13" t="n"/>
      <c r="B407" s="14" t="n"/>
      <c r="C407" s="14" t="n"/>
      <c r="D407" s="14" t="n"/>
      <c r="E407" s="14" t="n"/>
      <c r="F407" s="14" t="n"/>
      <c r="G407" s="14" t="n"/>
      <c r="H407" s="13" t="n"/>
      <c r="I407" s="13" t="n"/>
      <c r="J407" s="15">
        <f>IF($A407="","",ROUND(MAX(($B407*$C407*$D407)/MAX($F407,1),$E407)*IFERROR(SUMIF(tblVeriB[SiparisNo],$A407,tblVeriB[TarifTlDesi]),0)*$G407,2))</f>
        <v/>
      </c>
      <c r="K407" s="15">
        <f>IF($A407="","",1)</f>
        <v/>
      </c>
    </row>
    <row r="408">
      <c r="A408" s="13" t="n"/>
      <c r="B408" s="14" t="n"/>
      <c r="C408" s="14" t="n"/>
      <c r="D408" s="14" t="n"/>
      <c r="E408" s="14" t="n"/>
      <c r="F408" s="14" t="n"/>
      <c r="G408" s="14" t="n"/>
      <c r="H408" s="13" t="n"/>
      <c r="I408" s="13" t="n"/>
      <c r="J408" s="15">
        <f>IF($A408="","",ROUND(MAX(($B408*$C408*$D408)/MAX($F408,1),$E408)*IFERROR(SUMIF(tblVeriB[SiparisNo],$A408,tblVeriB[TarifTlDesi]),0)*$G408,2))</f>
        <v/>
      </c>
      <c r="K408" s="15">
        <f>IF($A408="","",1)</f>
        <v/>
      </c>
    </row>
    <row r="409">
      <c r="A409" s="13" t="n"/>
      <c r="B409" s="14" t="n"/>
      <c r="C409" s="14" t="n"/>
      <c r="D409" s="14" t="n"/>
      <c r="E409" s="14" t="n"/>
      <c r="F409" s="14" t="n"/>
      <c r="G409" s="14" t="n"/>
      <c r="H409" s="13" t="n"/>
      <c r="I409" s="13" t="n"/>
      <c r="J409" s="15">
        <f>IF($A409="","",ROUND(MAX(($B409*$C409*$D409)/MAX($F409,1),$E409)*IFERROR(SUMIF(tblVeriB[SiparisNo],$A409,tblVeriB[TarifTlDesi]),0)*$G409,2))</f>
        <v/>
      </c>
      <c r="K409" s="15">
        <f>IF($A409="","",1)</f>
        <v/>
      </c>
    </row>
    <row r="410">
      <c r="A410" s="13" t="n"/>
      <c r="B410" s="14" t="n"/>
      <c r="C410" s="14" t="n"/>
      <c r="D410" s="14" t="n"/>
      <c r="E410" s="14" t="n"/>
      <c r="F410" s="14" t="n"/>
      <c r="G410" s="14" t="n"/>
      <c r="H410" s="13" t="n"/>
      <c r="I410" s="13" t="n"/>
      <c r="J410" s="15">
        <f>IF($A410="","",ROUND(MAX(($B410*$C410*$D410)/MAX($F410,1),$E410)*IFERROR(SUMIF(tblVeriB[SiparisNo],$A410,tblVeriB[TarifTlDesi]),0)*$G410,2))</f>
        <v/>
      </c>
      <c r="K410" s="15">
        <f>IF($A410="","",1)</f>
        <v/>
      </c>
    </row>
    <row r="411">
      <c r="A411" s="13" t="n"/>
      <c r="B411" s="14" t="n"/>
      <c r="C411" s="14" t="n"/>
      <c r="D411" s="14" t="n"/>
      <c r="E411" s="14" t="n"/>
      <c r="F411" s="14" t="n"/>
      <c r="G411" s="14" t="n"/>
      <c r="H411" s="13" t="n"/>
      <c r="I411" s="13" t="n"/>
      <c r="J411" s="15">
        <f>IF($A411="","",ROUND(MAX(($B411*$C411*$D411)/MAX($F411,1),$E411)*IFERROR(SUMIF(tblVeriB[SiparisNo],$A411,tblVeriB[TarifTlDesi]),0)*$G411,2))</f>
        <v/>
      </c>
      <c r="K411" s="15">
        <f>IF($A411="","",1)</f>
        <v/>
      </c>
    </row>
    <row r="412">
      <c r="A412" s="13" t="n"/>
      <c r="B412" s="14" t="n"/>
      <c r="C412" s="14" t="n"/>
      <c r="D412" s="14" t="n"/>
      <c r="E412" s="14" t="n"/>
      <c r="F412" s="14" t="n"/>
      <c r="G412" s="14" t="n"/>
      <c r="H412" s="13" t="n"/>
      <c r="I412" s="13" t="n"/>
      <c r="J412" s="15">
        <f>IF($A412="","",ROUND(MAX(($B412*$C412*$D412)/MAX($F412,1),$E412)*IFERROR(SUMIF(tblVeriB[SiparisNo],$A412,tblVeriB[TarifTlDesi]),0)*$G412,2))</f>
        <v/>
      </c>
      <c r="K412" s="15">
        <f>IF($A412="","",1)</f>
        <v/>
      </c>
    </row>
    <row r="413">
      <c r="A413" s="13" t="n"/>
      <c r="B413" s="14" t="n"/>
      <c r="C413" s="14" t="n"/>
      <c r="D413" s="14" t="n"/>
      <c r="E413" s="14" t="n"/>
      <c r="F413" s="14" t="n"/>
      <c r="G413" s="14" t="n"/>
      <c r="H413" s="13" t="n"/>
      <c r="I413" s="13" t="n"/>
      <c r="J413" s="15">
        <f>IF($A413="","",ROUND(MAX(($B413*$C413*$D413)/MAX($F413,1),$E413)*IFERROR(SUMIF(tblVeriB[SiparisNo],$A413,tblVeriB[TarifTlDesi]),0)*$G413,2))</f>
        <v/>
      </c>
      <c r="K413" s="15">
        <f>IF($A413="","",1)</f>
        <v/>
      </c>
    </row>
    <row r="414">
      <c r="A414" s="13" t="n"/>
      <c r="B414" s="14" t="n"/>
      <c r="C414" s="14" t="n"/>
      <c r="D414" s="14" t="n"/>
      <c r="E414" s="14" t="n"/>
      <c r="F414" s="14" t="n"/>
      <c r="G414" s="14" t="n"/>
      <c r="H414" s="13" t="n"/>
      <c r="I414" s="13" t="n"/>
      <c r="J414" s="15">
        <f>IF($A414="","",ROUND(MAX(($B414*$C414*$D414)/MAX($F414,1),$E414)*IFERROR(SUMIF(tblVeriB[SiparisNo],$A414,tblVeriB[TarifTlDesi]),0)*$G414,2))</f>
        <v/>
      </c>
      <c r="K414" s="15">
        <f>IF($A414="","",1)</f>
        <v/>
      </c>
    </row>
    <row r="415">
      <c r="A415" s="13" t="n"/>
      <c r="B415" s="14" t="n"/>
      <c r="C415" s="14" t="n"/>
      <c r="D415" s="14" t="n"/>
      <c r="E415" s="14" t="n"/>
      <c r="F415" s="14" t="n"/>
      <c r="G415" s="14" t="n"/>
      <c r="H415" s="13" t="n"/>
      <c r="I415" s="13" t="n"/>
      <c r="J415" s="15">
        <f>IF($A415="","",ROUND(MAX(($B415*$C415*$D415)/MAX($F415,1),$E415)*IFERROR(SUMIF(tblVeriB[SiparisNo],$A415,tblVeriB[TarifTlDesi]),0)*$G415,2))</f>
        <v/>
      </c>
      <c r="K415" s="15">
        <f>IF($A415="","",1)</f>
        <v/>
      </c>
    </row>
    <row r="416">
      <c r="A416" s="13" t="n"/>
      <c r="B416" s="14" t="n"/>
      <c r="C416" s="14" t="n"/>
      <c r="D416" s="14" t="n"/>
      <c r="E416" s="14" t="n"/>
      <c r="F416" s="14" t="n"/>
      <c r="G416" s="14" t="n"/>
      <c r="H416" s="13" t="n"/>
      <c r="I416" s="13" t="n"/>
      <c r="J416" s="15">
        <f>IF($A416="","",ROUND(MAX(($B416*$C416*$D416)/MAX($F416,1),$E416)*IFERROR(SUMIF(tblVeriB[SiparisNo],$A416,tblVeriB[TarifTlDesi]),0)*$G416,2))</f>
        <v/>
      </c>
      <c r="K416" s="15">
        <f>IF($A416="","",1)</f>
        <v/>
      </c>
    </row>
    <row r="417">
      <c r="A417" s="13" t="n"/>
      <c r="B417" s="14" t="n"/>
      <c r="C417" s="14" t="n"/>
      <c r="D417" s="14" t="n"/>
      <c r="E417" s="14" t="n"/>
      <c r="F417" s="14" t="n"/>
      <c r="G417" s="14" t="n"/>
      <c r="H417" s="13" t="n"/>
      <c r="I417" s="13" t="n"/>
      <c r="J417" s="15">
        <f>IF($A417="","",ROUND(MAX(($B417*$C417*$D417)/MAX($F417,1),$E417)*IFERROR(SUMIF(tblVeriB[SiparisNo],$A417,tblVeriB[TarifTlDesi]),0)*$G417,2))</f>
        <v/>
      </c>
      <c r="K417" s="15">
        <f>IF($A417="","",1)</f>
        <v/>
      </c>
    </row>
    <row r="418">
      <c r="A418" s="13" t="n"/>
      <c r="B418" s="14" t="n"/>
      <c r="C418" s="14" t="n"/>
      <c r="D418" s="14" t="n"/>
      <c r="E418" s="14" t="n"/>
      <c r="F418" s="14" t="n"/>
      <c r="G418" s="14" t="n"/>
      <c r="H418" s="13" t="n"/>
      <c r="I418" s="13" t="n"/>
      <c r="J418" s="15">
        <f>IF($A418="","",ROUND(MAX(($B418*$C418*$D418)/MAX($F418,1),$E418)*IFERROR(SUMIF(tblVeriB[SiparisNo],$A418,tblVeriB[TarifTlDesi]),0)*$G418,2))</f>
        <v/>
      </c>
      <c r="K418" s="15">
        <f>IF($A418="","",1)</f>
        <v/>
      </c>
    </row>
    <row r="419">
      <c r="A419" s="13" t="n"/>
      <c r="B419" s="14" t="n"/>
      <c r="C419" s="14" t="n"/>
      <c r="D419" s="14" t="n"/>
      <c r="E419" s="14" t="n"/>
      <c r="F419" s="14" t="n"/>
      <c r="G419" s="14" t="n"/>
      <c r="H419" s="13" t="n"/>
      <c r="I419" s="13" t="n"/>
      <c r="J419" s="15">
        <f>IF($A419="","",ROUND(MAX(($B419*$C419*$D419)/MAX($F419,1),$E419)*IFERROR(SUMIF(tblVeriB[SiparisNo],$A419,tblVeriB[TarifTlDesi]),0)*$G419,2))</f>
        <v/>
      </c>
      <c r="K419" s="15">
        <f>IF($A419="","",1)</f>
        <v/>
      </c>
    </row>
    <row r="420">
      <c r="A420" s="13" t="n"/>
      <c r="B420" s="14" t="n"/>
      <c r="C420" s="14" t="n"/>
      <c r="D420" s="14" t="n"/>
      <c r="E420" s="14" t="n"/>
      <c r="F420" s="14" t="n"/>
      <c r="G420" s="14" t="n"/>
      <c r="H420" s="13" t="n"/>
      <c r="I420" s="13" t="n"/>
      <c r="J420" s="15">
        <f>IF($A420="","",ROUND(MAX(($B420*$C420*$D420)/MAX($F420,1),$E420)*IFERROR(SUMIF(tblVeriB[SiparisNo],$A420,tblVeriB[TarifTlDesi]),0)*$G420,2))</f>
        <v/>
      </c>
      <c r="K420" s="15">
        <f>IF($A420="","",1)</f>
        <v/>
      </c>
    </row>
    <row r="421">
      <c r="A421" s="13" t="n"/>
      <c r="B421" s="14" t="n"/>
      <c r="C421" s="14" t="n"/>
      <c r="D421" s="14" t="n"/>
      <c r="E421" s="14" t="n"/>
      <c r="F421" s="14" t="n"/>
      <c r="G421" s="14" t="n"/>
      <c r="H421" s="13" t="n"/>
      <c r="I421" s="13" t="n"/>
      <c r="J421" s="15">
        <f>IF($A421="","",ROUND(MAX(($B421*$C421*$D421)/MAX($F421,1),$E421)*IFERROR(SUMIF(tblVeriB[SiparisNo],$A421,tblVeriB[TarifTlDesi]),0)*$G421,2))</f>
        <v/>
      </c>
      <c r="K421" s="15">
        <f>IF($A421="","",1)</f>
        <v/>
      </c>
    </row>
    <row r="422">
      <c r="A422" s="13" t="n"/>
      <c r="B422" s="14" t="n"/>
      <c r="C422" s="14" t="n"/>
      <c r="D422" s="14" t="n"/>
      <c r="E422" s="14" t="n"/>
      <c r="F422" s="14" t="n"/>
      <c r="G422" s="14" t="n"/>
      <c r="H422" s="13" t="n"/>
      <c r="I422" s="13" t="n"/>
      <c r="J422" s="15">
        <f>IF($A422="","",ROUND(MAX(($B422*$C422*$D422)/MAX($F422,1),$E422)*IFERROR(SUMIF(tblVeriB[SiparisNo],$A422,tblVeriB[TarifTlDesi]),0)*$G422,2))</f>
        <v/>
      </c>
      <c r="K422" s="15">
        <f>IF($A422="","",1)</f>
        <v/>
      </c>
    </row>
    <row r="423">
      <c r="A423" s="13" t="n"/>
      <c r="B423" s="14" t="n"/>
      <c r="C423" s="14" t="n"/>
      <c r="D423" s="14" t="n"/>
      <c r="E423" s="14" t="n"/>
      <c r="F423" s="14" t="n"/>
      <c r="G423" s="14" t="n"/>
      <c r="H423" s="13" t="n"/>
      <c r="I423" s="13" t="n"/>
      <c r="J423" s="15">
        <f>IF($A423="","",ROUND(MAX(($B423*$C423*$D423)/MAX($F423,1),$E423)*IFERROR(SUMIF(tblVeriB[SiparisNo],$A423,tblVeriB[TarifTlDesi]),0)*$G423,2))</f>
        <v/>
      </c>
      <c r="K423" s="15">
        <f>IF($A423="","",1)</f>
        <v/>
      </c>
    </row>
    <row r="424">
      <c r="A424" s="13" t="n"/>
      <c r="B424" s="14" t="n"/>
      <c r="C424" s="14" t="n"/>
      <c r="D424" s="14" t="n"/>
      <c r="E424" s="14" t="n"/>
      <c r="F424" s="14" t="n"/>
      <c r="G424" s="14" t="n"/>
      <c r="H424" s="13" t="n"/>
      <c r="I424" s="13" t="n"/>
      <c r="J424" s="15">
        <f>IF($A424="","",ROUND(MAX(($B424*$C424*$D424)/MAX($F424,1),$E424)*IFERROR(SUMIF(tblVeriB[SiparisNo],$A424,tblVeriB[TarifTlDesi]),0)*$G424,2))</f>
        <v/>
      </c>
      <c r="K424" s="15">
        <f>IF($A424="","",1)</f>
        <v/>
      </c>
    </row>
    <row r="425">
      <c r="A425" s="13" t="n"/>
      <c r="B425" s="14" t="n"/>
      <c r="C425" s="14" t="n"/>
      <c r="D425" s="14" t="n"/>
      <c r="E425" s="14" t="n"/>
      <c r="F425" s="14" t="n"/>
      <c r="G425" s="14" t="n"/>
      <c r="H425" s="13" t="n"/>
      <c r="I425" s="13" t="n"/>
      <c r="J425" s="15">
        <f>IF($A425="","",ROUND(MAX(($B425*$C425*$D425)/MAX($F425,1),$E425)*IFERROR(SUMIF(tblVeriB[SiparisNo],$A425,tblVeriB[TarifTlDesi]),0)*$G425,2))</f>
        <v/>
      </c>
      <c r="K425" s="15">
        <f>IF($A425="","",1)</f>
        <v/>
      </c>
    </row>
    <row r="426">
      <c r="A426" s="13" t="n"/>
      <c r="B426" s="14" t="n"/>
      <c r="C426" s="14" t="n"/>
      <c r="D426" s="14" t="n"/>
      <c r="E426" s="14" t="n"/>
      <c r="F426" s="14" t="n"/>
      <c r="G426" s="14" t="n"/>
      <c r="H426" s="13" t="n"/>
      <c r="I426" s="13" t="n"/>
      <c r="J426" s="15">
        <f>IF($A426="","",ROUND(MAX(($B426*$C426*$D426)/MAX($F426,1),$E426)*IFERROR(SUMIF(tblVeriB[SiparisNo],$A426,tblVeriB[TarifTlDesi]),0)*$G426,2))</f>
        <v/>
      </c>
      <c r="K426" s="15">
        <f>IF($A426="","",1)</f>
        <v/>
      </c>
    </row>
    <row r="427">
      <c r="A427" s="13" t="n"/>
      <c r="B427" s="14" t="n"/>
      <c r="C427" s="14" t="n"/>
      <c r="D427" s="14" t="n"/>
      <c r="E427" s="14" t="n"/>
      <c r="F427" s="14" t="n"/>
      <c r="G427" s="14" t="n"/>
      <c r="H427" s="13" t="n"/>
      <c r="I427" s="13" t="n"/>
      <c r="J427" s="15">
        <f>IF($A427="","",ROUND(MAX(($B427*$C427*$D427)/MAX($F427,1),$E427)*IFERROR(SUMIF(tblVeriB[SiparisNo],$A427,tblVeriB[TarifTlDesi]),0)*$G427,2))</f>
        <v/>
      </c>
      <c r="K427" s="15">
        <f>IF($A427="","",1)</f>
        <v/>
      </c>
    </row>
    <row r="428">
      <c r="A428" s="13" t="n"/>
      <c r="B428" s="14" t="n"/>
      <c r="C428" s="14" t="n"/>
      <c r="D428" s="14" t="n"/>
      <c r="E428" s="14" t="n"/>
      <c r="F428" s="14" t="n"/>
      <c r="G428" s="14" t="n"/>
      <c r="H428" s="13" t="n"/>
      <c r="I428" s="13" t="n"/>
      <c r="J428" s="15">
        <f>IF($A428="","",ROUND(MAX(($B428*$C428*$D428)/MAX($F428,1),$E428)*IFERROR(SUMIF(tblVeriB[SiparisNo],$A428,tblVeriB[TarifTlDesi]),0)*$G428,2))</f>
        <v/>
      </c>
      <c r="K428" s="15">
        <f>IF($A428="","",1)</f>
        <v/>
      </c>
    </row>
    <row r="429">
      <c r="A429" s="13" t="n"/>
      <c r="B429" s="14" t="n"/>
      <c r="C429" s="14" t="n"/>
      <c r="D429" s="14" t="n"/>
      <c r="E429" s="14" t="n"/>
      <c r="F429" s="14" t="n"/>
      <c r="G429" s="14" t="n"/>
      <c r="H429" s="13" t="n"/>
      <c r="I429" s="13" t="n"/>
      <c r="J429" s="15">
        <f>IF($A429="","",ROUND(MAX(($B429*$C429*$D429)/MAX($F429,1),$E429)*IFERROR(SUMIF(tblVeriB[SiparisNo],$A429,tblVeriB[TarifTlDesi]),0)*$G429,2))</f>
        <v/>
      </c>
      <c r="K429" s="15">
        <f>IF($A429="","",1)</f>
        <v/>
      </c>
    </row>
    <row r="430">
      <c r="A430" s="13" t="n"/>
      <c r="B430" s="14" t="n"/>
      <c r="C430" s="14" t="n"/>
      <c r="D430" s="14" t="n"/>
      <c r="E430" s="14" t="n"/>
      <c r="F430" s="14" t="n"/>
      <c r="G430" s="14" t="n"/>
      <c r="H430" s="13" t="n"/>
      <c r="I430" s="13" t="n"/>
      <c r="J430" s="15">
        <f>IF($A430="","",ROUND(MAX(($B430*$C430*$D430)/MAX($F430,1),$E430)*IFERROR(SUMIF(tblVeriB[SiparisNo],$A430,tblVeriB[TarifTlDesi]),0)*$G430,2))</f>
        <v/>
      </c>
      <c r="K430" s="15">
        <f>IF($A430="","",1)</f>
        <v/>
      </c>
    </row>
    <row r="431">
      <c r="A431" s="13" t="n"/>
      <c r="B431" s="14" t="n"/>
      <c r="C431" s="14" t="n"/>
      <c r="D431" s="14" t="n"/>
      <c r="E431" s="14" t="n"/>
      <c r="F431" s="14" t="n"/>
      <c r="G431" s="14" t="n"/>
      <c r="H431" s="13" t="n"/>
      <c r="I431" s="13" t="n"/>
      <c r="J431" s="15">
        <f>IF($A431="","",ROUND(MAX(($B431*$C431*$D431)/MAX($F431,1),$E431)*IFERROR(SUMIF(tblVeriB[SiparisNo],$A431,tblVeriB[TarifTlDesi]),0)*$G431,2))</f>
        <v/>
      </c>
      <c r="K431" s="15">
        <f>IF($A431="","",1)</f>
        <v/>
      </c>
    </row>
    <row r="432">
      <c r="A432" s="13" t="n"/>
      <c r="B432" s="14" t="n"/>
      <c r="C432" s="14" t="n"/>
      <c r="D432" s="14" t="n"/>
      <c r="E432" s="14" t="n"/>
      <c r="F432" s="14" t="n"/>
      <c r="G432" s="14" t="n"/>
      <c r="H432" s="13" t="n"/>
      <c r="I432" s="13" t="n"/>
      <c r="J432" s="15">
        <f>IF($A432="","",ROUND(MAX(($B432*$C432*$D432)/MAX($F432,1),$E432)*IFERROR(SUMIF(tblVeriB[SiparisNo],$A432,tblVeriB[TarifTlDesi]),0)*$G432,2))</f>
        <v/>
      </c>
      <c r="K432" s="15">
        <f>IF($A432="","",1)</f>
        <v/>
      </c>
    </row>
    <row r="433">
      <c r="A433" s="13" t="n"/>
      <c r="B433" s="14" t="n"/>
      <c r="C433" s="14" t="n"/>
      <c r="D433" s="14" t="n"/>
      <c r="E433" s="14" t="n"/>
      <c r="F433" s="14" t="n"/>
      <c r="G433" s="14" t="n"/>
      <c r="H433" s="13" t="n"/>
      <c r="I433" s="13" t="n"/>
      <c r="J433" s="15">
        <f>IF($A433="","",ROUND(MAX(($B433*$C433*$D433)/MAX($F433,1),$E433)*IFERROR(SUMIF(tblVeriB[SiparisNo],$A433,tblVeriB[TarifTlDesi]),0)*$G433,2))</f>
        <v/>
      </c>
      <c r="K433" s="15">
        <f>IF($A433="","",1)</f>
        <v/>
      </c>
    </row>
    <row r="434">
      <c r="A434" s="13" t="n"/>
      <c r="B434" s="14" t="n"/>
      <c r="C434" s="14" t="n"/>
      <c r="D434" s="14" t="n"/>
      <c r="E434" s="14" t="n"/>
      <c r="F434" s="14" t="n"/>
      <c r="G434" s="14" t="n"/>
      <c r="H434" s="13" t="n"/>
      <c r="I434" s="13" t="n"/>
      <c r="J434" s="15">
        <f>IF($A434="","",ROUND(MAX(($B434*$C434*$D434)/MAX($F434,1),$E434)*IFERROR(SUMIF(tblVeriB[SiparisNo],$A434,tblVeriB[TarifTlDesi]),0)*$G434,2))</f>
        <v/>
      </c>
      <c r="K434" s="15">
        <f>IF($A434="","",1)</f>
        <v/>
      </c>
    </row>
    <row r="435">
      <c r="A435" s="13" t="n"/>
      <c r="B435" s="14" t="n"/>
      <c r="C435" s="14" t="n"/>
      <c r="D435" s="14" t="n"/>
      <c r="E435" s="14" t="n"/>
      <c r="F435" s="14" t="n"/>
      <c r="G435" s="14" t="n"/>
      <c r="H435" s="13" t="n"/>
      <c r="I435" s="13" t="n"/>
      <c r="J435" s="15">
        <f>IF($A435="","",ROUND(MAX(($B435*$C435*$D435)/MAX($F435,1),$E435)*IFERROR(SUMIF(tblVeriB[SiparisNo],$A435,tblVeriB[TarifTlDesi]),0)*$G435,2))</f>
        <v/>
      </c>
      <c r="K435" s="15">
        <f>IF($A435="","",1)</f>
        <v/>
      </c>
    </row>
    <row r="436">
      <c r="A436" s="13" t="n"/>
      <c r="B436" s="14" t="n"/>
      <c r="C436" s="14" t="n"/>
      <c r="D436" s="14" t="n"/>
      <c r="E436" s="14" t="n"/>
      <c r="F436" s="14" t="n"/>
      <c r="G436" s="14" t="n"/>
      <c r="H436" s="13" t="n"/>
      <c r="I436" s="13" t="n"/>
      <c r="J436" s="15">
        <f>IF($A436="","",ROUND(MAX(($B436*$C436*$D436)/MAX($F436,1),$E436)*IFERROR(SUMIF(tblVeriB[SiparisNo],$A436,tblVeriB[TarifTlDesi]),0)*$G436,2))</f>
        <v/>
      </c>
      <c r="K436" s="15">
        <f>IF($A436="","",1)</f>
        <v/>
      </c>
    </row>
    <row r="437">
      <c r="A437" s="13" t="n"/>
      <c r="B437" s="14" t="n"/>
      <c r="C437" s="14" t="n"/>
      <c r="D437" s="14" t="n"/>
      <c r="E437" s="14" t="n"/>
      <c r="F437" s="14" t="n"/>
      <c r="G437" s="14" t="n"/>
      <c r="H437" s="13" t="n"/>
      <c r="I437" s="13" t="n"/>
      <c r="J437" s="15">
        <f>IF($A437="","",ROUND(MAX(($B437*$C437*$D437)/MAX($F437,1),$E437)*IFERROR(SUMIF(tblVeriB[SiparisNo],$A437,tblVeriB[TarifTlDesi]),0)*$G437,2))</f>
        <v/>
      </c>
      <c r="K437" s="15">
        <f>IF($A437="","",1)</f>
        <v/>
      </c>
    </row>
    <row r="438">
      <c r="A438" s="13" t="n"/>
      <c r="B438" s="14" t="n"/>
      <c r="C438" s="14" t="n"/>
      <c r="D438" s="14" t="n"/>
      <c r="E438" s="14" t="n"/>
      <c r="F438" s="14" t="n"/>
      <c r="G438" s="14" t="n"/>
      <c r="H438" s="13" t="n"/>
      <c r="I438" s="13" t="n"/>
      <c r="J438" s="15">
        <f>IF($A438="","",ROUND(MAX(($B438*$C438*$D438)/MAX($F438,1),$E438)*IFERROR(SUMIF(tblVeriB[SiparisNo],$A438,tblVeriB[TarifTlDesi]),0)*$G438,2))</f>
        <v/>
      </c>
      <c r="K438" s="15">
        <f>IF($A438="","",1)</f>
        <v/>
      </c>
    </row>
    <row r="439">
      <c r="A439" s="13" t="n"/>
      <c r="B439" s="14" t="n"/>
      <c r="C439" s="14" t="n"/>
      <c r="D439" s="14" t="n"/>
      <c r="E439" s="14" t="n"/>
      <c r="F439" s="14" t="n"/>
      <c r="G439" s="14" t="n"/>
      <c r="H439" s="13" t="n"/>
      <c r="I439" s="13" t="n"/>
      <c r="J439" s="15">
        <f>IF($A439="","",ROUND(MAX(($B439*$C439*$D439)/MAX($F439,1),$E439)*IFERROR(SUMIF(tblVeriB[SiparisNo],$A439,tblVeriB[TarifTlDesi]),0)*$G439,2))</f>
        <v/>
      </c>
      <c r="K439" s="15">
        <f>IF($A439="","",1)</f>
        <v/>
      </c>
    </row>
    <row r="440">
      <c r="A440" s="13" t="n"/>
      <c r="B440" s="14" t="n"/>
      <c r="C440" s="14" t="n"/>
      <c r="D440" s="14" t="n"/>
      <c r="E440" s="14" t="n"/>
      <c r="F440" s="14" t="n"/>
      <c r="G440" s="14" t="n"/>
      <c r="H440" s="13" t="n"/>
      <c r="I440" s="13" t="n"/>
      <c r="J440" s="15">
        <f>IF($A440="","",ROUND(MAX(($B440*$C440*$D440)/MAX($F440,1),$E440)*IFERROR(SUMIF(tblVeriB[SiparisNo],$A440,tblVeriB[TarifTlDesi]),0)*$G440,2))</f>
        <v/>
      </c>
      <c r="K440" s="15">
        <f>IF($A440="","",1)</f>
        <v/>
      </c>
    </row>
    <row r="441">
      <c r="A441" s="13" t="n"/>
      <c r="B441" s="14" t="n"/>
      <c r="C441" s="14" t="n"/>
      <c r="D441" s="14" t="n"/>
      <c r="E441" s="14" t="n"/>
      <c r="F441" s="14" t="n"/>
      <c r="G441" s="14" t="n"/>
      <c r="H441" s="13" t="n"/>
      <c r="I441" s="13" t="n"/>
      <c r="J441" s="15">
        <f>IF($A441="","",ROUND(MAX(($B441*$C441*$D441)/MAX($F441,1),$E441)*IFERROR(SUMIF(tblVeriB[SiparisNo],$A441,tblVeriB[TarifTlDesi]),0)*$G441,2))</f>
        <v/>
      </c>
      <c r="K441" s="15">
        <f>IF($A441="","",1)</f>
        <v/>
      </c>
    </row>
    <row r="442">
      <c r="A442" s="13" t="n"/>
      <c r="B442" s="14" t="n"/>
      <c r="C442" s="14" t="n"/>
      <c r="D442" s="14" t="n"/>
      <c r="E442" s="14" t="n"/>
      <c r="F442" s="14" t="n"/>
      <c r="G442" s="14" t="n"/>
      <c r="H442" s="13" t="n"/>
      <c r="I442" s="13" t="n"/>
      <c r="J442" s="15">
        <f>IF($A442="","",ROUND(MAX(($B442*$C442*$D442)/MAX($F442,1),$E442)*IFERROR(SUMIF(tblVeriB[SiparisNo],$A442,tblVeriB[TarifTlDesi]),0)*$G442,2))</f>
        <v/>
      </c>
      <c r="K442" s="15">
        <f>IF($A442="","",1)</f>
        <v/>
      </c>
    </row>
    <row r="443">
      <c r="A443" s="13" t="n"/>
      <c r="B443" s="14" t="n"/>
      <c r="C443" s="14" t="n"/>
      <c r="D443" s="14" t="n"/>
      <c r="E443" s="14" t="n"/>
      <c r="F443" s="14" t="n"/>
      <c r="G443" s="14" t="n"/>
      <c r="H443" s="13" t="n"/>
      <c r="I443" s="13" t="n"/>
      <c r="J443" s="15">
        <f>IF($A443="","",ROUND(MAX(($B443*$C443*$D443)/MAX($F443,1),$E443)*IFERROR(SUMIF(tblVeriB[SiparisNo],$A443,tblVeriB[TarifTlDesi]),0)*$G443,2))</f>
        <v/>
      </c>
      <c r="K443" s="15">
        <f>IF($A443="","",1)</f>
        <v/>
      </c>
    </row>
    <row r="444">
      <c r="A444" s="13" t="n"/>
      <c r="B444" s="14" t="n"/>
      <c r="C444" s="14" t="n"/>
      <c r="D444" s="14" t="n"/>
      <c r="E444" s="14" t="n"/>
      <c r="F444" s="14" t="n"/>
      <c r="G444" s="14" t="n"/>
      <c r="H444" s="13" t="n"/>
      <c r="I444" s="13" t="n"/>
      <c r="J444" s="15">
        <f>IF($A444="","",ROUND(MAX(($B444*$C444*$D444)/MAX($F444,1),$E444)*IFERROR(SUMIF(tblVeriB[SiparisNo],$A444,tblVeriB[TarifTlDesi]),0)*$G444,2))</f>
        <v/>
      </c>
      <c r="K444" s="15">
        <f>IF($A444="","",1)</f>
        <v/>
      </c>
    </row>
    <row r="445">
      <c r="A445" s="13" t="n"/>
      <c r="B445" s="14" t="n"/>
      <c r="C445" s="14" t="n"/>
      <c r="D445" s="14" t="n"/>
      <c r="E445" s="14" t="n"/>
      <c r="F445" s="14" t="n"/>
      <c r="G445" s="14" t="n"/>
      <c r="H445" s="13" t="n"/>
      <c r="I445" s="13" t="n"/>
      <c r="J445" s="15">
        <f>IF($A445="","",ROUND(MAX(($B445*$C445*$D445)/MAX($F445,1),$E445)*IFERROR(SUMIF(tblVeriB[SiparisNo],$A445,tblVeriB[TarifTlDesi]),0)*$G445,2))</f>
        <v/>
      </c>
      <c r="K445" s="15">
        <f>IF($A445="","",1)</f>
        <v/>
      </c>
    </row>
    <row r="446">
      <c r="A446" s="13" t="n"/>
      <c r="B446" s="14" t="n"/>
      <c r="C446" s="14" t="n"/>
      <c r="D446" s="14" t="n"/>
      <c r="E446" s="14" t="n"/>
      <c r="F446" s="14" t="n"/>
      <c r="G446" s="14" t="n"/>
      <c r="H446" s="13" t="n"/>
      <c r="I446" s="13" t="n"/>
      <c r="J446" s="15">
        <f>IF($A446="","",ROUND(MAX(($B446*$C446*$D446)/MAX($F446,1),$E446)*IFERROR(SUMIF(tblVeriB[SiparisNo],$A446,tblVeriB[TarifTlDesi]),0)*$G446,2))</f>
        <v/>
      </c>
      <c r="K446" s="15">
        <f>IF($A446="","",1)</f>
        <v/>
      </c>
    </row>
    <row r="447">
      <c r="A447" s="13" t="n"/>
      <c r="B447" s="14" t="n"/>
      <c r="C447" s="14" t="n"/>
      <c r="D447" s="14" t="n"/>
      <c r="E447" s="14" t="n"/>
      <c r="F447" s="14" t="n"/>
      <c r="G447" s="14" t="n"/>
      <c r="H447" s="13" t="n"/>
      <c r="I447" s="13" t="n"/>
      <c r="J447" s="15">
        <f>IF($A447="","",ROUND(MAX(($B447*$C447*$D447)/MAX($F447,1),$E447)*IFERROR(SUMIF(tblVeriB[SiparisNo],$A447,tblVeriB[TarifTlDesi]),0)*$G447,2))</f>
        <v/>
      </c>
      <c r="K447" s="15">
        <f>IF($A447="","",1)</f>
        <v/>
      </c>
    </row>
    <row r="448">
      <c r="A448" s="13" t="n"/>
      <c r="B448" s="14" t="n"/>
      <c r="C448" s="14" t="n"/>
      <c r="D448" s="14" t="n"/>
      <c r="E448" s="14" t="n"/>
      <c r="F448" s="14" t="n"/>
      <c r="G448" s="14" t="n"/>
      <c r="H448" s="13" t="n"/>
      <c r="I448" s="13" t="n"/>
      <c r="J448" s="15">
        <f>IF($A448="","",ROUND(MAX(($B448*$C448*$D448)/MAX($F448,1),$E448)*IFERROR(SUMIF(tblVeriB[SiparisNo],$A448,tblVeriB[TarifTlDesi]),0)*$G448,2))</f>
        <v/>
      </c>
      <c r="K448" s="15">
        <f>IF($A448="","",1)</f>
        <v/>
      </c>
    </row>
    <row r="449">
      <c r="A449" s="13" t="n"/>
      <c r="B449" s="14" t="n"/>
      <c r="C449" s="14" t="n"/>
      <c r="D449" s="14" t="n"/>
      <c r="E449" s="14" t="n"/>
      <c r="F449" s="14" t="n"/>
      <c r="G449" s="14" t="n"/>
      <c r="H449" s="13" t="n"/>
      <c r="I449" s="13" t="n"/>
      <c r="J449" s="15">
        <f>IF($A449="","",ROUND(MAX(($B449*$C449*$D449)/MAX($F449,1),$E449)*IFERROR(SUMIF(tblVeriB[SiparisNo],$A449,tblVeriB[TarifTlDesi]),0)*$G449,2))</f>
        <v/>
      </c>
      <c r="K449" s="15">
        <f>IF($A449="","",1)</f>
        <v/>
      </c>
    </row>
    <row r="450">
      <c r="A450" s="13" t="n"/>
      <c r="B450" s="14" t="n"/>
      <c r="C450" s="14" t="n"/>
      <c r="D450" s="14" t="n"/>
      <c r="E450" s="14" t="n"/>
      <c r="F450" s="14" t="n"/>
      <c r="G450" s="14" t="n"/>
      <c r="H450" s="13" t="n"/>
      <c r="I450" s="13" t="n"/>
      <c r="J450" s="15">
        <f>IF($A450="","",ROUND(MAX(($B450*$C450*$D450)/MAX($F450,1),$E450)*IFERROR(SUMIF(tblVeriB[SiparisNo],$A450,tblVeriB[TarifTlDesi]),0)*$G450,2))</f>
        <v/>
      </c>
      <c r="K450" s="15">
        <f>IF($A450="","",1)</f>
        <v/>
      </c>
    </row>
    <row r="451">
      <c r="A451" s="13" t="n"/>
      <c r="B451" s="14" t="n"/>
      <c r="C451" s="14" t="n"/>
      <c r="D451" s="14" t="n"/>
      <c r="E451" s="14" t="n"/>
      <c r="F451" s="14" t="n"/>
      <c r="G451" s="14" t="n"/>
      <c r="H451" s="13" t="n"/>
      <c r="I451" s="13" t="n"/>
      <c r="J451" s="15">
        <f>IF($A451="","",ROUND(MAX(($B451*$C451*$D451)/MAX($F451,1),$E451)*IFERROR(SUMIF(tblVeriB[SiparisNo],$A451,tblVeriB[TarifTlDesi]),0)*$G451,2))</f>
        <v/>
      </c>
      <c r="K451" s="15">
        <f>IF($A451="","",1)</f>
        <v/>
      </c>
    </row>
    <row r="452">
      <c r="A452" s="13" t="n"/>
      <c r="B452" s="14" t="n"/>
      <c r="C452" s="14" t="n"/>
      <c r="D452" s="14" t="n"/>
      <c r="E452" s="14" t="n"/>
      <c r="F452" s="14" t="n"/>
      <c r="G452" s="14" t="n"/>
      <c r="H452" s="13" t="n"/>
      <c r="I452" s="13" t="n"/>
      <c r="J452" s="15">
        <f>IF($A452="","",ROUND(MAX(($B452*$C452*$D452)/MAX($F452,1),$E452)*IFERROR(SUMIF(tblVeriB[SiparisNo],$A452,tblVeriB[TarifTlDesi]),0)*$G452,2))</f>
        <v/>
      </c>
      <c r="K452" s="15">
        <f>IF($A452="","",1)</f>
        <v/>
      </c>
    </row>
    <row r="453">
      <c r="A453" s="13" t="n"/>
      <c r="B453" s="14" t="n"/>
      <c r="C453" s="14" t="n"/>
      <c r="D453" s="14" t="n"/>
      <c r="E453" s="14" t="n"/>
      <c r="F453" s="14" t="n"/>
      <c r="G453" s="14" t="n"/>
      <c r="H453" s="13" t="n"/>
      <c r="I453" s="13" t="n"/>
      <c r="J453" s="15">
        <f>IF($A453="","",ROUND(MAX(($B453*$C453*$D453)/MAX($F453,1),$E453)*IFERROR(SUMIF(tblVeriB[SiparisNo],$A453,tblVeriB[TarifTlDesi]),0)*$G453,2))</f>
        <v/>
      </c>
      <c r="K453" s="15">
        <f>IF($A453="","",1)</f>
        <v/>
      </c>
    </row>
    <row r="454">
      <c r="A454" s="13" t="n"/>
      <c r="B454" s="14" t="n"/>
      <c r="C454" s="14" t="n"/>
      <c r="D454" s="14" t="n"/>
      <c r="E454" s="14" t="n"/>
      <c r="F454" s="14" t="n"/>
      <c r="G454" s="14" t="n"/>
      <c r="H454" s="13" t="n"/>
      <c r="I454" s="13" t="n"/>
      <c r="J454" s="15">
        <f>IF($A454="","",ROUND(MAX(($B454*$C454*$D454)/MAX($F454,1),$E454)*IFERROR(SUMIF(tblVeriB[SiparisNo],$A454,tblVeriB[TarifTlDesi]),0)*$G454,2))</f>
        <v/>
      </c>
      <c r="K454" s="15">
        <f>IF($A454="","",1)</f>
        <v/>
      </c>
    </row>
    <row r="455">
      <c r="A455" s="13" t="n"/>
      <c r="B455" s="14" t="n"/>
      <c r="C455" s="14" t="n"/>
      <c r="D455" s="14" t="n"/>
      <c r="E455" s="14" t="n"/>
      <c r="F455" s="14" t="n"/>
      <c r="G455" s="14" t="n"/>
      <c r="H455" s="13" t="n"/>
      <c r="I455" s="13" t="n"/>
      <c r="J455" s="15">
        <f>IF($A455="","",ROUND(MAX(($B455*$C455*$D455)/MAX($F455,1),$E455)*IFERROR(SUMIF(tblVeriB[SiparisNo],$A455,tblVeriB[TarifTlDesi]),0)*$G455,2))</f>
        <v/>
      </c>
      <c r="K455" s="15">
        <f>IF($A455="","",1)</f>
        <v/>
      </c>
    </row>
    <row r="456">
      <c r="A456" s="13" t="n"/>
      <c r="B456" s="14" t="n"/>
      <c r="C456" s="14" t="n"/>
      <c r="D456" s="14" t="n"/>
      <c r="E456" s="14" t="n"/>
      <c r="F456" s="14" t="n"/>
      <c r="G456" s="14" t="n"/>
      <c r="H456" s="13" t="n"/>
      <c r="I456" s="13" t="n"/>
      <c r="J456" s="15">
        <f>IF($A456="","",ROUND(MAX(($B456*$C456*$D456)/MAX($F456,1),$E456)*IFERROR(SUMIF(tblVeriB[SiparisNo],$A456,tblVeriB[TarifTlDesi]),0)*$G456,2))</f>
        <v/>
      </c>
      <c r="K456" s="15">
        <f>IF($A456="","",1)</f>
        <v/>
      </c>
    </row>
    <row r="457">
      <c r="A457" s="13" t="n"/>
      <c r="B457" s="14" t="n"/>
      <c r="C457" s="14" t="n"/>
      <c r="D457" s="14" t="n"/>
      <c r="E457" s="14" t="n"/>
      <c r="F457" s="14" t="n"/>
      <c r="G457" s="14" t="n"/>
      <c r="H457" s="13" t="n"/>
      <c r="I457" s="13" t="n"/>
      <c r="J457" s="15">
        <f>IF($A457="","",ROUND(MAX(($B457*$C457*$D457)/MAX($F457,1),$E457)*IFERROR(SUMIF(tblVeriB[SiparisNo],$A457,tblVeriB[TarifTlDesi]),0)*$G457,2))</f>
        <v/>
      </c>
      <c r="K457" s="15">
        <f>IF($A457="","",1)</f>
        <v/>
      </c>
    </row>
    <row r="458">
      <c r="A458" s="13" t="n"/>
      <c r="B458" s="14" t="n"/>
      <c r="C458" s="14" t="n"/>
      <c r="D458" s="14" t="n"/>
      <c r="E458" s="14" t="n"/>
      <c r="F458" s="14" t="n"/>
      <c r="G458" s="14" t="n"/>
      <c r="H458" s="13" t="n"/>
      <c r="I458" s="13" t="n"/>
      <c r="J458" s="15">
        <f>IF($A458="","",ROUND(MAX(($B458*$C458*$D458)/MAX($F458,1),$E458)*IFERROR(SUMIF(tblVeriB[SiparisNo],$A458,tblVeriB[TarifTlDesi]),0)*$G458,2))</f>
        <v/>
      </c>
      <c r="K458" s="15">
        <f>IF($A458="","",1)</f>
        <v/>
      </c>
    </row>
    <row r="459">
      <c r="A459" s="13" t="n"/>
      <c r="B459" s="14" t="n"/>
      <c r="C459" s="14" t="n"/>
      <c r="D459" s="14" t="n"/>
      <c r="E459" s="14" t="n"/>
      <c r="F459" s="14" t="n"/>
      <c r="G459" s="14" t="n"/>
      <c r="H459" s="13" t="n"/>
      <c r="I459" s="13" t="n"/>
      <c r="J459" s="15">
        <f>IF($A459="","",ROUND(MAX(($B459*$C459*$D459)/MAX($F459,1),$E459)*IFERROR(SUMIF(tblVeriB[SiparisNo],$A459,tblVeriB[TarifTlDesi]),0)*$G459,2))</f>
        <v/>
      </c>
      <c r="K459" s="15">
        <f>IF($A459="","",1)</f>
        <v/>
      </c>
    </row>
    <row r="460">
      <c r="A460" s="13" t="n"/>
      <c r="B460" s="14" t="n"/>
      <c r="C460" s="14" t="n"/>
      <c r="D460" s="14" t="n"/>
      <c r="E460" s="14" t="n"/>
      <c r="F460" s="14" t="n"/>
      <c r="G460" s="14" t="n"/>
      <c r="H460" s="13" t="n"/>
      <c r="I460" s="13" t="n"/>
      <c r="J460" s="15">
        <f>IF($A460="","",ROUND(MAX(($B460*$C460*$D460)/MAX($F460,1),$E460)*IFERROR(SUMIF(tblVeriB[SiparisNo],$A460,tblVeriB[TarifTlDesi]),0)*$G460,2))</f>
        <v/>
      </c>
      <c r="K460" s="15">
        <f>IF($A460="","",1)</f>
        <v/>
      </c>
    </row>
    <row r="461">
      <c r="A461" s="13" t="n"/>
      <c r="B461" s="14" t="n"/>
      <c r="C461" s="14" t="n"/>
      <c r="D461" s="14" t="n"/>
      <c r="E461" s="14" t="n"/>
      <c r="F461" s="14" t="n"/>
      <c r="G461" s="14" t="n"/>
      <c r="H461" s="13" t="n"/>
      <c r="I461" s="13" t="n"/>
      <c r="J461" s="15">
        <f>IF($A461="","",ROUND(MAX(($B461*$C461*$D461)/MAX($F461,1),$E461)*IFERROR(SUMIF(tblVeriB[SiparisNo],$A461,tblVeriB[TarifTlDesi]),0)*$G461,2))</f>
        <v/>
      </c>
      <c r="K461" s="15">
        <f>IF($A461="","",1)</f>
        <v/>
      </c>
    </row>
    <row r="462">
      <c r="A462" s="13" t="n"/>
      <c r="B462" s="14" t="n"/>
      <c r="C462" s="14" t="n"/>
      <c r="D462" s="14" t="n"/>
      <c r="E462" s="14" t="n"/>
      <c r="F462" s="14" t="n"/>
      <c r="G462" s="14" t="n"/>
      <c r="H462" s="13" t="n"/>
      <c r="I462" s="13" t="n"/>
      <c r="J462" s="15">
        <f>IF($A462="","",ROUND(MAX(($B462*$C462*$D462)/MAX($F462,1),$E462)*IFERROR(SUMIF(tblVeriB[SiparisNo],$A462,tblVeriB[TarifTlDesi]),0)*$G462,2))</f>
        <v/>
      </c>
      <c r="K462" s="15">
        <f>IF($A462="","",1)</f>
        <v/>
      </c>
    </row>
    <row r="463">
      <c r="A463" s="13" t="n"/>
      <c r="B463" s="14" t="n"/>
      <c r="C463" s="14" t="n"/>
      <c r="D463" s="14" t="n"/>
      <c r="E463" s="14" t="n"/>
      <c r="F463" s="14" t="n"/>
      <c r="G463" s="14" t="n"/>
      <c r="H463" s="13" t="n"/>
      <c r="I463" s="13" t="n"/>
      <c r="J463" s="15">
        <f>IF($A463="","",ROUND(MAX(($B463*$C463*$D463)/MAX($F463,1),$E463)*IFERROR(SUMIF(tblVeriB[SiparisNo],$A463,tblVeriB[TarifTlDesi]),0)*$G463,2))</f>
        <v/>
      </c>
      <c r="K463" s="15">
        <f>IF($A463="","",1)</f>
        <v/>
      </c>
    </row>
    <row r="464">
      <c r="A464" s="13" t="n"/>
      <c r="B464" s="14" t="n"/>
      <c r="C464" s="14" t="n"/>
      <c r="D464" s="14" t="n"/>
      <c r="E464" s="14" t="n"/>
      <c r="F464" s="14" t="n"/>
      <c r="G464" s="14" t="n"/>
      <c r="H464" s="13" t="n"/>
      <c r="I464" s="13" t="n"/>
      <c r="J464" s="15">
        <f>IF($A464="","",ROUND(MAX(($B464*$C464*$D464)/MAX($F464,1),$E464)*IFERROR(SUMIF(tblVeriB[SiparisNo],$A464,tblVeriB[TarifTlDesi]),0)*$G464,2))</f>
        <v/>
      </c>
      <c r="K464" s="15">
        <f>IF($A464="","",1)</f>
        <v/>
      </c>
    </row>
    <row r="465">
      <c r="A465" s="13" t="n"/>
      <c r="B465" s="14" t="n"/>
      <c r="C465" s="14" t="n"/>
      <c r="D465" s="14" t="n"/>
      <c r="E465" s="14" t="n"/>
      <c r="F465" s="14" t="n"/>
      <c r="G465" s="14" t="n"/>
      <c r="H465" s="13" t="n"/>
      <c r="I465" s="13" t="n"/>
      <c r="J465" s="15">
        <f>IF($A465="","",ROUND(MAX(($B465*$C465*$D465)/MAX($F465,1),$E465)*IFERROR(SUMIF(tblVeriB[SiparisNo],$A465,tblVeriB[TarifTlDesi]),0)*$G465,2))</f>
        <v/>
      </c>
      <c r="K465" s="15">
        <f>IF($A465="","",1)</f>
        <v/>
      </c>
    </row>
    <row r="466">
      <c r="A466" s="13" t="n"/>
      <c r="B466" s="14" t="n"/>
      <c r="C466" s="14" t="n"/>
      <c r="D466" s="14" t="n"/>
      <c r="E466" s="14" t="n"/>
      <c r="F466" s="14" t="n"/>
      <c r="G466" s="14" t="n"/>
      <c r="H466" s="13" t="n"/>
      <c r="I466" s="13" t="n"/>
      <c r="J466" s="15">
        <f>IF($A466="","",ROUND(MAX(($B466*$C466*$D466)/MAX($F466,1),$E466)*IFERROR(SUMIF(tblVeriB[SiparisNo],$A466,tblVeriB[TarifTlDesi]),0)*$G466,2))</f>
        <v/>
      </c>
      <c r="K466" s="15">
        <f>IF($A466="","",1)</f>
        <v/>
      </c>
    </row>
    <row r="467">
      <c r="A467" s="13" t="n"/>
      <c r="B467" s="14" t="n"/>
      <c r="C467" s="14" t="n"/>
      <c r="D467" s="14" t="n"/>
      <c r="E467" s="14" t="n"/>
      <c r="F467" s="14" t="n"/>
      <c r="G467" s="14" t="n"/>
      <c r="H467" s="13" t="n"/>
      <c r="I467" s="13" t="n"/>
      <c r="J467" s="15">
        <f>IF($A467="","",ROUND(MAX(($B467*$C467*$D467)/MAX($F467,1),$E467)*IFERROR(SUMIF(tblVeriB[SiparisNo],$A467,tblVeriB[TarifTlDesi]),0)*$G467,2))</f>
        <v/>
      </c>
      <c r="K467" s="15">
        <f>IF($A467="","",1)</f>
        <v/>
      </c>
    </row>
    <row r="468">
      <c r="A468" s="13" t="n"/>
      <c r="B468" s="14" t="n"/>
      <c r="C468" s="14" t="n"/>
      <c r="D468" s="14" t="n"/>
      <c r="E468" s="14" t="n"/>
      <c r="F468" s="14" t="n"/>
      <c r="G468" s="14" t="n"/>
      <c r="H468" s="13" t="n"/>
      <c r="I468" s="13" t="n"/>
      <c r="J468" s="15">
        <f>IF($A468="","",ROUND(MAX(($B468*$C468*$D468)/MAX($F468,1),$E468)*IFERROR(SUMIF(tblVeriB[SiparisNo],$A468,tblVeriB[TarifTlDesi]),0)*$G468,2))</f>
        <v/>
      </c>
      <c r="K468" s="15">
        <f>IF($A468="","",1)</f>
        <v/>
      </c>
    </row>
    <row r="469">
      <c r="A469" s="13" t="n"/>
      <c r="B469" s="14" t="n"/>
      <c r="C469" s="14" t="n"/>
      <c r="D469" s="14" t="n"/>
      <c r="E469" s="14" t="n"/>
      <c r="F469" s="14" t="n"/>
      <c r="G469" s="14" t="n"/>
      <c r="H469" s="13" t="n"/>
      <c r="I469" s="13" t="n"/>
      <c r="J469" s="15">
        <f>IF($A469="","",ROUND(MAX(($B469*$C469*$D469)/MAX($F469,1),$E469)*IFERROR(SUMIF(tblVeriB[SiparisNo],$A469,tblVeriB[TarifTlDesi]),0)*$G469,2))</f>
        <v/>
      </c>
      <c r="K469" s="15">
        <f>IF($A469="","",1)</f>
        <v/>
      </c>
    </row>
    <row r="470">
      <c r="A470" s="13" t="n"/>
      <c r="B470" s="14" t="n"/>
      <c r="C470" s="14" t="n"/>
      <c r="D470" s="14" t="n"/>
      <c r="E470" s="14" t="n"/>
      <c r="F470" s="14" t="n"/>
      <c r="G470" s="14" t="n"/>
      <c r="H470" s="13" t="n"/>
      <c r="I470" s="13" t="n"/>
      <c r="J470" s="15">
        <f>IF($A470="","",ROUND(MAX(($B470*$C470*$D470)/MAX($F470,1),$E470)*IFERROR(SUMIF(tblVeriB[SiparisNo],$A470,tblVeriB[TarifTlDesi]),0)*$G470,2))</f>
        <v/>
      </c>
      <c r="K470" s="15">
        <f>IF($A470="","",1)</f>
        <v/>
      </c>
    </row>
    <row r="471">
      <c r="A471" s="13" t="n"/>
      <c r="B471" s="14" t="n"/>
      <c r="C471" s="14" t="n"/>
      <c r="D471" s="14" t="n"/>
      <c r="E471" s="14" t="n"/>
      <c r="F471" s="14" t="n"/>
      <c r="G471" s="14" t="n"/>
      <c r="H471" s="13" t="n"/>
      <c r="I471" s="13" t="n"/>
      <c r="J471" s="15">
        <f>IF($A471="","",ROUND(MAX(($B471*$C471*$D471)/MAX($F471,1),$E471)*IFERROR(SUMIF(tblVeriB[SiparisNo],$A471,tblVeriB[TarifTlDesi]),0)*$G471,2))</f>
        <v/>
      </c>
      <c r="K471" s="15">
        <f>IF($A471="","",1)</f>
        <v/>
      </c>
    </row>
    <row r="472">
      <c r="A472" s="13" t="n"/>
      <c r="B472" s="14" t="n"/>
      <c r="C472" s="14" t="n"/>
      <c r="D472" s="14" t="n"/>
      <c r="E472" s="14" t="n"/>
      <c r="F472" s="14" t="n"/>
      <c r="G472" s="14" t="n"/>
      <c r="H472" s="13" t="n"/>
      <c r="I472" s="13" t="n"/>
      <c r="J472" s="15">
        <f>IF($A472="","",ROUND(MAX(($B472*$C472*$D472)/MAX($F472,1),$E472)*IFERROR(SUMIF(tblVeriB[SiparisNo],$A472,tblVeriB[TarifTlDesi]),0)*$G472,2))</f>
        <v/>
      </c>
      <c r="K472" s="15">
        <f>IF($A472="","",1)</f>
        <v/>
      </c>
    </row>
    <row r="473">
      <c r="A473" s="13" t="n"/>
      <c r="B473" s="14" t="n"/>
      <c r="C473" s="14" t="n"/>
      <c r="D473" s="14" t="n"/>
      <c r="E473" s="14" t="n"/>
      <c r="F473" s="14" t="n"/>
      <c r="G473" s="14" t="n"/>
      <c r="H473" s="13" t="n"/>
      <c r="I473" s="13" t="n"/>
      <c r="J473" s="15">
        <f>IF($A473="","",ROUND(MAX(($B473*$C473*$D473)/MAX($F473,1),$E473)*IFERROR(SUMIF(tblVeriB[SiparisNo],$A473,tblVeriB[TarifTlDesi]),0)*$G473,2))</f>
        <v/>
      </c>
      <c r="K473" s="15">
        <f>IF($A473="","",1)</f>
        <v/>
      </c>
    </row>
    <row r="474">
      <c r="A474" s="13" t="n"/>
      <c r="B474" s="14" t="n"/>
      <c r="C474" s="14" t="n"/>
      <c r="D474" s="14" t="n"/>
      <c r="E474" s="14" t="n"/>
      <c r="F474" s="14" t="n"/>
      <c r="G474" s="14" t="n"/>
      <c r="H474" s="13" t="n"/>
      <c r="I474" s="13" t="n"/>
      <c r="J474" s="15">
        <f>IF($A474="","",ROUND(MAX(($B474*$C474*$D474)/MAX($F474,1),$E474)*IFERROR(SUMIF(tblVeriB[SiparisNo],$A474,tblVeriB[TarifTlDesi]),0)*$G474,2))</f>
        <v/>
      </c>
      <c r="K474" s="15">
        <f>IF($A474="","",1)</f>
        <v/>
      </c>
    </row>
    <row r="475">
      <c r="A475" s="13" t="n"/>
      <c r="B475" s="14" t="n"/>
      <c r="C475" s="14" t="n"/>
      <c r="D475" s="14" t="n"/>
      <c r="E475" s="14" t="n"/>
      <c r="F475" s="14" t="n"/>
      <c r="G475" s="14" t="n"/>
      <c r="H475" s="13" t="n"/>
      <c r="I475" s="13" t="n"/>
      <c r="J475" s="15">
        <f>IF($A475="","",ROUND(MAX(($B475*$C475*$D475)/MAX($F475,1),$E475)*IFERROR(SUMIF(tblVeriB[SiparisNo],$A475,tblVeriB[TarifTlDesi]),0)*$G475,2))</f>
        <v/>
      </c>
      <c r="K475" s="15">
        <f>IF($A475="","",1)</f>
        <v/>
      </c>
    </row>
    <row r="476">
      <c r="A476" s="13" t="n"/>
      <c r="B476" s="14" t="n"/>
      <c r="C476" s="14" t="n"/>
      <c r="D476" s="14" t="n"/>
      <c r="E476" s="14" t="n"/>
      <c r="F476" s="14" t="n"/>
      <c r="G476" s="14" t="n"/>
      <c r="H476" s="13" t="n"/>
      <c r="I476" s="13" t="n"/>
      <c r="J476" s="15">
        <f>IF($A476="","",ROUND(MAX(($B476*$C476*$D476)/MAX($F476,1),$E476)*IFERROR(SUMIF(tblVeriB[SiparisNo],$A476,tblVeriB[TarifTlDesi]),0)*$G476,2))</f>
        <v/>
      </c>
      <c r="K476" s="15">
        <f>IF($A476="","",1)</f>
        <v/>
      </c>
    </row>
    <row r="477">
      <c r="A477" s="13" t="n"/>
      <c r="B477" s="14" t="n"/>
      <c r="C477" s="14" t="n"/>
      <c r="D477" s="14" t="n"/>
      <c r="E477" s="14" t="n"/>
      <c r="F477" s="14" t="n"/>
      <c r="G477" s="14" t="n"/>
      <c r="H477" s="13" t="n"/>
      <c r="I477" s="13" t="n"/>
      <c r="J477" s="15">
        <f>IF($A477="","",ROUND(MAX(($B477*$C477*$D477)/MAX($F477,1),$E477)*IFERROR(SUMIF(tblVeriB[SiparisNo],$A477,tblVeriB[TarifTlDesi]),0)*$G477,2))</f>
        <v/>
      </c>
      <c r="K477" s="15">
        <f>IF($A477="","",1)</f>
        <v/>
      </c>
    </row>
    <row r="478">
      <c r="A478" s="13" t="n"/>
      <c r="B478" s="14" t="n"/>
      <c r="C478" s="14" t="n"/>
      <c r="D478" s="14" t="n"/>
      <c r="E478" s="14" t="n"/>
      <c r="F478" s="14" t="n"/>
      <c r="G478" s="14" t="n"/>
      <c r="H478" s="13" t="n"/>
      <c r="I478" s="13" t="n"/>
      <c r="J478" s="15">
        <f>IF($A478="","",ROUND(MAX(($B478*$C478*$D478)/MAX($F478,1),$E478)*IFERROR(SUMIF(tblVeriB[SiparisNo],$A478,tblVeriB[TarifTlDesi]),0)*$G478,2))</f>
        <v/>
      </c>
      <c r="K478" s="15">
        <f>IF($A478="","",1)</f>
        <v/>
      </c>
    </row>
    <row r="479">
      <c r="A479" s="13" t="n"/>
      <c r="B479" s="14" t="n"/>
      <c r="C479" s="14" t="n"/>
      <c r="D479" s="14" t="n"/>
      <c r="E479" s="14" t="n"/>
      <c r="F479" s="14" t="n"/>
      <c r="G479" s="14" t="n"/>
      <c r="H479" s="13" t="n"/>
      <c r="I479" s="13" t="n"/>
      <c r="J479" s="15">
        <f>IF($A479="","",ROUND(MAX(($B479*$C479*$D479)/MAX($F479,1),$E479)*IFERROR(SUMIF(tblVeriB[SiparisNo],$A479,tblVeriB[TarifTlDesi]),0)*$G479,2))</f>
        <v/>
      </c>
      <c r="K479" s="15">
        <f>IF($A479="","",1)</f>
        <v/>
      </c>
    </row>
    <row r="480">
      <c r="A480" s="13" t="n"/>
      <c r="B480" s="14" t="n"/>
      <c r="C480" s="14" t="n"/>
      <c r="D480" s="14" t="n"/>
      <c r="E480" s="14" t="n"/>
      <c r="F480" s="14" t="n"/>
      <c r="G480" s="14" t="n"/>
      <c r="H480" s="13" t="n"/>
      <c r="I480" s="13" t="n"/>
      <c r="J480" s="15">
        <f>IF($A480="","",ROUND(MAX(($B480*$C480*$D480)/MAX($F480,1),$E480)*IFERROR(SUMIF(tblVeriB[SiparisNo],$A480,tblVeriB[TarifTlDesi]),0)*$G480,2))</f>
        <v/>
      </c>
      <c r="K480" s="15">
        <f>IF($A480="","",1)</f>
        <v/>
      </c>
    </row>
    <row r="481">
      <c r="A481" s="13" t="n"/>
      <c r="B481" s="14" t="n"/>
      <c r="C481" s="14" t="n"/>
      <c r="D481" s="14" t="n"/>
      <c r="E481" s="14" t="n"/>
      <c r="F481" s="14" t="n"/>
      <c r="G481" s="14" t="n"/>
      <c r="H481" s="13" t="n"/>
      <c r="I481" s="13" t="n"/>
      <c r="J481" s="15">
        <f>IF($A481="","",ROUND(MAX(($B481*$C481*$D481)/MAX($F481,1),$E481)*IFERROR(SUMIF(tblVeriB[SiparisNo],$A481,tblVeriB[TarifTlDesi]),0)*$G481,2))</f>
        <v/>
      </c>
      <c r="K481" s="15">
        <f>IF($A481="","",1)</f>
        <v/>
      </c>
    </row>
    <row r="482">
      <c r="A482" s="13" t="n"/>
      <c r="B482" s="14" t="n"/>
      <c r="C482" s="14" t="n"/>
      <c r="D482" s="14" t="n"/>
      <c r="E482" s="14" t="n"/>
      <c r="F482" s="14" t="n"/>
      <c r="G482" s="14" t="n"/>
      <c r="H482" s="13" t="n"/>
      <c r="I482" s="13" t="n"/>
      <c r="J482" s="15">
        <f>IF($A482="","",ROUND(MAX(($B482*$C482*$D482)/MAX($F482,1),$E482)*IFERROR(SUMIF(tblVeriB[SiparisNo],$A482,tblVeriB[TarifTlDesi]),0)*$G482,2))</f>
        <v/>
      </c>
      <c r="K482" s="15">
        <f>IF($A482="","",1)</f>
        <v/>
      </c>
    </row>
    <row r="483">
      <c r="A483" s="13" t="n"/>
      <c r="B483" s="14" t="n"/>
      <c r="C483" s="14" t="n"/>
      <c r="D483" s="14" t="n"/>
      <c r="E483" s="14" t="n"/>
      <c r="F483" s="14" t="n"/>
      <c r="G483" s="14" t="n"/>
      <c r="H483" s="13" t="n"/>
      <c r="I483" s="13" t="n"/>
      <c r="J483" s="15">
        <f>IF($A483="","",ROUND(MAX(($B483*$C483*$D483)/MAX($F483,1),$E483)*IFERROR(SUMIF(tblVeriB[SiparisNo],$A483,tblVeriB[TarifTlDesi]),0)*$G483,2))</f>
        <v/>
      </c>
      <c r="K483" s="15">
        <f>IF($A483="","",1)</f>
        <v/>
      </c>
    </row>
    <row r="484">
      <c r="A484" s="13" t="n"/>
      <c r="B484" s="14" t="n"/>
      <c r="C484" s="14" t="n"/>
      <c r="D484" s="14" t="n"/>
      <c r="E484" s="14" t="n"/>
      <c r="F484" s="14" t="n"/>
      <c r="G484" s="14" t="n"/>
      <c r="H484" s="13" t="n"/>
      <c r="I484" s="13" t="n"/>
      <c r="J484" s="15">
        <f>IF($A484="","",ROUND(MAX(($B484*$C484*$D484)/MAX($F484,1),$E484)*IFERROR(SUMIF(tblVeriB[SiparisNo],$A484,tblVeriB[TarifTlDesi]),0)*$G484,2))</f>
        <v/>
      </c>
      <c r="K484" s="15">
        <f>IF($A484="","",1)</f>
        <v/>
      </c>
    </row>
    <row r="485">
      <c r="A485" s="13" t="n"/>
      <c r="B485" s="14" t="n"/>
      <c r="C485" s="14" t="n"/>
      <c r="D485" s="14" t="n"/>
      <c r="E485" s="14" t="n"/>
      <c r="F485" s="14" t="n"/>
      <c r="G485" s="14" t="n"/>
      <c r="H485" s="13" t="n"/>
      <c r="I485" s="13" t="n"/>
      <c r="J485" s="15">
        <f>IF($A485="","",ROUND(MAX(($B485*$C485*$D485)/MAX($F485,1),$E485)*IFERROR(SUMIF(tblVeriB[SiparisNo],$A485,tblVeriB[TarifTlDesi]),0)*$G485,2))</f>
        <v/>
      </c>
      <c r="K485" s="15">
        <f>IF($A485="","",1)</f>
        <v/>
      </c>
    </row>
    <row r="486">
      <c r="A486" s="13" t="n"/>
      <c r="B486" s="14" t="n"/>
      <c r="C486" s="14" t="n"/>
      <c r="D486" s="14" t="n"/>
      <c r="E486" s="14" t="n"/>
      <c r="F486" s="14" t="n"/>
      <c r="G486" s="14" t="n"/>
      <c r="H486" s="13" t="n"/>
      <c r="I486" s="13" t="n"/>
      <c r="J486" s="15">
        <f>IF($A486="","",ROUND(MAX(($B486*$C486*$D486)/MAX($F486,1),$E486)*IFERROR(SUMIF(tblVeriB[SiparisNo],$A486,tblVeriB[TarifTlDesi]),0)*$G486,2))</f>
        <v/>
      </c>
      <c r="K486" s="15">
        <f>IF($A486="","",1)</f>
        <v/>
      </c>
    </row>
    <row r="487">
      <c r="A487" s="13" t="n"/>
      <c r="B487" s="14" t="n"/>
      <c r="C487" s="14" t="n"/>
      <c r="D487" s="14" t="n"/>
      <c r="E487" s="14" t="n"/>
      <c r="F487" s="14" t="n"/>
      <c r="G487" s="14" t="n"/>
      <c r="H487" s="13" t="n"/>
      <c r="I487" s="13" t="n"/>
      <c r="J487" s="15">
        <f>IF($A487="","",ROUND(MAX(($B487*$C487*$D487)/MAX($F487,1),$E487)*IFERROR(SUMIF(tblVeriB[SiparisNo],$A487,tblVeriB[TarifTlDesi]),0)*$G487,2))</f>
        <v/>
      </c>
      <c r="K487" s="15">
        <f>IF($A487="","",1)</f>
        <v/>
      </c>
    </row>
    <row r="488">
      <c r="A488" s="13" t="n"/>
      <c r="B488" s="14" t="n"/>
      <c r="C488" s="14" t="n"/>
      <c r="D488" s="14" t="n"/>
      <c r="E488" s="14" t="n"/>
      <c r="F488" s="14" t="n"/>
      <c r="G488" s="14" t="n"/>
      <c r="H488" s="13" t="n"/>
      <c r="I488" s="13" t="n"/>
      <c r="J488" s="15">
        <f>IF($A488="","",ROUND(MAX(($B488*$C488*$D488)/MAX($F488,1),$E488)*IFERROR(SUMIF(tblVeriB[SiparisNo],$A488,tblVeriB[TarifTlDesi]),0)*$G488,2))</f>
        <v/>
      </c>
      <c r="K488" s="15">
        <f>IF($A488="","",1)</f>
        <v/>
      </c>
    </row>
    <row r="489">
      <c r="A489" s="13" t="n"/>
      <c r="B489" s="14" t="n"/>
      <c r="C489" s="14" t="n"/>
      <c r="D489" s="14" t="n"/>
      <c r="E489" s="14" t="n"/>
      <c r="F489" s="14" t="n"/>
      <c r="G489" s="14" t="n"/>
      <c r="H489" s="13" t="n"/>
      <c r="I489" s="13" t="n"/>
      <c r="J489" s="15">
        <f>IF($A489="","",ROUND(MAX(($B489*$C489*$D489)/MAX($F489,1),$E489)*IFERROR(SUMIF(tblVeriB[SiparisNo],$A489,tblVeriB[TarifTlDesi]),0)*$G489,2))</f>
        <v/>
      </c>
      <c r="K489" s="15">
        <f>IF($A489="","",1)</f>
        <v/>
      </c>
    </row>
    <row r="490">
      <c r="A490" s="13" t="n"/>
      <c r="B490" s="14" t="n"/>
      <c r="C490" s="14" t="n"/>
      <c r="D490" s="14" t="n"/>
      <c r="E490" s="14" t="n"/>
      <c r="F490" s="14" t="n"/>
      <c r="G490" s="14" t="n"/>
      <c r="H490" s="13" t="n"/>
      <c r="I490" s="13" t="n"/>
      <c r="J490" s="15">
        <f>IF($A490="","",ROUND(MAX(($B490*$C490*$D490)/MAX($F490,1),$E490)*IFERROR(SUMIF(tblVeriB[SiparisNo],$A490,tblVeriB[TarifTlDesi]),0)*$G490,2))</f>
        <v/>
      </c>
      <c r="K490" s="15">
        <f>IF($A490="","",1)</f>
        <v/>
      </c>
    </row>
    <row r="491">
      <c r="A491" s="13" t="n"/>
      <c r="B491" s="14" t="n"/>
      <c r="C491" s="14" t="n"/>
      <c r="D491" s="14" t="n"/>
      <c r="E491" s="14" t="n"/>
      <c r="F491" s="14" t="n"/>
      <c r="G491" s="14" t="n"/>
      <c r="H491" s="13" t="n"/>
      <c r="I491" s="13" t="n"/>
      <c r="J491" s="15">
        <f>IF($A491="","",ROUND(MAX(($B491*$C491*$D491)/MAX($F491,1),$E491)*IFERROR(SUMIF(tblVeriB[SiparisNo],$A491,tblVeriB[TarifTlDesi]),0)*$G491,2))</f>
        <v/>
      </c>
      <c r="K491" s="15">
        <f>IF($A491="","",1)</f>
        <v/>
      </c>
    </row>
    <row r="492">
      <c r="A492" s="13" t="n"/>
      <c r="B492" s="14" t="n"/>
      <c r="C492" s="14" t="n"/>
      <c r="D492" s="14" t="n"/>
      <c r="E492" s="14" t="n"/>
      <c r="F492" s="14" t="n"/>
      <c r="G492" s="14" t="n"/>
      <c r="H492" s="13" t="n"/>
      <c r="I492" s="13" t="n"/>
      <c r="J492" s="15">
        <f>IF($A492="","",ROUND(MAX(($B492*$C492*$D492)/MAX($F492,1),$E492)*IFERROR(SUMIF(tblVeriB[SiparisNo],$A492,tblVeriB[TarifTlDesi]),0)*$G492,2))</f>
        <v/>
      </c>
      <c r="K492" s="15">
        <f>IF($A492="","",1)</f>
        <v/>
      </c>
    </row>
    <row r="493">
      <c r="A493" s="13" t="n"/>
      <c r="B493" s="14" t="n"/>
      <c r="C493" s="14" t="n"/>
      <c r="D493" s="14" t="n"/>
      <c r="E493" s="14" t="n"/>
      <c r="F493" s="14" t="n"/>
      <c r="G493" s="14" t="n"/>
      <c r="H493" s="13" t="n"/>
      <c r="I493" s="13" t="n"/>
      <c r="J493" s="15">
        <f>IF($A493="","",ROUND(MAX(($B493*$C493*$D493)/MAX($F493,1),$E493)*IFERROR(SUMIF(tblVeriB[SiparisNo],$A493,tblVeriB[TarifTlDesi]),0)*$G493,2))</f>
        <v/>
      </c>
      <c r="K493" s="15">
        <f>IF($A493="","",1)</f>
        <v/>
      </c>
    </row>
    <row r="494">
      <c r="A494" s="13" t="n"/>
      <c r="B494" s="14" t="n"/>
      <c r="C494" s="14" t="n"/>
      <c r="D494" s="14" t="n"/>
      <c r="E494" s="14" t="n"/>
      <c r="F494" s="14" t="n"/>
      <c r="G494" s="14" t="n"/>
      <c r="H494" s="13" t="n"/>
      <c r="I494" s="13" t="n"/>
      <c r="J494" s="15">
        <f>IF($A494="","",ROUND(MAX(($B494*$C494*$D494)/MAX($F494,1),$E494)*IFERROR(SUMIF(tblVeriB[SiparisNo],$A494,tblVeriB[TarifTlDesi]),0)*$G494,2))</f>
        <v/>
      </c>
      <c r="K494" s="15">
        <f>IF($A494="","",1)</f>
        <v/>
      </c>
    </row>
    <row r="495">
      <c r="A495" s="13" t="n"/>
      <c r="B495" s="14" t="n"/>
      <c r="C495" s="14" t="n"/>
      <c r="D495" s="14" t="n"/>
      <c r="E495" s="14" t="n"/>
      <c r="F495" s="14" t="n"/>
      <c r="G495" s="14" t="n"/>
      <c r="H495" s="13" t="n"/>
      <c r="I495" s="13" t="n"/>
      <c r="J495" s="15">
        <f>IF($A495="","",ROUND(MAX(($B495*$C495*$D495)/MAX($F495,1),$E495)*IFERROR(SUMIF(tblVeriB[SiparisNo],$A495,tblVeriB[TarifTlDesi]),0)*$G495,2))</f>
        <v/>
      </c>
      <c r="K495" s="15">
        <f>IF($A495="","",1)</f>
        <v/>
      </c>
    </row>
    <row r="496">
      <c r="A496" s="13" t="n"/>
      <c r="B496" s="14" t="n"/>
      <c r="C496" s="14" t="n"/>
      <c r="D496" s="14" t="n"/>
      <c r="E496" s="14" t="n"/>
      <c r="F496" s="14" t="n"/>
      <c r="G496" s="14" t="n"/>
      <c r="H496" s="13" t="n"/>
      <c r="I496" s="13" t="n"/>
      <c r="J496" s="15">
        <f>IF($A496="","",ROUND(MAX(($B496*$C496*$D496)/MAX($F496,1),$E496)*IFERROR(SUMIF(tblVeriB[SiparisNo],$A496,tblVeriB[TarifTlDesi]),0)*$G496,2))</f>
        <v/>
      </c>
      <c r="K496" s="15">
        <f>IF($A496="","",1)</f>
        <v/>
      </c>
    </row>
    <row r="497">
      <c r="A497" s="13" t="n"/>
      <c r="B497" s="14" t="n"/>
      <c r="C497" s="14" t="n"/>
      <c r="D497" s="14" t="n"/>
      <c r="E497" s="14" t="n"/>
      <c r="F497" s="14" t="n"/>
      <c r="G497" s="14" t="n"/>
      <c r="H497" s="13" t="n"/>
      <c r="I497" s="13" t="n"/>
      <c r="J497" s="15">
        <f>IF($A497="","",ROUND(MAX(($B497*$C497*$D497)/MAX($F497,1),$E497)*IFERROR(SUMIF(tblVeriB[SiparisNo],$A497,tblVeriB[TarifTlDesi]),0)*$G497,2))</f>
        <v/>
      </c>
      <c r="K497" s="15">
        <f>IF($A497="","",1)</f>
        <v/>
      </c>
    </row>
    <row r="498">
      <c r="A498" s="13" t="n"/>
      <c r="B498" s="14" t="n"/>
      <c r="C498" s="14" t="n"/>
      <c r="D498" s="14" t="n"/>
      <c r="E498" s="14" t="n"/>
      <c r="F498" s="14" t="n"/>
      <c r="G498" s="14" t="n"/>
      <c r="H498" s="13" t="n"/>
      <c r="I498" s="13" t="n"/>
      <c r="J498" s="15">
        <f>IF($A498="","",ROUND(MAX(($B498*$C498*$D498)/MAX($F498,1),$E498)*IFERROR(SUMIF(tblVeriB[SiparisNo],$A498,tblVeriB[TarifTlDesi]),0)*$G498,2))</f>
        <v/>
      </c>
      <c r="K498" s="15">
        <f>IF($A498="","",1)</f>
        <v/>
      </c>
    </row>
    <row r="499">
      <c r="A499" s="13" t="n"/>
      <c r="B499" s="14" t="n"/>
      <c r="C499" s="14" t="n"/>
      <c r="D499" s="14" t="n"/>
      <c r="E499" s="14" t="n"/>
      <c r="F499" s="14" t="n"/>
      <c r="G499" s="14" t="n"/>
      <c r="H499" s="13" t="n"/>
      <c r="I499" s="13" t="n"/>
      <c r="J499" s="15">
        <f>IF($A499="","",ROUND(MAX(($B499*$C499*$D499)/MAX($F499,1),$E499)*IFERROR(SUMIF(tblVeriB[SiparisNo],$A499,tblVeriB[TarifTlDesi]),0)*$G499,2))</f>
        <v/>
      </c>
      <c r="K499" s="15">
        <f>IF($A499="","",1)</f>
        <v/>
      </c>
    </row>
    <row r="500">
      <c r="A500" s="13" t="n"/>
      <c r="B500" s="14" t="n"/>
      <c r="C500" s="14" t="n"/>
      <c r="D500" s="14" t="n"/>
      <c r="E500" s="14" t="n"/>
      <c r="F500" s="14" t="n"/>
      <c r="G500" s="14" t="n"/>
      <c r="H500" s="13" t="n"/>
      <c r="I500" s="13" t="n"/>
      <c r="J500" s="15">
        <f>IF($A500="","",ROUND(MAX(($B500*$C500*$D500)/MAX($F500,1),$E500)*IFERROR(SUMIF(tblVeriB[SiparisNo],$A500,tblVeriB[TarifTlDesi]),0)*$G500,2))</f>
        <v/>
      </c>
      <c r="K500" s="15">
        <f>IF($A500="","",1)</f>
        <v/>
      </c>
    </row>
    <row r="501">
      <c r="A501" s="13" t="n"/>
      <c r="B501" s="14" t="n"/>
      <c r="C501" s="14" t="n"/>
      <c r="D501" s="14" t="n"/>
      <c r="E501" s="14" t="n"/>
      <c r="F501" s="14" t="n"/>
      <c r="G501" s="14" t="n"/>
      <c r="H501" s="13" t="n"/>
      <c r="I501" s="13" t="n"/>
      <c r="J501" s="15">
        <f>IF($A501="","",ROUND(MAX(($B501*$C501*$D501)/MAX($F501,1),$E501)*IFERROR(SUMIF(tblVeriB[SiparisNo],$A501,tblVeriB[TarifTlDesi]),0)*$G501,2))</f>
        <v/>
      </c>
      <c r="K501" s="15">
        <f>IF($A501="","",1)</f>
        <v/>
      </c>
    </row>
    <row r="502">
      <c r="A502" s="13" t="n"/>
      <c r="B502" s="14" t="n"/>
      <c r="C502" s="14" t="n"/>
      <c r="D502" s="14" t="n"/>
      <c r="E502" s="14" t="n"/>
      <c r="F502" s="14" t="n"/>
      <c r="G502" s="14" t="n"/>
      <c r="H502" s="13" t="n"/>
      <c r="I502" s="13" t="n"/>
      <c r="J502" s="15">
        <f>IF($A502="","",ROUND(MAX(($B502*$C502*$D502)/MAX($F502,1),$E502)*IFERROR(SUMIF(tblVeriB[SiparisNo],$A502,tblVeriB[TarifTlDesi]),0)*$G502,2))</f>
        <v/>
      </c>
      <c r="K502" s="15">
        <f>IF($A502="","",1)</f>
        <v/>
      </c>
    </row>
    <row r="503">
      <c r="A503" s="13" t="n"/>
      <c r="B503" s="14" t="n"/>
      <c r="C503" s="14" t="n"/>
      <c r="D503" s="14" t="n"/>
      <c r="E503" s="14" t="n"/>
      <c r="F503" s="14" t="n"/>
      <c r="G503" s="14" t="n"/>
      <c r="H503" s="13" t="n"/>
      <c r="I503" s="13" t="n"/>
      <c r="J503" s="15">
        <f>IF($A503="","",ROUND(MAX(($B503*$C503*$D503)/MAX($F503,1),$E503)*IFERROR(SUMIF(tblVeriB[SiparisNo],$A503,tblVeriB[TarifTlDesi]),0)*$G503,2))</f>
        <v/>
      </c>
      <c r="K503" s="15">
        <f>IF($A503="","",1)</f>
        <v/>
      </c>
    </row>
    <row r="504">
      <c r="A504" s="13" t="n"/>
      <c r="B504" s="14" t="n"/>
      <c r="C504" s="14" t="n"/>
      <c r="D504" s="14" t="n"/>
      <c r="E504" s="14" t="n"/>
      <c r="F504" s="14" t="n"/>
      <c r="G504" s="14" t="n"/>
      <c r="H504" s="13" t="n"/>
      <c r="I504" s="13" t="n"/>
      <c r="J504" s="15">
        <f>IF($A504="","",ROUND(MAX(($B504*$C504*$D504)/MAX($F504,1),$E504)*IFERROR(SUMIF(tblVeriB[SiparisNo],$A504,tblVeriB[TarifTlDesi]),0)*$G504,2))</f>
        <v/>
      </c>
      <c r="K504" s="15">
        <f>IF($A504="","",1)</f>
        <v/>
      </c>
    </row>
    <row r="505">
      <c r="A505" s="13" t="n"/>
      <c r="B505" s="14" t="n"/>
      <c r="C505" s="14" t="n"/>
      <c r="D505" s="14" t="n"/>
      <c r="E505" s="14" t="n"/>
      <c r="F505" s="14" t="n"/>
      <c r="G505" s="14" t="n"/>
      <c r="H505" s="13" t="n"/>
      <c r="I505" s="13" t="n"/>
      <c r="J505" s="15">
        <f>IF($A505="","",ROUND(MAX(($B505*$C505*$D505)/MAX($F505,1),$E505)*IFERROR(SUMIF(tblVeriB[SiparisNo],$A505,tblVeriB[TarifTlDesi]),0)*$G505,2))</f>
        <v/>
      </c>
      <c r="K505" s="15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B6:B505">
    <cfRule type="cellIs" priority="1" operator="greaterThan" dxfId="0">
      <formula>100</formula>
    </cfRule>
  </conditionalFormatting>
  <conditionalFormatting sqref="E6:E505">
    <cfRule type="cellIs" priority="2" operator="lessThan" dxfId="1">
      <formula>0</formula>
    </cfRule>
  </conditionalFormatting>
  <dataValidations count="9">
    <dataValidation sqref="A6:A505" showDropDown="0" showInputMessage="1" showErrorMessage="1" allowBlank="1" errorTitle="Geçersiz" error="Değer kurallara uymuyor" promptTitle="SiparisNo" prompt="Geçerli değer girin" type="textLength" errorStyle="stop" operator="greaterThan">
      <formula1>1</formula1>
      <formula2>40</formula2>
    </dataValidation>
    <dataValidation sqref="B6:B505" showDropDown="0" showInputMessage="1" showErrorMessage="1" allowBlank="1" errorTitle="Geçersiz" error="Değer kurallara uymuyor" promptTitle="EnCm" prompt="Geçerli değer girin" type="decimal" errorStyle="stop" operator="greaterThanOrEqual">
      <formula1>0</formula1>
    </dataValidation>
    <dataValidation sqref="C6:C505" showDropDown="0" showInputMessage="1" showErrorMessage="1" allowBlank="1" errorTitle="Geçersiz" error="Değer kurallara uymuyor" promptTitle="BoyCm" prompt="Geçerli değer girin" type="decimal" errorStyle="stop" operator="greaterThanOrEqual">
      <formula1>0</formula1>
    </dataValidation>
    <dataValidation sqref="D6:D505" showDropDown="0" showInputMessage="1" showErrorMessage="1" allowBlank="1" errorTitle="Geçersiz" error="Değer kurallara uymuyor" promptTitle="YukseklikCm" prompt="Geçerli değer girin" type="decimal" errorStyle="stop" operator="greaterThanOrEqual">
      <formula1>0</formula1>
    </dataValidation>
    <dataValidation sqref="E6:E505" showDropDown="0" showInputMessage="1" showErrorMessage="1" allowBlank="1" errorTitle="Geçersiz" error="Değer kurallara uymuyor" promptTitle="AgirlikKg" prompt="Geçerli değer girin" type="decimal" errorStyle="stop" operator="greaterThanOrEqual">
      <formula1>0</formula1>
    </dataValidation>
    <dataValidation sqref="F6:F505" showDropDown="0" showInputMessage="1" showErrorMessage="1" allowBlank="1" errorTitle="Geçersiz" error="Değer kurallara uymuyor" promptTitle="DesiCarpani" prompt="Geçerli değer girin" type="decimal" errorStyle="stop" operator="greaterThanOrEqual">
      <formula1>1</formula1>
    </dataValidation>
    <dataValidation sqref="G6:G505" showDropDown="0" showInputMessage="1" showErrorMessage="1" allowBlank="1" errorTitle="Geçersiz" error="Değer kurallara uymuyor" promptTitle="Adet" prompt="Geçerli değer girin" type="whole" errorStyle="stop" operator="greaterThanOrEqual">
      <formula1>1</formula1>
    </dataValidation>
    <dataValidation sqref="H6:H505" showDropDown="0" showInputMessage="1" showErrorMessage="1" allowBlank="1" errorTitle="Liste" error="Listeden seçim yapın" promptTitle="Bölge" prompt="Listeden seçin" type="list" errorStyle="stop">
      <formula1>ListeBolgeler</formula1>
    </dataValidation>
    <dataValidation sqref="I6:I505" showDropDown="0" showInputMessage="1" showErrorMessage="1" allowBlank="1" errorTitle="Liste" error="A veya B seçin" promptTitle="Yorum A/B" prompt="A veya B seçin" type="list" errorStyle="stop">
      <formula1>ListeYorumAB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B3A4B"/>
    <outlinePr summaryBelow="1" summaryRight="1"/>
    <pageSetUpPr/>
  </sheetPr>
  <dimension ref="A1:N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1" t="inlineStr">
        <is>
          <t>VERI B — Kargo/Desi Maliyet Optimizasyonu</t>
        </is>
      </c>
    </row>
    <row r="3" ht="20" customHeight="1">
      <c r="A3" s="10" t="inlineStr">
        <is>
          <t>Taşıyıcı tarife — TL/desi veya kg / iade / alternatif (sarıya girin)</t>
        </is>
      </c>
    </row>
    <row r="5" ht="30" customHeight="1">
      <c r="A5" s="12" t="inlineStr">
        <is>
          <t>SiparisNo</t>
        </is>
      </c>
      <c r="B5" s="12" t="inlineStr">
        <is>
          <t>Tasiyici</t>
        </is>
      </c>
      <c r="C5" s="12" t="inlineStr">
        <is>
          <t>TarifTlDesi</t>
        </is>
      </c>
      <c r="D5" s="12" t="inlineStr">
        <is>
          <t>TarifTlKg</t>
        </is>
      </c>
      <c r="E5" s="12" t="inlineStr">
        <is>
          <t>IadeOran</t>
        </is>
      </c>
      <c r="F5" s="12" t="inlineStr">
        <is>
          <t>AlternatifTarif</t>
        </is>
      </c>
      <c r="G5" s="12" t="inlineStr">
        <is>
          <t>GercekMaliyet</t>
        </is>
      </c>
      <c r="H5" s="12" t="inlineStr">
        <is>
          <t>Bolge</t>
        </is>
      </c>
      <c r="I5" s="12" t="inlineStr">
        <is>
          <t>Donem</t>
        </is>
      </c>
      <c r="J5" s="12" t="inlineStr">
        <is>
          <t>KayitDolu</t>
        </is>
      </c>
    </row>
    <row r="6">
      <c r="A6" s="13" t="inlineStr">
        <is>
          <t>SIP20001</t>
        </is>
      </c>
      <c r="B6" s="13" t="inlineStr">
        <is>
          <t>Aras</t>
        </is>
      </c>
      <c r="C6" s="16" t="n">
        <v>9.699999999999999</v>
      </c>
      <c r="D6" s="16" t="n">
        <v>9.699999999999999</v>
      </c>
      <c r="E6" s="17" t="n">
        <v>0.03</v>
      </c>
      <c r="F6" s="16" t="n">
        <v>10.19</v>
      </c>
      <c r="G6" s="15">
        <f>IF($A6="","",IFERROR(MAX(IFERROR(SUMIF(tblVeriA[SiparisNo],$A6,tblVeriA[EnCm])*SUMIF(tblVeriA[SiparisNo],$A6,tblVeriA[BoyCm])*SUMIF(tblVeriA[SiparisNo],$A6,tblVeriA[YukseklikCm])/MAX(SUMIF(tblVeriA[SiparisNo],$A6,tblVeriA[DesiCarpani]),1),0),IFERROR(SUMIF(tblVeriA[SiparisNo],$A6,tblVeriA[AgirlikKg]),0))*$C6*IFERROR(SUMIF(tblVeriA[SiparisNo],$A6,tblVeriA[Adet]),1)*(1+$E6*kdo_iadeEtkiCarpani),0))</f>
        <v/>
      </c>
      <c r="H6" s="13" t="inlineStr">
        <is>
          <t>Marmara</t>
        </is>
      </c>
      <c r="I6" s="13" t="inlineStr">
        <is>
          <t>2026-08</t>
        </is>
      </c>
      <c r="J6" s="15">
        <f>IF($A6="","",1)</f>
        <v/>
      </c>
    </row>
    <row r="7">
      <c r="A7" s="13" t="inlineStr">
        <is>
          <t>SIP20002</t>
        </is>
      </c>
      <c r="B7" s="13" t="inlineStr">
        <is>
          <t>MNG</t>
        </is>
      </c>
      <c r="C7" s="16" t="n">
        <v>10.9</v>
      </c>
      <c r="D7" s="16" t="n">
        <v>10.9</v>
      </c>
      <c r="E7" s="17" t="n">
        <v>0.04</v>
      </c>
      <c r="F7" s="16" t="n">
        <v>11.45</v>
      </c>
      <c r="G7" s="15">
        <f>IF($A7="","",IFERROR(MAX(IFERROR(SUMIF(tblVeriA[SiparisNo],$A7,tblVeriA[EnCm])*SUMIF(tblVeriA[SiparisNo],$A7,tblVeriA[BoyCm])*SUMIF(tblVeriA[SiparisNo],$A7,tblVeriA[YukseklikCm])/MAX(SUMIF(tblVeriA[SiparisNo],$A7,tblVeriA[DesiCarpani]),1),0),IFERROR(SUMIF(tblVeriA[SiparisNo],$A7,tblVeriA[AgirlikKg]),0))*$C7*IFERROR(SUMIF(tblVeriA[SiparisNo],$A7,tblVeriA[Adet]),1)*(1+$E7*kdo_iadeEtkiCarpani),0))</f>
        <v/>
      </c>
      <c r="H7" s="13" t="inlineStr">
        <is>
          <t>Ege</t>
        </is>
      </c>
      <c r="I7" s="13" t="inlineStr">
        <is>
          <t>2026-08</t>
        </is>
      </c>
      <c r="J7" s="15">
        <f>IF($A7="","",1)</f>
        <v/>
      </c>
    </row>
    <row r="8">
      <c r="A8" s="13" t="inlineStr">
        <is>
          <t>SIP20003</t>
        </is>
      </c>
      <c r="B8" s="13" t="inlineStr">
        <is>
          <t>PTT</t>
        </is>
      </c>
      <c r="C8" s="16" t="n">
        <v>12.1</v>
      </c>
      <c r="D8" s="16" t="n">
        <v>12.1</v>
      </c>
      <c r="E8" s="17" t="n">
        <v>0.05</v>
      </c>
      <c r="F8" s="16" t="n">
        <v>12.71</v>
      </c>
      <c r="G8" s="15">
        <f>IF($A8="","",IFERROR(MAX(IFERROR(SUMIF(tblVeriA[SiparisNo],$A8,tblVeriA[EnCm])*SUMIF(tblVeriA[SiparisNo],$A8,tblVeriA[BoyCm])*SUMIF(tblVeriA[SiparisNo],$A8,tblVeriA[YukseklikCm])/MAX(SUMIF(tblVeriA[SiparisNo],$A8,tblVeriA[DesiCarpani]),1),0),IFERROR(SUMIF(tblVeriA[SiparisNo],$A8,tblVeriA[AgirlikKg]),0))*$C8*IFERROR(SUMIF(tblVeriA[SiparisNo],$A8,tblVeriA[Adet]),1)*(1+$E8*kdo_iadeEtkiCarpani),0))</f>
        <v/>
      </c>
      <c r="H8" s="13" t="inlineStr">
        <is>
          <t>Akdeniz</t>
        </is>
      </c>
      <c r="I8" s="13" t="inlineStr">
        <is>
          <t>2026-08</t>
        </is>
      </c>
      <c r="J8" s="15">
        <f>IF($A8="","",1)</f>
        <v/>
      </c>
    </row>
    <row r="9">
      <c r="A9" s="13" t="inlineStr">
        <is>
          <t>SIP20004</t>
        </is>
      </c>
      <c r="B9" s="13" t="inlineStr">
        <is>
          <t>Sürat</t>
        </is>
      </c>
      <c r="C9" s="16" t="n">
        <v>13.3</v>
      </c>
      <c r="D9" s="16" t="n">
        <v>13.3</v>
      </c>
      <c r="E9" s="17" t="n">
        <v>0.06</v>
      </c>
      <c r="F9" s="16" t="n">
        <v>11.3</v>
      </c>
      <c r="G9" s="15">
        <f>IF($A9="","",IFERROR(MAX(IFERROR(SUMIF(tblVeriA[SiparisNo],$A9,tblVeriA[EnCm])*SUMIF(tblVeriA[SiparisNo],$A9,tblVeriA[BoyCm])*SUMIF(tblVeriA[SiparisNo],$A9,tblVeriA[YukseklikCm])/MAX(SUMIF(tblVeriA[SiparisNo],$A9,tblVeriA[DesiCarpani]),1),0),IFERROR(SUMIF(tblVeriA[SiparisNo],$A9,tblVeriA[AgirlikKg]),0))*$C9*IFERROR(SUMIF(tblVeriA[SiparisNo],$A9,tblVeriA[Adet]),1)*(1+$E9*kdo_iadeEtkiCarpani),0))</f>
        <v/>
      </c>
      <c r="H9" s="13" t="inlineStr">
        <is>
          <t>Karadeniz</t>
        </is>
      </c>
      <c r="I9" s="13" t="inlineStr">
        <is>
          <t>2026-08</t>
        </is>
      </c>
      <c r="J9" s="15">
        <f>IF($A9="","",1)</f>
        <v/>
      </c>
    </row>
    <row r="10">
      <c r="A10" s="13" t="inlineStr">
        <is>
          <t>SIP20005</t>
        </is>
      </c>
      <c r="B10" s="13" t="inlineStr">
        <is>
          <t>Yurtici</t>
        </is>
      </c>
      <c r="C10" s="16" t="n">
        <v>8.5</v>
      </c>
      <c r="D10" s="16" t="n">
        <v>8.5</v>
      </c>
      <c r="E10" s="17" t="n">
        <v>0.02</v>
      </c>
      <c r="F10" s="16" t="n">
        <v>8.93</v>
      </c>
      <c r="G10" s="15">
        <f>IF($A10="","",IFERROR(MAX(IFERROR(SUMIF(tblVeriA[SiparisNo],$A10,tblVeriA[EnCm])*SUMIF(tblVeriA[SiparisNo],$A10,tblVeriA[BoyCm])*SUMIF(tblVeriA[SiparisNo],$A10,tblVeriA[YukseklikCm])/MAX(SUMIF(tblVeriA[SiparisNo],$A10,tblVeriA[DesiCarpani]),1),0),IFERROR(SUMIF(tblVeriA[SiparisNo],$A10,tblVeriA[AgirlikKg]),0))*$C10*IFERROR(SUMIF(tblVeriA[SiparisNo],$A10,tblVeriA[Adet]),1)*(1+$E10*kdo_iadeEtkiCarpani),0))</f>
        <v/>
      </c>
      <c r="H10" s="13" t="inlineStr">
        <is>
          <t>IcAnadolu</t>
        </is>
      </c>
      <c r="I10" s="13" t="inlineStr">
        <is>
          <t>2026-08</t>
        </is>
      </c>
      <c r="J10" s="15">
        <f>IF($A10="","",1)</f>
        <v/>
      </c>
    </row>
    <row r="11">
      <c r="A11" s="13" t="inlineStr">
        <is>
          <t>SIP20006</t>
        </is>
      </c>
      <c r="B11" s="13" t="inlineStr">
        <is>
          <t>Aras</t>
        </is>
      </c>
      <c r="C11" s="16" t="n">
        <v>9.699999999999999</v>
      </c>
      <c r="D11" s="16" t="n">
        <v>9.699999999999999</v>
      </c>
      <c r="E11" s="17" t="n">
        <v>0.03</v>
      </c>
      <c r="F11" s="16" t="n">
        <v>10.19</v>
      </c>
      <c r="G11" s="15">
        <f>IF($A11="","",IFERROR(MAX(IFERROR(SUMIF(tblVeriA[SiparisNo],$A11,tblVeriA[EnCm])*SUMIF(tblVeriA[SiparisNo],$A11,tblVeriA[BoyCm])*SUMIF(tblVeriA[SiparisNo],$A11,tblVeriA[YukseklikCm])/MAX(SUMIF(tblVeriA[SiparisNo],$A11,tblVeriA[DesiCarpani]),1),0),IFERROR(SUMIF(tblVeriA[SiparisNo],$A11,tblVeriA[AgirlikKg]),0))*$C11*IFERROR(SUMIF(tblVeriA[SiparisNo],$A11,tblVeriA[Adet]),1)*(1+$E11*kdo_iadeEtkiCarpani),0))</f>
        <v/>
      </c>
      <c r="H11" s="13" t="inlineStr">
        <is>
          <t>Marmara</t>
        </is>
      </c>
      <c r="I11" s="13" t="inlineStr">
        <is>
          <t>2026-08</t>
        </is>
      </c>
      <c r="J11" s="15">
        <f>IF($A11="","",1)</f>
        <v/>
      </c>
    </row>
    <row r="12">
      <c r="A12" s="13" t="inlineStr">
        <is>
          <t>SIP20007</t>
        </is>
      </c>
      <c r="B12" s="13" t="inlineStr">
        <is>
          <t>MNG</t>
        </is>
      </c>
      <c r="C12" s="16" t="n">
        <v>10.9</v>
      </c>
      <c r="D12" s="16" t="n">
        <v>10.9</v>
      </c>
      <c r="E12" s="17" t="n">
        <v>0.04</v>
      </c>
      <c r="F12" s="16" t="n">
        <v>11.45</v>
      </c>
      <c r="G12" s="15">
        <f>IF($A12="","",IFERROR(MAX(IFERROR(SUMIF(tblVeriA[SiparisNo],$A12,tblVeriA[EnCm])*SUMIF(tblVeriA[SiparisNo],$A12,tblVeriA[BoyCm])*SUMIF(tblVeriA[SiparisNo],$A12,tblVeriA[YukseklikCm])/MAX(SUMIF(tblVeriA[SiparisNo],$A12,tblVeriA[DesiCarpani]),1),0),IFERROR(SUMIF(tblVeriA[SiparisNo],$A12,tblVeriA[AgirlikKg]),0))*$C12*IFERROR(SUMIF(tblVeriA[SiparisNo],$A12,tblVeriA[Adet]),1)*(1+$E12*kdo_iadeEtkiCarpani),0))</f>
        <v/>
      </c>
      <c r="H12" s="13" t="inlineStr">
        <is>
          <t>Ege</t>
        </is>
      </c>
      <c r="I12" s="13" t="inlineStr">
        <is>
          <t>2026-08</t>
        </is>
      </c>
      <c r="J12" s="15">
        <f>IF($A12="","",1)</f>
        <v/>
      </c>
    </row>
    <row r="13">
      <c r="A13" s="13" t="inlineStr">
        <is>
          <t>SIP20008</t>
        </is>
      </c>
      <c r="B13" s="13" t="inlineStr">
        <is>
          <t>PTT</t>
        </is>
      </c>
      <c r="C13" s="16" t="n">
        <v>12.1</v>
      </c>
      <c r="D13" s="16" t="n">
        <v>12.1</v>
      </c>
      <c r="E13" s="17" t="n">
        <v>0.05</v>
      </c>
      <c r="F13" s="16" t="n">
        <v>10.29</v>
      </c>
      <c r="G13" s="15">
        <f>IF($A13="","",IFERROR(MAX(IFERROR(SUMIF(tblVeriA[SiparisNo],$A13,tblVeriA[EnCm])*SUMIF(tblVeriA[SiparisNo],$A13,tblVeriA[BoyCm])*SUMIF(tblVeriA[SiparisNo],$A13,tblVeriA[YukseklikCm])/MAX(SUMIF(tblVeriA[SiparisNo],$A13,tblVeriA[DesiCarpani]),1),0),IFERROR(SUMIF(tblVeriA[SiparisNo],$A13,tblVeriA[AgirlikKg]),0))*$C13*IFERROR(SUMIF(tblVeriA[SiparisNo],$A13,tblVeriA[Adet]),1)*(1+$E13*kdo_iadeEtkiCarpani),0))</f>
        <v/>
      </c>
      <c r="H13" s="13" t="inlineStr">
        <is>
          <t>Akdeniz</t>
        </is>
      </c>
      <c r="I13" s="13" t="inlineStr">
        <is>
          <t>2026-08</t>
        </is>
      </c>
      <c r="J13" s="15">
        <f>IF($A13="","",1)</f>
        <v/>
      </c>
    </row>
    <row r="14">
      <c r="A14" s="13" t="inlineStr">
        <is>
          <t>SIP20009</t>
        </is>
      </c>
      <c r="B14" s="13" t="inlineStr">
        <is>
          <t>Sürat</t>
        </is>
      </c>
      <c r="C14" s="16" t="n">
        <v>13.3</v>
      </c>
      <c r="D14" s="16" t="n">
        <v>13.3</v>
      </c>
      <c r="E14" s="17" t="n">
        <v>0.06</v>
      </c>
      <c r="F14" s="16" t="n">
        <v>13.97</v>
      </c>
      <c r="G14" s="15">
        <f>IF($A14="","",IFERROR(MAX(IFERROR(SUMIF(tblVeriA[SiparisNo],$A14,tblVeriA[EnCm])*SUMIF(tblVeriA[SiparisNo],$A14,tblVeriA[BoyCm])*SUMIF(tblVeriA[SiparisNo],$A14,tblVeriA[YukseklikCm])/MAX(SUMIF(tblVeriA[SiparisNo],$A14,tblVeriA[DesiCarpani]),1),0),IFERROR(SUMIF(tblVeriA[SiparisNo],$A14,tblVeriA[AgirlikKg]),0))*$C14*IFERROR(SUMIF(tblVeriA[SiparisNo],$A14,tblVeriA[Adet]),1)*(1+$E14*kdo_iadeEtkiCarpani),0))</f>
        <v/>
      </c>
      <c r="H14" s="13" t="inlineStr">
        <is>
          <t>Karadeniz</t>
        </is>
      </c>
      <c r="I14" s="13" t="inlineStr">
        <is>
          <t>2026-08</t>
        </is>
      </c>
      <c r="J14" s="15">
        <f>IF($A14="","",1)</f>
        <v/>
      </c>
    </row>
    <row r="15">
      <c r="A15" s="13" t="inlineStr">
        <is>
          <t>SIP20010</t>
        </is>
      </c>
      <c r="B15" s="13" t="inlineStr">
        <is>
          <t>Yurtici</t>
        </is>
      </c>
      <c r="C15" s="16" t="n">
        <v>8.5</v>
      </c>
      <c r="D15" s="16" t="n">
        <v>8.5</v>
      </c>
      <c r="E15" s="17" t="n">
        <v>0.02</v>
      </c>
      <c r="F15" s="16" t="n">
        <v>8.93</v>
      </c>
      <c r="G15" s="15">
        <f>IF($A15="","",IFERROR(MAX(IFERROR(SUMIF(tblVeriA[SiparisNo],$A15,tblVeriA[EnCm])*SUMIF(tblVeriA[SiparisNo],$A15,tblVeriA[BoyCm])*SUMIF(tblVeriA[SiparisNo],$A15,tblVeriA[YukseklikCm])/MAX(SUMIF(tblVeriA[SiparisNo],$A15,tblVeriA[DesiCarpani]),1),0),IFERROR(SUMIF(tblVeriA[SiparisNo],$A15,tblVeriA[AgirlikKg]),0))*$C15*IFERROR(SUMIF(tblVeriA[SiparisNo],$A15,tblVeriA[Adet]),1)*(1+$E15*kdo_iadeEtkiCarpani),0))</f>
        <v/>
      </c>
      <c r="H15" s="13" t="inlineStr">
        <is>
          <t>IcAnadolu</t>
        </is>
      </c>
      <c r="I15" s="13" t="inlineStr">
        <is>
          <t>2026-08</t>
        </is>
      </c>
      <c r="J15" s="15">
        <f>IF($A15="","",1)</f>
        <v/>
      </c>
    </row>
    <row r="16">
      <c r="A16" s="13" t="inlineStr">
        <is>
          <t>SIP20011</t>
        </is>
      </c>
      <c r="B16" s="13" t="inlineStr">
        <is>
          <t>Aras</t>
        </is>
      </c>
      <c r="C16" s="16" t="n">
        <v>9.699999999999999</v>
      </c>
      <c r="D16" s="16" t="n">
        <v>9.699999999999999</v>
      </c>
      <c r="E16" s="17" t="n">
        <v>0.03</v>
      </c>
      <c r="F16" s="16" t="n">
        <v>10.19</v>
      </c>
      <c r="G16" s="15">
        <f>IF($A16="","",IFERROR(MAX(IFERROR(SUMIF(tblVeriA[SiparisNo],$A16,tblVeriA[EnCm])*SUMIF(tblVeriA[SiparisNo],$A16,tblVeriA[BoyCm])*SUMIF(tblVeriA[SiparisNo],$A16,tblVeriA[YukseklikCm])/MAX(SUMIF(tblVeriA[SiparisNo],$A16,tblVeriA[DesiCarpani]),1),0),IFERROR(SUMIF(tblVeriA[SiparisNo],$A16,tblVeriA[AgirlikKg]),0))*$C16*IFERROR(SUMIF(tblVeriA[SiparisNo],$A16,tblVeriA[Adet]),1)*(1+$E16*kdo_iadeEtkiCarpani),0))</f>
        <v/>
      </c>
      <c r="H16" s="13" t="inlineStr">
        <is>
          <t>Marmara</t>
        </is>
      </c>
      <c r="I16" s="13" t="inlineStr">
        <is>
          <t>2026-08</t>
        </is>
      </c>
      <c r="J16" s="15">
        <f>IF($A16="","",1)</f>
        <v/>
      </c>
    </row>
    <row r="17">
      <c r="A17" s="13" t="inlineStr">
        <is>
          <t>SIP20012</t>
        </is>
      </c>
      <c r="B17" s="13" t="inlineStr">
        <is>
          <t>MNG</t>
        </is>
      </c>
      <c r="C17" s="16" t="n">
        <v>10.9</v>
      </c>
      <c r="D17" s="16" t="n">
        <v>10.9</v>
      </c>
      <c r="E17" s="17" t="n">
        <v>0.04</v>
      </c>
      <c r="F17" s="16" t="n">
        <v>9.27</v>
      </c>
      <c r="G17" s="15">
        <f>IF($A17="","",IFERROR(MAX(IFERROR(SUMIF(tblVeriA[SiparisNo],$A17,tblVeriA[EnCm])*SUMIF(tblVeriA[SiparisNo],$A17,tblVeriA[BoyCm])*SUMIF(tblVeriA[SiparisNo],$A17,tblVeriA[YukseklikCm])/MAX(SUMIF(tblVeriA[SiparisNo],$A17,tblVeriA[DesiCarpani]),1),0),IFERROR(SUMIF(tblVeriA[SiparisNo],$A17,tblVeriA[AgirlikKg]),0))*$C17*IFERROR(SUMIF(tblVeriA[SiparisNo],$A17,tblVeriA[Adet]),1)*(1+$E17*kdo_iadeEtkiCarpani),0))</f>
        <v/>
      </c>
      <c r="H17" s="13" t="inlineStr">
        <is>
          <t>Ege</t>
        </is>
      </c>
      <c r="I17" s="13" t="inlineStr">
        <is>
          <t>2026-08</t>
        </is>
      </c>
      <c r="J17" s="15">
        <f>IF($A17="","",1)</f>
        <v/>
      </c>
    </row>
    <row r="18">
      <c r="A18" s="13" t="inlineStr">
        <is>
          <t>SIP20013</t>
        </is>
      </c>
      <c r="B18" s="13" t="inlineStr">
        <is>
          <t>PTT</t>
        </is>
      </c>
      <c r="C18" s="16" t="n">
        <v>12.1</v>
      </c>
      <c r="D18" s="16" t="n">
        <v>12.1</v>
      </c>
      <c r="E18" s="17" t="n">
        <v>0.05</v>
      </c>
      <c r="F18" s="16" t="n">
        <v>12.71</v>
      </c>
      <c r="G18" s="15">
        <f>IF($A18="","",IFERROR(MAX(IFERROR(SUMIF(tblVeriA[SiparisNo],$A18,tblVeriA[EnCm])*SUMIF(tblVeriA[SiparisNo],$A18,tblVeriA[BoyCm])*SUMIF(tblVeriA[SiparisNo],$A18,tblVeriA[YukseklikCm])/MAX(SUMIF(tblVeriA[SiparisNo],$A18,tblVeriA[DesiCarpani]),1),0),IFERROR(SUMIF(tblVeriA[SiparisNo],$A18,tblVeriA[AgirlikKg]),0))*$C18*IFERROR(SUMIF(tblVeriA[SiparisNo],$A18,tblVeriA[Adet]),1)*(1+$E18*kdo_iadeEtkiCarpani),0))</f>
        <v/>
      </c>
      <c r="H18" s="13" t="inlineStr">
        <is>
          <t>Akdeniz</t>
        </is>
      </c>
      <c r="I18" s="13" t="inlineStr">
        <is>
          <t>2026-08</t>
        </is>
      </c>
      <c r="J18" s="15">
        <f>IF($A18="","",1)</f>
        <v/>
      </c>
    </row>
    <row r="19">
      <c r="A19" s="13" t="inlineStr">
        <is>
          <t>SIP20014</t>
        </is>
      </c>
      <c r="B19" s="13" t="inlineStr">
        <is>
          <t>Sürat</t>
        </is>
      </c>
      <c r="C19" s="16" t="n">
        <v>13.3</v>
      </c>
      <c r="D19" s="16" t="n">
        <v>13.3</v>
      </c>
      <c r="E19" s="17" t="n">
        <v>0.06</v>
      </c>
      <c r="F19" s="16" t="n">
        <v>13.97</v>
      </c>
      <c r="G19" s="15">
        <f>IF($A19="","",IFERROR(MAX(IFERROR(SUMIF(tblVeriA[SiparisNo],$A19,tblVeriA[EnCm])*SUMIF(tblVeriA[SiparisNo],$A19,tblVeriA[BoyCm])*SUMIF(tblVeriA[SiparisNo],$A19,tblVeriA[YukseklikCm])/MAX(SUMIF(tblVeriA[SiparisNo],$A19,tblVeriA[DesiCarpani]),1),0),IFERROR(SUMIF(tblVeriA[SiparisNo],$A19,tblVeriA[AgirlikKg]),0))*$C19*IFERROR(SUMIF(tblVeriA[SiparisNo],$A19,tblVeriA[Adet]),1)*(1+$E19*kdo_iadeEtkiCarpani),0))</f>
        <v/>
      </c>
      <c r="H19" s="13" t="inlineStr">
        <is>
          <t>Karadeniz</t>
        </is>
      </c>
      <c r="I19" s="13" t="inlineStr">
        <is>
          <t>2026-08</t>
        </is>
      </c>
      <c r="J19" s="15">
        <f>IF($A19="","",1)</f>
        <v/>
      </c>
    </row>
    <row r="20">
      <c r="A20" s="13" t="inlineStr">
        <is>
          <t>SIP20015</t>
        </is>
      </c>
      <c r="B20" s="13" t="inlineStr">
        <is>
          <t>Yurtici</t>
        </is>
      </c>
      <c r="C20" s="16" t="n">
        <v>8.5</v>
      </c>
      <c r="D20" s="16" t="n">
        <v>8.5</v>
      </c>
      <c r="E20" s="17" t="n">
        <v>0.02</v>
      </c>
      <c r="F20" s="16" t="n">
        <v>8.93</v>
      </c>
      <c r="G20" s="15">
        <f>IF($A20="","",IFERROR(MAX(IFERROR(SUMIF(tblVeriA[SiparisNo],$A20,tblVeriA[EnCm])*SUMIF(tblVeriA[SiparisNo],$A20,tblVeriA[BoyCm])*SUMIF(tblVeriA[SiparisNo],$A20,tblVeriA[YukseklikCm])/MAX(SUMIF(tblVeriA[SiparisNo],$A20,tblVeriA[DesiCarpani]),1),0),IFERROR(SUMIF(tblVeriA[SiparisNo],$A20,tblVeriA[AgirlikKg]),0))*$C20*IFERROR(SUMIF(tblVeriA[SiparisNo],$A20,tblVeriA[Adet]),1)*(1+$E20*kdo_iadeEtkiCarpani),0))</f>
        <v/>
      </c>
      <c r="H20" s="13" t="inlineStr">
        <is>
          <t>IcAnadolu</t>
        </is>
      </c>
      <c r="I20" s="13" t="inlineStr">
        <is>
          <t>2026-08</t>
        </is>
      </c>
      <c r="J20" s="15">
        <f>IF($A20="","",1)</f>
        <v/>
      </c>
    </row>
    <row r="21">
      <c r="A21" s="13" t="inlineStr">
        <is>
          <t>SIP20016</t>
        </is>
      </c>
      <c r="B21" s="13" t="inlineStr">
        <is>
          <t>Aras</t>
        </is>
      </c>
      <c r="C21" s="16" t="n">
        <v>9.699999999999999</v>
      </c>
      <c r="D21" s="16" t="n">
        <v>9.699999999999999</v>
      </c>
      <c r="E21" s="17" t="n">
        <v>0.03</v>
      </c>
      <c r="F21" s="16" t="n">
        <v>8.24</v>
      </c>
      <c r="G21" s="15">
        <f>IF($A21="","",IFERROR(MAX(IFERROR(SUMIF(tblVeriA[SiparisNo],$A21,tblVeriA[EnCm])*SUMIF(tblVeriA[SiparisNo],$A21,tblVeriA[BoyCm])*SUMIF(tblVeriA[SiparisNo],$A21,tblVeriA[YukseklikCm])/MAX(SUMIF(tblVeriA[SiparisNo],$A21,tblVeriA[DesiCarpani]),1),0),IFERROR(SUMIF(tblVeriA[SiparisNo],$A21,tblVeriA[AgirlikKg]),0))*$C21*IFERROR(SUMIF(tblVeriA[SiparisNo],$A21,tblVeriA[Adet]),1)*(1+$E21*kdo_iadeEtkiCarpani),0))</f>
        <v/>
      </c>
      <c r="H21" s="13" t="inlineStr">
        <is>
          <t>Marmara</t>
        </is>
      </c>
      <c r="I21" s="13" t="inlineStr">
        <is>
          <t>2026-08</t>
        </is>
      </c>
      <c r="J21" s="15">
        <f>IF($A21="","",1)</f>
        <v/>
      </c>
    </row>
    <row r="22">
      <c r="A22" s="13" t="inlineStr">
        <is>
          <t>SIP20017</t>
        </is>
      </c>
      <c r="B22" s="13" t="inlineStr">
        <is>
          <t>MNG</t>
        </is>
      </c>
      <c r="C22" s="16" t="n">
        <v>10.9</v>
      </c>
      <c r="D22" s="16" t="n">
        <v>10.9</v>
      </c>
      <c r="E22" s="17" t="n">
        <v>0.04</v>
      </c>
      <c r="F22" s="16" t="n">
        <v>11.45</v>
      </c>
      <c r="G22" s="15">
        <f>IF($A22="","",IFERROR(MAX(IFERROR(SUMIF(tblVeriA[SiparisNo],$A22,tblVeriA[EnCm])*SUMIF(tblVeriA[SiparisNo],$A22,tblVeriA[BoyCm])*SUMIF(tblVeriA[SiparisNo],$A22,tblVeriA[YukseklikCm])/MAX(SUMIF(tblVeriA[SiparisNo],$A22,tblVeriA[DesiCarpani]),1),0),IFERROR(SUMIF(tblVeriA[SiparisNo],$A22,tblVeriA[AgirlikKg]),0))*$C22*IFERROR(SUMIF(tblVeriA[SiparisNo],$A22,tblVeriA[Adet]),1)*(1+$E22*kdo_iadeEtkiCarpani),0))</f>
        <v/>
      </c>
      <c r="H22" s="13" t="inlineStr">
        <is>
          <t>Ege</t>
        </is>
      </c>
      <c r="I22" s="13" t="inlineStr">
        <is>
          <t>2026-08</t>
        </is>
      </c>
      <c r="J22" s="15">
        <f>IF($A22="","",1)</f>
        <v/>
      </c>
    </row>
    <row r="23">
      <c r="A23" s="13" t="inlineStr">
        <is>
          <t>SIP20018</t>
        </is>
      </c>
      <c r="B23" s="13" t="inlineStr">
        <is>
          <t>PTT</t>
        </is>
      </c>
      <c r="C23" s="16" t="n">
        <v>12.1</v>
      </c>
      <c r="D23" s="16" t="n">
        <v>12.1</v>
      </c>
      <c r="E23" s="17" t="n">
        <v>0.05</v>
      </c>
      <c r="F23" s="16" t="n">
        <v>12.71</v>
      </c>
      <c r="G23" s="15">
        <f>IF($A23="","",IFERROR(MAX(IFERROR(SUMIF(tblVeriA[SiparisNo],$A23,tblVeriA[EnCm])*SUMIF(tblVeriA[SiparisNo],$A23,tblVeriA[BoyCm])*SUMIF(tblVeriA[SiparisNo],$A23,tblVeriA[YukseklikCm])/MAX(SUMIF(tblVeriA[SiparisNo],$A23,tblVeriA[DesiCarpani]),1),0),IFERROR(SUMIF(tblVeriA[SiparisNo],$A23,tblVeriA[AgirlikKg]),0))*$C23*IFERROR(SUMIF(tblVeriA[SiparisNo],$A23,tblVeriA[Adet]),1)*(1+$E23*kdo_iadeEtkiCarpani),0))</f>
        <v/>
      </c>
      <c r="H23" s="13" t="inlineStr">
        <is>
          <t>Akdeniz</t>
        </is>
      </c>
      <c r="I23" s="13" t="inlineStr">
        <is>
          <t>2026-08</t>
        </is>
      </c>
      <c r="J23" s="15">
        <f>IF($A23="","",1)</f>
        <v/>
      </c>
    </row>
    <row r="24">
      <c r="A24" s="13" t="inlineStr">
        <is>
          <t>SIP20019</t>
        </is>
      </c>
      <c r="B24" s="13" t="inlineStr">
        <is>
          <t>Sürat</t>
        </is>
      </c>
      <c r="C24" s="16" t="n">
        <v>13.3</v>
      </c>
      <c r="D24" s="16" t="n">
        <v>13.3</v>
      </c>
      <c r="E24" s="17" t="n">
        <v>0.06</v>
      </c>
      <c r="F24" s="16" t="n">
        <v>13.97</v>
      </c>
      <c r="G24" s="15">
        <f>IF($A24="","",IFERROR(MAX(IFERROR(SUMIF(tblVeriA[SiparisNo],$A24,tblVeriA[EnCm])*SUMIF(tblVeriA[SiparisNo],$A24,tblVeriA[BoyCm])*SUMIF(tblVeriA[SiparisNo],$A24,tblVeriA[YukseklikCm])/MAX(SUMIF(tblVeriA[SiparisNo],$A24,tblVeriA[DesiCarpani]),1),0),IFERROR(SUMIF(tblVeriA[SiparisNo],$A24,tblVeriA[AgirlikKg]),0))*$C24*IFERROR(SUMIF(tblVeriA[SiparisNo],$A24,tblVeriA[Adet]),1)*(1+$E24*kdo_iadeEtkiCarpani),0))</f>
        <v/>
      </c>
      <c r="H24" s="13" t="inlineStr">
        <is>
          <t>Karadeniz</t>
        </is>
      </c>
      <c r="I24" s="13" t="inlineStr">
        <is>
          <t>2026-08</t>
        </is>
      </c>
      <c r="J24" s="15">
        <f>IF($A24="","",1)</f>
        <v/>
      </c>
    </row>
    <row r="25">
      <c r="A25" s="13" t="inlineStr">
        <is>
          <t>SIP20020</t>
        </is>
      </c>
      <c r="B25" s="13" t="inlineStr">
        <is>
          <t>Yurtici</t>
        </is>
      </c>
      <c r="C25" s="16" t="n">
        <v>8.5</v>
      </c>
      <c r="D25" s="16" t="n">
        <v>8.5</v>
      </c>
      <c r="E25" s="17" t="n">
        <v>0.02</v>
      </c>
      <c r="F25" s="16" t="n">
        <v>7.22</v>
      </c>
      <c r="G25" s="15">
        <f>IF($A25="","",IFERROR(MAX(IFERROR(SUMIF(tblVeriA[SiparisNo],$A25,tblVeriA[EnCm])*SUMIF(tblVeriA[SiparisNo],$A25,tblVeriA[BoyCm])*SUMIF(tblVeriA[SiparisNo],$A25,tblVeriA[YukseklikCm])/MAX(SUMIF(tblVeriA[SiparisNo],$A25,tblVeriA[DesiCarpani]),1),0),IFERROR(SUMIF(tblVeriA[SiparisNo],$A25,tblVeriA[AgirlikKg]),0))*$C25*IFERROR(SUMIF(tblVeriA[SiparisNo],$A25,tblVeriA[Adet]),1)*(1+$E25*kdo_iadeEtkiCarpani),0))</f>
        <v/>
      </c>
      <c r="H25" s="13" t="inlineStr">
        <is>
          <t>IcAnadolu</t>
        </is>
      </c>
      <c r="I25" s="13" t="inlineStr">
        <is>
          <t>2026-08</t>
        </is>
      </c>
      <c r="J25" s="15">
        <f>IF($A25="","",1)</f>
        <v/>
      </c>
    </row>
    <row r="26">
      <c r="A26" s="13" t="inlineStr">
        <is>
          <t>SIP20021</t>
        </is>
      </c>
      <c r="B26" s="13" t="inlineStr">
        <is>
          <t>Aras</t>
        </is>
      </c>
      <c r="C26" s="16" t="n">
        <v>9.699999999999999</v>
      </c>
      <c r="D26" s="16" t="n">
        <v>9.699999999999999</v>
      </c>
      <c r="E26" s="17" t="n">
        <v>0.03</v>
      </c>
      <c r="F26" s="16" t="n">
        <v>10.19</v>
      </c>
      <c r="G26" s="15">
        <f>IF($A26="","",IFERROR(MAX(IFERROR(SUMIF(tblVeriA[SiparisNo],$A26,tblVeriA[EnCm])*SUMIF(tblVeriA[SiparisNo],$A26,tblVeriA[BoyCm])*SUMIF(tblVeriA[SiparisNo],$A26,tblVeriA[YukseklikCm])/MAX(SUMIF(tblVeriA[SiparisNo],$A26,tblVeriA[DesiCarpani]),1),0),IFERROR(SUMIF(tblVeriA[SiparisNo],$A26,tblVeriA[AgirlikKg]),0))*$C26*IFERROR(SUMIF(tblVeriA[SiparisNo],$A26,tblVeriA[Adet]),1)*(1+$E26*kdo_iadeEtkiCarpani),0))</f>
        <v/>
      </c>
      <c r="H26" s="13" t="inlineStr">
        <is>
          <t>Marmara</t>
        </is>
      </c>
      <c r="I26" s="13" t="inlineStr">
        <is>
          <t>2026-08</t>
        </is>
      </c>
      <c r="J26" s="15">
        <f>IF($A26="","",1)</f>
        <v/>
      </c>
    </row>
    <row r="27">
      <c r="A27" s="13" t="inlineStr">
        <is>
          <t>SIP20022</t>
        </is>
      </c>
      <c r="B27" s="13" t="inlineStr">
        <is>
          <t>MNG</t>
        </is>
      </c>
      <c r="C27" s="16" t="n">
        <v>10.9</v>
      </c>
      <c r="D27" s="16" t="n">
        <v>10.9</v>
      </c>
      <c r="E27" s="17" t="n">
        <v>0.04</v>
      </c>
      <c r="F27" s="16" t="n">
        <v>11.45</v>
      </c>
      <c r="G27" s="15">
        <f>IF($A27="","",IFERROR(MAX(IFERROR(SUMIF(tblVeriA[SiparisNo],$A27,tblVeriA[EnCm])*SUMIF(tblVeriA[SiparisNo],$A27,tblVeriA[BoyCm])*SUMIF(tblVeriA[SiparisNo],$A27,tblVeriA[YukseklikCm])/MAX(SUMIF(tblVeriA[SiparisNo],$A27,tblVeriA[DesiCarpani]),1),0),IFERROR(SUMIF(tblVeriA[SiparisNo],$A27,tblVeriA[AgirlikKg]),0))*$C27*IFERROR(SUMIF(tblVeriA[SiparisNo],$A27,tblVeriA[Adet]),1)*(1+$E27*kdo_iadeEtkiCarpani),0))</f>
        <v/>
      </c>
      <c r="H27" s="13" t="inlineStr">
        <is>
          <t>Ege</t>
        </is>
      </c>
      <c r="I27" s="13" t="inlineStr">
        <is>
          <t>2026-08</t>
        </is>
      </c>
      <c r="J27" s="15">
        <f>IF($A27="","",1)</f>
        <v/>
      </c>
    </row>
    <row r="28">
      <c r="A28" s="13" t="inlineStr">
        <is>
          <t>SIP20023</t>
        </is>
      </c>
      <c r="B28" s="13" t="inlineStr">
        <is>
          <t>PTT</t>
        </is>
      </c>
      <c r="C28" s="16" t="n">
        <v>12.1</v>
      </c>
      <c r="D28" s="16" t="n">
        <v>12.1</v>
      </c>
      <c r="E28" s="17" t="n">
        <v>0.05</v>
      </c>
      <c r="F28" s="16" t="n">
        <v>12.71</v>
      </c>
      <c r="G28" s="15">
        <f>IF($A28="","",IFERROR(MAX(IFERROR(SUMIF(tblVeriA[SiparisNo],$A28,tblVeriA[EnCm])*SUMIF(tblVeriA[SiparisNo],$A28,tblVeriA[BoyCm])*SUMIF(tblVeriA[SiparisNo],$A28,tblVeriA[YukseklikCm])/MAX(SUMIF(tblVeriA[SiparisNo],$A28,tblVeriA[DesiCarpani]),1),0),IFERROR(SUMIF(tblVeriA[SiparisNo],$A28,tblVeriA[AgirlikKg]),0))*$C28*IFERROR(SUMIF(tblVeriA[SiparisNo],$A28,tblVeriA[Adet]),1)*(1+$E28*kdo_iadeEtkiCarpani),0))</f>
        <v/>
      </c>
      <c r="H28" s="13" t="inlineStr">
        <is>
          <t>Akdeniz</t>
        </is>
      </c>
      <c r="I28" s="13" t="inlineStr">
        <is>
          <t>2026-08</t>
        </is>
      </c>
      <c r="J28" s="15">
        <f>IF($A28="","",1)</f>
        <v/>
      </c>
    </row>
    <row r="29">
      <c r="A29" s="13" t="inlineStr">
        <is>
          <t>SIP20024</t>
        </is>
      </c>
      <c r="B29" s="13" t="inlineStr">
        <is>
          <t>Sürat</t>
        </is>
      </c>
      <c r="C29" s="16" t="n">
        <v>13.3</v>
      </c>
      <c r="D29" s="16" t="n">
        <v>13.3</v>
      </c>
      <c r="E29" s="17" t="n">
        <v>0.06</v>
      </c>
      <c r="F29" s="16" t="n">
        <v>11.3</v>
      </c>
      <c r="G29" s="15">
        <f>IF($A29="","",IFERROR(MAX(IFERROR(SUMIF(tblVeriA[SiparisNo],$A29,tblVeriA[EnCm])*SUMIF(tblVeriA[SiparisNo],$A29,tblVeriA[BoyCm])*SUMIF(tblVeriA[SiparisNo],$A29,tblVeriA[YukseklikCm])/MAX(SUMIF(tblVeriA[SiparisNo],$A29,tblVeriA[DesiCarpani]),1),0),IFERROR(SUMIF(tblVeriA[SiparisNo],$A29,tblVeriA[AgirlikKg]),0))*$C29*IFERROR(SUMIF(tblVeriA[SiparisNo],$A29,tblVeriA[Adet]),1)*(1+$E29*kdo_iadeEtkiCarpani),0))</f>
        <v/>
      </c>
      <c r="H29" s="13" t="inlineStr">
        <is>
          <t>Karadeniz</t>
        </is>
      </c>
      <c r="I29" s="13" t="inlineStr">
        <is>
          <t>2026-08</t>
        </is>
      </c>
      <c r="J29" s="15">
        <f>IF($A29="","",1)</f>
        <v/>
      </c>
    </row>
    <row r="30">
      <c r="A30" s="13" t="inlineStr">
        <is>
          <t>SIP20025</t>
        </is>
      </c>
      <c r="B30" s="13" t="inlineStr">
        <is>
          <t>Yurtici</t>
        </is>
      </c>
      <c r="C30" s="16" t="n">
        <v>8.5</v>
      </c>
      <c r="D30" s="16" t="n">
        <v>8.5</v>
      </c>
      <c r="E30" s="17" t="n">
        <v>0.02</v>
      </c>
      <c r="F30" s="16" t="n">
        <v>8.93</v>
      </c>
      <c r="G30" s="15">
        <f>IF($A30="","",IFERROR(MAX(IFERROR(SUMIF(tblVeriA[SiparisNo],$A30,tblVeriA[EnCm])*SUMIF(tblVeriA[SiparisNo],$A30,tblVeriA[BoyCm])*SUMIF(tblVeriA[SiparisNo],$A30,tblVeriA[YukseklikCm])/MAX(SUMIF(tblVeriA[SiparisNo],$A30,tblVeriA[DesiCarpani]),1),0),IFERROR(SUMIF(tblVeriA[SiparisNo],$A30,tblVeriA[AgirlikKg]),0))*$C30*IFERROR(SUMIF(tblVeriA[SiparisNo],$A30,tblVeriA[Adet]),1)*(1+$E30*kdo_iadeEtkiCarpani),0))</f>
        <v/>
      </c>
      <c r="H30" s="13" t="inlineStr">
        <is>
          <t>IcAnadolu</t>
        </is>
      </c>
      <c r="I30" s="13" t="inlineStr">
        <is>
          <t>2026-08</t>
        </is>
      </c>
      <c r="J30" s="15">
        <f>IF($A30="","",1)</f>
        <v/>
      </c>
    </row>
    <row r="31">
      <c r="A31" s="13" t="inlineStr">
        <is>
          <t>SIP20026</t>
        </is>
      </c>
      <c r="B31" s="13" t="inlineStr">
        <is>
          <t>Aras</t>
        </is>
      </c>
      <c r="C31" s="16" t="n">
        <v>9.699999999999999</v>
      </c>
      <c r="D31" s="16" t="n">
        <v>9.699999999999999</v>
      </c>
      <c r="E31" s="17" t="n">
        <v>0.03</v>
      </c>
      <c r="F31" s="16" t="n">
        <v>10.19</v>
      </c>
      <c r="G31" s="15">
        <f>IF($A31="","",IFERROR(MAX(IFERROR(SUMIF(tblVeriA[SiparisNo],$A31,tblVeriA[EnCm])*SUMIF(tblVeriA[SiparisNo],$A31,tblVeriA[BoyCm])*SUMIF(tblVeriA[SiparisNo],$A31,tblVeriA[YukseklikCm])/MAX(SUMIF(tblVeriA[SiparisNo],$A31,tblVeriA[DesiCarpani]),1),0),IFERROR(SUMIF(tblVeriA[SiparisNo],$A31,tblVeriA[AgirlikKg]),0))*$C31*IFERROR(SUMIF(tblVeriA[SiparisNo],$A31,tblVeriA[Adet]),1)*(1+$E31*kdo_iadeEtkiCarpani),0))</f>
        <v/>
      </c>
      <c r="H31" s="13" t="inlineStr">
        <is>
          <t>Marmara</t>
        </is>
      </c>
      <c r="I31" s="13" t="inlineStr">
        <is>
          <t>2026-08</t>
        </is>
      </c>
      <c r="J31" s="15">
        <f>IF($A31="","",1)</f>
        <v/>
      </c>
    </row>
    <row r="32">
      <c r="A32" s="13" t="inlineStr">
        <is>
          <t>SIP20027</t>
        </is>
      </c>
      <c r="B32" s="13" t="inlineStr">
        <is>
          <t>MNG</t>
        </is>
      </c>
      <c r="C32" s="16" t="n">
        <v>10.9</v>
      </c>
      <c r="D32" s="16" t="n">
        <v>10.9</v>
      </c>
      <c r="E32" s="17" t="n">
        <v>0.04</v>
      </c>
      <c r="F32" s="16" t="n">
        <v>11.45</v>
      </c>
      <c r="G32" s="15">
        <f>IF($A32="","",IFERROR(MAX(IFERROR(SUMIF(tblVeriA[SiparisNo],$A32,tblVeriA[EnCm])*SUMIF(tblVeriA[SiparisNo],$A32,tblVeriA[BoyCm])*SUMIF(tblVeriA[SiparisNo],$A32,tblVeriA[YukseklikCm])/MAX(SUMIF(tblVeriA[SiparisNo],$A32,tblVeriA[DesiCarpani]),1),0),IFERROR(SUMIF(tblVeriA[SiparisNo],$A32,tblVeriA[AgirlikKg]),0))*$C32*IFERROR(SUMIF(tblVeriA[SiparisNo],$A32,tblVeriA[Adet]),1)*(1+$E32*kdo_iadeEtkiCarpani),0))</f>
        <v/>
      </c>
      <c r="H32" s="13" t="inlineStr">
        <is>
          <t>Ege</t>
        </is>
      </c>
      <c r="I32" s="13" t="inlineStr">
        <is>
          <t>2026-08</t>
        </is>
      </c>
      <c r="J32" s="15">
        <f>IF($A32="","",1)</f>
        <v/>
      </c>
    </row>
    <row r="33">
      <c r="A33" s="13" t="inlineStr">
        <is>
          <t>SIP20028</t>
        </is>
      </c>
      <c r="B33" s="13" t="inlineStr">
        <is>
          <t>PTT</t>
        </is>
      </c>
      <c r="C33" s="16" t="n">
        <v>12.1</v>
      </c>
      <c r="D33" s="16" t="n">
        <v>12.1</v>
      </c>
      <c r="E33" s="17" t="n">
        <v>0.05</v>
      </c>
      <c r="F33" s="16" t="n">
        <v>10.29</v>
      </c>
      <c r="G33" s="15">
        <f>IF($A33="","",IFERROR(MAX(IFERROR(SUMIF(tblVeriA[SiparisNo],$A33,tblVeriA[EnCm])*SUMIF(tblVeriA[SiparisNo],$A33,tblVeriA[BoyCm])*SUMIF(tblVeriA[SiparisNo],$A33,tblVeriA[YukseklikCm])/MAX(SUMIF(tblVeriA[SiparisNo],$A33,tblVeriA[DesiCarpani]),1),0),IFERROR(SUMIF(tblVeriA[SiparisNo],$A33,tblVeriA[AgirlikKg]),0))*$C33*IFERROR(SUMIF(tblVeriA[SiparisNo],$A33,tblVeriA[Adet]),1)*(1+$E33*kdo_iadeEtkiCarpani),0))</f>
        <v/>
      </c>
      <c r="H33" s="13" t="inlineStr">
        <is>
          <t>Akdeniz</t>
        </is>
      </c>
      <c r="I33" s="13" t="inlineStr">
        <is>
          <t>2026-08</t>
        </is>
      </c>
      <c r="J33" s="15">
        <f>IF($A33="","",1)</f>
        <v/>
      </c>
    </row>
    <row r="34">
      <c r="A34" s="13" t="inlineStr">
        <is>
          <t>SIP20029</t>
        </is>
      </c>
      <c r="B34" s="13" t="inlineStr">
        <is>
          <t>Sürat</t>
        </is>
      </c>
      <c r="C34" s="16" t="n">
        <v>13.3</v>
      </c>
      <c r="D34" s="16" t="n">
        <v>13.3</v>
      </c>
      <c r="E34" s="17" t="n">
        <v>0.06</v>
      </c>
      <c r="F34" s="16" t="n">
        <v>13.97</v>
      </c>
      <c r="G34" s="15">
        <f>IF($A34="","",IFERROR(MAX(IFERROR(SUMIF(tblVeriA[SiparisNo],$A34,tblVeriA[EnCm])*SUMIF(tblVeriA[SiparisNo],$A34,tblVeriA[BoyCm])*SUMIF(tblVeriA[SiparisNo],$A34,tblVeriA[YukseklikCm])/MAX(SUMIF(tblVeriA[SiparisNo],$A34,tblVeriA[DesiCarpani]),1),0),IFERROR(SUMIF(tblVeriA[SiparisNo],$A34,tblVeriA[AgirlikKg]),0))*$C34*IFERROR(SUMIF(tblVeriA[SiparisNo],$A34,tblVeriA[Adet]),1)*(1+$E34*kdo_iadeEtkiCarpani),0))</f>
        <v/>
      </c>
      <c r="H34" s="13" t="inlineStr">
        <is>
          <t>Karadeniz</t>
        </is>
      </c>
      <c r="I34" s="13" t="inlineStr">
        <is>
          <t>2026-08</t>
        </is>
      </c>
      <c r="J34" s="15">
        <f>IF($A34="","",1)</f>
        <v/>
      </c>
    </row>
    <row r="35">
      <c r="A35" s="13" t="inlineStr">
        <is>
          <t>SIP20030</t>
        </is>
      </c>
      <c r="B35" s="13" t="inlineStr">
        <is>
          <t>Yurtici</t>
        </is>
      </c>
      <c r="C35" s="16" t="n">
        <v>8.5</v>
      </c>
      <c r="D35" s="16" t="n">
        <v>8.5</v>
      </c>
      <c r="E35" s="17" t="n">
        <v>0.02</v>
      </c>
      <c r="F35" s="16" t="n">
        <v>8.93</v>
      </c>
      <c r="G35" s="15">
        <f>IF($A35="","",IFERROR(MAX(IFERROR(SUMIF(tblVeriA[SiparisNo],$A35,tblVeriA[EnCm])*SUMIF(tblVeriA[SiparisNo],$A35,tblVeriA[BoyCm])*SUMIF(tblVeriA[SiparisNo],$A35,tblVeriA[YukseklikCm])/MAX(SUMIF(tblVeriA[SiparisNo],$A35,tblVeriA[DesiCarpani]),1),0),IFERROR(SUMIF(tblVeriA[SiparisNo],$A35,tblVeriA[AgirlikKg]),0))*$C35*IFERROR(SUMIF(tblVeriA[SiparisNo],$A35,tblVeriA[Adet]),1)*(1+$E35*kdo_iadeEtkiCarpani),0))</f>
        <v/>
      </c>
      <c r="H35" s="13" t="inlineStr">
        <is>
          <t>IcAnadolu</t>
        </is>
      </c>
      <c r="I35" s="13" t="inlineStr">
        <is>
          <t>2026-08</t>
        </is>
      </c>
      <c r="J35" s="15">
        <f>IF($A35="","",1)</f>
        <v/>
      </c>
    </row>
    <row r="36">
      <c r="A36" s="13" t="inlineStr">
        <is>
          <t>SIP20031</t>
        </is>
      </c>
      <c r="B36" s="13" t="inlineStr">
        <is>
          <t>Aras</t>
        </is>
      </c>
      <c r="C36" s="16" t="n">
        <v>9.699999999999999</v>
      </c>
      <c r="D36" s="16" t="n">
        <v>9.699999999999999</v>
      </c>
      <c r="E36" s="17" t="n">
        <v>0.03</v>
      </c>
      <c r="F36" s="16" t="n">
        <v>10.19</v>
      </c>
      <c r="G36" s="15">
        <f>IF($A36="","",IFERROR(MAX(IFERROR(SUMIF(tblVeriA[SiparisNo],$A36,tblVeriA[EnCm])*SUMIF(tblVeriA[SiparisNo],$A36,tblVeriA[BoyCm])*SUMIF(tblVeriA[SiparisNo],$A36,tblVeriA[YukseklikCm])/MAX(SUMIF(tblVeriA[SiparisNo],$A36,tblVeriA[DesiCarpani]),1),0),IFERROR(SUMIF(tblVeriA[SiparisNo],$A36,tblVeriA[AgirlikKg]),0))*$C36*IFERROR(SUMIF(tblVeriA[SiparisNo],$A36,tblVeriA[Adet]),1)*(1+$E36*kdo_iadeEtkiCarpani),0))</f>
        <v/>
      </c>
      <c r="H36" s="13" t="inlineStr">
        <is>
          <t>Marmara</t>
        </is>
      </c>
      <c r="I36" s="13" t="inlineStr">
        <is>
          <t>2026-08</t>
        </is>
      </c>
      <c r="J36" s="15">
        <f>IF($A36="","",1)</f>
        <v/>
      </c>
    </row>
    <row r="37">
      <c r="A37" s="13" t="inlineStr">
        <is>
          <t>SIP20032</t>
        </is>
      </c>
      <c r="B37" s="13" t="inlineStr">
        <is>
          <t>MNG</t>
        </is>
      </c>
      <c r="C37" s="16" t="n">
        <v>10.9</v>
      </c>
      <c r="D37" s="16" t="n">
        <v>10.9</v>
      </c>
      <c r="E37" s="17" t="n">
        <v>0.04</v>
      </c>
      <c r="F37" s="16" t="n">
        <v>9.27</v>
      </c>
      <c r="G37" s="15">
        <f>IF($A37="","",IFERROR(MAX(IFERROR(SUMIF(tblVeriA[SiparisNo],$A37,tblVeriA[EnCm])*SUMIF(tblVeriA[SiparisNo],$A37,tblVeriA[BoyCm])*SUMIF(tblVeriA[SiparisNo],$A37,tblVeriA[YukseklikCm])/MAX(SUMIF(tblVeriA[SiparisNo],$A37,tblVeriA[DesiCarpani]),1),0),IFERROR(SUMIF(tblVeriA[SiparisNo],$A37,tblVeriA[AgirlikKg]),0))*$C37*IFERROR(SUMIF(tblVeriA[SiparisNo],$A37,tblVeriA[Adet]),1)*(1+$E37*kdo_iadeEtkiCarpani),0))</f>
        <v/>
      </c>
      <c r="H37" s="13" t="inlineStr">
        <is>
          <t>Ege</t>
        </is>
      </c>
      <c r="I37" s="13" t="inlineStr">
        <is>
          <t>2026-08</t>
        </is>
      </c>
      <c r="J37" s="15">
        <f>IF($A37="","",1)</f>
        <v/>
      </c>
    </row>
    <row r="38">
      <c r="A38" s="13" t="inlineStr">
        <is>
          <t>SIP20033</t>
        </is>
      </c>
      <c r="B38" s="13" t="inlineStr">
        <is>
          <t>PTT</t>
        </is>
      </c>
      <c r="C38" s="16" t="n">
        <v>12.1</v>
      </c>
      <c r="D38" s="16" t="n">
        <v>12.1</v>
      </c>
      <c r="E38" s="17" t="n">
        <v>0.05</v>
      </c>
      <c r="F38" s="16" t="n">
        <v>12.71</v>
      </c>
      <c r="G38" s="15">
        <f>IF($A38="","",IFERROR(MAX(IFERROR(SUMIF(tblVeriA[SiparisNo],$A38,tblVeriA[EnCm])*SUMIF(tblVeriA[SiparisNo],$A38,tblVeriA[BoyCm])*SUMIF(tblVeriA[SiparisNo],$A38,tblVeriA[YukseklikCm])/MAX(SUMIF(tblVeriA[SiparisNo],$A38,tblVeriA[DesiCarpani]),1),0),IFERROR(SUMIF(tblVeriA[SiparisNo],$A38,tblVeriA[AgirlikKg]),0))*$C38*IFERROR(SUMIF(tblVeriA[SiparisNo],$A38,tblVeriA[Adet]),1)*(1+$E38*kdo_iadeEtkiCarpani),0))</f>
        <v/>
      </c>
      <c r="H38" s="13" t="inlineStr">
        <is>
          <t>Akdeniz</t>
        </is>
      </c>
      <c r="I38" s="13" t="inlineStr">
        <is>
          <t>2026-08</t>
        </is>
      </c>
      <c r="J38" s="15">
        <f>IF($A38="","",1)</f>
        <v/>
      </c>
    </row>
    <row r="39">
      <c r="A39" s="13" t="inlineStr">
        <is>
          <t>SIP20034</t>
        </is>
      </c>
      <c r="B39" s="13" t="inlineStr">
        <is>
          <t>Sürat</t>
        </is>
      </c>
      <c r="C39" s="16" t="n">
        <v>13.3</v>
      </c>
      <c r="D39" s="16" t="n">
        <v>13.3</v>
      </c>
      <c r="E39" s="17" t="n">
        <v>0.06</v>
      </c>
      <c r="F39" s="16" t="n">
        <v>13.97</v>
      </c>
      <c r="G39" s="15">
        <f>IF($A39="","",IFERROR(MAX(IFERROR(SUMIF(tblVeriA[SiparisNo],$A39,tblVeriA[EnCm])*SUMIF(tblVeriA[SiparisNo],$A39,tblVeriA[BoyCm])*SUMIF(tblVeriA[SiparisNo],$A39,tblVeriA[YukseklikCm])/MAX(SUMIF(tblVeriA[SiparisNo],$A39,tblVeriA[DesiCarpani]),1),0),IFERROR(SUMIF(tblVeriA[SiparisNo],$A39,tblVeriA[AgirlikKg]),0))*$C39*IFERROR(SUMIF(tblVeriA[SiparisNo],$A39,tblVeriA[Adet]),1)*(1+$E39*kdo_iadeEtkiCarpani),0))</f>
        <v/>
      </c>
      <c r="H39" s="13" t="inlineStr">
        <is>
          <t>Karadeniz</t>
        </is>
      </c>
      <c r="I39" s="13" t="inlineStr">
        <is>
          <t>2026-08</t>
        </is>
      </c>
      <c r="J39" s="15">
        <f>IF($A39="","",1)</f>
        <v/>
      </c>
    </row>
    <row r="40">
      <c r="A40" s="13" t="inlineStr">
        <is>
          <t>SIP20035</t>
        </is>
      </c>
      <c r="B40" s="13" t="inlineStr">
        <is>
          <t>Yurtici</t>
        </is>
      </c>
      <c r="C40" s="16" t="n">
        <v>8.5</v>
      </c>
      <c r="D40" s="16" t="n">
        <v>8.5</v>
      </c>
      <c r="E40" s="17" t="n">
        <v>0.02</v>
      </c>
      <c r="F40" s="16" t="n">
        <v>8.93</v>
      </c>
      <c r="G40" s="15">
        <f>IF($A40="","",IFERROR(MAX(IFERROR(SUMIF(tblVeriA[SiparisNo],$A40,tblVeriA[EnCm])*SUMIF(tblVeriA[SiparisNo],$A40,tblVeriA[BoyCm])*SUMIF(tblVeriA[SiparisNo],$A40,tblVeriA[YukseklikCm])/MAX(SUMIF(tblVeriA[SiparisNo],$A40,tblVeriA[DesiCarpani]),1),0),IFERROR(SUMIF(tblVeriA[SiparisNo],$A40,tblVeriA[AgirlikKg]),0))*$C40*IFERROR(SUMIF(tblVeriA[SiparisNo],$A40,tblVeriA[Adet]),1)*(1+$E40*kdo_iadeEtkiCarpani),0))</f>
        <v/>
      </c>
      <c r="H40" s="13" t="inlineStr">
        <is>
          <t>IcAnadolu</t>
        </is>
      </c>
      <c r="I40" s="13" t="inlineStr">
        <is>
          <t>2026-08</t>
        </is>
      </c>
      <c r="J40" s="15">
        <f>IF($A40="","",1)</f>
        <v/>
      </c>
    </row>
    <row r="41">
      <c r="A41" s="13" t="n"/>
      <c r="B41" s="13" t="n"/>
      <c r="C41" s="16" t="n"/>
      <c r="D41" s="16" t="n"/>
      <c r="E41" s="17" t="n"/>
      <c r="F41" s="16" t="n"/>
      <c r="G41" s="15">
        <f>IF($A41="","",IFERROR(MAX(IFERROR(SUMIF(tblVeriA[SiparisNo],$A41,tblVeriA[EnCm])*SUMIF(tblVeriA[SiparisNo],$A41,tblVeriA[BoyCm])*SUMIF(tblVeriA[SiparisNo],$A41,tblVeriA[YukseklikCm])/MAX(SUMIF(tblVeriA[SiparisNo],$A41,tblVeriA[DesiCarpani]),1),0),IFERROR(SUMIF(tblVeriA[SiparisNo],$A41,tblVeriA[AgirlikKg]),0))*$C41*IFERROR(SUMIF(tblVeriA[SiparisNo],$A41,tblVeriA[Adet]),1)*(1+$E41*kdo_iadeEtkiCarpani),0))</f>
        <v/>
      </c>
      <c r="H41" s="13" t="n"/>
      <c r="I41" s="13" t="n"/>
      <c r="J41" s="15">
        <f>IF($A41="","",1)</f>
        <v/>
      </c>
    </row>
    <row r="42">
      <c r="A42" s="13" t="n"/>
      <c r="B42" s="13" t="n"/>
      <c r="C42" s="16" t="n"/>
      <c r="D42" s="16" t="n"/>
      <c r="E42" s="17" t="n"/>
      <c r="F42" s="16" t="n"/>
      <c r="G42" s="15">
        <f>IF($A42="","",IFERROR(MAX(IFERROR(SUMIF(tblVeriA[SiparisNo],$A42,tblVeriA[EnCm])*SUMIF(tblVeriA[SiparisNo],$A42,tblVeriA[BoyCm])*SUMIF(tblVeriA[SiparisNo],$A42,tblVeriA[YukseklikCm])/MAX(SUMIF(tblVeriA[SiparisNo],$A42,tblVeriA[DesiCarpani]),1),0),IFERROR(SUMIF(tblVeriA[SiparisNo],$A42,tblVeriA[AgirlikKg]),0))*$C42*IFERROR(SUMIF(tblVeriA[SiparisNo],$A42,tblVeriA[Adet]),1)*(1+$E42*kdo_iadeEtkiCarpani),0))</f>
        <v/>
      </c>
      <c r="H42" s="13" t="n"/>
      <c r="I42" s="13" t="n"/>
      <c r="J42" s="15">
        <f>IF($A42="","",1)</f>
        <v/>
      </c>
    </row>
    <row r="43">
      <c r="A43" s="13" t="n"/>
      <c r="B43" s="13" t="n"/>
      <c r="C43" s="16" t="n"/>
      <c r="D43" s="16" t="n"/>
      <c r="E43" s="17" t="n"/>
      <c r="F43" s="16" t="n"/>
      <c r="G43" s="15">
        <f>IF($A43="","",IFERROR(MAX(IFERROR(SUMIF(tblVeriA[SiparisNo],$A43,tblVeriA[EnCm])*SUMIF(tblVeriA[SiparisNo],$A43,tblVeriA[BoyCm])*SUMIF(tblVeriA[SiparisNo],$A43,tblVeriA[YukseklikCm])/MAX(SUMIF(tblVeriA[SiparisNo],$A43,tblVeriA[DesiCarpani]),1),0),IFERROR(SUMIF(tblVeriA[SiparisNo],$A43,tblVeriA[AgirlikKg]),0))*$C43*IFERROR(SUMIF(tblVeriA[SiparisNo],$A43,tblVeriA[Adet]),1)*(1+$E43*kdo_iadeEtkiCarpani),0))</f>
        <v/>
      </c>
      <c r="H43" s="13" t="n"/>
      <c r="I43" s="13" t="n"/>
      <c r="J43" s="15">
        <f>IF($A43="","",1)</f>
        <v/>
      </c>
    </row>
    <row r="44">
      <c r="A44" s="13" t="n"/>
      <c r="B44" s="13" t="n"/>
      <c r="C44" s="16" t="n"/>
      <c r="D44" s="16" t="n"/>
      <c r="E44" s="17" t="n"/>
      <c r="F44" s="16" t="n"/>
      <c r="G44" s="15">
        <f>IF($A44="","",IFERROR(MAX(IFERROR(SUMIF(tblVeriA[SiparisNo],$A44,tblVeriA[EnCm])*SUMIF(tblVeriA[SiparisNo],$A44,tblVeriA[BoyCm])*SUMIF(tblVeriA[SiparisNo],$A44,tblVeriA[YukseklikCm])/MAX(SUMIF(tblVeriA[SiparisNo],$A44,tblVeriA[DesiCarpani]),1),0),IFERROR(SUMIF(tblVeriA[SiparisNo],$A44,tblVeriA[AgirlikKg]),0))*$C44*IFERROR(SUMIF(tblVeriA[SiparisNo],$A44,tblVeriA[Adet]),1)*(1+$E44*kdo_iadeEtkiCarpani),0))</f>
        <v/>
      </c>
      <c r="H44" s="13" t="n"/>
      <c r="I44" s="13" t="n"/>
      <c r="J44" s="15">
        <f>IF($A44="","",1)</f>
        <v/>
      </c>
    </row>
    <row r="45">
      <c r="A45" s="13" t="n"/>
      <c r="B45" s="13" t="n"/>
      <c r="C45" s="16" t="n"/>
      <c r="D45" s="16" t="n"/>
      <c r="E45" s="17" t="n"/>
      <c r="F45" s="16" t="n"/>
      <c r="G45" s="15">
        <f>IF($A45="","",IFERROR(MAX(IFERROR(SUMIF(tblVeriA[SiparisNo],$A45,tblVeriA[EnCm])*SUMIF(tblVeriA[SiparisNo],$A45,tblVeriA[BoyCm])*SUMIF(tblVeriA[SiparisNo],$A45,tblVeriA[YukseklikCm])/MAX(SUMIF(tblVeriA[SiparisNo],$A45,tblVeriA[DesiCarpani]),1),0),IFERROR(SUMIF(tblVeriA[SiparisNo],$A45,tblVeriA[AgirlikKg]),0))*$C45*IFERROR(SUMIF(tblVeriA[SiparisNo],$A45,tblVeriA[Adet]),1)*(1+$E45*kdo_iadeEtkiCarpani),0))</f>
        <v/>
      </c>
      <c r="H45" s="13" t="n"/>
      <c r="I45" s="13" t="n"/>
      <c r="J45" s="15">
        <f>IF($A45="","",1)</f>
        <v/>
      </c>
    </row>
    <row r="46">
      <c r="A46" s="13" t="n"/>
      <c r="B46" s="13" t="n"/>
      <c r="C46" s="16" t="n"/>
      <c r="D46" s="16" t="n"/>
      <c r="E46" s="17" t="n"/>
      <c r="F46" s="16" t="n"/>
      <c r="G46" s="15">
        <f>IF($A46="","",IFERROR(MAX(IFERROR(SUMIF(tblVeriA[SiparisNo],$A46,tblVeriA[EnCm])*SUMIF(tblVeriA[SiparisNo],$A46,tblVeriA[BoyCm])*SUMIF(tblVeriA[SiparisNo],$A46,tblVeriA[YukseklikCm])/MAX(SUMIF(tblVeriA[SiparisNo],$A46,tblVeriA[DesiCarpani]),1),0),IFERROR(SUMIF(tblVeriA[SiparisNo],$A46,tblVeriA[AgirlikKg]),0))*$C46*IFERROR(SUMIF(tblVeriA[SiparisNo],$A46,tblVeriA[Adet]),1)*(1+$E46*kdo_iadeEtkiCarpani),0))</f>
        <v/>
      </c>
      <c r="H46" s="13" t="n"/>
      <c r="I46" s="13" t="n"/>
      <c r="J46" s="15">
        <f>IF($A46="","",1)</f>
        <v/>
      </c>
    </row>
    <row r="47">
      <c r="A47" s="13" t="n"/>
      <c r="B47" s="13" t="n"/>
      <c r="C47" s="16" t="n"/>
      <c r="D47" s="16" t="n"/>
      <c r="E47" s="17" t="n"/>
      <c r="F47" s="16" t="n"/>
      <c r="G47" s="15">
        <f>IF($A47="","",IFERROR(MAX(IFERROR(SUMIF(tblVeriA[SiparisNo],$A47,tblVeriA[EnCm])*SUMIF(tblVeriA[SiparisNo],$A47,tblVeriA[BoyCm])*SUMIF(tblVeriA[SiparisNo],$A47,tblVeriA[YukseklikCm])/MAX(SUMIF(tblVeriA[SiparisNo],$A47,tblVeriA[DesiCarpani]),1),0),IFERROR(SUMIF(tblVeriA[SiparisNo],$A47,tblVeriA[AgirlikKg]),0))*$C47*IFERROR(SUMIF(tblVeriA[SiparisNo],$A47,tblVeriA[Adet]),1)*(1+$E47*kdo_iadeEtkiCarpani),0))</f>
        <v/>
      </c>
      <c r="H47" s="13" t="n"/>
      <c r="I47" s="13" t="n"/>
      <c r="J47" s="15">
        <f>IF($A47="","",1)</f>
        <v/>
      </c>
    </row>
    <row r="48">
      <c r="A48" s="13" t="n"/>
      <c r="B48" s="13" t="n"/>
      <c r="C48" s="16" t="n"/>
      <c r="D48" s="16" t="n"/>
      <c r="E48" s="17" t="n"/>
      <c r="F48" s="16" t="n"/>
      <c r="G48" s="15">
        <f>IF($A48="","",IFERROR(MAX(IFERROR(SUMIF(tblVeriA[SiparisNo],$A48,tblVeriA[EnCm])*SUMIF(tblVeriA[SiparisNo],$A48,tblVeriA[BoyCm])*SUMIF(tblVeriA[SiparisNo],$A48,tblVeriA[YukseklikCm])/MAX(SUMIF(tblVeriA[SiparisNo],$A48,tblVeriA[DesiCarpani]),1),0),IFERROR(SUMIF(tblVeriA[SiparisNo],$A48,tblVeriA[AgirlikKg]),0))*$C48*IFERROR(SUMIF(tblVeriA[SiparisNo],$A48,tblVeriA[Adet]),1)*(1+$E48*kdo_iadeEtkiCarpani),0))</f>
        <v/>
      </c>
      <c r="H48" s="13" t="n"/>
      <c r="I48" s="13" t="n"/>
      <c r="J48" s="15">
        <f>IF($A48="","",1)</f>
        <v/>
      </c>
    </row>
    <row r="49">
      <c r="A49" s="13" t="n"/>
      <c r="B49" s="13" t="n"/>
      <c r="C49" s="16" t="n"/>
      <c r="D49" s="16" t="n"/>
      <c r="E49" s="17" t="n"/>
      <c r="F49" s="16" t="n"/>
      <c r="G49" s="15">
        <f>IF($A49="","",IFERROR(MAX(IFERROR(SUMIF(tblVeriA[SiparisNo],$A49,tblVeriA[EnCm])*SUMIF(tblVeriA[SiparisNo],$A49,tblVeriA[BoyCm])*SUMIF(tblVeriA[SiparisNo],$A49,tblVeriA[YukseklikCm])/MAX(SUMIF(tblVeriA[SiparisNo],$A49,tblVeriA[DesiCarpani]),1),0),IFERROR(SUMIF(tblVeriA[SiparisNo],$A49,tblVeriA[AgirlikKg]),0))*$C49*IFERROR(SUMIF(tblVeriA[SiparisNo],$A49,tblVeriA[Adet]),1)*(1+$E49*kdo_iadeEtkiCarpani),0))</f>
        <v/>
      </c>
      <c r="H49" s="13" t="n"/>
      <c r="I49" s="13" t="n"/>
      <c r="J49" s="15">
        <f>IF($A49="","",1)</f>
        <v/>
      </c>
    </row>
    <row r="50">
      <c r="A50" s="13" t="n"/>
      <c r="B50" s="13" t="n"/>
      <c r="C50" s="16" t="n"/>
      <c r="D50" s="16" t="n"/>
      <c r="E50" s="17" t="n"/>
      <c r="F50" s="16" t="n"/>
      <c r="G50" s="15">
        <f>IF($A50="","",IFERROR(MAX(IFERROR(SUMIF(tblVeriA[SiparisNo],$A50,tblVeriA[EnCm])*SUMIF(tblVeriA[SiparisNo],$A50,tblVeriA[BoyCm])*SUMIF(tblVeriA[SiparisNo],$A50,tblVeriA[YukseklikCm])/MAX(SUMIF(tblVeriA[SiparisNo],$A50,tblVeriA[DesiCarpani]),1),0),IFERROR(SUMIF(tblVeriA[SiparisNo],$A50,tblVeriA[AgirlikKg]),0))*$C50*IFERROR(SUMIF(tblVeriA[SiparisNo],$A50,tblVeriA[Adet]),1)*(1+$E50*kdo_iadeEtkiCarpani),0))</f>
        <v/>
      </c>
      <c r="H50" s="13" t="n"/>
      <c r="I50" s="13" t="n"/>
      <c r="J50" s="15">
        <f>IF($A50="","",1)</f>
        <v/>
      </c>
    </row>
    <row r="51">
      <c r="A51" s="13" t="n"/>
      <c r="B51" s="13" t="n"/>
      <c r="C51" s="16" t="n"/>
      <c r="D51" s="16" t="n"/>
      <c r="E51" s="17" t="n"/>
      <c r="F51" s="16" t="n"/>
      <c r="G51" s="15">
        <f>IF($A51="","",IFERROR(MAX(IFERROR(SUMIF(tblVeriA[SiparisNo],$A51,tblVeriA[EnCm])*SUMIF(tblVeriA[SiparisNo],$A51,tblVeriA[BoyCm])*SUMIF(tblVeriA[SiparisNo],$A51,tblVeriA[YukseklikCm])/MAX(SUMIF(tblVeriA[SiparisNo],$A51,tblVeriA[DesiCarpani]),1),0),IFERROR(SUMIF(tblVeriA[SiparisNo],$A51,tblVeriA[AgirlikKg]),0))*$C51*IFERROR(SUMIF(tblVeriA[SiparisNo],$A51,tblVeriA[Adet]),1)*(1+$E51*kdo_iadeEtkiCarpani),0))</f>
        <v/>
      </c>
      <c r="H51" s="13" t="n"/>
      <c r="I51" s="13" t="n"/>
      <c r="J51" s="15">
        <f>IF($A51="","",1)</f>
        <v/>
      </c>
    </row>
    <row r="52">
      <c r="A52" s="13" t="n"/>
      <c r="B52" s="13" t="n"/>
      <c r="C52" s="16" t="n"/>
      <c r="D52" s="16" t="n"/>
      <c r="E52" s="17" t="n"/>
      <c r="F52" s="16" t="n"/>
      <c r="G52" s="15">
        <f>IF($A52="","",IFERROR(MAX(IFERROR(SUMIF(tblVeriA[SiparisNo],$A52,tblVeriA[EnCm])*SUMIF(tblVeriA[SiparisNo],$A52,tblVeriA[BoyCm])*SUMIF(tblVeriA[SiparisNo],$A52,tblVeriA[YukseklikCm])/MAX(SUMIF(tblVeriA[SiparisNo],$A52,tblVeriA[DesiCarpani]),1),0),IFERROR(SUMIF(tblVeriA[SiparisNo],$A52,tblVeriA[AgirlikKg]),0))*$C52*IFERROR(SUMIF(tblVeriA[SiparisNo],$A52,tblVeriA[Adet]),1)*(1+$E52*kdo_iadeEtkiCarpani),0))</f>
        <v/>
      </c>
      <c r="H52" s="13" t="n"/>
      <c r="I52" s="13" t="n"/>
      <c r="J52" s="15">
        <f>IF($A52="","",1)</f>
        <v/>
      </c>
    </row>
    <row r="53">
      <c r="A53" s="13" t="n"/>
      <c r="B53" s="13" t="n"/>
      <c r="C53" s="16" t="n"/>
      <c r="D53" s="16" t="n"/>
      <c r="E53" s="17" t="n"/>
      <c r="F53" s="16" t="n"/>
      <c r="G53" s="15">
        <f>IF($A53="","",IFERROR(MAX(IFERROR(SUMIF(tblVeriA[SiparisNo],$A53,tblVeriA[EnCm])*SUMIF(tblVeriA[SiparisNo],$A53,tblVeriA[BoyCm])*SUMIF(tblVeriA[SiparisNo],$A53,tblVeriA[YukseklikCm])/MAX(SUMIF(tblVeriA[SiparisNo],$A53,tblVeriA[DesiCarpani]),1),0),IFERROR(SUMIF(tblVeriA[SiparisNo],$A53,tblVeriA[AgirlikKg]),0))*$C53*IFERROR(SUMIF(tblVeriA[SiparisNo],$A53,tblVeriA[Adet]),1)*(1+$E53*kdo_iadeEtkiCarpani),0))</f>
        <v/>
      </c>
      <c r="H53" s="13" t="n"/>
      <c r="I53" s="13" t="n"/>
      <c r="J53" s="15">
        <f>IF($A53="","",1)</f>
        <v/>
      </c>
    </row>
    <row r="54">
      <c r="A54" s="13" t="n"/>
      <c r="B54" s="13" t="n"/>
      <c r="C54" s="16" t="n"/>
      <c r="D54" s="16" t="n"/>
      <c r="E54" s="17" t="n"/>
      <c r="F54" s="16" t="n"/>
      <c r="G54" s="15">
        <f>IF($A54="","",IFERROR(MAX(IFERROR(SUMIF(tblVeriA[SiparisNo],$A54,tblVeriA[EnCm])*SUMIF(tblVeriA[SiparisNo],$A54,tblVeriA[BoyCm])*SUMIF(tblVeriA[SiparisNo],$A54,tblVeriA[YukseklikCm])/MAX(SUMIF(tblVeriA[SiparisNo],$A54,tblVeriA[DesiCarpani]),1),0),IFERROR(SUMIF(tblVeriA[SiparisNo],$A54,tblVeriA[AgirlikKg]),0))*$C54*IFERROR(SUMIF(tblVeriA[SiparisNo],$A54,tblVeriA[Adet]),1)*(1+$E54*kdo_iadeEtkiCarpani),0))</f>
        <v/>
      </c>
      <c r="H54" s="13" t="n"/>
      <c r="I54" s="13" t="n"/>
      <c r="J54" s="15">
        <f>IF($A54="","",1)</f>
        <v/>
      </c>
    </row>
    <row r="55">
      <c r="A55" s="13" t="n"/>
      <c r="B55" s="13" t="n"/>
      <c r="C55" s="16" t="n"/>
      <c r="D55" s="16" t="n"/>
      <c r="E55" s="17" t="n"/>
      <c r="F55" s="16" t="n"/>
      <c r="G55" s="15">
        <f>IF($A55="","",IFERROR(MAX(IFERROR(SUMIF(tblVeriA[SiparisNo],$A55,tblVeriA[EnCm])*SUMIF(tblVeriA[SiparisNo],$A55,tblVeriA[BoyCm])*SUMIF(tblVeriA[SiparisNo],$A55,tblVeriA[YukseklikCm])/MAX(SUMIF(tblVeriA[SiparisNo],$A55,tblVeriA[DesiCarpani]),1),0),IFERROR(SUMIF(tblVeriA[SiparisNo],$A55,tblVeriA[AgirlikKg]),0))*$C55*IFERROR(SUMIF(tblVeriA[SiparisNo],$A55,tblVeriA[Adet]),1)*(1+$E55*kdo_iadeEtkiCarpani),0))</f>
        <v/>
      </c>
      <c r="H55" s="13" t="n"/>
      <c r="I55" s="13" t="n"/>
      <c r="J55" s="15">
        <f>IF($A55="","",1)</f>
        <v/>
      </c>
    </row>
    <row r="56">
      <c r="A56" s="13" t="n"/>
      <c r="B56" s="13" t="n"/>
      <c r="C56" s="16" t="n"/>
      <c r="D56" s="16" t="n"/>
      <c r="E56" s="17" t="n"/>
      <c r="F56" s="16" t="n"/>
      <c r="G56" s="15">
        <f>IF($A56="","",IFERROR(MAX(IFERROR(SUMIF(tblVeriA[SiparisNo],$A56,tblVeriA[EnCm])*SUMIF(tblVeriA[SiparisNo],$A56,tblVeriA[BoyCm])*SUMIF(tblVeriA[SiparisNo],$A56,tblVeriA[YukseklikCm])/MAX(SUMIF(tblVeriA[SiparisNo],$A56,tblVeriA[DesiCarpani]),1),0),IFERROR(SUMIF(tblVeriA[SiparisNo],$A56,tblVeriA[AgirlikKg]),0))*$C56*IFERROR(SUMIF(tblVeriA[SiparisNo],$A56,tblVeriA[Adet]),1)*(1+$E56*kdo_iadeEtkiCarpani),0))</f>
        <v/>
      </c>
      <c r="H56" s="13" t="n"/>
      <c r="I56" s="13" t="n"/>
      <c r="J56" s="15">
        <f>IF($A56="","",1)</f>
        <v/>
      </c>
    </row>
    <row r="57">
      <c r="A57" s="13" t="n"/>
      <c r="B57" s="13" t="n"/>
      <c r="C57" s="16" t="n"/>
      <c r="D57" s="16" t="n"/>
      <c r="E57" s="17" t="n"/>
      <c r="F57" s="16" t="n"/>
      <c r="G57" s="15">
        <f>IF($A57="","",IFERROR(MAX(IFERROR(SUMIF(tblVeriA[SiparisNo],$A57,tblVeriA[EnCm])*SUMIF(tblVeriA[SiparisNo],$A57,tblVeriA[BoyCm])*SUMIF(tblVeriA[SiparisNo],$A57,tblVeriA[YukseklikCm])/MAX(SUMIF(tblVeriA[SiparisNo],$A57,tblVeriA[DesiCarpani]),1),0),IFERROR(SUMIF(tblVeriA[SiparisNo],$A57,tblVeriA[AgirlikKg]),0))*$C57*IFERROR(SUMIF(tblVeriA[SiparisNo],$A57,tblVeriA[Adet]),1)*(1+$E57*kdo_iadeEtkiCarpani),0))</f>
        <v/>
      </c>
      <c r="H57" s="13" t="n"/>
      <c r="I57" s="13" t="n"/>
      <c r="J57" s="15">
        <f>IF($A57="","",1)</f>
        <v/>
      </c>
    </row>
    <row r="58">
      <c r="A58" s="13" t="n"/>
      <c r="B58" s="13" t="n"/>
      <c r="C58" s="16" t="n"/>
      <c r="D58" s="16" t="n"/>
      <c r="E58" s="17" t="n"/>
      <c r="F58" s="16" t="n"/>
      <c r="G58" s="15">
        <f>IF($A58="","",IFERROR(MAX(IFERROR(SUMIF(tblVeriA[SiparisNo],$A58,tblVeriA[EnCm])*SUMIF(tblVeriA[SiparisNo],$A58,tblVeriA[BoyCm])*SUMIF(tblVeriA[SiparisNo],$A58,tblVeriA[YukseklikCm])/MAX(SUMIF(tblVeriA[SiparisNo],$A58,tblVeriA[DesiCarpani]),1),0),IFERROR(SUMIF(tblVeriA[SiparisNo],$A58,tblVeriA[AgirlikKg]),0))*$C58*IFERROR(SUMIF(tblVeriA[SiparisNo],$A58,tblVeriA[Adet]),1)*(1+$E58*kdo_iadeEtkiCarpani),0))</f>
        <v/>
      </c>
      <c r="H58" s="13" t="n"/>
      <c r="I58" s="13" t="n"/>
      <c r="J58" s="15">
        <f>IF($A58="","",1)</f>
        <v/>
      </c>
    </row>
    <row r="59">
      <c r="A59" s="13" t="n"/>
      <c r="B59" s="13" t="n"/>
      <c r="C59" s="16" t="n"/>
      <c r="D59" s="16" t="n"/>
      <c r="E59" s="17" t="n"/>
      <c r="F59" s="16" t="n"/>
      <c r="G59" s="15">
        <f>IF($A59="","",IFERROR(MAX(IFERROR(SUMIF(tblVeriA[SiparisNo],$A59,tblVeriA[EnCm])*SUMIF(tblVeriA[SiparisNo],$A59,tblVeriA[BoyCm])*SUMIF(tblVeriA[SiparisNo],$A59,tblVeriA[YukseklikCm])/MAX(SUMIF(tblVeriA[SiparisNo],$A59,tblVeriA[DesiCarpani]),1),0),IFERROR(SUMIF(tblVeriA[SiparisNo],$A59,tblVeriA[AgirlikKg]),0))*$C59*IFERROR(SUMIF(tblVeriA[SiparisNo],$A59,tblVeriA[Adet]),1)*(1+$E59*kdo_iadeEtkiCarpani),0))</f>
        <v/>
      </c>
      <c r="H59" s="13" t="n"/>
      <c r="I59" s="13" t="n"/>
      <c r="J59" s="15">
        <f>IF($A59="","",1)</f>
        <v/>
      </c>
    </row>
    <row r="60">
      <c r="A60" s="13" t="n"/>
      <c r="B60" s="13" t="n"/>
      <c r="C60" s="16" t="n"/>
      <c r="D60" s="16" t="n"/>
      <c r="E60" s="17" t="n"/>
      <c r="F60" s="16" t="n"/>
      <c r="G60" s="15">
        <f>IF($A60="","",IFERROR(MAX(IFERROR(SUMIF(tblVeriA[SiparisNo],$A60,tblVeriA[EnCm])*SUMIF(tblVeriA[SiparisNo],$A60,tblVeriA[BoyCm])*SUMIF(tblVeriA[SiparisNo],$A60,tblVeriA[YukseklikCm])/MAX(SUMIF(tblVeriA[SiparisNo],$A60,tblVeriA[DesiCarpani]),1),0),IFERROR(SUMIF(tblVeriA[SiparisNo],$A60,tblVeriA[AgirlikKg]),0))*$C60*IFERROR(SUMIF(tblVeriA[SiparisNo],$A60,tblVeriA[Adet]),1)*(1+$E60*kdo_iadeEtkiCarpani),0))</f>
        <v/>
      </c>
      <c r="H60" s="13" t="n"/>
      <c r="I60" s="13" t="n"/>
      <c r="J60" s="15">
        <f>IF($A60="","",1)</f>
        <v/>
      </c>
    </row>
    <row r="61">
      <c r="A61" s="13" t="n"/>
      <c r="B61" s="13" t="n"/>
      <c r="C61" s="16" t="n"/>
      <c r="D61" s="16" t="n"/>
      <c r="E61" s="17" t="n"/>
      <c r="F61" s="16" t="n"/>
      <c r="G61" s="15">
        <f>IF($A61="","",IFERROR(MAX(IFERROR(SUMIF(tblVeriA[SiparisNo],$A61,tblVeriA[EnCm])*SUMIF(tblVeriA[SiparisNo],$A61,tblVeriA[BoyCm])*SUMIF(tblVeriA[SiparisNo],$A61,tblVeriA[YukseklikCm])/MAX(SUMIF(tblVeriA[SiparisNo],$A61,tblVeriA[DesiCarpani]),1),0),IFERROR(SUMIF(tblVeriA[SiparisNo],$A61,tblVeriA[AgirlikKg]),0))*$C61*IFERROR(SUMIF(tblVeriA[SiparisNo],$A61,tblVeriA[Adet]),1)*(1+$E61*kdo_iadeEtkiCarpani),0))</f>
        <v/>
      </c>
      <c r="H61" s="13" t="n"/>
      <c r="I61" s="13" t="n"/>
      <c r="J61" s="15">
        <f>IF($A61="","",1)</f>
        <v/>
      </c>
    </row>
    <row r="62">
      <c r="A62" s="13" t="n"/>
      <c r="B62" s="13" t="n"/>
      <c r="C62" s="16" t="n"/>
      <c r="D62" s="16" t="n"/>
      <c r="E62" s="17" t="n"/>
      <c r="F62" s="16" t="n"/>
      <c r="G62" s="15">
        <f>IF($A62="","",IFERROR(MAX(IFERROR(SUMIF(tblVeriA[SiparisNo],$A62,tblVeriA[EnCm])*SUMIF(tblVeriA[SiparisNo],$A62,tblVeriA[BoyCm])*SUMIF(tblVeriA[SiparisNo],$A62,tblVeriA[YukseklikCm])/MAX(SUMIF(tblVeriA[SiparisNo],$A62,tblVeriA[DesiCarpani]),1),0),IFERROR(SUMIF(tblVeriA[SiparisNo],$A62,tblVeriA[AgirlikKg]),0))*$C62*IFERROR(SUMIF(tblVeriA[SiparisNo],$A62,tblVeriA[Adet]),1)*(1+$E62*kdo_iadeEtkiCarpani),0))</f>
        <v/>
      </c>
      <c r="H62" s="13" t="n"/>
      <c r="I62" s="13" t="n"/>
      <c r="J62" s="15">
        <f>IF($A62="","",1)</f>
        <v/>
      </c>
    </row>
    <row r="63">
      <c r="A63" s="13" t="n"/>
      <c r="B63" s="13" t="n"/>
      <c r="C63" s="16" t="n"/>
      <c r="D63" s="16" t="n"/>
      <c r="E63" s="17" t="n"/>
      <c r="F63" s="16" t="n"/>
      <c r="G63" s="15">
        <f>IF($A63="","",IFERROR(MAX(IFERROR(SUMIF(tblVeriA[SiparisNo],$A63,tblVeriA[EnCm])*SUMIF(tblVeriA[SiparisNo],$A63,tblVeriA[BoyCm])*SUMIF(tblVeriA[SiparisNo],$A63,tblVeriA[YukseklikCm])/MAX(SUMIF(tblVeriA[SiparisNo],$A63,tblVeriA[DesiCarpani]),1),0),IFERROR(SUMIF(tblVeriA[SiparisNo],$A63,tblVeriA[AgirlikKg]),0))*$C63*IFERROR(SUMIF(tblVeriA[SiparisNo],$A63,tblVeriA[Adet]),1)*(1+$E63*kdo_iadeEtkiCarpani),0))</f>
        <v/>
      </c>
      <c r="H63" s="13" t="n"/>
      <c r="I63" s="13" t="n"/>
      <c r="J63" s="15">
        <f>IF($A63="","",1)</f>
        <v/>
      </c>
    </row>
    <row r="64">
      <c r="A64" s="13" t="n"/>
      <c r="B64" s="13" t="n"/>
      <c r="C64" s="16" t="n"/>
      <c r="D64" s="16" t="n"/>
      <c r="E64" s="17" t="n"/>
      <c r="F64" s="16" t="n"/>
      <c r="G64" s="15">
        <f>IF($A64="","",IFERROR(MAX(IFERROR(SUMIF(tblVeriA[SiparisNo],$A64,tblVeriA[EnCm])*SUMIF(tblVeriA[SiparisNo],$A64,tblVeriA[BoyCm])*SUMIF(tblVeriA[SiparisNo],$A64,tblVeriA[YukseklikCm])/MAX(SUMIF(tblVeriA[SiparisNo],$A64,tblVeriA[DesiCarpani]),1),0),IFERROR(SUMIF(tblVeriA[SiparisNo],$A64,tblVeriA[AgirlikKg]),0))*$C64*IFERROR(SUMIF(tblVeriA[SiparisNo],$A64,tblVeriA[Adet]),1)*(1+$E64*kdo_iadeEtkiCarpani),0))</f>
        <v/>
      </c>
      <c r="H64" s="13" t="n"/>
      <c r="I64" s="13" t="n"/>
      <c r="J64" s="15">
        <f>IF($A64="","",1)</f>
        <v/>
      </c>
    </row>
    <row r="65">
      <c r="A65" s="13" t="n"/>
      <c r="B65" s="13" t="n"/>
      <c r="C65" s="16" t="n"/>
      <c r="D65" s="16" t="n"/>
      <c r="E65" s="17" t="n"/>
      <c r="F65" s="16" t="n"/>
      <c r="G65" s="15">
        <f>IF($A65="","",IFERROR(MAX(IFERROR(SUMIF(tblVeriA[SiparisNo],$A65,tblVeriA[EnCm])*SUMIF(tblVeriA[SiparisNo],$A65,tblVeriA[BoyCm])*SUMIF(tblVeriA[SiparisNo],$A65,tblVeriA[YukseklikCm])/MAX(SUMIF(tblVeriA[SiparisNo],$A65,tblVeriA[DesiCarpani]),1),0),IFERROR(SUMIF(tblVeriA[SiparisNo],$A65,tblVeriA[AgirlikKg]),0))*$C65*IFERROR(SUMIF(tblVeriA[SiparisNo],$A65,tblVeriA[Adet]),1)*(1+$E65*kdo_iadeEtkiCarpani),0))</f>
        <v/>
      </c>
      <c r="H65" s="13" t="n"/>
      <c r="I65" s="13" t="n"/>
      <c r="J65" s="15">
        <f>IF($A65="","",1)</f>
        <v/>
      </c>
    </row>
    <row r="66">
      <c r="A66" s="13" t="n"/>
      <c r="B66" s="13" t="n"/>
      <c r="C66" s="16" t="n"/>
      <c r="D66" s="16" t="n"/>
      <c r="E66" s="17" t="n"/>
      <c r="F66" s="16" t="n"/>
      <c r="G66" s="15">
        <f>IF($A66="","",IFERROR(MAX(IFERROR(SUMIF(tblVeriA[SiparisNo],$A66,tblVeriA[EnCm])*SUMIF(tblVeriA[SiparisNo],$A66,tblVeriA[BoyCm])*SUMIF(tblVeriA[SiparisNo],$A66,tblVeriA[YukseklikCm])/MAX(SUMIF(tblVeriA[SiparisNo],$A66,tblVeriA[DesiCarpani]),1),0),IFERROR(SUMIF(tblVeriA[SiparisNo],$A66,tblVeriA[AgirlikKg]),0))*$C66*IFERROR(SUMIF(tblVeriA[SiparisNo],$A66,tblVeriA[Adet]),1)*(1+$E66*kdo_iadeEtkiCarpani),0))</f>
        <v/>
      </c>
      <c r="H66" s="13" t="n"/>
      <c r="I66" s="13" t="n"/>
      <c r="J66" s="15">
        <f>IF($A66="","",1)</f>
        <v/>
      </c>
    </row>
    <row r="67">
      <c r="A67" s="13" t="n"/>
      <c r="B67" s="13" t="n"/>
      <c r="C67" s="16" t="n"/>
      <c r="D67" s="16" t="n"/>
      <c r="E67" s="17" t="n"/>
      <c r="F67" s="16" t="n"/>
      <c r="G67" s="15">
        <f>IF($A67="","",IFERROR(MAX(IFERROR(SUMIF(tblVeriA[SiparisNo],$A67,tblVeriA[EnCm])*SUMIF(tblVeriA[SiparisNo],$A67,tblVeriA[BoyCm])*SUMIF(tblVeriA[SiparisNo],$A67,tblVeriA[YukseklikCm])/MAX(SUMIF(tblVeriA[SiparisNo],$A67,tblVeriA[DesiCarpani]),1),0),IFERROR(SUMIF(tblVeriA[SiparisNo],$A67,tblVeriA[AgirlikKg]),0))*$C67*IFERROR(SUMIF(tblVeriA[SiparisNo],$A67,tblVeriA[Adet]),1)*(1+$E67*kdo_iadeEtkiCarpani),0))</f>
        <v/>
      </c>
      <c r="H67" s="13" t="n"/>
      <c r="I67" s="13" t="n"/>
      <c r="J67" s="15">
        <f>IF($A67="","",1)</f>
        <v/>
      </c>
    </row>
    <row r="68">
      <c r="A68" s="13" t="n"/>
      <c r="B68" s="13" t="n"/>
      <c r="C68" s="16" t="n"/>
      <c r="D68" s="16" t="n"/>
      <c r="E68" s="17" t="n"/>
      <c r="F68" s="16" t="n"/>
      <c r="G68" s="15">
        <f>IF($A68="","",IFERROR(MAX(IFERROR(SUMIF(tblVeriA[SiparisNo],$A68,tblVeriA[EnCm])*SUMIF(tblVeriA[SiparisNo],$A68,tblVeriA[BoyCm])*SUMIF(tblVeriA[SiparisNo],$A68,tblVeriA[YukseklikCm])/MAX(SUMIF(tblVeriA[SiparisNo],$A68,tblVeriA[DesiCarpani]),1),0),IFERROR(SUMIF(tblVeriA[SiparisNo],$A68,tblVeriA[AgirlikKg]),0))*$C68*IFERROR(SUMIF(tblVeriA[SiparisNo],$A68,tblVeriA[Adet]),1)*(1+$E68*kdo_iadeEtkiCarpani),0))</f>
        <v/>
      </c>
      <c r="H68" s="13" t="n"/>
      <c r="I68" s="13" t="n"/>
      <c r="J68" s="15">
        <f>IF($A68="","",1)</f>
        <v/>
      </c>
    </row>
    <row r="69">
      <c r="A69" s="13" t="n"/>
      <c r="B69" s="13" t="n"/>
      <c r="C69" s="16" t="n"/>
      <c r="D69" s="16" t="n"/>
      <c r="E69" s="17" t="n"/>
      <c r="F69" s="16" t="n"/>
      <c r="G69" s="15">
        <f>IF($A69="","",IFERROR(MAX(IFERROR(SUMIF(tblVeriA[SiparisNo],$A69,tblVeriA[EnCm])*SUMIF(tblVeriA[SiparisNo],$A69,tblVeriA[BoyCm])*SUMIF(tblVeriA[SiparisNo],$A69,tblVeriA[YukseklikCm])/MAX(SUMIF(tblVeriA[SiparisNo],$A69,tblVeriA[DesiCarpani]),1),0),IFERROR(SUMIF(tblVeriA[SiparisNo],$A69,tblVeriA[AgirlikKg]),0))*$C69*IFERROR(SUMIF(tblVeriA[SiparisNo],$A69,tblVeriA[Adet]),1)*(1+$E69*kdo_iadeEtkiCarpani),0))</f>
        <v/>
      </c>
      <c r="H69" s="13" t="n"/>
      <c r="I69" s="13" t="n"/>
      <c r="J69" s="15">
        <f>IF($A69="","",1)</f>
        <v/>
      </c>
    </row>
    <row r="70">
      <c r="A70" s="13" t="n"/>
      <c r="B70" s="13" t="n"/>
      <c r="C70" s="16" t="n"/>
      <c r="D70" s="16" t="n"/>
      <c r="E70" s="17" t="n"/>
      <c r="F70" s="16" t="n"/>
      <c r="G70" s="15">
        <f>IF($A70="","",IFERROR(MAX(IFERROR(SUMIF(tblVeriA[SiparisNo],$A70,tblVeriA[EnCm])*SUMIF(tblVeriA[SiparisNo],$A70,tblVeriA[BoyCm])*SUMIF(tblVeriA[SiparisNo],$A70,tblVeriA[YukseklikCm])/MAX(SUMIF(tblVeriA[SiparisNo],$A70,tblVeriA[DesiCarpani]),1),0),IFERROR(SUMIF(tblVeriA[SiparisNo],$A70,tblVeriA[AgirlikKg]),0))*$C70*IFERROR(SUMIF(tblVeriA[SiparisNo],$A70,tblVeriA[Adet]),1)*(1+$E70*kdo_iadeEtkiCarpani),0))</f>
        <v/>
      </c>
      <c r="H70" s="13" t="n"/>
      <c r="I70" s="13" t="n"/>
      <c r="J70" s="15">
        <f>IF($A70="","",1)</f>
        <v/>
      </c>
    </row>
    <row r="71">
      <c r="A71" s="13" t="n"/>
      <c r="B71" s="13" t="n"/>
      <c r="C71" s="16" t="n"/>
      <c r="D71" s="16" t="n"/>
      <c r="E71" s="17" t="n"/>
      <c r="F71" s="16" t="n"/>
      <c r="G71" s="15">
        <f>IF($A71="","",IFERROR(MAX(IFERROR(SUMIF(tblVeriA[SiparisNo],$A71,tblVeriA[EnCm])*SUMIF(tblVeriA[SiparisNo],$A71,tblVeriA[BoyCm])*SUMIF(tblVeriA[SiparisNo],$A71,tblVeriA[YukseklikCm])/MAX(SUMIF(tblVeriA[SiparisNo],$A71,tblVeriA[DesiCarpani]),1),0),IFERROR(SUMIF(tblVeriA[SiparisNo],$A71,tblVeriA[AgirlikKg]),0))*$C71*IFERROR(SUMIF(tblVeriA[SiparisNo],$A71,tblVeriA[Adet]),1)*(1+$E71*kdo_iadeEtkiCarpani),0))</f>
        <v/>
      </c>
      <c r="H71" s="13" t="n"/>
      <c r="I71" s="13" t="n"/>
      <c r="J71" s="15">
        <f>IF($A71="","",1)</f>
        <v/>
      </c>
    </row>
    <row r="72">
      <c r="A72" s="13" t="n"/>
      <c r="B72" s="13" t="n"/>
      <c r="C72" s="16" t="n"/>
      <c r="D72" s="16" t="n"/>
      <c r="E72" s="17" t="n"/>
      <c r="F72" s="16" t="n"/>
      <c r="G72" s="15">
        <f>IF($A72="","",IFERROR(MAX(IFERROR(SUMIF(tblVeriA[SiparisNo],$A72,tblVeriA[EnCm])*SUMIF(tblVeriA[SiparisNo],$A72,tblVeriA[BoyCm])*SUMIF(tblVeriA[SiparisNo],$A72,tblVeriA[YukseklikCm])/MAX(SUMIF(tblVeriA[SiparisNo],$A72,tblVeriA[DesiCarpani]),1),0),IFERROR(SUMIF(tblVeriA[SiparisNo],$A72,tblVeriA[AgirlikKg]),0))*$C72*IFERROR(SUMIF(tblVeriA[SiparisNo],$A72,tblVeriA[Adet]),1)*(1+$E72*kdo_iadeEtkiCarpani),0))</f>
        <v/>
      </c>
      <c r="H72" s="13" t="n"/>
      <c r="I72" s="13" t="n"/>
      <c r="J72" s="15">
        <f>IF($A72="","",1)</f>
        <v/>
      </c>
    </row>
    <row r="73">
      <c r="A73" s="13" t="n"/>
      <c r="B73" s="13" t="n"/>
      <c r="C73" s="16" t="n"/>
      <c r="D73" s="16" t="n"/>
      <c r="E73" s="17" t="n"/>
      <c r="F73" s="16" t="n"/>
      <c r="G73" s="15">
        <f>IF($A73="","",IFERROR(MAX(IFERROR(SUMIF(tblVeriA[SiparisNo],$A73,tblVeriA[EnCm])*SUMIF(tblVeriA[SiparisNo],$A73,tblVeriA[BoyCm])*SUMIF(tblVeriA[SiparisNo],$A73,tblVeriA[YukseklikCm])/MAX(SUMIF(tblVeriA[SiparisNo],$A73,tblVeriA[DesiCarpani]),1),0),IFERROR(SUMIF(tblVeriA[SiparisNo],$A73,tblVeriA[AgirlikKg]),0))*$C73*IFERROR(SUMIF(tblVeriA[SiparisNo],$A73,tblVeriA[Adet]),1)*(1+$E73*kdo_iadeEtkiCarpani),0))</f>
        <v/>
      </c>
      <c r="H73" s="13" t="n"/>
      <c r="I73" s="13" t="n"/>
      <c r="J73" s="15">
        <f>IF($A73="","",1)</f>
        <v/>
      </c>
    </row>
    <row r="74">
      <c r="A74" s="13" t="n"/>
      <c r="B74" s="13" t="n"/>
      <c r="C74" s="16" t="n"/>
      <c r="D74" s="16" t="n"/>
      <c r="E74" s="17" t="n"/>
      <c r="F74" s="16" t="n"/>
      <c r="G74" s="15">
        <f>IF($A74="","",IFERROR(MAX(IFERROR(SUMIF(tblVeriA[SiparisNo],$A74,tblVeriA[EnCm])*SUMIF(tblVeriA[SiparisNo],$A74,tblVeriA[BoyCm])*SUMIF(tblVeriA[SiparisNo],$A74,tblVeriA[YukseklikCm])/MAX(SUMIF(tblVeriA[SiparisNo],$A74,tblVeriA[DesiCarpani]),1),0),IFERROR(SUMIF(tblVeriA[SiparisNo],$A74,tblVeriA[AgirlikKg]),0))*$C74*IFERROR(SUMIF(tblVeriA[SiparisNo],$A74,tblVeriA[Adet]),1)*(1+$E74*kdo_iadeEtkiCarpani),0))</f>
        <v/>
      </c>
      <c r="H74" s="13" t="n"/>
      <c r="I74" s="13" t="n"/>
      <c r="J74" s="15">
        <f>IF($A74="","",1)</f>
        <v/>
      </c>
    </row>
    <row r="75">
      <c r="A75" s="13" t="n"/>
      <c r="B75" s="13" t="n"/>
      <c r="C75" s="16" t="n"/>
      <c r="D75" s="16" t="n"/>
      <c r="E75" s="17" t="n"/>
      <c r="F75" s="16" t="n"/>
      <c r="G75" s="15">
        <f>IF($A75="","",IFERROR(MAX(IFERROR(SUMIF(tblVeriA[SiparisNo],$A75,tblVeriA[EnCm])*SUMIF(tblVeriA[SiparisNo],$A75,tblVeriA[BoyCm])*SUMIF(tblVeriA[SiparisNo],$A75,tblVeriA[YukseklikCm])/MAX(SUMIF(tblVeriA[SiparisNo],$A75,tblVeriA[DesiCarpani]),1),0),IFERROR(SUMIF(tblVeriA[SiparisNo],$A75,tblVeriA[AgirlikKg]),0))*$C75*IFERROR(SUMIF(tblVeriA[SiparisNo],$A75,tblVeriA[Adet]),1)*(1+$E75*kdo_iadeEtkiCarpani),0))</f>
        <v/>
      </c>
      <c r="H75" s="13" t="n"/>
      <c r="I75" s="13" t="n"/>
      <c r="J75" s="15">
        <f>IF($A75="","",1)</f>
        <v/>
      </c>
    </row>
    <row r="76">
      <c r="A76" s="13" t="n"/>
      <c r="B76" s="13" t="n"/>
      <c r="C76" s="16" t="n"/>
      <c r="D76" s="16" t="n"/>
      <c r="E76" s="17" t="n"/>
      <c r="F76" s="16" t="n"/>
      <c r="G76" s="15">
        <f>IF($A76="","",IFERROR(MAX(IFERROR(SUMIF(tblVeriA[SiparisNo],$A76,tblVeriA[EnCm])*SUMIF(tblVeriA[SiparisNo],$A76,tblVeriA[BoyCm])*SUMIF(tblVeriA[SiparisNo],$A76,tblVeriA[YukseklikCm])/MAX(SUMIF(tblVeriA[SiparisNo],$A76,tblVeriA[DesiCarpani]),1),0),IFERROR(SUMIF(tblVeriA[SiparisNo],$A76,tblVeriA[AgirlikKg]),0))*$C76*IFERROR(SUMIF(tblVeriA[SiparisNo],$A76,tblVeriA[Adet]),1)*(1+$E76*kdo_iadeEtkiCarpani),0))</f>
        <v/>
      </c>
      <c r="H76" s="13" t="n"/>
      <c r="I76" s="13" t="n"/>
      <c r="J76" s="15">
        <f>IF($A76="","",1)</f>
        <v/>
      </c>
    </row>
    <row r="77">
      <c r="A77" s="13" t="n"/>
      <c r="B77" s="13" t="n"/>
      <c r="C77" s="16" t="n"/>
      <c r="D77" s="16" t="n"/>
      <c r="E77" s="17" t="n"/>
      <c r="F77" s="16" t="n"/>
      <c r="G77" s="15">
        <f>IF($A77="","",IFERROR(MAX(IFERROR(SUMIF(tblVeriA[SiparisNo],$A77,tblVeriA[EnCm])*SUMIF(tblVeriA[SiparisNo],$A77,tblVeriA[BoyCm])*SUMIF(tblVeriA[SiparisNo],$A77,tblVeriA[YukseklikCm])/MAX(SUMIF(tblVeriA[SiparisNo],$A77,tblVeriA[DesiCarpani]),1),0),IFERROR(SUMIF(tblVeriA[SiparisNo],$A77,tblVeriA[AgirlikKg]),0))*$C77*IFERROR(SUMIF(tblVeriA[SiparisNo],$A77,tblVeriA[Adet]),1)*(1+$E77*kdo_iadeEtkiCarpani),0))</f>
        <v/>
      </c>
      <c r="H77" s="13" t="n"/>
      <c r="I77" s="13" t="n"/>
      <c r="J77" s="15">
        <f>IF($A77="","",1)</f>
        <v/>
      </c>
    </row>
    <row r="78">
      <c r="A78" s="13" t="n"/>
      <c r="B78" s="13" t="n"/>
      <c r="C78" s="16" t="n"/>
      <c r="D78" s="16" t="n"/>
      <c r="E78" s="17" t="n"/>
      <c r="F78" s="16" t="n"/>
      <c r="G78" s="15">
        <f>IF($A78="","",IFERROR(MAX(IFERROR(SUMIF(tblVeriA[SiparisNo],$A78,tblVeriA[EnCm])*SUMIF(tblVeriA[SiparisNo],$A78,tblVeriA[BoyCm])*SUMIF(tblVeriA[SiparisNo],$A78,tblVeriA[YukseklikCm])/MAX(SUMIF(tblVeriA[SiparisNo],$A78,tblVeriA[DesiCarpani]),1),0),IFERROR(SUMIF(tblVeriA[SiparisNo],$A78,tblVeriA[AgirlikKg]),0))*$C78*IFERROR(SUMIF(tblVeriA[SiparisNo],$A78,tblVeriA[Adet]),1)*(1+$E78*kdo_iadeEtkiCarpani),0))</f>
        <v/>
      </c>
      <c r="H78" s="13" t="n"/>
      <c r="I78" s="13" t="n"/>
      <c r="J78" s="15">
        <f>IF($A78="","",1)</f>
        <v/>
      </c>
    </row>
    <row r="79">
      <c r="A79" s="13" t="n"/>
      <c r="B79" s="13" t="n"/>
      <c r="C79" s="16" t="n"/>
      <c r="D79" s="16" t="n"/>
      <c r="E79" s="17" t="n"/>
      <c r="F79" s="16" t="n"/>
      <c r="G79" s="15">
        <f>IF($A79="","",IFERROR(MAX(IFERROR(SUMIF(tblVeriA[SiparisNo],$A79,tblVeriA[EnCm])*SUMIF(tblVeriA[SiparisNo],$A79,tblVeriA[BoyCm])*SUMIF(tblVeriA[SiparisNo],$A79,tblVeriA[YukseklikCm])/MAX(SUMIF(tblVeriA[SiparisNo],$A79,tblVeriA[DesiCarpani]),1),0),IFERROR(SUMIF(tblVeriA[SiparisNo],$A79,tblVeriA[AgirlikKg]),0))*$C79*IFERROR(SUMIF(tblVeriA[SiparisNo],$A79,tblVeriA[Adet]),1)*(1+$E79*kdo_iadeEtkiCarpani),0))</f>
        <v/>
      </c>
      <c r="H79" s="13" t="n"/>
      <c r="I79" s="13" t="n"/>
      <c r="J79" s="15">
        <f>IF($A79="","",1)</f>
        <v/>
      </c>
    </row>
    <row r="80">
      <c r="A80" s="13" t="n"/>
      <c r="B80" s="13" t="n"/>
      <c r="C80" s="16" t="n"/>
      <c r="D80" s="16" t="n"/>
      <c r="E80" s="17" t="n"/>
      <c r="F80" s="16" t="n"/>
      <c r="G80" s="15">
        <f>IF($A80="","",IFERROR(MAX(IFERROR(SUMIF(tblVeriA[SiparisNo],$A80,tblVeriA[EnCm])*SUMIF(tblVeriA[SiparisNo],$A80,tblVeriA[BoyCm])*SUMIF(tblVeriA[SiparisNo],$A80,tblVeriA[YukseklikCm])/MAX(SUMIF(tblVeriA[SiparisNo],$A80,tblVeriA[DesiCarpani]),1),0),IFERROR(SUMIF(tblVeriA[SiparisNo],$A80,tblVeriA[AgirlikKg]),0))*$C80*IFERROR(SUMIF(tblVeriA[SiparisNo],$A80,tblVeriA[Adet]),1)*(1+$E80*kdo_iadeEtkiCarpani),0))</f>
        <v/>
      </c>
      <c r="H80" s="13" t="n"/>
      <c r="I80" s="13" t="n"/>
      <c r="J80" s="15">
        <f>IF($A80="","",1)</f>
        <v/>
      </c>
    </row>
    <row r="81">
      <c r="A81" s="13" t="n"/>
      <c r="B81" s="13" t="n"/>
      <c r="C81" s="16" t="n"/>
      <c r="D81" s="16" t="n"/>
      <c r="E81" s="17" t="n"/>
      <c r="F81" s="16" t="n"/>
      <c r="G81" s="15">
        <f>IF($A81="","",IFERROR(MAX(IFERROR(SUMIF(tblVeriA[SiparisNo],$A81,tblVeriA[EnCm])*SUMIF(tblVeriA[SiparisNo],$A81,tblVeriA[BoyCm])*SUMIF(tblVeriA[SiparisNo],$A81,tblVeriA[YukseklikCm])/MAX(SUMIF(tblVeriA[SiparisNo],$A81,tblVeriA[DesiCarpani]),1),0),IFERROR(SUMIF(tblVeriA[SiparisNo],$A81,tblVeriA[AgirlikKg]),0))*$C81*IFERROR(SUMIF(tblVeriA[SiparisNo],$A81,tblVeriA[Adet]),1)*(1+$E81*kdo_iadeEtkiCarpani),0))</f>
        <v/>
      </c>
      <c r="H81" s="13" t="n"/>
      <c r="I81" s="13" t="n"/>
      <c r="J81" s="15">
        <f>IF($A81="","",1)</f>
        <v/>
      </c>
    </row>
    <row r="82">
      <c r="A82" s="13" t="n"/>
      <c r="B82" s="13" t="n"/>
      <c r="C82" s="16" t="n"/>
      <c r="D82" s="16" t="n"/>
      <c r="E82" s="17" t="n"/>
      <c r="F82" s="16" t="n"/>
      <c r="G82" s="15">
        <f>IF($A82="","",IFERROR(MAX(IFERROR(SUMIF(tblVeriA[SiparisNo],$A82,tblVeriA[EnCm])*SUMIF(tblVeriA[SiparisNo],$A82,tblVeriA[BoyCm])*SUMIF(tblVeriA[SiparisNo],$A82,tblVeriA[YukseklikCm])/MAX(SUMIF(tblVeriA[SiparisNo],$A82,tblVeriA[DesiCarpani]),1),0),IFERROR(SUMIF(tblVeriA[SiparisNo],$A82,tblVeriA[AgirlikKg]),0))*$C82*IFERROR(SUMIF(tblVeriA[SiparisNo],$A82,tblVeriA[Adet]),1)*(1+$E82*kdo_iadeEtkiCarpani),0))</f>
        <v/>
      </c>
      <c r="H82" s="13" t="n"/>
      <c r="I82" s="13" t="n"/>
      <c r="J82" s="15">
        <f>IF($A82="","",1)</f>
        <v/>
      </c>
    </row>
    <row r="83">
      <c r="A83" s="13" t="n"/>
      <c r="B83" s="13" t="n"/>
      <c r="C83" s="16" t="n"/>
      <c r="D83" s="16" t="n"/>
      <c r="E83" s="17" t="n"/>
      <c r="F83" s="16" t="n"/>
      <c r="G83" s="15">
        <f>IF($A83="","",IFERROR(MAX(IFERROR(SUMIF(tblVeriA[SiparisNo],$A83,tblVeriA[EnCm])*SUMIF(tblVeriA[SiparisNo],$A83,tblVeriA[BoyCm])*SUMIF(tblVeriA[SiparisNo],$A83,tblVeriA[YukseklikCm])/MAX(SUMIF(tblVeriA[SiparisNo],$A83,tblVeriA[DesiCarpani]),1),0),IFERROR(SUMIF(tblVeriA[SiparisNo],$A83,tblVeriA[AgirlikKg]),0))*$C83*IFERROR(SUMIF(tblVeriA[SiparisNo],$A83,tblVeriA[Adet]),1)*(1+$E83*kdo_iadeEtkiCarpani),0))</f>
        <v/>
      </c>
      <c r="H83" s="13" t="n"/>
      <c r="I83" s="13" t="n"/>
      <c r="J83" s="15">
        <f>IF($A83="","",1)</f>
        <v/>
      </c>
    </row>
    <row r="84">
      <c r="A84" s="13" t="n"/>
      <c r="B84" s="13" t="n"/>
      <c r="C84" s="16" t="n"/>
      <c r="D84" s="16" t="n"/>
      <c r="E84" s="17" t="n"/>
      <c r="F84" s="16" t="n"/>
      <c r="G84" s="15">
        <f>IF($A84="","",IFERROR(MAX(IFERROR(SUMIF(tblVeriA[SiparisNo],$A84,tblVeriA[EnCm])*SUMIF(tblVeriA[SiparisNo],$A84,tblVeriA[BoyCm])*SUMIF(tblVeriA[SiparisNo],$A84,tblVeriA[YukseklikCm])/MAX(SUMIF(tblVeriA[SiparisNo],$A84,tblVeriA[DesiCarpani]),1),0),IFERROR(SUMIF(tblVeriA[SiparisNo],$A84,tblVeriA[AgirlikKg]),0))*$C84*IFERROR(SUMIF(tblVeriA[SiparisNo],$A84,tblVeriA[Adet]),1)*(1+$E84*kdo_iadeEtkiCarpani),0))</f>
        <v/>
      </c>
      <c r="H84" s="13" t="n"/>
      <c r="I84" s="13" t="n"/>
      <c r="J84" s="15">
        <f>IF($A84="","",1)</f>
        <v/>
      </c>
    </row>
    <row r="85">
      <c r="A85" s="13" t="n"/>
      <c r="B85" s="13" t="n"/>
      <c r="C85" s="16" t="n"/>
      <c r="D85" s="16" t="n"/>
      <c r="E85" s="17" t="n"/>
      <c r="F85" s="16" t="n"/>
      <c r="G85" s="15">
        <f>IF($A85="","",IFERROR(MAX(IFERROR(SUMIF(tblVeriA[SiparisNo],$A85,tblVeriA[EnCm])*SUMIF(tblVeriA[SiparisNo],$A85,tblVeriA[BoyCm])*SUMIF(tblVeriA[SiparisNo],$A85,tblVeriA[YukseklikCm])/MAX(SUMIF(tblVeriA[SiparisNo],$A85,tblVeriA[DesiCarpani]),1),0),IFERROR(SUMIF(tblVeriA[SiparisNo],$A85,tblVeriA[AgirlikKg]),0))*$C85*IFERROR(SUMIF(tblVeriA[SiparisNo],$A85,tblVeriA[Adet]),1)*(1+$E85*kdo_iadeEtkiCarpani),0))</f>
        <v/>
      </c>
      <c r="H85" s="13" t="n"/>
      <c r="I85" s="13" t="n"/>
      <c r="J85" s="15">
        <f>IF($A85="","",1)</f>
        <v/>
      </c>
    </row>
    <row r="86">
      <c r="A86" s="13" t="n"/>
      <c r="B86" s="13" t="n"/>
      <c r="C86" s="16" t="n"/>
      <c r="D86" s="16" t="n"/>
      <c r="E86" s="17" t="n"/>
      <c r="F86" s="16" t="n"/>
      <c r="G86" s="15">
        <f>IF($A86="","",IFERROR(MAX(IFERROR(SUMIF(tblVeriA[SiparisNo],$A86,tblVeriA[EnCm])*SUMIF(tblVeriA[SiparisNo],$A86,tblVeriA[BoyCm])*SUMIF(tblVeriA[SiparisNo],$A86,tblVeriA[YukseklikCm])/MAX(SUMIF(tblVeriA[SiparisNo],$A86,tblVeriA[DesiCarpani]),1),0),IFERROR(SUMIF(tblVeriA[SiparisNo],$A86,tblVeriA[AgirlikKg]),0))*$C86*IFERROR(SUMIF(tblVeriA[SiparisNo],$A86,tblVeriA[Adet]),1)*(1+$E86*kdo_iadeEtkiCarpani),0))</f>
        <v/>
      </c>
      <c r="H86" s="13" t="n"/>
      <c r="I86" s="13" t="n"/>
      <c r="J86" s="15">
        <f>IF($A86="","",1)</f>
        <v/>
      </c>
    </row>
    <row r="87">
      <c r="A87" s="13" t="n"/>
      <c r="B87" s="13" t="n"/>
      <c r="C87" s="16" t="n"/>
      <c r="D87" s="16" t="n"/>
      <c r="E87" s="17" t="n"/>
      <c r="F87" s="16" t="n"/>
      <c r="G87" s="15">
        <f>IF($A87="","",IFERROR(MAX(IFERROR(SUMIF(tblVeriA[SiparisNo],$A87,tblVeriA[EnCm])*SUMIF(tblVeriA[SiparisNo],$A87,tblVeriA[BoyCm])*SUMIF(tblVeriA[SiparisNo],$A87,tblVeriA[YukseklikCm])/MAX(SUMIF(tblVeriA[SiparisNo],$A87,tblVeriA[DesiCarpani]),1),0),IFERROR(SUMIF(tblVeriA[SiparisNo],$A87,tblVeriA[AgirlikKg]),0))*$C87*IFERROR(SUMIF(tblVeriA[SiparisNo],$A87,tblVeriA[Adet]),1)*(1+$E87*kdo_iadeEtkiCarpani),0))</f>
        <v/>
      </c>
      <c r="H87" s="13" t="n"/>
      <c r="I87" s="13" t="n"/>
      <c r="J87" s="15">
        <f>IF($A87="","",1)</f>
        <v/>
      </c>
    </row>
    <row r="88">
      <c r="A88" s="13" t="n"/>
      <c r="B88" s="13" t="n"/>
      <c r="C88" s="16" t="n"/>
      <c r="D88" s="16" t="n"/>
      <c r="E88" s="17" t="n"/>
      <c r="F88" s="16" t="n"/>
      <c r="G88" s="15">
        <f>IF($A88="","",IFERROR(MAX(IFERROR(SUMIF(tblVeriA[SiparisNo],$A88,tblVeriA[EnCm])*SUMIF(tblVeriA[SiparisNo],$A88,tblVeriA[BoyCm])*SUMIF(tblVeriA[SiparisNo],$A88,tblVeriA[YukseklikCm])/MAX(SUMIF(tblVeriA[SiparisNo],$A88,tblVeriA[DesiCarpani]),1),0),IFERROR(SUMIF(tblVeriA[SiparisNo],$A88,tblVeriA[AgirlikKg]),0))*$C88*IFERROR(SUMIF(tblVeriA[SiparisNo],$A88,tblVeriA[Adet]),1)*(1+$E88*kdo_iadeEtkiCarpani),0))</f>
        <v/>
      </c>
      <c r="H88" s="13" t="n"/>
      <c r="I88" s="13" t="n"/>
      <c r="J88" s="15">
        <f>IF($A88="","",1)</f>
        <v/>
      </c>
    </row>
    <row r="89">
      <c r="A89" s="13" t="n"/>
      <c r="B89" s="13" t="n"/>
      <c r="C89" s="16" t="n"/>
      <c r="D89" s="16" t="n"/>
      <c r="E89" s="17" t="n"/>
      <c r="F89" s="16" t="n"/>
      <c r="G89" s="15">
        <f>IF($A89="","",IFERROR(MAX(IFERROR(SUMIF(tblVeriA[SiparisNo],$A89,tblVeriA[EnCm])*SUMIF(tblVeriA[SiparisNo],$A89,tblVeriA[BoyCm])*SUMIF(tblVeriA[SiparisNo],$A89,tblVeriA[YukseklikCm])/MAX(SUMIF(tblVeriA[SiparisNo],$A89,tblVeriA[DesiCarpani]),1),0),IFERROR(SUMIF(tblVeriA[SiparisNo],$A89,tblVeriA[AgirlikKg]),0))*$C89*IFERROR(SUMIF(tblVeriA[SiparisNo],$A89,tblVeriA[Adet]),1)*(1+$E89*kdo_iadeEtkiCarpani),0))</f>
        <v/>
      </c>
      <c r="H89" s="13" t="n"/>
      <c r="I89" s="13" t="n"/>
      <c r="J89" s="15">
        <f>IF($A89="","",1)</f>
        <v/>
      </c>
    </row>
    <row r="90">
      <c r="A90" s="13" t="n"/>
      <c r="B90" s="13" t="n"/>
      <c r="C90" s="16" t="n"/>
      <c r="D90" s="16" t="n"/>
      <c r="E90" s="17" t="n"/>
      <c r="F90" s="16" t="n"/>
      <c r="G90" s="15">
        <f>IF($A90="","",IFERROR(MAX(IFERROR(SUMIF(tblVeriA[SiparisNo],$A90,tblVeriA[EnCm])*SUMIF(tblVeriA[SiparisNo],$A90,tblVeriA[BoyCm])*SUMIF(tblVeriA[SiparisNo],$A90,tblVeriA[YukseklikCm])/MAX(SUMIF(tblVeriA[SiparisNo],$A90,tblVeriA[DesiCarpani]),1),0),IFERROR(SUMIF(tblVeriA[SiparisNo],$A90,tblVeriA[AgirlikKg]),0))*$C90*IFERROR(SUMIF(tblVeriA[SiparisNo],$A90,tblVeriA[Adet]),1)*(1+$E90*kdo_iadeEtkiCarpani),0))</f>
        <v/>
      </c>
      <c r="H90" s="13" t="n"/>
      <c r="I90" s="13" t="n"/>
      <c r="J90" s="15">
        <f>IF($A90="","",1)</f>
        <v/>
      </c>
    </row>
    <row r="91">
      <c r="A91" s="13" t="n"/>
      <c r="B91" s="13" t="n"/>
      <c r="C91" s="16" t="n"/>
      <c r="D91" s="16" t="n"/>
      <c r="E91" s="17" t="n"/>
      <c r="F91" s="16" t="n"/>
      <c r="G91" s="15">
        <f>IF($A91="","",IFERROR(MAX(IFERROR(SUMIF(tblVeriA[SiparisNo],$A91,tblVeriA[EnCm])*SUMIF(tblVeriA[SiparisNo],$A91,tblVeriA[BoyCm])*SUMIF(tblVeriA[SiparisNo],$A91,tblVeriA[YukseklikCm])/MAX(SUMIF(tblVeriA[SiparisNo],$A91,tblVeriA[DesiCarpani]),1),0),IFERROR(SUMIF(tblVeriA[SiparisNo],$A91,tblVeriA[AgirlikKg]),0))*$C91*IFERROR(SUMIF(tblVeriA[SiparisNo],$A91,tblVeriA[Adet]),1)*(1+$E91*kdo_iadeEtkiCarpani),0))</f>
        <v/>
      </c>
      <c r="H91" s="13" t="n"/>
      <c r="I91" s="13" t="n"/>
      <c r="J91" s="15">
        <f>IF($A91="","",1)</f>
        <v/>
      </c>
    </row>
    <row r="92">
      <c r="A92" s="13" t="n"/>
      <c r="B92" s="13" t="n"/>
      <c r="C92" s="16" t="n"/>
      <c r="D92" s="16" t="n"/>
      <c r="E92" s="17" t="n"/>
      <c r="F92" s="16" t="n"/>
      <c r="G92" s="15">
        <f>IF($A92="","",IFERROR(MAX(IFERROR(SUMIF(tblVeriA[SiparisNo],$A92,tblVeriA[EnCm])*SUMIF(tblVeriA[SiparisNo],$A92,tblVeriA[BoyCm])*SUMIF(tblVeriA[SiparisNo],$A92,tblVeriA[YukseklikCm])/MAX(SUMIF(tblVeriA[SiparisNo],$A92,tblVeriA[DesiCarpani]),1),0),IFERROR(SUMIF(tblVeriA[SiparisNo],$A92,tblVeriA[AgirlikKg]),0))*$C92*IFERROR(SUMIF(tblVeriA[SiparisNo],$A92,tblVeriA[Adet]),1)*(1+$E92*kdo_iadeEtkiCarpani),0))</f>
        <v/>
      </c>
      <c r="H92" s="13" t="n"/>
      <c r="I92" s="13" t="n"/>
      <c r="J92" s="15">
        <f>IF($A92="","",1)</f>
        <v/>
      </c>
    </row>
    <row r="93">
      <c r="A93" s="13" t="n"/>
      <c r="B93" s="13" t="n"/>
      <c r="C93" s="16" t="n"/>
      <c r="D93" s="16" t="n"/>
      <c r="E93" s="17" t="n"/>
      <c r="F93" s="16" t="n"/>
      <c r="G93" s="15">
        <f>IF($A93="","",IFERROR(MAX(IFERROR(SUMIF(tblVeriA[SiparisNo],$A93,tblVeriA[EnCm])*SUMIF(tblVeriA[SiparisNo],$A93,tblVeriA[BoyCm])*SUMIF(tblVeriA[SiparisNo],$A93,tblVeriA[YukseklikCm])/MAX(SUMIF(tblVeriA[SiparisNo],$A93,tblVeriA[DesiCarpani]),1),0),IFERROR(SUMIF(tblVeriA[SiparisNo],$A93,tblVeriA[AgirlikKg]),0))*$C93*IFERROR(SUMIF(tblVeriA[SiparisNo],$A93,tblVeriA[Adet]),1)*(1+$E93*kdo_iadeEtkiCarpani),0))</f>
        <v/>
      </c>
      <c r="H93" s="13" t="n"/>
      <c r="I93" s="13" t="n"/>
      <c r="J93" s="15">
        <f>IF($A93="","",1)</f>
        <v/>
      </c>
    </row>
    <row r="94">
      <c r="A94" s="13" t="n"/>
      <c r="B94" s="13" t="n"/>
      <c r="C94" s="16" t="n"/>
      <c r="D94" s="16" t="n"/>
      <c r="E94" s="17" t="n"/>
      <c r="F94" s="16" t="n"/>
      <c r="G94" s="15">
        <f>IF($A94="","",IFERROR(MAX(IFERROR(SUMIF(tblVeriA[SiparisNo],$A94,tblVeriA[EnCm])*SUMIF(tblVeriA[SiparisNo],$A94,tblVeriA[BoyCm])*SUMIF(tblVeriA[SiparisNo],$A94,tblVeriA[YukseklikCm])/MAX(SUMIF(tblVeriA[SiparisNo],$A94,tblVeriA[DesiCarpani]),1),0),IFERROR(SUMIF(tblVeriA[SiparisNo],$A94,tblVeriA[AgirlikKg]),0))*$C94*IFERROR(SUMIF(tblVeriA[SiparisNo],$A94,tblVeriA[Adet]),1)*(1+$E94*kdo_iadeEtkiCarpani),0))</f>
        <v/>
      </c>
      <c r="H94" s="13" t="n"/>
      <c r="I94" s="13" t="n"/>
      <c r="J94" s="15">
        <f>IF($A94="","",1)</f>
        <v/>
      </c>
    </row>
    <row r="95">
      <c r="A95" s="13" t="n"/>
      <c r="B95" s="13" t="n"/>
      <c r="C95" s="16" t="n"/>
      <c r="D95" s="16" t="n"/>
      <c r="E95" s="17" t="n"/>
      <c r="F95" s="16" t="n"/>
      <c r="G95" s="15">
        <f>IF($A95="","",IFERROR(MAX(IFERROR(SUMIF(tblVeriA[SiparisNo],$A95,tblVeriA[EnCm])*SUMIF(tblVeriA[SiparisNo],$A95,tblVeriA[BoyCm])*SUMIF(tblVeriA[SiparisNo],$A95,tblVeriA[YukseklikCm])/MAX(SUMIF(tblVeriA[SiparisNo],$A95,tblVeriA[DesiCarpani]),1),0),IFERROR(SUMIF(tblVeriA[SiparisNo],$A95,tblVeriA[AgirlikKg]),0))*$C95*IFERROR(SUMIF(tblVeriA[SiparisNo],$A95,tblVeriA[Adet]),1)*(1+$E95*kdo_iadeEtkiCarpani),0))</f>
        <v/>
      </c>
      <c r="H95" s="13" t="n"/>
      <c r="I95" s="13" t="n"/>
      <c r="J95" s="15">
        <f>IF($A95="","",1)</f>
        <v/>
      </c>
    </row>
    <row r="96">
      <c r="A96" s="13" t="n"/>
      <c r="B96" s="13" t="n"/>
      <c r="C96" s="16" t="n"/>
      <c r="D96" s="16" t="n"/>
      <c r="E96" s="17" t="n"/>
      <c r="F96" s="16" t="n"/>
      <c r="G96" s="15">
        <f>IF($A96="","",IFERROR(MAX(IFERROR(SUMIF(tblVeriA[SiparisNo],$A96,tblVeriA[EnCm])*SUMIF(tblVeriA[SiparisNo],$A96,tblVeriA[BoyCm])*SUMIF(tblVeriA[SiparisNo],$A96,tblVeriA[YukseklikCm])/MAX(SUMIF(tblVeriA[SiparisNo],$A96,tblVeriA[DesiCarpani]),1),0),IFERROR(SUMIF(tblVeriA[SiparisNo],$A96,tblVeriA[AgirlikKg]),0))*$C96*IFERROR(SUMIF(tblVeriA[SiparisNo],$A96,tblVeriA[Adet]),1)*(1+$E96*kdo_iadeEtkiCarpani),0))</f>
        <v/>
      </c>
      <c r="H96" s="13" t="n"/>
      <c r="I96" s="13" t="n"/>
      <c r="J96" s="15">
        <f>IF($A96="","",1)</f>
        <v/>
      </c>
    </row>
    <row r="97">
      <c r="A97" s="13" t="n"/>
      <c r="B97" s="13" t="n"/>
      <c r="C97" s="16" t="n"/>
      <c r="D97" s="16" t="n"/>
      <c r="E97" s="17" t="n"/>
      <c r="F97" s="16" t="n"/>
      <c r="G97" s="15">
        <f>IF($A97="","",IFERROR(MAX(IFERROR(SUMIF(tblVeriA[SiparisNo],$A97,tblVeriA[EnCm])*SUMIF(tblVeriA[SiparisNo],$A97,tblVeriA[BoyCm])*SUMIF(tblVeriA[SiparisNo],$A97,tblVeriA[YukseklikCm])/MAX(SUMIF(tblVeriA[SiparisNo],$A97,tblVeriA[DesiCarpani]),1),0),IFERROR(SUMIF(tblVeriA[SiparisNo],$A97,tblVeriA[AgirlikKg]),0))*$C97*IFERROR(SUMIF(tblVeriA[SiparisNo],$A97,tblVeriA[Adet]),1)*(1+$E97*kdo_iadeEtkiCarpani),0))</f>
        <v/>
      </c>
      <c r="H97" s="13" t="n"/>
      <c r="I97" s="13" t="n"/>
      <c r="J97" s="15">
        <f>IF($A97="","",1)</f>
        <v/>
      </c>
    </row>
    <row r="98">
      <c r="A98" s="13" t="n"/>
      <c r="B98" s="13" t="n"/>
      <c r="C98" s="16" t="n"/>
      <c r="D98" s="16" t="n"/>
      <c r="E98" s="17" t="n"/>
      <c r="F98" s="16" t="n"/>
      <c r="G98" s="15">
        <f>IF($A98="","",IFERROR(MAX(IFERROR(SUMIF(tblVeriA[SiparisNo],$A98,tblVeriA[EnCm])*SUMIF(tblVeriA[SiparisNo],$A98,tblVeriA[BoyCm])*SUMIF(tblVeriA[SiparisNo],$A98,tblVeriA[YukseklikCm])/MAX(SUMIF(tblVeriA[SiparisNo],$A98,tblVeriA[DesiCarpani]),1),0),IFERROR(SUMIF(tblVeriA[SiparisNo],$A98,tblVeriA[AgirlikKg]),0))*$C98*IFERROR(SUMIF(tblVeriA[SiparisNo],$A98,tblVeriA[Adet]),1)*(1+$E98*kdo_iadeEtkiCarpani),0))</f>
        <v/>
      </c>
      <c r="H98" s="13" t="n"/>
      <c r="I98" s="13" t="n"/>
      <c r="J98" s="15">
        <f>IF($A98="","",1)</f>
        <v/>
      </c>
    </row>
    <row r="99">
      <c r="A99" s="13" t="n"/>
      <c r="B99" s="13" t="n"/>
      <c r="C99" s="16" t="n"/>
      <c r="D99" s="16" t="n"/>
      <c r="E99" s="17" t="n"/>
      <c r="F99" s="16" t="n"/>
      <c r="G99" s="15">
        <f>IF($A99="","",IFERROR(MAX(IFERROR(SUMIF(tblVeriA[SiparisNo],$A99,tblVeriA[EnCm])*SUMIF(tblVeriA[SiparisNo],$A99,tblVeriA[BoyCm])*SUMIF(tblVeriA[SiparisNo],$A99,tblVeriA[YukseklikCm])/MAX(SUMIF(tblVeriA[SiparisNo],$A99,tblVeriA[DesiCarpani]),1),0),IFERROR(SUMIF(tblVeriA[SiparisNo],$A99,tblVeriA[AgirlikKg]),0))*$C99*IFERROR(SUMIF(tblVeriA[SiparisNo],$A99,tblVeriA[Adet]),1)*(1+$E99*kdo_iadeEtkiCarpani),0))</f>
        <v/>
      </c>
      <c r="H99" s="13" t="n"/>
      <c r="I99" s="13" t="n"/>
      <c r="J99" s="15">
        <f>IF($A99="","",1)</f>
        <v/>
      </c>
    </row>
    <row r="100">
      <c r="A100" s="13" t="n"/>
      <c r="B100" s="13" t="n"/>
      <c r="C100" s="16" t="n"/>
      <c r="D100" s="16" t="n"/>
      <c r="E100" s="17" t="n"/>
      <c r="F100" s="16" t="n"/>
      <c r="G100" s="15">
        <f>IF($A100="","",IFERROR(MAX(IFERROR(SUMIF(tblVeriA[SiparisNo],$A100,tblVeriA[EnCm])*SUMIF(tblVeriA[SiparisNo],$A100,tblVeriA[BoyCm])*SUMIF(tblVeriA[SiparisNo],$A100,tblVeriA[YukseklikCm])/MAX(SUMIF(tblVeriA[SiparisNo],$A100,tblVeriA[DesiCarpani]),1),0),IFERROR(SUMIF(tblVeriA[SiparisNo],$A100,tblVeriA[AgirlikKg]),0))*$C100*IFERROR(SUMIF(tblVeriA[SiparisNo],$A100,tblVeriA[Adet]),1)*(1+$E100*kdo_iadeEtkiCarpani),0))</f>
        <v/>
      </c>
      <c r="H100" s="13" t="n"/>
      <c r="I100" s="13" t="n"/>
      <c r="J100" s="15">
        <f>IF($A100="","",1)</f>
        <v/>
      </c>
    </row>
    <row r="101">
      <c r="A101" s="13" t="n"/>
      <c r="B101" s="13" t="n"/>
      <c r="C101" s="16" t="n"/>
      <c r="D101" s="16" t="n"/>
      <c r="E101" s="17" t="n"/>
      <c r="F101" s="16" t="n"/>
      <c r="G101" s="15">
        <f>IF($A101="","",IFERROR(MAX(IFERROR(SUMIF(tblVeriA[SiparisNo],$A101,tblVeriA[EnCm])*SUMIF(tblVeriA[SiparisNo],$A101,tblVeriA[BoyCm])*SUMIF(tblVeriA[SiparisNo],$A101,tblVeriA[YukseklikCm])/MAX(SUMIF(tblVeriA[SiparisNo],$A101,tblVeriA[DesiCarpani]),1),0),IFERROR(SUMIF(tblVeriA[SiparisNo],$A101,tblVeriA[AgirlikKg]),0))*$C101*IFERROR(SUMIF(tblVeriA[SiparisNo],$A101,tblVeriA[Adet]),1)*(1+$E101*kdo_iadeEtkiCarpani),0))</f>
        <v/>
      </c>
      <c r="H101" s="13" t="n"/>
      <c r="I101" s="13" t="n"/>
      <c r="J101" s="15">
        <f>IF($A101="","",1)</f>
        <v/>
      </c>
    </row>
    <row r="102">
      <c r="A102" s="13" t="n"/>
      <c r="B102" s="13" t="n"/>
      <c r="C102" s="16" t="n"/>
      <c r="D102" s="16" t="n"/>
      <c r="E102" s="17" t="n"/>
      <c r="F102" s="16" t="n"/>
      <c r="G102" s="15">
        <f>IF($A102="","",IFERROR(MAX(IFERROR(SUMIF(tblVeriA[SiparisNo],$A102,tblVeriA[EnCm])*SUMIF(tblVeriA[SiparisNo],$A102,tblVeriA[BoyCm])*SUMIF(tblVeriA[SiparisNo],$A102,tblVeriA[YukseklikCm])/MAX(SUMIF(tblVeriA[SiparisNo],$A102,tblVeriA[DesiCarpani]),1),0),IFERROR(SUMIF(tblVeriA[SiparisNo],$A102,tblVeriA[AgirlikKg]),0))*$C102*IFERROR(SUMIF(tblVeriA[SiparisNo],$A102,tblVeriA[Adet]),1)*(1+$E102*kdo_iadeEtkiCarpani),0))</f>
        <v/>
      </c>
      <c r="H102" s="13" t="n"/>
      <c r="I102" s="13" t="n"/>
      <c r="J102" s="15">
        <f>IF($A102="","",1)</f>
        <v/>
      </c>
    </row>
    <row r="103">
      <c r="A103" s="13" t="n"/>
      <c r="B103" s="13" t="n"/>
      <c r="C103" s="16" t="n"/>
      <c r="D103" s="16" t="n"/>
      <c r="E103" s="17" t="n"/>
      <c r="F103" s="16" t="n"/>
      <c r="G103" s="15">
        <f>IF($A103="","",IFERROR(MAX(IFERROR(SUMIF(tblVeriA[SiparisNo],$A103,tblVeriA[EnCm])*SUMIF(tblVeriA[SiparisNo],$A103,tblVeriA[BoyCm])*SUMIF(tblVeriA[SiparisNo],$A103,tblVeriA[YukseklikCm])/MAX(SUMIF(tblVeriA[SiparisNo],$A103,tblVeriA[DesiCarpani]),1),0),IFERROR(SUMIF(tblVeriA[SiparisNo],$A103,tblVeriA[AgirlikKg]),0))*$C103*IFERROR(SUMIF(tblVeriA[SiparisNo],$A103,tblVeriA[Adet]),1)*(1+$E103*kdo_iadeEtkiCarpani),0))</f>
        <v/>
      </c>
      <c r="H103" s="13" t="n"/>
      <c r="I103" s="13" t="n"/>
      <c r="J103" s="15">
        <f>IF($A103="","",1)</f>
        <v/>
      </c>
    </row>
    <row r="104">
      <c r="A104" s="13" t="n"/>
      <c r="B104" s="13" t="n"/>
      <c r="C104" s="16" t="n"/>
      <c r="D104" s="16" t="n"/>
      <c r="E104" s="17" t="n"/>
      <c r="F104" s="16" t="n"/>
      <c r="G104" s="15">
        <f>IF($A104="","",IFERROR(MAX(IFERROR(SUMIF(tblVeriA[SiparisNo],$A104,tblVeriA[EnCm])*SUMIF(tblVeriA[SiparisNo],$A104,tblVeriA[BoyCm])*SUMIF(tblVeriA[SiparisNo],$A104,tblVeriA[YukseklikCm])/MAX(SUMIF(tblVeriA[SiparisNo],$A104,tblVeriA[DesiCarpani]),1),0),IFERROR(SUMIF(tblVeriA[SiparisNo],$A104,tblVeriA[AgirlikKg]),0))*$C104*IFERROR(SUMIF(tblVeriA[SiparisNo],$A104,tblVeriA[Adet]),1)*(1+$E104*kdo_iadeEtkiCarpani),0))</f>
        <v/>
      </c>
      <c r="H104" s="13" t="n"/>
      <c r="I104" s="13" t="n"/>
      <c r="J104" s="15">
        <f>IF($A104="","",1)</f>
        <v/>
      </c>
    </row>
    <row r="105">
      <c r="A105" s="13" t="n"/>
      <c r="B105" s="13" t="n"/>
      <c r="C105" s="16" t="n"/>
      <c r="D105" s="16" t="n"/>
      <c r="E105" s="17" t="n"/>
      <c r="F105" s="16" t="n"/>
      <c r="G105" s="15">
        <f>IF($A105="","",IFERROR(MAX(IFERROR(SUMIF(tblVeriA[SiparisNo],$A105,tblVeriA[EnCm])*SUMIF(tblVeriA[SiparisNo],$A105,tblVeriA[BoyCm])*SUMIF(tblVeriA[SiparisNo],$A105,tblVeriA[YukseklikCm])/MAX(SUMIF(tblVeriA[SiparisNo],$A105,tblVeriA[DesiCarpani]),1),0),IFERROR(SUMIF(tblVeriA[SiparisNo],$A105,tblVeriA[AgirlikKg]),0))*$C105*IFERROR(SUMIF(tblVeriA[SiparisNo],$A105,tblVeriA[Adet]),1)*(1+$E105*kdo_iadeEtkiCarpani),0))</f>
        <v/>
      </c>
      <c r="H105" s="13" t="n"/>
      <c r="I105" s="13" t="n"/>
      <c r="J105" s="15">
        <f>IF($A105="","",1)</f>
        <v/>
      </c>
    </row>
    <row r="106">
      <c r="A106" s="13" t="n"/>
      <c r="B106" s="13" t="n"/>
      <c r="C106" s="16" t="n"/>
      <c r="D106" s="16" t="n"/>
      <c r="E106" s="17" t="n"/>
      <c r="F106" s="16" t="n"/>
      <c r="G106" s="15">
        <f>IF($A106="","",IFERROR(MAX(IFERROR(SUMIF(tblVeriA[SiparisNo],$A106,tblVeriA[EnCm])*SUMIF(tblVeriA[SiparisNo],$A106,tblVeriA[BoyCm])*SUMIF(tblVeriA[SiparisNo],$A106,tblVeriA[YukseklikCm])/MAX(SUMIF(tblVeriA[SiparisNo],$A106,tblVeriA[DesiCarpani]),1),0),IFERROR(SUMIF(tblVeriA[SiparisNo],$A106,tblVeriA[AgirlikKg]),0))*$C106*IFERROR(SUMIF(tblVeriA[SiparisNo],$A106,tblVeriA[Adet]),1)*(1+$E106*kdo_iadeEtkiCarpani),0))</f>
        <v/>
      </c>
      <c r="H106" s="13" t="n"/>
      <c r="I106" s="13" t="n"/>
      <c r="J106" s="15">
        <f>IF($A106="","",1)</f>
        <v/>
      </c>
    </row>
    <row r="107">
      <c r="A107" s="13" t="n"/>
      <c r="B107" s="13" t="n"/>
      <c r="C107" s="16" t="n"/>
      <c r="D107" s="16" t="n"/>
      <c r="E107" s="17" t="n"/>
      <c r="F107" s="16" t="n"/>
      <c r="G107" s="15">
        <f>IF($A107="","",IFERROR(MAX(IFERROR(SUMIF(tblVeriA[SiparisNo],$A107,tblVeriA[EnCm])*SUMIF(tblVeriA[SiparisNo],$A107,tblVeriA[BoyCm])*SUMIF(tblVeriA[SiparisNo],$A107,tblVeriA[YukseklikCm])/MAX(SUMIF(tblVeriA[SiparisNo],$A107,tblVeriA[DesiCarpani]),1),0),IFERROR(SUMIF(tblVeriA[SiparisNo],$A107,tblVeriA[AgirlikKg]),0))*$C107*IFERROR(SUMIF(tblVeriA[SiparisNo],$A107,tblVeriA[Adet]),1)*(1+$E107*kdo_iadeEtkiCarpani),0))</f>
        <v/>
      </c>
      <c r="H107" s="13" t="n"/>
      <c r="I107" s="13" t="n"/>
      <c r="J107" s="15">
        <f>IF($A107="","",1)</f>
        <v/>
      </c>
    </row>
    <row r="108">
      <c r="A108" s="13" t="n"/>
      <c r="B108" s="13" t="n"/>
      <c r="C108" s="16" t="n"/>
      <c r="D108" s="16" t="n"/>
      <c r="E108" s="17" t="n"/>
      <c r="F108" s="16" t="n"/>
      <c r="G108" s="15">
        <f>IF($A108="","",IFERROR(MAX(IFERROR(SUMIF(tblVeriA[SiparisNo],$A108,tblVeriA[EnCm])*SUMIF(tblVeriA[SiparisNo],$A108,tblVeriA[BoyCm])*SUMIF(tblVeriA[SiparisNo],$A108,tblVeriA[YukseklikCm])/MAX(SUMIF(tblVeriA[SiparisNo],$A108,tblVeriA[DesiCarpani]),1),0),IFERROR(SUMIF(tblVeriA[SiparisNo],$A108,tblVeriA[AgirlikKg]),0))*$C108*IFERROR(SUMIF(tblVeriA[SiparisNo],$A108,tblVeriA[Adet]),1)*(1+$E108*kdo_iadeEtkiCarpani),0))</f>
        <v/>
      </c>
      <c r="H108" s="13" t="n"/>
      <c r="I108" s="13" t="n"/>
      <c r="J108" s="15">
        <f>IF($A108="","",1)</f>
        <v/>
      </c>
    </row>
    <row r="109">
      <c r="A109" s="13" t="n"/>
      <c r="B109" s="13" t="n"/>
      <c r="C109" s="16" t="n"/>
      <c r="D109" s="16" t="n"/>
      <c r="E109" s="17" t="n"/>
      <c r="F109" s="16" t="n"/>
      <c r="G109" s="15">
        <f>IF($A109="","",IFERROR(MAX(IFERROR(SUMIF(tblVeriA[SiparisNo],$A109,tblVeriA[EnCm])*SUMIF(tblVeriA[SiparisNo],$A109,tblVeriA[BoyCm])*SUMIF(tblVeriA[SiparisNo],$A109,tblVeriA[YukseklikCm])/MAX(SUMIF(tblVeriA[SiparisNo],$A109,tblVeriA[DesiCarpani]),1),0),IFERROR(SUMIF(tblVeriA[SiparisNo],$A109,tblVeriA[AgirlikKg]),0))*$C109*IFERROR(SUMIF(tblVeriA[SiparisNo],$A109,tblVeriA[Adet]),1)*(1+$E109*kdo_iadeEtkiCarpani),0))</f>
        <v/>
      </c>
      <c r="H109" s="13" t="n"/>
      <c r="I109" s="13" t="n"/>
      <c r="J109" s="15">
        <f>IF($A109="","",1)</f>
        <v/>
      </c>
    </row>
    <row r="110">
      <c r="A110" s="13" t="n"/>
      <c r="B110" s="13" t="n"/>
      <c r="C110" s="16" t="n"/>
      <c r="D110" s="16" t="n"/>
      <c r="E110" s="17" t="n"/>
      <c r="F110" s="16" t="n"/>
      <c r="G110" s="15">
        <f>IF($A110="","",IFERROR(MAX(IFERROR(SUMIF(tblVeriA[SiparisNo],$A110,tblVeriA[EnCm])*SUMIF(tblVeriA[SiparisNo],$A110,tblVeriA[BoyCm])*SUMIF(tblVeriA[SiparisNo],$A110,tblVeriA[YukseklikCm])/MAX(SUMIF(tblVeriA[SiparisNo],$A110,tblVeriA[DesiCarpani]),1),0),IFERROR(SUMIF(tblVeriA[SiparisNo],$A110,tblVeriA[AgirlikKg]),0))*$C110*IFERROR(SUMIF(tblVeriA[SiparisNo],$A110,tblVeriA[Adet]),1)*(1+$E110*kdo_iadeEtkiCarpani),0))</f>
        <v/>
      </c>
      <c r="H110" s="13" t="n"/>
      <c r="I110" s="13" t="n"/>
      <c r="J110" s="15">
        <f>IF($A110="","",1)</f>
        <v/>
      </c>
    </row>
    <row r="111">
      <c r="A111" s="13" t="n"/>
      <c r="B111" s="13" t="n"/>
      <c r="C111" s="16" t="n"/>
      <c r="D111" s="16" t="n"/>
      <c r="E111" s="17" t="n"/>
      <c r="F111" s="16" t="n"/>
      <c r="G111" s="15">
        <f>IF($A111="","",IFERROR(MAX(IFERROR(SUMIF(tblVeriA[SiparisNo],$A111,tblVeriA[EnCm])*SUMIF(tblVeriA[SiparisNo],$A111,tblVeriA[BoyCm])*SUMIF(tblVeriA[SiparisNo],$A111,tblVeriA[YukseklikCm])/MAX(SUMIF(tblVeriA[SiparisNo],$A111,tblVeriA[DesiCarpani]),1),0),IFERROR(SUMIF(tblVeriA[SiparisNo],$A111,tblVeriA[AgirlikKg]),0))*$C111*IFERROR(SUMIF(tblVeriA[SiparisNo],$A111,tblVeriA[Adet]),1)*(1+$E111*kdo_iadeEtkiCarpani),0))</f>
        <v/>
      </c>
      <c r="H111" s="13" t="n"/>
      <c r="I111" s="13" t="n"/>
      <c r="J111" s="15">
        <f>IF($A111="","",1)</f>
        <v/>
      </c>
    </row>
    <row r="112">
      <c r="A112" s="13" t="n"/>
      <c r="B112" s="13" t="n"/>
      <c r="C112" s="16" t="n"/>
      <c r="D112" s="16" t="n"/>
      <c r="E112" s="17" t="n"/>
      <c r="F112" s="16" t="n"/>
      <c r="G112" s="15">
        <f>IF($A112="","",IFERROR(MAX(IFERROR(SUMIF(tblVeriA[SiparisNo],$A112,tblVeriA[EnCm])*SUMIF(tblVeriA[SiparisNo],$A112,tblVeriA[BoyCm])*SUMIF(tblVeriA[SiparisNo],$A112,tblVeriA[YukseklikCm])/MAX(SUMIF(tblVeriA[SiparisNo],$A112,tblVeriA[DesiCarpani]),1),0),IFERROR(SUMIF(tblVeriA[SiparisNo],$A112,tblVeriA[AgirlikKg]),0))*$C112*IFERROR(SUMIF(tblVeriA[SiparisNo],$A112,tblVeriA[Adet]),1)*(1+$E112*kdo_iadeEtkiCarpani),0))</f>
        <v/>
      </c>
      <c r="H112" s="13" t="n"/>
      <c r="I112" s="13" t="n"/>
      <c r="J112" s="15">
        <f>IF($A112="","",1)</f>
        <v/>
      </c>
    </row>
    <row r="113">
      <c r="A113" s="13" t="n"/>
      <c r="B113" s="13" t="n"/>
      <c r="C113" s="16" t="n"/>
      <c r="D113" s="16" t="n"/>
      <c r="E113" s="17" t="n"/>
      <c r="F113" s="16" t="n"/>
      <c r="G113" s="15">
        <f>IF($A113="","",IFERROR(MAX(IFERROR(SUMIF(tblVeriA[SiparisNo],$A113,tblVeriA[EnCm])*SUMIF(tblVeriA[SiparisNo],$A113,tblVeriA[BoyCm])*SUMIF(tblVeriA[SiparisNo],$A113,tblVeriA[YukseklikCm])/MAX(SUMIF(tblVeriA[SiparisNo],$A113,tblVeriA[DesiCarpani]),1),0),IFERROR(SUMIF(tblVeriA[SiparisNo],$A113,tblVeriA[AgirlikKg]),0))*$C113*IFERROR(SUMIF(tblVeriA[SiparisNo],$A113,tblVeriA[Adet]),1)*(1+$E113*kdo_iadeEtkiCarpani),0))</f>
        <v/>
      </c>
      <c r="H113" s="13" t="n"/>
      <c r="I113" s="13" t="n"/>
      <c r="J113" s="15">
        <f>IF($A113="","",1)</f>
        <v/>
      </c>
    </row>
    <row r="114">
      <c r="A114" s="13" t="n"/>
      <c r="B114" s="13" t="n"/>
      <c r="C114" s="16" t="n"/>
      <c r="D114" s="16" t="n"/>
      <c r="E114" s="17" t="n"/>
      <c r="F114" s="16" t="n"/>
      <c r="G114" s="15">
        <f>IF($A114="","",IFERROR(MAX(IFERROR(SUMIF(tblVeriA[SiparisNo],$A114,tblVeriA[EnCm])*SUMIF(tblVeriA[SiparisNo],$A114,tblVeriA[BoyCm])*SUMIF(tblVeriA[SiparisNo],$A114,tblVeriA[YukseklikCm])/MAX(SUMIF(tblVeriA[SiparisNo],$A114,tblVeriA[DesiCarpani]),1),0),IFERROR(SUMIF(tblVeriA[SiparisNo],$A114,tblVeriA[AgirlikKg]),0))*$C114*IFERROR(SUMIF(tblVeriA[SiparisNo],$A114,tblVeriA[Adet]),1)*(1+$E114*kdo_iadeEtkiCarpani),0))</f>
        <v/>
      </c>
      <c r="H114" s="13" t="n"/>
      <c r="I114" s="13" t="n"/>
      <c r="J114" s="15">
        <f>IF($A114="","",1)</f>
        <v/>
      </c>
    </row>
    <row r="115">
      <c r="A115" s="13" t="n"/>
      <c r="B115" s="13" t="n"/>
      <c r="C115" s="16" t="n"/>
      <c r="D115" s="16" t="n"/>
      <c r="E115" s="17" t="n"/>
      <c r="F115" s="16" t="n"/>
      <c r="G115" s="15">
        <f>IF($A115="","",IFERROR(MAX(IFERROR(SUMIF(tblVeriA[SiparisNo],$A115,tblVeriA[EnCm])*SUMIF(tblVeriA[SiparisNo],$A115,tblVeriA[BoyCm])*SUMIF(tblVeriA[SiparisNo],$A115,tblVeriA[YukseklikCm])/MAX(SUMIF(tblVeriA[SiparisNo],$A115,tblVeriA[DesiCarpani]),1),0),IFERROR(SUMIF(tblVeriA[SiparisNo],$A115,tblVeriA[AgirlikKg]),0))*$C115*IFERROR(SUMIF(tblVeriA[SiparisNo],$A115,tblVeriA[Adet]),1)*(1+$E115*kdo_iadeEtkiCarpani),0))</f>
        <v/>
      </c>
      <c r="H115" s="13" t="n"/>
      <c r="I115" s="13" t="n"/>
      <c r="J115" s="15">
        <f>IF($A115="","",1)</f>
        <v/>
      </c>
    </row>
    <row r="116">
      <c r="A116" s="13" t="n"/>
      <c r="B116" s="13" t="n"/>
      <c r="C116" s="16" t="n"/>
      <c r="D116" s="16" t="n"/>
      <c r="E116" s="17" t="n"/>
      <c r="F116" s="16" t="n"/>
      <c r="G116" s="15">
        <f>IF($A116="","",IFERROR(MAX(IFERROR(SUMIF(tblVeriA[SiparisNo],$A116,tblVeriA[EnCm])*SUMIF(tblVeriA[SiparisNo],$A116,tblVeriA[BoyCm])*SUMIF(tblVeriA[SiparisNo],$A116,tblVeriA[YukseklikCm])/MAX(SUMIF(tblVeriA[SiparisNo],$A116,tblVeriA[DesiCarpani]),1),0),IFERROR(SUMIF(tblVeriA[SiparisNo],$A116,tblVeriA[AgirlikKg]),0))*$C116*IFERROR(SUMIF(tblVeriA[SiparisNo],$A116,tblVeriA[Adet]),1)*(1+$E116*kdo_iadeEtkiCarpani),0))</f>
        <v/>
      </c>
      <c r="H116" s="13" t="n"/>
      <c r="I116" s="13" t="n"/>
      <c r="J116" s="15">
        <f>IF($A116="","",1)</f>
        <v/>
      </c>
    </row>
    <row r="117">
      <c r="A117" s="13" t="n"/>
      <c r="B117" s="13" t="n"/>
      <c r="C117" s="16" t="n"/>
      <c r="D117" s="16" t="n"/>
      <c r="E117" s="17" t="n"/>
      <c r="F117" s="16" t="n"/>
      <c r="G117" s="15">
        <f>IF($A117="","",IFERROR(MAX(IFERROR(SUMIF(tblVeriA[SiparisNo],$A117,tblVeriA[EnCm])*SUMIF(tblVeriA[SiparisNo],$A117,tblVeriA[BoyCm])*SUMIF(tblVeriA[SiparisNo],$A117,tblVeriA[YukseklikCm])/MAX(SUMIF(tblVeriA[SiparisNo],$A117,tblVeriA[DesiCarpani]),1),0),IFERROR(SUMIF(tblVeriA[SiparisNo],$A117,tblVeriA[AgirlikKg]),0))*$C117*IFERROR(SUMIF(tblVeriA[SiparisNo],$A117,tblVeriA[Adet]),1)*(1+$E117*kdo_iadeEtkiCarpani),0))</f>
        <v/>
      </c>
      <c r="H117" s="13" t="n"/>
      <c r="I117" s="13" t="n"/>
      <c r="J117" s="15">
        <f>IF($A117="","",1)</f>
        <v/>
      </c>
    </row>
    <row r="118">
      <c r="A118" s="13" t="n"/>
      <c r="B118" s="13" t="n"/>
      <c r="C118" s="16" t="n"/>
      <c r="D118" s="16" t="n"/>
      <c r="E118" s="17" t="n"/>
      <c r="F118" s="16" t="n"/>
      <c r="G118" s="15">
        <f>IF($A118="","",IFERROR(MAX(IFERROR(SUMIF(tblVeriA[SiparisNo],$A118,tblVeriA[EnCm])*SUMIF(tblVeriA[SiparisNo],$A118,tblVeriA[BoyCm])*SUMIF(tblVeriA[SiparisNo],$A118,tblVeriA[YukseklikCm])/MAX(SUMIF(tblVeriA[SiparisNo],$A118,tblVeriA[DesiCarpani]),1),0),IFERROR(SUMIF(tblVeriA[SiparisNo],$A118,tblVeriA[AgirlikKg]),0))*$C118*IFERROR(SUMIF(tblVeriA[SiparisNo],$A118,tblVeriA[Adet]),1)*(1+$E118*kdo_iadeEtkiCarpani),0))</f>
        <v/>
      </c>
      <c r="H118" s="13" t="n"/>
      <c r="I118" s="13" t="n"/>
      <c r="J118" s="15">
        <f>IF($A118="","",1)</f>
        <v/>
      </c>
    </row>
    <row r="119">
      <c r="A119" s="13" t="n"/>
      <c r="B119" s="13" t="n"/>
      <c r="C119" s="16" t="n"/>
      <c r="D119" s="16" t="n"/>
      <c r="E119" s="17" t="n"/>
      <c r="F119" s="16" t="n"/>
      <c r="G119" s="15">
        <f>IF($A119="","",IFERROR(MAX(IFERROR(SUMIF(tblVeriA[SiparisNo],$A119,tblVeriA[EnCm])*SUMIF(tblVeriA[SiparisNo],$A119,tblVeriA[BoyCm])*SUMIF(tblVeriA[SiparisNo],$A119,tblVeriA[YukseklikCm])/MAX(SUMIF(tblVeriA[SiparisNo],$A119,tblVeriA[DesiCarpani]),1),0),IFERROR(SUMIF(tblVeriA[SiparisNo],$A119,tblVeriA[AgirlikKg]),0))*$C119*IFERROR(SUMIF(tblVeriA[SiparisNo],$A119,tblVeriA[Adet]),1)*(1+$E119*kdo_iadeEtkiCarpani),0))</f>
        <v/>
      </c>
      <c r="H119" s="13" t="n"/>
      <c r="I119" s="13" t="n"/>
      <c r="J119" s="15">
        <f>IF($A119="","",1)</f>
        <v/>
      </c>
    </row>
    <row r="120">
      <c r="A120" s="13" t="n"/>
      <c r="B120" s="13" t="n"/>
      <c r="C120" s="16" t="n"/>
      <c r="D120" s="16" t="n"/>
      <c r="E120" s="17" t="n"/>
      <c r="F120" s="16" t="n"/>
      <c r="G120" s="15">
        <f>IF($A120="","",IFERROR(MAX(IFERROR(SUMIF(tblVeriA[SiparisNo],$A120,tblVeriA[EnCm])*SUMIF(tblVeriA[SiparisNo],$A120,tblVeriA[BoyCm])*SUMIF(tblVeriA[SiparisNo],$A120,tblVeriA[YukseklikCm])/MAX(SUMIF(tblVeriA[SiparisNo],$A120,tblVeriA[DesiCarpani]),1),0),IFERROR(SUMIF(tblVeriA[SiparisNo],$A120,tblVeriA[AgirlikKg]),0))*$C120*IFERROR(SUMIF(tblVeriA[SiparisNo],$A120,tblVeriA[Adet]),1)*(1+$E120*kdo_iadeEtkiCarpani),0))</f>
        <v/>
      </c>
      <c r="H120" s="13" t="n"/>
      <c r="I120" s="13" t="n"/>
      <c r="J120" s="15">
        <f>IF($A120="","",1)</f>
        <v/>
      </c>
    </row>
    <row r="121">
      <c r="A121" s="13" t="n"/>
      <c r="B121" s="13" t="n"/>
      <c r="C121" s="16" t="n"/>
      <c r="D121" s="16" t="n"/>
      <c r="E121" s="17" t="n"/>
      <c r="F121" s="16" t="n"/>
      <c r="G121" s="15">
        <f>IF($A121="","",IFERROR(MAX(IFERROR(SUMIF(tblVeriA[SiparisNo],$A121,tblVeriA[EnCm])*SUMIF(tblVeriA[SiparisNo],$A121,tblVeriA[BoyCm])*SUMIF(tblVeriA[SiparisNo],$A121,tblVeriA[YukseklikCm])/MAX(SUMIF(tblVeriA[SiparisNo],$A121,tblVeriA[DesiCarpani]),1),0),IFERROR(SUMIF(tblVeriA[SiparisNo],$A121,tblVeriA[AgirlikKg]),0))*$C121*IFERROR(SUMIF(tblVeriA[SiparisNo],$A121,tblVeriA[Adet]),1)*(1+$E121*kdo_iadeEtkiCarpani),0))</f>
        <v/>
      </c>
      <c r="H121" s="13" t="n"/>
      <c r="I121" s="13" t="n"/>
      <c r="J121" s="15">
        <f>IF($A121="","",1)</f>
        <v/>
      </c>
    </row>
    <row r="122">
      <c r="A122" s="13" t="n"/>
      <c r="B122" s="13" t="n"/>
      <c r="C122" s="16" t="n"/>
      <c r="D122" s="16" t="n"/>
      <c r="E122" s="17" t="n"/>
      <c r="F122" s="16" t="n"/>
      <c r="G122" s="15">
        <f>IF($A122="","",IFERROR(MAX(IFERROR(SUMIF(tblVeriA[SiparisNo],$A122,tblVeriA[EnCm])*SUMIF(tblVeriA[SiparisNo],$A122,tblVeriA[BoyCm])*SUMIF(tblVeriA[SiparisNo],$A122,tblVeriA[YukseklikCm])/MAX(SUMIF(tblVeriA[SiparisNo],$A122,tblVeriA[DesiCarpani]),1),0),IFERROR(SUMIF(tblVeriA[SiparisNo],$A122,tblVeriA[AgirlikKg]),0))*$C122*IFERROR(SUMIF(tblVeriA[SiparisNo],$A122,tblVeriA[Adet]),1)*(1+$E122*kdo_iadeEtkiCarpani),0))</f>
        <v/>
      </c>
      <c r="H122" s="13" t="n"/>
      <c r="I122" s="13" t="n"/>
      <c r="J122" s="15">
        <f>IF($A122="","",1)</f>
        <v/>
      </c>
    </row>
    <row r="123">
      <c r="A123" s="13" t="n"/>
      <c r="B123" s="13" t="n"/>
      <c r="C123" s="16" t="n"/>
      <c r="D123" s="16" t="n"/>
      <c r="E123" s="17" t="n"/>
      <c r="F123" s="16" t="n"/>
      <c r="G123" s="15">
        <f>IF($A123="","",IFERROR(MAX(IFERROR(SUMIF(tblVeriA[SiparisNo],$A123,tblVeriA[EnCm])*SUMIF(tblVeriA[SiparisNo],$A123,tblVeriA[BoyCm])*SUMIF(tblVeriA[SiparisNo],$A123,tblVeriA[YukseklikCm])/MAX(SUMIF(tblVeriA[SiparisNo],$A123,tblVeriA[DesiCarpani]),1),0),IFERROR(SUMIF(tblVeriA[SiparisNo],$A123,tblVeriA[AgirlikKg]),0))*$C123*IFERROR(SUMIF(tblVeriA[SiparisNo],$A123,tblVeriA[Adet]),1)*(1+$E123*kdo_iadeEtkiCarpani),0))</f>
        <v/>
      </c>
      <c r="H123" s="13" t="n"/>
      <c r="I123" s="13" t="n"/>
      <c r="J123" s="15">
        <f>IF($A123="","",1)</f>
        <v/>
      </c>
    </row>
    <row r="124">
      <c r="A124" s="13" t="n"/>
      <c r="B124" s="13" t="n"/>
      <c r="C124" s="16" t="n"/>
      <c r="D124" s="16" t="n"/>
      <c r="E124" s="17" t="n"/>
      <c r="F124" s="16" t="n"/>
      <c r="G124" s="15">
        <f>IF($A124="","",IFERROR(MAX(IFERROR(SUMIF(tblVeriA[SiparisNo],$A124,tblVeriA[EnCm])*SUMIF(tblVeriA[SiparisNo],$A124,tblVeriA[BoyCm])*SUMIF(tblVeriA[SiparisNo],$A124,tblVeriA[YukseklikCm])/MAX(SUMIF(tblVeriA[SiparisNo],$A124,tblVeriA[DesiCarpani]),1),0),IFERROR(SUMIF(tblVeriA[SiparisNo],$A124,tblVeriA[AgirlikKg]),0))*$C124*IFERROR(SUMIF(tblVeriA[SiparisNo],$A124,tblVeriA[Adet]),1)*(1+$E124*kdo_iadeEtkiCarpani),0))</f>
        <v/>
      </c>
      <c r="H124" s="13" t="n"/>
      <c r="I124" s="13" t="n"/>
      <c r="J124" s="15">
        <f>IF($A124="","",1)</f>
        <v/>
      </c>
    </row>
    <row r="125">
      <c r="A125" s="13" t="n"/>
      <c r="B125" s="13" t="n"/>
      <c r="C125" s="16" t="n"/>
      <c r="D125" s="16" t="n"/>
      <c r="E125" s="17" t="n"/>
      <c r="F125" s="16" t="n"/>
      <c r="G125" s="15">
        <f>IF($A125="","",IFERROR(MAX(IFERROR(SUMIF(tblVeriA[SiparisNo],$A125,tblVeriA[EnCm])*SUMIF(tblVeriA[SiparisNo],$A125,tblVeriA[BoyCm])*SUMIF(tblVeriA[SiparisNo],$A125,tblVeriA[YukseklikCm])/MAX(SUMIF(tblVeriA[SiparisNo],$A125,tblVeriA[DesiCarpani]),1),0),IFERROR(SUMIF(tblVeriA[SiparisNo],$A125,tblVeriA[AgirlikKg]),0))*$C125*IFERROR(SUMIF(tblVeriA[SiparisNo],$A125,tblVeriA[Adet]),1)*(1+$E125*kdo_iadeEtkiCarpani),0))</f>
        <v/>
      </c>
      <c r="H125" s="13" t="n"/>
      <c r="I125" s="13" t="n"/>
      <c r="J125" s="15">
        <f>IF($A125="","",1)</f>
        <v/>
      </c>
    </row>
    <row r="126">
      <c r="A126" s="13" t="n"/>
      <c r="B126" s="13" t="n"/>
      <c r="C126" s="16" t="n"/>
      <c r="D126" s="16" t="n"/>
      <c r="E126" s="17" t="n"/>
      <c r="F126" s="16" t="n"/>
      <c r="G126" s="15">
        <f>IF($A126="","",IFERROR(MAX(IFERROR(SUMIF(tblVeriA[SiparisNo],$A126,tblVeriA[EnCm])*SUMIF(tblVeriA[SiparisNo],$A126,tblVeriA[BoyCm])*SUMIF(tblVeriA[SiparisNo],$A126,tblVeriA[YukseklikCm])/MAX(SUMIF(tblVeriA[SiparisNo],$A126,tblVeriA[DesiCarpani]),1),0),IFERROR(SUMIF(tblVeriA[SiparisNo],$A126,tblVeriA[AgirlikKg]),0))*$C126*IFERROR(SUMIF(tblVeriA[SiparisNo],$A126,tblVeriA[Adet]),1)*(1+$E126*kdo_iadeEtkiCarpani),0))</f>
        <v/>
      </c>
      <c r="H126" s="13" t="n"/>
      <c r="I126" s="13" t="n"/>
      <c r="J126" s="15">
        <f>IF($A126="","",1)</f>
        <v/>
      </c>
    </row>
    <row r="127">
      <c r="A127" s="13" t="n"/>
      <c r="B127" s="13" t="n"/>
      <c r="C127" s="16" t="n"/>
      <c r="D127" s="16" t="n"/>
      <c r="E127" s="17" t="n"/>
      <c r="F127" s="16" t="n"/>
      <c r="G127" s="15">
        <f>IF($A127="","",IFERROR(MAX(IFERROR(SUMIF(tblVeriA[SiparisNo],$A127,tblVeriA[EnCm])*SUMIF(tblVeriA[SiparisNo],$A127,tblVeriA[BoyCm])*SUMIF(tblVeriA[SiparisNo],$A127,tblVeriA[YukseklikCm])/MAX(SUMIF(tblVeriA[SiparisNo],$A127,tblVeriA[DesiCarpani]),1),0),IFERROR(SUMIF(tblVeriA[SiparisNo],$A127,tblVeriA[AgirlikKg]),0))*$C127*IFERROR(SUMIF(tblVeriA[SiparisNo],$A127,tblVeriA[Adet]),1)*(1+$E127*kdo_iadeEtkiCarpani),0))</f>
        <v/>
      </c>
      <c r="H127" s="13" t="n"/>
      <c r="I127" s="13" t="n"/>
      <c r="J127" s="15">
        <f>IF($A127="","",1)</f>
        <v/>
      </c>
    </row>
    <row r="128">
      <c r="A128" s="13" t="n"/>
      <c r="B128" s="13" t="n"/>
      <c r="C128" s="16" t="n"/>
      <c r="D128" s="16" t="n"/>
      <c r="E128" s="17" t="n"/>
      <c r="F128" s="16" t="n"/>
      <c r="G128" s="15">
        <f>IF($A128="","",IFERROR(MAX(IFERROR(SUMIF(tblVeriA[SiparisNo],$A128,tblVeriA[EnCm])*SUMIF(tblVeriA[SiparisNo],$A128,tblVeriA[BoyCm])*SUMIF(tblVeriA[SiparisNo],$A128,tblVeriA[YukseklikCm])/MAX(SUMIF(tblVeriA[SiparisNo],$A128,tblVeriA[DesiCarpani]),1),0),IFERROR(SUMIF(tblVeriA[SiparisNo],$A128,tblVeriA[AgirlikKg]),0))*$C128*IFERROR(SUMIF(tblVeriA[SiparisNo],$A128,tblVeriA[Adet]),1)*(1+$E128*kdo_iadeEtkiCarpani),0))</f>
        <v/>
      </c>
      <c r="H128" s="13" t="n"/>
      <c r="I128" s="13" t="n"/>
      <c r="J128" s="15">
        <f>IF($A128="","",1)</f>
        <v/>
      </c>
    </row>
    <row r="129">
      <c r="A129" s="13" t="n"/>
      <c r="B129" s="13" t="n"/>
      <c r="C129" s="16" t="n"/>
      <c r="D129" s="16" t="n"/>
      <c r="E129" s="17" t="n"/>
      <c r="F129" s="16" t="n"/>
      <c r="G129" s="15">
        <f>IF($A129="","",IFERROR(MAX(IFERROR(SUMIF(tblVeriA[SiparisNo],$A129,tblVeriA[EnCm])*SUMIF(tblVeriA[SiparisNo],$A129,tblVeriA[BoyCm])*SUMIF(tblVeriA[SiparisNo],$A129,tblVeriA[YukseklikCm])/MAX(SUMIF(tblVeriA[SiparisNo],$A129,tblVeriA[DesiCarpani]),1),0),IFERROR(SUMIF(tblVeriA[SiparisNo],$A129,tblVeriA[AgirlikKg]),0))*$C129*IFERROR(SUMIF(tblVeriA[SiparisNo],$A129,tblVeriA[Adet]),1)*(1+$E129*kdo_iadeEtkiCarpani),0))</f>
        <v/>
      </c>
      <c r="H129" s="13" t="n"/>
      <c r="I129" s="13" t="n"/>
      <c r="J129" s="15">
        <f>IF($A129="","",1)</f>
        <v/>
      </c>
    </row>
    <row r="130">
      <c r="A130" s="13" t="n"/>
      <c r="B130" s="13" t="n"/>
      <c r="C130" s="16" t="n"/>
      <c r="D130" s="16" t="n"/>
      <c r="E130" s="17" t="n"/>
      <c r="F130" s="16" t="n"/>
      <c r="G130" s="15">
        <f>IF($A130="","",IFERROR(MAX(IFERROR(SUMIF(tblVeriA[SiparisNo],$A130,tblVeriA[EnCm])*SUMIF(tblVeriA[SiparisNo],$A130,tblVeriA[BoyCm])*SUMIF(tblVeriA[SiparisNo],$A130,tblVeriA[YukseklikCm])/MAX(SUMIF(tblVeriA[SiparisNo],$A130,tblVeriA[DesiCarpani]),1),0),IFERROR(SUMIF(tblVeriA[SiparisNo],$A130,tblVeriA[AgirlikKg]),0))*$C130*IFERROR(SUMIF(tblVeriA[SiparisNo],$A130,tblVeriA[Adet]),1)*(1+$E130*kdo_iadeEtkiCarpani),0))</f>
        <v/>
      </c>
      <c r="H130" s="13" t="n"/>
      <c r="I130" s="13" t="n"/>
      <c r="J130" s="15">
        <f>IF($A130="","",1)</f>
        <v/>
      </c>
    </row>
    <row r="131">
      <c r="A131" s="13" t="n"/>
      <c r="B131" s="13" t="n"/>
      <c r="C131" s="16" t="n"/>
      <c r="D131" s="16" t="n"/>
      <c r="E131" s="17" t="n"/>
      <c r="F131" s="16" t="n"/>
      <c r="G131" s="15">
        <f>IF($A131="","",IFERROR(MAX(IFERROR(SUMIF(tblVeriA[SiparisNo],$A131,tblVeriA[EnCm])*SUMIF(tblVeriA[SiparisNo],$A131,tblVeriA[BoyCm])*SUMIF(tblVeriA[SiparisNo],$A131,tblVeriA[YukseklikCm])/MAX(SUMIF(tblVeriA[SiparisNo],$A131,tblVeriA[DesiCarpani]),1),0),IFERROR(SUMIF(tblVeriA[SiparisNo],$A131,tblVeriA[AgirlikKg]),0))*$C131*IFERROR(SUMIF(tblVeriA[SiparisNo],$A131,tblVeriA[Adet]),1)*(1+$E131*kdo_iadeEtkiCarpani),0))</f>
        <v/>
      </c>
      <c r="H131" s="13" t="n"/>
      <c r="I131" s="13" t="n"/>
      <c r="J131" s="15">
        <f>IF($A131="","",1)</f>
        <v/>
      </c>
    </row>
    <row r="132">
      <c r="A132" s="13" t="n"/>
      <c r="B132" s="13" t="n"/>
      <c r="C132" s="16" t="n"/>
      <c r="D132" s="16" t="n"/>
      <c r="E132" s="17" t="n"/>
      <c r="F132" s="16" t="n"/>
      <c r="G132" s="15">
        <f>IF($A132="","",IFERROR(MAX(IFERROR(SUMIF(tblVeriA[SiparisNo],$A132,tblVeriA[EnCm])*SUMIF(tblVeriA[SiparisNo],$A132,tblVeriA[BoyCm])*SUMIF(tblVeriA[SiparisNo],$A132,tblVeriA[YukseklikCm])/MAX(SUMIF(tblVeriA[SiparisNo],$A132,tblVeriA[DesiCarpani]),1),0),IFERROR(SUMIF(tblVeriA[SiparisNo],$A132,tblVeriA[AgirlikKg]),0))*$C132*IFERROR(SUMIF(tblVeriA[SiparisNo],$A132,tblVeriA[Adet]),1)*(1+$E132*kdo_iadeEtkiCarpani),0))</f>
        <v/>
      </c>
      <c r="H132" s="13" t="n"/>
      <c r="I132" s="13" t="n"/>
      <c r="J132" s="15">
        <f>IF($A132="","",1)</f>
        <v/>
      </c>
    </row>
    <row r="133">
      <c r="A133" s="13" t="n"/>
      <c r="B133" s="13" t="n"/>
      <c r="C133" s="16" t="n"/>
      <c r="D133" s="16" t="n"/>
      <c r="E133" s="17" t="n"/>
      <c r="F133" s="16" t="n"/>
      <c r="G133" s="15">
        <f>IF($A133="","",IFERROR(MAX(IFERROR(SUMIF(tblVeriA[SiparisNo],$A133,tblVeriA[EnCm])*SUMIF(tblVeriA[SiparisNo],$A133,tblVeriA[BoyCm])*SUMIF(tblVeriA[SiparisNo],$A133,tblVeriA[YukseklikCm])/MAX(SUMIF(tblVeriA[SiparisNo],$A133,tblVeriA[DesiCarpani]),1),0),IFERROR(SUMIF(tblVeriA[SiparisNo],$A133,tblVeriA[AgirlikKg]),0))*$C133*IFERROR(SUMIF(tblVeriA[SiparisNo],$A133,tblVeriA[Adet]),1)*(1+$E133*kdo_iadeEtkiCarpani),0))</f>
        <v/>
      </c>
      <c r="H133" s="13" t="n"/>
      <c r="I133" s="13" t="n"/>
      <c r="J133" s="15">
        <f>IF($A133="","",1)</f>
        <v/>
      </c>
    </row>
    <row r="134">
      <c r="A134" s="13" t="n"/>
      <c r="B134" s="13" t="n"/>
      <c r="C134" s="16" t="n"/>
      <c r="D134" s="16" t="n"/>
      <c r="E134" s="17" t="n"/>
      <c r="F134" s="16" t="n"/>
      <c r="G134" s="15">
        <f>IF($A134="","",IFERROR(MAX(IFERROR(SUMIF(tblVeriA[SiparisNo],$A134,tblVeriA[EnCm])*SUMIF(tblVeriA[SiparisNo],$A134,tblVeriA[BoyCm])*SUMIF(tblVeriA[SiparisNo],$A134,tblVeriA[YukseklikCm])/MAX(SUMIF(tblVeriA[SiparisNo],$A134,tblVeriA[DesiCarpani]),1),0),IFERROR(SUMIF(tblVeriA[SiparisNo],$A134,tblVeriA[AgirlikKg]),0))*$C134*IFERROR(SUMIF(tblVeriA[SiparisNo],$A134,tblVeriA[Adet]),1)*(1+$E134*kdo_iadeEtkiCarpani),0))</f>
        <v/>
      </c>
      <c r="H134" s="13" t="n"/>
      <c r="I134" s="13" t="n"/>
      <c r="J134" s="15">
        <f>IF($A134="","",1)</f>
        <v/>
      </c>
    </row>
    <row r="135">
      <c r="A135" s="13" t="n"/>
      <c r="B135" s="13" t="n"/>
      <c r="C135" s="16" t="n"/>
      <c r="D135" s="16" t="n"/>
      <c r="E135" s="17" t="n"/>
      <c r="F135" s="16" t="n"/>
      <c r="G135" s="15">
        <f>IF($A135="","",IFERROR(MAX(IFERROR(SUMIF(tblVeriA[SiparisNo],$A135,tblVeriA[EnCm])*SUMIF(tblVeriA[SiparisNo],$A135,tblVeriA[BoyCm])*SUMIF(tblVeriA[SiparisNo],$A135,tblVeriA[YukseklikCm])/MAX(SUMIF(tblVeriA[SiparisNo],$A135,tblVeriA[DesiCarpani]),1),0),IFERROR(SUMIF(tblVeriA[SiparisNo],$A135,tblVeriA[AgirlikKg]),0))*$C135*IFERROR(SUMIF(tblVeriA[SiparisNo],$A135,tblVeriA[Adet]),1)*(1+$E135*kdo_iadeEtkiCarpani),0))</f>
        <v/>
      </c>
      <c r="H135" s="13" t="n"/>
      <c r="I135" s="13" t="n"/>
      <c r="J135" s="15">
        <f>IF($A135="","",1)</f>
        <v/>
      </c>
    </row>
    <row r="136">
      <c r="A136" s="13" t="n"/>
      <c r="B136" s="13" t="n"/>
      <c r="C136" s="16" t="n"/>
      <c r="D136" s="16" t="n"/>
      <c r="E136" s="17" t="n"/>
      <c r="F136" s="16" t="n"/>
      <c r="G136" s="15">
        <f>IF($A136="","",IFERROR(MAX(IFERROR(SUMIF(tblVeriA[SiparisNo],$A136,tblVeriA[EnCm])*SUMIF(tblVeriA[SiparisNo],$A136,tblVeriA[BoyCm])*SUMIF(tblVeriA[SiparisNo],$A136,tblVeriA[YukseklikCm])/MAX(SUMIF(tblVeriA[SiparisNo],$A136,tblVeriA[DesiCarpani]),1),0),IFERROR(SUMIF(tblVeriA[SiparisNo],$A136,tblVeriA[AgirlikKg]),0))*$C136*IFERROR(SUMIF(tblVeriA[SiparisNo],$A136,tblVeriA[Adet]),1)*(1+$E136*kdo_iadeEtkiCarpani),0))</f>
        <v/>
      </c>
      <c r="H136" s="13" t="n"/>
      <c r="I136" s="13" t="n"/>
      <c r="J136" s="15">
        <f>IF($A136="","",1)</f>
        <v/>
      </c>
    </row>
    <row r="137">
      <c r="A137" s="13" t="n"/>
      <c r="B137" s="13" t="n"/>
      <c r="C137" s="16" t="n"/>
      <c r="D137" s="16" t="n"/>
      <c r="E137" s="17" t="n"/>
      <c r="F137" s="16" t="n"/>
      <c r="G137" s="15">
        <f>IF($A137="","",IFERROR(MAX(IFERROR(SUMIF(tblVeriA[SiparisNo],$A137,tblVeriA[EnCm])*SUMIF(tblVeriA[SiparisNo],$A137,tblVeriA[BoyCm])*SUMIF(tblVeriA[SiparisNo],$A137,tblVeriA[YukseklikCm])/MAX(SUMIF(tblVeriA[SiparisNo],$A137,tblVeriA[DesiCarpani]),1),0),IFERROR(SUMIF(tblVeriA[SiparisNo],$A137,tblVeriA[AgirlikKg]),0))*$C137*IFERROR(SUMIF(tblVeriA[SiparisNo],$A137,tblVeriA[Adet]),1)*(1+$E137*kdo_iadeEtkiCarpani),0))</f>
        <v/>
      </c>
      <c r="H137" s="13" t="n"/>
      <c r="I137" s="13" t="n"/>
      <c r="J137" s="15">
        <f>IF($A137="","",1)</f>
        <v/>
      </c>
    </row>
    <row r="138">
      <c r="A138" s="13" t="n"/>
      <c r="B138" s="13" t="n"/>
      <c r="C138" s="16" t="n"/>
      <c r="D138" s="16" t="n"/>
      <c r="E138" s="17" t="n"/>
      <c r="F138" s="16" t="n"/>
      <c r="G138" s="15">
        <f>IF($A138="","",IFERROR(MAX(IFERROR(SUMIF(tblVeriA[SiparisNo],$A138,tblVeriA[EnCm])*SUMIF(tblVeriA[SiparisNo],$A138,tblVeriA[BoyCm])*SUMIF(tblVeriA[SiparisNo],$A138,tblVeriA[YukseklikCm])/MAX(SUMIF(tblVeriA[SiparisNo],$A138,tblVeriA[DesiCarpani]),1),0),IFERROR(SUMIF(tblVeriA[SiparisNo],$A138,tblVeriA[AgirlikKg]),0))*$C138*IFERROR(SUMIF(tblVeriA[SiparisNo],$A138,tblVeriA[Adet]),1)*(1+$E138*kdo_iadeEtkiCarpani),0))</f>
        <v/>
      </c>
      <c r="H138" s="13" t="n"/>
      <c r="I138" s="13" t="n"/>
      <c r="J138" s="15">
        <f>IF($A138="","",1)</f>
        <v/>
      </c>
    </row>
    <row r="139">
      <c r="A139" s="13" t="n"/>
      <c r="B139" s="13" t="n"/>
      <c r="C139" s="16" t="n"/>
      <c r="D139" s="16" t="n"/>
      <c r="E139" s="17" t="n"/>
      <c r="F139" s="16" t="n"/>
      <c r="G139" s="15">
        <f>IF($A139="","",IFERROR(MAX(IFERROR(SUMIF(tblVeriA[SiparisNo],$A139,tblVeriA[EnCm])*SUMIF(tblVeriA[SiparisNo],$A139,tblVeriA[BoyCm])*SUMIF(tblVeriA[SiparisNo],$A139,tblVeriA[YukseklikCm])/MAX(SUMIF(tblVeriA[SiparisNo],$A139,tblVeriA[DesiCarpani]),1),0),IFERROR(SUMIF(tblVeriA[SiparisNo],$A139,tblVeriA[AgirlikKg]),0))*$C139*IFERROR(SUMIF(tblVeriA[SiparisNo],$A139,tblVeriA[Adet]),1)*(1+$E139*kdo_iadeEtkiCarpani),0))</f>
        <v/>
      </c>
      <c r="H139" s="13" t="n"/>
      <c r="I139" s="13" t="n"/>
      <c r="J139" s="15">
        <f>IF($A139="","",1)</f>
        <v/>
      </c>
    </row>
    <row r="140">
      <c r="A140" s="13" t="n"/>
      <c r="B140" s="13" t="n"/>
      <c r="C140" s="16" t="n"/>
      <c r="D140" s="16" t="n"/>
      <c r="E140" s="17" t="n"/>
      <c r="F140" s="16" t="n"/>
      <c r="G140" s="15">
        <f>IF($A140="","",IFERROR(MAX(IFERROR(SUMIF(tblVeriA[SiparisNo],$A140,tblVeriA[EnCm])*SUMIF(tblVeriA[SiparisNo],$A140,tblVeriA[BoyCm])*SUMIF(tblVeriA[SiparisNo],$A140,tblVeriA[YukseklikCm])/MAX(SUMIF(tblVeriA[SiparisNo],$A140,tblVeriA[DesiCarpani]),1),0),IFERROR(SUMIF(tblVeriA[SiparisNo],$A140,tblVeriA[AgirlikKg]),0))*$C140*IFERROR(SUMIF(tblVeriA[SiparisNo],$A140,tblVeriA[Adet]),1)*(1+$E140*kdo_iadeEtkiCarpani),0))</f>
        <v/>
      </c>
      <c r="H140" s="13" t="n"/>
      <c r="I140" s="13" t="n"/>
      <c r="J140" s="15">
        <f>IF($A140="","",1)</f>
        <v/>
      </c>
    </row>
    <row r="141">
      <c r="A141" s="13" t="n"/>
      <c r="B141" s="13" t="n"/>
      <c r="C141" s="16" t="n"/>
      <c r="D141" s="16" t="n"/>
      <c r="E141" s="17" t="n"/>
      <c r="F141" s="16" t="n"/>
      <c r="G141" s="15">
        <f>IF($A141="","",IFERROR(MAX(IFERROR(SUMIF(tblVeriA[SiparisNo],$A141,tblVeriA[EnCm])*SUMIF(tblVeriA[SiparisNo],$A141,tblVeriA[BoyCm])*SUMIF(tblVeriA[SiparisNo],$A141,tblVeriA[YukseklikCm])/MAX(SUMIF(tblVeriA[SiparisNo],$A141,tblVeriA[DesiCarpani]),1),0),IFERROR(SUMIF(tblVeriA[SiparisNo],$A141,tblVeriA[AgirlikKg]),0))*$C141*IFERROR(SUMIF(tblVeriA[SiparisNo],$A141,tblVeriA[Adet]),1)*(1+$E141*kdo_iadeEtkiCarpani),0))</f>
        <v/>
      </c>
      <c r="H141" s="13" t="n"/>
      <c r="I141" s="13" t="n"/>
      <c r="J141" s="15">
        <f>IF($A141="","",1)</f>
        <v/>
      </c>
    </row>
    <row r="142">
      <c r="A142" s="13" t="n"/>
      <c r="B142" s="13" t="n"/>
      <c r="C142" s="16" t="n"/>
      <c r="D142" s="16" t="n"/>
      <c r="E142" s="17" t="n"/>
      <c r="F142" s="16" t="n"/>
      <c r="G142" s="15">
        <f>IF($A142="","",IFERROR(MAX(IFERROR(SUMIF(tblVeriA[SiparisNo],$A142,tblVeriA[EnCm])*SUMIF(tblVeriA[SiparisNo],$A142,tblVeriA[BoyCm])*SUMIF(tblVeriA[SiparisNo],$A142,tblVeriA[YukseklikCm])/MAX(SUMIF(tblVeriA[SiparisNo],$A142,tblVeriA[DesiCarpani]),1),0),IFERROR(SUMIF(tblVeriA[SiparisNo],$A142,tblVeriA[AgirlikKg]),0))*$C142*IFERROR(SUMIF(tblVeriA[SiparisNo],$A142,tblVeriA[Adet]),1)*(1+$E142*kdo_iadeEtkiCarpani),0))</f>
        <v/>
      </c>
      <c r="H142" s="13" t="n"/>
      <c r="I142" s="13" t="n"/>
      <c r="J142" s="15">
        <f>IF($A142="","",1)</f>
        <v/>
      </c>
    </row>
    <row r="143">
      <c r="A143" s="13" t="n"/>
      <c r="B143" s="13" t="n"/>
      <c r="C143" s="16" t="n"/>
      <c r="D143" s="16" t="n"/>
      <c r="E143" s="17" t="n"/>
      <c r="F143" s="16" t="n"/>
      <c r="G143" s="15">
        <f>IF($A143="","",IFERROR(MAX(IFERROR(SUMIF(tblVeriA[SiparisNo],$A143,tblVeriA[EnCm])*SUMIF(tblVeriA[SiparisNo],$A143,tblVeriA[BoyCm])*SUMIF(tblVeriA[SiparisNo],$A143,tblVeriA[YukseklikCm])/MAX(SUMIF(tblVeriA[SiparisNo],$A143,tblVeriA[DesiCarpani]),1),0),IFERROR(SUMIF(tblVeriA[SiparisNo],$A143,tblVeriA[AgirlikKg]),0))*$C143*IFERROR(SUMIF(tblVeriA[SiparisNo],$A143,tblVeriA[Adet]),1)*(1+$E143*kdo_iadeEtkiCarpani),0))</f>
        <v/>
      </c>
      <c r="H143" s="13" t="n"/>
      <c r="I143" s="13" t="n"/>
      <c r="J143" s="15">
        <f>IF($A143="","",1)</f>
        <v/>
      </c>
    </row>
    <row r="144">
      <c r="A144" s="13" t="n"/>
      <c r="B144" s="13" t="n"/>
      <c r="C144" s="16" t="n"/>
      <c r="D144" s="16" t="n"/>
      <c r="E144" s="17" t="n"/>
      <c r="F144" s="16" t="n"/>
      <c r="G144" s="15">
        <f>IF($A144="","",IFERROR(MAX(IFERROR(SUMIF(tblVeriA[SiparisNo],$A144,tblVeriA[EnCm])*SUMIF(tblVeriA[SiparisNo],$A144,tblVeriA[BoyCm])*SUMIF(tblVeriA[SiparisNo],$A144,tblVeriA[YukseklikCm])/MAX(SUMIF(tblVeriA[SiparisNo],$A144,tblVeriA[DesiCarpani]),1),0),IFERROR(SUMIF(tblVeriA[SiparisNo],$A144,tblVeriA[AgirlikKg]),0))*$C144*IFERROR(SUMIF(tblVeriA[SiparisNo],$A144,tblVeriA[Adet]),1)*(1+$E144*kdo_iadeEtkiCarpani),0))</f>
        <v/>
      </c>
      <c r="H144" s="13" t="n"/>
      <c r="I144" s="13" t="n"/>
      <c r="J144" s="15">
        <f>IF($A144="","",1)</f>
        <v/>
      </c>
    </row>
    <row r="145">
      <c r="A145" s="13" t="n"/>
      <c r="B145" s="13" t="n"/>
      <c r="C145" s="16" t="n"/>
      <c r="D145" s="16" t="n"/>
      <c r="E145" s="17" t="n"/>
      <c r="F145" s="16" t="n"/>
      <c r="G145" s="15">
        <f>IF($A145="","",IFERROR(MAX(IFERROR(SUMIF(tblVeriA[SiparisNo],$A145,tblVeriA[EnCm])*SUMIF(tblVeriA[SiparisNo],$A145,tblVeriA[BoyCm])*SUMIF(tblVeriA[SiparisNo],$A145,tblVeriA[YukseklikCm])/MAX(SUMIF(tblVeriA[SiparisNo],$A145,tblVeriA[DesiCarpani]),1),0),IFERROR(SUMIF(tblVeriA[SiparisNo],$A145,tblVeriA[AgirlikKg]),0))*$C145*IFERROR(SUMIF(tblVeriA[SiparisNo],$A145,tblVeriA[Adet]),1)*(1+$E145*kdo_iadeEtkiCarpani),0))</f>
        <v/>
      </c>
      <c r="H145" s="13" t="n"/>
      <c r="I145" s="13" t="n"/>
      <c r="J145" s="15">
        <f>IF($A145="","",1)</f>
        <v/>
      </c>
    </row>
    <row r="146">
      <c r="A146" s="13" t="n"/>
      <c r="B146" s="13" t="n"/>
      <c r="C146" s="16" t="n"/>
      <c r="D146" s="16" t="n"/>
      <c r="E146" s="17" t="n"/>
      <c r="F146" s="16" t="n"/>
      <c r="G146" s="15">
        <f>IF($A146="","",IFERROR(MAX(IFERROR(SUMIF(tblVeriA[SiparisNo],$A146,tblVeriA[EnCm])*SUMIF(tblVeriA[SiparisNo],$A146,tblVeriA[BoyCm])*SUMIF(tblVeriA[SiparisNo],$A146,tblVeriA[YukseklikCm])/MAX(SUMIF(tblVeriA[SiparisNo],$A146,tblVeriA[DesiCarpani]),1),0),IFERROR(SUMIF(tblVeriA[SiparisNo],$A146,tblVeriA[AgirlikKg]),0))*$C146*IFERROR(SUMIF(tblVeriA[SiparisNo],$A146,tblVeriA[Adet]),1)*(1+$E146*kdo_iadeEtkiCarpani),0))</f>
        <v/>
      </c>
      <c r="H146" s="13" t="n"/>
      <c r="I146" s="13" t="n"/>
      <c r="J146" s="15">
        <f>IF($A146="","",1)</f>
        <v/>
      </c>
    </row>
    <row r="147">
      <c r="A147" s="13" t="n"/>
      <c r="B147" s="13" t="n"/>
      <c r="C147" s="16" t="n"/>
      <c r="D147" s="16" t="n"/>
      <c r="E147" s="17" t="n"/>
      <c r="F147" s="16" t="n"/>
      <c r="G147" s="15">
        <f>IF($A147="","",IFERROR(MAX(IFERROR(SUMIF(tblVeriA[SiparisNo],$A147,tblVeriA[EnCm])*SUMIF(tblVeriA[SiparisNo],$A147,tblVeriA[BoyCm])*SUMIF(tblVeriA[SiparisNo],$A147,tblVeriA[YukseklikCm])/MAX(SUMIF(tblVeriA[SiparisNo],$A147,tblVeriA[DesiCarpani]),1),0),IFERROR(SUMIF(tblVeriA[SiparisNo],$A147,tblVeriA[AgirlikKg]),0))*$C147*IFERROR(SUMIF(tblVeriA[SiparisNo],$A147,tblVeriA[Adet]),1)*(1+$E147*kdo_iadeEtkiCarpani),0))</f>
        <v/>
      </c>
      <c r="H147" s="13" t="n"/>
      <c r="I147" s="13" t="n"/>
      <c r="J147" s="15">
        <f>IF($A147="","",1)</f>
        <v/>
      </c>
    </row>
    <row r="148">
      <c r="A148" s="13" t="n"/>
      <c r="B148" s="13" t="n"/>
      <c r="C148" s="16" t="n"/>
      <c r="D148" s="16" t="n"/>
      <c r="E148" s="17" t="n"/>
      <c r="F148" s="16" t="n"/>
      <c r="G148" s="15">
        <f>IF($A148="","",IFERROR(MAX(IFERROR(SUMIF(tblVeriA[SiparisNo],$A148,tblVeriA[EnCm])*SUMIF(tblVeriA[SiparisNo],$A148,tblVeriA[BoyCm])*SUMIF(tblVeriA[SiparisNo],$A148,tblVeriA[YukseklikCm])/MAX(SUMIF(tblVeriA[SiparisNo],$A148,tblVeriA[DesiCarpani]),1),0),IFERROR(SUMIF(tblVeriA[SiparisNo],$A148,tblVeriA[AgirlikKg]),0))*$C148*IFERROR(SUMIF(tblVeriA[SiparisNo],$A148,tblVeriA[Adet]),1)*(1+$E148*kdo_iadeEtkiCarpani),0))</f>
        <v/>
      </c>
      <c r="H148" s="13" t="n"/>
      <c r="I148" s="13" t="n"/>
      <c r="J148" s="15">
        <f>IF($A148="","",1)</f>
        <v/>
      </c>
    </row>
    <row r="149">
      <c r="A149" s="13" t="n"/>
      <c r="B149" s="13" t="n"/>
      <c r="C149" s="16" t="n"/>
      <c r="D149" s="16" t="n"/>
      <c r="E149" s="17" t="n"/>
      <c r="F149" s="16" t="n"/>
      <c r="G149" s="15">
        <f>IF($A149="","",IFERROR(MAX(IFERROR(SUMIF(tblVeriA[SiparisNo],$A149,tblVeriA[EnCm])*SUMIF(tblVeriA[SiparisNo],$A149,tblVeriA[BoyCm])*SUMIF(tblVeriA[SiparisNo],$A149,tblVeriA[YukseklikCm])/MAX(SUMIF(tblVeriA[SiparisNo],$A149,tblVeriA[DesiCarpani]),1),0),IFERROR(SUMIF(tblVeriA[SiparisNo],$A149,tblVeriA[AgirlikKg]),0))*$C149*IFERROR(SUMIF(tblVeriA[SiparisNo],$A149,tblVeriA[Adet]),1)*(1+$E149*kdo_iadeEtkiCarpani),0))</f>
        <v/>
      </c>
      <c r="H149" s="13" t="n"/>
      <c r="I149" s="13" t="n"/>
      <c r="J149" s="15">
        <f>IF($A149="","",1)</f>
        <v/>
      </c>
    </row>
    <row r="150">
      <c r="A150" s="13" t="n"/>
      <c r="B150" s="13" t="n"/>
      <c r="C150" s="16" t="n"/>
      <c r="D150" s="16" t="n"/>
      <c r="E150" s="17" t="n"/>
      <c r="F150" s="16" t="n"/>
      <c r="G150" s="15">
        <f>IF($A150="","",IFERROR(MAX(IFERROR(SUMIF(tblVeriA[SiparisNo],$A150,tblVeriA[EnCm])*SUMIF(tblVeriA[SiparisNo],$A150,tblVeriA[BoyCm])*SUMIF(tblVeriA[SiparisNo],$A150,tblVeriA[YukseklikCm])/MAX(SUMIF(tblVeriA[SiparisNo],$A150,tblVeriA[DesiCarpani]),1),0),IFERROR(SUMIF(tblVeriA[SiparisNo],$A150,tblVeriA[AgirlikKg]),0))*$C150*IFERROR(SUMIF(tblVeriA[SiparisNo],$A150,tblVeriA[Adet]),1)*(1+$E150*kdo_iadeEtkiCarpani),0))</f>
        <v/>
      </c>
      <c r="H150" s="13" t="n"/>
      <c r="I150" s="13" t="n"/>
      <c r="J150" s="15">
        <f>IF($A150="","",1)</f>
        <v/>
      </c>
    </row>
    <row r="151">
      <c r="A151" s="13" t="n"/>
      <c r="B151" s="13" t="n"/>
      <c r="C151" s="16" t="n"/>
      <c r="D151" s="16" t="n"/>
      <c r="E151" s="17" t="n"/>
      <c r="F151" s="16" t="n"/>
      <c r="G151" s="15">
        <f>IF($A151="","",IFERROR(MAX(IFERROR(SUMIF(tblVeriA[SiparisNo],$A151,tblVeriA[EnCm])*SUMIF(tblVeriA[SiparisNo],$A151,tblVeriA[BoyCm])*SUMIF(tblVeriA[SiparisNo],$A151,tblVeriA[YukseklikCm])/MAX(SUMIF(tblVeriA[SiparisNo],$A151,tblVeriA[DesiCarpani]),1),0),IFERROR(SUMIF(tblVeriA[SiparisNo],$A151,tblVeriA[AgirlikKg]),0))*$C151*IFERROR(SUMIF(tblVeriA[SiparisNo],$A151,tblVeriA[Adet]),1)*(1+$E151*kdo_iadeEtkiCarpani),0))</f>
        <v/>
      </c>
      <c r="H151" s="13" t="n"/>
      <c r="I151" s="13" t="n"/>
      <c r="J151" s="15">
        <f>IF($A151="","",1)</f>
        <v/>
      </c>
    </row>
    <row r="152">
      <c r="A152" s="13" t="n"/>
      <c r="B152" s="13" t="n"/>
      <c r="C152" s="16" t="n"/>
      <c r="D152" s="16" t="n"/>
      <c r="E152" s="17" t="n"/>
      <c r="F152" s="16" t="n"/>
      <c r="G152" s="15">
        <f>IF($A152="","",IFERROR(MAX(IFERROR(SUMIF(tblVeriA[SiparisNo],$A152,tblVeriA[EnCm])*SUMIF(tblVeriA[SiparisNo],$A152,tblVeriA[BoyCm])*SUMIF(tblVeriA[SiparisNo],$A152,tblVeriA[YukseklikCm])/MAX(SUMIF(tblVeriA[SiparisNo],$A152,tblVeriA[DesiCarpani]),1),0),IFERROR(SUMIF(tblVeriA[SiparisNo],$A152,tblVeriA[AgirlikKg]),0))*$C152*IFERROR(SUMIF(tblVeriA[SiparisNo],$A152,tblVeriA[Adet]),1)*(1+$E152*kdo_iadeEtkiCarpani),0))</f>
        <v/>
      </c>
      <c r="H152" s="13" t="n"/>
      <c r="I152" s="13" t="n"/>
      <c r="J152" s="15">
        <f>IF($A152="","",1)</f>
        <v/>
      </c>
    </row>
    <row r="153">
      <c r="A153" s="13" t="n"/>
      <c r="B153" s="13" t="n"/>
      <c r="C153" s="16" t="n"/>
      <c r="D153" s="16" t="n"/>
      <c r="E153" s="17" t="n"/>
      <c r="F153" s="16" t="n"/>
      <c r="G153" s="15">
        <f>IF($A153="","",IFERROR(MAX(IFERROR(SUMIF(tblVeriA[SiparisNo],$A153,tblVeriA[EnCm])*SUMIF(tblVeriA[SiparisNo],$A153,tblVeriA[BoyCm])*SUMIF(tblVeriA[SiparisNo],$A153,tblVeriA[YukseklikCm])/MAX(SUMIF(tblVeriA[SiparisNo],$A153,tblVeriA[DesiCarpani]),1),0),IFERROR(SUMIF(tblVeriA[SiparisNo],$A153,tblVeriA[AgirlikKg]),0))*$C153*IFERROR(SUMIF(tblVeriA[SiparisNo],$A153,tblVeriA[Adet]),1)*(1+$E153*kdo_iadeEtkiCarpani),0))</f>
        <v/>
      </c>
      <c r="H153" s="13" t="n"/>
      <c r="I153" s="13" t="n"/>
      <c r="J153" s="15">
        <f>IF($A153="","",1)</f>
        <v/>
      </c>
    </row>
    <row r="154">
      <c r="A154" s="13" t="n"/>
      <c r="B154" s="13" t="n"/>
      <c r="C154" s="16" t="n"/>
      <c r="D154" s="16" t="n"/>
      <c r="E154" s="17" t="n"/>
      <c r="F154" s="16" t="n"/>
      <c r="G154" s="15">
        <f>IF($A154="","",IFERROR(MAX(IFERROR(SUMIF(tblVeriA[SiparisNo],$A154,tblVeriA[EnCm])*SUMIF(tblVeriA[SiparisNo],$A154,tblVeriA[BoyCm])*SUMIF(tblVeriA[SiparisNo],$A154,tblVeriA[YukseklikCm])/MAX(SUMIF(tblVeriA[SiparisNo],$A154,tblVeriA[DesiCarpani]),1),0),IFERROR(SUMIF(tblVeriA[SiparisNo],$A154,tblVeriA[AgirlikKg]),0))*$C154*IFERROR(SUMIF(tblVeriA[SiparisNo],$A154,tblVeriA[Adet]),1)*(1+$E154*kdo_iadeEtkiCarpani),0))</f>
        <v/>
      </c>
      <c r="H154" s="13" t="n"/>
      <c r="I154" s="13" t="n"/>
      <c r="J154" s="15">
        <f>IF($A154="","",1)</f>
        <v/>
      </c>
    </row>
    <row r="155">
      <c r="A155" s="13" t="n"/>
      <c r="B155" s="13" t="n"/>
      <c r="C155" s="16" t="n"/>
      <c r="D155" s="16" t="n"/>
      <c r="E155" s="17" t="n"/>
      <c r="F155" s="16" t="n"/>
      <c r="G155" s="15">
        <f>IF($A155="","",IFERROR(MAX(IFERROR(SUMIF(tblVeriA[SiparisNo],$A155,tblVeriA[EnCm])*SUMIF(tblVeriA[SiparisNo],$A155,tblVeriA[BoyCm])*SUMIF(tblVeriA[SiparisNo],$A155,tblVeriA[YukseklikCm])/MAX(SUMIF(tblVeriA[SiparisNo],$A155,tblVeriA[DesiCarpani]),1),0),IFERROR(SUMIF(tblVeriA[SiparisNo],$A155,tblVeriA[AgirlikKg]),0))*$C155*IFERROR(SUMIF(tblVeriA[SiparisNo],$A155,tblVeriA[Adet]),1)*(1+$E155*kdo_iadeEtkiCarpani),0))</f>
        <v/>
      </c>
      <c r="H155" s="13" t="n"/>
      <c r="I155" s="13" t="n"/>
      <c r="J155" s="15">
        <f>IF($A155="","",1)</f>
        <v/>
      </c>
    </row>
    <row r="156">
      <c r="A156" s="13" t="n"/>
      <c r="B156" s="13" t="n"/>
      <c r="C156" s="16" t="n"/>
      <c r="D156" s="16" t="n"/>
      <c r="E156" s="17" t="n"/>
      <c r="F156" s="16" t="n"/>
      <c r="G156" s="15">
        <f>IF($A156="","",IFERROR(MAX(IFERROR(SUMIF(tblVeriA[SiparisNo],$A156,tblVeriA[EnCm])*SUMIF(tblVeriA[SiparisNo],$A156,tblVeriA[BoyCm])*SUMIF(tblVeriA[SiparisNo],$A156,tblVeriA[YukseklikCm])/MAX(SUMIF(tblVeriA[SiparisNo],$A156,tblVeriA[DesiCarpani]),1),0),IFERROR(SUMIF(tblVeriA[SiparisNo],$A156,tblVeriA[AgirlikKg]),0))*$C156*IFERROR(SUMIF(tblVeriA[SiparisNo],$A156,tblVeriA[Adet]),1)*(1+$E156*kdo_iadeEtkiCarpani),0))</f>
        <v/>
      </c>
      <c r="H156" s="13" t="n"/>
      <c r="I156" s="13" t="n"/>
      <c r="J156" s="15">
        <f>IF($A156="","",1)</f>
        <v/>
      </c>
    </row>
    <row r="157">
      <c r="A157" s="13" t="n"/>
      <c r="B157" s="13" t="n"/>
      <c r="C157" s="16" t="n"/>
      <c r="D157" s="16" t="n"/>
      <c r="E157" s="17" t="n"/>
      <c r="F157" s="16" t="n"/>
      <c r="G157" s="15">
        <f>IF($A157="","",IFERROR(MAX(IFERROR(SUMIF(tblVeriA[SiparisNo],$A157,tblVeriA[EnCm])*SUMIF(tblVeriA[SiparisNo],$A157,tblVeriA[BoyCm])*SUMIF(tblVeriA[SiparisNo],$A157,tblVeriA[YukseklikCm])/MAX(SUMIF(tblVeriA[SiparisNo],$A157,tblVeriA[DesiCarpani]),1),0),IFERROR(SUMIF(tblVeriA[SiparisNo],$A157,tblVeriA[AgirlikKg]),0))*$C157*IFERROR(SUMIF(tblVeriA[SiparisNo],$A157,tblVeriA[Adet]),1)*(1+$E157*kdo_iadeEtkiCarpani),0))</f>
        <v/>
      </c>
      <c r="H157" s="13" t="n"/>
      <c r="I157" s="13" t="n"/>
      <c r="J157" s="15">
        <f>IF($A157="","",1)</f>
        <v/>
      </c>
    </row>
    <row r="158">
      <c r="A158" s="13" t="n"/>
      <c r="B158" s="13" t="n"/>
      <c r="C158" s="16" t="n"/>
      <c r="D158" s="16" t="n"/>
      <c r="E158" s="17" t="n"/>
      <c r="F158" s="16" t="n"/>
      <c r="G158" s="15">
        <f>IF($A158="","",IFERROR(MAX(IFERROR(SUMIF(tblVeriA[SiparisNo],$A158,tblVeriA[EnCm])*SUMIF(tblVeriA[SiparisNo],$A158,tblVeriA[BoyCm])*SUMIF(tblVeriA[SiparisNo],$A158,tblVeriA[YukseklikCm])/MAX(SUMIF(tblVeriA[SiparisNo],$A158,tblVeriA[DesiCarpani]),1),0),IFERROR(SUMIF(tblVeriA[SiparisNo],$A158,tblVeriA[AgirlikKg]),0))*$C158*IFERROR(SUMIF(tblVeriA[SiparisNo],$A158,tblVeriA[Adet]),1)*(1+$E158*kdo_iadeEtkiCarpani),0))</f>
        <v/>
      </c>
      <c r="H158" s="13" t="n"/>
      <c r="I158" s="13" t="n"/>
      <c r="J158" s="15">
        <f>IF($A158="","",1)</f>
        <v/>
      </c>
    </row>
    <row r="159">
      <c r="A159" s="13" t="n"/>
      <c r="B159" s="13" t="n"/>
      <c r="C159" s="16" t="n"/>
      <c r="D159" s="16" t="n"/>
      <c r="E159" s="17" t="n"/>
      <c r="F159" s="16" t="n"/>
      <c r="G159" s="15">
        <f>IF($A159="","",IFERROR(MAX(IFERROR(SUMIF(tblVeriA[SiparisNo],$A159,tblVeriA[EnCm])*SUMIF(tblVeriA[SiparisNo],$A159,tblVeriA[BoyCm])*SUMIF(tblVeriA[SiparisNo],$A159,tblVeriA[YukseklikCm])/MAX(SUMIF(tblVeriA[SiparisNo],$A159,tblVeriA[DesiCarpani]),1),0),IFERROR(SUMIF(tblVeriA[SiparisNo],$A159,tblVeriA[AgirlikKg]),0))*$C159*IFERROR(SUMIF(tblVeriA[SiparisNo],$A159,tblVeriA[Adet]),1)*(1+$E159*kdo_iadeEtkiCarpani),0))</f>
        <v/>
      </c>
      <c r="H159" s="13" t="n"/>
      <c r="I159" s="13" t="n"/>
      <c r="J159" s="15">
        <f>IF($A159="","",1)</f>
        <v/>
      </c>
    </row>
    <row r="160">
      <c r="A160" s="13" t="n"/>
      <c r="B160" s="13" t="n"/>
      <c r="C160" s="16" t="n"/>
      <c r="D160" s="16" t="n"/>
      <c r="E160" s="17" t="n"/>
      <c r="F160" s="16" t="n"/>
      <c r="G160" s="15">
        <f>IF($A160="","",IFERROR(MAX(IFERROR(SUMIF(tblVeriA[SiparisNo],$A160,tblVeriA[EnCm])*SUMIF(tblVeriA[SiparisNo],$A160,tblVeriA[BoyCm])*SUMIF(tblVeriA[SiparisNo],$A160,tblVeriA[YukseklikCm])/MAX(SUMIF(tblVeriA[SiparisNo],$A160,tblVeriA[DesiCarpani]),1),0),IFERROR(SUMIF(tblVeriA[SiparisNo],$A160,tblVeriA[AgirlikKg]),0))*$C160*IFERROR(SUMIF(tblVeriA[SiparisNo],$A160,tblVeriA[Adet]),1)*(1+$E160*kdo_iadeEtkiCarpani),0))</f>
        <v/>
      </c>
      <c r="H160" s="13" t="n"/>
      <c r="I160" s="13" t="n"/>
      <c r="J160" s="15">
        <f>IF($A160="","",1)</f>
        <v/>
      </c>
    </row>
    <row r="161">
      <c r="A161" s="13" t="n"/>
      <c r="B161" s="13" t="n"/>
      <c r="C161" s="16" t="n"/>
      <c r="D161" s="16" t="n"/>
      <c r="E161" s="17" t="n"/>
      <c r="F161" s="16" t="n"/>
      <c r="G161" s="15">
        <f>IF($A161="","",IFERROR(MAX(IFERROR(SUMIF(tblVeriA[SiparisNo],$A161,tblVeriA[EnCm])*SUMIF(tblVeriA[SiparisNo],$A161,tblVeriA[BoyCm])*SUMIF(tblVeriA[SiparisNo],$A161,tblVeriA[YukseklikCm])/MAX(SUMIF(tblVeriA[SiparisNo],$A161,tblVeriA[DesiCarpani]),1),0),IFERROR(SUMIF(tblVeriA[SiparisNo],$A161,tblVeriA[AgirlikKg]),0))*$C161*IFERROR(SUMIF(tblVeriA[SiparisNo],$A161,tblVeriA[Adet]),1)*(1+$E161*kdo_iadeEtkiCarpani),0))</f>
        <v/>
      </c>
      <c r="H161" s="13" t="n"/>
      <c r="I161" s="13" t="n"/>
      <c r="J161" s="15">
        <f>IF($A161="","",1)</f>
        <v/>
      </c>
    </row>
    <row r="162">
      <c r="A162" s="13" t="n"/>
      <c r="B162" s="13" t="n"/>
      <c r="C162" s="16" t="n"/>
      <c r="D162" s="16" t="n"/>
      <c r="E162" s="17" t="n"/>
      <c r="F162" s="16" t="n"/>
      <c r="G162" s="15">
        <f>IF($A162="","",IFERROR(MAX(IFERROR(SUMIF(tblVeriA[SiparisNo],$A162,tblVeriA[EnCm])*SUMIF(tblVeriA[SiparisNo],$A162,tblVeriA[BoyCm])*SUMIF(tblVeriA[SiparisNo],$A162,tblVeriA[YukseklikCm])/MAX(SUMIF(tblVeriA[SiparisNo],$A162,tblVeriA[DesiCarpani]),1),0),IFERROR(SUMIF(tblVeriA[SiparisNo],$A162,tblVeriA[AgirlikKg]),0))*$C162*IFERROR(SUMIF(tblVeriA[SiparisNo],$A162,tblVeriA[Adet]),1)*(1+$E162*kdo_iadeEtkiCarpani),0))</f>
        <v/>
      </c>
      <c r="H162" s="13" t="n"/>
      <c r="I162" s="13" t="n"/>
      <c r="J162" s="15">
        <f>IF($A162="","",1)</f>
        <v/>
      </c>
    </row>
    <row r="163">
      <c r="A163" s="13" t="n"/>
      <c r="B163" s="13" t="n"/>
      <c r="C163" s="16" t="n"/>
      <c r="D163" s="16" t="n"/>
      <c r="E163" s="17" t="n"/>
      <c r="F163" s="16" t="n"/>
      <c r="G163" s="15">
        <f>IF($A163="","",IFERROR(MAX(IFERROR(SUMIF(tblVeriA[SiparisNo],$A163,tblVeriA[EnCm])*SUMIF(tblVeriA[SiparisNo],$A163,tblVeriA[BoyCm])*SUMIF(tblVeriA[SiparisNo],$A163,tblVeriA[YukseklikCm])/MAX(SUMIF(tblVeriA[SiparisNo],$A163,tblVeriA[DesiCarpani]),1),0),IFERROR(SUMIF(tblVeriA[SiparisNo],$A163,tblVeriA[AgirlikKg]),0))*$C163*IFERROR(SUMIF(tblVeriA[SiparisNo],$A163,tblVeriA[Adet]),1)*(1+$E163*kdo_iadeEtkiCarpani),0))</f>
        <v/>
      </c>
      <c r="H163" s="13" t="n"/>
      <c r="I163" s="13" t="n"/>
      <c r="J163" s="15">
        <f>IF($A163="","",1)</f>
        <v/>
      </c>
    </row>
    <row r="164">
      <c r="A164" s="13" t="n"/>
      <c r="B164" s="13" t="n"/>
      <c r="C164" s="16" t="n"/>
      <c r="D164" s="16" t="n"/>
      <c r="E164" s="17" t="n"/>
      <c r="F164" s="16" t="n"/>
      <c r="G164" s="15">
        <f>IF($A164="","",IFERROR(MAX(IFERROR(SUMIF(tblVeriA[SiparisNo],$A164,tblVeriA[EnCm])*SUMIF(tblVeriA[SiparisNo],$A164,tblVeriA[BoyCm])*SUMIF(tblVeriA[SiparisNo],$A164,tblVeriA[YukseklikCm])/MAX(SUMIF(tblVeriA[SiparisNo],$A164,tblVeriA[DesiCarpani]),1),0),IFERROR(SUMIF(tblVeriA[SiparisNo],$A164,tblVeriA[AgirlikKg]),0))*$C164*IFERROR(SUMIF(tblVeriA[SiparisNo],$A164,tblVeriA[Adet]),1)*(1+$E164*kdo_iadeEtkiCarpani),0))</f>
        <v/>
      </c>
      <c r="H164" s="13" t="n"/>
      <c r="I164" s="13" t="n"/>
      <c r="J164" s="15">
        <f>IF($A164="","",1)</f>
        <v/>
      </c>
    </row>
    <row r="165">
      <c r="A165" s="13" t="n"/>
      <c r="B165" s="13" t="n"/>
      <c r="C165" s="16" t="n"/>
      <c r="D165" s="16" t="n"/>
      <c r="E165" s="17" t="n"/>
      <c r="F165" s="16" t="n"/>
      <c r="G165" s="15">
        <f>IF($A165="","",IFERROR(MAX(IFERROR(SUMIF(tblVeriA[SiparisNo],$A165,tblVeriA[EnCm])*SUMIF(tblVeriA[SiparisNo],$A165,tblVeriA[BoyCm])*SUMIF(tblVeriA[SiparisNo],$A165,tblVeriA[YukseklikCm])/MAX(SUMIF(tblVeriA[SiparisNo],$A165,tblVeriA[DesiCarpani]),1),0),IFERROR(SUMIF(tblVeriA[SiparisNo],$A165,tblVeriA[AgirlikKg]),0))*$C165*IFERROR(SUMIF(tblVeriA[SiparisNo],$A165,tblVeriA[Adet]),1)*(1+$E165*kdo_iadeEtkiCarpani),0))</f>
        <v/>
      </c>
      <c r="H165" s="13" t="n"/>
      <c r="I165" s="13" t="n"/>
      <c r="J165" s="15">
        <f>IF($A165="","",1)</f>
        <v/>
      </c>
    </row>
    <row r="166">
      <c r="A166" s="13" t="n"/>
      <c r="B166" s="13" t="n"/>
      <c r="C166" s="16" t="n"/>
      <c r="D166" s="16" t="n"/>
      <c r="E166" s="17" t="n"/>
      <c r="F166" s="16" t="n"/>
      <c r="G166" s="15">
        <f>IF($A166="","",IFERROR(MAX(IFERROR(SUMIF(tblVeriA[SiparisNo],$A166,tblVeriA[EnCm])*SUMIF(tblVeriA[SiparisNo],$A166,tblVeriA[BoyCm])*SUMIF(tblVeriA[SiparisNo],$A166,tblVeriA[YukseklikCm])/MAX(SUMIF(tblVeriA[SiparisNo],$A166,tblVeriA[DesiCarpani]),1),0),IFERROR(SUMIF(tblVeriA[SiparisNo],$A166,tblVeriA[AgirlikKg]),0))*$C166*IFERROR(SUMIF(tblVeriA[SiparisNo],$A166,tblVeriA[Adet]),1)*(1+$E166*kdo_iadeEtkiCarpani),0))</f>
        <v/>
      </c>
      <c r="H166" s="13" t="n"/>
      <c r="I166" s="13" t="n"/>
      <c r="J166" s="15">
        <f>IF($A166="","",1)</f>
        <v/>
      </c>
    </row>
    <row r="167">
      <c r="A167" s="13" t="n"/>
      <c r="B167" s="13" t="n"/>
      <c r="C167" s="16" t="n"/>
      <c r="D167" s="16" t="n"/>
      <c r="E167" s="17" t="n"/>
      <c r="F167" s="16" t="n"/>
      <c r="G167" s="15">
        <f>IF($A167="","",IFERROR(MAX(IFERROR(SUMIF(tblVeriA[SiparisNo],$A167,tblVeriA[EnCm])*SUMIF(tblVeriA[SiparisNo],$A167,tblVeriA[BoyCm])*SUMIF(tblVeriA[SiparisNo],$A167,tblVeriA[YukseklikCm])/MAX(SUMIF(tblVeriA[SiparisNo],$A167,tblVeriA[DesiCarpani]),1),0),IFERROR(SUMIF(tblVeriA[SiparisNo],$A167,tblVeriA[AgirlikKg]),0))*$C167*IFERROR(SUMIF(tblVeriA[SiparisNo],$A167,tblVeriA[Adet]),1)*(1+$E167*kdo_iadeEtkiCarpani),0))</f>
        <v/>
      </c>
      <c r="H167" s="13" t="n"/>
      <c r="I167" s="13" t="n"/>
      <c r="J167" s="15">
        <f>IF($A167="","",1)</f>
        <v/>
      </c>
    </row>
    <row r="168">
      <c r="A168" s="13" t="n"/>
      <c r="B168" s="13" t="n"/>
      <c r="C168" s="16" t="n"/>
      <c r="D168" s="16" t="n"/>
      <c r="E168" s="17" t="n"/>
      <c r="F168" s="16" t="n"/>
      <c r="G168" s="15">
        <f>IF($A168="","",IFERROR(MAX(IFERROR(SUMIF(tblVeriA[SiparisNo],$A168,tblVeriA[EnCm])*SUMIF(tblVeriA[SiparisNo],$A168,tblVeriA[BoyCm])*SUMIF(tblVeriA[SiparisNo],$A168,tblVeriA[YukseklikCm])/MAX(SUMIF(tblVeriA[SiparisNo],$A168,tblVeriA[DesiCarpani]),1),0),IFERROR(SUMIF(tblVeriA[SiparisNo],$A168,tblVeriA[AgirlikKg]),0))*$C168*IFERROR(SUMIF(tblVeriA[SiparisNo],$A168,tblVeriA[Adet]),1)*(1+$E168*kdo_iadeEtkiCarpani),0))</f>
        <v/>
      </c>
      <c r="H168" s="13" t="n"/>
      <c r="I168" s="13" t="n"/>
      <c r="J168" s="15">
        <f>IF($A168="","",1)</f>
        <v/>
      </c>
    </row>
    <row r="169">
      <c r="A169" s="13" t="n"/>
      <c r="B169" s="13" t="n"/>
      <c r="C169" s="16" t="n"/>
      <c r="D169" s="16" t="n"/>
      <c r="E169" s="17" t="n"/>
      <c r="F169" s="16" t="n"/>
      <c r="G169" s="15">
        <f>IF($A169="","",IFERROR(MAX(IFERROR(SUMIF(tblVeriA[SiparisNo],$A169,tblVeriA[EnCm])*SUMIF(tblVeriA[SiparisNo],$A169,tblVeriA[BoyCm])*SUMIF(tblVeriA[SiparisNo],$A169,tblVeriA[YukseklikCm])/MAX(SUMIF(tblVeriA[SiparisNo],$A169,tblVeriA[DesiCarpani]),1),0),IFERROR(SUMIF(tblVeriA[SiparisNo],$A169,tblVeriA[AgirlikKg]),0))*$C169*IFERROR(SUMIF(tblVeriA[SiparisNo],$A169,tblVeriA[Adet]),1)*(1+$E169*kdo_iadeEtkiCarpani),0))</f>
        <v/>
      </c>
      <c r="H169" s="13" t="n"/>
      <c r="I169" s="13" t="n"/>
      <c r="J169" s="15">
        <f>IF($A169="","",1)</f>
        <v/>
      </c>
    </row>
    <row r="170">
      <c r="A170" s="13" t="n"/>
      <c r="B170" s="13" t="n"/>
      <c r="C170" s="16" t="n"/>
      <c r="D170" s="16" t="n"/>
      <c r="E170" s="17" t="n"/>
      <c r="F170" s="16" t="n"/>
      <c r="G170" s="15">
        <f>IF($A170="","",IFERROR(MAX(IFERROR(SUMIF(tblVeriA[SiparisNo],$A170,tblVeriA[EnCm])*SUMIF(tblVeriA[SiparisNo],$A170,tblVeriA[BoyCm])*SUMIF(tblVeriA[SiparisNo],$A170,tblVeriA[YukseklikCm])/MAX(SUMIF(tblVeriA[SiparisNo],$A170,tblVeriA[DesiCarpani]),1),0),IFERROR(SUMIF(tblVeriA[SiparisNo],$A170,tblVeriA[AgirlikKg]),0))*$C170*IFERROR(SUMIF(tblVeriA[SiparisNo],$A170,tblVeriA[Adet]),1)*(1+$E170*kdo_iadeEtkiCarpani),0))</f>
        <v/>
      </c>
      <c r="H170" s="13" t="n"/>
      <c r="I170" s="13" t="n"/>
      <c r="J170" s="15">
        <f>IF($A170="","",1)</f>
        <v/>
      </c>
    </row>
    <row r="171">
      <c r="A171" s="13" t="n"/>
      <c r="B171" s="13" t="n"/>
      <c r="C171" s="16" t="n"/>
      <c r="D171" s="16" t="n"/>
      <c r="E171" s="17" t="n"/>
      <c r="F171" s="16" t="n"/>
      <c r="G171" s="15">
        <f>IF($A171="","",IFERROR(MAX(IFERROR(SUMIF(tblVeriA[SiparisNo],$A171,tblVeriA[EnCm])*SUMIF(tblVeriA[SiparisNo],$A171,tblVeriA[BoyCm])*SUMIF(tblVeriA[SiparisNo],$A171,tblVeriA[YukseklikCm])/MAX(SUMIF(tblVeriA[SiparisNo],$A171,tblVeriA[DesiCarpani]),1),0),IFERROR(SUMIF(tblVeriA[SiparisNo],$A171,tblVeriA[AgirlikKg]),0))*$C171*IFERROR(SUMIF(tblVeriA[SiparisNo],$A171,tblVeriA[Adet]),1)*(1+$E171*kdo_iadeEtkiCarpani),0))</f>
        <v/>
      </c>
      <c r="H171" s="13" t="n"/>
      <c r="I171" s="13" t="n"/>
      <c r="J171" s="15">
        <f>IF($A171="","",1)</f>
        <v/>
      </c>
    </row>
    <row r="172">
      <c r="A172" s="13" t="n"/>
      <c r="B172" s="13" t="n"/>
      <c r="C172" s="16" t="n"/>
      <c r="D172" s="16" t="n"/>
      <c r="E172" s="17" t="n"/>
      <c r="F172" s="16" t="n"/>
      <c r="G172" s="15">
        <f>IF($A172="","",IFERROR(MAX(IFERROR(SUMIF(tblVeriA[SiparisNo],$A172,tblVeriA[EnCm])*SUMIF(tblVeriA[SiparisNo],$A172,tblVeriA[BoyCm])*SUMIF(tblVeriA[SiparisNo],$A172,tblVeriA[YukseklikCm])/MAX(SUMIF(tblVeriA[SiparisNo],$A172,tblVeriA[DesiCarpani]),1),0),IFERROR(SUMIF(tblVeriA[SiparisNo],$A172,tblVeriA[AgirlikKg]),0))*$C172*IFERROR(SUMIF(tblVeriA[SiparisNo],$A172,tblVeriA[Adet]),1)*(1+$E172*kdo_iadeEtkiCarpani),0))</f>
        <v/>
      </c>
      <c r="H172" s="13" t="n"/>
      <c r="I172" s="13" t="n"/>
      <c r="J172" s="15">
        <f>IF($A172="","",1)</f>
        <v/>
      </c>
    </row>
    <row r="173">
      <c r="A173" s="13" t="n"/>
      <c r="B173" s="13" t="n"/>
      <c r="C173" s="16" t="n"/>
      <c r="D173" s="16" t="n"/>
      <c r="E173" s="17" t="n"/>
      <c r="F173" s="16" t="n"/>
      <c r="G173" s="15">
        <f>IF($A173="","",IFERROR(MAX(IFERROR(SUMIF(tblVeriA[SiparisNo],$A173,tblVeriA[EnCm])*SUMIF(tblVeriA[SiparisNo],$A173,tblVeriA[BoyCm])*SUMIF(tblVeriA[SiparisNo],$A173,tblVeriA[YukseklikCm])/MAX(SUMIF(tblVeriA[SiparisNo],$A173,tblVeriA[DesiCarpani]),1),0),IFERROR(SUMIF(tblVeriA[SiparisNo],$A173,tblVeriA[AgirlikKg]),0))*$C173*IFERROR(SUMIF(tblVeriA[SiparisNo],$A173,tblVeriA[Adet]),1)*(1+$E173*kdo_iadeEtkiCarpani),0))</f>
        <v/>
      </c>
      <c r="H173" s="13" t="n"/>
      <c r="I173" s="13" t="n"/>
      <c r="J173" s="15">
        <f>IF($A173="","",1)</f>
        <v/>
      </c>
    </row>
    <row r="174">
      <c r="A174" s="13" t="n"/>
      <c r="B174" s="13" t="n"/>
      <c r="C174" s="16" t="n"/>
      <c r="D174" s="16" t="n"/>
      <c r="E174" s="17" t="n"/>
      <c r="F174" s="16" t="n"/>
      <c r="G174" s="15">
        <f>IF($A174="","",IFERROR(MAX(IFERROR(SUMIF(tblVeriA[SiparisNo],$A174,tblVeriA[EnCm])*SUMIF(tblVeriA[SiparisNo],$A174,tblVeriA[BoyCm])*SUMIF(tblVeriA[SiparisNo],$A174,tblVeriA[YukseklikCm])/MAX(SUMIF(tblVeriA[SiparisNo],$A174,tblVeriA[DesiCarpani]),1),0),IFERROR(SUMIF(tblVeriA[SiparisNo],$A174,tblVeriA[AgirlikKg]),0))*$C174*IFERROR(SUMIF(tblVeriA[SiparisNo],$A174,tblVeriA[Adet]),1)*(1+$E174*kdo_iadeEtkiCarpani),0))</f>
        <v/>
      </c>
      <c r="H174" s="13" t="n"/>
      <c r="I174" s="13" t="n"/>
      <c r="J174" s="15">
        <f>IF($A174="","",1)</f>
        <v/>
      </c>
    </row>
    <row r="175">
      <c r="A175" s="13" t="n"/>
      <c r="B175" s="13" t="n"/>
      <c r="C175" s="16" t="n"/>
      <c r="D175" s="16" t="n"/>
      <c r="E175" s="17" t="n"/>
      <c r="F175" s="16" t="n"/>
      <c r="G175" s="15">
        <f>IF($A175="","",IFERROR(MAX(IFERROR(SUMIF(tblVeriA[SiparisNo],$A175,tblVeriA[EnCm])*SUMIF(tblVeriA[SiparisNo],$A175,tblVeriA[BoyCm])*SUMIF(tblVeriA[SiparisNo],$A175,tblVeriA[YukseklikCm])/MAX(SUMIF(tblVeriA[SiparisNo],$A175,tblVeriA[DesiCarpani]),1),0),IFERROR(SUMIF(tblVeriA[SiparisNo],$A175,tblVeriA[AgirlikKg]),0))*$C175*IFERROR(SUMIF(tblVeriA[SiparisNo],$A175,tblVeriA[Adet]),1)*(1+$E175*kdo_iadeEtkiCarpani),0))</f>
        <v/>
      </c>
      <c r="H175" s="13" t="n"/>
      <c r="I175" s="13" t="n"/>
      <c r="J175" s="15">
        <f>IF($A175="","",1)</f>
        <v/>
      </c>
    </row>
    <row r="176">
      <c r="A176" s="13" t="n"/>
      <c r="B176" s="13" t="n"/>
      <c r="C176" s="16" t="n"/>
      <c r="D176" s="16" t="n"/>
      <c r="E176" s="17" t="n"/>
      <c r="F176" s="16" t="n"/>
      <c r="G176" s="15">
        <f>IF($A176="","",IFERROR(MAX(IFERROR(SUMIF(tblVeriA[SiparisNo],$A176,tblVeriA[EnCm])*SUMIF(tblVeriA[SiparisNo],$A176,tblVeriA[BoyCm])*SUMIF(tblVeriA[SiparisNo],$A176,tblVeriA[YukseklikCm])/MAX(SUMIF(tblVeriA[SiparisNo],$A176,tblVeriA[DesiCarpani]),1),0),IFERROR(SUMIF(tblVeriA[SiparisNo],$A176,tblVeriA[AgirlikKg]),0))*$C176*IFERROR(SUMIF(tblVeriA[SiparisNo],$A176,tblVeriA[Adet]),1)*(1+$E176*kdo_iadeEtkiCarpani),0))</f>
        <v/>
      </c>
      <c r="H176" s="13" t="n"/>
      <c r="I176" s="13" t="n"/>
      <c r="J176" s="15">
        <f>IF($A176="","",1)</f>
        <v/>
      </c>
    </row>
    <row r="177">
      <c r="A177" s="13" t="n"/>
      <c r="B177" s="13" t="n"/>
      <c r="C177" s="16" t="n"/>
      <c r="D177" s="16" t="n"/>
      <c r="E177" s="17" t="n"/>
      <c r="F177" s="16" t="n"/>
      <c r="G177" s="15">
        <f>IF($A177="","",IFERROR(MAX(IFERROR(SUMIF(tblVeriA[SiparisNo],$A177,tblVeriA[EnCm])*SUMIF(tblVeriA[SiparisNo],$A177,tblVeriA[BoyCm])*SUMIF(tblVeriA[SiparisNo],$A177,tblVeriA[YukseklikCm])/MAX(SUMIF(tblVeriA[SiparisNo],$A177,tblVeriA[DesiCarpani]),1),0),IFERROR(SUMIF(tblVeriA[SiparisNo],$A177,tblVeriA[AgirlikKg]),0))*$C177*IFERROR(SUMIF(tblVeriA[SiparisNo],$A177,tblVeriA[Adet]),1)*(1+$E177*kdo_iadeEtkiCarpani),0))</f>
        <v/>
      </c>
      <c r="H177" s="13" t="n"/>
      <c r="I177" s="13" t="n"/>
      <c r="J177" s="15">
        <f>IF($A177="","",1)</f>
        <v/>
      </c>
    </row>
    <row r="178">
      <c r="A178" s="13" t="n"/>
      <c r="B178" s="13" t="n"/>
      <c r="C178" s="16" t="n"/>
      <c r="D178" s="16" t="n"/>
      <c r="E178" s="17" t="n"/>
      <c r="F178" s="16" t="n"/>
      <c r="G178" s="15">
        <f>IF($A178="","",IFERROR(MAX(IFERROR(SUMIF(tblVeriA[SiparisNo],$A178,tblVeriA[EnCm])*SUMIF(tblVeriA[SiparisNo],$A178,tblVeriA[BoyCm])*SUMIF(tblVeriA[SiparisNo],$A178,tblVeriA[YukseklikCm])/MAX(SUMIF(tblVeriA[SiparisNo],$A178,tblVeriA[DesiCarpani]),1),0),IFERROR(SUMIF(tblVeriA[SiparisNo],$A178,tblVeriA[AgirlikKg]),0))*$C178*IFERROR(SUMIF(tblVeriA[SiparisNo],$A178,tblVeriA[Adet]),1)*(1+$E178*kdo_iadeEtkiCarpani),0))</f>
        <v/>
      </c>
      <c r="H178" s="13" t="n"/>
      <c r="I178" s="13" t="n"/>
      <c r="J178" s="15">
        <f>IF($A178="","",1)</f>
        <v/>
      </c>
    </row>
    <row r="179">
      <c r="A179" s="13" t="n"/>
      <c r="B179" s="13" t="n"/>
      <c r="C179" s="16" t="n"/>
      <c r="D179" s="16" t="n"/>
      <c r="E179" s="17" t="n"/>
      <c r="F179" s="16" t="n"/>
      <c r="G179" s="15">
        <f>IF($A179="","",IFERROR(MAX(IFERROR(SUMIF(tblVeriA[SiparisNo],$A179,tblVeriA[EnCm])*SUMIF(tblVeriA[SiparisNo],$A179,tblVeriA[BoyCm])*SUMIF(tblVeriA[SiparisNo],$A179,tblVeriA[YukseklikCm])/MAX(SUMIF(tblVeriA[SiparisNo],$A179,tblVeriA[DesiCarpani]),1),0),IFERROR(SUMIF(tblVeriA[SiparisNo],$A179,tblVeriA[AgirlikKg]),0))*$C179*IFERROR(SUMIF(tblVeriA[SiparisNo],$A179,tblVeriA[Adet]),1)*(1+$E179*kdo_iadeEtkiCarpani),0))</f>
        <v/>
      </c>
      <c r="H179" s="13" t="n"/>
      <c r="I179" s="13" t="n"/>
      <c r="J179" s="15">
        <f>IF($A179="","",1)</f>
        <v/>
      </c>
    </row>
    <row r="180">
      <c r="A180" s="13" t="n"/>
      <c r="B180" s="13" t="n"/>
      <c r="C180" s="16" t="n"/>
      <c r="D180" s="16" t="n"/>
      <c r="E180" s="17" t="n"/>
      <c r="F180" s="16" t="n"/>
      <c r="G180" s="15">
        <f>IF($A180="","",IFERROR(MAX(IFERROR(SUMIF(tblVeriA[SiparisNo],$A180,tblVeriA[EnCm])*SUMIF(tblVeriA[SiparisNo],$A180,tblVeriA[BoyCm])*SUMIF(tblVeriA[SiparisNo],$A180,tblVeriA[YukseklikCm])/MAX(SUMIF(tblVeriA[SiparisNo],$A180,tblVeriA[DesiCarpani]),1),0),IFERROR(SUMIF(tblVeriA[SiparisNo],$A180,tblVeriA[AgirlikKg]),0))*$C180*IFERROR(SUMIF(tblVeriA[SiparisNo],$A180,tblVeriA[Adet]),1)*(1+$E180*kdo_iadeEtkiCarpani),0))</f>
        <v/>
      </c>
      <c r="H180" s="13" t="n"/>
      <c r="I180" s="13" t="n"/>
      <c r="J180" s="15">
        <f>IF($A180="","",1)</f>
        <v/>
      </c>
    </row>
    <row r="181">
      <c r="A181" s="13" t="n"/>
      <c r="B181" s="13" t="n"/>
      <c r="C181" s="16" t="n"/>
      <c r="D181" s="16" t="n"/>
      <c r="E181" s="17" t="n"/>
      <c r="F181" s="16" t="n"/>
      <c r="G181" s="15">
        <f>IF($A181="","",IFERROR(MAX(IFERROR(SUMIF(tblVeriA[SiparisNo],$A181,tblVeriA[EnCm])*SUMIF(tblVeriA[SiparisNo],$A181,tblVeriA[BoyCm])*SUMIF(tblVeriA[SiparisNo],$A181,tblVeriA[YukseklikCm])/MAX(SUMIF(tblVeriA[SiparisNo],$A181,tblVeriA[DesiCarpani]),1),0),IFERROR(SUMIF(tblVeriA[SiparisNo],$A181,tblVeriA[AgirlikKg]),0))*$C181*IFERROR(SUMIF(tblVeriA[SiparisNo],$A181,tblVeriA[Adet]),1)*(1+$E181*kdo_iadeEtkiCarpani),0))</f>
        <v/>
      </c>
      <c r="H181" s="13" t="n"/>
      <c r="I181" s="13" t="n"/>
      <c r="J181" s="15">
        <f>IF($A181="","",1)</f>
        <v/>
      </c>
    </row>
    <row r="182">
      <c r="A182" s="13" t="n"/>
      <c r="B182" s="13" t="n"/>
      <c r="C182" s="16" t="n"/>
      <c r="D182" s="16" t="n"/>
      <c r="E182" s="17" t="n"/>
      <c r="F182" s="16" t="n"/>
      <c r="G182" s="15">
        <f>IF($A182="","",IFERROR(MAX(IFERROR(SUMIF(tblVeriA[SiparisNo],$A182,tblVeriA[EnCm])*SUMIF(tblVeriA[SiparisNo],$A182,tblVeriA[BoyCm])*SUMIF(tblVeriA[SiparisNo],$A182,tblVeriA[YukseklikCm])/MAX(SUMIF(tblVeriA[SiparisNo],$A182,tblVeriA[DesiCarpani]),1),0),IFERROR(SUMIF(tblVeriA[SiparisNo],$A182,tblVeriA[AgirlikKg]),0))*$C182*IFERROR(SUMIF(tblVeriA[SiparisNo],$A182,tblVeriA[Adet]),1)*(1+$E182*kdo_iadeEtkiCarpani),0))</f>
        <v/>
      </c>
      <c r="H182" s="13" t="n"/>
      <c r="I182" s="13" t="n"/>
      <c r="J182" s="15">
        <f>IF($A182="","",1)</f>
        <v/>
      </c>
    </row>
    <row r="183">
      <c r="A183" s="13" t="n"/>
      <c r="B183" s="13" t="n"/>
      <c r="C183" s="16" t="n"/>
      <c r="D183" s="16" t="n"/>
      <c r="E183" s="17" t="n"/>
      <c r="F183" s="16" t="n"/>
      <c r="G183" s="15">
        <f>IF($A183="","",IFERROR(MAX(IFERROR(SUMIF(tblVeriA[SiparisNo],$A183,tblVeriA[EnCm])*SUMIF(tblVeriA[SiparisNo],$A183,tblVeriA[BoyCm])*SUMIF(tblVeriA[SiparisNo],$A183,tblVeriA[YukseklikCm])/MAX(SUMIF(tblVeriA[SiparisNo],$A183,tblVeriA[DesiCarpani]),1),0),IFERROR(SUMIF(tblVeriA[SiparisNo],$A183,tblVeriA[AgirlikKg]),0))*$C183*IFERROR(SUMIF(tblVeriA[SiparisNo],$A183,tblVeriA[Adet]),1)*(1+$E183*kdo_iadeEtkiCarpani),0))</f>
        <v/>
      </c>
      <c r="H183" s="13" t="n"/>
      <c r="I183" s="13" t="n"/>
      <c r="J183" s="15">
        <f>IF($A183="","",1)</f>
        <v/>
      </c>
    </row>
    <row r="184">
      <c r="A184" s="13" t="n"/>
      <c r="B184" s="13" t="n"/>
      <c r="C184" s="16" t="n"/>
      <c r="D184" s="16" t="n"/>
      <c r="E184" s="17" t="n"/>
      <c r="F184" s="16" t="n"/>
      <c r="G184" s="15">
        <f>IF($A184="","",IFERROR(MAX(IFERROR(SUMIF(tblVeriA[SiparisNo],$A184,tblVeriA[EnCm])*SUMIF(tblVeriA[SiparisNo],$A184,tblVeriA[BoyCm])*SUMIF(tblVeriA[SiparisNo],$A184,tblVeriA[YukseklikCm])/MAX(SUMIF(tblVeriA[SiparisNo],$A184,tblVeriA[DesiCarpani]),1),0),IFERROR(SUMIF(tblVeriA[SiparisNo],$A184,tblVeriA[AgirlikKg]),0))*$C184*IFERROR(SUMIF(tblVeriA[SiparisNo],$A184,tblVeriA[Adet]),1)*(1+$E184*kdo_iadeEtkiCarpani),0))</f>
        <v/>
      </c>
      <c r="H184" s="13" t="n"/>
      <c r="I184" s="13" t="n"/>
      <c r="J184" s="15">
        <f>IF($A184="","",1)</f>
        <v/>
      </c>
    </row>
    <row r="185">
      <c r="A185" s="13" t="n"/>
      <c r="B185" s="13" t="n"/>
      <c r="C185" s="16" t="n"/>
      <c r="D185" s="16" t="n"/>
      <c r="E185" s="17" t="n"/>
      <c r="F185" s="16" t="n"/>
      <c r="G185" s="15">
        <f>IF($A185="","",IFERROR(MAX(IFERROR(SUMIF(tblVeriA[SiparisNo],$A185,tblVeriA[EnCm])*SUMIF(tblVeriA[SiparisNo],$A185,tblVeriA[BoyCm])*SUMIF(tblVeriA[SiparisNo],$A185,tblVeriA[YukseklikCm])/MAX(SUMIF(tblVeriA[SiparisNo],$A185,tblVeriA[DesiCarpani]),1),0),IFERROR(SUMIF(tblVeriA[SiparisNo],$A185,tblVeriA[AgirlikKg]),0))*$C185*IFERROR(SUMIF(tblVeriA[SiparisNo],$A185,tblVeriA[Adet]),1)*(1+$E185*kdo_iadeEtkiCarpani),0))</f>
        <v/>
      </c>
      <c r="H185" s="13" t="n"/>
      <c r="I185" s="13" t="n"/>
      <c r="J185" s="15">
        <f>IF($A185="","",1)</f>
        <v/>
      </c>
    </row>
    <row r="186">
      <c r="A186" s="13" t="n"/>
      <c r="B186" s="13" t="n"/>
      <c r="C186" s="16" t="n"/>
      <c r="D186" s="16" t="n"/>
      <c r="E186" s="17" t="n"/>
      <c r="F186" s="16" t="n"/>
      <c r="G186" s="15">
        <f>IF($A186="","",IFERROR(MAX(IFERROR(SUMIF(tblVeriA[SiparisNo],$A186,tblVeriA[EnCm])*SUMIF(tblVeriA[SiparisNo],$A186,tblVeriA[BoyCm])*SUMIF(tblVeriA[SiparisNo],$A186,tblVeriA[YukseklikCm])/MAX(SUMIF(tblVeriA[SiparisNo],$A186,tblVeriA[DesiCarpani]),1),0),IFERROR(SUMIF(tblVeriA[SiparisNo],$A186,tblVeriA[AgirlikKg]),0))*$C186*IFERROR(SUMIF(tblVeriA[SiparisNo],$A186,tblVeriA[Adet]),1)*(1+$E186*kdo_iadeEtkiCarpani),0))</f>
        <v/>
      </c>
      <c r="H186" s="13" t="n"/>
      <c r="I186" s="13" t="n"/>
      <c r="J186" s="15">
        <f>IF($A186="","",1)</f>
        <v/>
      </c>
    </row>
    <row r="187">
      <c r="A187" s="13" t="n"/>
      <c r="B187" s="13" t="n"/>
      <c r="C187" s="16" t="n"/>
      <c r="D187" s="16" t="n"/>
      <c r="E187" s="17" t="n"/>
      <c r="F187" s="16" t="n"/>
      <c r="G187" s="15">
        <f>IF($A187="","",IFERROR(MAX(IFERROR(SUMIF(tblVeriA[SiparisNo],$A187,tblVeriA[EnCm])*SUMIF(tblVeriA[SiparisNo],$A187,tblVeriA[BoyCm])*SUMIF(tblVeriA[SiparisNo],$A187,tblVeriA[YukseklikCm])/MAX(SUMIF(tblVeriA[SiparisNo],$A187,tblVeriA[DesiCarpani]),1),0),IFERROR(SUMIF(tblVeriA[SiparisNo],$A187,tblVeriA[AgirlikKg]),0))*$C187*IFERROR(SUMIF(tblVeriA[SiparisNo],$A187,tblVeriA[Adet]),1)*(1+$E187*kdo_iadeEtkiCarpani),0))</f>
        <v/>
      </c>
      <c r="H187" s="13" t="n"/>
      <c r="I187" s="13" t="n"/>
      <c r="J187" s="15">
        <f>IF($A187="","",1)</f>
        <v/>
      </c>
    </row>
    <row r="188">
      <c r="A188" s="13" t="n"/>
      <c r="B188" s="13" t="n"/>
      <c r="C188" s="16" t="n"/>
      <c r="D188" s="16" t="n"/>
      <c r="E188" s="17" t="n"/>
      <c r="F188" s="16" t="n"/>
      <c r="G188" s="15">
        <f>IF($A188="","",IFERROR(MAX(IFERROR(SUMIF(tblVeriA[SiparisNo],$A188,tblVeriA[EnCm])*SUMIF(tblVeriA[SiparisNo],$A188,tblVeriA[BoyCm])*SUMIF(tblVeriA[SiparisNo],$A188,tblVeriA[YukseklikCm])/MAX(SUMIF(tblVeriA[SiparisNo],$A188,tblVeriA[DesiCarpani]),1),0),IFERROR(SUMIF(tblVeriA[SiparisNo],$A188,tblVeriA[AgirlikKg]),0))*$C188*IFERROR(SUMIF(tblVeriA[SiparisNo],$A188,tblVeriA[Adet]),1)*(1+$E188*kdo_iadeEtkiCarpani),0))</f>
        <v/>
      </c>
      <c r="H188" s="13" t="n"/>
      <c r="I188" s="13" t="n"/>
      <c r="J188" s="15">
        <f>IF($A188="","",1)</f>
        <v/>
      </c>
    </row>
    <row r="189">
      <c r="A189" s="13" t="n"/>
      <c r="B189" s="13" t="n"/>
      <c r="C189" s="16" t="n"/>
      <c r="D189" s="16" t="n"/>
      <c r="E189" s="17" t="n"/>
      <c r="F189" s="16" t="n"/>
      <c r="G189" s="15">
        <f>IF($A189="","",IFERROR(MAX(IFERROR(SUMIF(tblVeriA[SiparisNo],$A189,tblVeriA[EnCm])*SUMIF(tblVeriA[SiparisNo],$A189,tblVeriA[BoyCm])*SUMIF(tblVeriA[SiparisNo],$A189,tblVeriA[YukseklikCm])/MAX(SUMIF(tblVeriA[SiparisNo],$A189,tblVeriA[DesiCarpani]),1),0),IFERROR(SUMIF(tblVeriA[SiparisNo],$A189,tblVeriA[AgirlikKg]),0))*$C189*IFERROR(SUMIF(tblVeriA[SiparisNo],$A189,tblVeriA[Adet]),1)*(1+$E189*kdo_iadeEtkiCarpani),0))</f>
        <v/>
      </c>
      <c r="H189" s="13" t="n"/>
      <c r="I189" s="13" t="n"/>
      <c r="J189" s="15">
        <f>IF($A189="","",1)</f>
        <v/>
      </c>
    </row>
    <row r="190">
      <c r="A190" s="13" t="n"/>
      <c r="B190" s="13" t="n"/>
      <c r="C190" s="16" t="n"/>
      <c r="D190" s="16" t="n"/>
      <c r="E190" s="17" t="n"/>
      <c r="F190" s="16" t="n"/>
      <c r="G190" s="15">
        <f>IF($A190="","",IFERROR(MAX(IFERROR(SUMIF(tblVeriA[SiparisNo],$A190,tblVeriA[EnCm])*SUMIF(tblVeriA[SiparisNo],$A190,tblVeriA[BoyCm])*SUMIF(tblVeriA[SiparisNo],$A190,tblVeriA[YukseklikCm])/MAX(SUMIF(tblVeriA[SiparisNo],$A190,tblVeriA[DesiCarpani]),1),0),IFERROR(SUMIF(tblVeriA[SiparisNo],$A190,tblVeriA[AgirlikKg]),0))*$C190*IFERROR(SUMIF(tblVeriA[SiparisNo],$A190,tblVeriA[Adet]),1)*(1+$E190*kdo_iadeEtkiCarpani),0))</f>
        <v/>
      </c>
      <c r="H190" s="13" t="n"/>
      <c r="I190" s="13" t="n"/>
      <c r="J190" s="15">
        <f>IF($A190="","",1)</f>
        <v/>
      </c>
    </row>
    <row r="191">
      <c r="A191" s="13" t="n"/>
      <c r="B191" s="13" t="n"/>
      <c r="C191" s="16" t="n"/>
      <c r="D191" s="16" t="n"/>
      <c r="E191" s="17" t="n"/>
      <c r="F191" s="16" t="n"/>
      <c r="G191" s="15">
        <f>IF($A191="","",IFERROR(MAX(IFERROR(SUMIF(tblVeriA[SiparisNo],$A191,tblVeriA[EnCm])*SUMIF(tblVeriA[SiparisNo],$A191,tblVeriA[BoyCm])*SUMIF(tblVeriA[SiparisNo],$A191,tblVeriA[YukseklikCm])/MAX(SUMIF(tblVeriA[SiparisNo],$A191,tblVeriA[DesiCarpani]),1),0),IFERROR(SUMIF(tblVeriA[SiparisNo],$A191,tblVeriA[AgirlikKg]),0))*$C191*IFERROR(SUMIF(tblVeriA[SiparisNo],$A191,tblVeriA[Adet]),1)*(1+$E191*kdo_iadeEtkiCarpani),0))</f>
        <v/>
      </c>
      <c r="H191" s="13" t="n"/>
      <c r="I191" s="13" t="n"/>
      <c r="J191" s="15">
        <f>IF($A191="","",1)</f>
        <v/>
      </c>
    </row>
    <row r="192">
      <c r="A192" s="13" t="n"/>
      <c r="B192" s="13" t="n"/>
      <c r="C192" s="16" t="n"/>
      <c r="D192" s="16" t="n"/>
      <c r="E192" s="17" t="n"/>
      <c r="F192" s="16" t="n"/>
      <c r="G192" s="15">
        <f>IF($A192="","",IFERROR(MAX(IFERROR(SUMIF(tblVeriA[SiparisNo],$A192,tblVeriA[EnCm])*SUMIF(tblVeriA[SiparisNo],$A192,tblVeriA[BoyCm])*SUMIF(tblVeriA[SiparisNo],$A192,tblVeriA[YukseklikCm])/MAX(SUMIF(tblVeriA[SiparisNo],$A192,tblVeriA[DesiCarpani]),1),0),IFERROR(SUMIF(tblVeriA[SiparisNo],$A192,tblVeriA[AgirlikKg]),0))*$C192*IFERROR(SUMIF(tblVeriA[SiparisNo],$A192,tblVeriA[Adet]),1)*(1+$E192*kdo_iadeEtkiCarpani),0))</f>
        <v/>
      </c>
      <c r="H192" s="13" t="n"/>
      <c r="I192" s="13" t="n"/>
      <c r="J192" s="15">
        <f>IF($A192="","",1)</f>
        <v/>
      </c>
    </row>
    <row r="193">
      <c r="A193" s="13" t="n"/>
      <c r="B193" s="13" t="n"/>
      <c r="C193" s="16" t="n"/>
      <c r="D193" s="16" t="n"/>
      <c r="E193" s="17" t="n"/>
      <c r="F193" s="16" t="n"/>
      <c r="G193" s="15">
        <f>IF($A193="","",IFERROR(MAX(IFERROR(SUMIF(tblVeriA[SiparisNo],$A193,tblVeriA[EnCm])*SUMIF(tblVeriA[SiparisNo],$A193,tblVeriA[BoyCm])*SUMIF(tblVeriA[SiparisNo],$A193,tblVeriA[YukseklikCm])/MAX(SUMIF(tblVeriA[SiparisNo],$A193,tblVeriA[DesiCarpani]),1),0),IFERROR(SUMIF(tblVeriA[SiparisNo],$A193,tblVeriA[AgirlikKg]),0))*$C193*IFERROR(SUMIF(tblVeriA[SiparisNo],$A193,tblVeriA[Adet]),1)*(1+$E193*kdo_iadeEtkiCarpani),0))</f>
        <v/>
      </c>
      <c r="H193" s="13" t="n"/>
      <c r="I193" s="13" t="n"/>
      <c r="J193" s="15">
        <f>IF($A193="","",1)</f>
        <v/>
      </c>
    </row>
    <row r="194">
      <c r="A194" s="13" t="n"/>
      <c r="B194" s="13" t="n"/>
      <c r="C194" s="16" t="n"/>
      <c r="D194" s="16" t="n"/>
      <c r="E194" s="17" t="n"/>
      <c r="F194" s="16" t="n"/>
      <c r="G194" s="15">
        <f>IF($A194="","",IFERROR(MAX(IFERROR(SUMIF(tblVeriA[SiparisNo],$A194,tblVeriA[EnCm])*SUMIF(tblVeriA[SiparisNo],$A194,tblVeriA[BoyCm])*SUMIF(tblVeriA[SiparisNo],$A194,tblVeriA[YukseklikCm])/MAX(SUMIF(tblVeriA[SiparisNo],$A194,tblVeriA[DesiCarpani]),1),0),IFERROR(SUMIF(tblVeriA[SiparisNo],$A194,tblVeriA[AgirlikKg]),0))*$C194*IFERROR(SUMIF(tblVeriA[SiparisNo],$A194,tblVeriA[Adet]),1)*(1+$E194*kdo_iadeEtkiCarpani),0))</f>
        <v/>
      </c>
      <c r="H194" s="13" t="n"/>
      <c r="I194" s="13" t="n"/>
      <c r="J194" s="15">
        <f>IF($A194="","",1)</f>
        <v/>
      </c>
    </row>
    <row r="195">
      <c r="A195" s="13" t="n"/>
      <c r="B195" s="13" t="n"/>
      <c r="C195" s="16" t="n"/>
      <c r="D195" s="16" t="n"/>
      <c r="E195" s="17" t="n"/>
      <c r="F195" s="16" t="n"/>
      <c r="G195" s="15">
        <f>IF($A195="","",IFERROR(MAX(IFERROR(SUMIF(tblVeriA[SiparisNo],$A195,tblVeriA[EnCm])*SUMIF(tblVeriA[SiparisNo],$A195,tblVeriA[BoyCm])*SUMIF(tblVeriA[SiparisNo],$A195,tblVeriA[YukseklikCm])/MAX(SUMIF(tblVeriA[SiparisNo],$A195,tblVeriA[DesiCarpani]),1),0),IFERROR(SUMIF(tblVeriA[SiparisNo],$A195,tblVeriA[AgirlikKg]),0))*$C195*IFERROR(SUMIF(tblVeriA[SiparisNo],$A195,tblVeriA[Adet]),1)*(1+$E195*kdo_iadeEtkiCarpani),0))</f>
        <v/>
      </c>
      <c r="H195" s="13" t="n"/>
      <c r="I195" s="13" t="n"/>
      <c r="J195" s="15">
        <f>IF($A195="","",1)</f>
        <v/>
      </c>
    </row>
    <row r="196">
      <c r="A196" s="13" t="n"/>
      <c r="B196" s="13" t="n"/>
      <c r="C196" s="16" t="n"/>
      <c r="D196" s="16" t="n"/>
      <c r="E196" s="17" t="n"/>
      <c r="F196" s="16" t="n"/>
      <c r="G196" s="15">
        <f>IF($A196="","",IFERROR(MAX(IFERROR(SUMIF(tblVeriA[SiparisNo],$A196,tblVeriA[EnCm])*SUMIF(tblVeriA[SiparisNo],$A196,tblVeriA[BoyCm])*SUMIF(tblVeriA[SiparisNo],$A196,tblVeriA[YukseklikCm])/MAX(SUMIF(tblVeriA[SiparisNo],$A196,tblVeriA[DesiCarpani]),1),0),IFERROR(SUMIF(tblVeriA[SiparisNo],$A196,tblVeriA[AgirlikKg]),0))*$C196*IFERROR(SUMIF(tblVeriA[SiparisNo],$A196,tblVeriA[Adet]),1)*(1+$E196*kdo_iadeEtkiCarpani),0))</f>
        <v/>
      </c>
      <c r="H196" s="13" t="n"/>
      <c r="I196" s="13" t="n"/>
      <c r="J196" s="15">
        <f>IF($A196="","",1)</f>
        <v/>
      </c>
    </row>
    <row r="197">
      <c r="A197" s="13" t="n"/>
      <c r="B197" s="13" t="n"/>
      <c r="C197" s="16" t="n"/>
      <c r="D197" s="16" t="n"/>
      <c r="E197" s="17" t="n"/>
      <c r="F197" s="16" t="n"/>
      <c r="G197" s="15">
        <f>IF($A197="","",IFERROR(MAX(IFERROR(SUMIF(tblVeriA[SiparisNo],$A197,tblVeriA[EnCm])*SUMIF(tblVeriA[SiparisNo],$A197,tblVeriA[BoyCm])*SUMIF(tblVeriA[SiparisNo],$A197,tblVeriA[YukseklikCm])/MAX(SUMIF(tblVeriA[SiparisNo],$A197,tblVeriA[DesiCarpani]),1),0),IFERROR(SUMIF(tblVeriA[SiparisNo],$A197,tblVeriA[AgirlikKg]),0))*$C197*IFERROR(SUMIF(tblVeriA[SiparisNo],$A197,tblVeriA[Adet]),1)*(1+$E197*kdo_iadeEtkiCarpani),0))</f>
        <v/>
      </c>
      <c r="H197" s="13" t="n"/>
      <c r="I197" s="13" t="n"/>
      <c r="J197" s="15">
        <f>IF($A197="","",1)</f>
        <v/>
      </c>
    </row>
    <row r="198">
      <c r="A198" s="13" t="n"/>
      <c r="B198" s="13" t="n"/>
      <c r="C198" s="16" t="n"/>
      <c r="D198" s="16" t="n"/>
      <c r="E198" s="17" t="n"/>
      <c r="F198" s="16" t="n"/>
      <c r="G198" s="15">
        <f>IF($A198="","",IFERROR(MAX(IFERROR(SUMIF(tblVeriA[SiparisNo],$A198,tblVeriA[EnCm])*SUMIF(tblVeriA[SiparisNo],$A198,tblVeriA[BoyCm])*SUMIF(tblVeriA[SiparisNo],$A198,tblVeriA[YukseklikCm])/MAX(SUMIF(tblVeriA[SiparisNo],$A198,tblVeriA[DesiCarpani]),1),0),IFERROR(SUMIF(tblVeriA[SiparisNo],$A198,tblVeriA[AgirlikKg]),0))*$C198*IFERROR(SUMIF(tblVeriA[SiparisNo],$A198,tblVeriA[Adet]),1)*(1+$E198*kdo_iadeEtkiCarpani),0))</f>
        <v/>
      </c>
      <c r="H198" s="13" t="n"/>
      <c r="I198" s="13" t="n"/>
      <c r="J198" s="15">
        <f>IF($A198="","",1)</f>
        <v/>
      </c>
    </row>
    <row r="199">
      <c r="A199" s="13" t="n"/>
      <c r="B199" s="13" t="n"/>
      <c r="C199" s="16" t="n"/>
      <c r="D199" s="16" t="n"/>
      <c r="E199" s="17" t="n"/>
      <c r="F199" s="16" t="n"/>
      <c r="G199" s="15">
        <f>IF($A199="","",IFERROR(MAX(IFERROR(SUMIF(tblVeriA[SiparisNo],$A199,tblVeriA[EnCm])*SUMIF(tblVeriA[SiparisNo],$A199,tblVeriA[BoyCm])*SUMIF(tblVeriA[SiparisNo],$A199,tblVeriA[YukseklikCm])/MAX(SUMIF(tblVeriA[SiparisNo],$A199,tblVeriA[DesiCarpani]),1),0),IFERROR(SUMIF(tblVeriA[SiparisNo],$A199,tblVeriA[AgirlikKg]),0))*$C199*IFERROR(SUMIF(tblVeriA[SiparisNo],$A199,tblVeriA[Adet]),1)*(1+$E199*kdo_iadeEtkiCarpani),0))</f>
        <v/>
      </c>
      <c r="H199" s="13" t="n"/>
      <c r="I199" s="13" t="n"/>
      <c r="J199" s="15">
        <f>IF($A199="","",1)</f>
        <v/>
      </c>
    </row>
    <row r="200">
      <c r="A200" s="13" t="n"/>
      <c r="B200" s="13" t="n"/>
      <c r="C200" s="16" t="n"/>
      <c r="D200" s="16" t="n"/>
      <c r="E200" s="17" t="n"/>
      <c r="F200" s="16" t="n"/>
      <c r="G200" s="15">
        <f>IF($A200="","",IFERROR(MAX(IFERROR(SUMIF(tblVeriA[SiparisNo],$A200,tblVeriA[EnCm])*SUMIF(tblVeriA[SiparisNo],$A200,tblVeriA[BoyCm])*SUMIF(tblVeriA[SiparisNo],$A200,tblVeriA[YukseklikCm])/MAX(SUMIF(tblVeriA[SiparisNo],$A200,tblVeriA[DesiCarpani]),1),0),IFERROR(SUMIF(tblVeriA[SiparisNo],$A200,tblVeriA[AgirlikKg]),0))*$C200*IFERROR(SUMIF(tblVeriA[SiparisNo],$A200,tblVeriA[Adet]),1)*(1+$E200*kdo_iadeEtkiCarpani),0))</f>
        <v/>
      </c>
      <c r="H200" s="13" t="n"/>
      <c r="I200" s="13" t="n"/>
      <c r="J200" s="15">
        <f>IF($A200="","",1)</f>
        <v/>
      </c>
    </row>
    <row r="201">
      <c r="A201" s="13" t="n"/>
      <c r="B201" s="13" t="n"/>
      <c r="C201" s="16" t="n"/>
      <c r="D201" s="16" t="n"/>
      <c r="E201" s="17" t="n"/>
      <c r="F201" s="16" t="n"/>
      <c r="G201" s="15">
        <f>IF($A201="","",IFERROR(MAX(IFERROR(SUMIF(tblVeriA[SiparisNo],$A201,tblVeriA[EnCm])*SUMIF(tblVeriA[SiparisNo],$A201,tblVeriA[BoyCm])*SUMIF(tblVeriA[SiparisNo],$A201,tblVeriA[YukseklikCm])/MAX(SUMIF(tblVeriA[SiparisNo],$A201,tblVeriA[DesiCarpani]),1),0),IFERROR(SUMIF(tblVeriA[SiparisNo],$A201,tblVeriA[AgirlikKg]),0))*$C201*IFERROR(SUMIF(tblVeriA[SiparisNo],$A201,tblVeriA[Adet]),1)*(1+$E201*kdo_iadeEtkiCarpani),0))</f>
        <v/>
      </c>
      <c r="H201" s="13" t="n"/>
      <c r="I201" s="13" t="n"/>
      <c r="J201" s="15">
        <f>IF($A201="","",1)</f>
        <v/>
      </c>
    </row>
    <row r="202">
      <c r="A202" s="13" t="n"/>
      <c r="B202" s="13" t="n"/>
      <c r="C202" s="16" t="n"/>
      <c r="D202" s="16" t="n"/>
      <c r="E202" s="17" t="n"/>
      <c r="F202" s="16" t="n"/>
      <c r="G202" s="15">
        <f>IF($A202="","",IFERROR(MAX(IFERROR(SUMIF(tblVeriA[SiparisNo],$A202,tblVeriA[EnCm])*SUMIF(tblVeriA[SiparisNo],$A202,tblVeriA[BoyCm])*SUMIF(tblVeriA[SiparisNo],$A202,tblVeriA[YukseklikCm])/MAX(SUMIF(tblVeriA[SiparisNo],$A202,tblVeriA[DesiCarpani]),1),0),IFERROR(SUMIF(tblVeriA[SiparisNo],$A202,tblVeriA[AgirlikKg]),0))*$C202*IFERROR(SUMIF(tblVeriA[SiparisNo],$A202,tblVeriA[Adet]),1)*(1+$E202*kdo_iadeEtkiCarpani),0))</f>
        <v/>
      </c>
      <c r="H202" s="13" t="n"/>
      <c r="I202" s="13" t="n"/>
      <c r="J202" s="15">
        <f>IF($A202="","",1)</f>
        <v/>
      </c>
    </row>
    <row r="203">
      <c r="A203" s="13" t="n"/>
      <c r="B203" s="13" t="n"/>
      <c r="C203" s="16" t="n"/>
      <c r="D203" s="16" t="n"/>
      <c r="E203" s="17" t="n"/>
      <c r="F203" s="16" t="n"/>
      <c r="G203" s="15">
        <f>IF($A203="","",IFERROR(MAX(IFERROR(SUMIF(tblVeriA[SiparisNo],$A203,tblVeriA[EnCm])*SUMIF(tblVeriA[SiparisNo],$A203,tblVeriA[BoyCm])*SUMIF(tblVeriA[SiparisNo],$A203,tblVeriA[YukseklikCm])/MAX(SUMIF(tblVeriA[SiparisNo],$A203,tblVeriA[DesiCarpani]),1),0),IFERROR(SUMIF(tblVeriA[SiparisNo],$A203,tblVeriA[AgirlikKg]),0))*$C203*IFERROR(SUMIF(tblVeriA[SiparisNo],$A203,tblVeriA[Adet]),1)*(1+$E203*kdo_iadeEtkiCarpani),0))</f>
        <v/>
      </c>
      <c r="H203" s="13" t="n"/>
      <c r="I203" s="13" t="n"/>
      <c r="J203" s="15">
        <f>IF($A203="","",1)</f>
        <v/>
      </c>
    </row>
    <row r="204">
      <c r="A204" s="13" t="n"/>
      <c r="B204" s="13" t="n"/>
      <c r="C204" s="16" t="n"/>
      <c r="D204" s="16" t="n"/>
      <c r="E204" s="17" t="n"/>
      <c r="F204" s="16" t="n"/>
      <c r="G204" s="15">
        <f>IF($A204="","",IFERROR(MAX(IFERROR(SUMIF(tblVeriA[SiparisNo],$A204,tblVeriA[EnCm])*SUMIF(tblVeriA[SiparisNo],$A204,tblVeriA[BoyCm])*SUMIF(tblVeriA[SiparisNo],$A204,tblVeriA[YukseklikCm])/MAX(SUMIF(tblVeriA[SiparisNo],$A204,tblVeriA[DesiCarpani]),1),0),IFERROR(SUMIF(tblVeriA[SiparisNo],$A204,tblVeriA[AgirlikKg]),0))*$C204*IFERROR(SUMIF(tblVeriA[SiparisNo],$A204,tblVeriA[Adet]),1)*(1+$E204*kdo_iadeEtkiCarpani),0))</f>
        <v/>
      </c>
      <c r="H204" s="13" t="n"/>
      <c r="I204" s="13" t="n"/>
      <c r="J204" s="15">
        <f>IF($A204="","",1)</f>
        <v/>
      </c>
    </row>
    <row r="205">
      <c r="A205" s="13" t="n"/>
      <c r="B205" s="13" t="n"/>
      <c r="C205" s="16" t="n"/>
      <c r="D205" s="16" t="n"/>
      <c r="E205" s="17" t="n"/>
      <c r="F205" s="16" t="n"/>
      <c r="G205" s="15">
        <f>IF($A205="","",IFERROR(MAX(IFERROR(SUMIF(tblVeriA[SiparisNo],$A205,tblVeriA[EnCm])*SUMIF(tblVeriA[SiparisNo],$A205,tblVeriA[BoyCm])*SUMIF(tblVeriA[SiparisNo],$A205,tblVeriA[YukseklikCm])/MAX(SUMIF(tblVeriA[SiparisNo],$A205,tblVeriA[DesiCarpani]),1),0),IFERROR(SUMIF(tblVeriA[SiparisNo],$A205,tblVeriA[AgirlikKg]),0))*$C205*IFERROR(SUMIF(tblVeriA[SiparisNo],$A205,tblVeriA[Adet]),1)*(1+$E205*kdo_iadeEtkiCarpani),0))</f>
        <v/>
      </c>
      <c r="H205" s="13" t="n"/>
      <c r="I205" s="13" t="n"/>
      <c r="J205" s="15">
        <f>IF($A205="","",1)</f>
        <v/>
      </c>
    </row>
    <row r="206">
      <c r="A206" s="13" t="n"/>
      <c r="B206" s="13" t="n"/>
      <c r="C206" s="16" t="n"/>
      <c r="D206" s="16" t="n"/>
      <c r="E206" s="17" t="n"/>
      <c r="F206" s="16" t="n"/>
      <c r="G206" s="15">
        <f>IF($A206="","",IFERROR(MAX(IFERROR(SUMIF(tblVeriA[SiparisNo],$A206,tblVeriA[EnCm])*SUMIF(tblVeriA[SiparisNo],$A206,tblVeriA[BoyCm])*SUMIF(tblVeriA[SiparisNo],$A206,tblVeriA[YukseklikCm])/MAX(SUMIF(tblVeriA[SiparisNo],$A206,tblVeriA[DesiCarpani]),1),0),IFERROR(SUMIF(tblVeriA[SiparisNo],$A206,tblVeriA[AgirlikKg]),0))*$C206*IFERROR(SUMIF(tblVeriA[SiparisNo],$A206,tblVeriA[Adet]),1)*(1+$E206*kdo_iadeEtkiCarpani),0))</f>
        <v/>
      </c>
      <c r="H206" s="13" t="n"/>
      <c r="I206" s="13" t="n"/>
      <c r="J206" s="15">
        <f>IF($A206="","",1)</f>
        <v/>
      </c>
    </row>
    <row r="207">
      <c r="A207" s="13" t="n"/>
      <c r="B207" s="13" t="n"/>
      <c r="C207" s="16" t="n"/>
      <c r="D207" s="16" t="n"/>
      <c r="E207" s="17" t="n"/>
      <c r="F207" s="16" t="n"/>
      <c r="G207" s="15">
        <f>IF($A207="","",IFERROR(MAX(IFERROR(SUMIF(tblVeriA[SiparisNo],$A207,tblVeriA[EnCm])*SUMIF(tblVeriA[SiparisNo],$A207,tblVeriA[BoyCm])*SUMIF(tblVeriA[SiparisNo],$A207,tblVeriA[YukseklikCm])/MAX(SUMIF(tblVeriA[SiparisNo],$A207,tblVeriA[DesiCarpani]),1),0),IFERROR(SUMIF(tblVeriA[SiparisNo],$A207,tblVeriA[AgirlikKg]),0))*$C207*IFERROR(SUMIF(tblVeriA[SiparisNo],$A207,tblVeriA[Adet]),1)*(1+$E207*kdo_iadeEtkiCarpani),0))</f>
        <v/>
      </c>
      <c r="H207" s="13" t="n"/>
      <c r="I207" s="13" t="n"/>
      <c r="J207" s="15">
        <f>IF($A207="","",1)</f>
        <v/>
      </c>
    </row>
    <row r="208">
      <c r="A208" s="13" t="n"/>
      <c r="B208" s="13" t="n"/>
      <c r="C208" s="16" t="n"/>
      <c r="D208" s="16" t="n"/>
      <c r="E208" s="17" t="n"/>
      <c r="F208" s="16" t="n"/>
      <c r="G208" s="15">
        <f>IF($A208="","",IFERROR(MAX(IFERROR(SUMIF(tblVeriA[SiparisNo],$A208,tblVeriA[EnCm])*SUMIF(tblVeriA[SiparisNo],$A208,tblVeriA[BoyCm])*SUMIF(tblVeriA[SiparisNo],$A208,tblVeriA[YukseklikCm])/MAX(SUMIF(tblVeriA[SiparisNo],$A208,tblVeriA[DesiCarpani]),1),0),IFERROR(SUMIF(tblVeriA[SiparisNo],$A208,tblVeriA[AgirlikKg]),0))*$C208*IFERROR(SUMIF(tblVeriA[SiparisNo],$A208,tblVeriA[Adet]),1)*(1+$E208*kdo_iadeEtkiCarpani),0))</f>
        <v/>
      </c>
      <c r="H208" s="13" t="n"/>
      <c r="I208" s="13" t="n"/>
      <c r="J208" s="15">
        <f>IF($A208="","",1)</f>
        <v/>
      </c>
    </row>
    <row r="209">
      <c r="A209" s="13" t="n"/>
      <c r="B209" s="13" t="n"/>
      <c r="C209" s="16" t="n"/>
      <c r="D209" s="16" t="n"/>
      <c r="E209" s="17" t="n"/>
      <c r="F209" s="16" t="n"/>
      <c r="G209" s="15">
        <f>IF($A209="","",IFERROR(MAX(IFERROR(SUMIF(tblVeriA[SiparisNo],$A209,tblVeriA[EnCm])*SUMIF(tblVeriA[SiparisNo],$A209,tblVeriA[BoyCm])*SUMIF(tblVeriA[SiparisNo],$A209,tblVeriA[YukseklikCm])/MAX(SUMIF(tblVeriA[SiparisNo],$A209,tblVeriA[DesiCarpani]),1),0),IFERROR(SUMIF(tblVeriA[SiparisNo],$A209,tblVeriA[AgirlikKg]),0))*$C209*IFERROR(SUMIF(tblVeriA[SiparisNo],$A209,tblVeriA[Adet]),1)*(1+$E209*kdo_iadeEtkiCarpani),0))</f>
        <v/>
      </c>
      <c r="H209" s="13" t="n"/>
      <c r="I209" s="13" t="n"/>
      <c r="J209" s="15">
        <f>IF($A209="","",1)</f>
        <v/>
      </c>
    </row>
    <row r="210">
      <c r="A210" s="13" t="n"/>
      <c r="B210" s="13" t="n"/>
      <c r="C210" s="16" t="n"/>
      <c r="D210" s="16" t="n"/>
      <c r="E210" s="17" t="n"/>
      <c r="F210" s="16" t="n"/>
      <c r="G210" s="15">
        <f>IF($A210="","",IFERROR(MAX(IFERROR(SUMIF(tblVeriA[SiparisNo],$A210,tblVeriA[EnCm])*SUMIF(tblVeriA[SiparisNo],$A210,tblVeriA[BoyCm])*SUMIF(tblVeriA[SiparisNo],$A210,tblVeriA[YukseklikCm])/MAX(SUMIF(tblVeriA[SiparisNo],$A210,tblVeriA[DesiCarpani]),1),0),IFERROR(SUMIF(tblVeriA[SiparisNo],$A210,tblVeriA[AgirlikKg]),0))*$C210*IFERROR(SUMIF(tblVeriA[SiparisNo],$A210,tblVeriA[Adet]),1)*(1+$E210*kdo_iadeEtkiCarpani),0))</f>
        <v/>
      </c>
      <c r="H210" s="13" t="n"/>
      <c r="I210" s="13" t="n"/>
      <c r="J210" s="15">
        <f>IF($A210="","",1)</f>
        <v/>
      </c>
    </row>
    <row r="211">
      <c r="A211" s="13" t="n"/>
      <c r="B211" s="13" t="n"/>
      <c r="C211" s="16" t="n"/>
      <c r="D211" s="16" t="n"/>
      <c r="E211" s="17" t="n"/>
      <c r="F211" s="16" t="n"/>
      <c r="G211" s="15">
        <f>IF($A211="","",IFERROR(MAX(IFERROR(SUMIF(tblVeriA[SiparisNo],$A211,tblVeriA[EnCm])*SUMIF(tblVeriA[SiparisNo],$A211,tblVeriA[BoyCm])*SUMIF(tblVeriA[SiparisNo],$A211,tblVeriA[YukseklikCm])/MAX(SUMIF(tblVeriA[SiparisNo],$A211,tblVeriA[DesiCarpani]),1),0),IFERROR(SUMIF(tblVeriA[SiparisNo],$A211,tblVeriA[AgirlikKg]),0))*$C211*IFERROR(SUMIF(tblVeriA[SiparisNo],$A211,tblVeriA[Adet]),1)*(1+$E211*kdo_iadeEtkiCarpani),0))</f>
        <v/>
      </c>
      <c r="H211" s="13" t="n"/>
      <c r="I211" s="13" t="n"/>
      <c r="J211" s="15">
        <f>IF($A211="","",1)</f>
        <v/>
      </c>
    </row>
    <row r="212">
      <c r="A212" s="13" t="n"/>
      <c r="B212" s="13" t="n"/>
      <c r="C212" s="16" t="n"/>
      <c r="D212" s="16" t="n"/>
      <c r="E212" s="17" t="n"/>
      <c r="F212" s="16" t="n"/>
      <c r="G212" s="15">
        <f>IF($A212="","",IFERROR(MAX(IFERROR(SUMIF(tblVeriA[SiparisNo],$A212,tblVeriA[EnCm])*SUMIF(tblVeriA[SiparisNo],$A212,tblVeriA[BoyCm])*SUMIF(tblVeriA[SiparisNo],$A212,tblVeriA[YukseklikCm])/MAX(SUMIF(tblVeriA[SiparisNo],$A212,tblVeriA[DesiCarpani]),1),0),IFERROR(SUMIF(tblVeriA[SiparisNo],$A212,tblVeriA[AgirlikKg]),0))*$C212*IFERROR(SUMIF(tblVeriA[SiparisNo],$A212,tblVeriA[Adet]),1)*(1+$E212*kdo_iadeEtkiCarpani),0))</f>
        <v/>
      </c>
      <c r="H212" s="13" t="n"/>
      <c r="I212" s="13" t="n"/>
      <c r="J212" s="15">
        <f>IF($A212="","",1)</f>
        <v/>
      </c>
    </row>
    <row r="213">
      <c r="A213" s="13" t="n"/>
      <c r="B213" s="13" t="n"/>
      <c r="C213" s="16" t="n"/>
      <c r="D213" s="16" t="n"/>
      <c r="E213" s="17" t="n"/>
      <c r="F213" s="16" t="n"/>
      <c r="G213" s="15">
        <f>IF($A213="","",IFERROR(MAX(IFERROR(SUMIF(tblVeriA[SiparisNo],$A213,tblVeriA[EnCm])*SUMIF(tblVeriA[SiparisNo],$A213,tblVeriA[BoyCm])*SUMIF(tblVeriA[SiparisNo],$A213,tblVeriA[YukseklikCm])/MAX(SUMIF(tblVeriA[SiparisNo],$A213,tblVeriA[DesiCarpani]),1),0),IFERROR(SUMIF(tblVeriA[SiparisNo],$A213,tblVeriA[AgirlikKg]),0))*$C213*IFERROR(SUMIF(tblVeriA[SiparisNo],$A213,tblVeriA[Adet]),1)*(1+$E213*kdo_iadeEtkiCarpani),0))</f>
        <v/>
      </c>
      <c r="H213" s="13" t="n"/>
      <c r="I213" s="13" t="n"/>
      <c r="J213" s="15">
        <f>IF($A213="","",1)</f>
        <v/>
      </c>
    </row>
    <row r="214">
      <c r="A214" s="13" t="n"/>
      <c r="B214" s="13" t="n"/>
      <c r="C214" s="16" t="n"/>
      <c r="D214" s="16" t="n"/>
      <c r="E214" s="17" t="n"/>
      <c r="F214" s="16" t="n"/>
      <c r="G214" s="15">
        <f>IF($A214="","",IFERROR(MAX(IFERROR(SUMIF(tblVeriA[SiparisNo],$A214,tblVeriA[EnCm])*SUMIF(tblVeriA[SiparisNo],$A214,tblVeriA[BoyCm])*SUMIF(tblVeriA[SiparisNo],$A214,tblVeriA[YukseklikCm])/MAX(SUMIF(tblVeriA[SiparisNo],$A214,tblVeriA[DesiCarpani]),1),0),IFERROR(SUMIF(tblVeriA[SiparisNo],$A214,tblVeriA[AgirlikKg]),0))*$C214*IFERROR(SUMIF(tblVeriA[SiparisNo],$A214,tblVeriA[Adet]),1)*(1+$E214*kdo_iadeEtkiCarpani),0))</f>
        <v/>
      </c>
      <c r="H214" s="13" t="n"/>
      <c r="I214" s="13" t="n"/>
      <c r="J214" s="15">
        <f>IF($A214="","",1)</f>
        <v/>
      </c>
    </row>
    <row r="215">
      <c r="A215" s="13" t="n"/>
      <c r="B215" s="13" t="n"/>
      <c r="C215" s="16" t="n"/>
      <c r="D215" s="16" t="n"/>
      <c r="E215" s="17" t="n"/>
      <c r="F215" s="16" t="n"/>
      <c r="G215" s="15">
        <f>IF($A215="","",IFERROR(MAX(IFERROR(SUMIF(tblVeriA[SiparisNo],$A215,tblVeriA[EnCm])*SUMIF(tblVeriA[SiparisNo],$A215,tblVeriA[BoyCm])*SUMIF(tblVeriA[SiparisNo],$A215,tblVeriA[YukseklikCm])/MAX(SUMIF(tblVeriA[SiparisNo],$A215,tblVeriA[DesiCarpani]),1),0),IFERROR(SUMIF(tblVeriA[SiparisNo],$A215,tblVeriA[AgirlikKg]),0))*$C215*IFERROR(SUMIF(tblVeriA[SiparisNo],$A215,tblVeriA[Adet]),1)*(1+$E215*kdo_iadeEtkiCarpani),0))</f>
        <v/>
      </c>
      <c r="H215" s="13" t="n"/>
      <c r="I215" s="13" t="n"/>
      <c r="J215" s="15">
        <f>IF($A215="","",1)</f>
        <v/>
      </c>
    </row>
    <row r="216">
      <c r="A216" s="13" t="n"/>
      <c r="B216" s="13" t="n"/>
      <c r="C216" s="16" t="n"/>
      <c r="D216" s="16" t="n"/>
      <c r="E216" s="17" t="n"/>
      <c r="F216" s="16" t="n"/>
      <c r="G216" s="15">
        <f>IF($A216="","",IFERROR(MAX(IFERROR(SUMIF(tblVeriA[SiparisNo],$A216,tblVeriA[EnCm])*SUMIF(tblVeriA[SiparisNo],$A216,tblVeriA[BoyCm])*SUMIF(tblVeriA[SiparisNo],$A216,tblVeriA[YukseklikCm])/MAX(SUMIF(tblVeriA[SiparisNo],$A216,tblVeriA[DesiCarpani]),1),0),IFERROR(SUMIF(tblVeriA[SiparisNo],$A216,tblVeriA[AgirlikKg]),0))*$C216*IFERROR(SUMIF(tblVeriA[SiparisNo],$A216,tblVeriA[Adet]),1)*(1+$E216*kdo_iadeEtkiCarpani),0))</f>
        <v/>
      </c>
      <c r="H216" s="13" t="n"/>
      <c r="I216" s="13" t="n"/>
      <c r="J216" s="15">
        <f>IF($A216="","",1)</f>
        <v/>
      </c>
    </row>
    <row r="217">
      <c r="A217" s="13" t="n"/>
      <c r="B217" s="13" t="n"/>
      <c r="C217" s="16" t="n"/>
      <c r="D217" s="16" t="n"/>
      <c r="E217" s="17" t="n"/>
      <c r="F217" s="16" t="n"/>
      <c r="G217" s="15">
        <f>IF($A217="","",IFERROR(MAX(IFERROR(SUMIF(tblVeriA[SiparisNo],$A217,tblVeriA[EnCm])*SUMIF(tblVeriA[SiparisNo],$A217,tblVeriA[BoyCm])*SUMIF(tblVeriA[SiparisNo],$A217,tblVeriA[YukseklikCm])/MAX(SUMIF(tblVeriA[SiparisNo],$A217,tblVeriA[DesiCarpani]),1),0),IFERROR(SUMIF(tblVeriA[SiparisNo],$A217,tblVeriA[AgirlikKg]),0))*$C217*IFERROR(SUMIF(tblVeriA[SiparisNo],$A217,tblVeriA[Adet]),1)*(1+$E217*kdo_iadeEtkiCarpani),0))</f>
        <v/>
      </c>
      <c r="H217" s="13" t="n"/>
      <c r="I217" s="13" t="n"/>
      <c r="J217" s="15">
        <f>IF($A217="","",1)</f>
        <v/>
      </c>
    </row>
    <row r="218">
      <c r="A218" s="13" t="n"/>
      <c r="B218" s="13" t="n"/>
      <c r="C218" s="16" t="n"/>
      <c r="D218" s="16" t="n"/>
      <c r="E218" s="17" t="n"/>
      <c r="F218" s="16" t="n"/>
      <c r="G218" s="15">
        <f>IF($A218="","",IFERROR(MAX(IFERROR(SUMIF(tblVeriA[SiparisNo],$A218,tblVeriA[EnCm])*SUMIF(tblVeriA[SiparisNo],$A218,tblVeriA[BoyCm])*SUMIF(tblVeriA[SiparisNo],$A218,tblVeriA[YukseklikCm])/MAX(SUMIF(tblVeriA[SiparisNo],$A218,tblVeriA[DesiCarpani]),1),0),IFERROR(SUMIF(tblVeriA[SiparisNo],$A218,tblVeriA[AgirlikKg]),0))*$C218*IFERROR(SUMIF(tblVeriA[SiparisNo],$A218,tblVeriA[Adet]),1)*(1+$E218*kdo_iadeEtkiCarpani),0))</f>
        <v/>
      </c>
      <c r="H218" s="13" t="n"/>
      <c r="I218" s="13" t="n"/>
      <c r="J218" s="15">
        <f>IF($A218="","",1)</f>
        <v/>
      </c>
    </row>
    <row r="219">
      <c r="A219" s="13" t="n"/>
      <c r="B219" s="13" t="n"/>
      <c r="C219" s="16" t="n"/>
      <c r="D219" s="16" t="n"/>
      <c r="E219" s="17" t="n"/>
      <c r="F219" s="16" t="n"/>
      <c r="G219" s="15">
        <f>IF($A219="","",IFERROR(MAX(IFERROR(SUMIF(tblVeriA[SiparisNo],$A219,tblVeriA[EnCm])*SUMIF(tblVeriA[SiparisNo],$A219,tblVeriA[BoyCm])*SUMIF(tblVeriA[SiparisNo],$A219,tblVeriA[YukseklikCm])/MAX(SUMIF(tblVeriA[SiparisNo],$A219,tblVeriA[DesiCarpani]),1),0),IFERROR(SUMIF(tblVeriA[SiparisNo],$A219,tblVeriA[AgirlikKg]),0))*$C219*IFERROR(SUMIF(tblVeriA[SiparisNo],$A219,tblVeriA[Adet]),1)*(1+$E219*kdo_iadeEtkiCarpani),0))</f>
        <v/>
      </c>
      <c r="H219" s="13" t="n"/>
      <c r="I219" s="13" t="n"/>
      <c r="J219" s="15">
        <f>IF($A219="","",1)</f>
        <v/>
      </c>
    </row>
    <row r="220">
      <c r="A220" s="13" t="n"/>
      <c r="B220" s="13" t="n"/>
      <c r="C220" s="16" t="n"/>
      <c r="D220" s="16" t="n"/>
      <c r="E220" s="17" t="n"/>
      <c r="F220" s="16" t="n"/>
      <c r="G220" s="15">
        <f>IF($A220="","",IFERROR(MAX(IFERROR(SUMIF(tblVeriA[SiparisNo],$A220,tblVeriA[EnCm])*SUMIF(tblVeriA[SiparisNo],$A220,tblVeriA[BoyCm])*SUMIF(tblVeriA[SiparisNo],$A220,tblVeriA[YukseklikCm])/MAX(SUMIF(tblVeriA[SiparisNo],$A220,tblVeriA[DesiCarpani]),1),0),IFERROR(SUMIF(tblVeriA[SiparisNo],$A220,tblVeriA[AgirlikKg]),0))*$C220*IFERROR(SUMIF(tblVeriA[SiparisNo],$A220,tblVeriA[Adet]),1)*(1+$E220*kdo_iadeEtkiCarpani),0))</f>
        <v/>
      </c>
      <c r="H220" s="13" t="n"/>
      <c r="I220" s="13" t="n"/>
      <c r="J220" s="15">
        <f>IF($A220="","",1)</f>
        <v/>
      </c>
    </row>
    <row r="221">
      <c r="A221" s="13" t="n"/>
      <c r="B221" s="13" t="n"/>
      <c r="C221" s="16" t="n"/>
      <c r="D221" s="16" t="n"/>
      <c r="E221" s="17" t="n"/>
      <c r="F221" s="16" t="n"/>
      <c r="G221" s="15">
        <f>IF($A221="","",IFERROR(MAX(IFERROR(SUMIF(tblVeriA[SiparisNo],$A221,tblVeriA[EnCm])*SUMIF(tblVeriA[SiparisNo],$A221,tblVeriA[BoyCm])*SUMIF(tblVeriA[SiparisNo],$A221,tblVeriA[YukseklikCm])/MAX(SUMIF(tblVeriA[SiparisNo],$A221,tblVeriA[DesiCarpani]),1),0),IFERROR(SUMIF(tblVeriA[SiparisNo],$A221,tblVeriA[AgirlikKg]),0))*$C221*IFERROR(SUMIF(tblVeriA[SiparisNo],$A221,tblVeriA[Adet]),1)*(1+$E221*kdo_iadeEtkiCarpani),0))</f>
        <v/>
      </c>
      <c r="H221" s="13" t="n"/>
      <c r="I221" s="13" t="n"/>
      <c r="J221" s="15">
        <f>IF($A221="","",1)</f>
        <v/>
      </c>
    </row>
    <row r="222">
      <c r="A222" s="13" t="n"/>
      <c r="B222" s="13" t="n"/>
      <c r="C222" s="16" t="n"/>
      <c r="D222" s="16" t="n"/>
      <c r="E222" s="17" t="n"/>
      <c r="F222" s="16" t="n"/>
      <c r="G222" s="15">
        <f>IF($A222="","",IFERROR(MAX(IFERROR(SUMIF(tblVeriA[SiparisNo],$A222,tblVeriA[EnCm])*SUMIF(tblVeriA[SiparisNo],$A222,tblVeriA[BoyCm])*SUMIF(tblVeriA[SiparisNo],$A222,tblVeriA[YukseklikCm])/MAX(SUMIF(tblVeriA[SiparisNo],$A222,tblVeriA[DesiCarpani]),1),0),IFERROR(SUMIF(tblVeriA[SiparisNo],$A222,tblVeriA[AgirlikKg]),0))*$C222*IFERROR(SUMIF(tblVeriA[SiparisNo],$A222,tblVeriA[Adet]),1)*(1+$E222*kdo_iadeEtkiCarpani),0))</f>
        <v/>
      </c>
      <c r="H222" s="13" t="n"/>
      <c r="I222" s="13" t="n"/>
      <c r="J222" s="15">
        <f>IF($A222="","",1)</f>
        <v/>
      </c>
    </row>
    <row r="223">
      <c r="A223" s="13" t="n"/>
      <c r="B223" s="13" t="n"/>
      <c r="C223" s="16" t="n"/>
      <c r="D223" s="16" t="n"/>
      <c r="E223" s="17" t="n"/>
      <c r="F223" s="16" t="n"/>
      <c r="G223" s="15">
        <f>IF($A223="","",IFERROR(MAX(IFERROR(SUMIF(tblVeriA[SiparisNo],$A223,tblVeriA[EnCm])*SUMIF(tblVeriA[SiparisNo],$A223,tblVeriA[BoyCm])*SUMIF(tblVeriA[SiparisNo],$A223,tblVeriA[YukseklikCm])/MAX(SUMIF(tblVeriA[SiparisNo],$A223,tblVeriA[DesiCarpani]),1),0),IFERROR(SUMIF(tblVeriA[SiparisNo],$A223,tblVeriA[AgirlikKg]),0))*$C223*IFERROR(SUMIF(tblVeriA[SiparisNo],$A223,tblVeriA[Adet]),1)*(1+$E223*kdo_iadeEtkiCarpani),0))</f>
        <v/>
      </c>
      <c r="H223" s="13" t="n"/>
      <c r="I223" s="13" t="n"/>
      <c r="J223" s="15">
        <f>IF($A223="","",1)</f>
        <v/>
      </c>
    </row>
    <row r="224">
      <c r="A224" s="13" t="n"/>
      <c r="B224" s="13" t="n"/>
      <c r="C224" s="16" t="n"/>
      <c r="D224" s="16" t="n"/>
      <c r="E224" s="17" t="n"/>
      <c r="F224" s="16" t="n"/>
      <c r="G224" s="15">
        <f>IF($A224="","",IFERROR(MAX(IFERROR(SUMIF(tblVeriA[SiparisNo],$A224,tblVeriA[EnCm])*SUMIF(tblVeriA[SiparisNo],$A224,tblVeriA[BoyCm])*SUMIF(tblVeriA[SiparisNo],$A224,tblVeriA[YukseklikCm])/MAX(SUMIF(tblVeriA[SiparisNo],$A224,tblVeriA[DesiCarpani]),1),0),IFERROR(SUMIF(tblVeriA[SiparisNo],$A224,tblVeriA[AgirlikKg]),0))*$C224*IFERROR(SUMIF(tblVeriA[SiparisNo],$A224,tblVeriA[Adet]),1)*(1+$E224*kdo_iadeEtkiCarpani),0))</f>
        <v/>
      </c>
      <c r="H224" s="13" t="n"/>
      <c r="I224" s="13" t="n"/>
      <c r="J224" s="15">
        <f>IF($A224="","",1)</f>
        <v/>
      </c>
    </row>
    <row r="225">
      <c r="A225" s="13" t="n"/>
      <c r="B225" s="13" t="n"/>
      <c r="C225" s="16" t="n"/>
      <c r="D225" s="16" t="n"/>
      <c r="E225" s="17" t="n"/>
      <c r="F225" s="16" t="n"/>
      <c r="G225" s="15">
        <f>IF($A225="","",IFERROR(MAX(IFERROR(SUMIF(tblVeriA[SiparisNo],$A225,tblVeriA[EnCm])*SUMIF(tblVeriA[SiparisNo],$A225,tblVeriA[BoyCm])*SUMIF(tblVeriA[SiparisNo],$A225,tblVeriA[YukseklikCm])/MAX(SUMIF(tblVeriA[SiparisNo],$A225,tblVeriA[DesiCarpani]),1),0),IFERROR(SUMIF(tblVeriA[SiparisNo],$A225,tblVeriA[AgirlikKg]),0))*$C225*IFERROR(SUMIF(tblVeriA[SiparisNo],$A225,tblVeriA[Adet]),1)*(1+$E225*kdo_iadeEtkiCarpani),0))</f>
        <v/>
      </c>
      <c r="H225" s="13" t="n"/>
      <c r="I225" s="13" t="n"/>
      <c r="J225" s="15">
        <f>IF($A225="","",1)</f>
        <v/>
      </c>
    </row>
    <row r="226">
      <c r="A226" s="13" t="n"/>
      <c r="B226" s="13" t="n"/>
      <c r="C226" s="16" t="n"/>
      <c r="D226" s="16" t="n"/>
      <c r="E226" s="17" t="n"/>
      <c r="F226" s="16" t="n"/>
      <c r="G226" s="15">
        <f>IF($A226="","",IFERROR(MAX(IFERROR(SUMIF(tblVeriA[SiparisNo],$A226,tblVeriA[EnCm])*SUMIF(tblVeriA[SiparisNo],$A226,tblVeriA[BoyCm])*SUMIF(tblVeriA[SiparisNo],$A226,tblVeriA[YukseklikCm])/MAX(SUMIF(tblVeriA[SiparisNo],$A226,tblVeriA[DesiCarpani]),1),0),IFERROR(SUMIF(tblVeriA[SiparisNo],$A226,tblVeriA[AgirlikKg]),0))*$C226*IFERROR(SUMIF(tblVeriA[SiparisNo],$A226,tblVeriA[Adet]),1)*(1+$E226*kdo_iadeEtkiCarpani),0))</f>
        <v/>
      </c>
      <c r="H226" s="13" t="n"/>
      <c r="I226" s="13" t="n"/>
      <c r="J226" s="15">
        <f>IF($A226="","",1)</f>
        <v/>
      </c>
    </row>
    <row r="227">
      <c r="A227" s="13" t="n"/>
      <c r="B227" s="13" t="n"/>
      <c r="C227" s="16" t="n"/>
      <c r="D227" s="16" t="n"/>
      <c r="E227" s="17" t="n"/>
      <c r="F227" s="16" t="n"/>
      <c r="G227" s="15">
        <f>IF($A227="","",IFERROR(MAX(IFERROR(SUMIF(tblVeriA[SiparisNo],$A227,tblVeriA[EnCm])*SUMIF(tblVeriA[SiparisNo],$A227,tblVeriA[BoyCm])*SUMIF(tblVeriA[SiparisNo],$A227,tblVeriA[YukseklikCm])/MAX(SUMIF(tblVeriA[SiparisNo],$A227,tblVeriA[DesiCarpani]),1),0),IFERROR(SUMIF(tblVeriA[SiparisNo],$A227,tblVeriA[AgirlikKg]),0))*$C227*IFERROR(SUMIF(tblVeriA[SiparisNo],$A227,tblVeriA[Adet]),1)*(1+$E227*kdo_iadeEtkiCarpani),0))</f>
        <v/>
      </c>
      <c r="H227" s="13" t="n"/>
      <c r="I227" s="13" t="n"/>
      <c r="J227" s="15">
        <f>IF($A227="","",1)</f>
        <v/>
      </c>
    </row>
    <row r="228">
      <c r="A228" s="13" t="n"/>
      <c r="B228" s="13" t="n"/>
      <c r="C228" s="16" t="n"/>
      <c r="D228" s="16" t="n"/>
      <c r="E228" s="17" t="n"/>
      <c r="F228" s="16" t="n"/>
      <c r="G228" s="15">
        <f>IF($A228="","",IFERROR(MAX(IFERROR(SUMIF(tblVeriA[SiparisNo],$A228,tblVeriA[EnCm])*SUMIF(tblVeriA[SiparisNo],$A228,tblVeriA[BoyCm])*SUMIF(tblVeriA[SiparisNo],$A228,tblVeriA[YukseklikCm])/MAX(SUMIF(tblVeriA[SiparisNo],$A228,tblVeriA[DesiCarpani]),1),0),IFERROR(SUMIF(tblVeriA[SiparisNo],$A228,tblVeriA[AgirlikKg]),0))*$C228*IFERROR(SUMIF(tblVeriA[SiparisNo],$A228,tblVeriA[Adet]),1)*(1+$E228*kdo_iadeEtkiCarpani),0))</f>
        <v/>
      </c>
      <c r="H228" s="13" t="n"/>
      <c r="I228" s="13" t="n"/>
      <c r="J228" s="15">
        <f>IF($A228="","",1)</f>
        <v/>
      </c>
    </row>
    <row r="229">
      <c r="A229" s="13" t="n"/>
      <c r="B229" s="13" t="n"/>
      <c r="C229" s="16" t="n"/>
      <c r="D229" s="16" t="n"/>
      <c r="E229" s="17" t="n"/>
      <c r="F229" s="16" t="n"/>
      <c r="G229" s="15">
        <f>IF($A229="","",IFERROR(MAX(IFERROR(SUMIF(tblVeriA[SiparisNo],$A229,tblVeriA[EnCm])*SUMIF(tblVeriA[SiparisNo],$A229,tblVeriA[BoyCm])*SUMIF(tblVeriA[SiparisNo],$A229,tblVeriA[YukseklikCm])/MAX(SUMIF(tblVeriA[SiparisNo],$A229,tblVeriA[DesiCarpani]),1),0),IFERROR(SUMIF(tblVeriA[SiparisNo],$A229,tblVeriA[AgirlikKg]),0))*$C229*IFERROR(SUMIF(tblVeriA[SiparisNo],$A229,tblVeriA[Adet]),1)*(1+$E229*kdo_iadeEtkiCarpani),0))</f>
        <v/>
      </c>
      <c r="H229" s="13" t="n"/>
      <c r="I229" s="13" t="n"/>
      <c r="J229" s="15">
        <f>IF($A229="","",1)</f>
        <v/>
      </c>
    </row>
    <row r="230">
      <c r="A230" s="13" t="n"/>
      <c r="B230" s="13" t="n"/>
      <c r="C230" s="16" t="n"/>
      <c r="D230" s="16" t="n"/>
      <c r="E230" s="17" t="n"/>
      <c r="F230" s="16" t="n"/>
      <c r="G230" s="15">
        <f>IF($A230="","",IFERROR(MAX(IFERROR(SUMIF(tblVeriA[SiparisNo],$A230,tblVeriA[EnCm])*SUMIF(tblVeriA[SiparisNo],$A230,tblVeriA[BoyCm])*SUMIF(tblVeriA[SiparisNo],$A230,tblVeriA[YukseklikCm])/MAX(SUMIF(tblVeriA[SiparisNo],$A230,tblVeriA[DesiCarpani]),1),0),IFERROR(SUMIF(tblVeriA[SiparisNo],$A230,tblVeriA[AgirlikKg]),0))*$C230*IFERROR(SUMIF(tblVeriA[SiparisNo],$A230,tblVeriA[Adet]),1)*(1+$E230*kdo_iadeEtkiCarpani),0))</f>
        <v/>
      </c>
      <c r="H230" s="13" t="n"/>
      <c r="I230" s="13" t="n"/>
      <c r="J230" s="15">
        <f>IF($A230="","",1)</f>
        <v/>
      </c>
    </row>
    <row r="231">
      <c r="A231" s="13" t="n"/>
      <c r="B231" s="13" t="n"/>
      <c r="C231" s="16" t="n"/>
      <c r="D231" s="16" t="n"/>
      <c r="E231" s="17" t="n"/>
      <c r="F231" s="16" t="n"/>
      <c r="G231" s="15">
        <f>IF($A231="","",IFERROR(MAX(IFERROR(SUMIF(tblVeriA[SiparisNo],$A231,tblVeriA[EnCm])*SUMIF(tblVeriA[SiparisNo],$A231,tblVeriA[BoyCm])*SUMIF(tblVeriA[SiparisNo],$A231,tblVeriA[YukseklikCm])/MAX(SUMIF(tblVeriA[SiparisNo],$A231,tblVeriA[DesiCarpani]),1),0),IFERROR(SUMIF(tblVeriA[SiparisNo],$A231,tblVeriA[AgirlikKg]),0))*$C231*IFERROR(SUMIF(tblVeriA[SiparisNo],$A231,tblVeriA[Adet]),1)*(1+$E231*kdo_iadeEtkiCarpani),0))</f>
        <v/>
      </c>
      <c r="H231" s="13" t="n"/>
      <c r="I231" s="13" t="n"/>
      <c r="J231" s="15">
        <f>IF($A231="","",1)</f>
        <v/>
      </c>
    </row>
    <row r="232">
      <c r="A232" s="13" t="n"/>
      <c r="B232" s="13" t="n"/>
      <c r="C232" s="16" t="n"/>
      <c r="D232" s="16" t="n"/>
      <c r="E232" s="17" t="n"/>
      <c r="F232" s="16" t="n"/>
      <c r="G232" s="15">
        <f>IF($A232="","",IFERROR(MAX(IFERROR(SUMIF(tblVeriA[SiparisNo],$A232,tblVeriA[EnCm])*SUMIF(tblVeriA[SiparisNo],$A232,tblVeriA[BoyCm])*SUMIF(tblVeriA[SiparisNo],$A232,tblVeriA[YukseklikCm])/MAX(SUMIF(tblVeriA[SiparisNo],$A232,tblVeriA[DesiCarpani]),1),0),IFERROR(SUMIF(tblVeriA[SiparisNo],$A232,tblVeriA[AgirlikKg]),0))*$C232*IFERROR(SUMIF(tblVeriA[SiparisNo],$A232,tblVeriA[Adet]),1)*(1+$E232*kdo_iadeEtkiCarpani),0))</f>
        <v/>
      </c>
      <c r="H232" s="13" t="n"/>
      <c r="I232" s="13" t="n"/>
      <c r="J232" s="15">
        <f>IF($A232="","",1)</f>
        <v/>
      </c>
    </row>
    <row r="233">
      <c r="A233" s="13" t="n"/>
      <c r="B233" s="13" t="n"/>
      <c r="C233" s="16" t="n"/>
      <c r="D233" s="16" t="n"/>
      <c r="E233" s="17" t="n"/>
      <c r="F233" s="16" t="n"/>
      <c r="G233" s="15">
        <f>IF($A233="","",IFERROR(MAX(IFERROR(SUMIF(tblVeriA[SiparisNo],$A233,tblVeriA[EnCm])*SUMIF(tblVeriA[SiparisNo],$A233,tblVeriA[BoyCm])*SUMIF(tblVeriA[SiparisNo],$A233,tblVeriA[YukseklikCm])/MAX(SUMIF(tblVeriA[SiparisNo],$A233,tblVeriA[DesiCarpani]),1),0),IFERROR(SUMIF(tblVeriA[SiparisNo],$A233,tblVeriA[AgirlikKg]),0))*$C233*IFERROR(SUMIF(tblVeriA[SiparisNo],$A233,tblVeriA[Adet]),1)*(1+$E233*kdo_iadeEtkiCarpani),0))</f>
        <v/>
      </c>
      <c r="H233" s="13" t="n"/>
      <c r="I233" s="13" t="n"/>
      <c r="J233" s="15">
        <f>IF($A233="","",1)</f>
        <v/>
      </c>
    </row>
    <row r="234">
      <c r="A234" s="13" t="n"/>
      <c r="B234" s="13" t="n"/>
      <c r="C234" s="16" t="n"/>
      <c r="D234" s="16" t="n"/>
      <c r="E234" s="17" t="n"/>
      <c r="F234" s="16" t="n"/>
      <c r="G234" s="15">
        <f>IF($A234="","",IFERROR(MAX(IFERROR(SUMIF(tblVeriA[SiparisNo],$A234,tblVeriA[EnCm])*SUMIF(tblVeriA[SiparisNo],$A234,tblVeriA[BoyCm])*SUMIF(tblVeriA[SiparisNo],$A234,tblVeriA[YukseklikCm])/MAX(SUMIF(tblVeriA[SiparisNo],$A234,tblVeriA[DesiCarpani]),1),0),IFERROR(SUMIF(tblVeriA[SiparisNo],$A234,tblVeriA[AgirlikKg]),0))*$C234*IFERROR(SUMIF(tblVeriA[SiparisNo],$A234,tblVeriA[Adet]),1)*(1+$E234*kdo_iadeEtkiCarpani),0))</f>
        <v/>
      </c>
      <c r="H234" s="13" t="n"/>
      <c r="I234" s="13" t="n"/>
      <c r="J234" s="15">
        <f>IF($A234="","",1)</f>
        <v/>
      </c>
    </row>
    <row r="235">
      <c r="A235" s="13" t="n"/>
      <c r="B235" s="13" t="n"/>
      <c r="C235" s="16" t="n"/>
      <c r="D235" s="16" t="n"/>
      <c r="E235" s="17" t="n"/>
      <c r="F235" s="16" t="n"/>
      <c r="G235" s="15">
        <f>IF($A235="","",IFERROR(MAX(IFERROR(SUMIF(tblVeriA[SiparisNo],$A235,tblVeriA[EnCm])*SUMIF(tblVeriA[SiparisNo],$A235,tblVeriA[BoyCm])*SUMIF(tblVeriA[SiparisNo],$A235,tblVeriA[YukseklikCm])/MAX(SUMIF(tblVeriA[SiparisNo],$A235,tblVeriA[DesiCarpani]),1),0),IFERROR(SUMIF(tblVeriA[SiparisNo],$A235,tblVeriA[AgirlikKg]),0))*$C235*IFERROR(SUMIF(tblVeriA[SiparisNo],$A235,tblVeriA[Adet]),1)*(1+$E235*kdo_iadeEtkiCarpani),0))</f>
        <v/>
      </c>
      <c r="H235" s="13" t="n"/>
      <c r="I235" s="13" t="n"/>
      <c r="J235" s="15">
        <f>IF($A235="","",1)</f>
        <v/>
      </c>
    </row>
    <row r="236">
      <c r="A236" s="13" t="n"/>
      <c r="B236" s="13" t="n"/>
      <c r="C236" s="16" t="n"/>
      <c r="D236" s="16" t="n"/>
      <c r="E236" s="17" t="n"/>
      <c r="F236" s="16" t="n"/>
      <c r="G236" s="15">
        <f>IF($A236="","",IFERROR(MAX(IFERROR(SUMIF(tblVeriA[SiparisNo],$A236,tblVeriA[EnCm])*SUMIF(tblVeriA[SiparisNo],$A236,tblVeriA[BoyCm])*SUMIF(tblVeriA[SiparisNo],$A236,tblVeriA[YukseklikCm])/MAX(SUMIF(tblVeriA[SiparisNo],$A236,tblVeriA[DesiCarpani]),1),0),IFERROR(SUMIF(tblVeriA[SiparisNo],$A236,tblVeriA[AgirlikKg]),0))*$C236*IFERROR(SUMIF(tblVeriA[SiparisNo],$A236,tblVeriA[Adet]),1)*(1+$E236*kdo_iadeEtkiCarpani),0))</f>
        <v/>
      </c>
      <c r="H236" s="13" t="n"/>
      <c r="I236" s="13" t="n"/>
      <c r="J236" s="15">
        <f>IF($A236="","",1)</f>
        <v/>
      </c>
    </row>
    <row r="237">
      <c r="A237" s="13" t="n"/>
      <c r="B237" s="13" t="n"/>
      <c r="C237" s="16" t="n"/>
      <c r="D237" s="16" t="n"/>
      <c r="E237" s="17" t="n"/>
      <c r="F237" s="16" t="n"/>
      <c r="G237" s="15">
        <f>IF($A237="","",IFERROR(MAX(IFERROR(SUMIF(tblVeriA[SiparisNo],$A237,tblVeriA[EnCm])*SUMIF(tblVeriA[SiparisNo],$A237,tblVeriA[BoyCm])*SUMIF(tblVeriA[SiparisNo],$A237,tblVeriA[YukseklikCm])/MAX(SUMIF(tblVeriA[SiparisNo],$A237,tblVeriA[DesiCarpani]),1),0),IFERROR(SUMIF(tblVeriA[SiparisNo],$A237,tblVeriA[AgirlikKg]),0))*$C237*IFERROR(SUMIF(tblVeriA[SiparisNo],$A237,tblVeriA[Adet]),1)*(1+$E237*kdo_iadeEtkiCarpani),0))</f>
        <v/>
      </c>
      <c r="H237" s="13" t="n"/>
      <c r="I237" s="13" t="n"/>
      <c r="J237" s="15">
        <f>IF($A237="","",1)</f>
        <v/>
      </c>
    </row>
    <row r="238">
      <c r="A238" s="13" t="n"/>
      <c r="B238" s="13" t="n"/>
      <c r="C238" s="16" t="n"/>
      <c r="D238" s="16" t="n"/>
      <c r="E238" s="17" t="n"/>
      <c r="F238" s="16" t="n"/>
      <c r="G238" s="15">
        <f>IF($A238="","",IFERROR(MAX(IFERROR(SUMIF(tblVeriA[SiparisNo],$A238,tblVeriA[EnCm])*SUMIF(tblVeriA[SiparisNo],$A238,tblVeriA[BoyCm])*SUMIF(tblVeriA[SiparisNo],$A238,tblVeriA[YukseklikCm])/MAX(SUMIF(tblVeriA[SiparisNo],$A238,tblVeriA[DesiCarpani]),1),0),IFERROR(SUMIF(tblVeriA[SiparisNo],$A238,tblVeriA[AgirlikKg]),0))*$C238*IFERROR(SUMIF(tblVeriA[SiparisNo],$A238,tblVeriA[Adet]),1)*(1+$E238*kdo_iadeEtkiCarpani),0))</f>
        <v/>
      </c>
      <c r="H238" s="13" t="n"/>
      <c r="I238" s="13" t="n"/>
      <c r="J238" s="15">
        <f>IF($A238="","",1)</f>
        <v/>
      </c>
    </row>
    <row r="239">
      <c r="A239" s="13" t="n"/>
      <c r="B239" s="13" t="n"/>
      <c r="C239" s="16" t="n"/>
      <c r="D239" s="16" t="n"/>
      <c r="E239" s="17" t="n"/>
      <c r="F239" s="16" t="n"/>
      <c r="G239" s="15">
        <f>IF($A239="","",IFERROR(MAX(IFERROR(SUMIF(tblVeriA[SiparisNo],$A239,tblVeriA[EnCm])*SUMIF(tblVeriA[SiparisNo],$A239,tblVeriA[BoyCm])*SUMIF(tblVeriA[SiparisNo],$A239,tblVeriA[YukseklikCm])/MAX(SUMIF(tblVeriA[SiparisNo],$A239,tblVeriA[DesiCarpani]),1),0),IFERROR(SUMIF(tblVeriA[SiparisNo],$A239,tblVeriA[AgirlikKg]),0))*$C239*IFERROR(SUMIF(tblVeriA[SiparisNo],$A239,tblVeriA[Adet]),1)*(1+$E239*kdo_iadeEtkiCarpani),0))</f>
        <v/>
      </c>
      <c r="H239" s="13" t="n"/>
      <c r="I239" s="13" t="n"/>
      <c r="J239" s="15">
        <f>IF($A239="","",1)</f>
        <v/>
      </c>
    </row>
    <row r="240">
      <c r="A240" s="13" t="n"/>
      <c r="B240" s="13" t="n"/>
      <c r="C240" s="16" t="n"/>
      <c r="D240" s="16" t="n"/>
      <c r="E240" s="17" t="n"/>
      <c r="F240" s="16" t="n"/>
      <c r="G240" s="15">
        <f>IF($A240="","",IFERROR(MAX(IFERROR(SUMIF(tblVeriA[SiparisNo],$A240,tblVeriA[EnCm])*SUMIF(tblVeriA[SiparisNo],$A240,tblVeriA[BoyCm])*SUMIF(tblVeriA[SiparisNo],$A240,tblVeriA[YukseklikCm])/MAX(SUMIF(tblVeriA[SiparisNo],$A240,tblVeriA[DesiCarpani]),1),0),IFERROR(SUMIF(tblVeriA[SiparisNo],$A240,tblVeriA[AgirlikKg]),0))*$C240*IFERROR(SUMIF(tblVeriA[SiparisNo],$A240,tblVeriA[Adet]),1)*(1+$E240*kdo_iadeEtkiCarpani),0))</f>
        <v/>
      </c>
      <c r="H240" s="13" t="n"/>
      <c r="I240" s="13" t="n"/>
      <c r="J240" s="15">
        <f>IF($A240="","",1)</f>
        <v/>
      </c>
    </row>
    <row r="241">
      <c r="A241" s="13" t="n"/>
      <c r="B241" s="13" t="n"/>
      <c r="C241" s="16" t="n"/>
      <c r="D241" s="16" t="n"/>
      <c r="E241" s="17" t="n"/>
      <c r="F241" s="16" t="n"/>
      <c r="G241" s="15">
        <f>IF($A241="","",IFERROR(MAX(IFERROR(SUMIF(tblVeriA[SiparisNo],$A241,tblVeriA[EnCm])*SUMIF(tblVeriA[SiparisNo],$A241,tblVeriA[BoyCm])*SUMIF(tblVeriA[SiparisNo],$A241,tblVeriA[YukseklikCm])/MAX(SUMIF(tblVeriA[SiparisNo],$A241,tblVeriA[DesiCarpani]),1),0),IFERROR(SUMIF(tblVeriA[SiparisNo],$A241,tblVeriA[AgirlikKg]),0))*$C241*IFERROR(SUMIF(tblVeriA[SiparisNo],$A241,tblVeriA[Adet]),1)*(1+$E241*kdo_iadeEtkiCarpani),0))</f>
        <v/>
      </c>
      <c r="H241" s="13" t="n"/>
      <c r="I241" s="13" t="n"/>
      <c r="J241" s="15">
        <f>IF($A241="","",1)</f>
        <v/>
      </c>
    </row>
    <row r="242">
      <c r="A242" s="13" t="n"/>
      <c r="B242" s="13" t="n"/>
      <c r="C242" s="16" t="n"/>
      <c r="D242" s="16" t="n"/>
      <c r="E242" s="17" t="n"/>
      <c r="F242" s="16" t="n"/>
      <c r="G242" s="15">
        <f>IF($A242="","",IFERROR(MAX(IFERROR(SUMIF(tblVeriA[SiparisNo],$A242,tblVeriA[EnCm])*SUMIF(tblVeriA[SiparisNo],$A242,tblVeriA[BoyCm])*SUMIF(tblVeriA[SiparisNo],$A242,tblVeriA[YukseklikCm])/MAX(SUMIF(tblVeriA[SiparisNo],$A242,tblVeriA[DesiCarpani]),1),0),IFERROR(SUMIF(tblVeriA[SiparisNo],$A242,tblVeriA[AgirlikKg]),0))*$C242*IFERROR(SUMIF(tblVeriA[SiparisNo],$A242,tblVeriA[Adet]),1)*(1+$E242*kdo_iadeEtkiCarpani),0))</f>
        <v/>
      </c>
      <c r="H242" s="13" t="n"/>
      <c r="I242" s="13" t="n"/>
      <c r="J242" s="15">
        <f>IF($A242="","",1)</f>
        <v/>
      </c>
    </row>
    <row r="243">
      <c r="A243" s="13" t="n"/>
      <c r="B243" s="13" t="n"/>
      <c r="C243" s="16" t="n"/>
      <c r="D243" s="16" t="n"/>
      <c r="E243" s="17" t="n"/>
      <c r="F243" s="16" t="n"/>
      <c r="G243" s="15">
        <f>IF($A243="","",IFERROR(MAX(IFERROR(SUMIF(tblVeriA[SiparisNo],$A243,tblVeriA[EnCm])*SUMIF(tblVeriA[SiparisNo],$A243,tblVeriA[BoyCm])*SUMIF(tblVeriA[SiparisNo],$A243,tblVeriA[YukseklikCm])/MAX(SUMIF(tblVeriA[SiparisNo],$A243,tblVeriA[DesiCarpani]),1),0),IFERROR(SUMIF(tblVeriA[SiparisNo],$A243,tblVeriA[AgirlikKg]),0))*$C243*IFERROR(SUMIF(tblVeriA[SiparisNo],$A243,tblVeriA[Adet]),1)*(1+$E243*kdo_iadeEtkiCarpani),0))</f>
        <v/>
      </c>
      <c r="H243" s="13" t="n"/>
      <c r="I243" s="13" t="n"/>
      <c r="J243" s="15">
        <f>IF($A243="","",1)</f>
        <v/>
      </c>
    </row>
    <row r="244">
      <c r="A244" s="13" t="n"/>
      <c r="B244" s="13" t="n"/>
      <c r="C244" s="16" t="n"/>
      <c r="D244" s="16" t="n"/>
      <c r="E244" s="17" t="n"/>
      <c r="F244" s="16" t="n"/>
      <c r="G244" s="15">
        <f>IF($A244="","",IFERROR(MAX(IFERROR(SUMIF(tblVeriA[SiparisNo],$A244,tblVeriA[EnCm])*SUMIF(tblVeriA[SiparisNo],$A244,tblVeriA[BoyCm])*SUMIF(tblVeriA[SiparisNo],$A244,tblVeriA[YukseklikCm])/MAX(SUMIF(tblVeriA[SiparisNo],$A244,tblVeriA[DesiCarpani]),1),0),IFERROR(SUMIF(tblVeriA[SiparisNo],$A244,tblVeriA[AgirlikKg]),0))*$C244*IFERROR(SUMIF(tblVeriA[SiparisNo],$A244,tblVeriA[Adet]),1)*(1+$E244*kdo_iadeEtkiCarpani),0))</f>
        <v/>
      </c>
      <c r="H244" s="13" t="n"/>
      <c r="I244" s="13" t="n"/>
      <c r="J244" s="15">
        <f>IF($A244="","",1)</f>
        <v/>
      </c>
    </row>
    <row r="245">
      <c r="A245" s="13" t="n"/>
      <c r="B245" s="13" t="n"/>
      <c r="C245" s="16" t="n"/>
      <c r="D245" s="16" t="n"/>
      <c r="E245" s="17" t="n"/>
      <c r="F245" s="16" t="n"/>
      <c r="G245" s="15">
        <f>IF($A245="","",IFERROR(MAX(IFERROR(SUMIF(tblVeriA[SiparisNo],$A245,tblVeriA[EnCm])*SUMIF(tblVeriA[SiparisNo],$A245,tblVeriA[BoyCm])*SUMIF(tblVeriA[SiparisNo],$A245,tblVeriA[YukseklikCm])/MAX(SUMIF(tblVeriA[SiparisNo],$A245,tblVeriA[DesiCarpani]),1),0),IFERROR(SUMIF(tblVeriA[SiparisNo],$A245,tblVeriA[AgirlikKg]),0))*$C245*IFERROR(SUMIF(tblVeriA[SiparisNo],$A245,tblVeriA[Adet]),1)*(1+$E245*kdo_iadeEtkiCarpani),0))</f>
        <v/>
      </c>
      <c r="H245" s="13" t="n"/>
      <c r="I245" s="13" t="n"/>
      <c r="J245" s="15">
        <f>IF($A245="","",1)</f>
        <v/>
      </c>
    </row>
    <row r="246">
      <c r="A246" s="13" t="n"/>
      <c r="B246" s="13" t="n"/>
      <c r="C246" s="16" t="n"/>
      <c r="D246" s="16" t="n"/>
      <c r="E246" s="17" t="n"/>
      <c r="F246" s="16" t="n"/>
      <c r="G246" s="15">
        <f>IF($A246="","",IFERROR(MAX(IFERROR(SUMIF(tblVeriA[SiparisNo],$A246,tblVeriA[EnCm])*SUMIF(tblVeriA[SiparisNo],$A246,tblVeriA[BoyCm])*SUMIF(tblVeriA[SiparisNo],$A246,tblVeriA[YukseklikCm])/MAX(SUMIF(tblVeriA[SiparisNo],$A246,tblVeriA[DesiCarpani]),1),0),IFERROR(SUMIF(tblVeriA[SiparisNo],$A246,tblVeriA[AgirlikKg]),0))*$C246*IFERROR(SUMIF(tblVeriA[SiparisNo],$A246,tblVeriA[Adet]),1)*(1+$E246*kdo_iadeEtkiCarpani),0))</f>
        <v/>
      </c>
      <c r="H246" s="13" t="n"/>
      <c r="I246" s="13" t="n"/>
      <c r="J246" s="15">
        <f>IF($A246="","",1)</f>
        <v/>
      </c>
    </row>
    <row r="247">
      <c r="A247" s="13" t="n"/>
      <c r="B247" s="13" t="n"/>
      <c r="C247" s="16" t="n"/>
      <c r="D247" s="16" t="n"/>
      <c r="E247" s="17" t="n"/>
      <c r="F247" s="16" t="n"/>
      <c r="G247" s="15">
        <f>IF($A247="","",IFERROR(MAX(IFERROR(SUMIF(tblVeriA[SiparisNo],$A247,tblVeriA[EnCm])*SUMIF(tblVeriA[SiparisNo],$A247,tblVeriA[BoyCm])*SUMIF(tblVeriA[SiparisNo],$A247,tblVeriA[YukseklikCm])/MAX(SUMIF(tblVeriA[SiparisNo],$A247,tblVeriA[DesiCarpani]),1),0),IFERROR(SUMIF(tblVeriA[SiparisNo],$A247,tblVeriA[AgirlikKg]),0))*$C247*IFERROR(SUMIF(tblVeriA[SiparisNo],$A247,tblVeriA[Adet]),1)*(1+$E247*kdo_iadeEtkiCarpani),0))</f>
        <v/>
      </c>
      <c r="H247" s="13" t="n"/>
      <c r="I247" s="13" t="n"/>
      <c r="J247" s="15">
        <f>IF($A247="","",1)</f>
        <v/>
      </c>
    </row>
    <row r="248">
      <c r="A248" s="13" t="n"/>
      <c r="B248" s="13" t="n"/>
      <c r="C248" s="16" t="n"/>
      <c r="D248" s="16" t="n"/>
      <c r="E248" s="17" t="n"/>
      <c r="F248" s="16" t="n"/>
      <c r="G248" s="15">
        <f>IF($A248="","",IFERROR(MAX(IFERROR(SUMIF(tblVeriA[SiparisNo],$A248,tblVeriA[EnCm])*SUMIF(tblVeriA[SiparisNo],$A248,tblVeriA[BoyCm])*SUMIF(tblVeriA[SiparisNo],$A248,tblVeriA[YukseklikCm])/MAX(SUMIF(tblVeriA[SiparisNo],$A248,tblVeriA[DesiCarpani]),1),0),IFERROR(SUMIF(tblVeriA[SiparisNo],$A248,tblVeriA[AgirlikKg]),0))*$C248*IFERROR(SUMIF(tblVeriA[SiparisNo],$A248,tblVeriA[Adet]),1)*(1+$E248*kdo_iadeEtkiCarpani),0))</f>
        <v/>
      </c>
      <c r="H248" s="13" t="n"/>
      <c r="I248" s="13" t="n"/>
      <c r="J248" s="15">
        <f>IF($A248="","",1)</f>
        <v/>
      </c>
    </row>
    <row r="249">
      <c r="A249" s="13" t="n"/>
      <c r="B249" s="13" t="n"/>
      <c r="C249" s="16" t="n"/>
      <c r="D249" s="16" t="n"/>
      <c r="E249" s="17" t="n"/>
      <c r="F249" s="16" t="n"/>
      <c r="G249" s="15">
        <f>IF($A249="","",IFERROR(MAX(IFERROR(SUMIF(tblVeriA[SiparisNo],$A249,tblVeriA[EnCm])*SUMIF(tblVeriA[SiparisNo],$A249,tblVeriA[BoyCm])*SUMIF(tblVeriA[SiparisNo],$A249,tblVeriA[YukseklikCm])/MAX(SUMIF(tblVeriA[SiparisNo],$A249,tblVeriA[DesiCarpani]),1),0),IFERROR(SUMIF(tblVeriA[SiparisNo],$A249,tblVeriA[AgirlikKg]),0))*$C249*IFERROR(SUMIF(tblVeriA[SiparisNo],$A249,tblVeriA[Adet]),1)*(1+$E249*kdo_iadeEtkiCarpani),0))</f>
        <v/>
      </c>
      <c r="H249" s="13" t="n"/>
      <c r="I249" s="13" t="n"/>
      <c r="J249" s="15">
        <f>IF($A249="","",1)</f>
        <v/>
      </c>
    </row>
    <row r="250">
      <c r="A250" s="13" t="n"/>
      <c r="B250" s="13" t="n"/>
      <c r="C250" s="16" t="n"/>
      <c r="D250" s="16" t="n"/>
      <c r="E250" s="17" t="n"/>
      <c r="F250" s="16" t="n"/>
      <c r="G250" s="15">
        <f>IF($A250="","",IFERROR(MAX(IFERROR(SUMIF(tblVeriA[SiparisNo],$A250,tblVeriA[EnCm])*SUMIF(tblVeriA[SiparisNo],$A250,tblVeriA[BoyCm])*SUMIF(tblVeriA[SiparisNo],$A250,tblVeriA[YukseklikCm])/MAX(SUMIF(tblVeriA[SiparisNo],$A250,tblVeriA[DesiCarpani]),1),0),IFERROR(SUMIF(tblVeriA[SiparisNo],$A250,tblVeriA[AgirlikKg]),0))*$C250*IFERROR(SUMIF(tblVeriA[SiparisNo],$A250,tblVeriA[Adet]),1)*(1+$E250*kdo_iadeEtkiCarpani),0))</f>
        <v/>
      </c>
      <c r="H250" s="13" t="n"/>
      <c r="I250" s="13" t="n"/>
      <c r="J250" s="15">
        <f>IF($A250="","",1)</f>
        <v/>
      </c>
    </row>
    <row r="251">
      <c r="A251" s="13" t="n"/>
      <c r="B251" s="13" t="n"/>
      <c r="C251" s="16" t="n"/>
      <c r="D251" s="16" t="n"/>
      <c r="E251" s="17" t="n"/>
      <c r="F251" s="16" t="n"/>
      <c r="G251" s="15">
        <f>IF($A251="","",IFERROR(MAX(IFERROR(SUMIF(tblVeriA[SiparisNo],$A251,tblVeriA[EnCm])*SUMIF(tblVeriA[SiparisNo],$A251,tblVeriA[BoyCm])*SUMIF(tblVeriA[SiparisNo],$A251,tblVeriA[YukseklikCm])/MAX(SUMIF(tblVeriA[SiparisNo],$A251,tblVeriA[DesiCarpani]),1),0),IFERROR(SUMIF(tblVeriA[SiparisNo],$A251,tblVeriA[AgirlikKg]),0))*$C251*IFERROR(SUMIF(tblVeriA[SiparisNo],$A251,tblVeriA[Adet]),1)*(1+$E251*kdo_iadeEtkiCarpani),0))</f>
        <v/>
      </c>
      <c r="H251" s="13" t="n"/>
      <c r="I251" s="13" t="n"/>
      <c r="J251" s="15">
        <f>IF($A251="","",1)</f>
        <v/>
      </c>
    </row>
    <row r="252">
      <c r="A252" s="13" t="n"/>
      <c r="B252" s="13" t="n"/>
      <c r="C252" s="16" t="n"/>
      <c r="D252" s="16" t="n"/>
      <c r="E252" s="17" t="n"/>
      <c r="F252" s="16" t="n"/>
      <c r="G252" s="15">
        <f>IF($A252="","",IFERROR(MAX(IFERROR(SUMIF(tblVeriA[SiparisNo],$A252,tblVeriA[EnCm])*SUMIF(tblVeriA[SiparisNo],$A252,tblVeriA[BoyCm])*SUMIF(tblVeriA[SiparisNo],$A252,tblVeriA[YukseklikCm])/MAX(SUMIF(tblVeriA[SiparisNo],$A252,tblVeriA[DesiCarpani]),1),0),IFERROR(SUMIF(tblVeriA[SiparisNo],$A252,tblVeriA[AgirlikKg]),0))*$C252*IFERROR(SUMIF(tblVeriA[SiparisNo],$A252,tblVeriA[Adet]),1)*(1+$E252*kdo_iadeEtkiCarpani),0))</f>
        <v/>
      </c>
      <c r="H252" s="13" t="n"/>
      <c r="I252" s="13" t="n"/>
      <c r="J252" s="15">
        <f>IF($A252="","",1)</f>
        <v/>
      </c>
    </row>
    <row r="253">
      <c r="A253" s="13" t="n"/>
      <c r="B253" s="13" t="n"/>
      <c r="C253" s="16" t="n"/>
      <c r="D253" s="16" t="n"/>
      <c r="E253" s="17" t="n"/>
      <c r="F253" s="16" t="n"/>
      <c r="G253" s="15">
        <f>IF($A253="","",IFERROR(MAX(IFERROR(SUMIF(tblVeriA[SiparisNo],$A253,tblVeriA[EnCm])*SUMIF(tblVeriA[SiparisNo],$A253,tblVeriA[BoyCm])*SUMIF(tblVeriA[SiparisNo],$A253,tblVeriA[YukseklikCm])/MAX(SUMIF(tblVeriA[SiparisNo],$A253,tblVeriA[DesiCarpani]),1),0),IFERROR(SUMIF(tblVeriA[SiparisNo],$A253,tblVeriA[AgirlikKg]),0))*$C253*IFERROR(SUMIF(tblVeriA[SiparisNo],$A253,tblVeriA[Adet]),1)*(1+$E253*kdo_iadeEtkiCarpani),0))</f>
        <v/>
      </c>
      <c r="H253" s="13" t="n"/>
      <c r="I253" s="13" t="n"/>
      <c r="J253" s="15">
        <f>IF($A253="","",1)</f>
        <v/>
      </c>
    </row>
    <row r="254">
      <c r="A254" s="13" t="n"/>
      <c r="B254" s="13" t="n"/>
      <c r="C254" s="16" t="n"/>
      <c r="D254" s="16" t="n"/>
      <c r="E254" s="17" t="n"/>
      <c r="F254" s="16" t="n"/>
      <c r="G254" s="15">
        <f>IF($A254="","",IFERROR(MAX(IFERROR(SUMIF(tblVeriA[SiparisNo],$A254,tblVeriA[EnCm])*SUMIF(tblVeriA[SiparisNo],$A254,tblVeriA[BoyCm])*SUMIF(tblVeriA[SiparisNo],$A254,tblVeriA[YukseklikCm])/MAX(SUMIF(tblVeriA[SiparisNo],$A254,tblVeriA[DesiCarpani]),1),0),IFERROR(SUMIF(tblVeriA[SiparisNo],$A254,tblVeriA[AgirlikKg]),0))*$C254*IFERROR(SUMIF(tblVeriA[SiparisNo],$A254,tblVeriA[Adet]),1)*(1+$E254*kdo_iadeEtkiCarpani),0))</f>
        <v/>
      </c>
      <c r="H254" s="13" t="n"/>
      <c r="I254" s="13" t="n"/>
      <c r="J254" s="15">
        <f>IF($A254="","",1)</f>
        <v/>
      </c>
    </row>
    <row r="255">
      <c r="A255" s="13" t="n"/>
      <c r="B255" s="13" t="n"/>
      <c r="C255" s="16" t="n"/>
      <c r="D255" s="16" t="n"/>
      <c r="E255" s="17" t="n"/>
      <c r="F255" s="16" t="n"/>
      <c r="G255" s="15">
        <f>IF($A255="","",IFERROR(MAX(IFERROR(SUMIF(tblVeriA[SiparisNo],$A255,tblVeriA[EnCm])*SUMIF(tblVeriA[SiparisNo],$A255,tblVeriA[BoyCm])*SUMIF(tblVeriA[SiparisNo],$A255,tblVeriA[YukseklikCm])/MAX(SUMIF(tblVeriA[SiparisNo],$A255,tblVeriA[DesiCarpani]),1),0),IFERROR(SUMIF(tblVeriA[SiparisNo],$A255,tblVeriA[AgirlikKg]),0))*$C255*IFERROR(SUMIF(tblVeriA[SiparisNo],$A255,tblVeriA[Adet]),1)*(1+$E255*kdo_iadeEtkiCarpani),0))</f>
        <v/>
      </c>
      <c r="H255" s="13" t="n"/>
      <c r="I255" s="13" t="n"/>
      <c r="J255" s="15">
        <f>IF($A255="","",1)</f>
        <v/>
      </c>
    </row>
    <row r="256">
      <c r="A256" s="13" t="n"/>
      <c r="B256" s="13" t="n"/>
      <c r="C256" s="16" t="n"/>
      <c r="D256" s="16" t="n"/>
      <c r="E256" s="17" t="n"/>
      <c r="F256" s="16" t="n"/>
      <c r="G256" s="15">
        <f>IF($A256="","",IFERROR(MAX(IFERROR(SUMIF(tblVeriA[SiparisNo],$A256,tblVeriA[EnCm])*SUMIF(tblVeriA[SiparisNo],$A256,tblVeriA[BoyCm])*SUMIF(tblVeriA[SiparisNo],$A256,tblVeriA[YukseklikCm])/MAX(SUMIF(tblVeriA[SiparisNo],$A256,tblVeriA[DesiCarpani]),1),0),IFERROR(SUMIF(tblVeriA[SiparisNo],$A256,tblVeriA[AgirlikKg]),0))*$C256*IFERROR(SUMIF(tblVeriA[SiparisNo],$A256,tblVeriA[Adet]),1)*(1+$E256*kdo_iadeEtkiCarpani),0))</f>
        <v/>
      </c>
      <c r="H256" s="13" t="n"/>
      <c r="I256" s="13" t="n"/>
      <c r="J256" s="15">
        <f>IF($A256="","",1)</f>
        <v/>
      </c>
    </row>
    <row r="257">
      <c r="A257" s="13" t="n"/>
      <c r="B257" s="13" t="n"/>
      <c r="C257" s="16" t="n"/>
      <c r="D257" s="16" t="n"/>
      <c r="E257" s="17" t="n"/>
      <c r="F257" s="16" t="n"/>
      <c r="G257" s="15">
        <f>IF($A257="","",IFERROR(MAX(IFERROR(SUMIF(tblVeriA[SiparisNo],$A257,tblVeriA[EnCm])*SUMIF(tblVeriA[SiparisNo],$A257,tblVeriA[BoyCm])*SUMIF(tblVeriA[SiparisNo],$A257,tblVeriA[YukseklikCm])/MAX(SUMIF(tblVeriA[SiparisNo],$A257,tblVeriA[DesiCarpani]),1),0),IFERROR(SUMIF(tblVeriA[SiparisNo],$A257,tblVeriA[AgirlikKg]),0))*$C257*IFERROR(SUMIF(tblVeriA[SiparisNo],$A257,tblVeriA[Adet]),1)*(1+$E257*kdo_iadeEtkiCarpani),0))</f>
        <v/>
      </c>
      <c r="H257" s="13" t="n"/>
      <c r="I257" s="13" t="n"/>
      <c r="J257" s="15">
        <f>IF($A257="","",1)</f>
        <v/>
      </c>
    </row>
    <row r="258">
      <c r="A258" s="13" t="n"/>
      <c r="B258" s="13" t="n"/>
      <c r="C258" s="16" t="n"/>
      <c r="D258" s="16" t="n"/>
      <c r="E258" s="17" t="n"/>
      <c r="F258" s="16" t="n"/>
      <c r="G258" s="15">
        <f>IF($A258="","",IFERROR(MAX(IFERROR(SUMIF(tblVeriA[SiparisNo],$A258,tblVeriA[EnCm])*SUMIF(tblVeriA[SiparisNo],$A258,tblVeriA[BoyCm])*SUMIF(tblVeriA[SiparisNo],$A258,tblVeriA[YukseklikCm])/MAX(SUMIF(tblVeriA[SiparisNo],$A258,tblVeriA[DesiCarpani]),1),0),IFERROR(SUMIF(tblVeriA[SiparisNo],$A258,tblVeriA[AgirlikKg]),0))*$C258*IFERROR(SUMIF(tblVeriA[SiparisNo],$A258,tblVeriA[Adet]),1)*(1+$E258*kdo_iadeEtkiCarpani),0))</f>
        <v/>
      </c>
      <c r="H258" s="13" t="n"/>
      <c r="I258" s="13" t="n"/>
      <c r="J258" s="15">
        <f>IF($A258="","",1)</f>
        <v/>
      </c>
    </row>
    <row r="259">
      <c r="A259" s="13" t="n"/>
      <c r="B259" s="13" t="n"/>
      <c r="C259" s="16" t="n"/>
      <c r="D259" s="16" t="n"/>
      <c r="E259" s="17" t="n"/>
      <c r="F259" s="16" t="n"/>
      <c r="G259" s="15">
        <f>IF($A259="","",IFERROR(MAX(IFERROR(SUMIF(tblVeriA[SiparisNo],$A259,tblVeriA[EnCm])*SUMIF(tblVeriA[SiparisNo],$A259,tblVeriA[BoyCm])*SUMIF(tblVeriA[SiparisNo],$A259,tblVeriA[YukseklikCm])/MAX(SUMIF(tblVeriA[SiparisNo],$A259,tblVeriA[DesiCarpani]),1),0),IFERROR(SUMIF(tblVeriA[SiparisNo],$A259,tblVeriA[AgirlikKg]),0))*$C259*IFERROR(SUMIF(tblVeriA[SiparisNo],$A259,tblVeriA[Adet]),1)*(1+$E259*kdo_iadeEtkiCarpani),0))</f>
        <v/>
      </c>
      <c r="H259" s="13" t="n"/>
      <c r="I259" s="13" t="n"/>
      <c r="J259" s="15">
        <f>IF($A259="","",1)</f>
        <v/>
      </c>
    </row>
    <row r="260">
      <c r="A260" s="13" t="n"/>
      <c r="B260" s="13" t="n"/>
      <c r="C260" s="16" t="n"/>
      <c r="D260" s="16" t="n"/>
      <c r="E260" s="17" t="n"/>
      <c r="F260" s="16" t="n"/>
      <c r="G260" s="15">
        <f>IF($A260="","",IFERROR(MAX(IFERROR(SUMIF(tblVeriA[SiparisNo],$A260,tblVeriA[EnCm])*SUMIF(tblVeriA[SiparisNo],$A260,tblVeriA[BoyCm])*SUMIF(tblVeriA[SiparisNo],$A260,tblVeriA[YukseklikCm])/MAX(SUMIF(tblVeriA[SiparisNo],$A260,tblVeriA[DesiCarpani]),1),0),IFERROR(SUMIF(tblVeriA[SiparisNo],$A260,tblVeriA[AgirlikKg]),0))*$C260*IFERROR(SUMIF(tblVeriA[SiparisNo],$A260,tblVeriA[Adet]),1)*(1+$E260*kdo_iadeEtkiCarpani),0))</f>
        <v/>
      </c>
      <c r="H260" s="13" t="n"/>
      <c r="I260" s="13" t="n"/>
      <c r="J260" s="15">
        <f>IF($A260="","",1)</f>
        <v/>
      </c>
    </row>
    <row r="261">
      <c r="A261" s="13" t="n"/>
      <c r="B261" s="13" t="n"/>
      <c r="C261" s="16" t="n"/>
      <c r="D261" s="16" t="n"/>
      <c r="E261" s="17" t="n"/>
      <c r="F261" s="16" t="n"/>
      <c r="G261" s="15">
        <f>IF($A261="","",IFERROR(MAX(IFERROR(SUMIF(tblVeriA[SiparisNo],$A261,tblVeriA[EnCm])*SUMIF(tblVeriA[SiparisNo],$A261,tblVeriA[BoyCm])*SUMIF(tblVeriA[SiparisNo],$A261,tblVeriA[YukseklikCm])/MAX(SUMIF(tblVeriA[SiparisNo],$A261,tblVeriA[DesiCarpani]),1),0),IFERROR(SUMIF(tblVeriA[SiparisNo],$A261,tblVeriA[AgirlikKg]),0))*$C261*IFERROR(SUMIF(tblVeriA[SiparisNo],$A261,tblVeriA[Adet]),1)*(1+$E261*kdo_iadeEtkiCarpani),0))</f>
        <v/>
      </c>
      <c r="H261" s="13" t="n"/>
      <c r="I261" s="13" t="n"/>
      <c r="J261" s="15">
        <f>IF($A261="","",1)</f>
        <v/>
      </c>
    </row>
    <row r="262">
      <c r="A262" s="13" t="n"/>
      <c r="B262" s="13" t="n"/>
      <c r="C262" s="16" t="n"/>
      <c r="D262" s="16" t="n"/>
      <c r="E262" s="17" t="n"/>
      <c r="F262" s="16" t="n"/>
      <c r="G262" s="15">
        <f>IF($A262="","",IFERROR(MAX(IFERROR(SUMIF(tblVeriA[SiparisNo],$A262,tblVeriA[EnCm])*SUMIF(tblVeriA[SiparisNo],$A262,tblVeriA[BoyCm])*SUMIF(tblVeriA[SiparisNo],$A262,tblVeriA[YukseklikCm])/MAX(SUMIF(tblVeriA[SiparisNo],$A262,tblVeriA[DesiCarpani]),1),0),IFERROR(SUMIF(tblVeriA[SiparisNo],$A262,tblVeriA[AgirlikKg]),0))*$C262*IFERROR(SUMIF(tblVeriA[SiparisNo],$A262,tblVeriA[Adet]),1)*(1+$E262*kdo_iadeEtkiCarpani),0))</f>
        <v/>
      </c>
      <c r="H262" s="13" t="n"/>
      <c r="I262" s="13" t="n"/>
      <c r="J262" s="15">
        <f>IF($A262="","",1)</f>
        <v/>
      </c>
    </row>
    <row r="263">
      <c r="A263" s="13" t="n"/>
      <c r="B263" s="13" t="n"/>
      <c r="C263" s="16" t="n"/>
      <c r="D263" s="16" t="n"/>
      <c r="E263" s="17" t="n"/>
      <c r="F263" s="16" t="n"/>
      <c r="G263" s="15">
        <f>IF($A263="","",IFERROR(MAX(IFERROR(SUMIF(tblVeriA[SiparisNo],$A263,tblVeriA[EnCm])*SUMIF(tblVeriA[SiparisNo],$A263,tblVeriA[BoyCm])*SUMIF(tblVeriA[SiparisNo],$A263,tblVeriA[YukseklikCm])/MAX(SUMIF(tblVeriA[SiparisNo],$A263,tblVeriA[DesiCarpani]),1),0),IFERROR(SUMIF(tblVeriA[SiparisNo],$A263,tblVeriA[AgirlikKg]),0))*$C263*IFERROR(SUMIF(tblVeriA[SiparisNo],$A263,tblVeriA[Adet]),1)*(1+$E263*kdo_iadeEtkiCarpani),0))</f>
        <v/>
      </c>
      <c r="H263" s="13" t="n"/>
      <c r="I263" s="13" t="n"/>
      <c r="J263" s="15">
        <f>IF($A263="","",1)</f>
        <v/>
      </c>
    </row>
    <row r="264">
      <c r="A264" s="13" t="n"/>
      <c r="B264" s="13" t="n"/>
      <c r="C264" s="16" t="n"/>
      <c r="D264" s="16" t="n"/>
      <c r="E264" s="17" t="n"/>
      <c r="F264" s="16" t="n"/>
      <c r="G264" s="15">
        <f>IF($A264="","",IFERROR(MAX(IFERROR(SUMIF(tblVeriA[SiparisNo],$A264,tblVeriA[EnCm])*SUMIF(tblVeriA[SiparisNo],$A264,tblVeriA[BoyCm])*SUMIF(tblVeriA[SiparisNo],$A264,tblVeriA[YukseklikCm])/MAX(SUMIF(tblVeriA[SiparisNo],$A264,tblVeriA[DesiCarpani]),1),0),IFERROR(SUMIF(tblVeriA[SiparisNo],$A264,tblVeriA[AgirlikKg]),0))*$C264*IFERROR(SUMIF(tblVeriA[SiparisNo],$A264,tblVeriA[Adet]),1)*(1+$E264*kdo_iadeEtkiCarpani),0))</f>
        <v/>
      </c>
      <c r="H264" s="13" t="n"/>
      <c r="I264" s="13" t="n"/>
      <c r="J264" s="15">
        <f>IF($A264="","",1)</f>
        <v/>
      </c>
    </row>
    <row r="265">
      <c r="A265" s="13" t="n"/>
      <c r="B265" s="13" t="n"/>
      <c r="C265" s="16" t="n"/>
      <c r="D265" s="16" t="n"/>
      <c r="E265" s="17" t="n"/>
      <c r="F265" s="16" t="n"/>
      <c r="G265" s="15">
        <f>IF($A265="","",IFERROR(MAX(IFERROR(SUMIF(tblVeriA[SiparisNo],$A265,tblVeriA[EnCm])*SUMIF(tblVeriA[SiparisNo],$A265,tblVeriA[BoyCm])*SUMIF(tblVeriA[SiparisNo],$A265,tblVeriA[YukseklikCm])/MAX(SUMIF(tblVeriA[SiparisNo],$A265,tblVeriA[DesiCarpani]),1),0),IFERROR(SUMIF(tblVeriA[SiparisNo],$A265,tblVeriA[AgirlikKg]),0))*$C265*IFERROR(SUMIF(tblVeriA[SiparisNo],$A265,tblVeriA[Adet]),1)*(1+$E265*kdo_iadeEtkiCarpani),0))</f>
        <v/>
      </c>
      <c r="H265" s="13" t="n"/>
      <c r="I265" s="13" t="n"/>
      <c r="J265" s="15">
        <f>IF($A265="","",1)</f>
        <v/>
      </c>
    </row>
    <row r="266">
      <c r="A266" s="13" t="n"/>
      <c r="B266" s="13" t="n"/>
      <c r="C266" s="16" t="n"/>
      <c r="D266" s="16" t="n"/>
      <c r="E266" s="17" t="n"/>
      <c r="F266" s="16" t="n"/>
      <c r="G266" s="15">
        <f>IF($A266="","",IFERROR(MAX(IFERROR(SUMIF(tblVeriA[SiparisNo],$A266,tblVeriA[EnCm])*SUMIF(tblVeriA[SiparisNo],$A266,tblVeriA[BoyCm])*SUMIF(tblVeriA[SiparisNo],$A266,tblVeriA[YukseklikCm])/MAX(SUMIF(tblVeriA[SiparisNo],$A266,tblVeriA[DesiCarpani]),1),0),IFERROR(SUMIF(tblVeriA[SiparisNo],$A266,tblVeriA[AgirlikKg]),0))*$C266*IFERROR(SUMIF(tblVeriA[SiparisNo],$A266,tblVeriA[Adet]),1)*(1+$E266*kdo_iadeEtkiCarpani),0))</f>
        <v/>
      </c>
      <c r="H266" s="13" t="n"/>
      <c r="I266" s="13" t="n"/>
      <c r="J266" s="15">
        <f>IF($A266="","",1)</f>
        <v/>
      </c>
    </row>
    <row r="267">
      <c r="A267" s="13" t="n"/>
      <c r="B267" s="13" t="n"/>
      <c r="C267" s="16" t="n"/>
      <c r="D267" s="16" t="n"/>
      <c r="E267" s="17" t="n"/>
      <c r="F267" s="16" t="n"/>
      <c r="G267" s="15">
        <f>IF($A267="","",IFERROR(MAX(IFERROR(SUMIF(tblVeriA[SiparisNo],$A267,tblVeriA[EnCm])*SUMIF(tblVeriA[SiparisNo],$A267,tblVeriA[BoyCm])*SUMIF(tblVeriA[SiparisNo],$A267,tblVeriA[YukseklikCm])/MAX(SUMIF(tblVeriA[SiparisNo],$A267,tblVeriA[DesiCarpani]),1),0),IFERROR(SUMIF(tblVeriA[SiparisNo],$A267,tblVeriA[AgirlikKg]),0))*$C267*IFERROR(SUMIF(tblVeriA[SiparisNo],$A267,tblVeriA[Adet]),1)*(1+$E267*kdo_iadeEtkiCarpani),0))</f>
        <v/>
      </c>
      <c r="H267" s="13" t="n"/>
      <c r="I267" s="13" t="n"/>
      <c r="J267" s="15">
        <f>IF($A267="","",1)</f>
        <v/>
      </c>
    </row>
    <row r="268">
      <c r="A268" s="13" t="n"/>
      <c r="B268" s="13" t="n"/>
      <c r="C268" s="16" t="n"/>
      <c r="D268" s="16" t="n"/>
      <c r="E268" s="17" t="n"/>
      <c r="F268" s="16" t="n"/>
      <c r="G268" s="15">
        <f>IF($A268="","",IFERROR(MAX(IFERROR(SUMIF(tblVeriA[SiparisNo],$A268,tblVeriA[EnCm])*SUMIF(tblVeriA[SiparisNo],$A268,tblVeriA[BoyCm])*SUMIF(tblVeriA[SiparisNo],$A268,tblVeriA[YukseklikCm])/MAX(SUMIF(tblVeriA[SiparisNo],$A268,tblVeriA[DesiCarpani]),1),0),IFERROR(SUMIF(tblVeriA[SiparisNo],$A268,tblVeriA[AgirlikKg]),0))*$C268*IFERROR(SUMIF(tblVeriA[SiparisNo],$A268,tblVeriA[Adet]),1)*(1+$E268*kdo_iadeEtkiCarpani),0))</f>
        <v/>
      </c>
      <c r="H268" s="13" t="n"/>
      <c r="I268" s="13" t="n"/>
      <c r="J268" s="15">
        <f>IF($A268="","",1)</f>
        <v/>
      </c>
    </row>
    <row r="269">
      <c r="A269" s="13" t="n"/>
      <c r="B269" s="13" t="n"/>
      <c r="C269" s="16" t="n"/>
      <c r="D269" s="16" t="n"/>
      <c r="E269" s="17" t="n"/>
      <c r="F269" s="16" t="n"/>
      <c r="G269" s="15">
        <f>IF($A269="","",IFERROR(MAX(IFERROR(SUMIF(tblVeriA[SiparisNo],$A269,tblVeriA[EnCm])*SUMIF(tblVeriA[SiparisNo],$A269,tblVeriA[BoyCm])*SUMIF(tblVeriA[SiparisNo],$A269,tblVeriA[YukseklikCm])/MAX(SUMIF(tblVeriA[SiparisNo],$A269,tblVeriA[DesiCarpani]),1),0),IFERROR(SUMIF(tblVeriA[SiparisNo],$A269,tblVeriA[AgirlikKg]),0))*$C269*IFERROR(SUMIF(tblVeriA[SiparisNo],$A269,tblVeriA[Adet]),1)*(1+$E269*kdo_iadeEtkiCarpani),0))</f>
        <v/>
      </c>
      <c r="H269" s="13" t="n"/>
      <c r="I269" s="13" t="n"/>
      <c r="J269" s="15">
        <f>IF($A269="","",1)</f>
        <v/>
      </c>
    </row>
    <row r="270">
      <c r="A270" s="13" t="n"/>
      <c r="B270" s="13" t="n"/>
      <c r="C270" s="16" t="n"/>
      <c r="D270" s="16" t="n"/>
      <c r="E270" s="17" t="n"/>
      <c r="F270" s="16" t="n"/>
      <c r="G270" s="15">
        <f>IF($A270="","",IFERROR(MAX(IFERROR(SUMIF(tblVeriA[SiparisNo],$A270,tblVeriA[EnCm])*SUMIF(tblVeriA[SiparisNo],$A270,tblVeriA[BoyCm])*SUMIF(tblVeriA[SiparisNo],$A270,tblVeriA[YukseklikCm])/MAX(SUMIF(tblVeriA[SiparisNo],$A270,tblVeriA[DesiCarpani]),1),0),IFERROR(SUMIF(tblVeriA[SiparisNo],$A270,tblVeriA[AgirlikKg]),0))*$C270*IFERROR(SUMIF(tblVeriA[SiparisNo],$A270,tblVeriA[Adet]),1)*(1+$E270*kdo_iadeEtkiCarpani),0))</f>
        <v/>
      </c>
      <c r="H270" s="13" t="n"/>
      <c r="I270" s="13" t="n"/>
      <c r="J270" s="15">
        <f>IF($A270="","",1)</f>
        <v/>
      </c>
    </row>
    <row r="271">
      <c r="A271" s="13" t="n"/>
      <c r="B271" s="13" t="n"/>
      <c r="C271" s="16" t="n"/>
      <c r="D271" s="16" t="n"/>
      <c r="E271" s="17" t="n"/>
      <c r="F271" s="16" t="n"/>
      <c r="G271" s="15">
        <f>IF($A271="","",IFERROR(MAX(IFERROR(SUMIF(tblVeriA[SiparisNo],$A271,tblVeriA[EnCm])*SUMIF(tblVeriA[SiparisNo],$A271,tblVeriA[BoyCm])*SUMIF(tblVeriA[SiparisNo],$A271,tblVeriA[YukseklikCm])/MAX(SUMIF(tblVeriA[SiparisNo],$A271,tblVeriA[DesiCarpani]),1),0),IFERROR(SUMIF(tblVeriA[SiparisNo],$A271,tblVeriA[AgirlikKg]),0))*$C271*IFERROR(SUMIF(tblVeriA[SiparisNo],$A271,tblVeriA[Adet]),1)*(1+$E271*kdo_iadeEtkiCarpani),0))</f>
        <v/>
      </c>
      <c r="H271" s="13" t="n"/>
      <c r="I271" s="13" t="n"/>
      <c r="J271" s="15">
        <f>IF($A271="","",1)</f>
        <v/>
      </c>
    </row>
    <row r="272">
      <c r="A272" s="13" t="n"/>
      <c r="B272" s="13" t="n"/>
      <c r="C272" s="16" t="n"/>
      <c r="D272" s="16" t="n"/>
      <c r="E272" s="17" t="n"/>
      <c r="F272" s="16" t="n"/>
      <c r="G272" s="15">
        <f>IF($A272="","",IFERROR(MAX(IFERROR(SUMIF(tblVeriA[SiparisNo],$A272,tblVeriA[EnCm])*SUMIF(tblVeriA[SiparisNo],$A272,tblVeriA[BoyCm])*SUMIF(tblVeriA[SiparisNo],$A272,tblVeriA[YukseklikCm])/MAX(SUMIF(tblVeriA[SiparisNo],$A272,tblVeriA[DesiCarpani]),1),0),IFERROR(SUMIF(tblVeriA[SiparisNo],$A272,tblVeriA[AgirlikKg]),0))*$C272*IFERROR(SUMIF(tblVeriA[SiparisNo],$A272,tblVeriA[Adet]),1)*(1+$E272*kdo_iadeEtkiCarpani),0))</f>
        <v/>
      </c>
      <c r="H272" s="13" t="n"/>
      <c r="I272" s="13" t="n"/>
      <c r="J272" s="15">
        <f>IF($A272="","",1)</f>
        <v/>
      </c>
    </row>
    <row r="273">
      <c r="A273" s="13" t="n"/>
      <c r="B273" s="13" t="n"/>
      <c r="C273" s="16" t="n"/>
      <c r="D273" s="16" t="n"/>
      <c r="E273" s="17" t="n"/>
      <c r="F273" s="16" t="n"/>
      <c r="G273" s="15">
        <f>IF($A273="","",IFERROR(MAX(IFERROR(SUMIF(tblVeriA[SiparisNo],$A273,tblVeriA[EnCm])*SUMIF(tblVeriA[SiparisNo],$A273,tblVeriA[BoyCm])*SUMIF(tblVeriA[SiparisNo],$A273,tblVeriA[YukseklikCm])/MAX(SUMIF(tblVeriA[SiparisNo],$A273,tblVeriA[DesiCarpani]),1),0),IFERROR(SUMIF(tblVeriA[SiparisNo],$A273,tblVeriA[AgirlikKg]),0))*$C273*IFERROR(SUMIF(tblVeriA[SiparisNo],$A273,tblVeriA[Adet]),1)*(1+$E273*kdo_iadeEtkiCarpani),0))</f>
        <v/>
      </c>
      <c r="H273" s="13" t="n"/>
      <c r="I273" s="13" t="n"/>
      <c r="J273" s="15">
        <f>IF($A273="","",1)</f>
        <v/>
      </c>
    </row>
    <row r="274">
      <c r="A274" s="13" t="n"/>
      <c r="B274" s="13" t="n"/>
      <c r="C274" s="16" t="n"/>
      <c r="D274" s="16" t="n"/>
      <c r="E274" s="17" t="n"/>
      <c r="F274" s="16" t="n"/>
      <c r="G274" s="15">
        <f>IF($A274="","",IFERROR(MAX(IFERROR(SUMIF(tblVeriA[SiparisNo],$A274,tblVeriA[EnCm])*SUMIF(tblVeriA[SiparisNo],$A274,tblVeriA[BoyCm])*SUMIF(tblVeriA[SiparisNo],$A274,tblVeriA[YukseklikCm])/MAX(SUMIF(tblVeriA[SiparisNo],$A274,tblVeriA[DesiCarpani]),1),0),IFERROR(SUMIF(tblVeriA[SiparisNo],$A274,tblVeriA[AgirlikKg]),0))*$C274*IFERROR(SUMIF(tblVeriA[SiparisNo],$A274,tblVeriA[Adet]),1)*(1+$E274*kdo_iadeEtkiCarpani),0))</f>
        <v/>
      </c>
      <c r="H274" s="13" t="n"/>
      <c r="I274" s="13" t="n"/>
      <c r="J274" s="15">
        <f>IF($A274="","",1)</f>
        <v/>
      </c>
    </row>
    <row r="275">
      <c r="A275" s="13" t="n"/>
      <c r="B275" s="13" t="n"/>
      <c r="C275" s="16" t="n"/>
      <c r="D275" s="16" t="n"/>
      <c r="E275" s="17" t="n"/>
      <c r="F275" s="16" t="n"/>
      <c r="G275" s="15">
        <f>IF($A275="","",IFERROR(MAX(IFERROR(SUMIF(tblVeriA[SiparisNo],$A275,tblVeriA[EnCm])*SUMIF(tblVeriA[SiparisNo],$A275,tblVeriA[BoyCm])*SUMIF(tblVeriA[SiparisNo],$A275,tblVeriA[YukseklikCm])/MAX(SUMIF(tblVeriA[SiparisNo],$A275,tblVeriA[DesiCarpani]),1),0),IFERROR(SUMIF(tblVeriA[SiparisNo],$A275,tblVeriA[AgirlikKg]),0))*$C275*IFERROR(SUMIF(tblVeriA[SiparisNo],$A275,tblVeriA[Adet]),1)*(1+$E275*kdo_iadeEtkiCarpani),0))</f>
        <v/>
      </c>
      <c r="H275" s="13" t="n"/>
      <c r="I275" s="13" t="n"/>
      <c r="J275" s="15">
        <f>IF($A275="","",1)</f>
        <v/>
      </c>
    </row>
    <row r="276">
      <c r="A276" s="13" t="n"/>
      <c r="B276" s="13" t="n"/>
      <c r="C276" s="16" t="n"/>
      <c r="D276" s="16" t="n"/>
      <c r="E276" s="17" t="n"/>
      <c r="F276" s="16" t="n"/>
      <c r="G276" s="15">
        <f>IF($A276="","",IFERROR(MAX(IFERROR(SUMIF(tblVeriA[SiparisNo],$A276,tblVeriA[EnCm])*SUMIF(tblVeriA[SiparisNo],$A276,tblVeriA[BoyCm])*SUMIF(tblVeriA[SiparisNo],$A276,tblVeriA[YukseklikCm])/MAX(SUMIF(tblVeriA[SiparisNo],$A276,tblVeriA[DesiCarpani]),1),0),IFERROR(SUMIF(tblVeriA[SiparisNo],$A276,tblVeriA[AgirlikKg]),0))*$C276*IFERROR(SUMIF(tblVeriA[SiparisNo],$A276,tblVeriA[Adet]),1)*(1+$E276*kdo_iadeEtkiCarpani),0))</f>
        <v/>
      </c>
      <c r="H276" s="13" t="n"/>
      <c r="I276" s="13" t="n"/>
      <c r="J276" s="15">
        <f>IF($A276="","",1)</f>
        <v/>
      </c>
    </row>
    <row r="277">
      <c r="A277" s="13" t="n"/>
      <c r="B277" s="13" t="n"/>
      <c r="C277" s="16" t="n"/>
      <c r="D277" s="16" t="n"/>
      <c r="E277" s="17" t="n"/>
      <c r="F277" s="16" t="n"/>
      <c r="G277" s="15">
        <f>IF($A277="","",IFERROR(MAX(IFERROR(SUMIF(tblVeriA[SiparisNo],$A277,tblVeriA[EnCm])*SUMIF(tblVeriA[SiparisNo],$A277,tblVeriA[BoyCm])*SUMIF(tblVeriA[SiparisNo],$A277,tblVeriA[YukseklikCm])/MAX(SUMIF(tblVeriA[SiparisNo],$A277,tblVeriA[DesiCarpani]),1),0),IFERROR(SUMIF(tblVeriA[SiparisNo],$A277,tblVeriA[AgirlikKg]),0))*$C277*IFERROR(SUMIF(tblVeriA[SiparisNo],$A277,tblVeriA[Adet]),1)*(1+$E277*kdo_iadeEtkiCarpani),0))</f>
        <v/>
      </c>
      <c r="H277" s="13" t="n"/>
      <c r="I277" s="13" t="n"/>
      <c r="J277" s="15">
        <f>IF($A277="","",1)</f>
        <v/>
      </c>
    </row>
    <row r="278">
      <c r="A278" s="13" t="n"/>
      <c r="B278" s="13" t="n"/>
      <c r="C278" s="16" t="n"/>
      <c r="D278" s="16" t="n"/>
      <c r="E278" s="17" t="n"/>
      <c r="F278" s="16" t="n"/>
      <c r="G278" s="15">
        <f>IF($A278="","",IFERROR(MAX(IFERROR(SUMIF(tblVeriA[SiparisNo],$A278,tblVeriA[EnCm])*SUMIF(tblVeriA[SiparisNo],$A278,tblVeriA[BoyCm])*SUMIF(tblVeriA[SiparisNo],$A278,tblVeriA[YukseklikCm])/MAX(SUMIF(tblVeriA[SiparisNo],$A278,tblVeriA[DesiCarpani]),1),0),IFERROR(SUMIF(tblVeriA[SiparisNo],$A278,tblVeriA[AgirlikKg]),0))*$C278*IFERROR(SUMIF(tblVeriA[SiparisNo],$A278,tblVeriA[Adet]),1)*(1+$E278*kdo_iadeEtkiCarpani),0))</f>
        <v/>
      </c>
      <c r="H278" s="13" t="n"/>
      <c r="I278" s="13" t="n"/>
      <c r="J278" s="15">
        <f>IF($A278="","",1)</f>
        <v/>
      </c>
    </row>
    <row r="279">
      <c r="A279" s="13" t="n"/>
      <c r="B279" s="13" t="n"/>
      <c r="C279" s="16" t="n"/>
      <c r="D279" s="16" t="n"/>
      <c r="E279" s="17" t="n"/>
      <c r="F279" s="16" t="n"/>
      <c r="G279" s="15">
        <f>IF($A279="","",IFERROR(MAX(IFERROR(SUMIF(tblVeriA[SiparisNo],$A279,tblVeriA[EnCm])*SUMIF(tblVeriA[SiparisNo],$A279,tblVeriA[BoyCm])*SUMIF(tblVeriA[SiparisNo],$A279,tblVeriA[YukseklikCm])/MAX(SUMIF(tblVeriA[SiparisNo],$A279,tblVeriA[DesiCarpani]),1),0),IFERROR(SUMIF(tblVeriA[SiparisNo],$A279,tblVeriA[AgirlikKg]),0))*$C279*IFERROR(SUMIF(tblVeriA[SiparisNo],$A279,tblVeriA[Adet]),1)*(1+$E279*kdo_iadeEtkiCarpani),0))</f>
        <v/>
      </c>
      <c r="H279" s="13" t="n"/>
      <c r="I279" s="13" t="n"/>
      <c r="J279" s="15">
        <f>IF($A279="","",1)</f>
        <v/>
      </c>
    </row>
    <row r="280">
      <c r="A280" s="13" t="n"/>
      <c r="B280" s="13" t="n"/>
      <c r="C280" s="16" t="n"/>
      <c r="D280" s="16" t="n"/>
      <c r="E280" s="17" t="n"/>
      <c r="F280" s="16" t="n"/>
      <c r="G280" s="15">
        <f>IF($A280="","",IFERROR(MAX(IFERROR(SUMIF(tblVeriA[SiparisNo],$A280,tblVeriA[EnCm])*SUMIF(tblVeriA[SiparisNo],$A280,tblVeriA[BoyCm])*SUMIF(tblVeriA[SiparisNo],$A280,tblVeriA[YukseklikCm])/MAX(SUMIF(tblVeriA[SiparisNo],$A280,tblVeriA[DesiCarpani]),1),0),IFERROR(SUMIF(tblVeriA[SiparisNo],$A280,tblVeriA[AgirlikKg]),0))*$C280*IFERROR(SUMIF(tblVeriA[SiparisNo],$A280,tblVeriA[Adet]),1)*(1+$E280*kdo_iadeEtkiCarpani),0))</f>
        <v/>
      </c>
      <c r="H280" s="13" t="n"/>
      <c r="I280" s="13" t="n"/>
      <c r="J280" s="15">
        <f>IF($A280="","",1)</f>
        <v/>
      </c>
    </row>
    <row r="281">
      <c r="A281" s="13" t="n"/>
      <c r="B281" s="13" t="n"/>
      <c r="C281" s="16" t="n"/>
      <c r="D281" s="16" t="n"/>
      <c r="E281" s="17" t="n"/>
      <c r="F281" s="16" t="n"/>
      <c r="G281" s="15">
        <f>IF($A281="","",IFERROR(MAX(IFERROR(SUMIF(tblVeriA[SiparisNo],$A281,tblVeriA[EnCm])*SUMIF(tblVeriA[SiparisNo],$A281,tblVeriA[BoyCm])*SUMIF(tblVeriA[SiparisNo],$A281,tblVeriA[YukseklikCm])/MAX(SUMIF(tblVeriA[SiparisNo],$A281,tblVeriA[DesiCarpani]),1),0),IFERROR(SUMIF(tblVeriA[SiparisNo],$A281,tblVeriA[AgirlikKg]),0))*$C281*IFERROR(SUMIF(tblVeriA[SiparisNo],$A281,tblVeriA[Adet]),1)*(1+$E281*kdo_iadeEtkiCarpani),0))</f>
        <v/>
      </c>
      <c r="H281" s="13" t="n"/>
      <c r="I281" s="13" t="n"/>
      <c r="J281" s="15">
        <f>IF($A281="","",1)</f>
        <v/>
      </c>
    </row>
    <row r="282">
      <c r="A282" s="13" t="n"/>
      <c r="B282" s="13" t="n"/>
      <c r="C282" s="16" t="n"/>
      <c r="D282" s="16" t="n"/>
      <c r="E282" s="17" t="n"/>
      <c r="F282" s="16" t="n"/>
      <c r="G282" s="15">
        <f>IF($A282="","",IFERROR(MAX(IFERROR(SUMIF(tblVeriA[SiparisNo],$A282,tblVeriA[EnCm])*SUMIF(tblVeriA[SiparisNo],$A282,tblVeriA[BoyCm])*SUMIF(tblVeriA[SiparisNo],$A282,tblVeriA[YukseklikCm])/MAX(SUMIF(tblVeriA[SiparisNo],$A282,tblVeriA[DesiCarpani]),1),0),IFERROR(SUMIF(tblVeriA[SiparisNo],$A282,tblVeriA[AgirlikKg]),0))*$C282*IFERROR(SUMIF(tblVeriA[SiparisNo],$A282,tblVeriA[Adet]),1)*(1+$E282*kdo_iadeEtkiCarpani),0))</f>
        <v/>
      </c>
      <c r="H282" s="13" t="n"/>
      <c r="I282" s="13" t="n"/>
      <c r="J282" s="15">
        <f>IF($A282="","",1)</f>
        <v/>
      </c>
    </row>
    <row r="283">
      <c r="A283" s="13" t="n"/>
      <c r="B283" s="13" t="n"/>
      <c r="C283" s="16" t="n"/>
      <c r="D283" s="16" t="n"/>
      <c r="E283" s="17" t="n"/>
      <c r="F283" s="16" t="n"/>
      <c r="G283" s="15">
        <f>IF($A283="","",IFERROR(MAX(IFERROR(SUMIF(tblVeriA[SiparisNo],$A283,tblVeriA[EnCm])*SUMIF(tblVeriA[SiparisNo],$A283,tblVeriA[BoyCm])*SUMIF(tblVeriA[SiparisNo],$A283,tblVeriA[YukseklikCm])/MAX(SUMIF(tblVeriA[SiparisNo],$A283,tblVeriA[DesiCarpani]),1),0),IFERROR(SUMIF(tblVeriA[SiparisNo],$A283,tblVeriA[AgirlikKg]),0))*$C283*IFERROR(SUMIF(tblVeriA[SiparisNo],$A283,tblVeriA[Adet]),1)*(1+$E283*kdo_iadeEtkiCarpani),0))</f>
        <v/>
      </c>
      <c r="H283" s="13" t="n"/>
      <c r="I283" s="13" t="n"/>
      <c r="J283" s="15">
        <f>IF($A283="","",1)</f>
        <v/>
      </c>
    </row>
    <row r="284">
      <c r="A284" s="13" t="n"/>
      <c r="B284" s="13" t="n"/>
      <c r="C284" s="16" t="n"/>
      <c r="D284" s="16" t="n"/>
      <c r="E284" s="17" t="n"/>
      <c r="F284" s="16" t="n"/>
      <c r="G284" s="15">
        <f>IF($A284="","",IFERROR(MAX(IFERROR(SUMIF(tblVeriA[SiparisNo],$A284,tblVeriA[EnCm])*SUMIF(tblVeriA[SiparisNo],$A284,tblVeriA[BoyCm])*SUMIF(tblVeriA[SiparisNo],$A284,tblVeriA[YukseklikCm])/MAX(SUMIF(tblVeriA[SiparisNo],$A284,tblVeriA[DesiCarpani]),1),0),IFERROR(SUMIF(tblVeriA[SiparisNo],$A284,tblVeriA[AgirlikKg]),0))*$C284*IFERROR(SUMIF(tblVeriA[SiparisNo],$A284,tblVeriA[Adet]),1)*(1+$E284*kdo_iadeEtkiCarpani),0))</f>
        <v/>
      </c>
      <c r="H284" s="13" t="n"/>
      <c r="I284" s="13" t="n"/>
      <c r="J284" s="15">
        <f>IF($A284="","",1)</f>
        <v/>
      </c>
    </row>
    <row r="285">
      <c r="A285" s="13" t="n"/>
      <c r="B285" s="13" t="n"/>
      <c r="C285" s="16" t="n"/>
      <c r="D285" s="16" t="n"/>
      <c r="E285" s="17" t="n"/>
      <c r="F285" s="16" t="n"/>
      <c r="G285" s="15">
        <f>IF($A285="","",IFERROR(MAX(IFERROR(SUMIF(tblVeriA[SiparisNo],$A285,tblVeriA[EnCm])*SUMIF(tblVeriA[SiparisNo],$A285,tblVeriA[BoyCm])*SUMIF(tblVeriA[SiparisNo],$A285,tblVeriA[YukseklikCm])/MAX(SUMIF(tblVeriA[SiparisNo],$A285,tblVeriA[DesiCarpani]),1),0),IFERROR(SUMIF(tblVeriA[SiparisNo],$A285,tblVeriA[AgirlikKg]),0))*$C285*IFERROR(SUMIF(tblVeriA[SiparisNo],$A285,tblVeriA[Adet]),1)*(1+$E285*kdo_iadeEtkiCarpani),0))</f>
        <v/>
      </c>
      <c r="H285" s="13" t="n"/>
      <c r="I285" s="13" t="n"/>
      <c r="J285" s="15">
        <f>IF($A285="","",1)</f>
        <v/>
      </c>
    </row>
    <row r="286">
      <c r="A286" s="13" t="n"/>
      <c r="B286" s="13" t="n"/>
      <c r="C286" s="16" t="n"/>
      <c r="D286" s="16" t="n"/>
      <c r="E286" s="17" t="n"/>
      <c r="F286" s="16" t="n"/>
      <c r="G286" s="15">
        <f>IF($A286="","",IFERROR(MAX(IFERROR(SUMIF(tblVeriA[SiparisNo],$A286,tblVeriA[EnCm])*SUMIF(tblVeriA[SiparisNo],$A286,tblVeriA[BoyCm])*SUMIF(tblVeriA[SiparisNo],$A286,tblVeriA[YukseklikCm])/MAX(SUMIF(tblVeriA[SiparisNo],$A286,tblVeriA[DesiCarpani]),1),0),IFERROR(SUMIF(tblVeriA[SiparisNo],$A286,tblVeriA[AgirlikKg]),0))*$C286*IFERROR(SUMIF(tblVeriA[SiparisNo],$A286,tblVeriA[Adet]),1)*(1+$E286*kdo_iadeEtkiCarpani),0))</f>
        <v/>
      </c>
      <c r="H286" s="13" t="n"/>
      <c r="I286" s="13" t="n"/>
      <c r="J286" s="15">
        <f>IF($A286="","",1)</f>
        <v/>
      </c>
    </row>
    <row r="287">
      <c r="A287" s="13" t="n"/>
      <c r="B287" s="13" t="n"/>
      <c r="C287" s="16" t="n"/>
      <c r="D287" s="16" t="n"/>
      <c r="E287" s="17" t="n"/>
      <c r="F287" s="16" t="n"/>
      <c r="G287" s="15">
        <f>IF($A287="","",IFERROR(MAX(IFERROR(SUMIF(tblVeriA[SiparisNo],$A287,tblVeriA[EnCm])*SUMIF(tblVeriA[SiparisNo],$A287,tblVeriA[BoyCm])*SUMIF(tblVeriA[SiparisNo],$A287,tblVeriA[YukseklikCm])/MAX(SUMIF(tblVeriA[SiparisNo],$A287,tblVeriA[DesiCarpani]),1),0),IFERROR(SUMIF(tblVeriA[SiparisNo],$A287,tblVeriA[AgirlikKg]),0))*$C287*IFERROR(SUMIF(tblVeriA[SiparisNo],$A287,tblVeriA[Adet]),1)*(1+$E287*kdo_iadeEtkiCarpani),0))</f>
        <v/>
      </c>
      <c r="H287" s="13" t="n"/>
      <c r="I287" s="13" t="n"/>
      <c r="J287" s="15">
        <f>IF($A287="","",1)</f>
        <v/>
      </c>
    </row>
    <row r="288">
      <c r="A288" s="13" t="n"/>
      <c r="B288" s="13" t="n"/>
      <c r="C288" s="16" t="n"/>
      <c r="D288" s="16" t="n"/>
      <c r="E288" s="17" t="n"/>
      <c r="F288" s="16" t="n"/>
      <c r="G288" s="15">
        <f>IF($A288="","",IFERROR(MAX(IFERROR(SUMIF(tblVeriA[SiparisNo],$A288,tblVeriA[EnCm])*SUMIF(tblVeriA[SiparisNo],$A288,tblVeriA[BoyCm])*SUMIF(tblVeriA[SiparisNo],$A288,tblVeriA[YukseklikCm])/MAX(SUMIF(tblVeriA[SiparisNo],$A288,tblVeriA[DesiCarpani]),1),0),IFERROR(SUMIF(tblVeriA[SiparisNo],$A288,tblVeriA[AgirlikKg]),0))*$C288*IFERROR(SUMIF(tblVeriA[SiparisNo],$A288,tblVeriA[Adet]),1)*(1+$E288*kdo_iadeEtkiCarpani),0))</f>
        <v/>
      </c>
      <c r="H288" s="13" t="n"/>
      <c r="I288" s="13" t="n"/>
      <c r="J288" s="15">
        <f>IF($A288="","",1)</f>
        <v/>
      </c>
    </row>
    <row r="289">
      <c r="A289" s="13" t="n"/>
      <c r="B289" s="13" t="n"/>
      <c r="C289" s="16" t="n"/>
      <c r="D289" s="16" t="n"/>
      <c r="E289" s="17" t="n"/>
      <c r="F289" s="16" t="n"/>
      <c r="G289" s="15">
        <f>IF($A289="","",IFERROR(MAX(IFERROR(SUMIF(tblVeriA[SiparisNo],$A289,tblVeriA[EnCm])*SUMIF(tblVeriA[SiparisNo],$A289,tblVeriA[BoyCm])*SUMIF(tblVeriA[SiparisNo],$A289,tblVeriA[YukseklikCm])/MAX(SUMIF(tblVeriA[SiparisNo],$A289,tblVeriA[DesiCarpani]),1),0),IFERROR(SUMIF(tblVeriA[SiparisNo],$A289,tblVeriA[AgirlikKg]),0))*$C289*IFERROR(SUMIF(tblVeriA[SiparisNo],$A289,tblVeriA[Adet]),1)*(1+$E289*kdo_iadeEtkiCarpani),0))</f>
        <v/>
      </c>
      <c r="H289" s="13" t="n"/>
      <c r="I289" s="13" t="n"/>
      <c r="J289" s="15">
        <f>IF($A289="","",1)</f>
        <v/>
      </c>
    </row>
    <row r="290">
      <c r="A290" s="13" t="n"/>
      <c r="B290" s="13" t="n"/>
      <c r="C290" s="16" t="n"/>
      <c r="D290" s="16" t="n"/>
      <c r="E290" s="17" t="n"/>
      <c r="F290" s="16" t="n"/>
      <c r="G290" s="15">
        <f>IF($A290="","",IFERROR(MAX(IFERROR(SUMIF(tblVeriA[SiparisNo],$A290,tblVeriA[EnCm])*SUMIF(tblVeriA[SiparisNo],$A290,tblVeriA[BoyCm])*SUMIF(tblVeriA[SiparisNo],$A290,tblVeriA[YukseklikCm])/MAX(SUMIF(tblVeriA[SiparisNo],$A290,tblVeriA[DesiCarpani]),1),0),IFERROR(SUMIF(tblVeriA[SiparisNo],$A290,tblVeriA[AgirlikKg]),0))*$C290*IFERROR(SUMIF(tblVeriA[SiparisNo],$A290,tblVeriA[Adet]),1)*(1+$E290*kdo_iadeEtkiCarpani),0))</f>
        <v/>
      </c>
      <c r="H290" s="13" t="n"/>
      <c r="I290" s="13" t="n"/>
      <c r="J290" s="15">
        <f>IF($A290="","",1)</f>
        <v/>
      </c>
    </row>
    <row r="291">
      <c r="A291" s="13" t="n"/>
      <c r="B291" s="13" t="n"/>
      <c r="C291" s="16" t="n"/>
      <c r="D291" s="16" t="n"/>
      <c r="E291" s="17" t="n"/>
      <c r="F291" s="16" t="n"/>
      <c r="G291" s="15">
        <f>IF($A291="","",IFERROR(MAX(IFERROR(SUMIF(tblVeriA[SiparisNo],$A291,tblVeriA[EnCm])*SUMIF(tblVeriA[SiparisNo],$A291,tblVeriA[BoyCm])*SUMIF(tblVeriA[SiparisNo],$A291,tblVeriA[YukseklikCm])/MAX(SUMIF(tblVeriA[SiparisNo],$A291,tblVeriA[DesiCarpani]),1),0),IFERROR(SUMIF(tblVeriA[SiparisNo],$A291,tblVeriA[AgirlikKg]),0))*$C291*IFERROR(SUMIF(tblVeriA[SiparisNo],$A291,tblVeriA[Adet]),1)*(1+$E291*kdo_iadeEtkiCarpani),0))</f>
        <v/>
      </c>
      <c r="H291" s="13" t="n"/>
      <c r="I291" s="13" t="n"/>
      <c r="J291" s="15">
        <f>IF($A291="","",1)</f>
        <v/>
      </c>
    </row>
    <row r="292">
      <c r="A292" s="13" t="n"/>
      <c r="B292" s="13" t="n"/>
      <c r="C292" s="16" t="n"/>
      <c r="D292" s="16" t="n"/>
      <c r="E292" s="17" t="n"/>
      <c r="F292" s="16" t="n"/>
      <c r="G292" s="15">
        <f>IF($A292="","",IFERROR(MAX(IFERROR(SUMIF(tblVeriA[SiparisNo],$A292,tblVeriA[EnCm])*SUMIF(tblVeriA[SiparisNo],$A292,tblVeriA[BoyCm])*SUMIF(tblVeriA[SiparisNo],$A292,tblVeriA[YukseklikCm])/MAX(SUMIF(tblVeriA[SiparisNo],$A292,tblVeriA[DesiCarpani]),1),0),IFERROR(SUMIF(tblVeriA[SiparisNo],$A292,tblVeriA[AgirlikKg]),0))*$C292*IFERROR(SUMIF(tblVeriA[SiparisNo],$A292,tblVeriA[Adet]),1)*(1+$E292*kdo_iadeEtkiCarpani),0))</f>
        <v/>
      </c>
      <c r="H292" s="13" t="n"/>
      <c r="I292" s="13" t="n"/>
      <c r="J292" s="15">
        <f>IF($A292="","",1)</f>
        <v/>
      </c>
    </row>
    <row r="293">
      <c r="A293" s="13" t="n"/>
      <c r="B293" s="13" t="n"/>
      <c r="C293" s="16" t="n"/>
      <c r="D293" s="16" t="n"/>
      <c r="E293" s="17" t="n"/>
      <c r="F293" s="16" t="n"/>
      <c r="G293" s="15">
        <f>IF($A293="","",IFERROR(MAX(IFERROR(SUMIF(tblVeriA[SiparisNo],$A293,tblVeriA[EnCm])*SUMIF(tblVeriA[SiparisNo],$A293,tblVeriA[BoyCm])*SUMIF(tblVeriA[SiparisNo],$A293,tblVeriA[YukseklikCm])/MAX(SUMIF(tblVeriA[SiparisNo],$A293,tblVeriA[DesiCarpani]),1),0),IFERROR(SUMIF(tblVeriA[SiparisNo],$A293,tblVeriA[AgirlikKg]),0))*$C293*IFERROR(SUMIF(tblVeriA[SiparisNo],$A293,tblVeriA[Adet]),1)*(1+$E293*kdo_iadeEtkiCarpani),0))</f>
        <v/>
      </c>
      <c r="H293" s="13" t="n"/>
      <c r="I293" s="13" t="n"/>
      <c r="J293" s="15">
        <f>IF($A293="","",1)</f>
        <v/>
      </c>
    </row>
    <row r="294">
      <c r="A294" s="13" t="n"/>
      <c r="B294" s="13" t="n"/>
      <c r="C294" s="16" t="n"/>
      <c r="D294" s="16" t="n"/>
      <c r="E294" s="17" t="n"/>
      <c r="F294" s="16" t="n"/>
      <c r="G294" s="15">
        <f>IF($A294="","",IFERROR(MAX(IFERROR(SUMIF(tblVeriA[SiparisNo],$A294,tblVeriA[EnCm])*SUMIF(tblVeriA[SiparisNo],$A294,tblVeriA[BoyCm])*SUMIF(tblVeriA[SiparisNo],$A294,tblVeriA[YukseklikCm])/MAX(SUMIF(tblVeriA[SiparisNo],$A294,tblVeriA[DesiCarpani]),1),0),IFERROR(SUMIF(tblVeriA[SiparisNo],$A294,tblVeriA[AgirlikKg]),0))*$C294*IFERROR(SUMIF(tblVeriA[SiparisNo],$A294,tblVeriA[Adet]),1)*(1+$E294*kdo_iadeEtkiCarpani),0))</f>
        <v/>
      </c>
      <c r="H294" s="13" t="n"/>
      <c r="I294" s="13" t="n"/>
      <c r="J294" s="15">
        <f>IF($A294="","",1)</f>
        <v/>
      </c>
    </row>
    <row r="295">
      <c r="A295" s="13" t="n"/>
      <c r="B295" s="13" t="n"/>
      <c r="C295" s="16" t="n"/>
      <c r="D295" s="16" t="n"/>
      <c r="E295" s="17" t="n"/>
      <c r="F295" s="16" t="n"/>
      <c r="G295" s="15">
        <f>IF($A295="","",IFERROR(MAX(IFERROR(SUMIF(tblVeriA[SiparisNo],$A295,tblVeriA[EnCm])*SUMIF(tblVeriA[SiparisNo],$A295,tblVeriA[BoyCm])*SUMIF(tblVeriA[SiparisNo],$A295,tblVeriA[YukseklikCm])/MAX(SUMIF(tblVeriA[SiparisNo],$A295,tblVeriA[DesiCarpani]),1),0),IFERROR(SUMIF(tblVeriA[SiparisNo],$A295,tblVeriA[AgirlikKg]),0))*$C295*IFERROR(SUMIF(tblVeriA[SiparisNo],$A295,tblVeriA[Adet]),1)*(1+$E295*kdo_iadeEtkiCarpani),0))</f>
        <v/>
      </c>
      <c r="H295" s="13" t="n"/>
      <c r="I295" s="13" t="n"/>
      <c r="J295" s="15">
        <f>IF($A295="","",1)</f>
        <v/>
      </c>
    </row>
    <row r="296">
      <c r="A296" s="13" t="n"/>
      <c r="B296" s="13" t="n"/>
      <c r="C296" s="16" t="n"/>
      <c r="D296" s="16" t="n"/>
      <c r="E296" s="17" t="n"/>
      <c r="F296" s="16" t="n"/>
      <c r="G296" s="15">
        <f>IF($A296="","",IFERROR(MAX(IFERROR(SUMIF(tblVeriA[SiparisNo],$A296,tblVeriA[EnCm])*SUMIF(tblVeriA[SiparisNo],$A296,tblVeriA[BoyCm])*SUMIF(tblVeriA[SiparisNo],$A296,tblVeriA[YukseklikCm])/MAX(SUMIF(tblVeriA[SiparisNo],$A296,tblVeriA[DesiCarpani]),1),0),IFERROR(SUMIF(tblVeriA[SiparisNo],$A296,tblVeriA[AgirlikKg]),0))*$C296*IFERROR(SUMIF(tblVeriA[SiparisNo],$A296,tblVeriA[Adet]),1)*(1+$E296*kdo_iadeEtkiCarpani),0))</f>
        <v/>
      </c>
      <c r="H296" s="13" t="n"/>
      <c r="I296" s="13" t="n"/>
      <c r="J296" s="15">
        <f>IF($A296="","",1)</f>
        <v/>
      </c>
    </row>
    <row r="297">
      <c r="A297" s="13" t="n"/>
      <c r="B297" s="13" t="n"/>
      <c r="C297" s="16" t="n"/>
      <c r="D297" s="16" t="n"/>
      <c r="E297" s="17" t="n"/>
      <c r="F297" s="16" t="n"/>
      <c r="G297" s="15">
        <f>IF($A297="","",IFERROR(MAX(IFERROR(SUMIF(tblVeriA[SiparisNo],$A297,tblVeriA[EnCm])*SUMIF(tblVeriA[SiparisNo],$A297,tblVeriA[BoyCm])*SUMIF(tblVeriA[SiparisNo],$A297,tblVeriA[YukseklikCm])/MAX(SUMIF(tblVeriA[SiparisNo],$A297,tblVeriA[DesiCarpani]),1),0),IFERROR(SUMIF(tblVeriA[SiparisNo],$A297,tblVeriA[AgirlikKg]),0))*$C297*IFERROR(SUMIF(tblVeriA[SiparisNo],$A297,tblVeriA[Adet]),1)*(1+$E297*kdo_iadeEtkiCarpani),0))</f>
        <v/>
      </c>
      <c r="H297" s="13" t="n"/>
      <c r="I297" s="13" t="n"/>
      <c r="J297" s="15">
        <f>IF($A297="","",1)</f>
        <v/>
      </c>
    </row>
    <row r="298">
      <c r="A298" s="13" t="n"/>
      <c r="B298" s="13" t="n"/>
      <c r="C298" s="16" t="n"/>
      <c r="D298" s="16" t="n"/>
      <c r="E298" s="17" t="n"/>
      <c r="F298" s="16" t="n"/>
      <c r="G298" s="15">
        <f>IF($A298="","",IFERROR(MAX(IFERROR(SUMIF(tblVeriA[SiparisNo],$A298,tblVeriA[EnCm])*SUMIF(tblVeriA[SiparisNo],$A298,tblVeriA[BoyCm])*SUMIF(tblVeriA[SiparisNo],$A298,tblVeriA[YukseklikCm])/MAX(SUMIF(tblVeriA[SiparisNo],$A298,tblVeriA[DesiCarpani]),1),0),IFERROR(SUMIF(tblVeriA[SiparisNo],$A298,tblVeriA[AgirlikKg]),0))*$C298*IFERROR(SUMIF(tblVeriA[SiparisNo],$A298,tblVeriA[Adet]),1)*(1+$E298*kdo_iadeEtkiCarpani),0))</f>
        <v/>
      </c>
      <c r="H298" s="13" t="n"/>
      <c r="I298" s="13" t="n"/>
      <c r="J298" s="15">
        <f>IF($A298="","",1)</f>
        <v/>
      </c>
    </row>
    <row r="299">
      <c r="A299" s="13" t="n"/>
      <c r="B299" s="13" t="n"/>
      <c r="C299" s="16" t="n"/>
      <c r="D299" s="16" t="n"/>
      <c r="E299" s="17" t="n"/>
      <c r="F299" s="16" t="n"/>
      <c r="G299" s="15">
        <f>IF($A299="","",IFERROR(MAX(IFERROR(SUMIF(tblVeriA[SiparisNo],$A299,tblVeriA[EnCm])*SUMIF(tblVeriA[SiparisNo],$A299,tblVeriA[BoyCm])*SUMIF(tblVeriA[SiparisNo],$A299,tblVeriA[YukseklikCm])/MAX(SUMIF(tblVeriA[SiparisNo],$A299,tblVeriA[DesiCarpani]),1),0),IFERROR(SUMIF(tblVeriA[SiparisNo],$A299,tblVeriA[AgirlikKg]),0))*$C299*IFERROR(SUMIF(tblVeriA[SiparisNo],$A299,tblVeriA[Adet]),1)*(1+$E299*kdo_iadeEtkiCarpani),0))</f>
        <v/>
      </c>
      <c r="H299" s="13" t="n"/>
      <c r="I299" s="13" t="n"/>
      <c r="J299" s="15">
        <f>IF($A299="","",1)</f>
        <v/>
      </c>
    </row>
    <row r="300">
      <c r="A300" s="13" t="n"/>
      <c r="B300" s="13" t="n"/>
      <c r="C300" s="16" t="n"/>
      <c r="D300" s="16" t="n"/>
      <c r="E300" s="17" t="n"/>
      <c r="F300" s="16" t="n"/>
      <c r="G300" s="15">
        <f>IF($A300="","",IFERROR(MAX(IFERROR(SUMIF(tblVeriA[SiparisNo],$A300,tblVeriA[EnCm])*SUMIF(tblVeriA[SiparisNo],$A300,tblVeriA[BoyCm])*SUMIF(tblVeriA[SiparisNo],$A300,tblVeriA[YukseklikCm])/MAX(SUMIF(tblVeriA[SiparisNo],$A300,tblVeriA[DesiCarpani]),1),0),IFERROR(SUMIF(tblVeriA[SiparisNo],$A300,tblVeriA[AgirlikKg]),0))*$C300*IFERROR(SUMIF(tblVeriA[SiparisNo],$A300,tblVeriA[Adet]),1)*(1+$E300*kdo_iadeEtkiCarpani),0))</f>
        <v/>
      </c>
      <c r="H300" s="13" t="n"/>
      <c r="I300" s="13" t="n"/>
      <c r="J300" s="15">
        <f>IF($A300="","",1)</f>
        <v/>
      </c>
    </row>
    <row r="301">
      <c r="A301" s="13" t="n"/>
      <c r="B301" s="13" t="n"/>
      <c r="C301" s="16" t="n"/>
      <c r="D301" s="16" t="n"/>
      <c r="E301" s="17" t="n"/>
      <c r="F301" s="16" t="n"/>
      <c r="G301" s="15">
        <f>IF($A301="","",IFERROR(MAX(IFERROR(SUMIF(tblVeriA[SiparisNo],$A301,tblVeriA[EnCm])*SUMIF(tblVeriA[SiparisNo],$A301,tblVeriA[BoyCm])*SUMIF(tblVeriA[SiparisNo],$A301,tblVeriA[YukseklikCm])/MAX(SUMIF(tblVeriA[SiparisNo],$A301,tblVeriA[DesiCarpani]),1),0),IFERROR(SUMIF(tblVeriA[SiparisNo],$A301,tblVeriA[AgirlikKg]),0))*$C301*IFERROR(SUMIF(tblVeriA[SiparisNo],$A301,tblVeriA[Adet]),1)*(1+$E301*kdo_iadeEtkiCarpani),0))</f>
        <v/>
      </c>
      <c r="H301" s="13" t="n"/>
      <c r="I301" s="13" t="n"/>
      <c r="J301" s="15">
        <f>IF($A301="","",1)</f>
        <v/>
      </c>
    </row>
    <row r="302">
      <c r="A302" s="13" t="n"/>
      <c r="B302" s="13" t="n"/>
      <c r="C302" s="16" t="n"/>
      <c r="D302" s="16" t="n"/>
      <c r="E302" s="17" t="n"/>
      <c r="F302" s="16" t="n"/>
      <c r="G302" s="15">
        <f>IF($A302="","",IFERROR(MAX(IFERROR(SUMIF(tblVeriA[SiparisNo],$A302,tblVeriA[EnCm])*SUMIF(tblVeriA[SiparisNo],$A302,tblVeriA[BoyCm])*SUMIF(tblVeriA[SiparisNo],$A302,tblVeriA[YukseklikCm])/MAX(SUMIF(tblVeriA[SiparisNo],$A302,tblVeriA[DesiCarpani]),1),0),IFERROR(SUMIF(tblVeriA[SiparisNo],$A302,tblVeriA[AgirlikKg]),0))*$C302*IFERROR(SUMIF(tblVeriA[SiparisNo],$A302,tblVeriA[Adet]),1)*(1+$E302*kdo_iadeEtkiCarpani),0))</f>
        <v/>
      </c>
      <c r="H302" s="13" t="n"/>
      <c r="I302" s="13" t="n"/>
      <c r="J302" s="15">
        <f>IF($A302="","",1)</f>
        <v/>
      </c>
    </row>
    <row r="303">
      <c r="A303" s="13" t="n"/>
      <c r="B303" s="13" t="n"/>
      <c r="C303" s="16" t="n"/>
      <c r="D303" s="16" t="n"/>
      <c r="E303" s="17" t="n"/>
      <c r="F303" s="16" t="n"/>
      <c r="G303" s="15">
        <f>IF($A303="","",IFERROR(MAX(IFERROR(SUMIF(tblVeriA[SiparisNo],$A303,tblVeriA[EnCm])*SUMIF(tblVeriA[SiparisNo],$A303,tblVeriA[BoyCm])*SUMIF(tblVeriA[SiparisNo],$A303,tblVeriA[YukseklikCm])/MAX(SUMIF(tblVeriA[SiparisNo],$A303,tblVeriA[DesiCarpani]),1),0),IFERROR(SUMIF(tblVeriA[SiparisNo],$A303,tblVeriA[AgirlikKg]),0))*$C303*IFERROR(SUMIF(tblVeriA[SiparisNo],$A303,tblVeriA[Adet]),1)*(1+$E303*kdo_iadeEtkiCarpani),0))</f>
        <v/>
      </c>
      <c r="H303" s="13" t="n"/>
      <c r="I303" s="13" t="n"/>
      <c r="J303" s="15">
        <f>IF($A303="","",1)</f>
        <v/>
      </c>
    </row>
    <row r="304">
      <c r="A304" s="13" t="n"/>
      <c r="B304" s="13" t="n"/>
      <c r="C304" s="16" t="n"/>
      <c r="D304" s="16" t="n"/>
      <c r="E304" s="17" t="n"/>
      <c r="F304" s="16" t="n"/>
      <c r="G304" s="15">
        <f>IF($A304="","",IFERROR(MAX(IFERROR(SUMIF(tblVeriA[SiparisNo],$A304,tblVeriA[EnCm])*SUMIF(tblVeriA[SiparisNo],$A304,tblVeriA[BoyCm])*SUMIF(tblVeriA[SiparisNo],$A304,tblVeriA[YukseklikCm])/MAX(SUMIF(tblVeriA[SiparisNo],$A304,tblVeriA[DesiCarpani]),1),0),IFERROR(SUMIF(tblVeriA[SiparisNo],$A304,tblVeriA[AgirlikKg]),0))*$C304*IFERROR(SUMIF(tblVeriA[SiparisNo],$A304,tblVeriA[Adet]),1)*(1+$E304*kdo_iadeEtkiCarpani),0))</f>
        <v/>
      </c>
      <c r="H304" s="13" t="n"/>
      <c r="I304" s="13" t="n"/>
      <c r="J304" s="15">
        <f>IF($A304="","",1)</f>
        <v/>
      </c>
    </row>
    <row r="305">
      <c r="A305" s="13" t="n"/>
      <c r="B305" s="13" t="n"/>
      <c r="C305" s="16" t="n"/>
      <c r="D305" s="16" t="n"/>
      <c r="E305" s="17" t="n"/>
      <c r="F305" s="16" t="n"/>
      <c r="G305" s="15">
        <f>IF($A305="","",IFERROR(MAX(IFERROR(SUMIF(tblVeriA[SiparisNo],$A305,tblVeriA[EnCm])*SUMIF(tblVeriA[SiparisNo],$A305,tblVeriA[BoyCm])*SUMIF(tblVeriA[SiparisNo],$A305,tblVeriA[YukseklikCm])/MAX(SUMIF(tblVeriA[SiparisNo],$A305,tblVeriA[DesiCarpani]),1),0),IFERROR(SUMIF(tblVeriA[SiparisNo],$A305,tblVeriA[AgirlikKg]),0))*$C305*IFERROR(SUMIF(tblVeriA[SiparisNo],$A305,tblVeriA[Adet]),1)*(1+$E305*kdo_iadeEtkiCarpani),0))</f>
        <v/>
      </c>
      <c r="H305" s="13" t="n"/>
      <c r="I305" s="13" t="n"/>
      <c r="J305" s="15">
        <f>IF($A305="","",1)</f>
        <v/>
      </c>
    </row>
    <row r="306">
      <c r="A306" s="13" t="n"/>
      <c r="B306" s="13" t="n"/>
      <c r="C306" s="16" t="n"/>
      <c r="D306" s="16" t="n"/>
      <c r="E306" s="17" t="n"/>
      <c r="F306" s="16" t="n"/>
      <c r="G306" s="15">
        <f>IF($A306="","",IFERROR(MAX(IFERROR(SUMIF(tblVeriA[SiparisNo],$A306,tblVeriA[EnCm])*SUMIF(tblVeriA[SiparisNo],$A306,tblVeriA[BoyCm])*SUMIF(tblVeriA[SiparisNo],$A306,tblVeriA[YukseklikCm])/MAX(SUMIF(tblVeriA[SiparisNo],$A306,tblVeriA[DesiCarpani]),1),0),IFERROR(SUMIF(tblVeriA[SiparisNo],$A306,tblVeriA[AgirlikKg]),0))*$C306*IFERROR(SUMIF(tblVeriA[SiparisNo],$A306,tblVeriA[Adet]),1)*(1+$E306*kdo_iadeEtkiCarpani),0))</f>
        <v/>
      </c>
      <c r="H306" s="13" t="n"/>
      <c r="I306" s="13" t="n"/>
      <c r="J306" s="15">
        <f>IF($A306="","",1)</f>
        <v/>
      </c>
    </row>
    <row r="307">
      <c r="A307" s="13" t="n"/>
      <c r="B307" s="13" t="n"/>
      <c r="C307" s="16" t="n"/>
      <c r="D307" s="16" t="n"/>
      <c r="E307" s="17" t="n"/>
      <c r="F307" s="16" t="n"/>
      <c r="G307" s="15">
        <f>IF($A307="","",IFERROR(MAX(IFERROR(SUMIF(tblVeriA[SiparisNo],$A307,tblVeriA[EnCm])*SUMIF(tblVeriA[SiparisNo],$A307,tblVeriA[BoyCm])*SUMIF(tblVeriA[SiparisNo],$A307,tblVeriA[YukseklikCm])/MAX(SUMIF(tblVeriA[SiparisNo],$A307,tblVeriA[DesiCarpani]),1),0),IFERROR(SUMIF(tblVeriA[SiparisNo],$A307,tblVeriA[AgirlikKg]),0))*$C307*IFERROR(SUMIF(tblVeriA[SiparisNo],$A307,tblVeriA[Adet]),1)*(1+$E307*kdo_iadeEtkiCarpani),0))</f>
        <v/>
      </c>
      <c r="H307" s="13" t="n"/>
      <c r="I307" s="13" t="n"/>
      <c r="J307" s="15">
        <f>IF($A307="","",1)</f>
        <v/>
      </c>
    </row>
    <row r="308">
      <c r="A308" s="13" t="n"/>
      <c r="B308" s="13" t="n"/>
      <c r="C308" s="16" t="n"/>
      <c r="D308" s="16" t="n"/>
      <c r="E308" s="17" t="n"/>
      <c r="F308" s="16" t="n"/>
      <c r="G308" s="15">
        <f>IF($A308="","",IFERROR(MAX(IFERROR(SUMIF(tblVeriA[SiparisNo],$A308,tblVeriA[EnCm])*SUMIF(tblVeriA[SiparisNo],$A308,tblVeriA[BoyCm])*SUMIF(tblVeriA[SiparisNo],$A308,tblVeriA[YukseklikCm])/MAX(SUMIF(tblVeriA[SiparisNo],$A308,tblVeriA[DesiCarpani]),1),0),IFERROR(SUMIF(tblVeriA[SiparisNo],$A308,tblVeriA[AgirlikKg]),0))*$C308*IFERROR(SUMIF(tblVeriA[SiparisNo],$A308,tblVeriA[Adet]),1)*(1+$E308*kdo_iadeEtkiCarpani),0))</f>
        <v/>
      </c>
      <c r="H308" s="13" t="n"/>
      <c r="I308" s="13" t="n"/>
      <c r="J308" s="15">
        <f>IF($A308="","",1)</f>
        <v/>
      </c>
    </row>
    <row r="309">
      <c r="A309" s="13" t="n"/>
      <c r="B309" s="13" t="n"/>
      <c r="C309" s="16" t="n"/>
      <c r="D309" s="16" t="n"/>
      <c r="E309" s="17" t="n"/>
      <c r="F309" s="16" t="n"/>
      <c r="G309" s="15">
        <f>IF($A309="","",IFERROR(MAX(IFERROR(SUMIF(tblVeriA[SiparisNo],$A309,tblVeriA[EnCm])*SUMIF(tblVeriA[SiparisNo],$A309,tblVeriA[BoyCm])*SUMIF(tblVeriA[SiparisNo],$A309,tblVeriA[YukseklikCm])/MAX(SUMIF(tblVeriA[SiparisNo],$A309,tblVeriA[DesiCarpani]),1),0),IFERROR(SUMIF(tblVeriA[SiparisNo],$A309,tblVeriA[AgirlikKg]),0))*$C309*IFERROR(SUMIF(tblVeriA[SiparisNo],$A309,tblVeriA[Adet]),1)*(1+$E309*kdo_iadeEtkiCarpani),0))</f>
        <v/>
      </c>
      <c r="H309" s="13" t="n"/>
      <c r="I309" s="13" t="n"/>
      <c r="J309" s="15">
        <f>IF($A309="","",1)</f>
        <v/>
      </c>
    </row>
    <row r="310">
      <c r="A310" s="13" t="n"/>
      <c r="B310" s="13" t="n"/>
      <c r="C310" s="16" t="n"/>
      <c r="D310" s="16" t="n"/>
      <c r="E310" s="17" t="n"/>
      <c r="F310" s="16" t="n"/>
      <c r="G310" s="15">
        <f>IF($A310="","",IFERROR(MAX(IFERROR(SUMIF(tblVeriA[SiparisNo],$A310,tblVeriA[EnCm])*SUMIF(tblVeriA[SiparisNo],$A310,tblVeriA[BoyCm])*SUMIF(tblVeriA[SiparisNo],$A310,tblVeriA[YukseklikCm])/MAX(SUMIF(tblVeriA[SiparisNo],$A310,tblVeriA[DesiCarpani]),1),0),IFERROR(SUMIF(tblVeriA[SiparisNo],$A310,tblVeriA[AgirlikKg]),0))*$C310*IFERROR(SUMIF(tblVeriA[SiparisNo],$A310,tblVeriA[Adet]),1)*(1+$E310*kdo_iadeEtkiCarpani),0))</f>
        <v/>
      </c>
      <c r="H310" s="13" t="n"/>
      <c r="I310" s="13" t="n"/>
      <c r="J310" s="15">
        <f>IF($A310="","",1)</f>
        <v/>
      </c>
    </row>
    <row r="311">
      <c r="A311" s="13" t="n"/>
      <c r="B311" s="13" t="n"/>
      <c r="C311" s="16" t="n"/>
      <c r="D311" s="16" t="n"/>
      <c r="E311" s="17" t="n"/>
      <c r="F311" s="16" t="n"/>
      <c r="G311" s="15">
        <f>IF($A311="","",IFERROR(MAX(IFERROR(SUMIF(tblVeriA[SiparisNo],$A311,tblVeriA[EnCm])*SUMIF(tblVeriA[SiparisNo],$A311,tblVeriA[BoyCm])*SUMIF(tblVeriA[SiparisNo],$A311,tblVeriA[YukseklikCm])/MAX(SUMIF(tblVeriA[SiparisNo],$A311,tblVeriA[DesiCarpani]),1),0),IFERROR(SUMIF(tblVeriA[SiparisNo],$A311,tblVeriA[AgirlikKg]),0))*$C311*IFERROR(SUMIF(tblVeriA[SiparisNo],$A311,tblVeriA[Adet]),1)*(1+$E311*kdo_iadeEtkiCarpani),0))</f>
        <v/>
      </c>
      <c r="H311" s="13" t="n"/>
      <c r="I311" s="13" t="n"/>
      <c r="J311" s="15">
        <f>IF($A311="","",1)</f>
        <v/>
      </c>
    </row>
    <row r="312">
      <c r="A312" s="13" t="n"/>
      <c r="B312" s="13" t="n"/>
      <c r="C312" s="16" t="n"/>
      <c r="D312" s="16" t="n"/>
      <c r="E312" s="17" t="n"/>
      <c r="F312" s="16" t="n"/>
      <c r="G312" s="15">
        <f>IF($A312="","",IFERROR(MAX(IFERROR(SUMIF(tblVeriA[SiparisNo],$A312,tblVeriA[EnCm])*SUMIF(tblVeriA[SiparisNo],$A312,tblVeriA[BoyCm])*SUMIF(tblVeriA[SiparisNo],$A312,tblVeriA[YukseklikCm])/MAX(SUMIF(tblVeriA[SiparisNo],$A312,tblVeriA[DesiCarpani]),1),0),IFERROR(SUMIF(tblVeriA[SiparisNo],$A312,tblVeriA[AgirlikKg]),0))*$C312*IFERROR(SUMIF(tblVeriA[SiparisNo],$A312,tblVeriA[Adet]),1)*(1+$E312*kdo_iadeEtkiCarpani),0))</f>
        <v/>
      </c>
      <c r="H312" s="13" t="n"/>
      <c r="I312" s="13" t="n"/>
      <c r="J312" s="15">
        <f>IF($A312="","",1)</f>
        <v/>
      </c>
    </row>
    <row r="313">
      <c r="A313" s="13" t="n"/>
      <c r="B313" s="13" t="n"/>
      <c r="C313" s="16" t="n"/>
      <c r="D313" s="16" t="n"/>
      <c r="E313" s="17" t="n"/>
      <c r="F313" s="16" t="n"/>
      <c r="G313" s="15">
        <f>IF($A313="","",IFERROR(MAX(IFERROR(SUMIF(tblVeriA[SiparisNo],$A313,tblVeriA[EnCm])*SUMIF(tblVeriA[SiparisNo],$A313,tblVeriA[BoyCm])*SUMIF(tblVeriA[SiparisNo],$A313,tblVeriA[YukseklikCm])/MAX(SUMIF(tblVeriA[SiparisNo],$A313,tblVeriA[DesiCarpani]),1),0),IFERROR(SUMIF(tblVeriA[SiparisNo],$A313,tblVeriA[AgirlikKg]),0))*$C313*IFERROR(SUMIF(tblVeriA[SiparisNo],$A313,tblVeriA[Adet]),1)*(1+$E313*kdo_iadeEtkiCarpani),0))</f>
        <v/>
      </c>
      <c r="H313" s="13" t="n"/>
      <c r="I313" s="13" t="n"/>
      <c r="J313" s="15">
        <f>IF($A313="","",1)</f>
        <v/>
      </c>
    </row>
    <row r="314">
      <c r="A314" s="13" t="n"/>
      <c r="B314" s="13" t="n"/>
      <c r="C314" s="16" t="n"/>
      <c r="D314" s="16" t="n"/>
      <c r="E314" s="17" t="n"/>
      <c r="F314" s="16" t="n"/>
      <c r="G314" s="15">
        <f>IF($A314="","",IFERROR(MAX(IFERROR(SUMIF(tblVeriA[SiparisNo],$A314,tblVeriA[EnCm])*SUMIF(tblVeriA[SiparisNo],$A314,tblVeriA[BoyCm])*SUMIF(tblVeriA[SiparisNo],$A314,tblVeriA[YukseklikCm])/MAX(SUMIF(tblVeriA[SiparisNo],$A314,tblVeriA[DesiCarpani]),1),0),IFERROR(SUMIF(tblVeriA[SiparisNo],$A314,tblVeriA[AgirlikKg]),0))*$C314*IFERROR(SUMIF(tblVeriA[SiparisNo],$A314,tblVeriA[Adet]),1)*(1+$E314*kdo_iadeEtkiCarpani),0))</f>
        <v/>
      </c>
      <c r="H314" s="13" t="n"/>
      <c r="I314" s="13" t="n"/>
      <c r="J314" s="15">
        <f>IF($A314="","",1)</f>
        <v/>
      </c>
    </row>
    <row r="315">
      <c r="A315" s="13" t="n"/>
      <c r="B315" s="13" t="n"/>
      <c r="C315" s="16" t="n"/>
      <c r="D315" s="16" t="n"/>
      <c r="E315" s="17" t="n"/>
      <c r="F315" s="16" t="n"/>
      <c r="G315" s="15">
        <f>IF($A315="","",IFERROR(MAX(IFERROR(SUMIF(tblVeriA[SiparisNo],$A315,tblVeriA[EnCm])*SUMIF(tblVeriA[SiparisNo],$A315,tblVeriA[BoyCm])*SUMIF(tblVeriA[SiparisNo],$A315,tblVeriA[YukseklikCm])/MAX(SUMIF(tblVeriA[SiparisNo],$A315,tblVeriA[DesiCarpani]),1),0),IFERROR(SUMIF(tblVeriA[SiparisNo],$A315,tblVeriA[AgirlikKg]),0))*$C315*IFERROR(SUMIF(tblVeriA[SiparisNo],$A315,tblVeriA[Adet]),1)*(1+$E315*kdo_iadeEtkiCarpani),0))</f>
        <v/>
      </c>
      <c r="H315" s="13" t="n"/>
      <c r="I315" s="13" t="n"/>
      <c r="J315" s="15">
        <f>IF($A315="","",1)</f>
        <v/>
      </c>
    </row>
    <row r="316">
      <c r="A316" s="13" t="n"/>
      <c r="B316" s="13" t="n"/>
      <c r="C316" s="16" t="n"/>
      <c r="D316" s="16" t="n"/>
      <c r="E316" s="17" t="n"/>
      <c r="F316" s="16" t="n"/>
      <c r="G316" s="15">
        <f>IF($A316="","",IFERROR(MAX(IFERROR(SUMIF(tblVeriA[SiparisNo],$A316,tblVeriA[EnCm])*SUMIF(tblVeriA[SiparisNo],$A316,tblVeriA[BoyCm])*SUMIF(tblVeriA[SiparisNo],$A316,tblVeriA[YukseklikCm])/MAX(SUMIF(tblVeriA[SiparisNo],$A316,tblVeriA[DesiCarpani]),1),0),IFERROR(SUMIF(tblVeriA[SiparisNo],$A316,tblVeriA[AgirlikKg]),0))*$C316*IFERROR(SUMIF(tblVeriA[SiparisNo],$A316,tblVeriA[Adet]),1)*(1+$E316*kdo_iadeEtkiCarpani),0))</f>
        <v/>
      </c>
      <c r="H316" s="13" t="n"/>
      <c r="I316" s="13" t="n"/>
      <c r="J316" s="15">
        <f>IF($A316="","",1)</f>
        <v/>
      </c>
    </row>
    <row r="317">
      <c r="A317" s="13" t="n"/>
      <c r="B317" s="13" t="n"/>
      <c r="C317" s="16" t="n"/>
      <c r="D317" s="16" t="n"/>
      <c r="E317" s="17" t="n"/>
      <c r="F317" s="16" t="n"/>
      <c r="G317" s="15">
        <f>IF($A317="","",IFERROR(MAX(IFERROR(SUMIF(tblVeriA[SiparisNo],$A317,tblVeriA[EnCm])*SUMIF(tblVeriA[SiparisNo],$A317,tblVeriA[BoyCm])*SUMIF(tblVeriA[SiparisNo],$A317,tblVeriA[YukseklikCm])/MAX(SUMIF(tblVeriA[SiparisNo],$A317,tblVeriA[DesiCarpani]),1),0),IFERROR(SUMIF(tblVeriA[SiparisNo],$A317,tblVeriA[AgirlikKg]),0))*$C317*IFERROR(SUMIF(tblVeriA[SiparisNo],$A317,tblVeriA[Adet]),1)*(1+$E317*kdo_iadeEtkiCarpani),0))</f>
        <v/>
      </c>
      <c r="H317" s="13" t="n"/>
      <c r="I317" s="13" t="n"/>
      <c r="J317" s="15">
        <f>IF($A317="","",1)</f>
        <v/>
      </c>
    </row>
    <row r="318">
      <c r="A318" s="13" t="n"/>
      <c r="B318" s="13" t="n"/>
      <c r="C318" s="16" t="n"/>
      <c r="D318" s="16" t="n"/>
      <c r="E318" s="17" t="n"/>
      <c r="F318" s="16" t="n"/>
      <c r="G318" s="15">
        <f>IF($A318="","",IFERROR(MAX(IFERROR(SUMIF(tblVeriA[SiparisNo],$A318,tblVeriA[EnCm])*SUMIF(tblVeriA[SiparisNo],$A318,tblVeriA[BoyCm])*SUMIF(tblVeriA[SiparisNo],$A318,tblVeriA[YukseklikCm])/MAX(SUMIF(tblVeriA[SiparisNo],$A318,tblVeriA[DesiCarpani]),1),0),IFERROR(SUMIF(tblVeriA[SiparisNo],$A318,tblVeriA[AgirlikKg]),0))*$C318*IFERROR(SUMIF(tblVeriA[SiparisNo],$A318,tblVeriA[Adet]),1)*(1+$E318*kdo_iadeEtkiCarpani),0))</f>
        <v/>
      </c>
      <c r="H318" s="13" t="n"/>
      <c r="I318" s="13" t="n"/>
      <c r="J318" s="15">
        <f>IF($A318="","",1)</f>
        <v/>
      </c>
    </row>
    <row r="319">
      <c r="A319" s="13" t="n"/>
      <c r="B319" s="13" t="n"/>
      <c r="C319" s="16" t="n"/>
      <c r="D319" s="16" t="n"/>
      <c r="E319" s="17" t="n"/>
      <c r="F319" s="16" t="n"/>
      <c r="G319" s="15">
        <f>IF($A319="","",IFERROR(MAX(IFERROR(SUMIF(tblVeriA[SiparisNo],$A319,tblVeriA[EnCm])*SUMIF(tblVeriA[SiparisNo],$A319,tblVeriA[BoyCm])*SUMIF(tblVeriA[SiparisNo],$A319,tblVeriA[YukseklikCm])/MAX(SUMIF(tblVeriA[SiparisNo],$A319,tblVeriA[DesiCarpani]),1),0),IFERROR(SUMIF(tblVeriA[SiparisNo],$A319,tblVeriA[AgirlikKg]),0))*$C319*IFERROR(SUMIF(tblVeriA[SiparisNo],$A319,tblVeriA[Adet]),1)*(1+$E319*kdo_iadeEtkiCarpani),0))</f>
        <v/>
      </c>
      <c r="H319" s="13" t="n"/>
      <c r="I319" s="13" t="n"/>
      <c r="J319" s="15">
        <f>IF($A319="","",1)</f>
        <v/>
      </c>
    </row>
    <row r="320">
      <c r="A320" s="13" t="n"/>
      <c r="B320" s="13" t="n"/>
      <c r="C320" s="16" t="n"/>
      <c r="D320" s="16" t="n"/>
      <c r="E320" s="17" t="n"/>
      <c r="F320" s="16" t="n"/>
      <c r="G320" s="15">
        <f>IF($A320="","",IFERROR(MAX(IFERROR(SUMIF(tblVeriA[SiparisNo],$A320,tblVeriA[EnCm])*SUMIF(tblVeriA[SiparisNo],$A320,tblVeriA[BoyCm])*SUMIF(tblVeriA[SiparisNo],$A320,tblVeriA[YukseklikCm])/MAX(SUMIF(tblVeriA[SiparisNo],$A320,tblVeriA[DesiCarpani]),1),0),IFERROR(SUMIF(tblVeriA[SiparisNo],$A320,tblVeriA[AgirlikKg]),0))*$C320*IFERROR(SUMIF(tblVeriA[SiparisNo],$A320,tblVeriA[Adet]),1)*(1+$E320*kdo_iadeEtkiCarpani),0))</f>
        <v/>
      </c>
      <c r="H320" s="13" t="n"/>
      <c r="I320" s="13" t="n"/>
      <c r="J320" s="15">
        <f>IF($A320="","",1)</f>
        <v/>
      </c>
    </row>
    <row r="321">
      <c r="A321" s="13" t="n"/>
      <c r="B321" s="13" t="n"/>
      <c r="C321" s="16" t="n"/>
      <c r="D321" s="16" t="n"/>
      <c r="E321" s="17" t="n"/>
      <c r="F321" s="16" t="n"/>
      <c r="G321" s="15">
        <f>IF($A321="","",IFERROR(MAX(IFERROR(SUMIF(tblVeriA[SiparisNo],$A321,tblVeriA[EnCm])*SUMIF(tblVeriA[SiparisNo],$A321,tblVeriA[BoyCm])*SUMIF(tblVeriA[SiparisNo],$A321,tblVeriA[YukseklikCm])/MAX(SUMIF(tblVeriA[SiparisNo],$A321,tblVeriA[DesiCarpani]),1),0),IFERROR(SUMIF(tblVeriA[SiparisNo],$A321,tblVeriA[AgirlikKg]),0))*$C321*IFERROR(SUMIF(tblVeriA[SiparisNo],$A321,tblVeriA[Adet]),1)*(1+$E321*kdo_iadeEtkiCarpani),0))</f>
        <v/>
      </c>
      <c r="H321" s="13" t="n"/>
      <c r="I321" s="13" t="n"/>
      <c r="J321" s="15">
        <f>IF($A321="","",1)</f>
        <v/>
      </c>
    </row>
    <row r="322">
      <c r="A322" s="13" t="n"/>
      <c r="B322" s="13" t="n"/>
      <c r="C322" s="16" t="n"/>
      <c r="D322" s="16" t="n"/>
      <c r="E322" s="17" t="n"/>
      <c r="F322" s="16" t="n"/>
      <c r="G322" s="15">
        <f>IF($A322="","",IFERROR(MAX(IFERROR(SUMIF(tblVeriA[SiparisNo],$A322,tblVeriA[EnCm])*SUMIF(tblVeriA[SiparisNo],$A322,tblVeriA[BoyCm])*SUMIF(tblVeriA[SiparisNo],$A322,tblVeriA[YukseklikCm])/MAX(SUMIF(tblVeriA[SiparisNo],$A322,tblVeriA[DesiCarpani]),1),0),IFERROR(SUMIF(tblVeriA[SiparisNo],$A322,tblVeriA[AgirlikKg]),0))*$C322*IFERROR(SUMIF(tblVeriA[SiparisNo],$A322,tblVeriA[Adet]),1)*(1+$E322*kdo_iadeEtkiCarpani),0))</f>
        <v/>
      </c>
      <c r="H322" s="13" t="n"/>
      <c r="I322" s="13" t="n"/>
      <c r="J322" s="15">
        <f>IF($A322="","",1)</f>
        <v/>
      </c>
    </row>
    <row r="323">
      <c r="A323" s="13" t="n"/>
      <c r="B323" s="13" t="n"/>
      <c r="C323" s="16" t="n"/>
      <c r="D323" s="16" t="n"/>
      <c r="E323" s="17" t="n"/>
      <c r="F323" s="16" t="n"/>
      <c r="G323" s="15">
        <f>IF($A323="","",IFERROR(MAX(IFERROR(SUMIF(tblVeriA[SiparisNo],$A323,tblVeriA[EnCm])*SUMIF(tblVeriA[SiparisNo],$A323,tblVeriA[BoyCm])*SUMIF(tblVeriA[SiparisNo],$A323,tblVeriA[YukseklikCm])/MAX(SUMIF(tblVeriA[SiparisNo],$A323,tblVeriA[DesiCarpani]),1),0),IFERROR(SUMIF(tblVeriA[SiparisNo],$A323,tblVeriA[AgirlikKg]),0))*$C323*IFERROR(SUMIF(tblVeriA[SiparisNo],$A323,tblVeriA[Adet]),1)*(1+$E323*kdo_iadeEtkiCarpani),0))</f>
        <v/>
      </c>
      <c r="H323" s="13" t="n"/>
      <c r="I323" s="13" t="n"/>
      <c r="J323" s="15">
        <f>IF($A323="","",1)</f>
        <v/>
      </c>
    </row>
    <row r="324">
      <c r="A324" s="13" t="n"/>
      <c r="B324" s="13" t="n"/>
      <c r="C324" s="16" t="n"/>
      <c r="D324" s="16" t="n"/>
      <c r="E324" s="17" t="n"/>
      <c r="F324" s="16" t="n"/>
      <c r="G324" s="15">
        <f>IF($A324="","",IFERROR(MAX(IFERROR(SUMIF(tblVeriA[SiparisNo],$A324,tblVeriA[EnCm])*SUMIF(tblVeriA[SiparisNo],$A324,tblVeriA[BoyCm])*SUMIF(tblVeriA[SiparisNo],$A324,tblVeriA[YukseklikCm])/MAX(SUMIF(tblVeriA[SiparisNo],$A324,tblVeriA[DesiCarpani]),1),0),IFERROR(SUMIF(tblVeriA[SiparisNo],$A324,tblVeriA[AgirlikKg]),0))*$C324*IFERROR(SUMIF(tblVeriA[SiparisNo],$A324,tblVeriA[Adet]),1)*(1+$E324*kdo_iadeEtkiCarpani),0))</f>
        <v/>
      </c>
      <c r="H324" s="13" t="n"/>
      <c r="I324" s="13" t="n"/>
      <c r="J324" s="15">
        <f>IF($A324="","",1)</f>
        <v/>
      </c>
    </row>
    <row r="325">
      <c r="A325" s="13" t="n"/>
      <c r="B325" s="13" t="n"/>
      <c r="C325" s="16" t="n"/>
      <c r="D325" s="16" t="n"/>
      <c r="E325" s="17" t="n"/>
      <c r="F325" s="16" t="n"/>
      <c r="G325" s="15">
        <f>IF($A325="","",IFERROR(MAX(IFERROR(SUMIF(tblVeriA[SiparisNo],$A325,tblVeriA[EnCm])*SUMIF(tblVeriA[SiparisNo],$A325,tblVeriA[BoyCm])*SUMIF(tblVeriA[SiparisNo],$A325,tblVeriA[YukseklikCm])/MAX(SUMIF(tblVeriA[SiparisNo],$A325,tblVeriA[DesiCarpani]),1),0),IFERROR(SUMIF(tblVeriA[SiparisNo],$A325,tblVeriA[AgirlikKg]),0))*$C325*IFERROR(SUMIF(tblVeriA[SiparisNo],$A325,tblVeriA[Adet]),1)*(1+$E325*kdo_iadeEtkiCarpani),0))</f>
        <v/>
      </c>
      <c r="H325" s="13" t="n"/>
      <c r="I325" s="13" t="n"/>
      <c r="J325" s="15">
        <f>IF($A325="","",1)</f>
        <v/>
      </c>
    </row>
    <row r="326">
      <c r="A326" s="13" t="n"/>
      <c r="B326" s="13" t="n"/>
      <c r="C326" s="16" t="n"/>
      <c r="D326" s="16" t="n"/>
      <c r="E326" s="17" t="n"/>
      <c r="F326" s="16" t="n"/>
      <c r="G326" s="15">
        <f>IF($A326="","",IFERROR(MAX(IFERROR(SUMIF(tblVeriA[SiparisNo],$A326,tblVeriA[EnCm])*SUMIF(tblVeriA[SiparisNo],$A326,tblVeriA[BoyCm])*SUMIF(tblVeriA[SiparisNo],$A326,tblVeriA[YukseklikCm])/MAX(SUMIF(tblVeriA[SiparisNo],$A326,tblVeriA[DesiCarpani]),1),0),IFERROR(SUMIF(tblVeriA[SiparisNo],$A326,tblVeriA[AgirlikKg]),0))*$C326*IFERROR(SUMIF(tblVeriA[SiparisNo],$A326,tblVeriA[Adet]),1)*(1+$E326*kdo_iadeEtkiCarpani),0))</f>
        <v/>
      </c>
      <c r="H326" s="13" t="n"/>
      <c r="I326" s="13" t="n"/>
      <c r="J326" s="15">
        <f>IF($A326="","",1)</f>
        <v/>
      </c>
    </row>
    <row r="327">
      <c r="A327" s="13" t="n"/>
      <c r="B327" s="13" t="n"/>
      <c r="C327" s="16" t="n"/>
      <c r="D327" s="16" t="n"/>
      <c r="E327" s="17" t="n"/>
      <c r="F327" s="16" t="n"/>
      <c r="G327" s="15">
        <f>IF($A327="","",IFERROR(MAX(IFERROR(SUMIF(tblVeriA[SiparisNo],$A327,tblVeriA[EnCm])*SUMIF(tblVeriA[SiparisNo],$A327,tblVeriA[BoyCm])*SUMIF(tblVeriA[SiparisNo],$A327,tblVeriA[YukseklikCm])/MAX(SUMIF(tblVeriA[SiparisNo],$A327,tblVeriA[DesiCarpani]),1),0),IFERROR(SUMIF(tblVeriA[SiparisNo],$A327,tblVeriA[AgirlikKg]),0))*$C327*IFERROR(SUMIF(tblVeriA[SiparisNo],$A327,tblVeriA[Adet]),1)*(1+$E327*kdo_iadeEtkiCarpani),0))</f>
        <v/>
      </c>
      <c r="H327" s="13" t="n"/>
      <c r="I327" s="13" t="n"/>
      <c r="J327" s="15">
        <f>IF($A327="","",1)</f>
        <v/>
      </c>
    </row>
    <row r="328">
      <c r="A328" s="13" t="n"/>
      <c r="B328" s="13" t="n"/>
      <c r="C328" s="16" t="n"/>
      <c r="D328" s="16" t="n"/>
      <c r="E328" s="17" t="n"/>
      <c r="F328" s="16" t="n"/>
      <c r="G328" s="15">
        <f>IF($A328="","",IFERROR(MAX(IFERROR(SUMIF(tblVeriA[SiparisNo],$A328,tblVeriA[EnCm])*SUMIF(tblVeriA[SiparisNo],$A328,tblVeriA[BoyCm])*SUMIF(tblVeriA[SiparisNo],$A328,tblVeriA[YukseklikCm])/MAX(SUMIF(tblVeriA[SiparisNo],$A328,tblVeriA[DesiCarpani]),1),0),IFERROR(SUMIF(tblVeriA[SiparisNo],$A328,tblVeriA[AgirlikKg]),0))*$C328*IFERROR(SUMIF(tblVeriA[SiparisNo],$A328,tblVeriA[Adet]),1)*(1+$E328*kdo_iadeEtkiCarpani),0))</f>
        <v/>
      </c>
      <c r="H328" s="13" t="n"/>
      <c r="I328" s="13" t="n"/>
      <c r="J328" s="15">
        <f>IF($A328="","",1)</f>
        <v/>
      </c>
    </row>
    <row r="329">
      <c r="A329" s="13" t="n"/>
      <c r="B329" s="13" t="n"/>
      <c r="C329" s="16" t="n"/>
      <c r="D329" s="16" t="n"/>
      <c r="E329" s="17" t="n"/>
      <c r="F329" s="16" t="n"/>
      <c r="G329" s="15">
        <f>IF($A329="","",IFERROR(MAX(IFERROR(SUMIF(tblVeriA[SiparisNo],$A329,tblVeriA[EnCm])*SUMIF(tblVeriA[SiparisNo],$A329,tblVeriA[BoyCm])*SUMIF(tblVeriA[SiparisNo],$A329,tblVeriA[YukseklikCm])/MAX(SUMIF(tblVeriA[SiparisNo],$A329,tblVeriA[DesiCarpani]),1),0),IFERROR(SUMIF(tblVeriA[SiparisNo],$A329,tblVeriA[AgirlikKg]),0))*$C329*IFERROR(SUMIF(tblVeriA[SiparisNo],$A329,tblVeriA[Adet]),1)*(1+$E329*kdo_iadeEtkiCarpani),0))</f>
        <v/>
      </c>
      <c r="H329" s="13" t="n"/>
      <c r="I329" s="13" t="n"/>
      <c r="J329" s="15">
        <f>IF($A329="","",1)</f>
        <v/>
      </c>
    </row>
    <row r="330">
      <c r="A330" s="13" t="n"/>
      <c r="B330" s="13" t="n"/>
      <c r="C330" s="16" t="n"/>
      <c r="D330" s="16" t="n"/>
      <c r="E330" s="17" t="n"/>
      <c r="F330" s="16" t="n"/>
      <c r="G330" s="15">
        <f>IF($A330="","",IFERROR(MAX(IFERROR(SUMIF(tblVeriA[SiparisNo],$A330,tblVeriA[EnCm])*SUMIF(tblVeriA[SiparisNo],$A330,tblVeriA[BoyCm])*SUMIF(tblVeriA[SiparisNo],$A330,tblVeriA[YukseklikCm])/MAX(SUMIF(tblVeriA[SiparisNo],$A330,tblVeriA[DesiCarpani]),1),0),IFERROR(SUMIF(tblVeriA[SiparisNo],$A330,tblVeriA[AgirlikKg]),0))*$C330*IFERROR(SUMIF(tblVeriA[SiparisNo],$A330,tblVeriA[Adet]),1)*(1+$E330*kdo_iadeEtkiCarpani),0))</f>
        <v/>
      </c>
      <c r="H330" s="13" t="n"/>
      <c r="I330" s="13" t="n"/>
      <c r="J330" s="15">
        <f>IF($A330="","",1)</f>
        <v/>
      </c>
    </row>
    <row r="331">
      <c r="A331" s="13" t="n"/>
      <c r="B331" s="13" t="n"/>
      <c r="C331" s="16" t="n"/>
      <c r="D331" s="16" t="n"/>
      <c r="E331" s="17" t="n"/>
      <c r="F331" s="16" t="n"/>
      <c r="G331" s="15">
        <f>IF($A331="","",IFERROR(MAX(IFERROR(SUMIF(tblVeriA[SiparisNo],$A331,tblVeriA[EnCm])*SUMIF(tblVeriA[SiparisNo],$A331,tblVeriA[BoyCm])*SUMIF(tblVeriA[SiparisNo],$A331,tblVeriA[YukseklikCm])/MAX(SUMIF(tblVeriA[SiparisNo],$A331,tblVeriA[DesiCarpani]),1),0),IFERROR(SUMIF(tblVeriA[SiparisNo],$A331,tblVeriA[AgirlikKg]),0))*$C331*IFERROR(SUMIF(tblVeriA[SiparisNo],$A331,tblVeriA[Adet]),1)*(1+$E331*kdo_iadeEtkiCarpani),0))</f>
        <v/>
      </c>
      <c r="H331" s="13" t="n"/>
      <c r="I331" s="13" t="n"/>
      <c r="J331" s="15">
        <f>IF($A331="","",1)</f>
        <v/>
      </c>
    </row>
    <row r="332">
      <c r="A332" s="13" t="n"/>
      <c r="B332" s="13" t="n"/>
      <c r="C332" s="16" t="n"/>
      <c r="D332" s="16" t="n"/>
      <c r="E332" s="17" t="n"/>
      <c r="F332" s="16" t="n"/>
      <c r="G332" s="15">
        <f>IF($A332="","",IFERROR(MAX(IFERROR(SUMIF(tblVeriA[SiparisNo],$A332,tblVeriA[EnCm])*SUMIF(tblVeriA[SiparisNo],$A332,tblVeriA[BoyCm])*SUMIF(tblVeriA[SiparisNo],$A332,tblVeriA[YukseklikCm])/MAX(SUMIF(tblVeriA[SiparisNo],$A332,tblVeriA[DesiCarpani]),1),0),IFERROR(SUMIF(tblVeriA[SiparisNo],$A332,tblVeriA[AgirlikKg]),0))*$C332*IFERROR(SUMIF(tblVeriA[SiparisNo],$A332,tblVeriA[Adet]),1)*(1+$E332*kdo_iadeEtkiCarpani),0))</f>
        <v/>
      </c>
      <c r="H332" s="13" t="n"/>
      <c r="I332" s="13" t="n"/>
      <c r="J332" s="15">
        <f>IF($A332="","",1)</f>
        <v/>
      </c>
    </row>
    <row r="333">
      <c r="A333" s="13" t="n"/>
      <c r="B333" s="13" t="n"/>
      <c r="C333" s="16" t="n"/>
      <c r="D333" s="16" t="n"/>
      <c r="E333" s="17" t="n"/>
      <c r="F333" s="16" t="n"/>
      <c r="G333" s="15">
        <f>IF($A333="","",IFERROR(MAX(IFERROR(SUMIF(tblVeriA[SiparisNo],$A333,tblVeriA[EnCm])*SUMIF(tblVeriA[SiparisNo],$A333,tblVeriA[BoyCm])*SUMIF(tblVeriA[SiparisNo],$A333,tblVeriA[YukseklikCm])/MAX(SUMIF(tblVeriA[SiparisNo],$A333,tblVeriA[DesiCarpani]),1),0),IFERROR(SUMIF(tblVeriA[SiparisNo],$A333,tblVeriA[AgirlikKg]),0))*$C333*IFERROR(SUMIF(tblVeriA[SiparisNo],$A333,tblVeriA[Adet]),1)*(1+$E333*kdo_iadeEtkiCarpani),0))</f>
        <v/>
      </c>
      <c r="H333" s="13" t="n"/>
      <c r="I333" s="13" t="n"/>
      <c r="J333" s="15">
        <f>IF($A333="","",1)</f>
        <v/>
      </c>
    </row>
    <row r="334">
      <c r="A334" s="13" t="n"/>
      <c r="B334" s="13" t="n"/>
      <c r="C334" s="16" t="n"/>
      <c r="D334" s="16" t="n"/>
      <c r="E334" s="17" t="n"/>
      <c r="F334" s="16" t="n"/>
      <c r="G334" s="15">
        <f>IF($A334="","",IFERROR(MAX(IFERROR(SUMIF(tblVeriA[SiparisNo],$A334,tblVeriA[EnCm])*SUMIF(tblVeriA[SiparisNo],$A334,tblVeriA[BoyCm])*SUMIF(tblVeriA[SiparisNo],$A334,tblVeriA[YukseklikCm])/MAX(SUMIF(tblVeriA[SiparisNo],$A334,tblVeriA[DesiCarpani]),1),0),IFERROR(SUMIF(tblVeriA[SiparisNo],$A334,tblVeriA[AgirlikKg]),0))*$C334*IFERROR(SUMIF(tblVeriA[SiparisNo],$A334,tblVeriA[Adet]),1)*(1+$E334*kdo_iadeEtkiCarpani),0))</f>
        <v/>
      </c>
      <c r="H334" s="13" t="n"/>
      <c r="I334" s="13" t="n"/>
      <c r="J334" s="15">
        <f>IF($A334="","",1)</f>
        <v/>
      </c>
    </row>
    <row r="335">
      <c r="A335" s="13" t="n"/>
      <c r="B335" s="13" t="n"/>
      <c r="C335" s="16" t="n"/>
      <c r="D335" s="16" t="n"/>
      <c r="E335" s="17" t="n"/>
      <c r="F335" s="16" t="n"/>
      <c r="G335" s="15">
        <f>IF($A335="","",IFERROR(MAX(IFERROR(SUMIF(tblVeriA[SiparisNo],$A335,tblVeriA[EnCm])*SUMIF(tblVeriA[SiparisNo],$A335,tblVeriA[BoyCm])*SUMIF(tblVeriA[SiparisNo],$A335,tblVeriA[YukseklikCm])/MAX(SUMIF(tblVeriA[SiparisNo],$A335,tblVeriA[DesiCarpani]),1),0),IFERROR(SUMIF(tblVeriA[SiparisNo],$A335,tblVeriA[AgirlikKg]),0))*$C335*IFERROR(SUMIF(tblVeriA[SiparisNo],$A335,tblVeriA[Adet]),1)*(1+$E335*kdo_iadeEtkiCarpani),0))</f>
        <v/>
      </c>
      <c r="H335" s="13" t="n"/>
      <c r="I335" s="13" t="n"/>
      <c r="J335" s="15">
        <f>IF($A335="","",1)</f>
        <v/>
      </c>
    </row>
    <row r="336">
      <c r="A336" s="13" t="n"/>
      <c r="B336" s="13" t="n"/>
      <c r="C336" s="16" t="n"/>
      <c r="D336" s="16" t="n"/>
      <c r="E336" s="17" t="n"/>
      <c r="F336" s="16" t="n"/>
      <c r="G336" s="15">
        <f>IF($A336="","",IFERROR(MAX(IFERROR(SUMIF(tblVeriA[SiparisNo],$A336,tblVeriA[EnCm])*SUMIF(tblVeriA[SiparisNo],$A336,tblVeriA[BoyCm])*SUMIF(tblVeriA[SiparisNo],$A336,tblVeriA[YukseklikCm])/MAX(SUMIF(tblVeriA[SiparisNo],$A336,tblVeriA[DesiCarpani]),1),0),IFERROR(SUMIF(tblVeriA[SiparisNo],$A336,tblVeriA[AgirlikKg]),0))*$C336*IFERROR(SUMIF(tblVeriA[SiparisNo],$A336,tblVeriA[Adet]),1)*(1+$E336*kdo_iadeEtkiCarpani),0))</f>
        <v/>
      </c>
      <c r="H336" s="13" t="n"/>
      <c r="I336" s="13" t="n"/>
      <c r="J336" s="15">
        <f>IF($A336="","",1)</f>
        <v/>
      </c>
    </row>
    <row r="337">
      <c r="A337" s="13" t="n"/>
      <c r="B337" s="13" t="n"/>
      <c r="C337" s="16" t="n"/>
      <c r="D337" s="16" t="n"/>
      <c r="E337" s="17" t="n"/>
      <c r="F337" s="16" t="n"/>
      <c r="G337" s="15">
        <f>IF($A337="","",IFERROR(MAX(IFERROR(SUMIF(tblVeriA[SiparisNo],$A337,tblVeriA[EnCm])*SUMIF(tblVeriA[SiparisNo],$A337,tblVeriA[BoyCm])*SUMIF(tblVeriA[SiparisNo],$A337,tblVeriA[YukseklikCm])/MAX(SUMIF(tblVeriA[SiparisNo],$A337,tblVeriA[DesiCarpani]),1),0),IFERROR(SUMIF(tblVeriA[SiparisNo],$A337,tblVeriA[AgirlikKg]),0))*$C337*IFERROR(SUMIF(tblVeriA[SiparisNo],$A337,tblVeriA[Adet]),1)*(1+$E337*kdo_iadeEtkiCarpani),0))</f>
        <v/>
      </c>
      <c r="H337" s="13" t="n"/>
      <c r="I337" s="13" t="n"/>
      <c r="J337" s="15">
        <f>IF($A337="","",1)</f>
        <v/>
      </c>
    </row>
    <row r="338">
      <c r="A338" s="13" t="n"/>
      <c r="B338" s="13" t="n"/>
      <c r="C338" s="16" t="n"/>
      <c r="D338" s="16" t="n"/>
      <c r="E338" s="17" t="n"/>
      <c r="F338" s="16" t="n"/>
      <c r="G338" s="15">
        <f>IF($A338="","",IFERROR(MAX(IFERROR(SUMIF(tblVeriA[SiparisNo],$A338,tblVeriA[EnCm])*SUMIF(tblVeriA[SiparisNo],$A338,tblVeriA[BoyCm])*SUMIF(tblVeriA[SiparisNo],$A338,tblVeriA[YukseklikCm])/MAX(SUMIF(tblVeriA[SiparisNo],$A338,tblVeriA[DesiCarpani]),1),0),IFERROR(SUMIF(tblVeriA[SiparisNo],$A338,tblVeriA[AgirlikKg]),0))*$C338*IFERROR(SUMIF(tblVeriA[SiparisNo],$A338,tblVeriA[Adet]),1)*(1+$E338*kdo_iadeEtkiCarpani),0))</f>
        <v/>
      </c>
      <c r="H338" s="13" t="n"/>
      <c r="I338" s="13" t="n"/>
      <c r="J338" s="15">
        <f>IF($A338="","",1)</f>
        <v/>
      </c>
    </row>
    <row r="339">
      <c r="A339" s="13" t="n"/>
      <c r="B339" s="13" t="n"/>
      <c r="C339" s="16" t="n"/>
      <c r="D339" s="16" t="n"/>
      <c r="E339" s="17" t="n"/>
      <c r="F339" s="16" t="n"/>
      <c r="G339" s="15">
        <f>IF($A339="","",IFERROR(MAX(IFERROR(SUMIF(tblVeriA[SiparisNo],$A339,tblVeriA[EnCm])*SUMIF(tblVeriA[SiparisNo],$A339,tblVeriA[BoyCm])*SUMIF(tblVeriA[SiparisNo],$A339,tblVeriA[YukseklikCm])/MAX(SUMIF(tblVeriA[SiparisNo],$A339,tblVeriA[DesiCarpani]),1),0),IFERROR(SUMIF(tblVeriA[SiparisNo],$A339,tblVeriA[AgirlikKg]),0))*$C339*IFERROR(SUMIF(tblVeriA[SiparisNo],$A339,tblVeriA[Adet]),1)*(1+$E339*kdo_iadeEtkiCarpani),0))</f>
        <v/>
      </c>
      <c r="H339" s="13" t="n"/>
      <c r="I339" s="13" t="n"/>
      <c r="J339" s="15">
        <f>IF($A339="","",1)</f>
        <v/>
      </c>
    </row>
    <row r="340">
      <c r="A340" s="13" t="n"/>
      <c r="B340" s="13" t="n"/>
      <c r="C340" s="16" t="n"/>
      <c r="D340" s="16" t="n"/>
      <c r="E340" s="17" t="n"/>
      <c r="F340" s="16" t="n"/>
      <c r="G340" s="15">
        <f>IF($A340="","",IFERROR(MAX(IFERROR(SUMIF(tblVeriA[SiparisNo],$A340,tblVeriA[EnCm])*SUMIF(tblVeriA[SiparisNo],$A340,tblVeriA[BoyCm])*SUMIF(tblVeriA[SiparisNo],$A340,tblVeriA[YukseklikCm])/MAX(SUMIF(tblVeriA[SiparisNo],$A340,tblVeriA[DesiCarpani]),1),0),IFERROR(SUMIF(tblVeriA[SiparisNo],$A340,tblVeriA[AgirlikKg]),0))*$C340*IFERROR(SUMIF(tblVeriA[SiparisNo],$A340,tblVeriA[Adet]),1)*(1+$E340*kdo_iadeEtkiCarpani),0))</f>
        <v/>
      </c>
      <c r="H340" s="13" t="n"/>
      <c r="I340" s="13" t="n"/>
      <c r="J340" s="15">
        <f>IF($A340="","",1)</f>
        <v/>
      </c>
    </row>
    <row r="341">
      <c r="A341" s="13" t="n"/>
      <c r="B341" s="13" t="n"/>
      <c r="C341" s="16" t="n"/>
      <c r="D341" s="16" t="n"/>
      <c r="E341" s="17" t="n"/>
      <c r="F341" s="16" t="n"/>
      <c r="G341" s="15">
        <f>IF($A341="","",IFERROR(MAX(IFERROR(SUMIF(tblVeriA[SiparisNo],$A341,tblVeriA[EnCm])*SUMIF(tblVeriA[SiparisNo],$A341,tblVeriA[BoyCm])*SUMIF(tblVeriA[SiparisNo],$A341,tblVeriA[YukseklikCm])/MAX(SUMIF(tblVeriA[SiparisNo],$A341,tblVeriA[DesiCarpani]),1),0),IFERROR(SUMIF(tblVeriA[SiparisNo],$A341,tblVeriA[AgirlikKg]),0))*$C341*IFERROR(SUMIF(tblVeriA[SiparisNo],$A341,tblVeriA[Adet]),1)*(1+$E341*kdo_iadeEtkiCarpani),0))</f>
        <v/>
      </c>
      <c r="H341" s="13" t="n"/>
      <c r="I341" s="13" t="n"/>
      <c r="J341" s="15">
        <f>IF($A341="","",1)</f>
        <v/>
      </c>
    </row>
    <row r="342">
      <c r="A342" s="13" t="n"/>
      <c r="B342" s="13" t="n"/>
      <c r="C342" s="16" t="n"/>
      <c r="D342" s="16" t="n"/>
      <c r="E342" s="17" t="n"/>
      <c r="F342" s="16" t="n"/>
      <c r="G342" s="15">
        <f>IF($A342="","",IFERROR(MAX(IFERROR(SUMIF(tblVeriA[SiparisNo],$A342,tblVeriA[EnCm])*SUMIF(tblVeriA[SiparisNo],$A342,tblVeriA[BoyCm])*SUMIF(tblVeriA[SiparisNo],$A342,tblVeriA[YukseklikCm])/MAX(SUMIF(tblVeriA[SiparisNo],$A342,tblVeriA[DesiCarpani]),1),0),IFERROR(SUMIF(tblVeriA[SiparisNo],$A342,tblVeriA[AgirlikKg]),0))*$C342*IFERROR(SUMIF(tblVeriA[SiparisNo],$A342,tblVeriA[Adet]),1)*(1+$E342*kdo_iadeEtkiCarpani),0))</f>
        <v/>
      </c>
      <c r="H342" s="13" t="n"/>
      <c r="I342" s="13" t="n"/>
      <c r="J342" s="15">
        <f>IF($A342="","",1)</f>
        <v/>
      </c>
    </row>
    <row r="343">
      <c r="A343" s="13" t="n"/>
      <c r="B343" s="13" t="n"/>
      <c r="C343" s="16" t="n"/>
      <c r="D343" s="16" t="n"/>
      <c r="E343" s="17" t="n"/>
      <c r="F343" s="16" t="n"/>
      <c r="G343" s="15">
        <f>IF($A343="","",IFERROR(MAX(IFERROR(SUMIF(tblVeriA[SiparisNo],$A343,tblVeriA[EnCm])*SUMIF(tblVeriA[SiparisNo],$A343,tblVeriA[BoyCm])*SUMIF(tblVeriA[SiparisNo],$A343,tblVeriA[YukseklikCm])/MAX(SUMIF(tblVeriA[SiparisNo],$A343,tblVeriA[DesiCarpani]),1),0),IFERROR(SUMIF(tblVeriA[SiparisNo],$A343,tblVeriA[AgirlikKg]),0))*$C343*IFERROR(SUMIF(tblVeriA[SiparisNo],$A343,tblVeriA[Adet]),1)*(1+$E343*kdo_iadeEtkiCarpani),0))</f>
        <v/>
      </c>
      <c r="H343" s="13" t="n"/>
      <c r="I343" s="13" t="n"/>
      <c r="J343" s="15">
        <f>IF($A343="","",1)</f>
        <v/>
      </c>
    </row>
    <row r="344">
      <c r="A344" s="13" t="n"/>
      <c r="B344" s="13" t="n"/>
      <c r="C344" s="16" t="n"/>
      <c r="D344" s="16" t="n"/>
      <c r="E344" s="17" t="n"/>
      <c r="F344" s="16" t="n"/>
      <c r="G344" s="15">
        <f>IF($A344="","",IFERROR(MAX(IFERROR(SUMIF(tblVeriA[SiparisNo],$A344,tblVeriA[EnCm])*SUMIF(tblVeriA[SiparisNo],$A344,tblVeriA[BoyCm])*SUMIF(tblVeriA[SiparisNo],$A344,tblVeriA[YukseklikCm])/MAX(SUMIF(tblVeriA[SiparisNo],$A344,tblVeriA[DesiCarpani]),1),0),IFERROR(SUMIF(tblVeriA[SiparisNo],$A344,tblVeriA[AgirlikKg]),0))*$C344*IFERROR(SUMIF(tblVeriA[SiparisNo],$A344,tblVeriA[Adet]),1)*(1+$E344*kdo_iadeEtkiCarpani),0))</f>
        <v/>
      </c>
      <c r="H344" s="13" t="n"/>
      <c r="I344" s="13" t="n"/>
      <c r="J344" s="15">
        <f>IF($A344="","",1)</f>
        <v/>
      </c>
    </row>
    <row r="345">
      <c r="A345" s="13" t="n"/>
      <c r="B345" s="13" t="n"/>
      <c r="C345" s="16" t="n"/>
      <c r="D345" s="16" t="n"/>
      <c r="E345" s="17" t="n"/>
      <c r="F345" s="16" t="n"/>
      <c r="G345" s="15">
        <f>IF($A345="","",IFERROR(MAX(IFERROR(SUMIF(tblVeriA[SiparisNo],$A345,tblVeriA[EnCm])*SUMIF(tblVeriA[SiparisNo],$A345,tblVeriA[BoyCm])*SUMIF(tblVeriA[SiparisNo],$A345,tblVeriA[YukseklikCm])/MAX(SUMIF(tblVeriA[SiparisNo],$A345,tblVeriA[DesiCarpani]),1),0),IFERROR(SUMIF(tblVeriA[SiparisNo],$A345,tblVeriA[AgirlikKg]),0))*$C345*IFERROR(SUMIF(tblVeriA[SiparisNo],$A345,tblVeriA[Adet]),1)*(1+$E345*kdo_iadeEtkiCarpani),0))</f>
        <v/>
      </c>
      <c r="H345" s="13" t="n"/>
      <c r="I345" s="13" t="n"/>
      <c r="J345" s="15">
        <f>IF($A345="","",1)</f>
        <v/>
      </c>
    </row>
    <row r="346">
      <c r="A346" s="13" t="n"/>
      <c r="B346" s="13" t="n"/>
      <c r="C346" s="16" t="n"/>
      <c r="D346" s="16" t="n"/>
      <c r="E346" s="17" t="n"/>
      <c r="F346" s="16" t="n"/>
      <c r="G346" s="15">
        <f>IF($A346="","",IFERROR(MAX(IFERROR(SUMIF(tblVeriA[SiparisNo],$A346,tblVeriA[EnCm])*SUMIF(tblVeriA[SiparisNo],$A346,tblVeriA[BoyCm])*SUMIF(tblVeriA[SiparisNo],$A346,tblVeriA[YukseklikCm])/MAX(SUMIF(tblVeriA[SiparisNo],$A346,tblVeriA[DesiCarpani]),1),0),IFERROR(SUMIF(tblVeriA[SiparisNo],$A346,tblVeriA[AgirlikKg]),0))*$C346*IFERROR(SUMIF(tblVeriA[SiparisNo],$A346,tblVeriA[Adet]),1)*(1+$E346*kdo_iadeEtkiCarpani),0))</f>
        <v/>
      </c>
      <c r="H346" s="13" t="n"/>
      <c r="I346" s="13" t="n"/>
      <c r="J346" s="15">
        <f>IF($A346="","",1)</f>
        <v/>
      </c>
    </row>
    <row r="347">
      <c r="A347" s="13" t="n"/>
      <c r="B347" s="13" t="n"/>
      <c r="C347" s="16" t="n"/>
      <c r="D347" s="16" t="n"/>
      <c r="E347" s="17" t="n"/>
      <c r="F347" s="16" t="n"/>
      <c r="G347" s="15">
        <f>IF($A347="","",IFERROR(MAX(IFERROR(SUMIF(tblVeriA[SiparisNo],$A347,tblVeriA[EnCm])*SUMIF(tblVeriA[SiparisNo],$A347,tblVeriA[BoyCm])*SUMIF(tblVeriA[SiparisNo],$A347,tblVeriA[YukseklikCm])/MAX(SUMIF(tblVeriA[SiparisNo],$A347,tblVeriA[DesiCarpani]),1),0),IFERROR(SUMIF(tblVeriA[SiparisNo],$A347,tblVeriA[AgirlikKg]),0))*$C347*IFERROR(SUMIF(tblVeriA[SiparisNo],$A347,tblVeriA[Adet]),1)*(1+$E347*kdo_iadeEtkiCarpani),0))</f>
        <v/>
      </c>
      <c r="H347" s="13" t="n"/>
      <c r="I347" s="13" t="n"/>
      <c r="J347" s="15">
        <f>IF($A347="","",1)</f>
        <v/>
      </c>
    </row>
    <row r="348">
      <c r="A348" s="13" t="n"/>
      <c r="B348" s="13" t="n"/>
      <c r="C348" s="16" t="n"/>
      <c r="D348" s="16" t="n"/>
      <c r="E348" s="17" t="n"/>
      <c r="F348" s="16" t="n"/>
      <c r="G348" s="15">
        <f>IF($A348="","",IFERROR(MAX(IFERROR(SUMIF(tblVeriA[SiparisNo],$A348,tblVeriA[EnCm])*SUMIF(tblVeriA[SiparisNo],$A348,tblVeriA[BoyCm])*SUMIF(tblVeriA[SiparisNo],$A348,tblVeriA[YukseklikCm])/MAX(SUMIF(tblVeriA[SiparisNo],$A348,tblVeriA[DesiCarpani]),1),0),IFERROR(SUMIF(tblVeriA[SiparisNo],$A348,tblVeriA[AgirlikKg]),0))*$C348*IFERROR(SUMIF(tblVeriA[SiparisNo],$A348,tblVeriA[Adet]),1)*(1+$E348*kdo_iadeEtkiCarpani),0))</f>
        <v/>
      </c>
      <c r="H348" s="13" t="n"/>
      <c r="I348" s="13" t="n"/>
      <c r="J348" s="15">
        <f>IF($A348="","",1)</f>
        <v/>
      </c>
    </row>
    <row r="349">
      <c r="A349" s="13" t="n"/>
      <c r="B349" s="13" t="n"/>
      <c r="C349" s="16" t="n"/>
      <c r="D349" s="16" t="n"/>
      <c r="E349" s="17" t="n"/>
      <c r="F349" s="16" t="n"/>
      <c r="G349" s="15">
        <f>IF($A349="","",IFERROR(MAX(IFERROR(SUMIF(tblVeriA[SiparisNo],$A349,tblVeriA[EnCm])*SUMIF(tblVeriA[SiparisNo],$A349,tblVeriA[BoyCm])*SUMIF(tblVeriA[SiparisNo],$A349,tblVeriA[YukseklikCm])/MAX(SUMIF(tblVeriA[SiparisNo],$A349,tblVeriA[DesiCarpani]),1),0),IFERROR(SUMIF(tblVeriA[SiparisNo],$A349,tblVeriA[AgirlikKg]),0))*$C349*IFERROR(SUMIF(tblVeriA[SiparisNo],$A349,tblVeriA[Adet]),1)*(1+$E349*kdo_iadeEtkiCarpani),0))</f>
        <v/>
      </c>
      <c r="H349" s="13" t="n"/>
      <c r="I349" s="13" t="n"/>
      <c r="J349" s="15">
        <f>IF($A349="","",1)</f>
        <v/>
      </c>
    </row>
    <row r="350">
      <c r="A350" s="13" t="n"/>
      <c r="B350" s="13" t="n"/>
      <c r="C350" s="16" t="n"/>
      <c r="D350" s="16" t="n"/>
      <c r="E350" s="17" t="n"/>
      <c r="F350" s="16" t="n"/>
      <c r="G350" s="15">
        <f>IF($A350="","",IFERROR(MAX(IFERROR(SUMIF(tblVeriA[SiparisNo],$A350,tblVeriA[EnCm])*SUMIF(tblVeriA[SiparisNo],$A350,tblVeriA[BoyCm])*SUMIF(tblVeriA[SiparisNo],$A350,tblVeriA[YukseklikCm])/MAX(SUMIF(tblVeriA[SiparisNo],$A350,tblVeriA[DesiCarpani]),1),0),IFERROR(SUMIF(tblVeriA[SiparisNo],$A350,tblVeriA[AgirlikKg]),0))*$C350*IFERROR(SUMIF(tblVeriA[SiparisNo],$A350,tblVeriA[Adet]),1)*(1+$E350*kdo_iadeEtkiCarpani),0))</f>
        <v/>
      </c>
      <c r="H350" s="13" t="n"/>
      <c r="I350" s="13" t="n"/>
      <c r="J350" s="15">
        <f>IF($A350="","",1)</f>
        <v/>
      </c>
    </row>
    <row r="351">
      <c r="A351" s="13" t="n"/>
      <c r="B351" s="13" t="n"/>
      <c r="C351" s="16" t="n"/>
      <c r="D351" s="16" t="n"/>
      <c r="E351" s="17" t="n"/>
      <c r="F351" s="16" t="n"/>
      <c r="G351" s="15">
        <f>IF($A351="","",IFERROR(MAX(IFERROR(SUMIF(tblVeriA[SiparisNo],$A351,tblVeriA[EnCm])*SUMIF(tblVeriA[SiparisNo],$A351,tblVeriA[BoyCm])*SUMIF(tblVeriA[SiparisNo],$A351,tblVeriA[YukseklikCm])/MAX(SUMIF(tblVeriA[SiparisNo],$A351,tblVeriA[DesiCarpani]),1),0),IFERROR(SUMIF(tblVeriA[SiparisNo],$A351,tblVeriA[AgirlikKg]),0))*$C351*IFERROR(SUMIF(tblVeriA[SiparisNo],$A351,tblVeriA[Adet]),1)*(1+$E351*kdo_iadeEtkiCarpani),0))</f>
        <v/>
      </c>
      <c r="H351" s="13" t="n"/>
      <c r="I351" s="13" t="n"/>
      <c r="J351" s="15">
        <f>IF($A351="","",1)</f>
        <v/>
      </c>
    </row>
    <row r="352">
      <c r="A352" s="13" t="n"/>
      <c r="B352" s="13" t="n"/>
      <c r="C352" s="16" t="n"/>
      <c r="D352" s="16" t="n"/>
      <c r="E352" s="17" t="n"/>
      <c r="F352" s="16" t="n"/>
      <c r="G352" s="15">
        <f>IF($A352="","",IFERROR(MAX(IFERROR(SUMIF(tblVeriA[SiparisNo],$A352,tblVeriA[EnCm])*SUMIF(tblVeriA[SiparisNo],$A352,tblVeriA[BoyCm])*SUMIF(tblVeriA[SiparisNo],$A352,tblVeriA[YukseklikCm])/MAX(SUMIF(tblVeriA[SiparisNo],$A352,tblVeriA[DesiCarpani]),1),0),IFERROR(SUMIF(tblVeriA[SiparisNo],$A352,tblVeriA[AgirlikKg]),0))*$C352*IFERROR(SUMIF(tblVeriA[SiparisNo],$A352,tblVeriA[Adet]),1)*(1+$E352*kdo_iadeEtkiCarpani),0))</f>
        <v/>
      </c>
      <c r="H352" s="13" t="n"/>
      <c r="I352" s="13" t="n"/>
      <c r="J352" s="15">
        <f>IF($A352="","",1)</f>
        <v/>
      </c>
    </row>
    <row r="353">
      <c r="A353" s="13" t="n"/>
      <c r="B353" s="13" t="n"/>
      <c r="C353" s="16" t="n"/>
      <c r="D353" s="16" t="n"/>
      <c r="E353" s="17" t="n"/>
      <c r="F353" s="16" t="n"/>
      <c r="G353" s="15">
        <f>IF($A353="","",IFERROR(MAX(IFERROR(SUMIF(tblVeriA[SiparisNo],$A353,tblVeriA[EnCm])*SUMIF(tblVeriA[SiparisNo],$A353,tblVeriA[BoyCm])*SUMIF(tblVeriA[SiparisNo],$A353,tblVeriA[YukseklikCm])/MAX(SUMIF(tblVeriA[SiparisNo],$A353,tblVeriA[DesiCarpani]),1),0),IFERROR(SUMIF(tblVeriA[SiparisNo],$A353,tblVeriA[AgirlikKg]),0))*$C353*IFERROR(SUMIF(tblVeriA[SiparisNo],$A353,tblVeriA[Adet]),1)*(1+$E353*kdo_iadeEtkiCarpani),0))</f>
        <v/>
      </c>
      <c r="H353" s="13" t="n"/>
      <c r="I353" s="13" t="n"/>
      <c r="J353" s="15">
        <f>IF($A353="","",1)</f>
        <v/>
      </c>
    </row>
    <row r="354">
      <c r="A354" s="13" t="n"/>
      <c r="B354" s="13" t="n"/>
      <c r="C354" s="16" t="n"/>
      <c r="D354" s="16" t="n"/>
      <c r="E354" s="17" t="n"/>
      <c r="F354" s="16" t="n"/>
      <c r="G354" s="15">
        <f>IF($A354="","",IFERROR(MAX(IFERROR(SUMIF(tblVeriA[SiparisNo],$A354,tblVeriA[EnCm])*SUMIF(tblVeriA[SiparisNo],$A354,tblVeriA[BoyCm])*SUMIF(tblVeriA[SiparisNo],$A354,tblVeriA[YukseklikCm])/MAX(SUMIF(tblVeriA[SiparisNo],$A354,tblVeriA[DesiCarpani]),1),0),IFERROR(SUMIF(tblVeriA[SiparisNo],$A354,tblVeriA[AgirlikKg]),0))*$C354*IFERROR(SUMIF(tblVeriA[SiparisNo],$A354,tblVeriA[Adet]),1)*(1+$E354*kdo_iadeEtkiCarpani),0))</f>
        <v/>
      </c>
      <c r="H354" s="13" t="n"/>
      <c r="I354" s="13" t="n"/>
      <c r="J354" s="15">
        <f>IF($A354="","",1)</f>
        <v/>
      </c>
    </row>
    <row r="355">
      <c r="A355" s="13" t="n"/>
      <c r="B355" s="13" t="n"/>
      <c r="C355" s="16" t="n"/>
      <c r="D355" s="16" t="n"/>
      <c r="E355" s="17" t="n"/>
      <c r="F355" s="16" t="n"/>
      <c r="G355" s="15">
        <f>IF($A355="","",IFERROR(MAX(IFERROR(SUMIF(tblVeriA[SiparisNo],$A355,tblVeriA[EnCm])*SUMIF(tblVeriA[SiparisNo],$A355,tblVeriA[BoyCm])*SUMIF(tblVeriA[SiparisNo],$A355,tblVeriA[YukseklikCm])/MAX(SUMIF(tblVeriA[SiparisNo],$A355,tblVeriA[DesiCarpani]),1),0),IFERROR(SUMIF(tblVeriA[SiparisNo],$A355,tblVeriA[AgirlikKg]),0))*$C355*IFERROR(SUMIF(tblVeriA[SiparisNo],$A355,tblVeriA[Adet]),1)*(1+$E355*kdo_iadeEtkiCarpani),0))</f>
        <v/>
      </c>
      <c r="H355" s="13" t="n"/>
      <c r="I355" s="13" t="n"/>
      <c r="J355" s="15">
        <f>IF($A355="","",1)</f>
        <v/>
      </c>
    </row>
    <row r="356">
      <c r="A356" s="13" t="n"/>
      <c r="B356" s="13" t="n"/>
      <c r="C356" s="16" t="n"/>
      <c r="D356" s="16" t="n"/>
      <c r="E356" s="17" t="n"/>
      <c r="F356" s="16" t="n"/>
      <c r="G356" s="15">
        <f>IF($A356="","",IFERROR(MAX(IFERROR(SUMIF(tblVeriA[SiparisNo],$A356,tblVeriA[EnCm])*SUMIF(tblVeriA[SiparisNo],$A356,tblVeriA[BoyCm])*SUMIF(tblVeriA[SiparisNo],$A356,tblVeriA[YukseklikCm])/MAX(SUMIF(tblVeriA[SiparisNo],$A356,tblVeriA[DesiCarpani]),1),0),IFERROR(SUMIF(tblVeriA[SiparisNo],$A356,tblVeriA[AgirlikKg]),0))*$C356*IFERROR(SUMIF(tblVeriA[SiparisNo],$A356,tblVeriA[Adet]),1)*(1+$E356*kdo_iadeEtkiCarpani),0))</f>
        <v/>
      </c>
      <c r="H356" s="13" t="n"/>
      <c r="I356" s="13" t="n"/>
      <c r="J356" s="15">
        <f>IF($A356="","",1)</f>
        <v/>
      </c>
    </row>
    <row r="357">
      <c r="A357" s="13" t="n"/>
      <c r="B357" s="13" t="n"/>
      <c r="C357" s="16" t="n"/>
      <c r="D357" s="16" t="n"/>
      <c r="E357" s="17" t="n"/>
      <c r="F357" s="16" t="n"/>
      <c r="G357" s="15">
        <f>IF($A357="","",IFERROR(MAX(IFERROR(SUMIF(tblVeriA[SiparisNo],$A357,tblVeriA[EnCm])*SUMIF(tblVeriA[SiparisNo],$A357,tblVeriA[BoyCm])*SUMIF(tblVeriA[SiparisNo],$A357,tblVeriA[YukseklikCm])/MAX(SUMIF(tblVeriA[SiparisNo],$A357,tblVeriA[DesiCarpani]),1),0),IFERROR(SUMIF(tblVeriA[SiparisNo],$A357,tblVeriA[AgirlikKg]),0))*$C357*IFERROR(SUMIF(tblVeriA[SiparisNo],$A357,tblVeriA[Adet]),1)*(1+$E357*kdo_iadeEtkiCarpani),0))</f>
        <v/>
      </c>
      <c r="H357" s="13" t="n"/>
      <c r="I357" s="13" t="n"/>
      <c r="J357" s="15">
        <f>IF($A357="","",1)</f>
        <v/>
      </c>
    </row>
    <row r="358">
      <c r="A358" s="13" t="n"/>
      <c r="B358" s="13" t="n"/>
      <c r="C358" s="16" t="n"/>
      <c r="D358" s="16" t="n"/>
      <c r="E358" s="17" t="n"/>
      <c r="F358" s="16" t="n"/>
      <c r="G358" s="15">
        <f>IF($A358="","",IFERROR(MAX(IFERROR(SUMIF(tblVeriA[SiparisNo],$A358,tblVeriA[EnCm])*SUMIF(tblVeriA[SiparisNo],$A358,tblVeriA[BoyCm])*SUMIF(tblVeriA[SiparisNo],$A358,tblVeriA[YukseklikCm])/MAX(SUMIF(tblVeriA[SiparisNo],$A358,tblVeriA[DesiCarpani]),1),0),IFERROR(SUMIF(tblVeriA[SiparisNo],$A358,tblVeriA[AgirlikKg]),0))*$C358*IFERROR(SUMIF(tblVeriA[SiparisNo],$A358,tblVeriA[Adet]),1)*(1+$E358*kdo_iadeEtkiCarpani),0))</f>
        <v/>
      </c>
      <c r="H358" s="13" t="n"/>
      <c r="I358" s="13" t="n"/>
      <c r="J358" s="15">
        <f>IF($A358="","",1)</f>
        <v/>
      </c>
    </row>
    <row r="359">
      <c r="A359" s="13" t="n"/>
      <c r="B359" s="13" t="n"/>
      <c r="C359" s="16" t="n"/>
      <c r="D359" s="16" t="n"/>
      <c r="E359" s="17" t="n"/>
      <c r="F359" s="16" t="n"/>
      <c r="G359" s="15">
        <f>IF($A359="","",IFERROR(MAX(IFERROR(SUMIF(tblVeriA[SiparisNo],$A359,tblVeriA[EnCm])*SUMIF(tblVeriA[SiparisNo],$A359,tblVeriA[BoyCm])*SUMIF(tblVeriA[SiparisNo],$A359,tblVeriA[YukseklikCm])/MAX(SUMIF(tblVeriA[SiparisNo],$A359,tblVeriA[DesiCarpani]),1),0),IFERROR(SUMIF(tblVeriA[SiparisNo],$A359,tblVeriA[AgirlikKg]),0))*$C359*IFERROR(SUMIF(tblVeriA[SiparisNo],$A359,tblVeriA[Adet]),1)*(1+$E359*kdo_iadeEtkiCarpani),0))</f>
        <v/>
      </c>
      <c r="H359" s="13" t="n"/>
      <c r="I359" s="13" t="n"/>
      <c r="J359" s="15">
        <f>IF($A359="","",1)</f>
        <v/>
      </c>
    </row>
    <row r="360">
      <c r="A360" s="13" t="n"/>
      <c r="B360" s="13" t="n"/>
      <c r="C360" s="16" t="n"/>
      <c r="D360" s="16" t="n"/>
      <c r="E360" s="17" t="n"/>
      <c r="F360" s="16" t="n"/>
      <c r="G360" s="15">
        <f>IF($A360="","",IFERROR(MAX(IFERROR(SUMIF(tblVeriA[SiparisNo],$A360,tblVeriA[EnCm])*SUMIF(tblVeriA[SiparisNo],$A360,tblVeriA[BoyCm])*SUMIF(tblVeriA[SiparisNo],$A360,tblVeriA[YukseklikCm])/MAX(SUMIF(tblVeriA[SiparisNo],$A360,tblVeriA[DesiCarpani]),1),0),IFERROR(SUMIF(tblVeriA[SiparisNo],$A360,tblVeriA[AgirlikKg]),0))*$C360*IFERROR(SUMIF(tblVeriA[SiparisNo],$A360,tblVeriA[Adet]),1)*(1+$E360*kdo_iadeEtkiCarpani),0))</f>
        <v/>
      </c>
      <c r="H360" s="13" t="n"/>
      <c r="I360" s="13" t="n"/>
      <c r="J360" s="15">
        <f>IF($A360="","",1)</f>
        <v/>
      </c>
    </row>
    <row r="361">
      <c r="A361" s="13" t="n"/>
      <c r="B361" s="13" t="n"/>
      <c r="C361" s="16" t="n"/>
      <c r="D361" s="16" t="n"/>
      <c r="E361" s="17" t="n"/>
      <c r="F361" s="16" t="n"/>
      <c r="G361" s="15">
        <f>IF($A361="","",IFERROR(MAX(IFERROR(SUMIF(tblVeriA[SiparisNo],$A361,tblVeriA[EnCm])*SUMIF(tblVeriA[SiparisNo],$A361,tblVeriA[BoyCm])*SUMIF(tblVeriA[SiparisNo],$A361,tblVeriA[YukseklikCm])/MAX(SUMIF(tblVeriA[SiparisNo],$A361,tblVeriA[DesiCarpani]),1),0),IFERROR(SUMIF(tblVeriA[SiparisNo],$A361,tblVeriA[AgirlikKg]),0))*$C361*IFERROR(SUMIF(tblVeriA[SiparisNo],$A361,tblVeriA[Adet]),1)*(1+$E361*kdo_iadeEtkiCarpani),0))</f>
        <v/>
      </c>
      <c r="H361" s="13" t="n"/>
      <c r="I361" s="13" t="n"/>
      <c r="J361" s="15">
        <f>IF($A361="","",1)</f>
        <v/>
      </c>
    </row>
    <row r="362">
      <c r="A362" s="13" t="n"/>
      <c r="B362" s="13" t="n"/>
      <c r="C362" s="16" t="n"/>
      <c r="D362" s="16" t="n"/>
      <c r="E362" s="17" t="n"/>
      <c r="F362" s="16" t="n"/>
      <c r="G362" s="15">
        <f>IF($A362="","",IFERROR(MAX(IFERROR(SUMIF(tblVeriA[SiparisNo],$A362,tblVeriA[EnCm])*SUMIF(tblVeriA[SiparisNo],$A362,tblVeriA[BoyCm])*SUMIF(tblVeriA[SiparisNo],$A362,tblVeriA[YukseklikCm])/MAX(SUMIF(tblVeriA[SiparisNo],$A362,tblVeriA[DesiCarpani]),1),0),IFERROR(SUMIF(tblVeriA[SiparisNo],$A362,tblVeriA[AgirlikKg]),0))*$C362*IFERROR(SUMIF(tblVeriA[SiparisNo],$A362,tblVeriA[Adet]),1)*(1+$E362*kdo_iadeEtkiCarpani),0))</f>
        <v/>
      </c>
      <c r="H362" s="13" t="n"/>
      <c r="I362" s="13" t="n"/>
      <c r="J362" s="15">
        <f>IF($A362="","",1)</f>
        <v/>
      </c>
    </row>
    <row r="363">
      <c r="A363" s="13" t="n"/>
      <c r="B363" s="13" t="n"/>
      <c r="C363" s="16" t="n"/>
      <c r="D363" s="16" t="n"/>
      <c r="E363" s="17" t="n"/>
      <c r="F363" s="16" t="n"/>
      <c r="G363" s="15">
        <f>IF($A363="","",IFERROR(MAX(IFERROR(SUMIF(tblVeriA[SiparisNo],$A363,tblVeriA[EnCm])*SUMIF(tblVeriA[SiparisNo],$A363,tblVeriA[BoyCm])*SUMIF(tblVeriA[SiparisNo],$A363,tblVeriA[YukseklikCm])/MAX(SUMIF(tblVeriA[SiparisNo],$A363,tblVeriA[DesiCarpani]),1),0),IFERROR(SUMIF(tblVeriA[SiparisNo],$A363,tblVeriA[AgirlikKg]),0))*$C363*IFERROR(SUMIF(tblVeriA[SiparisNo],$A363,tblVeriA[Adet]),1)*(1+$E363*kdo_iadeEtkiCarpani),0))</f>
        <v/>
      </c>
      <c r="H363" s="13" t="n"/>
      <c r="I363" s="13" t="n"/>
      <c r="J363" s="15">
        <f>IF($A363="","",1)</f>
        <v/>
      </c>
    </row>
    <row r="364">
      <c r="A364" s="13" t="n"/>
      <c r="B364" s="13" t="n"/>
      <c r="C364" s="16" t="n"/>
      <c r="D364" s="16" t="n"/>
      <c r="E364" s="17" t="n"/>
      <c r="F364" s="16" t="n"/>
      <c r="G364" s="15">
        <f>IF($A364="","",IFERROR(MAX(IFERROR(SUMIF(tblVeriA[SiparisNo],$A364,tblVeriA[EnCm])*SUMIF(tblVeriA[SiparisNo],$A364,tblVeriA[BoyCm])*SUMIF(tblVeriA[SiparisNo],$A364,tblVeriA[YukseklikCm])/MAX(SUMIF(tblVeriA[SiparisNo],$A364,tblVeriA[DesiCarpani]),1),0),IFERROR(SUMIF(tblVeriA[SiparisNo],$A364,tblVeriA[AgirlikKg]),0))*$C364*IFERROR(SUMIF(tblVeriA[SiparisNo],$A364,tblVeriA[Adet]),1)*(1+$E364*kdo_iadeEtkiCarpani),0))</f>
        <v/>
      </c>
      <c r="H364" s="13" t="n"/>
      <c r="I364" s="13" t="n"/>
      <c r="J364" s="15">
        <f>IF($A364="","",1)</f>
        <v/>
      </c>
    </row>
    <row r="365">
      <c r="A365" s="13" t="n"/>
      <c r="B365" s="13" t="n"/>
      <c r="C365" s="16" t="n"/>
      <c r="D365" s="16" t="n"/>
      <c r="E365" s="17" t="n"/>
      <c r="F365" s="16" t="n"/>
      <c r="G365" s="15">
        <f>IF($A365="","",IFERROR(MAX(IFERROR(SUMIF(tblVeriA[SiparisNo],$A365,tblVeriA[EnCm])*SUMIF(tblVeriA[SiparisNo],$A365,tblVeriA[BoyCm])*SUMIF(tblVeriA[SiparisNo],$A365,tblVeriA[YukseklikCm])/MAX(SUMIF(tblVeriA[SiparisNo],$A365,tblVeriA[DesiCarpani]),1),0),IFERROR(SUMIF(tblVeriA[SiparisNo],$A365,tblVeriA[AgirlikKg]),0))*$C365*IFERROR(SUMIF(tblVeriA[SiparisNo],$A365,tblVeriA[Adet]),1)*(1+$E365*kdo_iadeEtkiCarpani),0))</f>
        <v/>
      </c>
      <c r="H365" s="13" t="n"/>
      <c r="I365" s="13" t="n"/>
      <c r="J365" s="15">
        <f>IF($A365="","",1)</f>
        <v/>
      </c>
    </row>
    <row r="366">
      <c r="A366" s="13" t="n"/>
      <c r="B366" s="13" t="n"/>
      <c r="C366" s="16" t="n"/>
      <c r="D366" s="16" t="n"/>
      <c r="E366" s="17" t="n"/>
      <c r="F366" s="16" t="n"/>
      <c r="G366" s="15">
        <f>IF($A366="","",IFERROR(MAX(IFERROR(SUMIF(tblVeriA[SiparisNo],$A366,tblVeriA[EnCm])*SUMIF(tblVeriA[SiparisNo],$A366,tblVeriA[BoyCm])*SUMIF(tblVeriA[SiparisNo],$A366,tblVeriA[YukseklikCm])/MAX(SUMIF(tblVeriA[SiparisNo],$A366,tblVeriA[DesiCarpani]),1),0),IFERROR(SUMIF(tblVeriA[SiparisNo],$A366,tblVeriA[AgirlikKg]),0))*$C366*IFERROR(SUMIF(tblVeriA[SiparisNo],$A366,tblVeriA[Adet]),1)*(1+$E366*kdo_iadeEtkiCarpani),0))</f>
        <v/>
      </c>
      <c r="H366" s="13" t="n"/>
      <c r="I366" s="13" t="n"/>
      <c r="J366" s="15">
        <f>IF($A366="","",1)</f>
        <v/>
      </c>
    </row>
    <row r="367">
      <c r="A367" s="13" t="n"/>
      <c r="B367" s="13" t="n"/>
      <c r="C367" s="16" t="n"/>
      <c r="D367" s="16" t="n"/>
      <c r="E367" s="17" t="n"/>
      <c r="F367" s="16" t="n"/>
      <c r="G367" s="15">
        <f>IF($A367="","",IFERROR(MAX(IFERROR(SUMIF(tblVeriA[SiparisNo],$A367,tblVeriA[EnCm])*SUMIF(tblVeriA[SiparisNo],$A367,tblVeriA[BoyCm])*SUMIF(tblVeriA[SiparisNo],$A367,tblVeriA[YukseklikCm])/MAX(SUMIF(tblVeriA[SiparisNo],$A367,tblVeriA[DesiCarpani]),1),0),IFERROR(SUMIF(tblVeriA[SiparisNo],$A367,tblVeriA[AgirlikKg]),0))*$C367*IFERROR(SUMIF(tblVeriA[SiparisNo],$A367,tblVeriA[Adet]),1)*(1+$E367*kdo_iadeEtkiCarpani),0))</f>
        <v/>
      </c>
      <c r="H367" s="13" t="n"/>
      <c r="I367" s="13" t="n"/>
      <c r="J367" s="15">
        <f>IF($A367="","",1)</f>
        <v/>
      </c>
    </row>
    <row r="368">
      <c r="A368" s="13" t="n"/>
      <c r="B368" s="13" t="n"/>
      <c r="C368" s="16" t="n"/>
      <c r="D368" s="16" t="n"/>
      <c r="E368" s="17" t="n"/>
      <c r="F368" s="16" t="n"/>
      <c r="G368" s="15">
        <f>IF($A368="","",IFERROR(MAX(IFERROR(SUMIF(tblVeriA[SiparisNo],$A368,tblVeriA[EnCm])*SUMIF(tblVeriA[SiparisNo],$A368,tblVeriA[BoyCm])*SUMIF(tblVeriA[SiparisNo],$A368,tblVeriA[YukseklikCm])/MAX(SUMIF(tblVeriA[SiparisNo],$A368,tblVeriA[DesiCarpani]),1),0),IFERROR(SUMIF(tblVeriA[SiparisNo],$A368,tblVeriA[AgirlikKg]),0))*$C368*IFERROR(SUMIF(tblVeriA[SiparisNo],$A368,tblVeriA[Adet]),1)*(1+$E368*kdo_iadeEtkiCarpani),0))</f>
        <v/>
      </c>
      <c r="H368" s="13" t="n"/>
      <c r="I368" s="13" t="n"/>
      <c r="J368" s="15">
        <f>IF($A368="","",1)</f>
        <v/>
      </c>
    </row>
    <row r="369">
      <c r="A369" s="13" t="n"/>
      <c r="B369" s="13" t="n"/>
      <c r="C369" s="16" t="n"/>
      <c r="D369" s="16" t="n"/>
      <c r="E369" s="17" t="n"/>
      <c r="F369" s="16" t="n"/>
      <c r="G369" s="15">
        <f>IF($A369="","",IFERROR(MAX(IFERROR(SUMIF(tblVeriA[SiparisNo],$A369,tblVeriA[EnCm])*SUMIF(tblVeriA[SiparisNo],$A369,tblVeriA[BoyCm])*SUMIF(tblVeriA[SiparisNo],$A369,tblVeriA[YukseklikCm])/MAX(SUMIF(tblVeriA[SiparisNo],$A369,tblVeriA[DesiCarpani]),1),0),IFERROR(SUMIF(tblVeriA[SiparisNo],$A369,tblVeriA[AgirlikKg]),0))*$C369*IFERROR(SUMIF(tblVeriA[SiparisNo],$A369,tblVeriA[Adet]),1)*(1+$E369*kdo_iadeEtkiCarpani),0))</f>
        <v/>
      </c>
      <c r="H369" s="13" t="n"/>
      <c r="I369" s="13" t="n"/>
      <c r="J369" s="15">
        <f>IF($A369="","",1)</f>
        <v/>
      </c>
    </row>
    <row r="370">
      <c r="A370" s="13" t="n"/>
      <c r="B370" s="13" t="n"/>
      <c r="C370" s="16" t="n"/>
      <c r="D370" s="16" t="n"/>
      <c r="E370" s="17" t="n"/>
      <c r="F370" s="16" t="n"/>
      <c r="G370" s="15">
        <f>IF($A370="","",IFERROR(MAX(IFERROR(SUMIF(tblVeriA[SiparisNo],$A370,tblVeriA[EnCm])*SUMIF(tblVeriA[SiparisNo],$A370,tblVeriA[BoyCm])*SUMIF(tblVeriA[SiparisNo],$A370,tblVeriA[YukseklikCm])/MAX(SUMIF(tblVeriA[SiparisNo],$A370,tblVeriA[DesiCarpani]),1),0),IFERROR(SUMIF(tblVeriA[SiparisNo],$A370,tblVeriA[AgirlikKg]),0))*$C370*IFERROR(SUMIF(tblVeriA[SiparisNo],$A370,tblVeriA[Adet]),1)*(1+$E370*kdo_iadeEtkiCarpani),0))</f>
        <v/>
      </c>
      <c r="H370" s="13" t="n"/>
      <c r="I370" s="13" t="n"/>
      <c r="J370" s="15">
        <f>IF($A370="","",1)</f>
        <v/>
      </c>
    </row>
    <row r="371">
      <c r="A371" s="13" t="n"/>
      <c r="B371" s="13" t="n"/>
      <c r="C371" s="16" t="n"/>
      <c r="D371" s="16" t="n"/>
      <c r="E371" s="17" t="n"/>
      <c r="F371" s="16" t="n"/>
      <c r="G371" s="15">
        <f>IF($A371="","",IFERROR(MAX(IFERROR(SUMIF(tblVeriA[SiparisNo],$A371,tblVeriA[EnCm])*SUMIF(tblVeriA[SiparisNo],$A371,tblVeriA[BoyCm])*SUMIF(tblVeriA[SiparisNo],$A371,tblVeriA[YukseklikCm])/MAX(SUMIF(tblVeriA[SiparisNo],$A371,tblVeriA[DesiCarpani]),1),0),IFERROR(SUMIF(tblVeriA[SiparisNo],$A371,tblVeriA[AgirlikKg]),0))*$C371*IFERROR(SUMIF(tblVeriA[SiparisNo],$A371,tblVeriA[Adet]),1)*(1+$E371*kdo_iadeEtkiCarpani),0))</f>
        <v/>
      </c>
      <c r="H371" s="13" t="n"/>
      <c r="I371" s="13" t="n"/>
      <c r="J371" s="15">
        <f>IF($A371="","",1)</f>
        <v/>
      </c>
    </row>
    <row r="372">
      <c r="A372" s="13" t="n"/>
      <c r="B372" s="13" t="n"/>
      <c r="C372" s="16" t="n"/>
      <c r="D372" s="16" t="n"/>
      <c r="E372" s="17" t="n"/>
      <c r="F372" s="16" t="n"/>
      <c r="G372" s="15">
        <f>IF($A372="","",IFERROR(MAX(IFERROR(SUMIF(tblVeriA[SiparisNo],$A372,tblVeriA[EnCm])*SUMIF(tblVeriA[SiparisNo],$A372,tblVeriA[BoyCm])*SUMIF(tblVeriA[SiparisNo],$A372,tblVeriA[YukseklikCm])/MAX(SUMIF(tblVeriA[SiparisNo],$A372,tblVeriA[DesiCarpani]),1),0),IFERROR(SUMIF(tblVeriA[SiparisNo],$A372,tblVeriA[AgirlikKg]),0))*$C372*IFERROR(SUMIF(tblVeriA[SiparisNo],$A372,tblVeriA[Adet]),1)*(1+$E372*kdo_iadeEtkiCarpani),0))</f>
        <v/>
      </c>
      <c r="H372" s="13" t="n"/>
      <c r="I372" s="13" t="n"/>
      <c r="J372" s="15">
        <f>IF($A372="","",1)</f>
        <v/>
      </c>
    </row>
    <row r="373">
      <c r="A373" s="13" t="n"/>
      <c r="B373" s="13" t="n"/>
      <c r="C373" s="16" t="n"/>
      <c r="D373" s="16" t="n"/>
      <c r="E373" s="17" t="n"/>
      <c r="F373" s="16" t="n"/>
      <c r="G373" s="15">
        <f>IF($A373="","",IFERROR(MAX(IFERROR(SUMIF(tblVeriA[SiparisNo],$A373,tblVeriA[EnCm])*SUMIF(tblVeriA[SiparisNo],$A373,tblVeriA[BoyCm])*SUMIF(tblVeriA[SiparisNo],$A373,tblVeriA[YukseklikCm])/MAX(SUMIF(tblVeriA[SiparisNo],$A373,tblVeriA[DesiCarpani]),1),0),IFERROR(SUMIF(tblVeriA[SiparisNo],$A373,tblVeriA[AgirlikKg]),0))*$C373*IFERROR(SUMIF(tblVeriA[SiparisNo],$A373,tblVeriA[Adet]),1)*(1+$E373*kdo_iadeEtkiCarpani),0))</f>
        <v/>
      </c>
      <c r="H373" s="13" t="n"/>
      <c r="I373" s="13" t="n"/>
      <c r="J373" s="15">
        <f>IF($A373="","",1)</f>
        <v/>
      </c>
    </row>
    <row r="374">
      <c r="A374" s="13" t="n"/>
      <c r="B374" s="13" t="n"/>
      <c r="C374" s="16" t="n"/>
      <c r="D374" s="16" t="n"/>
      <c r="E374" s="17" t="n"/>
      <c r="F374" s="16" t="n"/>
      <c r="G374" s="15">
        <f>IF($A374="","",IFERROR(MAX(IFERROR(SUMIF(tblVeriA[SiparisNo],$A374,tblVeriA[EnCm])*SUMIF(tblVeriA[SiparisNo],$A374,tblVeriA[BoyCm])*SUMIF(tblVeriA[SiparisNo],$A374,tblVeriA[YukseklikCm])/MAX(SUMIF(tblVeriA[SiparisNo],$A374,tblVeriA[DesiCarpani]),1),0),IFERROR(SUMIF(tblVeriA[SiparisNo],$A374,tblVeriA[AgirlikKg]),0))*$C374*IFERROR(SUMIF(tblVeriA[SiparisNo],$A374,tblVeriA[Adet]),1)*(1+$E374*kdo_iadeEtkiCarpani),0))</f>
        <v/>
      </c>
      <c r="H374" s="13" t="n"/>
      <c r="I374" s="13" t="n"/>
      <c r="J374" s="15">
        <f>IF($A374="","",1)</f>
        <v/>
      </c>
    </row>
    <row r="375">
      <c r="A375" s="13" t="n"/>
      <c r="B375" s="13" t="n"/>
      <c r="C375" s="16" t="n"/>
      <c r="D375" s="16" t="n"/>
      <c r="E375" s="17" t="n"/>
      <c r="F375" s="16" t="n"/>
      <c r="G375" s="15">
        <f>IF($A375="","",IFERROR(MAX(IFERROR(SUMIF(tblVeriA[SiparisNo],$A375,tblVeriA[EnCm])*SUMIF(tblVeriA[SiparisNo],$A375,tblVeriA[BoyCm])*SUMIF(tblVeriA[SiparisNo],$A375,tblVeriA[YukseklikCm])/MAX(SUMIF(tblVeriA[SiparisNo],$A375,tblVeriA[DesiCarpani]),1),0),IFERROR(SUMIF(tblVeriA[SiparisNo],$A375,tblVeriA[AgirlikKg]),0))*$C375*IFERROR(SUMIF(tblVeriA[SiparisNo],$A375,tblVeriA[Adet]),1)*(1+$E375*kdo_iadeEtkiCarpani),0))</f>
        <v/>
      </c>
      <c r="H375" s="13" t="n"/>
      <c r="I375" s="13" t="n"/>
      <c r="J375" s="15">
        <f>IF($A375="","",1)</f>
        <v/>
      </c>
    </row>
    <row r="376">
      <c r="A376" s="13" t="n"/>
      <c r="B376" s="13" t="n"/>
      <c r="C376" s="16" t="n"/>
      <c r="D376" s="16" t="n"/>
      <c r="E376" s="17" t="n"/>
      <c r="F376" s="16" t="n"/>
      <c r="G376" s="15">
        <f>IF($A376="","",IFERROR(MAX(IFERROR(SUMIF(tblVeriA[SiparisNo],$A376,tblVeriA[EnCm])*SUMIF(tblVeriA[SiparisNo],$A376,tblVeriA[BoyCm])*SUMIF(tblVeriA[SiparisNo],$A376,tblVeriA[YukseklikCm])/MAX(SUMIF(tblVeriA[SiparisNo],$A376,tblVeriA[DesiCarpani]),1),0),IFERROR(SUMIF(tblVeriA[SiparisNo],$A376,tblVeriA[AgirlikKg]),0))*$C376*IFERROR(SUMIF(tblVeriA[SiparisNo],$A376,tblVeriA[Adet]),1)*(1+$E376*kdo_iadeEtkiCarpani),0))</f>
        <v/>
      </c>
      <c r="H376" s="13" t="n"/>
      <c r="I376" s="13" t="n"/>
      <c r="J376" s="15">
        <f>IF($A376="","",1)</f>
        <v/>
      </c>
    </row>
    <row r="377">
      <c r="A377" s="13" t="n"/>
      <c r="B377" s="13" t="n"/>
      <c r="C377" s="16" t="n"/>
      <c r="D377" s="16" t="n"/>
      <c r="E377" s="17" t="n"/>
      <c r="F377" s="16" t="n"/>
      <c r="G377" s="15">
        <f>IF($A377="","",IFERROR(MAX(IFERROR(SUMIF(tblVeriA[SiparisNo],$A377,tblVeriA[EnCm])*SUMIF(tblVeriA[SiparisNo],$A377,tblVeriA[BoyCm])*SUMIF(tblVeriA[SiparisNo],$A377,tblVeriA[YukseklikCm])/MAX(SUMIF(tblVeriA[SiparisNo],$A377,tblVeriA[DesiCarpani]),1),0),IFERROR(SUMIF(tblVeriA[SiparisNo],$A377,tblVeriA[AgirlikKg]),0))*$C377*IFERROR(SUMIF(tblVeriA[SiparisNo],$A377,tblVeriA[Adet]),1)*(1+$E377*kdo_iadeEtkiCarpani),0))</f>
        <v/>
      </c>
      <c r="H377" s="13" t="n"/>
      <c r="I377" s="13" t="n"/>
      <c r="J377" s="15">
        <f>IF($A377="","",1)</f>
        <v/>
      </c>
    </row>
    <row r="378">
      <c r="A378" s="13" t="n"/>
      <c r="B378" s="13" t="n"/>
      <c r="C378" s="16" t="n"/>
      <c r="D378" s="16" t="n"/>
      <c r="E378" s="17" t="n"/>
      <c r="F378" s="16" t="n"/>
      <c r="G378" s="15">
        <f>IF($A378="","",IFERROR(MAX(IFERROR(SUMIF(tblVeriA[SiparisNo],$A378,tblVeriA[EnCm])*SUMIF(tblVeriA[SiparisNo],$A378,tblVeriA[BoyCm])*SUMIF(tblVeriA[SiparisNo],$A378,tblVeriA[YukseklikCm])/MAX(SUMIF(tblVeriA[SiparisNo],$A378,tblVeriA[DesiCarpani]),1),0),IFERROR(SUMIF(tblVeriA[SiparisNo],$A378,tblVeriA[AgirlikKg]),0))*$C378*IFERROR(SUMIF(tblVeriA[SiparisNo],$A378,tblVeriA[Adet]),1)*(1+$E378*kdo_iadeEtkiCarpani),0))</f>
        <v/>
      </c>
      <c r="H378" s="13" t="n"/>
      <c r="I378" s="13" t="n"/>
      <c r="J378" s="15">
        <f>IF($A378="","",1)</f>
        <v/>
      </c>
    </row>
    <row r="379">
      <c r="A379" s="13" t="n"/>
      <c r="B379" s="13" t="n"/>
      <c r="C379" s="16" t="n"/>
      <c r="D379" s="16" t="n"/>
      <c r="E379" s="17" t="n"/>
      <c r="F379" s="16" t="n"/>
      <c r="G379" s="15">
        <f>IF($A379="","",IFERROR(MAX(IFERROR(SUMIF(tblVeriA[SiparisNo],$A379,tblVeriA[EnCm])*SUMIF(tblVeriA[SiparisNo],$A379,tblVeriA[BoyCm])*SUMIF(tblVeriA[SiparisNo],$A379,tblVeriA[YukseklikCm])/MAX(SUMIF(tblVeriA[SiparisNo],$A379,tblVeriA[DesiCarpani]),1),0),IFERROR(SUMIF(tblVeriA[SiparisNo],$A379,tblVeriA[AgirlikKg]),0))*$C379*IFERROR(SUMIF(tblVeriA[SiparisNo],$A379,tblVeriA[Adet]),1)*(1+$E379*kdo_iadeEtkiCarpani),0))</f>
        <v/>
      </c>
      <c r="H379" s="13" t="n"/>
      <c r="I379" s="13" t="n"/>
      <c r="J379" s="15">
        <f>IF($A379="","",1)</f>
        <v/>
      </c>
    </row>
    <row r="380">
      <c r="A380" s="13" t="n"/>
      <c r="B380" s="13" t="n"/>
      <c r="C380" s="16" t="n"/>
      <c r="D380" s="16" t="n"/>
      <c r="E380" s="17" t="n"/>
      <c r="F380" s="16" t="n"/>
      <c r="G380" s="15">
        <f>IF($A380="","",IFERROR(MAX(IFERROR(SUMIF(tblVeriA[SiparisNo],$A380,tblVeriA[EnCm])*SUMIF(tblVeriA[SiparisNo],$A380,tblVeriA[BoyCm])*SUMIF(tblVeriA[SiparisNo],$A380,tblVeriA[YukseklikCm])/MAX(SUMIF(tblVeriA[SiparisNo],$A380,tblVeriA[DesiCarpani]),1),0),IFERROR(SUMIF(tblVeriA[SiparisNo],$A380,tblVeriA[AgirlikKg]),0))*$C380*IFERROR(SUMIF(tblVeriA[SiparisNo],$A380,tblVeriA[Adet]),1)*(1+$E380*kdo_iadeEtkiCarpani),0))</f>
        <v/>
      </c>
      <c r="H380" s="13" t="n"/>
      <c r="I380" s="13" t="n"/>
      <c r="J380" s="15">
        <f>IF($A380="","",1)</f>
        <v/>
      </c>
    </row>
    <row r="381">
      <c r="A381" s="13" t="n"/>
      <c r="B381" s="13" t="n"/>
      <c r="C381" s="16" t="n"/>
      <c r="D381" s="16" t="n"/>
      <c r="E381" s="17" t="n"/>
      <c r="F381" s="16" t="n"/>
      <c r="G381" s="15">
        <f>IF($A381="","",IFERROR(MAX(IFERROR(SUMIF(tblVeriA[SiparisNo],$A381,tblVeriA[EnCm])*SUMIF(tblVeriA[SiparisNo],$A381,tblVeriA[BoyCm])*SUMIF(tblVeriA[SiparisNo],$A381,tblVeriA[YukseklikCm])/MAX(SUMIF(tblVeriA[SiparisNo],$A381,tblVeriA[DesiCarpani]),1),0),IFERROR(SUMIF(tblVeriA[SiparisNo],$A381,tblVeriA[AgirlikKg]),0))*$C381*IFERROR(SUMIF(tblVeriA[SiparisNo],$A381,tblVeriA[Adet]),1)*(1+$E381*kdo_iadeEtkiCarpani),0))</f>
        <v/>
      </c>
      <c r="H381" s="13" t="n"/>
      <c r="I381" s="13" t="n"/>
      <c r="J381" s="15">
        <f>IF($A381="","",1)</f>
        <v/>
      </c>
    </row>
    <row r="382">
      <c r="A382" s="13" t="n"/>
      <c r="B382" s="13" t="n"/>
      <c r="C382" s="16" t="n"/>
      <c r="D382" s="16" t="n"/>
      <c r="E382" s="17" t="n"/>
      <c r="F382" s="16" t="n"/>
      <c r="G382" s="15">
        <f>IF($A382="","",IFERROR(MAX(IFERROR(SUMIF(tblVeriA[SiparisNo],$A382,tblVeriA[EnCm])*SUMIF(tblVeriA[SiparisNo],$A382,tblVeriA[BoyCm])*SUMIF(tblVeriA[SiparisNo],$A382,tblVeriA[YukseklikCm])/MAX(SUMIF(tblVeriA[SiparisNo],$A382,tblVeriA[DesiCarpani]),1),0),IFERROR(SUMIF(tblVeriA[SiparisNo],$A382,tblVeriA[AgirlikKg]),0))*$C382*IFERROR(SUMIF(tblVeriA[SiparisNo],$A382,tblVeriA[Adet]),1)*(1+$E382*kdo_iadeEtkiCarpani),0))</f>
        <v/>
      </c>
      <c r="H382" s="13" t="n"/>
      <c r="I382" s="13" t="n"/>
      <c r="J382" s="15">
        <f>IF($A382="","",1)</f>
        <v/>
      </c>
    </row>
    <row r="383">
      <c r="A383" s="13" t="n"/>
      <c r="B383" s="13" t="n"/>
      <c r="C383" s="16" t="n"/>
      <c r="D383" s="16" t="n"/>
      <c r="E383" s="17" t="n"/>
      <c r="F383" s="16" t="n"/>
      <c r="G383" s="15">
        <f>IF($A383="","",IFERROR(MAX(IFERROR(SUMIF(tblVeriA[SiparisNo],$A383,tblVeriA[EnCm])*SUMIF(tblVeriA[SiparisNo],$A383,tblVeriA[BoyCm])*SUMIF(tblVeriA[SiparisNo],$A383,tblVeriA[YukseklikCm])/MAX(SUMIF(tblVeriA[SiparisNo],$A383,tblVeriA[DesiCarpani]),1),0),IFERROR(SUMIF(tblVeriA[SiparisNo],$A383,tblVeriA[AgirlikKg]),0))*$C383*IFERROR(SUMIF(tblVeriA[SiparisNo],$A383,tblVeriA[Adet]),1)*(1+$E383*kdo_iadeEtkiCarpani),0))</f>
        <v/>
      </c>
      <c r="H383" s="13" t="n"/>
      <c r="I383" s="13" t="n"/>
      <c r="J383" s="15">
        <f>IF($A383="","",1)</f>
        <v/>
      </c>
    </row>
    <row r="384">
      <c r="A384" s="13" t="n"/>
      <c r="B384" s="13" t="n"/>
      <c r="C384" s="16" t="n"/>
      <c r="D384" s="16" t="n"/>
      <c r="E384" s="17" t="n"/>
      <c r="F384" s="16" t="n"/>
      <c r="G384" s="15">
        <f>IF($A384="","",IFERROR(MAX(IFERROR(SUMIF(tblVeriA[SiparisNo],$A384,tblVeriA[EnCm])*SUMIF(tblVeriA[SiparisNo],$A384,tblVeriA[BoyCm])*SUMIF(tblVeriA[SiparisNo],$A384,tblVeriA[YukseklikCm])/MAX(SUMIF(tblVeriA[SiparisNo],$A384,tblVeriA[DesiCarpani]),1),0),IFERROR(SUMIF(tblVeriA[SiparisNo],$A384,tblVeriA[AgirlikKg]),0))*$C384*IFERROR(SUMIF(tblVeriA[SiparisNo],$A384,tblVeriA[Adet]),1)*(1+$E384*kdo_iadeEtkiCarpani),0))</f>
        <v/>
      </c>
      <c r="H384" s="13" t="n"/>
      <c r="I384" s="13" t="n"/>
      <c r="J384" s="15">
        <f>IF($A384="","",1)</f>
        <v/>
      </c>
    </row>
    <row r="385">
      <c r="A385" s="13" t="n"/>
      <c r="B385" s="13" t="n"/>
      <c r="C385" s="16" t="n"/>
      <c r="D385" s="16" t="n"/>
      <c r="E385" s="17" t="n"/>
      <c r="F385" s="16" t="n"/>
      <c r="G385" s="15">
        <f>IF($A385="","",IFERROR(MAX(IFERROR(SUMIF(tblVeriA[SiparisNo],$A385,tblVeriA[EnCm])*SUMIF(tblVeriA[SiparisNo],$A385,tblVeriA[BoyCm])*SUMIF(tblVeriA[SiparisNo],$A385,tblVeriA[YukseklikCm])/MAX(SUMIF(tblVeriA[SiparisNo],$A385,tblVeriA[DesiCarpani]),1),0),IFERROR(SUMIF(tblVeriA[SiparisNo],$A385,tblVeriA[AgirlikKg]),0))*$C385*IFERROR(SUMIF(tblVeriA[SiparisNo],$A385,tblVeriA[Adet]),1)*(1+$E385*kdo_iadeEtkiCarpani),0))</f>
        <v/>
      </c>
      <c r="H385" s="13" t="n"/>
      <c r="I385" s="13" t="n"/>
      <c r="J385" s="15">
        <f>IF($A385="","",1)</f>
        <v/>
      </c>
    </row>
    <row r="386">
      <c r="A386" s="13" t="n"/>
      <c r="B386" s="13" t="n"/>
      <c r="C386" s="16" t="n"/>
      <c r="D386" s="16" t="n"/>
      <c r="E386" s="17" t="n"/>
      <c r="F386" s="16" t="n"/>
      <c r="G386" s="15">
        <f>IF($A386="","",IFERROR(MAX(IFERROR(SUMIF(tblVeriA[SiparisNo],$A386,tblVeriA[EnCm])*SUMIF(tblVeriA[SiparisNo],$A386,tblVeriA[BoyCm])*SUMIF(tblVeriA[SiparisNo],$A386,tblVeriA[YukseklikCm])/MAX(SUMIF(tblVeriA[SiparisNo],$A386,tblVeriA[DesiCarpani]),1),0),IFERROR(SUMIF(tblVeriA[SiparisNo],$A386,tblVeriA[AgirlikKg]),0))*$C386*IFERROR(SUMIF(tblVeriA[SiparisNo],$A386,tblVeriA[Adet]),1)*(1+$E386*kdo_iadeEtkiCarpani),0))</f>
        <v/>
      </c>
      <c r="H386" s="13" t="n"/>
      <c r="I386" s="13" t="n"/>
      <c r="J386" s="15">
        <f>IF($A386="","",1)</f>
        <v/>
      </c>
    </row>
    <row r="387">
      <c r="A387" s="13" t="n"/>
      <c r="B387" s="13" t="n"/>
      <c r="C387" s="16" t="n"/>
      <c r="D387" s="16" t="n"/>
      <c r="E387" s="17" t="n"/>
      <c r="F387" s="16" t="n"/>
      <c r="G387" s="15">
        <f>IF($A387="","",IFERROR(MAX(IFERROR(SUMIF(tblVeriA[SiparisNo],$A387,tblVeriA[EnCm])*SUMIF(tblVeriA[SiparisNo],$A387,tblVeriA[BoyCm])*SUMIF(tblVeriA[SiparisNo],$A387,tblVeriA[YukseklikCm])/MAX(SUMIF(tblVeriA[SiparisNo],$A387,tblVeriA[DesiCarpani]),1),0),IFERROR(SUMIF(tblVeriA[SiparisNo],$A387,tblVeriA[AgirlikKg]),0))*$C387*IFERROR(SUMIF(tblVeriA[SiparisNo],$A387,tblVeriA[Adet]),1)*(1+$E387*kdo_iadeEtkiCarpani),0))</f>
        <v/>
      </c>
      <c r="H387" s="13" t="n"/>
      <c r="I387" s="13" t="n"/>
      <c r="J387" s="15">
        <f>IF($A387="","",1)</f>
        <v/>
      </c>
    </row>
    <row r="388">
      <c r="A388" s="13" t="n"/>
      <c r="B388" s="13" t="n"/>
      <c r="C388" s="16" t="n"/>
      <c r="D388" s="16" t="n"/>
      <c r="E388" s="17" t="n"/>
      <c r="F388" s="16" t="n"/>
      <c r="G388" s="15">
        <f>IF($A388="","",IFERROR(MAX(IFERROR(SUMIF(tblVeriA[SiparisNo],$A388,tblVeriA[EnCm])*SUMIF(tblVeriA[SiparisNo],$A388,tblVeriA[BoyCm])*SUMIF(tblVeriA[SiparisNo],$A388,tblVeriA[YukseklikCm])/MAX(SUMIF(tblVeriA[SiparisNo],$A388,tblVeriA[DesiCarpani]),1),0),IFERROR(SUMIF(tblVeriA[SiparisNo],$A388,tblVeriA[AgirlikKg]),0))*$C388*IFERROR(SUMIF(tblVeriA[SiparisNo],$A388,tblVeriA[Adet]),1)*(1+$E388*kdo_iadeEtkiCarpani),0))</f>
        <v/>
      </c>
      <c r="H388" s="13" t="n"/>
      <c r="I388" s="13" t="n"/>
      <c r="J388" s="15">
        <f>IF($A388="","",1)</f>
        <v/>
      </c>
    </row>
    <row r="389">
      <c r="A389" s="13" t="n"/>
      <c r="B389" s="13" t="n"/>
      <c r="C389" s="16" t="n"/>
      <c r="D389" s="16" t="n"/>
      <c r="E389" s="17" t="n"/>
      <c r="F389" s="16" t="n"/>
      <c r="G389" s="15">
        <f>IF($A389="","",IFERROR(MAX(IFERROR(SUMIF(tblVeriA[SiparisNo],$A389,tblVeriA[EnCm])*SUMIF(tblVeriA[SiparisNo],$A389,tblVeriA[BoyCm])*SUMIF(tblVeriA[SiparisNo],$A389,tblVeriA[YukseklikCm])/MAX(SUMIF(tblVeriA[SiparisNo],$A389,tblVeriA[DesiCarpani]),1),0),IFERROR(SUMIF(tblVeriA[SiparisNo],$A389,tblVeriA[AgirlikKg]),0))*$C389*IFERROR(SUMIF(tblVeriA[SiparisNo],$A389,tblVeriA[Adet]),1)*(1+$E389*kdo_iadeEtkiCarpani),0))</f>
        <v/>
      </c>
      <c r="H389" s="13" t="n"/>
      <c r="I389" s="13" t="n"/>
      <c r="J389" s="15">
        <f>IF($A389="","",1)</f>
        <v/>
      </c>
    </row>
    <row r="390">
      <c r="A390" s="13" t="n"/>
      <c r="B390" s="13" t="n"/>
      <c r="C390" s="16" t="n"/>
      <c r="D390" s="16" t="n"/>
      <c r="E390" s="17" t="n"/>
      <c r="F390" s="16" t="n"/>
      <c r="G390" s="15">
        <f>IF($A390="","",IFERROR(MAX(IFERROR(SUMIF(tblVeriA[SiparisNo],$A390,tblVeriA[EnCm])*SUMIF(tblVeriA[SiparisNo],$A390,tblVeriA[BoyCm])*SUMIF(tblVeriA[SiparisNo],$A390,tblVeriA[YukseklikCm])/MAX(SUMIF(tblVeriA[SiparisNo],$A390,tblVeriA[DesiCarpani]),1),0),IFERROR(SUMIF(tblVeriA[SiparisNo],$A390,tblVeriA[AgirlikKg]),0))*$C390*IFERROR(SUMIF(tblVeriA[SiparisNo],$A390,tblVeriA[Adet]),1)*(1+$E390*kdo_iadeEtkiCarpani),0))</f>
        <v/>
      </c>
      <c r="H390" s="13" t="n"/>
      <c r="I390" s="13" t="n"/>
      <c r="J390" s="15">
        <f>IF($A390="","",1)</f>
        <v/>
      </c>
    </row>
    <row r="391">
      <c r="A391" s="13" t="n"/>
      <c r="B391" s="13" t="n"/>
      <c r="C391" s="16" t="n"/>
      <c r="D391" s="16" t="n"/>
      <c r="E391" s="17" t="n"/>
      <c r="F391" s="16" t="n"/>
      <c r="G391" s="15">
        <f>IF($A391="","",IFERROR(MAX(IFERROR(SUMIF(tblVeriA[SiparisNo],$A391,tblVeriA[EnCm])*SUMIF(tblVeriA[SiparisNo],$A391,tblVeriA[BoyCm])*SUMIF(tblVeriA[SiparisNo],$A391,tblVeriA[YukseklikCm])/MAX(SUMIF(tblVeriA[SiparisNo],$A391,tblVeriA[DesiCarpani]),1),0),IFERROR(SUMIF(tblVeriA[SiparisNo],$A391,tblVeriA[AgirlikKg]),0))*$C391*IFERROR(SUMIF(tblVeriA[SiparisNo],$A391,tblVeriA[Adet]),1)*(1+$E391*kdo_iadeEtkiCarpani),0))</f>
        <v/>
      </c>
      <c r="H391" s="13" t="n"/>
      <c r="I391" s="13" t="n"/>
      <c r="J391" s="15">
        <f>IF($A391="","",1)</f>
        <v/>
      </c>
    </row>
    <row r="392">
      <c r="A392" s="13" t="n"/>
      <c r="B392" s="13" t="n"/>
      <c r="C392" s="16" t="n"/>
      <c r="D392" s="16" t="n"/>
      <c r="E392" s="17" t="n"/>
      <c r="F392" s="16" t="n"/>
      <c r="G392" s="15">
        <f>IF($A392="","",IFERROR(MAX(IFERROR(SUMIF(tblVeriA[SiparisNo],$A392,tblVeriA[EnCm])*SUMIF(tblVeriA[SiparisNo],$A392,tblVeriA[BoyCm])*SUMIF(tblVeriA[SiparisNo],$A392,tblVeriA[YukseklikCm])/MAX(SUMIF(tblVeriA[SiparisNo],$A392,tblVeriA[DesiCarpani]),1),0),IFERROR(SUMIF(tblVeriA[SiparisNo],$A392,tblVeriA[AgirlikKg]),0))*$C392*IFERROR(SUMIF(tblVeriA[SiparisNo],$A392,tblVeriA[Adet]),1)*(1+$E392*kdo_iadeEtkiCarpani),0))</f>
        <v/>
      </c>
      <c r="H392" s="13" t="n"/>
      <c r="I392" s="13" t="n"/>
      <c r="J392" s="15">
        <f>IF($A392="","",1)</f>
        <v/>
      </c>
    </row>
    <row r="393">
      <c r="A393" s="13" t="n"/>
      <c r="B393" s="13" t="n"/>
      <c r="C393" s="16" t="n"/>
      <c r="D393" s="16" t="n"/>
      <c r="E393" s="17" t="n"/>
      <c r="F393" s="16" t="n"/>
      <c r="G393" s="15">
        <f>IF($A393="","",IFERROR(MAX(IFERROR(SUMIF(tblVeriA[SiparisNo],$A393,tblVeriA[EnCm])*SUMIF(tblVeriA[SiparisNo],$A393,tblVeriA[BoyCm])*SUMIF(tblVeriA[SiparisNo],$A393,tblVeriA[YukseklikCm])/MAX(SUMIF(tblVeriA[SiparisNo],$A393,tblVeriA[DesiCarpani]),1),0),IFERROR(SUMIF(tblVeriA[SiparisNo],$A393,tblVeriA[AgirlikKg]),0))*$C393*IFERROR(SUMIF(tblVeriA[SiparisNo],$A393,tblVeriA[Adet]),1)*(1+$E393*kdo_iadeEtkiCarpani),0))</f>
        <v/>
      </c>
      <c r="H393" s="13" t="n"/>
      <c r="I393" s="13" t="n"/>
      <c r="J393" s="15">
        <f>IF($A393="","",1)</f>
        <v/>
      </c>
    </row>
    <row r="394">
      <c r="A394" s="13" t="n"/>
      <c r="B394" s="13" t="n"/>
      <c r="C394" s="16" t="n"/>
      <c r="D394" s="16" t="n"/>
      <c r="E394" s="17" t="n"/>
      <c r="F394" s="16" t="n"/>
      <c r="G394" s="15">
        <f>IF($A394="","",IFERROR(MAX(IFERROR(SUMIF(tblVeriA[SiparisNo],$A394,tblVeriA[EnCm])*SUMIF(tblVeriA[SiparisNo],$A394,tblVeriA[BoyCm])*SUMIF(tblVeriA[SiparisNo],$A394,tblVeriA[YukseklikCm])/MAX(SUMIF(tblVeriA[SiparisNo],$A394,tblVeriA[DesiCarpani]),1),0),IFERROR(SUMIF(tblVeriA[SiparisNo],$A394,tblVeriA[AgirlikKg]),0))*$C394*IFERROR(SUMIF(tblVeriA[SiparisNo],$A394,tblVeriA[Adet]),1)*(1+$E394*kdo_iadeEtkiCarpani),0))</f>
        <v/>
      </c>
      <c r="H394" s="13" t="n"/>
      <c r="I394" s="13" t="n"/>
      <c r="J394" s="15">
        <f>IF($A394="","",1)</f>
        <v/>
      </c>
    </row>
    <row r="395">
      <c r="A395" s="13" t="n"/>
      <c r="B395" s="13" t="n"/>
      <c r="C395" s="16" t="n"/>
      <c r="D395" s="16" t="n"/>
      <c r="E395" s="17" t="n"/>
      <c r="F395" s="16" t="n"/>
      <c r="G395" s="15">
        <f>IF($A395="","",IFERROR(MAX(IFERROR(SUMIF(tblVeriA[SiparisNo],$A395,tblVeriA[EnCm])*SUMIF(tblVeriA[SiparisNo],$A395,tblVeriA[BoyCm])*SUMIF(tblVeriA[SiparisNo],$A395,tblVeriA[YukseklikCm])/MAX(SUMIF(tblVeriA[SiparisNo],$A395,tblVeriA[DesiCarpani]),1),0),IFERROR(SUMIF(tblVeriA[SiparisNo],$A395,tblVeriA[AgirlikKg]),0))*$C395*IFERROR(SUMIF(tblVeriA[SiparisNo],$A395,tblVeriA[Adet]),1)*(1+$E395*kdo_iadeEtkiCarpani),0))</f>
        <v/>
      </c>
      <c r="H395" s="13" t="n"/>
      <c r="I395" s="13" t="n"/>
      <c r="J395" s="15">
        <f>IF($A395="","",1)</f>
        <v/>
      </c>
    </row>
    <row r="396">
      <c r="A396" s="13" t="n"/>
      <c r="B396" s="13" t="n"/>
      <c r="C396" s="16" t="n"/>
      <c r="D396" s="16" t="n"/>
      <c r="E396" s="17" t="n"/>
      <c r="F396" s="16" t="n"/>
      <c r="G396" s="15">
        <f>IF($A396="","",IFERROR(MAX(IFERROR(SUMIF(tblVeriA[SiparisNo],$A396,tblVeriA[EnCm])*SUMIF(tblVeriA[SiparisNo],$A396,tblVeriA[BoyCm])*SUMIF(tblVeriA[SiparisNo],$A396,tblVeriA[YukseklikCm])/MAX(SUMIF(tblVeriA[SiparisNo],$A396,tblVeriA[DesiCarpani]),1),0),IFERROR(SUMIF(tblVeriA[SiparisNo],$A396,tblVeriA[AgirlikKg]),0))*$C396*IFERROR(SUMIF(tblVeriA[SiparisNo],$A396,tblVeriA[Adet]),1)*(1+$E396*kdo_iadeEtkiCarpani),0))</f>
        <v/>
      </c>
      <c r="H396" s="13" t="n"/>
      <c r="I396" s="13" t="n"/>
      <c r="J396" s="15">
        <f>IF($A396="","",1)</f>
        <v/>
      </c>
    </row>
    <row r="397">
      <c r="A397" s="13" t="n"/>
      <c r="B397" s="13" t="n"/>
      <c r="C397" s="16" t="n"/>
      <c r="D397" s="16" t="n"/>
      <c r="E397" s="17" t="n"/>
      <c r="F397" s="16" t="n"/>
      <c r="G397" s="15">
        <f>IF($A397="","",IFERROR(MAX(IFERROR(SUMIF(tblVeriA[SiparisNo],$A397,tblVeriA[EnCm])*SUMIF(tblVeriA[SiparisNo],$A397,tblVeriA[BoyCm])*SUMIF(tblVeriA[SiparisNo],$A397,tblVeriA[YukseklikCm])/MAX(SUMIF(tblVeriA[SiparisNo],$A397,tblVeriA[DesiCarpani]),1),0),IFERROR(SUMIF(tblVeriA[SiparisNo],$A397,tblVeriA[AgirlikKg]),0))*$C397*IFERROR(SUMIF(tblVeriA[SiparisNo],$A397,tblVeriA[Adet]),1)*(1+$E397*kdo_iadeEtkiCarpani),0))</f>
        <v/>
      </c>
      <c r="H397" s="13" t="n"/>
      <c r="I397" s="13" t="n"/>
      <c r="J397" s="15">
        <f>IF($A397="","",1)</f>
        <v/>
      </c>
    </row>
    <row r="398">
      <c r="A398" s="13" t="n"/>
      <c r="B398" s="13" t="n"/>
      <c r="C398" s="16" t="n"/>
      <c r="D398" s="16" t="n"/>
      <c r="E398" s="17" t="n"/>
      <c r="F398" s="16" t="n"/>
      <c r="G398" s="15">
        <f>IF($A398="","",IFERROR(MAX(IFERROR(SUMIF(tblVeriA[SiparisNo],$A398,tblVeriA[EnCm])*SUMIF(tblVeriA[SiparisNo],$A398,tblVeriA[BoyCm])*SUMIF(tblVeriA[SiparisNo],$A398,tblVeriA[YukseklikCm])/MAX(SUMIF(tblVeriA[SiparisNo],$A398,tblVeriA[DesiCarpani]),1),0),IFERROR(SUMIF(tblVeriA[SiparisNo],$A398,tblVeriA[AgirlikKg]),0))*$C398*IFERROR(SUMIF(tblVeriA[SiparisNo],$A398,tblVeriA[Adet]),1)*(1+$E398*kdo_iadeEtkiCarpani),0))</f>
        <v/>
      </c>
      <c r="H398" s="13" t="n"/>
      <c r="I398" s="13" t="n"/>
      <c r="J398" s="15">
        <f>IF($A398="","",1)</f>
        <v/>
      </c>
    </row>
    <row r="399">
      <c r="A399" s="13" t="n"/>
      <c r="B399" s="13" t="n"/>
      <c r="C399" s="16" t="n"/>
      <c r="D399" s="16" t="n"/>
      <c r="E399" s="17" t="n"/>
      <c r="F399" s="16" t="n"/>
      <c r="G399" s="15">
        <f>IF($A399="","",IFERROR(MAX(IFERROR(SUMIF(tblVeriA[SiparisNo],$A399,tblVeriA[EnCm])*SUMIF(tblVeriA[SiparisNo],$A399,tblVeriA[BoyCm])*SUMIF(tblVeriA[SiparisNo],$A399,tblVeriA[YukseklikCm])/MAX(SUMIF(tblVeriA[SiparisNo],$A399,tblVeriA[DesiCarpani]),1),0),IFERROR(SUMIF(tblVeriA[SiparisNo],$A399,tblVeriA[AgirlikKg]),0))*$C399*IFERROR(SUMIF(tblVeriA[SiparisNo],$A399,tblVeriA[Adet]),1)*(1+$E399*kdo_iadeEtkiCarpani),0))</f>
        <v/>
      </c>
      <c r="H399" s="13" t="n"/>
      <c r="I399" s="13" t="n"/>
      <c r="J399" s="15">
        <f>IF($A399="","",1)</f>
        <v/>
      </c>
    </row>
    <row r="400">
      <c r="A400" s="13" t="n"/>
      <c r="B400" s="13" t="n"/>
      <c r="C400" s="16" t="n"/>
      <c r="D400" s="16" t="n"/>
      <c r="E400" s="17" t="n"/>
      <c r="F400" s="16" t="n"/>
      <c r="G400" s="15">
        <f>IF($A400="","",IFERROR(MAX(IFERROR(SUMIF(tblVeriA[SiparisNo],$A400,tblVeriA[EnCm])*SUMIF(tblVeriA[SiparisNo],$A400,tblVeriA[BoyCm])*SUMIF(tblVeriA[SiparisNo],$A400,tblVeriA[YukseklikCm])/MAX(SUMIF(tblVeriA[SiparisNo],$A400,tblVeriA[DesiCarpani]),1),0),IFERROR(SUMIF(tblVeriA[SiparisNo],$A400,tblVeriA[AgirlikKg]),0))*$C400*IFERROR(SUMIF(tblVeriA[SiparisNo],$A400,tblVeriA[Adet]),1)*(1+$E400*kdo_iadeEtkiCarpani),0))</f>
        <v/>
      </c>
      <c r="H400" s="13" t="n"/>
      <c r="I400" s="13" t="n"/>
      <c r="J400" s="15">
        <f>IF($A400="","",1)</f>
        <v/>
      </c>
    </row>
    <row r="401">
      <c r="A401" s="13" t="n"/>
      <c r="B401" s="13" t="n"/>
      <c r="C401" s="16" t="n"/>
      <c r="D401" s="16" t="n"/>
      <c r="E401" s="17" t="n"/>
      <c r="F401" s="16" t="n"/>
      <c r="G401" s="15">
        <f>IF($A401="","",IFERROR(MAX(IFERROR(SUMIF(tblVeriA[SiparisNo],$A401,tblVeriA[EnCm])*SUMIF(tblVeriA[SiparisNo],$A401,tblVeriA[BoyCm])*SUMIF(tblVeriA[SiparisNo],$A401,tblVeriA[YukseklikCm])/MAX(SUMIF(tblVeriA[SiparisNo],$A401,tblVeriA[DesiCarpani]),1),0),IFERROR(SUMIF(tblVeriA[SiparisNo],$A401,tblVeriA[AgirlikKg]),0))*$C401*IFERROR(SUMIF(tblVeriA[SiparisNo],$A401,tblVeriA[Adet]),1)*(1+$E401*kdo_iadeEtkiCarpani),0))</f>
        <v/>
      </c>
      <c r="H401" s="13" t="n"/>
      <c r="I401" s="13" t="n"/>
      <c r="J401" s="15">
        <f>IF($A401="","",1)</f>
        <v/>
      </c>
    </row>
    <row r="402">
      <c r="A402" s="13" t="n"/>
      <c r="B402" s="13" t="n"/>
      <c r="C402" s="16" t="n"/>
      <c r="D402" s="16" t="n"/>
      <c r="E402" s="17" t="n"/>
      <c r="F402" s="16" t="n"/>
      <c r="G402" s="15">
        <f>IF($A402="","",IFERROR(MAX(IFERROR(SUMIF(tblVeriA[SiparisNo],$A402,tblVeriA[EnCm])*SUMIF(tblVeriA[SiparisNo],$A402,tblVeriA[BoyCm])*SUMIF(tblVeriA[SiparisNo],$A402,tblVeriA[YukseklikCm])/MAX(SUMIF(tblVeriA[SiparisNo],$A402,tblVeriA[DesiCarpani]),1),0),IFERROR(SUMIF(tblVeriA[SiparisNo],$A402,tblVeriA[AgirlikKg]),0))*$C402*IFERROR(SUMIF(tblVeriA[SiparisNo],$A402,tblVeriA[Adet]),1)*(1+$E402*kdo_iadeEtkiCarpani),0))</f>
        <v/>
      </c>
      <c r="H402" s="13" t="n"/>
      <c r="I402" s="13" t="n"/>
      <c r="J402" s="15">
        <f>IF($A402="","",1)</f>
        <v/>
      </c>
    </row>
    <row r="403">
      <c r="A403" s="13" t="n"/>
      <c r="B403" s="13" t="n"/>
      <c r="C403" s="16" t="n"/>
      <c r="D403" s="16" t="n"/>
      <c r="E403" s="17" t="n"/>
      <c r="F403" s="16" t="n"/>
      <c r="G403" s="15">
        <f>IF($A403="","",IFERROR(MAX(IFERROR(SUMIF(tblVeriA[SiparisNo],$A403,tblVeriA[EnCm])*SUMIF(tblVeriA[SiparisNo],$A403,tblVeriA[BoyCm])*SUMIF(tblVeriA[SiparisNo],$A403,tblVeriA[YukseklikCm])/MAX(SUMIF(tblVeriA[SiparisNo],$A403,tblVeriA[DesiCarpani]),1),0),IFERROR(SUMIF(tblVeriA[SiparisNo],$A403,tblVeriA[AgirlikKg]),0))*$C403*IFERROR(SUMIF(tblVeriA[SiparisNo],$A403,tblVeriA[Adet]),1)*(1+$E403*kdo_iadeEtkiCarpani),0))</f>
        <v/>
      </c>
      <c r="H403" s="13" t="n"/>
      <c r="I403" s="13" t="n"/>
      <c r="J403" s="15">
        <f>IF($A403="","",1)</f>
        <v/>
      </c>
    </row>
    <row r="404">
      <c r="A404" s="13" t="n"/>
      <c r="B404" s="13" t="n"/>
      <c r="C404" s="16" t="n"/>
      <c r="D404" s="16" t="n"/>
      <c r="E404" s="17" t="n"/>
      <c r="F404" s="16" t="n"/>
      <c r="G404" s="15">
        <f>IF($A404="","",IFERROR(MAX(IFERROR(SUMIF(tblVeriA[SiparisNo],$A404,tblVeriA[EnCm])*SUMIF(tblVeriA[SiparisNo],$A404,tblVeriA[BoyCm])*SUMIF(tblVeriA[SiparisNo],$A404,tblVeriA[YukseklikCm])/MAX(SUMIF(tblVeriA[SiparisNo],$A404,tblVeriA[DesiCarpani]),1),0),IFERROR(SUMIF(tblVeriA[SiparisNo],$A404,tblVeriA[AgirlikKg]),0))*$C404*IFERROR(SUMIF(tblVeriA[SiparisNo],$A404,tblVeriA[Adet]),1)*(1+$E404*kdo_iadeEtkiCarpani),0))</f>
        <v/>
      </c>
      <c r="H404" s="13" t="n"/>
      <c r="I404" s="13" t="n"/>
      <c r="J404" s="15">
        <f>IF($A404="","",1)</f>
        <v/>
      </c>
    </row>
    <row r="405">
      <c r="A405" s="13" t="n"/>
      <c r="B405" s="13" t="n"/>
      <c r="C405" s="16" t="n"/>
      <c r="D405" s="16" t="n"/>
      <c r="E405" s="17" t="n"/>
      <c r="F405" s="16" t="n"/>
      <c r="G405" s="15">
        <f>IF($A405="","",IFERROR(MAX(IFERROR(SUMIF(tblVeriA[SiparisNo],$A405,tblVeriA[EnCm])*SUMIF(tblVeriA[SiparisNo],$A405,tblVeriA[BoyCm])*SUMIF(tblVeriA[SiparisNo],$A405,tblVeriA[YukseklikCm])/MAX(SUMIF(tblVeriA[SiparisNo],$A405,tblVeriA[DesiCarpani]),1),0),IFERROR(SUMIF(tblVeriA[SiparisNo],$A405,tblVeriA[AgirlikKg]),0))*$C405*IFERROR(SUMIF(tblVeriA[SiparisNo],$A405,tblVeriA[Adet]),1)*(1+$E405*kdo_iadeEtkiCarpani),0))</f>
        <v/>
      </c>
      <c r="H405" s="13" t="n"/>
      <c r="I405" s="13" t="n"/>
      <c r="J405" s="15">
        <f>IF($A405="","",1)</f>
        <v/>
      </c>
    </row>
    <row r="406">
      <c r="A406" s="13" t="n"/>
      <c r="B406" s="13" t="n"/>
      <c r="C406" s="16" t="n"/>
      <c r="D406" s="16" t="n"/>
      <c r="E406" s="17" t="n"/>
      <c r="F406" s="16" t="n"/>
      <c r="G406" s="15">
        <f>IF($A406="","",IFERROR(MAX(IFERROR(SUMIF(tblVeriA[SiparisNo],$A406,tblVeriA[EnCm])*SUMIF(tblVeriA[SiparisNo],$A406,tblVeriA[BoyCm])*SUMIF(tblVeriA[SiparisNo],$A406,tblVeriA[YukseklikCm])/MAX(SUMIF(tblVeriA[SiparisNo],$A406,tblVeriA[DesiCarpani]),1),0),IFERROR(SUMIF(tblVeriA[SiparisNo],$A406,tblVeriA[AgirlikKg]),0))*$C406*IFERROR(SUMIF(tblVeriA[SiparisNo],$A406,tblVeriA[Adet]),1)*(1+$E406*kdo_iadeEtkiCarpani),0))</f>
        <v/>
      </c>
      <c r="H406" s="13" t="n"/>
      <c r="I406" s="13" t="n"/>
      <c r="J406" s="15">
        <f>IF($A406="","",1)</f>
        <v/>
      </c>
    </row>
    <row r="407">
      <c r="A407" s="13" t="n"/>
      <c r="B407" s="13" t="n"/>
      <c r="C407" s="16" t="n"/>
      <c r="D407" s="16" t="n"/>
      <c r="E407" s="17" t="n"/>
      <c r="F407" s="16" t="n"/>
      <c r="G407" s="15">
        <f>IF($A407="","",IFERROR(MAX(IFERROR(SUMIF(tblVeriA[SiparisNo],$A407,tblVeriA[EnCm])*SUMIF(tblVeriA[SiparisNo],$A407,tblVeriA[BoyCm])*SUMIF(tblVeriA[SiparisNo],$A407,tblVeriA[YukseklikCm])/MAX(SUMIF(tblVeriA[SiparisNo],$A407,tblVeriA[DesiCarpani]),1),0),IFERROR(SUMIF(tblVeriA[SiparisNo],$A407,tblVeriA[AgirlikKg]),0))*$C407*IFERROR(SUMIF(tblVeriA[SiparisNo],$A407,tblVeriA[Adet]),1)*(1+$E407*kdo_iadeEtkiCarpani),0))</f>
        <v/>
      </c>
      <c r="H407" s="13" t="n"/>
      <c r="I407" s="13" t="n"/>
      <c r="J407" s="15">
        <f>IF($A407="","",1)</f>
        <v/>
      </c>
    </row>
    <row r="408">
      <c r="A408" s="13" t="n"/>
      <c r="B408" s="13" t="n"/>
      <c r="C408" s="16" t="n"/>
      <c r="D408" s="16" t="n"/>
      <c r="E408" s="17" t="n"/>
      <c r="F408" s="16" t="n"/>
      <c r="G408" s="15">
        <f>IF($A408="","",IFERROR(MAX(IFERROR(SUMIF(tblVeriA[SiparisNo],$A408,tblVeriA[EnCm])*SUMIF(tblVeriA[SiparisNo],$A408,tblVeriA[BoyCm])*SUMIF(tblVeriA[SiparisNo],$A408,tblVeriA[YukseklikCm])/MAX(SUMIF(tblVeriA[SiparisNo],$A408,tblVeriA[DesiCarpani]),1),0),IFERROR(SUMIF(tblVeriA[SiparisNo],$A408,tblVeriA[AgirlikKg]),0))*$C408*IFERROR(SUMIF(tblVeriA[SiparisNo],$A408,tblVeriA[Adet]),1)*(1+$E408*kdo_iadeEtkiCarpani),0))</f>
        <v/>
      </c>
      <c r="H408" s="13" t="n"/>
      <c r="I408" s="13" t="n"/>
      <c r="J408" s="15">
        <f>IF($A408="","",1)</f>
        <v/>
      </c>
    </row>
    <row r="409">
      <c r="A409" s="13" t="n"/>
      <c r="B409" s="13" t="n"/>
      <c r="C409" s="16" t="n"/>
      <c r="D409" s="16" t="n"/>
      <c r="E409" s="17" t="n"/>
      <c r="F409" s="16" t="n"/>
      <c r="G409" s="15">
        <f>IF($A409="","",IFERROR(MAX(IFERROR(SUMIF(tblVeriA[SiparisNo],$A409,tblVeriA[EnCm])*SUMIF(tblVeriA[SiparisNo],$A409,tblVeriA[BoyCm])*SUMIF(tblVeriA[SiparisNo],$A409,tblVeriA[YukseklikCm])/MAX(SUMIF(tblVeriA[SiparisNo],$A409,tblVeriA[DesiCarpani]),1),0),IFERROR(SUMIF(tblVeriA[SiparisNo],$A409,tblVeriA[AgirlikKg]),0))*$C409*IFERROR(SUMIF(tblVeriA[SiparisNo],$A409,tblVeriA[Adet]),1)*(1+$E409*kdo_iadeEtkiCarpani),0))</f>
        <v/>
      </c>
      <c r="H409" s="13" t="n"/>
      <c r="I409" s="13" t="n"/>
      <c r="J409" s="15">
        <f>IF($A409="","",1)</f>
        <v/>
      </c>
    </row>
    <row r="410">
      <c r="A410" s="13" t="n"/>
      <c r="B410" s="13" t="n"/>
      <c r="C410" s="16" t="n"/>
      <c r="D410" s="16" t="n"/>
      <c r="E410" s="17" t="n"/>
      <c r="F410" s="16" t="n"/>
      <c r="G410" s="15">
        <f>IF($A410="","",IFERROR(MAX(IFERROR(SUMIF(tblVeriA[SiparisNo],$A410,tblVeriA[EnCm])*SUMIF(tblVeriA[SiparisNo],$A410,tblVeriA[BoyCm])*SUMIF(tblVeriA[SiparisNo],$A410,tblVeriA[YukseklikCm])/MAX(SUMIF(tblVeriA[SiparisNo],$A410,tblVeriA[DesiCarpani]),1),0),IFERROR(SUMIF(tblVeriA[SiparisNo],$A410,tblVeriA[AgirlikKg]),0))*$C410*IFERROR(SUMIF(tblVeriA[SiparisNo],$A410,tblVeriA[Adet]),1)*(1+$E410*kdo_iadeEtkiCarpani),0))</f>
        <v/>
      </c>
      <c r="H410" s="13" t="n"/>
      <c r="I410" s="13" t="n"/>
      <c r="J410" s="15">
        <f>IF($A410="","",1)</f>
        <v/>
      </c>
    </row>
    <row r="411">
      <c r="A411" s="13" t="n"/>
      <c r="B411" s="13" t="n"/>
      <c r="C411" s="16" t="n"/>
      <c r="D411" s="16" t="n"/>
      <c r="E411" s="17" t="n"/>
      <c r="F411" s="16" t="n"/>
      <c r="G411" s="15">
        <f>IF($A411="","",IFERROR(MAX(IFERROR(SUMIF(tblVeriA[SiparisNo],$A411,tblVeriA[EnCm])*SUMIF(tblVeriA[SiparisNo],$A411,tblVeriA[BoyCm])*SUMIF(tblVeriA[SiparisNo],$A411,tblVeriA[YukseklikCm])/MAX(SUMIF(tblVeriA[SiparisNo],$A411,tblVeriA[DesiCarpani]),1),0),IFERROR(SUMIF(tblVeriA[SiparisNo],$A411,tblVeriA[AgirlikKg]),0))*$C411*IFERROR(SUMIF(tblVeriA[SiparisNo],$A411,tblVeriA[Adet]),1)*(1+$E411*kdo_iadeEtkiCarpani),0))</f>
        <v/>
      </c>
      <c r="H411" s="13" t="n"/>
      <c r="I411" s="13" t="n"/>
      <c r="J411" s="15">
        <f>IF($A411="","",1)</f>
        <v/>
      </c>
    </row>
    <row r="412">
      <c r="A412" s="13" t="n"/>
      <c r="B412" s="13" t="n"/>
      <c r="C412" s="16" t="n"/>
      <c r="D412" s="16" t="n"/>
      <c r="E412" s="17" t="n"/>
      <c r="F412" s="16" t="n"/>
      <c r="G412" s="15">
        <f>IF($A412="","",IFERROR(MAX(IFERROR(SUMIF(tblVeriA[SiparisNo],$A412,tblVeriA[EnCm])*SUMIF(tblVeriA[SiparisNo],$A412,tblVeriA[BoyCm])*SUMIF(tblVeriA[SiparisNo],$A412,tblVeriA[YukseklikCm])/MAX(SUMIF(tblVeriA[SiparisNo],$A412,tblVeriA[DesiCarpani]),1),0),IFERROR(SUMIF(tblVeriA[SiparisNo],$A412,tblVeriA[AgirlikKg]),0))*$C412*IFERROR(SUMIF(tblVeriA[SiparisNo],$A412,tblVeriA[Adet]),1)*(1+$E412*kdo_iadeEtkiCarpani),0))</f>
        <v/>
      </c>
      <c r="H412" s="13" t="n"/>
      <c r="I412" s="13" t="n"/>
      <c r="J412" s="15">
        <f>IF($A412="","",1)</f>
        <v/>
      </c>
    </row>
    <row r="413">
      <c r="A413" s="13" t="n"/>
      <c r="B413" s="13" t="n"/>
      <c r="C413" s="16" t="n"/>
      <c r="D413" s="16" t="n"/>
      <c r="E413" s="17" t="n"/>
      <c r="F413" s="16" t="n"/>
      <c r="G413" s="15">
        <f>IF($A413="","",IFERROR(MAX(IFERROR(SUMIF(tblVeriA[SiparisNo],$A413,tblVeriA[EnCm])*SUMIF(tblVeriA[SiparisNo],$A413,tblVeriA[BoyCm])*SUMIF(tblVeriA[SiparisNo],$A413,tblVeriA[YukseklikCm])/MAX(SUMIF(tblVeriA[SiparisNo],$A413,tblVeriA[DesiCarpani]),1),0),IFERROR(SUMIF(tblVeriA[SiparisNo],$A413,tblVeriA[AgirlikKg]),0))*$C413*IFERROR(SUMIF(tblVeriA[SiparisNo],$A413,tblVeriA[Adet]),1)*(1+$E413*kdo_iadeEtkiCarpani),0))</f>
        <v/>
      </c>
      <c r="H413" s="13" t="n"/>
      <c r="I413" s="13" t="n"/>
      <c r="J413" s="15">
        <f>IF($A413="","",1)</f>
        <v/>
      </c>
    </row>
    <row r="414">
      <c r="A414" s="13" t="n"/>
      <c r="B414" s="13" t="n"/>
      <c r="C414" s="16" t="n"/>
      <c r="D414" s="16" t="n"/>
      <c r="E414" s="17" t="n"/>
      <c r="F414" s="16" t="n"/>
      <c r="G414" s="15">
        <f>IF($A414="","",IFERROR(MAX(IFERROR(SUMIF(tblVeriA[SiparisNo],$A414,tblVeriA[EnCm])*SUMIF(tblVeriA[SiparisNo],$A414,tblVeriA[BoyCm])*SUMIF(tblVeriA[SiparisNo],$A414,tblVeriA[YukseklikCm])/MAX(SUMIF(tblVeriA[SiparisNo],$A414,tblVeriA[DesiCarpani]),1),0),IFERROR(SUMIF(tblVeriA[SiparisNo],$A414,tblVeriA[AgirlikKg]),0))*$C414*IFERROR(SUMIF(tblVeriA[SiparisNo],$A414,tblVeriA[Adet]),1)*(1+$E414*kdo_iadeEtkiCarpani),0))</f>
        <v/>
      </c>
      <c r="H414" s="13" t="n"/>
      <c r="I414" s="13" t="n"/>
      <c r="J414" s="15">
        <f>IF($A414="","",1)</f>
        <v/>
      </c>
    </row>
    <row r="415">
      <c r="A415" s="13" t="n"/>
      <c r="B415" s="13" t="n"/>
      <c r="C415" s="16" t="n"/>
      <c r="D415" s="16" t="n"/>
      <c r="E415" s="17" t="n"/>
      <c r="F415" s="16" t="n"/>
      <c r="G415" s="15">
        <f>IF($A415="","",IFERROR(MAX(IFERROR(SUMIF(tblVeriA[SiparisNo],$A415,tblVeriA[EnCm])*SUMIF(tblVeriA[SiparisNo],$A415,tblVeriA[BoyCm])*SUMIF(tblVeriA[SiparisNo],$A415,tblVeriA[YukseklikCm])/MAX(SUMIF(tblVeriA[SiparisNo],$A415,tblVeriA[DesiCarpani]),1),0),IFERROR(SUMIF(tblVeriA[SiparisNo],$A415,tblVeriA[AgirlikKg]),0))*$C415*IFERROR(SUMIF(tblVeriA[SiparisNo],$A415,tblVeriA[Adet]),1)*(1+$E415*kdo_iadeEtkiCarpani),0))</f>
        <v/>
      </c>
      <c r="H415" s="13" t="n"/>
      <c r="I415" s="13" t="n"/>
      <c r="J415" s="15">
        <f>IF($A415="","",1)</f>
        <v/>
      </c>
    </row>
    <row r="416">
      <c r="A416" s="13" t="n"/>
      <c r="B416" s="13" t="n"/>
      <c r="C416" s="16" t="n"/>
      <c r="D416" s="16" t="n"/>
      <c r="E416" s="17" t="n"/>
      <c r="F416" s="16" t="n"/>
      <c r="G416" s="15">
        <f>IF($A416="","",IFERROR(MAX(IFERROR(SUMIF(tblVeriA[SiparisNo],$A416,tblVeriA[EnCm])*SUMIF(tblVeriA[SiparisNo],$A416,tblVeriA[BoyCm])*SUMIF(tblVeriA[SiparisNo],$A416,tblVeriA[YukseklikCm])/MAX(SUMIF(tblVeriA[SiparisNo],$A416,tblVeriA[DesiCarpani]),1),0),IFERROR(SUMIF(tblVeriA[SiparisNo],$A416,tblVeriA[AgirlikKg]),0))*$C416*IFERROR(SUMIF(tblVeriA[SiparisNo],$A416,tblVeriA[Adet]),1)*(1+$E416*kdo_iadeEtkiCarpani),0))</f>
        <v/>
      </c>
      <c r="H416" s="13" t="n"/>
      <c r="I416" s="13" t="n"/>
      <c r="J416" s="15">
        <f>IF($A416="","",1)</f>
        <v/>
      </c>
    </row>
    <row r="417">
      <c r="A417" s="13" t="n"/>
      <c r="B417" s="13" t="n"/>
      <c r="C417" s="16" t="n"/>
      <c r="D417" s="16" t="n"/>
      <c r="E417" s="17" t="n"/>
      <c r="F417" s="16" t="n"/>
      <c r="G417" s="15">
        <f>IF($A417="","",IFERROR(MAX(IFERROR(SUMIF(tblVeriA[SiparisNo],$A417,tblVeriA[EnCm])*SUMIF(tblVeriA[SiparisNo],$A417,tblVeriA[BoyCm])*SUMIF(tblVeriA[SiparisNo],$A417,tblVeriA[YukseklikCm])/MAX(SUMIF(tblVeriA[SiparisNo],$A417,tblVeriA[DesiCarpani]),1),0),IFERROR(SUMIF(tblVeriA[SiparisNo],$A417,tblVeriA[AgirlikKg]),0))*$C417*IFERROR(SUMIF(tblVeriA[SiparisNo],$A417,tblVeriA[Adet]),1)*(1+$E417*kdo_iadeEtkiCarpani),0))</f>
        <v/>
      </c>
      <c r="H417" s="13" t="n"/>
      <c r="I417" s="13" t="n"/>
      <c r="J417" s="15">
        <f>IF($A417="","",1)</f>
        <v/>
      </c>
    </row>
    <row r="418">
      <c r="A418" s="13" t="n"/>
      <c r="B418" s="13" t="n"/>
      <c r="C418" s="16" t="n"/>
      <c r="D418" s="16" t="n"/>
      <c r="E418" s="17" t="n"/>
      <c r="F418" s="16" t="n"/>
      <c r="G418" s="15">
        <f>IF($A418="","",IFERROR(MAX(IFERROR(SUMIF(tblVeriA[SiparisNo],$A418,tblVeriA[EnCm])*SUMIF(tblVeriA[SiparisNo],$A418,tblVeriA[BoyCm])*SUMIF(tblVeriA[SiparisNo],$A418,tblVeriA[YukseklikCm])/MAX(SUMIF(tblVeriA[SiparisNo],$A418,tblVeriA[DesiCarpani]),1),0),IFERROR(SUMIF(tblVeriA[SiparisNo],$A418,tblVeriA[AgirlikKg]),0))*$C418*IFERROR(SUMIF(tblVeriA[SiparisNo],$A418,tblVeriA[Adet]),1)*(1+$E418*kdo_iadeEtkiCarpani),0))</f>
        <v/>
      </c>
      <c r="H418" s="13" t="n"/>
      <c r="I418" s="13" t="n"/>
      <c r="J418" s="15">
        <f>IF($A418="","",1)</f>
        <v/>
      </c>
    </row>
    <row r="419">
      <c r="A419" s="13" t="n"/>
      <c r="B419" s="13" t="n"/>
      <c r="C419" s="16" t="n"/>
      <c r="D419" s="16" t="n"/>
      <c r="E419" s="17" t="n"/>
      <c r="F419" s="16" t="n"/>
      <c r="G419" s="15">
        <f>IF($A419="","",IFERROR(MAX(IFERROR(SUMIF(tblVeriA[SiparisNo],$A419,tblVeriA[EnCm])*SUMIF(tblVeriA[SiparisNo],$A419,tblVeriA[BoyCm])*SUMIF(tblVeriA[SiparisNo],$A419,tblVeriA[YukseklikCm])/MAX(SUMIF(tblVeriA[SiparisNo],$A419,tblVeriA[DesiCarpani]),1),0),IFERROR(SUMIF(tblVeriA[SiparisNo],$A419,tblVeriA[AgirlikKg]),0))*$C419*IFERROR(SUMIF(tblVeriA[SiparisNo],$A419,tblVeriA[Adet]),1)*(1+$E419*kdo_iadeEtkiCarpani),0))</f>
        <v/>
      </c>
      <c r="H419" s="13" t="n"/>
      <c r="I419" s="13" t="n"/>
      <c r="J419" s="15">
        <f>IF($A419="","",1)</f>
        <v/>
      </c>
    </row>
    <row r="420">
      <c r="A420" s="13" t="n"/>
      <c r="B420" s="13" t="n"/>
      <c r="C420" s="16" t="n"/>
      <c r="D420" s="16" t="n"/>
      <c r="E420" s="17" t="n"/>
      <c r="F420" s="16" t="n"/>
      <c r="G420" s="15">
        <f>IF($A420="","",IFERROR(MAX(IFERROR(SUMIF(tblVeriA[SiparisNo],$A420,tblVeriA[EnCm])*SUMIF(tblVeriA[SiparisNo],$A420,tblVeriA[BoyCm])*SUMIF(tblVeriA[SiparisNo],$A420,tblVeriA[YukseklikCm])/MAX(SUMIF(tblVeriA[SiparisNo],$A420,tblVeriA[DesiCarpani]),1),0),IFERROR(SUMIF(tblVeriA[SiparisNo],$A420,tblVeriA[AgirlikKg]),0))*$C420*IFERROR(SUMIF(tblVeriA[SiparisNo],$A420,tblVeriA[Adet]),1)*(1+$E420*kdo_iadeEtkiCarpani),0))</f>
        <v/>
      </c>
      <c r="H420" s="13" t="n"/>
      <c r="I420" s="13" t="n"/>
      <c r="J420" s="15">
        <f>IF($A420="","",1)</f>
        <v/>
      </c>
    </row>
    <row r="421">
      <c r="A421" s="13" t="n"/>
      <c r="B421" s="13" t="n"/>
      <c r="C421" s="16" t="n"/>
      <c r="D421" s="16" t="n"/>
      <c r="E421" s="17" t="n"/>
      <c r="F421" s="16" t="n"/>
      <c r="G421" s="15">
        <f>IF($A421="","",IFERROR(MAX(IFERROR(SUMIF(tblVeriA[SiparisNo],$A421,tblVeriA[EnCm])*SUMIF(tblVeriA[SiparisNo],$A421,tblVeriA[BoyCm])*SUMIF(tblVeriA[SiparisNo],$A421,tblVeriA[YukseklikCm])/MAX(SUMIF(tblVeriA[SiparisNo],$A421,tblVeriA[DesiCarpani]),1),0),IFERROR(SUMIF(tblVeriA[SiparisNo],$A421,tblVeriA[AgirlikKg]),0))*$C421*IFERROR(SUMIF(tblVeriA[SiparisNo],$A421,tblVeriA[Adet]),1)*(1+$E421*kdo_iadeEtkiCarpani),0))</f>
        <v/>
      </c>
      <c r="H421" s="13" t="n"/>
      <c r="I421" s="13" t="n"/>
      <c r="J421" s="15">
        <f>IF($A421="","",1)</f>
        <v/>
      </c>
    </row>
    <row r="422">
      <c r="A422" s="13" t="n"/>
      <c r="B422" s="13" t="n"/>
      <c r="C422" s="16" t="n"/>
      <c r="D422" s="16" t="n"/>
      <c r="E422" s="17" t="n"/>
      <c r="F422" s="16" t="n"/>
      <c r="G422" s="15">
        <f>IF($A422="","",IFERROR(MAX(IFERROR(SUMIF(tblVeriA[SiparisNo],$A422,tblVeriA[EnCm])*SUMIF(tblVeriA[SiparisNo],$A422,tblVeriA[BoyCm])*SUMIF(tblVeriA[SiparisNo],$A422,tblVeriA[YukseklikCm])/MAX(SUMIF(tblVeriA[SiparisNo],$A422,tblVeriA[DesiCarpani]),1),0),IFERROR(SUMIF(tblVeriA[SiparisNo],$A422,tblVeriA[AgirlikKg]),0))*$C422*IFERROR(SUMIF(tblVeriA[SiparisNo],$A422,tblVeriA[Adet]),1)*(1+$E422*kdo_iadeEtkiCarpani),0))</f>
        <v/>
      </c>
      <c r="H422" s="13" t="n"/>
      <c r="I422" s="13" t="n"/>
      <c r="J422" s="15">
        <f>IF($A422="","",1)</f>
        <v/>
      </c>
    </row>
    <row r="423">
      <c r="A423" s="13" t="n"/>
      <c r="B423" s="13" t="n"/>
      <c r="C423" s="16" t="n"/>
      <c r="D423" s="16" t="n"/>
      <c r="E423" s="17" t="n"/>
      <c r="F423" s="16" t="n"/>
      <c r="G423" s="15">
        <f>IF($A423="","",IFERROR(MAX(IFERROR(SUMIF(tblVeriA[SiparisNo],$A423,tblVeriA[EnCm])*SUMIF(tblVeriA[SiparisNo],$A423,tblVeriA[BoyCm])*SUMIF(tblVeriA[SiparisNo],$A423,tblVeriA[YukseklikCm])/MAX(SUMIF(tblVeriA[SiparisNo],$A423,tblVeriA[DesiCarpani]),1),0),IFERROR(SUMIF(tblVeriA[SiparisNo],$A423,tblVeriA[AgirlikKg]),0))*$C423*IFERROR(SUMIF(tblVeriA[SiparisNo],$A423,tblVeriA[Adet]),1)*(1+$E423*kdo_iadeEtkiCarpani),0))</f>
        <v/>
      </c>
      <c r="H423" s="13" t="n"/>
      <c r="I423" s="13" t="n"/>
      <c r="J423" s="15">
        <f>IF($A423="","",1)</f>
        <v/>
      </c>
    </row>
    <row r="424">
      <c r="A424" s="13" t="n"/>
      <c r="B424" s="13" t="n"/>
      <c r="C424" s="16" t="n"/>
      <c r="D424" s="16" t="n"/>
      <c r="E424" s="17" t="n"/>
      <c r="F424" s="16" t="n"/>
      <c r="G424" s="15">
        <f>IF($A424="","",IFERROR(MAX(IFERROR(SUMIF(tblVeriA[SiparisNo],$A424,tblVeriA[EnCm])*SUMIF(tblVeriA[SiparisNo],$A424,tblVeriA[BoyCm])*SUMIF(tblVeriA[SiparisNo],$A424,tblVeriA[YukseklikCm])/MAX(SUMIF(tblVeriA[SiparisNo],$A424,tblVeriA[DesiCarpani]),1),0),IFERROR(SUMIF(tblVeriA[SiparisNo],$A424,tblVeriA[AgirlikKg]),0))*$C424*IFERROR(SUMIF(tblVeriA[SiparisNo],$A424,tblVeriA[Adet]),1)*(1+$E424*kdo_iadeEtkiCarpani),0))</f>
        <v/>
      </c>
      <c r="H424" s="13" t="n"/>
      <c r="I424" s="13" t="n"/>
      <c r="J424" s="15">
        <f>IF($A424="","",1)</f>
        <v/>
      </c>
    </row>
    <row r="425">
      <c r="A425" s="13" t="n"/>
      <c r="B425" s="13" t="n"/>
      <c r="C425" s="16" t="n"/>
      <c r="D425" s="16" t="n"/>
      <c r="E425" s="17" t="n"/>
      <c r="F425" s="16" t="n"/>
      <c r="G425" s="15">
        <f>IF($A425="","",IFERROR(MAX(IFERROR(SUMIF(tblVeriA[SiparisNo],$A425,tblVeriA[EnCm])*SUMIF(tblVeriA[SiparisNo],$A425,tblVeriA[BoyCm])*SUMIF(tblVeriA[SiparisNo],$A425,tblVeriA[YukseklikCm])/MAX(SUMIF(tblVeriA[SiparisNo],$A425,tblVeriA[DesiCarpani]),1),0),IFERROR(SUMIF(tblVeriA[SiparisNo],$A425,tblVeriA[AgirlikKg]),0))*$C425*IFERROR(SUMIF(tblVeriA[SiparisNo],$A425,tblVeriA[Adet]),1)*(1+$E425*kdo_iadeEtkiCarpani),0))</f>
        <v/>
      </c>
      <c r="H425" s="13" t="n"/>
      <c r="I425" s="13" t="n"/>
      <c r="J425" s="15">
        <f>IF($A425="","",1)</f>
        <v/>
      </c>
    </row>
    <row r="426">
      <c r="A426" s="13" t="n"/>
      <c r="B426" s="13" t="n"/>
      <c r="C426" s="16" t="n"/>
      <c r="D426" s="16" t="n"/>
      <c r="E426" s="17" t="n"/>
      <c r="F426" s="16" t="n"/>
      <c r="G426" s="15">
        <f>IF($A426="","",IFERROR(MAX(IFERROR(SUMIF(tblVeriA[SiparisNo],$A426,tblVeriA[EnCm])*SUMIF(tblVeriA[SiparisNo],$A426,tblVeriA[BoyCm])*SUMIF(tblVeriA[SiparisNo],$A426,tblVeriA[YukseklikCm])/MAX(SUMIF(tblVeriA[SiparisNo],$A426,tblVeriA[DesiCarpani]),1),0),IFERROR(SUMIF(tblVeriA[SiparisNo],$A426,tblVeriA[AgirlikKg]),0))*$C426*IFERROR(SUMIF(tblVeriA[SiparisNo],$A426,tblVeriA[Adet]),1)*(1+$E426*kdo_iadeEtkiCarpani),0))</f>
        <v/>
      </c>
      <c r="H426" s="13" t="n"/>
      <c r="I426" s="13" t="n"/>
      <c r="J426" s="15">
        <f>IF($A426="","",1)</f>
        <v/>
      </c>
    </row>
    <row r="427">
      <c r="A427" s="13" t="n"/>
      <c r="B427" s="13" t="n"/>
      <c r="C427" s="16" t="n"/>
      <c r="D427" s="16" t="n"/>
      <c r="E427" s="17" t="n"/>
      <c r="F427" s="16" t="n"/>
      <c r="G427" s="15">
        <f>IF($A427="","",IFERROR(MAX(IFERROR(SUMIF(tblVeriA[SiparisNo],$A427,tblVeriA[EnCm])*SUMIF(tblVeriA[SiparisNo],$A427,tblVeriA[BoyCm])*SUMIF(tblVeriA[SiparisNo],$A427,tblVeriA[YukseklikCm])/MAX(SUMIF(tblVeriA[SiparisNo],$A427,tblVeriA[DesiCarpani]),1),0),IFERROR(SUMIF(tblVeriA[SiparisNo],$A427,tblVeriA[AgirlikKg]),0))*$C427*IFERROR(SUMIF(tblVeriA[SiparisNo],$A427,tblVeriA[Adet]),1)*(1+$E427*kdo_iadeEtkiCarpani),0))</f>
        <v/>
      </c>
      <c r="H427" s="13" t="n"/>
      <c r="I427" s="13" t="n"/>
      <c r="J427" s="15">
        <f>IF($A427="","",1)</f>
        <v/>
      </c>
    </row>
    <row r="428">
      <c r="A428" s="13" t="n"/>
      <c r="B428" s="13" t="n"/>
      <c r="C428" s="16" t="n"/>
      <c r="D428" s="16" t="n"/>
      <c r="E428" s="17" t="n"/>
      <c r="F428" s="16" t="n"/>
      <c r="G428" s="15">
        <f>IF($A428="","",IFERROR(MAX(IFERROR(SUMIF(tblVeriA[SiparisNo],$A428,tblVeriA[EnCm])*SUMIF(tblVeriA[SiparisNo],$A428,tblVeriA[BoyCm])*SUMIF(tblVeriA[SiparisNo],$A428,tblVeriA[YukseklikCm])/MAX(SUMIF(tblVeriA[SiparisNo],$A428,tblVeriA[DesiCarpani]),1),0),IFERROR(SUMIF(tblVeriA[SiparisNo],$A428,tblVeriA[AgirlikKg]),0))*$C428*IFERROR(SUMIF(tblVeriA[SiparisNo],$A428,tblVeriA[Adet]),1)*(1+$E428*kdo_iadeEtkiCarpani),0))</f>
        <v/>
      </c>
      <c r="H428" s="13" t="n"/>
      <c r="I428" s="13" t="n"/>
      <c r="J428" s="15">
        <f>IF($A428="","",1)</f>
        <v/>
      </c>
    </row>
    <row r="429">
      <c r="A429" s="13" t="n"/>
      <c r="B429" s="13" t="n"/>
      <c r="C429" s="16" t="n"/>
      <c r="D429" s="16" t="n"/>
      <c r="E429" s="17" t="n"/>
      <c r="F429" s="16" t="n"/>
      <c r="G429" s="15">
        <f>IF($A429="","",IFERROR(MAX(IFERROR(SUMIF(tblVeriA[SiparisNo],$A429,tblVeriA[EnCm])*SUMIF(tblVeriA[SiparisNo],$A429,tblVeriA[BoyCm])*SUMIF(tblVeriA[SiparisNo],$A429,tblVeriA[YukseklikCm])/MAX(SUMIF(tblVeriA[SiparisNo],$A429,tblVeriA[DesiCarpani]),1),0),IFERROR(SUMIF(tblVeriA[SiparisNo],$A429,tblVeriA[AgirlikKg]),0))*$C429*IFERROR(SUMIF(tblVeriA[SiparisNo],$A429,tblVeriA[Adet]),1)*(1+$E429*kdo_iadeEtkiCarpani),0))</f>
        <v/>
      </c>
      <c r="H429" s="13" t="n"/>
      <c r="I429" s="13" t="n"/>
      <c r="J429" s="15">
        <f>IF($A429="","",1)</f>
        <v/>
      </c>
    </row>
    <row r="430">
      <c r="A430" s="13" t="n"/>
      <c r="B430" s="13" t="n"/>
      <c r="C430" s="16" t="n"/>
      <c r="D430" s="16" t="n"/>
      <c r="E430" s="17" t="n"/>
      <c r="F430" s="16" t="n"/>
      <c r="G430" s="15">
        <f>IF($A430="","",IFERROR(MAX(IFERROR(SUMIF(tblVeriA[SiparisNo],$A430,tblVeriA[EnCm])*SUMIF(tblVeriA[SiparisNo],$A430,tblVeriA[BoyCm])*SUMIF(tblVeriA[SiparisNo],$A430,tblVeriA[YukseklikCm])/MAX(SUMIF(tblVeriA[SiparisNo],$A430,tblVeriA[DesiCarpani]),1),0),IFERROR(SUMIF(tblVeriA[SiparisNo],$A430,tblVeriA[AgirlikKg]),0))*$C430*IFERROR(SUMIF(tblVeriA[SiparisNo],$A430,tblVeriA[Adet]),1)*(1+$E430*kdo_iadeEtkiCarpani),0))</f>
        <v/>
      </c>
      <c r="H430" s="13" t="n"/>
      <c r="I430" s="13" t="n"/>
      <c r="J430" s="15">
        <f>IF($A430="","",1)</f>
        <v/>
      </c>
    </row>
    <row r="431">
      <c r="A431" s="13" t="n"/>
      <c r="B431" s="13" t="n"/>
      <c r="C431" s="16" t="n"/>
      <c r="D431" s="16" t="n"/>
      <c r="E431" s="17" t="n"/>
      <c r="F431" s="16" t="n"/>
      <c r="G431" s="15">
        <f>IF($A431="","",IFERROR(MAX(IFERROR(SUMIF(tblVeriA[SiparisNo],$A431,tblVeriA[EnCm])*SUMIF(tblVeriA[SiparisNo],$A431,tblVeriA[BoyCm])*SUMIF(tblVeriA[SiparisNo],$A431,tblVeriA[YukseklikCm])/MAX(SUMIF(tblVeriA[SiparisNo],$A431,tblVeriA[DesiCarpani]),1),0),IFERROR(SUMIF(tblVeriA[SiparisNo],$A431,tblVeriA[AgirlikKg]),0))*$C431*IFERROR(SUMIF(tblVeriA[SiparisNo],$A431,tblVeriA[Adet]),1)*(1+$E431*kdo_iadeEtkiCarpani),0))</f>
        <v/>
      </c>
      <c r="H431" s="13" t="n"/>
      <c r="I431" s="13" t="n"/>
      <c r="J431" s="15">
        <f>IF($A431="","",1)</f>
        <v/>
      </c>
    </row>
    <row r="432">
      <c r="A432" s="13" t="n"/>
      <c r="B432" s="13" t="n"/>
      <c r="C432" s="16" t="n"/>
      <c r="D432" s="16" t="n"/>
      <c r="E432" s="17" t="n"/>
      <c r="F432" s="16" t="n"/>
      <c r="G432" s="15">
        <f>IF($A432="","",IFERROR(MAX(IFERROR(SUMIF(tblVeriA[SiparisNo],$A432,tblVeriA[EnCm])*SUMIF(tblVeriA[SiparisNo],$A432,tblVeriA[BoyCm])*SUMIF(tblVeriA[SiparisNo],$A432,tblVeriA[YukseklikCm])/MAX(SUMIF(tblVeriA[SiparisNo],$A432,tblVeriA[DesiCarpani]),1),0),IFERROR(SUMIF(tblVeriA[SiparisNo],$A432,tblVeriA[AgirlikKg]),0))*$C432*IFERROR(SUMIF(tblVeriA[SiparisNo],$A432,tblVeriA[Adet]),1)*(1+$E432*kdo_iadeEtkiCarpani),0))</f>
        <v/>
      </c>
      <c r="H432" s="13" t="n"/>
      <c r="I432" s="13" t="n"/>
      <c r="J432" s="15">
        <f>IF($A432="","",1)</f>
        <v/>
      </c>
    </row>
    <row r="433">
      <c r="A433" s="13" t="n"/>
      <c r="B433" s="13" t="n"/>
      <c r="C433" s="16" t="n"/>
      <c r="D433" s="16" t="n"/>
      <c r="E433" s="17" t="n"/>
      <c r="F433" s="16" t="n"/>
      <c r="G433" s="15">
        <f>IF($A433="","",IFERROR(MAX(IFERROR(SUMIF(tblVeriA[SiparisNo],$A433,tblVeriA[EnCm])*SUMIF(tblVeriA[SiparisNo],$A433,tblVeriA[BoyCm])*SUMIF(tblVeriA[SiparisNo],$A433,tblVeriA[YukseklikCm])/MAX(SUMIF(tblVeriA[SiparisNo],$A433,tblVeriA[DesiCarpani]),1),0),IFERROR(SUMIF(tblVeriA[SiparisNo],$A433,tblVeriA[AgirlikKg]),0))*$C433*IFERROR(SUMIF(tblVeriA[SiparisNo],$A433,tblVeriA[Adet]),1)*(1+$E433*kdo_iadeEtkiCarpani),0))</f>
        <v/>
      </c>
      <c r="H433" s="13" t="n"/>
      <c r="I433" s="13" t="n"/>
      <c r="J433" s="15">
        <f>IF($A433="","",1)</f>
        <v/>
      </c>
    </row>
    <row r="434">
      <c r="A434" s="13" t="n"/>
      <c r="B434" s="13" t="n"/>
      <c r="C434" s="16" t="n"/>
      <c r="D434" s="16" t="n"/>
      <c r="E434" s="17" t="n"/>
      <c r="F434" s="16" t="n"/>
      <c r="G434" s="15">
        <f>IF($A434="","",IFERROR(MAX(IFERROR(SUMIF(tblVeriA[SiparisNo],$A434,tblVeriA[EnCm])*SUMIF(tblVeriA[SiparisNo],$A434,tblVeriA[BoyCm])*SUMIF(tblVeriA[SiparisNo],$A434,tblVeriA[YukseklikCm])/MAX(SUMIF(tblVeriA[SiparisNo],$A434,tblVeriA[DesiCarpani]),1),0),IFERROR(SUMIF(tblVeriA[SiparisNo],$A434,tblVeriA[AgirlikKg]),0))*$C434*IFERROR(SUMIF(tblVeriA[SiparisNo],$A434,tblVeriA[Adet]),1)*(1+$E434*kdo_iadeEtkiCarpani),0))</f>
        <v/>
      </c>
      <c r="H434" s="13" t="n"/>
      <c r="I434" s="13" t="n"/>
      <c r="J434" s="15">
        <f>IF($A434="","",1)</f>
        <v/>
      </c>
    </row>
    <row r="435">
      <c r="A435" s="13" t="n"/>
      <c r="B435" s="13" t="n"/>
      <c r="C435" s="16" t="n"/>
      <c r="D435" s="16" t="n"/>
      <c r="E435" s="17" t="n"/>
      <c r="F435" s="16" t="n"/>
      <c r="G435" s="15">
        <f>IF($A435="","",IFERROR(MAX(IFERROR(SUMIF(tblVeriA[SiparisNo],$A435,tblVeriA[EnCm])*SUMIF(tblVeriA[SiparisNo],$A435,tblVeriA[BoyCm])*SUMIF(tblVeriA[SiparisNo],$A435,tblVeriA[YukseklikCm])/MAX(SUMIF(tblVeriA[SiparisNo],$A435,tblVeriA[DesiCarpani]),1),0),IFERROR(SUMIF(tblVeriA[SiparisNo],$A435,tblVeriA[AgirlikKg]),0))*$C435*IFERROR(SUMIF(tblVeriA[SiparisNo],$A435,tblVeriA[Adet]),1)*(1+$E435*kdo_iadeEtkiCarpani),0))</f>
        <v/>
      </c>
      <c r="H435" s="13" t="n"/>
      <c r="I435" s="13" t="n"/>
      <c r="J435" s="15">
        <f>IF($A435="","",1)</f>
        <v/>
      </c>
    </row>
    <row r="436">
      <c r="A436" s="13" t="n"/>
      <c r="B436" s="13" t="n"/>
      <c r="C436" s="16" t="n"/>
      <c r="D436" s="16" t="n"/>
      <c r="E436" s="17" t="n"/>
      <c r="F436" s="16" t="n"/>
      <c r="G436" s="15">
        <f>IF($A436="","",IFERROR(MAX(IFERROR(SUMIF(tblVeriA[SiparisNo],$A436,tblVeriA[EnCm])*SUMIF(tblVeriA[SiparisNo],$A436,tblVeriA[BoyCm])*SUMIF(tblVeriA[SiparisNo],$A436,tblVeriA[YukseklikCm])/MAX(SUMIF(tblVeriA[SiparisNo],$A436,tblVeriA[DesiCarpani]),1),0),IFERROR(SUMIF(tblVeriA[SiparisNo],$A436,tblVeriA[AgirlikKg]),0))*$C436*IFERROR(SUMIF(tblVeriA[SiparisNo],$A436,tblVeriA[Adet]),1)*(1+$E436*kdo_iadeEtkiCarpani),0))</f>
        <v/>
      </c>
      <c r="H436" s="13" t="n"/>
      <c r="I436" s="13" t="n"/>
      <c r="J436" s="15">
        <f>IF($A436="","",1)</f>
        <v/>
      </c>
    </row>
    <row r="437">
      <c r="A437" s="13" t="n"/>
      <c r="B437" s="13" t="n"/>
      <c r="C437" s="16" t="n"/>
      <c r="D437" s="16" t="n"/>
      <c r="E437" s="17" t="n"/>
      <c r="F437" s="16" t="n"/>
      <c r="G437" s="15">
        <f>IF($A437="","",IFERROR(MAX(IFERROR(SUMIF(tblVeriA[SiparisNo],$A437,tblVeriA[EnCm])*SUMIF(tblVeriA[SiparisNo],$A437,tblVeriA[BoyCm])*SUMIF(tblVeriA[SiparisNo],$A437,tblVeriA[YukseklikCm])/MAX(SUMIF(tblVeriA[SiparisNo],$A437,tblVeriA[DesiCarpani]),1),0),IFERROR(SUMIF(tblVeriA[SiparisNo],$A437,tblVeriA[AgirlikKg]),0))*$C437*IFERROR(SUMIF(tblVeriA[SiparisNo],$A437,tblVeriA[Adet]),1)*(1+$E437*kdo_iadeEtkiCarpani),0))</f>
        <v/>
      </c>
      <c r="H437" s="13" t="n"/>
      <c r="I437" s="13" t="n"/>
      <c r="J437" s="15">
        <f>IF($A437="","",1)</f>
        <v/>
      </c>
    </row>
    <row r="438">
      <c r="A438" s="13" t="n"/>
      <c r="B438" s="13" t="n"/>
      <c r="C438" s="16" t="n"/>
      <c r="D438" s="16" t="n"/>
      <c r="E438" s="17" t="n"/>
      <c r="F438" s="16" t="n"/>
      <c r="G438" s="15">
        <f>IF($A438="","",IFERROR(MAX(IFERROR(SUMIF(tblVeriA[SiparisNo],$A438,tblVeriA[EnCm])*SUMIF(tblVeriA[SiparisNo],$A438,tblVeriA[BoyCm])*SUMIF(tblVeriA[SiparisNo],$A438,tblVeriA[YukseklikCm])/MAX(SUMIF(tblVeriA[SiparisNo],$A438,tblVeriA[DesiCarpani]),1),0),IFERROR(SUMIF(tblVeriA[SiparisNo],$A438,tblVeriA[AgirlikKg]),0))*$C438*IFERROR(SUMIF(tblVeriA[SiparisNo],$A438,tblVeriA[Adet]),1)*(1+$E438*kdo_iadeEtkiCarpani),0))</f>
        <v/>
      </c>
      <c r="H438" s="13" t="n"/>
      <c r="I438" s="13" t="n"/>
      <c r="J438" s="15">
        <f>IF($A438="","",1)</f>
        <v/>
      </c>
    </row>
    <row r="439">
      <c r="A439" s="13" t="n"/>
      <c r="B439" s="13" t="n"/>
      <c r="C439" s="16" t="n"/>
      <c r="D439" s="16" t="n"/>
      <c r="E439" s="17" t="n"/>
      <c r="F439" s="16" t="n"/>
      <c r="G439" s="15">
        <f>IF($A439="","",IFERROR(MAX(IFERROR(SUMIF(tblVeriA[SiparisNo],$A439,tblVeriA[EnCm])*SUMIF(tblVeriA[SiparisNo],$A439,tblVeriA[BoyCm])*SUMIF(tblVeriA[SiparisNo],$A439,tblVeriA[YukseklikCm])/MAX(SUMIF(tblVeriA[SiparisNo],$A439,tblVeriA[DesiCarpani]),1),0),IFERROR(SUMIF(tblVeriA[SiparisNo],$A439,tblVeriA[AgirlikKg]),0))*$C439*IFERROR(SUMIF(tblVeriA[SiparisNo],$A439,tblVeriA[Adet]),1)*(1+$E439*kdo_iadeEtkiCarpani),0))</f>
        <v/>
      </c>
      <c r="H439" s="13" t="n"/>
      <c r="I439" s="13" t="n"/>
      <c r="J439" s="15">
        <f>IF($A439="","",1)</f>
        <v/>
      </c>
    </row>
    <row r="440">
      <c r="A440" s="13" t="n"/>
      <c r="B440" s="13" t="n"/>
      <c r="C440" s="16" t="n"/>
      <c r="D440" s="16" t="n"/>
      <c r="E440" s="17" t="n"/>
      <c r="F440" s="16" t="n"/>
      <c r="G440" s="15">
        <f>IF($A440="","",IFERROR(MAX(IFERROR(SUMIF(tblVeriA[SiparisNo],$A440,tblVeriA[EnCm])*SUMIF(tblVeriA[SiparisNo],$A440,tblVeriA[BoyCm])*SUMIF(tblVeriA[SiparisNo],$A440,tblVeriA[YukseklikCm])/MAX(SUMIF(tblVeriA[SiparisNo],$A440,tblVeriA[DesiCarpani]),1),0),IFERROR(SUMIF(tblVeriA[SiparisNo],$A440,tblVeriA[AgirlikKg]),0))*$C440*IFERROR(SUMIF(tblVeriA[SiparisNo],$A440,tblVeriA[Adet]),1)*(1+$E440*kdo_iadeEtkiCarpani),0))</f>
        <v/>
      </c>
      <c r="H440" s="13" t="n"/>
      <c r="I440" s="13" t="n"/>
      <c r="J440" s="15">
        <f>IF($A440="","",1)</f>
        <v/>
      </c>
    </row>
    <row r="441">
      <c r="A441" s="13" t="n"/>
      <c r="B441" s="13" t="n"/>
      <c r="C441" s="16" t="n"/>
      <c r="D441" s="16" t="n"/>
      <c r="E441" s="17" t="n"/>
      <c r="F441" s="16" t="n"/>
      <c r="G441" s="15">
        <f>IF($A441="","",IFERROR(MAX(IFERROR(SUMIF(tblVeriA[SiparisNo],$A441,tblVeriA[EnCm])*SUMIF(tblVeriA[SiparisNo],$A441,tblVeriA[BoyCm])*SUMIF(tblVeriA[SiparisNo],$A441,tblVeriA[YukseklikCm])/MAX(SUMIF(tblVeriA[SiparisNo],$A441,tblVeriA[DesiCarpani]),1),0),IFERROR(SUMIF(tblVeriA[SiparisNo],$A441,tblVeriA[AgirlikKg]),0))*$C441*IFERROR(SUMIF(tblVeriA[SiparisNo],$A441,tblVeriA[Adet]),1)*(1+$E441*kdo_iadeEtkiCarpani),0))</f>
        <v/>
      </c>
      <c r="H441" s="13" t="n"/>
      <c r="I441" s="13" t="n"/>
      <c r="J441" s="15">
        <f>IF($A441="","",1)</f>
        <v/>
      </c>
    </row>
    <row r="442">
      <c r="A442" s="13" t="n"/>
      <c r="B442" s="13" t="n"/>
      <c r="C442" s="16" t="n"/>
      <c r="D442" s="16" t="n"/>
      <c r="E442" s="17" t="n"/>
      <c r="F442" s="16" t="n"/>
      <c r="G442" s="15">
        <f>IF($A442="","",IFERROR(MAX(IFERROR(SUMIF(tblVeriA[SiparisNo],$A442,tblVeriA[EnCm])*SUMIF(tblVeriA[SiparisNo],$A442,tblVeriA[BoyCm])*SUMIF(tblVeriA[SiparisNo],$A442,tblVeriA[YukseklikCm])/MAX(SUMIF(tblVeriA[SiparisNo],$A442,tblVeriA[DesiCarpani]),1),0),IFERROR(SUMIF(tblVeriA[SiparisNo],$A442,tblVeriA[AgirlikKg]),0))*$C442*IFERROR(SUMIF(tblVeriA[SiparisNo],$A442,tblVeriA[Adet]),1)*(1+$E442*kdo_iadeEtkiCarpani),0))</f>
        <v/>
      </c>
      <c r="H442" s="13" t="n"/>
      <c r="I442" s="13" t="n"/>
      <c r="J442" s="15">
        <f>IF($A442="","",1)</f>
        <v/>
      </c>
    </row>
    <row r="443">
      <c r="A443" s="13" t="n"/>
      <c r="B443" s="13" t="n"/>
      <c r="C443" s="16" t="n"/>
      <c r="D443" s="16" t="n"/>
      <c r="E443" s="17" t="n"/>
      <c r="F443" s="16" t="n"/>
      <c r="G443" s="15">
        <f>IF($A443="","",IFERROR(MAX(IFERROR(SUMIF(tblVeriA[SiparisNo],$A443,tblVeriA[EnCm])*SUMIF(tblVeriA[SiparisNo],$A443,tblVeriA[BoyCm])*SUMIF(tblVeriA[SiparisNo],$A443,tblVeriA[YukseklikCm])/MAX(SUMIF(tblVeriA[SiparisNo],$A443,tblVeriA[DesiCarpani]),1),0),IFERROR(SUMIF(tblVeriA[SiparisNo],$A443,tblVeriA[AgirlikKg]),0))*$C443*IFERROR(SUMIF(tblVeriA[SiparisNo],$A443,tblVeriA[Adet]),1)*(1+$E443*kdo_iadeEtkiCarpani),0))</f>
        <v/>
      </c>
      <c r="H443" s="13" t="n"/>
      <c r="I443" s="13" t="n"/>
      <c r="J443" s="15">
        <f>IF($A443="","",1)</f>
        <v/>
      </c>
    </row>
    <row r="444">
      <c r="A444" s="13" t="n"/>
      <c r="B444" s="13" t="n"/>
      <c r="C444" s="16" t="n"/>
      <c r="D444" s="16" t="n"/>
      <c r="E444" s="17" t="n"/>
      <c r="F444" s="16" t="n"/>
      <c r="G444" s="15">
        <f>IF($A444="","",IFERROR(MAX(IFERROR(SUMIF(tblVeriA[SiparisNo],$A444,tblVeriA[EnCm])*SUMIF(tblVeriA[SiparisNo],$A444,tblVeriA[BoyCm])*SUMIF(tblVeriA[SiparisNo],$A444,tblVeriA[YukseklikCm])/MAX(SUMIF(tblVeriA[SiparisNo],$A444,tblVeriA[DesiCarpani]),1),0),IFERROR(SUMIF(tblVeriA[SiparisNo],$A444,tblVeriA[AgirlikKg]),0))*$C444*IFERROR(SUMIF(tblVeriA[SiparisNo],$A444,tblVeriA[Adet]),1)*(1+$E444*kdo_iadeEtkiCarpani),0))</f>
        <v/>
      </c>
      <c r="H444" s="13" t="n"/>
      <c r="I444" s="13" t="n"/>
      <c r="J444" s="15">
        <f>IF($A444="","",1)</f>
        <v/>
      </c>
    </row>
    <row r="445">
      <c r="A445" s="13" t="n"/>
      <c r="B445" s="13" t="n"/>
      <c r="C445" s="16" t="n"/>
      <c r="D445" s="16" t="n"/>
      <c r="E445" s="17" t="n"/>
      <c r="F445" s="16" t="n"/>
      <c r="G445" s="15">
        <f>IF($A445="","",IFERROR(MAX(IFERROR(SUMIF(tblVeriA[SiparisNo],$A445,tblVeriA[EnCm])*SUMIF(tblVeriA[SiparisNo],$A445,tblVeriA[BoyCm])*SUMIF(tblVeriA[SiparisNo],$A445,tblVeriA[YukseklikCm])/MAX(SUMIF(tblVeriA[SiparisNo],$A445,tblVeriA[DesiCarpani]),1),0),IFERROR(SUMIF(tblVeriA[SiparisNo],$A445,tblVeriA[AgirlikKg]),0))*$C445*IFERROR(SUMIF(tblVeriA[SiparisNo],$A445,tblVeriA[Adet]),1)*(1+$E445*kdo_iadeEtkiCarpani),0))</f>
        <v/>
      </c>
      <c r="H445" s="13" t="n"/>
      <c r="I445" s="13" t="n"/>
      <c r="J445" s="15">
        <f>IF($A445="","",1)</f>
        <v/>
      </c>
    </row>
    <row r="446">
      <c r="A446" s="13" t="n"/>
      <c r="B446" s="13" t="n"/>
      <c r="C446" s="16" t="n"/>
      <c r="D446" s="16" t="n"/>
      <c r="E446" s="17" t="n"/>
      <c r="F446" s="16" t="n"/>
      <c r="G446" s="15">
        <f>IF($A446="","",IFERROR(MAX(IFERROR(SUMIF(tblVeriA[SiparisNo],$A446,tblVeriA[EnCm])*SUMIF(tblVeriA[SiparisNo],$A446,tblVeriA[BoyCm])*SUMIF(tblVeriA[SiparisNo],$A446,tblVeriA[YukseklikCm])/MAX(SUMIF(tblVeriA[SiparisNo],$A446,tblVeriA[DesiCarpani]),1),0),IFERROR(SUMIF(tblVeriA[SiparisNo],$A446,tblVeriA[AgirlikKg]),0))*$C446*IFERROR(SUMIF(tblVeriA[SiparisNo],$A446,tblVeriA[Adet]),1)*(1+$E446*kdo_iadeEtkiCarpani),0))</f>
        <v/>
      </c>
      <c r="H446" s="13" t="n"/>
      <c r="I446" s="13" t="n"/>
      <c r="J446" s="15">
        <f>IF($A446="","",1)</f>
        <v/>
      </c>
    </row>
    <row r="447">
      <c r="A447" s="13" t="n"/>
      <c r="B447" s="13" t="n"/>
      <c r="C447" s="16" t="n"/>
      <c r="D447" s="16" t="n"/>
      <c r="E447" s="17" t="n"/>
      <c r="F447" s="16" t="n"/>
      <c r="G447" s="15">
        <f>IF($A447="","",IFERROR(MAX(IFERROR(SUMIF(tblVeriA[SiparisNo],$A447,tblVeriA[EnCm])*SUMIF(tblVeriA[SiparisNo],$A447,tblVeriA[BoyCm])*SUMIF(tblVeriA[SiparisNo],$A447,tblVeriA[YukseklikCm])/MAX(SUMIF(tblVeriA[SiparisNo],$A447,tblVeriA[DesiCarpani]),1),0),IFERROR(SUMIF(tblVeriA[SiparisNo],$A447,tblVeriA[AgirlikKg]),0))*$C447*IFERROR(SUMIF(tblVeriA[SiparisNo],$A447,tblVeriA[Adet]),1)*(1+$E447*kdo_iadeEtkiCarpani),0))</f>
        <v/>
      </c>
      <c r="H447" s="13" t="n"/>
      <c r="I447" s="13" t="n"/>
      <c r="J447" s="15">
        <f>IF($A447="","",1)</f>
        <v/>
      </c>
    </row>
    <row r="448">
      <c r="A448" s="13" t="n"/>
      <c r="B448" s="13" t="n"/>
      <c r="C448" s="16" t="n"/>
      <c r="D448" s="16" t="n"/>
      <c r="E448" s="17" t="n"/>
      <c r="F448" s="16" t="n"/>
      <c r="G448" s="15">
        <f>IF($A448="","",IFERROR(MAX(IFERROR(SUMIF(tblVeriA[SiparisNo],$A448,tblVeriA[EnCm])*SUMIF(tblVeriA[SiparisNo],$A448,tblVeriA[BoyCm])*SUMIF(tblVeriA[SiparisNo],$A448,tblVeriA[YukseklikCm])/MAX(SUMIF(tblVeriA[SiparisNo],$A448,tblVeriA[DesiCarpani]),1),0),IFERROR(SUMIF(tblVeriA[SiparisNo],$A448,tblVeriA[AgirlikKg]),0))*$C448*IFERROR(SUMIF(tblVeriA[SiparisNo],$A448,tblVeriA[Adet]),1)*(1+$E448*kdo_iadeEtkiCarpani),0))</f>
        <v/>
      </c>
      <c r="H448" s="13" t="n"/>
      <c r="I448" s="13" t="n"/>
      <c r="J448" s="15">
        <f>IF($A448="","",1)</f>
        <v/>
      </c>
    </row>
    <row r="449">
      <c r="A449" s="13" t="n"/>
      <c r="B449" s="13" t="n"/>
      <c r="C449" s="16" t="n"/>
      <c r="D449" s="16" t="n"/>
      <c r="E449" s="17" t="n"/>
      <c r="F449" s="16" t="n"/>
      <c r="G449" s="15">
        <f>IF($A449="","",IFERROR(MAX(IFERROR(SUMIF(tblVeriA[SiparisNo],$A449,tblVeriA[EnCm])*SUMIF(tblVeriA[SiparisNo],$A449,tblVeriA[BoyCm])*SUMIF(tblVeriA[SiparisNo],$A449,tblVeriA[YukseklikCm])/MAX(SUMIF(tblVeriA[SiparisNo],$A449,tblVeriA[DesiCarpani]),1),0),IFERROR(SUMIF(tblVeriA[SiparisNo],$A449,tblVeriA[AgirlikKg]),0))*$C449*IFERROR(SUMIF(tblVeriA[SiparisNo],$A449,tblVeriA[Adet]),1)*(1+$E449*kdo_iadeEtkiCarpani),0))</f>
        <v/>
      </c>
      <c r="H449" s="13" t="n"/>
      <c r="I449" s="13" t="n"/>
      <c r="J449" s="15">
        <f>IF($A449="","",1)</f>
        <v/>
      </c>
    </row>
    <row r="450">
      <c r="A450" s="13" t="n"/>
      <c r="B450" s="13" t="n"/>
      <c r="C450" s="16" t="n"/>
      <c r="D450" s="16" t="n"/>
      <c r="E450" s="17" t="n"/>
      <c r="F450" s="16" t="n"/>
      <c r="G450" s="15">
        <f>IF($A450="","",IFERROR(MAX(IFERROR(SUMIF(tblVeriA[SiparisNo],$A450,tblVeriA[EnCm])*SUMIF(tblVeriA[SiparisNo],$A450,tblVeriA[BoyCm])*SUMIF(tblVeriA[SiparisNo],$A450,tblVeriA[YukseklikCm])/MAX(SUMIF(tblVeriA[SiparisNo],$A450,tblVeriA[DesiCarpani]),1),0),IFERROR(SUMIF(tblVeriA[SiparisNo],$A450,tblVeriA[AgirlikKg]),0))*$C450*IFERROR(SUMIF(tblVeriA[SiparisNo],$A450,tblVeriA[Adet]),1)*(1+$E450*kdo_iadeEtkiCarpani),0))</f>
        <v/>
      </c>
      <c r="H450" s="13" t="n"/>
      <c r="I450" s="13" t="n"/>
      <c r="J450" s="15">
        <f>IF($A450="","",1)</f>
        <v/>
      </c>
    </row>
    <row r="451">
      <c r="A451" s="13" t="n"/>
      <c r="B451" s="13" t="n"/>
      <c r="C451" s="16" t="n"/>
      <c r="D451" s="16" t="n"/>
      <c r="E451" s="17" t="n"/>
      <c r="F451" s="16" t="n"/>
      <c r="G451" s="15">
        <f>IF($A451="","",IFERROR(MAX(IFERROR(SUMIF(tblVeriA[SiparisNo],$A451,tblVeriA[EnCm])*SUMIF(tblVeriA[SiparisNo],$A451,tblVeriA[BoyCm])*SUMIF(tblVeriA[SiparisNo],$A451,tblVeriA[YukseklikCm])/MAX(SUMIF(tblVeriA[SiparisNo],$A451,tblVeriA[DesiCarpani]),1),0),IFERROR(SUMIF(tblVeriA[SiparisNo],$A451,tblVeriA[AgirlikKg]),0))*$C451*IFERROR(SUMIF(tblVeriA[SiparisNo],$A451,tblVeriA[Adet]),1)*(1+$E451*kdo_iadeEtkiCarpani),0))</f>
        <v/>
      </c>
      <c r="H451" s="13" t="n"/>
      <c r="I451" s="13" t="n"/>
      <c r="J451" s="15">
        <f>IF($A451="","",1)</f>
        <v/>
      </c>
    </row>
    <row r="452">
      <c r="A452" s="13" t="n"/>
      <c r="B452" s="13" t="n"/>
      <c r="C452" s="16" t="n"/>
      <c r="D452" s="16" t="n"/>
      <c r="E452" s="17" t="n"/>
      <c r="F452" s="16" t="n"/>
      <c r="G452" s="15">
        <f>IF($A452="","",IFERROR(MAX(IFERROR(SUMIF(tblVeriA[SiparisNo],$A452,tblVeriA[EnCm])*SUMIF(tblVeriA[SiparisNo],$A452,tblVeriA[BoyCm])*SUMIF(tblVeriA[SiparisNo],$A452,tblVeriA[YukseklikCm])/MAX(SUMIF(tblVeriA[SiparisNo],$A452,tblVeriA[DesiCarpani]),1),0),IFERROR(SUMIF(tblVeriA[SiparisNo],$A452,tblVeriA[AgirlikKg]),0))*$C452*IFERROR(SUMIF(tblVeriA[SiparisNo],$A452,tblVeriA[Adet]),1)*(1+$E452*kdo_iadeEtkiCarpani),0))</f>
        <v/>
      </c>
      <c r="H452" s="13" t="n"/>
      <c r="I452" s="13" t="n"/>
      <c r="J452" s="15">
        <f>IF($A452="","",1)</f>
        <v/>
      </c>
    </row>
    <row r="453">
      <c r="A453" s="13" t="n"/>
      <c r="B453" s="13" t="n"/>
      <c r="C453" s="16" t="n"/>
      <c r="D453" s="16" t="n"/>
      <c r="E453" s="17" t="n"/>
      <c r="F453" s="16" t="n"/>
      <c r="G453" s="15">
        <f>IF($A453="","",IFERROR(MAX(IFERROR(SUMIF(tblVeriA[SiparisNo],$A453,tblVeriA[EnCm])*SUMIF(tblVeriA[SiparisNo],$A453,tblVeriA[BoyCm])*SUMIF(tblVeriA[SiparisNo],$A453,tblVeriA[YukseklikCm])/MAX(SUMIF(tblVeriA[SiparisNo],$A453,tblVeriA[DesiCarpani]),1),0),IFERROR(SUMIF(tblVeriA[SiparisNo],$A453,tblVeriA[AgirlikKg]),0))*$C453*IFERROR(SUMIF(tblVeriA[SiparisNo],$A453,tblVeriA[Adet]),1)*(1+$E453*kdo_iadeEtkiCarpani),0))</f>
        <v/>
      </c>
      <c r="H453" s="13" t="n"/>
      <c r="I453" s="13" t="n"/>
      <c r="J453" s="15">
        <f>IF($A453="","",1)</f>
        <v/>
      </c>
    </row>
    <row r="454">
      <c r="A454" s="13" t="n"/>
      <c r="B454" s="13" t="n"/>
      <c r="C454" s="16" t="n"/>
      <c r="D454" s="16" t="n"/>
      <c r="E454" s="17" t="n"/>
      <c r="F454" s="16" t="n"/>
      <c r="G454" s="15">
        <f>IF($A454="","",IFERROR(MAX(IFERROR(SUMIF(tblVeriA[SiparisNo],$A454,tblVeriA[EnCm])*SUMIF(tblVeriA[SiparisNo],$A454,tblVeriA[BoyCm])*SUMIF(tblVeriA[SiparisNo],$A454,tblVeriA[YukseklikCm])/MAX(SUMIF(tblVeriA[SiparisNo],$A454,tblVeriA[DesiCarpani]),1),0),IFERROR(SUMIF(tblVeriA[SiparisNo],$A454,tblVeriA[AgirlikKg]),0))*$C454*IFERROR(SUMIF(tblVeriA[SiparisNo],$A454,tblVeriA[Adet]),1)*(1+$E454*kdo_iadeEtkiCarpani),0))</f>
        <v/>
      </c>
      <c r="H454" s="13" t="n"/>
      <c r="I454" s="13" t="n"/>
      <c r="J454" s="15">
        <f>IF($A454="","",1)</f>
        <v/>
      </c>
    </row>
    <row r="455">
      <c r="A455" s="13" t="n"/>
      <c r="B455" s="13" t="n"/>
      <c r="C455" s="16" t="n"/>
      <c r="D455" s="16" t="n"/>
      <c r="E455" s="17" t="n"/>
      <c r="F455" s="16" t="n"/>
      <c r="G455" s="15">
        <f>IF($A455="","",IFERROR(MAX(IFERROR(SUMIF(tblVeriA[SiparisNo],$A455,tblVeriA[EnCm])*SUMIF(tblVeriA[SiparisNo],$A455,tblVeriA[BoyCm])*SUMIF(tblVeriA[SiparisNo],$A455,tblVeriA[YukseklikCm])/MAX(SUMIF(tblVeriA[SiparisNo],$A455,tblVeriA[DesiCarpani]),1),0),IFERROR(SUMIF(tblVeriA[SiparisNo],$A455,tblVeriA[AgirlikKg]),0))*$C455*IFERROR(SUMIF(tblVeriA[SiparisNo],$A455,tblVeriA[Adet]),1)*(1+$E455*kdo_iadeEtkiCarpani),0))</f>
        <v/>
      </c>
      <c r="H455" s="13" t="n"/>
      <c r="I455" s="13" t="n"/>
      <c r="J455" s="15">
        <f>IF($A455="","",1)</f>
        <v/>
      </c>
    </row>
    <row r="456">
      <c r="A456" s="13" t="n"/>
      <c r="B456" s="13" t="n"/>
      <c r="C456" s="16" t="n"/>
      <c r="D456" s="16" t="n"/>
      <c r="E456" s="17" t="n"/>
      <c r="F456" s="16" t="n"/>
      <c r="G456" s="15">
        <f>IF($A456="","",IFERROR(MAX(IFERROR(SUMIF(tblVeriA[SiparisNo],$A456,tblVeriA[EnCm])*SUMIF(tblVeriA[SiparisNo],$A456,tblVeriA[BoyCm])*SUMIF(tblVeriA[SiparisNo],$A456,tblVeriA[YukseklikCm])/MAX(SUMIF(tblVeriA[SiparisNo],$A456,tblVeriA[DesiCarpani]),1),0),IFERROR(SUMIF(tblVeriA[SiparisNo],$A456,tblVeriA[AgirlikKg]),0))*$C456*IFERROR(SUMIF(tblVeriA[SiparisNo],$A456,tblVeriA[Adet]),1)*(1+$E456*kdo_iadeEtkiCarpani),0))</f>
        <v/>
      </c>
      <c r="H456" s="13" t="n"/>
      <c r="I456" s="13" t="n"/>
      <c r="J456" s="15">
        <f>IF($A456="","",1)</f>
        <v/>
      </c>
    </row>
    <row r="457">
      <c r="A457" s="13" t="n"/>
      <c r="B457" s="13" t="n"/>
      <c r="C457" s="16" t="n"/>
      <c r="D457" s="16" t="n"/>
      <c r="E457" s="17" t="n"/>
      <c r="F457" s="16" t="n"/>
      <c r="G457" s="15">
        <f>IF($A457="","",IFERROR(MAX(IFERROR(SUMIF(tblVeriA[SiparisNo],$A457,tblVeriA[EnCm])*SUMIF(tblVeriA[SiparisNo],$A457,tblVeriA[BoyCm])*SUMIF(tblVeriA[SiparisNo],$A457,tblVeriA[YukseklikCm])/MAX(SUMIF(tblVeriA[SiparisNo],$A457,tblVeriA[DesiCarpani]),1),0),IFERROR(SUMIF(tblVeriA[SiparisNo],$A457,tblVeriA[AgirlikKg]),0))*$C457*IFERROR(SUMIF(tblVeriA[SiparisNo],$A457,tblVeriA[Adet]),1)*(1+$E457*kdo_iadeEtkiCarpani),0))</f>
        <v/>
      </c>
      <c r="H457" s="13" t="n"/>
      <c r="I457" s="13" t="n"/>
      <c r="J457" s="15">
        <f>IF($A457="","",1)</f>
        <v/>
      </c>
    </row>
    <row r="458">
      <c r="A458" s="13" t="n"/>
      <c r="B458" s="13" t="n"/>
      <c r="C458" s="16" t="n"/>
      <c r="D458" s="16" t="n"/>
      <c r="E458" s="17" t="n"/>
      <c r="F458" s="16" t="n"/>
      <c r="G458" s="15">
        <f>IF($A458="","",IFERROR(MAX(IFERROR(SUMIF(tblVeriA[SiparisNo],$A458,tblVeriA[EnCm])*SUMIF(tblVeriA[SiparisNo],$A458,tblVeriA[BoyCm])*SUMIF(tblVeriA[SiparisNo],$A458,tblVeriA[YukseklikCm])/MAX(SUMIF(tblVeriA[SiparisNo],$A458,tblVeriA[DesiCarpani]),1),0),IFERROR(SUMIF(tblVeriA[SiparisNo],$A458,tblVeriA[AgirlikKg]),0))*$C458*IFERROR(SUMIF(tblVeriA[SiparisNo],$A458,tblVeriA[Adet]),1)*(1+$E458*kdo_iadeEtkiCarpani),0))</f>
        <v/>
      </c>
      <c r="H458" s="13" t="n"/>
      <c r="I458" s="13" t="n"/>
      <c r="J458" s="15">
        <f>IF($A458="","",1)</f>
        <v/>
      </c>
    </row>
    <row r="459">
      <c r="A459" s="13" t="n"/>
      <c r="B459" s="13" t="n"/>
      <c r="C459" s="16" t="n"/>
      <c r="D459" s="16" t="n"/>
      <c r="E459" s="17" t="n"/>
      <c r="F459" s="16" t="n"/>
      <c r="G459" s="15">
        <f>IF($A459="","",IFERROR(MAX(IFERROR(SUMIF(tblVeriA[SiparisNo],$A459,tblVeriA[EnCm])*SUMIF(tblVeriA[SiparisNo],$A459,tblVeriA[BoyCm])*SUMIF(tblVeriA[SiparisNo],$A459,tblVeriA[YukseklikCm])/MAX(SUMIF(tblVeriA[SiparisNo],$A459,tblVeriA[DesiCarpani]),1),0),IFERROR(SUMIF(tblVeriA[SiparisNo],$A459,tblVeriA[AgirlikKg]),0))*$C459*IFERROR(SUMIF(tblVeriA[SiparisNo],$A459,tblVeriA[Adet]),1)*(1+$E459*kdo_iadeEtkiCarpani),0))</f>
        <v/>
      </c>
      <c r="H459" s="13" t="n"/>
      <c r="I459" s="13" t="n"/>
      <c r="J459" s="15">
        <f>IF($A459="","",1)</f>
        <v/>
      </c>
    </row>
    <row r="460">
      <c r="A460" s="13" t="n"/>
      <c r="B460" s="13" t="n"/>
      <c r="C460" s="16" t="n"/>
      <c r="D460" s="16" t="n"/>
      <c r="E460" s="17" t="n"/>
      <c r="F460" s="16" t="n"/>
      <c r="G460" s="15">
        <f>IF($A460="","",IFERROR(MAX(IFERROR(SUMIF(tblVeriA[SiparisNo],$A460,tblVeriA[EnCm])*SUMIF(tblVeriA[SiparisNo],$A460,tblVeriA[BoyCm])*SUMIF(tblVeriA[SiparisNo],$A460,tblVeriA[YukseklikCm])/MAX(SUMIF(tblVeriA[SiparisNo],$A460,tblVeriA[DesiCarpani]),1),0),IFERROR(SUMIF(tblVeriA[SiparisNo],$A460,tblVeriA[AgirlikKg]),0))*$C460*IFERROR(SUMIF(tblVeriA[SiparisNo],$A460,tblVeriA[Adet]),1)*(1+$E460*kdo_iadeEtkiCarpani),0))</f>
        <v/>
      </c>
      <c r="H460" s="13" t="n"/>
      <c r="I460" s="13" t="n"/>
      <c r="J460" s="15">
        <f>IF($A460="","",1)</f>
        <v/>
      </c>
    </row>
    <row r="461">
      <c r="A461" s="13" t="n"/>
      <c r="B461" s="13" t="n"/>
      <c r="C461" s="16" t="n"/>
      <c r="D461" s="16" t="n"/>
      <c r="E461" s="17" t="n"/>
      <c r="F461" s="16" t="n"/>
      <c r="G461" s="15">
        <f>IF($A461="","",IFERROR(MAX(IFERROR(SUMIF(tblVeriA[SiparisNo],$A461,tblVeriA[EnCm])*SUMIF(tblVeriA[SiparisNo],$A461,tblVeriA[BoyCm])*SUMIF(tblVeriA[SiparisNo],$A461,tblVeriA[YukseklikCm])/MAX(SUMIF(tblVeriA[SiparisNo],$A461,tblVeriA[DesiCarpani]),1),0),IFERROR(SUMIF(tblVeriA[SiparisNo],$A461,tblVeriA[AgirlikKg]),0))*$C461*IFERROR(SUMIF(tblVeriA[SiparisNo],$A461,tblVeriA[Adet]),1)*(1+$E461*kdo_iadeEtkiCarpani),0))</f>
        <v/>
      </c>
      <c r="H461" s="13" t="n"/>
      <c r="I461" s="13" t="n"/>
      <c r="J461" s="15">
        <f>IF($A461="","",1)</f>
        <v/>
      </c>
    </row>
    <row r="462">
      <c r="A462" s="13" t="n"/>
      <c r="B462" s="13" t="n"/>
      <c r="C462" s="16" t="n"/>
      <c r="D462" s="16" t="n"/>
      <c r="E462" s="17" t="n"/>
      <c r="F462" s="16" t="n"/>
      <c r="G462" s="15">
        <f>IF($A462="","",IFERROR(MAX(IFERROR(SUMIF(tblVeriA[SiparisNo],$A462,tblVeriA[EnCm])*SUMIF(tblVeriA[SiparisNo],$A462,tblVeriA[BoyCm])*SUMIF(tblVeriA[SiparisNo],$A462,tblVeriA[YukseklikCm])/MAX(SUMIF(tblVeriA[SiparisNo],$A462,tblVeriA[DesiCarpani]),1),0),IFERROR(SUMIF(tblVeriA[SiparisNo],$A462,tblVeriA[AgirlikKg]),0))*$C462*IFERROR(SUMIF(tblVeriA[SiparisNo],$A462,tblVeriA[Adet]),1)*(1+$E462*kdo_iadeEtkiCarpani),0))</f>
        <v/>
      </c>
      <c r="H462" s="13" t="n"/>
      <c r="I462" s="13" t="n"/>
      <c r="J462" s="15">
        <f>IF($A462="","",1)</f>
        <v/>
      </c>
    </row>
    <row r="463">
      <c r="A463" s="13" t="n"/>
      <c r="B463" s="13" t="n"/>
      <c r="C463" s="16" t="n"/>
      <c r="D463" s="16" t="n"/>
      <c r="E463" s="17" t="n"/>
      <c r="F463" s="16" t="n"/>
      <c r="G463" s="15">
        <f>IF($A463="","",IFERROR(MAX(IFERROR(SUMIF(tblVeriA[SiparisNo],$A463,tblVeriA[EnCm])*SUMIF(tblVeriA[SiparisNo],$A463,tblVeriA[BoyCm])*SUMIF(tblVeriA[SiparisNo],$A463,tblVeriA[YukseklikCm])/MAX(SUMIF(tblVeriA[SiparisNo],$A463,tblVeriA[DesiCarpani]),1),0),IFERROR(SUMIF(tblVeriA[SiparisNo],$A463,tblVeriA[AgirlikKg]),0))*$C463*IFERROR(SUMIF(tblVeriA[SiparisNo],$A463,tblVeriA[Adet]),1)*(1+$E463*kdo_iadeEtkiCarpani),0))</f>
        <v/>
      </c>
      <c r="H463" s="13" t="n"/>
      <c r="I463" s="13" t="n"/>
      <c r="J463" s="15">
        <f>IF($A463="","",1)</f>
        <v/>
      </c>
    </row>
    <row r="464">
      <c r="A464" s="13" t="n"/>
      <c r="B464" s="13" t="n"/>
      <c r="C464" s="16" t="n"/>
      <c r="D464" s="16" t="n"/>
      <c r="E464" s="17" t="n"/>
      <c r="F464" s="16" t="n"/>
      <c r="G464" s="15">
        <f>IF($A464="","",IFERROR(MAX(IFERROR(SUMIF(tblVeriA[SiparisNo],$A464,tblVeriA[EnCm])*SUMIF(tblVeriA[SiparisNo],$A464,tblVeriA[BoyCm])*SUMIF(tblVeriA[SiparisNo],$A464,tblVeriA[YukseklikCm])/MAX(SUMIF(tblVeriA[SiparisNo],$A464,tblVeriA[DesiCarpani]),1),0),IFERROR(SUMIF(tblVeriA[SiparisNo],$A464,tblVeriA[AgirlikKg]),0))*$C464*IFERROR(SUMIF(tblVeriA[SiparisNo],$A464,tblVeriA[Adet]),1)*(1+$E464*kdo_iadeEtkiCarpani),0))</f>
        <v/>
      </c>
      <c r="H464" s="13" t="n"/>
      <c r="I464" s="13" t="n"/>
      <c r="J464" s="15">
        <f>IF($A464="","",1)</f>
        <v/>
      </c>
    </row>
    <row r="465">
      <c r="A465" s="13" t="n"/>
      <c r="B465" s="13" t="n"/>
      <c r="C465" s="16" t="n"/>
      <c r="D465" s="16" t="n"/>
      <c r="E465" s="17" t="n"/>
      <c r="F465" s="16" t="n"/>
      <c r="G465" s="15">
        <f>IF($A465="","",IFERROR(MAX(IFERROR(SUMIF(tblVeriA[SiparisNo],$A465,tblVeriA[EnCm])*SUMIF(tblVeriA[SiparisNo],$A465,tblVeriA[BoyCm])*SUMIF(tblVeriA[SiparisNo],$A465,tblVeriA[YukseklikCm])/MAX(SUMIF(tblVeriA[SiparisNo],$A465,tblVeriA[DesiCarpani]),1),0),IFERROR(SUMIF(tblVeriA[SiparisNo],$A465,tblVeriA[AgirlikKg]),0))*$C465*IFERROR(SUMIF(tblVeriA[SiparisNo],$A465,tblVeriA[Adet]),1)*(1+$E465*kdo_iadeEtkiCarpani),0))</f>
        <v/>
      </c>
      <c r="H465" s="13" t="n"/>
      <c r="I465" s="13" t="n"/>
      <c r="J465" s="15">
        <f>IF($A465="","",1)</f>
        <v/>
      </c>
    </row>
    <row r="466">
      <c r="A466" s="13" t="n"/>
      <c r="B466" s="13" t="n"/>
      <c r="C466" s="16" t="n"/>
      <c r="D466" s="16" t="n"/>
      <c r="E466" s="17" t="n"/>
      <c r="F466" s="16" t="n"/>
      <c r="G466" s="15">
        <f>IF($A466="","",IFERROR(MAX(IFERROR(SUMIF(tblVeriA[SiparisNo],$A466,tblVeriA[EnCm])*SUMIF(tblVeriA[SiparisNo],$A466,tblVeriA[BoyCm])*SUMIF(tblVeriA[SiparisNo],$A466,tblVeriA[YukseklikCm])/MAX(SUMIF(tblVeriA[SiparisNo],$A466,tblVeriA[DesiCarpani]),1),0),IFERROR(SUMIF(tblVeriA[SiparisNo],$A466,tblVeriA[AgirlikKg]),0))*$C466*IFERROR(SUMIF(tblVeriA[SiparisNo],$A466,tblVeriA[Adet]),1)*(1+$E466*kdo_iadeEtkiCarpani),0))</f>
        <v/>
      </c>
      <c r="H466" s="13" t="n"/>
      <c r="I466" s="13" t="n"/>
      <c r="J466" s="15">
        <f>IF($A466="","",1)</f>
        <v/>
      </c>
    </row>
    <row r="467">
      <c r="A467" s="13" t="n"/>
      <c r="B467" s="13" t="n"/>
      <c r="C467" s="16" t="n"/>
      <c r="D467" s="16" t="n"/>
      <c r="E467" s="17" t="n"/>
      <c r="F467" s="16" t="n"/>
      <c r="G467" s="15">
        <f>IF($A467="","",IFERROR(MAX(IFERROR(SUMIF(tblVeriA[SiparisNo],$A467,tblVeriA[EnCm])*SUMIF(tblVeriA[SiparisNo],$A467,tblVeriA[BoyCm])*SUMIF(tblVeriA[SiparisNo],$A467,tblVeriA[YukseklikCm])/MAX(SUMIF(tblVeriA[SiparisNo],$A467,tblVeriA[DesiCarpani]),1),0),IFERROR(SUMIF(tblVeriA[SiparisNo],$A467,tblVeriA[AgirlikKg]),0))*$C467*IFERROR(SUMIF(tblVeriA[SiparisNo],$A467,tblVeriA[Adet]),1)*(1+$E467*kdo_iadeEtkiCarpani),0))</f>
        <v/>
      </c>
      <c r="H467" s="13" t="n"/>
      <c r="I467" s="13" t="n"/>
      <c r="J467" s="15">
        <f>IF($A467="","",1)</f>
        <v/>
      </c>
    </row>
    <row r="468">
      <c r="A468" s="13" t="n"/>
      <c r="B468" s="13" t="n"/>
      <c r="C468" s="16" t="n"/>
      <c r="D468" s="16" t="n"/>
      <c r="E468" s="17" t="n"/>
      <c r="F468" s="16" t="n"/>
      <c r="G468" s="15">
        <f>IF($A468="","",IFERROR(MAX(IFERROR(SUMIF(tblVeriA[SiparisNo],$A468,tblVeriA[EnCm])*SUMIF(tblVeriA[SiparisNo],$A468,tblVeriA[BoyCm])*SUMIF(tblVeriA[SiparisNo],$A468,tblVeriA[YukseklikCm])/MAX(SUMIF(tblVeriA[SiparisNo],$A468,tblVeriA[DesiCarpani]),1),0),IFERROR(SUMIF(tblVeriA[SiparisNo],$A468,tblVeriA[AgirlikKg]),0))*$C468*IFERROR(SUMIF(tblVeriA[SiparisNo],$A468,tblVeriA[Adet]),1)*(1+$E468*kdo_iadeEtkiCarpani),0))</f>
        <v/>
      </c>
      <c r="H468" s="13" t="n"/>
      <c r="I468" s="13" t="n"/>
      <c r="J468" s="15">
        <f>IF($A468="","",1)</f>
        <v/>
      </c>
    </row>
    <row r="469">
      <c r="A469" s="13" t="n"/>
      <c r="B469" s="13" t="n"/>
      <c r="C469" s="16" t="n"/>
      <c r="D469" s="16" t="n"/>
      <c r="E469" s="17" t="n"/>
      <c r="F469" s="16" t="n"/>
      <c r="G469" s="15">
        <f>IF($A469="","",IFERROR(MAX(IFERROR(SUMIF(tblVeriA[SiparisNo],$A469,tblVeriA[EnCm])*SUMIF(tblVeriA[SiparisNo],$A469,tblVeriA[BoyCm])*SUMIF(tblVeriA[SiparisNo],$A469,tblVeriA[YukseklikCm])/MAX(SUMIF(tblVeriA[SiparisNo],$A469,tblVeriA[DesiCarpani]),1),0),IFERROR(SUMIF(tblVeriA[SiparisNo],$A469,tblVeriA[AgirlikKg]),0))*$C469*IFERROR(SUMIF(tblVeriA[SiparisNo],$A469,tblVeriA[Adet]),1)*(1+$E469*kdo_iadeEtkiCarpani),0))</f>
        <v/>
      </c>
      <c r="H469" s="13" t="n"/>
      <c r="I469" s="13" t="n"/>
      <c r="J469" s="15">
        <f>IF($A469="","",1)</f>
        <v/>
      </c>
    </row>
    <row r="470">
      <c r="A470" s="13" t="n"/>
      <c r="B470" s="13" t="n"/>
      <c r="C470" s="16" t="n"/>
      <c r="D470" s="16" t="n"/>
      <c r="E470" s="17" t="n"/>
      <c r="F470" s="16" t="n"/>
      <c r="G470" s="15">
        <f>IF($A470="","",IFERROR(MAX(IFERROR(SUMIF(tblVeriA[SiparisNo],$A470,tblVeriA[EnCm])*SUMIF(tblVeriA[SiparisNo],$A470,tblVeriA[BoyCm])*SUMIF(tblVeriA[SiparisNo],$A470,tblVeriA[YukseklikCm])/MAX(SUMIF(tblVeriA[SiparisNo],$A470,tblVeriA[DesiCarpani]),1),0),IFERROR(SUMIF(tblVeriA[SiparisNo],$A470,tblVeriA[AgirlikKg]),0))*$C470*IFERROR(SUMIF(tblVeriA[SiparisNo],$A470,tblVeriA[Adet]),1)*(1+$E470*kdo_iadeEtkiCarpani),0))</f>
        <v/>
      </c>
      <c r="H470" s="13" t="n"/>
      <c r="I470" s="13" t="n"/>
      <c r="J470" s="15">
        <f>IF($A470="","",1)</f>
        <v/>
      </c>
    </row>
    <row r="471">
      <c r="A471" s="13" t="n"/>
      <c r="B471" s="13" t="n"/>
      <c r="C471" s="16" t="n"/>
      <c r="D471" s="16" t="n"/>
      <c r="E471" s="17" t="n"/>
      <c r="F471" s="16" t="n"/>
      <c r="G471" s="15">
        <f>IF($A471="","",IFERROR(MAX(IFERROR(SUMIF(tblVeriA[SiparisNo],$A471,tblVeriA[EnCm])*SUMIF(tblVeriA[SiparisNo],$A471,tblVeriA[BoyCm])*SUMIF(tblVeriA[SiparisNo],$A471,tblVeriA[YukseklikCm])/MAX(SUMIF(tblVeriA[SiparisNo],$A471,tblVeriA[DesiCarpani]),1),0),IFERROR(SUMIF(tblVeriA[SiparisNo],$A471,tblVeriA[AgirlikKg]),0))*$C471*IFERROR(SUMIF(tblVeriA[SiparisNo],$A471,tblVeriA[Adet]),1)*(1+$E471*kdo_iadeEtkiCarpani),0))</f>
        <v/>
      </c>
      <c r="H471" s="13" t="n"/>
      <c r="I471" s="13" t="n"/>
      <c r="J471" s="15">
        <f>IF($A471="","",1)</f>
        <v/>
      </c>
    </row>
    <row r="472">
      <c r="A472" s="13" t="n"/>
      <c r="B472" s="13" t="n"/>
      <c r="C472" s="16" t="n"/>
      <c r="D472" s="16" t="n"/>
      <c r="E472" s="17" t="n"/>
      <c r="F472" s="16" t="n"/>
      <c r="G472" s="15">
        <f>IF($A472="","",IFERROR(MAX(IFERROR(SUMIF(tblVeriA[SiparisNo],$A472,tblVeriA[EnCm])*SUMIF(tblVeriA[SiparisNo],$A472,tblVeriA[BoyCm])*SUMIF(tblVeriA[SiparisNo],$A472,tblVeriA[YukseklikCm])/MAX(SUMIF(tblVeriA[SiparisNo],$A472,tblVeriA[DesiCarpani]),1),0),IFERROR(SUMIF(tblVeriA[SiparisNo],$A472,tblVeriA[AgirlikKg]),0))*$C472*IFERROR(SUMIF(tblVeriA[SiparisNo],$A472,tblVeriA[Adet]),1)*(1+$E472*kdo_iadeEtkiCarpani),0))</f>
        <v/>
      </c>
      <c r="H472" s="13" t="n"/>
      <c r="I472" s="13" t="n"/>
      <c r="J472" s="15">
        <f>IF($A472="","",1)</f>
        <v/>
      </c>
    </row>
    <row r="473">
      <c r="A473" s="13" t="n"/>
      <c r="B473" s="13" t="n"/>
      <c r="C473" s="16" t="n"/>
      <c r="D473" s="16" t="n"/>
      <c r="E473" s="17" t="n"/>
      <c r="F473" s="16" t="n"/>
      <c r="G473" s="15">
        <f>IF($A473="","",IFERROR(MAX(IFERROR(SUMIF(tblVeriA[SiparisNo],$A473,tblVeriA[EnCm])*SUMIF(tblVeriA[SiparisNo],$A473,tblVeriA[BoyCm])*SUMIF(tblVeriA[SiparisNo],$A473,tblVeriA[YukseklikCm])/MAX(SUMIF(tblVeriA[SiparisNo],$A473,tblVeriA[DesiCarpani]),1),0),IFERROR(SUMIF(tblVeriA[SiparisNo],$A473,tblVeriA[AgirlikKg]),0))*$C473*IFERROR(SUMIF(tblVeriA[SiparisNo],$A473,tblVeriA[Adet]),1)*(1+$E473*kdo_iadeEtkiCarpani),0))</f>
        <v/>
      </c>
      <c r="H473" s="13" t="n"/>
      <c r="I473" s="13" t="n"/>
      <c r="J473" s="15">
        <f>IF($A473="","",1)</f>
        <v/>
      </c>
    </row>
    <row r="474">
      <c r="A474" s="13" t="n"/>
      <c r="B474" s="13" t="n"/>
      <c r="C474" s="16" t="n"/>
      <c r="D474" s="16" t="n"/>
      <c r="E474" s="17" t="n"/>
      <c r="F474" s="16" t="n"/>
      <c r="G474" s="15">
        <f>IF($A474="","",IFERROR(MAX(IFERROR(SUMIF(tblVeriA[SiparisNo],$A474,tblVeriA[EnCm])*SUMIF(tblVeriA[SiparisNo],$A474,tblVeriA[BoyCm])*SUMIF(tblVeriA[SiparisNo],$A474,tblVeriA[YukseklikCm])/MAX(SUMIF(tblVeriA[SiparisNo],$A474,tblVeriA[DesiCarpani]),1),0),IFERROR(SUMIF(tblVeriA[SiparisNo],$A474,tblVeriA[AgirlikKg]),0))*$C474*IFERROR(SUMIF(tblVeriA[SiparisNo],$A474,tblVeriA[Adet]),1)*(1+$E474*kdo_iadeEtkiCarpani),0))</f>
        <v/>
      </c>
      <c r="H474" s="13" t="n"/>
      <c r="I474" s="13" t="n"/>
      <c r="J474" s="15">
        <f>IF($A474="","",1)</f>
        <v/>
      </c>
    </row>
    <row r="475">
      <c r="A475" s="13" t="n"/>
      <c r="B475" s="13" t="n"/>
      <c r="C475" s="16" t="n"/>
      <c r="D475" s="16" t="n"/>
      <c r="E475" s="17" t="n"/>
      <c r="F475" s="16" t="n"/>
      <c r="G475" s="15">
        <f>IF($A475="","",IFERROR(MAX(IFERROR(SUMIF(tblVeriA[SiparisNo],$A475,tblVeriA[EnCm])*SUMIF(tblVeriA[SiparisNo],$A475,tblVeriA[BoyCm])*SUMIF(tblVeriA[SiparisNo],$A475,tblVeriA[YukseklikCm])/MAX(SUMIF(tblVeriA[SiparisNo],$A475,tblVeriA[DesiCarpani]),1),0),IFERROR(SUMIF(tblVeriA[SiparisNo],$A475,tblVeriA[AgirlikKg]),0))*$C475*IFERROR(SUMIF(tblVeriA[SiparisNo],$A475,tblVeriA[Adet]),1)*(1+$E475*kdo_iadeEtkiCarpani),0))</f>
        <v/>
      </c>
      <c r="H475" s="13" t="n"/>
      <c r="I475" s="13" t="n"/>
      <c r="J475" s="15">
        <f>IF($A475="","",1)</f>
        <v/>
      </c>
    </row>
    <row r="476">
      <c r="A476" s="13" t="n"/>
      <c r="B476" s="13" t="n"/>
      <c r="C476" s="16" t="n"/>
      <c r="D476" s="16" t="n"/>
      <c r="E476" s="17" t="n"/>
      <c r="F476" s="16" t="n"/>
      <c r="G476" s="15">
        <f>IF($A476="","",IFERROR(MAX(IFERROR(SUMIF(tblVeriA[SiparisNo],$A476,tblVeriA[EnCm])*SUMIF(tblVeriA[SiparisNo],$A476,tblVeriA[BoyCm])*SUMIF(tblVeriA[SiparisNo],$A476,tblVeriA[YukseklikCm])/MAX(SUMIF(tblVeriA[SiparisNo],$A476,tblVeriA[DesiCarpani]),1),0),IFERROR(SUMIF(tblVeriA[SiparisNo],$A476,tblVeriA[AgirlikKg]),0))*$C476*IFERROR(SUMIF(tblVeriA[SiparisNo],$A476,tblVeriA[Adet]),1)*(1+$E476*kdo_iadeEtkiCarpani),0))</f>
        <v/>
      </c>
      <c r="H476" s="13" t="n"/>
      <c r="I476" s="13" t="n"/>
      <c r="J476" s="15">
        <f>IF($A476="","",1)</f>
        <v/>
      </c>
    </row>
    <row r="477">
      <c r="A477" s="13" t="n"/>
      <c r="B477" s="13" t="n"/>
      <c r="C477" s="16" t="n"/>
      <c r="D477" s="16" t="n"/>
      <c r="E477" s="17" t="n"/>
      <c r="F477" s="16" t="n"/>
      <c r="G477" s="15">
        <f>IF($A477="","",IFERROR(MAX(IFERROR(SUMIF(tblVeriA[SiparisNo],$A477,tblVeriA[EnCm])*SUMIF(tblVeriA[SiparisNo],$A477,tblVeriA[BoyCm])*SUMIF(tblVeriA[SiparisNo],$A477,tblVeriA[YukseklikCm])/MAX(SUMIF(tblVeriA[SiparisNo],$A477,tblVeriA[DesiCarpani]),1),0),IFERROR(SUMIF(tblVeriA[SiparisNo],$A477,tblVeriA[AgirlikKg]),0))*$C477*IFERROR(SUMIF(tblVeriA[SiparisNo],$A477,tblVeriA[Adet]),1)*(1+$E477*kdo_iadeEtkiCarpani),0))</f>
        <v/>
      </c>
      <c r="H477" s="13" t="n"/>
      <c r="I477" s="13" t="n"/>
      <c r="J477" s="15">
        <f>IF($A477="","",1)</f>
        <v/>
      </c>
    </row>
    <row r="478">
      <c r="A478" s="13" t="n"/>
      <c r="B478" s="13" t="n"/>
      <c r="C478" s="16" t="n"/>
      <c r="D478" s="16" t="n"/>
      <c r="E478" s="17" t="n"/>
      <c r="F478" s="16" t="n"/>
      <c r="G478" s="15">
        <f>IF($A478="","",IFERROR(MAX(IFERROR(SUMIF(tblVeriA[SiparisNo],$A478,tblVeriA[EnCm])*SUMIF(tblVeriA[SiparisNo],$A478,tblVeriA[BoyCm])*SUMIF(tblVeriA[SiparisNo],$A478,tblVeriA[YukseklikCm])/MAX(SUMIF(tblVeriA[SiparisNo],$A478,tblVeriA[DesiCarpani]),1),0),IFERROR(SUMIF(tblVeriA[SiparisNo],$A478,tblVeriA[AgirlikKg]),0))*$C478*IFERROR(SUMIF(tblVeriA[SiparisNo],$A478,tblVeriA[Adet]),1)*(1+$E478*kdo_iadeEtkiCarpani),0))</f>
        <v/>
      </c>
      <c r="H478" s="13" t="n"/>
      <c r="I478" s="13" t="n"/>
      <c r="J478" s="15">
        <f>IF($A478="","",1)</f>
        <v/>
      </c>
    </row>
    <row r="479">
      <c r="A479" s="13" t="n"/>
      <c r="B479" s="13" t="n"/>
      <c r="C479" s="16" t="n"/>
      <c r="D479" s="16" t="n"/>
      <c r="E479" s="17" t="n"/>
      <c r="F479" s="16" t="n"/>
      <c r="G479" s="15">
        <f>IF($A479="","",IFERROR(MAX(IFERROR(SUMIF(tblVeriA[SiparisNo],$A479,tblVeriA[EnCm])*SUMIF(tblVeriA[SiparisNo],$A479,tblVeriA[BoyCm])*SUMIF(tblVeriA[SiparisNo],$A479,tblVeriA[YukseklikCm])/MAX(SUMIF(tblVeriA[SiparisNo],$A479,tblVeriA[DesiCarpani]),1),0),IFERROR(SUMIF(tblVeriA[SiparisNo],$A479,tblVeriA[AgirlikKg]),0))*$C479*IFERROR(SUMIF(tblVeriA[SiparisNo],$A479,tblVeriA[Adet]),1)*(1+$E479*kdo_iadeEtkiCarpani),0))</f>
        <v/>
      </c>
      <c r="H479" s="13" t="n"/>
      <c r="I479" s="13" t="n"/>
      <c r="J479" s="15">
        <f>IF($A479="","",1)</f>
        <v/>
      </c>
    </row>
    <row r="480">
      <c r="A480" s="13" t="n"/>
      <c r="B480" s="13" t="n"/>
      <c r="C480" s="16" t="n"/>
      <c r="D480" s="16" t="n"/>
      <c r="E480" s="17" t="n"/>
      <c r="F480" s="16" t="n"/>
      <c r="G480" s="15">
        <f>IF($A480="","",IFERROR(MAX(IFERROR(SUMIF(tblVeriA[SiparisNo],$A480,tblVeriA[EnCm])*SUMIF(tblVeriA[SiparisNo],$A480,tblVeriA[BoyCm])*SUMIF(tblVeriA[SiparisNo],$A480,tblVeriA[YukseklikCm])/MAX(SUMIF(tblVeriA[SiparisNo],$A480,tblVeriA[DesiCarpani]),1),0),IFERROR(SUMIF(tblVeriA[SiparisNo],$A480,tblVeriA[AgirlikKg]),0))*$C480*IFERROR(SUMIF(tblVeriA[SiparisNo],$A480,tblVeriA[Adet]),1)*(1+$E480*kdo_iadeEtkiCarpani),0))</f>
        <v/>
      </c>
      <c r="H480" s="13" t="n"/>
      <c r="I480" s="13" t="n"/>
      <c r="J480" s="15">
        <f>IF($A480="","",1)</f>
        <v/>
      </c>
    </row>
    <row r="481">
      <c r="A481" s="13" t="n"/>
      <c r="B481" s="13" t="n"/>
      <c r="C481" s="16" t="n"/>
      <c r="D481" s="16" t="n"/>
      <c r="E481" s="17" t="n"/>
      <c r="F481" s="16" t="n"/>
      <c r="G481" s="15">
        <f>IF($A481="","",IFERROR(MAX(IFERROR(SUMIF(tblVeriA[SiparisNo],$A481,tblVeriA[EnCm])*SUMIF(tblVeriA[SiparisNo],$A481,tblVeriA[BoyCm])*SUMIF(tblVeriA[SiparisNo],$A481,tblVeriA[YukseklikCm])/MAX(SUMIF(tblVeriA[SiparisNo],$A481,tblVeriA[DesiCarpani]),1),0),IFERROR(SUMIF(tblVeriA[SiparisNo],$A481,tblVeriA[AgirlikKg]),0))*$C481*IFERROR(SUMIF(tblVeriA[SiparisNo],$A481,tblVeriA[Adet]),1)*(1+$E481*kdo_iadeEtkiCarpani),0))</f>
        <v/>
      </c>
      <c r="H481" s="13" t="n"/>
      <c r="I481" s="13" t="n"/>
      <c r="J481" s="15">
        <f>IF($A481="","",1)</f>
        <v/>
      </c>
    </row>
    <row r="482">
      <c r="A482" s="13" t="n"/>
      <c r="B482" s="13" t="n"/>
      <c r="C482" s="16" t="n"/>
      <c r="D482" s="16" t="n"/>
      <c r="E482" s="17" t="n"/>
      <c r="F482" s="16" t="n"/>
      <c r="G482" s="15">
        <f>IF($A482="","",IFERROR(MAX(IFERROR(SUMIF(tblVeriA[SiparisNo],$A482,tblVeriA[EnCm])*SUMIF(tblVeriA[SiparisNo],$A482,tblVeriA[BoyCm])*SUMIF(tblVeriA[SiparisNo],$A482,tblVeriA[YukseklikCm])/MAX(SUMIF(tblVeriA[SiparisNo],$A482,tblVeriA[DesiCarpani]),1),0),IFERROR(SUMIF(tblVeriA[SiparisNo],$A482,tblVeriA[AgirlikKg]),0))*$C482*IFERROR(SUMIF(tblVeriA[SiparisNo],$A482,tblVeriA[Adet]),1)*(1+$E482*kdo_iadeEtkiCarpani),0))</f>
        <v/>
      </c>
      <c r="H482" s="13" t="n"/>
      <c r="I482" s="13" t="n"/>
      <c r="J482" s="15">
        <f>IF($A482="","",1)</f>
        <v/>
      </c>
    </row>
    <row r="483">
      <c r="A483" s="13" t="n"/>
      <c r="B483" s="13" t="n"/>
      <c r="C483" s="16" t="n"/>
      <c r="D483" s="16" t="n"/>
      <c r="E483" s="17" t="n"/>
      <c r="F483" s="16" t="n"/>
      <c r="G483" s="15">
        <f>IF($A483="","",IFERROR(MAX(IFERROR(SUMIF(tblVeriA[SiparisNo],$A483,tblVeriA[EnCm])*SUMIF(tblVeriA[SiparisNo],$A483,tblVeriA[BoyCm])*SUMIF(tblVeriA[SiparisNo],$A483,tblVeriA[YukseklikCm])/MAX(SUMIF(tblVeriA[SiparisNo],$A483,tblVeriA[DesiCarpani]),1),0),IFERROR(SUMIF(tblVeriA[SiparisNo],$A483,tblVeriA[AgirlikKg]),0))*$C483*IFERROR(SUMIF(tblVeriA[SiparisNo],$A483,tblVeriA[Adet]),1)*(1+$E483*kdo_iadeEtkiCarpani),0))</f>
        <v/>
      </c>
      <c r="H483" s="13" t="n"/>
      <c r="I483" s="13" t="n"/>
      <c r="J483" s="15">
        <f>IF($A483="","",1)</f>
        <v/>
      </c>
    </row>
    <row r="484">
      <c r="A484" s="13" t="n"/>
      <c r="B484" s="13" t="n"/>
      <c r="C484" s="16" t="n"/>
      <c r="D484" s="16" t="n"/>
      <c r="E484" s="17" t="n"/>
      <c r="F484" s="16" t="n"/>
      <c r="G484" s="15">
        <f>IF($A484="","",IFERROR(MAX(IFERROR(SUMIF(tblVeriA[SiparisNo],$A484,tblVeriA[EnCm])*SUMIF(tblVeriA[SiparisNo],$A484,tblVeriA[BoyCm])*SUMIF(tblVeriA[SiparisNo],$A484,tblVeriA[YukseklikCm])/MAX(SUMIF(tblVeriA[SiparisNo],$A484,tblVeriA[DesiCarpani]),1),0),IFERROR(SUMIF(tblVeriA[SiparisNo],$A484,tblVeriA[AgirlikKg]),0))*$C484*IFERROR(SUMIF(tblVeriA[SiparisNo],$A484,tblVeriA[Adet]),1)*(1+$E484*kdo_iadeEtkiCarpani),0))</f>
        <v/>
      </c>
      <c r="H484" s="13" t="n"/>
      <c r="I484" s="13" t="n"/>
      <c r="J484" s="15">
        <f>IF($A484="","",1)</f>
        <v/>
      </c>
    </row>
    <row r="485">
      <c r="A485" s="13" t="n"/>
      <c r="B485" s="13" t="n"/>
      <c r="C485" s="16" t="n"/>
      <c r="D485" s="16" t="n"/>
      <c r="E485" s="17" t="n"/>
      <c r="F485" s="16" t="n"/>
      <c r="G485" s="15">
        <f>IF($A485="","",IFERROR(MAX(IFERROR(SUMIF(tblVeriA[SiparisNo],$A485,tblVeriA[EnCm])*SUMIF(tblVeriA[SiparisNo],$A485,tblVeriA[BoyCm])*SUMIF(tblVeriA[SiparisNo],$A485,tblVeriA[YukseklikCm])/MAX(SUMIF(tblVeriA[SiparisNo],$A485,tblVeriA[DesiCarpani]),1),0),IFERROR(SUMIF(tblVeriA[SiparisNo],$A485,tblVeriA[AgirlikKg]),0))*$C485*IFERROR(SUMIF(tblVeriA[SiparisNo],$A485,tblVeriA[Adet]),1)*(1+$E485*kdo_iadeEtkiCarpani),0))</f>
        <v/>
      </c>
      <c r="H485" s="13" t="n"/>
      <c r="I485" s="13" t="n"/>
      <c r="J485" s="15">
        <f>IF($A485="","",1)</f>
        <v/>
      </c>
    </row>
    <row r="486">
      <c r="A486" s="13" t="n"/>
      <c r="B486" s="13" t="n"/>
      <c r="C486" s="16" t="n"/>
      <c r="D486" s="16" t="n"/>
      <c r="E486" s="17" t="n"/>
      <c r="F486" s="16" t="n"/>
      <c r="G486" s="15">
        <f>IF($A486="","",IFERROR(MAX(IFERROR(SUMIF(tblVeriA[SiparisNo],$A486,tblVeriA[EnCm])*SUMIF(tblVeriA[SiparisNo],$A486,tblVeriA[BoyCm])*SUMIF(tblVeriA[SiparisNo],$A486,tblVeriA[YukseklikCm])/MAX(SUMIF(tblVeriA[SiparisNo],$A486,tblVeriA[DesiCarpani]),1),0),IFERROR(SUMIF(tblVeriA[SiparisNo],$A486,tblVeriA[AgirlikKg]),0))*$C486*IFERROR(SUMIF(tblVeriA[SiparisNo],$A486,tblVeriA[Adet]),1)*(1+$E486*kdo_iadeEtkiCarpani),0))</f>
        <v/>
      </c>
      <c r="H486" s="13" t="n"/>
      <c r="I486" s="13" t="n"/>
      <c r="J486" s="15">
        <f>IF($A486="","",1)</f>
        <v/>
      </c>
    </row>
    <row r="487">
      <c r="A487" s="13" t="n"/>
      <c r="B487" s="13" t="n"/>
      <c r="C487" s="16" t="n"/>
      <c r="D487" s="16" t="n"/>
      <c r="E487" s="17" t="n"/>
      <c r="F487" s="16" t="n"/>
      <c r="G487" s="15">
        <f>IF($A487="","",IFERROR(MAX(IFERROR(SUMIF(tblVeriA[SiparisNo],$A487,tblVeriA[EnCm])*SUMIF(tblVeriA[SiparisNo],$A487,tblVeriA[BoyCm])*SUMIF(tblVeriA[SiparisNo],$A487,tblVeriA[YukseklikCm])/MAX(SUMIF(tblVeriA[SiparisNo],$A487,tblVeriA[DesiCarpani]),1),0),IFERROR(SUMIF(tblVeriA[SiparisNo],$A487,tblVeriA[AgirlikKg]),0))*$C487*IFERROR(SUMIF(tblVeriA[SiparisNo],$A487,tblVeriA[Adet]),1)*(1+$E487*kdo_iadeEtkiCarpani),0))</f>
        <v/>
      </c>
      <c r="H487" s="13" t="n"/>
      <c r="I487" s="13" t="n"/>
      <c r="J487" s="15">
        <f>IF($A487="","",1)</f>
        <v/>
      </c>
    </row>
    <row r="488">
      <c r="A488" s="13" t="n"/>
      <c r="B488" s="13" t="n"/>
      <c r="C488" s="16" t="n"/>
      <c r="D488" s="16" t="n"/>
      <c r="E488" s="17" t="n"/>
      <c r="F488" s="16" t="n"/>
      <c r="G488" s="15">
        <f>IF($A488="","",IFERROR(MAX(IFERROR(SUMIF(tblVeriA[SiparisNo],$A488,tblVeriA[EnCm])*SUMIF(tblVeriA[SiparisNo],$A488,tblVeriA[BoyCm])*SUMIF(tblVeriA[SiparisNo],$A488,tblVeriA[YukseklikCm])/MAX(SUMIF(tblVeriA[SiparisNo],$A488,tblVeriA[DesiCarpani]),1),0),IFERROR(SUMIF(tblVeriA[SiparisNo],$A488,tblVeriA[AgirlikKg]),0))*$C488*IFERROR(SUMIF(tblVeriA[SiparisNo],$A488,tblVeriA[Adet]),1)*(1+$E488*kdo_iadeEtkiCarpani),0))</f>
        <v/>
      </c>
      <c r="H488" s="13" t="n"/>
      <c r="I488" s="13" t="n"/>
      <c r="J488" s="15">
        <f>IF($A488="","",1)</f>
        <v/>
      </c>
    </row>
    <row r="489">
      <c r="A489" s="13" t="n"/>
      <c r="B489" s="13" t="n"/>
      <c r="C489" s="16" t="n"/>
      <c r="D489" s="16" t="n"/>
      <c r="E489" s="17" t="n"/>
      <c r="F489" s="16" t="n"/>
      <c r="G489" s="15">
        <f>IF($A489="","",IFERROR(MAX(IFERROR(SUMIF(tblVeriA[SiparisNo],$A489,tblVeriA[EnCm])*SUMIF(tblVeriA[SiparisNo],$A489,tblVeriA[BoyCm])*SUMIF(tblVeriA[SiparisNo],$A489,tblVeriA[YukseklikCm])/MAX(SUMIF(tblVeriA[SiparisNo],$A489,tblVeriA[DesiCarpani]),1),0),IFERROR(SUMIF(tblVeriA[SiparisNo],$A489,tblVeriA[AgirlikKg]),0))*$C489*IFERROR(SUMIF(tblVeriA[SiparisNo],$A489,tblVeriA[Adet]),1)*(1+$E489*kdo_iadeEtkiCarpani),0))</f>
        <v/>
      </c>
      <c r="H489" s="13" t="n"/>
      <c r="I489" s="13" t="n"/>
      <c r="J489" s="15">
        <f>IF($A489="","",1)</f>
        <v/>
      </c>
    </row>
    <row r="490">
      <c r="A490" s="13" t="n"/>
      <c r="B490" s="13" t="n"/>
      <c r="C490" s="16" t="n"/>
      <c r="D490" s="16" t="n"/>
      <c r="E490" s="17" t="n"/>
      <c r="F490" s="16" t="n"/>
      <c r="G490" s="15">
        <f>IF($A490="","",IFERROR(MAX(IFERROR(SUMIF(tblVeriA[SiparisNo],$A490,tblVeriA[EnCm])*SUMIF(tblVeriA[SiparisNo],$A490,tblVeriA[BoyCm])*SUMIF(tblVeriA[SiparisNo],$A490,tblVeriA[YukseklikCm])/MAX(SUMIF(tblVeriA[SiparisNo],$A490,tblVeriA[DesiCarpani]),1),0),IFERROR(SUMIF(tblVeriA[SiparisNo],$A490,tblVeriA[AgirlikKg]),0))*$C490*IFERROR(SUMIF(tblVeriA[SiparisNo],$A490,tblVeriA[Adet]),1)*(1+$E490*kdo_iadeEtkiCarpani),0))</f>
        <v/>
      </c>
      <c r="H490" s="13" t="n"/>
      <c r="I490" s="13" t="n"/>
      <c r="J490" s="15">
        <f>IF($A490="","",1)</f>
        <v/>
      </c>
    </row>
    <row r="491">
      <c r="A491" s="13" t="n"/>
      <c r="B491" s="13" t="n"/>
      <c r="C491" s="16" t="n"/>
      <c r="D491" s="16" t="n"/>
      <c r="E491" s="17" t="n"/>
      <c r="F491" s="16" t="n"/>
      <c r="G491" s="15">
        <f>IF($A491="","",IFERROR(MAX(IFERROR(SUMIF(tblVeriA[SiparisNo],$A491,tblVeriA[EnCm])*SUMIF(tblVeriA[SiparisNo],$A491,tblVeriA[BoyCm])*SUMIF(tblVeriA[SiparisNo],$A491,tblVeriA[YukseklikCm])/MAX(SUMIF(tblVeriA[SiparisNo],$A491,tblVeriA[DesiCarpani]),1),0),IFERROR(SUMIF(tblVeriA[SiparisNo],$A491,tblVeriA[AgirlikKg]),0))*$C491*IFERROR(SUMIF(tblVeriA[SiparisNo],$A491,tblVeriA[Adet]),1)*(1+$E491*kdo_iadeEtkiCarpani),0))</f>
        <v/>
      </c>
      <c r="H491" s="13" t="n"/>
      <c r="I491" s="13" t="n"/>
      <c r="J491" s="15">
        <f>IF($A491="","",1)</f>
        <v/>
      </c>
    </row>
    <row r="492">
      <c r="A492" s="13" t="n"/>
      <c r="B492" s="13" t="n"/>
      <c r="C492" s="16" t="n"/>
      <c r="D492" s="16" t="n"/>
      <c r="E492" s="17" t="n"/>
      <c r="F492" s="16" t="n"/>
      <c r="G492" s="15">
        <f>IF($A492="","",IFERROR(MAX(IFERROR(SUMIF(tblVeriA[SiparisNo],$A492,tblVeriA[EnCm])*SUMIF(tblVeriA[SiparisNo],$A492,tblVeriA[BoyCm])*SUMIF(tblVeriA[SiparisNo],$A492,tblVeriA[YukseklikCm])/MAX(SUMIF(tblVeriA[SiparisNo],$A492,tblVeriA[DesiCarpani]),1),0),IFERROR(SUMIF(tblVeriA[SiparisNo],$A492,tblVeriA[AgirlikKg]),0))*$C492*IFERROR(SUMIF(tblVeriA[SiparisNo],$A492,tblVeriA[Adet]),1)*(1+$E492*kdo_iadeEtkiCarpani),0))</f>
        <v/>
      </c>
      <c r="H492" s="13" t="n"/>
      <c r="I492" s="13" t="n"/>
      <c r="J492" s="15">
        <f>IF($A492="","",1)</f>
        <v/>
      </c>
    </row>
    <row r="493">
      <c r="A493" s="13" t="n"/>
      <c r="B493" s="13" t="n"/>
      <c r="C493" s="16" t="n"/>
      <c r="D493" s="16" t="n"/>
      <c r="E493" s="17" t="n"/>
      <c r="F493" s="16" t="n"/>
      <c r="G493" s="15">
        <f>IF($A493="","",IFERROR(MAX(IFERROR(SUMIF(tblVeriA[SiparisNo],$A493,tblVeriA[EnCm])*SUMIF(tblVeriA[SiparisNo],$A493,tblVeriA[BoyCm])*SUMIF(tblVeriA[SiparisNo],$A493,tblVeriA[YukseklikCm])/MAX(SUMIF(tblVeriA[SiparisNo],$A493,tblVeriA[DesiCarpani]),1),0),IFERROR(SUMIF(tblVeriA[SiparisNo],$A493,tblVeriA[AgirlikKg]),0))*$C493*IFERROR(SUMIF(tblVeriA[SiparisNo],$A493,tblVeriA[Adet]),1)*(1+$E493*kdo_iadeEtkiCarpani),0))</f>
        <v/>
      </c>
      <c r="H493" s="13" t="n"/>
      <c r="I493" s="13" t="n"/>
      <c r="J493" s="15">
        <f>IF($A493="","",1)</f>
        <v/>
      </c>
    </row>
    <row r="494">
      <c r="A494" s="13" t="n"/>
      <c r="B494" s="13" t="n"/>
      <c r="C494" s="16" t="n"/>
      <c r="D494" s="16" t="n"/>
      <c r="E494" s="17" t="n"/>
      <c r="F494" s="16" t="n"/>
      <c r="G494" s="15">
        <f>IF($A494="","",IFERROR(MAX(IFERROR(SUMIF(tblVeriA[SiparisNo],$A494,tblVeriA[EnCm])*SUMIF(tblVeriA[SiparisNo],$A494,tblVeriA[BoyCm])*SUMIF(tblVeriA[SiparisNo],$A494,tblVeriA[YukseklikCm])/MAX(SUMIF(tblVeriA[SiparisNo],$A494,tblVeriA[DesiCarpani]),1),0),IFERROR(SUMIF(tblVeriA[SiparisNo],$A494,tblVeriA[AgirlikKg]),0))*$C494*IFERROR(SUMIF(tblVeriA[SiparisNo],$A494,tblVeriA[Adet]),1)*(1+$E494*kdo_iadeEtkiCarpani),0))</f>
        <v/>
      </c>
      <c r="H494" s="13" t="n"/>
      <c r="I494" s="13" t="n"/>
      <c r="J494" s="15">
        <f>IF($A494="","",1)</f>
        <v/>
      </c>
    </row>
    <row r="495">
      <c r="A495" s="13" t="n"/>
      <c r="B495" s="13" t="n"/>
      <c r="C495" s="16" t="n"/>
      <c r="D495" s="16" t="n"/>
      <c r="E495" s="17" t="n"/>
      <c r="F495" s="16" t="n"/>
      <c r="G495" s="15">
        <f>IF($A495="","",IFERROR(MAX(IFERROR(SUMIF(tblVeriA[SiparisNo],$A495,tblVeriA[EnCm])*SUMIF(tblVeriA[SiparisNo],$A495,tblVeriA[BoyCm])*SUMIF(tblVeriA[SiparisNo],$A495,tblVeriA[YukseklikCm])/MAX(SUMIF(tblVeriA[SiparisNo],$A495,tblVeriA[DesiCarpani]),1),0),IFERROR(SUMIF(tblVeriA[SiparisNo],$A495,tblVeriA[AgirlikKg]),0))*$C495*IFERROR(SUMIF(tblVeriA[SiparisNo],$A495,tblVeriA[Adet]),1)*(1+$E495*kdo_iadeEtkiCarpani),0))</f>
        <v/>
      </c>
      <c r="H495" s="13" t="n"/>
      <c r="I495" s="13" t="n"/>
      <c r="J495" s="15">
        <f>IF($A495="","",1)</f>
        <v/>
      </c>
    </row>
    <row r="496">
      <c r="A496" s="13" t="n"/>
      <c r="B496" s="13" t="n"/>
      <c r="C496" s="16" t="n"/>
      <c r="D496" s="16" t="n"/>
      <c r="E496" s="17" t="n"/>
      <c r="F496" s="16" t="n"/>
      <c r="G496" s="15">
        <f>IF($A496="","",IFERROR(MAX(IFERROR(SUMIF(tblVeriA[SiparisNo],$A496,tblVeriA[EnCm])*SUMIF(tblVeriA[SiparisNo],$A496,tblVeriA[BoyCm])*SUMIF(tblVeriA[SiparisNo],$A496,tblVeriA[YukseklikCm])/MAX(SUMIF(tblVeriA[SiparisNo],$A496,tblVeriA[DesiCarpani]),1),0),IFERROR(SUMIF(tblVeriA[SiparisNo],$A496,tblVeriA[AgirlikKg]),0))*$C496*IFERROR(SUMIF(tblVeriA[SiparisNo],$A496,tblVeriA[Adet]),1)*(1+$E496*kdo_iadeEtkiCarpani),0))</f>
        <v/>
      </c>
      <c r="H496" s="13" t="n"/>
      <c r="I496" s="13" t="n"/>
      <c r="J496" s="15">
        <f>IF($A496="","",1)</f>
        <v/>
      </c>
    </row>
    <row r="497">
      <c r="A497" s="13" t="n"/>
      <c r="B497" s="13" t="n"/>
      <c r="C497" s="16" t="n"/>
      <c r="D497" s="16" t="n"/>
      <c r="E497" s="17" t="n"/>
      <c r="F497" s="16" t="n"/>
      <c r="G497" s="15">
        <f>IF($A497="","",IFERROR(MAX(IFERROR(SUMIF(tblVeriA[SiparisNo],$A497,tblVeriA[EnCm])*SUMIF(tblVeriA[SiparisNo],$A497,tblVeriA[BoyCm])*SUMIF(tblVeriA[SiparisNo],$A497,tblVeriA[YukseklikCm])/MAX(SUMIF(tblVeriA[SiparisNo],$A497,tblVeriA[DesiCarpani]),1),0),IFERROR(SUMIF(tblVeriA[SiparisNo],$A497,tblVeriA[AgirlikKg]),0))*$C497*IFERROR(SUMIF(tblVeriA[SiparisNo],$A497,tblVeriA[Adet]),1)*(1+$E497*kdo_iadeEtkiCarpani),0))</f>
        <v/>
      </c>
      <c r="H497" s="13" t="n"/>
      <c r="I497" s="13" t="n"/>
      <c r="J497" s="15">
        <f>IF($A497="","",1)</f>
        <v/>
      </c>
    </row>
    <row r="498">
      <c r="A498" s="13" t="n"/>
      <c r="B498" s="13" t="n"/>
      <c r="C498" s="16" t="n"/>
      <c r="D498" s="16" t="n"/>
      <c r="E498" s="17" t="n"/>
      <c r="F498" s="16" t="n"/>
      <c r="G498" s="15">
        <f>IF($A498="","",IFERROR(MAX(IFERROR(SUMIF(tblVeriA[SiparisNo],$A498,tblVeriA[EnCm])*SUMIF(tblVeriA[SiparisNo],$A498,tblVeriA[BoyCm])*SUMIF(tblVeriA[SiparisNo],$A498,tblVeriA[YukseklikCm])/MAX(SUMIF(tblVeriA[SiparisNo],$A498,tblVeriA[DesiCarpani]),1),0),IFERROR(SUMIF(tblVeriA[SiparisNo],$A498,tblVeriA[AgirlikKg]),0))*$C498*IFERROR(SUMIF(tblVeriA[SiparisNo],$A498,tblVeriA[Adet]),1)*(1+$E498*kdo_iadeEtkiCarpani),0))</f>
        <v/>
      </c>
      <c r="H498" s="13" t="n"/>
      <c r="I498" s="13" t="n"/>
      <c r="J498" s="15">
        <f>IF($A498="","",1)</f>
        <v/>
      </c>
    </row>
    <row r="499">
      <c r="A499" s="13" t="n"/>
      <c r="B499" s="13" t="n"/>
      <c r="C499" s="16" t="n"/>
      <c r="D499" s="16" t="n"/>
      <c r="E499" s="17" t="n"/>
      <c r="F499" s="16" t="n"/>
      <c r="G499" s="15">
        <f>IF($A499="","",IFERROR(MAX(IFERROR(SUMIF(tblVeriA[SiparisNo],$A499,tblVeriA[EnCm])*SUMIF(tblVeriA[SiparisNo],$A499,tblVeriA[BoyCm])*SUMIF(tblVeriA[SiparisNo],$A499,tblVeriA[YukseklikCm])/MAX(SUMIF(tblVeriA[SiparisNo],$A499,tblVeriA[DesiCarpani]),1),0),IFERROR(SUMIF(tblVeriA[SiparisNo],$A499,tblVeriA[AgirlikKg]),0))*$C499*IFERROR(SUMIF(tblVeriA[SiparisNo],$A499,tblVeriA[Adet]),1)*(1+$E499*kdo_iadeEtkiCarpani),0))</f>
        <v/>
      </c>
      <c r="H499" s="13" t="n"/>
      <c r="I499" s="13" t="n"/>
      <c r="J499" s="15">
        <f>IF($A499="","",1)</f>
        <v/>
      </c>
    </row>
    <row r="500">
      <c r="A500" s="13" t="n"/>
      <c r="B500" s="13" t="n"/>
      <c r="C500" s="16" t="n"/>
      <c r="D500" s="16" t="n"/>
      <c r="E500" s="17" t="n"/>
      <c r="F500" s="16" t="n"/>
      <c r="G500" s="15">
        <f>IF($A500="","",IFERROR(MAX(IFERROR(SUMIF(tblVeriA[SiparisNo],$A500,tblVeriA[EnCm])*SUMIF(tblVeriA[SiparisNo],$A500,tblVeriA[BoyCm])*SUMIF(tblVeriA[SiparisNo],$A500,tblVeriA[YukseklikCm])/MAX(SUMIF(tblVeriA[SiparisNo],$A500,tblVeriA[DesiCarpani]),1),0),IFERROR(SUMIF(tblVeriA[SiparisNo],$A500,tblVeriA[AgirlikKg]),0))*$C500*IFERROR(SUMIF(tblVeriA[SiparisNo],$A500,tblVeriA[Adet]),1)*(1+$E500*kdo_iadeEtkiCarpani),0))</f>
        <v/>
      </c>
      <c r="H500" s="13" t="n"/>
      <c r="I500" s="13" t="n"/>
      <c r="J500" s="15">
        <f>IF($A500="","",1)</f>
        <v/>
      </c>
    </row>
    <row r="501">
      <c r="A501" s="13" t="n"/>
      <c r="B501" s="13" t="n"/>
      <c r="C501" s="16" t="n"/>
      <c r="D501" s="16" t="n"/>
      <c r="E501" s="17" t="n"/>
      <c r="F501" s="16" t="n"/>
      <c r="G501" s="15">
        <f>IF($A501="","",IFERROR(MAX(IFERROR(SUMIF(tblVeriA[SiparisNo],$A501,tblVeriA[EnCm])*SUMIF(tblVeriA[SiparisNo],$A501,tblVeriA[BoyCm])*SUMIF(tblVeriA[SiparisNo],$A501,tblVeriA[YukseklikCm])/MAX(SUMIF(tblVeriA[SiparisNo],$A501,tblVeriA[DesiCarpani]),1),0),IFERROR(SUMIF(tblVeriA[SiparisNo],$A501,tblVeriA[AgirlikKg]),0))*$C501*IFERROR(SUMIF(tblVeriA[SiparisNo],$A501,tblVeriA[Adet]),1)*(1+$E501*kdo_iadeEtkiCarpani),0))</f>
        <v/>
      </c>
      <c r="H501" s="13" t="n"/>
      <c r="I501" s="13" t="n"/>
      <c r="J501" s="15">
        <f>IF($A501="","",1)</f>
        <v/>
      </c>
    </row>
    <row r="502">
      <c r="A502" s="13" t="n"/>
      <c r="B502" s="13" t="n"/>
      <c r="C502" s="16" t="n"/>
      <c r="D502" s="16" t="n"/>
      <c r="E502" s="17" t="n"/>
      <c r="F502" s="16" t="n"/>
      <c r="G502" s="15">
        <f>IF($A502="","",IFERROR(MAX(IFERROR(SUMIF(tblVeriA[SiparisNo],$A502,tblVeriA[EnCm])*SUMIF(tblVeriA[SiparisNo],$A502,tblVeriA[BoyCm])*SUMIF(tblVeriA[SiparisNo],$A502,tblVeriA[YukseklikCm])/MAX(SUMIF(tblVeriA[SiparisNo],$A502,tblVeriA[DesiCarpani]),1),0),IFERROR(SUMIF(tblVeriA[SiparisNo],$A502,tblVeriA[AgirlikKg]),0))*$C502*IFERROR(SUMIF(tblVeriA[SiparisNo],$A502,tblVeriA[Adet]),1)*(1+$E502*kdo_iadeEtkiCarpani),0))</f>
        <v/>
      </c>
      <c r="H502" s="13" t="n"/>
      <c r="I502" s="13" t="n"/>
      <c r="J502" s="15">
        <f>IF($A502="","",1)</f>
        <v/>
      </c>
    </row>
    <row r="503">
      <c r="A503" s="13" t="n"/>
      <c r="B503" s="13" t="n"/>
      <c r="C503" s="16" t="n"/>
      <c r="D503" s="16" t="n"/>
      <c r="E503" s="17" t="n"/>
      <c r="F503" s="16" t="n"/>
      <c r="G503" s="15">
        <f>IF($A503="","",IFERROR(MAX(IFERROR(SUMIF(tblVeriA[SiparisNo],$A503,tblVeriA[EnCm])*SUMIF(tblVeriA[SiparisNo],$A503,tblVeriA[BoyCm])*SUMIF(tblVeriA[SiparisNo],$A503,tblVeriA[YukseklikCm])/MAX(SUMIF(tblVeriA[SiparisNo],$A503,tblVeriA[DesiCarpani]),1),0),IFERROR(SUMIF(tblVeriA[SiparisNo],$A503,tblVeriA[AgirlikKg]),0))*$C503*IFERROR(SUMIF(tblVeriA[SiparisNo],$A503,tblVeriA[Adet]),1)*(1+$E503*kdo_iadeEtkiCarpani),0))</f>
        <v/>
      </c>
      <c r="H503" s="13" t="n"/>
      <c r="I503" s="13" t="n"/>
      <c r="J503" s="15">
        <f>IF($A503="","",1)</f>
        <v/>
      </c>
    </row>
    <row r="504">
      <c r="A504" s="13" t="n"/>
      <c r="B504" s="13" t="n"/>
      <c r="C504" s="16" t="n"/>
      <c r="D504" s="16" t="n"/>
      <c r="E504" s="17" t="n"/>
      <c r="F504" s="16" t="n"/>
      <c r="G504" s="15">
        <f>IF($A504="","",IFERROR(MAX(IFERROR(SUMIF(tblVeriA[SiparisNo],$A504,tblVeriA[EnCm])*SUMIF(tblVeriA[SiparisNo],$A504,tblVeriA[BoyCm])*SUMIF(tblVeriA[SiparisNo],$A504,tblVeriA[YukseklikCm])/MAX(SUMIF(tblVeriA[SiparisNo],$A504,tblVeriA[DesiCarpani]),1),0),IFERROR(SUMIF(tblVeriA[SiparisNo],$A504,tblVeriA[AgirlikKg]),0))*$C504*IFERROR(SUMIF(tblVeriA[SiparisNo],$A504,tblVeriA[Adet]),1)*(1+$E504*kdo_iadeEtkiCarpani),0))</f>
        <v/>
      </c>
      <c r="H504" s="13" t="n"/>
      <c r="I504" s="13" t="n"/>
      <c r="J504" s="15">
        <f>IF($A504="","",1)</f>
        <v/>
      </c>
    </row>
    <row r="505">
      <c r="A505" s="13" t="n"/>
      <c r="B505" s="13" t="n"/>
      <c r="C505" s="16" t="n"/>
      <c r="D505" s="16" t="n"/>
      <c r="E505" s="17" t="n"/>
      <c r="F505" s="16" t="n"/>
      <c r="G505" s="15">
        <f>IF($A505="","",IFERROR(MAX(IFERROR(SUMIF(tblVeriA[SiparisNo],$A505,tblVeriA[EnCm])*SUMIF(tblVeriA[SiparisNo],$A505,tblVeriA[BoyCm])*SUMIF(tblVeriA[SiparisNo],$A505,tblVeriA[YukseklikCm])/MAX(SUMIF(tblVeriA[SiparisNo],$A505,tblVeriA[DesiCarpani]),1),0),IFERROR(SUMIF(tblVeriA[SiparisNo],$A505,tblVeriA[AgirlikKg]),0))*$C505*IFERROR(SUMIF(tblVeriA[SiparisNo],$A505,tblVeriA[Adet]),1)*(1+$E505*kdo_iadeEtkiCarpani),0))</f>
        <v/>
      </c>
      <c r="H505" s="13" t="n"/>
      <c r="I505" s="13" t="n"/>
      <c r="J505" s="15">
        <f>IF($A505="","",1)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J3"/>
    <mergeCell ref="A1:N1"/>
  </mergeCells>
  <conditionalFormatting sqref="C6:C505">
    <cfRule type="cellIs" priority="1" operator="greaterThan" dxfId="0">
      <formula>50</formula>
    </cfRule>
  </conditionalFormatting>
  <conditionalFormatting sqref="E6:E505">
    <cfRule type="cellIs" priority="2" operator="greaterThan" dxfId="0">
      <formula>0.15</formula>
    </cfRule>
  </conditionalFormatting>
  <dataValidations count="8">
    <dataValidation sqref="A6:A505" showDropDown="0" showInputMessage="1" showErrorMessage="1" allowBlank="1" errorTitle="Eksik" error="Boş olamaz" promptTitle="Sipariş No" prompt="Sipariş no girin" type="textLength" errorStyle="stop" operator="greaterThan">
      <formula1>1</formula1>
      <formula2>40</formula2>
    </dataValidation>
    <dataValidation sqref="C6:C505" showDropDown="0" showInputMessage="1" showErrorMessage="1" allowBlank="1" errorTitle="Tarife Desi" error="Geçersiz" promptTitle="Tarife Desi" prompt="0 veya üzeri" type="decimal" errorStyle="stop" operator="greaterThanOrEqual">
      <formula1>0</formula1>
    </dataValidation>
    <dataValidation sqref="D6:D505" showDropDown="0" showInputMessage="1" showErrorMessage="1" allowBlank="1" errorTitle="Tarife Kg" error="Geçersiz" promptTitle="Tarife Kg" prompt="0 veya üzeri" type="decimal" errorStyle="stop" operator="greaterThanOrEqual">
      <formula1>0</formula1>
    </dataValidation>
    <dataValidation sqref="F6:F505" showDropDown="0" showInputMessage="1" showErrorMessage="1" allowBlank="1" errorTitle="Alternatif" error="Geçersiz" promptTitle="Alternatif" prompt="0 veya üzeri" type="decimal" errorStyle="stop" operator="greaterThanOrEqual">
      <formula1>0</formula1>
    </dataValidation>
    <dataValidation sqref="E6:E505" showDropDown="0" showInputMessage="1" showErrorMessage="1" allowBlank="1" errorTitle="İade" error="0 veya üzeri" promptTitle="İade" prompt="0-1 arası oran" type="decimal" errorStyle="stop" operator="greaterThanOrEqual">
      <formula1>0</formula1>
    </dataValidation>
    <dataValidation sqref="B6:B505" showDropDown="0" showInputMessage="1" showErrorMessage="1" allowBlank="1" errorTitle="Liste" error="Listeden seçin" promptTitle="Taşıyıcı" prompt="Listeden seçin" type="list" errorStyle="stop">
      <formula1>ListeTasiyicilar</formula1>
    </dataValidation>
    <dataValidation sqref="H6:H505" showDropDown="0" showInputMessage="1" showErrorMessage="1" allowBlank="1" errorTitle="Liste" error="Listeden seçin" promptTitle="Bölge" prompt="Listeden seçin" type="list" errorStyle="stop">
      <formula1>ListeBolgeler</formula1>
    </dataValidation>
    <dataValidation sqref="I6:I505" showDropDown="0" showInputMessage="1" showErrorMessage="1" allowBlank="1" errorTitle="Dönem" error="Geçersiz" promptTitle="Dönem" prompt="YYYY-AA" type="textLength" errorStyle="stop" operator="greaterThanOrEqual">
      <formula1>0</formula1>
      <formula2>20</formula2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B3A4B"/>
    <outlinePr summaryBelow="1" summaryRight="1"/>
    <pageSetUpPr/>
  </sheetPr>
  <dimension ref="A1:P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26" customHeight="1">
      <c r="A1" s="1" t="inlineStr">
        <is>
          <t>ANAHTAR — Kargo/Desi Maliyet Optimizasyonu</t>
        </is>
      </c>
    </row>
    <row r="3" ht="20" customHeight="1">
      <c r="A3" s="10" t="inlineStr">
        <is>
          <t>Normalize sipariş anahtarı + uzunluk + ikincil + duplike (Ç7 / E01 / E05)</t>
        </is>
      </c>
    </row>
    <row r="4">
      <c r="A4" s="18" t="inlineStr">
        <is>
          <t>A Tarafı (Sipariş/Paket)</t>
        </is>
      </c>
      <c r="I4" s="18" t="inlineStr">
        <is>
          <t>B Tarafı (Taşıyıcı Tarife)</t>
        </is>
      </c>
    </row>
    <row r="5" ht="30" customHeight="1">
      <c r="A5" s="12" t="inlineStr">
        <is>
          <t>Ham</t>
        </is>
      </c>
      <c r="B5" s="12" t="inlineStr">
        <is>
          <t>Norm</t>
        </is>
      </c>
      <c r="C5" s="12" t="inlineStr">
        <is>
          <t>NormUzunluk</t>
        </is>
      </c>
      <c r="D5" s="12" t="inlineStr">
        <is>
          <t>IkincilAnahtar</t>
        </is>
      </c>
      <c r="E5" s="12" t="inlineStr">
        <is>
          <t>KaynakTaraf</t>
        </is>
      </c>
      <c r="F5" s="12" t="inlineStr">
        <is>
          <t>Duplike</t>
        </is>
      </c>
      <c r="G5" s="12" t="inlineStr">
        <is>
          <t>SatirNo</t>
        </is>
      </c>
      <c r="I5" s="12" t="inlineStr">
        <is>
          <t>HamB</t>
        </is>
      </c>
      <c r="J5" s="12" t="inlineStr">
        <is>
          <t>NormB</t>
        </is>
      </c>
      <c r="K5" s="12" t="inlineStr">
        <is>
          <t>NormUzunlukB</t>
        </is>
      </c>
      <c r="L5" s="12" t="inlineStr">
        <is>
          <t>IkincilB</t>
        </is>
      </c>
      <c r="M5" s="12" t="inlineStr">
        <is>
          <t>KaynakB</t>
        </is>
      </c>
      <c r="N5" s="12" t="inlineStr">
        <is>
          <t>DuplikeB</t>
        </is>
      </c>
      <c r="O5" s="12" t="inlineStr">
        <is>
          <t>SatirNoB</t>
        </is>
      </c>
    </row>
    <row r="6">
      <c r="A6" s="7">
        <f>IF(VERI_A!A6="","",VERI_A!A6)</f>
        <v/>
      </c>
      <c r="B6" s="15">
        <f>UPPER(TRIM(SUBSTITUTE($A6," ","")))</f>
        <v/>
      </c>
      <c r="C6" s="15">
        <f>IF($B6="",0,LEN($B6))</f>
        <v/>
      </c>
      <c r="D6" s="15">
        <f>IF($B6="","",LEFT($B6,kdo_ikincilUzunluk))</f>
        <v/>
      </c>
      <c r="E6" s="15">
        <f>"A"</f>
        <v/>
      </c>
      <c r="F6" s="15">
        <f>IF($B6="","",IF(COUNTIF(tblAnahtarA[Norm],$B6)&gt;1,"EVET","HAYIR"))</f>
        <v/>
      </c>
      <c r="G6" s="15">
        <f>IF($A6="","",ROW()-ROW($A$5))</f>
        <v/>
      </c>
      <c r="I6" s="7">
        <f>IF(VERI_B!A6="","",VERI_B!A6)</f>
        <v/>
      </c>
      <c r="J6" s="15">
        <f>UPPER(TRIM(SUBSTITUTE($I6," ","")))</f>
        <v/>
      </c>
      <c r="K6" s="15">
        <f>IF($J6="",0,LEN($J6))</f>
        <v/>
      </c>
      <c r="L6" s="15">
        <f>IF($J6="","",LEFT($J6,kdo_ikincilUzunluk))</f>
        <v/>
      </c>
      <c r="M6" s="15">
        <f>"B"</f>
        <v/>
      </c>
      <c r="N6" s="15">
        <f>IF($J6="","",IF(COUNTIF(tblAnahtarB[NormB],$J6)&gt;1,"EVET","HAYIR"))</f>
        <v/>
      </c>
      <c r="O6" s="15">
        <f>IF($I6="","",ROW()-ROW($I$5))</f>
        <v/>
      </c>
    </row>
    <row r="7">
      <c r="A7" s="7">
        <f>IF(VERI_A!A7="","",VERI_A!A7)</f>
        <v/>
      </c>
      <c r="B7" s="15">
        <f>UPPER(TRIM(SUBSTITUTE($A7," ","")))</f>
        <v/>
      </c>
      <c r="C7" s="15">
        <f>IF($B7="",0,LEN($B7))</f>
        <v/>
      </c>
      <c r="D7" s="15">
        <f>IF($B7="","",LEFT($B7,kdo_ikincilUzunluk))</f>
        <v/>
      </c>
      <c r="E7" s="15">
        <f>"A"</f>
        <v/>
      </c>
      <c r="F7" s="15">
        <f>IF($B7="","",IF(COUNTIF(tblAnahtarA[Norm],$B7)&gt;1,"EVET","HAYIR"))</f>
        <v/>
      </c>
      <c r="G7" s="15">
        <f>IF($A7="","",ROW()-ROW($A$5))</f>
        <v/>
      </c>
      <c r="I7" s="7">
        <f>IF(VERI_B!A7="","",VERI_B!A7)</f>
        <v/>
      </c>
      <c r="J7" s="15">
        <f>UPPER(TRIM(SUBSTITUTE($I7," ","")))</f>
        <v/>
      </c>
      <c r="K7" s="15">
        <f>IF($J7="",0,LEN($J7))</f>
        <v/>
      </c>
      <c r="L7" s="15">
        <f>IF($J7="","",LEFT($J7,kdo_ikincilUzunluk))</f>
        <v/>
      </c>
      <c r="M7" s="15">
        <f>"B"</f>
        <v/>
      </c>
      <c r="N7" s="15">
        <f>IF($J7="","",IF(COUNTIF(tblAnahtarB[NormB],$J7)&gt;1,"EVET","HAYIR"))</f>
        <v/>
      </c>
      <c r="O7" s="15">
        <f>IF($I7="","",ROW()-ROW($I$5))</f>
        <v/>
      </c>
    </row>
    <row r="8">
      <c r="A8" s="7">
        <f>IF(VERI_A!A8="","",VERI_A!A8)</f>
        <v/>
      </c>
      <c r="B8" s="15">
        <f>UPPER(TRIM(SUBSTITUTE($A8," ","")))</f>
        <v/>
      </c>
      <c r="C8" s="15">
        <f>IF($B8="",0,LEN($B8))</f>
        <v/>
      </c>
      <c r="D8" s="15">
        <f>IF($B8="","",LEFT($B8,kdo_ikincilUzunluk))</f>
        <v/>
      </c>
      <c r="E8" s="15">
        <f>"A"</f>
        <v/>
      </c>
      <c r="F8" s="15">
        <f>IF($B8="","",IF(COUNTIF(tblAnahtarA[Norm],$B8)&gt;1,"EVET","HAYIR"))</f>
        <v/>
      </c>
      <c r="G8" s="15">
        <f>IF($A8="","",ROW()-ROW($A$5))</f>
        <v/>
      </c>
      <c r="I8" s="7">
        <f>IF(VERI_B!A8="","",VERI_B!A8)</f>
        <v/>
      </c>
      <c r="J8" s="15">
        <f>UPPER(TRIM(SUBSTITUTE($I8," ","")))</f>
        <v/>
      </c>
      <c r="K8" s="15">
        <f>IF($J8="",0,LEN($J8))</f>
        <v/>
      </c>
      <c r="L8" s="15">
        <f>IF($J8="","",LEFT($J8,kdo_ikincilUzunluk))</f>
        <v/>
      </c>
      <c r="M8" s="15">
        <f>"B"</f>
        <v/>
      </c>
      <c r="N8" s="15">
        <f>IF($J8="","",IF(COUNTIF(tblAnahtarB[NormB],$J8)&gt;1,"EVET","HAYIR"))</f>
        <v/>
      </c>
      <c r="O8" s="15">
        <f>IF($I8="","",ROW()-ROW($I$5))</f>
        <v/>
      </c>
    </row>
    <row r="9">
      <c r="A9" s="7">
        <f>IF(VERI_A!A9="","",VERI_A!A9)</f>
        <v/>
      </c>
      <c r="B9" s="15">
        <f>UPPER(TRIM(SUBSTITUTE($A9," ","")))</f>
        <v/>
      </c>
      <c r="C9" s="15">
        <f>IF($B9="",0,LEN($B9))</f>
        <v/>
      </c>
      <c r="D9" s="15">
        <f>IF($B9="","",LEFT($B9,kdo_ikincilUzunluk))</f>
        <v/>
      </c>
      <c r="E9" s="15">
        <f>"A"</f>
        <v/>
      </c>
      <c r="F9" s="15">
        <f>IF($B9="","",IF(COUNTIF(tblAnahtarA[Norm],$B9)&gt;1,"EVET","HAYIR"))</f>
        <v/>
      </c>
      <c r="G9" s="15">
        <f>IF($A9="","",ROW()-ROW($A$5))</f>
        <v/>
      </c>
      <c r="I9" s="7">
        <f>IF(VERI_B!A9="","",VERI_B!A9)</f>
        <v/>
      </c>
      <c r="J9" s="15">
        <f>UPPER(TRIM(SUBSTITUTE($I9," ","")))</f>
        <v/>
      </c>
      <c r="K9" s="15">
        <f>IF($J9="",0,LEN($J9))</f>
        <v/>
      </c>
      <c r="L9" s="15">
        <f>IF($J9="","",LEFT($J9,kdo_ikincilUzunluk))</f>
        <v/>
      </c>
      <c r="M9" s="15">
        <f>"B"</f>
        <v/>
      </c>
      <c r="N9" s="15">
        <f>IF($J9="","",IF(COUNTIF(tblAnahtarB[NormB],$J9)&gt;1,"EVET","HAYIR"))</f>
        <v/>
      </c>
      <c r="O9" s="15">
        <f>IF($I9="","",ROW()-ROW($I$5))</f>
        <v/>
      </c>
    </row>
    <row r="10">
      <c r="A10" s="7">
        <f>IF(VERI_A!A10="","",VERI_A!A10)</f>
        <v/>
      </c>
      <c r="B10" s="15">
        <f>UPPER(TRIM(SUBSTITUTE($A10," ","")))</f>
        <v/>
      </c>
      <c r="C10" s="15">
        <f>IF($B10="",0,LEN($B10))</f>
        <v/>
      </c>
      <c r="D10" s="15">
        <f>IF($B10="","",LEFT($B10,kdo_ikincilUzunluk))</f>
        <v/>
      </c>
      <c r="E10" s="15">
        <f>"A"</f>
        <v/>
      </c>
      <c r="F10" s="15">
        <f>IF($B10="","",IF(COUNTIF(tblAnahtarA[Norm],$B10)&gt;1,"EVET","HAYIR"))</f>
        <v/>
      </c>
      <c r="G10" s="15">
        <f>IF($A10="","",ROW()-ROW($A$5))</f>
        <v/>
      </c>
      <c r="I10" s="7">
        <f>IF(VERI_B!A10="","",VERI_B!A10)</f>
        <v/>
      </c>
      <c r="J10" s="15">
        <f>UPPER(TRIM(SUBSTITUTE($I10," ","")))</f>
        <v/>
      </c>
      <c r="K10" s="15">
        <f>IF($J10="",0,LEN($J10))</f>
        <v/>
      </c>
      <c r="L10" s="15">
        <f>IF($J10="","",LEFT($J10,kdo_ikincilUzunluk))</f>
        <v/>
      </c>
      <c r="M10" s="15">
        <f>"B"</f>
        <v/>
      </c>
      <c r="N10" s="15">
        <f>IF($J10="","",IF(COUNTIF(tblAnahtarB[NormB],$J10)&gt;1,"EVET","HAYIR"))</f>
        <v/>
      </c>
      <c r="O10" s="15">
        <f>IF($I10="","",ROW()-ROW($I$5))</f>
        <v/>
      </c>
    </row>
    <row r="11">
      <c r="A11" s="7">
        <f>IF(VERI_A!A11="","",VERI_A!A11)</f>
        <v/>
      </c>
      <c r="B11" s="15">
        <f>UPPER(TRIM(SUBSTITUTE($A11," ","")))</f>
        <v/>
      </c>
      <c r="C11" s="15">
        <f>IF($B11="",0,LEN($B11))</f>
        <v/>
      </c>
      <c r="D11" s="15">
        <f>IF($B11="","",LEFT($B11,kdo_ikincilUzunluk))</f>
        <v/>
      </c>
      <c r="E11" s="15">
        <f>"A"</f>
        <v/>
      </c>
      <c r="F11" s="15">
        <f>IF($B11="","",IF(COUNTIF(tblAnahtarA[Norm],$B11)&gt;1,"EVET","HAYIR"))</f>
        <v/>
      </c>
      <c r="G11" s="15">
        <f>IF($A11="","",ROW()-ROW($A$5))</f>
        <v/>
      </c>
      <c r="I11" s="7">
        <f>IF(VERI_B!A11="","",VERI_B!A11)</f>
        <v/>
      </c>
      <c r="J11" s="15">
        <f>UPPER(TRIM(SUBSTITUTE($I11," ","")))</f>
        <v/>
      </c>
      <c r="K11" s="15">
        <f>IF($J11="",0,LEN($J11))</f>
        <v/>
      </c>
      <c r="L11" s="15">
        <f>IF($J11="","",LEFT($J11,kdo_ikincilUzunluk))</f>
        <v/>
      </c>
      <c r="M11" s="15">
        <f>"B"</f>
        <v/>
      </c>
      <c r="N11" s="15">
        <f>IF($J11="","",IF(COUNTIF(tblAnahtarB[NormB],$J11)&gt;1,"EVET","HAYIR"))</f>
        <v/>
      </c>
      <c r="O11" s="15">
        <f>IF($I11="","",ROW()-ROW($I$5))</f>
        <v/>
      </c>
    </row>
    <row r="12">
      <c r="A12" s="7">
        <f>IF(VERI_A!A12="","",VERI_A!A12)</f>
        <v/>
      </c>
      <c r="B12" s="15">
        <f>UPPER(TRIM(SUBSTITUTE($A12," ","")))</f>
        <v/>
      </c>
      <c r="C12" s="15">
        <f>IF($B12="",0,LEN($B12))</f>
        <v/>
      </c>
      <c r="D12" s="15">
        <f>IF($B12="","",LEFT($B12,kdo_ikincilUzunluk))</f>
        <v/>
      </c>
      <c r="E12" s="15">
        <f>"A"</f>
        <v/>
      </c>
      <c r="F12" s="15">
        <f>IF($B12="","",IF(COUNTIF(tblAnahtarA[Norm],$B12)&gt;1,"EVET","HAYIR"))</f>
        <v/>
      </c>
      <c r="G12" s="15">
        <f>IF($A12="","",ROW()-ROW($A$5))</f>
        <v/>
      </c>
      <c r="I12" s="7">
        <f>IF(VERI_B!A12="","",VERI_B!A12)</f>
        <v/>
      </c>
      <c r="J12" s="15">
        <f>UPPER(TRIM(SUBSTITUTE($I12," ","")))</f>
        <v/>
      </c>
      <c r="K12" s="15">
        <f>IF($J12="",0,LEN($J12))</f>
        <v/>
      </c>
      <c r="L12" s="15">
        <f>IF($J12="","",LEFT($J12,kdo_ikincilUzunluk))</f>
        <v/>
      </c>
      <c r="M12" s="15">
        <f>"B"</f>
        <v/>
      </c>
      <c r="N12" s="15">
        <f>IF($J12="","",IF(COUNTIF(tblAnahtarB[NormB],$J12)&gt;1,"EVET","HAYIR"))</f>
        <v/>
      </c>
      <c r="O12" s="15">
        <f>IF($I12="","",ROW()-ROW($I$5))</f>
        <v/>
      </c>
    </row>
    <row r="13">
      <c r="A13" s="7">
        <f>IF(VERI_A!A13="","",VERI_A!A13)</f>
        <v/>
      </c>
      <c r="B13" s="15">
        <f>UPPER(TRIM(SUBSTITUTE($A13," ","")))</f>
        <v/>
      </c>
      <c r="C13" s="15">
        <f>IF($B13="",0,LEN($B13))</f>
        <v/>
      </c>
      <c r="D13" s="15">
        <f>IF($B13="","",LEFT($B13,kdo_ikincilUzunluk))</f>
        <v/>
      </c>
      <c r="E13" s="15">
        <f>"A"</f>
        <v/>
      </c>
      <c r="F13" s="15">
        <f>IF($B13="","",IF(COUNTIF(tblAnahtarA[Norm],$B13)&gt;1,"EVET","HAYIR"))</f>
        <v/>
      </c>
      <c r="G13" s="15">
        <f>IF($A13="","",ROW()-ROW($A$5))</f>
        <v/>
      </c>
      <c r="I13" s="7">
        <f>IF(VERI_B!A13="","",VERI_B!A13)</f>
        <v/>
      </c>
      <c r="J13" s="15">
        <f>UPPER(TRIM(SUBSTITUTE($I13," ","")))</f>
        <v/>
      </c>
      <c r="K13" s="15">
        <f>IF($J13="",0,LEN($J13))</f>
        <v/>
      </c>
      <c r="L13" s="15">
        <f>IF($J13="","",LEFT($J13,kdo_ikincilUzunluk))</f>
        <v/>
      </c>
      <c r="M13" s="15">
        <f>"B"</f>
        <v/>
      </c>
      <c r="N13" s="15">
        <f>IF($J13="","",IF(COUNTIF(tblAnahtarB[NormB],$J13)&gt;1,"EVET","HAYIR"))</f>
        <v/>
      </c>
      <c r="O13" s="15">
        <f>IF($I13="","",ROW()-ROW($I$5))</f>
        <v/>
      </c>
    </row>
    <row r="14">
      <c r="A14" s="7">
        <f>IF(VERI_A!A14="","",VERI_A!A14)</f>
        <v/>
      </c>
      <c r="B14" s="15">
        <f>UPPER(TRIM(SUBSTITUTE($A14," ","")))</f>
        <v/>
      </c>
      <c r="C14" s="15">
        <f>IF($B14="",0,LEN($B14))</f>
        <v/>
      </c>
      <c r="D14" s="15">
        <f>IF($B14="","",LEFT($B14,kdo_ikincilUzunluk))</f>
        <v/>
      </c>
      <c r="E14" s="15">
        <f>"A"</f>
        <v/>
      </c>
      <c r="F14" s="15">
        <f>IF($B14="","",IF(COUNTIF(tblAnahtarA[Norm],$B14)&gt;1,"EVET","HAYIR"))</f>
        <v/>
      </c>
      <c r="G14" s="15">
        <f>IF($A14="","",ROW()-ROW($A$5))</f>
        <v/>
      </c>
      <c r="I14" s="7">
        <f>IF(VERI_B!A14="","",VERI_B!A14)</f>
        <v/>
      </c>
      <c r="J14" s="15">
        <f>UPPER(TRIM(SUBSTITUTE($I14," ","")))</f>
        <v/>
      </c>
      <c r="K14" s="15">
        <f>IF($J14="",0,LEN($J14))</f>
        <v/>
      </c>
      <c r="L14" s="15">
        <f>IF($J14="","",LEFT($J14,kdo_ikincilUzunluk))</f>
        <v/>
      </c>
      <c r="M14" s="15">
        <f>"B"</f>
        <v/>
      </c>
      <c r="N14" s="15">
        <f>IF($J14="","",IF(COUNTIF(tblAnahtarB[NormB],$J14)&gt;1,"EVET","HAYIR"))</f>
        <v/>
      </c>
      <c r="O14" s="15">
        <f>IF($I14="","",ROW()-ROW($I$5))</f>
        <v/>
      </c>
    </row>
    <row r="15">
      <c r="A15" s="7">
        <f>IF(VERI_A!A15="","",VERI_A!A15)</f>
        <v/>
      </c>
      <c r="B15" s="15">
        <f>UPPER(TRIM(SUBSTITUTE($A15," ","")))</f>
        <v/>
      </c>
      <c r="C15" s="15">
        <f>IF($B15="",0,LEN($B15))</f>
        <v/>
      </c>
      <c r="D15" s="15">
        <f>IF($B15="","",LEFT($B15,kdo_ikincilUzunluk))</f>
        <v/>
      </c>
      <c r="E15" s="15">
        <f>"A"</f>
        <v/>
      </c>
      <c r="F15" s="15">
        <f>IF($B15="","",IF(COUNTIF(tblAnahtarA[Norm],$B15)&gt;1,"EVET","HAYIR"))</f>
        <v/>
      </c>
      <c r="G15" s="15">
        <f>IF($A15="","",ROW()-ROW($A$5))</f>
        <v/>
      </c>
      <c r="I15" s="7">
        <f>IF(VERI_B!A15="","",VERI_B!A15)</f>
        <v/>
      </c>
      <c r="J15" s="15">
        <f>UPPER(TRIM(SUBSTITUTE($I15," ","")))</f>
        <v/>
      </c>
      <c r="K15" s="15">
        <f>IF($J15="",0,LEN($J15))</f>
        <v/>
      </c>
      <c r="L15" s="15">
        <f>IF($J15="","",LEFT($J15,kdo_ikincilUzunluk))</f>
        <v/>
      </c>
      <c r="M15" s="15">
        <f>"B"</f>
        <v/>
      </c>
      <c r="N15" s="15">
        <f>IF($J15="","",IF(COUNTIF(tblAnahtarB[NormB],$J15)&gt;1,"EVET","HAYIR"))</f>
        <v/>
      </c>
      <c r="O15" s="15">
        <f>IF($I15="","",ROW()-ROW($I$5))</f>
        <v/>
      </c>
    </row>
    <row r="16">
      <c r="A16" s="7">
        <f>IF(VERI_A!A16="","",VERI_A!A16)</f>
        <v/>
      </c>
      <c r="B16" s="15">
        <f>UPPER(TRIM(SUBSTITUTE($A16," ","")))</f>
        <v/>
      </c>
      <c r="C16" s="15">
        <f>IF($B16="",0,LEN($B16))</f>
        <v/>
      </c>
      <c r="D16" s="15">
        <f>IF($B16="","",LEFT($B16,kdo_ikincilUzunluk))</f>
        <v/>
      </c>
      <c r="E16" s="15">
        <f>"A"</f>
        <v/>
      </c>
      <c r="F16" s="15">
        <f>IF($B16="","",IF(COUNTIF(tblAnahtarA[Norm],$B16)&gt;1,"EVET","HAYIR"))</f>
        <v/>
      </c>
      <c r="G16" s="15">
        <f>IF($A16="","",ROW()-ROW($A$5))</f>
        <v/>
      </c>
      <c r="I16" s="7">
        <f>IF(VERI_B!A16="","",VERI_B!A16)</f>
        <v/>
      </c>
      <c r="J16" s="15">
        <f>UPPER(TRIM(SUBSTITUTE($I16," ","")))</f>
        <v/>
      </c>
      <c r="K16" s="15">
        <f>IF($J16="",0,LEN($J16))</f>
        <v/>
      </c>
      <c r="L16" s="15">
        <f>IF($J16="","",LEFT($J16,kdo_ikincilUzunluk))</f>
        <v/>
      </c>
      <c r="M16" s="15">
        <f>"B"</f>
        <v/>
      </c>
      <c r="N16" s="15">
        <f>IF($J16="","",IF(COUNTIF(tblAnahtarB[NormB],$J16)&gt;1,"EVET","HAYIR"))</f>
        <v/>
      </c>
      <c r="O16" s="15">
        <f>IF($I16="","",ROW()-ROW($I$5))</f>
        <v/>
      </c>
    </row>
    <row r="17">
      <c r="A17" s="7">
        <f>IF(VERI_A!A17="","",VERI_A!A17)</f>
        <v/>
      </c>
      <c r="B17" s="15">
        <f>UPPER(TRIM(SUBSTITUTE($A17," ","")))</f>
        <v/>
      </c>
      <c r="C17" s="15">
        <f>IF($B17="",0,LEN($B17))</f>
        <v/>
      </c>
      <c r="D17" s="15">
        <f>IF($B17="","",LEFT($B17,kdo_ikincilUzunluk))</f>
        <v/>
      </c>
      <c r="E17" s="15">
        <f>"A"</f>
        <v/>
      </c>
      <c r="F17" s="15">
        <f>IF($B17="","",IF(COUNTIF(tblAnahtarA[Norm],$B17)&gt;1,"EVET","HAYIR"))</f>
        <v/>
      </c>
      <c r="G17" s="15">
        <f>IF($A17="","",ROW()-ROW($A$5))</f>
        <v/>
      </c>
      <c r="I17" s="7">
        <f>IF(VERI_B!A17="","",VERI_B!A17)</f>
        <v/>
      </c>
      <c r="J17" s="15">
        <f>UPPER(TRIM(SUBSTITUTE($I17," ","")))</f>
        <v/>
      </c>
      <c r="K17" s="15">
        <f>IF($J17="",0,LEN($J17))</f>
        <v/>
      </c>
      <c r="L17" s="15">
        <f>IF($J17="","",LEFT($J17,kdo_ikincilUzunluk))</f>
        <v/>
      </c>
      <c r="M17" s="15">
        <f>"B"</f>
        <v/>
      </c>
      <c r="N17" s="15">
        <f>IF($J17="","",IF(COUNTIF(tblAnahtarB[NormB],$J17)&gt;1,"EVET","HAYIR"))</f>
        <v/>
      </c>
      <c r="O17" s="15">
        <f>IF($I17="","",ROW()-ROW($I$5))</f>
        <v/>
      </c>
    </row>
    <row r="18">
      <c r="A18" s="7">
        <f>IF(VERI_A!A18="","",VERI_A!A18)</f>
        <v/>
      </c>
      <c r="B18" s="15">
        <f>UPPER(TRIM(SUBSTITUTE($A18," ","")))</f>
        <v/>
      </c>
      <c r="C18" s="15">
        <f>IF($B18="",0,LEN($B18))</f>
        <v/>
      </c>
      <c r="D18" s="15">
        <f>IF($B18="","",LEFT($B18,kdo_ikincilUzunluk))</f>
        <v/>
      </c>
      <c r="E18" s="15">
        <f>"A"</f>
        <v/>
      </c>
      <c r="F18" s="15">
        <f>IF($B18="","",IF(COUNTIF(tblAnahtarA[Norm],$B18)&gt;1,"EVET","HAYIR"))</f>
        <v/>
      </c>
      <c r="G18" s="15">
        <f>IF($A18="","",ROW()-ROW($A$5))</f>
        <v/>
      </c>
      <c r="I18" s="7">
        <f>IF(VERI_B!A18="","",VERI_B!A18)</f>
        <v/>
      </c>
      <c r="J18" s="15">
        <f>UPPER(TRIM(SUBSTITUTE($I18," ","")))</f>
        <v/>
      </c>
      <c r="K18" s="15">
        <f>IF($J18="",0,LEN($J18))</f>
        <v/>
      </c>
      <c r="L18" s="15">
        <f>IF($J18="","",LEFT($J18,kdo_ikincilUzunluk))</f>
        <v/>
      </c>
      <c r="M18" s="15">
        <f>"B"</f>
        <v/>
      </c>
      <c r="N18" s="15">
        <f>IF($J18="","",IF(COUNTIF(tblAnahtarB[NormB],$J18)&gt;1,"EVET","HAYIR"))</f>
        <v/>
      </c>
      <c r="O18" s="15">
        <f>IF($I18="","",ROW()-ROW($I$5))</f>
        <v/>
      </c>
    </row>
    <row r="19">
      <c r="A19" s="7">
        <f>IF(VERI_A!A19="","",VERI_A!A19)</f>
        <v/>
      </c>
      <c r="B19" s="15">
        <f>UPPER(TRIM(SUBSTITUTE($A19," ","")))</f>
        <v/>
      </c>
      <c r="C19" s="15">
        <f>IF($B19="",0,LEN($B19))</f>
        <v/>
      </c>
      <c r="D19" s="15">
        <f>IF($B19="","",LEFT($B19,kdo_ikincilUzunluk))</f>
        <v/>
      </c>
      <c r="E19" s="15">
        <f>"A"</f>
        <v/>
      </c>
      <c r="F19" s="15">
        <f>IF($B19="","",IF(COUNTIF(tblAnahtarA[Norm],$B19)&gt;1,"EVET","HAYIR"))</f>
        <v/>
      </c>
      <c r="G19" s="15">
        <f>IF($A19="","",ROW()-ROW($A$5))</f>
        <v/>
      </c>
      <c r="I19" s="7">
        <f>IF(VERI_B!A19="","",VERI_B!A19)</f>
        <v/>
      </c>
      <c r="J19" s="15">
        <f>UPPER(TRIM(SUBSTITUTE($I19," ","")))</f>
        <v/>
      </c>
      <c r="K19" s="15">
        <f>IF($J19="",0,LEN($J19))</f>
        <v/>
      </c>
      <c r="L19" s="15">
        <f>IF($J19="","",LEFT($J19,kdo_ikincilUzunluk))</f>
        <v/>
      </c>
      <c r="M19" s="15">
        <f>"B"</f>
        <v/>
      </c>
      <c r="N19" s="15">
        <f>IF($J19="","",IF(COUNTIF(tblAnahtarB[NormB],$J19)&gt;1,"EVET","HAYIR"))</f>
        <v/>
      </c>
      <c r="O19" s="15">
        <f>IF($I19="","",ROW()-ROW($I$5))</f>
        <v/>
      </c>
    </row>
    <row r="20">
      <c r="A20" s="7">
        <f>IF(VERI_A!A20="","",VERI_A!A20)</f>
        <v/>
      </c>
      <c r="B20" s="15">
        <f>UPPER(TRIM(SUBSTITUTE($A20," ","")))</f>
        <v/>
      </c>
      <c r="C20" s="15">
        <f>IF($B20="",0,LEN($B20))</f>
        <v/>
      </c>
      <c r="D20" s="15">
        <f>IF($B20="","",LEFT($B20,kdo_ikincilUzunluk))</f>
        <v/>
      </c>
      <c r="E20" s="15">
        <f>"A"</f>
        <v/>
      </c>
      <c r="F20" s="15">
        <f>IF($B20="","",IF(COUNTIF(tblAnahtarA[Norm],$B20)&gt;1,"EVET","HAYIR"))</f>
        <v/>
      </c>
      <c r="G20" s="15">
        <f>IF($A20="","",ROW()-ROW($A$5))</f>
        <v/>
      </c>
      <c r="I20" s="7">
        <f>IF(VERI_B!A20="","",VERI_B!A20)</f>
        <v/>
      </c>
      <c r="J20" s="15">
        <f>UPPER(TRIM(SUBSTITUTE($I20," ","")))</f>
        <v/>
      </c>
      <c r="K20" s="15">
        <f>IF($J20="",0,LEN($J20))</f>
        <v/>
      </c>
      <c r="L20" s="15">
        <f>IF($J20="","",LEFT($J20,kdo_ikincilUzunluk))</f>
        <v/>
      </c>
      <c r="M20" s="15">
        <f>"B"</f>
        <v/>
      </c>
      <c r="N20" s="15">
        <f>IF($J20="","",IF(COUNTIF(tblAnahtarB[NormB],$J20)&gt;1,"EVET","HAYIR"))</f>
        <v/>
      </c>
      <c r="O20" s="15">
        <f>IF($I20="","",ROW()-ROW($I$5))</f>
        <v/>
      </c>
    </row>
    <row r="21">
      <c r="A21" s="7">
        <f>IF(VERI_A!A21="","",VERI_A!A21)</f>
        <v/>
      </c>
      <c r="B21" s="15">
        <f>UPPER(TRIM(SUBSTITUTE($A21," ","")))</f>
        <v/>
      </c>
      <c r="C21" s="15">
        <f>IF($B21="",0,LEN($B21))</f>
        <v/>
      </c>
      <c r="D21" s="15">
        <f>IF($B21="","",LEFT($B21,kdo_ikincilUzunluk))</f>
        <v/>
      </c>
      <c r="E21" s="15">
        <f>"A"</f>
        <v/>
      </c>
      <c r="F21" s="15">
        <f>IF($B21="","",IF(COUNTIF(tblAnahtarA[Norm],$B21)&gt;1,"EVET","HAYIR"))</f>
        <v/>
      </c>
      <c r="G21" s="15">
        <f>IF($A21="","",ROW()-ROW($A$5))</f>
        <v/>
      </c>
      <c r="I21" s="7">
        <f>IF(VERI_B!A21="","",VERI_B!A21)</f>
        <v/>
      </c>
      <c r="J21" s="15">
        <f>UPPER(TRIM(SUBSTITUTE($I21," ","")))</f>
        <v/>
      </c>
      <c r="K21" s="15">
        <f>IF($J21="",0,LEN($J21))</f>
        <v/>
      </c>
      <c r="L21" s="15">
        <f>IF($J21="","",LEFT($J21,kdo_ikincilUzunluk))</f>
        <v/>
      </c>
      <c r="M21" s="15">
        <f>"B"</f>
        <v/>
      </c>
      <c r="N21" s="15">
        <f>IF($J21="","",IF(COUNTIF(tblAnahtarB[NormB],$J21)&gt;1,"EVET","HAYIR"))</f>
        <v/>
      </c>
      <c r="O21" s="15">
        <f>IF($I21="","",ROW()-ROW($I$5))</f>
        <v/>
      </c>
    </row>
    <row r="22">
      <c r="A22" s="7">
        <f>IF(VERI_A!A22="","",VERI_A!A22)</f>
        <v/>
      </c>
      <c r="B22" s="15">
        <f>UPPER(TRIM(SUBSTITUTE($A22," ","")))</f>
        <v/>
      </c>
      <c r="C22" s="15">
        <f>IF($B22="",0,LEN($B22))</f>
        <v/>
      </c>
      <c r="D22" s="15">
        <f>IF($B22="","",LEFT($B22,kdo_ikincilUzunluk))</f>
        <v/>
      </c>
      <c r="E22" s="15">
        <f>"A"</f>
        <v/>
      </c>
      <c r="F22" s="15">
        <f>IF($B22="","",IF(COUNTIF(tblAnahtarA[Norm],$B22)&gt;1,"EVET","HAYIR"))</f>
        <v/>
      </c>
      <c r="G22" s="15">
        <f>IF($A22="","",ROW()-ROW($A$5))</f>
        <v/>
      </c>
      <c r="I22" s="7">
        <f>IF(VERI_B!A22="","",VERI_B!A22)</f>
        <v/>
      </c>
      <c r="J22" s="15">
        <f>UPPER(TRIM(SUBSTITUTE($I22," ","")))</f>
        <v/>
      </c>
      <c r="K22" s="15">
        <f>IF($J22="",0,LEN($J22))</f>
        <v/>
      </c>
      <c r="L22" s="15">
        <f>IF($J22="","",LEFT($J22,kdo_ikincilUzunluk))</f>
        <v/>
      </c>
      <c r="M22" s="15">
        <f>"B"</f>
        <v/>
      </c>
      <c r="N22" s="15">
        <f>IF($J22="","",IF(COUNTIF(tblAnahtarB[NormB],$J22)&gt;1,"EVET","HAYIR"))</f>
        <v/>
      </c>
      <c r="O22" s="15">
        <f>IF($I22="","",ROW()-ROW($I$5))</f>
        <v/>
      </c>
    </row>
    <row r="23">
      <c r="A23" s="7">
        <f>IF(VERI_A!A23="","",VERI_A!A23)</f>
        <v/>
      </c>
      <c r="B23" s="15">
        <f>UPPER(TRIM(SUBSTITUTE($A23," ","")))</f>
        <v/>
      </c>
      <c r="C23" s="15">
        <f>IF($B23="",0,LEN($B23))</f>
        <v/>
      </c>
      <c r="D23" s="15">
        <f>IF($B23="","",LEFT($B23,kdo_ikincilUzunluk))</f>
        <v/>
      </c>
      <c r="E23" s="15">
        <f>"A"</f>
        <v/>
      </c>
      <c r="F23" s="15">
        <f>IF($B23="","",IF(COUNTIF(tblAnahtarA[Norm],$B23)&gt;1,"EVET","HAYIR"))</f>
        <v/>
      </c>
      <c r="G23" s="15">
        <f>IF($A23="","",ROW()-ROW($A$5))</f>
        <v/>
      </c>
      <c r="I23" s="7">
        <f>IF(VERI_B!A23="","",VERI_B!A23)</f>
        <v/>
      </c>
      <c r="J23" s="15">
        <f>UPPER(TRIM(SUBSTITUTE($I23," ","")))</f>
        <v/>
      </c>
      <c r="K23" s="15">
        <f>IF($J23="",0,LEN($J23))</f>
        <v/>
      </c>
      <c r="L23" s="15">
        <f>IF($J23="","",LEFT($J23,kdo_ikincilUzunluk))</f>
        <v/>
      </c>
      <c r="M23" s="15">
        <f>"B"</f>
        <v/>
      </c>
      <c r="N23" s="15">
        <f>IF($J23="","",IF(COUNTIF(tblAnahtarB[NormB],$J23)&gt;1,"EVET","HAYIR"))</f>
        <v/>
      </c>
      <c r="O23" s="15">
        <f>IF($I23="","",ROW()-ROW($I$5))</f>
        <v/>
      </c>
    </row>
    <row r="24">
      <c r="A24" s="7">
        <f>IF(VERI_A!A24="","",VERI_A!A24)</f>
        <v/>
      </c>
      <c r="B24" s="15">
        <f>UPPER(TRIM(SUBSTITUTE($A24," ","")))</f>
        <v/>
      </c>
      <c r="C24" s="15">
        <f>IF($B24="",0,LEN($B24))</f>
        <v/>
      </c>
      <c r="D24" s="15">
        <f>IF($B24="","",LEFT($B24,kdo_ikincilUzunluk))</f>
        <v/>
      </c>
      <c r="E24" s="15">
        <f>"A"</f>
        <v/>
      </c>
      <c r="F24" s="15">
        <f>IF($B24="","",IF(COUNTIF(tblAnahtarA[Norm],$B24)&gt;1,"EVET","HAYIR"))</f>
        <v/>
      </c>
      <c r="G24" s="15">
        <f>IF($A24="","",ROW()-ROW($A$5))</f>
        <v/>
      </c>
      <c r="I24" s="7">
        <f>IF(VERI_B!A24="","",VERI_B!A24)</f>
        <v/>
      </c>
      <c r="J24" s="15">
        <f>UPPER(TRIM(SUBSTITUTE($I24," ","")))</f>
        <v/>
      </c>
      <c r="K24" s="15">
        <f>IF($J24="",0,LEN($J24))</f>
        <v/>
      </c>
      <c r="L24" s="15">
        <f>IF($J24="","",LEFT($J24,kdo_ikincilUzunluk))</f>
        <v/>
      </c>
      <c r="M24" s="15">
        <f>"B"</f>
        <v/>
      </c>
      <c r="N24" s="15">
        <f>IF($J24="","",IF(COUNTIF(tblAnahtarB[NormB],$J24)&gt;1,"EVET","HAYIR"))</f>
        <v/>
      </c>
      <c r="O24" s="15">
        <f>IF($I24="","",ROW()-ROW($I$5))</f>
        <v/>
      </c>
    </row>
    <row r="25">
      <c r="A25" s="7">
        <f>IF(VERI_A!A25="","",VERI_A!A25)</f>
        <v/>
      </c>
      <c r="B25" s="15">
        <f>UPPER(TRIM(SUBSTITUTE($A25," ","")))</f>
        <v/>
      </c>
      <c r="C25" s="15">
        <f>IF($B25="",0,LEN($B25))</f>
        <v/>
      </c>
      <c r="D25" s="15">
        <f>IF($B25="","",LEFT($B25,kdo_ikincilUzunluk))</f>
        <v/>
      </c>
      <c r="E25" s="15">
        <f>"A"</f>
        <v/>
      </c>
      <c r="F25" s="15">
        <f>IF($B25="","",IF(COUNTIF(tblAnahtarA[Norm],$B25)&gt;1,"EVET","HAYIR"))</f>
        <v/>
      </c>
      <c r="G25" s="15">
        <f>IF($A25="","",ROW()-ROW($A$5))</f>
        <v/>
      </c>
      <c r="I25" s="7">
        <f>IF(VERI_B!A25="","",VERI_B!A25)</f>
        <v/>
      </c>
      <c r="J25" s="15">
        <f>UPPER(TRIM(SUBSTITUTE($I25," ","")))</f>
        <v/>
      </c>
      <c r="K25" s="15">
        <f>IF($J25="",0,LEN($J25))</f>
        <v/>
      </c>
      <c r="L25" s="15">
        <f>IF($J25="","",LEFT($J25,kdo_ikincilUzunluk))</f>
        <v/>
      </c>
      <c r="M25" s="15">
        <f>"B"</f>
        <v/>
      </c>
      <c r="N25" s="15">
        <f>IF($J25="","",IF(COUNTIF(tblAnahtarB[NormB],$J25)&gt;1,"EVET","HAYIR"))</f>
        <v/>
      </c>
      <c r="O25" s="15">
        <f>IF($I25="","",ROW()-ROW($I$5))</f>
        <v/>
      </c>
    </row>
    <row r="26">
      <c r="A26" s="7">
        <f>IF(VERI_A!A26="","",VERI_A!A26)</f>
        <v/>
      </c>
      <c r="B26" s="15">
        <f>UPPER(TRIM(SUBSTITUTE($A26," ","")))</f>
        <v/>
      </c>
      <c r="C26" s="15">
        <f>IF($B26="",0,LEN($B26))</f>
        <v/>
      </c>
      <c r="D26" s="15">
        <f>IF($B26="","",LEFT($B26,kdo_ikincilUzunluk))</f>
        <v/>
      </c>
      <c r="E26" s="15">
        <f>"A"</f>
        <v/>
      </c>
      <c r="F26" s="15">
        <f>IF($B26="","",IF(COUNTIF(tblAnahtarA[Norm],$B26)&gt;1,"EVET","HAYIR"))</f>
        <v/>
      </c>
      <c r="G26" s="15">
        <f>IF($A26="","",ROW()-ROW($A$5))</f>
        <v/>
      </c>
      <c r="I26" s="7">
        <f>IF(VERI_B!A26="","",VERI_B!A26)</f>
        <v/>
      </c>
      <c r="J26" s="15">
        <f>UPPER(TRIM(SUBSTITUTE($I26," ","")))</f>
        <v/>
      </c>
      <c r="K26" s="15">
        <f>IF($J26="",0,LEN($J26))</f>
        <v/>
      </c>
      <c r="L26" s="15">
        <f>IF($J26="","",LEFT($J26,kdo_ikincilUzunluk))</f>
        <v/>
      </c>
      <c r="M26" s="15">
        <f>"B"</f>
        <v/>
      </c>
      <c r="N26" s="15">
        <f>IF($J26="","",IF(COUNTIF(tblAnahtarB[NormB],$J26)&gt;1,"EVET","HAYIR"))</f>
        <v/>
      </c>
      <c r="O26" s="15">
        <f>IF($I26="","",ROW()-ROW($I$5))</f>
        <v/>
      </c>
    </row>
    <row r="27">
      <c r="A27" s="7">
        <f>IF(VERI_A!A27="","",VERI_A!A27)</f>
        <v/>
      </c>
      <c r="B27" s="15">
        <f>UPPER(TRIM(SUBSTITUTE($A27," ","")))</f>
        <v/>
      </c>
      <c r="C27" s="15">
        <f>IF($B27="",0,LEN($B27))</f>
        <v/>
      </c>
      <c r="D27" s="15">
        <f>IF($B27="","",LEFT($B27,kdo_ikincilUzunluk))</f>
        <v/>
      </c>
      <c r="E27" s="15">
        <f>"A"</f>
        <v/>
      </c>
      <c r="F27" s="15">
        <f>IF($B27="","",IF(COUNTIF(tblAnahtarA[Norm],$B27)&gt;1,"EVET","HAYIR"))</f>
        <v/>
      </c>
      <c r="G27" s="15">
        <f>IF($A27="","",ROW()-ROW($A$5))</f>
        <v/>
      </c>
      <c r="I27" s="7">
        <f>IF(VERI_B!A27="","",VERI_B!A27)</f>
        <v/>
      </c>
      <c r="J27" s="15">
        <f>UPPER(TRIM(SUBSTITUTE($I27," ","")))</f>
        <v/>
      </c>
      <c r="K27" s="15">
        <f>IF($J27="",0,LEN($J27))</f>
        <v/>
      </c>
      <c r="L27" s="15">
        <f>IF($J27="","",LEFT($J27,kdo_ikincilUzunluk))</f>
        <v/>
      </c>
      <c r="M27" s="15">
        <f>"B"</f>
        <v/>
      </c>
      <c r="N27" s="15">
        <f>IF($J27="","",IF(COUNTIF(tblAnahtarB[NormB],$J27)&gt;1,"EVET","HAYIR"))</f>
        <v/>
      </c>
      <c r="O27" s="15">
        <f>IF($I27="","",ROW()-ROW($I$5))</f>
        <v/>
      </c>
    </row>
    <row r="28">
      <c r="A28" s="7">
        <f>IF(VERI_A!A28="","",VERI_A!A28)</f>
        <v/>
      </c>
      <c r="B28" s="15">
        <f>UPPER(TRIM(SUBSTITUTE($A28," ","")))</f>
        <v/>
      </c>
      <c r="C28" s="15">
        <f>IF($B28="",0,LEN($B28))</f>
        <v/>
      </c>
      <c r="D28" s="15">
        <f>IF($B28="","",LEFT($B28,kdo_ikincilUzunluk))</f>
        <v/>
      </c>
      <c r="E28" s="15">
        <f>"A"</f>
        <v/>
      </c>
      <c r="F28" s="15">
        <f>IF($B28="","",IF(COUNTIF(tblAnahtarA[Norm],$B28)&gt;1,"EVET","HAYIR"))</f>
        <v/>
      </c>
      <c r="G28" s="15">
        <f>IF($A28="","",ROW()-ROW($A$5))</f>
        <v/>
      </c>
      <c r="I28" s="7">
        <f>IF(VERI_B!A28="","",VERI_B!A28)</f>
        <v/>
      </c>
      <c r="J28" s="15">
        <f>UPPER(TRIM(SUBSTITUTE($I28," ","")))</f>
        <v/>
      </c>
      <c r="K28" s="15">
        <f>IF($J28="",0,LEN($J28))</f>
        <v/>
      </c>
      <c r="L28" s="15">
        <f>IF($J28="","",LEFT($J28,kdo_ikincilUzunluk))</f>
        <v/>
      </c>
      <c r="M28" s="15">
        <f>"B"</f>
        <v/>
      </c>
      <c r="N28" s="15">
        <f>IF($J28="","",IF(COUNTIF(tblAnahtarB[NormB],$J28)&gt;1,"EVET","HAYIR"))</f>
        <v/>
      </c>
      <c r="O28" s="15">
        <f>IF($I28="","",ROW()-ROW($I$5))</f>
        <v/>
      </c>
    </row>
    <row r="29">
      <c r="A29" s="7">
        <f>IF(VERI_A!A29="","",VERI_A!A29)</f>
        <v/>
      </c>
      <c r="B29" s="15">
        <f>UPPER(TRIM(SUBSTITUTE($A29," ","")))</f>
        <v/>
      </c>
      <c r="C29" s="15">
        <f>IF($B29="",0,LEN($B29))</f>
        <v/>
      </c>
      <c r="D29" s="15">
        <f>IF($B29="","",LEFT($B29,kdo_ikincilUzunluk))</f>
        <v/>
      </c>
      <c r="E29" s="15">
        <f>"A"</f>
        <v/>
      </c>
      <c r="F29" s="15">
        <f>IF($B29="","",IF(COUNTIF(tblAnahtarA[Norm],$B29)&gt;1,"EVET","HAYIR"))</f>
        <v/>
      </c>
      <c r="G29" s="15">
        <f>IF($A29="","",ROW()-ROW($A$5))</f>
        <v/>
      </c>
      <c r="I29" s="7">
        <f>IF(VERI_B!A29="","",VERI_B!A29)</f>
        <v/>
      </c>
      <c r="J29" s="15">
        <f>UPPER(TRIM(SUBSTITUTE($I29," ","")))</f>
        <v/>
      </c>
      <c r="K29" s="15">
        <f>IF($J29="",0,LEN($J29))</f>
        <v/>
      </c>
      <c r="L29" s="15">
        <f>IF($J29="","",LEFT($J29,kdo_ikincilUzunluk))</f>
        <v/>
      </c>
      <c r="M29" s="15">
        <f>"B"</f>
        <v/>
      </c>
      <c r="N29" s="15">
        <f>IF($J29="","",IF(COUNTIF(tblAnahtarB[NormB],$J29)&gt;1,"EVET","HAYIR"))</f>
        <v/>
      </c>
      <c r="O29" s="15">
        <f>IF($I29="","",ROW()-ROW($I$5))</f>
        <v/>
      </c>
    </row>
    <row r="30">
      <c r="A30" s="7">
        <f>IF(VERI_A!A30="","",VERI_A!A30)</f>
        <v/>
      </c>
      <c r="B30" s="15">
        <f>UPPER(TRIM(SUBSTITUTE($A30," ","")))</f>
        <v/>
      </c>
      <c r="C30" s="15">
        <f>IF($B30="",0,LEN($B30))</f>
        <v/>
      </c>
      <c r="D30" s="15">
        <f>IF($B30="","",LEFT($B30,kdo_ikincilUzunluk))</f>
        <v/>
      </c>
      <c r="E30" s="15">
        <f>"A"</f>
        <v/>
      </c>
      <c r="F30" s="15">
        <f>IF($B30="","",IF(COUNTIF(tblAnahtarA[Norm],$B30)&gt;1,"EVET","HAYIR"))</f>
        <v/>
      </c>
      <c r="G30" s="15">
        <f>IF($A30="","",ROW()-ROW($A$5))</f>
        <v/>
      </c>
      <c r="I30" s="7">
        <f>IF(VERI_B!A30="","",VERI_B!A30)</f>
        <v/>
      </c>
      <c r="J30" s="15">
        <f>UPPER(TRIM(SUBSTITUTE($I30," ","")))</f>
        <v/>
      </c>
      <c r="K30" s="15">
        <f>IF($J30="",0,LEN($J30))</f>
        <v/>
      </c>
      <c r="L30" s="15">
        <f>IF($J30="","",LEFT($J30,kdo_ikincilUzunluk))</f>
        <v/>
      </c>
      <c r="M30" s="15">
        <f>"B"</f>
        <v/>
      </c>
      <c r="N30" s="15">
        <f>IF($J30="","",IF(COUNTIF(tblAnahtarB[NormB],$J30)&gt;1,"EVET","HAYIR"))</f>
        <v/>
      </c>
      <c r="O30" s="15">
        <f>IF($I30="","",ROW()-ROW($I$5))</f>
        <v/>
      </c>
    </row>
    <row r="31">
      <c r="A31" s="7">
        <f>IF(VERI_A!A31="","",VERI_A!A31)</f>
        <v/>
      </c>
      <c r="B31" s="15">
        <f>UPPER(TRIM(SUBSTITUTE($A31," ","")))</f>
        <v/>
      </c>
      <c r="C31" s="15">
        <f>IF($B31="",0,LEN($B31))</f>
        <v/>
      </c>
      <c r="D31" s="15">
        <f>IF($B31="","",LEFT($B31,kdo_ikincilUzunluk))</f>
        <v/>
      </c>
      <c r="E31" s="15">
        <f>"A"</f>
        <v/>
      </c>
      <c r="F31" s="15">
        <f>IF($B31="","",IF(COUNTIF(tblAnahtarA[Norm],$B31)&gt;1,"EVET","HAYIR"))</f>
        <v/>
      </c>
      <c r="G31" s="15">
        <f>IF($A31="","",ROW()-ROW($A$5))</f>
        <v/>
      </c>
      <c r="I31" s="7">
        <f>IF(VERI_B!A31="","",VERI_B!A31)</f>
        <v/>
      </c>
      <c r="J31" s="15">
        <f>UPPER(TRIM(SUBSTITUTE($I31," ","")))</f>
        <v/>
      </c>
      <c r="K31" s="15">
        <f>IF($J31="",0,LEN($J31))</f>
        <v/>
      </c>
      <c r="L31" s="15">
        <f>IF($J31="","",LEFT($J31,kdo_ikincilUzunluk))</f>
        <v/>
      </c>
      <c r="M31" s="15">
        <f>"B"</f>
        <v/>
      </c>
      <c r="N31" s="15">
        <f>IF($J31="","",IF(COUNTIF(tblAnahtarB[NormB],$J31)&gt;1,"EVET","HAYIR"))</f>
        <v/>
      </c>
      <c r="O31" s="15">
        <f>IF($I31="","",ROW()-ROW($I$5))</f>
        <v/>
      </c>
    </row>
    <row r="32">
      <c r="A32" s="7">
        <f>IF(VERI_A!A32="","",VERI_A!A32)</f>
        <v/>
      </c>
      <c r="B32" s="15">
        <f>UPPER(TRIM(SUBSTITUTE($A32," ","")))</f>
        <v/>
      </c>
      <c r="C32" s="15">
        <f>IF($B32="",0,LEN($B32))</f>
        <v/>
      </c>
      <c r="D32" s="15">
        <f>IF($B32="","",LEFT($B32,kdo_ikincilUzunluk))</f>
        <v/>
      </c>
      <c r="E32" s="15">
        <f>"A"</f>
        <v/>
      </c>
      <c r="F32" s="15">
        <f>IF($B32="","",IF(COUNTIF(tblAnahtarA[Norm],$B32)&gt;1,"EVET","HAYIR"))</f>
        <v/>
      </c>
      <c r="G32" s="15">
        <f>IF($A32="","",ROW()-ROW($A$5))</f>
        <v/>
      </c>
      <c r="I32" s="7">
        <f>IF(VERI_B!A32="","",VERI_B!A32)</f>
        <v/>
      </c>
      <c r="J32" s="15">
        <f>UPPER(TRIM(SUBSTITUTE($I32," ","")))</f>
        <v/>
      </c>
      <c r="K32" s="15">
        <f>IF($J32="",0,LEN($J32))</f>
        <v/>
      </c>
      <c r="L32" s="15">
        <f>IF($J32="","",LEFT($J32,kdo_ikincilUzunluk))</f>
        <v/>
      </c>
      <c r="M32" s="15">
        <f>"B"</f>
        <v/>
      </c>
      <c r="N32" s="15">
        <f>IF($J32="","",IF(COUNTIF(tblAnahtarB[NormB],$J32)&gt;1,"EVET","HAYIR"))</f>
        <v/>
      </c>
      <c r="O32" s="15">
        <f>IF($I32="","",ROW()-ROW($I$5))</f>
        <v/>
      </c>
    </row>
    <row r="33">
      <c r="A33" s="7">
        <f>IF(VERI_A!A33="","",VERI_A!A33)</f>
        <v/>
      </c>
      <c r="B33" s="15">
        <f>UPPER(TRIM(SUBSTITUTE($A33," ","")))</f>
        <v/>
      </c>
      <c r="C33" s="15">
        <f>IF($B33="",0,LEN($B33))</f>
        <v/>
      </c>
      <c r="D33" s="15">
        <f>IF($B33="","",LEFT($B33,kdo_ikincilUzunluk))</f>
        <v/>
      </c>
      <c r="E33" s="15">
        <f>"A"</f>
        <v/>
      </c>
      <c r="F33" s="15">
        <f>IF($B33="","",IF(COUNTIF(tblAnahtarA[Norm],$B33)&gt;1,"EVET","HAYIR"))</f>
        <v/>
      </c>
      <c r="G33" s="15">
        <f>IF($A33="","",ROW()-ROW($A$5))</f>
        <v/>
      </c>
      <c r="I33" s="7">
        <f>IF(VERI_B!A33="","",VERI_B!A33)</f>
        <v/>
      </c>
      <c r="J33" s="15">
        <f>UPPER(TRIM(SUBSTITUTE($I33," ","")))</f>
        <v/>
      </c>
      <c r="K33" s="15">
        <f>IF($J33="",0,LEN($J33))</f>
        <v/>
      </c>
      <c r="L33" s="15">
        <f>IF($J33="","",LEFT($J33,kdo_ikincilUzunluk))</f>
        <v/>
      </c>
      <c r="M33" s="15">
        <f>"B"</f>
        <v/>
      </c>
      <c r="N33" s="15">
        <f>IF($J33="","",IF(COUNTIF(tblAnahtarB[NormB],$J33)&gt;1,"EVET","HAYIR"))</f>
        <v/>
      </c>
      <c r="O33" s="15">
        <f>IF($I33="","",ROW()-ROW($I$5))</f>
        <v/>
      </c>
    </row>
    <row r="34">
      <c r="A34" s="7">
        <f>IF(VERI_A!A34="","",VERI_A!A34)</f>
        <v/>
      </c>
      <c r="B34" s="15">
        <f>UPPER(TRIM(SUBSTITUTE($A34," ","")))</f>
        <v/>
      </c>
      <c r="C34" s="15">
        <f>IF($B34="",0,LEN($B34))</f>
        <v/>
      </c>
      <c r="D34" s="15">
        <f>IF($B34="","",LEFT($B34,kdo_ikincilUzunluk))</f>
        <v/>
      </c>
      <c r="E34" s="15">
        <f>"A"</f>
        <v/>
      </c>
      <c r="F34" s="15">
        <f>IF($B34="","",IF(COUNTIF(tblAnahtarA[Norm],$B34)&gt;1,"EVET","HAYIR"))</f>
        <v/>
      </c>
      <c r="G34" s="15">
        <f>IF($A34="","",ROW()-ROW($A$5))</f>
        <v/>
      </c>
      <c r="I34" s="7">
        <f>IF(VERI_B!A34="","",VERI_B!A34)</f>
        <v/>
      </c>
      <c r="J34" s="15">
        <f>UPPER(TRIM(SUBSTITUTE($I34," ","")))</f>
        <v/>
      </c>
      <c r="K34" s="15">
        <f>IF($J34="",0,LEN($J34))</f>
        <v/>
      </c>
      <c r="L34" s="15">
        <f>IF($J34="","",LEFT($J34,kdo_ikincilUzunluk))</f>
        <v/>
      </c>
      <c r="M34" s="15">
        <f>"B"</f>
        <v/>
      </c>
      <c r="N34" s="15">
        <f>IF($J34="","",IF(COUNTIF(tblAnahtarB[NormB],$J34)&gt;1,"EVET","HAYIR"))</f>
        <v/>
      </c>
      <c r="O34" s="15">
        <f>IF($I34="","",ROW()-ROW($I$5))</f>
        <v/>
      </c>
    </row>
    <row r="35">
      <c r="A35" s="7">
        <f>IF(VERI_A!A35="","",VERI_A!A35)</f>
        <v/>
      </c>
      <c r="B35" s="15">
        <f>UPPER(TRIM(SUBSTITUTE($A35," ","")))</f>
        <v/>
      </c>
      <c r="C35" s="15">
        <f>IF($B35="",0,LEN($B35))</f>
        <v/>
      </c>
      <c r="D35" s="15">
        <f>IF($B35="","",LEFT($B35,kdo_ikincilUzunluk))</f>
        <v/>
      </c>
      <c r="E35" s="15">
        <f>"A"</f>
        <v/>
      </c>
      <c r="F35" s="15">
        <f>IF($B35="","",IF(COUNTIF(tblAnahtarA[Norm],$B35)&gt;1,"EVET","HAYIR"))</f>
        <v/>
      </c>
      <c r="G35" s="15">
        <f>IF($A35="","",ROW()-ROW($A$5))</f>
        <v/>
      </c>
      <c r="I35" s="7">
        <f>IF(VERI_B!A35="","",VERI_B!A35)</f>
        <v/>
      </c>
      <c r="J35" s="15">
        <f>UPPER(TRIM(SUBSTITUTE($I35," ","")))</f>
        <v/>
      </c>
      <c r="K35" s="15">
        <f>IF($J35="",0,LEN($J35))</f>
        <v/>
      </c>
      <c r="L35" s="15">
        <f>IF($J35="","",LEFT($J35,kdo_ikincilUzunluk))</f>
        <v/>
      </c>
      <c r="M35" s="15">
        <f>"B"</f>
        <v/>
      </c>
      <c r="N35" s="15">
        <f>IF($J35="","",IF(COUNTIF(tblAnahtarB[NormB],$J35)&gt;1,"EVET","HAYIR"))</f>
        <v/>
      </c>
      <c r="O35" s="15">
        <f>IF($I35="","",ROW()-ROW($I$5))</f>
        <v/>
      </c>
    </row>
    <row r="36">
      <c r="A36" s="7">
        <f>IF(VERI_A!A36="","",VERI_A!A36)</f>
        <v/>
      </c>
      <c r="B36" s="15">
        <f>UPPER(TRIM(SUBSTITUTE($A36," ","")))</f>
        <v/>
      </c>
      <c r="C36" s="15">
        <f>IF($B36="",0,LEN($B36))</f>
        <v/>
      </c>
      <c r="D36" s="15">
        <f>IF($B36="","",LEFT($B36,kdo_ikincilUzunluk))</f>
        <v/>
      </c>
      <c r="E36" s="15">
        <f>"A"</f>
        <v/>
      </c>
      <c r="F36" s="15">
        <f>IF($B36="","",IF(COUNTIF(tblAnahtarA[Norm],$B36)&gt;1,"EVET","HAYIR"))</f>
        <v/>
      </c>
      <c r="G36" s="15">
        <f>IF($A36="","",ROW()-ROW($A$5))</f>
        <v/>
      </c>
      <c r="I36" s="7">
        <f>IF(VERI_B!A36="","",VERI_B!A36)</f>
        <v/>
      </c>
      <c r="J36" s="15">
        <f>UPPER(TRIM(SUBSTITUTE($I36," ","")))</f>
        <v/>
      </c>
      <c r="K36" s="15">
        <f>IF($J36="",0,LEN($J36))</f>
        <v/>
      </c>
      <c r="L36" s="15">
        <f>IF($J36="","",LEFT($J36,kdo_ikincilUzunluk))</f>
        <v/>
      </c>
      <c r="M36" s="15">
        <f>"B"</f>
        <v/>
      </c>
      <c r="N36" s="15">
        <f>IF($J36="","",IF(COUNTIF(tblAnahtarB[NormB],$J36)&gt;1,"EVET","HAYIR"))</f>
        <v/>
      </c>
      <c r="O36" s="15">
        <f>IF($I36="","",ROW()-ROW($I$5))</f>
        <v/>
      </c>
    </row>
    <row r="37">
      <c r="A37" s="7">
        <f>IF(VERI_A!A37="","",VERI_A!A37)</f>
        <v/>
      </c>
      <c r="B37" s="15">
        <f>UPPER(TRIM(SUBSTITUTE($A37," ","")))</f>
        <v/>
      </c>
      <c r="C37" s="15">
        <f>IF($B37="",0,LEN($B37))</f>
        <v/>
      </c>
      <c r="D37" s="15">
        <f>IF($B37="","",LEFT($B37,kdo_ikincilUzunluk))</f>
        <v/>
      </c>
      <c r="E37" s="15">
        <f>"A"</f>
        <v/>
      </c>
      <c r="F37" s="15">
        <f>IF($B37="","",IF(COUNTIF(tblAnahtarA[Norm],$B37)&gt;1,"EVET","HAYIR"))</f>
        <v/>
      </c>
      <c r="G37" s="15">
        <f>IF($A37="","",ROW()-ROW($A$5))</f>
        <v/>
      </c>
      <c r="I37" s="7">
        <f>IF(VERI_B!A37="","",VERI_B!A37)</f>
        <v/>
      </c>
      <c r="J37" s="15">
        <f>UPPER(TRIM(SUBSTITUTE($I37," ","")))</f>
        <v/>
      </c>
      <c r="K37" s="15">
        <f>IF($J37="",0,LEN($J37))</f>
        <v/>
      </c>
      <c r="L37" s="15">
        <f>IF($J37="","",LEFT($J37,kdo_ikincilUzunluk))</f>
        <v/>
      </c>
      <c r="M37" s="15">
        <f>"B"</f>
        <v/>
      </c>
      <c r="N37" s="15">
        <f>IF($J37="","",IF(COUNTIF(tblAnahtarB[NormB],$J37)&gt;1,"EVET","HAYIR"))</f>
        <v/>
      </c>
      <c r="O37" s="15">
        <f>IF($I37="","",ROW()-ROW($I$5))</f>
        <v/>
      </c>
    </row>
    <row r="38">
      <c r="A38" s="7">
        <f>IF(VERI_A!A38="","",VERI_A!A38)</f>
        <v/>
      </c>
      <c r="B38" s="15">
        <f>UPPER(TRIM(SUBSTITUTE($A38," ","")))</f>
        <v/>
      </c>
      <c r="C38" s="15">
        <f>IF($B38="",0,LEN($B38))</f>
        <v/>
      </c>
      <c r="D38" s="15">
        <f>IF($B38="","",LEFT($B38,kdo_ikincilUzunluk))</f>
        <v/>
      </c>
      <c r="E38" s="15">
        <f>"A"</f>
        <v/>
      </c>
      <c r="F38" s="15">
        <f>IF($B38="","",IF(COUNTIF(tblAnahtarA[Norm],$B38)&gt;1,"EVET","HAYIR"))</f>
        <v/>
      </c>
      <c r="G38" s="15">
        <f>IF($A38="","",ROW()-ROW($A$5))</f>
        <v/>
      </c>
      <c r="I38" s="7">
        <f>IF(VERI_B!A38="","",VERI_B!A38)</f>
        <v/>
      </c>
      <c r="J38" s="15">
        <f>UPPER(TRIM(SUBSTITUTE($I38," ","")))</f>
        <v/>
      </c>
      <c r="K38" s="15">
        <f>IF($J38="",0,LEN($J38))</f>
        <v/>
      </c>
      <c r="L38" s="15">
        <f>IF($J38="","",LEFT($J38,kdo_ikincilUzunluk))</f>
        <v/>
      </c>
      <c r="M38" s="15">
        <f>"B"</f>
        <v/>
      </c>
      <c r="N38" s="15">
        <f>IF($J38="","",IF(COUNTIF(tblAnahtarB[NormB],$J38)&gt;1,"EVET","HAYIR"))</f>
        <v/>
      </c>
      <c r="O38" s="15">
        <f>IF($I38="","",ROW()-ROW($I$5))</f>
        <v/>
      </c>
    </row>
    <row r="39">
      <c r="A39" s="7">
        <f>IF(VERI_A!A39="","",VERI_A!A39)</f>
        <v/>
      </c>
      <c r="B39" s="15">
        <f>UPPER(TRIM(SUBSTITUTE($A39," ","")))</f>
        <v/>
      </c>
      <c r="C39" s="15">
        <f>IF($B39="",0,LEN($B39))</f>
        <v/>
      </c>
      <c r="D39" s="15">
        <f>IF($B39="","",LEFT($B39,kdo_ikincilUzunluk))</f>
        <v/>
      </c>
      <c r="E39" s="15">
        <f>"A"</f>
        <v/>
      </c>
      <c r="F39" s="15">
        <f>IF($B39="","",IF(COUNTIF(tblAnahtarA[Norm],$B39)&gt;1,"EVET","HAYIR"))</f>
        <v/>
      </c>
      <c r="G39" s="15">
        <f>IF($A39="","",ROW()-ROW($A$5))</f>
        <v/>
      </c>
      <c r="I39" s="7">
        <f>IF(VERI_B!A39="","",VERI_B!A39)</f>
        <v/>
      </c>
      <c r="J39" s="15">
        <f>UPPER(TRIM(SUBSTITUTE($I39," ","")))</f>
        <v/>
      </c>
      <c r="K39" s="15">
        <f>IF($J39="",0,LEN($J39))</f>
        <v/>
      </c>
      <c r="L39" s="15">
        <f>IF($J39="","",LEFT($J39,kdo_ikincilUzunluk))</f>
        <v/>
      </c>
      <c r="M39" s="15">
        <f>"B"</f>
        <v/>
      </c>
      <c r="N39" s="15">
        <f>IF($J39="","",IF(COUNTIF(tblAnahtarB[NormB],$J39)&gt;1,"EVET","HAYIR"))</f>
        <v/>
      </c>
      <c r="O39" s="15">
        <f>IF($I39="","",ROW()-ROW($I$5))</f>
        <v/>
      </c>
    </row>
    <row r="40">
      <c r="A40" s="7">
        <f>IF(VERI_A!A40="","",VERI_A!A40)</f>
        <v/>
      </c>
      <c r="B40" s="15">
        <f>UPPER(TRIM(SUBSTITUTE($A40," ","")))</f>
        <v/>
      </c>
      <c r="C40" s="15">
        <f>IF($B40="",0,LEN($B40))</f>
        <v/>
      </c>
      <c r="D40" s="15">
        <f>IF($B40="","",LEFT($B40,kdo_ikincilUzunluk))</f>
        <v/>
      </c>
      <c r="E40" s="15">
        <f>"A"</f>
        <v/>
      </c>
      <c r="F40" s="15">
        <f>IF($B40="","",IF(COUNTIF(tblAnahtarA[Norm],$B40)&gt;1,"EVET","HAYIR"))</f>
        <v/>
      </c>
      <c r="G40" s="15">
        <f>IF($A40="","",ROW()-ROW($A$5))</f>
        <v/>
      </c>
      <c r="I40" s="7">
        <f>IF(VERI_B!A40="","",VERI_B!A40)</f>
        <v/>
      </c>
      <c r="J40" s="15">
        <f>UPPER(TRIM(SUBSTITUTE($I40," ","")))</f>
        <v/>
      </c>
      <c r="K40" s="15">
        <f>IF($J40="",0,LEN($J40))</f>
        <v/>
      </c>
      <c r="L40" s="15">
        <f>IF($J40="","",LEFT($J40,kdo_ikincilUzunluk))</f>
        <v/>
      </c>
      <c r="M40" s="15">
        <f>"B"</f>
        <v/>
      </c>
      <c r="N40" s="15">
        <f>IF($J40="","",IF(COUNTIF(tblAnahtarB[NormB],$J40)&gt;1,"EVET","HAYIR"))</f>
        <v/>
      </c>
      <c r="O40" s="15">
        <f>IF($I40="","",ROW()-ROW($I$5))</f>
        <v/>
      </c>
    </row>
    <row r="41">
      <c r="A41" s="7">
        <f>IF(VERI_A!A41="","",VERI_A!A41)</f>
        <v/>
      </c>
      <c r="B41" s="15">
        <f>UPPER(TRIM(SUBSTITUTE($A41," ","")))</f>
        <v/>
      </c>
      <c r="C41" s="15">
        <f>IF($B41="",0,LEN($B41))</f>
        <v/>
      </c>
      <c r="D41" s="15">
        <f>IF($B41="","",LEFT($B41,kdo_ikincilUzunluk))</f>
        <v/>
      </c>
      <c r="E41" s="15">
        <f>"A"</f>
        <v/>
      </c>
      <c r="F41" s="15">
        <f>IF($B41="","",IF(COUNTIF(tblAnahtarA[Norm],$B41)&gt;1,"EVET","HAYIR"))</f>
        <v/>
      </c>
      <c r="G41" s="15">
        <f>IF($A41="","",ROW()-ROW($A$5))</f>
        <v/>
      </c>
      <c r="I41" s="7">
        <f>IF(VERI_B!A41="","",VERI_B!A41)</f>
        <v/>
      </c>
      <c r="J41" s="15">
        <f>UPPER(TRIM(SUBSTITUTE($I41," ","")))</f>
        <v/>
      </c>
      <c r="K41" s="15">
        <f>IF($J41="",0,LEN($J41))</f>
        <v/>
      </c>
      <c r="L41" s="15">
        <f>IF($J41="","",LEFT($J41,kdo_ikincilUzunluk))</f>
        <v/>
      </c>
      <c r="M41" s="15">
        <f>"B"</f>
        <v/>
      </c>
      <c r="N41" s="15">
        <f>IF($J41="","",IF(COUNTIF(tblAnahtarB[NormB],$J41)&gt;1,"EVET","HAYIR"))</f>
        <v/>
      </c>
      <c r="O41" s="15">
        <f>IF($I41="","",ROW()-ROW($I$5))</f>
        <v/>
      </c>
    </row>
    <row r="42">
      <c r="A42" s="7">
        <f>IF(VERI_A!A42="","",VERI_A!A42)</f>
        <v/>
      </c>
      <c r="B42" s="15">
        <f>UPPER(TRIM(SUBSTITUTE($A42," ","")))</f>
        <v/>
      </c>
      <c r="C42" s="15">
        <f>IF($B42="",0,LEN($B42))</f>
        <v/>
      </c>
      <c r="D42" s="15">
        <f>IF($B42="","",LEFT($B42,kdo_ikincilUzunluk))</f>
        <v/>
      </c>
      <c r="E42" s="15">
        <f>"A"</f>
        <v/>
      </c>
      <c r="F42" s="15">
        <f>IF($B42="","",IF(COUNTIF(tblAnahtarA[Norm],$B42)&gt;1,"EVET","HAYIR"))</f>
        <v/>
      </c>
      <c r="G42" s="15">
        <f>IF($A42="","",ROW()-ROW($A$5))</f>
        <v/>
      </c>
      <c r="I42" s="7">
        <f>IF(VERI_B!A42="","",VERI_B!A42)</f>
        <v/>
      </c>
      <c r="J42" s="15">
        <f>UPPER(TRIM(SUBSTITUTE($I42," ","")))</f>
        <v/>
      </c>
      <c r="K42" s="15">
        <f>IF($J42="",0,LEN($J42))</f>
        <v/>
      </c>
      <c r="L42" s="15">
        <f>IF($J42="","",LEFT($J42,kdo_ikincilUzunluk))</f>
        <v/>
      </c>
      <c r="M42" s="15">
        <f>"B"</f>
        <v/>
      </c>
      <c r="N42" s="15">
        <f>IF($J42="","",IF(COUNTIF(tblAnahtarB[NormB],$J42)&gt;1,"EVET","HAYIR"))</f>
        <v/>
      </c>
      <c r="O42" s="15">
        <f>IF($I42="","",ROW()-ROW($I$5))</f>
        <v/>
      </c>
    </row>
    <row r="43">
      <c r="A43" s="7">
        <f>IF(VERI_A!A43="","",VERI_A!A43)</f>
        <v/>
      </c>
      <c r="B43" s="15">
        <f>UPPER(TRIM(SUBSTITUTE($A43," ","")))</f>
        <v/>
      </c>
      <c r="C43" s="15">
        <f>IF($B43="",0,LEN($B43))</f>
        <v/>
      </c>
      <c r="D43" s="15">
        <f>IF($B43="","",LEFT($B43,kdo_ikincilUzunluk))</f>
        <v/>
      </c>
      <c r="E43" s="15">
        <f>"A"</f>
        <v/>
      </c>
      <c r="F43" s="15">
        <f>IF($B43="","",IF(COUNTIF(tblAnahtarA[Norm],$B43)&gt;1,"EVET","HAYIR"))</f>
        <v/>
      </c>
      <c r="G43" s="15">
        <f>IF($A43="","",ROW()-ROW($A$5))</f>
        <v/>
      </c>
      <c r="I43" s="7">
        <f>IF(VERI_B!A43="","",VERI_B!A43)</f>
        <v/>
      </c>
      <c r="J43" s="15">
        <f>UPPER(TRIM(SUBSTITUTE($I43," ","")))</f>
        <v/>
      </c>
      <c r="K43" s="15">
        <f>IF($J43="",0,LEN($J43))</f>
        <v/>
      </c>
      <c r="L43" s="15">
        <f>IF($J43="","",LEFT($J43,kdo_ikincilUzunluk))</f>
        <v/>
      </c>
      <c r="M43" s="15">
        <f>"B"</f>
        <v/>
      </c>
      <c r="N43" s="15">
        <f>IF($J43="","",IF(COUNTIF(tblAnahtarB[NormB],$J43)&gt;1,"EVET","HAYIR"))</f>
        <v/>
      </c>
      <c r="O43" s="15">
        <f>IF($I43="","",ROW()-ROW($I$5))</f>
        <v/>
      </c>
    </row>
    <row r="44">
      <c r="A44" s="7">
        <f>IF(VERI_A!A44="","",VERI_A!A44)</f>
        <v/>
      </c>
      <c r="B44" s="15">
        <f>UPPER(TRIM(SUBSTITUTE($A44," ","")))</f>
        <v/>
      </c>
      <c r="C44" s="15">
        <f>IF($B44="",0,LEN($B44))</f>
        <v/>
      </c>
      <c r="D44" s="15">
        <f>IF($B44="","",LEFT($B44,kdo_ikincilUzunluk))</f>
        <v/>
      </c>
      <c r="E44" s="15">
        <f>"A"</f>
        <v/>
      </c>
      <c r="F44" s="15">
        <f>IF($B44="","",IF(COUNTIF(tblAnahtarA[Norm],$B44)&gt;1,"EVET","HAYIR"))</f>
        <v/>
      </c>
      <c r="G44" s="15">
        <f>IF($A44="","",ROW()-ROW($A$5))</f>
        <v/>
      </c>
      <c r="I44" s="7">
        <f>IF(VERI_B!A44="","",VERI_B!A44)</f>
        <v/>
      </c>
      <c r="J44" s="15">
        <f>UPPER(TRIM(SUBSTITUTE($I44," ","")))</f>
        <v/>
      </c>
      <c r="K44" s="15">
        <f>IF($J44="",0,LEN($J44))</f>
        <v/>
      </c>
      <c r="L44" s="15">
        <f>IF($J44="","",LEFT($J44,kdo_ikincilUzunluk))</f>
        <v/>
      </c>
      <c r="M44" s="15">
        <f>"B"</f>
        <v/>
      </c>
      <c r="N44" s="15">
        <f>IF($J44="","",IF(COUNTIF(tblAnahtarB[NormB],$J44)&gt;1,"EVET","HAYIR"))</f>
        <v/>
      </c>
      <c r="O44" s="15">
        <f>IF($I44="","",ROW()-ROW($I$5))</f>
        <v/>
      </c>
    </row>
    <row r="45">
      <c r="A45" s="7">
        <f>IF(VERI_A!A45="","",VERI_A!A45)</f>
        <v/>
      </c>
      <c r="B45" s="15">
        <f>UPPER(TRIM(SUBSTITUTE($A45," ","")))</f>
        <v/>
      </c>
      <c r="C45" s="15">
        <f>IF($B45="",0,LEN($B45))</f>
        <v/>
      </c>
      <c r="D45" s="15">
        <f>IF($B45="","",LEFT($B45,kdo_ikincilUzunluk))</f>
        <v/>
      </c>
      <c r="E45" s="15">
        <f>"A"</f>
        <v/>
      </c>
      <c r="F45" s="15">
        <f>IF($B45="","",IF(COUNTIF(tblAnahtarA[Norm],$B45)&gt;1,"EVET","HAYIR"))</f>
        <v/>
      </c>
      <c r="G45" s="15">
        <f>IF($A45="","",ROW()-ROW($A$5))</f>
        <v/>
      </c>
      <c r="I45" s="7">
        <f>IF(VERI_B!A45="","",VERI_B!A45)</f>
        <v/>
      </c>
      <c r="J45" s="15">
        <f>UPPER(TRIM(SUBSTITUTE($I45," ","")))</f>
        <v/>
      </c>
      <c r="K45" s="15">
        <f>IF($J45="",0,LEN($J45))</f>
        <v/>
      </c>
      <c r="L45" s="15">
        <f>IF($J45="","",LEFT($J45,kdo_ikincilUzunluk))</f>
        <v/>
      </c>
      <c r="M45" s="15">
        <f>"B"</f>
        <v/>
      </c>
      <c r="N45" s="15">
        <f>IF($J45="","",IF(COUNTIF(tblAnahtarB[NormB],$J45)&gt;1,"EVET","HAYIR"))</f>
        <v/>
      </c>
      <c r="O45" s="15">
        <f>IF($I45="","",ROW()-ROW($I$5))</f>
        <v/>
      </c>
    </row>
    <row r="46">
      <c r="A46" s="7">
        <f>IF(VERI_A!A46="","",VERI_A!A46)</f>
        <v/>
      </c>
      <c r="B46" s="15">
        <f>UPPER(TRIM(SUBSTITUTE($A46," ","")))</f>
        <v/>
      </c>
      <c r="C46" s="15">
        <f>IF($B46="",0,LEN($B46))</f>
        <v/>
      </c>
      <c r="D46" s="15">
        <f>IF($B46="","",LEFT($B46,kdo_ikincilUzunluk))</f>
        <v/>
      </c>
      <c r="E46" s="15">
        <f>"A"</f>
        <v/>
      </c>
      <c r="F46" s="15">
        <f>IF($B46="","",IF(COUNTIF(tblAnahtarA[Norm],$B46)&gt;1,"EVET","HAYIR"))</f>
        <v/>
      </c>
      <c r="G46" s="15">
        <f>IF($A46="","",ROW()-ROW($A$5))</f>
        <v/>
      </c>
      <c r="I46" s="7">
        <f>IF(VERI_B!A46="","",VERI_B!A46)</f>
        <v/>
      </c>
      <c r="J46" s="15">
        <f>UPPER(TRIM(SUBSTITUTE($I46," ","")))</f>
        <v/>
      </c>
      <c r="K46" s="15">
        <f>IF($J46="",0,LEN($J46))</f>
        <v/>
      </c>
      <c r="L46" s="15">
        <f>IF($J46="","",LEFT($J46,kdo_ikincilUzunluk))</f>
        <v/>
      </c>
      <c r="M46" s="15">
        <f>"B"</f>
        <v/>
      </c>
      <c r="N46" s="15">
        <f>IF($J46="","",IF(COUNTIF(tblAnahtarB[NormB],$J46)&gt;1,"EVET","HAYIR"))</f>
        <v/>
      </c>
      <c r="O46" s="15">
        <f>IF($I46="","",ROW()-ROW($I$5))</f>
        <v/>
      </c>
    </row>
    <row r="47">
      <c r="A47" s="7">
        <f>IF(VERI_A!A47="","",VERI_A!A47)</f>
        <v/>
      </c>
      <c r="B47" s="15">
        <f>UPPER(TRIM(SUBSTITUTE($A47," ","")))</f>
        <v/>
      </c>
      <c r="C47" s="15">
        <f>IF($B47="",0,LEN($B47))</f>
        <v/>
      </c>
      <c r="D47" s="15">
        <f>IF($B47="","",LEFT($B47,kdo_ikincilUzunluk))</f>
        <v/>
      </c>
      <c r="E47" s="15">
        <f>"A"</f>
        <v/>
      </c>
      <c r="F47" s="15">
        <f>IF($B47="","",IF(COUNTIF(tblAnahtarA[Norm],$B47)&gt;1,"EVET","HAYIR"))</f>
        <v/>
      </c>
      <c r="G47" s="15">
        <f>IF($A47="","",ROW()-ROW($A$5))</f>
        <v/>
      </c>
      <c r="I47" s="7">
        <f>IF(VERI_B!A47="","",VERI_B!A47)</f>
        <v/>
      </c>
      <c r="J47" s="15">
        <f>UPPER(TRIM(SUBSTITUTE($I47," ","")))</f>
        <v/>
      </c>
      <c r="K47" s="15">
        <f>IF($J47="",0,LEN($J47))</f>
        <v/>
      </c>
      <c r="L47" s="15">
        <f>IF($J47="","",LEFT($J47,kdo_ikincilUzunluk))</f>
        <v/>
      </c>
      <c r="M47" s="15">
        <f>"B"</f>
        <v/>
      </c>
      <c r="N47" s="15">
        <f>IF($J47="","",IF(COUNTIF(tblAnahtarB[NormB],$J47)&gt;1,"EVET","HAYIR"))</f>
        <v/>
      </c>
      <c r="O47" s="15">
        <f>IF($I47="","",ROW()-ROW($I$5))</f>
        <v/>
      </c>
    </row>
    <row r="48">
      <c r="A48" s="7">
        <f>IF(VERI_A!A48="","",VERI_A!A48)</f>
        <v/>
      </c>
      <c r="B48" s="15">
        <f>UPPER(TRIM(SUBSTITUTE($A48," ","")))</f>
        <v/>
      </c>
      <c r="C48" s="15">
        <f>IF($B48="",0,LEN($B48))</f>
        <v/>
      </c>
      <c r="D48" s="15">
        <f>IF($B48="","",LEFT($B48,kdo_ikincilUzunluk))</f>
        <v/>
      </c>
      <c r="E48" s="15">
        <f>"A"</f>
        <v/>
      </c>
      <c r="F48" s="15">
        <f>IF($B48="","",IF(COUNTIF(tblAnahtarA[Norm],$B48)&gt;1,"EVET","HAYIR"))</f>
        <v/>
      </c>
      <c r="G48" s="15">
        <f>IF($A48="","",ROW()-ROW($A$5))</f>
        <v/>
      </c>
      <c r="I48" s="7">
        <f>IF(VERI_B!A48="","",VERI_B!A48)</f>
        <v/>
      </c>
      <c r="J48" s="15">
        <f>UPPER(TRIM(SUBSTITUTE($I48," ","")))</f>
        <v/>
      </c>
      <c r="K48" s="15">
        <f>IF($J48="",0,LEN($J48))</f>
        <v/>
      </c>
      <c r="L48" s="15">
        <f>IF($J48="","",LEFT($J48,kdo_ikincilUzunluk))</f>
        <v/>
      </c>
      <c r="M48" s="15">
        <f>"B"</f>
        <v/>
      </c>
      <c r="N48" s="15">
        <f>IF($J48="","",IF(COUNTIF(tblAnahtarB[NormB],$J48)&gt;1,"EVET","HAYIR"))</f>
        <v/>
      </c>
      <c r="O48" s="15">
        <f>IF($I48="","",ROW()-ROW($I$5))</f>
        <v/>
      </c>
    </row>
    <row r="49">
      <c r="A49" s="7">
        <f>IF(VERI_A!A49="","",VERI_A!A49)</f>
        <v/>
      </c>
      <c r="B49" s="15">
        <f>UPPER(TRIM(SUBSTITUTE($A49," ","")))</f>
        <v/>
      </c>
      <c r="C49" s="15">
        <f>IF($B49="",0,LEN($B49))</f>
        <v/>
      </c>
      <c r="D49" s="15">
        <f>IF($B49="","",LEFT($B49,kdo_ikincilUzunluk))</f>
        <v/>
      </c>
      <c r="E49" s="15">
        <f>"A"</f>
        <v/>
      </c>
      <c r="F49" s="15">
        <f>IF($B49="","",IF(COUNTIF(tblAnahtarA[Norm],$B49)&gt;1,"EVET","HAYIR"))</f>
        <v/>
      </c>
      <c r="G49" s="15">
        <f>IF($A49="","",ROW()-ROW($A$5))</f>
        <v/>
      </c>
      <c r="I49" s="7">
        <f>IF(VERI_B!A49="","",VERI_B!A49)</f>
        <v/>
      </c>
      <c r="J49" s="15">
        <f>UPPER(TRIM(SUBSTITUTE($I49," ","")))</f>
        <v/>
      </c>
      <c r="K49" s="15">
        <f>IF($J49="",0,LEN($J49))</f>
        <v/>
      </c>
      <c r="L49" s="15">
        <f>IF($J49="","",LEFT($J49,kdo_ikincilUzunluk))</f>
        <v/>
      </c>
      <c r="M49" s="15">
        <f>"B"</f>
        <v/>
      </c>
      <c r="N49" s="15">
        <f>IF($J49="","",IF(COUNTIF(tblAnahtarB[NormB],$J49)&gt;1,"EVET","HAYIR"))</f>
        <v/>
      </c>
      <c r="O49" s="15">
        <f>IF($I49="","",ROW()-ROW($I$5))</f>
        <v/>
      </c>
    </row>
    <row r="50">
      <c r="A50" s="7">
        <f>IF(VERI_A!A50="","",VERI_A!A50)</f>
        <v/>
      </c>
      <c r="B50" s="15">
        <f>UPPER(TRIM(SUBSTITUTE($A50," ","")))</f>
        <v/>
      </c>
      <c r="C50" s="15">
        <f>IF($B50="",0,LEN($B50))</f>
        <v/>
      </c>
      <c r="D50" s="15">
        <f>IF($B50="","",LEFT($B50,kdo_ikincilUzunluk))</f>
        <v/>
      </c>
      <c r="E50" s="15">
        <f>"A"</f>
        <v/>
      </c>
      <c r="F50" s="15">
        <f>IF($B50="","",IF(COUNTIF(tblAnahtarA[Norm],$B50)&gt;1,"EVET","HAYIR"))</f>
        <v/>
      </c>
      <c r="G50" s="15">
        <f>IF($A50="","",ROW()-ROW($A$5))</f>
        <v/>
      </c>
      <c r="I50" s="7">
        <f>IF(VERI_B!A50="","",VERI_B!A50)</f>
        <v/>
      </c>
      <c r="J50" s="15">
        <f>UPPER(TRIM(SUBSTITUTE($I50," ","")))</f>
        <v/>
      </c>
      <c r="K50" s="15">
        <f>IF($J50="",0,LEN($J50))</f>
        <v/>
      </c>
      <c r="L50" s="15">
        <f>IF($J50="","",LEFT($J50,kdo_ikincilUzunluk))</f>
        <v/>
      </c>
      <c r="M50" s="15">
        <f>"B"</f>
        <v/>
      </c>
      <c r="N50" s="15">
        <f>IF($J50="","",IF(COUNTIF(tblAnahtarB[NormB],$J50)&gt;1,"EVET","HAYIR"))</f>
        <v/>
      </c>
      <c r="O50" s="15">
        <f>IF($I50="","",ROW()-ROW($I$5))</f>
        <v/>
      </c>
    </row>
    <row r="51">
      <c r="A51" s="7">
        <f>IF(VERI_A!A51="","",VERI_A!A51)</f>
        <v/>
      </c>
      <c r="B51" s="15">
        <f>UPPER(TRIM(SUBSTITUTE($A51," ","")))</f>
        <v/>
      </c>
      <c r="C51" s="15">
        <f>IF($B51="",0,LEN($B51))</f>
        <v/>
      </c>
      <c r="D51" s="15">
        <f>IF($B51="","",LEFT($B51,kdo_ikincilUzunluk))</f>
        <v/>
      </c>
      <c r="E51" s="15">
        <f>"A"</f>
        <v/>
      </c>
      <c r="F51" s="15">
        <f>IF($B51="","",IF(COUNTIF(tblAnahtarA[Norm],$B51)&gt;1,"EVET","HAYIR"))</f>
        <v/>
      </c>
      <c r="G51" s="15">
        <f>IF($A51="","",ROW()-ROW($A$5))</f>
        <v/>
      </c>
      <c r="I51" s="7">
        <f>IF(VERI_B!A51="","",VERI_B!A51)</f>
        <v/>
      </c>
      <c r="J51" s="15">
        <f>UPPER(TRIM(SUBSTITUTE($I51," ","")))</f>
        <v/>
      </c>
      <c r="K51" s="15">
        <f>IF($J51="",0,LEN($J51))</f>
        <v/>
      </c>
      <c r="L51" s="15">
        <f>IF($J51="","",LEFT($J51,kdo_ikincilUzunluk))</f>
        <v/>
      </c>
      <c r="M51" s="15">
        <f>"B"</f>
        <v/>
      </c>
      <c r="N51" s="15">
        <f>IF($J51="","",IF(COUNTIF(tblAnahtarB[NormB],$J51)&gt;1,"EVET","HAYIR"))</f>
        <v/>
      </c>
      <c r="O51" s="15">
        <f>IF($I51="","",ROW()-ROW($I$5))</f>
        <v/>
      </c>
    </row>
    <row r="52">
      <c r="A52" s="7">
        <f>IF(VERI_A!A52="","",VERI_A!A52)</f>
        <v/>
      </c>
      <c r="B52" s="15">
        <f>UPPER(TRIM(SUBSTITUTE($A52," ","")))</f>
        <v/>
      </c>
      <c r="C52" s="15">
        <f>IF($B52="",0,LEN($B52))</f>
        <v/>
      </c>
      <c r="D52" s="15">
        <f>IF($B52="","",LEFT($B52,kdo_ikincilUzunluk))</f>
        <v/>
      </c>
      <c r="E52" s="15">
        <f>"A"</f>
        <v/>
      </c>
      <c r="F52" s="15">
        <f>IF($B52="","",IF(COUNTIF(tblAnahtarA[Norm],$B52)&gt;1,"EVET","HAYIR"))</f>
        <v/>
      </c>
      <c r="G52" s="15">
        <f>IF($A52="","",ROW()-ROW($A$5))</f>
        <v/>
      </c>
      <c r="I52" s="7">
        <f>IF(VERI_B!A52="","",VERI_B!A52)</f>
        <v/>
      </c>
      <c r="J52" s="15">
        <f>UPPER(TRIM(SUBSTITUTE($I52," ","")))</f>
        <v/>
      </c>
      <c r="K52" s="15">
        <f>IF($J52="",0,LEN($J52))</f>
        <v/>
      </c>
      <c r="L52" s="15">
        <f>IF($J52="","",LEFT($J52,kdo_ikincilUzunluk))</f>
        <v/>
      </c>
      <c r="M52" s="15">
        <f>"B"</f>
        <v/>
      </c>
      <c r="N52" s="15">
        <f>IF($J52="","",IF(COUNTIF(tblAnahtarB[NormB],$J52)&gt;1,"EVET","HAYIR"))</f>
        <v/>
      </c>
      <c r="O52" s="15">
        <f>IF($I52="","",ROW()-ROW($I$5))</f>
        <v/>
      </c>
    </row>
    <row r="53">
      <c r="A53" s="7">
        <f>IF(VERI_A!A53="","",VERI_A!A53)</f>
        <v/>
      </c>
      <c r="B53" s="15">
        <f>UPPER(TRIM(SUBSTITUTE($A53," ","")))</f>
        <v/>
      </c>
      <c r="C53" s="15">
        <f>IF($B53="",0,LEN($B53))</f>
        <v/>
      </c>
      <c r="D53" s="15">
        <f>IF($B53="","",LEFT($B53,kdo_ikincilUzunluk))</f>
        <v/>
      </c>
      <c r="E53" s="15">
        <f>"A"</f>
        <v/>
      </c>
      <c r="F53" s="15">
        <f>IF($B53="","",IF(COUNTIF(tblAnahtarA[Norm],$B53)&gt;1,"EVET","HAYIR"))</f>
        <v/>
      </c>
      <c r="G53" s="15">
        <f>IF($A53="","",ROW()-ROW($A$5))</f>
        <v/>
      </c>
      <c r="I53" s="7">
        <f>IF(VERI_B!A53="","",VERI_B!A53)</f>
        <v/>
      </c>
      <c r="J53" s="15">
        <f>UPPER(TRIM(SUBSTITUTE($I53," ","")))</f>
        <v/>
      </c>
      <c r="K53" s="15">
        <f>IF($J53="",0,LEN($J53))</f>
        <v/>
      </c>
      <c r="L53" s="15">
        <f>IF($J53="","",LEFT($J53,kdo_ikincilUzunluk))</f>
        <v/>
      </c>
      <c r="M53" s="15">
        <f>"B"</f>
        <v/>
      </c>
      <c r="N53" s="15">
        <f>IF($J53="","",IF(COUNTIF(tblAnahtarB[NormB],$J53)&gt;1,"EVET","HAYIR"))</f>
        <v/>
      </c>
      <c r="O53" s="15">
        <f>IF($I53="","",ROW()-ROW($I$5))</f>
        <v/>
      </c>
    </row>
    <row r="54">
      <c r="A54" s="7">
        <f>IF(VERI_A!A54="","",VERI_A!A54)</f>
        <v/>
      </c>
      <c r="B54" s="15">
        <f>UPPER(TRIM(SUBSTITUTE($A54," ","")))</f>
        <v/>
      </c>
      <c r="C54" s="15">
        <f>IF($B54="",0,LEN($B54))</f>
        <v/>
      </c>
      <c r="D54" s="15">
        <f>IF($B54="","",LEFT($B54,kdo_ikincilUzunluk))</f>
        <v/>
      </c>
      <c r="E54" s="15">
        <f>"A"</f>
        <v/>
      </c>
      <c r="F54" s="15">
        <f>IF($B54="","",IF(COUNTIF(tblAnahtarA[Norm],$B54)&gt;1,"EVET","HAYIR"))</f>
        <v/>
      </c>
      <c r="G54" s="15">
        <f>IF($A54="","",ROW()-ROW($A$5))</f>
        <v/>
      </c>
      <c r="I54" s="7">
        <f>IF(VERI_B!A54="","",VERI_B!A54)</f>
        <v/>
      </c>
      <c r="J54" s="15">
        <f>UPPER(TRIM(SUBSTITUTE($I54," ","")))</f>
        <v/>
      </c>
      <c r="K54" s="15">
        <f>IF($J54="",0,LEN($J54))</f>
        <v/>
      </c>
      <c r="L54" s="15">
        <f>IF($J54="","",LEFT($J54,kdo_ikincilUzunluk))</f>
        <v/>
      </c>
      <c r="M54" s="15">
        <f>"B"</f>
        <v/>
      </c>
      <c r="N54" s="15">
        <f>IF($J54="","",IF(COUNTIF(tblAnahtarB[NormB],$J54)&gt;1,"EVET","HAYIR"))</f>
        <v/>
      </c>
      <c r="O54" s="15">
        <f>IF($I54="","",ROW()-ROW($I$5))</f>
        <v/>
      </c>
    </row>
    <row r="55">
      <c r="A55" s="7">
        <f>IF(VERI_A!A55="","",VERI_A!A55)</f>
        <v/>
      </c>
      <c r="B55" s="15">
        <f>UPPER(TRIM(SUBSTITUTE($A55," ","")))</f>
        <v/>
      </c>
      <c r="C55" s="15">
        <f>IF($B55="",0,LEN($B55))</f>
        <v/>
      </c>
      <c r="D55" s="15">
        <f>IF($B55="","",LEFT($B55,kdo_ikincilUzunluk))</f>
        <v/>
      </c>
      <c r="E55" s="15">
        <f>"A"</f>
        <v/>
      </c>
      <c r="F55" s="15">
        <f>IF($B55="","",IF(COUNTIF(tblAnahtarA[Norm],$B55)&gt;1,"EVET","HAYIR"))</f>
        <v/>
      </c>
      <c r="G55" s="15">
        <f>IF($A55="","",ROW()-ROW($A$5))</f>
        <v/>
      </c>
      <c r="I55" s="7">
        <f>IF(VERI_B!A55="","",VERI_B!A55)</f>
        <v/>
      </c>
      <c r="J55" s="15">
        <f>UPPER(TRIM(SUBSTITUTE($I55," ","")))</f>
        <v/>
      </c>
      <c r="K55" s="15">
        <f>IF($J55="",0,LEN($J55))</f>
        <v/>
      </c>
      <c r="L55" s="15">
        <f>IF($J55="","",LEFT($J55,kdo_ikincilUzunluk))</f>
        <v/>
      </c>
      <c r="M55" s="15">
        <f>"B"</f>
        <v/>
      </c>
      <c r="N55" s="15">
        <f>IF($J55="","",IF(COUNTIF(tblAnahtarB[NormB],$J55)&gt;1,"EVET","HAYIR"))</f>
        <v/>
      </c>
      <c r="O55" s="15">
        <f>IF($I55="","",ROW()-ROW($I$5))</f>
        <v/>
      </c>
    </row>
    <row r="56">
      <c r="A56" s="7">
        <f>IF(VERI_A!A56="","",VERI_A!A56)</f>
        <v/>
      </c>
      <c r="B56" s="15">
        <f>UPPER(TRIM(SUBSTITUTE($A56," ","")))</f>
        <v/>
      </c>
      <c r="C56" s="15">
        <f>IF($B56="",0,LEN($B56))</f>
        <v/>
      </c>
      <c r="D56" s="15">
        <f>IF($B56="","",LEFT($B56,kdo_ikincilUzunluk))</f>
        <v/>
      </c>
      <c r="E56" s="15">
        <f>"A"</f>
        <v/>
      </c>
      <c r="F56" s="15">
        <f>IF($B56="","",IF(COUNTIF(tblAnahtarA[Norm],$B56)&gt;1,"EVET","HAYIR"))</f>
        <v/>
      </c>
      <c r="G56" s="15">
        <f>IF($A56="","",ROW()-ROW($A$5))</f>
        <v/>
      </c>
      <c r="I56" s="7">
        <f>IF(VERI_B!A56="","",VERI_B!A56)</f>
        <v/>
      </c>
      <c r="J56" s="15">
        <f>UPPER(TRIM(SUBSTITUTE($I56," ","")))</f>
        <v/>
      </c>
      <c r="K56" s="15">
        <f>IF($J56="",0,LEN($J56))</f>
        <v/>
      </c>
      <c r="L56" s="15">
        <f>IF($J56="","",LEFT($J56,kdo_ikincilUzunluk))</f>
        <v/>
      </c>
      <c r="M56" s="15">
        <f>"B"</f>
        <v/>
      </c>
      <c r="N56" s="15">
        <f>IF($J56="","",IF(COUNTIF(tblAnahtarB[NormB],$J56)&gt;1,"EVET","HAYIR"))</f>
        <v/>
      </c>
      <c r="O56" s="15">
        <f>IF($I56="","",ROW()-ROW($I$5))</f>
        <v/>
      </c>
    </row>
    <row r="57">
      <c r="A57" s="7">
        <f>IF(VERI_A!A57="","",VERI_A!A57)</f>
        <v/>
      </c>
      <c r="B57" s="15">
        <f>UPPER(TRIM(SUBSTITUTE($A57," ","")))</f>
        <v/>
      </c>
      <c r="C57" s="15">
        <f>IF($B57="",0,LEN($B57))</f>
        <v/>
      </c>
      <c r="D57" s="15">
        <f>IF($B57="","",LEFT($B57,kdo_ikincilUzunluk))</f>
        <v/>
      </c>
      <c r="E57" s="15">
        <f>"A"</f>
        <v/>
      </c>
      <c r="F57" s="15">
        <f>IF($B57="","",IF(COUNTIF(tblAnahtarA[Norm],$B57)&gt;1,"EVET","HAYIR"))</f>
        <v/>
      </c>
      <c r="G57" s="15">
        <f>IF($A57="","",ROW()-ROW($A$5))</f>
        <v/>
      </c>
      <c r="I57" s="7">
        <f>IF(VERI_B!A57="","",VERI_B!A57)</f>
        <v/>
      </c>
      <c r="J57" s="15">
        <f>UPPER(TRIM(SUBSTITUTE($I57," ","")))</f>
        <v/>
      </c>
      <c r="K57" s="15">
        <f>IF($J57="",0,LEN($J57))</f>
        <v/>
      </c>
      <c r="L57" s="15">
        <f>IF($J57="","",LEFT($J57,kdo_ikincilUzunluk))</f>
        <v/>
      </c>
      <c r="M57" s="15">
        <f>"B"</f>
        <v/>
      </c>
      <c r="N57" s="15">
        <f>IF($J57="","",IF(COUNTIF(tblAnahtarB[NormB],$J57)&gt;1,"EVET","HAYIR"))</f>
        <v/>
      </c>
      <c r="O57" s="15">
        <f>IF($I57="","",ROW()-ROW($I$5))</f>
        <v/>
      </c>
    </row>
    <row r="58">
      <c r="A58" s="7">
        <f>IF(VERI_A!A58="","",VERI_A!A58)</f>
        <v/>
      </c>
      <c r="B58" s="15">
        <f>UPPER(TRIM(SUBSTITUTE($A58," ","")))</f>
        <v/>
      </c>
      <c r="C58" s="15">
        <f>IF($B58="",0,LEN($B58))</f>
        <v/>
      </c>
      <c r="D58" s="15">
        <f>IF($B58="","",LEFT($B58,kdo_ikincilUzunluk))</f>
        <v/>
      </c>
      <c r="E58" s="15">
        <f>"A"</f>
        <v/>
      </c>
      <c r="F58" s="15">
        <f>IF($B58="","",IF(COUNTIF(tblAnahtarA[Norm],$B58)&gt;1,"EVET","HAYIR"))</f>
        <v/>
      </c>
      <c r="G58" s="15">
        <f>IF($A58="","",ROW()-ROW($A$5))</f>
        <v/>
      </c>
      <c r="I58" s="7">
        <f>IF(VERI_B!A58="","",VERI_B!A58)</f>
        <v/>
      </c>
      <c r="J58" s="15">
        <f>UPPER(TRIM(SUBSTITUTE($I58," ","")))</f>
        <v/>
      </c>
      <c r="K58" s="15">
        <f>IF($J58="",0,LEN($J58))</f>
        <v/>
      </c>
      <c r="L58" s="15">
        <f>IF($J58="","",LEFT($J58,kdo_ikincilUzunluk))</f>
        <v/>
      </c>
      <c r="M58" s="15">
        <f>"B"</f>
        <v/>
      </c>
      <c r="N58" s="15">
        <f>IF($J58="","",IF(COUNTIF(tblAnahtarB[NormB],$J58)&gt;1,"EVET","HAYIR"))</f>
        <v/>
      </c>
      <c r="O58" s="15">
        <f>IF($I58="","",ROW()-ROW($I$5))</f>
        <v/>
      </c>
    </row>
    <row r="59">
      <c r="A59" s="7">
        <f>IF(VERI_A!A59="","",VERI_A!A59)</f>
        <v/>
      </c>
      <c r="B59" s="15">
        <f>UPPER(TRIM(SUBSTITUTE($A59," ","")))</f>
        <v/>
      </c>
      <c r="C59" s="15">
        <f>IF($B59="",0,LEN($B59))</f>
        <v/>
      </c>
      <c r="D59" s="15">
        <f>IF($B59="","",LEFT($B59,kdo_ikincilUzunluk))</f>
        <v/>
      </c>
      <c r="E59" s="15">
        <f>"A"</f>
        <v/>
      </c>
      <c r="F59" s="15">
        <f>IF($B59="","",IF(COUNTIF(tblAnahtarA[Norm],$B59)&gt;1,"EVET","HAYIR"))</f>
        <v/>
      </c>
      <c r="G59" s="15">
        <f>IF($A59="","",ROW()-ROW($A$5))</f>
        <v/>
      </c>
      <c r="I59" s="7">
        <f>IF(VERI_B!A59="","",VERI_B!A59)</f>
        <v/>
      </c>
      <c r="J59" s="15">
        <f>UPPER(TRIM(SUBSTITUTE($I59," ","")))</f>
        <v/>
      </c>
      <c r="K59" s="15">
        <f>IF($J59="",0,LEN($J59))</f>
        <v/>
      </c>
      <c r="L59" s="15">
        <f>IF($J59="","",LEFT($J59,kdo_ikincilUzunluk))</f>
        <v/>
      </c>
      <c r="M59" s="15">
        <f>"B"</f>
        <v/>
      </c>
      <c r="N59" s="15">
        <f>IF($J59="","",IF(COUNTIF(tblAnahtarB[NormB],$J59)&gt;1,"EVET","HAYIR"))</f>
        <v/>
      </c>
      <c r="O59" s="15">
        <f>IF($I59="","",ROW()-ROW($I$5))</f>
        <v/>
      </c>
    </row>
    <row r="60">
      <c r="A60" s="7">
        <f>IF(VERI_A!A60="","",VERI_A!A60)</f>
        <v/>
      </c>
      <c r="B60" s="15">
        <f>UPPER(TRIM(SUBSTITUTE($A60," ","")))</f>
        <v/>
      </c>
      <c r="C60" s="15">
        <f>IF($B60="",0,LEN($B60))</f>
        <v/>
      </c>
      <c r="D60" s="15">
        <f>IF($B60="","",LEFT($B60,kdo_ikincilUzunluk))</f>
        <v/>
      </c>
      <c r="E60" s="15">
        <f>"A"</f>
        <v/>
      </c>
      <c r="F60" s="15">
        <f>IF($B60="","",IF(COUNTIF(tblAnahtarA[Norm],$B60)&gt;1,"EVET","HAYIR"))</f>
        <v/>
      </c>
      <c r="G60" s="15">
        <f>IF($A60="","",ROW()-ROW($A$5))</f>
        <v/>
      </c>
      <c r="I60" s="7">
        <f>IF(VERI_B!A60="","",VERI_B!A60)</f>
        <v/>
      </c>
      <c r="J60" s="15">
        <f>UPPER(TRIM(SUBSTITUTE($I60," ","")))</f>
        <v/>
      </c>
      <c r="K60" s="15">
        <f>IF($J60="",0,LEN($J60))</f>
        <v/>
      </c>
      <c r="L60" s="15">
        <f>IF($J60="","",LEFT($J60,kdo_ikincilUzunluk))</f>
        <v/>
      </c>
      <c r="M60" s="15">
        <f>"B"</f>
        <v/>
      </c>
      <c r="N60" s="15">
        <f>IF($J60="","",IF(COUNTIF(tblAnahtarB[NormB],$J60)&gt;1,"EVET","HAYIR"))</f>
        <v/>
      </c>
      <c r="O60" s="15">
        <f>IF($I60="","",ROW()-ROW($I$5))</f>
        <v/>
      </c>
    </row>
    <row r="61">
      <c r="A61" s="7">
        <f>IF(VERI_A!A61="","",VERI_A!A61)</f>
        <v/>
      </c>
      <c r="B61" s="15">
        <f>UPPER(TRIM(SUBSTITUTE($A61," ","")))</f>
        <v/>
      </c>
      <c r="C61" s="15">
        <f>IF($B61="",0,LEN($B61))</f>
        <v/>
      </c>
      <c r="D61" s="15">
        <f>IF($B61="","",LEFT($B61,kdo_ikincilUzunluk))</f>
        <v/>
      </c>
      <c r="E61" s="15">
        <f>"A"</f>
        <v/>
      </c>
      <c r="F61" s="15">
        <f>IF($B61="","",IF(COUNTIF(tblAnahtarA[Norm],$B61)&gt;1,"EVET","HAYIR"))</f>
        <v/>
      </c>
      <c r="G61" s="15">
        <f>IF($A61="","",ROW()-ROW($A$5))</f>
        <v/>
      </c>
      <c r="I61" s="7">
        <f>IF(VERI_B!A61="","",VERI_B!A61)</f>
        <v/>
      </c>
      <c r="J61" s="15">
        <f>UPPER(TRIM(SUBSTITUTE($I61," ","")))</f>
        <v/>
      </c>
      <c r="K61" s="15">
        <f>IF($J61="",0,LEN($J61))</f>
        <v/>
      </c>
      <c r="L61" s="15">
        <f>IF($J61="","",LEFT($J61,kdo_ikincilUzunluk))</f>
        <v/>
      </c>
      <c r="M61" s="15">
        <f>"B"</f>
        <v/>
      </c>
      <c r="N61" s="15">
        <f>IF($J61="","",IF(COUNTIF(tblAnahtarB[NormB],$J61)&gt;1,"EVET","HAYIR"))</f>
        <v/>
      </c>
      <c r="O61" s="15">
        <f>IF($I61="","",ROW()-ROW($I$5))</f>
        <v/>
      </c>
    </row>
    <row r="62">
      <c r="A62" s="7">
        <f>IF(VERI_A!A62="","",VERI_A!A62)</f>
        <v/>
      </c>
      <c r="B62" s="15">
        <f>UPPER(TRIM(SUBSTITUTE($A62," ","")))</f>
        <v/>
      </c>
      <c r="C62" s="15">
        <f>IF($B62="",0,LEN($B62))</f>
        <v/>
      </c>
      <c r="D62" s="15">
        <f>IF($B62="","",LEFT($B62,kdo_ikincilUzunluk))</f>
        <v/>
      </c>
      <c r="E62" s="15">
        <f>"A"</f>
        <v/>
      </c>
      <c r="F62" s="15">
        <f>IF($B62="","",IF(COUNTIF(tblAnahtarA[Norm],$B62)&gt;1,"EVET","HAYIR"))</f>
        <v/>
      </c>
      <c r="G62" s="15">
        <f>IF($A62="","",ROW()-ROW($A$5))</f>
        <v/>
      </c>
      <c r="I62" s="7">
        <f>IF(VERI_B!A62="","",VERI_B!A62)</f>
        <v/>
      </c>
      <c r="J62" s="15">
        <f>UPPER(TRIM(SUBSTITUTE($I62," ","")))</f>
        <v/>
      </c>
      <c r="K62" s="15">
        <f>IF($J62="",0,LEN($J62))</f>
        <v/>
      </c>
      <c r="L62" s="15">
        <f>IF($J62="","",LEFT($J62,kdo_ikincilUzunluk))</f>
        <v/>
      </c>
      <c r="M62" s="15">
        <f>"B"</f>
        <v/>
      </c>
      <c r="N62" s="15">
        <f>IF($J62="","",IF(COUNTIF(tblAnahtarB[NormB],$J62)&gt;1,"EVET","HAYIR"))</f>
        <v/>
      </c>
      <c r="O62" s="15">
        <f>IF($I62="","",ROW()-ROW($I$5))</f>
        <v/>
      </c>
    </row>
    <row r="63">
      <c r="A63" s="7">
        <f>IF(VERI_A!A63="","",VERI_A!A63)</f>
        <v/>
      </c>
      <c r="B63" s="15">
        <f>UPPER(TRIM(SUBSTITUTE($A63," ","")))</f>
        <v/>
      </c>
      <c r="C63" s="15">
        <f>IF($B63="",0,LEN($B63))</f>
        <v/>
      </c>
      <c r="D63" s="15">
        <f>IF($B63="","",LEFT($B63,kdo_ikincilUzunluk))</f>
        <v/>
      </c>
      <c r="E63" s="15">
        <f>"A"</f>
        <v/>
      </c>
      <c r="F63" s="15">
        <f>IF($B63="","",IF(COUNTIF(tblAnahtarA[Norm],$B63)&gt;1,"EVET","HAYIR"))</f>
        <v/>
      </c>
      <c r="G63" s="15">
        <f>IF($A63="","",ROW()-ROW($A$5))</f>
        <v/>
      </c>
      <c r="I63" s="7">
        <f>IF(VERI_B!A63="","",VERI_B!A63)</f>
        <v/>
      </c>
      <c r="J63" s="15">
        <f>UPPER(TRIM(SUBSTITUTE($I63," ","")))</f>
        <v/>
      </c>
      <c r="K63" s="15">
        <f>IF($J63="",0,LEN($J63))</f>
        <v/>
      </c>
      <c r="L63" s="15">
        <f>IF($J63="","",LEFT($J63,kdo_ikincilUzunluk))</f>
        <v/>
      </c>
      <c r="M63" s="15">
        <f>"B"</f>
        <v/>
      </c>
      <c r="N63" s="15">
        <f>IF($J63="","",IF(COUNTIF(tblAnahtarB[NormB],$J63)&gt;1,"EVET","HAYIR"))</f>
        <v/>
      </c>
      <c r="O63" s="15">
        <f>IF($I63="","",ROW()-ROW($I$5))</f>
        <v/>
      </c>
    </row>
    <row r="64">
      <c r="A64" s="7">
        <f>IF(VERI_A!A64="","",VERI_A!A64)</f>
        <v/>
      </c>
      <c r="B64" s="15">
        <f>UPPER(TRIM(SUBSTITUTE($A64," ","")))</f>
        <v/>
      </c>
      <c r="C64" s="15">
        <f>IF($B64="",0,LEN($B64))</f>
        <v/>
      </c>
      <c r="D64" s="15">
        <f>IF($B64="","",LEFT($B64,kdo_ikincilUzunluk))</f>
        <v/>
      </c>
      <c r="E64" s="15">
        <f>"A"</f>
        <v/>
      </c>
      <c r="F64" s="15">
        <f>IF($B64="","",IF(COUNTIF(tblAnahtarA[Norm],$B64)&gt;1,"EVET","HAYIR"))</f>
        <v/>
      </c>
      <c r="G64" s="15">
        <f>IF($A64="","",ROW()-ROW($A$5))</f>
        <v/>
      </c>
      <c r="I64" s="7">
        <f>IF(VERI_B!A64="","",VERI_B!A64)</f>
        <v/>
      </c>
      <c r="J64" s="15">
        <f>UPPER(TRIM(SUBSTITUTE($I64," ","")))</f>
        <v/>
      </c>
      <c r="K64" s="15">
        <f>IF($J64="",0,LEN($J64))</f>
        <v/>
      </c>
      <c r="L64" s="15">
        <f>IF($J64="","",LEFT($J64,kdo_ikincilUzunluk))</f>
        <v/>
      </c>
      <c r="M64" s="15">
        <f>"B"</f>
        <v/>
      </c>
      <c r="N64" s="15">
        <f>IF($J64="","",IF(COUNTIF(tblAnahtarB[NormB],$J64)&gt;1,"EVET","HAYIR"))</f>
        <v/>
      </c>
      <c r="O64" s="15">
        <f>IF($I64="","",ROW()-ROW($I$5))</f>
        <v/>
      </c>
    </row>
    <row r="65">
      <c r="A65" s="7">
        <f>IF(VERI_A!A65="","",VERI_A!A65)</f>
        <v/>
      </c>
      <c r="B65" s="15">
        <f>UPPER(TRIM(SUBSTITUTE($A65," ","")))</f>
        <v/>
      </c>
      <c r="C65" s="15">
        <f>IF($B65="",0,LEN($B65))</f>
        <v/>
      </c>
      <c r="D65" s="15">
        <f>IF($B65="","",LEFT($B65,kdo_ikincilUzunluk))</f>
        <v/>
      </c>
      <c r="E65" s="15">
        <f>"A"</f>
        <v/>
      </c>
      <c r="F65" s="15">
        <f>IF($B65="","",IF(COUNTIF(tblAnahtarA[Norm],$B65)&gt;1,"EVET","HAYIR"))</f>
        <v/>
      </c>
      <c r="G65" s="15">
        <f>IF($A65="","",ROW()-ROW($A$5))</f>
        <v/>
      </c>
      <c r="I65" s="7">
        <f>IF(VERI_B!A65="","",VERI_B!A65)</f>
        <v/>
      </c>
      <c r="J65" s="15">
        <f>UPPER(TRIM(SUBSTITUTE($I65," ","")))</f>
        <v/>
      </c>
      <c r="K65" s="15">
        <f>IF($J65="",0,LEN($J65))</f>
        <v/>
      </c>
      <c r="L65" s="15">
        <f>IF($J65="","",LEFT($J65,kdo_ikincilUzunluk))</f>
        <v/>
      </c>
      <c r="M65" s="15">
        <f>"B"</f>
        <v/>
      </c>
      <c r="N65" s="15">
        <f>IF($J65="","",IF(COUNTIF(tblAnahtarB[NormB],$J65)&gt;1,"EVET","HAYIR"))</f>
        <v/>
      </c>
      <c r="O65" s="15">
        <f>IF($I65="","",ROW()-ROW($I$5))</f>
        <v/>
      </c>
    </row>
    <row r="66">
      <c r="A66" s="7">
        <f>IF(VERI_A!A66="","",VERI_A!A66)</f>
        <v/>
      </c>
      <c r="B66" s="15">
        <f>UPPER(TRIM(SUBSTITUTE($A66," ","")))</f>
        <v/>
      </c>
      <c r="C66" s="15">
        <f>IF($B66="",0,LEN($B66))</f>
        <v/>
      </c>
      <c r="D66" s="15">
        <f>IF($B66="","",LEFT($B66,kdo_ikincilUzunluk))</f>
        <v/>
      </c>
      <c r="E66" s="15">
        <f>"A"</f>
        <v/>
      </c>
      <c r="F66" s="15">
        <f>IF($B66="","",IF(COUNTIF(tblAnahtarA[Norm],$B66)&gt;1,"EVET","HAYIR"))</f>
        <v/>
      </c>
      <c r="G66" s="15">
        <f>IF($A66="","",ROW()-ROW($A$5))</f>
        <v/>
      </c>
      <c r="I66" s="7">
        <f>IF(VERI_B!A66="","",VERI_B!A66)</f>
        <v/>
      </c>
      <c r="J66" s="15">
        <f>UPPER(TRIM(SUBSTITUTE($I66," ","")))</f>
        <v/>
      </c>
      <c r="K66" s="15">
        <f>IF($J66="",0,LEN($J66))</f>
        <v/>
      </c>
      <c r="L66" s="15">
        <f>IF($J66="","",LEFT($J66,kdo_ikincilUzunluk))</f>
        <v/>
      </c>
      <c r="M66" s="15">
        <f>"B"</f>
        <v/>
      </c>
      <c r="N66" s="15">
        <f>IF($J66="","",IF(COUNTIF(tblAnahtarB[NormB],$J66)&gt;1,"EVET","HAYIR"))</f>
        <v/>
      </c>
      <c r="O66" s="15">
        <f>IF($I66="","",ROW()-ROW($I$5))</f>
        <v/>
      </c>
    </row>
    <row r="67">
      <c r="A67" s="7">
        <f>IF(VERI_A!A67="","",VERI_A!A67)</f>
        <v/>
      </c>
      <c r="B67" s="15">
        <f>UPPER(TRIM(SUBSTITUTE($A67," ","")))</f>
        <v/>
      </c>
      <c r="C67" s="15">
        <f>IF($B67="",0,LEN($B67))</f>
        <v/>
      </c>
      <c r="D67" s="15">
        <f>IF($B67="","",LEFT($B67,kdo_ikincilUzunluk))</f>
        <v/>
      </c>
      <c r="E67" s="15">
        <f>"A"</f>
        <v/>
      </c>
      <c r="F67" s="15">
        <f>IF($B67="","",IF(COUNTIF(tblAnahtarA[Norm],$B67)&gt;1,"EVET","HAYIR"))</f>
        <v/>
      </c>
      <c r="G67" s="15">
        <f>IF($A67="","",ROW()-ROW($A$5))</f>
        <v/>
      </c>
      <c r="I67" s="7">
        <f>IF(VERI_B!A67="","",VERI_B!A67)</f>
        <v/>
      </c>
      <c r="J67" s="15">
        <f>UPPER(TRIM(SUBSTITUTE($I67," ","")))</f>
        <v/>
      </c>
      <c r="K67" s="15">
        <f>IF($J67="",0,LEN($J67))</f>
        <v/>
      </c>
      <c r="L67" s="15">
        <f>IF($J67="","",LEFT($J67,kdo_ikincilUzunluk))</f>
        <v/>
      </c>
      <c r="M67" s="15">
        <f>"B"</f>
        <v/>
      </c>
      <c r="N67" s="15">
        <f>IF($J67="","",IF(COUNTIF(tblAnahtarB[NormB],$J67)&gt;1,"EVET","HAYIR"))</f>
        <v/>
      </c>
      <c r="O67" s="15">
        <f>IF($I67="","",ROW()-ROW($I$5))</f>
        <v/>
      </c>
    </row>
    <row r="68">
      <c r="A68" s="7">
        <f>IF(VERI_A!A68="","",VERI_A!A68)</f>
        <v/>
      </c>
      <c r="B68" s="15">
        <f>UPPER(TRIM(SUBSTITUTE($A68," ","")))</f>
        <v/>
      </c>
      <c r="C68" s="15">
        <f>IF($B68="",0,LEN($B68))</f>
        <v/>
      </c>
      <c r="D68" s="15">
        <f>IF($B68="","",LEFT($B68,kdo_ikincilUzunluk))</f>
        <v/>
      </c>
      <c r="E68" s="15">
        <f>"A"</f>
        <v/>
      </c>
      <c r="F68" s="15">
        <f>IF($B68="","",IF(COUNTIF(tblAnahtarA[Norm],$B68)&gt;1,"EVET","HAYIR"))</f>
        <v/>
      </c>
      <c r="G68" s="15">
        <f>IF($A68="","",ROW()-ROW($A$5))</f>
        <v/>
      </c>
      <c r="I68" s="7">
        <f>IF(VERI_B!A68="","",VERI_B!A68)</f>
        <v/>
      </c>
      <c r="J68" s="15">
        <f>UPPER(TRIM(SUBSTITUTE($I68," ","")))</f>
        <v/>
      </c>
      <c r="K68" s="15">
        <f>IF($J68="",0,LEN($J68))</f>
        <v/>
      </c>
      <c r="L68" s="15">
        <f>IF($J68="","",LEFT($J68,kdo_ikincilUzunluk))</f>
        <v/>
      </c>
      <c r="M68" s="15">
        <f>"B"</f>
        <v/>
      </c>
      <c r="N68" s="15">
        <f>IF($J68="","",IF(COUNTIF(tblAnahtarB[NormB],$J68)&gt;1,"EVET","HAYIR"))</f>
        <v/>
      </c>
      <c r="O68" s="15">
        <f>IF($I68="","",ROW()-ROW($I$5))</f>
        <v/>
      </c>
    </row>
    <row r="69">
      <c r="A69" s="7">
        <f>IF(VERI_A!A69="","",VERI_A!A69)</f>
        <v/>
      </c>
      <c r="B69" s="15">
        <f>UPPER(TRIM(SUBSTITUTE($A69," ","")))</f>
        <v/>
      </c>
      <c r="C69" s="15">
        <f>IF($B69="",0,LEN($B69))</f>
        <v/>
      </c>
      <c r="D69" s="15">
        <f>IF($B69="","",LEFT($B69,kdo_ikincilUzunluk))</f>
        <v/>
      </c>
      <c r="E69" s="15">
        <f>"A"</f>
        <v/>
      </c>
      <c r="F69" s="15">
        <f>IF($B69="","",IF(COUNTIF(tblAnahtarA[Norm],$B69)&gt;1,"EVET","HAYIR"))</f>
        <v/>
      </c>
      <c r="G69" s="15">
        <f>IF($A69="","",ROW()-ROW($A$5))</f>
        <v/>
      </c>
      <c r="I69" s="7">
        <f>IF(VERI_B!A69="","",VERI_B!A69)</f>
        <v/>
      </c>
      <c r="J69" s="15">
        <f>UPPER(TRIM(SUBSTITUTE($I69," ","")))</f>
        <v/>
      </c>
      <c r="K69" s="15">
        <f>IF($J69="",0,LEN($J69))</f>
        <v/>
      </c>
      <c r="L69" s="15">
        <f>IF($J69="","",LEFT($J69,kdo_ikincilUzunluk))</f>
        <v/>
      </c>
      <c r="M69" s="15">
        <f>"B"</f>
        <v/>
      </c>
      <c r="N69" s="15">
        <f>IF($J69="","",IF(COUNTIF(tblAnahtarB[NormB],$J69)&gt;1,"EVET","HAYIR"))</f>
        <v/>
      </c>
      <c r="O69" s="15">
        <f>IF($I69="","",ROW()-ROW($I$5))</f>
        <v/>
      </c>
    </row>
    <row r="70">
      <c r="A70" s="7">
        <f>IF(VERI_A!A70="","",VERI_A!A70)</f>
        <v/>
      </c>
      <c r="B70" s="15">
        <f>UPPER(TRIM(SUBSTITUTE($A70," ","")))</f>
        <v/>
      </c>
      <c r="C70" s="15">
        <f>IF($B70="",0,LEN($B70))</f>
        <v/>
      </c>
      <c r="D70" s="15">
        <f>IF($B70="","",LEFT($B70,kdo_ikincilUzunluk))</f>
        <v/>
      </c>
      <c r="E70" s="15">
        <f>"A"</f>
        <v/>
      </c>
      <c r="F70" s="15">
        <f>IF($B70="","",IF(COUNTIF(tblAnahtarA[Norm],$B70)&gt;1,"EVET","HAYIR"))</f>
        <v/>
      </c>
      <c r="G70" s="15">
        <f>IF($A70="","",ROW()-ROW($A$5))</f>
        <v/>
      </c>
      <c r="I70" s="7">
        <f>IF(VERI_B!A70="","",VERI_B!A70)</f>
        <v/>
      </c>
      <c r="J70" s="15">
        <f>UPPER(TRIM(SUBSTITUTE($I70," ","")))</f>
        <v/>
      </c>
      <c r="K70" s="15">
        <f>IF($J70="",0,LEN($J70))</f>
        <v/>
      </c>
      <c r="L70" s="15">
        <f>IF($J70="","",LEFT($J70,kdo_ikincilUzunluk))</f>
        <v/>
      </c>
      <c r="M70" s="15">
        <f>"B"</f>
        <v/>
      </c>
      <c r="N70" s="15">
        <f>IF($J70="","",IF(COUNTIF(tblAnahtarB[NormB],$J70)&gt;1,"EVET","HAYIR"))</f>
        <v/>
      </c>
      <c r="O70" s="15">
        <f>IF($I70="","",ROW()-ROW($I$5))</f>
        <v/>
      </c>
    </row>
    <row r="71">
      <c r="A71" s="7">
        <f>IF(VERI_A!A71="","",VERI_A!A71)</f>
        <v/>
      </c>
      <c r="B71" s="15">
        <f>UPPER(TRIM(SUBSTITUTE($A71," ","")))</f>
        <v/>
      </c>
      <c r="C71" s="15">
        <f>IF($B71="",0,LEN($B71))</f>
        <v/>
      </c>
      <c r="D71" s="15">
        <f>IF($B71="","",LEFT($B71,kdo_ikincilUzunluk))</f>
        <v/>
      </c>
      <c r="E71" s="15">
        <f>"A"</f>
        <v/>
      </c>
      <c r="F71" s="15">
        <f>IF($B71="","",IF(COUNTIF(tblAnahtarA[Norm],$B71)&gt;1,"EVET","HAYIR"))</f>
        <v/>
      </c>
      <c r="G71" s="15">
        <f>IF($A71="","",ROW()-ROW($A$5))</f>
        <v/>
      </c>
      <c r="I71" s="7">
        <f>IF(VERI_B!A71="","",VERI_B!A71)</f>
        <v/>
      </c>
      <c r="J71" s="15">
        <f>UPPER(TRIM(SUBSTITUTE($I71," ","")))</f>
        <v/>
      </c>
      <c r="K71" s="15">
        <f>IF($J71="",0,LEN($J71))</f>
        <v/>
      </c>
      <c r="L71" s="15">
        <f>IF($J71="","",LEFT($J71,kdo_ikincilUzunluk))</f>
        <v/>
      </c>
      <c r="M71" s="15">
        <f>"B"</f>
        <v/>
      </c>
      <c r="N71" s="15">
        <f>IF($J71="","",IF(COUNTIF(tblAnahtarB[NormB],$J71)&gt;1,"EVET","HAYIR"))</f>
        <v/>
      </c>
      <c r="O71" s="15">
        <f>IF($I71="","",ROW()-ROW($I$5))</f>
        <v/>
      </c>
    </row>
    <row r="72">
      <c r="A72" s="7">
        <f>IF(VERI_A!A72="","",VERI_A!A72)</f>
        <v/>
      </c>
      <c r="B72" s="15">
        <f>UPPER(TRIM(SUBSTITUTE($A72," ","")))</f>
        <v/>
      </c>
      <c r="C72" s="15">
        <f>IF($B72="",0,LEN($B72))</f>
        <v/>
      </c>
      <c r="D72" s="15">
        <f>IF($B72="","",LEFT($B72,kdo_ikincilUzunluk))</f>
        <v/>
      </c>
      <c r="E72" s="15">
        <f>"A"</f>
        <v/>
      </c>
      <c r="F72" s="15">
        <f>IF($B72="","",IF(COUNTIF(tblAnahtarA[Norm],$B72)&gt;1,"EVET","HAYIR"))</f>
        <v/>
      </c>
      <c r="G72" s="15">
        <f>IF($A72="","",ROW()-ROW($A$5))</f>
        <v/>
      </c>
      <c r="I72" s="7">
        <f>IF(VERI_B!A72="","",VERI_B!A72)</f>
        <v/>
      </c>
      <c r="J72" s="15">
        <f>UPPER(TRIM(SUBSTITUTE($I72," ","")))</f>
        <v/>
      </c>
      <c r="K72" s="15">
        <f>IF($J72="",0,LEN($J72))</f>
        <v/>
      </c>
      <c r="L72" s="15">
        <f>IF($J72="","",LEFT($J72,kdo_ikincilUzunluk))</f>
        <v/>
      </c>
      <c r="M72" s="15">
        <f>"B"</f>
        <v/>
      </c>
      <c r="N72" s="15">
        <f>IF($J72="","",IF(COUNTIF(tblAnahtarB[NormB],$J72)&gt;1,"EVET","HAYIR"))</f>
        <v/>
      </c>
      <c r="O72" s="15">
        <f>IF($I72="","",ROW()-ROW($I$5))</f>
        <v/>
      </c>
    </row>
    <row r="73">
      <c r="A73" s="7">
        <f>IF(VERI_A!A73="","",VERI_A!A73)</f>
        <v/>
      </c>
      <c r="B73" s="15">
        <f>UPPER(TRIM(SUBSTITUTE($A73," ","")))</f>
        <v/>
      </c>
      <c r="C73" s="15">
        <f>IF($B73="",0,LEN($B73))</f>
        <v/>
      </c>
      <c r="D73" s="15">
        <f>IF($B73="","",LEFT($B73,kdo_ikincilUzunluk))</f>
        <v/>
      </c>
      <c r="E73" s="15">
        <f>"A"</f>
        <v/>
      </c>
      <c r="F73" s="15">
        <f>IF($B73="","",IF(COUNTIF(tblAnahtarA[Norm],$B73)&gt;1,"EVET","HAYIR"))</f>
        <v/>
      </c>
      <c r="G73" s="15">
        <f>IF($A73="","",ROW()-ROW($A$5))</f>
        <v/>
      </c>
      <c r="I73" s="7">
        <f>IF(VERI_B!A73="","",VERI_B!A73)</f>
        <v/>
      </c>
      <c r="J73" s="15">
        <f>UPPER(TRIM(SUBSTITUTE($I73," ","")))</f>
        <v/>
      </c>
      <c r="K73" s="15">
        <f>IF($J73="",0,LEN($J73))</f>
        <v/>
      </c>
      <c r="L73" s="15">
        <f>IF($J73="","",LEFT($J73,kdo_ikincilUzunluk))</f>
        <v/>
      </c>
      <c r="M73" s="15">
        <f>"B"</f>
        <v/>
      </c>
      <c r="N73" s="15">
        <f>IF($J73="","",IF(COUNTIF(tblAnahtarB[NormB],$J73)&gt;1,"EVET","HAYIR"))</f>
        <v/>
      </c>
      <c r="O73" s="15">
        <f>IF($I73="","",ROW()-ROW($I$5))</f>
        <v/>
      </c>
    </row>
    <row r="74">
      <c r="A74" s="7">
        <f>IF(VERI_A!A74="","",VERI_A!A74)</f>
        <v/>
      </c>
      <c r="B74" s="15">
        <f>UPPER(TRIM(SUBSTITUTE($A74," ","")))</f>
        <v/>
      </c>
      <c r="C74" s="15">
        <f>IF($B74="",0,LEN($B74))</f>
        <v/>
      </c>
      <c r="D74" s="15">
        <f>IF($B74="","",LEFT($B74,kdo_ikincilUzunluk))</f>
        <v/>
      </c>
      <c r="E74" s="15">
        <f>"A"</f>
        <v/>
      </c>
      <c r="F74" s="15">
        <f>IF($B74="","",IF(COUNTIF(tblAnahtarA[Norm],$B74)&gt;1,"EVET","HAYIR"))</f>
        <v/>
      </c>
      <c r="G74" s="15">
        <f>IF($A74="","",ROW()-ROW($A$5))</f>
        <v/>
      </c>
      <c r="I74" s="7">
        <f>IF(VERI_B!A74="","",VERI_B!A74)</f>
        <v/>
      </c>
      <c r="J74" s="15">
        <f>UPPER(TRIM(SUBSTITUTE($I74," ","")))</f>
        <v/>
      </c>
      <c r="K74" s="15">
        <f>IF($J74="",0,LEN($J74))</f>
        <v/>
      </c>
      <c r="L74" s="15">
        <f>IF($J74="","",LEFT($J74,kdo_ikincilUzunluk))</f>
        <v/>
      </c>
      <c r="M74" s="15">
        <f>"B"</f>
        <v/>
      </c>
      <c r="N74" s="15">
        <f>IF($J74="","",IF(COUNTIF(tblAnahtarB[NormB],$J74)&gt;1,"EVET","HAYIR"))</f>
        <v/>
      </c>
      <c r="O74" s="15">
        <f>IF($I74="","",ROW()-ROW($I$5))</f>
        <v/>
      </c>
    </row>
    <row r="75">
      <c r="A75" s="7">
        <f>IF(VERI_A!A75="","",VERI_A!A75)</f>
        <v/>
      </c>
      <c r="B75" s="15">
        <f>UPPER(TRIM(SUBSTITUTE($A75," ","")))</f>
        <v/>
      </c>
      <c r="C75" s="15">
        <f>IF($B75="",0,LEN($B75))</f>
        <v/>
      </c>
      <c r="D75" s="15">
        <f>IF($B75="","",LEFT($B75,kdo_ikincilUzunluk))</f>
        <v/>
      </c>
      <c r="E75" s="15">
        <f>"A"</f>
        <v/>
      </c>
      <c r="F75" s="15">
        <f>IF($B75="","",IF(COUNTIF(tblAnahtarA[Norm],$B75)&gt;1,"EVET","HAYIR"))</f>
        <v/>
      </c>
      <c r="G75" s="15">
        <f>IF($A75="","",ROW()-ROW($A$5))</f>
        <v/>
      </c>
      <c r="I75" s="7">
        <f>IF(VERI_B!A75="","",VERI_B!A75)</f>
        <v/>
      </c>
      <c r="J75" s="15">
        <f>UPPER(TRIM(SUBSTITUTE($I75," ","")))</f>
        <v/>
      </c>
      <c r="K75" s="15">
        <f>IF($J75="",0,LEN($J75))</f>
        <v/>
      </c>
      <c r="L75" s="15">
        <f>IF($J75="","",LEFT($J75,kdo_ikincilUzunluk))</f>
        <v/>
      </c>
      <c r="M75" s="15">
        <f>"B"</f>
        <v/>
      </c>
      <c r="N75" s="15">
        <f>IF($J75="","",IF(COUNTIF(tblAnahtarB[NormB],$J75)&gt;1,"EVET","HAYIR"))</f>
        <v/>
      </c>
      <c r="O75" s="15">
        <f>IF($I75="","",ROW()-ROW($I$5))</f>
        <v/>
      </c>
    </row>
    <row r="76">
      <c r="A76" s="7">
        <f>IF(VERI_A!A76="","",VERI_A!A76)</f>
        <v/>
      </c>
      <c r="B76" s="15">
        <f>UPPER(TRIM(SUBSTITUTE($A76," ","")))</f>
        <v/>
      </c>
      <c r="C76" s="15">
        <f>IF($B76="",0,LEN($B76))</f>
        <v/>
      </c>
      <c r="D76" s="15">
        <f>IF($B76="","",LEFT($B76,kdo_ikincilUzunluk))</f>
        <v/>
      </c>
      <c r="E76" s="15">
        <f>"A"</f>
        <v/>
      </c>
      <c r="F76" s="15">
        <f>IF($B76="","",IF(COUNTIF(tblAnahtarA[Norm],$B76)&gt;1,"EVET","HAYIR"))</f>
        <v/>
      </c>
      <c r="G76" s="15">
        <f>IF($A76="","",ROW()-ROW($A$5))</f>
        <v/>
      </c>
      <c r="I76" s="7">
        <f>IF(VERI_B!A76="","",VERI_B!A76)</f>
        <v/>
      </c>
      <c r="J76" s="15">
        <f>UPPER(TRIM(SUBSTITUTE($I76," ","")))</f>
        <v/>
      </c>
      <c r="K76" s="15">
        <f>IF($J76="",0,LEN($J76))</f>
        <v/>
      </c>
      <c r="L76" s="15">
        <f>IF($J76="","",LEFT($J76,kdo_ikincilUzunluk))</f>
        <v/>
      </c>
      <c r="M76" s="15">
        <f>"B"</f>
        <v/>
      </c>
      <c r="N76" s="15">
        <f>IF($J76="","",IF(COUNTIF(tblAnahtarB[NormB],$J76)&gt;1,"EVET","HAYIR"))</f>
        <v/>
      </c>
      <c r="O76" s="15">
        <f>IF($I76="","",ROW()-ROW($I$5))</f>
        <v/>
      </c>
    </row>
    <row r="77">
      <c r="A77" s="7">
        <f>IF(VERI_A!A77="","",VERI_A!A77)</f>
        <v/>
      </c>
      <c r="B77" s="15">
        <f>UPPER(TRIM(SUBSTITUTE($A77," ","")))</f>
        <v/>
      </c>
      <c r="C77" s="15">
        <f>IF($B77="",0,LEN($B77))</f>
        <v/>
      </c>
      <c r="D77" s="15">
        <f>IF($B77="","",LEFT($B77,kdo_ikincilUzunluk))</f>
        <v/>
      </c>
      <c r="E77" s="15">
        <f>"A"</f>
        <v/>
      </c>
      <c r="F77" s="15">
        <f>IF($B77="","",IF(COUNTIF(tblAnahtarA[Norm],$B77)&gt;1,"EVET","HAYIR"))</f>
        <v/>
      </c>
      <c r="G77" s="15">
        <f>IF($A77="","",ROW()-ROW($A$5))</f>
        <v/>
      </c>
      <c r="I77" s="7">
        <f>IF(VERI_B!A77="","",VERI_B!A77)</f>
        <v/>
      </c>
      <c r="J77" s="15">
        <f>UPPER(TRIM(SUBSTITUTE($I77," ","")))</f>
        <v/>
      </c>
      <c r="K77" s="15">
        <f>IF($J77="",0,LEN($J77))</f>
        <v/>
      </c>
      <c r="L77" s="15">
        <f>IF($J77="","",LEFT($J77,kdo_ikincilUzunluk))</f>
        <v/>
      </c>
      <c r="M77" s="15">
        <f>"B"</f>
        <v/>
      </c>
      <c r="N77" s="15">
        <f>IF($J77="","",IF(COUNTIF(tblAnahtarB[NormB],$J77)&gt;1,"EVET","HAYIR"))</f>
        <v/>
      </c>
      <c r="O77" s="15">
        <f>IF($I77="","",ROW()-ROW($I$5))</f>
        <v/>
      </c>
    </row>
    <row r="78">
      <c r="A78" s="7">
        <f>IF(VERI_A!A78="","",VERI_A!A78)</f>
        <v/>
      </c>
      <c r="B78" s="15">
        <f>UPPER(TRIM(SUBSTITUTE($A78," ","")))</f>
        <v/>
      </c>
      <c r="C78" s="15">
        <f>IF($B78="",0,LEN($B78))</f>
        <v/>
      </c>
      <c r="D78" s="15">
        <f>IF($B78="","",LEFT($B78,kdo_ikincilUzunluk))</f>
        <v/>
      </c>
      <c r="E78" s="15">
        <f>"A"</f>
        <v/>
      </c>
      <c r="F78" s="15">
        <f>IF($B78="","",IF(COUNTIF(tblAnahtarA[Norm],$B78)&gt;1,"EVET","HAYIR"))</f>
        <v/>
      </c>
      <c r="G78" s="15">
        <f>IF($A78="","",ROW()-ROW($A$5))</f>
        <v/>
      </c>
      <c r="I78" s="7">
        <f>IF(VERI_B!A78="","",VERI_B!A78)</f>
        <v/>
      </c>
      <c r="J78" s="15">
        <f>UPPER(TRIM(SUBSTITUTE($I78," ","")))</f>
        <v/>
      </c>
      <c r="K78" s="15">
        <f>IF($J78="",0,LEN($J78))</f>
        <v/>
      </c>
      <c r="L78" s="15">
        <f>IF($J78="","",LEFT($J78,kdo_ikincilUzunluk))</f>
        <v/>
      </c>
      <c r="M78" s="15">
        <f>"B"</f>
        <v/>
      </c>
      <c r="N78" s="15">
        <f>IF($J78="","",IF(COUNTIF(tblAnahtarB[NormB],$J78)&gt;1,"EVET","HAYIR"))</f>
        <v/>
      </c>
      <c r="O78" s="15">
        <f>IF($I78="","",ROW()-ROW($I$5))</f>
        <v/>
      </c>
    </row>
    <row r="79">
      <c r="A79" s="7">
        <f>IF(VERI_A!A79="","",VERI_A!A79)</f>
        <v/>
      </c>
      <c r="B79" s="15">
        <f>UPPER(TRIM(SUBSTITUTE($A79," ","")))</f>
        <v/>
      </c>
      <c r="C79" s="15">
        <f>IF($B79="",0,LEN($B79))</f>
        <v/>
      </c>
      <c r="D79" s="15">
        <f>IF($B79="","",LEFT($B79,kdo_ikincilUzunluk))</f>
        <v/>
      </c>
      <c r="E79" s="15">
        <f>"A"</f>
        <v/>
      </c>
      <c r="F79" s="15">
        <f>IF($B79="","",IF(COUNTIF(tblAnahtarA[Norm],$B79)&gt;1,"EVET","HAYIR"))</f>
        <v/>
      </c>
      <c r="G79" s="15">
        <f>IF($A79="","",ROW()-ROW($A$5))</f>
        <v/>
      </c>
      <c r="I79" s="7">
        <f>IF(VERI_B!A79="","",VERI_B!A79)</f>
        <v/>
      </c>
      <c r="J79" s="15">
        <f>UPPER(TRIM(SUBSTITUTE($I79," ","")))</f>
        <v/>
      </c>
      <c r="K79" s="15">
        <f>IF($J79="",0,LEN($J79))</f>
        <v/>
      </c>
      <c r="L79" s="15">
        <f>IF($J79="","",LEFT($J79,kdo_ikincilUzunluk))</f>
        <v/>
      </c>
      <c r="M79" s="15">
        <f>"B"</f>
        <v/>
      </c>
      <c r="N79" s="15">
        <f>IF($J79="","",IF(COUNTIF(tblAnahtarB[NormB],$J79)&gt;1,"EVET","HAYIR"))</f>
        <v/>
      </c>
      <c r="O79" s="15">
        <f>IF($I79="","",ROW()-ROW($I$5))</f>
        <v/>
      </c>
    </row>
    <row r="80">
      <c r="A80" s="7">
        <f>IF(VERI_A!A80="","",VERI_A!A80)</f>
        <v/>
      </c>
      <c r="B80" s="15">
        <f>UPPER(TRIM(SUBSTITUTE($A80," ","")))</f>
        <v/>
      </c>
      <c r="C80" s="15">
        <f>IF($B80="",0,LEN($B80))</f>
        <v/>
      </c>
      <c r="D80" s="15">
        <f>IF($B80="","",LEFT($B80,kdo_ikincilUzunluk))</f>
        <v/>
      </c>
      <c r="E80" s="15">
        <f>"A"</f>
        <v/>
      </c>
      <c r="F80" s="15">
        <f>IF($B80="","",IF(COUNTIF(tblAnahtarA[Norm],$B80)&gt;1,"EVET","HAYIR"))</f>
        <v/>
      </c>
      <c r="G80" s="15">
        <f>IF($A80="","",ROW()-ROW($A$5))</f>
        <v/>
      </c>
      <c r="I80" s="7">
        <f>IF(VERI_B!A80="","",VERI_B!A80)</f>
        <v/>
      </c>
      <c r="J80" s="15">
        <f>UPPER(TRIM(SUBSTITUTE($I80," ","")))</f>
        <v/>
      </c>
      <c r="K80" s="15">
        <f>IF($J80="",0,LEN($J80))</f>
        <v/>
      </c>
      <c r="L80" s="15">
        <f>IF($J80="","",LEFT($J80,kdo_ikincilUzunluk))</f>
        <v/>
      </c>
      <c r="M80" s="15">
        <f>"B"</f>
        <v/>
      </c>
      <c r="N80" s="15">
        <f>IF($J80="","",IF(COUNTIF(tblAnahtarB[NormB],$J80)&gt;1,"EVET","HAYIR"))</f>
        <v/>
      </c>
      <c r="O80" s="15">
        <f>IF($I80="","",ROW()-ROW($I$5))</f>
        <v/>
      </c>
    </row>
    <row r="81">
      <c r="A81" s="7">
        <f>IF(VERI_A!A81="","",VERI_A!A81)</f>
        <v/>
      </c>
      <c r="B81" s="15">
        <f>UPPER(TRIM(SUBSTITUTE($A81," ","")))</f>
        <v/>
      </c>
      <c r="C81" s="15">
        <f>IF($B81="",0,LEN($B81))</f>
        <v/>
      </c>
      <c r="D81" s="15">
        <f>IF($B81="","",LEFT($B81,kdo_ikincilUzunluk))</f>
        <v/>
      </c>
      <c r="E81" s="15">
        <f>"A"</f>
        <v/>
      </c>
      <c r="F81" s="15">
        <f>IF($B81="","",IF(COUNTIF(tblAnahtarA[Norm],$B81)&gt;1,"EVET","HAYIR"))</f>
        <v/>
      </c>
      <c r="G81" s="15">
        <f>IF($A81="","",ROW()-ROW($A$5))</f>
        <v/>
      </c>
      <c r="I81" s="7">
        <f>IF(VERI_B!A81="","",VERI_B!A81)</f>
        <v/>
      </c>
      <c r="J81" s="15">
        <f>UPPER(TRIM(SUBSTITUTE($I81," ","")))</f>
        <v/>
      </c>
      <c r="K81" s="15">
        <f>IF($J81="",0,LEN($J81))</f>
        <v/>
      </c>
      <c r="L81" s="15">
        <f>IF($J81="","",LEFT($J81,kdo_ikincilUzunluk))</f>
        <v/>
      </c>
      <c r="M81" s="15">
        <f>"B"</f>
        <v/>
      </c>
      <c r="N81" s="15">
        <f>IF($J81="","",IF(COUNTIF(tblAnahtarB[NormB],$J81)&gt;1,"EVET","HAYIR"))</f>
        <v/>
      </c>
      <c r="O81" s="15">
        <f>IF($I81="","",ROW()-ROW($I$5))</f>
        <v/>
      </c>
    </row>
    <row r="82">
      <c r="A82" s="7">
        <f>IF(VERI_A!A82="","",VERI_A!A82)</f>
        <v/>
      </c>
      <c r="B82" s="15">
        <f>UPPER(TRIM(SUBSTITUTE($A82," ","")))</f>
        <v/>
      </c>
      <c r="C82" s="15">
        <f>IF($B82="",0,LEN($B82))</f>
        <v/>
      </c>
      <c r="D82" s="15">
        <f>IF($B82="","",LEFT($B82,kdo_ikincilUzunluk))</f>
        <v/>
      </c>
      <c r="E82" s="15">
        <f>"A"</f>
        <v/>
      </c>
      <c r="F82" s="15">
        <f>IF($B82="","",IF(COUNTIF(tblAnahtarA[Norm],$B82)&gt;1,"EVET","HAYIR"))</f>
        <v/>
      </c>
      <c r="G82" s="15">
        <f>IF($A82="","",ROW()-ROW($A$5))</f>
        <v/>
      </c>
      <c r="I82" s="7">
        <f>IF(VERI_B!A82="","",VERI_B!A82)</f>
        <v/>
      </c>
      <c r="J82" s="15">
        <f>UPPER(TRIM(SUBSTITUTE($I82," ","")))</f>
        <v/>
      </c>
      <c r="K82" s="15">
        <f>IF($J82="",0,LEN($J82))</f>
        <v/>
      </c>
      <c r="L82" s="15">
        <f>IF($J82="","",LEFT($J82,kdo_ikincilUzunluk))</f>
        <v/>
      </c>
      <c r="M82" s="15">
        <f>"B"</f>
        <v/>
      </c>
      <c r="N82" s="15">
        <f>IF($J82="","",IF(COUNTIF(tblAnahtarB[NormB],$J82)&gt;1,"EVET","HAYIR"))</f>
        <v/>
      </c>
      <c r="O82" s="15">
        <f>IF($I82="","",ROW()-ROW($I$5))</f>
        <v/>
      </c>
    </row>
    <row r="83">
      <c r="A83" s="7">
        <f>IF(VERI_A!A83="","",VERI_A!A83)</f>
        <v/>
      </c>
      <c r="B83" s="15">
        <f>UPPER(TRIM(SUBSTITUTE($A83," ","")))</f>
        <v/>
      </c>
      <c r="C83" s="15">
        <f>IF($B83="",0,LEN($B83))</f>
        <v/>
      </c>
      <c r="D83" s="15">
        <f>IF($B83="","",LEFT($B83,kdo_ikincilUzunluk))</f>
        <v/>
      </c>
      <c r="E83" s="15">
        <f>"A"</f>
        <v/>
      </c>
      <c r="F83" s="15">
        <f>IF($B83="","",IF(COUNTIF(tblAnahtarA[Norm],$B83)&gt;1,"EVET","HAYIR"))</f>
        <v/>
      </c>
      <c r="G83" s="15">
        <f>IF($A83="","",ROW()-ROW($A$5))</f>
        <v/>
      </c>
      <c r="I83" s="7">
        <f>IF(VERI_B!A83="","",VERI_B!A83)</f>
        <v/>
      </c>
      <c r="J83" s="15">
        <f>UPPER(TRIM(SUBSTITUTE($I83," ","")))</f>
        <v/>
      </c>
      <c r="K83" s="15">
        <f>IF($J83="",0,LEN($J83))</f>
        <v/>
      </c>
      <c r="L83" s="15">
        <f>IF($J83="","",LEFT($J83,kdo_ikincilUzunluk))</f>
        <v/>
      </c>
      <c r="M83" s="15">
        <f>"B"</f>
        <v/>
      </c>
      <c r="N83" s="15">
        <f>IF($J83="","",IF(COUNTIF(tblAnahtarB[NormB],$J83)&gt;1,"EVET","HAYIR"))</f>
        <v/>
      </c>
      <c r="O83" s="15">
        <f>IF($I83="","",ROW()-ROW($I$5))</f>
        <v/>
      </c>
    </row>
    <row r="84">
      <c r="A84" s="7">
        <f>IF(VERI_A!A84="","",VERI_A!A84)</f>
        <v/>
      </c>
      <c r="B84" s="15">
        <f>UPPER(TRIM(SUBSTITUTE($A84," ","")))</f>
        <v/>
      </c>
      <c r="C84" s="15">
        <f>IF($B84="",0,LEN($B84))</f>
        <v/>
      </c>
      <c r="D84" s="15">
        <f>IF($B84="","",LEFT($B84,kdo_ikincilUzunluk))</f>
        <v/>
      </c>
      <c r="E84" s="15">
        <f>"A"</f>
        <v/>
      </c>
      <c r="F84" s="15">
        <f>IF($B84="","",IF(COUNTIF(tblAnahtarA[Norm],$B84)&gt;1,"EVET","HAYIR"))</f>
        <v/>
      </c>
      <c r="G84" s="15">
        <f>IF($A84="","",ROW()-ROW($A$5))</f>
        <v/>
      </c>
      <c r="I84" s="7">
        <f>IF(VERI_B!A84="","",VERI_B!A84)</f>
        <v/>
      </c>
      <c r="J84" s="15">
        <f>UPPER(TRIM(SUBSTITUTE($I84," ","")))</f>
        <v/>
      </c>
      <c r="K84" s="15">
        <f>IF($J84="",0,LEN($J84))</f>
        <v/>
      </c>
      <c r="L84" s="15">
        <f>IF($J84="","",LEFT($J84,kdo_ikincilUzunluk))</f>
        <v/>
      </c>
      <c r="M84" s="15">
        <f>"B"</f>
        <v/>
      </c>
      <c r="N84" s="15">
        <f>IF($J84="","",IF(COUNTIF(tblAnahtarB[NormB],$J84)&gt;1,"EVET","HAYIR"))</f>
        <v/>
      </c>
      <c r="O84" s="15">
        <f>IF($I84="","",ROW()-ROW($I$5))</f>
        <v/>
      </c>
    </row>
    <row r="85">
      <c r="A85" s="7">
        <f>IF(VERI_A!A85="","",VERI_A!A85)</f>
        <v/>
      </c>
      <c r="B85" s="15">
        <f>UPPER(TRIM(SUBSTITUTE($A85," ","")))</f>
        <v/>
      </c>
      <c r="C85" s="15">
        <f>IF($B85="",0,LEN($B85))</f>
        <v/>
      </c>
      <c r="D85" s="15">
        <f>IF($B85="","",LEFT($B85,kdo_ikincilUzunluk))</f>
        <v/>
      </c>
      <c r="E85" s="15">
        <f>"A"</f>
        <v/>
      </c>
      <c r="F85" s="15">
        <f>IF($B85="","",IF(COUNTIF(tblAnahtarA[Norm],$B85)&gt;1,"EVET","HAYIR"))</f>
        <v/>
      </c>
      <c r="G85" s="15">
        <f>IF($A85="","",ROW()-ROW($A$5))</f>
        <v/>
      </c>
      <c r="I85" s="7">
        <f>IF(VERI_B!A85="","",VERI_B!A85)</f>
        <v/>
      </c>
      <c r="J85" s="15">
        <f>UPPER(TRIM(SUBSTITUTE($I85," ","")))</f>
        <v/>
      </c>
      <c r="K85" s="15">
        <f>IF($J85="",0,LEN($J85))</f>
        <v/>
      </c>
      <c r="L85" s="15">
        <f>IF($J85="","",LEFT($J85,kdo_ikincilUzunluk))</f>
        <v/>
      </c>
      <c r="M85" s="15">
        <f>"B"</f>
        <v/>
      </c>
      <c r="N85" s="15">
        <f>IF($J85="","",IF(COUNTIF(tblAnahtarB[NormB],$J85)&gt;1,"EVET","HAYIR"))</f>
        <v/>
      </c>
      <c r="O85" s="15">
        <f>IF($I85="","",ROW()-ROW($I$5))</f>
        <v/>
      </c>
    </row>
    <row r="86">
      <c r="A86" s="7">
        <f>IF(VERI_A!A86="","",VERI_A!A86)</f>
        <v/>
      </c>
      <c r="B86" s="15">
        <f>UPPER(TRIM(SUBSTITUTE($A86," ","")))</f>
        <v/>
      </c>
      <c r="C86" s="15">
        <f>IF($B86="",0,LEN($B86))</f>
        <v/>
      </c>
      <c r="D86" s="15">
        <f>IF($B86="","",LEFT($B86,kdo_ikincilUzunluk))</f>
        <v/>
      </c>
      <c r="E86" s="15">
        <f>"A"</f>
        <v/>
      </c>
      <c r="F86" s="15">
        <f>IF($B86="","",IF(COUNTIF(tblAnahtarA[Norm],$B86)&gt;1,"EVET","HAYIR"))</f>
        <v/>
      </c>
      <c r="G86" s="15">
        <f>IF($A86="","",ROW()-ROW($A$5))</f>
        <v/>
      </c>
      <c r="I86" s="7">
        <f>IF(VERI_B!A86="","",VERI_B!A86)</f>
        <v/>
      </c>
      <c r="J86" s="15">
        <f>UPPER(TRIM(SUBSTITUTE($I86," ","")))</f>
        <v/>
      </c>
      <c r="K86" s="15">
        <f>IF($J86="",0,LEN($J86))</f>
        <v/>
      </c>
      <c r="L86" s="15">
        <f>IF($J86="","",LEFT($J86,kdo_ikincilUzunluk))</f>
        <v/>
      </c>
      <c r="M86" s="15">
        <f>"B"</f>
        <v/>
      </c>
      <c r="N86" s="15">
        <f>IF($J86="","",IF(COUNTIF(tblAnahtarB[NormB],$J86)&gt;1,"EVET","HAYIR"))</f>
        <v/>
      </c>
      <c r="O86" s="15">
        <f>IF($I86="","",ROW()-ROW($I$5))</f>
        <v/>
      </c>
    </row>
    <row r="87">
      <c r="A87" s="7">
        <f>IF(VERI_A!A87="","",VERI_A!A87)</f>
        <v/>
      </c>
      <c r="B87" s="15">
        <f>UPPER(TRIM(SUBSTITUTE($A87," ","")))</f>
        <v/>
      </c>
      <c r="C87" s="15">
        <f>IF($B87="",0,LEN($B87))</f>
        <v/>
      </c>
      <c r="D87" s="15">
        <f>IF($B87="","",LEFT($B87,kdo_ikincilUzunluk))</f>
        <v/>
      </c>
      <c r="E87" s="15">
        <f>"A"</f>
        <v/>
      </c>
      <c r="F87" s="15">
        <f>IF($B87="","",IF(COUNTIF(tblAnahtarA[Norm],$B87)&gt;1,"EVET","HAYIR"))</f>
        <v/>
      </c>
      <c r="G87" s="15">
        <f>IF($A87="","",ROW()-ROW($A$5))</f>
        <v/>
      </c>
      <c r="I87" s="7">
        <f>IF(VERI_B!A87="","",VERI_B!A87)</f>
        <v/>
      </c>
      <c r="J87" s="15">
        <f>UPPER(TRIM(SUBSTITUTE($I87," ","")))</f>
        <v/>
      </c>
      <c r="K87" s="15">
        <f>IF($J87="",0,LEN($J87))</f>
        <v/>
      </c>
      <c r="L87" s="15">
        <f>IF($J87="","",LEFT($J87,kdo_ikincilUzunluk))</f>
        <v/>
      </c>
      <c r="M87" s="15">
        <f>"B"</f>
        <v/>
      </c>
      <c r="N87" s="15">
        <f>IF($J87="","",IF(COUNTIF(tblAnahtarB[NormB],$J87)&gt;1,"EVET","HAYIR"))</f>
        <v/>
      </c>
      <c r="O87" s="15">
        <f>IF($I87="","",ROW()-ROW($I$5))</f>
        <v/>
      </c>
    </row>
    <row r="88">
      <c r="A88" s="7">
        <f>IF(VERI_A!A88="","",VERI_A!A88)</f>
        <v/>
      </c>
      <c r="B88" s="15">
        <f>UPPER(TRIM(SUBSTITUTE($A88," ","")))</f>
        <v/>
      </c>
      <c r="C88" s="15">
        <f>IF($B88="",0,LEN($B88))</f>
        <v/>
      </c>
      <c r="D88" s="15">
        <f>IF($B88="","",LEFT($B88,kdo_ikincilUzunluk))</f>
        <v/>
      </c>
      <c r="E88" s="15">
        <f>"A"</f>
        <v/>
      </c>
      <c r="F88" s="15">
        <f>IF($B88="","",IF(COUNTIF(tblAnahtarA[Norm],$B88)&gt;1,"EVET","HAYIR"))</f>
        <v/>
      </c>
      <c r="G88" s="15">
        <f>IF($A88="","",ROW()-ROW($A$5))</f>
        <v/>
      </c>
      <c r="I88" s="7">
        <f>IF(VERI_B!A88="","",VERI_B!A88)</f>
        <v/>
      </c>
      <c r="J88" s="15">
        <f>UPPER(TRIM(SUBSTITUTE($I88," ","")))</f>
        <v/>
      </c>
      <c r="K88" s="15">
        <f>IF($J88="",0,LEN($J88))</f>
        <v/>
      </c>
      <c r="L88" s="15">
        <f>IF($J88="","",LEFT($J88,kdo_ikincilUzunluk))</f>
        <v/>
      </c>
      <c r="M88" s="15">
        <f>"B"</f>
        <v/>
      </c>
      <c r="N88" s="15">
        <f>IF($J88="","",IF(COUNTIF(tblAnahtarB[NormB],$J88)&gt;1,"EVET","HAYIR"))</f>
        <v/>
      </c>
      <c r="O88" s="15">
        <f>IF($I88="","",ROW()-ROW($I$5))</f>
        <v/>
      </c>
    </row>
    <row r="89">
      <c r="A89" s="7">
        <f>IF(VERI_A!A89="","",VERI_A!A89)</f>
        <v/>
      </c>
      <c r="B89" s="15">
        <f>UPPER(TRIM(SUBSTITUTE($A89," ","")))</f>
        <v/>
      </c>
      <c r="C89" s="15">
        <f>IF($B89="",0,LEN($B89))</f>
        <v/>
      </c>
      <c r="D89" s="15">
        <f>IF($B89="","",LEFT($B89,kdo_ikincilUzunluk))</f>
        <v/>
      </c>
      <c r="E89" s="15">
        <f>"A"</f>
        <v/>
      </c>
      <c r="F89" s="15">
        <f>IF($B89="","",IF(COUNTIF(tblAnahtarA[Norm],$B89)&gt;1,"EVET","HAYIR"))</f>
        <v/>
      </c>
      <c r="G89" s="15">
        <f>IF($A89="","",ROW()-ROW($A$5))</f>
        <v/>
      </c>
      <c r="I89" s="7">
        <f>IF(VERI_B!A89="","",VERI_B!A89)</f>
        <v/>
      </c>
      <c r="J89" s="15">
        <f>UPPER(TRIM(SUBSTITUTE($I89," ","")))</f>
        <v/>
      </c>
      <c r="K89" s="15">
        <f>IF($J89="",0,LEN($J89))</f>
        <v/>
      </c>
      <c r="L89" s="15">
        <f>IF($J89="","",LEFT($J89,kdo_ikincilUzunluk))</f>
        <v/>
      </c>
      <c r="M89" s="15">
        <f>"B"</f>
        <v/>
      </c>
      <c r="N89" s="15">
        <f>IF($J89="","",IF(COUNTIF(tblAnahtarB[NormB],$J89)&gt;1,"EVET","HAYIR"))</f>
        <v/>
      </c>
      <c r="O89" s="15">
        <f>IF($I89="","",ROW()-ROW($I$5))</f>
        <v/>
      </c>
    </row>
    <row r="90">
      <c r="A90" s="7">
        <f>IF(VERI_A!A90="","",VERI_A!A90)</f>
        <v/>
      </c>
      <c r="B90" s="15">
        <f>UPPER(TRIM(SUBSTITUTE($A90," ","")))</f>
        <v/>
      </c>
      <c r="C90" s="15">
        <f>IF($B90="",0,LEN($B90))</f>
        <v/>
      </c>
      <c r="D90" s="15">
        <f>IF($B90="","",LEFT($B90,kdo_ikincilUzunluk))</f>
        <v/>
      </c>
      <c r="E90" s="15">
        <f>"A"</f>
        <v/>
      </c>
      <c r="F90" s="15">
        <f>IF($B90="","",IF(COUNTIF(tblAnahtarA[Norm],$B90)&gt;1,"EVET","HAYIR"))</f>
        <v/>
      </c>
      <c r="G90" s="15">
        <f>IF($A90="","",ROW()-ROW($A$5))</f>
        <v/>
      </c>
      <c r="I90" s="7">
        <f>IF(VERI_B!A90="","",VERI_B!A90)</f>
        <v/>
      </c>
      <c r="J90" s="15">
        <f>UPPER(TRIM(SUBSTITUTE($I90," ","")))</f>
        <v/>
      </c>
      <c r="K90" s="15">
        <f>IF($J90="",0,LEN($J90))</f>
        <v/>
      </c>
      <c r="L90" s="15">
        <f>IF($J90="","",LEFT($J90,kdo_ikincilUzunluk))</f>
        <v/>
      </c>
      <c r="M90" s="15">
        <f>"B"</f>
        <v/>
      </c>
      <c r="N90" s="15">
        <f>IF($J90="","",IF(COUNTIF(tblAnahtarB[NormB],$J90)&gt;1,"EVET","HAYIR"))</f>
        <v/>
      </c>
      <c r="O90" s="15">
        <f>IF($I90="","",ROW()-ROW($I$5))</f>
        <v/>
      </c>
    </row>
    <row r="91">
      <c r="A91" s="7">
        <f>IF(VERI_A!A91="","",VERI_A!A91)</f>
        <v/>
      </c>
      <c r="B91" s="15">
        <f>UPPER(TRIM(SUBSTITUTE($A91," ","")))</f>
        <v/>
      </c>
      <c r="C91" s="15">
        <f>IF($B91="",0,LEN($B91))</f>
        <v/>
      </c>
      <c r="D91" s="15">
        <f>IF($B91="","",LEFT($B91,kdo_ikincilUzunluk))</f>
        <v/>
      </c>
      <c r="E91" s="15">
        <f>"A"</f>
        <v/>
      </c>
      <c r="F91" s="15">
        <f>IF($B91="","",IF(COUNTIF(tblAnahtarA[Norm],$B91)&gt;1,"EVET","HAYIR"))</f>
        <v/>
      </c>
      <c r="G91" s="15">
        <f>IF($A91="","",ROW()-ROW($A$5))</f>
        <v/>
      </c>
      <c r="I91" s="7">
        <f>IF(VERI_B!A91="","",VERI_B!A91)</f>
        <v/>
      </c>
      <c r="J91" s="15">
        <f>UPPER(TRIM(SUBSTITUTE($I91," ","")))</f>
        <v/>
      </c>
      <c r="K91" s="15">
        <f>IF($J91="",0,LEN($J91))</f>
        <v/>
      </c>
      <c r="L91" s="15">
        <f>IF($J91="","",LEFT($J91,kdo_ikincilUzunluk))</f>
        <v/>
      </c>
      <c r="M91" s="15">
        <f>"B"</f>
        <v/>
      </c>
      <c r="N91" s="15">
        <f>IF($J91="","",IF(COUNTIF(tblAnahtarB[NormB],$J91)&gt;1,"EVET","HAYIR"))</f>
        <v/>
      </c>
      <c r="O91" s="15">
        <f>IF($I91="","",ROW()-ROW($I$5))</f>
        <v/>
      </c>
    </row>
    <row r="92">
      <c r="A92" s="7">
        <f>IF(VERI_A!A92="","",VERI_A!A92)</f>
        <v/>
      </c>
      <c r="B92" s="15">
        <f>UPPER(TRIM(SUBSTITUTE($A92," ","")))</f>
        <v/>
      </c>
      <c r="C92" s="15">
        <f>IF($B92="",0,LEN($B92))</f>
        <v/>
      </c>
      <c r="D92" s="15">
        <f>IF($B92="","",LEFT($B92,kdo_ikincilUzunluk))</f>
        <v/>
      </c>
      <c r="E92" s="15">
        <f>"A"</f>
        <v/>
      </c>
      <c r="F92" s="15">
        <f>IF($B92="","",IF(COUNTIF(tblAnahtarA[Norm],$B92)&gt;1,"EVET","HAYIR"))</f>
        <v/>
      </c>
      <c r="G92" s="15">
        <f>IF($A92="","",ROW()-ROW($A$5))</f>
        <v/>
      </c>
      <c r="I92" s="7">
        <f>IF(VERI_B!A92="","",VERI_B!A92)</f>
        <v/>
      </c>
      <c r="J92" s="15">
        <f>UPPER(TRIM(SUBSTITUTE($I92," ","")))</f>
        <v/>
      </c>
      <c r="K92" s="15">
        <f>IF($J92="",0,LEN($J92))</f>
        <v/>
      </c>
      <c r="L92" s="15">
        <f>IF($J92="","",LEFT($J92,kdo_ikincilUzunluk))</f>
        <v/>
      </c>
      <c r="M92" s="15">
        <f>"B"</f>
        <v/>
      </c>
      <c r="N92" s="15">
        <f>IF($J92="","",IF(COUNTIF(tblAnahtarB[NormB],$J92)&gt;1,"EVET","HAYIR"))</f>
        <v/>
      </c>
      <c r="O92" s="15">
        <f>IF($I92="","",ROW()-ROW($I$5))</f>
        <v/>
      </c>
    </row>
    <row r="93">
      <c r="A93" s="7">
        <f>IF(VERI_A!A93="","",VERI_A!A93)</f>
        <v/>
      </c>
      <c r="B93" s="15">
        <f>UPPER(TRIM(SUBSTITUTE($A93," ","")))</f>
        <v/>
      </c>
      <c r="C93" s="15">
        <f>IF($B93="",0,LEN($B93))</f>
        <v/>
      </c>
      <c r="D93" s="15">
        <f>IF($B93="","",LEFT($B93,kdo_ikincilUzunluk))</f>
        <v/>
      </c>
      <c r="E93" s="15">
        <f>"A"</f>
        <v/>
      </c>
      <c r="F93" s="15">
        <f>IF($B93="","",IF(COUNTIF(tblAnahtarA[Norm],$B93)&gt;1,"EVET","HAYIR"))</f>
        <v/>
      </c>
      <c r="G93" s="15">
        <f>IF($A93="","",ROW()-ROW($A$5))</f>
        <v/>
      </c>
      <c r="I93" s="7">
        <f>IF(VERI_B!A93="","",VERI_B!A93)</f>
        <v/>
      </c>
      <c r="J93" s="15">
        <f>UPPER(TRIM(SUBSTITUTE($I93," ","")))</f>
        <v/>
      </c>
      <c r="K93" s="15">
        <f>IF($J93="",0,LEN($J93))</f>
        <v/>
      </c>
      <c r="L93" s="15">
        <f>IF($J93="","",LEFT($J93,kdo_ikincilUzunluk))</f>
        <v/>
      </c>
      <c r="M93" s="15">
        <f>"B"</f>
        <v/>
      </c>
      <c r="N93" s="15">
        <f>IF($J93="","",IF(COUNTIF(tblAnahtarB[NormB],$J93)&gt;1,"EVET","HAYIR"))</f>
        <v/>
      </c>
      <c r="O93" s="15">
        <f>IF($I93="","",ROW()-ROW($I$5))</f>
        <v/>
      </c>
    </row>
    <row r="94">
      <c r="A94" s="7">
        <f>IF(VERI_A!A94="","",VERI_A!A94)</f>
        <v/>
      </c>
      <c r="B94" s="15">
        <f>UPPER(TRIM(SUBSTITUTE($A94," ","")))</f>
        <v/>
      </c>
      <c r="C94" s="15">
        <f>IF($B94="",0,LEN($B94))</f>
        <v/>
      </c>
      <c r="D94" s="15">
        <f>IF($B94="","",LEFT($B94,kdo_ikincilUzunluk))</f>
        <v/>
      </c>
      <c r="E94" s="15">
        <f>"A"</f>
        <v/>
      </c>
      <c r="F94" s="15">
        <f>IF($B94="","",IF(COUNTIF(tblAnahtarA[Norm],$B94)&gt;1,"EVET","HAYIR"))</f>
        <v/>
      </c>
      <c r="G94" s="15">
        <f>IF($A94="","",ROW()-ROW($A$5))</f>
        <v/>
      </c>
      <c r="I94" s="7">
        <f>IF(VERI_B!A94="","",VERI_B!A94)</f>
        <v/>
      </c>
      <c r="J94" s="15">
        <f>UPPER(TRIM(SUBSTITUTE($I94," ","")))</f>
        <v/>
      </c>
      <c r="K94" s="15">
        <f>IF($J94="",0,LEN($J94))</f>
        <v/>
      </c>
      <c r="L94" s="15">
        <f>IF($J94="","",LEFT($J94,kdo_ikincilUzunluk))</f>
        <v/>
      </c>
      <c r="M94" s="15">
        <f>"B"</f>
        <v/>
      </c>
      <c r="N94" s="15">
        <f>IF($J94="","",IF(COUNTIF(tblAnahtarB[NormB],$J94)&gt;1,"EVET","HAYIR"))</f>
        <v/>
      </c>
      <c r="O94" s="15">
        <f>IF($I94="","",ROW()-ROW($I$5))</f>
        <v/>
      </c>
    </row>
    <row r="95">
      <c r="A95" s="7">
        <f>IF(VERI_A!A95="","",VERI_A!A95)</f>
        <v/>
      </c>
      <c r="B95" s="15">
        <f>UPPER(TRIM(SUBSTITUTE($A95," ","")))</f>
        <v/>
      </c>
      <c r="C95" s="15">
        <f>IF($B95="",0,LEN($B95))</f>
        <v/>
      </c>
      <c r="D95" s="15">
        <f>IF($B95="","",LEFT($B95,kdo_ikincilUzunluk))</f>
        <v/>
      </c>
      <c r="E95" s="15">
        <f>"A"</f>
        <v/>
      </c>
      <c r="F95" s="15">
        <f>IF($B95="","",IF(COUNTIF(tblAnahtarA[Norm],$B95)&gt;1,"EVET","HAYIR"))</f>
        <v/>
      </c>
      <c r="G95" s="15">
        <f>IF($A95="","",ROW()-ROW($A$5))</f>
        <v/>
      </c>
      <c r="I95" s="7">
        <f>IF(VERI_B!A95="","",VERI_B!A95)</f>
        <v/>
      </c>
      <c r="J95" s="15">
        <f>UPPER(TRIM(SUBSTITUTE($I95," ","")))</f>
        <v/>
      </c>
      <c r="K95" s="15">
        <f>IF($J95="",0,LEN($J95))</f>
        <v/>
      </c>
      <c r="L95" s="15">
        <f>IF($J95="","",LEFT($J95,kdo_ikincilUzunluk))</f>
        <v/>
      </c>
      <c r="M95" s="15">
        <f>"B"</f>
        <v/>
      </c>
      <c r="N95" s="15">
        <f>IF($J95="","",IF(COUNTIF(tblAnahtarB[NormB],$J95)&gt;1,"EVET","HAYIR"))</f>
        <v/>
      </c>
      <c r="O95" s="15">
        <f>IF($I95="","",ROW()-ROW($I$5))</f>
        <v/>
      </c>
    </row>
    <row r="96">
      <c r="A96" s="7">
        <f>IF(VERI_A!A96="","",VERI_A!A96)</f>
        <v/>
      </c>
      <c r="B96" s="15">
        <f>UPPER(TRIM(SUBSTITUTE($A96," ","")))</f>
        <v/>
      </c>
      <c r="C96" s="15">
        <f>IF($B96="",0,LEN($B96))</f>
        <v/>
      </c>
      <c r="D96" s="15">
        <f>IF($B96="","",LEFT($B96,kdo_ikincilUzunluk))</f>
        <v/>
      </c>
      <c r="E96" s="15">
        <f>"A"</f>
        <v/>
      </c>
      <c r="F96" s="15">
        <f>IF($B96="","",IF(COUNTIF(tblAnahtarA[Norm],$B96)&gt;1,"EVET","HAYIR"))</f>
        <v/>
      </c>
      <c r="G96" s="15">
        <f>IF($A96="","",ROW()-ROW($A$5))</f>
        <v/>
      </c>
      <c r="I96" s="7">
        <f>IF(VERI_B!A96="","",VERI_B!A96)</f>
        <v/>
      </c>
      <c r="J96" s="15">
        <f>UPPER(TRIM(SUBSTITUTE($I96," ","")))</f>
        <v/>
      </c>
      <c r="K96" s="15">
        <f>IF($J96="",0,LEN($J96))</f>
        <v/>
      </c>
      <c r="L96" s="15">
        <f>IF($J96="","",LEFT($J96,kdo_ikincilUzunluk))</f>
        <v/>
      </c>
      <c r="M96" s="15">
        <f>"B"</f>
        <v/>
      </c>
      <c r="N96" s="15">
        <f>IF($J96="","",IF(COUNTIF(tblAnahtarB[NormB],$J96)&gt;1,"EVET","HAYIR"))</f>
        <v/>
      </c>
      <c r="O96" s="15">
        <f>IF($I96="","",ROW()-ROW($I$5))</f>
        <v/>
      </c>
    </row>
    <row r="97">
      <c r="A97" s="7">
        <f>IF(VERI_A!A97="","",VERI_A!A97)</f>
        <v/>
      </c>
      <c r="B97" s="15">
        <f>UPPER(TRIM(SUBSTITUTE($A97," ","")))</f>
        <v/>
      </c>
      <c r="C97" s="15">
        <f>IF($B97="",0,LEN($B97))</f>
        <v/>
      </c>
      <c r="D97" s="15">
        <f>IF($B97="","",LEFT($B97,kdo_ikincilUzunluk))</f>
        <v/>
      </c>
      <c r="E97" s="15">
        <f>"A"</f>
        <v/>
      </c>
      <c r="F97" s="15">
        <f>IF($B97="","",IF(COUNTIF(tblAnahtarA[Norm],$B97)&gt;1,"EVET","HAYIR"))</f>
        <v/>
      </c>
      <c r="G97" s="15">
        <f>IF($A97="","",ROW()-ROW($A$5))</f>
        <v/>
      </c>
      <c r="I97" s="7">
        <f>IF(VERI_B!A97="","",VERI_B!A97)</f>
        <v/>
      </c>
      <c r="J97" s="15">
        <f>UPPER(TRIM(SUBSTITUTE($I97," ","")))</f>
        <v/>
      </c>
      <c r="K97" s="15">
        <f>IF($J97="",0,LEN($J97))</f>
        <v/>
      </c>
      <c r="L97" s="15">
        <f>IF($J97="","",LEFT($J97,kdo_ikincilUzunluk))</f>
        <v/>
      </c>
      <c r="M97" s="15">
        <f>"B"</f>
        <v/>
      </c>
      <c r="N97" s="15">
        <f>IF($J97="","",IF(COUNTIF(tblAnahtarB[NormB],$J97)&gt;1,"EVET","HAYIR"))</f>
        <v/>
      </c>
      <c r="O97" s="15">
        <f>IF($I97="","",ROW()-ROW($I$5))</f>
        <v/>
      </c>
    </row>
    <row r="98">
      <c r="A98" s="7">
        <f>IF(VERI_A!A98="","",VERI_A!A98)</f>
        <v/>
      </c>
      <c r="B98" s="15">
        <f>UPPER(TRIM(SUBSTITUTE($A98," ","")))</f>
        <v/>
      </c>
      <c r="C98" s="15">
        <f>IF($B98="",0,LEN($B98))</f>
        <v/>
      </c>
      <c r="D98" s="15">
        <f>IF($B98="","",LEFT($B98,kdo_ikincilUzunluk))</f>
        <v/>
      </c>
      <c r="E98" s="15">
        <f>"A"</f>
        <v/>
      </c>
      <c r="F98" s="15">
        <f>IF($B98="","",IF(COUNTIF(tblAnahtarA[Norm],$B98)&gt;1,"EVET","HAYIR"))</f>
        <v/>
      </c>
      <c r="G98" s="15">
        <f>IF($A98="","",ROW()-ROW($A$5))</f>
        <v/>
      </c>
      <c r="I98" s="7">
        <f>IF(VERI_B!A98="","",VERI_B!A98)</f>
        <v/>
      </c>
      <c r="J98" s="15">
        <f>UPPER(TRIM(SUBSTITUTE($I98," ","")))</f>
        <v/>
      </c>
      <c r="K98" s="15">
        <f>IF($J98="",0,LEN($J98))</f>
        <v/>
      </c>
      <c r="L98" s="15">
        <f>IF($J98="","",LEFT($J98,kdo_ikincilUzunluk))</f>
        <v/>
      </c>
      <c r="M98" s="15">
        <f>"B"</f>
        <v/>
      </c>
      <c r="N98" s="15">
        <f>IF($J98="","",IF(COUNTIF(tblAnahtarB[NormB],$J98)&gt;1,"EVET","HAYIR"))</f>
        <v/>
      </c>
      <c r="O98" s="15">
        <f>IF($I98="","",ROW()-ROW($I$5))</f>
        <v/>
      </c>
    </row>
    <row r="99">
      <c r="A99" s="7">
        <f>IF(VERI_A!A99="","",VERI_A!A99)</f>
        <v/>
      </c>
      <c r="B99" s="15">
        <f>UPPER(TRIM(SUBSTITUTE($A99," ","")))</f>
        <v/>
      </c>
      <c r="C99" s="15">
        <f>IF($B99="",0,LEN($B99))</f>
        <v/>
      </c>
      <c r="D99" s="15">
        <f>IF($B99="","",LEFT($B99,kdo_ikincilUzunluk))</f>
        <v/>
      </c>
      <c r="E99" s="15">
        <f>"A"</f>
        <v/>
      </c>
      <c r="F99" s="15">
        <f>IF($B99="","",IF(COUNTIF(tblAnahtarA[Norm],$B99)&gt;1,"EVET","HAYIR"))</f>
        <v/>
      </c>
      <c r="G99" s="15">
        <f>IF($A99="","",ROW()-ROW($A$5))</f>
        <v/>
      </c>
      <c r="I99" s="7">
        <f>IF(VERI_B!A99="","",VERI_B!A99)</f>
        <v/>
      </c>
      <c r="J99" s="15">
        <f>UPPER(TRIM(SUBSTITUTE($I99," ","")))</f>
        <v/>
      </c>
      <c r="K99" s="15">
        <f>IF($J99="",0,LEN($J99))</f>
        <v/>
      </c>
      <c r="L99" s="15">
        <f>IF($J99="","",LEFT($J99,kdo_ikincilUzunluk))</f>
        <v/>
      </c>
      <c r="M99" s="15">
        <f>"B"</f>
        <v/>
      </c>
      <c r="N99" s="15">
        <f>IF($J99="","",IF(COUNTIF(tblAnahtarB[NormB],$J99)&gt;1,"EVET","HAYIR"))</f>
        <v/>
      </c>
      <c r="O99" s="15">
        <f>IF($I99="","",ROW()-ROW($I$5))</f>
        <v/>
      </c>
    </row>
    <row r="100">
      <c r="A100" s="7">
        <f>IF(VERI_A!A100="","",VERI_A!A100)</f>
        <v/>
      </c>
      <c r="B100" s="15">
        <f>UPPER(TRIM(SUBSTITUTE($A100," ","")))</f>
        <v/>
      </c>
      <c r="C100" s="15">
        <f>IF($B100="",0,LEN($B100))</f>
        <v/>
      </c>
      <c r="D100" s="15">
        <f>IF($B100="","",LEFT($B100,kdo_ikincilUzunluk))</f>
        <v/>
      </c>
      <c r="E100" s="15">
        <f>"A"</f>
        <v/>
      </c>
      <c r="F100" s="15">
        <f>IF($B100="","",IF(COUNTIF(tblAnahtarA[Norm],$B100)&gt;1,"EVET","HAYIR"))</f>
        <v/>
      </c>
      <c r="G100" s="15">
        <f>IF($A100="","",ROW()-ROW($A$5))</f>
        <v/>
      </c>
      <c r="I100" s="7">
        <f>IF(VERI_B!A100="","",VERI_B!A100)</f>
        <v/>
      </c>
      <c r="J100" s="15">
        <f>UPPER(TRIM(SUBSTITUTE($I100," ","")))</f>
        <v/>
      </c>
      <c r="K100" s="15">
        <f>IF($J100="",0,LEN($J100))</f>
        <v/>
      </c>
      <c r="L100" s="15">
        <f>IF($J100="","",LEFT($J100,kdo_ikincilUzunluk))</f>
        <v/>
      </c>
      <c r="M100" s="15">
        <f>"B"</f>
        <v/>
      </c>
      <c r="N100" s="15">
        <f>IF($J100="","",IF(COUNTIF(tblAnahtarB[NormB],$J100)&gt;1,"EVET","HAYIR"))</f>
        <v/>
      </c>
      <c r="O100" s="15">
        <f>IF($I100="","",ROW()-ROW($I$5))</f>
        <v/>
      </c>
    </row>
    <row r="101">
      <c r="A101" s="7">
        <f>IF(VERI_A!A101="","",VERI_A!A101)</f>
        <v/>
      </c>
      <c r="B101" s="15">
        <f>UPPER(TRIM(SUBSTITUTE($A101," ","")))</f>
        <v/>
      </c>
      <c r="C101" s="15">
        <f>IF($B101="",0,LEN($B101))</f>
        <v/>
      </c>
      <c r="D101" s="15">
        <f>IF($B101="","",LEFT($B101,kdo_ikincilUzunluk))</f>
        <v/>
      </c>
      <c r="E101" s="15">
        <f>"A"</f>
        <v/>
      </c>
      <c r="F101" s="15">
        <f>IF($B101="","",IF(COUNTIF(tblAnahtarA[Norm],$B101)&gt;1,"EVET","HAYIR"))</f>
        <v/>
      </c>
      <c r="G101" s="15">
        <f>IF($A101="","",ROW()-ROW($A$5))</f>
        <v/>
      </c>
      <c r="I101" s="7">
        <f>IF(VERI_B!A101="","",VERI_B!A101)</f>
        <v/>
      </c>
      <c r="J101" s="15">
        <f>UPPER(TRIM(SUBSTITUTE($I101," ","")))</f>
        <v/>
      </c>
      <c r="K101" s="15">
        <f>IF($J101="",0,LEN($J101))</f>
        <v/>
      </c>
      <c r="L101" s="15">
        <f>IF($J101="","",LEFT($J101,kdo_ikincilUzunluk))</f>
        <v/>
      </c>
      <c r="M101" s="15">
        <f>"B"</f>
        <v/>
      </c>
      <c r="N101" s="15">
        <f>IF($J101="","",IF(COUNTIF(tblAnahtarB[NormB],$J101)&gt;1,"EVET","HAYIR"))</f>
        <v/>
      </c>
      <c r="O101" s="15">
        <f>IF($I101="","",ROW()-ROW($I$5))</f>
        <v/>
      </c>
    </row>
    <row r="102">
      <c r="A102" s="7">
        <f>IF(VERI_A!A102="","",VERI_A!A102)</f>
        <v/>
      </c>
      <c r="B102" s="15">
        <f>UPPER(TRIM(SUBSTITUTE($A102," ","")))</f>
        <v/>
      </c>
      <c r="C102" s="15">
        <f>IF($B102="",0,LEN($B102))</f>
        <v/>
      </c>
      <c r="D102" s="15">
        <f>IF($B102="","",LEFT($B102,kdo_ikincilUzunluk))</f>
        <v/>
      </c>
      <c r="E102" s="15">
        <f>"A"</f>
        <v/>
      </c>
      <c r="F102" s="15">
        <f>IF($B102="","",IF(COUNTIF(tblAnahtarA[Norm],$B102)&gt;1,"EVET","HAYIR"))</f>
        <v/>
      </c>
      <c r="G102" s="15">
        <f>IF($A102="","",ROW()-ROW($A$5))</f>
        <v/>
      </c>
      <c r="I102" s="7">
        <f>IF(VERI_B!A102="","",VERI_B!A102)</f>
        <v/>
      </c>
      <c r="J102" s="15">
        <f>UPPER(TRIM(SUBSTITUTE($I102," ","")))</f>
        <v/>
      </c>
      <c r="K102" s="15">
        <f>IF($J102="",0,LEN($J102))</f>
        <v/>
      </c>
      <c r="L102" s="15">
        <f>IF($J102="","",LEFT($J102,kdo_ikincilUzunluk))</f>
        <v/>
      </c>
      <c r="M102" s="15">
        <f>"B"</f>
        <v/>
      </c>
      <c r="N102" s="15">
        <f>IF($J102="","",IF(COUNTIF(tblAnahtarB[NormB],$J102)&gt;1,"EVET","HAYIR"))</f>
        <v/>
      </c>
      <c r="O102" s="15">
        <f>IF($I102="","",ROW()-ROW($I$5))</f>
        <v/>
      </c>
    </row>
    <row r="103">
      <c r="A103" s="7">
        <f>IF(VERI_A!A103="","",VERI_A!A103)</f>
        <v/>
      </c>
      <c r="B103" s="15">
        <f>UPPER(TRIM(SUBSTITUTE($A103," ","")))</f>
        <v/>
      </c>
      <c r="C103" s="15">
        <f>IF($B103="",0,LEN($B103))</f>
        <v/>
      </c>
      <c r="D103" s="15">
        <f>IF($B103="","",LEFT($B103,kdo_ikincilUzunluk))</f>
        <v/>
      </c>
      <c r="E103" s="15">
        <f>"A"</f>
        <v/>
      </c>
      <c r="F103" s="15">
        <f>IF($B103="","",IF(COUNTIF(tblAnahtarA[Norm],$B103)&gt;1,"EVET","HAYIR"))</f>
        <v/>
      </c>
      <c r="G103" s="15">
        <f>IF($A103="","",ROW()-ROW($A$5))</f>
        <v/>
      </c>
      <c r="I103" s="7">
        <f>IF(VERI_B!A103="","",VERI_B!A103)</f>
        <v/>
      </c>
      <c r="J103" s="15">
        <f>UPPER(TRIM(SUBSTITUTE($I103," ","")))</f>
        <v/>
      </c>
      <c r="K103" s="15">
        <f>IF($J103="",0,LEN($J103))</f>
        <v/>
      </c>
      <c r="L103" s="15">
        <f>IF($J103="","",LEFT($J103,kdo_ikincilUzunluk))</f>
        <v/>
      </c>
      <c r="M103" s="15">
        <f>"B"</f>
        <v/>
      </c>
      <c r="N103" s="15">
        <f>IF($J103="","",IF(COUNTIF(tblAnahtarB[NormB],$J103)&gt;1,"EVET","HAYIR"))</f>
        <v/>
      </c>
      <c r="O103" s="15">
        <f>IF($I103="","",ROW()-ROW($I$5))</f>
        <v/>
      </c>
    </row>
    <row r="104">
      <c r="A104" s="7">
        <f>IF(VERI_A!A104="","",VERI_A!A104)</f>
        <v/>
      </c>
      <c r="B104" s="15">
        <f>UPPER(TRIM(SUBSTITUTE($A104," ","")))</f>
        <v/>
      </c>
      <c r="C104" s="15">
        <f>IF($B104="",0,LEN($B104))</f>
        <v/>
      </c>
      <c r="D104" s="15">
        <f>IF($B104="","",LEFT($B104,kdo_ikincilUzunluk))</f>
        <v/>
      </c>
      <c r="E104" s="15">
        <f>"A"</f>
        <v/>
      </c>
      <c r="F104" s="15">
        <f>IF($B104="","",IF(COUNTIF(tblAnahtarA[Norm],$B104)&gt;1,"EVET","HAYIR"))</f>
        <v/>
      </c>
      <c r="G104" s="15">
        <f>IF($A104="","",ROW()-ROW($A$5))</f>
        <v/>
      </c>
      <c r="I104" s="7">
        <f>IF(VERI_B!A104="","",VERI_B!A104)</f>
        <v/>
      </c>
      <c r="J104" s="15">
        <f>UPPER(TRIM(SUBSTITUTE($I104," ","")))</f>
        <v/>
      </c>
      <c r="K104" s="15">
        <f>IF($J104="",0,LEN($J104))</f>
        <v/>
      </c>
      <c r="L104" s="15">
        <f>IF($J104="","",LEFT($J104,kdo_ikincilUzunluk))</f>
        <v/>
      </c>
      <c r="M104" s="15">
        <f>"B"</f>
        <v/>
      </c>
      <c r="N104" s="15">
        <f>IF($J104="","",IF(COUNTIF(tblAnahtarB[NormB],$J104)&gt;1,"EVET","HAYIR"))</f>
        <v/>
      </c>
      <c r="O104" s="15">
        <f>IF($I104="","",ROW()-ROW($I$5))</f>
        <v/>
      </c>
    </row>
    <row r="105">
      <c r="A105" s="7">
        <f>IF(VERI_A!A105="","",VERI_A!A105)</f>
        <v/>
      </c>
      <c r="B105" s="15">
        <f>UPPER(TRIM(SUBSTITUTE($A105," ","")))</f>
        <v/>
      </c>
      <c r="C105" s="15">
        <f>IF($B105="",0,LEN($B105))</f>
        <v/>
      </c>
      <c r="D105" s="15">
        <f>IF($B105="","",LEFT($B105,kdo_ikincilUzunluk))</f>
        <v/>
      </c>
      <c r="E105" s="15">
        <f>"A"</f>
        <v/>
      </c>
      <c r="F105" s="15">
        <f>IF($B105="","",IF(COUNTIF(tblAnahtarA[Norm],$B105)&gt;1,"EVET","HAYIR"))</f>
        <v/>
      </c>
      <c r="G105" s="15">
        <f>IF($A105="","",ROW()-ROW($A$5))</f>
        <v/>
      </c>
      <c r="I105" s="7">
        <f>IF(VERI_B!A105="","",VERI_B!A105)</f>
        <v/>
      </c>
      <c r="J105" s="15">
        <f>UPPER(TRIM(SUBSTITUTE($I105," ","")))</f>
        <v/>
      </c>
      <c r="K105" s="15">
        <f>IF($J105="",0,LEN($J105))</f>
        <v/>
      </c>
      <c r="L105" s="15">
        <f>IF($J105="","",LEFT($J105,kdo_ikincilUzunluk))</f>
        <v/>
      </c>
      <c r="M105" s="15">
        <f>"B"</f>
        <v/>
      </c>
      <c r="N105" s="15">
        <f>IF($J105="","",IF(COUNTIF(tblAnahtarB[NormB],$J105)&gt;1,"EVET","HAYIR"))</f>
        <v/>
      </c>
      <c r="O105" s="15">
        <f>IF($I105="","",ROW()-ROW($I$5))</f>
        <v/>
      </c>
    </row>
    <row r="106">
      <c r="A106" s="7">
        <f>IF(VERI_A!A106="","",VERI_A!A106)</f>
        <v/>
      </c>
      <c r="B106" s="15">
        <f>UPPER(TRIM(SUBSTITUTE($A106," ","")))</f>
        <v/>
      </c>
      <c r="C106" s="15">
        <f>IF($B106="",0,LEN($B106))</f>
        <v/>
      </c>
      <c r="D106" s="15">
        <f>IF($B106="","",LEFT($B106,kdo_ikincilUzunluk))</f>
        <v/>
      </c>
      <c r="E106" s="15">
        <f>"A"</f>
        <v/>
      </c>
      <c r="F106" s="15">
        <f>IF($B106="","",IF(COUNTIF(tblAnahtarA[Norm],$B106)&gt;1,"EVET","HAYIR"))</f>
        <v/>
      </c>
      <c r="G106" s="15">
        <f>IF($A106="","",ROW()-ROW($A$5))</f>
        <v/>
      </c>
      <c r="I106" s="7">
        <f>IF(VERI_B!A106="","",VERI_B!A106)</f>
        <v/>
      </c>
      <c r="J106" s="15">
        <f>UPPER(TRIM(SUBSTITUTE($I106," ","")))</f>
        <v/>
      </c>
      <c r="K106" s="15">
        <f>IF($J106="",0,LEN($J106))</f>
        <v/>
      </c>
      <c r="L106" s="15">
        <f>IF($J106="","",LEFT($J106,kdo_ikincilUzunluk))</f>
        <v/>
      </c>
      <c r="M106" s="15">
        <f>"B"</f>
        <v/>
      </c>
      <c r="N106" s="15">
        <f>IF($J106="","",IF(COUNTIF(tblAnahtarB[NormB],$J106)&gt;1,"EVET","HAYIR"))</f>
        <v/>
      </c>
      <c r="O106" s="15">
        <f>IF($I106="","",ROW()-ROW($I$5))</f>
        <v/>
      </c>
    </row>
    <row r="107">
      <c r="A107" s="7">
        <f>IF(VERI_A!A107="","",VERI_A!A107)</f>
        <v/>
      </c>
      <c r="B107" s="15">
        <f>UPPER(TRIM(SUBSTITUTE($A107," ","")))</f>
        <v/>
      </c>
      <c r="C107" s="15">
        <f>IF($B107="",0,LEN($B107))</f>
        <v/>
      </c>
      <c r="D107" s="15">
        <f>IF($B107="","",LEFT($B107,kdo_ikincilUzunluk))</f>
        <v/>
      </c>
      <c r="E107" s="15">
        <f>"A"</f>
        <v/>
      </c>
      <c r="F107" s="15">
        <f>IF($B107="","",IF(COUNTIF(tblAnahtarA[Norm],$B107)&gt;1,"EVET","HAYIR"))</f>
        <v/>
      </c>
      <c r="G107" s="15">
        <f>IF($A107="","",ROW()-ROW($A$5))</f>
        <v/>
      </c>
      <c r="I107" s="7">
        <f>IF(VERI_B!A107="","",VERI_B!A107)</f>
        <v/>
      </c>
      <c r="J107" s="15">
        <f>UPPER(TRIM(SUBSTITUTE($I107," ","")))</f>
        <v/>
      </c>
      <c r="K107" s="15">
        <f>IF($J107="",0,LEN($J107))</f>
        <v/>
      </c>
      <c r="L107" s="15">
        <f>IF($J107="","",LEFT($J107,kdo_ikincilUzunluk))</f>
        <v/>
      </c>
      <c r="M107" s="15">
        <f>"B"</f>
        <v/>
      </c>
      <c r="N107" s="15">
        <f>IF($J107="","",IF(COUNTIF(tblAnahtarB[NormB],$J107)&gt;1,"EVET","HAYIR"))</f>
        <v/>
      </c>
      <c r="O107" s="15">
        <f>IF($I107="","",ROW()-ROW($I$5))</f>
        <v/>
      </c>
    </row>
    <row r="108">
      <c r="A108" s="7">
        <f>IF(VERI_A!A108="","",VERI_A!A108)</f>
        <v/>
      </c>
      <c r="B108" s="15">
        <f>UPPER(TRIM(SUBSTITUTE($A108," ","")))</f>
        <v/>
      </c>
      <c r="C108" s="15">
        <f>IF($B108="",0,LEN($B108))</f>
        <v/>
      </c>
      <c r="D108" s="15">
        <f>IF($B108="","",LEFT($B108,kdo_ikincilUzunluk))</f>
        <v/>
      </c>
      <c r="E108" s="15">
        <f>"A"</f>
        <v/>
      </c>
      <c r="F108" s="15">
        <f>IF($B108="","",IF(COUNTIF(tblAnahtarA[Norm],$B108)&gt;1,"EVET","HAYIR"))</f>
        <v/>
      </c>
      <c r="G108" s="15">
        <f>IF($A108="","",ROW()-ROW($A$5))</f>
        <v/>
      </c>
      <c r="I108" s="7">
        <f>IF(VERI_B!A108="","",VERI_B!A108)</f>
        <v/>
      </c>
      <c r="J108" s="15">
        <f>UPPER(TRIM(SUBSTITUTE($I108," ","")))</f>
        <v/>
      </c>
      <c r="K108" s="15">
        <f>IF($J108="",0,LEN($J108))</f>
        <v/>
      </c>
      <c r="L108" s="15">
        <f>IF($J108="","",LEFT($J108,kdo_ikincilUzunluk))</f>
        <v/>
      </c>
      <c r="M108" s="15">
        <f>"B"</f>
        <v/>
      </c>
      <c r="N108" s="15">
        <f>IF($J108="","",IF(COUNTIF(tblAnahtarB[NormB],$J108)&gt;1,"EVET","HAYIR"))</f>
        <v/>
      </c>
      <c r="O108" s="15">
        <f>IF($I108="","",ROW()-ROW($I$5))</f>
        <v/>
      </c>
    </row>
    <row r="109">
      <c r="A109" s="7">
        <f>IF(VERI_A!A109="","",VERI_A!A109)</f>
        <v/>
      </c>
      <c r="B109" s="15">
        <f>UPPER(TRIM(SUBSTITUTE($A109," ","")))</f>
        <v/>
      </c>
      <c r="C109" s="15">
        <f>IF($B109="",0,LEN($B109))</f>
        <v/>
      </c>
      <c r="D109" s="15">
        <f>IF($B109="","",LEFT($B109,kdo_ikincilUzunluk))</f>
        <v/>
      </c>
      <c r="E109" s="15">
        <f>"A"</f>
        <v/>
      </c>
      <c r="F109" s="15">
        <f>IF($B109="","",IF(COUNTIF(tblAnahtarA[Norm],$B109)&gt;1,"EVET","HAYIR"))</f>
        <v/>
      </c>
      <c r="G109" s="15">
        <f>IF($A109="","",ROW()-ROW($A$5))</f>
        <v/>
      </c>
      <c r="I109" s="7">
        <f>IF(VERI_B!A109="","",VERI_B!A109)</f>
        <v/>
      </c>
      <c r="J109" s="15">
        <f>UPPER(TRIM(SUBSTITUTE($I109," ","")))</f>
        <v/>
      </c>
      <c r="K109" s="15">
        <f>IF($J109="",0,LEN($J109))</f>
        <v/>
      </c>
      <c r="L109" s="15">
        <f>IF($J109="","",LEFT($J109,kdo_ikincilUzunluk))</f>
        <v/>
      </c>
      <c r="M109" s="15">
        <f>"B"</f>
        <v/>
      </c>
      <c r="N109" s="15">
        <f>IF($J109="","",IF(COUNTIF(tblAnahtarB[NormB],$J109)&gt;1,"EVET","HAYIR"))</f>
        <v/>
      </c>
      <c r="O109" s="15">
        <f>IF($I109="","",ROW()-ROW($I$5))</f>
        <v/>
      </c>
    </row>
    <row r="110">
      <c r="A110" s="7">
        <f>IF(VERI_A!A110="","",VERI_A!A110)</f>
        <v/>
      </c>
      <c r="B110" s="15">
        <f>UPPER(TRIM(SUBSTITUTE($A110," ","")))</f>
        <v/>
      </c>
      <c r="C110" s="15">
        <f>IF($B110="",0,LEN($B110))</f>
        <v/>
      </c>
      <c r="D110" s="15">
        <f>IF($B110="","",LEFT($B110,kdo_ikincilUzunluk))</f>
        <v/>
      </c>
      <c r="E110" s="15">
        <f>"A"</f>
        <v/>
      </c>
      <c r="F110" s="15">
        <f>IF($B110="","",IF(COUNTIF(tblAnahtarA[Norm],$B110)&gt;1,"EVET","HAYIR"))</f>
        <v/>
      </c>
      <c r="G110" s="15">
        <f>IF($A110="","",ROW()-ROW($A$5))</f>
        <v/>
      </c>
      <c r="I110" s="7">
        <f>IF(VERI_B!A110="","",VERI_B!A110)</f>
        <v/>
      </c>
      <c r="J110" s="15">
        <f>UPPER(TRIM(SUBSTITUTE($I110," ","")))</f>
        <v/>
      </c>
      <c r="K110" s="15">
        <f>IF($J110="",0,LEN($J110))</f>
        <v/>
      </c>
      <c r="L110" s="15">
        <f>IF($J110="","",LEFT($J110,kdo_ikincilUzunluk))</f>
        <v/>
      </c>
      <c r="M110" s="15">
        <f>"B"</f>
        <v/>
      </c>
      <c r="N110" s="15">
        <f>IF($J110="","",IF(COUNTIF(tblAnahtarB[NormB],$J110)&gt;1,"EVET","HAYIR"))</f>
        <v/>
      </c>
      <c r="O110" s="15">
        <f>IF($I110="","",ROW()-ROW($I$5))</f>
        <v/>
      </c>
    </row>
    <row r="111">
      <c r="A111" s="7">
        <f>IF(VERI_A!A111="","",VERI_A!A111)</f>
        <v/>
      </c>
      <c r="B111" s="15">
        <f>UPPER(TRIM(SUBSTITUTE($A111," ","")))</f>
        <v/>
      </c>
      <c r="C111" s="15">
        <f>IF($B111="",0,LEN($B111))</f>
        <v/>
      </c>
      <c r="D111" s="15">
        <f>IF($B111="","",LEFT($B111,kdo_ikincilUzunluk))</f>
        <v/>
      </c>
      <c r="E111" s="15">
        <f>"A"</f>
        <v/>
      </c>
      <c r="F111" s="15">
        <f>IF($B111="","",IF(COUNTIF(tblAnahtarA[Norm],$B111)&gt;1,"EVET","HAYIR"))</f>
        <v/>
      </c>
      <c r="G111" s="15">
        <f>IF($A111="","",ROW()-ROW($A$5))</f>
        <v/>
      </c>
      <c r="I111" s="7">
        <f>IF(VERI_B!A111="","",VERI_B!A111)</f>
        <v/>
      </c>
      <c r="J111" s="15">
        <f>UPPER(TRIM(SUBSTITUTE($I111," ","")))</f>
        <v/>
      </c>
      <c r="K111" s="15">
        <f>IF($J111="",0,LEN($J111))</f>
        <v/>
      </c>
      <c r="L111" s="15">
        <f>IF($J111="","",LEFT($J111,kdo_ikincilUzunluk))</f>
        <v/>
      </c>
      <c r="M111" s="15">
        <f>"B"</f>
        <v/>
      </c>
      <c r="N111" s="15">
        <f>IF($J111="","",IF(COUNTIF(tblAnahtarB[NormB],$J111)&gt;1,"EVET","HAYIR"))</f>
        <v/>
      </c>
      <c r="O111" s="15">
        <f>IF($I111="","",ROW()-ROW($I$5))</f>
        <v/>
      </c>
    </row>
    <row r="112">
      <c r="A112" s="7">
        <f>IF(VERI_A!A112="","",VERI_A!A112)</f>
        <v/>
      </c>
      <c r="B112" s="15">
        <f>UPPER(TRIM(SUBSTITUTE($A112," ","")))</f>
        <v/>
      </c>
      <c r="C112" s="15">
        <f>IF($B112="",0,LEN($B112))</f>
        <v/>
      </c>
      <c r="D112" s="15">
        <f>IF($B112="","",LEFT($B112,kdo_ikincilUzunluk))</f>
        <v/>
      </c>
      <c r="E112" s="15">
        <f>"A"</f>
        <v/>
      </c>
      <c r="F112" s="15">
        <f>IF($B112="","",IF(COUNTIF(tblAnahtarA[Norm],$B112)&gt;1,"EVET","HAYIR"))</f>
        <v/>
      </c>
      <c r="G112" s="15">
        <f>IF($A112="","",ROW()-ROW($A$5))</f>
        <v/>
      </c>
      <c r="I112" s="7">
        <f>IF(VERI_B!A112="","",VERI_B!A112)</f>
        <v/>
      </c>
      <c r="J112" s="15">
        <f>UPPER(TRIM(SUBSTITUTE($I112," ","")))</f>
        <v/>
      </c>
      <c r="K112" s="15">
        <f>IF($J112="",0,LEN($J112))</f>
        <v/>
      </c>
      <c r="L112" s="15">
        <f>IF($J112="","",LEFT($J112,kdo_ikincilUzunluk))</f>
        <v/>
      </c>
      <c r="M112" s="15">
        <f>"B"</f>
        <v/>
      </c>
      <c r="N112" s="15">
        <f>IF($J112="","",IF(COUNTIF(tblAnahtarB[NormB],$J112)&gt;1,"EVET","HAYIR"))</f>
        <v/>
      </c>
      <c r="O112" s="15">
        <f>IF($I112="","",ROW()-ROW($I$5))</f>
        <v/>
      </c>
    </row>
    <row r="113">
      <c r="A113" s="7">
        <f>IF(VERI_A!A113="","",VERI_A!A113)</f>
        <v/>
      </c>
      <c r="B113" s="15">
        <f>UPPER(TRIM(SUBSTITUTE($A113," ","")))</f>
        <v/>
      </c>
      <c r="C113" s="15">
        <f>IF($B113="",0,LEN($B113))</f>
        <v/>
      </c>
      <c r="D113" s="15">
        <f>IF($B113="","",LEFT($B113,kdo_ikincilUzunluk))</f>
        <v/>
      </c>
      <c r="E113" s="15">
        <f>"A"</f>
        <v/>
      </c>
      <c r="F113" s="15">
        <f>IF($B113="","",IF(COUNTIF(tblAnahtarA[Norm],$B113)&gt;1,"EVET","HAYIR"))</f>
        <v/>
      </c>
      <c r="G113" s="15">
        <f>IF($A113="","",ROW()-ROW($A$5))</f>
        <v/>
      </c>
      <c r="I113" s="7">
        <f>IF(VERI_B!A113="","",VERI_B!A113)</f>
        <v/>
      </c>
      <c r="J113" s="15">
        <f>UPPER(TRIM(SUBSTITUTE($I113," ","")))</f>
        <v/>
      </c>
      <c r="K113" s="15">
        <f>IF($J113="",0,LEN($J113))</f>
        <v/>
      </c>
      <c r="L113" s="15">
        <f>IF($J113="","",LEFT($J113,kdo_ikincilUzunluk))</f>
        <v/>
      </c>
      <c r="M113" s="15">
        <f>"B"</f>
        <v/>
      </c>
      <c r="N113" s="15">
        <f>IF($J113="","",IF(COUNTIF(tblAnahtarB[NormB],$J113)&gt;1,"EVET","HAYIR"))</f>
        <v/>
      </c>
      <c r="O113" s="15">
        <f>IF($I113="","",ROW()-ROW($I$5))</f>
        <v/>
      </c>
    </row>
    <row r="114">
      <c r="A114" s="7">
        <f>IF(VERI_A!A114="","",VERI_A!A114)</f>
        <v/>
      </c>
      <c r="B114" s="15">
        <f>UPPER(TRIM(SUBSTITUTE($A114," ","")))</f>
        <v/>
      </c>
      <c r="C114" s="15">
        <f>IF($B114="",0,LEN($B114))</f>
        <v/>
      </c>
      <c r="D114" s="15">
        <f>IF($B114="","",LEFT($B114,kdo_ikincilUzunluk))</f>
        <v/>
      </c>
      <c r="E114" s="15">
        <f>"A"</f>
        <v/>
      </c>
      <c r="F114" s="15">
        <f>IF($B114="","",IF(COUNTIF(tblAnahtarA[Norm],$B114)&gt;1,"EVET","HAYIR"))</f>
        <v/>
      </c>
      <c r="G114" s="15">
        <f>IF($A114="","",ROW()-ROW($A$5))</f>
        <v/>
      </c>
      <c r="I114" s="7">
        <f>IF(VERI_B!A114="","",VERI_B!A114)</f>
        <v/>
      </c>
      <c r="J114" s="15">
        <f>UPPER(TRIM(SUBSTITUTE($I114," ","")))</f>
        <v/>
      </c>
      <c r="K114" s="15">
        <f>IF($J114="",0,LEN($J114))</f>
        <v/>
      </c>
      <c r="L114" s="15">
        <f>IF($J114="","",LEFT($J114,kdo_ikincilUzunluk))</f>
        <v/>
      </c>
      <c r="M114" s="15">
        <f>"B"</f>
        <v/>
      </c>
      <c r="N114" s="15">
        <f>IF($J114="","",IF(COUNTIF(tblAnahtarB[NormB],$J114)&gt;1,"EVET","HAYIR"))</f>
        <v/>
      </c>
      <c r="O114" s="15">
        <f>IF($I114="","",ROW()-ROW($I$5))</f>
        <v/>
      </c>
    </row>
    <row r="115">
      <c r="A115" s="7">
        <f>IF(VERI_A!A115="","",VERI_A!A115)</f>
        <v/>
      </c>
      <c r="B115" s="15">
        <f>UPPER(TRIM(SUBSTITUTE($A115," ","")))</f>
        <v/>
      </c>
      <c r="C115" s="15">
        <f>IF($B115="",0,LEN($B115))</f>
        <v/>
      </c>
      <c r="D115" s="15">
        <f>IF($B115="","",LEFT($B115,kdo_ikincilUzunluk))</f>
        <v/>
      </c>
      <c r="E115" s="15">
        <f>"A"</f>
        <v/>
      </c>
      <c r="F115" s="15">
        <f>IF($B115="","",IF(COUNTIF(tblAnahtarA[Norm],$B115)&gt;1,"EVET","HAYIR"))</f>
        <v/>
      </c>
      <c r="G115" s="15">
        <f>IF($A115="","",ROW()-ROW($A$5))</f>
        <v/>
      </c>
      <c r="I115" s="7">
        <f>IF(VERI_B!A115="","",VERI_B!A115)</f>
        <v/>
      </c>
      <c r="J115" s="15">
        <f>UPPER(TRIM(SUBSTITUTE($I115," ","")))</f>
        <v/>
      </c>
      <c r="K115" s="15">
        <f>IF($J115="",0,LEN($J115))</f>
        <v/>
      </c>
      <c r="L115" s="15">
        <f>IF($J115="","",LEFT($J115,kdo_ikincilUzunluk))</f>
        <v/>
      </c>
      <c r="M115" s="15">
        <f>"B"</f>
        <v/>
      </c>
      <c r="N115" s="15">
        <f>IF($J115="","",IF(COUNTIF(tblAnahtarB[NormB],$J115)&gt;1,"EVET","HAYIR"))</f>
        <v/>
      </c>
      <c r="O115" s="15">
        <f>IF($I115="","",ROW()-ROW($I$5))</f>
        <v/>
      </c>
    </row>
    <row r="116">
      <c r="A116" s="7">
        <f>IF(VERI_A!A116="","",VERI_A!A116)</f>
        <v/>
      </c>
      <c r="B116" s="15">
        <f>UPPER(TRIM(SUBSTITUTE($A116," ","")))</f>
        <v/>
      </c>
      <c r="C116" s="15">
        <f>IF($B116="",0,LEN($B116))</f>
        <v/>
      </c>
      <c r="D116" s="15">
        <f>IF($B116="","",LEFT($B116,kdo_ikincilUzunluk))</f>
        <v/>
      </c>
      <c r="E116" s="15">
        <f>"A"</f>
        <v/>
      </c>
      <c r="F116" s="15">
        <f>IF($B116="","",IF(COUNTIF(tblAnahtarA[Norm],$B116)&gt;1,"EVET","HAYIR"))</f>
        <v/>
      </c>
      <c r="G116" s="15">
        <f>IF($A116="","",ROW()-ROW($A$5))</f>
        <v/>
      </c>
      <c r="I116" s="7">
        <f>IF(VERI_B!A116="","",VERI_B!A116)</f>
        <v/>
      </c>
      <c r="J116" s="15">
        <f>UPPER(TRIM(SUBSTITUTE($I116," ","")))</f>
        <v/>
      </c>
      <c r="K116" s="15">
        <f>IF($J116="",0,LEN($J116))</f>
        <v/>
      </c>
      <c r="L116" s="15">
        <f>IF($J116="","",LEFT($J116,kdo_ikincilUzunluk))</f>
        <v/>
      </c>
      <c r="M116" s="15">
        <f>"B"</f>
        <v/>
      </c>
      <c r="N116" s="15">
        <f>IF($J116="","",IF(COUNTIF(tblAnahtarB[NormB],$J116)&gt;1,"EVET","HAYIR"))</f>
        <v/>
      </c>
      <c r="O116" s="15">
        <f>IF($I116="","",ROW()-ROW($I$5))</f>
        <v/>
      </c>
    </row>
    <row r="117">
      <c r="A117" s="7">
        <f>IF(VERI_A!A117="","",VERI_A!A117)</f>
        <v/>
      </c>
      <c r="B117" s="15">
        <f>UPPER(TRIM(SUBSTITUTE($A117," ","")))</f>
        <v/>
      </c>
      <c r="C117" s="15">
        <f>IF($B117="",0,LEN($B117))</f>
        <v/>
      </c>
      <c r="D117" s="15">
        <f>IF($B117="","",LEFT($B117,kdo_ikincilUzunluk))</f>
        <v/>
      </c>
      <c r="E117" s="15">
        <f>"A"</f>
        <v/>
      </c>
      <c r="F117" s="15">
        <f>IF($B117="","",IF(COUNTIF(tblAnahtarA[Norm],$B117)&gt;1,"EVET","HAYIR"))</f>
        <v/>
      </c>
      <c r="G117" s="15">
        <f>IF($A117="","",ROW()-ROW($A$5))</f>
        <v/>
      </c>
      <c r="I117" s="7">
        <f>IF(VERI_B!A117="","",VERI_B!A117)</f>
        <v/>
      </c>
      <c r="J117" s="15">
        <f>UPPER(TRIM(SUBSTITUTE($I117," ","")))</f>
        <v/>
      </c>
      <c r="K117" s="15">
        <f>IF($J117="",0,LEN($J117))</f>
        <v/>
      </c>
      <c r="L117" s="15">
        <f>IF($J117="","",LEFT($J117,kdo_ikincilUzunluk))</f>
        <v/>
      </c>
      <c r="M117" s="15">
        <f>"B"</f>
        <v/>
      </c>
      <c r="N117" s="15">
        <f>IF($J117="","",IF(COUNTIF(tblAnahtarB[NormB],$J117)&gt;1,"EVET","HAYIR"))</f>
        <v/>
      </c>
      <c r="O117" s="15">
        <f>IF($I117="","",ROW()-ROW($I$5))</f>
        <v/>
      </c>
    </row>
    <row r="118">
      <c r="A118" s="7">
        <f>IF(VERI_A!A118="","",VERI_A!A118)</f>
        <v/>
      </c>
      <c r="B118" s="15">
        <f>UPPER(TRIM(SUBSTITUTE($A118," ","")))</f>
        <v/>
      </c>
      <c r="C118" s="15">
        <f>IF($B118="",0,LEN($B118))</f>
        <v/>
      </c>
      <c r="D118" s="15">
        <f>IF($B118="","",LEFT($B118,kdo_ikincilUzunluk))</f>
        <v/>
      </c>
      <c r="E118" s="15">
        <f>"A"</f>
        <v/>
      </c>
      <c r="F118" s="15">
        <f>IF($B118="","",IF(COUNTIF(tblAnahtarA[Norm],$B118)&gt;1,"EVET","HAYIR"))</f>
        <v/>
      </c>
      <c r="G118" s="15">
        <f>IF($A118="","",ROW()-ROW($A$5))</f>
        <v/>
      </c>
      <c r="I118" s="7">
        <f>IF(VERI_B!A118="","",VERI_B!A118)</f>
        <v/>
      </c>
      <c r="J118" s="15">
        <f>UPPER(TRIM(SUBSTITUTE($I118," ","")))</f>
        <v/>
      </c>
      <c r="K118" s="15">
        <f>IF($J118="",0,LEN($J118))</f>
        <v/>
      </c>
      <c r="L118" s="15">
        <f>IF($J118="","",LEFT($J118,kdo_ikincilUzunluk))</f>
        <v/>
      </c>
      <c r="M118" s="15">
        <f>"B"</f>
        <v/>
      </c>
      <c r="N118" s="15">
        <f>IF($J118="","",IF(COUNTIF(tblAnahtarB[NormB],$J118)&gt;1,"EVET","HAYIR"))</f>
        <v/>
      </c>
      <c r="O118" s="15">
        <f>IF($I118="","",ROW()-ROW($I$5))</f>
        <v/>
      </c>
    </row>
    <row r="119">
      <c r="A119" s="7">
        <f>IF(VERI_A!A119="","",VERI_A!A119)</f>
        <v/>
      </c>
      <c r="B119" s="15">
        <f>UPPER(TRIM(SUBSTITUTE($A119," ","")))</f>
        <v/>
      </c>
      <c r="C119" s="15">
        <f>IF($B119="",0,LEN($B119))</f>
        <v/>
      </c>
      <c r="D119" s="15">
        <f>IF($B119="","",LEFT($B119,kdo_ikincilUzunluk))</f>
        <v/>
      </c>
      <c r="E119" s="15">
        <f>"A"</f>
        <v/>
      </c>
      <c r="F119" s="15">
        <f>IF($B119="","",IF(COUNTIF(tblAnahtarA[Norm],$B119)&gt;1,"EVET","HAYIR"))</f>
        <v/>
      </c>
      <c r="G119" s="15">
        <f>IF($A119="","",ROW()-ROW($A$5))</f>
        <v/>
      </c>
      <c r="I119" s="7">
        <f>IF(VERI_B!A119="","",VERI_B!A119)</f>
        <v/>
      </c>
      <c r="J119" s="15">
        <f>UPPER(TRIM(SUBSTITUTE($I119," ","")))</f>
        <v/>
      </c>
      <c r="K119" s="15">
        <f>IF($J119="",0,LEN($J119))</f>
        <v/>
      </c>
      <c r="L119" s="15">
        <f>IF($J119="","",LEFT($J119,kdo_ikincilUzunluk))</f>
        <v/>
      </c>
      <c r="M119" s="15">
        <f>"B"</f>
        <v/>
      </c>
      <c r="N119" s="15">
        <f>IF($J119="","",IF(COUNTIF(tblAnahtarB[NormB],$J119)&gt;1,"EVET","HAYIR"))</f>
        <v/>
      </c>
      <c r="O119" s="15">
        <f>IF($I119="","",ROW()-ROW($I$5))</f>
        <v/>
      </c>
    </row>
    <row r="120">
      <c r="A120" s="7">
        <f>IF(VERI_A!A120="","",VERI_A!A120)</f>
        <v/>
      </c>
      <c r="B120" s="15">
        <f>UPPER(TRIM(SUBSTITUTE($A120," ","")))</f>
        <v/>
      </c>
      <c r="C120" s="15">
        <f>IF($B120="",0,LEN($B120))</f>
        <v/>
      </c>
      <c r="D120" s="15">
        <f>IF($B120="","",LEFT($B120,kdo_ikincilUzunluk))</f>
        <v/>
      </c>
      <c r="E120" s="15">
        <f>"A"</f>
        <v/>
      </c>
      <c r="F120" s="15">
        <f>IF($B120="","",IF(COUNTIF(tblAnahtarA[Norm],$B120)&gt;1,"EVET","HAYIR"))</f>
        <v/>
      </c>
      <c r="G120" s="15">
        <f>IF($A120="","",ROW()-ROW($A$5))</f>
        <v/>
      </c>
      <c r="I120" s="7">
        <f>IF(VERI_B!A120="","",VERI_B!A120)</f>
        <v/>
      </c>
      <c r="J120" s="15">
        <f>UPPER(TRIM(SUBSTITUTE($I120," ","")))</f>
        <v/>
      </c>
      <c r="K120" s="15">
        <f>IF($J120="",0,LEN($J120))</f>
        <v/>
      </c>
      <c r="L120" s="15">
        <f>IF($J120="","",LEFT($J120,kdo_ikincilUzunluk))</f>
        <v/>
      </c>
      <c r="M120" s="15">
        <f>"B"</f>
        <v/>
      </c>
      <c r="N120" s="15">
        <f>IF($J120="","",IF(COUNTIF(tblAnahtarB[NormB],$J120)&gt;1,"EVET","HAYIR"))</f>
        <v/>
      </c>
      <c r="O120" s="15">
        <f>IF($I120="","",ROW()-ROW($I$5))</f>
        <v/>
      </c>
    </row>
    <row r="121">
      <c r="A121" s="7">
        <f>IF(VERI_A!A121="","",VERI_A!A121)</f>
        <v/>
      </c>
      <c r="B121" s="15">
        <f>UPPER(TRIM(SUBSTITUTE($A121," ","")))</f>
        <v/>
      </c>
      <c r="C121" s="15">
        <f>IF($B121="",0,LEN($B121))</f>
        <v/>
      </c>
      <c r="D121" s="15">
        <f>IF($B121="","",LEFT($B121,kdo_ikincilUzunluk))</f>
        <v/>
      </c>
      <c r="E121" s="15">
        <f>"A"</f>
        <v/>
      </c>
      <c r="F121" s="15">
        <f>IF($B121="","",IF(COUNTIF(tblAnahtarA[Norm],$B121)&gt;1,"EVET","HAYIR"))</f>
        <v/>
      </c>
      <c r="G121" s="15">
        <f>IF($A121="","",ROW()-ROW($A$5))</f>
        <v/>
      </c>
      <c r="I121" s="7">
        <f>IF(VERI_B!A121="","",VERI_B!A121)</f>
        <v/>
      </c>
      <c r="J121" s="15">
        <f>UPPER(TRIM(SUBSTITUTE($I121," ","")))</f>
        <v/>
      </c>
      <c r="K121" s="15">
        <f>IF($J121="",0,LEN($J121))</f>
        <v/>
      </c>
      <c r="L121" s="15">
        <f>IF($J121="","",LEFT($J121,kdo_ikincilUzunluk))</f>
        <v/>
      </c>
      <c r="M121" s="15">
        <f>"B"</f>
        <v/>
      </c>
      <c r="N121" s="15">
        <f>IF($J121="","",IF(COUNTIF(tblAnahtarB[NormB],$J121)&gt;1,"EVET","HAYIR"))</f>
        <v/>
      </c>
      <c r="O121" s="15">
        <f>IF($I121="","",ROW()-ROW($I$5))</f>
        <v/>
      </c>
    </row>
    <row r="122">
      <c r="A122" s="7">
        <f>IF(VERI_A!A122="","",VERI_A!A122)</f>
        <v/>
      </c>
      <c r="B122" s="15">
        <f>UPPER(TRIM(SUBSTITUTE($A122," ","")))</f>
        <v/>
      </c>
      <c r="C122" s="15">
        <f>IF($B122="",0,LEN($B122))</f>
        <v/>
      </c>
      <c r="D122" s="15">
        <f>IF($B122="","",LEFT($B122,kdo_ikincilUzunluk))</f>
        <v/>
      </c>
      <c r="E122" s="15">
        <f>"A"</f>
        <v/>
      </c>
      <c r="F122" s="15">
        <f>IF($B122="","",IF(COUNTIF(tblAnahtarA[Norm],$B122)&gt;1,"EVET","HAYIR"))</f>
        <v/>
      </c>
      <c r="G122" s="15">
        <f>IF($A122="","",ROW()-ROW($A$5))</f>
        <v/>
      </c>
      <c r="I122" s="7">
        <f>IF(VERI_B!A122="","",VERI_B!A122)</f>
        <v/>
      </c>
      <c r="J122" s="15">
        <f>UPPER(TRIM(SUBSTITUTE($I122," ","")))</f>
        <v/>
      </c>
      <c r="K122" s="15">
        <f>IF($J122="",0,LEN($J122))</f>
        <v/>
      </c>
      <c r="L122" s="15">
        <f>IF($J122="","",LEFT($J122,kdo_ikincilUzunluk))</f>
        <v/>
      </c>
      <c r="M122" s="15">
        <f>"B"</f>
        <v/>
      </c>
      <c r="N122" s="15">
        <f>IF($J122="","",IF(COUNTIF(tblAnahtarB[NormB],$J122)&gt;1,"EVET","HAYIR"))</f>
        <v/>
      </c>
      <c r="O122" s="15">
        <f>IF($I122="","",ROW()-ROW($I$5))</f>
        <v/>
      </c>
    </row>
    <row r="123">
      <c r="A123" s="7">
        <f>IF(VERI_A!A123="","",VERI_A!A123)</f>
        <v/>
      </c>
      <c r="B123" s="15">
        <f>UPPER(TRIM(SUBSTITUTE($A123," ","")))</f>
        <v/>
      </c>
      <c r="C123" s="15">
        <f>IF($B123="",0,LEN($B123))</f>
        <v/>
      </c>
      <c r="D123" s="15">
        <f>IF($B123="","",LEFT($B123,kdo_ikincilUzunluk))</f>
        <v/>
      </c>
      <c r="E123" s="15">
        <f>"A"</f>
        <v/>
      </c>
      <c r="F123" s="15">
        <f>IF($B123="","",IF(COUNTIF(tblAnahtarA[Norm],$B123)&gt;1,"EVET","HAYIR"))</f>
        <v/>
      </c>
      <c r="G123" s="15">
        <f>IF($A123="","",ROW()-ROW($A$5))</f>
        <v/>
      </c>
      <c r="I123" s="7">
        <f>IF(VERI_B!A123="","",VERI_B!A123)</f>
        <v/>
      </c>
      <c r="J123" s="15">
        <f>UPPER(TRIM(SUBSTITUTE($I123," ","")))</f>
        <v/>
      </c>
      <c r="K123" s="15">
        <f>IF($J123="",0,LEN($J123))</f>
        <v/>
      </c>
      <c r="L123" s="15">
        <f>IF($J123="","",LEFT($J123,kdo_ikincilUzunluk))</f>
        <v/>
      </c>
      <c r="M123" s="15">
        <f>"B"</f>
        <v/>
      </c>
      <c r="N123" s="15">
        <f>IF($J123="","",IF(COUNTIF(tblAnahtarB[NormB],$J123)&gt;1,"EVET","HAYIR"))</f>
        <v/>
      </c>
      <c r="O123" s="15">
        <f>IF($I123="","",ROW()-ROW($I$5))</f>
        <v/>
      </c>
    </row>
    <row r="124">
      <c r="A124" s="7">
        <f>IF(VERI_A!A124="","",VERI_A!A124)</f>
        <v/>
      </c>
      <c r="B124" s="15">
        <f>UPPER(TRIM(SUBSTITUTE($A124," ","")))</f>
        <v/>
      </c>
      <c r="C124" s="15">
        <f>IF($B124="",0,LEN($B124))</f>
        <v/>
      </c>
      <c r="D124" s="15">
        <f>IF($B124="","",LEFT($B124,kdo_ikincilUzunluk))</f>
        <v/>
      </c>
      <c r="E124" s="15">
        <f>"A"</f>
        <v/>
      </c>
      <c r="F124" s="15">
        <f>IF($B124="","",IF(COUNTIF(tblAnahtarA[Norm],$B124)&gt;1,"EVET","HAYIR"))</f>
        <v/>
      </c>
      <c r="G124" s="15">
        <f>IF($A124="","",ROW()-ROW($A$5))</f>
        <v/>
      </c>
      <c r="I124" s="7">
        <f>IF(VERI_B!A124="","",VERI_B!A124)</f>
        <v/>
      </c>
      <c r="J124" s="15">
        <f>UPPER(TRIM(SUBSTITUTE($I124," ","")))</f>
        <v/>
      </c>
      <c r="K124" s="15">
        <f>IF($J124="",0,LEN($J124))</f>
        <v/>
      </c>
      <c r="L124" s="15">
        <f>IF($J124="","",LEFT($J124,kdo_ikincilUzunluk))</f>
        <v/>
      </c>
      <c r="M124" s="15">
        <f>"B"</f>
        <v/>
      </c>
      <c r="N124" s="15">
        <f>IF($J124="","",IF(COUNTIF(tblAnahtarB[NormB],$J124)&gt;1,"EVET","HAYIR"))</f>
        <v/>
      </c>
      <c r="O124" s="15">
        <f>IF($I124="","",ROW()-ROW($I$5))</f>
        <v/>
      </c>
    </row>
    <row r="125">
      <c r="A125" s="7">
        <f>IF(VERI_A!A125="","",VERI_A!A125)</f>
        <v/>
      </c>
      <c r="B125" s="15">
        <f>UPPER(TRIM(SUBSTITUTE($A125," ","")))</f>
        <v/>
      </c>
      <c r="C125" s="15">
        <f>IF($B125="",0,LEN($B125))</f>
        <v/>
      </c>
      <c r="D125" s="15">
        <f>IF($B125="","",LEFT($B125,kdo_ikincilUzunluk))</f>
        <v/>
      </c>
      <c r="E125" s="15">
        <f>"A"</f>
        <v/>
      </c>
      <c r="F125" s="15">
        <f>IF($B125="","",IF(COUNTIF(tblAnahtarA[Norm],$B125)&gt;1,"EVET","HAYIR"))</f>
        <v/>
      </c>
      <c r="G125" s="15">
        <f>IF($A125="","",ROW()-ROW($A$5))</f>
        <v/>
      </c>
      <c r="I125" s="7">
        <f>IF(VERI_B!A125="","",VERI_B!A125)</f>
        <v/>
      </c>
      <c r="J125" s="15">
        <f>UPPER(TRIM(SUBSTITUTE($I125," ","")))</f>
        <v/>
      </c>
      <c r="K125" s="15">
        <f>IF($J125="",0,LEN($J125))</f>
        <v/>
      </c>
      <c r="L125" s="15">
        <f>IF($J125="","",LEFT($J125,kdo_ikincilUzunluk))</f>
        <v/>
      </c>
      <c r="M125" s="15">
        <f>"B"</f>
        <v/>
      </c>
      <c r="N125" s="15">
        <f>IF($J125="","",IF(COUNTIF(tblAnahtarB[NormB],$J125)&gt;1,"EVET","HAYIR"))</f>
        <v/>
      </c>
      <c r="O125" s="15">
        <f>IF($I125="","",ROW()-ROW($I$5))</f>
        <v/>
      </c>
    </row>
    <row r="126">
      <c r="A126" s="7">
        <f>IF(VERI_A!A126="","",VERI_A!A126)</f>
        <v/>
      </c>
      <c r="B126" s="15">
        <f>UPPER(TRIM(SUBSTITUTE($A126," ","")))</f>
        <v/>
      </c>
      <c r="C126" s="15">
        <f>IF($B126="",0,LEN($B126))</f>
        <v/>
      </c>
      <c r="D126" s="15">
        <f>IF($B126="","",LEFT($B126,kdo_ikincilUzunluk))</f>
        <v/>
      </c>
      <c r="E126" s="15">
        <f>"A"</f>
        <v/>
      </c>
      <c r="F126" s="15">
        <f>IF($B126="","",IF(COUNTIF(tblAnahtarA[Norm],$B126)&gt;1,"EVET","HAYIR"))</f>
        <v/>
      </c>
      <c r="G126" s="15">
        <f>IF($A126="","",ROW()-ROW($A$5))</f>
        <v/>
      </c>
      <c r="I126" s="7">
        <f>IF(VERI_B!A126="","",VERI_B!A126)</f>
        <v/>
      </c>
      <c r="J126" s="15">
        <f>UPPER(TRIM(SUBSTITUTE($I126," ","")))</f>
        <v/>
      </c>
      <c r="K126" s="15">
        <f>IF($J126="",0,LEN($J126))</f>
        <v/>
      </c>
      <c r="L126" s="15">
        <f>IF($J126="","",LEFT($J126,kdo_ikincilUzunluk))</f>
        <v/>
      </c>
      <c r="M126" s="15">
        <f>"B"</f>
        <v/>
      </c>
      <c r="N126" s="15">
        <f>IF($J126="","",IF(COUNTIF(tblAnahtarB[NormB],$J126)&gt;1,"EVET","HAYIR"))</f>
        <v/>
      </c>
      <c r="O126" s="15">
        <f>IF($I126="","",ROW()-ROW($I$5))</f>
        <v/>
      </c>
    </row>
    <row r="127">
      <c r="A127" s="7">
        <f>IF(VERI_A!A127="","",VERI_A!A127)</f>
        <v/>
      </c>
      <c r="B127" s="15">
        <f>UPPER(TRIM(SUBSTITUTE($A127," ","")))</f>
        <v/>
      </c>
      <c r="C127" s="15">
        <f>IF($B127="",0,LEN($B127))</f>
        <v/>
      </c>
      <c r="D127" s="15">
        <f>IF($B127="","",LEFT($B127,kdo_ikincilUzunluk))</f>
        <v/>
      </c>
      <c r="E127" s="15">
        <f>"A"</f>
        <v/>
      </c>
      <c r="F127" s="15">
        <f>IF($B127="","",IF(COUNTIF(tblAnahtarA[Norm],$B127)&gt;1,"EVET","HAYIR"))</f>
        <v/>
      </c>
      <c r="G127" s="15">
        <f>IF($A127="","",ROW()-ROW($A$5))</f>
        <v/>
      </c>
      <c r="I127" s="7">
        <f>IF(VERI_B!A127="","",VERI_B!A127)</f>
        <v/>
      </c>
      <c r="J127" s="15">
        <f>UPPER(TRIM(SUBSTITUTE($I127," ","")))</f>
        <v/>
      </c>
      <c r="K127" s="15">
        <f>IF($J127="",0,LEN($J127))</f>
        <v/>
      </c>
      <c r="L127" s="15">
        <f>IF($J127="","",LEFT($J127,kdo_ikincilUzunluk))</f>
        <v/>
      </c>
      <c r="M127" s="15">
        <f>"B"</f>
        <v/>
      </c>
      <c r="N127" s="15">
        <f>IF($J127="","",IF(COUNTIF(tblAnahtarB[NormB],$J127)&gt;1,"EVET","HAYIR"))</f>
        <v/>
      </c>
      <c r="O127" s="15">
        <f>IF($I127="","",ROW()-ROW($I$5))</f>
        <v/>
      </c>
    </row>
    <row r="128">
      <c r="A128" s="7">
        <f>IF(VERI_A!A128="","",VERI_A!A128)</f>
        <v/>
      </c>
      <c r="B128" s="15">
        <f>UPPER(TRIM(SUBSTITUTE($A128," ","")))</f>
        <v/>
      </c>
      <c r="C128" s="15">
        <f>IF($B128="",0,LEN($B128))</f>
        <v/>
      </c>
      <c r="D128" s="15">
        <f>IF($B128="","",LEFT($B128,kdo_ikincilUzunluk))</f>
        <v/>
      </c>
      <c r="E128" s="15">
        <f>"A"</f>
        <v/>
      </c>
      <c r="F128" s="15">
        <f>IF($B128="","",IF(COUNTIF(tblAnahtarA[Norm],$B128)&gt;1,"EVET","HAYIR"))</f>
        <v/>
      </c>
      <c r="G128" s="15">
        <f>IF($A128="","",ROW()-ROW($A$5))</f>
        <v/>
      </c>
      <c r="I128" s="7">
        <f>IF(VERI_B!A128="","",VERI_B!A128)</f>
        <v/>
      </c>
      <c r="J128" s="15">
        <f>UPPER(TRIM(SUBSTITUTE($I128," ","")))</f>
        <v/>
      </c>
      <c r="K128" s="15">
        <f>IF($J128="",0,LEN($J128))</f>
        <v/>
      </c>
      <c r="L128" s="15">
        <f>IF($J128="","",LEFT($J128,kdo_ikincilUzunluk))</f>
        <v/>
      </c>
      <c r="M128" s="15">
        <f>"B"</f>
        <v/>
      </c>
      <c r="N128" s="15">
        <f>IF($J128="","",IF(COUNTIF(tblAnahtarB[NormB],$J128)&gt;1,"EVET","HAYIR"))</f>
        <v/>
      </c>
      <c r="O128" s="15">
        <f>IF($I128="","",ROW()-ROW($I$5))</f>
        <v/>
      </c>
    </row>
    <row r="129">
      <c r="A129" s="7">
        <f>IF(VERI_A!A129="","",VERI_A!A129)</f>
        <v/>
      </c>
      <c r="B129" s="15">
        <f>UPPER(TRIM(SUBSTITUTE($A129," ","")))</f>
        <v/>
      </c>
      <c r="C129" s="15">
        <f>IF($B129="",0,LEN($B129))</f>
        <v/>
      </c>
      <c r="D129" s="15">
        <f>IF($B129="","",LEFT($B129,kdo_ikincilUzunluk))</f>
        <v/>
      </c>
      <c r="E129" s="15">
        <f>"A"</f>
        <v/>
      </c>
      <c r="F129" s="15">
        <f>IF($B129="","",IF(COUNTIF(tblAnahtarA[Norm],$B129)&gt;1,"EVET","HAYIR"))</f>
        <v/>
      </c>
      <c r="G129" s="15">
        <f>IF($A129="","",ROW()-ROW($A$5))</f>
        <v/>
      </c>
      <c r="I129" s="7">
        <f>IF(VERI_B!A129="","",VERI_B!A129)</f>
        <v/>
      </c>
      <c r="J129" s="15">
        <f>UPPER(TRIM(SUBSTITUTE($I129," ","")))</f>
        <v/>
      </c>
      <c r="K129" s="15">
        <f>IF($J129="",0,LEN($J129))</f>
        <v/>
      </c>
      <c r="L129" s="15">
        <f>IF($J129="","",LEFT($J129,kdo_ikincilUzunluk))</f>
        <v/>
      </c>
      <c r="M129" s="15">
        <f>"B"</f>
        <v/>
      </c>
      <c r="N129" s="15">
        <f>IF($J129="","",IF(COUNTIF(tblAnahtarB[NormB],$J129)&gt;1,"EVET","HAYIR"))</f>
        <v/>
      </c>
      <c r="O129" s="15">
        <f>IF($I129="","",ROW()-ROW($I$5))</f>
        <v/>
      </c>
    </row>
    <row r="130">
      <c r="A130" s="7">
        <f>IF(VERI_A!A130="","",VERI_A!A130)</f>
        <v/>
      </c>
      <c r="B130" s="15">
        <f>UPPER(TRIM(SUBSTITUTE($A130," ","")))</f>
        <v/>
      </c>
      <c r="C130" s="15">
        <f>IF($B130="",0,LEN($B130))</f>
        <v/>
      </c>
      <c r="D130" s="15">
        <f>IF($B130="","",LEFT($B130,kdo_ikincilUzunluk))</f>
        <v/>
      </c>
      <c r="E130" s="15">
        <f>"A"</f>
        <v/>
      </c>
      <c r="F130" s="15">
        <f>IF($B130="","",IF(COUNTIF(tblAnahtarA[Norm],$B130)&gt;1,"EVET","HAYIR"))</f>
        <v/>
      </c>
      <c r="G130" s="15">
        <f>IF($A130="","",ROW()-ROW($A$5))</f>
        <v/>
      </c>
      <c r="I130" s="7">
        <f>IF(VERI_B!A130="","",VERI_B!A130)</f>
        <v/>
      </c>
      <c r="J130" s="15">
        <f>UPPER(TRIM(SUBSTITUTE($I130," ","")))</f>
        <v/>
      </c>
      <c r="K130" s="15">
        <f>IF($J130="",0,LEN($J130))</f>
        <v/>
      </c>
      <c r="L130" s="15">
        <f>IF($J130="","",LEFT($J130,kdo_ikincilUzunluk))</f>
        <v/>
      </c>
      <c r="M130" s="15">
        <f>"B"</f>
        <v/>
      </c>
      <c r="N130" s="15">
        <f>IF($J130="","",IF(COUNTIF(tblAnahtarB[NormB],$J130)&gt;1,"EVET","HAYIR"))</f>
        <v/>
      </c>
      <c r="O130" s="15">
        <f>IF($I130="","",ROW()-ROW($I$5))</f>
        <v/>
      </c>
    </row>
    <row r="131">
      <c r="A131" s="7">
        <f>IF(VERI_A!A131="","",VERI_A!A131)</f>
        <v/>
      </c>
      <c r="B131" s="15">
        <f>UPPER(TRIM(SUBSTITUTE($A131," ","")))</f>
        <v/>
      </c>
      <c r="C131" s="15">
        <f>IF($B131="",0,LEN($B131))</f>
        <v/>
      </c>
      <c r="D131" s="15">
        <f>IF($B131="","",LEFT($B131,kdo_ikincilUzunluk))</f>
        <v/>
      </c>
      <c r="E131" s="15">
        <f>"A"</f>
        <v/>
      </c>
      <c r="F131" s="15">
        <f>IF($B131="","",IF(COUNTIF(tblAnahtarA[Norm],$B131)&gt;1,"EVET","HAYIR"))</f>
        <v/>
      </c>
      <c r="G131" s="15">
        <f>IF($A131="","",ROW()-ROW($A$5))</f>
        <v/>
      </c>
      <c r="I131" s="7">
        <f>IF(VERI_B!A131="","",VERI_B!A131)</f>
        <v/>
      </c>
      <c r="J131" s="15">
        <f>UPPER(TRIM(SUBSTITUTE($I131," ","")))</f>
        <v/>
      </c>
      <c r="K131" s="15">
        <f>IF($J131="",0,LEN($J131))</f>
        <v/>
      </c>
      <c r="L131" s="15">
        <f>IF($J131="","",LEFT($J131,kdo_ikincilUzunluk))</f>
        <v/>
      </c>
      <c r="M131" s="15">
        <f>"B"</f>
        <v/>
      </c>
      <c r="N131" s="15">
        <f>IF($J131="","",IF(COUNTIF(tblAnahtarB[NormB],$J131)&gt;1,"EVET","HAYIR"))</f>
        <v/>
      </c>
      <c r="O131" s="15">
        <f>IF($I131="","",ROW()-ROW($I$5))</f>
        <v/>
      </c>
    </row>
    <row r="132">
      <c r="A132" s="7">
        <f>IF(VERI_A!A132="","",VERI_A!A132)</f>
        <v/>
      </c>
      <c r="B132" s="15">
        <f>UPPER(TRIM(SUBSTITUTE($A132," ","")))</f>
        <v/>
      </c>
      <c r="C132" s="15">
        <f>IF($B132="",0,LEN($B132))</f>
        <v/>
      </c>
      <c r="D132" s="15">
        <f>IF($B132="","",LEFT($B132,kdo_ikincilUzunluk))</f>
        <v/>
      </c>
      <c r="E132" s="15">
        <f>"A"</f>
        <v/>
      </c>
      <c r="F132" s="15">
        <f>IF($B132="","",IF(COUNTIF(tblAnahtarA[Norm],$B132)&gt;1,"EVET","HAYIR"))</f>
        <v/>
      </c>
      <c r="G132" s="15">
        <f>IF($A132="","",ROW()-ROW($A$5))</f>
        <v/>
      </c>
      <c r="I132" s="7">
        <f>IF(VERI_B!A132="","",VERI_B!A132)</f>
        <v/>
      </c>
      <c r="J132" s="15">
        <f>UPPER(TRIM(SUBSTITUTE($I132," ","")))</f>
        <v/>
      </c>
      <c r="K132" s="15">
        <f>IF($J132="",0,LEN($J132))</f>
        <v/>
      </c>
      <c r="L132" s="15">
        <f>IF($J132="","",LEFT($J132,kdo_ikincilUzunluk))</f>
        <v/>
      </c>
      <c r="M132" s="15">
        <f>"B"</f>
        <v/>
      </c>
      <c r="N132" s="15">
        <f>IF($J132="","",IF(COUNTIF(tblAnahtarB[NormB],$J132)&gt;1,"EVET","HAYIR"))</f>
        <v/>
      </c>
      <c r="O132" s="15">
        <f>IF($I132="","",ROW()-ROW($I$5))</f>
        <v/>
      </c>
    </row>
    <row r="133">
      <c r="A133" s="7">
        <f>IF(VERI_A!A133="","",VERI_A!A133)</f>
        <v/>
      </c>
      <c r="B133" s="15">
        <f>UPPER(TRIM(SUBSTITUTE($A133," ","")))</f>
        <v/>
      </c>
      <c r="C133" s="15">
        <f>IF($B133="",0,LEN($B133))</f>
        <v/>
      </c>
      <c r="D133" s="15">
        <f>IF($B133="","",LEFT($B133,kdo_ikincilUzunluk))</f>
        <v/>
      </c>
      <c r="E133" s="15">
        <f>"A"</f>
        <v/>
      </c>
      <c r="F133" s="15">
        <f>IF($B133="","",IF(COUNTIF(tblAnahtarA[Norm],$B133)&gt;1,"EVET","HAYIR"))</f>
        <v/>
      </c>
      <c r="G133" s="15">
        <f>IF($A133="","",ROW()-ROW($A$5))</f>
        <v/>
      </c>
      <c r="I133" s="7">
        <f>IF(VERI_B!A133="","",VERI_B!A133)</f>
        <v/>
      </c>
      <c r="J133" s="15">
        <f>UPPER(TRIM(SUBSTITUTE($I133," ","")))</f>
        <v/>
      </c>
      <c r="K133" s="15">
        <f>IF($J133="",0,LEN($J133))</f>
        <v/>
      </c>
      <c r="L133" s="15">
        <f>IF($J133="","",LEFT($J133,kdo_ikincilUzunluk))</f>
        <v/>
      </c>
      <c r="M133" s="15">
        <f>"B"</f>
        <v/>
      </c>
      <c r="N133" s="15">
        <f>IF($J133="","",IF(COUNTIF(tblAnahtarB[NormB],$J133)&gt;1,"EVET","HAYIR"))</f>
        <v/>
      </c>
      <c r="O133" s="15">
        <f>IF($I133="","",ROW()-ROW($I$5))</f>
        <v/>
      </c>
    </row>
    <row r="134">
      <c r="A134" s="7">
        <f>IF(VERI_A!A134="","",VERI_A!A134)</f>
        <v/>
      </c>
      <c r="B134" s="15">
        <f>UPPER(TRIM(SUBSTITUTE($A134," ","")))</f>
        <v/>
      </c>
      <c r="C134" s="15">
        <f>IF($B134="",0,LEN($B134))</f>
        <v/>
      </c>
      <c r="D134" s="15">
        <f>IF($B134="","",LEFT($B134,kdo_ikincilUzunluk))</f>
        <v/>
      </c>
      <c r="E134" s="15">
        <f>"A"</f>
        <v/>
      </c>
      <c r="F134" s="15">
        <f>IF($B134="","",IF(COUNTIF(tblAnahtarA[Norm],$B134)&gt;1,"EVET","HAYIR"))</f>
        <v/>
      </c>
      <c r="G134" s="15">
        <f>IF($A134="","",ROW()-ROW($A$5))</f>
        <v/>
      </c>
      <c r="I134" s="7">
        <f>IF(VERI_B!A134="","",VERI_B!A134)</f>
        <v/>
      </c>
      <c r="J134" s="15">
        <f>UPPER(TRIM(SUBSTITUTE($I134," ","")))</f>
        <v/>
      </c>
      <c r="K134" s="15">
        <f>IF($J134="",0,LEN($J134))</f>
        <v/>
      </c>
      <c r="L134" s="15">
        <f>IF($J134="","",LEFT($J134,kdo_ikincilUzunluk))</f>
        <v/>
      </c>
      <c r="M134" s="15">
        <f>"B"</f>
        <v/>
      </c>
      <c r="N134" s="15">
        <f>IF($J134="","",IF(COUNTIF(tblAnahtarB[NormB],$J134)&gt;1,"EVET","HAYIR"))</f>
        <v/>
      </c>
      <c r="O134" s="15">
        <f>IF($I134="","",ROW()-ROW($I$5))</f>
        <v/>
      </c>
    </row>
    <row r="135">
      <c r="A135" s="7">
        <f>IF(VERI_A!A135="","",VERI_A!A135)</f>
        <v/>
      </c>
      <c r="B135" s="15">
        <f>UPPER(TRIM(SUBSTITUTE($A135," ","")))</f>
        <v/>
      </c>
      <c r="C135" s="15">
        <f>IF($B135="",0,LEN($B135))</f>
        <v/>
      </c>
      <c r="D135" s="15">
        <f>IF($B135="","",LEFT($B135,kdo_ikincilUzunluk))</f>
        <v/>
      </c>
      <c r="E135" s="15">
        <f>"A"</f>
        <v/>
      </c>
      <c r="F135" s="15">
        <f>IF($B135="","",IF(COUNTIF(tblAnahtarA[Norm],$B135)&gt;1,"EVET","HAYIR"))</f>
        <v/>
      </c>
      <c r="G135" s="15">
        <f>IF($A135="","",ROW()-ROW($A$5))</f>
        <v/>
      </c>
      <c r="I135" s="7">
        <f>IF(VERI_B!A135="","",VERI_B!A135)</f>
        <v/>
      </c>
      <c r="J135" s="15">
        <f>UPPER(TRIM(SUBSTITUTE($I135," ","")))</f>
        <v/>
      </c>
      <c r="K135" s="15">
        <f>IF($J135="",0,LEN($J135))</f>
        <v/>
      </c>
      <c r="L135" s="15">
        <f>IF($J135="","",LEFT($J135,kdo_ikincilUzunluk))</f>
        <v/>
      </c>
      <c r="M135" s="15">
        <f>"B"</f>
        <v/>
      </c>
      <c r="N135" s="15">
        <f>IF($J135="","",IF(COUNTIF(tblAnahtarB[NormB],$J135)&gt;1,"EVET","HAYIR"))</f>
        <v/>
      </c>
      <c r="O135" s="15">
        <f>IF($I135="","",ROW()-ROW($I$5))</f>
        <v/>
      </c>
    </row>
    <row r="136">
      <c r="A136" s="7">
        <f>IF(VERI_A!A136="","",VERI_A!A136)</f>
        <v/>
      </c>
      <c r="B136" s="15">
        <f>UPPER(TRIM(SUBSTITUTE($A136," ","")))</f>
        <v/>
      </c>
      <c r="C136" s="15">
        <f>IF($B136="",0,LEN($B136))</f>
        <v/>
      </c>
      <c r="D136" s="15">
        <f>IF($B136="","",LEFT($B136,kdo_ikincilUzunluk))</f>
        <v/>
      </c>
      <c r="E136" s="15">
        <f>"A"</f>
        <v/>
      </c>
      <c r="F136" s="15">
        <f>IF($B136="","",IF(COUNTIF(tblAnahtarA[Norm],$B136)&gt;1,"EVET","HAYIR"))</f>
        <v/>
      </c>
      <c r="G136" s="15">
        <f>IF($A136="","",ROW()-ROW($A$5))</f>
        <v/>
      </c>
      <c r="I136" s="7">
        <f>IF(VERI_B!A136="","",VERI_B!A136)</f>
        <v/>
      </c>
      <c r="J136" s="15">
        <f>UPPER(TRIM(SUBSTITUTE($I136," ","")))</f>
        <v/>
      </c>
      <c r="K136" s="15">
        <f>IF($J136="",0,LEN($J136))</f>
        <v/>
      </c>
      <c r="L136" s="15">
        <f>IF($J136="","",LEFT($J136,kdo_ikincilUzunluk))</f>
        <v/>
      </c>
      <c r="M136" s="15">
        <f>"B"</f>
        <v/>
      </c>
      <c r="N136" s="15">
        <f>IF($J136="","",IF(COUNTIF(tblAnahtarB[NormB],$J136)&gt;1,"EVET","HAYIR"))</f>
        <v/>
      </c>
      <c r="O136" s="15">
        <f>IF($I136="","",ROW()-ROW($I$5))</f>
        <v/>
      </c>
    </row>
    <row r="137">
      <c r="A137" s="7">
        <f>IF(VERI_A!A137="","",VERI_A!A137)</f>
        <v/>
      </c>
      <c r="B137" s="15">
        <f>UPPER(TRIM(SUBSTITUTE($A137," ","")))</f>
        <v/>
      </c>
      <c r="C137" s="15">
        <f>IF($B137="",0,LEN($B137))</f>
        <v/>
      </c>
      <c r="D137" s="15">
        <f>IF($B137="","",LEFT($B137,kdo_ikincilUzunluk))</f>
        <v/>
      </c>
      <c r="E137" s="15">
        <f>"A"</f>
        <v/>
      </c>
      <c r="F137" s="15">
        <f>IF($B137="","",IF(COUNTIF(tblAnahtarA[Norm],$B137)&gt;1,"EVET","HAYIR"))</f>
        <v/>
      </c>
      <c r="G137" s="15">
        <f>IF($A137="","",ROW()-ROW($A$5))</f>
        <v/>
      </c>
      <c r="I137" s="7">
        <f>IF(VERI_B!A137="","",VERI_B!A137)</f>
        <v/>
      </c>
      <c r="J137" s="15">
        <f>UPPER(TRIM(SUBSTITUTE($I137," ","")))</f>
        <v/>
      </c>
      <c r="K137" s="15">
        <f>IF($J137="",0,LEN($J137))</f>
        <v/>
      </c>
      <c r="L137" s="15">
        <f>IF($J137="","",LEFT($J137,kdo_ikincilUzunluk))</f>
        <v/>
      </c>
      <c r="M137" s="15">
        <f>"B"</f>
        <v/>
      </c>
      <c r="N137" s="15">
        <f>IF($J137="","",IF(COUNTIF(tblAnahtarB[NormB],$J137)&gt;1,"EVET","HAYIR"))</f>
        <v/>
      </c>
      <c r="O137" s="15">
        <f>IF($I137="","",ROW()-ROW($I$5))</f>
        <v/>
      </c>
    </row>
    <row r="138">
      <c r="A138" s="7">
        <f>IF(VERI_A!A138="","",VERI_A!A138)</f>
        <v/>
      </c>
      <c r="B138" s="15">
        <f>UPPER(TRIM(SUBSTITUTE($A138," ","")))</f>
        <v/>
      </c>
      <c r="C138" s="15">
        <f>IF($B138="",0,LEN($B138))</f>
        <v/>
      </c>
      <c r="D138" s="15">
        <f>IF($B138="","",LEFT($B138,kdo_ikincilUzunluk))</f>
        <v/>
      </c>
      <c r="E138" s="15">
        <f>"A"</f>
        <v/>
      </c>
      <c r="F138" s="15">
        <f>IF($B138="","",IF(COUNTIF(tblAnahtarA[Norm],$B138)&gt;1,"EVET","HAYIR"))</f>
        <v/>
      </c>
      <c r="G138" s="15">
        <f>IF($A138="","",ROW()-ROW($A$5))</f>
        <v/>
      </c>
      <c r="I138" s="7">
        <f>IF(VERI_B!A138="","",VERI_B!A138)</f>
        <v/>
      </c>
      <c r="J138" s="15">
        <f>UPPER(TRIM(SUBSTITUTE($I138," ","")))</f>
        <v/>
      </c>
      <c r="K138" s="15">
        <f>IF($J138="",0,LEN($J138))</f>
        <v/>
      </c>
      <c r="L138" s="15">
        <f>IF($J138="","",LEFT($J138,kdo_ikincilUzunluk))</f>
        <v/>
      </c>
      <c r="M138" s="15">
        <f>"B"</f>
        <v/>
      </c>
      <c r="N138" s="15">
        <f>IF($J138="","",IF(COUNTIF(tblAnahtarB[NormB],$J138)&gt;1,"EVET","HAYIR"))</f>
        <v/>
      </c>
      <c r="O138" s="15">
        <f>IF($I138="","",ROW()-ROW($I$5))</f>
        <v/>
      </c>
    </row>
    <row r="139">
      <c r="A139" s="7">
        <f>IF(VERI_A!A139="","",VERI_A!A139)</f>
        <v/>
      </c>
      <c r="B139" s="15">
        <f>UPPER(TRIM(SUBSTITUTE($A139," ","")))</f>
        <v/>
      </c>
      <c r="C139" s="15">
        <f>IF($B139="",0,LEN($B139))</f>
        <v/>
      </c>
      <c r="D139" s="15">
        <f>IF($B139="","",LEFT($B139,kdo_ikincilUzunluk))</f>
        <v/>
      </c>
      <c r="E139" s="15">
        <f>"A"</f>
        <v/>
      </c>
      <c r="F139" s="15">
        <f>IF($B139="","",IF(COUNTIF(tblAnahtarA[Norm],$B139)&gt;1,"EVET","HAYIR"))</f>
        <v/>
      </c>
      <c r="G139" s="15">
        <f>IF($A139="","",ROW()-ROW($A$5))</f>
        <v/>
      </c>
      <c r="I139" s="7">
        <f>IF(VERI_B!A139="","",VERI_B!A139)</f>
        <v/>
      </c>
      <c r="J139" s="15">
        <f>UPPER(TRIM(SUBSTITUTE($I139," ","")))</f>
        <v/>
      </c>
      <c r="K139" s="15">
        <f>IF($J139="",0,LEN($J139))</f>
        <v/>
      </c>
      <c r="L139" s="15">
        <f>IF($J139="","",LEFT($J139,kdo_ikincilUzunluk))</f>
        <v/>
      </c>
      <c r="M139" s="15">
        <f>"B"</f>
        <v/>
      </c>
      <c r="N139" s="15">
        <f>IF($J139="","",IF(COUNTIF(tblAnahtarB[NormB],$J139)&gt;1,"EVET","HAYIR"))</f>
        <v/>
      </c>
      <c r="O139" s="15">
        <f>IF($I139="","",ROW()-ROW($I$5))</f>
        <v/>
      </c>
    </row>
    <row r="140">
      <c r="A140" s="7">
        <f>IF(VERI_A!A140="","",VERI_A!A140)</f>
        <v/>
      </c>
      <c r="B140" s="15">
        <f>UPPER(TRIM(SUBSTITUTE($A140," ","")))</f>
        <v/>
      </c>
      <c r="C140" s="15">
        <f>IF($B140="",0,LEN($B140))</f>
        <v/>
      </c>
      <c r="D140" s="15">
        <f>IF($B140="","",LEFT($B140,kdo_ikincilUzunluk))</f>
        <v/>
      </c>
      <c r="E140" s="15">
        <f>"A"</f>
        <v/>
      </c>
      <c r="F140" s="15">
        <f>IF($B140="","",IF(COUNTIF(tblAnahtarA[Norm],$B140)&gt;1,"EVET","HAYIR"))</f>
        <v/>
      </c>
      <c r="G140" s="15">
        <f>IF($A140="","",ROW()-ROW($A$5))</f>
        <v/>
      </c>
      <c r="I140" s="7">
        <f>IF(VERI_B!A140="","",VERI_B!A140)</f>
        <v/>
      </c>
      <c r="J140" s="15">
        <f>UPPER(TRIM(SUBSTITUTE($I140," ","")))</f>
        <v/>
      </c>
      <c r="K140" s="15">
        <f>IF($J140="",0,LEN($J140))</f>
        <v/>
      </c>
      <c r="L140" s="15">
        <f>IF($J140="","",LEFT($J140,kdo_ikincilUzunluk))</f>
        <v/>
      </c>
      <c r="M140" s="15">
        <f>"B"</f>
        <v/>
      </c>
      <c r="N140" s="15">
        <f>IF($J140="","",IF(COUNTIF(tblAnahtarB[NormB],$J140)&gt;1,"EVET","HAYIR"))</f>
        <v/>
      </c>
      <c r="O140" s="15">
        <f>IF($I140="","",ROW()-ROW($I$5))</f>
        <v/>
      </c>
    </row>
    <row r="141">
      <c r="A141" s="7">
        <f>IF(VERI_A!A141="","",VERI_A!A141)</f>
        <v/>
      </c>
      <c r="B141" s="15">
        <f>UPPER(TRIM(SUBSTITUTE($A141," ","")))</f>
        <v/>
      </c>
      <c r="C141" s="15">
        <f>IF($B141="",0,LEN($B141))</f>
        <v/>
      </c>
      <c r="D141" s="15">
        <f>IF($B141="","",LEFT($B141,kdo_ikincilUzunluk))</f>
        <v/>
      </c>
      <c r="E141" s="15">
        <f>"A"</f>
        <v/>
      </c>
      <c r="F141" s="15">
        <f>IF($B141="","",IF(COUNTIF(tblAnahtarA[Norm],$B141)&gt;1,"EVET","HAYIR"))</f>
        <v/>
      </c>
      <c r="G141" s="15">
        <f>IF($A141="","",ROW()-ROW($A$5))</f>
        <v/>
      </c>
      <c r="I141" s="7">
        <f>IF(VERI_B!A141="","",VERI_B!A141)</f>
        <v/>
      </c>
      <c r="J141" s="15">
        <f>UPPER(TRIM(SUBSTITUTE($I141," ","")))</f>
        <v/>
      </c>
      <c r="K141" s="15">
        <f>IF($J141="",0,LEN($J141))</f>
        <v/>
      </c>
      <c r="L141" s="15">
        <f>IF($J141="","",LEFT($J141,kdo_ikincilUzunluk))</f>
        <v/>
      </c>
      <c r="M141" s="15">
        <f>"B"</f>
        <v/>
      </c>
      <c r="N141" s="15">
        <f>IF($J141="","",IF(COUNTIF(tblAnahtarB[NormB],$J141)&gt;1,"EVET","HAYIR"))</f>
        <v/>
      </c>
      <c r="O141" s="15">
        <f>IF($I141="","",ROW()-ROW($I$5))</f>
        <v/>
      </c>
    </row>
    <row r="142">
      <c r="A142" s="7">
        <f>IF(VERI_A!A142="","",VERI_A!A142)</f>
        <v/>
      </c>
      <c r="B142" s="15">
        <f>UPPER(TRIM(SUBSTITUTE($A142," ","")))</f>
        <v/>
      </c>
      <c r="C142" s="15">
        <f>IF($B142="",0,LEN($B142))</f>
        <v/>
      </c>
      <c r="D142" s="15">
        <f>IF($B142="","",LEFT($B142,kdo_ikincilUzunluk))</f>
        <v/>
      </c>
      <c r="E142" s="15">
        <f>"A"</f>
        <v/>
      </c>
      <c r="F142" s="15">
        <f>IF($B142="","",IF(COUNTIF(tblAnahtarA[Norm],$B142)&gt;1,"EVET","HAYIR"))</f>
        <v/>
      </c>
      <c r="G142" s="15">
        <f>IF($A142="","",ROW()-ROW($A$5))</f>
        <v/>
      </c>
      <c r="I142" s="7">
        <f>IF(VERI_B!A142="","",VERI_B!A142)</f>
        <v/>
      </c>
      <c r="J142" s="15">
        <f>UPPER(TRIM(SUBSTITUTE($I142," ","")))</f>
        <v/>
      </c>
      <c r="K142" s="15">
        <f>IF($J142="",0,LEN($J142))</f>
        <v/>
      </c>
      <c r="L142" s="15">
        <f>IF($J142="","",LEFT($J142,kdo_ikincilUzunluk))</f>
        <v/>
      </c>
      <c r="M142" s="15">
        <f>"B"</f>
        <v/>
      </c>
      <c r="N142" s="15">
        <f>IF($J142="","",IF(COUNTIF(tblAnahtarB[NormB],$J142)&gt;1,"EVET","HAYIR"))</f>
        <v/>
      </c>
      <c r="O142" s="15">
        <f>IF($I142="","",ROW()-ROW($I$5))</f>
        <v/>
      </c>
    </row>
    <row r="143">
      <c r="A143" s="7">
        <f>IF(VERI_A!A143="","",VERI_A!A143)</f>
        <v/>
      </c>
      <c r="B143" s="15">
        <f>UPPER(TRIM(SUBSTITUTE($A143," ","")))</f>
        <v/>
      </c>
      <c r="C143" s="15">
        <f>IF($B143="",0,LEN($B143))</f>
        <v/>
      </c>
      <c r="D143" s="15">
        <f>IF($B143="","",LEFT($B143,kdo_ikincilUzunluk))</f>
        <v/>
      </c>
      <c r="E143" s="15">
        <f>"A"</f>
        <v/>
      </c>
      <c r="F143" s="15">
        <f>IF($B143="","",IF(COUNTIF(tblAnahtarA[Norm],$B143)&gt;1,"EVET","HAYIR"))</f>
        <v/>
      </c>
      <c r="G143" s="15">
        <f>IF($A143="","",ROW()-ROW($A$5))</f>
        <v/>
      </c>
      <c r="I143" s="7">
        <f>IF(VERI_B!A143="","",VERI_B!A143)</f>
        <v/>
      </c>
      <c r="J143" s="15">
        <f>UPPER(TRIM(SUBSTITUTE($I143," ","")))</f>
        <v/>
      </c>
      <c r="K143" s="15">
        <f>IF($J143="",0,LEN($J143))</f>
        <v/>
      </c>
      <c r="L143" s="15">
        <f>IF($J143="","",LEFT($J143,kdo_ikincilUzunluk))</f>
        <v/>
      </c>
      <c r="M143" s="15">
        <f>"B"</f>
        <v/>
      </c>
      <c r="N143" s="15">
        <f>IF($J143="","",IF(COUNTIF(tblAnahtarB[NormB],$J143)&gt;1,"EVET","HAYIR"))</f>
        <v/>
      </c>
      <c r="O143" s="15">
        <f>IF($I143="","",ROW()-ROW($I$5))</f>
        <v/>
      </c>
    </row>
    <row r="144">
      <c r="A144" s="7">
        <f>IF(VERI_A!A144="","",VERI_A!A144)</f>
        <v/>
      </c>
      <c r="B144" s="15">
        <f>UPPER(TRIM(SUBSTITUTE($A144," ","")))</f>
        <v/>
      </c>
      <c r="C144" s="15">
        <f>IF($B144="",0,LEN($B144))</f>
        <v/>
      </c>
      <c r="D144" s="15">
        <f>IF($B144="","",LEFT($B144,kdo_ikincilUzunluk))</f>
        <v/>
      </c>
      <c r="E144" s="15">
        <f>"A"</f>
        <v/>
      </c>
      <c r="F144" s="15">
        <f>IF($B144="","",IF(COUNTIF(tblAnahtarA[Norm],$B144)&gt;1,"EVET","HAYIR"))</f>
        <v/>
      </c>
      <c r="G144" s="15">
        <f>IF($A144="","",ROW()-ROW($A$5))</f>
        <v/>
      </c>
      <c r="I144" s="7">
        <f>IF(VERI_B!A144="","",VERI_B!A144)</f>
        <v/>
      </c>
      <c r="J144" s="15">
        <f>UPPER(TRIM(SUBSTITUTE($I144," ","")))</f>
        <v/>
      </c>
      <c r="K144" s="15">
        <f>IF($J144="",0,LEN($J144))</f>
        <v/>
      </c>
      <c r="L144" s="15">
        <f>IF($J144="","",LEFT($J144,kdo_ikincilUzunluk))</f>
        <v/>
      </c>
      <c r="M144" s="15">
        <f>"B"</f>
        <v/>
      </c>
      <c r="N144" s="15">
        <f>IF($J144="","",IF(COUNTIF(tblAnahtarB[NormB],$J144)&gt;1,"EVET","HAYIR"))</f>
        <v/>
      </c>
      <c r="O144" s="15">
        <f>IF($I144="","",ROW()-ROW($I$5))</f>
        <v/>
      </c>
    </row>
    <row r="145">
      <c r="A145" s="7">
        <f>IF(VERI_A!A145="","",VERI_A!A145)</f>
        <v/>
      </c>
      <c r="B145" s="15">
        <f>UPPER(TRIM(SUBSTITUTE($A145," ","")))</f>
        <v/>
      </c>
      <c r="C145" s="15">
        <f>IF($B145="",0,LEN($B145))</f>
        <v/>
      </c>
      <c r="D145" s="15">
        <f>IF($B145="","",LEFT($B145,kdo_ikincilUzunluk))</f>
        <v/>
      </c>
      <c r="E145" s="15">
        <f>"A"</f>
        <v/>
      </c>
      <c r="F145" s="15">
        <f>IF($B145="","",IF(COUNTIF(tblAnahtarA[Norm],$B145)&gt;1,"EVET","HAYIR"))</f>
        <v/>
      </c>
      <c r="G145" s="15">
        <f>IF($A145="","",ROW()-ROW($A$5))</f>
        <v/>
      </c>
      <c r="I145" s="7">
        <f>IF(VERI_B!A145="","",VERI_B!A145)</f>
        <v/>
      </c>
      <c r="J145" s="15">
        <f>UPPER(TRIM(SUBSTITUTE($I145," ","")))</f>
        <v/>
      </c>
      <c r="K145" s="15">
        <f>IF($J145="",0,LEN($J145))</f>
        <v/>
      </c>
      <c r="L145" s="15">
        <f>IF($J145="","",LEFT($J145,kdo_ikincilUzunluk))</f>
        <v/>
      </c>
      <c r="M145" s="15">
        <f>"B"</f>
        <v/>
      </c>
      <c r="N145" s="15">
        <f>IF($J145="","",IF(COUNTIF(tblAnahtarB[NormB],$J145)&gt;1,"EVET","HAYIR"))</f>
        <v/>
      </c>
      <c r="O145" s="15">
        <f>IF($I145="","",ROW()-ROW($I$5))</f>
        <v/>
      </c>
    </row>
    <row r="146">
      <c r="A146" s="7">
        <f>IF(VERI_A!A146="","",VERI_A!A146)</f>
        <v/>
      </c>
      <c r="B146" s="15">
        <f>UPPER(TRIM(SUBSTITUTE($A146," ","")))</f>
        <v/>
      </c>
      <c r="C146" s="15">
        <f>IF($B146="",0,LEN($B146))</f>
        <v/>
      </c>
      <c r="D146" s="15">
        <f>IF($B146="","",LEFT($B146,kdo_ikincilUzunluk))</f>
        <v/>
      </c>
      <c r="E146" s="15">
        <f>"A"</f>
        <v/>
      </c>
      <c r="F146" s="15">
        <f>IF($B146="","",IF(COUNTIF(tblAnahtarA[Norm],$B146)&gt;1,"EVET","HAYIR"))</f>
        <v/>
      </c>
      <c r="G146" s="15">
        <f>IF($A146="","",ROW()-ROW($A$5))</f>
        <v/>
      </c>
      <c r="I146" s="7">
        <f>IF(VERI_B!A146="","",VERI_B!A146)</f>
        <v/>
      </c>
      <c r="J146" s="15">
        <f>UPPER(TRIM(SUBSTITUTE($I146," ","")))</f>
        <v/>
      </c>
      <c r="K146" s="15">
        <f>IF($J146="",0,LEN($J146))</f>
        <v/>
      </c>
      <c r="L146" s="15">
        <f>IF($J146="","",LEFT($J146,kdo_ikincilUzunluk))</f>
        <v/>
      </c>
      <c r="M146" s="15">
        <f>"B"</f>
        <v/>
      </c>
      <c r="N146" s="15">
        <f>IF($J146="","",IF(COUNTIF(tblAnahtarB[NormB],$J146)&gt;1,"EVET","HAYIR"))</f>
        <v/>
      </c>
      <c r="O146" s="15">
        <f>IF($I146="","",ROW()-ROW($I$5))</f>
        <v/>
      </c>
    </row>
    <row r="147">
      <c r="A147" s="7">
        <f>IF(VERI_A!A147="","",VERI_A!A147)</f>
        <v/>
      </c>
      <c r="B147" s="15">
        <f>UPPER(TRIM(SUBSTITUTE($A147," ","")))</f>
        <v/>
      </c>
      <c r="C147" s="15">
        <f>IF($B147="",0,LEN($B147))</f>
        <v/>
      </c>
      <c r="D147" s="15">
        <f>IF($B147="","",LEFT($B147,kdo_ikincilUzunluk))</f>
        <v/>
      </c>
      <c r="E147" s="15">
        <f>"A"</f>
        <v/>
      </c>
      <c r="F147" s="15">
        <f>IF($B147="","",IF(COUNTIF(tblAnahtarA[Norm],$B147)&gt;1,"EVET","HAYIR"))</f>
        <v/>
      </c>
      <c r="G147" s="15">
        <f>IF($A147="","",ROW()-ROW($A$5))</f>
        <v/>
      </c>
      <c r="I147" s="7">
        <f>IF(VERI_B!A147="","",VERI_B!A147)</f>
        <v/>
      </c>
      <c r="J147" s="15">
        <f>UPPER(TRIM(SUBSTITUTE($I147," ","")))</f>
        <v/>
      </c>
      <c r="K147" s="15">
        <f>IF($J147="",0,LEN($J147))</f>
        <v/>
      </c>
      <c r="L147" s="15">
        <f>IF($J147="","",LEFT($J147,kdo_ikincilUzunluk))</f>
        <v/>
      </c>
      <c r="M147" s="15">
        <f>"B"</f>
        <v/>
      </c>
      <c r="N147" s="15">
        <f>IF($J147="","",IF(COUNTIF(tblAnahtarB[NormB],$J147)&gt;1,"EVET","HAYIR"))</f>
        <v/>
      </c>
      <c r="O147" s="15">
        <f>IF($I147="","",ROW()-ROW($I$5))</f>
        <v/>
      </c>
    </row>
    <row r="148">
      <c r="A148" s="7">
        <f>IF(VERI_A!A148="","",VERI_A!A148)</f>
        <v/>
      </c>
      <c r="B148" s="15">
        <f>UPPER(TRIM(SUBSTITUTE($A148," ","")))</f>
        <v/>
      </c>
      <c r="C148" s="15">
        <f>IF($B148="",0,LEN($B148))</f>
        <v/>
      </c>
      <c r="D148" s="15">
        <f>IF($B148="","",LEFT($B148,kdo_ikincilUzunluk))</f>
        <v/>
      </c>
      <c r="E148" s="15">
        <f>"A"</f>
        <v/>
      </c>
      <c r="F148" s="15">
        <f>IF($B148="","",IF(COUNTIF(tblAnahtarA[Norm],$B148)&gt;1,"EVET","HAYIR"))</f>
        <v/>
      </c>
      <c r="G148" s="15">
        <f>IF($A148="","",ROW()-ROW($A$5))</f>
        <v/>
      </c>
      <c r="I148" s="7">
        <f>IF(VERI_B!A148="","",VERI_B!A148)</f>
        <v/>
      </c>
      <c r="J148" s="15">
        <f>UPPER(TRIM(SUBSTITUTE($I148," ","")))</f>
        <v/>
      </c>
      <c r="K148" s="15">
        <f>IF($J148="",0,LEN($J148))</f>
        <v/>
      </c>
      <c r="L148" s="15">
        <f>IF($J148="","",LEFT($J148,kdo_ikincilUzunluk))</f>
        <v/>
      </c>
      <c r="M148" s="15">
        <f>"B"</f>
        <v/>
      </c>
      <c r="N148" s="15">
        <f>IF($J148="","",IF(COUNTIF(tblAnahtarB[NormB],$J148)&gt;1,"EVET","HAYIR"))</f>
        <v/>
      </c>
      <c r="O148" s="15">
        <f>IF($I148="","",ROW()-ROW($I$5))</f>
        <v/>
      </c>
    </row>
    <row r="149">
      <c r="A149" s="7">
        <f>IF(VERI_A!A149="","",VERI_A!A149)</f>
        <v/>
      </c>
      <c r="B149" s="15">
        <f>UPPER(TRIM(SUBSTITUTE($A149," ","")))</f>
        <v/>
      </c>
      <c r="C149" s="15">
        <f>IF($B149="",0,LEN($B149))</f>
        <v/>
      </c>
      <c r="D149" s="15">
        <f>IF($B149="","",LEFT($B149,kdo_ikincilUzunluk))</f>
        <v/>
      </c>
      <c r="E149" s="15">
        <f>"A"</f>
        <v/>
      </c>
      <c r="F149" s="15">
        <f>IF($B149="","",IF(COUNTIF(tblAnahtarA[Norm],$B149)&gt;1,"EVET","HAYIR"))</f>
        <v/>
      </c>
      <c r="G149" s="15">
        <f>IF($A149="","",ROW()-ROW($A$5))</f>
        <v/>
      </c>
      <c r="I149" s="7">
        <f>IF(VERI_B!A149="","",VERI_B!A149)</f>
        <v/>
      </c>
      <c r="J149" s="15">
        <f>UPPER(TRIM(SUBSTITUTE($I149," ","")))</f>
        <v/>
      </c>
      <c r="K149" s="15">
        <f>IF($J149="",0,LEN($J149))</f>
        <v/>
      </c>
      <c r="L149" s="15">
        <f>IF($J149="","",LEFT($J149,kdo_ikincilUzunluk))</f>
        <v/>
      </c>
      <c r="M149" s="15">
        <f>"B"</f>
        <v/>
      </c>
      <c r="N149" s="15">
        <f>IF($J149="","",IF(COUNTIF(tblAnahtarB[NormB],$J149)&gt;1,"EVET","HAYIR"))</f>
        <v/>
      </c>
      <c r="O149" s="15">
        <f>IF($I149="","",ROW()-ROW($I$5))</f>
        <v/>
      </c>
    </row>
    <row r="150">
      <c r="A150" s="7">
        <f>IF(VERI_A!A150="","",VERI_A!A150)</f>
        <v/>
      </c>
      <c r="B150" s="15">
        <f>UPPER(TRIM(SUBSTITUTE($A150," ","")))</f>
        <v/>
      </c>
      <c r="C150" s="15">
        <f>IF($B150="",0,LEN($B150))</f>
        <v/>
      </c>
      <c r="D150" s="15">
        <f>IF($B150="","",LEFT($B150,kdo_ikincilUzunluk))</f>
        <v/>
      </c>
      <c r="E150" s="15">
        <f>"A"</f>
        <v/>
      </c>
      <c r="F150" s="15">
        <f>IF($B150="","",IF(COUNTIF(tblAnahtarA[Norm],$B150)&gt;1,"EVET","HAYIR"))</f>
        <v/>
      </c>
      <c r="G150" s="15">
        <f>IF($A150="","",ROW()-ROW($A$5))</f>
        <v/>
      </c>
      <c r="I150" s="7">
        <f>IF(VERI_B!A150="","",VERI_B!A150)</f>
        <v/>
      </c>
      <c r="J150" s="15">
        <f>UPPER(TRIM(SUBSTITUTE($I150," ","")))</f>
        <v/>
      </c>
      <c r="K150" s="15">
        <f>IF($J150="",0,LEN($J150))</f>
        <v/>
      </c>
      <c r="L150" s="15">
        <f>IF($J150="","",LEFT($J150,kdo_ikincilUzunluk))</f>
        <v/>
      </c>
      <c r="M150" s="15">
        <f>"B"</f>
        <v/>
      </c>
      <c r="N150" s="15">
        <f>IF($J150="","",IF(COUNTIF(tblAnahtarB[NormB],$J150)&gt;1,"EVET","HAYIR"))</f>
        <v/>
      </c>
      <c r="O150" s="15">
        <f>IF($I150="","",ROW()-ROW($I$5))</f>
        <v/>
      </c>
    </row>
    <row r="151">
      <c r="A151" s="7">
        <f>IF(VERI_A!A151="","",VERI_A!A151)</f>
        <v/>
      </c>
      <c r="B151" s="15">
        <f>UPPER(TRIM(SUBSTITUTE($A151," ","")))</f>
        <v/>
      </c>
      <c r="C151" s="15">
        <f>IF($B151="",0,LEN($B151))</f>
        <v/>
      </c>
      <c r="D151" s="15">
        <f>IF($B151="","",LEFT($B151,kdo_ikincilUzunluk))</f>
        <v/>
      </c>
      <c r="E151" s="15">
        <f>"A"</f>
        <v/>
      </c>
      <c r="F151" s="15">
        <f>IF($B151="","",IF(COUNTIF(tblAnahtarA[Norm],$B151)&gt;1,"EVET","HAYIR"))</f>
        <v/>
      </c>
      <c r="G151" s="15">
        <f>IF($A151="","",ROW()-ROW($A$5))</f>
        <v/>
      </c>
      <c r="I151" s="7">
        <f>IF(VERI_B!A151="","",VERI_B!A151)</f>
        <v/>
      </c>
      <c r="J151" s="15">
        <f>UPPER(TRIM(SUBSTITUTE($I151," ","")))</f>
        <v/>
      </c>
      <c r="K151" s="15">
        <f>IF($J151="",0,LEN($J151))</f>
        <v/>
      </c>
      <c r="L151" s="15">
        <f>IF($J151="","",LEFT($J151,kdo_ikincilUzunluk))</f>
        <v/>
      </c>
      <c r="M151" s="15">
        <f>"B"</f>
        <v/>
      </c>
      <c r="N151" s="15">
        <f>IF($J151="","",IF(COUNTIF(tblAnahtarB[NormB],$J151)&gt;1,"EVET","HAYIR"))</f>
        <v/>
      </c>
      <c r="O151" s="15">
        <f>IF($I151="","",ROW()-ROW($I$5))</f>
        <v/>
      </c>
    </row>
    <row r="152">
      <c r="A152" s="7">
        <f>IF(VERI_A!A152="","",VERI_A!A152)</f>
        <v/>
      </c>
      <c r="B152" s="15">
        <f>UPPER(TRIM(SUBSTITUTE($A152," ","")))</f>
        <v/>
      </c>
      <c r="C152" s="15">
        <f>IF($B152="",0,LEN($B152))</f>
        <v/>
      </c>
      <c r="D152" s="15">
        <f>IF($B152="","",LEFT($B152,kdo_ikincilUzunluk))</f>
        <v/>
      </c>
      <c r="E152" s="15">
        <f>"A"</f>
        <v/>
      </c>
      <c r="F152" s="15">
        <f>IF($B152="","",IF(COUNTIF(tblAnahtarA[Norm],$B152)&gt;1,"EVET","HAYIR"))</f>
        <v/>
      </c>
      <c r="G152" s="15">
        <f>IF($A152="","",ROW()-ROW($A$5))</f>
        <v/>
      </c>
      <c r="I152" s="7">
        <f>IF(VERI_B!A152="","",VERI_B!A152)</f>
        <v/>
      </c>
      <c r="J152" s="15">
        <f>UPPER(TRIM(SUBSTITUTE($I152," ","")))</f>
        <v/>
      </c>
      <c r="K152" s="15">
        <f>IF($J152="",0,LEN($J152))</f>
        <v/>
      </c>
      <c r="L152" s="15">
        <f>IF($J152="","",LEFT($J152,kdo_ikincilUzunluk))</f>
        <v/>
      </c>
      <c r="M152" s="15">
        <f>"B"</f>
        <v/>
      </c>
      <c r="N152" s="15">
        <f>IF($J152="","",IF(COUNTIF(tblAnahtarB[NormB],$J152)&gt;1,"EVET","HAYIR"))</f>
        <v/>
      </c>
      <c r="O152" s="15">
        <f>IF($I152="","",ROW()-ROW($I$5))</f>
        <v/>
      </c>
    </row>
    <row r="153">
      <c r="A153" s="7">
        <f>IF(VERI_A!A153="","",VERI_A!A153)</f>
        <v/>
      </c>
      <c r="B153" s="15">
        <f>UPPER(TRIM(SUBSTITUTE($A153," ","")))</f>
        <v/>
      </c>
      <c r="C153" s="15">
        <f>IF($B153="",0,LEN($B153))</f>
        <v/>
      </c>
      <c r="D153" s="15">
        <f>IF($B153="","",LEFT($B153,kdo_ikincilUzunluk))</f>
        <v/>
      </c>
      <c r="E153" s="15">
        <f>"A"</f>
        <v/>
      </c>
      <c r="F153" s="15">
        <f>IF($B153="","",IF(COUNTIF(tblAnahtarA[Norm],$B153)&gt;1,"EVET","HAYIR"))</f>
        <v/>
      </c>
      <c r="G153" s="15">
        <f>IF($A153="","",ROW()-ROW($A$5))</f>
        <v/>
      </c>
      <c r="I153" s="7">
        <f>IF(VERI_B!A153="","",VERI_B!A153)</f>
        <v/>
      </c>
      <c r="J153" s="15">
        <f>UPPER(TRIM(SUBSTITUTE($I153," ","")))</f>
        <v/>
      </c>
      <c r="K153" s="15">
        <f>IF($J153="",0,LEN($J153))</f>
        <v/>
      </c>
      <c r="L153" s="15">
        <f>IF($J153="","",LEFT($J153,kdo_ikincilUzunluk))</f>
        <v/>
      </c>
      <c r="M153" s="15">
        <f>"B"</f>
        <v/>
      </c>
      <c r="N153" s="15">
        <f>IF($J153="","",IF(COUNTIF(tblAnahtarB[NormB],$J153)&gt;1,"EVET","HAYIR"))</f>
        <v/>
      </c>
      <c r="O153" s="15">
        <f>IF($I153="","",ROW()-ROW($I$5))</f>
        <v/>
      </c>
    </row>
    <row r="154">
      <c r="A154" s="7">
        <f>IF(VERI_A!A154="","",VERI_A!A154)</f>
        <v/>
      </c>
      <c r="B154" s="15">
        <f>UPPER(TRIM(SUBSTITUTE($A154," ","")))</f>
        <v/>
      </c>
      <c r="C154" s="15">
        <f>IF($B154="",0,LEN($B154))</f>
        <v/>
      </c>
      <c r="D154" s="15">
        <f>IF($B154="","",LEFT($B154,kdo_ikincilUzunluk))</f>
        <v/>
      </c>
      <c r="E154" s="15">
        <f>"A"</f>
        <v/>
      </c>
      <c r="F154" s="15">
        <f>IF($B154="","",IF(COUNTIF(tblAnahtarA[Norm],$B154)&gt;1,"EVET","HAYIR"))</f>
        <v/>
      </c>
      <c r="G154" s="15">
        <f>IF($A154="","",ROW()-ROW($A$5))</f>
        <v/>
      </c>
      <c r="I154" s="7">
        <f>IF(VERI_B!A154="","",VERI_B!A154)</f>
        <v/>
      </c>
      <c r="J154" s="15">
        <f>UPPER(TRIM(SUBSTITUTE($I154," ","")))</f>
        <v/>
      </c>
      <c r="K154" s="15">
        <f>IF($J154="",0,LEN($J154))</f>
        <v/>
      </c>
      <c r="L154" s="15">
        <f>IF($J154="","",LEFT($J154,kdo_ikincilUzunluk))</f>
        <v/>
      </c>
      <c r="M154" s="15">
        <f>"B"</f>
        <v/>
      </c>
      <c r="N154" s="15">
        <f>IF($J154="","",IF(COUNTIF(tblAnahtarB[NormB],$J154)&gt;1,"EVET","HAYIR"))</f>
        <v/>
      </c>
      <c r="O154" s="15">
        <f>IF($I154="","",ROW()-ROW($I$5))</f>
        <v/>
      </c>
    </row>
    <row r="155">
      <c r="A155" s="7">
        <f>IF(VERI_A!A155="","",VERI_A!A155)</f>
        <v/>
      </c>
      <c r="B155" s="15">
        <f>UPPER(TRIM(SUBSTITUTE($A155," ","")))</f>
        <v/>
      </c>
      <c r="C155" s="15">
        <f>IF($B155="",0,LEN($B155))</f>
        <v/>
      </c>
      <c r="D155" s="15">
        <f>IF($B155="","",LEFT($B155,kdo_ikincilUzunluk))</f>
        <v/>
      </c>
      <c r="E155" s="15">
        <f>"A"</f>
        <v/>
      </c>
      <c r="F155" s="15">
        <f>IF($B155="","",IF(COUNTIF(tblAnahtarA[Norm],$B155)&gt;1,"EVET","HAYIR"))</f>
        <v/>
      </c>
      <c r="G155" s="15">
        <f>IF($A155="","",ROW()-ROW($A$5))</f>
        <v/>
      </c>
      <c r="I155" s="7">
        <f>IF(VERI_B!A155="","",VERI_B!A155)</f>
        <v/>
      </c>
      <c r="J155" s="15">
        <f>UPPER(TRIM(SUBSTITUTE($I155," ","")))</f>
        <v/>
      </c>
      <c r="K155" s="15">
        <f>IF($J155="",0,LEN($J155))</f>
        <v/>
      </c>
      <c r="L155" s="15">
        <f>IF($J155="","",LEFT($J155,kdo_ikincilUzunluk))</f>
        <v/>
      </c>
      <c r="M155" s="15">
        <f>"B"</f>
        <v/>
      </c>
      <c r="N155" s="15">
        <f>IF($J155="","",IF(COUNTIF(tblAnahtarB[NormB],$J155)&gt;1,"EVET","HAYIR"))</f>
        <v/>
      </c>
      <c r="O155" s="15">
        <f>IF($I155="","",ROW()-ROW($I$5))</f>
        <v/>
      </c>
    </row>
    <row r="156">
      <c r="A156" s="7">
        <f>IF(VERI_A!A156="","",VERI_A!A156)</f>
        <v/>
      </c>
      <c r="B156" s="15">
        <f>UPPER(TRIM(SUBSTITUTE($A156," ","")))</f>
        <v/>
      </c>
      <c r="C156" s="15">
        <f>IF($B156="",0,LEN($B156))</f>
        <v/>
      </c>
      <c r="D156" s="15">
        <f>IF($B156="","",LEFT($B156,kdo_ikincilUzunluk))</f>
        <v/>
      </c>
      <c r="E156" s="15">
        <f>"A"</f>
        <v/>
      </c>
      <c r="F156" s="15">
        <f>IF($B156="","",IF(COUNTIF(tblAnahtarA[Norm],$B156)&gt;1,"EVET","HAYIR"))</f>
        <v/>
      </c>
      <c r="G156" s="15">
        <f>IF($A156="","",ROW()-ROW($A$5))</f>
        <v/>
      </c>
      <c r="I156" s="7">
        <f>IF(VERI_B!A156="","",VERI_B!A156)</f>
        <v/>
      </c>
      <c r="J156" s="15">
        <f>UPPER(TRIM(SUBSTITUTE($I156," ","")))</f>
        <v/>
      </c>
      <c r="K156" s="15">
        <f>IF($J156="",0,LEN($J156))</f>
        <v/>
      </c>
      <c r="L156" s="15">
        <f>IF($J156="","",LEFT($J156,kdo_ikincilUzunluk))</f>
        <v/>
      </c>
      <c r="M156" s="15">
        <f>"B"</f>
        <v/>
      </c>
      <c r="N156" s="15">
        <f>IF($J156="","",IF(COUNTIF(tblAnahtarB[NormB],$J156)&gt;1,"EVET","HAYIR"))</f>
        <v/>
      </c>
      <c r="O156" s="15">
        <f>IF($I156="","",ROW()-ROW($I$5))</f>
        <v/>
      </c>
    </row>
    <row r="157">
      <c r="A157" s="7">
        <f>IF(VERI_A!A157="","",VERI_A!A157)</f>
        <v/>
      </c>
      <c r="B157" s="15">
        <f>UPPER(TRIM(SUBSTITUTE($A157," ","")))</f>
        <v/>
      </c>
      <c r="C157" s="15">
        <f>IF($B157="",0,LEN($B157))</f>
        <v/>
      </c>
      <c r="D157" s="15">
        <f>IF($B157="","",LEFT($B157,kdo_ikincilUzunluk))</f>
        <v/>
      </c>
      <c r="E157" s="15">
        <f>"A"</f>
        <v/>
      </c>
      <c r="F157" s="15">
        <f>IF($B157="","",IF(COUNTIF(tblAnahtarA[Norm],$B157)&gt;1,"EVET","HAYIR"))</f>
        <v/>
      </c>
      <c r="G157" s="15">
        <f>IF($A157="","",ROW()-ROW($A$5))</f>
        <v/>
      </c>
      <c r="I157" s="7">
        <f>IF(VERI_B!A157="","",VERI_B!A157)</f>
        <v/>
      </c>
      <c r="J157" s="15">
        <f>UPPER(TRIM(SUBSTITUTE($I157," ","")))</f>
        <v/>
      </c>
      <c r="K157" s="15">
        <f>IF($J157="",0,LEN($J157))</f>
        <v/>
      </c>
      <c r="L157" s="15">
        <f>IF($J157="","",LEFT($J157,kdo_ikincilUzunluk))</f>
        <v/>
      </c>
      <c r="M157" s="15">
        <f>"B"</f>
        <v/>
      </c>
      <c r="N157" s="15">
        <f>IF($J157="","",IF(COUNTIF(tblAnahtarB[NormB],$J157)&gt;1,"EVET","HAYIR"))</f>
        <v/>
      </c>
      <c r="O157" s="15">
        <f>IF($I157="","",ROW()-ROW($I$5))</f>
        <v/>
      </c>
    </row>
    <row r="158">
      <c r="A158" s="7">
        <f>IF(VERI_A!A158="","",VERI_A!A158)</f>
        <v/>
      </c>
      <c r="B158" s="15">
        <f>UPPER(TRIM(SUBSTITUTE($A158," ","")))</f>
        <v/>
      </c>
      <c r="C158" s="15">
        <f>IF($B158="",0,LEN($B158))</f>
        <v/>
      </c>
      <c r="D158" s="15">
        <f>IF($B158="","",LEFT($B158,kdo_ikincilUzunluk))</f>
        <v/>
      </c>
      <c r="E158" s="15">
        <f>"A"</f>
        <v/>
      </c>
      <c r="F158" s="15">
        <f>IF($B158="","",IF(COUNTIF(tblAnahtarA[Norm],$B158)&gt;1,"EVET","HAYIR"))</f>
        <v/>
      </c>
      <c r="G158" s="15">
        <f>IF($A158="","",ROW()-ROW($A$5))</f>
        <v/>
      </c>
      <c r="I158" s="7">
        <f>IF(VERI_B!A158="","",VERI_B!A158)</f>
        <v/>
      </c>
      <c r="J158" s="15">
        <f>UPPER(TRIM(SUBSTITUTE($I158," ","")))</f>
        <v/>
      </c>
      <c r="K158" s="15">
        <f>IF($J158="",0,LEN($J158))</f>
        <v/>
      </c>
      <c r="L158" s="15">
        <f>IF($J158="","",LEFT($J158,kdo_ikincilUzunluk))</f>
        <v/>
      </c>
      <c r="M158" s="15">
        <f>"B"</f>
        <v/>
      </c>
      <c r="N158" s="15">
        <f>IF($J158="","",IF(COUNTIF(tblAnahtarB[NormB],$J158)&gt;1,"EVET","HAYIR"))</f>
        <v/>
      </c>
      <c r="O158" s="15">
        <f>IF($I158="","",ROW()-ROW($I$5))</f>
        <v/>
      </c>
    </row>
    <row r="159">
      <c r="A159" s="7">
        <f>IF(VERI_A!A159="","",VERI_A!A159)</f>
        <v/>
      </c>
      <c r="B159" s="15">
        <f>UPPER(TRIM(SUBSTITUTE($A159," ","")))</f>
        <v/>
      </c>
      <c r="C159" s="15">
        <f>IF($B159="",0,LEN($B159))</f>
        <v/>
      </c>
      <c r="D159" s="15">
        <f>IF($B159="","",LEFT($B159,kdo_ikincilUzunluk))</f>
        <v/>
      </c>
      <c r="E159" s="15">
        <f>"A"</f>
        <v/>
      </c>
      <c r="F159" s="15">
        <f>IF($B159="","",IF(COUNTIF(tblAnahtarA[Norm],$B159)&gt;1,"EVET","HAYIR"))</f>
        <v/>
      </c>
      <c r="G159" s="15">
        <f>IF($A159="","",ROW()-ROW($A$5))</f>
        <v/>
      </c>
      <c r="I159" s="7">
        <f>IF(VERI_B!A159="","",VERI_B!A159)</f>
        <v/>
      </c>
      <c r="J159" s="15">
        <f>UPPER(TRIM(SUBSTITUTE($I159," ","")))</f>
        <v/>
      </c>
      <c r="K159" s="15">
        <f>IF($J159="",0,LEN($J159))</f>
        <v/>
      </c>
      <c r="L159" s="15">
        <f>IF($J159="","",LEFT($J159,kdo_ikincilUzunluk))</f>
        <v/>
      </c>
      <c r="M159" s="15">
        <f>"B"</f>
        <v/>
      </c>
      <c r="N159" s="15">
        <f>IF($J159="","",IF(COUNTIF(tblAnahtarB[NormB],$J159)&gt;1,"EVET","HAYIR"))</f>
        <v/>
      </c>
      <c r="O159" s="15">
        <f>IF($I159="","",ROW()-ROW($I$5))</f>
        <v/>
      </c>
    </row>
    <row r="160">
      <c r="A160" s="7">
        <f>IF(VERI_A!A160="","",VERI_A!A160)</f>
        <v/>
      </c>
      <c r="B160" s="15">
        <f>UPPER(TRIM(SUBSTITUTE($A160," ","")))</f>
        <v/>
      </c>
      <c r="C160" s="15">
        <f>IF($B160="",0,LEN($B160))</f>
        <v/>
      </c>
      <c r="D160" s="15">
        <f>IF($B160="","",LEFT($B160,kdo_ikincilUzunluk))</f>
        <v/>
      </c>
      <c r="E160" s="15">
        <f>"A"</f>
        <v/>
      </c>
      <c r="F160" s="15">
        <f>IF($B160="","",IF(COUNTIF(tblAnahtarA[Norm],$B160)&gt;1,"EVET","HAYIR"))</f>
        <v/>
      </c>
      <c r="G160" s="15">
        <f>IF($A160="","",ROW()-ROW($A$5))</f>
        <v/>
      </c>
      <c r="I160" s="7">
        <f>IF(VERI_B!A160="","",VERI_B!A160)</f>
        <v/>
      </c>
      <c r="J160" s="15">
        <f>UPPER(TRIM(SUBSTITUTE($I160," ","")))</f>
        <v/>
      </c>
      <c r="K160" s="15">
        <f>IF($J160="",0,LEN($J160))</f>
        <v/>
      </c>
      <c r="L160" s="15">
        <f>IF($J160="","",LEFT($J160,kdo_ikincilUzunluk))</f>
        <v/>
      </c>
      <c r="M160" s="15">
        <f>"B"</f>
        <v/>
      </c>
      <c r="N160" s="15">
        <f>IF($J160="","",IF(COUNTIF(tblAnahtarB[NormB],$J160)&gt;1,"EVET","HAYIR"))</f>
        <v/>
      </c>
      <c r="O160" s="15">
        <f>IF($I160="","",ROW()-ROW($I$5))</f>
        <v/>
      </c>
    </row>
    <row r="161">
      <c r="A161" s="7">
        <f>IF(VERI_A!A161="","",VERI_A!A161)</f>
        <v/>
      </c>
      <c r="B161" s="15">
        <f>UPPER(TRIM(SUBSTITUTE($A161," ","")))</f>
        <v/>
      </c>
      <c r="C161" s="15">
        <f>IF($B161="",0,LEN($B161))</f>
        <v/>
      </c>
      <c r="D161" s="15">
        <f>IF($B161="","",LEFT($B161,kdo_ikincilUzunluk))</f>
        <v/>
      </c>
      <c r="E161" s="15">
        <f>"A"</f>
        <v/>
      </c>
      <c r="F161" s="15">
        <f>IF($B161="","",IF(COUNTIF(tblAnahtarA[Norm],$B161)&gt;1,"EVET","HAYIR"))</f>
        <v/>
      </c>
      <c r="G161" s="15">
        <f>IF($A161="","",ROW()-ROW($A$5))</f>
        <v/>
      </c>
      <c r="I161" s="7">
        <f>IF(VERI_B!A161="","",VERI_B!A161)</f>
        <v/>
      </c>
      <c r="J161" s="15">
        <f>UPPER(TRIM(SUBSTITUTE($I161," ","")))</f>
        <v/>
      </c>
      <c r="K161" s="15">
        <f>IF($J161="",0,LEN($J161))</f>
        <v/>
      </c>
      <c r="L161" s="15">
        <f>IF($J161="","",LEFT($J161,kdo_ikincilUzunluk))</f>
        <v/>
      </c>
      <c r="M161" s="15">
        <f>"B"</f>
        <v/>
      </c>
      <c r="N161" s="15">
        <f>IF($J161="","",IF(COUNTIF(tblAnahtarB[NormB],$J161)&gt;1,"EVET","HAYIR"))</f>
        <v/>
      </c>
      <c r="O161" s="15">
        <f>IF($I161="","",ROW()-ROW($I$5))</f>
        <v/>
      </c>
    </row>
    <row r="162">
      <c r="A162" s="7">
        <f>IF(VERI_A!A162="","",VERI_A!A162)</f>
        <v/>
      </c>
      <c r="B162" s="15">
        <f>UPPER(TRIM(SUBSTITUTE($A162," ","")))</f>
        <v/>
      </c>
      <c r="C162" s="15">
        <f>IF($B162="",0,LEN($B162))</f>
        <v/>
      </c>
      <c r="D162" s="15">
        <f>IF($B162="","",LEFT($B162,kdo_ikincilUzunluk))</f>
        <v/>
      </c>
      <c r="E162" s="15">
        <f>"A"</f>
        <v/>
      </c>
      <c r="F162" s="15">
        <f>IF($B162="","",IF(COUNTIF(tblAnahtarA[Norm],$B162)&gt;1,"EVET","HAYIR"))</f>
        <v/>
      </c>
      <c r="G162" s="15">
        <f>IF($A162="","",ROW()-ROW($A$5))</f>
        <v/>
      </c>
      <c r="I162" s="7">
        <f>IF(VERI_B!A162="","",VERI_B!A162)</f>
        <v/>
      </c>
      <c r="J162" s="15">
        <f>UPPER(TRIM(SUBSTITUTE($I162," ","")))</f>
        <v/>
      </c>
      <c r="K162" s="15">
        <f>IF($J162="",0,LEN($J162))</f>
        <v/>
      </c>
      <c r="L162" s="15">
        <f>IF($J162="","",LEFT($J162,kdo_ikincilUzunluk))</f>
        <v/>
      </c>
      <c r="M162" s="15">
        <f>"B"</f>
        <v/>
      </c>
      <c r="N162" s="15">
        <f>IF($J162="","",IF(COUNTIF(tblAnahtarB[NormB],$J162)&gt;1,"EVET","HAYIR"))</f>
        <v/>
      </c>
      <c r="O162" s="15">
        <f>IF($I162="","",ROW()-ROW($I$5))</f>
        <v/>
      </c>
    </row>
    <row r="163">
      <c r="A163" s="7">
        <f>IF(VERI_A!A163="","",VERI_A!A163)</f>
        <v/>
      </c>
      <c r="B163" s="15">
        <f>UPPER(TRIM(SUBSTITUTE($A163," ","")))</f>
        <v/>
      </c>
      <c r="C163" s="15">
        <f>IF($B163="",0,LEN($B163))</f>
        <v/>
      </c>
      <c r="D163" s="15">
        <f>IF($B163="","",LEFT($B163,kdo_ikincilUzunluk))</f>
        <v/>
      </c>
      <c r="E163" s="15">
        <f>"A"</f>
        <v/>
      </c>
      <c r="F163" s="15">
        <f>IF($B163="","",IF(COUNTIF(tblAnahtarA[Norm],$B163)&gt;1,"EVET","HAYIR"))</f>
        <v/>
      </c>
      <c r="G163" s="15">
        <f>IF($A163="","",ROW()-ROW($A$5))</f>
        <v/>
      </c>
      <c r="I163" s="7">
        <f>IF(VERI_B!A163="","",VERI_B!A163)</f>
        <v/>
      </c>
      <c r="J163" s="15">
        <f>UPPER(TRIM(SUBSTITUTE($I163," ","")))</f>
        <v/>
      </c>
      <c r="K163" s="15">
        <f>IF($J163="",0,LEN($J163))</f>
        <v/>
      </c>
      <c r="L163" s="15">
        <f>IF($J163="","",LEFT($J163,kdo_ikincilUzunluk))</f>
        <v/>
      </c>
      <c r="M163" s="15">
        <f>"B"</f>
        <v/>
      </c>
      <c r="N163" s="15">
        <f>IF($J163="","",IF(COUNTIF(tblAnahtarB[NormB],$J163)&gt;1,"EVET","HAYIR"))</f>
        <v/>
      </c>
      <c r="O163" s="15">
        <f>IF($I163="","",ROW()-ROW($I$5))</f>
        <v/>
      </c>
    </row>
    <row r="164">
      <c r="A164" s="7">
        <f>IF(VERI_A!A164="","",VERI_A!A164)</f>
        <v/>
      </c>
      <c r="B164" s="15">
        <f>UPPER(TRIM(SUBSTITUTE($A164," ","")))</f>
        <v/>
      </c>
      <c r="C164" s="15">
        <f>IF($B164="",0,LEN($B164))</f>
        <v/>
      </c>
      <c r="D164" s="15">
        <f>IF($B164="","",LEFT($B164,kdo_ikincilUzunluk))</f>
        <v/>
      </c>
      <c r="E164" s="15">
        <f>"A"</f>
        <v/>
      </c>
      <c r="F164" s="15">
        <f>IF($B164="","",IF(COUNTIF(tblAnahtarA[Norm],$B164)&gt;1,"EVET","HAYIR"))</f>
        <v/>
      </c>
      <c r="G164" s="15">
        <f>IF($A164="","",ROW()-ROW($A$5))</f>
        <v/>
      </c>
      <c r="I164" s="7">
        <f>IF(VERI_B!A164="","",VERI_B!A164)</f>
        <v/>
      </c>
      <c r="J164" s="15">
        <f>UPPER(TRIM(SUBSTITUTE($I164," ","")))</f>
        <v/>
      </c>
      <c r="K164" s="15">
        <f>IF($J164="",0,LEN($J164))</f>
        <v/>
      </c>
      <c r="L164" s="15">
        <f>IF($J164="","",LEFT($J164,kdo_ikincilUzunluk))</f>
        <v/>
      </c>
      <c r="M164" s="15">
        <f>"B"</f>
        <v/>
      </c>
      <c r="N164" s="15">
        <f>IF($J164="","",IF(COUNTIF(tblAnahtarB[NormB],$J164)&gt;1,"EVET","HAYIR"))</f>
        <v/>
      </c>
      <c r="O164" s="15">
        <f>IF($I164="","",ROW()-ROW($I$5))</f>
        <v/>
      </c>
    </row>
    <row r="165">
      <c r="A165" s="7">
        <f>IF(VERI_A!A165="","",VERI_A!A165)</f>
        <v/>
      </c>
      <c r="B165" s="15">
        <f>UPPER(TRIM(SUBSTITUTE($A165," ","")))</f>
        <v/>
      </c>
      <c r="C165" s="15">
        <f>IF($B165="",0,LEN($B165))</f>
        <v/>
      </c>
      <c r="D165" s="15">
        <f>IF($B165="","",LEFT($B165,kdo_ikincilUzunluk))</f>
        <v/>
      </c>
      <c r="E165" s="15">
        <f>"A"</f>
        <v/>
      </c>
      <c r="F165" s="15">
        <f>IF($B165="","",IF(COUNTIF(tblAnahtarA[Norm],$B165)&gt;1,"EVET","HAYIR"))</f>
        <v/>
      </c>
      <c r="G165" s="15">
        <f>IF($A165="","",ROW()-ROW($A$5))</f>
        <v/>
      </c>
      <c r="I165" s="7">
        <f>IF(VERI_B!A165="","",VERI_B!A165)</f>
        <v/>
      </c>
      <c r="J165" s="15">
        <f>UPPER(TRIM(SUBSTITUTE($I165," ","")))</f>
        <v/>
      </c>
      <c r="K165" s="15">
        <f>IF($J165="",0,LEN($J165))</f>
        <v/>
      </c>
      <c r="L165" s="15">
        <f>IF($J165="","",LEFT($J165,kdo_ikincilUzunluk))</f>
        <v/>
      </c>
      <c r="M165" s="15">
        <f>"B"</f>
        <v/>
      </c>
      <c r="N165" s="15">
        <f>IF($J165="","",IF(COUNTIF(tblAnahtarB[NormB],$J165)&gt;1,"EVET","HAYIR"))</f>
        <v/>
      </c>
      <c r="O165" s="15">
        <f>IF($I165="","",ROW()-ROW($I$5))</f>
        <v/>
      </c>
    </row>
    <row r="166">
      <c r="A166" s="7">
        <f>IF(VERI_A!A166="","",VERI_A!A166)</f>
        <v/>
      </c>
      <c r="B166" s="15">
        <f>UPPER(TRIM(SUBSTITUTE($A166," ","")))</f>
        <v/>
      </c>
      <c r="C166" s="15">
        <f>IF($B166="",0,LEN($B166))</f>
        <v/>
      </c>
      <c r="D166" s="15">
        <f>IF($B166="","",LEFT($B166,kdo_ikincilUzunluk))</f>
        <v/>
      </c>
      <c r="E166" s="15">
        <f>"A"</f>
        <v/>
      </c>
      <c r="F166" s="15">
        <f>IF($B166="","",IF(COUNTIF(tblAnahtarA[Norm],$B166)&gt;1,"EVET","HAYIR"))</f>
        <v/>
      </c>
      <c r="G166" s="15">
        <f>IF($A166="","",ROW()-ROW($A$5))</f>
        <v/>
      </c>
      <c r="I166" s="7">
        <f>IF(VERI_B!A166="","",VERI_B!A166)</f>
        <v/>
      </c>
      <c r="J166" s="15">
        <f>UPPER(TRIM(SUBSTITUTE($I166," ","")))</f>
        <v/>
      </c>
      <c r="K166" s="15">
        <f>IF($J166="",0,LEN($J166))</f>
        <v/>
      </c>
      <c r="L166" s="15">
        <f>IF($J166="","",LEFT($J166,kdo_ikincilUzunluk))</f>
        <v/>
      </c>
      <c r="M166" s="15">
        <f>"B"</f>
        <v/>
      </c>
      <c r="N166" s="15">
        <f>IF($J166="","",IF(COUNTIF(tblAnahtarB[NormB],$J166)&gt;1,"EVET","HAYIR"))</f>
        <v/>
      </c>
      <c r="O166" s="15">
        <f>IF($I166="","",ROW()-ROW($I$5))</f>
        <v/>
      </c>
    </row>
    <row r="167">
      <c r="A167" s="7">
        <f>IF(VERI_A!A167="","",VERI_A!A167)</f>
        <v/>
      </c>
      <c r="B167" s="15">
        <f>UPPER(TRIM(SUBSTITUTE($A167," ","")))</f>
        <v/>
      </c>
      <c r="C167" s="15">
        <f>IF($B167="",0,LEN($B167))</f>
        <v/>
      </c>
      <c r="D167" s="15">
        <f>IF($B167="","",LEFT($B167,kdo_ikincilUzunluk))</f>
        <v/>
      </c>
      <c r="E167" s="15">
        <f>"A"</f>
        <v/>
      </c>
      <c r="F167" s="15">
        <f>IF($B167="","",IF(COUNTIF(tblAnahtarA[Norm],$B167)&gt;1,"EVET","HAYIR"))</f>
        <v/>
      </c>
      <c r="G167" s="15">
        <f>IF($A167="","",ROW()-ROW($A$5))</f>
        <v/>
      </c>
      <c r="I167" s="7">
        <f>IF(VERI_B!A167="","",VERI_B!A167)</f>
        <v/>
      </c>
      <c r="J167" s="15">
        <f>UPPER(TRIM(SUBSTITUTE($I167," ","")))</f>
        <v/>
      </c>
      <c r="K167" s="15">
        <f>IF($J167="",0,LEN($J167))</f>
        <v/>
      </c>
      <c r="L167" s="15">
        <f>IF($J167="","",LEFT($J167,kdo_ikincilUzunluk))</f>
        <v/>
      </c>
      <c r="M167" s="15">
        <f>"B"</f>
        <v/>
      </c>
      <c r="N167" s="15">
        <f>IF($J167="","",IF(COUNTIF(tblAnahtarB[NormB],$J167)&gt;1,"EVET","HAYIR"))</f>
        <v/>
      </c>
      <c r="O167" s="15">
        <f>IF($I167="","",ROW()-ROW($I$5))</f>
        <v/>
      </c>
    </row>
    <row r="168">
      <c r="A168" s="7">
        <f>IF(VERI_A!A168="","",VERI_A!A168)</f>
        <v/>
      </c>
      <c r="B168" s="15">
        <f>UPPER(TRIM(SUBSTITUTE($A168," ","")))</f>
        <v/>
      </c>
      <c r="C168" s="15">
        <f>IF($B168="",0,LEN($B168))</f>
        <v/>
      </c>
      <c r="D168" s="15">
        <f>IF($B168="","",LEFT($B168,kdo_ikincilUzunluk))</f>
        <v/>
      </c>
      <c r="E168" s="15">
        <f>"A"</f>
        <v/>
      </c>
      <c r="F168" s="15">
        <f>IF($B168="","",IF(COUNTIF(tblAnahtarA[Norm],$B168)&gt;1,"EVET","HAYIR"))</f>
        <v/>
      </c>
      <c r="G168" s="15">
        <f>IF($A168="","",ROW()-ROW($A$5))</f>
        <v/>
      </c>
      <c r="I168" s="7">
        <f>IF(VERI_B!A168="","",VERI_B!A168)</f>
        <v/>
      </c>
      <c r="J168" s="15">
        <f>UPPER(TRIM(SUBSTITUTE($I168," ","")))</f>
        <v/>
      </c>
      <c r="K168" s="15">
        <f>IF($J168="",0,LEN($J168))</f>
        <v/>
      </c>
      <c r="L168" s="15">
        <f>IF($J168="","",LEFT($J168,kdo_ikincilUzunluk))</f>
        <v/>
      </c>
      <c r="M168" s="15">
        <f>"B"</f>
        <v/>
      </c>
      <c r="N168" s="15">
        <f>IF($J168="","",IF(COUNTIF(tblAnahtarB[NormB],$J168)&gt;1,"EVET","HAYIR"))</f>
        <v/>
      </c>
      <c r="O168" s="15">
        <f>IF($I168="","",ROW()-ROW($I$5))</f>
        <v/>
      </c>
    </row>
    <row r="169">
      <c r="A169" s="7">
        <f>IF(VERI_A!A169="","",VERI_A!A169)</f>
        <v/>
      </c>
      <c r="B169" s="15">
        <f>UPPER(TRIM(SUBSTITUTE($A169," ","")))</f>
        <v/>
      </c>
      <c r="C169" s="15">
        <f>IF($B169="",0,LEN($B169))</f>
        <v/>
      </c>
      <c r="D169" s="15">
        <f>IF($B169="","",LEFT($B169,kdo_ikincilUzunluk))</f>
        <v/>
      </c>
      <c r="E169" s="15">
        <f>"A"</f>
        <v/>
      </c>
      <c r="F169" s="15">
        <f>IF($B169="","",IF(COUNTIF(tblAnahtarA[Norm],$B169)&gt;1,"EVET","HAYIR"))</f>
        <v/>
      </c>
      <c r="G169" s="15">
        <f>IF($A169="","",ROW()-ROW($A$5))</f>
        <v/>
      </c>
      <c r="I169" s="7">
        <f>IF(VERI_B!A169="","",VERI_B!A169)</f>
        <v/>
      </c>
      <c r="J169" s="15">
        <f>UPPER(TRIM(SUBSTITUTE($I169," ","")))</f>
        <v/>
      </c>
      <c r="K169" s="15">
        <f>IF($J169="",0,LEN($J169))</f>
        <v/>
      </c>
      <c r="L169" s="15">
        <f>IF($J169="","",LEFT($J169,kdo_ikincilUzunluk))</f>
        <v/>
      </c>
      <c r="M169" s="15">
        <f>"B"</f>
        <v/>
      </c>
      <c r="N169" s="15">
        <f>IF($J169="","",IF(COUNTIF(tblAnahtarB[NormB],$J169)&gt;1,"EVET","HAYIR"))</f>
        <v/>
      </c>
      <c r="O169" s="15">
        <f>IF($I169="","",ROW()-ROW($I$5))</f>
        <v/>
      </c>
    </row>
    <row r="170">
      <c r="A170" s="7">
        <f>IF(VERI_A!A170="","",VERI_A!A170)</f>
        <v/>
      </c>
      <c r="B170" s="15">
        <f>UPPER(TRIM(SUBSTITUTE($A170," ","")))</f>
        <v/>
      </c>
      <c r="C170" s="15">
        <f>IF($B170="",0,LEN($B170))</f>
        <v/>
      </c>
      <c r="D170" s="15">
        <f>IF($B170="","",LEFT($B170,kdo_ikincilUzunluk))</f>
        <v/>
      </c>
      <c r="E170" s="15">
        <f>"A"</f>
        <v/>
      </c>
      <c r="F170" s="15">
        <f>IF($B170="","",IF(COUNTIF(tblAnahtarA[Norm],$B170)&gt;1,"EVET","HAYIR"))</f>
        <v/>
      </c>
      <c r="G170" s="15">
        <f>IF($A170="","",ROW()-ROW($A$5))</f>
        <v/>
      </c>
      <c r="I170" s="7">
        <f>IF(VERI_B!A170="","",VERI_B!A170)</f>
        <v/>
      </c>
      <c r="J170" s="15">
        <f>UPPER(TRIM(SUBSTITUTE($I170," ","")))</f>
        <v/>
      </c>
      <c r="K170" s="15">
        <f>IF($J170="",0,LEN($J170))</f>
        <v/>
      </c>
      <c r="L170" s="15">
        <f>IF($J170="","",LEFT($J170,kdo_ikincilUzunluk))</f>
        <v/>
      </c>
      <c r="M170" s="15">
        <f>"B"</f>
        <v/>
      </c>
      <c r="N170" s="15">
        <f>IF($J170="","",IF(COUNTIF(tblAnahtarB[NormB],$J170)&gt;1,"EVET","HAYIR"))</f>
        <v/>
      </c>
      <c r="O170" s="15">
        <f>IF($I170="","",ROW()-ROW($I$5))</f>
        <v/>
      </c>
    </row>
    <row r="171">
      <c r="A171" s="7">
        <f>IF(VERI_A!A171="","",VERI_A!A171)</f>
        <v/>
      </c>
      <c r="B171" s="15">
        <f>UPPER(TRIM(SUBSTITUTE($A171," ","")))</f>
        <v/>
      </c>
      <c r="C171" s="15">
        <f>IF($B171="",0,LEN($B171))</f>
        <v/>
      </c>
      <c r="D171" s="15">
        <f>IF($B171="","",LEFT($B171,kdo_ikincilUzunluk))</f>
        <v/>
      </c>
      <c r="E171" s="15">
        <f>"A"</f>
        <v/>
      </c>
      <c r="F171" s="15">
        <f>IF($B171="","",IF(COUNTIF(tblAnahtarA[Norm],$B171)&gt;1,"EVET","HAYIR"))</f>
        <v/>
      </c>
      <c r="G171" s="15">
        <f>IF($A171="","",ROW()-ROW($A$5))</f>
        <v/>
      </c>
      <c r="I171" s="7">
        <f>IF(VERI_B!A171="","",VERI_B!A171)</f>
        <v/>
      </c>
      <c r="J171" s="15">
        <f>UPPER(TRIM(SUBSTITUTE($I171," ","")))</f>
        <v/>
      </c>
      <c r="K171" s="15">
        <f>IF($J171="",0,LEN($J171))</f>
        <v/>
      </c>
      <c r="L171" s="15">
        <f>IF($J171="","",LEFT($J171,kdo_ikincilUzunluk))</f>
        <v/>
      </c>
      <c r="M171" s="15">
        <f>"B"</f>
        <v/>
      </c>
      <c r="N171" s="15">
        <f>IF($J171="","",IF(COUNTIF(tblAnahtarB[NormB],$J171)&gt;1,"EVET","HAYIR"))</f>
        <v/>
      </c>
      <c r="O171" s="15">
        <f>IF($I171="","",ROW()-ROW($I$5))</f>
        <v/>
      </c>
    </row>
    <row r="172">
      <c r="A172" s="7">
        <f>IF(VERI_A!A172="","",VERI_A!A172)</f>
        <v/>
      </c>
      <c r="B172" s="15">
        <f>UPPER(TRIM(SUBSTITUTE($A172," ","")))</f>
        <v/>
      </c>
      <c r="C172" s="15">
        <f>IF($B172="",0,LEN($B172))</f>
        <v/>
      </c>
      <c r="D172" s="15">
        <f>IF($B172="","",LEFT($B172,kdo_ikincilUzunluk))</f>
        <v/>
      </c>
      <c r="E172" s="15">
        <f>"A"</f>
        <v/>
      </c>
      <c r="F172" s="15">
        <f>IF($B172="","",IF(COUNTIF(tblAnahtarA[Norm],$B172)&gt;1,"EVET","HAYIR"))</f>
        <v/>
      </c>
      <c r="G172" s="15">
        <f>IF($A172="","",ROW()-ROW($A$5))</f>
        <v/>
      </c>
      <c r="I172" s="7">
        <f>IF(VERI_B!A172="","",VERI_B!A172)</f>
        <v/>
      </c>
      <c r="J172" s="15">
        <f>UPPER(TRIM(SUBSTITUTE($I172," ","")))</f>
        <v/>
      </c>
      <c r="K172" s="15">
        <f>IF($J172="",0,LEN($J172))</f>
        <v/>
      </c>
      <c r="L172" s="15">
        <f>IF($J172="","",LEFT($J172,kdo_ikincilUzunluk))</f>
        <v/>
      </c>
      <c r="M172" s="15">
        <f>"B"</f>
        <v/>
      </c>
      <c r="N172" s="15">
        <f>IF($J172="","",IF(COUNTIF(tblAnahtarB[NormB],$J172)&gt;1,"EVET","HAYIR"))</f>
        <v/>
      </c>
      <c r="O172" s="15">
        <f>IF($I172="","",ROW()-ROW($I$5))</f>
        <v/>
      </c>
    </row>
    <row r="173">
      <c r="A173" s="7">
        <f>IF(VERI_A!A173="","",VERI_A!A173)</f>
        <v/>
      </c>
      <c r="B173" s="15">
        <f>UPPER(TRIM(SUBSTITUTE($A173," ","")))</f>
        <v/>
      </c>
      <c r="C173" s="15">
        <f>IF($B173="",0,LEN($B173))</f>
        <v/>
      </c>
      <c r="D173" s="15">
        <f>IF($B173="","",LEFT($B173,kdo_ikincilUzunluk))</f>
        <v/>
      </c>
      <c r="E173" s="15">
        <f>"A"</f>
        <v/>
      </c>
      <c r="F173" s="15">
        <f>IF($B173="","",IF(COUNTIF(tblAnahtarA[Norm],$B173)&gt;1,"EVET","HAYIR"))</f>
        <v/>
      </c>
      <c r="G173" s="15">
        <f>IF($A173="","",ROW()-ROW($A$5))</f>
        <v/>
      </c>
      <c r="I173" s="7">
        <f>IF(VERI_B!A173="","",VERI_B!A173)</f>
        <v/>
      </c>
      <c r="J173" s="15">
        <f>UPPER(TRIM(SUBSTITUTE($I173," ","")))</f>
        <v/>
      </c>
      <c r="K173" s="15">
        <f>IF($J173="",0,LEN($J173))</f>
        <v/>
      </c>
      <c r="L173" s="15">
        <f>IF($J173="","",LEFT($J173,kdo_ikincilUzunluk))</f>
        <v/>
      </c>
      <c r="M173" s="15">
        <f>"B"</f>
        <v/>
      </c>
      <c r="N173" s="15">
        <f>IF($J173="","",IF(COUNTIF(tblAnahtarB[NormB],$J173)&gt;1,"EVET","HAYIR"))</f>
        <v/>
      </c>
      <c r="O173" s="15">
        <f>IF($I173="","",ROW()-ROW($I$5))</f>
        <v/>
      </c>
    </row>
    <row r="174">
      <c r="A174" s="7">
        <f>IF(VERI_A!A174="","",VERI_A!A174)</f>
        <v/>
      </c>
      <c r="B174" s="15">
        <f>UPPER(TRIM(SUBSTITUTE($A174," ","")))</f>
        <v/>
      </c>
      <c r="C174" s="15">
        <f>IF($B174="",0,LEN($B174))</f>
        <v/>
      </c>
      <c r="D174" s="15">
        <f>IF($B174="","",LEFT($B174,kdo_ikincilUzunluk))</f>
        <v/>
      </c>
      <c r="E174" s="15">
        <f>"A"</f>
        <v/>
      </c>
      <c r="F174" s="15">
        <f>IF($B174="","",IF(COUNTIF(tblAnahtarA[Norm],$B174)&gt;1,"EVET","HAYIR"))</f>
        <v/>
      </c>
      <c r="G174" s="15">
        <f>IF($A174="","",ROW()-ROW($A$5))</f>
        <v/>
      </c>
      <c r="I174" s="7">
        <f>IF(VERI_B!A174="","",VERI_B!A174)</f>
        <v/>
      </c>
      <c r="J174" s="15">
        <f>UPPER(TRIM(SUBSTITUTE($I174," ","")))</f>
        <v/>
      </c>
      <c r="K174" s="15">
        <f>IF($J174="",0,LEN($J174))</f>
        <v/>
      </c>
      <c r="L174" s="15">
        <f>IF($J174="","",LEFT($J174,kdo_ikincilUzunluk))</f>
        <v/>
      </c>
      <c r="M174" s="15">
        <f>"B"</f>
        <v/>
      </c>
      <c r="N174" s="15">
        <f>IF($J174="","",IF(COUNTIF(tblAnahtarB[NormB],$J174)&gt;1,"EVET","HAYIR"))</f>
        <v/>
      </c>
      <c r="O174" s="15">
        <f>IF($I174="","",ROW()-ROW($I$5))</f>
        <v/>
      </c>
    </row>
    <row r="175">
      <c r="A175" s="7">
        <f>IF(VERI_A!A175="","",VERI_A!A175)</f>
        <v/>
      </c>
      <c r="B175" s="15">
        <f>UPPER(TRIM(SUBSTITUTE($A175," ","")))</f>
        <v/>
      </c>
      <c r="C175" s="15">
        <f>IF($B175="",0,LEN($B175))</f>
        <v/>
      </c>
      <c r="D175" s="15">
        <f>IF($B175="","",LEFT($B175,kdo_ikincilUzunluk))</f>
        <v/>
      </c>
      <c r="E175" s="15">
        <f>"A"</f>
        <v/>
      </c>
      <c r="F175" s="15">
        <f>IF($B175="","",IF(COUNTIF(tblAnahtarA[Norm],$B175)&gt;1,"EVET","HAYIR"))</f>
        <v/>
      </c>
      <c r="G175" s="15">
        <f>IF($A175="","",ROW()-ROW($A$5))</f>
        <v/>
      </c>
      <c r="I175" s="7">
        <f>IF(VERI_B!A175="","",VERI_B!A175)</f>
        <v/>
      </c>
      <c r="J175" s="15">
        <f>UPPER(TRIM(SUBSTITUTE($I175," ","")))</f>
        <v/>
      </c>
      <c r="K175" s="15">
        <f>IF($J175="",0,LEN($J175))</f>
        <v/>
      </c>
      <c r="L175" s="15">
        <f>IF($J175="","",LEFT($J175,kdo_ikincilUzunluk))</f>
        <v/>
      </c>
      <c r="M175" s="15">
        <f>"B"</f>
        <v/>
      </c>
      <c r="N175" s="15">
        <f>IF($J175="","",IF(COUNTIF(tblAnahtarB[NormB],$J175)&gt;1,"EVET","HAYIR"))</f>
        <v/>
      </c>
      <c r="O175" s="15">
        <f>IF($I175="","",ROW()-ROW($I$5))</f>
        <v/>
      </c>
    </row>
    <row r="176">
      <c r="A176" s="7">
        <f>IF(VERI_A!A176="","",VERI_A!A176)</f>
        <v/>
      </c>
      <c r="B176" s="15">
        <f>UPPER(TRIM(SUBSTITUTE($A176," ","")))</f>
        <v/>
      </c>
      <c r="C176" s="15">
        <f>IF($B176="",0,LEN($B176))</f>
        <v/>
      </c>
      <c r="D176" s="15">
        <f>IF($B176="","",LEFT($B176,kdo_ikincilUzunluk))</f>
        <v/>
      </c>
      <c r="E176" s="15">
        <f>"A"</f>
        <v/>
      </c>
      <c r="F176" s="15">
        <f>IF($B176="","",IF(COUNTIF(tblAnahtarA[Norm],$B176)&gt;1,"EVET","HAYIR"))</f>
        <v/>
      </c>
      <c r="G176" s="15">
        <f>IF($A176="","",ROW()-ROW($A$5))</f>
        <v/>
      </c>
      <c r="I176" s="7">
        <f>IF(VERI_B!A176="","",VERI_B!A176)</f>
        <v/>
      </c>
      <c r="J176" s="15">
        <f>UPPER(TRIM(SUBSTITUTE($I176," ","")))</f>
        <v/>
      </c>
      <c r="K176" s="15">
        <f>IF($J176="",0,LEN($J176))</f>
        <v/>
      </c>
      <c r="L176" s="15">
        <f>IF($J176="","",LEFT($J176,kdo_ikincilUzunluk))</f>
        <v/>
      </c>
      <c r="M176" s="15">
        <f>"B"</f>
        <v/>
      </c>
      <c r="N176" s="15">
        <f>IF($J176="","",IF(COUNTIF(tblAnahtarB[NormB],$J176)&gt;1,"EVET","HAYIR"))</f>
        <v/>
      </c>
      <c r="O176" s="15">
        <f>IF($I176="","",ROW()-ROW($I$5))</f>
        <v/>
      </c>
    </row>
    <row r="177">
      <c r="A177" s="7">
        <f>IF(VERI_A!A177="","",VERI_A!A177)</f>
        <v/>
      </c>
      <c r="B177" s="15">
        <f>UPPER(TRIM(SUBSTITUTE($A177," ","")))</f>
        <v/>
      </c>
      <c r="C177" s="15">
        <f>IF($B177="",0,LEN($B177))</f>
        <v/>
      </c>
      <c r="D177" s="15">
        <f>IF($B177="","",LEFT($B177,kdo_ikincilUzunluk))</f>
        <v/>
      </c>
      <c r="E177" s="15">
        <f>"A"</f>
        <v/>
      </c>
      <c r="F177" s="15">
        <f>IF($B177="","",IF(COUNTIF(tblAnahtarA[Norm],$B177)&gt;1,"EVET","HAYIR"))</f>
        <v/>
      </c>
      <c r="G177" s="15">
        <f>IF($A177="","",ROW()-ROW($A$5))</f>
        <v/>
      </c>
      <c r="I177" s="7">
        <f>IF(VERI_B!A177="","",VERI_B!A177)</f>
        <v/>
      </c>
      <c r="J177" s="15">
        <f>UPPER(TRIM(SUBSTITUTE($I177," ","")))</f>
        <v/>
      </c>
      <c r="K177" s="15">
        <f>IF($J177="",0,LEN($J177))</f>
        <v/>
      </c>
      <c r="L177" s="15">
        <f>IF($J177="","",LEFT($J177,kdo_ikincilUzunluk))</f>
        <v/>
      </c>
      <c r="M177" s="15">
        <f>"B"</f>
        <v/>
      </c>
      <c r="N177" s="15">
        <f>IF($J177="","",IF(COUNTIF(tblAnahtarB[NormB],$J177)&gt;1,"EVET","HAYIR"))</f>
        <v/>
      </c>
      <c r="O177" s="15">
        <f>IF($I177="","",ROW()-ROW($I$5))</f>
        <v/>
      </c>
    </row>
    <row r="178">
      <c r="A178" s="7">
        <f>IF(VERI_A!A178="","",VERI_A!A178)</f>
        <v/>
      </c>
      <c r="B178" s="15">
        <f>UPPER(TRIM(SUBSTITUTE($A178," ","")))</f>
        <v/>
      </c>
      <c r="C178" s="15">
        <f>IF($B178="",0,LEN($B178))</f>
        <v/>
      </c>
      <c r="D178" s="15">
        <f>IF($B178="","",LEFT($B178,kdo_ikincilUzunluk))</f>
        <v/>
      </c>
      <c r="E178" s="15">
        <f>"A"</f>
        <v/>
      </c>
      <c r="F178" s="15">
        <f>IF($B178="","",IF(COUNTIF(tblAnahtarA[Norm],$B178)&gt;1,"EVET","HAYIR"))</f>
        <v/>
      </c>
      <c r="G178" s="15">
        <f>IF($A178="","",ROW()-ROW($A$5))</f>
        <v/>
      </c>
      <c r="I178" s="7">
        <f>IF(VERI_B!A178="","",VERI_B!A178)</f>
        <v/>
      </c>
      <c r="J178" s="15">
        <f>UPPER(TRIM(SUBSTITUTE($I178," ","")))</f>
        <v/>
      </c>
      <c r="K178" s="15">
        <f>IF($J178="",0,LEN($J178))</f>
        <v/>
      </c>
      <c r="L178" s="15">
        <f>IF($J178="","",LEFT($J178,kdo_ikincilUzunluk))</f>
        <v/>
      </c>
      <c r="M178" s="15">
        <f>"B"</f>
        <v/>
      </c>
      <c r="N178" s="15">
        <f>IF($J178="","",IF(COUNTIF(tblAnahtarB[NormB],$J178)&gt;1,"EVET","HAYIR"))</f>
        <v/>
      </c>
      <c r="O178" s="15">
        <f>IF($I178="","",ROW()-ROW($I$5))</f>
        <v/>
      </c>
    </row>
    <row r="179">
      <c r="A179" s="7">
        <f>IF(VERI_A!A179="","",VERI_A!A179)</f>
        <v/>
      </c>
      <c r="B179" s="15">
        <f>UPPER(TRIM(SUBSTITUTE($A179," ","")))</f>
        <v/>
      </c>
      <c r="C179" s="15">
        <f>IF($B179="",0,LEN($B179))</f>
        <v/>
      </c>
      <c r="D179" s="15">
        <f>IF($B179="","",LEFT($B179,kdo_ikincilUzunluk))</f>
        <v/>
      </c>
      <c r="E179" s="15">
        <f>"A"</f>
        <v/>
      </c>
      <c r="F179" s="15">
        <f>IF($B179="","",IF(COUNTIF(tblAnahtarA[Norm],$B179)&gt;1,"EVET","HAYIR"))</f>
        <v/>
      </c>
      <c r="G179" s="15">
        <f>IF($A179="","",ROW()-ROW($A$5))</f>
        <v/>
      </c>
      <c r="I179" s="7">
        <f>IF(VERI_B!A179="","",VERI_B!A179)</f>
        <v/>
      </c>
      <c r="J179" s="15">
        <f>UPPER(TRIM(SUBSTITUTE($I179," ","")))</f>
        <v/>
      </c>
      <c r="K179" s="15">
        <f>IF($J179="",0,LEN($J179))</f>
        <v/>
      </c>
      <c r="L179" s="15">
        <f>IF($J179="","",LEFT($J179,kdo_ikincilUzunluk))</f>
        <v/>
      </c>
      <c r="M179" s="15">
        <f>"B"</f>
        <v/>
      </c>
      <c r="N179" s="15">
        <f>IF($J179="","",IF(COUNTIF(tblAnahtarB[NormB],$J179)&gt;1,"EVET","HAYIR"))</f>
        <v/>
      </c>
      <c r="O179" s="15">
        <f>IF($I179="","",ROW()-ROW($I$5))</f>
        <v/>
      </c>
    </row>
    <row r="180">
      <c r="A180" s="7">
        <f>IF(VERI_A!A180="","",VERI_A!A180)</f>
        <v/>
      </c>
      <c r="B180" s="15">
        <f>UPPER(TRIM(SUBSTITUTE($A180," ","")))</f>
        <v/>
      </c>
      <c r="C180" s="15">
        <f>IF($B180="",0,LEN($B180))</f>
        <v/>
      </c>
      <c r="D180" s="15">
        <f>IF($B180="","",LEFT($B180,kdo_ikincilUzunluk))</f>
        <v/>
      </c>
      <c r="E180" s="15">
        <f>"A"</f>
        <v/>
      </c>
      <c r="F180" s="15">
        <f>IF($B180="","",IF(COUNTIF(tblAnahtarA[Norm],$B180)&gt;1,"EVET","HAYIR"))</f>
        <v/>
      </c>
      <c r="G180" s="15">
        <f>IF($A180="","",ROW()-ROW($A$5))</f>
        <v/>
      </c>
      <c r="I180" s="7">
        <f>IF(VERI_B!A180="","",VERI_B!A180)</f>
        <v/>
      </c>
      <c r="J180" s="15">
        <f>UPPER(TRIM(SUBSTITUTE($I180," ","")))</f>
        <v/>
      </c>
      <c r="K180" s="15">
        <f>IF($J180="",0,LEN($J180))</f>
        <v/>
      </c>
      <c r="L180" s="15">
        <f>IF($J180="","",LEFT($J180,kdo_ikincilUzunluk))</f>
        <v/>
      </c>
      <c r="M180" s="15">
        <f>"B"</f>
        <v/>
      </c>
      <c r="N180" s="15">
        <f>IF($J180="","",IF(COUNTIF(tblAnahtarB[NormB],$J180)&gt;1,"EVET","HAYIR"))</f>
        <v/>
      </c>
      <c r="O180" s="15">
        <f>IF($I180="","",ROW()-ROW($I$5))</f>
        <v/>
      </c>
    </row>
    <row r="181">
      <c r="A181" s="7">
        <f>IF(VERI_A!A181="","",VERI_A!A181)</f>
        <v/>
      </c>
      <c r="B181" s="15">
        <f>UPPER(TRIM(SUBSTITUTE($A181," ","")))</f>
        <v/>
      </c>
      <c r="C181" s="15">
        <f>IF($B181="",0,LEN($B181))</f>
        <v/>
      </c>
      <c r="D181" s="15">
        <f>IF($B181="","",LEFT($B181,kdo_ikincilUzunluk))</f>
        <v/>
      </c>
      <c r="E181" s="15">
        <f>"A"</f>
        <v/>
      </c>
      <c r="F181" s="15">
        <f>IF($B181="","",IF(COUNTIF(tblAnahtarA[Norm],$B181)&gt;1,"EVET","HAYIR"))</f>
        <v/>
      </c>
      <c r="G181" s="15">
        <f>IF($A181="","",ROW()-ROW($A$5))</f>
        <v/>
      </c>
      <c r="I181" s="7">
        <f>IF(VERI_B!A181="","",VERI_B!A181)</f>
        <v/>
      </c>
      <c r="J181" s="15">
        <f>UPPER(TRIM(SUBSTITUTE($I181," ","")))</f>
        <v/>
      </c>
      <c r="K181" s="15">
        <f>IF($J181="",0,LEN($J181))</f>
        <v/>
      </c>
      <c r="L181" s="15">
        <f>IF($J181="","",LEFT($J181,kdo_ikincilUzunluk))</f>
        <v/>
      </c>
      <c r="M181" s="15">
        <f>"B"</f>
        <v/>
      </c>
      <c r="N181" s="15">
        <f>IF($J181="","",IF(COUNTIF(tblAnahtarB[NormB],$J181)&gt;1,"EVET","HAYIR"))</f>
        <v/>
      </c>
      <c r="O181" s="15">
        <f>IF($I181="","",ROW()-ROW($I$5))</f>
        <v/>
      </c>
    </row>
    <row r="182">
      <c r="A182" s="7">
        <f>IF(VERI_A!A182="","",VERI_A!A182)</f>
        <v/>
      </c>
      <c r="B182" s="15">
        <f>UPPER(TRIM(SUBSTITUTE($A182," ","")))</f>
        <v/>
      </c>
      <c r="C182" s="15">
        <f>IF($B182="",0,LEN($B182))</f>
        <v/>
      </c>
      <c r="D182" s="15">
        <f>IF($B182="","",LEFT($B182,kdo_ikincilUzunluk))</f>
        <v/>
      </c>
      <c r="E182" s="15">
        <f>"A"</f>
        <v/>
      </c>
      <c r="F182" s="15">
        <f>IF($B182="","",IF(COUNTIF(tblAnahtarA[Norm],$B182)&gt;1,"EVET","HAYIR"))</f>
        <v/>
      </c>
      <c r="G182" s="15">
        <f>IF($A182="","",ROW()-ROW($A$5))</f>
        <v/>
      </c>
      <c r="I182" s="7">
        <f>IF(VERI_B!A182="","",VERI_B!A182)</f>
        <v/>
      </c>
      <c r="J182" s="15">
        <f>UPPER(TRIM(SUBSTITUTE($I182," ","")))</f>
        <v/>
      </c>
      <c r="K182" s="15">
        <f>IF($J182="",0,LEN($J182))</f>
        <v/>
      </c>
      <c r="L182" s="15">
        <f>IF($J182="","",LEFT($J182,kdo_ikincilUzunluk))</f>
        <v/>
      </c>
      <c r="M182" s="15">
        <f>"B"</f>
        <v/>
      </c>
      <c r="N182" s="15">
        <f>IF($J182="","",IF(COUNTIF(tblAnahtarB[NormB],$J182)&gt;1,"EVET","HAYIR"))</f>
        <v/>
      </c>
      <c r="O182" s="15">
        <f>IF($I182="","",ROW()-ROW($I$5))</f>
        <v/>
      </c>
    </row>
    <row r="183">
      <c r="A183" s="7">
        <f>IF(VERI_A!A183="","",VERI_A!A183)</f>
        <v/>
      </c>
      <c r="B183" s="15">
        <f>UPPER(TRIM(SUBSTITUTE($A183," ","")))</f>
        <v/>
      </c>
      <c r="C183" s="15">
        <f>IF($B183="",0,LEN($B183))</f>
        <v/>
      </c>
      <c r="D183" s="15">
        <f>IF($B183="","",LEFT($B183,kdo_ikincilUzunluk))</f>
        <v/>
      </c>
      <c r="E183" s="15">
        <f>"A"</f>
        <v/>
      </c>
      <c r="F183" s="15">
        <f>IF($B183="","",IF(COUNTIF(tblAnahtarA[Norm],$B183)&gt;1,"EVET","HAYIR"))</f>
        <v/>
      </c>
      <c r="G183" s="15">
        <f>IF($A183="","",ROW()-ROW($A$5))</f>
        <v/>
      </c>
      <c r="I183" s="7">
        <f>IF(VERI_B!A183="","",VERI_B!A183)</f>
        <v/>
      </c>
      <c r="J183" s="15">
        <f>UPPER(TRIM(SUBSTITUTE($I183," ","")))</f>
        <v/>
      </c>
      <c r="K183" s="15">
        <f>IF($J183="",0,LEN($J183))</f>
        <v/>
      </c>
      <c r="L183" s="15">
        <f>IF($J183="","",LEFT($J183,kdo_ikincilUzunluk))</f>
        <v/>
      </c>
      <c r="M183" s="15">
        <f>"B"</f>
        <v/>
      </c>
      <c r="N183" s="15">
        <f>IF($J183="","",IF(COUNTIF(tblAnahtarB[NormB],$J183)&gt;1,"EVET","HAYIR"))</f>
        <v/>
      </c>
      <c r="O183" s="15">
        <f>IF($I183="","",ROW()-ROW($I$5))</f>
        <v/>
      </c>
    </row>
    <row r="184">
      <c r="A184" s="7">
        <f>IF(VERI_A!A184="","",VERI_A!A184)</f>
        <v/>
      </c>
      <c r="B184" s="15">
        <f>UPPER(TRIM(SUBSTITUTE($A184," ","")))</f>
        <v/>
      </c>
      <c r="C184" s="15">
        <f>IF($B184="",0,LEN($B184))</f>
        <v/>
      </c>
      <c r="D184" s="15">
        <f>IF($B184="","",LEFT($B184,kdo_ikincilUzunluk))</f>
        <v/>
      </c>
      <c r="E184" s="15">
        <f>"A"</f>
        <v/>
      </c>
      <c r="F184" s="15">
        <f>IF($B184="","",IF(COUNTIF(tblAnahtarA[Norm],$B184)&gt;1,"EVET","HAYIR"))</f>
        <v/>
      </c>
      <c r="G184" s="15">
        <f>IF($A184="","",ROW()-ROW($A$5))</f>
        <v/>
      </c>
      <c r="I184" s="7">
        <f>IF(VERI_B!A184="","",VERI_B!A184)</f>
        <v/>
      </c>
      <c r="J184" s="15">
        <f>UPPER(TRIM(SUBSTITUTE($I184," ","")))</f>
        <v/>
      </c>
      <c r="K184" s="15">
        <f>IF($J184="",0,LEN($J184))</f>
        <v/>
      </c>
      <c r="L184" s="15">
        <f>IF($J184="","",LEFT($J184,kdo_ikincilUzunluk))</f>
        <v/>
      </c>
      <c r="M184" s="15">
        <f>"B"</f>
        <v/>
      </c>
      <c r="N184" s="15">
        <f>IF($J184="","",IF(COUNTIF(tblAnahtarB[NormB],$J184)&gt;1,"EVET","HAYIR"))</f>
        <v/>
      </c>
      <c r="O184" s="15">
        <f>IF($I184="","",ROW()-ROW($I$5))</f>
        <v/>
      </c>
    </row>
    <row r="185">
      <c r="A185" s="7">
        <f>IF(VERI_A!A185="","",VERI_A!A185)</f>
        <v/>
      </c>
      <c r="B185" s="15">
        <f>UPPER(TRIM(SUBSTITUTE($A185," ","")))</f>
        <v/>
      </c>
      <c r="C185" s="15">
        <f>IF($B185="",0,LEN($B185))</f>
        <v/>
      </c>
      <c r="D185" s="15">
        <f>IF($B185="","",LEFT($B185,kdo_ikincilUzunluk))</f>
        <v/>
      </c>
      <c r="E185" s="15">
        <f>"A"</f>
        <v/>
      </c>
      <c r="F185" s="15">
        <f>IF($B185="","",IF(COUNTIF(tblAnahtarA[Norm],$B185)&gt;1,"EVET","HAYIR"))</f>
        <v/>
      </c>
      <c r="G185" s="15">
        <f>IF($A185="","",ROW()-ROW($A$5))</f>
        <v/>
      </c>
      <c r="I185" s="7">
        <f>IF(VERI_B!A185="","",VERI_B!A185)</f>
        <v/>
      </c>
      <c r="J185" s="15">
        <f>UPPER(TRIM(SUBSTITUTE($I185," ","")))</f>
        <v/>
      </c>
      <c r="K185" s="15">
        <f>IF($J185="",0,LEN($J185))</f>
        <v/>
      </c>
      <c r="L185" s="15">
        <f>IF($J185="","",LEFT($J185,kdo_ikincilUzunluk))</f>
        <v/>
      </c>
      <c r="M185" s="15">
        <f>"B"</f>
        <v/>
      </c>
      <c r="N185" s="15">
        <f>IF($J185="","",IF(COUNTIF(tblAnahtarB[NormB],$J185)&gt;1,"EVET","HAYIR"))</f>
        <v/>
      </c>
      <c r="O185" s="15">
        <f>IF($I185="","",ROW()-ROW($I$5))</f>
        <v/>
      </c>
    </row>
    <row r="186">
      <c r="A186" s="7">
        <f>IF(VERI_A!A186="","",VERI_A!A186)</f>
        <v/>
      </c>
      <c r="B186" s="15">
        <f>UPPER(TRIM(SUBSTITUTE($A186," ","")))</f>
        <v/>
      </c>
      <c r="C186" s="15">
        <f>IF($B186="",0,LEN($B186))</f>
        <v/>
      </c>
      <c r="D186" s="15">
        <f>IF($B186="","",LEFT($B186,kdo_ikincilUzunluk))</f>
        <v/>
      </c>
      <c r="E186" s="15">
        <f>"A"</f>
        <v/>
      </c>
      <c r="F186" s="15">
        <f>IF($B186="","",IF(COUNTIF(tblAnahtarA[Norm],$B186)&gt;1,"EVET","HAYIR"))</f>
        <v/>
      </c>
      <c r="G186" s="15">
        <f>IF($A186="","",ROW()-ROW($A$5))</f>
        <v/>
      </c>
      <c r="I186" s="7">
        <f>IF(VERI_B!A186="","",VERI_B!A186)</f>
        <v/>
      </c>
      <c r="J186" s="15">
        <f>UPPER(TRIM(SUBSTITUTE($I186," ","")))</f>
        <v/>
      </c>
      <c r="K186" s="15">
        <f>IF($J186="",0,LEN($J186))</f>
        <v/>
      </c>
      <c r="L186" s="15">
        <f>IF($J186="","",LEFT($J186,kdo_ikincilUzunluk))</f>
        <v/>
      </c>
      <c r="M186" s="15">
        <f>"B"</f>
        <v/>
      </c>
      <c r="N186" s="15">
        <f>IF($J186="","",IF(COUNTIF(tblAnahtarB[NormB],$J186)&gt;1,"EVET","HAYIR"))</f>
        <v/>
      </c>
      <c r="O186" s="15">
        <f>IF($I186="","",ROW()-ROW($I$5))</f>
        <v/>
      </c>
    </row>
    <row r="187">
      <c r="A187" s="7">
        <f>IF(VERI_A!A187="","",VERI_A!A187)</f>
        <v/>
      </c>
      <c r="B187" s="15">
        <f>UPPER(TRIM(SUBSTITUTE($A187," ","")))</f>
        <v/>
      </c>
      <c r="C187" s="15">
        <f>IF($B187="",0,LEN($B187))</f>
        <v/>
      </c>
      <c r="D187" s="15">
        <f>IF($B187="","",LEFT($B187,kdo_ikincilUzunluk))</f>
        <v/>
      </c>
      <c r="E187" s="15">
        <f>"A"</f>
        <v/>
      </c>
      <c r="F187" s="15">
        <f>IF($B187="","",IF(COUNTIF(tblAnahtarA[Norm],$B187)&gt;1,"EVET","HAYIR"))</f>
        <v/>
      </c>
      <c r="G187" s="15">
        <f>IF($A187="","",ROW()-ROW($A$5))</f>
        <v/>
      </c>
      <c r="I187" s="7">
        <f>IF(VERI_B!A187="","",VERI_B!A187)</f>
        <v/>
      </c>
      <c r="J187" s="15">
        <f>UPPER(TRIM(SUBSTITUTE($I187," ","")))</f>
        <v/>
      </c>
      <c r="K187" s="15">
        <f>IF($J187="",0,LEN($J187))</f>
        <v/>
      </c>
      <c r="L187" s="15">
        <f>IF($J187="","",LEFT($J187,kdo_ikincilUzunluk))</f>
        <v/>
      </c>
      <c r="M187" s="15">
        <f>"B"</f>
        <v/>
      </c>
      <c r="N187" s="15">
        <f>IF($J187="","",IF(COUNTIF(tblAnahtarB[NormB],$J187)&gt;1,"EVET","HAYIR"))</f>
        <v/>
      </c>
      <c r="O187" s="15">
        <f>IF($I187="","",ROW()-ROW($I$5))</f>
        <v/>
      </c>
    </row>
    <row r="188">
      <c r="A188" s="7">
        <f>IF(VERI_A!A188="","",VERI_A!A188)</f>
        <v/>
      </c>
      <c r="B188" s="15">
        <f>UPPER(TRIM(SUBSTITUTE($A188," ","")))</f>
        <v/>
      </c>
      <c r="C188" s="15">
        <f>IF($B188="",0,LEN($B188))</f>
        <v/>
      </c>
      <c r="D188" s="15">
        <f>IF($B188="","",LEFT($B188,kdo_ikincilUzunluk))</f>
        <v/>
      </c>
      <c r="E188" s="15">
        <f>"A"</f>
        <v/>
      </c>
      <c r="F188" s="15">
        <f>IF($B188="","",IF(COUNTIF(tblAnahtarA[Norm],$B188)&gt;1,"EVET","HAYIR"))</f>
        <v/>
      </c>
      <c r="G188" s="15">
        <f>IF($A188="","",ROW()-ROW($A$5))</f>
        <v/>
      </c>
      <c r="I188" s="7">
        <f>IF(VERI_B!A188="","",VERI_B!A188)</f>
        <v/>
      </c>
      <c r="J188" s="15">
        <f>UPPER(TRIM(SUBSTITUTE($I188," ","")))</f>
        <v/>
      </c>
      <c r="K188" s="15">
        <f>IF($J188="",0,LEN($J188))</f>
        <v/>
      </c>
      <c r="L188" s="15">
        <f>IF($J188="","",LEFT($J188,kdo_ikincilUzunluk))</f>
        <v/>
      </c>
      <c r="M188" s="15">
        <f>"B"</f>
        <v/>
      </c>
      <c r="N188" s="15">
        <f>IF($J188="","",IF(COUNTIF(tblAnahtarB[NormB],$J188)&gt;1,"EVET","HAYIR"))</f>
        <v/>
      </c>
      <c r="O188" s="15">
        <f>IF($I188="","",ROW()-ROW($I$5))</f>
        <v/>
      </c>
    </row>
    <row r="189">
      <c r="A189" s="7">
        <f>IF(VERI_A!A189="","",VERI_A!A189)</f>
        <v/>
      </c>
      <c r="B189" s="15">
        <f>UPPER(TRIM(SUBSTITUTE($A189," ","")))</f>
        <v/>
      </c>
      <c r="C189" s="15">
        <f>IF($B189="",0,LEN($B189))</f>
        <v/>
      </c>
      <c r="D189" s="15">
        <f>IF($B189="","",LEFT($B189,kdo_ikincilUzunluk))</f>
        <v/>
      </c>
      <c r="E189" s="15">
        <f>"A"</f>
        <v/>
      </c>
      <c r="F189" s="15">
        <f>IF($B189="","",IF(COUNTIF(tblAnahtarA[Norm],$B189)&gt;1,"EVET","HAYIR"))</f>
        <v/>
      </c>
      <c r="G189" s="15">
        <f>IF($A189="","",ROW()-ROW($A$5))</f>
        <v/>
      </c>
      <c r="I189" s="7">
        <f>IF(VERI_B!A189="","",VERI_B!A189)</f>
        <v/>
      </c>
      <c r="J189" s="15">
        <f>UPPER(TRIM(SUBSTITUTE($I189," ","")))</f>
        <v/>
      </c>
      <c r="K189" s="15">
        <f>IF($J189="",0,LEN($J189))</f>
        <v/>
      </c>
      <c r="L189" s="15">
        <f>IF($J189="","",LEFT($J189,kdo_ikincilUzunluk))</f>
        <v/>
      </c>
      <c r="M189" s="15">
        <f>"B"</f>
        <v/>
      </c>
      <c r="N189" s="15">
        <f>IF($J189="","",IF(COUNTIF(tblAnahtarB[NormB],$J189)&gt;1,"EVET","HAYIR"))</f>
        <v/>
      </c>
      <c r="O189" s="15">
        <f>IF($I189="","",ROW()-ROW($I$5))</f>
        <v/>
      </c>
    </row>
    <row r="190">
      <c r="A190" s="7">
        <f>IF(VERI_A!A190="","",VERI_A!A190)</f>
        <v/>
      </c>
      <c r="B190" s="15">
        <f>UPPER(TRIM(SUBSTITUTE($A190," ","")))</f>
        <v/>
      </c>
      <c r="C190" s="15">
        <f>IF($B190="",0,LEN($B190))</f>
        <v/>
      </c>
      <c r="D190" s="15">
        <f>IF($B190="","",LEFT($B190,kdo_ikincilUzunluk))</f>
        <v/>
      </c>
      <c r="E190" s="15">
        <f>"A"</f>
        <v/>
      </c>
      <c r="F190" s="15">
        <f>IF($B190="","",IF(COUNTIF(tblAnahtarA[Norm],$B190)&gt;1,"EVET","HAYIR"))</f>
        <v/>
      </c>
      <c r="G190" s="15">
        <f>IF($A190="","",ROW()-ROW($A$5))</f>
        <v/>
      </c>
      <c r="I190" s="7">
        <f>IF(VERI_B!A190="","",VERI_B!A190)</f>
        <v/>
      </c>
      <c r="J190" s="15">
        <f>UPPER(TRIM(SUBSTITUTE($I190," ","")))</f>
        <v/>
      </c>
      <c r="K190" s="15">
        <f>IF($J190="",0,LEN($J190))</f>
        <v/>
      </c>
      <c r="L190" s="15">
        <f>IF($J190="","",LEFT($J190,kdo_ikincilUzunluk))</f>
        <v/>
      </c>
      <c r="M190" s="15">
        <f>"B"</f>
        <v/>
      </c>
      <c r="N190" s="15">
        <f>IF($J190="","",IF(COUNTIF(tblAnahtarB[NormB],$J190)&gt;1,"EVET","HAYIR"))</f>
        <v/>
      </c>
      <c r="O190" s="15">
        <f>IF($I190="","",ROW()-ROW($I$5))</f>
        <v/>
      </c>
    </row>
    <row r="191">
      <c r="A191" s="7">
        <f>IF(VERI_A!A191="","",VERI_A!A191)</f>
        <v/>
      </c>
      <c r="B191" s="15">
        <f>UPPER(TRIM(SUBSTITUTE($A191," ","")))</f>
        <v/>
      </c>
      <c r="C191" s="15">
        <f>IF($B191="",0,LEN($B191))</f>
        <v/>
      </c>
      <c r="D191" s="15">
        <f>IF($B191="","",LEFT($B191,kdo_ikincilUzunluk))</f>
        <v/>
      </c>
      <c r="E191" s="15">
        <f>"A"</f>
        <v/>
      </c>
      <c r="F191" s="15">
        <f>IF($B191="","",IF(COUNTIF(tblAnahtarA[Norm],$B191)&gt;1,"EVET","HAYIR"))</f>
        <v/>
      </c>
      <c r="G191" s="15">
        <f>IF($A191="","",ROW()-ROW($A$5))</f>
        <v/>
      </c>
      <c r="I191" s="7">
        <f>IF(VERI_B!A191="","",VERI_B!A191)</f>
        <v/>
      </c>
      <c r="J191" s="15">
        <f>UPPER(TRIM(SUBSTITUTE($I191," ","")))</f>
        <v/>
      </c>
      <c r="K191" s="15">
        <f>IF($J191="",0,LEN($J191))</f>
        <v/>
      </c>
      <c r="L191" s="15">
        <f>IF($J191="","",LEFT($J191,kdo_ikincilUzunluk))</f>
        <v/>
      </c>
      <c r="M191" s="15">
        <f>"B"</f>
        <v/>
      </c>
      <c r="N191" s="15">
        <f>IF($J191="","",IF(COUNTIF(tblAnahtarB[NormB],$J191)&gt;1,"EVET","HAYIR"))</f>
        <v/>
      </c>
      <c r="O191" s="15">
        <f>IF($I191="","",ROW()-ROW($I$5))</f>
        <v/>
      </c>
    </row>
    <row r="192">
      <c r="A192" s="7">
        <f>IF(VERI_A!A192="","",VERI_A!A192)</f>
        <v/>
      </c>
      <c r="B192" s="15">
        <f>UPPER(TRIM(SUBSTITUTE($A192," ","")))</f>
        <v/>
      </c>
      <c r="C192" s="15">
        <f>IF($B192="",0,LEN($B192))</f>
        <v/>
      </c>
      <c r="D192" s="15">
        <f>IF($B192="","",LEFT($B192,kdo_ikincilUzunluk))</f>
        <v/>
      </c>
      <c r="E192" s="15">
        <f>"A"</f>
        <v/>
      </c>
      <c r="F192" s="15">
        <f>IF($B192="","",IF(COUNTIF(tblAnahtarA[Norm],$B192)&gt;1,"EVET","HAYIR"))</f>
        <v/>
      </c>
      <c r="G192" s="15">
        <f>IF($A192="","",ROW()-ROW($A$5))</f>
        <v/>
      </c>
      <c r="I192" s="7">
        <f>IF(VERI_B!A192="","",VERI_B!A192)</f>
        <v/>
      </c>
      <c r="J192" s="15">
        <f>UPPER(TRIM(SUBSTITUTE($I192," ","")))</f>
        <v/>
      </c>
      <c r="K192" s="15">
        <f>IF($J192="",0,LEN($J192))</f>
        <v/>
      </c>
      <c r="L192" s="15">
        <f>IF($J192="","",LEFT($J192,kdo_ikincilUzunluk))</f>
        <v/>
      </c>
      <c r="M192" s="15">
        <f>"B"</f>
        <v/>
      </c>
      <c r="N192" s="15">
        <f>IF($J192="","",IF(COUNTIF(tblAnahtarB[NormB],$J192)&gt;1,"EVET","HAYIR"))</f>
        <v/>
      </c>
      <c r="O192" s="15">
        <f>IF($I192="","",ROW()-ROW($I$5))</f>
        <v/>
      </c>
    </row>
    <row r="193">
      <c r="A193" s="7">
        <f>IF(VERI_A!A193="","",VERI_A!A193)</f>
        <v/>
      </c>
      <c r="B193" s="15">
        <f>UPPER(TRIM(SUBSTITUTE($A193," ","")))</f>
        <v/>
      </c>
      <c r="C193" s="15">
        <f>IF($B193="",0,LEN($B193))</f>
        <v/>
      </c>
      <c r="D193" s="15">
        <f>IF($B193="","",LEFT($B193,kdo_ikincilUzunluk))</f>
        <v/>
      </c>
      <c r="E193" s="15">
        <f>"A"</f>
        <v/>
      </c>
      <c r="F193" s="15">
        <f>IF($B193="","",IF(COUNTIF(tblAnahtarA[Norm],$B193)&gt;1,"EVET","HAYIR"))</f>
        <v/>
      </c>
      <c r="G193" s="15">
        <f>IF($A193="","",ROW()-ROW($A$5))</f>
        <v/>
      </c>
      <c r="I193" s="7">
        <f>IF(VERI_B!A193="","",VERI_B!A193)</f>
        <v/>
      </c>
      <c r="J193" s="15">
        <f>UPPER(TRIM(SUBSTITUTE($I193," ","")))</f>
        <v/>
      </c>
      <c r="K193" s="15">
        <f>IF($J193="",0,LEN($J193))</f>
        <v/>
      </c>
      <c r="L193" s="15">
        <f>IF($J193="","",LEFT($J193,kdo_ikincilUzunluk))</f>
        <v/>
      </c>
      <c r="M193" s="15">
        <f>"B"</f>
        <v/>
      </c>
      <c r="N193" s="15">
        <f>IF($J193="","",IF(COUNTIF(tblAnahtarB[NormB],$J193)&gt;1,"EVET","HAYIR"))</f>
        <v/>
      </c>
      <c r="O193" s="15">
        <f>IF($I193="","",ROW()-ROW($I$5))</f>
        <v/>
      </c>
    </row>
    <row r="194">
      <c r="A194" s="7">
        <f>IF(VERI_A!A194="","",VERI_A!A194)</f>
        <v/>
      </c>
      <c r="B194" s="15">
        <f>UPPER(TRIM(SUBSTITUTE($A194," ","")))</f>
        <v/>
      </c>
      <c r="C194" s="15">
        <f>IF($B194="",0,LEN($B194))</f>
        <v/>
      </c>
      <c r="D194" s="15">
        <f>IF($B194="","",LEFT($B194,kdo_ikincilUzunluk))</f>
        <v/>
      </c>
      <c r="E194" s="15">
        <f>"A"</f>
        <v/>
      </c>
      <c r="F194" s="15">
        <f>IF($B194="","",IF(COUNTIF(tblAnahtarA[Norm],$B194)&gt;1,"EVET","HAYIR"))</f>
        <v/>
      </c>
      <c r="G194" s="15">
        <f>IF($A194="","",ROW()-ROW($A$5))</f>
        <v/>
      </c>
      <c r="I194" s="7">
        <f>IF(VERI_B!A194="","",VERI_B!A194)</f>
        <v/>
      </c>
      <c r="J194" s="15">
        <f>UPPER(TRIM(SUBSTITUTE($I194," ","")))</f>
        <v/>
      </c>
      <c r="K194" s="15">
        <f>IF($J194="",0,LEN($J194))</f>
        <v/>
      </c>
      <c r="L194" s="15">
        <f>IF($J194="","",LEFT($J194,kdo_ikincilUzunluk))</f>
        <v/>
      </c>
      <c r="M194" s="15">
        <f>"B"</f>
        <v/>
      </c>
      <c r="N194" s="15">
        <f>IF($J194="","",IF(COUNTIF(tblAnahtarB[NormB],$J194)&gt;1,"EVET","HAYIR"))</f>
        <v/>
      </c>
      <c r="O194" s="15">
        <f>IF($I194="","",ROW()-ROW($I$5))</f>
        <v/>
      </c>
    </row>
    <row r="195">
      <c r="A195" s="7">
        <f>IF(VERI_A!A195="","",VERI_A!A195)</f>
        <v/>
      </c>
      <c r="B195" s="15">
        <f>UPPER(TRIM(SUBSTITUTE($A195," ","")))</f>
        <v/>
      </c>
      <c r="C195" s="15">
        <f>IF($B195="",0,LEN($B195))</f>
        <v/>
      </c>
      <c r="D195" s="15">
        <f>IF($B195="","",LEFT($B195,kdo_ikincilUzunluk))</f>
        <v/>
      </c>
      <c r="E195" s="15">
        <f>"A"</f>
        <v/>
      </c>
      <c r="F195" s="15">
        <f>IF($B195="","",IF(COUNTIF(tblAnahtarA[Norm],$B195)&gt;1,"EVET","HAYIR"))</f>
        <v/>
      </c>
      <c r="G195" s="15">
        <f>IF($A195="","",ROW()-ROW($A$5))</f>
        <v/>
      </c>
      <c r="I195" s="7">
        <f>IF(VERI_B!A195="","",VERI_B!A195)</f>
        <v/>
      </c>
      <c r="J195" s="15">
        <f>UPPER(TRIM(SUBSTITUTE($I195," ","")))</f>
        <v/>
      </c>
      <c r="K195" s="15">
        <f>IF($J195="",0,LEN($J195))</f>
        <v/>
      </c>
      <c r="L195" s="15">
        <f>IF($J195="","",LEFT($J195,kdo_ikincilUzunluk))</f>
        <v/>
      </c>
      <c r="M195" s="15">
        <f>"B"</f>
        <v/>
      </c>
      <c r="N195" s="15">
        <f>IF($J195="","",IF(COUNTIF(tblAnahtarB[NormB],$J195)&gt;1,"EVET","HAYIR"))</f>
        <v/>
      </c>
      <c r="O195" s="15">
        <f>IF($I195="","",ROW()-ROW($I$5))</f>
        <v/>
      </c>
    </row>
    <row r="196">
      <c r="A196" s="7">
        <f>IF(VERI_A!A196="","",VERI_A!A196)</f>
        <v/>
      </c>
      <c r="B196" s="15">
        <f>UPPER(TRIM(SUBSTITUTE($A196," ","")))</f>
        <v/>
      </c>
      <c r="C196" s="15">
        <f>IF($B196="",0,LEN($B196))</f>
        <v/>
      </c>
      <c r="D196" s="15">
        <f>IF($B196="","",LEFT($B196,kdo_ikincilUzunluk))</f>
        <v/>
      </c>
      <c r="E196" s="15">
        <f>"A"</f>
        <v/>
      </c>
      <c r="F196" s="15">
        <f>IF($B196="","",IF(COUNTIF(tblAnahtarA[Norm],$B196)&gt;1,"EVET","HAYIR"))</f>
        <v/>
      </c>
      <c r="G196" s="15">
        <f>IF($A196="","",ROW()-ROW($A$5))</f>
        <v/>
      </c>
      <c r="I196" s="7">
        <f>IF(VERI_B!A196="","",VERI_B!A196)</f>
        <v/>
      </c>
      <c r="J196" s="15">
        <f>UPPER(TRIM(SUBSTITUTE($I196," ","")))</f>
        <v/>
      </c>
      <c r="K196" s="15">
        <f>IF($J196="",0,LEN($J196))</f>
        <v/>
      </c>
      <c r="L196" s="15">
        <f>IF($J196="","",LEFT($J196,kdo_ikincilUzunluk))</f>
        <v/>
      </c>
      <c r="M196" s="15">
        <f>"B"</f>
        <v/>
      </c>
      <c r="N196" s="15">
        <f>IF($J196="","",IF(COUNTIF(tblAnahtarB[NormB],$J196)&gt;1,"EVET","HAYIR"))</f>
        <v/>
      </c>
      <c r="O196" s="15">
        <f>IF($I196="","",ROW()-ROW($I$5))</f>
        <v/>
      </c>
    </row>
    <row r="197">
      <c r="A197" s="7">
        <f>IF(VERI_A!A197="","",VERI_A!A197)</f>
        <v/>
      </c>
      <c r="B197" s="15">
        <f>UPPER(TRIM(SUBSTITUTE($A197," ","")))</f>
        <v/>
      </c>
      <c r="C197" s="15">
        <f>IF($B197="",0,LEN($B197))</f>
        <v/>
      </c>
      <c r="D197" s="15">
        <f>IF($B197="","",LEFT($B197,kdo_ikincilUzunluk))</f>
        <v/>
      </c>
      <c r="E197" s="15">
        <f>"A"</f>
        <v/>
      </c>
      <c r="F197" s="15">
        <f>IF($B197="","",IF(COUNTIF(tblAnahtarA[Norm],$B197)&gt;1,"EVET","HAYIR"))</f>
        <v/>
      </c>
      <c r="G197" s="15">
        <f>IF($A197="","",ROW()-ROW($A$5))</f>
        <v/>
      </c>
      <c r="I197" s="7">
        <f>IF(VERI_B!A197="","",VERI_B!A197)</f>
        <v/>
      </c>
      <c r="J197" s="15">
        <f>UPPER(TRIM(SUBSTITUTE($I197," ","")))</f>
        <v/>
      </c>
      <c r="K197" s="15">
        <f>IF($J197="",0,LEN($J197))</f>
        <v/>
      </c>
      <c r="L197" s="15">
        <f>IF($J197="","",LEFT($J197,kdo_ikincilUzunluk))</f>
        <v/>
      </c>
      <c r="M197" s="15">
        <f>"B"</f>
        <v/>
      </c>
      <c r="N197" s="15">
        <f>IF($J197="","",IF(COUNTIF(tblAnahtarB[NormB],$J197)&gt;1,"EVET","HAYIR"))</f>
        <v/>
      </c>
      <c r="O197" s="15">
        <f>IF($I197="","",ROW()-ROW($I$5))</f>
        <v/>
      </c>
    </row>
    <row r="198">
      <c r="A198" s="7">
        <f>IF(VERI_A!A198="","",VERI_A!A198)</f>
        <v/>
      </c>
      <c r="B198" s="15">
        <f>UPPER(TRIM(SUBSTITUTE($A198," ","")))</f>
        <v/>
      </c>
      <c r="C198" s="15">
        <f>IF($B198="",0,LEN($B198))</f>
        <v/>
      </c>
      <c r="D198" s="15">
        <f>IF($B198="","",LEFT($B198,kdo_ikincilUzunluk))</f>
        <v/>
      </c>
      <c r="E198" s="15">
        <f>"A"</f>
        <v/>
      </c>
      <c r="F198" s="15">
        <f>IF($B198="","",IF(COUNTIF(tblAnahtarA[Norm],$B198)&gt;1,"EVET","HAYIR"))</f>
        <v/>
      </c>
      <c r="G198" s="15">
        <f>IF($A198="","",ROW()-ROW($A$5))</f>
        <v/>
      </c>
      <c r="I198" s="7">
        <f>IF(VERI_B!A198="","",VERI_B!A198)</f>
        <v/>
      </c>
      <c r="J198" s="15">
        <f>UPPER(TRIM(SUBSTITUTE($I198," ","")))</f>
        <v/>
      </c>
      <c r="K198" s="15">
        <f>IF($J198="",0,LEN($J198))</f>
        <v/>
      </c>
      <c r="L198" s="15">
        <f>IF($J198="","",LEFT($J198,kdo_ikincilUzunluk))</f>
        <v/>
      </c>
      <c r="M198" s="15">
        <f>"B"</f>
        <v/>
      </c>
      <c r="N198" s="15">
        <f>IF($J198="","",IF(COUNTIF(tblAnahtarB[NormB],$J198)&gt;1,"EVET","HAYIR"))</f>
        <v/>
      </c>
      <c r="O198" s="15">
        <f>IF($I198="","",ROW()-ROW($I$5))</f>
        <v/>
      </c>
    </row>
    <row r="199">
      <c r="A199" s="7">
        <f>IF(VERI_A!A199="","",VERI_A!A199)</f>
        <v/>
      </c>
      <c r="B199" s="15">
        <f>UPPER(TRIM(SUBSTITUTE($A199," ","")))</f>
        <v/>
      </c>
      <c r="C199" s="15">
        <f>IF($B199="",0,LEN($B199))</f>
        <v/>
      </c>
      <c r="D199" s="15">
        <f>IF($B199="","",LEFT($B199,kdo_ikincilUzunluk))</f>
        <v/>
      </c>
      <c r="E199" s="15">
        <f>"A"</f>
        <v/>
      </c>
      <c r="F199" s="15">
        <f>IF($B199="","",IF(COUNTIF(tblAnahtarA[Norm],$B199)&gt;1,"EVET","HAYIR"))</f>
        <v/>
      </c>
      <c r="G199" s="15">
        <f>IF($A199="","",ROW()-ROW($A$5))</f>
        <v/>
      </c>
      <c r="I199" s="7">
        <f>IF(VERI_B!A199="","",VERI_B!A199)</f>
        <v/>
      </c>
      <c r="J199" s="15">
        <f>UPPER(TRIM(SUBSTITUTE($I199," ","")))</f>
        <v/>
      </c>
      <c r="K199" s="15">
        <f>IF($J199="",0,LEN($J199))</f>
        <v/>
      </c>
      <c r="L199" s="15">
        <f>IF($J199="","",LEFT($J199,kdo_ikincilUzunluk))</f>
        <v/>
      </c>
      <c r="M199" s="15">
        <f>"B"</f>
        <v/>
      </c>
      <c r="N199" s="15">
        <f>IF($J199="","",IF(COUNTIF(tblAnahtarB[NormB],$J199)&gt;1,"EVET","HAYIR"))</f>
        <v/>
      </c>
      <c r="O199" s="15">
        <f>IF($I199="","",ROW()-ROW($I$5))</f>
        <v/>
      </c>
    </row>
    <row r="200">
      <c r="A200" s="7">
        <f>IF(VERI_A!A200="","",VERI_A!A200)</f>
        <v/>
      </c>
      <c r="B200" s="15">
        <f>UPPER(TRIM(SUBSTITUTE($A200," ","")))</f>
        <v/>
      </c>
      <c r="C200" s="15">
        <f>IF($B200="",0,LEN($B200))</f>
        <v/>
      </c>
      <c r="D200" s="15">
        <f>IF($B200="","",LEFT($B200,kdo_ikincilUzunluk))</f>
        <v/>
      </c>
      <c r="E200" s="15">
        <f>"A"</f>
        <v/>
      </c>
      <c r="F200" s="15">
        <f>IF($B200="","",IF(COUNTIF(tblAnahtarA[Norm],$B200)&gt;1,"EVET","HAYIR"))</f>
        <v/>
      </c>
      <c r="G200" s="15">
        <f>IF($A200="","",ROW()-ROW($A$5))</f>
        <v/>
      </c>
      <c r="I200" s="7">
        <f>IF(VERI_B!A200="","",VERI_B!A200)</f>
        <v/>
      </c>
      <c r="J200" s="15">
        <f>UPPER(TRIM(SUBSTITUTE($I200," ","")))</f>
        <v/>
      </c>
      <c r="K200" s="15">
        <f>IF($J200="",0,LEN($J200))</f>
        <v/>
      </c>
      <c r="L200" s="15">
        <f>IF($J200="","",LEFT($J200,kdo_ikincilUzunluk))</f>
        <v/>
      </c>
      <c r="M200" s="15">
        <f>"B"</f>
        <v/>
      </c>
      <c r="N200" s="15">
        <f>IF($J200="","",IF(COUNTIF(tblAnahtarB[NormB],$J200)&gt;1,"EVET","HAYIR"))</f>
        <v/>
      </c>
      <c r="O200" s="15">
        <f>IF($I200="","",ROW()-ROW($I$5))</f>
        <v/>
      </c>
    </row>
    <row r="201">
      <c r="A201" s="7">
        <f>IF(VERI_A!A201="","",VERI_A!A201)</f>
        <v/>
      </c>
      <c r="B201" s="15">
        <f>UPPER(TRIM(SUBSTITUTE($A201," ","")))</f>
        <v/>
      </c>
      <c r="C201" s="15">
        <f>IF($B201="",0,LEN($B201))</f>
        <v/>
      </c>
      <c r="D201" s="15">
        <f>IF($B201="","",LEFT($B201,kdo_ikincilUzunluk))</f>
        <v/>
      </c>
      <c r="E201" s="15">
        <f>"A"</f>
        <v/>
      </c>
      <c r="F201" s="15">
        <f>IF($B201="","",IF(COUNTIF(tblAnahtarA[Norm],$B201)&gt;1,"EVET","HAYIR"))</f>
        <v/>
      </c>
      <c r="G201" s="15">
        <f>IF($A201="","",ROW()-ROW($A$5))</f>
        <v/>
      </c>
      <c r="I201" s="7">
        <f>IF(VERI_B!A201="","",VERI_B!A201)</f>
        <v/>
      </c>
      <c r="J201" s="15">
        <f>UPPER(TRIM(SUBSTITUTE($I201," ","")))</f>
        <v/>
      </c>
      <c r="K201" s="15">
        <f>IF($J201="",0,LEN($J201))</f>
        <v/>
      </c>
      <c r="L201" s="15">
        <f>IF($J201="","",LEFT($J201,kdo_ikincilUzunluk))</f>
        <v/>
      </c>
      <c r="M201" s="15">
        <f>"B"</f>
        <v/>
      </c>
      <c r="N201" s="15">
        <f>IF($J201="","",IF(COUNTIF(tblAnahtarB[NormB],$J201)&gt;1,"EVET","HAYIR"))</f>
        <v/>
      </c>
      <c r="O201" s="15">
        <f>IF($I201="","",ROW()-ROW($I$5))</f>
        <v/>
      </c>
    </row>
    <row r="202">
      <c r="A202" s="7">
        <f>IF(VERI_A!A202="","",VERI_A!A202)</f>
        <v/>
      </c>
      <c r="B202" s="15">
        <f>UPPER(TRIM(SUBSTITUTE($A202," ","")))</f>
        <v/>
      </c>
      <c r="C202" s="15">
        <f>IF($B202="",0,LEN($B202))</f>
        <v/>
      </c>
      <c r="D202" s="15">
        <f>IF($B202="","",LEFT($B202,kdo_ikincilUzunluk))</f>
        <v/>
      </c>
      <c r="E202" s="15">
        <f>"A"</f>
        <v/>
      </c>
      <c r="F202" s="15">
        <f>IF($B202="","",IF(COUNTIF(tblAnahtarA[Norm],$B202)&gt;1,"EVET","HAYIR"))</f>
        <v/>
      </c>
      <c r="G202" s="15">
        <f>IF($A202="","",ROW()-ROW($A$5))</f>
        <v/>
      </c>
      <c r="I202" s="7">
        <f>IF(VERI_B!A202="","",VERI_B!A202)</f>
        <v/>
      </c>
      <c r="J202" s="15">
        <f>UPPER(TRIM(SUBSTITUTE($I202," ","")))</f>
        <v/>
      </c>
      <c r="K202" s="15">
        <f>IF($J202="",0,LEN($J202))</f>
        <v/>
      </c>
      <c r="L202" s="15">
        <f>IF($J202="","",LEFT($J202,kdo_ikincilUzunluk))</f>
        <v/>
      </c>
      <c r="M202" s="15">
        <f>"B"</f>
        <v/>
      </c>
      <c r="N202" s="15">
        <f>IF($J202="","",IF(COUNTIF(tblAnahtarB[NormB],$J202)&gt;1,"EVET","HAYIR"))</f>
        <v/>
      </c>
      <c r="O202" s="15">
        <f>IF($I202="","",ROW()-ROW($I$5))</f>
        <v/>
      </c>
    </row>
    <row r="203">
      <c r="A203" s="7">
        <f>IF(VERI_A!A203="","",VERI_A!A203)</f>
        <v/>
      </c>
      <c r="B203" s="15">
        <f>UPPER(TRIM(SUBSTITUTE($A203," ","")))</f>
        <v/>
      </c>
      <c r="C203" s="15">
        <f>IF($B203="",0,LEN($B203))</f>
        <v/>
      </c>
      <c r="D203" s="15">
        <f>IF($B203="","",LEFT($B203,kdo_ikincilUzunluk))</f>
        <v/>
      </c>
      <c r="E203" s="15">
        <f>"A"</f>
        <v/>
      </c>
      <c r="F203" s="15">
        <f>IF($B203="","",IF(COUNTIF(tblAnahtarA[Norm],$B203)&gt;1,"EVET","HAYIR"))</f>
        <v/>
      </c>
      <c r="G203" s="15">
        <f>IF($A203="","",ROW()-ROW($A$5))</f>
        <v/>
      </c>
      <c r="I203" s="7">
        <f>IF(VERI_B!A203="","",VERI_B!A203)</f>
        <v/>
      </c>
      <c r="J203" s="15">
        <f>UPPER(TRIM(SUBSTITUTE($I203," ","")))</f>
        <v/>
      </c>
      <c r="K203" s="15">
        <f>IF($J203="",0,LEN($J203))</f>
        <v/>
      </c>
      <c r="L203" s="15">
        <f>IF($J203="","",LEFT($J203,kdo_ikincilUzunluk))</f>
        <v/>
      </c>
      <c r="M203" s="15">
        <f>"B"</f>
        <v/>
      </c>
      <c r="N203" s="15">
        <f>IF($J203="","",IF(COUNTIF(tblAnahtarB[NormB],$J203)&gt;1,"EVET","HAYIR"))</f>
        <v/>
      </c>
      <c r="O203" s="15">
        <f>IF($I203="","",ROW()-ROW($I$5))</f>
        <v/>
      </c>
    </row>
    <row r="204">
      <c r="A204" s="7">
        <f>IF(VERI_A!A204="","",VERI_A!A204)</f>
        <v/>
      </c>
      <c r="B204" s="15">
        <f>UPPER(TRIM(SUBSTITUTE($A204," ","")))</f>
        <v/>
      </c>
      <c r="C204" s="15">
        <f>IF($B204="",0,LEN($B204))</f>
        <v/>
      </c>
      <c r="D204" s="15">
        <f>IF($B204="","",LEFT($B204,kdo_ikincilUzunluk))</f>
        <v/>
      </c>
      <c r="E204" s="15">
        <f>"A"</f>
        <v/>
      </c>
      <c r="F204" s="15">
        <f>IF($B204="","",IF(COUNTIF(tblAnahtarA[Norm],$B204)&gt;1,"EVET","HAYIR"))</f>
        <v/>
      </c>
      <c r="G204" s="15">
        <f>IF($A204="","",ROW()-ROW($A$5))</f>
        <v/>
      </c>
      <c r="I204" s="7">
        <f>IF(VERI_B!A204="","",VERI_B!A204)</f>
        <v/>
      </c>
      <c r="J204" s="15">
        <f>UPPER(TRIM(SUBSTITUTE($I204," ","")))</f>
        <v/>
      </c>
      <c r="K204" s="15">
        <f>IF($J204="",0,LEN($J204))</f>
        <v/>
      </c>
      <c r="L204" s="15">
        <f>IF($J204="","",LEFT($J204,kdo_ikincilUzunluk))</f>
        <v/>
      </c>
      <c r="M204" s="15">
        <f>"B"</f>
        <v/>
      </c>
      <c r="N204" s="15">
        <f>IF($J204="","",IF(COUNTIF(tblAnahtarB[NormB],$J204)&gt;1,"EVET","HAYIR"))</f>
        <v/>
      </c>
      <c r="O204" s="15">
        <f>IF($I204="","",ROW()-ROW($I$5))</f>
        <v/>
      </c>
    </row>
    <row r="205">
      <c r="A205" s="7">
        <f>IF(VERI_A!A205="","",VERI_A!A205)</f>
        <v/>
      </c>
      <c r="B205" s="15">
        <f>UPPER(TRIM(SUBSTITUTE($A205," ","")))</f>
        <v/>
      </c>
      <c r="C205" s="15">
        <f>IF($B205="",0,LEN($B205))</f>
        <v/>
      </c>
      <c r="D205" s="15">
        <f>IF($B205="","",LEFT($B205,kdo_ikincilUzunluk))</f>
        <v/>
      </c>
      <c r="E205" s="15">
        <f>"A"</f>
        <v/>
      </c>
      <c r="F205" s="15">
        <f>IF($B205="","",IF(COUNTIF(tblAnahtarA[Norm],$B205)&gt;1,"EVET","HAYIR"))</f>
        <v/>
      </c>
      <c r="G205" s="15">
        <f>IF($A205="","",ROW()-ROW($A$5))</f>
        <v/>
      </c>
      <c r="I205" s="7">
        <f>IF(VERI_B!A205="","",VERI_B!A205)</f>
        <v/>
      </c>
      <c r="J205" s="15">
        <f>UPPER(TRIM(SUBSTITUTE($I205," ","")))</f>
        <v/>
      </c>
      <c r="K205" s="15">
        <f>IF($J205="",0,LEN($J205))</f>
        <v/>
      </c>
      <c r="L205" s="15">
        <f>IF($J205="","",LEFT($J205,kdo_ikincilUzunluk))</f>
        <v/>
      </c>
      <c r="M205" s="15">
        <f>"B"</f>
        <v/>
      </c>
      <c r="N205" s="15">
        <f>IF($J205="","",IF(COUNTIF(tblAnahtarB[NormB],$J205)&gt;1,"EVET","HAYIR"))</f>
        <v/>
      </c>
      <c r="O205" s="15">
        <f>IF($I205="","",ROW()-ROW($I$5))</f>
        <v/>
      </c>
    </row>
    <row r="206">
      <c r="A206" s="7">
        <f>IF(VERI_A!A206="","",VERI_A!A206)</f>
        <v/>
      </c>
      <c r="B206" s="15">
        <f>UPPER(TRIM(SUBSTITUTE($A206," ","")))</f>
        <v/>
      </c>
      <c r="C206" s="15">
        <f>IF($B206="",0,LEN($B206))</f>
        <v/>
      </c>
      <c r="D206" s="15">
        <f>IF($B206="","",LEFT($B206,kdo_ikincilUzunluk))</f>
        <v/>
      </c>
      <c r="E206" s="15">
        <f>"A"</f>
        <v/>
      </c>
      <c r="F206" s="15">
        <f>IF($B206="","",IF(COUNTIF(tblAnahtarA[Norm],$B206)&gt;1,"EVET","HAYIR"))</f>
        <v/>
      </c>
      <c r="G206" s="15">
        <f>IF($A206="","",ROW()-ROW($A$5))</f>
        <v/>
      </c>
      <c r="I206" s="7">
        <f>IF(VERI_B!A206="","",VERI_B!A206)</f>
        <v/>
      </c>
      <c r="J206" s="15">
        <f>UPPER(TRIM(SUBSTITUTE($I206," ","")))</f>
        <v/>
      </c>
      <c r="K206" s="15">
        <f>IF($J206="",0,LEN($J206))</f>
        <v/>
      </c>
      <c r="L206" s="15">
        <f>IF($J206="","",LEFT($J206,kdo_ikincilUzunluk))</f>
        <v/>
      </c>
      <c r="M206" s="15">
        <f>"B"</f>
        <v/>
      </c>
      <c r="N206" s="15">
        <f>IF($J206="","",IF(COUNTIF(tblAnahtarB[NormB],$J206)&gt;1,"EVET","HAYIR"))</f>
        <v/>
      </c>
      <c r="O206" s="15">
        <f>IF($I206="","",ROW()-ROW($I$5))</f>
        <v/>
      </c>
    </row>
    <row r="207">
      <c r="A207" s="7">
        <f>IF(VERI_A!A207="","",VERI_A!A207)</f>
        <v/>
      </c>
      <c r="B207" s="15">
        <f>UPPER(TRIM(SUBSTITUTE($A207," ","")))</f>
        <v/>
      </c>
      <c r="C207" s="15">
        <f>IF($B207="",0,LEN($B207))</f>
        <v/>
      </c>
      <c r="D207" s="15">
        <f>IF($B207="","",LEFT($B207,kdo_ikincilUzunluk))</f>
        <v/>
      </c>
      <c r="E207" s="15">
        <f>"A"</f>
        <v/>
      </c>
      <c r="F207" s="15">
        <f>IF($B207="","",IF(COUNTIF(tblAnahtarA[Norm],$B207)&gt;1,"EVET","HAYIR"))</f>
        <v/>
      </c>
      <c r="G207" s="15">
        <f>IF($A207="","",ROW()-ROW($A$5))</f>
        <v/>
      </c>
      <c r="I207" s="7">
        <f>IF(VERI_B!A207="","",VERI_B!A207)</f>
        <v/>
      </c>
      <c r="J207" s="15">
        <f>UPPER(TRIM(SUBSTITUTE($I207," ","")))</f>
        <v/>
      </c>
      <c r="K207" s="15">
        <f>IF($J207="",0,LEN($J207))</f>
        <v/>
      </c>
      <c r="L207" s="15">
        <f>IF($J207="","",LEFT($J207,kdo_ikincilUzunluk))</f>
        <v/>
      </c>
      <c r="M207" s="15">
        <f>"B"</f>
        <v/>
      </c>
      <c r="N207" s="15">
        <f>IF($J207="","",IF(COUNTIF(tblAnahtarB[NormB],$J207)&gt;1,"EVET","HAYIR"))</f>
        <v/>
      </c>
      <c r="O207" s="15">
        <f>IF($I207="","",ROW()-ROW($I$5))</f>
        <v/>
      </c>
    </row>
    <row r="208">
      <c r="A208" s="7">
        <f>IF(VERI_A!A208="","",VERI_A!A208)</f>
        <v/>
      </c>
      <c r="B208" s="15">
        <f>UPPER(TRIM(SUBSTITUTE($A208," ","")))</f>
        <v/>
      </c>
      <c r="C208" s="15">
        <f>IF($B208="",0,LEN($B208))</f>
        <v/>
      </c>
      <c r="D208" s="15">
        <f>IF($B208="","",LEFT($B208,kdo_ikincilUzunluk))</f>
        <v/>
      </c>
      <c r="E208" s="15">
        <f>"A"</f>
        <v/>
      </c>
      <c r="F208" s="15">
        <f>IF($B208="","",IF(COUNTIF(tblAnahtarA[Norm],$B208)&gt;1,"EVET","HAYIR"))</f>
        <v/>
      </c>
      <c r="G208" s="15">
        <f>IF($A208="","",ROW()-ROW($A$5))</f>
        <v/>
      </c>
      <c r="I208" s="7">
        <f>IF(VERI_B!A208="","",VERI_B!A208)</f>
        <v/>
      </c>
      <c r="J208" s="15">
        <f>UPPER(TRIM(SUBSTITUTE($I208," ","")))</f>
        <v/>
      </c>
      <c r="K208" s="15">
        <f>IF($J208="",0,LEN($J208))</f>
        <v/>
      </c>
      <c r="L208" s="15">
        <f>IF($J208="","",LEFT($J208,kdo_ikincilUzunluk))</f>
        <v/>
      </c>
      <c r="M208" s="15">
        <f>"B"</f>
        <v/>
      </c>
      <c r="N208" s="15">
        <f>IF($J208="","",IF(COUNTIF(tblAnahtarB[NormB],$J208)&gt;1,"EVET","HAYIR"))</f>
        <v/>
      </c>
      <c r="O208" s="15">
        <f>IF($I208="","",ROW()-ROW($I$5))</f>
        <v/>
      </c>
    </row>
    <row r="209">
      <c r="A209" s="7">
        <f>IF(VERI_A!A209="","",VERI_A!A209)</f>
        <v/>
      </c>
      <c r="B209" s="15">
        <f>UPPER(TRIM(SUBSTITUTE($A209," ","")))</f>
        <v/>
      </c>
      <c r="C209" s="15">
        <f>IF($B209="",0,LEN($B209))</f>
        <v/>
      </c>
      <c r="D209" s="15">
        <f>IF($B209="","",LEFT($B209,kdo_ikincilUzunluk))</f>
        <v/>
      </c>
      <c r="E209" s="15">
        <f>"A"</f>
        <v/>
      </c>
      <c r="F209" s="15">
        <f>IF($B209="","",IF(COUNTIF(tblAnahtarA[Norm],$B209)&gt;1,"EVET","HAYIR"))</f>
        <v/>
      </c>
      <c r="G209" s="15">
        <f>IF($A209="","",ROW()-ROW($A$5))</f>
        <v/>
      </c>
      <c r="I209" s="7">
        <f>IF(VERI_B!A209="","",VERI_B!A209)</f>
        <v/>
      </c>
      <c r="J209" s="15">
        <f>UPPER(TRIM(SUBSTITUTE($I209," ","")))</f>
        <v/>
      </c>
      <c r="K209" s="15">
        <f>IF($J209="",0,LEN($J209))</f>
        <v/>
      </c>
      <c r="L209" s="15">
        <f>IF($J209="","",LEFT($J209,kdo_ikincilUzunluk))</f>
        <v/>
      </c>
      <c r="M209" s="15">
        <f>"B"</f>
        <v/>
      </c>
      <c r="N209" s="15">
        <f>IF($J209="","",IF(COUNTIF(tblAnahtarB[NormB],$J209)&gt;1,"EVET","HAYIR"))</f>
        <v/>
      </c>
      <c r="O209" s="15">
        <f>IF($I209="","",ROW()-ROW($I$5))</f>
        <v/>
      </c>
    </row>
    <row r="210">
      <c r="A210" s="7">
        <f>IF(VERI_A!A210="","",VERI_A!A210)</f>
        <v/>
      </c>
      <c r="B210" s="15">
        <f>UPPER(TRIM(SUBSTITUTE($A210," ","")))</f>
        <v/>
      </c>
      <c r="C210" s="15">
        <f>IF($B210="",0,LEN($B210))</f>
        <v/>
      </c>
      <c r="D210" s="15">
        <f>IF($B210="","",LEFT($B210,kdo_ikincilUzunluk))</f>
        <v/>
      </c>
      <c r="E210" s="15">
        <f>"A"</f>
        <v/>
      </c>
      <c r="F210" s="15">
        <f>IF($B210="","",IF(COUNTIF(tblAnahtarA[Norm],$B210)&gt;1,"EVET","HAYIR"))</f>
        <v/>
      </c>
      <c r="G210" s="15">
        <f>IF($A210="","",ROW()-ROW($A$5))</f>
        <v/>
      </c>
      <c r="I210" s="7">
        <f>IF(VERI_B!A210="","",VERI_B!A210)</f>
        <v/>
      </c>
      <c r="J210" s="15">
        <f>UPPER(TRIM(SUBSTITUTE($I210," ","")))</f>
        <v/>
      </c>
      <c r="K210" s="15">
        <f>IF($J210="",0,LEN($J210))</f>
        <v/>
      </c>
      <c r="L210" s="15">
        <f>IF($J210="","",LEFT($J210,kdo_ikincilUzunluk))</f>
        <v/>
      </c>
      <c r="M210" s="15">
        <f>"B"</f>
        <v/>
      </c>
      <c r="N210" s="15">
        <f>IF($J210="","",IF(COUNTIF(tblAnahtarB[NormB],$J210)&gt;1,"EVET","HAYIR"))</f>
        <v/>
      </c>
      <c r="O210" s="15">
        <f>IF($I210="","",ROW()-ROW($I$5))</f>
        <v/>
      </c>
    </row>
    <row r="211">
      <c r="A211" s="7">
        <f>IF(VERI_A!A211="","",VERI_A!A211)</f>
        <v/>
      </c>
      <c r="B211" s="15">
        <f>UPPER(TRIM(SUBSTITUTE($A211," ","")))</f>
        <v/>
      </c>
      <c r="C211" s="15">
        <f>IF($B211="",0,LEN($B211))</f>
        <v/>
      </c>
      <c r="D211" s="15">
        <f>IF($B211="","",LEFT($B211,kdo_ikincilUzunluk))</f>
        <v/>
      </c>
      <c r="E211" s="15">
        <f>"A"</f>
        <v/>
      </c>
      <c r="F211" s="15">
        <f>IF($B211="","",IF(COUNTIF(tblAnahtarA[Norm],$B211)&gt;1,"EVET","HAYIR"))</f>
        <v/>
      </c>
      <c r="G211" s="15">
        <f>IF($A211="","",ROW()-ROW($A$5))</f>
        <v/>
      </c>
      <c r="I211" s="7">
        <f>IF(VERI_B!A211="","",VERI_B!A211)</f>
        <v/>
      </c>
      <c r="J211" s="15">
        <f>UPPER(TRIM(SUBSTITUTE($I211," ","")))</f>
        <v/>
      </c>
      <c r="K211" s="15">
        <f>IF($J211="",0,LEN($J211))</f>
        <v/>
      </c>
      <c r="L211" s="15">
        <f>IF($J211="","",LEFT($J211,kdo_ikincilUzunluk))</f>
        <v/>
      </c>
      <c r="M211" s="15">
        <f>"B"</f>
        <v/>
      </c>
      <c r="N211" s="15">
        <f>IF($J211="","",IF(COUNTIF(tblAnahtarB[NormB],$J211)&gt;1,"EVET","HAYIR"))</f>
        <v/>
      </c>
      <c r="O211" s="15">
        <f>IF($I211="","",ROW()-ROW($I$5))</f>
        <v/>
      </c>
    </row>
    <row r="212">
      <c r="A212" s="7">
        <f>IF(VERI_A!A212="","",VERI_A!A212)</f>
        <v/>
      </c>
      <c r="B212" s="15">
        <f>UPPER(TRIM(SUBSTITUTE($A212," ","")))</f>
        <v/>
      </c>
      <c r="C212" s="15">
        <f>IF($B212="",0,LEN($B212))</f>
        <v/>
      </c>
      <c r="D212" s="15">
        <f>IF($B212="","",LEFT($B212,kdo_ikincilUzunluk))</f>
        <v/>
      </c>
      <c r="E212" s="15">
        <f>"A"</f>
        <v/>
      </c>
      <c r="F212" s="15">
        <f>IF($B212="","",IF(COUNTIF(tblAnahtarA[Norm],$B212)&gt;1,"EVET","HAYIR"))</f>
        <v/>
      </c>
      <c r="G212" s="15">
        <f>IF($A212="","",ROW()-ROW($A$5))</f>
        <v/>
      </c>
      <c r="I212" s="7">
        <f>IF(VERI_B!A212="","",VERI_B!A212)</f>
        <v/>
      </c>
      <c r="J212" s="15">
        <f>UPPER(TRIM(SUBSTITUTE($I212," ","")))</f>
        <v/>
      </c>
      <c r="K212" s="15">
        <f>IF($J212="",0,LEN($J212))</f>
        <v/>
      </c>
      <c r="L212" s="15">
        <f>IF($J212="","",LEFT($J212,kdo_ikincilUzunluk))</f>
        <v/>
      </c>
      <c r="M212" s="15">
        <f>"B"</f>
        <v/>
      </c>
      <c r="N212" s="15">
        <f>IF($J212="","",IF(COUNTIF(tblAnahtarB[NormB],$J212)&gt;1,"EVET","HAYIR"))</f>
        <v/>
      </c>
      <c r="O212" s="15">
        <f>IF($I212="","",ROW()-ROW($I$5))</f>
        <v/>
      </c>
    </row>
    <row r="213">
      <c r="A213" s="7">
        <f>IF(VERI_A!A213="","",VERI_A!A213)</f>
        <v/>
      </c>
      <c r="B213" s="15">
        <f>UPPER(TRIM(SUBSTITUTE($A213," ","")))</f>
        <v/>
      </c>
      <c r="C213" s="15">
        <f>IF($B213="",0,LEN($B213))</f>
        <v/>
      </c>
      <c r="D213" s="15">
        <f>IF($B213="","",LEFT($B213,kdo_ikincilUzunluk))</f>
        <v/>
      </c>
      <c r="E213" s="15">
        <f>"A"</f>
        <v/>
      </c>
      <c r="F213" s="15">
        <f>IF($B213="","",IF(COUNTIF(tblAnahtarA[Norm],$B213)&gt;1,"EVET","HAYIR"))</f>
        <v/>
      </c>
      <c r="G213" s="15">
        <f>IF($A213="","",ROW()-ROW($A$5))</f>
        <v/>
      </c>
      <c r="I213" s="7">
        <f>IF(VERI_B!A213="","",VERI_B!A213)</f>
        <v/>
      </c>
      <c r="J213" s="15">
        <f>UPPER(TRIM(SUBSTITUTE($I213," ","")))</f>
        <v/>
      </c>
      <c r="K213" s="15">
        <f>IF($J213="",0,LEN($J213))</f>
        <v/>
      </c>
      <c r="L213" s="15">
        <f>IF($J213="","",LEFT($J213,kdo_ikincilUzunluk))</f>
        <v/>
      </c>
      <c r="M213" s="15">
        <f>"B"</f>
        <v/>
      </c>
      <c r="N213" s="15">
        <f>IF($J213="","",IF(COUNTIF(tblAnahtarB[NormB],$J213)&gt;1,"EVET","HAYIR"))</f>
        <v/>
      </c>
      <c r="O213" s="15">
        <f>IF($I213="","",ROW()-ROW($I$5))</f>
        <v/>
      </c>
    </row>
    <row r="214">
      <c r="A214" s="7">
        <f>IF(VERI_A!A214="","",VERI_A!A214)</f>
        <v/>
      </c>
      <c r="B214" s="15">
        <f>UPPER(TRIM(SUBSTITUTE($A214," ","")))</f>
        <v/>
      </c>
      <c r="C214" s="15">
        <f>IF($B214="",0,LEN($B214))</f>
        <v/>
      </c>
      <c r="D214" s="15">
        <f>IF($B214="","",LEFT($B214,kdo_ikincilUzunluk))</f>
        <v/>
      </c>
      <c r="E214" s="15">
        <f>"A"</f>
        <v/>
      </c>
      <c r="F214" s="15">
        <f>IF($B214="","",IF(COUNTIF(tblAnahtarA[Norm],$B214)&gt;1,"EVET","HAYIR"))</f>
        <v/>
      </c>
      <c r="G214" s="15">
        <f>IF($A214="","",ROW()-ROW($A$5))</f>
        <v/>
      </c>
      <c r="I214" s="7">
        <f>IF(VERI_B!A214="","",VERI_B!A214)</f>
        <v/>
      </c>
      <c r="J214" s="15">
        <f>UPPER(TRIM(SUBSTITUTE($I214," ","")))</f>
        <v/>
      </c>
      <c r="K214" s="15">
        <f>IF($J214="",0,LEN($J214))</f>
        <v/>
      </c>
      <c r="L214" s="15">
        <f>IF($J214="","",LEFT($J214,kdo_ikincilUzunluk))</f>
        <v/>
      </c>
      <c r="M214" s="15">
        <f>"B"</f>
        <v/>
      </c>
      <c r="N214" s="15">
        <f>IF($J214="","",IF(COUNTIF(tblAnahtarB[NormB],$J214)&gt;1,"EVET","HAYIR"))</f>
        <v/>
      </c>
      <c r="O214" s="15">
        <f>IF($I214="","",ROW()-ROW($I$5))</f>
        <v/>
      </c>
    </row>
    <row r="215">
      <c r="A215" s="7">
        <f>IF(VERI_A!A215="","",VERI_A!A215)</f>
        <v/>
      </c>
      <c r="B215" s="15">
        <f>UPPER(TRIM(SUBSTITUTE($A215," ","")))</f>
        <v/>
      </c>
      <c r="C215" s="15">
        <f>IF($B215="",0,LEN($B215))</f>
        <v/>
      </c>
      <c r="D215" s="15">
        <f>IF($B215="","",LEFT($B215,kdo_ikincilUzunluk))</f>
        <v/>
      </c>
      <c r="E215" s="15">
        <f>"A"</f>
        <v/>
      </c>
      <c r="F215" s="15">
        <f>IF($B215="","",IF(COUNTIF(tblAnahtarA[Norm],$B215)&gt;1,"EVET","HAYIR"))</f>
        <v/>
      </c>
      <c r="G215" s="15">
        <f>IF($A215="","",ROW()-ROW($A$5))</f>
        <v/>
      </c>
      <c r="I215" s="7">
        <f>IF(VERI_B!A215="","",VERI_B!A215)</f>
        <v/>
      </c>
      <c r="J215" s="15">
        <f>UPPER(TRIM(SUBSTITUTE($I215," ","")))</f>
        <v/>
      </c>
      <c r="K215" s="15">
        <f>IF($J215="",0,LEN($J215))</f>
        <v/>
      </c>
      <c r="L215" s="15">
        <f>IF($J215="","",LEFT($J215,kdo_ikincilUzunluk))</f>
        <v/>
      </c>
      <c r="M215" s="15">
        <f>"B"</f>
        <v/>
      </c>
      <c r="N215" s="15">
        <f>IF($J215="","",IF(COUNTIF(tblAnahtarB[NormB],$J215)&gt;1,"EVET","HAYIR"))</f>
        <v/>
      </c>
      <c r="O215" s="15">
        <f>IF($I215="","",ROW()-ROW($I$5))</f>
        <v/>
      </c>
    </row>
    <row r="216">
      <c r="A216" s="7">
        <f>IF(VERI_A!A216="","",VERI_A!A216)</f>
        <v/>
      </c>
      <c r="B216" s="15">
        <f>UPPER(TRIM(SUBSTITUTE($A216," ","")))</f>
        <v/>
      </c>
      <c r="C216" s="15">
        <f>IF($B216="",0,LEN($B216))</f>
        <v/>
      </c>
      <c r="D216" s="15">
        <f>IF($B216="","",LEFT($B216,kdo_ikincilUzunluk))</f>
        <v/>
      </c>
      <c r="E216" s="15">
        <f>"A"</f>
        <v/>
      </c>
      <c r="F216" s="15">
        <f>IF($B216="","",IF(COUNTIF(tblAnahtarA[Norm],$B216)&gt;1,"EVET","HAYIR"))</f>
        <v/>
      </c>
      <c r="G216" s="15">
        <f>IF($A216="","",ROW()-ROW($A$5))</f>
        <v/>
      </c>
      <c r="I216" s="7">
        <f>IF(VERI_B!A216="","",VERI_B!A216)</f>
        <v/>
      </c>
      <c r="J216" s="15">
        <f>UPPER(TRIM(SUBSTITUTE($I216," ","")))</f>
        <v/>
      </c>
      <c r="K216" s="15">
        <f>IF($J216="",0,LEN($J216))</f>
        <v/>
      </c>
      <c r="L216" s="15">
        <f>IF($J216="","",LEFT($J216,kdo_ikincilUzunluk))</f>
        <v/>
      </c>
      <c r="M216" s="15">
        <f>"B"</f>
        <v/>
      </c>
      <c r="N216" s="15">
        <f>IF($J216="","",IF(COUNTIF(tblAnahtarB[NormB],$J216)&gt;1,"EVET","HAYIR"))</f>
        <v/>
      </c>
      <c r="O216" s="15">
        <f>IF($I216="","",ROW()-ROW($I$5))</f>
        <v/>
      </c>
    </row>
    <row r="217">
      <c r="A217" s="7">
        <f>IF(VERI_A!A217="","",VERI_A!A217)</f>
        <v/>
      </c>
      <c r="B217" s="15">
        <f>UPPER(TRIM(SUBSTITUTE($A217," ","")))</f>
        <v/>
      </c>
      <c r="C217" s="15">
        <f>IF($B217="",0,LEN($B217))</f>
        <v/>
      </c>
      <c r="D217" s="15">
        <f>IF($B217="","",LEFT($B217,kdo_ikincilUzunluk))</f>
        <v/>
      </c>
      <c r="E217" s="15">
        <f>"A"</f>
        <v/>
      </c>
      <c r="F217" s="15">
        <f>IF($B217="","",IF(COUNTIF(tblAnahtarA[Norm],$B217)&gt;1,"EVET","HAYIR"))</f>
        <v/>
      </c>
      <c r="G217" s="15">
        <f>IF($A217="","",ROW()-ROW($A$5))</f>
        <v/>
      </c>
      <c r="I217" s="7">
        <f>IF(VERI_B!A217="","",VERI_B!A217)</f>
        <v/>
      </c>
      <c r="J217" s="15">
        <f>UPPER(TRIM(SUBSTITUTE($I217," ","")))</f>
        <v/>
      </c>
      <c r="K217" s="15">
        <f>IF($J217="",0,LEN($J217))</f>
        <v/>
      </c>
      <c r="L217" s="15">
        <f>IF($J217="","",LEFT($J217,kdo_ikincilUzunluk))</f>
        <v/>
      </c>
      <c r="M217" s="15">
        <f>"B"</f>
        <v/>
      </c>
      <c r="N217" s="15">
        <f>IF($J217="","",IF(COUNTIF(tblAnahtarB[NormB],$J217)&gt;1,"EVET","HAYIR"))</f>
        <v/>
      </c>
      <c r="O217" s="15">
        <f>IF($I217="","",ROW()-ROW($I$5))</f>
        <v/>
      </c>
    </row>
    <row r="218">
      <c r="A218" s="7">
        <f>IF(VERI_A!A218="","",VERI_A!A218)</f>
        <v/>
      </c>
      <c r="B218" s="15">
        <f>UPPER(TRIM(SUBSTITUTE($A218," ","")))</f>
        <v/>
      </c>
      <c r="C218" s="15">
        <f>IF($B218="",0,LEN($B218))</f>
        <v/>
      </c>
      <c r="D218" s="15">
        <f>IF($B218="","",LEFT($B218,kdo_ikincilUzunluk))</f>
        <v/>
      </c>
      <c r="E218" s="15">
        <f>"A"</f>
        <v/>
      </c>
      <c r="F218" s="15">
        <f>IF($B218="","",IF(COUNTIF(tblAnahtarA[Norm],$B218)&gt;1,"EVET","HAYIR"))</f>
        <v/>
      </c>
      <c r="G218" s="15">
        <f>IF($A218="","",ROW()-ROW($A$5))</f>
        <v/>
      </c>
      <c r="I218" s="7">
        <f>IF(VERI_B!A218="","",VERI_B!A218)</f>
        <v/>
      </c>
      <c r="J218" s="15">
        <f>UPPER(TRIM(SUBSTITUTE($I218," ","")))</f>
        <v/>
      </c>
      <c r="K218" s="15">
        <f>IF($J218="",0,LEN($J218))</f>
        <v/>
      </c>
      <c r="L218" s="15">
        <f>IF($J218="","",LEFT($J218,kdo_ikincilUzunluk))</f>
        <v/>
      </c>
      <c r="M218" s="15">
        <f>"B"</f>
        <v/>
      </c>
      <c r="N218" s="15">
        <f>IF($J218="","",IF(COUNTIF(tblAnahtarB[NormB],$J218)&gt;1,"EVET","HAYIR"))</f>
        <v/>
      </c>
      <c r="O218" s="15">
        <f>IF($I218="","",ROW()-ROW($I$5))</f>
        <v/>
      </c>
    </row>
    <row r="219">
      <c r="A219" s="7">
        <f>IF(VERI_A!A219="","",VERI_A!A219)</f>
        <v/>
      </c>
      <c r="B219" s="15">
        <f>UPPER(TRIM(SUBSTITUTE($A219," ","")))</f>
        <v/>
      </c>
      <c r="C219" s="15">
        <f>IF($B219="",0,LEN($B219))</f>
        <v/>
      </c>
      <c r="D219" s="15">
        <f>IF($B219="","",LEFT($B219,kdo_ikincilUzunluk))</f>
        <v/>
      </c>
      <c r="E219" s="15">
        <f>"A"</f>
        <v/>
      </c>
      <c r="F219" s="15">
        <f>IF($B219="","",IF(COUNTIF(tblAnahtarA[Norm],$B219)&gt;1,"EVET","HAYIR"))</f>
        <v/>
      </c>
      <c r="G219" s="15">
        <f>IF($A219="","",ROW()-ROW($A$5))</f>
        <v/>
      </c>
      <c r="I219" s="7">
        <f>IF(VERI_B!A219="","",VERI_B!A219)</f>
        <v/>
      </c>
      <c r="J219" s="15">
        <f>UPPER(TRIM(SUBSTITUTE($I219," ","")))</f>
        <v/>
      </c>
      <c r="K219" s="15">
        <f>IF($J219="",0,LEN($J219))</f>
        <v/>
      </c>
      <c r="L219" s="15">
        <f>IF($J219="","",LEFT($J219,kdo_ikincilUzunluk))</f>
        <v/>
      </c>
      <c r="M219" s="15">
        <f>"B"</f>
        <v/>
      </c>
      <c r="N219" s="15">
        <f>IF($J219="","",IF(COUNTIF(tblAnahtarB[NormB],$J219)&gt;1,"EVET","HAYIR"))</f>
        <v/>
      </c>
      <c r="O219" s="15">
        <f>IF($I219="","",ROW()-ROW($I$5))</f>
        <v/>
      </c>
    </row>
    <row r="220">
      <c r="A220" s="7">
        <f>IF(VERI_A!A220="","",VERI_A!A220)</f>
        <v/>
      </c>
      <c r="B220" s="15">
        <f>UPPER(TRIM(SUBSTITUTE($A220," ","")))</f>
        <v/>
      </c>
      <c r="C220" s="15">
        <f>IF($B220="",0,LEN($B220))</f>
        <v/>
      </c>
      <c r="D220" s="15">
        <f>IF($B220="","",LEFT($B220,kdo_ikincilUzunluk))</f>
        <v/>
      </c>
      <c r="E220" s="15">
        <f>"A"</f>
        <v/>
      </c>
      <c r="F220" s="15">
        <f>IF($B220="","",IF(COUNTIF(tblAnahtarA[Norm],$B220)&gt;1,"EVET","HAYIR"))</f>
        <v/>
      </c>
      <c r="G220" s="15">
        <f>IF($A220="","",ROW()-ROW($A$5))</f>
        <v/>
      </c>
      <c r="I220" s="7">
        <f>IF(VERI_B!A220="","",VERI_B!A220)</f>
        <v/>
      </c>
      <c r="J220" s="15">
        <f>UPPER(TRIM(SUBSTITUTE($I220," ","")))</f>
        <v/>
      </c>
      <c r="K220" s="15">
        <f>IF($J220="",0,LEN($J220))</f>
        <v/>
      </c>
      <c r="L220" s="15">
        <f>IF($J220="","",LEFT($J220,kdo_ikincilUzunluk))</f>
        <v/>
      </c>
      <c r="M220" s="15">
        <f>"B"</f>
        <v/>
      </c>
      <c r="N220" s="15">
        <f>IF($J220="","",IF(COUNTIF(tblAnahtarB[NormB],$J220)&gt;1,"EVET","HAYIR"))</f>
        <v/>
      </c>
      <c r="O220" s="15">
        <f>IF($I220="","",ROW()-ROW($I$5))</f>
        <v/>
      </c>
    </row>
    <row r="221">
      <c r="A221" s="7">
        <f>IF(VERI_A!A221="","",VERI_A!A221)</f>
        <v/>
      </c>
      <c r="B221" s="15">
        <f>UPPER(TRIM(SUBSTITUTE($A221," ","")))</f>
        <v/>
      </c>
      <c r="C221" s="15">
        <f>IF($B221="",0,LEN($B221))</f>
        <v/>
      </c>
      <c r="D221" s="15">
        <f>IF($B221="","",LEFT($B221,kdo_ikincilUzunluk))</f>
        <v/>
      </c>
      <c r="E221" s="15">
        <f>"A"</f>
        <v/>
      </c>
      <c r="F221" s="15">
        <f>IF($B221="","",IF(COUNTIF(tblAnahtarA[Norm],$B221)&gt;1,"EVET","HAYIR"))</f>
        <v/>
      </c>
      <c r="G221" s="15">
        <f>IF($A221="","",ROW()-ROW($A$5))</f>
        <v/>
      </c>
      <c r="I221" s="7">
        <f>IF(VERI_B!A221="","",VERI_B!A221)</f>
        <v/>
      </c>
      <c r="J221" s="15">
        <f>UPPER(TRIM(SUBSTITUTE($I221," ","")))</f>
        <v/>
      </c>
      <c r="K221" s="15">
        <f>IF($J221="",0,LEN($J221))</f>
        <v/>
      </c>
      <c r="L221" s="15">
        <f>IF($J221="","",LEFT($J221,kdo_ikincilUzunluk))</f>
        <v/>
      </c>
      <c r="M221" s="15">
        <f>"B"</f>
        <v/>
      </c>
      <c r="N221" s="15">
        <f>IF($J221="","",IF(COUNTIF(tblAnahtarB[NormB],$J221)&gt;1,"EVET","HAYIR"))</f>
        <v/>
      </c>
      <c r="O221" s="15">
        <f>IF($I221="","",ROW()-ROW($I$5))</f>
        <v/>
      </c>
    </row>
    <row r="222">
      <c r="A222" s="7">
        <f>IF(VERI_A!A222="","",VERI_A!A222)</f>
        <v/>
      </c>
      <c r="B222" s="15">
        <f>UPPER(TRIM(SUBSTITUTE($A222," ","")))</f>
        <v/>
      </c>
      <c r="C222" s="15">
        <f>IF($B222="",0,LEN($B222))</f>
        <v/>
      </c>
      <c r="D222" s="15">
        <f>IF($B222="","",LEFT($B222,kdo_ikincilUzunluk))</f>
        <v/>
      </c>
      <c r="E222" s="15">
        <f>"A"</f>
        <v/>
      </c>
      <c r="F222" s="15">
        <f>IF($B222="","",IF(COUNTIF(tblAnahtarA[Norm],$B222)&gt;1,"EVET","HAYIR"))</f>
        <v/>
      </c>
      <c r="G222" s="15">
        <f>IF($A222="","",ROW()-ROW($A$5))</f>
        <v/>
      </c>
      <c r="I222" s="7">
        <f>IF(VERI_B!A222="","",VERI_B!A222)</f>
        <v/>
      </c>
      <c r="J222" s="15">
        <f>UPPER(TRIM(SUBSTITUTE($I222," ","")))</f>
        <v/>
      </c>
      <c r="K222" s="15">
        <f>IF($J222="",0,LEN($J222))</f>
        <v/>
      </c>
      <c r="L222" s="15">
        <f>IF($J222="","",LEFT($J222,kdo_ikincilUzunluk))</f>
        <v/>
      </c>
      <c r="M222" s="15">
        <f>"B"</f>
        <v/>
      </c>
      <c r="N222" s="15">
        <f>IF($J222="","",IF(COUNTIF(tblAnahtarB[NormB],$J222)&gt;1,"EVET","HAYIR"))</f>
        <v/>
      </c>
      <c r="O222" s="15">
        <f>IF($I222="","",ROW()-ROW($I$5))</f>
        <v/>
      </c>
    </row>
    <row r="223">
      <c r="A223" s="7">
        <f>IF(VERI_A!A223="","",VERI_A!A223)</f>
        <v/>
      </c>
      <c r="B223" s="15">
        <f>UPPER(TRIM(SUBSTITUTE($A223," ","")))</f>
        <v/>
      </c>
      <c r="C223" s="15">
        <f>IF($B223="",0,LEN($B223))</f>
        <v/>
      </c>
      <c r="D223" s="15">
        <f>IF($B223="","",LEFT($B223,kdo_ikincilUzunluk))</f>
        <v/>
      </c>
      <c r="E223" s="15">
        <f>"A"</f>
        <v/>
      </c>
      <c r="F223" s="15">
        <f>IF($B223="","",IF(COUNTIF(tblAnahtarA[Norm],$B223)&gt;1,"EVET","HAYIR"))</f>
        <v/>
      </c>
      <c r="G223" s="15">
        <f>IF($A223="","",ROW()-ROW($A$5))</f>
        <v/>
      </c>
      <c r="I223" s="7">
        <f>IF(VERI_B!A223="","",VERI_B!A223)</f>
        <v/>
      </c>
      <c r="J223" s="15">
        <f>UPPER(TRIM(SUBSTITUTE($I223," ","")))</f>
        <v/>
      </c>
      <c r="K223" s="15">
        <f>IF($J223="",0,LEN($J223))</f>
        <v/>
      </c>
      <c r="L223" s="15">
        <f>IF($J223="","",LEFT($J223,kdo_ikincilUzunluk))</f>
        <v/>
      </c>
      <c r="M223" s="15">
        <f>"B"</f>
        <v/>
      </c>
      <c r="N223" s="15">
        <f>IF($J223="","",IF(COUNTIF(tblAnahtarB[NormB],$J223)&gt;1,"EVET","HAYIR"))</f>
        <v/>
      </c>
      <c r="O223" s="15">
        <f>IF($I223="","",ROW()-ROW($I$5))</f>
        <v/>
      </c>
    </row>
    <row r="224">
      <c r="A224" s="7">
        <f>IF(VERI_A!A224="","",VERI_A!A224)</f>
        <v/>
      </c>
      <c r="B224" s="15">
        <f>UPPER(TRIM(SUBSTITUTE($A224," ","")))</f>
        <v/>
      </c>
      <c r="C224" s="15">
        <f>IF($B224="",0,LEN($B224))</f>
        <v/>
      </c>
      <c r="D224" s="15">
        <f>IF($B224="","",LEFT($B224,kdo_ikincilUzunluk))</f>
        <v/>
      </c>
      <c r="E224" s="15">
        <f>"A"</f>
        <v/>
      </c>
      <c r="F224" s="15">
        <f>IF($B224="","",IF(COUNTIF(tblAnahtarA[Norm],$B224)&gt;1,"EVET","HAYIR"))</f>
        <v/>
      </c>
      <c r="G224" s="15">
        <f>IF($A224="","",ROW()-ROW($A$5))</f>
        <v/>
      </c>
      <c r="I224" s="7">
        <f>IF(VERI_B!A224="","",VERI_B!A224)</f>
        <v/>
      </c>
      <c r="J224" s="15">
        <f>UPPER(TRIM(SUBSTITUTE($I224," ","")))</f>
        <v/>
      </c>
      <c r="K224" s="15">
        <f>IF($J224="",0,LEN($J224))</f>
        <v/>
      </c>
      <c r="L224" s="15">
        <f>IF($J224="","",LEFT($J224,kdo_ikincilUzunluk))</f>
        <v/>
      </c>
      <c r="M224" s="15">
        <f>"B"</f>
        <v/>
      </c>
      <c r="N224" s="15">
        <f>IF($J224="","",IF(COUNTIF(tblAnahtarB[NormB],$J224)&gt;1,"EVET","HAYIR"))</f>
        <v/>
      </c>
      <c r="O224" s="15">
        <f>IF($I224="","",ROW()-ROW($I$5))</f>
        <v/>
      </c>
    </row>
    <row r="225">
      <c r="A225" s="7">
        <f>IF(VERI_A!A225="","",VERI_A!A225)</f>
        <v/>
      </c>
      <c r="B225" s="15">
        <f>UPPER(TRIM(SUBSTITUTE($A225," ","")))</f>
        <v/>
      </c>
      <c r="C225" s="15">
        <f>IF($B225="",0,LEN($B225))</f>
        <v/>
      </c>
      <c r="D225" s="15">
        <f>IF($B225="","",LEFT($B225,kdo_ikincilUzunluk))</f>
        <v/>
      </c>
      <c r="E225" s="15">
        <f>"A"</f>
        <v/>
      </c>
      <c r="F225" s="15">
        <f>IF($B225="","",IF(COUNTIF(tblAnahtarA[Norm],$B225)&gt;1,"EVET","HAYIR"))</f>
        <v/>
      </c>
      <c r="G225" s="15">
        <f>IF($A225="","",ROW()-ROW($A$5))</f>
        <v/>
      </c>
      <c r="I225" s="7">
        <f>IF(VERI_B!A225="","",VERI_B!A225)</f>
        <v/>
      </c>
      <c r="J225" s="15">
        <f>UPPER(TRIM(SUBSTITUTE($I225," ","")))</f>
        <v/>
      </c>
      <c r="K225" s="15">
        <f>IF($J225="",0,LEN($J225))</f>
        <v/>
      </c>
      <c r="L225" s="15">
        <f>IF($J225="","",LEFT($J225,kdo_ikincilUzunluk))</f>
        <v/>
      </c>
      <c r="M225" s="15">
        <f>"B"</f>
        <v/>
      </c>
      <c r="N225" s="15">
        <f>IF($J225="","",IF(COUNTIF(tblAnahtarB[NormB],$J225)&gt;1,"EVET","HAYIR"))</f>
        <v/>
      </c>
      <c r="O225" s="15">
        <f>IF($I225="","",ROW()-ROW($I$5))</f>
        <v/>
      </c>
    </row>
    <row r="226">
      <c r="A226" s="7">
        <f>IF(VERI_A!A226="","",VERI_A!A226)</f>
        <v/>
      </c>
      <c r="B226" s="15">
        <f>UPPER(TRIM(SUBSTITUTE($A226," ","")))</f>
        <v/>
      </c>
      <c r="C226" s="15">
        <f>IF($B226="",0,LEN($B226))</f>
        <v/>
      </c>
      <c r="D226" s="15">
        <f>IF($B226="","",LEFT($B226,kdo_ikincilUzunluk))</f>
        <v/>
      </c>
      <c r="E226" s="15">
        <f>"A"</f>
        <v/>
      </c>
      <c r="F226" s="15">
        <f>IF($B226="","",IF(COUNTIF(tblAnahtarA[Norm],$B226)&gt;1,"EVET","HAYIR"))</f>
        <v/>
      </c>
      <c r="G226" s="15">
        <f>IF($A226="","",ROW()-ROW($A$5))</f>
        <v/>
      </c>
      <c r="I226" s="7">
        <f>IF(VERI_B!A226="","",VERI_B!A226)</f>
        <v/>
      </c>
      <c r="J226" s="15">
        <f>UPPER(TRIM(SUBSTITUTE($I226," ","")))</f>
        <v/>
      </c>
      <c r="K226" s="15">
        <f>IF($J226="",0,LEN($J226))</f>
        <v/>
      </c>
      <c r="L226" s="15">
        <f>IF($J226="","",LEFT($J226,kdo_ikincilUzunluk))</f>
        <v/>
      </c>
      <c r="M226" s="15">
        <f>"B"</f>
        <v/>
      </c>
      <c r="N226" s="15">
        <f>IF($J226="","",IF(COUNTIF(tblAnahtarB[NormB],$J226)&gt;1,"EVET","HAYIR"))</f>
        <v/>
      </c>
      <c r="O226" s="15">
        <f>IF($I226="","",ROW()-ROW($I$5))</f>
        <v/>
      </c>
    </row>
    <row r="227">
      <c r="A227" s="7">
        <f>IF(VERI_A!A227="","",VERI_A!A227)</f>
        <v/>
      </c>
      <c r="B227" s="15">
        <f>UPPER(TRIM(SUBSTITUTE($A227," ","")))</f>
        <v/>
      </c>
      <c r="C227" s="15">
        <f>IF($B227="",0,LEN($B227))</f>
        <v/>
      </c>
      <c r="D227" s="15">
        <f>IF($B227="","",LEFT($B227,kdo_ikincilUzunluk))</f>
        <v/>
      </c>
      <c r="E227" s="15">
        <f>"A"</f>
        <v/>
      </c>
      <c r="F227" s="15">
        <f>IF($B227="","",IF(COUNTIF(tblAnahtarA[Norm],$B227)&gt;1,"EVET","HAYIR"))</f>
        <v/>
      </c>
      <c r="G227" s="15">
        <f>IF($A227="","",ROW()-ROW($A$5))</f>
        <v/>
      </c>
      <c r="I227" s="7">
        <f>IF(VERI_B!A227="","",VERI_B!A227)</f>
        <v/>
      </c>
      <c r="J227" s="15">
        <f>UPPER(TRIM(SUBSTITUTE($I227," ","")))</f>
        <v/>
      </c>
      <c r="K227" s="15">
        <f>IF($J227="",0,LEN($J227))</f>
        <v/>
      </c>
      <c r="L227" s="15">
        <f>IF($J227="","",LEFT($J227,kdo_ikincilUzunluk))</f>
        <v/>
      </c>
      <c r="M227" s="15">
        <f>"B"</f>
        <v/>
      </c>
      <c r="N227" s="15">
        <f>IF($J227="","",IF(COUNTIF(tblAnahtarB[NormB],$J227)&gt;1,"EVET","HAYIR"))</f>
        <v/>
      </c>
      <c r="O227" s="15">
        <f>IF($I227="","",ROW()-ROW($I$5))</f>
        <v/>
      </c>
    </row>
    <row r="228">
      <c r="A228" s="7">
        <f>IF(VERI_A!A228="","",VERI_A!A228)</f>
        <v/>
      </c>
      <c r="B228" s="15">
        <f>UPPER(TRIM(SUBSTITUTE($A228," ","")))</f>
        <v/>
      </c>
      <c r="C228" s="15">
        <f>IF($B228="",0,LEN($B228))</f>
        <v/>
      </c>
      <c r="D228" s="15">
        <f>IF($B228="","",LEFT($B228,kdo_ikincilUzunluk))</f>
        <v/>
      </c>
      <c r="E228" s="15">
        <f>"A"</f>
        <v/>
      </c>
      <c r="F228" s="15">
        <f>IF($B228="","",IF(COUNTIF(tblAnahtarA[Norm],$B228)&gt;1,"EVET","HAYIR"))</f>
        <v/>
      </c>
      <c r="G228" s="15">
        <f>IF($A228="","",ROW()-ROW($A$5))</f>
        <v/>
      </c>
      <c r="I228" s="7">
        <f>IF(VERI_B!A228="","",VERI_B!A228)</f>
        <v/>
      </c>
      <c r="J228" s="15">
        <f>UPPER(TRIM(SUBSTITUTE($I228," ","")))</f>
        <v/>
      </c>
      <c r="K228" s="15">
        <f>IF($J228="",0,LEN($J228))</f>
        <v/>
      </c>
      <c r="L228" s="15">
        <f>IF($J228="","",LEFT($J228,kdo_ikincilUzunluk))</f>
        <v/>
      </c>
      <c r="M228" s="15">
        <f>"B"</f>
        <v/>
      </c>
      <c r="N228" s="15">
        <f>IF($J228="","",IF(COUNTIF(tblAnahtarB[NormB],$J228)&gt;1,"EVET","HAYIR"))</f>
        <v/>
      </c>
      <c r="O228" s="15">
        <f>IF($I228="","",ROW()-ROW($I$5))</f>
        <v/>
      </c>
    </row>
    <row r="229">
      <c r="A229" s="7">
        <f>IF(VERI_A!A229="","",VERI_A!A229)</f>
        <v/>
      </c>
      <c r="B229" s="15">
        <f>UPPER(TRIM(SUBSTITUTE($A229," ","")))</f>
        <v/>
      </c>
      <c r="C229" s="15">
        <f>IF($B229="",0,LEN($B229))</f>
        <v/>
      </c>
      <c r="D229" s="15">
        <f>IF($B229="","",LEFT($B229,kdo_ikincilUzunluk))</f>
        <v/>
      </c>
      <c r="E229" s="15">
        <f>"A"</f>
        <v/>
      </c>
      <c r="F229" s="15">
        <f>IF($B229="","",IF(COUNTIF(tblAnahtarA[Norm],$B229)&gt;1,"EVET","HAYIR"))</f>
        <v/>
      </c>
      <c r="G229" s="15">
        <f>IF($A229="","",ROW()-ROW($A$5))</f>
        <v/>
      </c>
      <c r="I229" s="7">
        <f>IF(VERI_B!A229="","",VERI_B!A229)</f>
        <v/>
      </c>
      <c r="J229" s="15">
        <f>UPPER(TRIM(SUBSTITUTE($I229," ","")))</f>
        <v/>
      </c>
      <c r="K229" s="15">
        <f>IF($J229="",0,LEN($J229))</f>
        <v/>
      </c>
      <c r="L229" s="15">
        <f>IF($J229="","",LEFT($J229,kdo_ikincilUzunluk))</f>
        <v/>
      </c>
      <c r="M229" s="15">
        <f>"B"</f>
        <v/>
      </c>
      <c r="N229" s="15">
        <f>IF($J229="","",IF(COUNTIF(tblAnahtarB[NormB],$J229)&gt;1,"EVET","HAYIR"))</f>
        <v/>
      </c>
      <c r="O229" s="15">
        <f>IF($I229="","",ROW()-ROW($I$5))</f>
        <v/>
      </c>
    </row>
    <row r="230">
      <c r="A230" s="7">
        <f>IF(VERI_A!A230="","",VERI_A!A230)</f>
        <v/>
      </c>
      <c r="B230" s="15">
        <f>UPPER(TRIM(SUBSTITUTE($A230," ","")))</f>
        <v/>
      </c>
      <c r="C230" s="15">
        <f>IF($B230="",0,LEN($B230))</f>
        <v/>
      </c>
      <c r="D230" s="15">
        <f>IF($B230="","",LEFT($B230,kdo_ikincilUzunluk))</f>
        <v/>
      </c>
      <c r="E230" s="15">
        <f>"A"</f>
        <v/>
      </c>
      <c r="F230" s="15">
        <f>IF($B230="","",IF(COUNTIF(tblAnahtarA[Norm],$B230)&gt;1,"EVET","HAYIR"))</f>
        <v/>
      </c>
      <c r="G230" s="15">
        <f>IF($A230="","",ROW()-ROW($A$5))</f>
        <v/>
      </c>
      <c r="I230" s="7">
        <f>IF(VERI_B!A230="","",VERI_B!A230)</f>
        <v/>
      </c>
      <c r="J230" s="15">
        <f>UPPER(TRIM(SUBSTITUTE($I230," ","")))</f>
        <v/>
      </c>
      <c r="K230" s="15">
        <f>IF($J230="",0,LEN($J230))</f>
        <v/>
      </c>
      <c r="L230" s="15">
        <f>IF($J230="","",LEFT($J230,kdo_ikincilUzunluk))</f>
        <v/>
      </c>
      <c r="M230" s="15">
        <f>"B"</f>
        <v/>
      </c>
      <c r="N230" s="15">
        <f>IF($J230="","",IF(COUNTIF(tblAnahtarB[NormB],$J230)&gt;1,"EVET","HAYIR"))</f>
        <v/>
      </c>
      <c r="O230" s="15">
        <f>IF($I230="","",ROW()-ROW($I$5))</f>
        <v/>
      </c>
    </row>
    <row r="231">
      <c r="A231" s="7">
        <f>IF(VERI_A!A231="","",VERI_A!A231)</f>
        <v/>
      </c>
      <c r="B231" s="15">
        <f>UPPER(TRIM(SUBSTITUTE($A231," ","")))</f>
        <v/>
      </c>
      <c r="C231" s="15">
        <f>IF($B231="",0,LEN($B231))</f>
        <v/>
      </c>
      <c r="D231" s="15">
        <f>IF($B231="","",LEFT($B231,kdo_ikincilUzunluk))</f>
        <v/>
      </c>
      <c r="E231" s="15">
        <f>"A"</f>
        <v/>
      </c>
      <c r="F231" s="15">
        <f>IF($B231="","",IF(COUNTIF(tblAnahtarA[Norm],$B231)&gt;1,"EVET","HAYIR"))</f>
        <v/>
      </c>
      <c r="G231" s="15">
        <f>IF($A231="","",ROW()-ROW($A$5))</f>
        <v/>
      </c>
      <c r="I231" s="7">
        <f>IF(VERI_B!A231="","",VERI_B!A231)</f>
        <v/>
      </c>
      <c r="J231" s="15">
        <f>UPPER(TRIM(SUBSTITUTE($I231," ","")))</f>
        <v/>
      </c>
      <c r="K231" s="15">
        <f>IF($J231="",0,LEN($J231))</f>
        <v/>
      </c>
      <c r="L231" s="15">
        <f>IF($J231="","",LEFT($J231,kdo_ikincilUzunluk))</f>
        <v/>
      </c>
      <c r="M231" s="15">
        <f>"B"</f>
        <v/>
      </c>
      <c r="N231" s="15">
        <f>IF($J231="","",IF(COUNTIF(tblAnahtarB[NormB],$J231)&gt;1,"EVET","HAYIR"))</f>
        <v/>
      </c>
      <c r="O231" s="15">
        <f>IF($I231="","",ROW()-ROW($I$5))</f>
        <v/>
      </c>
    </row>
    <row r="232">
      <c r="A232" s="7">
        <f>IF(VERI_A!A232="","",VERI_A!A232)</f>
        <v/>
      </c>
      <c r="B232" s="15">
        <f>UPPER(TRIM(SUBSTITUTE($A232," ","")))</f>
        <v/>
      </c>
      <c r="C232" s="15">
        <f>IF($B232="",0,LEN($B232))</f>
        <v/>
      </c>
      <c r="D232" s="15">
        <f>IF($B232="","",LEFT($B232,kdo_ikincilUzunluk))</f>
        <v/>
      </c>
      <c r="E232" s="15">
        <f>"A"</f>
        <v/>
      </c>
      <c r="F232" s="15">
        <f>IF($B232="","",IF(COUNTIF(tblAnahtarA[Norm],$B232)&gt;1,"EVET","HAYIR"))</f>
        <v/>
      </c>
      <c r="G232" s="15">
        <f>IF($A232="","",ROW()-ROW($A$5))</f>
        <v/>
      </c>
      <c r="I232" s="7">
        <f>IF(VERI_B!A232="","",VERI_B!A232)</f>
        <v/>
      </c>
      <c r="J232" s="15">
        <f>UPPER(TRIM(SUBSTITUTE($I232," ","")))</f>
        <v/>
      </c>
      <c r="K232" s="15">
        <f>IF($J232="",0,LEN($J232))</f>
        <v/>
      </c>
      <c r="L232" s="15">
        <f>IF($J232="","",LEFT($J232,kdo_ikincilUzunluk))</f>
        <v/>
      </c>
      <c r="M232" s="15">
        <f>"B"</f>
        <v/>
      </c>
      <c r="N232" s="15">
        <f>IF($J232="","",IF(COUNTIF(tblAnahtarB[NormB],$J232)&gt;1,"EVET","HAYIR"))</f>
        <v/>
      </c>
      <c r="O232" s="15">
        <f>IF($I232="","",ROW()-ROW($I$5))</f>
        <v/>
      </c>
    </row>
    <row r="233">
      <c r="A233" s="7">
        <f>IF(VERI_A!A233="","",VERI_A!A233)</f>
        <v/>
      </c>
      <c r="B233" s="15">
        <f>UPPER(TRIM(SUBSTITUTE($A233," ","")))</f>
        <v/>
      </c>
      <c r="C233" s="15">
        <f>IF($B233="",0,LEN($B233))</f>
        <v/>
      </c>
      <c r="D233" s="15">
        <f>IF($B233="","",LEFT($B233,kdo_ikincilUzunluk))</f>
        <v/>
      </c>
      <c r="E233" s="15">
        <f>"A"</f>
        <v/>
      </c>
      <c r="F233" s="15">
        <f>IF($B233="","",IF(COUNTIF(tblAnahtarA[Norm],$B233)&gt;1,"EVET","HAYIR"))</f>
        <v/>
      </c>
      <c r="G233" s="15">
        <f>IF($A233="","",ROW()-ROW($A$5))</f>
        <v/>
      </c>
      <c r="I233" s="7">
        <f>IF(VERI_B!A233="","",VERI_B!A233)</f>
        <v/>
      </c>
      <c r="J233" s="15">
        <f>UPPER(TRIM(SUBSTITUTE($I233," ","")))</f>
        <v/>
      </c>
      <c r="K233" s="15">
        <f>IF($J233="",0,LEN($J233))</f>
        <v/>
      </c>
      <c r="L233" s="15">
        <f>IF($J233="","",LEFT($J233,kdo_ikincilUzunluk))</f>
        <v/>
      </c>
      <c r="M233" s="15">
        <f>"B"</f>
        <v/>
      </c>
      <c r="N233" s="15">
        <f>IF($J233="","",IF(COUNTIF(tblAnahtarB[NormB],$J233)&gt;1,"EVET","HAYIR"))</f>
        <v/>
      </c>
      <c r="O233" s="15">
        <f>IF($I233="","",ROW()-ROW($I$5))</f>
        <v/>
      </c>
    </row>
    <row r="234">
      <c r="A234" s="7">
        <f>IF(VERI_A!A234="","",VERI_A!A234)</f>
        <v/>
      </c>
      <c r="B234" s="15">
        <f>UPPER(TRIM(SUBSTITUTE($A234," ","")))</f>
        <v/>
      </c>
      <c r="C234" s="15">
        <f>IF($B234="",0,LEN($B234))</f>
        <v/>
      </c>
      <c r="D234" s="15">
        <f>IF($B234="","",LEFT($B234,kdo_ikincilUzunluk))</f>
        <v/>
      </c>
      <c r="E234" s="15">
        <f>"A"</f>
        <v/>
      </c>
      <c r="F234" s="15">
        <f>IF($B234="","",IF(COUNTIF(tblAnahtarA[Norm],$B234)&gt;1,"EVET","HAYIR"))</f>
        <v/>
      </c>
      <c r="G234" s="15">
        <f>IF($A234="","",ROW()-ROW($A$5))</f>
        <v/>
      </c>
      <c r="I234" s="7">
        <f>IF(VERI_B!A234="","",VERI_B!A234)</f>
        <v/>
      </c>
      <c r="J234" s="15">
        <f>UPPER(TRIM(SUBSTITUTE($I234," ","")))</f>
        <v/>
      </c>
      <c r="K234" s="15">
        <f>IF($J234="",0,LEN($J234))</f>
        <v/>
      </c>
      <c r="L234" s="15">
        <f>IF($J234="","",LEFT($J234,kdo_ikincilUzunluk))</f>
        <v/>
      </c>
      <c r="M234" s="15">
        <f>"B"</f>
        <v/>
      </c>
      <c r="N234" s="15">
        <f>IF($J234="","",IF(COUNTIF(tblAnahtarB[NormB],$J234)&gt;1,"EVET","HAYIR"))</f>
        <v/>
      </c>
      <c r="O234" s="15">
        <f>IF($I234="","",ROW()-ROW($I$5))</f>
        <v/>
      </c>
    </row>
    <row r="235">
      <c r="A235" s="7">
        <f>IF(VERI_A!A235="","",VERI_A!A235)</f>
        <v/>
      </c>
      <c r="B235" s="15">
        <f>UPPER(TRIM(SUBSTITUTE($A235," ","")))</f>
        <v/>
      </c>
      <c r="C235" s="15">
        <f>IF($B235="",0,LEN($B235))</f>
        <v/>
      </c>
      <c r="D235" s="15">
        <f>IF($B235="","",LEFT($B235,kdo_ikincilUzunluk))</f>
        <v/>
      </c>
      <c r="E235" s="15">
        <f>"A"</f>
        <v/>
      </c>
      <c r="F235" s="15">
        <f>IF($B235="","",IF(COUNTIF(tblAnahtarA[Norm],$B235)&gt;1,"EVET","HAYIR"))</f>
        <v/>
      </c>
      <c r="G235" s="15">
        <f>IF($A235="","",ROW()-ROW($A$5))</f>
        <v/>
      </c>
      <c r="I235" s="7">
        <f>IF(VERI_B!A235="","",VERI_B!A235)</f>
        <v/>
      </c>
      <c r="J235" s="15">
        <f>UPPER(TRIM(SUBSTITUTE($I235," ","")))</f>
        <v/>
      </c>
      <c r="K235" s="15">
        <f>IF($J235="",0,LEN($J235))</f>
        <v/>
      </c>
      <c r="L235" s="15">
        <f>IF($J235="","",LEFT($J235,kdo_ikincilUzunluk))</f>
        <v/>
      </c>
      <c r="M235" s="15">
        <f>"B"</f>
        <v/>
      </c>
      <c r="N235" s="15">
        <f>IF($J235="","",IF(COUNTIF(tblAnahtarB[NormB],$J235)&gt;1,"EVET","HAYIR"))</f>
        <v/>
      </c>
      <c r="O235" s="15">
        <f>IF($I235="","",ROW()-ROW($I$5))</f>
        <v/>
      </c>
    </row>
    <row r="236">
      <c r="A236" s="7">
        <f>IF(VERI_A!A236="","",VERI_A!A236)</f>
        <v/>
      </c>
      <c r="B236" s="15">
        <f>UPPER(TRIM(SUBSTITUTE($A236," ","")))</f>
        <v/>
      </c>
      <c r="C236" s="15">
        <f>IF($B236="",0,LEN($B236))</f>
        <v/>
      </c>
      <c r="D236" s="15">
        <f>IF($B236="","",LEFT($B236,kdo_ikincilUzunluk))</f>
        <v/>
      </c>
      <c r="E236" s="15">
        <f>"A"</f>
        <v/>
      </c>
      <c r="F236" s="15">
        <f>IF($B236="","",IF(COUNTIF(tblAnahtarA[Norm],$B236)&gt;1,"EVET","HAYIR"))</f>
        <v/>
      </c>
      <c r="G236" s="15">
        <f>IF($A236="","",ROW()-ROW($A$5))</f>
        <v/>
      </c>
      <c r="I236" s="7">
        <f>IF(VERI_B!A236="","",VERI_B!A236)</f>
        <v/>
      </c>
      <c r="J236" s="15">
        <f>UPPER(TRIM(SUBSTITUTE($I236," ","")))</f>
        <v/>
      </c>
      <c r="K236" s="15">
        <f>IF($J236="",0,LEN($J236))</f>
        <v/>
      </c>
      <c r="L236" s="15">
        <f>IF($J236="","",LEFT($J236,kdo_ikincilUzunluk))</f>
        <v/>
      </c>
      <c r="M236" s="15">
        <f>"B"</f>
        <v/>
      </c>
      <c r="N236" s="15">
        <f>IF($J236="","",IF(COUNTIF(tblAnahtarB[NormB],$J236)&gt;1,"EVET","HAYIR"))</f>
        <v/>
      </c>
      <c r="O236" s="15">
        <f>IF($I236="","",ROW()-ROW($I$5))</f>
        <v/>
      </c>
    </row>
    <row r="237">
      <c r="A237" s="7">
        <f>IF(VERI_A!A237="","",VERI_A!A237)</f>
        <v/>
      </c>
      <c r="B237" s="15">
        <f>UPPER(TRIM(SUBSTITUTE($A237," ","")))</f>
        <v/>
      </c>
      <c r="C237" s="15">
        <f>IF($B237="",0,LEN($B237))</f>
        <v/>
      </c>
      <c r="D237" s="15">
        <f>IF($B237="","",LEFT($B237,kdo_ikincilUzunluk))</f>
        <v/>
      </c>
      <c r="E237" s="15">
        <f>"A"</f>
        <v/>
      </c>
      <c r="F237" s="15">
        <f>IF($B237="","",IF(COUNTIF(tblAnahtarA[Norm],$B237)&gt;1,"EVET","HAYIR"))</f>
        <v/>
      </c>
      <c r="G237" s="15">
        <f>IF($A237="","",ROW()-ROW($A$5))</f>
        <v/>
      </c>
      <c r="I237" s="7">
        <f>IF(VERI_B!A237="","",VERI_B!A237)</f>
        <v/>
      </c>
      <c r="J237" s="15">
        <f>UPPER(TRIM(SUBSTITUTE($I237," ","")))</f>
        <v/>
      </c>
      <c r="K237" s="15">
        <f>IF($J237="",0,LEN($J237))</f>
        <v/>
      </c>
      <c r="L237" s="15">
        <f>IF($J237="","",LEFT($J237,kdo_ikincilUzunluk))</f>
        <v/>
      </c>
      <c r="M237" s="15">
        <f>"B"</f>
        <v/>
      </c>
      <c r="N237" s="15">
        <f>IF($J237="","",IF(COUNTIF(tblAnahtarB[NormB],$J237)&gt;1,"EVET","HAYIR"))</f>
        <v/>
      </c>
      <c r="O237" s="15">
        <f>IF($I237="","",ROW()-ROW($I$5))</f>
        <v/>
      </c>
    </row>
    <row r="238">
      <c r="A238" s="7">
        <f>IF(VERI_A!A238="","",VERI_A!A238)</f>
        <v/>
      </c>
      <c r="B238" s="15">
        <f>UPPER(TRIM(SUBSTITUTE($A238," ","")))</f>
        <v/>
      </c>
      <c r="C238" s="15">
        <f>IF($B238="",0,LEN($B238))</f>
        <v/>
      </c>
      <c r="D238" s="15">
        <f>IF($B238="","",LEFT($B238,kdo_ikincilUzunluk))</f>
        <v/>
      </c>
      <c r="E238" s="15">
        <f>"A"</f>
        <v/>
      </c>
      <c r="F238" s="15">
        <f>IF($B238="","",IF(COUNTIF(tblAnahtarA[Norm],$B238)&gt;1,"EVET","HAYIR"))</f>
        <v/>
      </c>
      <c r="G238" s="15">
        <f>IF($A238="","",ROW()-ROW($A$5))</f>
        <v/>
      </c>
      <c r="I238" s="7">
        <f>IF(VERI_B!A238="","",VERI_B!A238)</f>
        <v/>
      </c>
      <c r="J238" s="15">
        <f>UPPER(TRIM(SUBSTITUTE($I238," ","")))</f>
        <v/>
      </c>
      <c r="K238" s="15">
        <f>IF($J238="",0,LEN($J238))</f>
        <v/>
      </c>
      <c r="L238" s="15">
        <f>IF($J238="","",LEFT($J238,kdo_ikincilUzunluk))</f>
        <v/>
      </c>
      <c r="M238" s="15">
        <f>"B"</f>
        <v/>
      </c>
      <c r="N238" s="15">
        <f>IF($J238="","",IF(COUNTIF(tblAnahtarB[NormB],$J238)&gt;1,"EVET","HAYIR"))</f>
        <v/>
      </c>
      <c r="O238" s="15">
        <f>IF($I238="","",ROW()-ROW($I$5))</f>
        <v/>
      </c>
    </row>
    <row r="239">
      <c r="A239" s="7">
        <f>IF(VERI_A!A239="","",VERI_A!A239)</f>
        <v/>
      </c>
      <c r="B239" s="15">
        <f>UPPER(TRIM(SUBSTITUTE($A239," ","")))</f>
        <v/>
      </c>
      <c r="C239" s="15">
        <f>IF($B239="",0,LEN($B239))</f>
        <v/>
      </c>
      <c r="D239" s="15">
        <f>IF($B239="","",LEFT($B239,kdo_ikincilUzunluk))</f>
        <v/>
      </c>
      <c r="E239" s="15">
        <f>"A"</f>
        <v/>
      </c>
      <c r="F239" s="15">
        <f>IF($B239="","",IF(COUNTIF(tblAnahtarA[Norm],$B239)&gt;1,"EVET","HAYIR"))</f>
        <v/>
      </c>
      <c r="G239" s="15">
        <f>IF($A239="","",ROW()-ROW($A$5))</f>
        <v/>
      </c>
      <c r="I239" s="7">
        <f>IF(VERI_B!A239="","",VERI_B!A239)</f>
        <v/>
      </c>
      <c r="J239" s="15">
        <f>UPPER(TRIM(SUBSTITUTE($I239," ","")))</f>
        <v/>
      </c>
      <c r="K239" s="15">
        <f>IF($J239="",0,LEN($J239))</f>
        <v/>
      </c>
      <c r="L239" s="15">
        <f>IF($J239="","",LEFT($J239,kdo_ikincilUzunluk))</f>
        <v/>
      </c>
      <c r="M239" s="15">
        <f>"B"</f>
        <v/>
      </c>
      <c r="N239" s="15">
        <f>IF($J239="","",IF(COUNTIF(tblAnahtarB[NormB],$J239)&gt;1,"EVET","HAYIR"))</f>
        <v/>
      </c>
      <c r="O239" s="15">
        <f>IF($I239="","",ROW()-ROW($I$5))</f>
        <v/>
      </c>
    </row>
    <row r="240">
      <c r="A240" s="7">
        <f>IF(VERI_A!A240="","",VERI_A!A240)</f>
        <v/>
      </c>
      <c r="B240" s="15">
        <f>UPPER(TRIM(SUBSTITUTE($A240," ","")))</f>
        <v/>
      </c>
      <c r="C240" s="15">
        <f>IF($B240="",0,LEN($B240))</f>
        <v/>
      </c>
      <c r="D240" s="15">
        <f>IF($B240="","",LEFT($B240,kdo_ikincilUzunluk))</f>
        <v/>
      </c>
      <c r="E240" s="15">
        <f>"A"</f>
        <v/>
      </c>
      <c r="F240" s="15">
        <f>IF($B240="","",IF(COUNTIF(tblAnahtarA[Norm],$B240)&gt;1,"EVET","HAYIR"))</f>
        <v/>
      </c>
      <c r="G240" s="15">
        <f>IF($A240="","",ROW()-ROW($A$5))</f>
        <v/>
      </c>
      <c r="I240" s="7">
        <f>IF(VERI_B!A240="","",VERI_B!A240)</f>
        <v/>
      </c>
      <c r="J240" s="15">
        <f>UPPER(TRIM(SUBSTITUTE($I240," ","")))</f>
        <v/>
      </c>
      <c r="K240" s="15">
        <f>IF($J240="",0,LEN($J240))</f>
        <v/>
      </c>
      <c r="L240" s="15">
        <f>IF($J240="","",LEFT($J240,kdo_ikincilUzunluk))</f>
        <v/>
      </c>
      <c r="M240" s="15">
        <f>"B"</f>
        <v/>
      </c>
      <c r="N240" s="15">
        <f>IF($J240="","",IF(COUNTIF(tblAnahtarB[NormB],$J240)&gt;1,"EVET","HAYIR"))</f>
        <v/>
      </c>
      <c r="O240" s="15">
        <f>IF($I240="","",ROW()-ROW($I$5))</f>
        <v/>
      </c>
    </row>
    <row r="241">
      <c r="A241" s="7">
        <f>IF(VERI_A!A241="","",VERI_A!A241)</f>
        <v/>
      </c>
      <c r="B241" s="15">
        <f>UPPER(TRIM(SUBSTITUTE($A241," ","")))</f>
        <v/>
      </c>
      <c r="C241" s="15">
        <f>IF($B241="",0,LEN($B241))</f>
        <v/>
      </c>
      <c r="D241" s="15">
        <f>IF($B241="","",LEFT($B241,kdo_ikincilUzunluk))</f>
        <v/>
      </c>
      <c r="E241" s="15">
        <f>"A"</f>
        <v/>
      </c>
      <c r="F241" s="15">
        <f>IF($B241="","",IF(COUNTIF(tblAnahtarA[Norm],$B241)&gt;1,"EVET","HAYIR"))</f>
        <v/>
      </c>
      <c r="G241" s="15">
        <f>IF($A241="","",ROW()-ROW($A$5))</f>
        <v/>
      </c>
      <c r="I241" s="7">
        <f>IF(VERI_B!A241="","",VERI_B!A241)</f>
        <v/>
      </c>
      <c r="J241" s="15">
        <f>UPPER(TRIM(SUBSTITUTE($I241," ","")))</f>
        <v/>
      </c>
      <c r="K241" s="15">
        <f>IF($J241="",0,LEN($J241))</f>
        <v/>
      </c>
      <c r="L241" s="15">
        <f>IF($J241="","",LEFT($J241,kdo_ikincilUzunluk))</f>
        <v/>
      </c>
      <c r="M241" s="15">
        <f>"B"</f>
        <v/>
      </c>
      <c r="N241" s="15">
        <f>IF($J241="","",IF(COUNTIF(tblAnahtarB[NormB],$J241)&gt;1,"EVET","HAYIR"))</f>
        <v/>
      </c>
      <c r="O241" s="15">
        <f>IF($I241="","",ROW()-ROW($I$5))</f>
        <v/>
      </c>
    </row>
    <row r="242">
      <c r="A242" s="7">
        <f>IF(VERI_A!A242="","",VERI_A!A242)</f>
        <v/>
      </c>
      <c r="B242" s="15">
        <f>UPPER(TRIM(SUBSTITUTE($A242," ","")))</f>
        <v/>
      </c>
      <c r="C242" s="15">
        <f>IF($B242="",0,LEN($B242))</f>
        <v/>
      </c>
      <c r="D242" s="15">
        <f>IF($B242="","",LEFT($B242,kdo_ikincilUzunluk))</f>
        <v/>
      </c>
      <c r="E242" s="15">
        <f>"A"</f>
        <v/>
      </c>
      <c r="F242" s="15">
        <f>IF($B242="","",IF(COUNTIF(tblAnahtarA[Norm],$B242)&gt;1,"EVET","HAYIR"))</f>
        <v/>
      </c>
      <c r="G242" s="15">
        <f>IF($A242="","",ROW()-ROW($A$5))</f>
        <v/>
      </c>
      <c r="I242" s="7">
        <f>IF(VERI_B!A242="","",VERI_B!A242)</f>
        <v/>
      </c>
      <c r="J242" s="15">
        <f>UPPER(TRIM(SUBSTITUTE($I242," ","")))</f>
        <v/>
      </c>
      <c r="K242" s="15">
        <f>IF($J242="",0,LEN($J242))</f>
        <v/>
      </c>
      <c r="L242" s="15">
        <f>IF($J242="","",LEFT($J242,kdo_ikincilUzunluk))</f>
        <v/>
      </c>
      <c r="M242" s="15">
        <f>"B"</f>
        <v/>
      </c>
      <c r="N242" s="15">
        <f>IF($J242="","",IF(COUNTIF(tblAnahtarB[NormB],$J242)&gt;1,"EVET","HAYIR"))</f>
        <v/>
      </c>
      <c r="O242" s="15">
        <f>IF($I242="","",ROW()-ROW($I$5))</f>
        <v/>
      </c>
    </row>
    <row r="243">
      <c r="A243" s="7">
        <f>IF(VERI_A!A243="","",VERI_A!A243)</f>
        <v/>
      </c>
      <c r="B243" s="15">
        <f>UPPER(TRIM(SUBSTITUTE($A243," ","")))</f>
        <v/>
      </c>
      <c r="C243" s="15">
        <f>IF($B243="",0,LEN($B243))</f>
        <v/>
      </c>
      <c r="D243" s="15">
        <f>IF($B243="","",LEFT($B243,kdo_ikincilUzunluk))</f>
        <v/>
      </c>
      <c r="E243" s="15">
        <f>"A"</f>
        <v/>
      </c>
      <c r="F243" s="15">
        <f>IF($B243="","",IF(COUNTIF(tblAnahtarA[Norm],$B243)&gt;1,"EVET","HAYIR"))</f>
        <v/>
      </c>
      <c r="G243" s="15">
        <f>IF($A243="","",ROW()-ROW($A$5))</f>
        <v/>
      </c>
      <c r="I243" s="7">
        <f>IF(VERI_B!A243="","",VERI_B!A243)</f>
        <v/>
      </c>
      <c r="J243" s="15">
        <f>UPPER(TRIM(SUBSTITUTE($I243," ","")))</f>
        <v/>
      </c>
      <c r="K243" s="15">
        <f>IF($J243="",0,LEN($J243))</f>
        <v/>
      </c>
      <c r="L243" s="15">
        <f>IF($J243="","",LEFT($J243,kdo_ikincilUzunluk))</f>
        <v/>
      </c>
      <c r="M243" s="15">
        <f>"B"</f>
        <v/>
      </c>
      <c r="N243" s="15">
        <f>IF($J243="","",IF(COUNTIF(tblAnahtarB[NormB],$J243)&gt;1,"EVET","HAYIR"))</f>
        <v/>
      </c>
      <c r="O243" s="15">
        <f>IF($I243="","",ROW()-ROW($I$5))</f>
        <v/>
      </c>
    </row>
    <row r="244">
      <c r="A244" s="7">
        <f>IF(VERI_A!A244="","",VERI_A!A244)</f>
        <v/>
      </c>
      <c r="B244" s="15">
        <f>UPPER(TRIM(SUBSTITUTE($A244," ","")))</f>
        <v/>
      </c>
      <c r="C244" s="15">
        <f>IF($B244="",0,LEN($B244))</f>
        <v/>
      </c>
      <c r="D244" s="15">
        <f>IF($B244="","",LEFT($B244,kdo_ikincilUzunluk))</f>
        <v/>
      </c>
      <c r="E244" s="15">
        <f>"A"</f>
        <v/>
      </c>
      <c r="F244" s="15">
        <f>IF($B244="","",IF(COUNTIF(tblAnahtarA[Norm],$B244)&gt;1,"EVET","HAYIR"))</f>
        <v/>
      </c>
      <c r="G244" s="15">
        <f>IF($A244="","",ROW()-ROW($A$5))</f>
        <v/>
      </c>
      <c r="I244" s="7">
        <f>IF(VERI_B!A244="","",VERI_B!A244)</f>
        <v/>
      </c>
      <c r="J244" s="15">
        <f>UPPER(TRIM(SUBSTITUTE($I244," ","")))</f>
        <v/>
      </c>
      <c r="K244" s="15">
        <f>IF($J244="",0,LEN($J244))</f>
        <v/>
      </c>
      <c r="L244" s="15">
        <f>IF($J244="","",LEFT($J244,kdo_ikincilUzunluk))</f>
        <v/>
      </c>
      <c r="M244" s="15">
        <f>"B"</f>
        <v/>
      </c>
      <c r="N244" s="15">
        <f>IF($J244="","",IF(COUNTIF(tblAnahtarB[NormB],$J244)&gt;1,"EVET","HAYIR"))</f>
        <v/>
      </c>
      <c r="O244" s="15">
        <f>IF($I244="","",ROW()-ROW($I$5))</f>
        <v/>
      </c>
    </row>
    <row r="245">
      <c r="A245" s="7">
        <f>IF(VERI_A!A245="","",VERI_A!A245)</f>
        <v/>
      </c>
      <c r="B245" s="15">
        <f>UPPER(TRIM(SUBSTITUTE($A245," ","")))</f>
        <v/>
      </c>
      <c r="C245" s="15">
        <f>IF($B245="",0,LEN($B245))</f>
        <v/>
      </c>
      <c r="D245" s="15">
        <f>IF($B245="","",LEFT($B245,kdo_ikincilUzunluk))</f>
        <v/>
      </c>
      <c r="E245" s="15">
        <f>"A"</f>
        <v/>
      </c>
      <c r="F245" s="15">
        <f>IF($B245="","",IF(COUNTIF(tblAnahtarA[Norm],$B245)&gt;1,"EVET","HAYIR"))</f>
        <v/>
      </c>
      <c r="G245" s="15">
        <f>IF($A245="","",ROW()-ROW($A$5))</f>
        <v/>
      </c>
      <c r="I245" s="7">
        <f>IF(VERI_B!A245="","",VERI_B!A245)</f>
        <v/>
      </c>
      <c r="J245" s="15">
        <f>UPPER(TRIM(SUBSTITUTE($I245," ","")))</f>
        <v/>
      </c>
      <c r="K245" s="15">
        <f>IF($J245="",0,LEN($J245))</f>
        <v/>
      </c>
      <c r="L245" s="15">
        <f>IF($J245="","",LEFT($J245,kdo_ikincilUzunluk))</f>
        <v/>
      </c>
      <c r="M245" s="15">
        <f>"B"</f>
        <v/>
      </c>
      <c r="N245" s="15">
        <f>IF($J245="","",IF(COUNTIF(tblAnahtarB[NormB],$J245)&gt;1,"EVET","HAYIR"))</f>
        <v/>
      </c>
      <c r="O245" s="15">
        <f>IF($I245="","",ROW()-ROW($I$5))</f>
        <v/>
      </c>
    </row>
    <row r="246">
      <c r="A246" s="7">
        <f>IF(VERI_A!A246="","",VERI_A!A246)</f>
        <v/>
      </c>
      <c r="B246" s="15">
        <f>UPPER(TRIM(SUBSTITUTE($A246," ","")))</f>
        <v/>
      </c>
      <c r="C246" s="15">
        <f>IF($B246="",0,LEN($B246))</f>
        <v/>
      </c>
      <c r="D246" s="15">
        <f>IF($B246="","",LEFT($B246,kdo_ikincilUzunluk))</f>
        <v/>
      </c>
      <c r="E246" s="15">
        <f>"A"</f>
        <v/>
      </c>
      <c r="F246" s="15">
        <f>IF($B246="","",IF(COUNTIF(tblAnahtarA[Norm],$B246)&gt;1,"EVET","HAYIR"))</f>
        <v/>
      </c>
      <c r="G246" s="15">
        <f>IF($A246="","",ROW()-ROW($A$5))</f>
        <v/>
      </c>
      <c r="I246" s="7">
        <f>IF(VERI_B!A246="","",VERI_B!A246)</f>
        <v/>
      </c>
      <c r="J246" s="15">
        <f>UPPER(TRIM(SUBSTITUTE($I246," ","")))</f>
        <v/>
      </c>
      <c r="K246" s="15">
        <f>IF($J246="",0,LEN($J246))</f>
        <v/>
      </c>
      <c r="L246" s="15">
        <f>IF($J246="","",LEFT($J246,kdo_ikincilUzunluk))</f>
        <v/>
      </c>
      <c r="M246" s="15">
        <f>"B"</f>
        <v/>
      </c>
      <c r="N246" s="15">
        <f>IF($J246="","",IF(COUNTIF(tblAnahtarB[NormB],$J246)&gt;1,"EVET","HAYIR"))</f>
        <v/>
      </c>
      <c r="O246" s="15">
        <f>IF($I246="","",ROW()-ROW($I$5))</f>
        <v/>
      </c>
    </row>
    <row r="247">
      <c r="A247" s="7">
        <f>IF(VERI_A!A247="","",VERI_A!A247)</f>
        <v/>
      </c>
      <c r="B247" s="15">
        <f>UPPER(TRIM(SUBSTITUTE($A247," ","")))</f>
        <v/>
      </c>
      <c r="C247" s="15">
        <f>IF($B247="",0,LEN($B247))</f>
        <v/>
      </c>
      <c r="D247" s="15">
        <f>IF($B247="","",LEFT($B247,kdo_ikincilUzunluk))</f>
        <v/>
      </c>
      <c r="E247" s="15">
        <f>"A"</f>
        <v/>
      </c>
      <c r="F247" s="15">
        <f>IF($B247="","",IF(COUNTIF(tblAnahtarA[Norm],$B247)&gt;1,"EVET","HAYIR"))</f>
        <v/>
      </c>
      <c r="G247" s="15">
        <f>IF($A247="","",ROW()-ROW($A$5))</f>
        <v/>
      </c>
      <c r="I247" s="7">
        <f>IF(VERI_B!A247="","",VERI_B!A247)</f>
        <v/>
      </c>
      <c r="J247" s="15">
        <f>UPPER(TRIM(SUBSTITUTE($I247," ","")))</f>
        <v/>
      </c>
      <c r="K247" s="15">
        <f>IF($J247="",0,LEN($J247))</f>
        <v/>
      </c>
      <c r="L247" s="15">
        <f>IF($J247="","",LEFT($J247,kdo_ikincilUzunluk))</f>
        <v/>
      </c>
      <c r="M247" s="15">
        <f>"B"</f>
        <v/>
      </c>
      <c r="N247" s="15">
        <f>IF($J247="","",IF(COUNTIF(tblAnahtarB[NormB],$J247)&gt;1,"EVET","HAYIR"))</f>
        <v/>
      </c>
      <c r="O247" s="15">
        <f>IF($I247="","",ROW()-ROW($I$5))</f>
        <v/>
      </c>
    </row>
    <row r="248">
      <c r="A248" s="7">
        <f>IF(VERI_A!A248="","",VERI_A!A248)</f>
        <v/>
      </c>
      <c r="B248" s="15">
        <f>UPPER(TRIM(SUBSTITUTE($A248," ","")))</f>
        <v/>
      </c>
      <c r="C248" s="15">
        <f>IF($B248="",0,LEN($B248))</f>
        <v/>
      </c>
      <c r="D248" s="15">
        <f>IF($B248="","",LEFT($B248,kdo_ikincilUzunluk))</f>
        <v/>
      </c>
      <c r="E248" s="15">
        <f>"A"</f>
        <v/>
      </c>
      <c r="F248" s="15">
        <f>IF($B248="","",IF(COUNTIF(tblAnahtarA[Norm],$B248)&gt;1,"EVET","HAYIR"))</f>
        <v/>
      </c>
      <c r="G248" s="15">
        <f>IF($A248="","",ROW()-ROW($A$5))</f>
        <v/>
      </c>
      <c r="I248" s="7">
        <f>IF(VERI_B!A248="","",VERI_B!A248)</f>
        <v/>
      </c>
      <c r="J248" s="15">
        <f>UPPER(TRIM(SUBSTITUTE($I248," ","")))</f>
        <v/>
      </c>
      <c r="K248" s="15">
        <f>IF($J248="",0,LEN($J248))</f>
        <v/>
      </c>
      <c r="L248" s="15">
        <f>IF($J248="","",LEFT($J248,kdo_ikincilUzunluk))</f>
        <v/>
      </c>
      <c r="M248" s="15">
        <f>"B"</f>
        <v/>
      </c>
      <c r="N248" s="15">
        <f>IF($J248="","",IF(COUNTIF(tblAnahtarB[NormB],$J248)&gt;1,"EVET","HAYIR"))</f>
        <v/>
      </c>
      <c r="O248" s="15">
        <f>IF($I248="","",ROW()-ROW($I$5))</f>
        <v/>
      </c>
    </row>
    <row r="249">
      <c r="A249" s="7">
        <f>IF(VERI_A!A249="","",VERI_A!A249)</f>
        <v/>
      </c>
      <c r="B249" s="15">
        <f>UPPER(TRIM(SUBSTITUTE($A249," ","")))</f>
        <v/>
      </c>
      <c r="C249" s="15">
        <f>IF($B249="",0,LEN($B249))</f>
        <v/>
      </c>
      <c r="D249" s="15">
        <f>IF($B249="","",LEFT($B249,kdo_ikincilUzunluk))</f>
        <v/>
      </c>
      <c r="E249" s="15">
        <f>"A"</f>
        <v/>
      </c>
      <c r="F249" s="15">
        <f>IF($B249="","",IF(COUNTIF(tblAnahtarA[Norm],$B249)&gt;1,"EVET","HAYIR"))</f>
        <v/>
      </c>
      <c r="G249" s="15">
        <f>IF($A249="","",ROW()-ROW($A$5))</f>
        <v/>
      </c>
      <c r="I249" s="7">
        <f>IF(VERI_B!A249="","",VERI_B!A249)</f>
        <v/>
      </c>
      <c r="J249" s="15">
        <f>UPPER(TRIM(SUBSTITUTE($I249," ","")))</f>
        <v/>
      </c>
      <c r="K249" s="15">
        <f>IF($J249="",0,LEN($J249))</f>
        <v/>
      </c>
      <c r="L249" s="15">
        <f>IF($J249="","",LEFT($J249,kdo_ikincilUzunluk))</f>
        <v/>
      </c>
      <c r="M249" s="15">
        <f>"B"</f>
        <v/>
      </c>
      <c r="N249" s="15">
        <f>IF($J249="","",IF(COUNTIF(tblAnahtarB[NormB],$J249)&gt;1,"EVET","HAYIR"))</f>
        <v/>
      </c>
      <c r="O249" s="15">
        <f>IF($I249="","",ROW()-ROW($I$5))</f>
        <v/>
      </c>
    </row>
    <row r="250">
      <c r="A250" s="7">
        <f>IF(VERI_A!A250="","",VERI_A!A250)</f>
        <v/>
      </c>
      <c r="B250" s="15">
        <f>UPPER(TRIM(SUBSTITUTE($A250," ","")))</f>
        <v/>
      </c>
      <c r="C250" s="15">
        <f>IF($B250="",0,LEN($B250))</f>
        <v/>
      </c>
      <c r="D250" s="15">
        <f>IF($B250="","",LEFT($B250,kdo_ikincilUzunluk))</f>
        <v/>
      </c>
      <c r="E250" s="15">
        <f>"A"</f>
        <v/>
      </c>
      <c r="F250" s="15">
        <f>IF($B250="","",IF(COUNTIF(tblAnahtarA[Norm],$B250)&gt;1,"EVET","HAYIR"))</f>
        <v/>
      </c>
      <c r="G250" s="15">
        <f>IF($A250="","",ROW()-ROW($A$5))</f>
        <v/>
      </c>
      <c r="I250" s="7">
        <f>IF(VERI_B!A250="","",VERI_B!A250)</f>
        <v/>
      </c>
      <c r="J250" s="15">
        <f>UPPER(TRIM(SUBSTITUTE($I250," ","")))</f>
        <v/>
      </c>
      <c r="K250" s="15">
        <f>IF($J250="",0,LEN($J250))</f>
        <v/>
      </c>
      <c r="L250" s="15">
        <f>IF($J250="","",LEFT($J250,kdo_ikincilUzunluk))</f>
        <v/>
      </c>
      <c r="M250" s="15">
        <f>"B"</f>
        <v/>
      </c>
      <c r="N250" s="15">
        <f>IF($J250="","",IF(COUNTIF(tblAnahtarB[NormB],$J250)&gt;1,"EVET","HAYIR"))</f>
        <v/>
      </c>
      <c r="O250" s="15">
        <f>IF($I250="","",ROW()-ROW($I$5))</f>
        <v/>
      </c>
    </row>
    <row r="251">
      <c r="A251" s="7">
        <f>IF(VERI_A!A251="","",VERI_A!A251)</f>
        <v/>
      </c>
      <c r="B251" s="15">
        <f>UPPER(TRIM(SUBSTITUTE($A251," ","")))</f>
        <v/>
      </c>
      <c r="C251" s="15">
        <f>IF($B251="",0,LEN($B251))</f>
        <v/>
      </c>
      <c r="D251" s="15">
        <f>IF($B251="","",LEFT($B251,kdo_ikincilUzunluk))</f>
        <v/>
      </c>
      <c r="E251" s="15">
        <f>"A"</f>
        <v/>
      </c>
      <c r="F251" s="15">
        <f>IF($B251="","",IF(COUNTIF(tblAnahtarA[Norm],$B251)&gt;1,"EVET","HAYIR"))</f>
        <v/>
      </c>
      <c r="G251" s="15">
        <f>IF($A251="","",ROW()-ROW($A$5))</f>
        <v/>
      </c>
      <c r="I251" s="7">
        <f>IF(VERI_B!A251="","",VERI_B!A251)</f>
        <v/>
      </c>
      <c r="J251" s="15">
        <f>UPPER(TRIM(SUBSTITUTE($I251," ","")))</f>
        <v/>
      </c>
      <c r="K251" s="15">
        <f>IF($J251="",0,LEN($J251))</f>
        <v/>
      </c>
      <c r="L251" s="15">
        <f>IF($J251="","",LEFT($J251,kdo_ikincilUzunluk))</f>
        <v/>
      </c>
      <c r="M251" s="15">
        <f>"B"</f>
        <v/>
      </c>
      <c r="N251" s="15">
        <f>IF($J251="","",IF(COUNTIF(tblAnahtarB[NormB],$J251)&gt;1,"EVET","HAYIR"))</f>
        <v/>
      </c>
      <c r="O251" s="15">
        <f>IF($I251="","",ROW()-ROW($I$5))</f>
        <v/>
      </c>
    </row>
    <row r="252">
      <c r="A252" s="7">
        <f>IF(VERI_A!A252="","",VERI_A!A252)</f>
        <v/>
      </c>
      <c r="B252" s="15">
        <f>UPPER(TRIM(SUBSTITUTE($A252," ","")))</f>
        <v/>
      </c>
      <c r="C252" s="15">
        <f>IF($B252="",0,LEN($B252))</f>
        <v/>
      </c>
      <c r="D252" s="15">
        <f>IF($B252="","",LEFT($B252,kdo_ikincilUzunluk))</f>
        <v/>
      </c>
      <c r="E252" s="15">
        <f>"A"</f>
        <v/>
      </c>
      <c r="F252" s="15">
        <f>IF($B252="","",IF(COUNTIF(tblAnahtarA[Norm],$B252)&gt;1,"EVET","HAYIR"))</f>
        <v/>
      </c>
      <c r="G252" s="15">
        <f>IF($A252="","",ROW()-ROW($A$5))</f>
        <v/>
      </c>
      <c r="I252" s="7">
        <f>IF(VERI_B!A252="","",VERI_B!A252)</f>
        <v/>
      </c>
      <c r="J252" s="15">
        <f>UPPER(TRIM(SUBSTITUTE($I252," ","")))</f>
        <v/>
      </c>
      <c r="K252" s="15">
        <f>IF($J252="",0,LEN($J252))</f>
        <v/>
      </c>
      <c r="L252" s="15">
        <f>IF($J252="","",LEFT($J252,kdo_ikincilUzunluk))</f>
        <v/>
      </c>
      <c r="M252" s="15">
        <f>"B"</f>
        <v/>
      </c>
      <c r="N252" s="15">
        <f>IF($J252="","",IF(COUNTIF(tblAnahtarB[NormB],$J252)&gt;1,"EVET","HAYIR"))</f>
        <v/>
      </c>
      <c r="O252" s="15">
        <f>IF($I252="","",ROW()-ROW($I$5))</f>
        <v/>
      </c>
    </row>
    <row r="253">
      <c r="A253" s="7">
        <f>IF(VERI_A!A253="","",VERI_A!A253)</f>
        <v/>
      </c>
      <c r="B253" s="15">
        <f>UPPER(TRIM(SUBSTITUTE($A253," ","")))</f>
        <v/>
      </c>
      <c r="C253" s="15">
        <f>IF($B253="",0,LEN($B253))</f>
        <v/>
      </c>
      <c r="D253" s="15">
        <f>IF($B253="","",LEFT($B253,kdo_ikincilUzunluk))</f>
        <v/>
      </c>
      <c r="E253" s="15">
        <f>"A"</f>
        <v/>
      </c>
      <c r="F253" s="15">
        <f>IF($B253="","",IF(COUNTIF(tblAnahtarA[Norm],$B253)&gt;1,"EVET","HAYIR"))</f>
        <v/>
      </c>
      <c r="G253" s="15">
        <f>IF($A253="","",ROW()-ROW($A$5))</f>
        <v/>
      </c>
      <c r="I253" s="7">
        <f>IF(VERI_B!A253="","",VERI_B!A253)</f>
        <v/>
      </c>
      <c r="J253" s="15">
        <f>UPPER(TRIM(SUBSTITUTE($I253," ","")))</f>
        <v/>
      </c>
      <c r="K253" s="15">
        <f>IF($J253="",0,LEN($J253))</f>
        <v/>
      </c>
      <c r="L253" s="15">
        <f>IF($J253="","",LEFT($J253,kdo_ikincilUzunluk))</f>
        <v/>
      </c>
      <c r="M253" s="15">
        <f>"B"</f>
        <v/>
      </c>
      <c r="N253" s="15">
        <f>IF($J253="","",IF(COUNTIF(tblAnahtarB[NormB],$J253)&gt;1,"EVET","HAYIR"))</f>
        <v/>
      </c>
      <c r="O253" s="15">
        <f>IF($I253="","",ROW()-ROW($I$5))</f>
        <v/>
      </c>
    </row>
    <row r="254">
      <c r="A254" s="7">
        <f>IF(VERI_A!A254="","",VERI_A!A254)</f>
        <v/>
      </c>
      <c r="B254" s="15">
        <f>UPPER(TRIM(SUBSTITUTE($A254," ","")))</f>
        <v/>
      </c>
      <c r="C254" s="15">
        <f>IF($B254="",0,LEN($B254))</f>
        <v/>
      </c>
      <c r="D254" s="15">
        <f>IF($B254="","",LEFT($B254,kdo_ikincilUzunluk))</f>
        <v/>
      </c>
      <c r="E254" s="15">
        <f>"A"</f>
        <v/>
      </c>
      <c r="F254" s="15">
        <f>IF($B254="","",IF(COUNTIF(tblAnahtarA[Norm],$B254)&gt;1,"EVET","HAYIR"))</f>
        <v/>
      </c>
      <c r="G254" s="15">
        <f>IF($A254="","",ROW()-ROW($A$5))</f>
        <v/>
      </c>
      <c r="I254" s="7">
        <f>IF(VERI_B!A254="","",VERI_B!A254)</f>
        <v/>
      </c>
      <c r="J254" s="15">
        <f>UPPER(TRIM(SUBSTITUTE($I254," ","")))</f>
        <v/>
      </c>
      <c r="K254" s="15">
        <f>IF($J254="",0,LEN($J254))</f>
        <v/>
      </c>
      <c r="L254" s="15">
        <f>IF($J254="","",LEFT($J254,kdo_ikincilUzunluk))</f>
        <v/>
      </c>
      <c r="M254" s="15">
        <f>"B"</f>
        <v/>
      </c>
      <c r="N254" s="15">
        <f>IF($J254="","",IF(COUNTIF(tblAnahtarB[NormB],$J254)&gt;1,"EVET","HAYIR"))</f>
        <v/>
      </c>
      <c r="O254" s="15">
        <f>IF($I254="","",ROW()-ROW($I$5))</f>
        <v/>
      </c>
    </row>
    <row r="255">
      <c r="A255" s="7">
        <f>IF(VERI_A!A255="","",VERI_A!A255)</f>
        <v/>
      </c>
      <c r="B255" s="15">
        <f>UPPER(TRIM(SUBSTITUTE($A255," ","")))</f>
        <v/>
      </c>
      <c r="C255" s="15">
        <f>IF($B255="",0,LEN($B255))</f>
        <v/>
      </c>
      <c r="D255" s="15">
        <f>IF($B255="","",LEFT($B255,kdo_ikincilUzunluk))</f>
        <v/>
      </c>
      <c r="E255" s="15">
        <f>"A"</f>
        <v/>
      </c>
      <c r="F255" s="15">
        <f>IF($B255="","",IF(COUNTIF(tblAnahtarA[Norm],$B255)&gt;1,"EVET","HAYIR"))</f>
        <v/>
      </c>
      <c r="G255" s="15">
        <f>IF($A255="","",ROW()-ROW($A$5))</f>
        <v/>
      </c>
      <c r="I255" s="7">
        <f>IF(VERI_B!A255="","",VERI_B!A255)</f>
        <v/>
      </c>
      <c r="J255" s="15">
        <f>UPPER(TRIM(SUBSTITUTE($I255," ","")))</f>
        <v/>
      </c>
      <c r="K255" s="15">
        <f>IF($J255="",0,LEN($J255))</f>
        <v/>
      </c>
      <c r="L255" s="15">
        <f>IF($J255="","",LEFT($J255,kdo_ikincilUzunluk))</f>
        <v/>
      </c>
      <c r="M255" s="15">
        <f>"B"</f>
        <v/>
      </c>
      <c r="N255" s="15">
        <f>IF($J255="","",IF(COUNTIF(tblAnahtarB[NormB],$J255)&gt;1,"EVET","HAYIR"))</f>
        <v/>
      </c>
      <c r="O255" s="15">
        <f>IF($I255="","",ROW()-ROW($I$5))</f>
        <v/>
      </c>
    </row>
    <row r="256">
      <c r="A256" s="7">
        <f>IF(VERI_A!A256="","",VERI_A!A256)</f>
        <v/>
      </c>
      <c r="B256" s="15">
        <f>UPPER(TRIM(SUBSTITUTE($A256," ","")))</f>
        <v/>
      </c>
      <c r="C256" s="15">
        <f>IF($B256="",0,LEN($B256))</f>
        <v/>
      </c>
      <c r="D256" s="15">
        <f>IF($B256="","",LEFT($B256,kdo_ikincilUzunluk))</f>
        <v/>
      </c>
      <c r="E256" s="15">
        <f>"A"</f>
        <v/>
      </c>
      <c r="F256" s="15">
        <f>IF($B256="","",IF(COUNTIF(tblAnahtarA[Norm],$B256)&gt;1,"EVET","HAYIR"))</f>
        <v/>
      </c>
      <c r="G256" s="15">
        <f>IF($A256="","",ROW()-ROW($A$5))</f>
        <v/>
      </c>
      <c r="I256" s="7">
        <f>IF(VERI_B!A256="","",VERI_B!A256)</f>
        <v/>
      </c>
      <c r="J256" s="15">
        <f>UPPER(TRIM(SUBSTITUTE($I256," ","")))</f>
        <v/>
      </c>
      <c r="K256" s="15">
        <f>IF($J256="",0,LEN($J256))</f>
        <v/>
      </c>
      <c r="L256" s="15">
        <f>IF($J256="","",LEFT($J256,kdo_ikincilUzunluk))</f>
        <v/>
      </c>
      <c r="M256" s="15">
        <f>"B"</f>
        <v/>
      </c>
      <c r="N256" s="15">
        <f>IF($J256="","",IF(COUNTIF(tblAnahtarB[NormB],$J256)&gt;1,"EVET","HAYIR"))</f>
        <v/>
      </c>
      <c r="O256" s="15">
        <f>IF($I256="","",ROW()-ROW($I$5))</f>
        <v/>
      </c>
    </row>
    <row r="257">
      <c r="A257" s="7">
        <f>IF(VERI_A!A257="","",VERI_A!A257)</f>
        <v/>
      </c>
      <c r="B257" s="15">
        <f>UPPER(TRIM(SUBSTITUTE($A257," ","")))</f>
        <v/>
      </c>
      <c r="C257" s="15">
        <f>IF($B257="",0,LEN($B257))</f>
        <v/>
      </c>
      <c r="D257" s="15">
        <f>IF($B257="","",LEFT($B257,kdo_ikincilUzunluk))</f>
        <v/>
      </c>
      <c r="E257" s="15">
        <f>"A"</f>
        <v/>
      </c>
      <c r="F257" s="15">
        <f>IF($B257="","",IF(COUNTIF(tblAnahtarA[Norm],$B257)&gt;1,"EVET","HAYIR"))</f>
        <v/>
      </c>
      <c r="G257" s="15">
        <f>IF($A257="","",ROW()-ROW($A$5))</f>
        <v/>
      </c>
      <c r="I257" s="7">
        <f>IF(VERI_B!A257="","",VERI_B!A257)</f>
        <v/>
      </c>
      <c r="J257" s="15">
        <f>UPPER(TRIM(SUBSTITUTE($I257," ","")))</f>
        <v/>
      </c>
      <c r="K257" s="15">
        <f>IF($J257="",0,LEN($J257))</f>
        <v/>
      </c>
      <c r="L257" s="15">
        <f>IF($J257="","",LEFT($J257,kdo_ikincilUzunluk))</f>
        <v/>
      </c>
      <c r="M257" s="15">
        <f>"B"</f>
        <v/>
      </c>
      <c r="N257" s="15">
        <f>IF($J257="","",IF(COUNTIF(tblAnahtarB[NormB],$J257)&gt;1,"EVET","HAYIR"))</f>
        <v/>
      </c>
      <c r="O257" s="15">
        <f>IF($I257="","",ROW()-ROW($I$5))</f>
        <v/>
      </c>
    </row>
    <row r="258">
      <c r="A258" s="7">
        <f>IF(VERI_A!A258="","",VERI_A!A258)</f>
        <v/>
      </c>
      <c r="B258" s="15">
        <f>UPPER(TRIM(SUBSTITUTE($A258," ","")))</f>
        <v/>
      </c>
      <c r="C258" s="15">
        <f>IF($B258="",0,LEN($B258))</f>
        <v/>
      </c>
      <c r="D258" s="15">
        <f>IF($B258="","",LEFT($B258,kdo_ikincilUzunluk))</f>
        <v/>
      </c>
      <c r="E258" s="15">
        <f>"A"</f>
        <v/>
      </c>
      <c r="F258" s="15">
        <f>IF($B258="","",IF(COUNTIF(tblAnahtarA[Norm],$B258)&gt;1,"EVET","HAYIR"))</f>
        <v/>
      </c>
      <c r="G258" s="15">
        <f>IF($A258="","",ROW()-ROW($A$5))</f>
        <v/>
      </c>
      <c r="I258" s="7">
        <f>IF(VERI_B!A258="","",VERI_B!A258)</f>
        <v/>
      </c>
      <c r="J258" s="15">
        <f>UPPER(TRIM(SUBSTITUTE($I258," ","")))</f>
        <v/>
      </c>
      <c r="K258" s="15">
        <f>IF($J258="",0,LEN($J258))</f>
        <v/>
      </c>
      <c r="L258" s="15">
        <f>IF($J258="","",LEFT($J258,kdo_ikincilUzunluk))</f>
        <v/>
      </c>
      <c r="M258" s="15">
        <f>"B"</f>
        <v/>
      </c>
      <c r="N258" s="15">
        <f>IF($J258="","",IF(COUNTIF(tblAnahtarB[NormB],$J258)&gt;1,"EVET","HAYIR"))</f>
        <v/>
      </c>
      <c r="O258" s="15">
        <f>IF($I258="","",ROW()-ROW($I$5))</f>
        <v/>
      </c>
    </row>
    <row r="259">
      <c r="A259" s="7">
        <f>IF(VERI_A!A259="","",VERI_A!A259)</f>
        <v/>
      </c>
      <c r="B259" s="15">
        <f>UPPER(TRIM(SUBSTITUTE($A259," ","")))</f>
        <v/>
      </c>
      <c r="C259" s="15">
        <f>IF($B259="",0,LEN($B259))</f>
        <v/>
      </c>
      <c r="D259" s="15">
        <f>IF($B259="","",LEFT($B259,kdo_ikincilUzunluk))</f>
        <v/>
      </c>
      <c r="E259" s="15">
        <f>"A"</f>
        <v/>
      </c>
      <c r="F259" s="15">
        <f>IF($B259="","",IF(COUNTIF(tblAnahtarA[Norm],$B259)&gt;1,"EVET","HAYIR"))</f>
        <v/>
      </c>
      <c r="G259" s="15">
        <f>IF($A259="","",ROW()-ROW($A$5))</f>
        <v/>
      </c>
      <c r="I259" s="7">
        <f>IF(VERI_B!A259="","",VERI_B!A259)</f>
        <v/>
      </c>
      <c r="J259" s="15">
        <f>UPPER(TRIM(SUBSTITUTE($I259," ","")))</f>
        <v/>
      </c>
      <c r="K259" s="15">
        <f>IF($J259="",0,LEN($J259))</f>
        <v/>
      </c>
      <c r="L259" s="15">
        <f>IF($J259="","",LEFT($J259,kdo_ikincilUzunluk))</f>
        <v/>
      </c>
      <c r="M259" s="15">
        <f>"B"</f>
        <v/>
      </c>
      <c r="N259" s="15">
        <f>IF($J259="","",IF(COUNTIF(tblAnahtarB[NormB],$J259)&gt;1,"EVET","HAYIR"))</f>
        <v/>
      </c>
      <c r="O259" s="15">
        <f>IF($I259="","",ROW()-ROW($I$5))</f>
        <v/>
      </c>
    </row>
    <row r="260">
      <c r="A260" s="7">
        <f>IF(VERI_A!A260="","",VERI_A!A260)</f>
        <v/>
      </c>
      <c r="B260" s="15">
        <f>UPPER(TRIM(SUBSTITUTE($A260," ","")))</f>
        <v/>
      </c>
      <c r="C260" s="15">
        <f>IF($B260="",0,LEN($B260))</f>
        <v/>
      </c>
      <c r="D260" s="15">
        <f>IF($B260="","",LEFT($B260,kdo_ikincilUzunluk))</f>
        <v/>
      </c>
      <c r="E260" s="15">
        <f>"A"</f>
        <v/>
      </c>
      <c r="F260" s="15">
        <f>IF($B260="","",IF(COUNTIF(tblAnahtarA[Norm],$B260)&gt;1,"EVET","HAYIR"))</f>
        <v/>
      </c>
      <c r="G260" s="15">
        <f>IF($A260="","",ROW()-ROW($A$5))</f>
        <v/>
      </c>
      <c r="I260" s="7">
        <f>IF(VERI_B!A260="","",VERI_B!A260)</f>
        <v/>
      </c>
      <c r="J260" s="15">
        <f>UPPER(TRIM(SUBSTITUTE($I260," ","")))</f>
        <v/>
      </c>
      <c r="K260" s="15">
        <f>IF($J260="",0,LEN($J260))</f>
        <v/>
      </c>
      <c r="L260" s="15">
        <f>IF($J260="","",LEFT($J260,kdo_ikincilUzunluk))</f>
        <v/>
      </c>
      <c r="M260" s="15">
        <f>"B"</f>
        <v/>
      </c>
      <c r="N260" s="15">
        <f>IF($J260="","",IF(COUNTIF(tblAnahtarB[NormB],$J260)&gt;1,"EVET","HAYIR"))</f>
        <v/>
      </c>
      <c r="O260" s="15">
        <f>IF($I260="","",ROW()-ROW($I$5))</f>
        <v/>
      </c>
    </row>
    <row r="261">
      <c r="A261" s="7">
        <f>IF(VERI_A!A261="","",VERI_A!A261)</f>
        <v/>
      </c>
      <c r="B261" s="15">
        <f>UPPER(TRIM(SUBSTITUTE($A261," ","")))</f>
        <v/>
      </c>
      <c r="C261" s="15">
        <f>IF($B261="",0,LEN($B261))</f>
        <v/>
      </c>
      <c r="D261" s="15">
        <f>IF($B261="","",LEFT($B261,kdo_ikincilUzunluk))</f>
        <v/>
      </c>
      <c r="E261" s="15">
        <f>"A"</f>
        <v/>
      </c>
      <c r="F261" s="15">
        <f>IF($B261="","",IF(COUNTIF(tblAnahtarA[Norm],$B261)&gt;1,"EVET","HAYIR"))</f>
        <v/>
      </c>
      <c r="G261" s="15">
        <f>IF($A261="","",ROW()-ROW($A$5))</f>
        <v/>
      </c>
      <c r="I261" s="7">
        <f>IF(VERI_B!A261="","",VERI_B!A261)</f>
        <v/>
      </c>
      <c r="J261" s="15">
        <f>UPPER(TRIM(SUBSTITUTE($I261," ","")))</f>
        <v/>
      </c>
      <c r="K261" s="15">
        <f>IF($J261="",0,LEN($J261))</f>
        <v/>
      </c>
      <c r="L261" s="15">
        <f>IF($J261="","",LEFT($J261,kdo_ikincilUzunluk))</f>
        <v/>
      </c>
      <c r="M261" s="15">
        <f>"B"</f>
        <v/>
      </c>
      <c r="N261" s="15">
        <f>IF($J261="","",IF(COUNTIF(tblAnahtarB[NormB],$J261)&gt;1,"EVET","HAYIR"))</f>
        <v/>
      </c>
      <c r="O261" s="15">
        <f>IF($I261="","",ROW()-ROW($I$5))</f>
        <v/>
      </c>
    </row>
    <row r="262">
      <c r="A262" s="7">
        <f>IF(VERI_A!A262="","",VERI_A!A262)</f>
        <v/>
      </c>
      <c r="B262" s="15">
        <f>UPPER(TRIM(SUBSTITUTE($A262," ","")))</f>
        <v/>
      </c>
      <c r="C262" s="15">
        <f>IF($B262="",0,LEN($B262))</f>
        <v/>
      </c>
      <c r="D262" s="15">
        <f>IF($B262="","",LEFT($B262,kdo_ikincilUzunluk))</f>
        <v/>
      </c>
      <c r="E262" s="15">
        <f>"A"</f>
        <v/>
      </c>
      <c r="F262" s="15">
        <f>IF($B262="","",IF(COUNTIF(tblAnahtarA[Norm],$B262)&gt;1,"EVET","HAYIR"))</f>
        <v/>
      </c>
      <c r="G262" s="15">
        <f>IF($A262="","",ROW()-ROW($A$5))</f>
        <v/>
      </c>
      <c r="I262" s="7">
        <f>IF(VERI_B!A262="","",VERI_B!A262)</f>
        <v/>
      </c>
      <c r="J262" s="15">
        <f>UPPER(TRIM(SUBSTITUTE($I262," ","")))</f>
        <v/>
      </c>
      <c r="K262" s="15">
        <f>IF($J262="",0,LEN($J262))</f>
        <v/>
      </c>
      <c r="L262" s="15">
        <f>IF($J262="","",LEFT($J262,kdo_ikincilUzunluk))</f>
        <v/>
      </c>
      <c r="M262" s="15">
        <f>"B"</f>
        <v/>
      </c>
      <c r="N262" s="15">
        <f>IF($J262="","",IF(COUNTIF(tblAnahtarB[NormB],$J262)&gt;1,"EVET","HAYIR"))</f>
        <v/>
      </c>
      <c r="O262" s="15">
        <f>IF($I262="","",ROW()-ROW($I$5))</f>
        <v/>
      </c>
    </row>
    <row r="263">
      <c r="A263" s="7">
        <f>IF(VERI_A!A263="","",VERI_A!A263)</f>
        <v/>
      </c>
      <c r="B263" s="15">
        <f>UPPER(TRIM(SUBSTITUTE($A263," ","")))</f>
        <v/>
      </c>
      <c r="C263" s="15">
        <f>IF($B263="",0,LEN($B263))</f>
        <v/>
      </c>
      <c r="D263" s="15">
        <f>IF($B263="","",LEFT($B263,kdo_ikincilUzunluk))</f>
        <v/>
      </c>
      <c r="E263" s="15">
        <f>"A"</f>
        <v/>
      </c>
      <c r="F263" s="15">
        <f>IF($B263="","",IF(COUNTIF(tblAnahtarA[Norm],$B263)&gt;1,"EVET","HAYIR"))</f>
        <v/>
      </c>
      <c r="G263" s="15">
        <f>IF($A263="","",ROW()-ROW($A$5))</f>
        <v/>
      </c>
      <c r="I263" s="7">
        <f>IF(VERI_B!A263="","",VERI_B!A263)</f>
        <v/>
      </c>
      <c r="J263" s="15">
        <f>UPPER(TRIM(SUBSTITUTE($I263," ","")))</f>
        <v/>
      </c>
      <c r="K263" s="15">
        <f>IF($J263="",0,LEN($J263))</f>
        <v/>
      </c>
      <c r="L263" s="15">
        <f>IF($J263="","",LEFT($J263,kdo_ikincilUzunluk))</f>
        <v/>
      </c>
      <c r="M263" s="15">
        <f>"B"</f>
        <v/>
      </c>
      <c r="N263" s="15">
        <f>IF($J263="","",IF(COUNTIF(tblAnahtarB[NormB],$J263)&gt;1,"EVET","HAYIR"))</f>
        <v/>
      </c>
      <c r="O263" s="15">
        <f>IF($I263="","",ROW()-ROW($I$5))</f>
        <v/>
      </c>
    </row>
    <row r="264">
      <c r="A264" s="7">
        <f>IF(VERI_A!A264="","",VERI_A!A264)</f>
        <v/>
      </c>
      <c r="B264" s="15">
        <f>UPPER(TRIM(SUBSTITUTE($A264," ","")))</f>
        <v/>
      </c>
      <c r="C264" s="15">
        <f>IF($B264="",0,LEN($B264))</f>
        <v/>
      </c>
      <c r="D264" s="15">
        <f>IF($B264="","",LEFT($B264,kdo_ikincilUzunluk))</f>
        <v/>
      </c>
      <c r="E264" s="15">
        <f>"A"</f>
        <v/>
      </c>
      <c r="F264" s="15">
        <f>IF($B264="","",IF(COUNTIF(tblAnahtarA[Norm],$B264)&gt;1,"EVET","HAYIR"))</f>
        <v/>
      </c>
      <c r="G264" s="15">
        <f>IF($A264="","",ROW()-ROW($A$5))</f>
        <v/>
      </c>
      <c r="I264" s="7">
        <f>IF(VERI_B!A264="","",VERI_B!A264)</f>
        <v/>
      </c>
      <c r="J264" s="15">
        <f>UPPER(TRIM(SUBSTITUTE($I264," ","")))</f>
        <v/>
      </c>
      <c r="K264" s="15">
        <f>IF($J264="",0,LEN($J264))</f>
        <v/>
      </c>
      <c r="L264" s="15">
        <f>IF($J264="","",LEFT($J264,kdo_ikincilUzunluk))</f>
        <v/>
      </c>
      <c r="M264" s="15">
        <f>"B"</f>
        <v/>
      </c>
      <c r="N264" s="15">
        <f>IF($J264="","",IF(COUNTIF(tblAnahtarB[NormB],$J264)&gt;1,"EVET","HAYIR"))</f>
        <v/>
      </c>
      <c r="O264" s="15">
        <f>IF($I264="","",ROW()-ROW($I$5))</f>
        <v/>
      </c>
    </row>
    <row r="265">
      <c r="A265" s="7">
        <f>IF(VERI_A!A265="","",VERI_A!A265)</f>
        <v/>
      </c>
      <c r="B265" s="15">
        <f>UPPER(TRIM(SUBSTITUTE($A265," ","")))</f>
        <v/>
      </c>
      <c r="C265" s="15">
        <f>IF($B265="",0,LEN($B265))</f>
        <v/>
      </c>
      <c r="D265" s="15">
        <f>IF($B265="","",LEFT($B265,kdo_ikincilUzunluk))</f>
        <v/>
      </c>
      <c r="E265" s="15">
        <f>"A"</f>
        <v/>
      </c>
      <c r="F265" s="15">
        <f>IF($B265="","",IF(COUNTIF(tblAnahtarA[Norm],$B265)&gt;1,"EVET","HAYIR"))</f>
        <v/>
      </c>
      <c r="G265" s="15">
        <f>IF($A265="","",ROW()-ROW($A$5))</f>
        <v/>
      </c>
      <c r="I265" s="7">
        <f>IF(VERI_B!A265="","",VERI_B!A265)</f>
        <v/>
      </c>
      <c r="J265" s="15">
        <f>UPPER(TRIM(SUBSTITUTE($I265," ","")))</f>
        <v/>
      </c>
      <c r="K265" s="15">
        <f>IF($J265="",0,LEN($J265))</f>
        <v/>
      </c>
      <c r="L265" s="15">
        <f>IF($J265="","",LEFT($J265,kdo_ikincilUzunluk))</f>
        <v/>
      </c>
      <c r="M265" s="15">
        <f>"B"</f>
        <v/>
      </c>
      <c r="N265" s="15">
        <f>IF($J265="","",IF(COUNTIF(tblAnahtarB[NormB],$J265)&gt;1,"EVET","HAYIR"))</f>
        <v/>
      </c>
      <c r="O265" s="15">
        <f>IF($I265="","",ROW()-ROW($I$5))</f>
        <v/>
      </c>
    </row>
    <row r="266">
      <c r="A266" s="7">
        <f>IF(VERI_A!A266="","",VERI_A!A266)</f>
        <v/>
      </c>
      <c r="B266" s="15">
        <f>UPPER(TRIM(SUBSTITUTE($A266," ","")))</f>
        <v/>
      </c>
      <c r="C266" s="15">
        <f>IF($B266="",0,LEN($B266))</f>
        <v/>
      </c>
      <c r="D266" s="15">
        <f>IF($B266="","",LEFT($B266,kdo_ikincilUzunluk))</f>
        <v/>
      </c>
      <c r="E266" s="15">
        <f>"A"</f>
        <v/>
      </c>
      <c r="F266" s="15">
        <f>IF($B266="","",IF(COUNTIF(tblAnahtarA[Norm],$B266)&gt;1,"EVET","HAYIR"))</f>
        <v/>
      </c>
      <c r="G266" s="15">
        <f>IF($A266="","",ROW()-ROW($A$5))</f>
        <v/>
      </c>
      <c r="I266" s="7">
        <f>IF(VERI_B!A266="","",VERI_B!A266)</f>
        <v/>
      </c>
      <c r="J266" s="15">
        <f>UPPER(TRIM(SUBSTITUTE($I266," ","")))</f>
        <v/>
      </c>
      <c r="K266" s="15">
        <f>IF($J266="",0,LEN($J266))</f>
        <v/>
      </c>
      <c r="L266" s="15">
        <f>IF($J266="","",LEFT($J266,kdo_ikincilUzunluk))</f>
        <v/>
      </c>
      <c r="M266" s="15">
        <f>"B"</f>
        <v/>
      </c>
      <c r="N266" s="15">
        <f>IF($J266="","",IF(COUNTIF(tblAnahtarB[NormB],$J266)&gt;1,"EVET","HAYIR"))</f>
        <v/>
      </c>
      <c r="O266" s="15">
        <f>IF($I266="","",ROW()-ROW($I$5))</f>
        <v/>
      </c>
    </row>
    <row r="267">
      <c r="A267" s="7">
        <f>IF(VERI_A!A267="","",VERI_A!A267)</f>
        <v/>
      </c>
      <c r="B267" s="15">
        <f>UPPER(TRIM(SUBSTITUTE($A267," ","")))</f>
        <v/>
      </c>
      <c r="C267" s="15">
        <f>IF($B267="",0,LEN($B267))</f>
        <v/>
      </c>
      <c r="D267" s="15">
        <f>IF($B267="","",LEFT($B267,kdo_ikincilUzunluk))</f>
        <v/>
      </c>
      <c r="E267" s="15">
        <f>"A"</f>
        <v/>
      </c>
      <c r="F267" s="15">
        <f>IF($B267="","",IF(COUNTIF(tblAnahtarA[Norm],$B267)&gt;1,"EVET","HAYIR"))</f>
        <v/>
      </c>
      <c r="G267" s="15">
        <f>IF($A267="","",ROW()-ROW($A$5))</f>
        <v/>
      </c>
      <c r="I267" s="7">
        <f>IF(VERI_B!A267="","",VERI_B!A267)</f>
        <v/>
      </c>
      <c r="J267" s="15">
        <f>UPPER(TRIM(SUBSTITUTE($I267," ","")))</f>
        <v/>
      </c>
      <c r="K267" s="15">
        <f>IF($J267="",0,LEN($J267))</f>
        <v/>
      </c>
      <c r="L267" s="15">
        <f>IF($J267="","",LEFT($J267,kdo_ikincilUzunluk))</f>
        <v/>
      </c>
      <c r="M267" s="15">
        <f>"B"</f>
        <v/>
      </c>
      <c r="N267" s="15">
        <f>IF($J267="","",IF(COUNTIF(tblAnahtarB[NormB],$J267)&gt;1,"EVET","HAYIR"))</f>
        <v/>
      </c>
      <c r="O267" s="15">
        <f>IF($I267="","",ROW()-ROW($I$5))</f>
        <v/>
      </c>
    </row>
    <row r="268">
      <c r="A268" s="7">
        <f>IF(VERI_A!A268="","",VERI_A!A268)</f>
        <v/>
      </c>
      <c r="B268" s="15">
        <f>UPPER(TRIM(SUBSTITUTE($A268," ","")))</f>
        <v/>
      </c>
      <c r="C268" s="15">
        <f>IF($B268="",0,LEN($B268))</f>
        <v/>
      </c>
      <c r="D268" s="15">
        <f>IF($B268="","",LEFT($B268,kdo_ikincilUzunluk))</f>
        <v/>
      </c>
      <c r="E268" s="15">
        <f>"A"</f>
        <v/>
      </c>
      <c r="F268" s="15">
        <f>IF($B268="","",IF(COUNTIF(tblAnahtarA[Norm],$B268)&gt;1,"EVET","HAYIR"))</f>
        <v/>
      </c>
      <c r="G268" s="15">
        <f>IF($A268="","",ROW()-ROW($A$5))</f>
        <v/>
      </c>
      <c r="I268" s="7">
        <f>IF(VERI_B!A268="","",VERI_B!A268)</f>
        <v/>
      </c>
      <c r="J268" s="15">
        <f>UPPER(TRIM(SUBSTITUTE($I268," ","")))</f>
        <v/>
      </c>
      <c r="K268" s="15">
        <f>IF($J268="",0,LEN($J268))</f>
        <v/>
      </c>
      <c r="L268" s="15">
        <f>IF($J268="","",LEFT($J268,kdo_ikincilUzunluk))</f>
        <v/>
      </c>
      <c r="M268" s="15">
        <f>"B"</f>
        <v/>
      </c>
      <c r="N268" s="15">
        <f>IF($J268="","",IF(COUNTIF(tblAnahtarB[NormB],$J268)&gt;1,"EVET","HAYIR"))</f>
        <v/>
      </c>
      <c r="O268" s="15">
        <f>IF($I268="","",ROW()-ROW($I$5))</f>
        <v/>
      </c>
    </row>
    <row r="269">
      <c r="A269" s="7">
        <f>IF(VERI_A!A269="","",VERI_A!A269)</f>
        <v/>
      </c>
      <c r="B269" s="15">
        <f>UPPER(TRIM(SUBSTITUTE($A269," ","")))</f>
        <v/>
      </c>
      <c r="C269" s="15">
        <f>IF($B269="",0,LEN($B269))</f>
        <v/>
      </c>
      <c r="D269" s="15">
        <f>IF($B269="","",LEFT($B269,kdo_ikincilUzunluk))</f>
        <v/>
      </c>
      <c r="E269" s="15">
        <f>"A"</f>
        <v/>
      </c>
      <c r="F269" s="15">
        <f>IF($B269="","",IF(COUNTIF(tblAnahtarA[Norm],$B269)&gt;1,"EVET","HAYIR"))</f>
        <v/>
      </c>
      <c r="G269" s="15">
        <f>IF($A269="","",ROW()-ROW($A$5))</f>
        <v/>
      </c>
      <c r="I269" s="7">
        <f>IF(VERI_B!A269="","",VERI_B!A269)</f>
        <v/>
      </c>
      <c r="J269" s="15">
        <f>UPPER(TRIM(SUBSTITUTE($I269," ","")))</f>
        <v/>
      </c>
      <c r="K269" s="15">
        <f>IF($J269="",0,LEN($J269))</f>
        <v/>
      </c>
      <c r="L269" s="15">
        <f>IF($J269="","",LEFT($J269,kdo_ikincilUzunluk))</f>
        <v/>
      </c>
      <c r="M269" s="15">
        <f>"B"</f>
        <v/>
      </c>
      <c r="N269" s="15">
        <f>IF($J269="","",IF(COUNTIF(tblAnahtarB[NormB],$J269)&gt;1,"EVET","HAYIR"))</f>
        <v/>
      </c>
      <c r="O269" s="15">
        <f>IF($I269="","",ROW()-ROW($I$5))</f>
        <v/>
      </c>
    </row>
    <row r="270">
      <c r="A270" s="7">
        <f>IF(VERI_A!A270="","",VERI_A!A270)</f>
        <v/>
      </c>
      <c r="B270" s="15">
        <f>UPPER(TRIM(SUBSTITUTE($A270," ","")))</f>
        <v/>
      </c>
      <c r="C270" s="15">
        <f>IF($B270="",0,LEN($B270))</f>
        <v/>
      </c>
      <c r="D270" s="15">
        <f>IF($B270="","",LEFT($B270,kdo_ikincilUzunluk))</f>
        <v/>
      </c>
      <c r="E270" s="15">
        <f>"A"</f>
        <v/>
      </c>
      <c r="F270" s="15">
        <f>IF($B270="","",IF(COUNTIF(tblAnahtarA[Norm],$B270)&gt;1,"EVET","HAYIR"))</f>
        <v/>
      </c>
      <c r="G270" s="15">
        <f>IF($A270="","",ROW()-ROW($A$5))</f>
        <v/>
      </c>
      <c r="I270" s="7">
        <f>IF(VERI_B!A270="","",VERI_B!A270)</f>
        <v/>
      </c>
      <c r="J270" s="15">
        <f>UPPER(TRIM(SUBSTITUTE($I270," ","")))</f>
        <v/>
      </c>
      <c r="K270" s="15">
        <f>IF($J270="",0,LEN($J270))</f>
        <v/>
      </c>
      <c r="L270" s="15">
        <f>IF($J270="","",LEFT($J270,kdo_ikincilUzunluk))</f>
        <v/>
      </c>
      <c r="M270" s="15">
        <f>"B"</f>
        <v/>
      </c>
      <c r="N270" s="15">
        <f>IF($J270="","",IF(COUNTIF(tblAnahtarB[NormB],$J270)&gt;1,"EVET","HAYIR"))</f>
        <v/>
      </c>
      <c r="O270" s="15">
        <f>IF($I270="","",ROW()-ROW($I$5))</f>
        <v/>
      </c>
    </row>
    <row r="271">
      <c r="A271" s="7">
        <f>IF(VERI_A!A271="","",VERI_A!A271)</f>
        <v/>
      </c>
      <c r="B271" s="15">
        <f>UPPER(TRIM(SUBSTITUTE($A271," ","")))</f>
        <v/>
      </c>
      <c r="C271" s="15">
        <f>IF($B271="",0,LEN($B271))</f>
        <v/>
      </c>
      <c r="D271" s="15">
        <f>IF($B271="","",LEFT($B271,kdo_ikincilUzunluk))</f>
        <v/>
      </c>
      <c r="E271" s="15">
        <f>"A"</f>
        <v/>
      </c>
      <c r="F271" s="15">
        <f>IF($B271="","",IF(COUNTIF(tblAnahtarA[Norm],$B271)&gt;1,"EVET","HAYIR"))</f>
        <v/>
      </c>
      <c r="G271" s="15">
        <f>IF($A271="","",ROW()-ROW($A$5))</f>
        <v/>
      </c>
      <c r="I271" s="7">
        <f>IF(VERI_B!A271="","",VERI_B!A271)</f>
        <v/>
      </c>
      <c r="J271" s="15">
        <f>UPPER(TRIM(SUBSTITUTE($I271," ","")))</f>
        <v/>
      </c>
      <c r="K271" s="15">
        <f>IF($J271="",0,LEN($J271))</f>
        <v/>
      </c>
      <c r="L271" s="15">
        <f>IF($J271="","",LEFT($J271,kdo_ikincilUzunluk))</f>
        <v/>
      </c>
      <c r="M271" s="15">
        <f>"B"</f>
        <v/>
      </c>
      <c r="N271" s="15">
        <f>IF($J271="","",IF(COUNTIF(tblAnahtarB[NormB],$J271)&gt;1,"EVET","HAYIR"))</f>
        <v/>
      </c>
      <c r="O271" s="15">
        <f>IF($I271="","",ROW()-ROW($I$5))</f>
        <v/>
      </c>
    </row>
    <row r="272">
      <c r="A272" s="7">
        <f>IF(VERI_A!A272="","",VERI_A!A272)</f>
        <v/>
      </c>
      <c r="B272" s="15">
        <f>UPPER(TRIM(SUBSTITUTE($A272," ","")))</f>
        <v/>
      </c>
      <c r="C272" s="15">
        <f>IF($B272="",0,LEN($B272))</f>
        <v/>
      </c>
      <c r="D272" s="15">
        <f>IF($B272="","",LEFT($B272,kdo_ikincilUzunluk))</f>
        <v/>
      </c>
      <c r="E272" s="15">
        <f>"A"</f>
        <v/>
      </c>
      <c r="F272" s="15">
        <f>IF($B272="","",IF(COUNTIF(tblAnahtarA[Norm],$B272)&gt;1,"EVET","HAYIR"))</f>
        <v/>
      </c>
      <c r="G272" s="15">
        <f>IF($A272="","",ROW()-ROW($A$5))</f>
        <v/>
      </c>
      <c r="I272" s="7">
        <f>IF(VERI_B!A272="","",VERI_B!A272)</f>
        <v/>
      </c>
      <c r="J272" s="15">
        <f>UPPER(TRIM(SUBSTITUTE($I272," ","")))</f>
        <v/>
      </c>
      <c r="K272" s="15">
        <f>IF($J272="",0,LEN($J272))</f>
        <v/>
      </c>
      <c r="L272" s="15">
        <f>IF($J272="","",LEFT($J272,kdo_ikincilUzunluk))</f>
        <v/>
      </c>
      <c r="M272" s="15">
        <f>"B"</f>
        <v/>
      </c>
      <c r="N272" s="15">
        <f>IF($J272="","",IF(COUNTIF(tblAnahtarB[NormB],$J272)&gt;1,"EVET","HAYIR"))</f>
        <v/>
      </c>
      <c r="O272" s="15">
        <f>IF($I272="","",ROW()-ROW($I$5))</f>
        <v/>
      </c>
    </row>
    <row r="273">
      <c r="A273" s="7">
        <f>IF(VERI_A!A273="","",VERI_A!A273)</f>
        <v/>
      </c>
      <c r="B273" s="15">
        <f>UPPER(TRIM(SUBSTITUTE($A273," ","")))</f>
        <v/>
      </c>
      <c r="C273" s="15">
        <f>IF($B273="",0,LEN($B273))</f>
        <v/>
      </c>
      <c r="D273" s="15">
        <f>IF($B273="","",LEFT($B273,kdo_ikincilUzunluk))</f>
        <v/>
      </c>
      <c r="E273" s="15">
        <f>"A"</f>
        <v/>
      </c>
      <c r="F273" s="15">
        <f>IF($B273="","",IF(COUNTIF(tblAnahtarA[Norm],$B273)&gt;1,"EVET","HAYIR"))</f>
        <v/>
      </c>
      <c r="G273" s="15">
        <f>IF($A273="","",ROW()-ROW($A$5))</f>
        <v/>
      </c>
      <c r="I273" s="7">
        <f>IF(VERI_B!A273="","",VERI_B!A273)</f>
        <v/>
      </c>
      <c r="J273" s="15">
        <f>UPPER(TRIM(SUBSTITUTE($I273," ","")))</f>
        <v/>
      </c>
      <c r="K273" s="15">
        <f>IF($J273="",0,LEN($J273))</f>
        <v/>
      </c>
      <c r="L273" s="15">
        <f>IF($J273="","",LEFT($J273,kdo_ikincilUzunluk))</f>
        <v/>
      </c>
      <c r="M273" s="15">
        <f>"B"</f>
        <v/>
      </c>
      <c r="N273" s="15">
        <f>IF($J273="","",IF(COUNTIF(tblAnahtarB[NormB],$J273)&gt;1,"EVET","HAYIR"))</f>
        <v/>
      </c>
      <c r="O273" s="15">
        <f>IF($I273="","",ROW()-ROW($I$5))</f>
        <v/>
      </c>
    </row>
    <row r="274">
      <c r="A274" s="7">
        <f>IF(VERI_A!A274="","",VERI_A!A274)</f>
        <v/>
      </c>
      <c r="B274" s="15">
        <f>UPPER(TRIM(SUBSTITUTE($A274," ","")))</f>
        <v/>
      </c>
      <c r="C274" s="15">
        <f>IF($B274="",0,LEN($B274))</f>
        <v/>
      </c>
      <c r="D274" s="15">
        <f>IF($B274="","",LEFT($B274,kdo_ikincilUzunluk))</f>
        <v/>
      </c>
      <c r="E274" s="15">
        <f>"A"</f>
        <v/>
      </c>
      <c r="F274" s="15">
        <f>IF($B274="","",IF(COUNTIF(tblAnahtarA[Norm],$B274)&gt;1,"EVET","HAYIR"))</f>
        <v/>
      </c>
      <c r="G274" s="15">
        <f>IF($A274="","",ROW()-ROW($A$5))</f>
        <v/>
      </c>
      <c r="I274" s="7">
        <f>IF(VERI_B!A274="","",VERI_B!A274)</f>
        <v/>
      </c>
      <c r="J274" s="15">
        <f>UPPER(TRIM(SUBSTITUTE($I274," ","")))</f>
        <v/>
      </c>
      <c r="K274" s="15">
        <f>IF($J274="",0,LEN($J274))</f>
        <v/>
      </c>
      <c r="L274" s="15">
        <f>IF($J274="","",LEFT($J274,kdo_ikincilUzunluk))</f>
        <v/>
      </c>
      <c r="M274" s="15">
        <f>"B"</f>
        <v/>
      </c>
      <c r="N274" s="15">
        <f>IF($J274="","",IF(COUNTIF(tblAnahtarB[NormB],$J274)&gt;1,"EVET","HAYIR"))</f>
        <v/>
      </c>
      <c r="O274" s="15">
        <f>IF($I274="","",ROW()-ROW($I$5))</f>
        <v/>
      </c>
    </row>
    <row r="275">
      <c r="A275" s="7">
        <f>IF(VERI_A!A275="","",VERI_A!A275)</f>
        <v/>
      </c>
      <c r="B275" s="15">
        <f>UPPER(TRIM(SUBSTITUTE($A275," ","")))</f>
        <v/>
      </c>
      <c r="C275" s="15">
        <f>IF($B275="",0,LEN($B275))</f>
        <v/>
      </c>
      <c r="D275" s="15">
        <f>IF($B275="","",LEFT($B275,kdo_ikincilUzunluk))</f>
        <v/>
      </c>
      <c r="E275" s="15">
        <f>"A"</f>
        <v/>
      </c>
      <c r="F275" s="15">
        <f>IF($B275="","",IF(COUNTIF(tblAnahtarA[Norm],$B275)&gt;1,"EVET","HAYIR"))</f>
        <v/>
      </c>
      <c r="G275" s="15">
        <f>IF($A275="","",ROW()-ROW($A$5))</f>
        <v/>
      </c>
      <c r="I275" s="7">
        <f>IF(VERI_B!A275="","",VERI_B!A275)</f>
        <v/>
      </c>
      <c r="J275" s="15">
        <f>UPPER(TRIM(SUBSTITUTE($I275," ","")))</f>
        <v/>
      </c>
      <c r="K275" s="15">
        <f>IF($J275="",0,LEN($J275))</f>
        <v/>
      </c>
      <c r="L275" s="15">
        <f>IF($J275="","",LEFT($J275,kdo_ikincilUzunluk))</f>
        <v/>
      </c>
      <c r="M275" s="15">
        <f>"B"</f>
        <v/>
      </c>
      <c r="N275" s="15">
        <f>IF($J275="","",IF(COUNTIF(tblAnahtarB[NormB],$J275)&gt;1,"EVET","HAYIR"))</f>
        <v/>
      </c>
      <c r="O275" s="15">
        <f>IF($I275="","",ROW()-ROW($I$5))</f>
        <v/>
      </c>
    </row>
    <row r="276">
      <c r="A276" s="7">
        <f>IF(VERI_A!A276="","",VERI_A!A276)</f>
        <v/>
      </c>
      <c r="B276" s="15">
        <f>UPPER(TRIM(SUBSTITUTE($A276," ","")))</f>
        <v/>
      </c>
      <c r="C276" s="15">
        <f>IF($B276="",0,LEN($B276))</f>
        <v/>
      </c>
      <c r="D276" s="15">
        <f>IF($B276="","",LEFT($B276,kdo_ikincilUzunluk))</f>
        <v/>
      </c>
      <c r="E276" s="15">
        <f>"A"</f>
        <v/>
      </c>
      <c r="F276" s="15">
        <f>IF($B276="","",IF(COUNTIF(tblAnahtarA[Norm],$B276)&gt;1,"EVET","HAYIR"))</f>
        <v/>
      </c>
      <c r="G276" s="15">
        <f>IF($A276="","",ROW()-ROW($A$5))</f>
        <v/>
      </c>
      <c r="I276" s="7">
        <f>IF(VERI_B!A276="","",VERI_B!A276)</f>
        <v/>
      </c>
      <c r="J276" s="15">
        <f>UPPER(TRIM(SUBSTITUTE($I276," ","")))</f>
        <v/>
      </c>
      <c r="K276" s="15">
        <f>IF($J276="",0,LEN($J276))</f>
        <v/>
      </c>
      <c r="L276" s="15">
        <f>IF($J276="","",LEFT($J276,kdo_ikincilUzunluk))</f>
        <v/>
      </c>
      <c r="M276" s="15">
        <f>"B"</f>
        <v/>
      </c>
      <c r="N276" s="15">
        <f>IF($J276="","",IF(COUNTIF(tblAnahtarB[NormB],$J276)&gt;1,"EVET","HAYIR"))</f>
        <v/>
      </c>
      <c r="O276" s="15">
        <f>IF($I276="","",ROW()-ROW($I$5))</f>
        <v/>
      </c>
    </row>
    <row r="277">
      <c r="A277" s="7">
        <f>IF(VERI_A!A277="","",VERI_A!A277)</f>
        <v/>
      </c>
      <c r="B277" s="15">
        <f>UPPER(TRIM(SUBSTITUTE($A277," ","")))</f>
        <v/>
      </c>
      <c r="C277" s="15">
        <f>IF($B277="",0,LEN($B277))</f>
        <v/>
      </c>
      <c r="D277" s="15">
        <f>IF($B277="","",LEFT($B277,kdo_ikincilUzunluk))</f>
        <v/>
      </c>
      <c r="E277" s="15">
        <f>"A"</f>
        <v/>
      </c>
      <c r="F277" s="15">
        <f>IF($B277="","",IF(COUNTIF(tblAnahtarA[Norm],$B277)&gt;1,"EVET","HAYIR"))</f>
        <v/>
      </c>
      <c r="G277" s="15">
        <f>IF($A277="","",ROW()-ROW($A$5))</f>
        <v/>
      </c>
      <c r="I277" s="7">
        <f>IF(VERI_B!A277="","",VERI_B!A277)</f>
        <v/>
      </c>
      <c r="J277" s="15">
        <f>UPPER(TRIM(SUBSTITUTE($I277," ","")))</f>
        <v/>
      </c>
      <c r="K277" s="15">
        <f>IF($J277="",0,LEN($J277))</f>
        <v/>
      </c>
      <c r="L277" s="15">
        <f>IF($J277="","",LEFT($J277,kdo_ikincilUzunluk))</f>
        <v/>
      </c>
      <c r="M277" s="15">
        <f>"B"</f>
        <v/>
      </c>
      <c r="N277" s="15">
        <f>IF($J277="","",IF(COUNTIF(tblAnahtarB[NormB],$J277)&gt;1,"EVET","HAYIR"))</f>
        <v/>
      </c>
      <c r="O277" s="15">
        <f>IF($I277="","",ROW()-ROW($I$5))</f>
        <v/>
      </c>
    </row>
    <row r="278">
      <c r="A278" s="7">
        <f>IF(VERI_A!A278="","",VERI_A!A278)</f>
        <v/>
      </c>
      <c r="B278" s="15">
        <f>UPPER(TRIM(SUBSTITUTE($A278," ","")))</f>
        <v/>
      </c>
      <c r="C278" s="15">
        <f>IF($B278="",0,LEN($B278))</f>
        <v/>
      </c>
      <c r="D278" s="15">
        <f>IF($B278="","",LEFT($B278,kdo_ikincilUzunluk))</f>
        <v/>
      </c>
      <c r="E278" s="15">
        <f>"A"</f>
        <v/>
      </c>
      <c r="F278" s="15">
        <f>IF($B278="","",IF(COUNTIF(tblAnahtarA[Norm],$B278)&gt;1,"EVET","HAYIR"))</f>
        <v/>
      </c>
      <c r="G278" s="15">
        <f>IF($A278="","",ROW()-ROW($A$5))</f>
        <v/>
      </c>
      <c r="I278" s="7">
        <f>IF(VERI_B!A278="","",VERI_B!A278)</f>
        <v/>
      </c>
      <c r="J278" s="15">
        <f>UPPER(TRIM(SUBSTITUTE($I278," ","")))</f>
        <v/>
      </c>
      <c r="K278" s="15">
        <f>IF($J278="",0,LEN($J278))</f>
        <v/>
      </c>
      <c r="L278" s="15">
        <f>IF($J278="","",LEFT($J278,kdo_ikincilUzunluk))</f>
        <v/>
      </c>
      <c r="M278" s="15">
        <f>"B"</f>
        <v/>
      </c>
      <c r="N278" s="15">
        <f>IF($J278="","",IF(COUNTIF(tblAnahtarB[NormB],$J278)&gt;1,"EVET","HAYIR"))</f>
        <v/>
      </c>
      <c r="O278" s="15">
        <f>IF($I278="","",ROW()-ROW($I$5))</f>
        <v/>
      </c>
    </row>
    <row r="279">
      <c r="A279" s="7">
        <f>IF(VERI_A!A279="","",VERI_A!A279)</f>
        <v/>
      </c>
      <c r="B279" s="15">
        <f>UPPER(TRIM(SUBSTITUTE($A279," ","")))</f>
        <v/>
      </c>
      <c r="C279" s="15">
        <f>IF($B279="",0,LEN($B279))</f>
        <v/>
      </c>
      <c r="D279" s="15">
        <f>IF($B279="","",LEFT($B279,kdo_ikincilUzunluk))</f>
        <v/>
      </c>
      <c r="E279" s="15">
        <f>"A"</f>
        <v/>
      </c>
      <c r="F279" s="15">
        <f>IF($B279="","",IF(COUNTIF(tblAnahtarA[Norm],$B279)&gt;1,"EVET","HAYIR"))</f>
        <v/>
      </c>
      <c r="G279" s="15">
        <f>IF($A279="","",ROW()-ROW($A$5))</f>
        <v/>
      </c>
      <c r="I279" s="7">
        <f>IF(VERI_B!A279="","",VERI_B!A279)</f>
        <v/>
      </c>
      <c r="J279" s="15">
        <f>UPPER(TRIM(SUBSTITUTE($I279," ","")))</f>
        <v/>
      </c>
      <c r="K279" s="15">
        <f>IF($J279="",0,LEN($J279))</f>
        <v/>
      </c>
      <c r="L279" s="15">
        <f>IF($J279="","",LEFT($J279,kdo_ikincilUzunluk))</f>
        <v/>
      </c>
      <c r="M279" s="15">
        <f>"B"</f>
        <v/>
      </c>
      <c r="N279" s="15">
        <f>IF($J279="","",IF(COUNTIF(tblAnahtarB[NormB],$J279)&gt;1,"EVET","HAYIR"))</f>
        <v/>
      </c>
      <c r="O279" s="15">
        <f>IF($I279="","",ROW()-ROW($I$5))</f>
        <v/>
      </c>
    </row>
    <row r="280">
      <c r="A280" s="7">
        <f>IF(VERI_A!A280="","",VERI_A!A280)</f>
        <v/>
      </c>
      <c r="B280" s="15">
        <f>UPPER(TRIM(SUBSTITUTE($A280," ","")))</f>
        <v/>
      </c>
      <c r="C280" s="15">
        <f>IF($B280="",0,LEN($B280))</f>
        <v/>
      </c>
      <c r="D280" s="15">
        <f>IF($B280="","",LEFT($B280,kdo_ikincilUzunluk))</f>
        <v/>
      </c>
      <c r="E280" s="15">
        <f>"A"</f>
        <v/>
      </c>
      <c r="F280" s="15">
        <f>IF($B280="","",IF(COUNTIF(tblAnahtarA[Norm],$B280)&gt;1,"EVET","HAYIR"))</f>
        <v/>
      </c>
      <c r="G280" s="15">
        <f>IF($A280="","",ROW()-ROW($A$5))</f>
        <v/>
      </c>
      <c r="I280" s="7">
        <f>IF(VERI_B!A280="","",VERI_B!A280)</f>
        <v/>
      </c>
      <c r="J280" s="15">
        <f>UPPER(TRIM(SUBSTITUTE($I280," ","")))</f>
        <v/>
      </c>
      <c r="K280" s="15">
        <f>IF($J280="",0,LEN($J280))</f>
        <v/>
      </c>
      <c r="L280" s="15">
        <f>IF($J280="","",LEFT($J280,kdo_ikincilUzunluk))</f>
        <v/>
      </c>
      <c r="M280" s="15">
        <f>"B"</f>
        <v/>
      </c>
      <c r="N280" s="15">
        <f>IF($J280="","",IF(COUNTIF(tblAnahtarB[NormB],$J280)&gt;1,"EVET","HAYIR"))</f>
        <v/>
      </c>
      <c r="O280" s="15">
        <f>IF($I280="","",ROW()-ROW($I$5))</f>
        <v/>
      </c>
    </row>
    <row r="281">
      <c r="A281" s="7">
        <f>IF(VERI_A!A281="","",VERI_A!A281)</f>
        <v/>
      </c>
      <c r="B281" s="15">
        <f>UPPER(TRIM(SUBSTITUTE($A281," ","")))</f>
        <v/>
      </c>
      <c r="C281" s="15">
        <f>IF($B281="",0,LEN($B281))</f>
        <v/>
      </c>
      <c r="D281" s="15">
        <f>IF($B281="","",LEFT($B281,kdo_ikincilUzunluk))</f>
        <v/>
      </c>
      <c r="E281" s="15">
        <f>"A"</f>
        <v/>
      </c>
      <c r="F281" s="15">
        <f>IF($B281="","",IF(COUNTIF(tblAnahtarA[Norm],$B281)&gt;1,"EVET","HAYIR"))</f>
        <v/>
      </c>
      <c r="G281" s="15">
        <f>IF($A281="","",ROW()-ROW($A$5))</f>
        <v/>
      </c>
      <c r="I281" s="7">
        <f>IF(VERI_B!A281="","",VERI_B!A281)</f>
        <v/>
      </c>
      <c r="J281" s="15">
        <f>UPPER(TRIM(SUBSTITUTE($I281," ","")))</f>
        <v/>
      </c>
      <c r="K281" s="15">
        <f>IF($J281="",0,LEN($J281))</f>
        <v/>
      </c>
      <c r="L281" s="15">
        <f>IF($J281="","",LEFT($J281,kdo_ikincilUzunluk))</f>
        <v/>
      </c>
      <c r="M281" s="15">
        <f>"B"</f>
        <v/>
      </c>
      <c r="N281" s="15">
        <f>IF($J281="","",IF(COUNTIF(tblAnahtarB[NormB],$J281)&gt;1,"EVET","HAYIR"))</f>
        <v/>
      </c>
      <c r="O281" s="15">
        <f>IF($I281="","",ROW()-ROW($I$5))</f>
        <v/>
      </c>
    </row>
    <row r="282">
      <c r="A282" s="7">
        <f>IF(VERI_A!A282="","",VERI_A!A282)</f>
        <v/>
      </c>
      <c r="B282" s="15">
        <f>UPPER(TRIM(SUBSTITUTE($A282," ","")))</f>
        <v/>
      </c>
      <c r="C282" s="15">
        <f>IF($B282="",0,LEN($B282))</f>
        <v/>
      </c>
      <c r="D282" s="15">
        <f>IF($B282="","",LEFT($B282,kdo_ikincilUzunluk))</f>
        <v/>
      </c>
      <c r="E282" s="15">
        <f>"A"</f>
        <v/>
      </c>
      <c r="F282" s="15">
        <f>IF($B282="","",IF(COUNTIF(tblAnahtarA[Norm],$B282)&gt;1,"EVET","HAYIR"))</f>
        <v/>
      </c>
      <c r="G282" s="15">
        <f>IF($A282="","",ROW()-ROW($A$5))</f>
        <v/>
      </c>
      <c r="I282" s="7">
        <f>IF(VERI_B!A282="","",VERI_B!A282)</f>
        <v/>
      </c>
      <c r="J282" s="15">
        <f>UPPER(TRIM(SUBSTITUTE($I282," ","")))</f>
        <v/>
      </c>
      <c r="K282" s="15">
        <f>IF($J282="",0,LEN($J282))</f>
        <v/>
      </c>
      <c r="L282" s="15">
        <f>IF($J282="","",LEFT($J282,kdo_ikincilUzunluk))</f>
        <v/>
      </c>
      <c r="M282" s="15">
        <f>"B"</f>
        <v/>
      </c>
      <c r="N282" s="15">
        <f>IF($J282="","",IF(COUNTIF(tblAnahtarB[NormB],$J282)&gt;1,"EVET","HAYIR"))</f>
        <v/>
      </c>
      <c r="O282" s="15">
        <f>IF($I282="","",ROW()-ROW($I$5))</f>
        <v/>
      </c>
    </row>
    <row r="283">
      <c r="A283" s="7">
        <f>IF(VERI_A!A283="","",VERI_A!A283)</f>
        <v/>
      </c>
      <c r="B283" s="15">
        <f>UPPER(TRIM(SUBSTITUTE($A283," ","")))</f>
        <v/>
      </c>
      <c r="C283" s="15">
        <f>IF($B283="",0,LEN($B283))</f>
        <v/>
      </c>
      <c r="D283" s="15">
        <f>IF($B283="","",LEFT($B283,kdo_ikincilUzunluk))</f>
        <v/>
      </c>
      <c r="E283" s="15">
        <f>"A"</f>
        <v/>
      </c>
      <c r="F283" s="15">
        <f>IF($B283="","",IF(COUNTIF(tblAnahtarA[Norm],$B283)&gt;1,"EVET","HAYIR"))</f>
        <v/>
      </c>
      <c r="G283" s="15">
        <f>IF($A283="","",ROW()-ROW($A$5))</f>
        <v/>
      </c>
      <c r="I283" s="7">
        <f>IF(VERI_B!A283="","",VERI_B!A283)</f>
        <v/>
      </c>
      <c r="J283" s="15">
        <f>UPPER(TRIM(SUBSTITUTE($I283," ","")))</f>
        <v/>
      </c>
      <c r="K283" s="15">
        <f>IF($J283="",0,LEN($J283))</f>
        <v/>
      </c>
      <c r="L283" s="15">
        <f>IF($J283="","",LEFT($J283,kdo_ikincilUzunluk))</f>
        <v/>
      </c>
      <c r="M283" s="15">
        <f>"B"</f>
        <v/>
      </c>
      <c r="N283" s="15">
        <f>IF($J283="","",IF(COUNTIF(tblAnahtarB[NormB],$J283)&gt;1,"EVET","HAYIR"))</f>
        <v/>
      </c>
      <c r="O283" s="15">
        <f>IF($I283="","",ROW()-ROW($I$5))</f>
        <v/>
      </c>
    </row>
    <row r="284">
      <c r="A284" s="7">
        <f>IF(VERI_A!A284="","",VERI_A!A284)</f>
        <v/>
      </c>
      <c r="B284" s="15">
        <f>UPPER(TRIM(SUBSTITUTE($A284," ","")))</f>
        <v/>
      </c>
      <c r="C284" s="15">
        <f>IF($B284="",0,LEN($B284))</f>
        <v/>
      </c>
      <c r="D284" s="15">
        <f>IF($B284="","",LEFT($B284,kdo_ikincilUzunluk))</f>
        <v/>
      </c>
      <c r="E284" s="15">
        <f>"A"</f>
        <v/>
      </c>
      <c r="F284" s="15">
        <f>IF($B284="","",IF(COUNTIF(tblAnahtarA[Norm],$B284)&gt;1,"EVET","HAYIR"))</f>
        <v/>
      </c>
      <c r="G284" s="15">
        <f>IF($A284="","",ROW()-ROW($A$5))</f>
        <v/>
      </c>
      <c r="I284" s="7">
        <f>IF(VERI_B!A284="","",VERI_B!A284)</f>
        <v/>
      </c>
      <c r="J284" s="15">
        <f>UPPER(TRIM(SUBSTITUTE($I284," ","")))</f>
        <v/>
      </c>
      <c r="K284" s="15">
        <f>IF($J284="",0,LEN($J284))</f>
        <v/>
      </c>
      <c r="L284" s="15">
        <f>IF($J284="","",LEFT($J284,kdo_ikincilUzunluk))</f>
        <v/>
      </c>
      <c r="M284" s="15">
        <f>"B"</f>
        <v/>
      </c>
      <c r="N284" s="15">
        <f>IF($J284="","",IF(COUNTIF(tblAnahtarB[NormB],$J284)&gt;1,"EVET","HAYIR"))</f>
        <v/>
      </c>
      <c r="O284" s="15">
        <f>IF($I284="","",ROW()-ROW($I$5))</f>
        <v/>
      </c>
    </row>
    <row r="285">
      <c r="A285" s="7">
        <f>IF(VERI_A!A285="","",VERI_A!A285)</f>
        <v/>
      </c>
      <c r="B285" s="15">
        <f>UPPER(TRIM(SUBSTITUTE($A285," ","")))</f>
        <v/>
      </c>
      <c r="C285" s="15">
        <f>IF($B285="",0,LEN($B285))</f>
        <v/>
      </c>
      <c r="D285" s="15">
        <f>IF($B285="","",LEFT($B285,kdo_ikincilUzunluk))</f>
        <v/>
      </c>
      <c r="E285" s="15">
        <f>"A"</f>
        <v/>
      </c>
      <c r="F285" s="15">
        <f>IF($B285="","",IF(COUNTIF(tblAnahtarA[Norm],$B285)&gt;1,"EVET","HAYIR"))</f>
        <v/>
      </c>
      <c r="G285" s="15">
        <f>IF($A285="","",ROW()-ROW($A$5))</f>
        <v/>
      </c>
      <c r="I285" s="7">
        <f>IF(VERI_B!A285="","",VERI_B!A285)</f>
        <v/>
      </c>
      <c r="J285" s="15">
        <f>UPPER(TRIM(SUBSTITUTE($I285," ","")))</f>
        <v/>
      </c>
      <c r="K285" s="15">
        <f>IF($J285="",0,LEN($J285))</f>
        <v/>
      </c>
      <c r="L285" s="15">
        <f>IF($J285="","",LEFT($J285,kdo_ikincilUzunluk))</f>
        <v/>
      </c>
      <c r="M285" s="15">
        <f>"B"</f>
        <v/>
      </c>
      <c r="N285" s="15">
        <f>IF($J285="","",IF(COUNTIF(tblAnahtarB[NormB],$J285)&gt;1,"EVET","HAYIR"))</f>
        <v/>
      </c>
      <c r="O285" s="15">
        <f>IF($I285="","",ROW()-ROW($I$5))</f>
        <v/>
      </c>
    </row>
    <row r="286">
      <c r="A286" s="7">
        <f>IF(VERI_A!A286="","",VERI_A!A286)</f>
        <v/>
      </c>
      <c r="B286" s="15">
        <f>UPPER(TRIM(SUBSTITUTE($A286," ","")))</f>
        <v/>
      </c>
      <c r="C286" s="15">
        <f>IF($B286="",0,LEN($B286))</f>
        <v/>
      </c>
      <c r="D286" s="15">
        <f>IF($B286="","",LEFT($B286,kdo_ikincilUzunluk))</f>
        <v/>
      </c>
      <c r="E286" s="15">
        <f>"A"</f>
        <v/>
      </c>
      <c r="F286" s="15">
        <f>IF($B286="","",IF(COUNTIF(tblAnahtarA[Norm],$B286)&gt;1,"EVET","HAYIR"))</f>
        <v/>
      </c>
      <c r="G286" s="15">
        <f>IF($A286="","",ROW()-ROW($A$5))</f>
        <v/>
      </c>
      <c r="I286" s="7">
        <f>IF(VERI_B!A286="","",VERI_B!A286)</f>
        <v/>
      </c>
      <c r="J286" s="15">
        <f>UPPER(TRIM(SUBSTITUTE($I286," ","")))</f>
        <v/>
      </c>
      <c r="K286" s="15">
        <f>IF($J286="",0,LEN($J286))</f>
        <v/>
      </c>
      <c r="L286" s="15">
        <f>IF($J286="","",LEFT($J286,kdo_ikincilUzunluk))</f>
        <v/>
      </c>
      <c r="M286" s="15">
        <f>"B"</f>
        <v/>
      </c>
      <c r="N286" s="15">
        <f>IF($J286="","",IF(COUNTIF(tblAnahtarB[NormB],$J286)&gt;1,"EVET","HAYIR"))</f>
        <v/>
      </c>
      <c r="O286" s="15">
        <f>IF($I286="","",ROW()-ROW($I$5))</f>
        <v/>
      </c>
    </row>
    <row r="287">
      <c r="A287" s="7">
        <f>IF(VERI_A!A287="","",VERI_A!A287)</f>
        <v/>
      </c>
      <c r="B287" s="15">
        <f>UPPER(TRIM(SUBSTITUTE($A287," ","")))</f>
        <v/>
      </c>
      <c r="C287" s="15">
        <f>IF($B287="",0,LEN($B287))</f>
        <v/>
      </c>
      <c r="D287" s="15">
        <f>IF($B287="","",LEFT($B287,kdo_ikincilUzunluk))</f>
        <v/>
      </c>
      <c r="E287" s="15">
        <f>"A"</f>
        <v/>
      </c>
      <c r="F287" s="15">
        <f>IF($B287="","",IF(COUNTIF(tblAnahtarA[Norm],$B287)&gt;1,"EVET","HAYIR"))</f>
        <v/>
      </c>
      <c r="G287" s="15">
        <f>IF($A287="","",ROW()-ROW($A$5))</f>
        <v/>
      </c>
      <c r="I287" s="7">
        <f>IF(VERI_B!A287="","",VERI_B!A287)</f>
        <v/>
      </c>
      <c r="J287" s="15">
        <f>UPPER(TRIM(SUBSTITUTE($I287," ","")))</f>
        <v/>
      </c>
      <c r="K287" s="15">
        <f>IF($J287="",0,LEN($J287))</f>
        <v/>
      </c>
      <c r="L287" s="15">
        <f>IF($J287="","",LEFT($J287,kdo_ikincilUzunluk))</f>
        <v/>
      </c>
      <c r="M287" s="15">
        <f>"B"</f>
        <v/>
      </c>
      <c r="N287" s="15">
        <f>IF($J287="","",IF(COUNTIF(tblAnahtarB[NormB],$J287)&gt;1,"EVET","HAYIR"))</f>
        <v/>
      </c>
      <c r="O287" s="15">
        <f>IF($I287="","",ROW()-ROW($I$5))</f>
        <v/>
      </c>
    </row>
    <row r="288">
      <c r="A288" s="7">
        <f>IF(VERI_A!A288="","",VERI_A!A288)</f>
        <v/>
      </c>
      <c r="B288" s="15">
        <f>UPPER(TRIM(SUBSTITUTE($A288," ","")))</f>
        <v/>
      </c>
      <c r="C288" s="15">
        <f>IF($B288="",0,LEN($B288))</f>
        <v/>
      </c>
      <c r="D288" s="15">
        <f>IF($B288="","",LEFT($B288,kdo_ikincilUzunluk))</f>
        <v/>
      </c>
      <c r="E288" s="15">
        <f>"A"</f>
        <v/>
      </c>
      <c r="F288" s="15">
        <f>IF($B288="","",IF(COUNTIF(tblAnahtarA[Norm],$B288)&gt;1,"EVET","HAYIR"))</f>
        <v/>
      </c>
      <c r="G288" s="15">
        <f>IF($A288="","",ROW()-ROW($A$5))</f>
        <v/>
      </c>
      <c r="I288" s="7">
        <f>IF(VERI_B!A288="","",VERI_B!A288)</f>
        <v/>
      </c>
      <c r="J288" s="15">
        <f>UPPER(TRIM(SUBSTITUTE($I288," ","")))</f>
        <v/>
      </c>
      <c r="K288" s="15">
        <f>IF($J288="",0,LEN($J288))</f>
        <v/>
      </c>
      <c r="L288" s="15">
        <f>IF($J288="","",LEFT($J288,kdo_ikincilUzunluk))</f>
        <v/>
      </c>
      <c r="M288" s="15">
        <f>"B"</f>
        <v/>
      </c>
      <c r="N288" s="15">
        <f>IF($J288="","",IF(COUNTIF(tblAnahtarB[NormB],$J288)&gt;1,"EVET","HAYIR"))</f>
        <v/>
      </c>
      <c r="O288" s="15">
        <f>IF($I288="","",ROW()-ROW($I$5))</f>
        <v/>
      </c>
    </row>
    <row r="289">
      <c r="A289" s="7">
        <f>IF(VERI_A!A289="","",VERI_A!A289)</f>
        <v/>
      </c>
      <c r="B289" s="15">
        <f>UPPER(TRIM(SUBSTITUTE($A289," ","")))</f>
        <v/>
      </c>
      <c r="C289" s="15">
        <f>IF($B289="",0,LEN($B289))</f>
        <v/>
      </c>
      <c r="D289" s="15">
        <f>IF($B289="","",LEFT($B289,kdo_ikincilUzunluk))</f>
        <v/>
      </c>
      <c r="E289" s="15">
        <f>"A"</f>
        <v/>
      </c>
      <c r="F289" s="15">
        <f>IF($B289="","",IF(COUNTIF(tblAnahtarA[Norm],$B289)&gt;1,"EVET","HAYIR"))</f>
        <v/>
      </c>
      <c r="G289" s="15">
        <f>IF($A289="","",ROW()-ROW($A$5))</f>
        <v/>
      </c>
      <c r="I289" s="7">
        <f>IF(VERI_B!A289="","",VERI_B!A289)</f>
        <v/>
      </c>
      <c r="J289" s="15">
        <f>UPPER(TRIM(SUBSTITUTE($I289," ","")))</f>
        <v/>
      </c>
      <c r="K289" s="15">
        <f>IF($J289="",0,LEN($J289))</f>
        <v/>
      </c>
      <c r="L289" s="15">
        <f>IF($J289="","",LEFT($J289,kdo_ikincilUzunluk))</f>
        <v/>
      </c>
      <c r="M289" s="15">
        <f>"B"</f>
        <v/>
      </c>
      <c r="N289" s="15">
        <f>IF($J289="","",IF(COUNTIF(tblAnahtarB[NormB],$J289)&gt;1,"EVET","HAYIR"))</f>
        <v/>
      </c>
      <c r="O289" s="15">
        <f>IF($I289="","",ROW()-ROW($I$5))</f>
        <v/>
      </c>
    </row>
    <row r="290">
      <c r="A290" s="7">
        <f>IF(VERI_A!A290="","",VERI_A!A290)</f>
        <v/>
      </c>
      <c r="B290" s="15">
        <f>UPPER(TRIM(SUBSTITUTE($A290," ","")))</f>
        <v/>
      </c>
      <c r="C290" s="15">
        <f>IF($B290="",0,LEN($B290))</f>
        <v/>
      </c>
      <c r="D290" s="15">
        <f>IF($B290="","",LEFT($B290,kdo_ikincilUzunluk))</f>
        <v/>
      </c>
      <c r="E290" s="15">
        <f>"A"</f>
        <v/>
      </c>
      <c r="F290" s="15">
        <f>IF($B290="","",IF(COUNTIF(tblAnahtarA[Norm],$B290)&gt;1,"EVET","HAYIR"))</f>
        <v/>
      </c>
      <c r="G290" s="15">
        <f>IF($A290="","",ROW()-ROW($A$5))</f>
        <v/>
      </c>
      <c r="I290" s="7">
        <f>IF(VERI_B!A290="","",VERI_B!A290)</f>
        <v/>
      </c>
      <c r="J290" s="15">
        <f>UPPER(TRIM(SUBSTITUTE($I290," ","")))</f>
        <v/>
      </c>
      <c r="K290" s="15">
        <f>IF($J290="",0,LEN($J290))</f>
        <v/>
      </c>
      <c r="L290" s="15">
        <f>IF($J290="","",LEFT($J290,kdo_ikincilUzunluk))</f>
        <v/>
      </c>
      <c r="M290" s="15">
        <f>"B"</f>
        <v/>
      </c>
      <c r="N290" s="15">
        <f>IF($J290="","",IF(COUNTIF(tblAnahtarB[NormB],$J290)&gt;1,"EVET","HAYIR"))</f>
        <v/>
      </c>
      <c r="O290" s="15">
        <f>IF($I290="","",ROW()-ROW($I$5))</f>
        <v/>
      </c>
    </row>
    <row r="291">
      <c r="A291" s="7">
        <f>IF(VERI_A!A291="","",VERI_A!A291)</f>
        <v/>
      </c>
      <c r="B291" s="15">
        <f>UPPER(TRIM(SUBSTITUTE($A291," ","")))</f>
        <v/>
      </c>
      <c r="C291" s="15">
        <f>IF($B291="",0,LEN($B291))</f>
        <v/>
      </c>
      <c r="D291" s="15">
        <f>IF($B291="","",LEFT($B291,kdo_ikincilUzunluk))</f>
        <v/>
      </c>
      <c r="E291" s="15">
        <f>"A"</f>
        <v/>
      </c>
      <c r="F291" s="15">
        <f>IF($B291="","",IF(COUNTIF(tblAnahtarA[Norm],$B291)&gt;1,"EVET","HAYIR"))</f>
        <v/>
      </c>
      <c r="G291" s="15">
        <f>IF($A291="","",ROW()-ROW($A$5))</f>
        <v/>
      </c>
      <c r="I291" s="7">
        <f>IF(VERI_B!A291="","",VERI_B!A291)</f>
        <v/>
      </c>
      <c r="J291" s="15">
        <f>UPPER(TRIM(SUBSTITUTE($I291," ","")))</f>
        <v/>
      </c>
      <c r="K291" s="15">
        <f>IF($J291="",0,LEN($J291))</f>
        <v/>
      </c>
      <c r="L291" s="15">
        <f>IF($J291="","",LEFT($J291,kdo_ikincilUzunluk))</f>
        <v/>
      </c>
      <c r="M291" s="15">
        <f>"B"</f>
        <v/>
      </c>
      <c r="N291" s="15">
        <f>IF($J291="","",IF(COUNTIF(tblAnahtarB[NormB],$J291)&gt;1,"EVET","HAYIR"))</f>
        <v/>
      </c>
      <c r="O291" s="15">
        <f>IF($I291="","",ROW()-ROW($I$5))</f>
        <v/>
      </c>
    </row>
    <row r="292">
      <c r="A292" s="7">
        <f>IF(VERI_A!A292="","",VERI_A!A292)</f>
        <v/>
      </c>
      <c r="B292" s="15">
        <f>UPPER(TRIM(SUBSTITUTE($A292," ","")))</f>
        <v/>
      </c>
      <c r="C292" s="15">
        <f>IF($B292="",0,LEN($B292))</f>
        <v/>
      </c>
      <c r="D292" s="15">
        <f>IF($B292="","",LEFT($B292,kdo_ikincilUzunluk))</f>
        <v/>
      </c>
      <c r="E292" s="15">
        <f>"A"</f>
        <v/>
      </c>
      <c r="F292" s="15">
        <f>IF($B292="","",IF(COUNTIF(tblAnahtarA[Norm],$B292)&gt;1,"EVET","HAYIR"))</f>
        <v/>
      </c>
      <c r="G292" s="15">
        <f>IF($A292="","",ROW()-ROW($A$5))</f>
        <v/>
      </c>
      <c r="I292" s="7">
        <f>IF(VERI_B!A292="","",VERI_B!A292)</f>
        <v/>
      </c>
      <c r="J292" s="15">
        <f>UPPER(TRIM(SUBSTITUTE($I292," ","")))</f>
        <v/>
      </c>
      <c r="K292" s="15">
        <f>IF($J292="",0,LEN($J292))</f>
        <v/>
      </c>
      <c r="L292" s="15">
        <f>IF($J292="","",LEFT($J292,kdo_ikincilUzunluk))</f>
        <v/>
      </c>
      <c r="M292" s="15">
        <f>"B"</f>
        <v/>
      </c>
      <c r="N292" s="15">
        <f>IF($J292="","",IF(COUNTIF(tblAnahtarB[NormB],$J292)&gt;1,"EVET","HAYIR"))</f>
        <v/>
      </c>
      <c r="O292" s="15">
        <f>IF($I292="","",ROW()-ROW($I$5))</f>
        <v/>
      </c>
    </row>
    <row r="293">
      <c r="A293" s="7">
        <f>IF(VERI_A!A293="","",VERI_A!A293)</f>
        <v/>
      </c>
      <c r="B293" s="15">
        <f>UPPER(TRIM(SUBSTITUTE($A293," ","")))</f>
        <v/>
      </c>
      <c r="C293" s="15">
        <f>IF($B293="",0,LEN($B293))</f>
        <v/>
      </c>
      <c r="D293" s="15">
        <f>IF($B293="","",LEFT($B293,kdo_ikincilUzunluk))</f>
        <v/>
      </c>
      <c r="E293" s="15">
        <f>"A"</f>
        <v/>
      </c>
      <c r="F293" s="15">
        <f>IF($B293="","",IF(COUNTIF(tblAnahtarA[Norm],$B293)&gt;1,"EVET","HAYIR"))</f>
        <v/>
      </c>
      <c r="G293" s="15">
        <f>IF($A293="","",ROW()-ROW($A$5))</f>
        <v/>
      </c>
      <c r="I293" s="7">
        <f>IF(VERI_B!A293="","",VERI_B!A293)</f>
        <v/>
      </c>
      <c r="J293" s="15">
        <f>UPPER(TRIM(SUBSTITUTE($I293," ","")))</f>
        <v/>
      </c>
      <c r="K293" s="15">
        <f>IF($J293="",0,LEN($J293))</f>
        <v/>
      </c>
      <c r="L293" s="15">
        <f>IF($J293="","",LEFT($J293,kdo_ikincilUzunluk))</f>
        <v/>
      </c>
      <c r="M293" s="15">
        <f>"B"</f>
        <v/>
      </c>
      <c r="N293" s="15">
        <f>IF($J293="","",IF(COUNTIF(tblAnahtarB[NormB],$J293)&gt;1,"EVET","HAYIR"))</f>
        <v/>
      </c>
      <c r="O293" s="15">
        <f>IF($I293="","",ROW()-ROW($I$5))</f>
        <v/>
      </c>
    </row>
    <row r="294">
      <c r="A294" s="7">
        <f>IF(VERI_A!A294="","",VERI_A!A294)</f>
        <v/>
      </c>
      <c r="B294" s="15">
        <f>UPPER(TRIM(SUBSTITUTE($A294," ","")))</f>
        <v/>
      </c>
      <c r="C294" s="15">
        <f>IF($B294="",0,LEN($B294))</f>
        <v/>
      </c>
      <c r="D294" s="15">
        <f>IF($B294="","",LEFT($B294,kdo_ikincilUzunluk))</f>
        <v/>
      </c>
      <c r="E294" s="15">
        <f>"A"</f>
        <v/>
      </c>
      <c r="F294" s="15">
        <f>IF($B294="","",IF(COUNTIF(tblAnahtarA[Norm],$B294)&gt;1,"EVET","HAYIR"))</f>
        <v/>
      </c>
      <c r="G294" s="15">
        <f>IF($A294="","",ROW()-ROW($A$5))</f>
        <v/>
      </c>
      <c r="I294" s="7">
        <f>IF(VERI_B!A294="","",VERI_B!A294)</f>
        <v/>
      </c>
      <c r="J294" s="15">
        <f>UPPER(TRIM(SUBSTITUTE($I294," ","")))</f>
        <v/>
      </c>
      <c r="K294" s="15">
        <f>IF($J294="",0,LEN($J294))</f>
        <v/>
      </c>
      <c r="L294" s="15">
        <f>IF($J294="","",LEFT($J294,kdo_ikincilUzunluk))</f>
        <v/>
      </c>
      <c r="M294" s="15">
        <f>"B"</f>
        <v/>
      </c>
      <c r="N294" s="15">
        <f>IF($J294="","",IF(COUNTIF(tblAnahtarB[NormB],$J294)&gt;1,"EVET","HAYIR"))</f>
        <v/>
      </c>
      <c r="O294" s="15">
        <f>IF($I294="","",ROW()-ROW($I$5))</f>
        <v/>
      </c>
    </row>
    <row r="295">
      <c r="A295" s="7">
        <f>IF(VERI_A!A295="","",VERI_A!A295)</f>
        <v/>
      </c>
      <c r="B295" s="15">
        <f>UPPER(TRIM(SUBSTITUTE($A295," ","")))</f>
        <v/>
      </c>
      <c r="C295" s="15">
        <f>IF($B295="",0,LEN($B295))</f>
        <v/>
      </c>
      <c r="D295" s="15">
        <f>IF($B295="","",LEFT($B295,kdo_ikincilUzunluk))</f>
        <v/>
      </c>
      <c r="E295" s="15">
        <f>"A"</f>
        <v/>
      </c>
      <c r="F295" s="15">
        <f>IF($B295="","",IF(COUNTIF(tblAnahtarA[Norm],$B295)&gt;1,"EVET","HAYIR"))</f>
        <v/>
      </c>
      <c r="G295" s="15">
        <f>IF($A295="","",ROW()-ROW($A$5))</f>
        <v/>
      </c>
      <c r="I295" s="7">
        <f>IF(VERI_B!A295="","",VERI_B!A295)</f>
        <v/>
      </c>
      <c r="J295" s="15">
        <f>UPPER(TRIM(SUBSTITUTE($I295," ","")))</f>
        <v/>
      </c>
      <c r="K295" s="15">
        <f>IF($J295="",0,LEN($J295))</f>
        <v/>
      </c>
      <c r="L295" s="15">
        <f>IF($J295="","",LEFT($J295,kdo_ikincilUzunluk))</f>
        <v/>
      </c>
      <c r="M295" s="15">
        <f>"B"</f>
        <v/>
      </c>
      <c r="N295" s="15">
        <f>IF($J295="","",IF(COUNTIF(tblAnahtarB[NormB],$J295)&gt;1,"EVET","HAYIR"))</f>
        <v/>
      </c>
      <c r="O295" s="15">
        <f>IF($I295="","",ROW()-ROW($I$5))</f>
        <v/>
      </c>
    </row>
    <row r="296">
      <c r="A296" s="7">
        <f>IF(VERI_A!A296="","",VERI_A!A296)</f>
        <v/>
      </c>
      <c r="B296" s="15">
        <f>UPPER(TRIM(SUBSTITUTE($A296," ","")))</f>
        <v/>
      </c>
      <c r="C296" s="15">
        <f>IF($B296="",0,LEN($B296))</f>
        <v/>
      </c>
      <c r="D296" s="15">
        <f>IF($B296="","",LEFT($B296,kdo_ikincilUzunluk))</f>
        <v/>
      </c>
      <c r="E296" s="15">
        <f>"A"</f>
        <v/>
      </c>
      <c r="F296" s="15">
        <f>IF($B296="","",IF(COUNTIF(tblAnahtarA[Norm],$B296)&gt;1,"EVET","HAYIR"))</f>
        <v/>
      </c>
      <c r="G296" s="15">
        <f>IF($A296="","",ROW()-ROW($A$5))</f>
        <v/>
      </c>
      <c r="I296" s="7">
        <f>IF(VERI_B!A296="","",VERI_B!A296)</f>
        <v/>
      </c>
      <c r="J296" s="15">
        <f>UPPER(TRIM(SUBSTITUTE($I296," ","")))</f>
        <v/>
      </c>
      <c r="K296" s="15">
        <f>IF($J296="",0,LEN($J296))</f>
        <v/>
      </c>
      <c r="L296" s="15">
        <f>IF($J296="","",LEFT($J296,kdo_ikincilUzunluk))</f>
        <v/>
      </c>
      <c r="M296" s="15">
        <f>"B"</f>
        <v/>
      </c>
      <c r="N296" s="15">
        <f>IF($J296="","",IF(COUNTIF(tblAnahtarB[NormB],$J296)&gt;1,"EVET","HAYIR"))</f>
        <v/>
      </c>
      <c r="O296" s="15">
        <f>IF($I296="","",ROW()-ROW($I$5))</f>
        <v/>
      </c>
    </row>
    <row r="297">
      <c r="A297" s="7">
        <f>IF(VERI_A!A297="","",VERI_A!A297)</f>
        <v/>
      </c>
      <c r="B297" s="15">
        <f>UPPER(TRIM(SUBSTITUTE($A297," ","")))</f>
        <v/>
      </c>
      <c r="C297" s="15">
        <f>IF($B297="",0,LEN($B297))</f>
        <v/>
      </c>
      <c r="D297" s="15">
        <f>IF($B297="","",LEFT($B297,kdo_ikincilUzunluk))</f>
        <v/>
      </c>
      <c r="E297" s="15">
        <f>"A"</f>
        <v/>
      </c>
      <c r="F297" s="15">
        <f>IF($B297="","",IF(COUNTIF(tblAnahtarA[Norm],$B297)&gt;1,"EVET","HAYIR"))</f>
        <v/>
      </c>
      <c r="G297" s="15">
        <f>IF($A297="","",ROW()-ROW($A$5))</f>
        <v/>
      </c>
      <c r="I297" s="7">
        <f>IF(VERI_B!A297="","",VERI_B!A297)</f>
        <v/>
      </c>
      <c r="J297" s="15">
        <f>UPPER(TRIM(SUBSTITUTE($I297," ","")))</f>
        <v/>
      </c>
      <c r="K297" s="15">
        <f>IF($J297="",0,LEN($J297))</f>
        <v/>
      </c>
      <c r="L297" s="15">
        <f>IF($J297="","",LEFT($J297,kdo_ikincilUzunluk))</f>
        <v/>
      </c>
      <c r="M297" s="15">
        <f>"B"</f>
        <v/>
      </c>
      <c r="N297" s="15">
        <f>IF($J297="","",IF(COUNTIF(tblAnahtarB[NormB],$J297)&gt;1,"EVET","HAYIR"))</f>
        <v/>
      </c>
      <c r="O297" s="15">
        <f>IF($I297="","",ROW()-ROW($I$5))</f>
        <v/>
      </c>
    </row>
    <row r="298">
      <c r="A298" s="7">
        <f>IF(VERI_A!A298="","",VERI_A!A298)</f>
        <v/>
      </c>
      <c r="B298" s="15">
        <f>UPPER(TRIM(SUBSTITUTE($A298," ","")))</f>
        <v/>
      </c>
      <c r="C298" s="15">
        <f>IF($B298="",0,LEN($B298))</f>
        <v/>
      </c>
      <c r="D298" s="15">
        <f>IF($B298="","",LEFT($B298,kdo_ikincilUzunluk))</f>
        <v/>
      </c>
      <c r="E298" s="15">
        <f>"A"</f>
        <v/>
      </c>
      <c r="F298" s="15">
        <f>IF($B298="","",IF(COUNTIF(tblAnahtarA[Norm],$B298)&gt;1,"EVET","HAYIR"))</f>
        <v/>
      </c>
      <c r="G298" s="15">
        <f>IF($A298="","",ROW()-ROW($A$5))</f>
        <v/>
      </c>
      <c r="I298" s="7">
        <f>IF(VERI_B!A298="","",VERI_B!A298)</f>
        <v/>
      </c>
      <c r="J298" s="15">
        <f>UPPER(TRIM(SUBSTITUTE($I298," ","")))</f>
        <v/>
      </c>
      <c r="K298" s="15">
        <f>IF($J298="",0,LEN($J298))</f>
        <v/>
      </c>
      <c r="L298" s="15">
        <f>IF($J298="","",LEFT($J298,kdo_ikincilUzunluk))</f>
        <v/>
      </c>
      <c r="M298" s="15">
        <f>"B"</f>
        <v/>
      </c>
      <c r="N298" s="15">
        <f>IF($J298="","",IF(COUNTIF(tblAnahtarB[NormB],$J298)&gt;1,"EVET","HAYIR"))</f>
        <v/>
      </c>
      <c r="O298" s="15">
        <f>IF($I298="","",ROW()-ROW($I$5))</f>
        <v/>
      </c>
    </row>
    <row r="299">
      <c r="A299" s="7">
        <f>IF(VERI_A!A299="","",VERI_A!A299)</f>
        <v/>
      </c>
      <c r="B299" s="15">
        <f>UPPER(TRIM(SUBSTITUTE($A299," ","")))</f>
        <v/>
      </c>
      <c r="C299" s="15">
        <f>IF($B299="",0,LEN($B299))</f>
        <v/>
      </c>
      <c r="D299" s="15">
        <f>IF($B299="","",LEFT($B299,kdo_ikincilUzunluk))</f>
        <v/>
      </c>
      <c r="E299" s="15">
        <f>"A"</f>
        <v/>
      </c>
      <c r="F299" s="15">
        <f>IF($B299="","",IF(COUNTIF(tblAnahtarA[Norm],$B299)&gt;1,"EVET","HAYIR"))</f>
        <v/>
      </c>
      <c r="G299" s="15">
        <f>IF($A299="","",ROW()-ROW($A$5))</f>
        <v/>
      </c>
      <c r="I299" s="7">
        <f>IF(VERI_B!A299="","",VERI_B!A299)</f>
        <v/>
      </c>
      <c r="J299" s="15">
        <f>UPPER(TRIM(SUBSTITUTE($I299," ","")))</f>
        <v/>
      </c>
      <c r="K299" s="15">
        <f>IF($J299="",0,LEN($J299))</f>
        <v/>
      </c>
      <c r="L299" s="15">
        <f>IF($J299="","",LEFT($J299,kdo_ikincilUzunluk))</f>
        <v/>
      </c>
      <c r="M299" s="15">
        <f>"B"</f>
        <v/>
      </c>
      <c r="N299" s="15">
        <f>IF($J299="","",IF(COUNTIF(tblAnahtarB[NormB],$J299)&gt;1,"EVET","HAYIR"))</f>
        <v/>
      </c>
      <c r="O299" s="15">
        <f>IF($I299="","",ROW()-ROW($I$5))</f>
        <v/>
      </c>
    </row>
    <row r="300">
      <c r="A300" s="7">
        <f>IF(VERI_A!A300="","",VERI_A!A300)</f>
        <v/>
      </c>
      <c r="B300" s="15">
        <f>UPPER(TRIM(SUBSTITUTE($A300," ","")))</f>
        <v/>
      </c>
      <c r="C300" s="15">
        <f>IF($B300="",0,LEN($B300))</f>
        <v/>
      </c>
      <c r="D300" s="15">
        <f>IF($B300="","",LEFT($B300,kdo_ikincilUzunluk))</f>
        <v/>
      </c>
      <c r="E300" s="15">
        <f>"A"</f>
        <v/>
      </c>
      <c r="F300" s="15">
        <f>IF($B300="","",IF(COUNTIF(tblAnahtarA[Norm],$B300)&gt;1,"EVET","HAYIR"))</f>
        <v/>
      </c>
      <c r="G300" s="15">
        <f>IF($A300="","",ROW()-ROW($A$5))</f>
        <v/>
      </c>
      <c r="I300" s="7">
        <f>IF(VERI_B!A300="","",VERI_B!A300)</f>
        <v/>
      </c>
      <c r="J300" s="15">
        <f>UPPER(TRIM(SUBSTITUTE($I300," ","")))</f>
        <v/>
      </c>
      <c r="K300" s="15">
        <f>IF($J300="",0,LEN($J300))</f>
        <v/>
      </c>
      <c r="L300" s="15">
        <f>IF($J300="","",LEFT($J300,kdo_ikincilUzunluk))</f>
        <v/>
      </c>
      <c r="M300" s="15">
        <f>"B"</f>
        <v/>
      </c>
      <c r="N300" s="15">
        <f>IF($J300="","",IF(COUNTIF(tblAnahtarB[NormB],$J300)&gt;1,"EVET","HAYIR"))</f>
        <v/>
      </c>
      <c r="O300" s="15">
        <f>IF($I300="","",ROW()-ROW($I$5))</f>
        <v/>
      </c>
    </row>
    <row r="301">
      <c r="A301" s="7">
        <f>IF(VERI_A!A301="","",VERI_A!A301)</f>
        <v/>
      </c>
      <c r="B301" s="15">
        <f>UPPER(TRIM(SUBSTITUTE($A301," ","")))</f>
        <v/>
      </c>
      <c r="C301" s="15">
        <f>IF($B301="",0,LEN($B301))</f>
        <v/>
      </c>
      <c r="D301" s="15">
        <f>IF($B301="","",LEFT($B301,kdo_ikincilUzunluk))</f>
        <v/>
      </c>
      <c r="E301" s="15">
        <f>"A"</f>
        <v/>
      </c>
      <c r="F301" s="15">
        <f>IF($B301="","",IF(COUNTIF(tblAnahtarA[Norm],$B301)&gt;1,"EVET","HAYIR"))</f>
        <v/>
      </c>
      <c r="G301" s="15">
        <f>IF($A301="","",ROW()-ROW($A$5))</f>
        <v/>
      </c>
      <c r="I301" s="7">
        <f>IF(VERI_B!A301="","",VERI_B!A301)</f>
        <v/>
      </c>
      <c r="J301" s="15">
        <f>UPPER(TRIM(SUBSTITUTE($I301," ","")))</f>
        <v/>
      </c>
      <c r="K301" s="15">
        <f>IF($J301="",0,LEN($J301))</f>
        <v/>
      </c>
      <c r="L301" s="15">
        <f>IF($J301="","",LEFT($J301,kdo_ikincilUzunluk))</f>
        <v/>
      </c>
      <c r="M301" s="15">
        <f>"B"</f>
        <v/>
      </c>
      <c r="N301" s="15">
        <f>IF($J301="","",IF(COUNTIF(tblAnahtarB[NormB],$J301)&gt;1,"EVET","HAYIR"))</f>
        <v/>
      </c>
      <c r="O301" s="15">
        <f>IF($I301="","",ROW()-ROW($I$5))</f>
        <v/>
      </c>
    </row>
    <row r="302">
      <c r="A302" s="7">
        <f>IF(VERI_A!A302="","",VERI_A!A302)</f>
        <v/>
      </c>
      <c r="B302" s="15">
        <f>UPPER(TRIM(SUBSTITUTE($A302," ","")))</f>
        <v/>
      </c>
      <c r="C302" s="15">
        <f>IF($B302="",0,LEN($B302))</f>
        <v/>
      </c>
      <c r="D302" s="15">
        <f>IF($B302="","",LEFT($B302,kdo_ikincilUzunluk))</f>
        <v/>
      </c>
      <c r="E302" s="15">
        <f>"A"</f>
        <v/>
      </c>
      <c r="F302" s="15">
        <f>IF($B302="","",IF(COUNTIF(tblAnahtarA[Norm],$B302)&gt;1,"EVET","HAYIR"))</f>
        <v/>
      </c>
      <c r="G302" s="15">
        <f>IF($A302="","",ROW()-ROW($A$5))</f>
        <v/>
      </c>
      <c r="I302" s="7">
        <f>IF(VERI_B!A302="","",VERI_B!A302)</f>
        <v/>
      </c>
      <c r="J302" s="15">
        <f>UPPER(TRIM(SUBSTITUTE($I302," ","")))</f>
        <v/>
      </c>
      <c r="K302" s="15">
        <f>IF($J302="",0,LEN($J302))</f>
        <v/>
      </c>
      <c r="L302" s="15">
        <f>IF($J302="","",LEFT($J302,kdo_ikincilUzunluk))</f>
        <v/>
      </c>
      <c r="M302" s="15">
        <f>"B"</f>
        <v/>
      </c>
      <c r="N302" s="15">
        <f>IF($J302="","",IF(COUNTIF(tblAnahtarB[NormB],$J302)&gt;1,"EVET","HAYIR"))</f>
        <v/>
      </c>
      <c r="O302" s="15">
        <f>IF($I302="","",ROW()-ROW($I$5))</f>
        <v/>
      </c>
    </row>
    <row r="303">
      <c r="A303" s="7">
        <f>IF(VERI_A!A303="","",VERI_A!A303)</f>
        <v/>
      </c>
      <c r="B303" s="15">
        <f>UPPER(TRIM(SUBSTITUTE($A303," ","")))</f>
        <v/>
      </c>
      <c r="C303" s="15">
        <f>IF($B303="",0,LEN($B303))</f>
        <v/>
      </c>
      <c r="D303" s="15">
        <f>IF($B303="","",LEFT($B303,kdo_ikincilUzunluk))</f>
        <v/>
      </c>
      <c r="E303" s="15">
        <f>"A"</f>
        <v/>
      </c>
      <c r="F303" s="15">
        <f>IF($B303="","",IF(COUNTIF(tblAnahtarA[Norm],$B303)&gt;1,"EVET","HAYIR"))</f>
        <v/>
      </c>
      <c r="G303" s="15">
        <f>IF($A303="","",ROW()-ROW($A$5))</f>
        <v/>
      </c>
      <c r="I303" s="7">
        <f>IF(VERI_B!A303="","",VERI_B!A303)</f>
        <v/>
      </c>
      <c r="J303" s="15">
        <f>UPPER(TRIM(SUBSTITUTE($I303," ","")))</f>
        <v/>
      </c>
      <c r="K303" s="15">
        <f>IF($J303="",0,LEN($J303))</f>
        <v/>
      </c>
      <c r="L303" s="15">
        <f>IF($J303="","",LEFT($J303,kdo_ikincilUzunluk))</f>
        <v/>
      </c>
      <c r="M303" s="15">
        <f>"B"</f>
        <v/>
      </c>
      <c r="N303" s="15">
        <f>IF($J303="","",IF(COUNTIF(tblAnahtarB[NormB],$J303)&gt;1,"EVET","HAYIR"))</f>
        <v/>
      </c>
      <c r="O303" s="15">
        <f>IF($I303="","",ROW()-ROW($I$5))</f>
        <v/>
      </c>
    </row>
    <row r="304">
      <c r="A304" s="7">
        <f>IF(VERI_A!A304="","",VERI_A!A304)</f>
        <v/>
      </c>
      <c r="B304" s="15">
        <f>UPPER(TRIM(SUBSTITUTE($A304," ","")))</f>
        <v/>
      </c>
      <c r="C304" s="15">
        <f>IF($B304="",0,LEN($B304))</f>
        <v/>
      </c>
      <c r="D304" s="15">
        <f>IF($B304="","",LEFT($B304,kdo_ikincilUzunluk))</f>
        <v/>
      </c>
      <c r="E304" s="15">
        <f>"A"</f>
        <v/>
      </c>
      <c r="F304" s="15">
        <f>IF($B304="","",IF(COUNTIF(tblAnahtarA[Norm],$B304)&gt;1,"EVET","HAYIR"))</f>
        <v/>
      </c>
      <c r="G304" s="15">
        <f>IF($A304="","",ROW()-ROW($A$5))</f>
        <v/>
      </c>
      <c r="I304" s="7">
        <f>IF(VERI_B!A304="","",VERI_B!A304)</f>
        <v/>
      </c>
      <c r="J304" s="15">
        <f>UPPER(TRIM(SUBSTITUTE($I304," ","")))</f>
        <v/>
      </c>
      <c r="K304" s="15">
        <f>IF($J304="",0,LEN($J304))</f>
        <v/>
      </c>
      <c r="L304" s="15">
        <f>IF($J304="","",LEFT($J304,kdo_ikincilUzunluk))</f>
        <v/>
      </c>
      <c r="M304" s="15">
        <f>"B"</f>
        <v/>
      </c>
      <c r="N304" s="15">
        <f>IF($J304="","",IF(COUNTIF(tblAnahtarB[NormB],$J304)&gt;1,"EVET","HAYIR"))</f>
        <v/>
      </c>
      <c r="O304" s="15">
        <f>IF($I304="","",ROW()-ROW($I$5))</f>
        <v/>
      </c>
    </row>
    <row r="305">
      <c r="A305" s="7">
        <f>IF(VERI_A!A305="","",VERI_A!A305)</f>
        <v/>
      </c>
      <c r="B305" s="15">
        <f>UPPER(TRIM(SUBSTITUTE($A305," ","")))</f>
        <v/>
      </c>
      <c r="C305" s="15">
        <f>IF($B305="",0,LEN($B305))</f>
        <v/>
      </c>
      <c r="D305" s="15">
        <f>IF($B305="","",LEFT($B305,kdo_ikincilUzunluk))</f>
        <v/>
      </c>
      <c r="E305" s="15">
        <f>"A"</f>
        <v/>
      </c>
      <c r="F305" s="15">
        <f>IF($B305="","",IF(COUNTIF(tblAnahtarA[Norm],$B305)&gt;1,"EVET","HAYIR"))</f>
        <v/>
      </c>
      <c r="G305" s="15">
        <f>IF($A305="","",ROW()-ROW($A$5))</f>
        <v/>
      </c>
      <c r="I305" s="7">
        <f>IF(VERI_B!A305="","",VERI_B!A305)</f>
        <v/>
      </c>
      <c r="J305" s="15">
        <f>UPPER(TRIM(SUBSTITUTE($I305," ","")))</f>
        <v/>
      </c>
      <c r="K305" s="15">
        <f>IF($J305="",0,LEN($J305))</f>
        <v/>
      </c>
      <c r="L305" s="15">
        <f>IF($J305="","",LEFT($J305,kdo_ikincilUzunluk))</f>
        <v/>
      </c>
      <c r="M305" s="15">
        <f>"B"</f>
        <v/>
      </c>
      <c r="N305" s="15">
        <f>IF($J305="","",IF(COUNTIF(tblAnahtarB[NormB],$J305)&gt;1,"EVET","HAYIR"))</f>
        <v/>
      </c>
      <c r="O305" s="15">
        <f>IF($I305="","",ROW()-ROW($I$5))</f>
        <v/>
      </c>
    </row>
    <row r="306">
      <c r="A306" s="7">
        <f>IF(VERI_A!A306="","",VERI_A!A306)</f>
        <v/>
      </c>
      <c r="B306" s="15">
        <f>UPPER(TRIM(SUBSTITUTE($A306," ","")))</f>
        <v/>
      </c>
      <c r="C306" s="15">
        <f>IF($B306="",0,LEN($B306))</f>
        <v/>
      </c>
      <c r="D306" s="15">
        <f>IF($B306="","",LEFT($B306,kdo_ikincilUzunluk))</f>
        <v/>
      </c>
      <c r="E306" s="15">
        <f>"A"</f>
        <v/>
      </c>
      <c r="F306" s="15">
        <f>IF($B306="","",IF(COUNTIF(tblAnahtarA[Norm],$B306)&gt;1,"EVET","HAYIR"))</f>
        <v/>
      </c>
      <c r="G306" s="15">
        <f>IF($A306="","",ROW()-ROW($A$5))</f>
        <v/>
      </c>
      <c r="I306" s="7">
        <f>IF(VERI_B!A306="","",VERI_B!A306)</f>
        <v/>
      </c>
      <c r="J306" s="15">
        <f>UPPER(TRIM(SUBSTITUTE($I306," ","")))</f>
        <v/>
      </c>
      <c r="K306" s="15">
        <f>IF($J306="",0,LEN($J306))</f>
        <v/>
      </c>
      <c r="L306" s="15">
        <f>IF($J306="","",LEFT($J306,kdo_ikincilUzunluk))</f>
        <v/>
      </c>
      <c r="M306" s="15">
        <f>"B"</f>
        <v/>
      </c>
      <c r="N306" s="15">
        <f>IF($J306="","",IF(COUNTIF(tblAnahtarB[NormB],$J306)&gt;1,"EVET","HAYIR"))</f>
        <v/>
      </c>
      <c r="O306" s="15">
        <f>IF($I306="","",ROW()-ROW($I$5))</f>
        <v/>
      </c>
    </row>
    <row r="307">
      <c r="A307" s="7">
        <f>IF(VERI_A!A307="","",VERI_A!A307)</f>
        <v/>
      </c>
      <c r="B307" s="15">
        <f>UPPER(TRIM(SUBSTITUTE($A307," ","")))</f>
        <v/>
      </c>
      <c r="C307" s="15">
        <f>IF($B307="",0,LEN($B307))</f>
        <v/>
      </c>
      <c r="D307" s="15">
        <f>IF($B307="","",LEFT($B307,kdo_ikincilUzunluk))</f>
        <v/>
      </c>
      <c r="E307" s="15">
        <f>"A"</f>
        <v/>
      </c>
      <c r="F307" s="15">
        <f>IF($B307="","",IF(COUNTIF(tblAnahtarA[Norm],$B307)&gt;1,"EVET","HAYIR"))</f>
        <v/>
      </c>
      <c r="G307" s="15">
        <f>IF($A307="","",ROW()-ROW($A$5))</f>
        <v/>
      </c>
      <c r="I307" s="7">
        <f>IF(VERI_B!A307="","",VERI_B!A307)</f>
        <v/>
      </c>
      <c r="J307" s="15">
        <f>UPPER(TRIM(SUBSTITUTE($I307," ","")))</f>
        <v/>
      </c>
      <c r="K307" s="15">
        <f>IF($J307="",0,LEN($J307))</f>
        <v/>
      </c>
      <c r="L307" s="15">
        <f>IF($J307="","",LEFT($J307,kdo_ikincilUzunluk))</f>
        <v/>
      </c>
      <c r="M307" s="15">
        <f>"B"</f>
        <v/>
      </c>
      <c r="N307" s="15">
        <f>IF($J307="","",IF(COUNTIF(tblAnahtarB[NormB],$J307)&gt;1,"EVET","HAYIR"))</f>
        <v/>
      </c>
      <c r="O307" s="15">
        <f>IF($I307="","",ROW()-ROW($I$5))</f>
        <v/>
      </c>
    </row>
    <row r="308">
      <c r="A308" s="7">
        <f>IF(VERI_A!A308="","",VERI_A!A308)</f>
        <v/>
      </c>
      <c r="B308" s="15">
        <f>UPPER(TRIM(SUBSTITUTE($A308," ","")))</f>
        <v/>
      </c>
      <c r="C308" s="15">
        <f>IF($B308="",0,LEN($B308))</f>
        <v/>
      </c>
      <c r="D308" s="15">
        <f>IF($B308="","",LEFT($B308,kdo_ikincilUzunluk))</f>
        <v/>
      </c>
      <c r="E308" s="15">
        <f>"A"</f>
        <v/>
      </c>
      <c r="F308" s="15">
        <f>IF($B308="","",IF(COUNTIF(tblAnahtarA[Norm],$B308)&gt;1,"EVET","HAYIR"))</f>
        <v/>
      </c>
      <c r="G308" s="15">
        <f>IF($A308="","",ROW()-ROW($A$5))</f>
        <v/>
      </c>
      <c r="I308" s="7">
        <f>IF(VERI_B!A308="","",VERI_B!A308)</f>
        <v/>
      </c>
      <c r="J308" s="15">
        <f>UPPER(TRIM(SUBSTITUTE($I308," ","")))</f>
        <v/>
      </c>
      <c r="K308" s="15">
        <f>IF($J308="",0,LEN($J308))</f>
        <v/>
      </c>
      <c r="L308" s="15">
        <f>IF($J308="","",LEFT($J308,kdo_ikincilUzunluk))</f>
        <v/>
      </c>
      <c r="M308" s="15">
        <f>"B"</f>
        <v/>
      </c>
      <c r="N308" s="15">
        <f>IF($J308="","",IF(COUNTIF(tblAnahtarB[NormB],$J308)&gt;1,"EVET","HAYIR"))</f>
        <v/>
      </c>
      <c r="O308" s="15">
        <f>IF($I308="","",ROW()-ROW($I$5))</f>
        <v/>
      </c>
    </row>
    <row r="309">
      <c r="A309" s="7">
        <f>IF(VERI_A!A309="","",VERI_A!A309)</f>
        <v/>
      </c>
      <c r="B309" s="15">
        <f>UPPER(TRIM(SUBSTITUTE($A309," ","")))</f>
        <v/>
      </c>
      <c r="C309" s="15">
        <f>IF($B309="",0,LEN($B309))</f>
        <v/>
      </c>
      <c r="D309" s="15">
        <f>IF($B309="","",LEFT($B309,kdo_ikincilUzunluk))</f>
        <v/>
      </c>
      <c r="E309" s="15">
        <f>"A"</f>
        <v/>
      </c>
      <c r="F309" s="15">
        <f>IF($B309="","",IF(COUNTIF(tblAnahtarA[Norm],$B309)&gt;1,"EVET","HAYIR"))</f>
        <v/>
      </c>
      <c r="G309" s="15">
        <f>IF($A309="","",ROW()-ROW($A$5))</f>
        <v/>
      </c>
      <c r="I309" s="7">
        <f>IF(VERI_B!A309="","",VERI_B!A309)</f>
        <v/>
      </c>
      <c r="J309" s="15">
        <f>UPPER(TRIM(SUBSTITUTE($I309," ","")))</f>
        <v/>
      </c>
      <c r="K309" s="15">
        <f>IF($J309="",0,LEN($J309))</f>
        <v/>
      </c>
      <c r="L309" s="15">
        <f>IF($J309="","",LEFT($J309,kdo_ikincilUzunluk))</f>
        <v/>
      </c>
      <c r="M309" s="15">
        <f>"B"</f>
        <v/>
      </c>
      <c r="N309" s="15">
        <f>IF($J309="","",IF(COUNTIF(tblAnahtarB[NormB],$J309)&gt;1,"EVET","HAYIR"))</f>
        <v/>
      </c>
      <c r="O309" s="15">
        <f>IF($I309="","",ROW()-ROW($I$5))</f>
        <v/>
      </c>
    </row>
    <row r="310">
      <c r="A310" s="7">
        <f>IF(VERI_A!A310="","",VERI_A!A310)</f>
        <v/>
      </c>
      <c r="B310" s="15">
        <f>UPPER(TRIM(SUBSTITUTE($A310," ","")))</f>
        <v/>
      </c>
      <c r="C310" s="15">
        <f>IF($B310="",0,LEN($B310))</f>
        <v/>
      </c>
      <c r="D310" s="15">
        <f>IF($B310="","",LEFT($B310,kdo_ikincilUzunluk))</f>
        <v/>
      </c>
      <c r="E310" s="15">
        <f>"A"</f>
        <v/>
      </c>
      <c r="F310" s="15">
        <f>IF($B310="","",IF(COUNTIF(tblAnahtarA[Norm],$B310)&gt;1,"EVET","HAYIR"))</f>
        <v/>
      </c>
      <c r="G310" s="15">
        <f>IF($A310="","",ROW()-ROW($A$5))</f>
        <v/>
      </c>
      <c r="I310" s="7">
        <f>IF(VERI_B!A310="","",VERI_B!A310)</f>
        <v/>
      </c>
      <c r="J310" s="15">
        <f>UPPER(TRIM(SUBSTITUTE($I310," ","")))</f>
        <v/>
      </c>
      <c r="K310" s="15">
        <f>IF($J310="",0,LEN($J310))</f>
        <v/>
      </c>
      <c r="L310" s="15">
        <f>IF($J310="","",LEFT($J310,kdo_ikincilUzunluk))</f>
        <v/>
      </c>
      <c r="M310" s="15">
        <f>"B"</f>
        <v/>
      </c>
      <c r="N310" s="15">
        <f>IF($J310="","",IF(COUNTIF(tblAnahtarB[NormB],$J310)&gt;1,"EVET","HAYIR"))</f>
        <v/>
      </c>
      <c r="O310" s="15">
        <f>IF($I310="","",ROW()-ROW($I$5))</f>
        <v/>
      </c>
    </row>
    <row r="311">
      <c r="A311" s="7">
        <f>IF(VERI_A!A311="","",VERI_A!A311)</f>
        <v/>
      </c>
      <c r="B311" s="15">
        <f>UPPER(TRIM(SUBSTITUTE($A311," ","")))</f>
        <v/>
      </c>
      <c r="C311" s="15">
        <f>IF($B311="",0,LEN($B311))</f>
        <v/>
      </c>
      <c r="D311" s="15">
        <f>IF($B311="","",LEFT($B311,kdo_ikincilUzunluk))</f>
        <v/>
      </c>
      <c r="E311" s="15">
        <f>"A"</f>
        <v/>
      </c>
      <c r="F311" s="15">
        <f>IF($B311="","",IF(COUNTIF(tblAnahtarA[Norm],$B311)&gt;1,"EVET","HAYIR"))</f>
        <v/>
      </c>
      <c r="G311" s="15">
        <f>IF($A311="","",ROW()-ROW($A$5))</f>
        <v/>
      </c>
      <c r="I311" s="7">
        <f>IF(VERI_B!A311="","",VERI_B!A311)</f>
        <v/>
      </c>
      <c r="J311" s="15">
        <f>UPPER(TRIM(SUBSTITUTE($I311," ","")))</f>
        <v/>
      </c>
      <c r="K311" s="15">
        <f>IF($J311="",0,LEN($J311))</f>
        <v/>
      </c>
      <c r="L311" s="15">
        <f>IF($J311="","",LEFT($J311,kdo_ikincilUzunluk))</f>
        <v/>
      </c>
      <c r="M311" s="15">
        <f>"B"</f>
        <v/>
      </c>
      <c r="N311" s="15">
        <f>IF($J311="","",IF(COUNTIF(tblAnahtarB[NormB],$J311)&gt;1,"EVET","HAYIR"))</f>
        <v/>
      </c>
      <c r="O311" s="15">
        <f>IF($I311="","",ROW()-ROW($I$5))</f>
        <v/>
      </c>
    </row>
    <row r="312">
      <c r="A312" s="7">
        <f>IF(VERI_A!A312="","",VERI_A!A312)</f>
        <v/>
      </c>
      <c r="B312" s="15">
        <f>UPPER(TRIM(SUBSTITUTE($A312," ","")))</f>
        <v/>
      </c>
      <c r="C312" s="15">
        <f>IF($B312="",0,LEN($B312))</f>
        <v/>
      </c>
      <c r="D312" s="15">
        <f>IF($B312="","",LEFT($B312,kdo_ikincilUzunluk))</f>
        <v/>
      </c>
      <c r="E312" s="15">
        <f>"A"</f>
        <v/>
      </c>
      <c r="F312" s="15">
        <f>IF($B312="","",IF(COUNTIF(tblAnahtarA[Norm],$B312)&gt;1,"EVET","HAYIR"))</f>
        <v/>
      </c>
      <c r="G312" s="15">
        <f>IF($A312="","",ROW()-ROW($A$5))</f>
        <v/>
      </c>
      <c r="I312" s="7">
        <f>IF(VERI_B!A312="","",VERI_B!A312)</f>
        <v/>
      </c>
      <c r="J312" s="15">
        <f>UPPER(TRIM(SUBSTITUTE($I312," ","")))</f>
        <v/>
      </c>
      <c r="K312" s="15">
        <f>IF($J312="",0,LEN($J312))</f>
        <v/>
      </c>
      <c r="L312" s="15">
        <f>IF($J312="","",LEFT($J312,kdo_ikincilUzunluk))</f>
        <v/>
      </c>
      <c r="M312" s="15">
        <f>"B"</f>
        <v/>
      </c>
      <c r="N312" s="15">
        <f>IF($J312="","",IF(COUNTIF(tblAnahtarB[NormB],$J312)&gt;1,"EVET","HAYIR"))</f>
        <v/>
      </c>
      <c r="O312" s="15">
        <f>IF($I312="","",ROW()-ROW($I$5))</f>
        <v/>
      </c>
    </row>
    <row r="313">
      <c r="A313" s="7">
        <f>IF(VERI_A!A313="","",VERI_A!A313)</f>
        <v/>
      </c>
      <c r="B313" s="15">
        <f>UPPER(TRIM(SUBSTITUTE($A313," ","")))</f>
        <v/>
      </c>
      <c r="C313" s="15">
        <f>IF($B313="",0,LEN($B313))</f>
        <v/>
      </c>
      <c r="D313" s="15">
        <f>IF($B313="","",LEFT($B313,kdo_ikincilUzunluk))</f>
        <v/>
      </c>
      <c r="E313" s="15">
        <f>"A"</f>
        <v/>
      </c>
      <c r="F313" s="15">
        <f>IF($B313="","",IF(COUNTIF(tblAnahtarA[Norm],$B313)&gt;1,"EVET","HAYIR"))</f>
        <v/>
      </c>
      <c r="G313" s="15">
        <f>IF($A313="","",ROW()-ROW($A$5))</f>
        <v/>
      </c>
      <c r="I313" s="7">
        <f>IF(VERI_B!A313="","",VERI_B!A313)</f>
        <v/>
      </c>
      <c r="J313" s="15">
        <f>UPPER(TRIM(SUBSTITUTE($I313," ","")))</f>
        <v/>
      </c>
      <c r="K313" s="15">
        <f>IF($J313="",0,LEN($J313))</f>
        <v/>
      </c>
      <c r="L313" s="15">
        <f>IF($J313="","",LEFT($J313,kdo_ikincilUzunluk))</f>
        <v/>
      </c>
      <c r="M313" s="15">
        <f>"B"</f>
        <v/>
      </c>
      <c r="N313" s="15">
        <f>IF($J313="","",IF(COUNTIF(tblAnahtarB[NormB],$J313)&gt;1,"EVET","HAYIR"))</f>
        <v/>
      </c>
      <c r="O313" s="15">
        <f>IF($I313="","",ROW()-ROW($I$5))</f>
        <v/>
      </c>
    </row>
    <row r="314">
      <c r="A314" s="7">
        <f>IF(VERI_A!A314="","",VERI_A!A314)</f>
        <v/>
      </c>
      <c r="B314" s="15">
        <f>UPPER(TRIM(SUBSTITUTE($A314," ","")))</f>
        <v/>
      </c>
      <c r="C314" s="15">
        <f>IF($B314="",0,LEN($B314))</f>
        <v/>
      </c>
      <c r="D314" s="15">
        <f>IF($B314="","",LEFT($B314,kdo_ikincilUzunluk))</f>
        <v/>
      </c>
      <c r="E314" s="15">
        <f>"A"</f>
        <v/>
      </c>
      <c r="F314" s="15">
        <f>IF($B314="","",IF(COUNTIF(tblAnahtarA[Norm],$B314)&gt;1,"EVET","HAYIR"))</f>
        <v/>
      </c>
      <c r="G314" s="15">
        <f>IF($A314="","",ROW()-ROW($A$5))</f>
        <v/>
      </c>
      <c r="I314" s="7">
        <f>IF(VERI_B!A314="","",VERI_B!A314)</f>
        <v/>
      </c>
      <c r="J314" s="15">
        <f>UPPER(TRIM(SUBSTITUTE($I314," ","")))</f>
        <v/>
      </c>
      <c r="K314" s="15">
        <f>IF($J314="",0,LEN($J314))</f>
        <v/>
      </c>
      <c r="L314" s="15">
        <f>IF($J314="","",LEFT($J314,kdo_ikincilUzunluk))</f>
        <v/>
      </c>
      <c r="M314" s="15">
        <f>"B"</f>
        <v/>
      </c>
      <c r="N314" s="15">
        <f>IF($J314="","",IF(COUNTIF(tblAnahtarB[NormB],$J314)&gt;1,"EVET","HAYIR"))</f>
        <v/>
      </c>
      <c r="O314" s="15">
        <f>IF($I314="","",ROW()-ROW($I$5))</f>
        <v/>
      </c>
    </row>
    <row r="315">
      <c r="A315" s="7">
        <f>IF(VERI_A!A315="","",VERI_A!A315)</f>
        <v/>
      </c>
      <c r="B315" s="15">
        <f>UPPER(TRIM(SUBSTITUTE($A315," ","")))</f>
        <v/>
      </c>
      <c r="C315" s="15">
        <f>IF($B315="",0,LEN($B315))</f>
        <v/>
      </c>
      <c r="D315" s="15">
        <f>IF($B315="","",LEFT($B315,kdo_ikincilUzunluk))</f>
        <v/>
      </c>
      <c r="E315" s="15">
        <f>"A"</f>
        <v/>
      </c>
      <c r="F315" s="15">
        <f>IF($B315="","",IF(COUNTIF(tblAnahtarA[Norm],$B315)&gt;1,"EVET","HAYIR"))</f>
        <v/>
      </c>
      <c r="G315" s="15">
        <f>IF($A315="","",ROW()-ROW($A$5))</f>
        <v/>
      </c>
      <c r="I315" s="7">
        <f>IF(VERI_B!A315="","",VERI_B!A315)</f>
        <v/>
      </c>
      <c r="J315" s="15">
        <f>UPPER(TRIM(SUBSTITUTE($I315," ","")))</f>
        <v/>
      </c>
      <c r="K315" s="15">
        <f>IF($J315="",0,LEN($J315))</f>
        <v/>
      </c>
      <c r="L315" s="15">
        <f>IF($J315="","",LEFT($J315,kdo_ikincilUzunluk))</f>
        <v/>
      </c>
      <c r="M315" s="15">
        <f>"B"</f>
        <v/>
      </c>
      <c r="N315" s="15">
        <f>IF($J315="","",IF(COUNTIF(tblAnahtarB[NormB],$J315)&gt;1,"EVET","HAYIR"))</f>
        <v/>
      </c>
      <c r="O315" s="15">
        <f>IF($I315="","",ROW()-ROW($I$5))</f>
        <v/>
      </c>
    </row>
    <row r="316">
      <c r="A316" s="7">
        <f>IF(VERI_A!A316="","",VERI_A!A316)</f>
        <v/>
      </c>
      <c r="B316" s="15">
        <f>UPPER(TRIM(SUBSTITUTE($A316," ","")))</f>
        <v/>
      </c>
      <c r="C316" s="15">
        <f>IF($B316="",0,LEN($B316))</f>
        <v/>
      </c>
      <c r="D316" s="15">
        <f>IF($B316="","",LEFT($B316,kdo_ikincilUzunluk))</f>
        <v/>
      </c>
      <c r="E316" s="15">
        <f>"A"</f>
        <v/>
      </c>
      <c r="F316" s="15">
        <f>IF($B316="","",IF(COUNTIF(tblAnahtarA[Norm],$B316)&gt;1,"EVET","HAYIR"))</f>
        <v/>
      </c>
      <c r="G316" s="15">
        <f>IF($A316="","",ROW()-ROW($A$5))</f>
        <v/>
      </c>
      <c r="I316" s="7">
        <f>IF(VERI_B!A316="","",VERI_B!A316)</f>
        <v/>
      </c>
      <c r="J316" s="15">
        <f>UPPER(TRIM(SUBSTITUTE($I316," ","")))</f>
        <v/>
      </c>
      <c r="K316" s="15">
        <f>IF($J316="",0,LEN($J316))</f>
        <v/>
      </c>
      <c r="L316" s="15">
        <f>IF($J316="","",LEFT($J316,kdo_ikincilUzunluk))</f>
        <v/>
      </c>
      <c r="M316" s="15">
        <f>"B"</f>
        <v/>
      </c>
      <c r="N316" s="15">
        <f>IF($J316="","",IF(COUNTIF(tblAnahtarB[NormB],$J316)&gt;1,"EVET","HAYIR"))</f>
        <v/>
      </c>
      <c r="O316" s="15">
        <f>IF($I316="","",ROW()-ROW($I$5))</f>
        <v/>
      </c>
    </row>
    <row r="317">
      <c r="A317" s="7">
        <f>IF(VERI_A!A317="","",VERI_A!A317)</f>
        <v/>
      </c>
      <c r="B317" s="15">
        <f>UPPER(TRIM(SUBSTITUTE($A317," ","")))</f>
        <v/>
      </c>
      <c r="C317" s="15">
        <f>IF($B317="",0,LEN($B317))</f>
        <v/>
      </c>
      <c r="D317" s="15">
        <f>IF($B317="","",LEFT($B317,kdo_ikincilUzunluk))</f>
        <v/>
      </c>
      <c r="E317" s="15">
        <f>"A"</f>
        <v/>
      </c>
      <c r="F317" s="15">
        <f>IF($B317="","",IF(COUNTIF(tblAnahtarA[Norm],$B317)&gt;1,"EVET","HAYIR"))</f>
        <v/>
      </c>
      <c r="G317" s="15">
        <f>IF($A317="","",ROW()-ROW($A$5))</f>
        <v/>
      </c>
      <c r="I317" s="7">
        <f>IF(VERI_B!A317="","",VERI_B!A317)</f>
        <v/>
      </c>
      <c r="J317" s="15">
        <f>UPPER(TRIM(SUBSTITUTE($I317," ","")))</f>
        <v/>
      </c>
      <c r="K317" s="15">
        <f>IF($J317="",0,LEN($J317))</f>
        <v/>
      </c>
      <c r="L317" s="15">
        <f>IF($J317="","",LEFT($J317,kdo_ikincilUzunluk))</f>
        <v/>
      </c>
      <c r="M317" s="15">
        <f>"B"</f>
        <v/>
      </c>
      <c r="N317" s="15">
        <f>IF($J317="","",IF(COUNTIF(tblAnahtarB[NormB],$J317)&gt;1,"EVET","HAYIR"))</f>
        <v/>
      </c>
      <c r="O317" s="15">
        <f>IF($I317="","",ROW()-ROW($I$5))</f>
        <v/>
      </c>
    </row>
    <row r="318">
      <c r="A318" s="7">
        <f>IF(VERI_A!A318="","",VERI_A!A318)</f>
        <v/>
      </c>
      <c r="B318" s="15">
        <f>UPPER(TRIM(SUBSTITUTE($A318," ","")))</f>
        <v/>
      </c>
      <c r="C318" s="15">
        <f>IF($B318="",0,LEN($B318))</f>
        <v/>
      </c>
      <c r="D318" s="15">
        <f>IF($B318="","",LEFT($B318,kdo_ikincilUzunluk))</f>
        <v/>
      </c>
      <c r="E318" s="15">
        <f>"A"</f>
        <v/>
      </c>
      <c r="F318" s="15">
        <f>IF($B318="","",IF(COUNTIF(tblAnahtarA[Norm],$B318)&gt;1,"EVET","HAYIR"))</f>
        <v/>
      </c>
      <c r="G318" s="15">
        <f>IF($A318="","",ROW()-ROW($A$5))</f>
        <v/>
      </c>
      <c r="I318" s="7">
        <f>IF(VERI_B!A318="","",VERI_B!A318)</f>
        <v/>
      </c>
      <c r="J318" s="15">
        <f>UPPER(TRIM(SUBSTITUTE($I318," ","")))</f>
        <v/>
      </c>
      <c r="K318" s="15">
        <f>IF($J318="",0,LEN($J318))</f>
        <v/>
      </c>
      <c r="L318" s="15">
        <f>IF($J318="","",LEFT($J318,kdo_ikincilUzunluk))</f>
        <v/>
      </c>
      <c r="M318" s="15">
        <f>"B"</f>
        <v/>
      </c>
      <c r="N318" s="15">
        <f>IF($J318="","",IF(COUNTIF(tblAnahtarB[NormB],$J318)&gt;1,"EVET","HAYIR"))</f>
        <v/>
      </c>
      <c r="O318" s="15">
        <f>IF($I318="","",ROW()-ROW($I$5))</f>
        <v/>
      </c>
    </row>
    <row r="319">
      <c r="A319" s="7">
        <f>IF(VERI_A!A319="","",VERI_A!A319)</f>
        <v/>
      </c>
      <c r="B319" s="15">
        <f>UPPER(TRIM(SUBSTITUTE($A319," ","")))</f>
        <v/>
      </c>
      <c r="C319" s="15">
        <f>IF($B319="",0,LEN($B319))</f>
        <v/>
      </c>
      <c r="D319" s="15">
        <f>IF($B319="","",LEFT($B319,kdo_ikincilUzunluk))</f>
        <v/>
      </c>
      <c r="E319" s="15">
        <f>"A"</f>
        <v/>
      </c>
      <c r="F319" s="15">
        <f>IF($B319="","",IF(COUNTIF(tblAnahtarA[Norm],$B319)&gt;1,"EVET","HAYIR"))</f>
        <v/>
      </c>
      <c r="G319" s="15">
        <f>IF($A319="","",ROW()-ROW($A$5))</f>
        <v/>
      </c>
      <c r="I319" s="7">
        <f>IF(VERI_B!A319="","",VERI_B!A319)</f>
        <v/>
      </c>
      <c r="J319" s="15">
        <f>UPPER(TRIM(SUBSTITUTE($I319," ","")))</f>
        <v/>
      </c>
      <c r="K319" s="15">
        <f>IF($J319="",0,LEN($J319))</f>
        <v/>
      </c>
      <c r="L319" s="15">
        <f>IF($J319="","",LEFT($J319,kdo_ikincilUzunluk))</f>
        <v/>
      </c>
      <c r="M319" s="15">
        <f>"B"</f>
        <v/>
      </c>
      <c r="N319" s="15">
        <f>IF($J319="","",IF(COUNTIF(tblAnahtarB[NormB],$J319)&gt;1,"EVET","HAYIR"))</f>
        <v/>
      </c>
      <c r="O319" s="15">
        <f>IF($I319="","",ROW()-ROW($I$5))</f>
        <v/>
      </c>
    </row>
    <row r="320">
      <c r="A320" s="7">
        <f>IF(VERI_A!A320="","",VERI_A!A320)</f>
        <v/>
      </c>
      <c r="B320" s="15">
        <f>UPPER(TRIM(SUBSTITUTE($A320," ","")))</f>
        <v/>
      </c>
      <c r="C320" s="15">
        <f>IF($B320="",0,LEN($B320))</f>
        <v/>
      </c>
      <c r="D320" s="15">
        <f>IF($B320="","",LEFT($B320,kdo_ikincilUzunluk))</f>
        <v/>
      </c>
      <c r="E320" s="15">
        <f>"A"</f>
        <v/>
      </c>
      <c r="F320" s="15">
        <f>IF($B320="","",IF(COUNTIF(tblAnahtarA[Norm],$B320)&gt;1,"EVET","HAYIR"))</f>
        <v/>
      </c>
      <c r="G320" s="15">
        <f>IF($A320="","",ROW()-ROW($A$5))</f>
        <v/>
      </c>
      <c r="I320" s="7">
        <f>IF(VERI_B!A320="","",VERI_B!A320)</f>
        <v/>
      </c>
      <c r="J320" s="15">
        <f>UPPER(TRIM(SUBSTITUTE($I320," ","")))</f>
        <v/>
      </c>
      <c r="K320" s="15">
        <f>IF($J320="",0,LEN($J320))</f>
        <v/>
      </c>
      <c r="L320" s="15">
        <f>IF($J320="","",LEFT($J320,kdo_ikincilUzunluk))</f>
        <v/>
      </c>
      <c r="M320" s="15">
        <f>"B"</f>
        <v/>
      </c>
      <c r="N320" s="15">
        <f>IF($J320="","",IF(COUNTIF(tblAnahtarB[NormB],$J320)&gt;1,"EVET","HAYIR"))</f>
        <v/>
      </c>
      <c r="O320" s="15">
        <f>IF($I320="","",ROW()-ROW($I$5))</f>
        <v/>
      </c>
    </row>
    <row r="321">
      <c r="A321" s="7">
        <f>IF(VERI_A!A321="","",VERI_A!A321)</f>
        <v/>
      </c>
      <c r="B321" s="15">
        <f>UPPER(TRIM(SUBSTITUTE($A321," ","")))</f>
        <v/>
      </c>
      <c r="C321" s="15">
        <f>IF($B321="",0,LEN($B321))</f>
        <v/>
      </c>
      <c r="D321" s="15">
        <f>IF($B321="","",LEFT($B321,kdo_ikincilUzunluk))</f>
        <v/>
      </c>
      <c r="E321" s="15">
        <f>"A"</f>
        <v/>
      </c>
      <c r="F321" s="15">
        <f>IF($B321="","",IF(COUNTIF(tblAnahtarA[Norm],$B321)&gt;1,"EVET","HAYIR"))</f>
        <v/>
      </c>
      <c r="G321" s="15">
        <f>IF($A321="","",ROW()-ROW($A$5))</f>
        <v/>
      </c>
      <c r="I321" s="7">
        <f>IF(VERI_B!A321="","",VERI_B!A321)</f>
        <v/>
      </c>
      <c r="J321" s="15">
        <f>UPPER(TRIM(SUBSTITUTE($I321," ","")))</f>
        <v/>
      </c>
      <c r="K321" s="15">
        <f>IF($J321="",0,LEN($J321))</f>
        <v/>
      </c>
      <c r="L321" s="15">
        <f>IF($J321="","",LEFT($J321,kdo_ikincilUzunluk))</f>
        <v/>
      </c>
      <c r="M321" s="15">
        <f>"B"</f>
        <v/>
      </c>
      <c r="N321" s="15">
        <f>IF($J321="","",IF(COUNTIF(tblAnahtarB[NormB],$J321)&gt;1,"EVET","HAYIR"))</f>
        <v/>
      </c>
      <c r="O321" s="15">
        <f>IF($I321="","",ROW()-ROW($I$5))</f>
        <v/>
      </c>
    </row>
    <row r="322">
      <c r="A322" s="7">
        <f>IF(VERI_A!A322="","",VERI_A!A322)</f>
        <v/>
      </c>
      <c r="B322" s="15">
        <f>UPPER(TRIM(SUBSTITUTE($A322," ","")))</f>
        <v/>
      </c>
      <c r="C322" s="15">
        <f>IF($B322="",0,LEN($B322))</f>
        <v/>
      </c>
      <c r="D322" s="15">
        <f>IF($B322="","",LEFT($B322,kdo_ikincilUzunluk))</f>
        <v/>
      </c>
      <c r="E322" s="15">
        <f>"A"</f>
        <v/>
      </c>
      <c r="F322" s="15">
        <f>IF($B322="","",IF(COUNTIF(tblAnahtarA[Norm],$B322)&gt;1,"EVET","HAYIR"))</f>
        <v/>
      </c>
      <c r="G322" s="15">
        <f>IF($A322="","",ROW()-ROW($A$5))</f>
        <v/>
      </c>
      <c r="I322" s="7">
        <f>IF(VERI_B!A322="","",VERI_B!A322)</f>
        <v/>
      </c>
      <c r="J322" s="15">
        <f>UPPER(TRIM(SUBSTITUTE($I322," ","")))</f>
        <v/>
      </c>
      <c r="K322" s="15">
        <f>IF($J322="",0,LEN($J322))</f>
        <v/>
      </c>
      <c r="L322" s="15">
        <f>IF($J322="","",LEFT($J322,kdo_ikincilUzunluk))</f>
        <v/>
      </c>
      <c r="M322" s="15">
        <f>"B"</f>
        <v/>
      </c>
      <c r="N322" s="15">
        <f>IF($J322="","",IF(COUNTIF(tblAnahtarB[NormB],$J322)&gt;1,"EVET","HAYIR"))</f>
        <v/>
      </c>
      <c r="O322" s="15">
        <f>IF($I322="","",ROW()-ROW($I$5))</f>
        <v/>
      </c>
    </row>
    <row r="323">
      <c r="A323" s="7">
        <f>IF(VERI_A!A323="","",VERI_A!A323)</f>
        <v/>
      </c>
      <c r="B323" s="15">
        <f>UPPER(TRIM(SUBSTITUTE($A323," ","")))</f>
        <v/>
      </c>
      <c r="C323" s="15">
        <f>IF($B323="",0,LEN($B323))</f>
        <v/>
      </c>
      <c r="D323" s="15">
        <f>IF($B323="","",LEFT($B323,kdo_ikincilUzunluk))</f>
        <v/>
      </c>
      <c r="E323" s="15">
        <f>"A"</f>
        <v/>
      </c>
      <c r="F323" s="15">
        <f>IF($B323="","",IF(COUNTIF(tblAnahtarA[Norm],$B323)&gt;1,"EVET","HAYIR"))</f>
        <v/>
      </c>
      <c r="G323" s="15">
        <f>IF($A323="","",ROW()-ROW($A$5))</f>
        <v/>
      </c>
      <c r="I323" s="7">
        <f>IF(VERI_B!A323="","",VERI_B!A323)</f>
        <v/>
      </c>
      <c r="J323" s="15">
        <f>UPPER(TRIM(SUBSTITUTE($I323," ","")))</f>
        <v/>
      </c>
      <c r="K323" s="15">
        <f>IF($J323="",0,LEN($J323))</f>
        <v/>
      </c>
      <c r="L323" s="15">
        <f>IF($J323="","",LEFT($J323,kdo_ikincilUzunluk))</f>
        <v/>
      </c>
      <c r="M323" s="15">
        <f>"B"</f>
        <v/>
      </c>
      <c r="N323" s="15">
        <f>IF($J323="","",IF(COUNTIF(tblAnahtarB[NormB],$J323)&gt;1,"EVET","HAYIR"))</f>
        <v/>
      </c>
      <c r="O323" s="15">
        <f>IF($I323="","",ROW()-ROW($I$5))</f>
        <v/>
      </c>
    </row>
    <row r="324">
      <c r="A324" s="7">
        <f>IF(VERI_A!A324="","",VERI_A!A324)</f>
        <v/>
      </c>
      <c r="B324" s="15">
        <f>UPPER(TRIM(SUBSTITUTE($A324," ","")))</f>
        <v/>
      </c>
      <c r="C324" s="15">
        <f>IF($B324="",0,LEN($B324))</f>
        <v/>
      </c>
      <c r="D324" s="15">
        <f>IF($B324="","",LEFT($B324,kdo_ikincilUzunluk))</f>
        <v/>
      </c>
      <c r="E324" s="15">
        <f>"A"</f>
        <v/>
      </c>
      <c r="F324" s="15">
        <f>IF($B324="","",IF(COUNTIF(tblAnahtarA[Norm],$B324)&gt;1,"EVET","HAYIR"))</f>
        <v/>
      </c>
      <c r="G324" s="15">
        <f>IF($A324="","",ROW()-ROW($A$5))</f>
        <v/>
      </c>
      <c r="I324" s="7">
        <f>IF(VERI_B!A324="","",VERI_B!A324)</f>
        <v/>
      </c>
      <c r="J324" s="15">
        <f>UPPER(TRIM(SUBSTITUTE($I324," ","")))</f>
        <v/>
      </c>
      <c r="K324" s="15">
        <f>IF($J324="",0,LEN($J324))</f>
        <v/>
      </c>
      <c r="L324" s="15">
        <f>IF($J324="","",LEFT($J324,kdo_ikincilUzunluk))</f>
        <v/>
      </c>
      <c r="M324" s="15">
        <f>"B"</f>
        <v/>
      </c>
      <c r="N324" s="15">
        <f>IF($J324="","",IF(COUNTIF(tblAnahtarB[NormB],$J324)&gt;1,"EVET","HAYIR"))</f>
        <v/>
      </c>
      <c r="O324" s="15">
        <f>IF($I324="","",ROW()-ROW($I$5))</f>
        <v/>
      </c>
    </row>
    <row r="325">
      <c r="A325" s="7">
        <f>IF(VERI_A!A325="","",VERI_A!A325)</f>
        <v/>
      </c>
      <c r="B325" s="15">
        <f>UPPER(TRIM(SUBSTITUTE($A325," ","")))</f>
        <v/>
      </c>
      <c r="C325" s="15">
        <f>IF($B325="",0,LEN($B325))</f>
        <v/>
      </c>
      <c r="D325" s="15">
        <f>IF($B325="","",LEFT($B325,kdo_ikincilUzunluk))</f>
        <v/>
      </c>
      <c r="E325" s="15">
        <f>"A"</f>
        <v/>
      </c>
      <c r="F325" s="15">
        <f>IF($B325="","",IF(COUNTIF(tblAnahtarA[Norm],$B325)&gt;1,"EVET","HAYIR"))</f>
        <v/>
      </c>
      <c r="G325" s="15">
        <f>IF($A325="","",ROW()-ROW($A$5))</f>
        <v/>
      </c>
      <c r="I325" s="7">
        <f>IF(VERI_B!A325="","",VERI_B!A325)</f>
        <v/>
      </c>
      <c r="J325" s="15">
        <f>UPPER(TRIM(SUBSTITUTE($I325," ","")))</f>
        <v/>
      </c>
      <c r="K325" s="15">
        <f>IF($J325="",0,LEN($J325))</f>
        <v/>
      </c>
      <c r="L325" s="15">
        <f>IF($J325="","",LEFT($J325,kdo_ikincilUzunluk))</f>
        <v/>
      </c>
      <c r="M325" s="15">
        <f>"B"</f>
        <v/>
      </c>
      <c r="N325" s="15">
        <f>IF($J325="","",IF(COUNTIF(tblAnahtarB[NormB],$J325)&gt;1,"EVET","HAYIR"))</f>
        <v/>
      </c>
      <c r="O325" s="15">
        <f>IF($I325="","",ROW()-ROW($I$5))</f>
        <v/>
      </c>
    </row>
    <row r="326">
      <c r="A326" s="7">
        <f>IF(VERI_A!A326="","",VERI_A!A326)</f>
        <v/>
      </c>
      <c r="B326" s="15">
        <f>UPPER(TRIM(SUBSTITUTE($A326," ","")))</f>
        <v/>
      </c>
      <c r="C326" s="15">
        <f>IF($B326="",0,LEN($B326))</f>
        <v/>
      </c>
      <c r="D326" s="15">
        <f>IF($B326="","",LEFT($B326,kdo_ikincilUzunluk))</f>
        <v/>
      </c>
      <c r="E326" s="15">
        <f>"A"</f>
        <v/>
      </c>
      <c r="F326" s="15">
        <f>IF($B326="","",IF(COUNTIF(tblAnahtarA[Norm],$B326)&gt;1,"EVET","HAYIR"))</f>
        <v/>
      </c>
      <c r="G326" s="15">
        <f>IF($A326="","",ROW()-ROW($A$5))</f>
        <v/>
      </c>
      <c r="I326" s="7">
        <f>IF(VERI_B!A326="","",VERI_B!A326)</f>
        <v/>
      </c>
      <c r="J326" s="15">
        <f>UPPER(TRIM(SUBSTITUTE($I326," ","")))</f>
        <v/>
      </c>
      <c r="K326" s="15">
        <f>IF($J326="",0,LEN($J326))</f>
        <v/>
      </c>
      <c r="L326" s="15">
        <f>IF($J326="","",LEFT($J326,kdo_ikincilUzunluk))</f>
        <v/>
      </c>
      <c r="M326" s="15">
        <f>"B"</f>
        <v/>
      </c>
      <c r="N326" s="15">
        <f>IF($J326="","",IF(COUNTIF(tblAnahtarB[NormB],$J326)&gt;1,"EVET","HAYIR"))</f>
        <v/>
      </c>
      <c r="O326" s="15">
        <f>IF($I326="","",ROW()-ROW($I$5))</f>
        <v/>
      </c>
    </row>
    <row r="327">
      <c r="A327" s="7">
        <f>IF(VERI_A!A327="","",VERI_A!A327)</f>
        <v/>
      </c>
      <c r="B327" s="15">
        <f>UPPER(TRIM(SUBSTITUTE($A327," ","")))</f>
        <v/>
      </c>
      <c r="C327" s="15">
        <f>IF($B327="",0,LEN($B327))</f>
        <v/>
      </c>
      <c r="D327" s="15">
        <f>IF($B327="","",LEFT($B327,kdo_ikincilUzunluk))</f>
        <v/>
      </c>
      <c r="E327" s="15">
        <f>"A"</f>
        <v/>
      </c>
      <c r="F327" s="15">
        <f>IF($B327="","",IF(COUNTIF(tblAnahtarA[Norm],$B327)&gt;1,"EVET","HAYIR"))</f>
        <v/>
      </c>
      <c r="G327" s="15">
        <f>IF($A327="","",ROW()-ROW($A$5))</f>
        <v/>
      </c>
      <c r="I327" s="7">
        <f>IF(VERI_B!A327="","",VERI_B!A327)</f>
        <v/>
      </c>
      <c r="J327" s="15">
        <f>UPPER(TRIM(SUBSTITUTE($I327," ","")))</f>
        <v/>
      </c>
      <c r="K327" s="15">
        <f>IF($J327="",0,LEN($J327))</f>
        <v/>
      </c>
      <c r="L327" s="15">
        <f>IF($J327="","",LEFT($J327,kdo_ikincilUzunluk))</f>
        <v/>
      </c>
      <c r="M327" s="15">
        <f>"B"</f>
        <v/>
      </c>
      <c r="N327" s="15">
        <f>IF($J327="","",IF(COUNTIF(tblAnahtarB[NormB],$J327)&gt;1,"EVET","HAYIR"))</f>
        <v/>
      </c>
      <c r="O327" s="15">
        <f>IF($I327="","",ROW()-ROW($I$5))</f>
        <v/>
      </c>
    </row>
    <row r="328">
      <c r="A328" s="7">
        <f>IF(VERI_A!A328="","",VERI_A!A328)</f>
        <v/>
      </c>
      <c r="B328" s="15">
        <f>UPPER(TRIM(SUBSTITUTE($A328," ","")))</f>
        <v/>
      </c>
      <c r="C328" s="15">
        <f>IF($B328="",0,LEN($B328))</f>
        <v/>
      </c>
      <c r="D328" s="15">
        <f>IF($B328="","",LEFT($B328,kdo_ikincilUzunluk))</f>
        <v/>
      </c>
      <c r="E328" s="15">
        <f>"A"</f>
        <v/>
      </c>
      <c r="F328" s="15">
        <f>IF($B328="","",IF(COUNTIF(tblAnahtarA[Norm],$B328)&gt;1,"EVET","HAYIR"))</f>
        <v/>
      </c>
      <c r="G328" s="15">
        <f>IF($A328="","",ROW()-ROW($A$5))</f>
        <v/>
      </c>
      <c r="I328" s="7">
        <f>IF(VERI_B!A328="","",VERI_B!A328)</f>
        <v/>
      </c>
      <c r="J328" s="15">
        <f>UPPER(TRIM(SUBSTITUTE($I328," ","")))</f>
        <v/>
      </c>
      <c r="K328" s="15">
        <f>IF($J328="",0,LEN($J328))</f>
        <v/>
      </c>
      <c r="L328" s="15">
        <f>IF($J328="","",LEFT($J328,kdo_ikincilUzunluk))</f>
        <v/>
      </c>
      <c r="M328" s="15">
        <f>"B"</f>
        <v/>
      </c>
      <c r="N328" s="15">
        <f>IF($J328="","",IF(COUNTIF(tblAnahtarB[NormB],$J328)&gt;1,"EVET","HAYIR"))</f>
        <v/>
      </c>
      <c r="O328" s="15">
        <f>IF($I328="","",ROW()-ROW($I$5))</f>
        <v/>
      </c>
    </row>
    <row r="329">
      <c r="A329" s="7">
        <f>IF(VERI_A!A329="","",VERI_A!A329)</f>
        <v/>
      </c>
      <c r="B329" s="15">
        <f>UPPER(TRIM(SUBSTITUTE($A329," ","")))</f>
        <v/>
      </c>
      <c r="C329" s="15">
        <f>IF($B329="",0,LEN($B329))</f>
        <v/>
      </c>
      <c r="D329" s="15">
        <f>IF($B329="","",LEFT($B329,kdo_ikincilUzunluk))</f>
        <v/>
      </c>
      <c r="E329" s="15">
        <f>"A"</f>
        <v/>
      </c>
      <c r="F329" s="15">
        <f>IF($B329="","",IF(COUNTIF(tblAnahtarA[Norm],$B329)&gt;1,"EVET","HAYIR"))</f>
        <v/>
      </c>
      <c r="G329" s="15">
        <f>IF($A329="","",ROW()-ROW($A$5))</f>
        <v/>
      </c>
      <c r="I329" s="7">
        <f>IF(VERI_B!A329="","",VERI_B!A329)</f>
        <v/>
      </c>
      <c r="J329" s="15">
        <f>UPPER(TRIM(SUBSTITUTE($I329," ","")))</f>
        <v/>
      </c>
      <c r="K329" s="15">
        <f>IF($J329="",0,LEN($J329))</f>
        <v/>
      </c>
      <c r="L329" s="15">
        <f>IF($J329="","",LEFT($J329,kdo_ikincilUzunluk))</f>
        <v/>
      </c>
      <c r="M329" s="15">
        <f>"B"</f>
        <v/>
      </c>
      <c r="N329" s="15">
        <f>IF($J329="","",IF(COUNTIF(tblAnahtarB[NormB],$J329)&gt;1,"EVET","HAYIR"))</f>
        <v/>
      </c>
      <c r="O329" s="15">
        <f>IF($I329="","",ROW()-ROW($I$5))</f>
        <v/>
      </c>
    </row>
    <row r="330">
      <c r="A330" s="7">
        <f>IF(VERI_A!A330="","",VERI_A!A330)</f>
        <v/>
      </c>
      <c r="B330" s="15">
        <f>UPPER(TRIM(SUBSTITUTE($A330," ","")))</f>
        <v/>
      </c>
      <c r="C330" s="15">
        <f>IF($B330="",0,LEN($B330))</f>
        <v/>
      </c>
      <c r="D330" s="15">
        <f>IF($B330="","",LEFT($B330,kdo_ikincilUzunluk))</f>
        <v/>
      </c>
      <c r="E330" s="15">
        <f>"A"</f>
        <v/>
      </c>
      <c r="F330" s="15">
        <f>IF($B330="","",IF(COUNTIF(tblAnahtarA[Norm],$B330)&gt;1,"EVET","HAYIR"))</f>
        <v/>
      </c>
      <c r="G330" s="15">
        <f>IF($A330="","",ROW()-ROW($A$5))</f>
        <v/>
      </c>
      <c r="I330" s="7">
        <f>IF(VERI_B!A330="","",VERI_B!A330)</f>
        <v/>
      </c>
      <c r="J330" s="15">
        <f>UPPER(TRIM(SUBSTITUTE($I330," ","")))</f>
        <v/>
      </c>
      <c r="K330" s="15">
        <f>IF($J330="",0,LEN($J330))</f>
        <v/>
      </c>
      <c r="L330" s="15">
        <f>IF($J330="","",LEFT($J330,kdo_ikincilUzunluk))</f>
        <v/>
      </c>
      <c r="M330" s="15">
        <f>"B"</f>
        <v/>
      </c>
      <c r="N330" s="15">
        <f>IF($J330="","",IF(COUNTIF(tblAnahtarB[NormB],$J330)&gt;1,"EVET","HAYIR"))</f>
        <v/>
      </c>
      <c r="O330" s="15">
        <f>IF($I330="","",ROW()-ROW($I$5))</f>
        <v/>
      </c>
    </row>
    <row r="331">
      <c r="A331" s="7">
        <f>IF(VERI_A!A331="","",VERI_A!A331)</f>
        <v/>
      </c>
      <c r="B331" s="15">
        <f>UPPER(TRIM(SUBSTITUTE($A331," ","")))</f>
        <v/>
      </c>
      <c r="C331" s="15">
        <f>IF($B331="",0,LEN($B331))</f>
        <v/>
      </c>
      <c r="D331" s="15">
        <f>IF($B331="","",LEFT($B331,kdo_ikincilUzunluk))</f>
        <v/>
      </c>
      <c r="E331" s="15">
        <f>"A"</f>
        <v/>
      </c>
      <c r="F331" s="15">
        <f>IF($B331="","",IF(COUNTIF(tblAnahtarA[Norm],$B331)&gt;1,"EVET","HAYIR"))</f>
        <v/>
      </c>
      <c r="G331" s="15">
        <f>IF($A331="","",ROW()-ROW($A$5))</f>
        <v/>
      </c>
      <c r="I331" s="7">
        <f>IF(VERI_B!A331="","",VERI_B!A331)</f>
        <v/>
      </c>
      <c r="J331" s="15">
        <f>UPPER(TRIM(SUBSTITUTE($I331," ","")))</f>
        <v/>
      </c>
      <c r="K331" s="15">
        <f>IF($J331="",0,LEN($J331))</f>
        <v/>
      </c>
      <c r="L331" s="15">
        <f>IF($J331="","",LEFT($J331,kdo_ikincilUzunluk))</f>
        <v/>
      </c>
      <c r="M331" s="15">
        <f>"B"</f>
        <v/>
      </c>
      <c r="N331" s="15">
        <f>IF($J331="","",IF(COUNTIF(tblAnahtarB[NormB],$J331)&gt;1,"EVET","HAYIR"))</f>
        <v/>
      </c>
      <c r="O331" s="15">
        <f>IF($I331="","",ROW()-ROW($I$5))</f>
        <v/>
      </c>
    </row>
    <row r="332">
      <c r="A332" s="7">
        <f>IF(VERI_A!A332="","",VERI_A!A332)</f>
        <v/>
      </c>
      <c r="B332" s="15">
        <f>UPPER(TRIM(SUBSTITUTE($A332," ","")))</f>
        <v/>
      </c>
      <c r="C332" s="15">
        <f>IF($B332="",0,LEN($B332))</f>
        <v/>
      </c>
      <c r="D332" s="15">
        <f>IF($B332="","",LEFT($B332,kdo_ikincilUzunluk))</f>
        <v/>
      </c>
      <c r="E332" s="15">
        <f>"A"</f>
        <v/>
      </c>
      <c r="F332" s="15">
        <f>IF($B332="","",IF(COUNTIF(tblAnahtarA[Norm],$B332)&gt;1,"EVET","HAYIR"))</f>
        <v/>
      </c>
      <c r="G332" s="15">
        <f>IF($A332="","",ROW()-ROW($A$5))</f>
        <v/>
      </c>
      <c r="I332" s="7">
        <f>IF(VERI_B!A332="","",VERI_B!A332)</f>
        <v/>
      </c>
      <c r="J332" s="15">
        <f>UPPER(TRIM(SUBSTITUTE($I332," ","")))</f>
        <v/>
      </c>
      <c r="K332" s="15">
        <f>IF($J332="",0,LEN($J332))</f>
        <v/>
      </c>
      <c r="L332" s="15">
        <f>IF($J332="","",LEFT($J332,kdo_ikincilUzunluk))</f>
        <v/>
      </c>
      <c r="M332" s="15">
        <f>"B"</f>
        <v/>
      </c>
      <c r="N332" s="15">
        <f>IF($J332="","",IF(COUNTIF(tblAnahtarB[NormB],$J332)&gt;1,"EVET","HAYIR"))</f>
        <v/>
      </c>
      <c r="O332" s="15">
        <f>IF($I332="","",ROW()-ROW($I$5))</f>
        <v/>
      </c>
    </row>
    <row r="333">
      <c r="A333" s="7">
        <f>IF(VERI_A!A333="","",VERI_A!A333)</f>
        <v/>
      </c>
      <c r="B333" s="15">
        <f>UPPER(TRIM(SUBSTITUTE($A333," ","")))</f>
        <v/>
      </c>
      <c r="C333" s="15">
        <f>IF($B333="",0,LEN($B333))</f>
        <v/>
      </c>
      <c r="D333" s="15">
        <f>IF($B333="","",LEFT($B333,kdo_ikincilUzunluk))</f>
        <v/>
      </c>
      <c r="E333" s="15">
        <f>"A"</f>
        <v/>
      </c>
      <c r="F333" s="15">
        <f>IF($B333="","",IF(COUNTIF(tblAnahtarA[Norm],$B333)&gt;1,"EVET","HAYIR"))</f>
        <v/>
      </c>
      <c r="G333" s="15">
        <f>IF($A333="","",ROW()-ROW($A$5))</f>
        <v/>
      </c>
      <c r="I333" s="7">
        <f>IF(VERI_B!A333="","",VERI_B!A333)</f>
        <v/>
      </c>
      <c r="J333" s="15">
        <f>UPPER(TRIM(SUBSTITUTE($I333," ","")))</f>
        <v/>
      </c>
      <c r="K333" s="15">
        <f>IF($J333="",0,LEN($J333))</f>
        <v/>
      </c>
      <c r="L333" s="15">
        <f>IF($J333="","",LEFT($J333,kdo_ikincilUzunluk))</f>
        <v/>
      </c>
      <c r="M333" s="15">
        <f>"B"</f>
        <v/>
      </c>
      <c r="N333" s="15">
        <f>IF($J333="","",IF(COUNTIF(tblAnahtarB[NormB],$J333)&gt;1,"EVET","HAYIR"))</f>
        <v/>
      </c>
      <c r="O333" s="15">
        <f>IF($I333="","",ROW()-ROW($I$5))</f>
        <v/>
      </c>
    </row>
    <row r="334">
      <c r="A334" s="7">
        <f>IF(VERI_A!A334="","",VERI_A!A334)</f>
        <v/>
      </c>
      <c r="B334" s="15">
        <f>UPPER(TRIM(SUBSTITUTE($A334," ","")))</f>
        <v/>
      </c>
      <c r="C334" s="15">
        <f>IF($B334="",0,LEN($B334))</f>
        <v/>
      </c>
      <c r="D334" s="15">
        <f>IF($B334="","",LEFT($B334,kdo_ikincilUzunluk))</f>
        <v/>
      </c>
      <c r="E334" s="15">
        <f>"A"</f>
        <v/>
      </c>
      <c r="F334" s="15">
        <f>IF($B334="","",IF(COUNTIF(tblAnahtarA[Norm],$B334)&gt;1,"EVET","HAYIR"))</f>
        <v/>
      </c>
      <c r="G334" s="15">
        <f>IF($A334="","",ROW()-ROW($A$5))</f>
        <v/>
      </c>
      <c r="I334" s="7">
        <f>IF(VERI_B!A334="","",VERI_B!A334)</f>
        <v/>
      </c>
      <c r="J334" s="15">
        <f>UPPER(TRIM(SUBSTITUTE($I334," ","")))</f>
        <v/>
      </c>
      <c r="K334" s="15">
        <f>IF($J334="",0,LEN($J334))</f>
        <v/>
      </c>
      <c r="L334" s="15">
        <f>IF($J334="","",LEFT($J334,kdo_ikincilUzunluk))</f>
        <v/>
      </c>
      <c r="M334" s="15">
        <f>"B"</f>
        <v/>
      </c>
      <c r="N334" s="15">
        <f>IF($J334="","",IF(COUNTIF(tblAnahtarB[NormB],$J334)&gt;1,"EVET","HAYIR"))</f>
        <v/>
      </c>
      <c r="O334" s="15">
        <f>IF($I334="","",ROW()-ROW($I$5))</f>
        <v/>
      </c>
    </row>
    <row r="335">
      <c r="A335" s="7">
        <f>IF(VERI_A!A335="","",VERI_A!A335)</f>
        <v/>
      </c>
      <c r="B335" s="15">
        <f>UPPER(TRIM(SUBSTITUTE($A335," ","")))</f>
        <v/>
      </c>
      <c r="C335" s="15">
        <f>IF($B335="",0,LEN($B335))</f>
        <v/>
      </c>
      <c r="D335" s="15">
        <f>IF($B335="","",LEFT($B335,kdo_ikincilUzunluk))</f>
        <v/>
      </c>
      <c r="E335" s="15">
        <f>"A"</f>
        <v/>
      </c>
      <c r="F335" s="15">
        <f>IF($B335="","",IF(COUNTIF(tblAnahtarA[Norm],$B335)&gt;1,"EVET","HAYIR"))</f>
        <v/>
      </c>
      <c r="G335" s="15">
        <f>IF($A335="","",ROW()-ROW($A$5))</f>
        <v/>
      </c>
      <c r="I335" s="7">
        <f>IF(VERI_B!A335="","",VERI_B!A335)</f>
        <v/>
      </c>
      <c r="J335" s="15">
        <f>UPPER(TRIM(SUBSTITUTE($I335," ","")))</f>
        <v/>
      </c>
      <c r="K335" s="15">
        <f>IF($J335="",0,LEN($J335))</f>
        <v/>
      </c>
      <c r="L335" s="15">
        <f>IF($J335="","",LEFT($J335,kdo_ikincilUzunluk))</f>
        <v/>
      </c>
      <c r="M335" s="15">
        <f>"B"</f>
        <v/>
      </c>
      <c r="N335" s="15">
        <f>IF($J335="","",IF(COUNTIF(tblAnahtarB[NormB],$J335)&gt;1,"EVET","HAYIR"))</f>
        <v/>
      </c>
      <c r="O335" s="15">
        <f>IF($I335="","",ROW()-ROW($I$5))</f>
        <v/>
      </c>
    </row>
    <row r="336">
      <c r="A336" s="7">
        <f>IF(VERI_A!A336="","",VERI_A!A336)</f>
        <v/>
      </c>
      <c r="B336" s="15">
        <f>UPPER(TRIM(SUBSTITUTE($A336," ","")))</f>
        <v/>
      </c>
      <c r="C336" s="15">
        <f>IF($B336="",0,LEN($B336))</f>
        <v/>
      </c>
      <c r="D336" s="15">
        <f>IF($B336="","",LEFT($B336,kdo_ikincilUzunluk))</f>
        <v/>
      </c>
      <c r="E336" s="15">
        <f>"A"</f>
        <v/>
      </c>
      <c r="F336" s="15">
        <f>IF($B336="","",IF(COUNTIF(tblAnahtarA[Norm],$B336)&gt;1,"EVET","HAYIR"))</f>
        <v/>
      </c>
      <c r="G336" s="15">
        <f>IF($A336="","",ROW()-ROW($A$5))</f>
        <v/>
      </c>
      <c r="I336" s="7">
        <f>IF(VERI_B!A336="","",VERI_B!A336)</f>
        <v/>
      </c>
      <c r="J336" s="15">
        <f>UPPER(TRIM(SUBSTITUTE($I336," ","")))</f>
        <v/>
      </c>
      <c r="K336" s="15">
        <f>IF($J336="",0,LEN($J336))</f>
        <v/>
      </c>
      <c r="L336" s="15">
        <f>IF($J336="","",LEFT($J336,kdo_ikincilUzunluk))</f>
        <v/>
      </c>
      <c r="M336" s="15">
        <f>"B"</f>
        <v/>
      </c>
      <c r="N336" s="15">
        <f>IF($J336="","",IF(COUNTIF(tblAnahtarB[NormB],$J336)&gt;1,"EVET","HAYIR"))</f>
        <v/>
      </c>
      <c r="O336" s="15">
        <f>IF($I336="","",ROW()-ROW($I$5))</f>
        <v/>
      </c>
    </row>
    <row r="337">
      <c r="A337" s="7">
        <f>IF(VERI_A!A337="","",VERI_A!A337)</f>
        <v/>
      </c>
      <c r="B337" s="15">
        <f>UPPER(TRIM(SUBSTITUTE($A337," ","")))</f>
        <v/>
      </c>
      <c r="C337" s="15">
        <f>IF($B337="",0,LEN($B337))</f>
        <v/>
      </c>
      <c r="D337" s="15">
        <f>IF($B337="","",LEFT($B337,kdo_ikincilUzunluk))</f>
        <v/>
      </c>
      <c r="E337" s="15">
        <f>"A"</f>
        <v/>
      </c>
      <c r="F337" s="15">
        <f>IF($B337="","",IF(COUNTIF(tblAnahtarA[Norm],$B337)&gt;1,"EVET","HAYIR"))</f>
        <v/>
      </c>
      <c r="G337" s="15">
        <f>IF($A337="","",ROW()-ROW($A$5))</f>
        <v/>
      </c>
      <c r="I337" s="7">
        <f>IF(VERI_B!A337="","",VERI_B!A337)</f>
        <v/>
      </c>
      <c r="J337" s="15">
        <f>UPPER(TRIM(SUBSTITUTE($I337," ","")))</f>
        <v/>
      </c>
      <c r="K337" s="15">
        <f>IF($J337="",0,LEN($J337))</f>
        <v/>
      </c>
      <c r="L337" s="15">
        <f>IF($J337="","",LEFT($J337,kdo_ikincilUzunluk))</f>
        <v/>
      </c>
      <c r="M337" s="15">
        <f>"B"</f>
        <v/>
      </c>
      <c r="N337" s="15">
        <f>IF($J337="","",IF(COUNTIF(tblAnahtarB[NormB],$J337)&gt;1,"EVET","HAYIR"))</f>
        <v/>
      </c>
      <c r="O337" s="15">
        <f>IF($I337="","",ROW()-ROW($I$5))</f>
        <v/>
      </c>
    </row>
    <row r="338">
      <c r="A338" s="7">
        <f>IF(VERI_A!A338="","",VERI_A!A338)</f>
        <v/>
      </c>
      <c r="B338" s="15">
        <f>UPPER(TRIM(SUBSTITUTE($A338," ","")))</f>
        <v/>
      </c>
      <c r="C338" s="15">
        <f>IF($B338="",0,LEN($B338))</f>
        <v/>
      </c>
      <c r="D338" s="15">
        <f>IF($B338="","",LEFT($B338,kdo_ikincilUzunluk))</f>
        <v/>
      </c>
      <c r="E338" s="15">
        <f>"A"</f>
        <v/>
      </c>
      <c r="F338" s="15">
        <f>IF($B338="","",IF(COUNTIF(tblAnahtarA[Norm],$B338)&gt;1,"EVET","HAYIR"))</f>
        <v/>
      </c>
      <c r="G338" s="15">
        <f>IF($A338="","",ROW()-ROW($A$5))</f>
        <v/>
      </c>
      <c r="I338" s="7">
        <f>IF(VERI_B!A338="","",VERI_B!A338)</f>
        <v/>
      </c>
      <c r="J338" s="15">
        <f>UPPER(TRIM(SUBSTITUTE($I338," ","")))</f>
        <v/>
      </c>
      <c r="K338" s="15">
        <f>IF($J338="",0,LEN($J338))</f>
        <v/>
      </c>
      <c r="L338" s="15">
        <f>IF($J338="","",LEFT($J338,kdo_ikincilUzunluk))</f>
        <v/>
      </c>
      <c r="M338" s="15">
        <f>"B"</f>
        <v/>
      </c>
      <c r="N338" s="15">
        <f>IF($J338="","",IF(COUNTIF(tblAnahtarB[NormB],$J338)&gt;1,"EVET","HAYIR"))</f>
        <v/>
      </c>
      <c r="O338" s="15">
        <f>IF($I338="","",ROW()-ROW($I$5))</f>
        <v/>
      </c>
    </row>
    <row r="339">
      <c r="A339" s="7">
        <f>IF(VERI_A!A339="","",VERI_A!A339)</f>
        <v/>
      </c>
      <c r="B339" s="15">
        <f>UPPER(TRIM(SUBSTITUTE($A339," ","")))</f>
        <v/>
      </c>
      <c r="C339" s="15">
        <f>IF($B339="",0,LEN($B339))</f>
        <v/>
      </c>
      <c r="D339" s="15">
        <f>IF($B339="","",LEFT($B339,kdo_ikincilUzunluk))</f>
        <v/>
      </c>
      <c r="E339" s="15">
        <f>"A"</f>
        <v/>
      </c>
      <c r="F339" s="15">
        <f>IF($B339="","",IF(COUNTIF(tblAnahtarA[Norm],$B339)&gt;1,"EVET","HAYIR"))</f>
        <v/>
      </c>
      <c r="G339" s="15">
        <f>IF($A339="","",ROW()-ROW($A$5))</f>
        <v/>
      </c>
      <c r="I339" s="7">
        <f>IF(VERI_B!A339="","",VERI_B!A339)</f>
        <v/>
      </c>
      <c r="J339" s="15">
        <f>UPPER(TRIM(SUBSTITUTE($I339," ","")))</f>
        <v/>
      </c>
      <c r="K339" s="15">
        <f>IF($J339="",0,LEN($J339))</f>
        <v/>
      </c>
      <c r="L339" s="15">
        <f>IF($J339="","",LEFT($J339,kdo_ikincilUzunluk))</f>
        <v/>
      </c>
      <c r="M339" s="15">
        <f>"B"</f>
        <v/>
      </c>
      <c r="N339" s="15">
        <f>IF($J339="","",IF(COUNTIF(tblAnahtarB[NormB],$J339)&gt;1,"EVET","HAYIR"))</f>
        <v/>
      </c>
      <c r="O339" s="15">
        <f>IF($I339="","",ROW()-ROW($I$5))</f>
        <v/>
      </c>
    </row>
    <row r="340">
      <c r="A340" s="7">
        <f>IF(VERI_A!A340="","",VERI_A!A340)</f>
        <v/>
      </c>
      <c r="B340" s="15">
        <f>UPPER(TRIM(SUBSTITUTE($A340," ","")))</f>
        <v/>
      </c>
      <c r="C340" s="15">
        <f>IF($B340="",0,LEN($B340))</f>
        <v/>
      </c>
      <c r="D340" s="15">
        <f>IF($B340="","",LEFT($B340,kdo_ikincilUzunluk))</f>
        <v/>
      </c>
      <c r="E340" s="15">
        <f>"A"</f>
        <v/>
      </c>
      <c r="F340" s="15">
        <f>IF($B340="","",IF(COUNTIF(tblAnahtarA[Norm],$B340)&gt;1,"EVET","HAYIR"))</f>
        <v/>
      </c>
      <c r="G340" s="15">
        <f>IF($A340="","",ROW()-ROW($A$5))</f>
        <v/>
      </c>
      <c r="I340" s="7">
        <f>IF(VERI_B!A340="","",VERI_B!A340)</f>
        <v/>
      </c>
      <c r="J340" s="15">
        <f>UPPER(TRIM(SUBSTITUTE($I340," ","")))</f>
        <v/>
      </c>
      <c r="K340" s="15">
        <f>IF($J340="",0,LEN($J340))</f>
        <v/>
      </c>
      <c r="L340" s="15">
        <f>IF($J340="","",LEFT($J340,kdo_ikincilUzunluk))</f>
        <v/>
      </c>
      <c r="M340" s="15">
        <f>"B"</f>
        <v/>
      </c>
      <c r="N340" s="15">
        <f>IF($J340="","",IF(COUNTIF(tblAnahtarB[NormB],$J340)&gt;1,"EVET","HAYIR"))</f>
        <v/>
      </c>
      <c r="O340" s="15">
        <f>IF($I340="","",ROW()-ROW($I$5))</f>
        <v/>
      </c>
    </row>
    <row r="341">
      <c r="A341" s="7">
        <f>IF(VERI_A!A341="","",VERI_A!A341)</f>
        <v/>
      </c>
      <c r="B341" s="15">
        <f>UPPER(TRIM(SUBSTITUTE($A341," ","")))</f>
        <v/>
      </c>
      <c r="C341" s="15">
        <f>IF($B341="",0,LEN($B341))</f>
        <v/>
      </c>
      <c r="D341" s="15">
        <f>IF($B341="","",LEFT($B341,kdo_ikincilUzunluk))</f>
        <v/>
      </c>
      <c r="E341" s="15">
        <f>"A"</f>
        <v/>
      </c>
      <c r="F341" s="15">
        <f>IF($B341="","",IF(COUNTIF(tblAnahtarA[Norm],$B341)&gt;1,"EVET","HAYIR"))</f>
        <v/>
      </c>
      <c r="G341" s="15">
        <f>IF($A341="","",ROW()-ROW($A$5))</f>
        <v/>
      </c>
      <c r="I341" s="7">
        <f>IF(VERI_B!A341="","",VERI_B!A341)</f>
        <v/>
      </c>
      <c r="J341" s="15">
        <f>UPPER(TRIM(SUBSTITUTE($I341," ","")))</f>
        <v/>
      </c>
      <c r="K341" s="15">
        <f>IF($J341="",0,LEN($J341))</f>
        <v/>
      </c>
      <c r="L341" s="15">
        <f>IF($J341="","",LEFT($J341,kdo_ikincilUzunluk))</f>
        <v/>
      </c>
      <c r="M341" s="15">
        <f>"B"</f>
        <v/>
      </c>
      <c r="N341" s="15">
        <f>IF($J341="","",IF(COUNTIF(tblAnahtarB[NormB],$J341)&gt;1,"EVET","HAYIR"))</f>
        <v/>
      </c>
      <c r="O341" s="15">
        <f>IF($I341="","",ROW()-ROW($I$5))</f>
        <v/>
      </c>
    </row>
    <row r="342">
      <c r="A342" s="7">
        <f>IF(VERI_A!A342="","",VERI_A!A342)</f>
        <v/>
      </c>
      <c r="B342" s="15">
        <f>UPPER(TRIM(SUBSTITUTE($A342," ","")))</f>
        <v/>
      </c>
      <c r="C342" s="15">
        <f>IF($B342="",0,LEN($B342))</f>
        <v/>
      </c>
      <c r="D342" s="15">
        <f>IF($B342="","",LEFT($B342,kdo_ikincilUzunluk))</f>
        <v/>
      </c>
      <c r="E342" s="15">
        <f>"A"</f>
        <v/>
      </c>
      <c r="F342" s="15">
        <f>IF($B342="","",IF(COUNTIF(tblAnahtarA[Norm],$B342)&gt;1,"EVET","HAYIR"))</f>
        <v/>
      </c>
      <c r="G342" s="15">
        <f>IF($A342="","",ROW()-ROW($A$5))</f>
        <v/>
      </c>
      <c r="I342" s="7">
        <f>IF(VERI_B!A342="","",VERI_B!A342)</f>
        <v/>
      </c>
      <c r="J342" s="15">
        <f>UPPER(TRIM(SUBSTITUTE($I342," ","")))</f>
        <v/>
      </c>
      <c r="K342" s="15">
        <f>IF($J342="",0,LEN($J342))</f>
        <v/>
      </c>
      <c r="L342" s="15">
        <f>IF($J342="","",LEFT($J342,kdo_ikincilUzunluk))</f>
        <v/>
      </c>
      <c r="M342" s="15">
        <f>"B"</f>
        <v/>
      </c>
      <c r="N342" s="15">
        <f>IF($J342="","",IF(COUNTIF(tblAnahtarB[NormB],$J342)&gt;1,"EVET","HAYIR"))</f>
        <v/>
      </c>
      <c r="O342" s="15">
        <f>IF($I342="","",ROW()-ROW($I$5))</f>
        <v/>
      </c>
    </row>
    <row r="343">
      <c r="A343" s="7">
        <f>IF(VERI_A!A343="","",VERI_A!A343)</f>
        <v/>
      </c>
      <c r="B343" s="15">
        <f>UPPER(TRIM(SUBSTITUTE($A343," ","")))</f>
        <v/>
      </c>
      <c r="C343" s="15">
        <f>IF($B343="",0,LEN($B343))</f>
        <v/>
      </c>
      <c r="D343" s="15">
        <f>IF($B343="","",LEFT($B343,kdo_ikincilUzunluk))</f>
        <v/>
      </c>
      <c r="E343" s="15">
        <f>"A"</f>
        <v/>
      </c>
      <c r="F343" s="15">
        <f>IF($B343="","",IF(COUNTIF(tblAnahtarA[Norm],$B343)&gt;1,"EVET","HAYIR"))</f>
        <v/>
      </c>
      <c r="G343" s="15">
        <f>IF($A343="","",ROW()-ROW($A$5))</f>
        <v/>
      </c>
      <c r="I343" s="7">
        <f>IF(VERI_B!A343="","",VERI_B!A343)</f>
        <v/>
      </c>
      <c r="J343" s="15">
        <f>UPPER(TRIM(SUBSTITUTE($I343," ","")))</f>
        <v/>
      </c>
      <c r="K343" s="15">
        <f>IF($J343="",0,LEN($J343))</f>
        <v/>
      </c>
      <c r="L343" s="15">
        <f>IF($J343="","",LEFT($J343,kdo_ikincilUzunluk))</f>
        <v/>
      </c>
      <c r="M343" s="15">
        <f>"B"</f>
        <v/>
      </c>
      <c r="N343" s="15">
        <f>IF($J343="","",IF(COUNTIF(tblAnahtarB[NormB],$J343)&gt;1,"EVET","HAYIR"))</f>
        <v/>
      </c>
      <c r="O343" s="15">
        <f>IF($I343="","",ROW()-ROW($I$5))</f>
        <v/>
      </c>
    </row>
    <row r="344">
      <c r="A344" s="7">
        <f>IF(VERI_A!A344="","",VERI_A!A344)</f>
        <v/>
      </c>
      <c r="B344" s="15">
        <f>UPPER(TRIM(SUBSTITUTE($A344," ","")))</f>
        <v/>
      </c>
      <c r="C344" s="15">
        <f>IF($B344="",0,LEN($B344))</f>
        <v/>
      </c>
      <c r="D344" s="15">
        <f>IF($B344="","",LEFT($B344,kdo_ikincilUzunluk))</f>
        <v/>
      </c>
      <c r="E344" s="15">
        <f>"A"</f>
        <v/>
      </c>
      <c r="F344" s="15">
        <f>IF($B344="","",IF(COUNTIF(tblAnahtarA[Norm],$B344)&gt;1,"EVET","HAYIR"))</f>
        <v/>
      </c>
      <c r="G344" s="15">
        <f>IF($A344="","",ROW()-ROW($A$5))</f>
        <v/>
      </c>
      <c r="I344" s="7">
        <f>IF(VERI_B!A344="","",VERI_B!A344)</f>
        <v/>
      </c>
      <c r="J344" s="15">
        <f>UPPER(TRIM(SUBSTITUTE($I344," ","")))</f>
        <v/>
      </c>
      <c r="K344" s="15">
        <f>IF($J344="",0,LEN($J344))</f>
        <v/>
      </c>
      <c r="L344" s="15">
        <f>IF($J344="","",LEFT($J344,kdo_ikincilUzunluk))</f>
        <v/>
      </c>
      <c r="M344" s="15">
        <f>"B"</f>
        <v/>
      </c>
      <c r="N344" s="15">
        <f>IF($J344="","",IF(COUNTIF(tblAnahtarB[NormB],$J344)&gt;1,"EVET","HAYIR"))</f>
        <v/>
      </c>
      <c r="O344" s="15">
        <f>IF($I344="","",ROW()-ROW($I$5))</f>
        <v/>
      </c>
    </row>
    <row r="345">
      <c r="A345" s="7">
        <f>IF(VERI_A!A345="","",VERI_A!A345)</f>
        <v/>
      </c>
      <c r="B345" s="15">
        <f>UPPER(TRIM(SUBSTITUTE($A345," ","")))</f>
        <v/>
      </c>
      <c r="C345" s="15">
        <f>IF($B345="",0,LEN($B345))</f>
        <v/>
      </c>
      <c r="D345" s="15">
        <f>IF($B345="","",LEFT($B345,kdo_ikincilUzunluk))</f>
        <v/>
      </c>
      <c r="E345" s="15">
        <f>"A"</f>
        <v/>
      </c>
      <c r="F345" s="15">
        <f>IF($B345="","",IF(COUNTIF(tblAnahtarA[Norm],$B345)&gt;1,"EVET","HAYIR"))</f>
        <v/>
      </c>
      <c r="G345" s="15">
        <f>IF($A345="","",ROW()-ROW($A$5))</f>
        <v/>
      </c>
      <c r="I345" s="7">
        <f>IF(VERI_B!A345="","",VERI_B!A345)</f>
        <v/>
      </c>
      <c r="J345" s="15">
        <f>UPPER(TRIM(SUBSTITUTE($I345," ","")))</f>
        <v/>
      </c>
      <c r="K345" s="15">
        <f>IF($J345="",0,LEN($J345))</f>
        <v/>
      </c>
      <c r="L345" s="15">
        <f>IF($J345="","",LEFT($J345,kdo_ikincilUzunluk))</f>
        <v/>
      </c>
      <c r="M345" s="15">
        <f>"B"</f>
        <v/>
      </c>
      <c r="N345" s="15">
        <f>IF($J345="","",IF(COUNTIF(tblAnahtarB[NormB],$J345)&gt;1,"EVET","HAYIR"))</f>
        <v/>
      </c>
      <c r="O345" s="15">
        <f>IF($I345="","",ROW()-ROW($I$5))</f>
        <v/>
      </c>
    </row>
    <row r="346">
      <c r="A346" s="7">
        <f>IF(VERI_A!A346="","",VERI_A!A346)</f>
        <v/>
      </c>
      <c r="B346" s="15">
        <f>UPPER(TRIM(SUBSTITUTE($A346," ","")))</f>
        <v/>
      </c>
      <c r="C346" s="15">
        <f>IF($B346="",0,LEN($B346))</f>
        <v/>
      </c>
      <c r="D346" s="15">
        <f>IF($B346="","",LEFT($B346,kdo_ikincilUzunluk))</f>
        <v/>
      </c>
      <c r="E346" s="15">
        <f>"A"</f>
        <v/>
      </c>
      <c r="F346" s="15">
        <f>IF($B346="","",IF(COUNTIF(tblAnahtarA[Norm],$B346)&gt;1,"EVET","HAYIR"))</f>
        <v/>
      </c>
      <c r="G346" s="15">
        <f>IF($A346="","",ROW()-ROW($A$5))</f>
        <v/>
      </c>
      <c r="I346" s="7">
        <f>IF(VERI_B!A346="","",VERI_B!A346)</f>
        <v/>
      </c>
      <c r="J346" s="15">
        <f>UPPER(TRIM(SUBSTITUTE($I346," ","")))</f>
        <v/>
      </c>
      <c r="K346" s="15">
        <f>IF($J346="",0,LEN($J346))</f>
        <v/>
      </c>
      <c r="L346" s="15">
        <f>IF($J346="","",LEFT($J346,kdo_ikincilUzunluk))</f>
        <v/>
      </c>
      <c r="M346" s="15">
        <f>"B"</f>
        <v/>
      </c>
      <c r="N346" s="15">
        <f>IF($J346="","",IF(COUNTIF(tblAnahtarB[NormB],$J346)&gt;1,"EVET","HAYIR"))</f>
        <v/>
      </c>
      <c r="O346" s="15">
        <f>IF($I346="","",ROW()-ROW($I$5))</f>
        <v/>
      </c>
    </row>
    <row r="347">
      <c r="A347" s="7">
        <f>IF(VERI_A!A347="","",VERI_A!A347)</f>
        <v/>
      </c>
      <c r="B347" s="15">
        <f>UPPER(TRIM(SUBSTITUTE($A347," ","")))</f>
        <v/>
      </c>
      <c r="C347" s="15">
        <f>IF($B347="",0,LEN($B347))</f>
        <v/>
      </c>
      <c r="D347" s="15">
        <f>IF($B347="","",LEFT($B347,kdo_ikincilUzunluk))</f>
        <v/>
      </c>
      <c r="E347" s="15">
        <f>"A"</f>
        <v/>
      </c>
      <c r="F347" s="15">
        <f>IF($B347="","",IF(COUNTIF(tblAnahtarA[Norm],$B347)&gt;1,"EVET","HAYIR"))</f>
        <v/>
      </c>
      <c r="G347" s="15">
        <f>IF($A347="","",ROW()-ROW($A$5))</f>
        <v/>
      </c>
      <c r="I347" s="7">
        <f>IF(VERI_B!A347="","",VERI_B!A347)</f>
        <v/>
      </c>
      <c r="J347" s="15">
        <f>UPPER(TRIM(SUBSTITUTE($I347," ","")))</f>
        <v/>
      </c>
      <c r="K347" s="15">
        <f>IF($J347="",0,LEN($J347))</f>
        <v/>
      </c>
      <c r="L347" s="15">
        <f>IF($J347="","",LEFT($J347,kdo_ikincilUzunluk))</f>
        <v/>
      </c>
      <c r="M347" s="15">
        <f>"B"</f>
        <v/>
      </c>
      <c r="N347" s="15">
        <f>IF($J347="","",IF(COUNTIF(tblAnahtarB[NormB],$J347)&gt;1,"EVET","HAYIR"))</f>
        <v/>
      </c>
      <c r="O347" s="15">
        <f>IF($I347="","",ROW()-ROW($I$5))</f>
        <v/>
      </c>
    </row>
    <row r="348">
      <c r="A348" s="7">
        <f>IF(VERI_A!A348="","",VERI_A!A348)</f>
        <v/>
      </c>
      <c r="B348" s="15">
        <f>UPPER(TRIM(SUBSTITUTE($A348," ","")))</f>
        <v/>
      </c>
      <c r="C348" s="15">
        <f>IF($B348="",0,LEN($B348))</f>
        <v/>
      </c>
      <c r="D348" s="15">
        <f>IF($B348="","",LEFT($B348,kdo_ikincilUzunluk))</f>
        <v/>
      </c>
      <c r="E348" s="15">
        <f>"A"</f>
        <v/>
      </c>
      <c r="F348" s="15">
        <f>IF($B348="","",IF(COUNTIF(tblAnahtarA[Norm],$B348)&gt;1,"EVET","HAYIR"))</f>
        <v/>
      </c>
      <c r="G348" s="15">
        <f>IF($A348="","",ROW()-ROW($A$5))</f>
        <v/>
      </c>
      <c r="I348" s="7">
        <f>IF(VERI_B!A348="","",VERI_B!A348)</f>
        <v/>
      </c>
      <c r="J348" s="15">
        <f>UPPER(TRIM(SUBSTITUTE($I348," ","")))</f>
        <v/>
      </c>
      <c r="K348" s="15">
        <f>IF($J348="",0,LEN($J348))</f>
        <v/>
      </c>
      <c r="L348" s="15">
        <f>IF($J348="","",LEFT($J348,kdo_ikincilUzunluk))</f>
        <v/>
      </c>
      <c r="M348" s="15">
        <f>"B"</f>
        <v/>
      </c>
      <c r="N348" s="15">
        <f>IF($J348="","",IF(COUNTIF(tblAnahtarB[NormB],$J348)&gt;1,"EVET","HAYIR"))</f>
        <v/>
      </c>
      <c r="O348" s="15">
        <f>IF($I348="","",ROW()-ROW($I$5))</f>
        <v/>
      </c>
    </row>
    <row r="349">
      <c r="A349" s="7">
        <f>IF(VERI_A!A349="","",VERI_A!A349)</f>
        <v/>
      </c>
      <c r="B349" s="15">
        <f>UPPER(TRIM(SUBSTITUTE($A349," ","")))</f>
        <v/>
      </c>
      <c r="C349" s="15">
        <f>IF($B349="",0,LEN($B349))</f>
        <v/>
      </c>
      <c r="D349" s="15">
        <f>IF($B349="","",LEFT($B349,kdo_ikincilUzunluk))</f>
        <v/>
      </c>
      <c r="E349" s="15">
        <f>"A"</f>
        <v/>
      </c>
      <c r="F349" s="15">
        <f>IF($B349="","",IF(COUNTIF(tblAnahtarA[Norm],$B349)&gt;1,"EVET","HAYIR"))</f>
        <v/>
      </c>
      <c r="G349" s="15">
        <f>IF($A349="","",ROW()-ROW($A$5))</f>
        <v/>
      </c>
      <c r="I349" s="7">
        <f>IF(VERI_B!A349="","",VERI_B!A349)</f>
        <v/>
      </c>
      <c r="J349" s="15">
        <f>UPPER(TRIM(SUBSTITUTE($I349," ","")))</f>
        <v/>
      </c>
      <c r="K349" s="15">
        <f>IF($J349="",0,LEN($J349))</f>
        <v/>
      </c>
      <c r="L349" s="15">
        <f>IF($J349="","",LEFT($J349,kdo_ikincilUzunluk))</f>
        <v/>
      </c>
      <c r="M349" s="15">
        <f>"B"</f>
        <v/>
      </c>
      <c r="N349" s="15">
        <f>IF($J349="","",IF(COUNTIF(tblAnahtarB[NormB],$J349)&gt;1,"EVET","HAYIR"))</f>
        <v/>
      </c>
      <c r="O349" s="15">
        <f>IF($I349="","",ROW()-ROW($I$5))</f>
        <v/>
      </c>
    </row>
    <row r="350">
      <c r="A350" s="7">
        <f>IF(VERI_A!A350="","",VERI_A!A350)</f>
        <v/>
      </c>
      <c r="B350" s="15">
        <f>UPPER(TRIM(SUBSTITUTE($A350," ","")))</f>
        <v/>
      </c>
      <c r="C350" s="15">
        <f>IF($B350="",0,LEN($B350))</f>
        <v/>
      </c>
      <c r="D350" s="15">
        <f>IF($B350="","",LEFT($B350,kdo_ikincilUzunluk))</f>
        <v/>
      </c>
      <c r="E350" s="15">
        <f>"A"</f>
        <v/>
      </c>
      <c r="F350" s="15">
        <f>IF($B350="","",IF(COUNTIF(tblAnahtarA[Norm],$B350)&gt;1,"EVET","HAYIR"))</f>
        <v/>
      </c>
      <c r="G350" s="15">
        <f>IF($A350="","",ROW()-ROW($A$5))</f>
        <v/>
      </c>
      <c r="I350" s="7">
        <f>IF(VERI_B!A350="","",VERI_B!A350)</f>
        <v/>
      </c>
      <c r="J350" s="15">
        <f>UPPER(TRIM(SUBSTITUTE($I350," ","")))</f>
        <v/>
      </c>
      <c r="K350" s="15">
        <f>IF($J350="",0,LEN($J350))</f>
        <v/>
      </c>
      <c r="L350" s="15">
        <f>IF($J350="","",LEFT($J350,kdo_ikincilUzunluk))</f>
        <v/>
      </c>
      <c r="M350" s="15">
        <f>"B"</f>
        <v/>
      </c>
      <c r="N350" s="15">
        <f>IF($J350="","",IF(COUNTIF(tblAnahtarB[NormB],$J350)&gt;1,"EVET","HAYIR"))</f>
        <v/>
      </c>
      <c r="O350" s="15">
        <f>IF($I350="","",ROW()-ROW($I$5))</f>
        <v/>
      </c>
    </row>
    <row r="351">
      <c r="A351" s="7">
        <f>IF(VERI_A!A351="","",VERI_A!A351)</f>
        <v/>
      </c>
      <c r="B351" s="15">
        <f>UPPER(TRIM(SUBSTITUTE($A351," ","")))</f>
        <v/>
      </c>
      <c r="C351" s="15">
        <f>IF($B351="",0,LEN($B351))</f>
        <v/>
      </c>
      <c r="D351" s="15">
        <f>IF($B351="","",LEFT($B351,kdo_ikincilUzunluk))</f>
        <v/>
      </c>
      <c r="E351" s="15">
        <f>"A"</f>
        <v/>
      </c>
      <c r="F351" s="15">
        <f>IF($B351="","",IF(COUNTIF(tblAnahtarA[Norm],$B351)&gt;1,"EVET","HAYIR"))</f>
        <v/>
      </c>
      <c r="G351" s="15">
        <f>IF($A351="","",ROW()-ROW($A$5))</f>
        <v/>
      </c>
      <c r="I351" s="7">
        <f>IF(VERI_B!A351="","",VERI_B!A351)</f>
        <v/>
      </c>
      <c r="J351" s="15">
        <f>UPPER(TRIM(SUBSTITUTE($I351," ","")))</f>
        <v/>
      </c>
      <c r="K351" s="15">
        <f>IF($J351="",0,LEN($J351))</f>
        <v/>
      </c>
      <c r="L351" s="15">
        <f>IF($J351="","",LEFT($J351,kdo_ikincilUzunluk))</f>
        <v/>
      </c>
      <c r="M351" s="15">
        <f>"B"</f>
        <v/>
      </c>
      <c r="N351" s="15">
        <f>IF($J351="","",IF(COUNTIF(tblAnahtarB[NormB],$J351)&gt;1,"EVET","HAYIR"))</f>
        <v/>
      </c>
      <c r="O351" s="15">
        <f>IF($I351="","",ROW()-ROW($I$5))</f>
        <v/>
      </c>
    </row>
    <row r="352">
      <c r="A352" s="7">
        <f>IF(VERI_A!A352="","",VERI_A!A352)</f>
        <v/>
      </c>
      <c r="B352" s="15">
        <f>UPPER(TRIM(SUBSTITUTE($A352," ","")))</f>
        <v/>
      </c>
      <c r="C352" s="15">
        <f>IF($B352="",0,LEN($B352))</f>
        <v/>
      </c>
      <c r="D352" s="15">
        <f>IF($B352="","",LEFT($B352,kdo_ikincilUzunluk))</f>
        <v/>
      </c>
      <c r="E352" s="15">
        <f>"A"</f>
        <v/>
      </c>
      <c r="F352" s="15">
        <f>IF($B352="","",IF(COUNTIF(tblAnahtarA[Norm],$B352)&gt;1,"EVET","HAYIR"))</f>
        <v/>
      </c>
      <c r="G352" s="15">
        <f>IF($A352="","",ROW()-ROW($A$5))</f>
        <v/>
      </c>
      <c r="I352" s="7">
        <f>IF(VERI_B!A352="","",VERI_B!A352)</f>
        <v/>
      </c>
      <c r="J352" s="15">
        <f>UPPER(TRIM(SUBSTITUTE($I352," ","")))</f>
        <v/>
      </c>
      <c r="K352" s="15">
        <f>IF($J352="",0,LEN($J352))</f>
        <v/>
      </c>
      <c r="L352" s="15">
        <f>IF($J352="","",LEFT($J352,kdo_ikincilUzunluk))</f>
        <v/>
      </c>
      <c r="M352" s="15">
        <f>"B"</f>
        <v/>
      </c>
      <c r="N352" s="15">
        <f>IF($J352="","",IF(COUNTIF(tblAnahtarB[NormB],$J352)&gt;1,"EVET","HAYIR"))</f>
        <v/>
      </c>
      <c r="O352" s="15">
        <f>IF($I352="","",ROW()-ROW($I$5))</f>
        <v/>
      </c>
    </row>
    <row r="353">
      <c r="A353" s="7">
        <f>IF(VERI_A!A353="","",VERI_A!A353)</f>
        <v/>
      </c>
      <c r="B353" s="15">
        <f>UPPER(TRIM(SUBSTITUTE($A353," ","")))</f>
        <v/>
      </c>
      <c r="C353" s="15">
        <f>IF($B353="",0,LEN($B353))</f>
        <v/>
      </c>
      <c r="D353" s="15">
        <f>IF($B353="","",LEFT($B353,kdo_ikincilUzunluk))</f>
        <v/>
      </c>
      <c r="E353" s="15">
        <f>"A"</f>
        <v/>
      </c>
      <c r="F353" s="15">
        <f>IF($B353="","",IF(COUNTIF(tblAnahtarA[Norm],$B353)&gt;1,"EVET","HAYIR"))</f>
        <v/>
      </c>
      <c r="G353" s="15">
        <f>IF($A353="","",ROW()-ROW($A$5))</f>
        <v/>
      </c>
      <c r="I353" s="7">
        <f>IF(VERI_B!A353="","",VERI_B!A353)</f>
        <v/>
      </c>
      <c r="J353" s="15">
        <f>UPPER(TRIM(SUBSTITUTE($I353," ","")))</f>
        <v/>
      </c>
      <c r="K353" s="15">
        <f>IF($J353="",0,LEN($J353))</f>
        <v/>
      </c>
      <c r="L353" s="15">
        <f>IF($J353="","",LEFT($J353,kdo_ikincilUzunluk))</f>
        <v/>
      </c>
      <c r="M353" s="15">
        <f>"B"</f>
        <v/>
      </c>
      <c r="N353" s="15">
        <f>IF($J353="","",IF(COUNTIF(tblAnahtarB[NormB],$J353)&gt;1,"EVET","HAYIR"))</f>
        <v/>
      </c>
      <c r="O353" s="15">
        <f>IF($I353="","",ROW()-ROW($I$5))</f>
        <v/>
      </c>
    </row>
    <row r="354">
      <c r="A354" s="7">
        <f>IF(VERI_A!A354="","",VERI_A!A354)</f>
        <v/>
      </c>
      <c r="B354" s="15">
        <f>UPPER(TRIM(SUBSTITUTE($A354," ","")))</f>
        <v/>
      </c>
      <c r="C354" s="15">
        <f>IF($B354="",0,LEN($B354))</f>
        <v/>
      </c>
      <c r="D354" s="15">
        <f>IF($B354="","",LEFT($B354,kdo_ikincilUzunluk))</f>
        <v/>
      </c>
      <c r="E354" s="15">
        <f>"A"</f>
        <v/>
      </c>
      <c r="F354" s="15">
        <f>IF($B354="","",IF(COUNTIF(tblAnahtarA[Norm],$B354)&gt;1,"EVET","HAYIR"))</f>
        <v/>
      </c>
      <c r="G354" s="15">
        <f>IF($A354="","",ROW()-ROW($A$5))</f>
        <v/>
      </c>
      <c r="I354" s="7">
        <f>IF(VERI_B!A354="","",VERI_B!A354)</f>
        <v/>
      </c>
      <c r="J354" s="15">
        <f>UPPER(TRIM(SUBSTITUTE($I354," ","")))</f>
        <v/>
      </c>
      <c r="K354" s="15">
        <f>IF($J354="",0,LEN($J354))</f>
        <v/>
      </c>
      <c r="L354" s="15">
        <f>IF($J354="","",LEFT($J354,kdo_ikincilUzunluk))</f>
        <v/>
      </c>
      <c r="M354" s="15">
        <f>"B"</f>
        <v/>
      </c>
      <c r="N354" s="15">
        <f>IF($J354="","",IF(COUNTIF(tblAnahtarB[NormB],$J354)&gt;1,"EVET","HAYIR"))</f>
        <v/>
      </c>
      <c r="O354" s="15">
        <f>IF($I354="","",ROW()-ROW($I$5))</f>
        <v/>
      </c>
    </row>
    <row r="355">
      <c r="A355" s="7">
        <f>IF(VERI_A!A355="","",VERI_A!A355)</f>
        <v/>
      </c>
      <c r="B355" s="15">
        <f>UPPER(TRIM(SUBSTITUTE($A355," ","")))</f>
        <v/>
      </c>
      <c r="C355" s="15">
        <f>IF($B355="",0,LEN($B355))</f>
        <v/>
      </c>
      <c r="D355" s="15">
        <f>IF($B355="","",LEFT($B355,kdo_ikincilUzunluk))</f>
        <v/>
      </c>
      <c r="E355" s="15">
        <f>"A"</f>
        <v/>
      </c>
      <c r="F355" s="15">
        <f>IF($B355="","",IF(COUNTIF(tblAnahtarA[Norm],$B355)&gt;1,"EVET","HAYIR"))</f>
        <v/>
      </c>
      <c r="G355" s="15">
        <f>IF($A355="","",ROW()-ROW($A$5))</f>
        <v/>
      </c>
      <c r="I355" s="7">
        <f>IF(VERI_B!A355="","",VERI_B!A355)</f>
        <v/>
      </c>
      <c r="J355" s="15">
        <f>UPPER(TRIM(SUBSTITUTE($I355," ","")))</f>
        <v/>
      </c>
      <c r="K355" s="15">
        <f>IF($J355="",0,LEN($J355))</f>
        <v/>
      </c>
      <c r="L355" s="15">
        <f>IF($J355="","",LEFT($J355,kdo_ikincilUzunluk))</f>
        <v/>
      </c>
      <c r="M355" s="15">
        <f>"B"</f>
        <v/>
      </c>
      <c r="N355" s="15">
        <f>IF($J355="","",IF(COUNTIF(tblAnahtarB[NormB],$J355)&gt;1,"EVET","HAYIR"))</f>
        <v/>
      </c>
      <c r="O355" s="15">
        <f>IF($I355="","",ROW()-ROW($I$5))</f>
        <v/>
      </c>
    </row>
    <row r="356">
      <c r="A356" s="7">
        <f>IF(VERI_A!A356="","",VERI_A!A356)</f>
        <v/>
      </c>
      <c r="B356" s="15">
        <f>UPPER(TRIM(SUBSTITUTE($A356," ","")))</f>
        <v/>
      </c>
      <c r="C356" s="15">
        <f>IF($B356="",0,LEN($B356))</f>
        <v/>
      </c>
      <c r="D356" s="15">
        <f>IF($B356="","",LEFT($B356,kdo_ikincilUzunluk))</f>
        <v/>
      </c>
      <c r="E356" s="15">
        <f>"A"</f>
        <v/>
      </c>
      <c r="F356" s="15">
        <f>IF($B356="","",IF(COUNTIF(tblAnahtarA[Norm],$B356)&gt;1,"EVET","HAYIR"))</f>
        <v/>
      </c>
      <c r="G356" s="15">
        <f>IF($A356="","",ROW()-ROW($A$5))</f>
        <v/>
      </c>
      <c r="I356" s="7">
        <f>IF(VERI_B!A356="","",VERI_B!A356)</f>
        <v/>
      </c>
      <c r="J356" s="15">
        <f>UPPER(TRIM(SUBSTITUTE($I356," ","")))</f>
        <v/>
      </c>
      <c r="K356" s="15">
        <f>IF($J356="",0,LEN($J356))</f>
        <v/>
      </c>
      <c r="L356" s="15">
        <f>IF($J356="","",LEFT($J356,kdo_ikincilUzunluk))</f>
        <v/>
      </c>
      <c r="M356" s="15">
        <f>"B"</f>
        <v/>
      </c>
      <c r="N356" s="15">
        <f>IF($J356="","",IF(COUNTIF(tblAnahtarB[NormB],$J356)&gt;1,"EVET","HAYIR"))</f>
        <v/>
      </c>
      <c r="O356" s="15">
        <f>IF($I356="","",ROW()-ROW($I$5))</f>
        <v/>
      </c>
    </row>
    <row r="357">
      <c r="A357" s="7">
        <f>IF(VERI_A!A357="","",VERI_A!A357)</f>
        <v/>
      </c>
      <c r="B357" s="15">
        <f>UPPER(TRIM(SUBSTITUTE($A357," ","")))</f>
        <v/>
      </c>
      <c r="C357" s="15">
        <f>IF($B357="",0,LEN($B357))</f>
        <v/>
      </c>
      <c r="D357" s="15">
        <f>IF($B357="","",LEFT($B357,kdo_ikincilUzunluk))</f>
        <v/>
      </c>
      <c r="E357" s="15">
        <f>"A"</f>
        <v/>
      </c>
      <c r="F357" s="15">
        <f>IF($B357="","",IF(COUNTIF(tblAnahtarA[Norm],$B357)&gt;1,"EVET","HAYIR"))</f>
        <v/>
      </c>
      <c r="G357" s="15">
        <f>IF($A357="","",ROW()-ROW($A$5))</f>
        <v/>
      </c>
      <c r="I357" s="7">
        <f>IF(VERI_B!A357="","",VERI_B!A357)</f>
        <v/>
      </c>
      <c r="J357" s="15">
        <f>UPPER(TRIM(SUBSTITUTE($I357," ","")))</f>
        <v/>
      </c>
      <c r="K357" s="15">
        <f>IF($J357="",0,LEN($J357))</f>
        <v/>
      </c>
      <c r="L357" s="15">
        <f>IF($J357="","",LEFT($J357,kdo_ikincilUzunluk))</f>
        <v/>
      </c>
      <c r="M357" s="15">
        <f>"B"</f>
        <v/>
      </c>
      <c r="N357" s="15">
        <f>IF($J357="","",IF(COUNTIF(tblAnahtarB[NormB],$J357)&gt;1,"EVET","HAYIR"))</f>
        <v/>
      </c>
      <c r="O357" s="15">
        <f>IF($I357="","",ROW()-ROW($I$5))</f>
        <v/>
      </c>
    </row>
    <row r="358">
      <c r="A358" s="7">
        <f>IF(VERI_A!A358="","",VERI_A!A358)</f>
        <v/>
      </c>
      <c r="B358" s="15">
        <f>UPPER(TRIM(SUBSTITUTE($A358," ","")))</f>
        <v/>
      </c>
      <c r="C358" s="15">
        <f>IF($B358="",0,LEN($B358))</f>
        <v/>
      </c>
      <c r="D358" s="15">
        <f>IF($B358="","",LEFT($B358,kdo_ikincilUzunluk))</f>
        <v/>
      </c>
      <c r="E358" s="15">
        <f>"A"</f>
        <v/>
      </c>
      <c r="F358" s="15">
        <f>IF($B358="","",IF(COUNTIF(tblAnahtarA[Norm],$B358)&gt;1,"EVET","HAYIR"))</f>
        <v/>
      </c>
      <c r="G358" s="15">
        <f>IF($A358="","",ROW()-ROW($A$5))</f>
        <v/>
      </c>
      <c r="I358" s="7">
        <f>IF(VERI_B!A358="","",VERI_B!A358)</f>
        <v/>
      </c>
      <c r="J358" s="15">
        <f>UPPER(TRIM(SUBSTITUTE($I358," ","")))</f>
        <v/>
      </c>
      <c r="K358" s="15">
        <f>IF($J358="",0,LEN($J358))</f>
        <v/>
      </c>
      <c r="L358" s="15">
        <f>IF($J358="","",LEFT($J358,kdo_ikincilUzunluk))</f>
        <v/>
      </c>
      <c r="M358" s="15">
        <f>"B"</f>
        <v/>
      </c>
      <c r="N358" s="15">
        <f>IF($J358="","",IF(COUNTIF(tblAnahtarB[NormB],$J358)&gt;1,"EVET","HAYIR"))</f>
        <v/>
      </c>
      <c r="O358" s="15">
        <f>IF($I358="","",ROW()-ROW($I$5))</f>
        <v/>
      </c>
    </row>
    <row r="359">
      <c r="A359" s="7">
        <f>IF(VERI_A!A359="","",VERI_A!A359)</f>
        <v/>
      </c>
      <c r="B359" s="15">
        <f>UPPER(TRIM(SUBSTITUTE($A359," ","")))</f>
        <v/>
      </c>
      <c r="C359" s="15">
        <f>IF($B359="",0,LEN($B359))</f>
        <v/>
      </c>
      <c r="D359" s="15">
        <f>IF($B359="","",LEFT($B359,kdo_ikincilUzunluk))</f>
        <v/>
      </c>
      <c r="E359" s="15">
        <f>"A"</f>
        <v/>
      </c>
      <c r="F359" s="15">
        <f>IF($B359="","",IF(COUNTIF(tblAnahtarA[Norm],$B359)&gt;1,"EVET","HAYIR"))</f>
        <v/>
      </c>
      <c r="G359" s="15">
        <f>IF($A359="","",ROW()-ROW($A$5))</f>
        <v/>
      </c>
      <c r="I359" s="7">
        <f>IF(VERI_B!A359="","",VERI_B!A359)</f>
        <v/>
      </c>
      <c r="J359" s="15">
        <f>UPPER(TRIM(SUBSTITUTE($I359," ","")))</f>
        <v/>
      </c>
      <c r="K359" s="15">
        <f>IF($J359="",0,LEN($J359))</f>
        <v/>
      </c>
      <c r="L359" s="15">
        <f>IF($J359="","",LEFT($J359,kdo_ikincilUzunluk))</f>
        <v/>
      </c>
      <c r="M359" s="15">
        <f>"B"</f>
        <v/>
      </c>
      <c r="N359" s="15">
        <f>IF($J359="","",IF(COUNTIF(tblAnahtarB[NormB],$J359)&gt;1,"EVET","HAYIR"))</f>
        <v/>
      </c>
      <c r="O359" s="15">
        <f>IF($I359="","",ROW()-ROW($I$5))</f>
        <v/>
      </c>
    </row>
    <row r="360">
      <c r="A360" s="7">
        <f>IF(VERI_A!A360="","",VERI_A!A360)</f>
        <v/>
      </c>
      <c r="B360" s="15">
        <f>UPPER(TRIM(SUBSTITUTE($A360," ","")))</f>
        <v/>
      </c>
      <c r="C360" s="15">
        <f>IF($B360="",0,LEN($B360))</f>
        <v/>
      </c>
      <c r="D360" s="15">
        <f>IF($B360="","",LEFT($B360,kdo_ikincilUzunluk))</f>
        <v/>
      </c>
      <c r="E360" s="15">
        <f>"A"</f>
        <v/>
      </c>
      <c r="F360" s="15">
        <f>IF($B360="","",IF(COUNTIF(tblAnahtarA[Norm],$B360)&gt;1,"EVET","HAYIR"))</f>
        <v/>
      </c>
      <c r="G360" s="15">
        <f>IF($A360="","",ROW()-ROW($A$5))</f>
        <v/>
      </c>
      <c r="I360" s="7">
        <f>IF(VERI_B!A360="","",VERI_B!A360)</f>
        <v/>
      </c>
      <c r="J360" s="15">
        <f>UPPER(TRIM(SUBSTITUTE($I360," ","")))</f>
        <v/>
      </c>
      <c r="K360" s="15">
        <f>IF($J360="",0,LEN($J360))</f>
        <v/>
      </c>
      <c r="L360" s="15">
        <f>IF($J360="","",LEFT($J360,kdo_ikincilUzunluk))</f>
        <v/>
      </c>
      <c r="M360" s="15">
        <f>"B"</f>
        <v/>
      </c>
      <c r="N360" s="15">
        <f>IF($J360="","",IF(COUNTIF(tblAnahtarB[NormB],$J360)&gt;1,"EVET","HAYIR"))</f>
        <v/>
      </c>
      <c r="O360" s="15">
        <f>IF($I360="","",ROW()-ROW($I$5))</f>
        <v/>
      </c>
    </row>
    <row r="361">
      <c r="A361" s="7">
        <f>IF(VERI_A!A361="","",VERI_A!A361)</f>
        <v/>
      </c>
      <c r="B361" s="15">
        <f>UPPER(TRIM(SUBSTITUTE($A361," ","")))</f>
        <v/>
      </c>
      <c r="C361" s="15">
        <f>IF($B361="",0,LEN($B361))</f>
        <v/>
      </c>
      <c r="D361" s="15">
        <f>IF($B361="","",LEFT($B361,kdo_ikincilUzunluk))</f>
        <v/>
      </c>
      <c r="E361" s="15">
        <f>"A"</f>
        <v/>
      </c>
      <c r="F361" s="15">
        <f>IF($B361="","",IF(COUNTIF(tblAnahtarA[Norm],$B361)&gt;1,"EVET","HAYIR"))</f>
        <v/>
      </c>
      <c r="G361" s="15">
        <f>IF($A361="","",ROW()-ROW($A$5))</f>
        <v/>
      </c>
      <c r="I361" s="7">
        <f>IF(VERI_B!A361="","",VERI_B!A361)</f>
        <v/>
      </c>
      <c r="J361" s="15">
        <f>UPPER(TRIM(SUBSTITUTE($I361," ","")))</f>
        <v/>
      </c>
      <c r="K361" s="15">
        <f>IF($J361="",0,LEN($J361))</f>
        <v/>
      </c>
      <c r="L361" s="15">
        <f>IF($J361="","",LEFT($J361,kdo_ikincilUzunluk))</f>
        <v/>
      </c>
      <c r="M361" s="15">
        <f>"B"</f>
        <v/>
      </c>
      <c r="N361" s="15">
        <f>IF($J361="","",IF(COUNTIF(tblAnahtarB[NormB],$J361)&gt;1,"EVET","HAYIR"))</f>
        <v/>
      </c>
      <c r="O361" s="15">
        <f>IF($I361="","",ROW()-ROW($I$5))</f>
        <v/>
      </c>
    </row>
    <row r="362">
      <c r="A362" s="7">
        <f>IF(VERI_A!A362="","",VERI_A!A362)</f>
        <v/>
      </c>
      <c r="B362" s="15">
        <f>UPPER(TRIM(SUBSTITUTE($A362," ","")))</f>
        <v/>
      </c>
      <c r="C362" s="15">
        <f>IF($B362="",0,LEN($B362))</f>
        <v/>
      </c>
      <c r="D362" s="15">
        <f>IF($B362="","",LEFT($B362,kdo_ikincilUzunluk))</f>
        <v/>
      </c>
      <c r="E362" s="15">
        <f>"A"</f>
        <v/>
      </c>
      <c r="F362" s="15">
        <f>IF($B362="","",IF(COUNTIF(tblAnahtarA[Norm],$B362)&gt;1,"EVET","HAYIR"))</f>
        <v/>
      </c>
      <c r="G362" s="15">
        <f>IF($A362="","",ROW()-ROW($A$5))</f>
        <v/>
      </c>
      <c r="I362" s="7">
        <f>IF(VERI_B!A362="","",VERI_B!A362)</f>
        <v/>
      </c>
      <c r="J362" s="15">
        <f>UPPER(TRIM(SUBSTITUTE($I362," ","")))</f>
        <v/>
      </c>
      <c r="K362" s="15">
        <f>IF($J362="",0,LEN($J362))</f>
        <v/>
      </c>
      <c r="L362" s="15">
        <f>IF($J362="","",LEFT($J362,kdo_ikincilUzunluk))</f>
        <v/>
      </c>
      <c r="M362" s="15">
        <f>"B"</f>
        <v/>
      </c>
      <c r="N362" s="15">
        <f>IF($J362="","",IF(COUNTIF(tblAnahtarB[NormB],$J362)&gt;1,"EVET","HAYIR"))</f>
        <v/>
      </c>
      <c r="O362" s="15">
        <f>IF($I362="","",ROW()-ROW($I$5))</f>
        <v/>
      </c>
    </row>
    <row r="363">
      <c r="A363" s="7">
        <f>IF(VERI_A!A363="","",VERI_A!A363)</f>
        <v/>
      </c>
      <c r="B363" s="15">
        <f>UPPER(TRIM(SUBSTITUTE($A363," ","")))</f>
        <v/>
      </c>
      <c r="C363" s="15">
        <f>IF($B363="",0,LEN($B363))</f>
        <v/>
      </c>
      <c r="D363" s="15">
        <f>IF($B363="","",LEFT($B363,kdo_ikincilUzunluk))</f>
        <v/>
      </c>
      <c r="E363" s="15">
        <f>"A"</f>
        <v/>
      </c>
      <c r="F363" s="15">
        <f>IF($B363="","",IF(COUNTIF(tblAnahtarA[Norm],$B363)&gt;1,"EVET","HAYIR"))</f>
        <v/>
      </c>
      <c r="G363" s="15">
        <f>IF($A363="","",ROW()-ROW($A$5))</f>
        <v/>
      </c>
      <c r="I363" s="7">
        <f>IF(VERI_B!A363="","",VERI_B!A363)</f>
        <v/>
      </c>
      <c r="J363" s="15">
        <f>UPPER(TRIM(SUBSTITUTE($I363," ","")))</f>
        <v/>
      </c>
      <c r="K363" s="15">
        <f>IF($J363="",0,LEN($J363))</f>
        <v/>
      </c>
      <c r="L363" s="15">
        <f>IF($J363="","",LEFT($J363,kdo_ikincilUzunluk))</f>
        <v/>
      </c>
      <c r="M363" s="15">
        <f>"B"</f>
        <v/>
      </c>
      <c r="N363" s="15">
        <f>IF($J363="","",IF(COUNTIF(tblAnahtarB[NormB],$J363)&gt;1,"EVET","HAYIR"))</f>
        <v/>
      </c>
      <c r="O363" s="15">
        <f>IF($I363="","",ROW()-ROW($I$5))</f>
        <v/>
      </c>
    </row>
    <row r="364">
      <c r="A364" s="7">
        <f>IF(VERI_A!A364="","",VERI_A!A364)</f>
        <v/>
      </c>
      <c r="B364" s="15">
        <f>UPPER(TRIM(SUBSTITUTE($A364," ","")))</f>
        <v/>
      </c>
      <c r="C364" s="15">
        <f>IF($B364="",0,LEN($B364))</f>
        <v/>
      </c>
      <c r="D364" s="15">
        <f>IF($B364="","",LEFT($B364,kdo_ikincilUzunluk))</f>
        <v/>
      </c>
      <c r="E364" s="15">
        <f>"A"</f>
        <v/>
      </c>
      <c r="F364" s="15">
        <f>IF($B364="","",IF(COUNTIF(tblAnahtarA[Norm],$B364)&gt;1,"EVET","HAYIR"))</f>
        <v/>
      </c>
      <c r="G364" s="15">
        <f>IF($A364="","",ROW()-ROW($A$5))</f>
        <v/>
      </c>
      <c r="I364" s="7">
        <f>IF(VERI_B!A364="","",VERI_B!A364)</f>
        <v/>
      </c>
      <c r="J364" s="15">
        <f>UPPER(TRIM(SUBSTITUTE($I364," ","")))</f>
        <v/>
      </c>
      <c r="K364" s="15">
        <f>IF($J364="",0,LEN($J364))</f>
        <v/>
      </c>
      <c r="L364" s="15">
        <f>IF($J364="","",LEFT($J364,kdo_ikincilUzunluk))</f>
        <v/>
      </c>
      <c r="M364" s="15">
        <f>"B"</f>
        <v/>
      </c>
      <c r="N364" s="15">
        <f>IF($J364="","",IF(COUNTIF(tblAnahtarB[NormB],$J364)&gt;1,"EVET","HAYIR"))</f>
        <v/>
      </c>
      <c r="O364" s="15">
        <f>IF($I364="","",ROW()-ROW($I$5))</f>
        <v/>
      </c>
    </row>
    <row r="365">
      <c r="A365" s="7">
        <f>IF(VERI_A!A365="","",VERI_A!A365)</f>
        <v/>
      </c>
      <c r="B365" s="15">
        <f>UPPER(TRIM(SUBSTITUTE($A365," ","")))</f>
        <v/>
      </c>
      <c r="C365" s="15">
        <f>IF($B365="",0,LEN($B365))</f>
        <v/>
      </c>
      <c r="D365" s="15">
        <f>IF($B365="","",LEFT($B365,kdo_ikincilUzunluk))</f>
        <v/>
      </c>
      <c r="E365" s="15">
        <f>"A"</f>
        <v/>
      </c>
      <c r="F365" s="15">
        <f>IF($B365="","",IF(COUNTIF(tblAnahtarA[Norm],$B365)&gt;1,"EVET","HAYIR"))</f>
        <v/>
      </c>
      <c r="G365" s="15">
        <f>IF($A365="","",ROW()-ROW($A$5))</f>
        <v/>
      </c>
      <c r="I365" s="7">
        <f>IF(VERI_B!A365="","",VERI_B!A365)</f>
        <v/>
      </c>
      <c r="J365" s="15">
        <f>UPPER(TRIM(SUBSTITUTE($I365," ","")))</f>
        <v/>
      </c>
      <c r="K365" s="15">
        <f>IF($J365="",0,LEN($J365))</f>
        <v/>
      </c>
      <c r="L365" s="15">
        <f>IF($J365="","",LEFT($J365,kdo_ikincilUzunluk))</f>
        <v/>
      </c>
      <c r="M365" s="15">
        <f>"B"</f>
        <v/>
      </c>
      <c r="N365" s="15">
        <f>IF($J365="","",IF(COUNTIF(tblAnahtarB[NormB],$J365)&gt;1,"EVET","HAYIR"))</f>
        <v/>
      </c>
      <c r="O365" s="15">
        <f>IF($I365="","",ROW()-ROW($I$5))</f>
        <v/>
      </c>
    </row>
    <row r="366">
      <c r="A366" s="7">
        <f>IF(VERI_A!A366="","",VERI_A!A366)</f>
        <v/>
      </c>
      <c r="B366" s="15">
        <f>UPPER(TRIM(SUBSTITUTE($A366," ","")))</f>
        <v/>
      </c>
      <c r="C366" s="15">
        <f>IF($B366="",0,LEN($B366))</f>
        <v/>
      </c>
      <c r="D366" s="15">
        <f>IF($B366="","",LEFT($B366,kdo_ikincilUzunluk))</f>
        <v/>
      </c>
      <c r="E366" s="15">
        <f>"A"</f>
        <v/>
      </c>
      <c r="F366" s="15">
        <f>IF($B366="","",IF(COUNTIF(tblAnahtarA[Norm],$B366)&gt;1,"EVET","HAYIR"))</f>
        <v/>
      </c>
      <c r="G366" s="15">
        <f>IF($A366="","",ROW()-ROW($A$5))</f>
        <v/>
      </c>
      <c r="I366" s="7">
        <f>IF(VERI_B!A366="","",VERI_B!A366)</f>
        <v/>
      </c>
      <c r="J366" s="15">
        <f>UPPER(TRIM(SUBSTITUTE($I366," ","")))</f>
        <v/>
      </c>
      <c r="K366" s="15">
        <f>IF($J366="",0,LEN($J366))</f>
        <v/>
      </c>
      <c r="L366" s="15">
        <f>IF($J366="","",LEFT($J366,kdo_ikincilUzunluk))</f>
        <v/>
      </c>
      <c r="M366" s="15">
        <f>"B"</f>
        <v/>
      </c>
      <c r="N366" s="15">
        <f>IF($J366="","",IF(COUNTIF(tblAnahtarB[NormB],$J366)&gt;1,"EVET","HAYIR"))</f>
        <v/>
      </c>
      <c r="O366" s="15">
        <f>IF($I366="","",ROW()-ROW($I$5))</f>
        <v/>
      </c>
    </row>
    <row r="367">
      <c r="A367" s="7">
        <f>IF(VERI_A!A367="","",VERI_A!A367)</f>
        <v/>
      </c>
      <c r="B367" s="15">
        <f>UPPER(TRIM(SUBSTITUTE($A367," ","")))</f>
        <v/>
      </c>
      <c r="C367" s="15">
        <f>IF($B367="",0,LEN($B367))</f>
        <v/>
      </c>
      <c r="D367" s="15">
        <f>IF($B367="","",LEFT($B367,kdo_ikincilUzunluk))</f>
        <v/>
      </c>
      <c r="E367" s="15">
        <f>"A"</f>
        <v/>
      </c>
      <c r="F367" s="15">
        <f>IF($B367="","",IF(COUNTIF(tblAnahtarA[Norm],$B367)&gt;1,"EVET","HAYIR"))</f>
        <v/>
      </c>
      <c r="G367" s="15">
        <f>IF($A367="","",ROW()-ROW($A$5))</f>
        <v/>
      </c>
      <c r="I367" s="7">
        <f>IF(VERI_B!A367="","",VERI_B!A367)</f>
        <v/>
      </c>
      <c r="J367" s="15">
        <f>UPPER(TRIM(SUBSTITUTE($I367," ","")))</f>
        <v/>
      </c>
      <c r="K367" s="15">
        <f>IF($J367="",0,LEN($J367))</f>
        <v/>
      </c>
      <c r="L367" s="15">
        <f>IF($J367="","",LEFT($J367,kdo_ikincilUzunluk))</f>
        <v/>
      </c>
      <c r="M367" s="15">
        <f>"B"</f>
        <v/>
      </c>
      <c r="N367" s="15">
        <f>IF($J367="","",IF(COUNTIF(tblAnahtarB[NormB],$J367)&gt;1,"EVET","HAYIR"))</f>
        <v/>
      </c>
      <c r="O367" s="15">
        <f>IF($I367="","",ROW()-ROW($I$5))</f>
        <v/>
      </c>
    </row>
    <row r="368">
      <c r="A368" s="7">
        <f>IF(VERI_A!A368="","",VERI_A!A368)</f>
        <v/>
      </c>
      <c r="B368" s="15">
        <f>UPPER(TRIM(SUBSTITUTE($A368," ","")))</f>
        <v/>
      </c>
      <c r="C368" s="15">
        <f>IF($B368="",0,LEN($B368))</f>
        <v/>
      </c>
      <c r="D368" s="15">
        <f>IF($B368="","",LEFT($B368,kdo_ikincilUzunluk))</f>
        <v/>
      </c>
      <c r="E368" s="15">
        <f>"A"</f>
        <v/>
      </c>
      <c r="F368" s="15">
        <f>IF($B368="","",IF(COUNTIF(tblAnahtarA[Norm],$B368)&gt;1,"EVET","HAYIR"))</f>
        <v/>
      </c>
      <c r="G368" s="15">
        <f>IF($A368="","",ROW()-ROW($A$5))</f>
        <v/>
      </c>
      <c r="I368" s="7">
        <f>IF(VERI_B!A368="","",VERI_B!A368)</f>
        <v/>
      </c>
      <c r="J368" s="15">
        <f>UPPER(TRIM(SUBSTITUTE($I368," ","")))</f>
        <v/>
      </c>
      <c r="K368" s="15">
        <f>IF($J368="",0,LEN($J368))</f>
        <v/>
      </c>
      <c r="L368" s="15">
        <f>IF($J368="","",LEFT($J368,kdo_ikincilUzunluk))</f>
        <v/>
      </c>
      <c r="M368" s="15">
        <f>"B"</f>
        <v/>
      </c>
      <c r="N368" s="15">
        <f>IF($J368="","",IF(COUNTIF(tblAnahtarB[NormB],$J368)&gt;1,"EVET","HAYIR"))</f>
        <v/>
      </c>
      <c r="O368" s="15">
        <f>IF($I368="","",ROW()-ROW($I$5))</f>
        <v/>
      </c>
    </row>
    <row r="369">
      <c r="A369" s="7">
        <f>IF(VERI_A!A369="","",VERI_A!A369)</f>
        <v/>
      </c>
      <c r="B369" s="15">
        <f>UPPER(TRIM(SUBSTITUTE($A369," ","")))</f>
        <v/>
      </c>
      <c r="C369" s="15">
        <f>IF($B369="",0,LEN($B369))</f>
        <v/>
      </c>
      <c r="D369" s="15">
        <f>IF($B369="","",LEFT($B369,kdo_ikincilUzunluk))</f>
        <v/>
      </c>
      <c r="E369" s="15">
        <f>"A"</f>
        <v/>
      </c>
      <c r="F369" s="15">
        <f>IF($B369="","",IF(COUNTIF(tblAnahtarA[Norm],$B369)&gt;1,"EVET","HAYIR"))</f>
        <v/>
      </c>
      <c r="G369" s="15">
        <f>IF($A369="","",ROW()-ROW($A$5))</f>
        <v/>
      </c>
      <c r="I369" s="7">
        <f>IF(VERI_B!A369="","",VERI_B!A369)</f>
        <v/>
      </c>
      <c r="J369" s="15">
        <f>UPPER(TRIM(SUBSTITUTE($I369," ","")))</f>
        <v/>
      </c>
      <c r="K369" s="15">
        <f>IF($J369="",0,LEN($J369))</f>
        <v/>
      </c>
      <c r="L369" s="15">
        <f>IF($J369="","",LEFT($J369,kdo_ikincilUzunluk))</f>
        <v/>
      </c>
      <c r="M369" s="15">
        <f>"B"</f>
        <v/>
      </c>
      <c r="N369" s="15">
        <f>IF($J369="","",IF(COUNTIF(tblAnahtarB[NormB],$J369)&gt;1,"EVET","HAYIR"))</f>
        <v/>
      </c>
      <c r="O369" s="15">
        <f>IF($I369="","",ROW()-ROW($I$5))</f>
        <v/>
      </c>
    </row>
    <row r="370">
      <c r="A370" s="7">
        <f>IF(VERI_A!A370="","",VERI_A!A370)</f>
        <v/>
      </c>
      <c r="B370" s="15">
        <f>UPPER(TRIM(SUBSTITUTE($A370," ","")))</f>
        <v/>
      </c>
      <c r="C370" s="15">
        <f>IF($B370="",0,LEN($B370))</f>
        <v/>
      </c>
      <c r="D370" s="15">
        <f>IF($B370="","",LEFT($B370,kdo_ikincilUzunluk))</f>
        <v/>
      </c>
      <c r="E370" s="15">
        <f>"A"</f>
        <v/>
      </c>
      <c r="F370" s="15">
        <f>IF($B370="","",IF(COUNTIF(tblAnahtarA[Norm],$B370)&gt;1,"EVET","HAYIR"))</f>
        <v/>
      </c>
      <c r="G370" s="15">
        <f>IF($A370="","",ROW()-ROW($A$5))</f>
        <v/>
      </c>
      <c r="I370" s="7">
        <f>IF(VERI_B!A370="","",VERI_B!A370)</f>
        <v/>
      </c>
      <c r="J370" s="15">
        <f>UPPER(TRIM(SUBSTITUTE($I370," ","")))</f>
        <v/>
      </c>
      <c r="K370" s="15">
        <f>IF($J370="",0,LEN($J370))</f>
        <v/>
      </c>
      <c r="L370" s="15">
        <f>IF($J370="","",LEFT($J370,kdo_ikincilUzunluk))</f>
        <v/>
      </c>
      <c r="M370" s="15">
        <f>"B"</f>
        <v/>
      </c>
      <c r="N370" s="15">
        <f>IF($J370="","",IF(COUNTIF(tblAnahtarB[NormB],$J370)&gt;1,"EVET","HAYIR"))</f>
        <v/>
      </c>
      <c r="O370" s="15">
        <f>IF($I370="","",ROW()-ROW($I$5))</f>
        <v/>
      </c>
    </row>
    <row r="371">
      <c r="A371" s="7">
        <f>IF(VERI_A!A371="","",VERI_A!A371)</f>
        <v/>
      </c>
      <c r="B371" s="15">
        <f>UPPER(TRIM(SUBSTITUTE($A371," ","")))</f>
        <v/>
      </c>
      <c r="C371" s="15">
        <f>IF($B371="",0,LEN($B371))</f>
        <v/>
      </c>
      <c r="D371" s="15">
        <f>IF($B371="","",LEFT($B371,kdo_ikincilUzunluk))</f>
        <v/>
      </c>
      <c r="E371" s="15">
        <f>"A"</f>
        <v/>
      </c>
      <c r="F371" s="15">
        <f>IF($B371="","",IF(COUNTIF(tblAnahtarA[Norm],$B371)&gt;1,"EVET","HAYIR"))</f>
        <v/>
      </c>
      <c r="G371" s="15">
        <f>IF($A371="","",ROW()-ROW($A$5))</f>
        <v/>
      </c>
      <c r="I371" s="7">
        <f>IF(VERI_B!A371="","",VERI_B!A371)</f>
        <v/>
      </c>
      <c r="J371" s="15">
        <f>UPPER(TRIM(SUBSTITUTE($I371," ","")))</f>
        <v/>
      </c>
      <c r="K371" s="15">
        <f>IF($J371="",0,LEN($J371))</f>
        <v/>
      </c>
      <c r="L371" s="15">
        <f>IF($J371="","",LEFT($J371,kdo_ikincilUzunluk))</f>
        <v/>
      </c>
      <c r="M371" s="15">
        <f>"B"</f>
        <v/>
      </c>
      <c r="N371" s="15">
        <f>IF($J371="","",IF(COUNTIF(tblAnahtarB[NormB],$J371)&gt;1,"EVET","HAYIR"))</f>
        <v/>
      </c>
      <c r="O371" s="15">
        <f>IF($I371="","",ROW()-ROW($I$5))</f>
        <v/>
      </c>
    </row>
    <row r="372">
      <c r="A372" s="7">
        <f>IF(VERI_A!A372="","",VERI_A!A372)</f>
        <v/>
      </c>
      <c r="B372" s="15">
        <f>UPPER(TRIM(SUBSTITUTE($A372," ","")))</f>
        <v/>
      </c>
      <c r="C372" s="15">
        <f>IF($B372="",0,LEN($B372))</f>
        <v/>
      </c>
      <c r="D372" s="15">
        <f>IF($B372="","",LEFT($B372,kdo_ikincilUzunluk))</f>
        <v/>
      </c>
      <c r="E372" s="15">
        <f>"A"</f>
        <v/>
      </c>
      <c r="F372" s="15">
        <f>IF($B372="","",IF(COUNTIF(tblAnahtarA[Norm],$B372)&gt;1,"EVET","HAYIR"))</f>
        <v/>
      </c>
      <c r="G372" s="15">
        <f>IF($A372="","",ROW()-ROW($A$5))</f>
        <v/>
      </c>
      <c r="I372" s="7">
        <f>IF(VERI_B!A372="","",VERI_B!A372)</f>
        <v/>
      </c>
      <c r="J372" s="15">
        <f>UPPER(TRIM(SUBSTITUTE($I372," ","")))</f>
        <v/>
      </c>
      <c r="K372" s="15">
        <f>IF($J372="",0,LEN($J372))</f>
        <v/>
      </c>
      <c r="L372" s="15">
        <f>IF($J372="","",LEFT($J372,kdo_ikincilUzunluk))</f>
        <v/>
      </c>
      <c r="M372" s="15">
        <f>"B"</f>
        <v/>
      </c>
      <c r="N372" s="15">
        <f>IF($J372="","",IF(COUNTIF(tblAnahtarB[NormB],$J372)&gt;1,"EVET","HAYIR"))</f>
        <v/>
      </c>
      <c r="O372" s="15">
        <f>IF($I372="","",ROW()-ROW($I$5))</f>
        <v/>
      </c>
    </row>
    <row r="373">
      <c r="A373" s="7">
        <f>IF(VERI_A!A373="","",VERI_A!A373)</f>
        <v/>
      </c>
      <c r="B373" s="15">
        <f>UPPER(TRIM(SUBSTITUTE($A373," ","")))</f>
        <v/>
      </c>
      <c r="C373" s="15">
        <f>IF($B373="",0,LEN($B373))</f>
        <v/>
      </c>
      <c r="D373" s="15">
        <f>IF($B373="","",LEFT($B373,kdo_ikincilUzunluk))</f>
        <v/>
      </c>
      <c r="E373" s="15">
        <f>"A"</f>
        <v/>
      </c>
      <c r="F373" s="15">
        <f>IF($B373="","",IF(COUNTIF(tblAnahtarA[Norm],$B373)&gt;1,"EVET","HAYIR"))</f>
        <v/>
      </c>
      <c r="G373" s="15">
        <f>IF($A373="","",ROW()-ROW($A$5))</f>
        <v/>
      </c>
      <c r="I373" s="7">
        <f>IF(VERI_B!A373="","",VERI_B!A373)</f>
        <v/>
      </c>
      <c r="J373" s="15">
        <f>UPPER(TRIM(SUBSTITUTE($I373," ","")))</f>
        <v/>
      </c>
      <c r="K373" s="15">
        <f>IF($J373="",0,LEN($J373))</f>
        <v/>
      </c>
      <c r="L373" s="15">
        <f>IF($J373="","",LEFT($J373,kdo_ikincilUzunluk))</f>
        <v/>
      </c>
      <c r="M373" s="15">
        <f>"B"</f>
        <v/>
      </c>
      <c r="N373" s="15">
        <f>IF($J373="","",IF(COUNTIF(tblAnahtarB[NormB],$J373)&gt;1,"EVET","HAYIR"))</f>
        <v/>
      </c>
      <c r="O373" s="15">
        <f>IF($I373="","",ROW()-ROW($I$5))</f>
        <v/>
      </c>
    </row>
    <row r="374">
      <c r="A374" s="7">
        <f>IF(VERI_A!A374="","",VERI_A!A374)</f>
        <v/>
      </c>
      <c r="B374" s="15">
        <f>UPPER(TRIM(SUBSTITUTE($A374," ","")))</f>
        <v/>
      </c>
      <c r="C374" s="15">
        <f>IF($B374="",0,LEN($B374))</f>
        <v/>
      </c>
      <c r="D374" s="15">
        <f>IF($B374="","",LEFT($B374,kdo_ikincilUzunluk))</f>
        <v/>
      </c>
      <c r="E374" s="15">
        <f>"A"</f>
        <v/>
      </c>
      <c r="F374" s="15">
        <f>IF($B374="","",IF(COUNTIF(tblAnahtarA[Norm],$B374)&gt;1,"EVET","HAYIR"))</f>
        <v/>
      </c>
      <c r="G374" s="15">
        <f>IF($A374="","",ROW()-ROW($A$5))</f>
        <v/>
      </c>
      <c r="I374" s="7">
        <f>IF(VERI_B!A374="","",VERI_B!A374)</f>
        <v/>
      </c>
      <c r="J374" s="15">
        <f>UPPER(TRIM(SUBSTITUTE($I374," ","")))</f>
        <v/>
      </c>
      <c r="K374" s="15">
        <f>IF($J374="",0,LEN($J374))</f>
        <v/>
      </c>
      <c r="L374" s="15">
        <f>IF($J374="","",LEFT($J374,kdo_ikincilUzunluk))</f>
        <v/>
      </c>
      <c r="M374" s="15">
        <f>"B"</f>
        <v/>
      </c>
      <c r="N374" s="15">
        <f>IF($J374="","",IF(COUNTIF(tblAnahtarB[NormB],$J374)&gt;1,"EVET","HAYIR"))</f>
        <v/>
      </c>
      <c r="O374" s="15">
        <f>IF($I374="","",ROW()-ROW($I$5))</f>
        <v/>
      </c>
    </row>
    <row r="375">
      <c r="A375" s="7">
        <f>IF(VERI_A!A375="","",VERI_A!A375)</f>
        <v/>
      </c>
      <c r="B375" s="15">
        <f>UPPER(TRIM(SUBSTITUTE($A375," ","")))</f>
        <v/>
      </c>
      <c r="C375" s="15">
        <f>IF($B375="",0,LEN($B375))</f>
        <v/>
      </c>
      <c r="D375" s="15">
        <f>IF($B375="","",LEFT($B375,kdo_ikincilUzunluk))</f>
        <v/>
      </c>
      <c r="E375" s="15">
        <f>"A"</f>
        <v/>
      </c>
      <c r="F375" s="15">
        <f>IF($B375="","",IF(COUNTIF(tblAnahtarA[Norm],$B375)&gt;1,"EVET","HAYIR"))</f>
        <v/>
      </c>
      <c r="G375" s="15">
        <f>IF($A375="","",ROW()-ROW($A$5))</f>
        <v/>
      </c>
      <c r="I375" s="7">
        <f>IF(VERI_B!A375="","",VERI_B!A375)</f>
        <v/>
      </c>
      <c r="J375" s="15">
        <f>UPPER(TRIM(SUBSTITUTE($I375," ","")))</f>
        <v/>
      </c>
      <c r="K375" s="15">
        <f>IF($J375="",0,LEN($J375))</f>
        <v/>
      </c>
      <c r="L375" s="15">
        <f>IF($J375="","",LEFT($J375,kdo_ikincilUzunluk))</f>
        <v/>
      </c>
      <c r="M375" s="15">
        <f>"B"</f>
        <v/>
      </c>
      <c r="N375" s="15">
        <f>IF($J375="","",IF(COUNTIF(tblAnahtarB[NormB],$J375)&gt;1,"EVET","HAYIR"))</f>
        <v/>
      </c>
      <c r="O375" s="15">
        <f>IF($I375="","",ROW()-ROW($I$5))</f>
        <v/>
      </c>
    </row>
    <row r="376">
      <c r="A376" s="7">
        <f>IF(VERI_A!A376="","",VERI_A!A376)</f>
        <v/>
      </c>
      <c r="B376" s="15">
        <f>UPPER(TRIM(SUBSTITUTE($A376," ","")))</f>
        <v/>
      </c>
      <c r="C376" s="15">
        <f>IF($B376="",0,LEN($B376))</f>
        <v/>
      </c>
      <c r="D376" s="15">
        <f>IF($B376="","",LEFT($B376,kdo_ikincilUzunluk))</f>
        <v/>
      </c>
      <c r="E376" s="15">
        <f>"A"</f>
        <v/>
      </c>
      <c r="F376" s="15">
        <f>IF($B376="","",IF(COUNTIF(tblAnahtarA[Norm],$B376)&gt;1,"EVET","HAYIR"))</f>
        <v/>
      </c>
      <c r="G376" s="15">
        <f>IF($A376="","",ROW()-ROW($A$5))</f>
        <v/>
      </c>
      <c r="I376" s="7">
        <f>IF(VERI_B!A376="","",VERI_B!A376)</f>
        <v/>
      </c>
      <c r="J376" s="15">
        <f>UPPER(TRIM(SUBSTITUTE($I376," ","")))</f>
        <v/>
      </c>
      <c r="K376" s="15">
        <f>IF($J376="",0,LEN($J376))</f>
        <v/>
      </c>
      <c r="L376" s="15">
        <f>IF($J376="","",LEFT($J376,kdo_ikincilUzunluk))</f>
        <v/>
      </c>
      <c r="M376" s="15">
        <f>"B"</f>
        <v/>
      </c>
      <c r="N376" s="15">
        <f>IF($J376="","",IF(COUNTIF(tblAnahtarB[NormB],$J376)&gt;1,"EVET","HAYIR"))</f>
        <v/>
      </c>
      <c r="O376" s="15">
        <f>IF($I376="","",ROW()-ROW($I$5))</f>
        <v/>
      </c>
    </row>
    <row r="377">
      <c r="A377" s="7">
        <f>IF(VERI_A!A377="","",VERI_A!A377)</f>
        <v/>
      </c>
      <c r="B377" s="15">
        <f>UPPER(TRIM(SUBSTITUTE($A377," ","")))</f>
        <v/>
      </c>
      <c r="C377" s="15">
        <f>IF($B377="",0,LEN($B377))</f>
        <v/>
      </c>
      <c r="D377" s="15">
        <f>IF($B377="","",LEFT($B377,kdo_ikincilUzunluk))</f>
        <v/>
      </c>
      <c r="E377" s="15">
        <f>"A"</f>
        <v/>
      </c>
      <c r="F377" s="15">
        <f>IF($B377="","",IF(COUNTIF(tblAnahtarA[Norm],$B377)&gt;1,"EVET","HAYIR"))</f>
        <v/>
      </c>
      <c r="G377" s="15">
        <f>IF($A377="","",ROW()-ROW($A$5))</f>
        <v/>
      </c>
      <c r="I377" s="7">
        <f>IF(VERI_B!A377="","",VERI_B!A377)</f>
        <v/>
      </c>
      <c r="J377" s="15">
        <f>UPPER(TRIM(SUBSTITUTE($I377," ","")))</f>
        <v/>
      </c>
      <c r="K377" s="15">
        <f>IF($J377="",0,LEN($J377))</f>
        <v/>
      </c>
      <c r="L377" s="15">
        <f>IF($J377="","",LEFT($J377,kdo_ikincilUzunluk))</f>
        <v/>
      </c>
      <c r="M377" s="15">
        <f>"B"</f>
        <v/>
      </c>
      <c r="N377" s="15">
        <f>IF($J377="","",IF(COUNTIF(tblAnahtarB[NormB],$J377)&gt;1,"EVET","HAYIR"))</f>
        <v/>
      </c>
      <c r="O377" s="15">
        <f>IF($I377="","",ROW()-ROW($I$5))</f>
        <v/>
      </c>
    </row>
    <row r="378">
      <c r="A378" s="7">
        <f>IF(VERI_A!A378="","",VERI_A!A378)</f>
        <v/>
      </c>
      <c r="B378" s="15">
        <f>UPPER(TRIM(SUBSTITUTE($A378," ","")))</f>
        <v/>
      </c>
      <c r="C378" s="15">
        <f>IF($B378="",0,LEN($B378))</f>
        <v/>
      </c>
      <c r="D378" s="15">
        <f>IF($B378="","",LEFT($B378,kdo_ikincilUzunluk))</f>
        <v/>
      </c>
      <c r="E378" s="15">
        <f>"A"</f>
        <v/>
      </c>
      <c r="F378" s="15">
        <f>IF($B378="","",IF(COUNTIF(tblAnahtarA[Norm],$B378)&gt;1,"EVET","HAYIR"))</f>
        <v/>
      </c>
      <c r="G378" s="15">
        <f>IF($A378="","",ROW()-ROW($A$5))</f>
        <v/>
      </c>
      <c r="I378" s="7">
        <f>IF(VERI_B!A378="","",VERI_B!A378)</f>
        <v/>
      </c>
      <c r="J378" s="15">
        <f>UPPER(TRIM(SUBSTITUTE($I378," ","")))</f>
        <v/>
      </c>
      <c r="K378" s="15">
        <f>IF($J378="",0,LEN($J378))</f>
        <v/>
      </c>
      <c r="L378" s="15">
        <f>IF($J378="","",LEFT($J378,kdo_ikincilUzunluk))</f>
        <v/>
      </c>
      <c r="M378" s="15">
        <f>"B"</f>
        <v/>
      </c>
      <c r="N378" s="15">
        <f>IF($J378="","",IF(COUNTIF(tblAnahtarB[NormB],$J378)&gt;1,"EVET","HAYIR"))</f>
        <v/>
      </c>
      <c r="O378" s="15">
        <f>IF($I378="","",ROW()-ROW($I$5))</f>
        <v/>
      </c>
    </row>
    <row r="379">
      <c r="A379" s="7">
        <f>IF(VERI_A!A379="","",VERI_A!A379)</f>
        <v/>
      </c>
      <c r="B379" s="15">
        <f>UPPER(TRIM(SUBSTITUTE($A379," ","")))</f>
        <v/>
      </c>
      <c r="C379" s="15">
        <f>IF($B379="",0,LEN($B379))</f>
        <v/>
      </c>
      <c r="D379" s="15">
        <f>IF($B379="","",LEFT($B379,kdo_ikincilUzunluk))</f>
        <v/>
      </c>
      <c r="E379" s="15">
        <f>"A"</f>
        <v/>
      </c>
      <c r="F379" s="15">
        <f>IF($B379="","",IF(COUNTIF(tblAnahtarA[Norm],$B379)&gt;1,"EVET","HAYIR"))</f>
        <v/>
      </c>
      <c r="G379" s="15">
        <f>IF($A379="","",ROW()-ROW($A$5))</f>
        <v/>
      </c>
      <c r="I379" s="7">
        <f>IF(VERI_B!A379="","",VERI_B!A379)</f>
        <v/>
      </c>
      <c r="J379" s="15">
        <f>UPPER(TRIM(SUBSTITUTE($I379," ","")))</f>
        <v/>
      </c>
      <c r="K379" s="15">
        <f>IF($J379="",0,LEN($J379))</f>
        <v/>
      </c>
      <c r="L379" s="15">
        <f>IF($J379="","",LEFT($J379,kdo_ikincilUzunluk))</f>
        <v/>
      </c>
      <c r="M379" s="15">
        <f>"B"</f>
        <v/>
      </c>
      <c r="N379" s="15">
        <f>IF($J379="","",IF(COUNTIF(tblAnahtarB[NormB],$J379)&gt;1,"EVET","HAYIR"))</f>
        <v/>
      </c>
      <c r="O379" s="15">
        <f>IF($I379="","",ROW()-ROW($I$5))</f>
        <v/>
      </c>
    </row>
    <row r="380">
      <c r="A380" s="7">
        <f>IF(VERI_A!A380="","",VERI_A!A380)</f>
        <v/>
      </c>
      <c r="B380" s="15">
        <f>UPPER(TRIM(SUBSTITUTE($A380," ","")))</f>
        <v/>
      </c>
      <c r="C380" s="15">
        <f>IF($B380="",0,LEN($B380))</f>
        <v/>
      </c>
      <c r="D380" s="15">
        <f>IF($B380="","",LEFT($B380,kdo_ikincilUzunluk))</f>
        <v/>
      </c>
      <c r="E380" s="15">
        <f>"A"</f>
        <v/>
      </c>
      <c r="F380" s="15">
        <f>IF($B380="","",IF(COUNTIF(tblAnahtarA[Norm],$B380)&gt;1,"EVET","HAYIR"))</f>
        <v/>
      </c>
      <c r="G380" s="15">
        <f>IF($A380="","",ROW()-ROW($A$5))</f>
        <v/>
      </c>
      <c r="I380" s="7">
        <f>IF(VERI_B!A380="","",VERI_B!A380)</f>
        <v/>
      </c>
      <c r="J380" s="15">
        <f>UPPER(TRIM(SUBSTITUTE($I380," ","")))</f>
        <v/>
      </c>
      <c r="K380" s="15">
        <f>IF($J380="",0,LEN($J380))</f>
        <v/>
      </c>
      <c r="L380" s="15">
        <f>IF($J380="","",LEFT($J380,kdo_ikincilUzunluk))</f>
        <v/>
      </c>
      <c r="M380" s="15">
        <f>"B"</f>
        <v/>
      </c>
      <c r="N380" s="15">
        <f>IF($J380="","",IF(COUNTIF(tblAnahtarB[NormB],$J380)&gt;1,"EVET","HAYIR"))</f>
        <v/>
      </c>
      <c r="O380" s="15">
        <f>IF($I380="","",ROW()-ROW($I$5))</f>
        <v/>
      </c>
    </row>
    <row r="381">
      <c r="A381" s="7">
        <f>IF(VERI_A!A381="","",VERI_A!A381)</f>
        <v/>
      </c>
      <c r="B381" s="15">
        <f>UPPER(TRIM(SUBSTITUTE($A381," ","")))</f>
        <v/>
      </c>
      <c r="C381" s="15">
        <f>IF($B381="",0,LEN($B381))</f>
        <v/>
      </c>
      <c r="D381" s="15">
        <f>IF($B381="","",LEFT($B381,kdo_ikincilUzunluk))</f>
        <v/>
      </c>
      <c r="E381" s="15">
        <f>"A"</f>
        <v/>
      </c>
      <c r="F381" s="15">
        <f>IF($B381="","",IF(COUNTIF(tblAnahtarA[Norm],$B381)&gt;1,"EVET","HAYIR"))</f>
        <v/>
      </c>
      <c r="G381" s="15">
        <f>IF($A381="","",ROW()-ROW($A$5))</f>
        <v/>
      </c>
      <c r="I381" s="7">
        <f>IF(VERI_B!A381="","",VERI_B!A381)</f>
        <v/>
      </c>
      <c r="J381" s="15">
        <f>UPPER(TRIM(SUBSTITUTE($I381," ","")))</f>
        <v/>
      </c>
      <c r="K381" s="15">
        <f>IF($J381="",0,LEN($J381))</f>
        <v/>
      </c>
      <c r="L381" s="15">
        <f>IF($J381="","",LEFT($J381,kdo_ikincilUzunluk))</f>
        <v/>
      </c>
      <c r="M381" s="15">
        <f>"B"</f>
        <v/>
      </c>
      <c r="N381" s="15">
        <f>IF($J381="","",IF(COUNTIF(tblAnahtarB[NormB],$J381)&gt;1,"EVET","HAYIR"))</f>
        <v/>
      </c>
      <c r="O381" s="15">
        <f>IF($I381="","",ROW()-ROW($I$5))</f>
        <v/>
      </c>
    </row>
    <row r="382">
      <c r="A382" s="7">
        <f>IF(VERI_A!A382="","",VERI_A!A382)</f>
        <v/>
      </c>
      <c r="B382" s="15">
        <f>UPPER(TRIM(SUBSTITUTE($A382," ","")))</f>
        <v/>
      </c>
      <c r="C382" s="15">
        <f>IF($B382="",0,LEN($B382))</f>
        <v/>
      </c>
      <c r="D382" s="15">
        <f>IF($B382="","",LEFT($B382,kdo_ikincilUzunluk))</f>
        <v/>
      </c>
      <c r="E382" s="15">
        <f>"A"</f>
        <v/>
      </c>
      <c r="F382" s="15">
        <f>IF($B382="","",IF(COUNTIF(tblAnahtarA[Norm],$B382)&gt;1,"EVET","HAYIR"))</f>
        <v/>
      </c>
      <c r="G382" s="15">
        <f>IF($A382="","",ROW()-ROW($A$5))</f>
        <v/>
      </c>
      <c r="I382" s="7">
        <f>IF(VERI_B!A382="","",VERI_B!A382)</f>
        <v/>
      </c>
      <c r="J382" s="15">
        <f>UPPER(TRIM(SUBSTITUTE($I382," ","")))</f>
        <v/>
      </c>
      <c r="K382" s="15">
        <f>IF($J382="",0,LEN($J382))</f>
        <v/>
      </c>
      <c r="L382" s="15">
        <f>IF($J382="","",LEFT($J382,kdo_ikincilUzunluk))</f>
        <v/>
      </c>
      <c r="M382" s="15">
        <f>"B"</f>
        <v/>
      </c>
      <c r="N382" s="15">
        <f>IF($J382="","",IF(COUNTIF(tblAnahtarB[NormB],$J382)&gt;1,"EVET","HAYIR"))</f>
        <v/>
      </c>
      <c r="O382" s="15">
        <f>IF($I382="","",ROW()-ROW($I$5))</f>
        <v/>
      </c>
    </row>
    <row r="383">
      <c r="A383" s="7">
        <f>IF(VERI_A!A383="","",VERI_A!A383)</f>
        <v/>
      </c>
      <c r="B383" s="15">
        <f>UPPER(TRIM(SUBSTITUTE($A383," ","")))</f>
        <v/>
      </c>
      <c r="C383" s="15">
        <f>IF($B383="",0,LEN($B383))</f>
        <v/>
      </c>
      <c r="D383" s="15">
        <f>IF($B383="","",LEFT($B383,kdo_ikincilUzunluk))</f>
        <v/>
      </c>
      <c r="E383" s="15">
        <f>"A"</f>
        <v/>
      </c>
      <c r="F383" s="15">
        <f>IF($B383="","",IF(COUNTIF(tblAnahtarA[Norm],$B383)&gt;1,"EVET","HAYIR"))</f>
        <v/>
      </c>
      <c r="G383" s="15">
        <f>IF($A383="","",ROW()-ROW($A$5))</f>
        <v/>
      </c>
      <c r="I383" s="7">
        <f>IF(VERI_B!A383="","",VERI_B!A383)</f>
        <v/>
      </c>
      <c r="J383" s="15">
        <f>UPPER(TRIM(SUBSTITUTE($I383," ","")))</f>
        <v/>
      </c>
      <c r="K383" s="15">
        <f>IF($J383="",0,LEN($J383))</f>
        <v/>
      </c>
      <c r="L383" s="15">
        <f>IF($J383="","",LEFT($J383,kdo_ikincilUzunluk))</f>
        <v/>
      </c>
      <c r="M383" s="15">
        <f>"B"</f>
        <v/>
      </c>
      <c r="N383" s="15">
        <f>IF($J383="","",IF(COUNTIF(tblAnahtarB[NormB],$J383)&gt;1,"EVET","HAYIR"))</f>
        <v/>
      </c>
      <c r="O383" s="15">
        <f>IF($I383="","",ROW()-ROW($I$5))</f>
        <v/>
      </c>
    </row>
    <row r="384">
      <c r="A384" s="7">
        <f>IF(VERI_A!A384="","",VERI_A!A384)</f>
        <v/>
      </c>
      <c r="B384" s="15">
        <f>UPPER(TRIM(SUBSTITUTE($A384," ","")))</f>
        <v/>
      </c>
      <c r="C384" s="15">
        <f>IF($B384="",0,LEN($B384))</f>
        <v/>
      </c>
      <c r="D384" s="15">
        <f>IF($B384="","",LEFT($B384,kdo_ikincilUzunluk))</f>
        <v/>
      </c>
      <c r="E384" s="15">
        <f>"A"</f>
        <v/>
      </c>
      <c r="F384" s="15">
        <f>IF($B384="","",IF(COUNTIF(tblAnahtarA[Norm],$B384)&gt;1,"EVET","HAYIR"))</f>
        <v/>
      </c>
      <c r="G384" s="15">
        <f>IF($A384="","",ROW()-ROW($A$5))</f>
        <v/>
      </c>
      <c r="I384" s="7">
        <f>IF(VERI_B!A384="","",VERI_B!A384)</f>
        <v/>
      </c>
      <c r="J384" s="15">
        <f>UPPER(TRIM(SUBSTITUTE($I384," ","")))</f>
        <v/>
      </c>
      <c r="K384" s="15">
        <f>IF($J384="",0,LEN($J384))</f>
        <v/>
      </c>
      <c r="L384" s="15">
        <f>IF($J384="","",LEFT($J384,kdo_ikincilUzunluk))</f>
        <v/>
      </c>
      <c r="M384" s="15">
        <f>"B"</f>
        <v/>
      </c>
      <c r="N384" s="15">
        <f>IF($J384="","",IF(COUNTIF(tblAnahtarB[NormB],$J384)&gt;1,"EVET","HAYIR"))</f>
        <v/>
      </c>
      <c r="O384" s="15">
        <f>IF($I384="","",ROW()-ROW($I$5))</f>
        <v/>
      </c>
    </row>
    <row r="385">
      <c r="A385" s="7">
        <f>IF(VERI_A!A385="","",VERI_A!A385)</f>
        <v/>
      </c>
      <c r="B385" s="15">
        <f>UPPER(TRIM(SUBSTITUTE($A385," ","")))</f>
        <v/>
      </c>
      <c r="C385" s="15">
        <f>IF($B385="",0,LEN($B385))</f>
        <v/>
      </c>
      <c r="D385" s="15">
        <f>IF($B385="","",LEFT($B385,kdo_ikincilUzunluk))</f>
        <v/>
      </c>
      <c r="E385" s="15">
        <f>"A"</f>
        <v/>
      </c>
      <c r="F385" s="15">
        <f>IF($B385="","",IF(COUNTIF(tblAnahtarA[Norm],$B385)&gt;1,"EVET","HAYIR"))</f>
        <v/>
      </c>
      <c r="G385" s="15">
        <f>IF($A385="","",ROW()-ROW($A$5))</f>
        <v/>
      </c>
      <c r="I385" s="7">
        <f>IF(VERI_B!A385="","",VERI_B!A385)</f>
        <v/>
      </c>
      <c r="J385" s="15">
        <f>UPPER(TRIM(SUBSTITUTE($I385," ","")))</f>
        <v/>
      </c>
      <c r="K385" s="15">
        <f>IF($J385="",0,LEN($J385))</f>
        <v/>
      </c>
      <c r="L385" s="15">
        <f>IF($J385="","",LEFT($J385,kdo_ikincilUzunluk))</f>
        <v/>
      </c>
      <c r="M385" s="15">
        <f>"B"</f>
        <v/>
      </c>
      <c r="N385" s="15">
        <f>IF($J385="","",IF(COUNTIF(tblAnahtarB[NormB],$J385)&gt;1,"EVET","HAYIR"))</f>
        <v/>
      </c>
      <c r="O385" s="15">
        <f>IF($I385="","",ROW()-ROW($I$5))</f>
        <v/>
      </c>
    </row>
    <row r="386">
      <c r="A386" s="7">
        <f>IF(VERI_A!A386="","",VERI_A!A386)</f>
        <v/>
      </c>
      <c r="B386" s="15">
        <f>UPPER(TRIM(SUBSTITUTE($A386," ","")))</f>
        <v/>
      </c>
      <c r="C386" s="15">
        <f>IF($B386="",0,LEN($B386))</f>
        <v/>
      </c>
      <c r="D386" s="15">
        <f>IF($B386="","",LEFT($B386,kdo_ikincilUzunluk))</f>
        <v/>
      </c>
      <c r="E386" s="15">
        <f>"A"</f>
        <v/>
      </c>
      <c r="F386" s="15">
        <f>IF($B386="","",IF(COUNTIF(tblAnahtarA[Norm],$B386)&gt;1,"EVET","HAYIR"))</f>
        <v/>
      </c>
      <c r="G386" s="15">
        <f>IF($A386="","",ROW()-ROW($A$5))</f>
        <v/>
      </c>
      <c r="I386" s="7">
        <f>IF(VERI_B!A386="","",VERI_B!A386)</f>
        <v/>
      </c>
      <c r="J386" s="15">
        <f>UPPER(TRIM(SUBSTITUTE($I386," ","")))</f>
        <v/>
      </c>
      <c r="K386" s="15">
        <f>IF($J386="",0,LEN($J386))</f>
        <v/>
      </c>
      <c r="L386" s="15">
        <f>IF($J386="","",LEFT($J386,kdo_ikincilUzunluk))</f>
        <v/>
      </c>
      <c r="M386" s="15">
        <f>"B"</f>
        <v/>
      </c>
      <c r="N386" s="15">
        <f>IF($J386="","",IF(COUNTIF(tblAnahtarB[NormB],$J386)&gt;1,"EVET","HAYIR"))</f>
        <v/>
      </c>
      <c r="O386" s="15">
        <f>IF($I386="","",ROW()-ROW($I$5))</f>
        <v/>
      </c>
    </row>
    <row r="387">
      <c r="A387" s="7">
        <f>IF(VERI_A!A387="","",VERI_A!A387)</f>
        <v/>
      </c>
      <c r="B387" s="15">
        <f>UPPER(TRIM(SUBSTITUTE($A387," ","")))</f>
        <v/>
      </c>
      <c r="C387" s="15">
        <f>IF($B387="",0,LEN($B387))</f>
        <v/>
      </c>
      <c r="D387" s="15">
        <f>IF($B387="","",LEFT($B387,kdo_ikincilUzunluk))</f>
        <v/>
      </c>
      <c r="E387" s="15">
        <f>"A"</f>
        <v/>
      </c>
      <c r="F387" s="15">
        <f>IF($B387="","",IF(COUNTIF(tblAnahtarA[Norm],$B387)&gt;1,"EVET","HAYIR"))</f>
        <v/>
      </c>
      <c r="G387" s="15">
        <f>IF($A387="","",ROW()-ROW($A$5))</f>
        <v/>
      </c>
      <c r="I387" s="7">
        <f>IF(VERI_B!A387="","",VERI_B!A387)</f>
        <v/>
      </c>
      <c r="J387" s="15">
        <f>UPPER(TRIM(SUBSTITUTE($I387," ","")))</f>
        <v/>
      </c>
      <c r="K387" s="15">
        <f>IF($J387="",0,LEN($J387))</f>
        <v/>
      </c>
      <c r="L387" s="15">
        <f>IF($J387="","",LEFT($J387,kdo_ikincilUzunluk))</f>
        <v/>
      </c>
      <c r="M387" s="15">
        <f>"B"</f>
        <v/>
      </c>
      <c r="N387" s="15">
        <f>IF($J387="","",IF(COUNTIF(tblAnahtarB[NormB],$J387)&gt;1,"EVET","HAYIR"))</f>
        <v/>
      </c>
      <c r="O387" s="15">
        <f>IF($I387="","",ROW()-ROW($I$5))</f>
        <v/>
      </c>
    </row>
    <row r="388">
      <c r="A388" s="7">
        <f>IF(VERI_A!A388="","",VERI_A!A388)</f>
        <v/>
      </c>
      <c r="B388" s="15">
        <f>UPPER(TRIM(SUBSTITUTE($A388," ","")))</f>
        <v/>
      </c>
      <c r="C388" s="15">
        <f>IF($B388="",0,LEN($B388))</f>
        <v/>
      </c>
      <c r="D388" s="15">
        <f>IF($B388="","",LEFT($B388,kdo_ikincilUzunluk))</f>
        <v/>
      </c>
      <c r="E388" s="15">
        <f>"A"</f>
        <v/>
      </c>
      <c r="F388" s="15">
        <f>IF($B388="","",IF(COUNTIF(tblAnahtarA[Norm],$B388)&gt;1,"EVET","HAYIR"))</f>
        <v/>
      </c>
      <c r="G388" s="15">
        <f>IF($A388="","",ROW()-ROW($A$5))</f>
        <v/>
      </c>
      <c r="I388" s="7">
        <f>IF(VERI_B!A388="","",VERI_B!A388)</f>
        <v/>
      </c>
      <c r="J388" s="15">
        <f>UPPER(TRIM(SUBSTITUTE($I388," ","")))</f>
        <v/>
      </c>
      <c r="K388" s="15">
        <f>IF($J388="",0,LEN($J388))</f>
        <v/>
      </c>
      <c r="L388" s="15">
        <f>IF($J388="","",LEFT($J388,kdo_ikincilUzunluk))</f>
        <v/>
      </c>
      <c r="M388" s="15">
        <f>"B"</f>
        <v/>
      </c>
      <c r="N388" s="15">
        <f>IF($J388="","",IF(COUNTIF(tblAnahtarB[NormB],$J388)&gt;1,"EVET","HAYIR"))</f>
        <v/>
      </c>
      <c r="O388" s="15">
        <f>IF($I388="","",ROW()-ROW($I$5))</f>
        <v/>
      </c>
    </row>
    <row r="389">
      <c r="A389" s="7">
        <f>IF(VERI_A!A389="","",VERI_A!A389)</f>
        <v/>
      </c>
      <c r="B389" s="15">
        <f>UPPER(TRIM(SUBSTITUTE($A389," ","")))</f>
        <v/>
      </c>
      <c r="C389" s="15">
        <f>IF($B389="",0,LEN($B389))</f>
        <v/>
      </c>
      <c r="D389" s="15">
        <f>IF($B389="","",LEFT($B389,kdo_ikincilUzunluk))</f>
        <v/>
      </c>
      <c r="E389" s="15">
        <f>"A"</f>
        <v/>
      </c>
      <c r="F389" s="15">
        <f>IF($B389="","",IF(COUNTIF(tblAnahtarA[Norm],$B389)&gt;1,"EVET","HAYIR"))</f>
        <v/>
      </c>
      <c r="G389" s="15">
        <f>IF($A389="","",ROW()-ROW($A$5))</f>
        <v/>
      </c>
      <c r="I389" s="7">
        <f>IF(VERI_B!A389="","",VERI_B!A389)</f>
        <v/>
      </c>
      <c r="J389" s="15">
        <f>UPPER(TRIM(SUBSTITUTE($I389," ","")))</f>
        <v/>
      </c>
      <c r="K389" s="15">
        <f>IF($J389="",0,LEN($J389))</f>
        <v/>
      </c>
      <c r="L389" s="15">
        <f>IF($J389="","",LEFT($J389,kdo_ikincilUzunluk))</f>
        <v/>
      </c>
      <c r="M389" s="15">
        <f>"B"</f>
        <v/>
      </c>
      <c r="N389" s="15">
        <f>IF($J389="","",IF(COUNTIF(tblAnahtarB[NormB],$J389)&gt;1,"EVET","HAYIR"))</f>
        <v/>
      </c>
      <c r="O389" s="15">
        <f>IF($I389="","",ROW()-ROW($I$5))</f>
        <v/>
      </c>
    </row>
    <row r="390">
      <c r="A390" s="7">
        <f>IF(VERI_A!A390="","",VERI_A!A390)</f>
        <v/>
      </c>
      <c r="B390" s="15">
        <f>UPPER(TRIM(SUBSTITUTE($A390," ","")))</f>
        <v/>
      </c>
      <c r="C390" s="15">
        <f>IF($B390="",0,LEN($B390))</f>
        <v/>
      </c>
      <c r="D390" s="15">
        <f>IF($B390="","",LEFT($B390,kdo_ikincilUzunluk))</f>
        <v/>
      </c>
      <c r="E390" s="15">
        <f>"A"</f>
        <v/>
      </c>
      <c r="F390" s="15">
        <f>IF($B390="","",IF(COUNTIF(tblAnahtarA[Norm],$B390)&gt;1,"EVET","HAYIR"))</f>
        <v/>
      </c>
      <c r="G390" s="15">
        <f>IF($A390="","",ROW()-ROW($A$5))</f>
        <v/>
      </c>
      <c r="I390" s="7">
        <f>IF(VERI_B!A390="","",VERI_B!A390)</f>
        <v/>
      </c>
      <c r="J390" s="15">
        <f>UPPER(TRIM(SUBSTITUTE($I390," ","")))</f>
        <v/>
      </c>
      <c r="K390" s="15">
        <f>IF($J390="",0,LEN($J390))</f>
        <v/>
      </c>
      <c r="L390" s="15">
        <f>IF($J390="","",LEFT($J390,kdo_ikincilUzunluk))</f>
        <v/>
      </c>
      <c r="M390" s="15">
        <f>"B"</f>
        <v/>
      </c>
      <c r="N390" s="15">
        <f>IF($J390="","",IF(COUNTIF(tblAnahtarB[NormB],$J390)&gt;1,"EVET","HAYIR"))</f>
        <v/>
      </c>
      <c r="O390" s="15">
        <f>IF($I390="","",ROW()-ROW($I$5))</f>
        <v/>
      </c>
    </row>
    <row r="391">
      <c r="A391" s="7">
        <f>IF(VERI_A!A391="","",VERI_A!A391)</f>
        <v/>
      </c>
      <c r="B391" s="15">
        <f>UPPER(TRIM(SUBSTITUTE($A391," ","")))</f>
        <v/>
      </c>
      <c r="C391" s="15">
        <f>IF($B391="",0,LEN($B391))</f>
        <v/>
      </c>
      <c r="D391" s="15">
        <f>IF($B391="","",LEFT($B391,kdo_ikincilUzunluk))</f>
        <v/>
      </c>
      <c r="E391" s="15">
        <f>"A"</f>
        <v/>
      </c>
      <c r="F391" s="15">
        <f>IF($B391="","",IF(COUNTIF(tblAnahtarA[Norm],$B391)&gt;1,"EVET","HAYIR"))</f>
        <v/>
      </c>
      <c r="G391" s="15">
        <f>IF($A391="","",ROW()-ROW($A$5))</f>
        <v/>
      </c>
      <c r="I391" s="7">
        <f>IF(VERI_B!A391="","",VERI_B!A391)</f>
        <v/>
      </c>
      <c r="J391" s="15">
        <f>UPPER(TRIM(SUBSTITUTE($I391," ","")))</f>
        <v/>
      </c>
      <c r="K391" s="15">
        <f>IF($J391="",0,LEN($J391))</f>
        <v/>
      </c>
      <c r="L391" s="15">
        <f>IF($J391="","",LEFT($J391,kdo_ikincilUzunluk))</f>
        <v/>
      </c>
      <c r="M391" s="15">
        <f>"B"</f>
        <v/>
      </c>
      <c r="N391" s="15">
        <f>IF($J391="","",IF(COUNTIF(tblAnahtarB[NormB],$J391)&gt;1,"EVET","HAYIR"))</f>
        <v/>
      </c>
      <c r="O391" s="15">
        <f>IF($I391="","",ROW()-ROW($I$5))</f>
        <v/>
      </c>
    </row>
    <row r="392">
      <c r="A392" s="7">
        <f>IF(VERI_A!A392="","",VERI_A!A392)</f>
        <v/>
      </c>
      <c r="B392" s="15">
        <f>UPPER(TRIM(SUBSTITUTE($A392," ","")))</f>
        <v/>
      </c>
      <c r="C392" s="15">
        <f>IF($B392="",0,LEN($B392))</f>
        <v/>
      </c>
      <c r="D392" s="15">
        <f>IF($B392="","",LEFT($B392,kdo_ikincilUzunluk))</f>
        <v/>
      </c>
      <c r="E392" s="15">
        <f>"A"</f>
        <v/>
      </c>
      <c r="F392" s="15">
        <f>IF($B392="","",IF(COUNTIF(tblAnahtarA[Norm],$B392)&gt;1,"EVET","HAYIR"))</f>
        <v/>
      </c>
      <c r="G392" s="15">
        <f>IF($A392="","",ROW()-ROW($A$5))</f>
        <v/>
      </c>
      <c r="I392" s="7">
        <f>IF(VERI_B!A392="","",VERI_B!A392)</f>
        <v/>
      </c>
      <c r="J392" s="15">
        <f>UPPER(TRIM(SUBSTITUTE($I392," ","")))</f>
        <v/>
      </c>
      <c r="K392" s="15">
        <f>IF($J392="",0,LEN($J392))</f>
        <v/>
      </c>
      <c r="L392" s="15">
        <f>IF($J392="","",LEFT($J392,kdo_ikincilUzunluk))</f>
        <v/>
      </c>
      <c r="M392" s="15">
        <f>"B"</f>
        <v/>
      </c>
      <c r="N392" s="15">
        <f>IF($J392="","",IF(COUNTIF(tblAnahtarB[NormB],$J392)&gt;1,"EVET","HAYIR"))</f>
        <v/>
      </c>
      <c r="O392" s="15">
        <f>IF($I392="","",ROW()-ROW($I$5))</f>
        <v/>
      </c>
    </row>
    <row r="393">
      <c r="A393" s="7">
        <f>IF(VERI_A!A393="","",VERI_A!A393)</f>
        <v/>
      </c>
      <c r="B393" s="15">
        <f>UPPER(TRIM(SUBSTITUTE($A393," ","")))</f>
        <v/>
      </c>
      <c r="C393" s="15">
        <f>IF($B393="",0,LEN($B393))</f>
        <v/>
      </c>
      <c r="D393" s="15">
        <f>IF($B393="","",LEFT($B393,kdo_ikincilUzunluk))</f>
        <v/>
      </c>
      <c r="E393" s="15">
        <f>"A"</f>
        <v/>
      </c>
      <c r="F393" s="15">
        <f>IF($B393="","",IF(COUNTIF(tblAnahtarA[Norm],$B393)&gt;1,"EVET","HAYIR"))</f>
        <v/>
      </c>
      <c r="G393" s="15">
        <f>IF($A393="","",ROW()-ROW($A$5))</f>
        <v/>
      </c>
      <c r="I393" s="7">
        <f>IF(VERI_B!A393="","",VERI_B!A393)</f>
        <v/>
      </c>
      <c r="J393" s="15">
        <f>UPPER(TRIM(SUBSTITUTE($I393," ","")))</f>
        <v/>
      </c>
      <c r="K393" s="15">
        <f>IF($J393="",0,LEN($J393))</f>
        <v/>
      </c>
      <c r="L393" s="15">
        <f>IF($J393="","",LEFT($J393,kdo_ikincilUzunluk))</f>
        <v/>
      </c>
      <c r="M393" s="15">
        <f>"B"</f>
        <v/>
      </c>
      <c r="N393" s="15">
        <f>IF($J393="","",IF(COUNTIF(tblAnahtarB[NormB],$J393)&gt;1,"EVET","HAYIR"))</f>
        <v/>
      </c>
      <c r="O393" s="15">
        <f>IF($I393="","",ROW()-ROW($I$5))</f>
        <v/>
      </c>
    </row>
    <row r="394">
      <c r="A394" s="7">
        <f>IF(VERI_A!A394="","",VERI_A!A394)</f>
        <v/>
      </c>
      <c r="B394" s="15">
        <f>UPPER(TRIM(SUBSTITUTE($A394," ","")))</f>
        <v/>
      </c>
      <c r="C394" s="15">
        <f>IF($B394="",0,LEN($B394))</f>
        <v/>
      </c>
      <c r="D394" s="15">
        <f>IF($B394="","",LEFT($B394,kdo_ikincilUzunluk))</f>
        <v/>
      </c>
      <c r="E394" s="15">
        <f>"A"</f>
        <v/>
      </c>
      <c r="F394" s="15">
        <f>IF($B394="","",IF(COUNTIF(tblAnahtarA[Norm],$B394)&gt;1,"EVET","HAYIR"))</f>
        <v/>
      </c>
      <c r="G394" s="15">
        <f>IF($A394="","",ROW()-ROW($A$5))</f>
        <v/>
      </c>
      <c r="I394" s="7">
        <f>IF(VERI_B!A394="","",VERI_B!A394)</f>
        <v/>
      </c>
      <c r="J394" s="15">
        <f>UPPER(TRIM(SUBSTITUTE($I394," ","")))</f>
        <v/>
      </c>
      <c r="K394" s="15">
        <f>IF($J394="",0,LEN($J394))</f>
        <v/>
      </c>
      <c r="L394" s="15">
        <f>IF($J394="","",LEFT($J394,kdo_ikincilUzunluk))</f>
        <v/>
      </c>
      <c r="M394" s="15">
        <f>"B"</f>
        <v/>
      </c>
      <c r="N394" s="15">
        <f>IF($J394="","",IF(COUNTIF(tblAnahtarB[NormB],$J394)&gt;1,"EVET","HAYIR"))</f>
        <v/>
      </c>
      <c r="O394" s="15">
        <f>IF($I394="","",ROW()-ROW($I$5))</f>
        <v/>
      </c>
    </row>
    <row r="395">
      <c r="A395" s="7">
        <f>IF(VERI_A!A395="","",VERI_A!A395)</f>
        <v/>
      </c>
      <c r="B395" s="15">
        <f>UPPER(TRIM(SUBSTITUTE($A395," ","")))</f>
        <v/>
      </c>
      <c r="C395" s="15">
        <f>IF($B395="",0,LEN($B395))</f>
        <v/>
      </c>
      <c r="D395" s="15">
        <f>IF($B395="","",LEFT($B395,kdo_ikincilUzunluk))</f>
        <v/>
      </c>
      <c r="E395" s="15">
        <f>"A"</f>
        <v/>
      </c>
      <c r="F395" s="15">
        <f>IF($B395="","",IF(COUNTIF(tblAnahtarA[Norm],$B395)&gt;1,"EVET","HAYIR"))</f>
        <v/>
      </c>
      <c r="G395" s="15">
        <f>IF($A395="","",ROW()-ROW($A$5))</f>
        <v/>
      </c>
      <c r="I395" s="7">
        <f>IF(VERI_B!A395="","",VERI_B!A395)</f>
        <v/>
      </c>
      <c r="J395" s="15">
        <f>UPPER(TRIM(SUBSTITUTE($I395," ","")))</f>
        <v/>
      </c>
      <c r="K395" s="15">
        <f>IF($J395="",0,LEN($J395))</f>
        <v/>
      </c>
      <c r="L395" s="15">
        <f>IF($J395="","",LEFT($J395,kdo_ikincilUzunluk))</f>
        <v/>
      </c>
      <c r="M395" s="15">
        <f>"B"</f>
        <v/>
      </c>
      <c r="N395" s="15">
        <f>IF($J395="","",IF(COUNTIF(tblAnahtarB[NormB],$J395)&gt;1,"EVET","HAYIR"))</f>
        <v/>
      </c>
      <c r="O395" s="15">
        <f>IF($I395="","",ROW()-ROW($I$5))</f>
        <v/>
      </c>
    </row>
    <row r="396">
      <c r="A396" s="7">
        <f>IF(VERI_A!A396="","",VERI_A!A396)</f>
        <v/>
      </c>
      <c r="B396" s="15">
        <f>UPPER(TRIM(SUBSTITUTE($A396," ","")))</f>
        <v/>
      </c>
      <c r="C396" s="15">
        <f>IF($B396="",0,LEN($B396))</f>
        <v/>
      </c>
      <c r="D396" s="15">
        <f>IF($B396="","",LEFT($B396,kdo_ikincilUzunluk))</f>
        <v/>
      </c>
      <c r="E396" s="15">
        <f>"A"</f>
        <v/>
      </c>
      <c r="F396" s="15">
        <f>IF($B396="","",IF(COUNTIF(tblAnahtarA[Norm],$B396)&gt;1,"EVET","HAYIR"))</f>
        <v/>
      </c>
      <c r="G396" s="15">
        <f>IF($A396="","",ROW()-ROW($A$5))</f>
        <v/>
      </c>
      <c r="I396" s="7">
        <f>IF(VERI_B!A396="","",VERI_B!A396)</f>
        <v/>
      </c>
      <c r="J396" s="15">
        <f>UPPER(TRIM(SUBSTITUTE($I396," ","")))</f>
        <v/>
      </c>
      <c r="K396" s="15">
        <f>IF($J396="",0,LEN($J396))</f>
        <v/>
      </c>
      <c r="L396" s="15">
        <f>IF($J396="","",LEFT($J396,kdo_ikincilUzunluk))</f>
        <v/>
      </c>
      <c r="M396" s="15">
        <f>"B"</f>
        <v/>
      </c>
      <c r="N396" s="15">
        <f>IF($J396="","",IF(COUNTIF(tblAnahtarB[NormB],$J396)&gt;1,"EVET","HAYIR"))</f>
        <v/>
      </c>
      <c r="O396" s="15">
        <f>IF($I396="","",ROW()-ROW($I$5))</f>
        <v/>
      </c>
    </row>
    <row r="397">
      <c r="A397" s="7">
        <f>IF(VERI_A!A397="","",VERI_A!A397)</f>
        <v/>
      </c>
      <c r="B397" s="15">
        <f>UPPER(TRIM(SUBSTITUTE($A397," ","")))</f>
        <v/>
      </c>
      <c r="C397" s="15">
        <f>IF($B397="",0,LEN($B397))</f>
        <v/>
      </c>
      <c r="D397" s="15">
        <f>IF($B397="","",LEFT($B397,kdo_ikincilUzunluk))</f>
        <v/>
      </c>
      <c r="E397" s="15">
        <f>"A"</f>
        <v/>
      </c>
      <c r="F397" s="15">
        <f>IF($B397="","",IF(COUNTIF(tblAnahtarA[Norm],$B397)&gt;1,"EVET","HAYIR"))</f>
        <v/>
      </c>
      <c r="G397" s="15">
        <f>IF($A397="","",ROW()-ROW($A$5))</f>
        <v/>
      </c>
      <c r="I397" s="7">
        <f>IF(VERI_B!A397="","",VERI_B!A397)</f>
        <v/>
      </c>
      <c r="J397" s="15">
        <f>UPPER(TRIM(SUBSTITUTE($I397," ","")))</f>
        <v/>
      </c>
      <c r="K397" s="15">
        <f>IF($J397="",0,LEN($J397))</f>
        <v/>
      </c>
      <c r="L397" s="15">
        <f>IF($J397="","",LEFT($J397,kdo_ikincilUzunluk))</f>
        <v/>
      </c>
      <c r="M397" s="15">
        <f>"B"</f>
        <v/>
      </c>
      <c r="N397" s="15">
        <f>IF($J397="","",IF(COUNTIF(tblAnahtarB[NormB],$J397)&gt;1,"EVET","HAYIR"))</f>
        <v/>
      </c>
      <c r="O397" s="15">
        <f>IF($I397="","",ROW()-ROW($I$5))</f>
        <v/>
      </c>
    </row>
    <row r="398">
      <c r="A398" s="7">
        <f>IF(VERI_A!A398="","",VERI_A!A398)</f>
        <v/>
      </c>
      <c r="B398" s="15">
        <f>UPPER(TRIM(SUBSTITUTE($A398," ","")))</f>
        <v/>
      </c>
      <c r="C398" s="15">
        <f>IF($B398="",0,LEN($B398))</f>
        <v/>
      </c>
      <c r="D398" s="15">
        <f>IF($B398="","",LEFT($B398,kdo_ikincilUzunluk))</f>
        <v/>
      </c>
      <c r="E398" s="15">
        <f>"A"</f>
        <v/>
      </c>
      <c r="F398" s="15">
        <f>IF($B398="","",IF(COUNTIF(tblAnahtarA[Norm],$B398)&gt;1,"EVET","HAYIR"))</f>
        <v/>
      </c>
      <c r="G398" s="15">
        <f>IF($A398="","",ROW()-ROW($A$5))</f>
        <v/>
      </c>
      <c r="I398" s="7">
        <f>IF(VERI_B!A398="","",VERI_B!A398)</f>
        <v/>
      </c>
      <c r="J398" s="15">
        <f>UPPER(TRIM(SUBSTITUTE($I398," ","")))</f>
        <v/>
      </c>
      <c r="K398" s="15">
        <f>IF($J398="",0,LEN($J398))</f>
        <v/>
      </c>
      <c r="L398" s="15">
        <f>IF($J398="","",LEFT($J398,kdo_ikincilUzunluk))</f>
        <v/>
      </c>
      <c r="M398" s="15">
        <f>"B"</f>
        <v/>
      </c>
      <c r="N398" s="15">
        <f>IF($J398="","",IF(COUNTIF(tblAnahtarB[NormB],$J398)&gt;1,"EVET","HAYIR"))</f>
        <v/>
      </c>
      <c r="O398" s="15">
        <f>IF($I398="","",ROW()-ROW($I$5))</f>
        <v/>
      </c>
    </row>
    <row r="399">
      <c r="A399" s="7">
        <f>IF(VERI_A!A399="","",VERI_A!A399)</f>
        <v/>
      </c>
      <c r="B399" s="15">
        <f>UPPER(TRIM(SUBSTITUTE($A399," ","")))</f>
        <v/>
      </c>
      <c r="C399" s="15">
        <f>IF($B399="",0,LEN($B399))</f>
        <v/>
      </c>
      <c r="D399" s="15">
        <f>IF($B399="","",LEFT($B399,kdo_ikincilUzunluk))</f>
        <v/>
      </c>
      <c r="E399" s="15">
        <f>"A"</f>
        <v/>
      </c>
      <c r="F399" s="15">
        <f>IF($B399="","",IF(COUNTIF(tblAnahtarA[Norm],$B399)&gt;1,"EVET","HAYIR"))</f>
        <v/>
      </c>
      <c r="G399" s="15">
        <f>IF($A399="","",ROW()-ROW($A$5))</f>
        <v/>
      </c>
      <c r="I399" s="7">
        <f>IF(VERI_B!A399="","",VERI_B!A399)</f>
        <v/>
      </c>
      <c r="J399" s="15">
        <f>UPPER(TRIM(SUBSTITUTE($I399," ","")))</f>
        <v/>
      </c>
      <c r="K399" s="15">
        <f>IF($J399="",0,LEN($J399))</f>
        <v/>
      </c>
      <c r="L399" s="15">
        <f>IF($J399="","",LEFT($J399,kdo_ikincilUzunluk))</f>
        <v/>
      </c>
      <c r="M399" s="15">
        <f>"B"</f>
        <v/>
      </c>
      <c r="N399" s="15">
        <f>IF($J399="","",IF(COUNTIF(tblAnahtarB[NormB],$J399)&gt;1,"EVET","HAYIR"))</f>
        <v/>
      </c>
      <c r="O399" s="15">
        <f>IF($I399="","",ROW()-ROW($I$5))</f>
        <v/>
      </c>
    </row>
    <row r="400">
      <c r="A400" s="7">
        <f>IF(VERI_A!A400="","",VERI_A!A400)</f>
        <v/>
      </c>
      <c r="B400" s="15">
        <f>UPPER(TRIM(SUBSTITUTE($A400," ","")))</f>
        <v/>
      </c>
      <c r="C400" s="15">
        <f>IF($B400="",0,LEN($B400))</f>
        <v/>
      </c>
      <c r="D400" s="15">
        <f>IF($B400="","",LEFT($B400,kdo_ikincilUzunluk))</f>
        <v/>
      </c>
      <c r="E400" s="15">
        <f>"A"</f>
        <v/>
      </c>
      <c r="F400" s="15">
        <f>IF($B400="","",IF(COUNTIF(tblAnahtarA[Norm],$B400)&gt;1,"EVET","HAYIR"))</f>
        <v/>
      </c>
      <c r="G400" s="15">
        <f>IF($A400="","",ROW()-ROW($A$5))</f>
        <v/>
      </c>
      <c r="I400" s="7">
        <f>IF(VERI_B!A400="","",VERI_B!A400)</f>
        <v/>
      </c>
      <c r="J400" s="15">
        <f>UPPER(TRIM(SUBSTITUTE($I400," ","")))</f>
        <v/>
      </c>
      <c r="K400" s="15">
        <f>IF($J400="",0,LEN($J400))</f>
        <v/>
      </c>
      <c r="L400" s="15">
        <f>IF($J400="","",LEFT($J400,kdo_ikincilUzunluk))</f>
        <v/>
      </c>
      <c r="M400" s="15">
        <f>"B"</f>
        <v/>
      </c>
      <c r="N400" s="15">
        <f>IF($J400="","",IF(COUNTIF(tblAnahtarB[NormB],$J400)&gt;1,"EVET","HAYIR"))</f>
        <v/>
      </c>
      <c r="O400" s="15">
        <f>IF($I400="","",ROW()-ROW($I$5))</f>
        <v/>
      </c>
    </row>
    <row r="401">
      <c r="A401" s="7">
        <f>IF(VERI_A!A401="","",VERI_A!A401)</f>
        <v/>
      </c>
      <c r="B401" s="15">
        <f>UPPER(TRIM(SUBSTITUTE($A401," ","")))</f>
        <v/>
      </c>
      <c r="C401" s="15">
        <f>IF($B401="",0,LEN($B401))</f>
        <v/>
      </c>
      <c r="D401" s="15">
        <f>IF($B401="","",LEFT($B401,kdo_ikincilUzunluk))</f>
        <v/>
      </c>
      <c r="E401" s="15">
        <f>"A"</f>
        <v/>
      </c>
      <c r="F401" s="15">
        <f>IF($B401="","",IF(COUNTIF(tblAnahtarA[Norm],$B401)&gt;1,"EVET","HAYIR"))</f>
        <v/>
      </c>
      <c r="G401" s="15">
        <f>IF($A401="","",ROW()-ROW($A$5))</f>
        <v/>
      </c>
      <c r="I401" s="7">
        <f>IF(VERI_B!A401="","",VERI_B!A401)</f>
        <v/>
      </c>
      <c r="J401" s="15">
        <f>UPPER(TRIM(SUBSTITUTE($I401," ","")))</f>
        <v/>
      </c>
      <c r="K401" s="15">
        <f>IF($J401="",0,LEN($J401))</f>
        <v/>
      </c>
      <c r="L401" s="15">
        <f>IF($J401="","",LEFT($J401,kdo_ikincilUzunluk))</f>
        <v/>
      </c>
      <c r="M401" s="15">
        <f>"B"</f>
        <v/>
      </c>
      <c r="N401" s="15">
        <f>IF($J401="","",IF(COUNTIF(tblAnahtarB[NormB],$J401)&gt;1,"EVET","HAYIR"))</f>
        <v/>
      </c>
      <c r="O401" s="15">
        <f>IF($I401="","",ROW()-ROW($I$5))</f>
        <v/>
      </c>
    </row>
    <row r="402">
      <c r="A402" s="7">
        <f>IF(VERI_A!A402="","",VERI_A!A402)</f>
        <v/>
      </c>
      <c r="B402" s="15">
        <f>UPPER(TRIM(SUBSTITUTE($A402," ","")))</f>
        <v/>
      </c>
      <c r="C402" s="15">
        <f>IF($B402="",0,LEN($B402))</f>
        <v/>
      </c>
      <c r="D402" s="15">
        <f>IF($B402="","",LEFT($B402,kdo_ikincilUzunluk))</f>
        <v/>
      </c>
      <c r="E402" s="15">
        <f>"A"</f>
        <v/>
      </c>
      <c r="F402" s="15">
        <f>IF($B402="","",IF(COUNTIF(tblAnahtarA[Norm],$B402)&gt;1,"EVET","HAYIR"))</f>
        <v/>
      </c>
      <c r="G402" s="15">
        <f>IF($A402="","",ROW()-ROW($A$5))</f>
        <v/>
      </c>
      <c r="I402" s="7">
        <f>IF(VERI_B!A402="","",VERI_B!A402)</f>
        <v/>
      </c>
      <c r="J402" s="15">
        <f>UPPER(TRIM(SUBSTITUTE($I402," ","")))</f>
        <v/>
      </c>
      <c r="K402" s="15">
        <f>IF($J402="",0,LEN($J402))</f>
        <v/>
      </c>
      <c r="L402" s="15">
        <f>IF($J402="","",LEFT($J402,kdo_ikincilUzunluk))</f>
        <v/>
      </c>
      <c r="M402" s="15">
        <f>"B"</f>
        <v/>
      </c>
      <c r="N402" s="15">
        <f>IF($J402="","",IF(COUNTIF(tblAnahtarB[NormB],$J402)&gt;1,"EVET","HAYIR"))</f>
        <v/>
      </c>
      <c r="O402" s="15">
        <f>IF($I402="","",ROW()-ROW($I$5))</f>
        <v/>
      </c>
    </row>
    <row r="403">
      <c r="A403" s="7">
        <f>IF(VERI_A!A403="","",VERI_A!A403)</f>
        <v/>
      </c>
      <c r="B403" s="15">
        <f>UPPER(TRIM(SUBSTITUTE($A403," ","")))</f>
        <v/>
      </c>
      <c r="C403" s="15">
        <f>IF($B403="",0,LEN($B403))</f>
        <v/>
      </c>
      <c r="D403" s="15">
        <f>IF($B403="","",LEFT($B403,kdo_ikincilUzunluk))</f>
        <v/>
      </c>
      <c r="E403" s="15">
        <f>"A"</f>
        <v/>
      </c>
      <c r="F403" s="15">
        <f>IF($B403="","",IF(COUNTIF(tblAnahtarA[Norm],$B403)&gt;1,"EVET","HAYIR"))</f>
        <v/>
      </c>
      <c r="G403" s="15">
        <f>IF($A403="","",ROW()-ROW($A$5))</f>
        <v/>
      </c>
      <c r="I403" s="7">
        <f>IF(VERI_B!A403="","",VERI_B!A403)</f>
        <v/>
      </c>
      <c r="J403" s="15">
        <f>UPPER(TRIM(SUBSTITUTE($I403," ","")))</f>
        <v/>
      </c>
      <c r="K403" s="15">
        <f>IF($J403="",0,LEN($J403))</f>
        <v/>
      </c>
      <c r="L403" s="15">
        <f>IF($J403="","",LEFT($J403,kdo_ikincilUzunluk))</f>
        <v/>
      </c>
      <c r="M403" s="15">
        <f>"B"</f>
        <v/>
      </c>
      <c r="N403" s="15">
        <f>IF($J403="","",IF(COUNTIF(tblAnahtarB[NormB],$J403)&gt;1,"EVET","HAYIR"))</f>
        <v/>
      </c>
      <c r="O403" s="15">
        <f>IF($I403="","",ROW()-ROW($I$5))</f>
        <v/>
      </c>
    </row>
    <row r="404">
      <c r="A404" s="7">
        <f>IF(VERI_A!A404="","",VERI_A!A404)</f>
        <v/>
      </c>
      <c r="B404" s="15">
        <f>UPPER(TRIM(SUBSTITUTE($A404," ","")))</f>
        <v/>
      </c>
      <c r="C404" s="15">
        <f>IF($B404="",0,LEN($B404))</f>
        <v/>
      </c>
      <c r="D404" s="15">
        <f>IF($B404="","",LEFT($B404,kdo_ikincilUzunluk))</f>
        <v/>
      </c>
      <c r="E404" s="15">
        <f>"A"</f>
        <v/>
      </c>
      <c r="F404" s="15">
        <f>IF($B404="","",IF(COUNTIF(tblAnahtarA[Norm],$B404)&gt;1,"EVET","HAYIR"))</f>
        <v/>
      </c>
      <c r="G404" s="15">
        <f>IF($A404="","",ROW()-ROW($A$5))</f>
        <v/>
      </c>
      <c r="I404" s="7">
        <f>IF(VERI_B!A404="","",VERI_B!A404)</f>
        <v/>
      </c>
      <c r="J404" s="15">
        <f>UPPER(TRIM(SUBSTITUTE($I404," ","")))</f>
        <v/>
      </c>
      <c r="K404" s="15">
        <f>IF($J404="",0,LEN($J404))</f>
        <v/>
      </c>
      <c r="L404" s="15">
        <f>IF($J404="","",LEFT($J404,kdo_ikincilUzunluk))</f>
        <v/>
      </c>
      <c r="M404" s="15">
        <f>"B"</f>
        <v/>
      </c>
      <c r="N404" s="15">
        <f>IF($J404="","",IF(COUNTIF(tblAnahtarB[NormB],$J404)&gt;1,"EVET","HAYIR"))</f>
        <v/>
      </c>
      <c r="O404" s="15">
        <f>IF($I404="","",ROW()-ROW($I$5))</f>
        <v/>
      </c>
    </row>
    <row r="405">
      <c r="A405" s="7">
        <f>IF(VERI_A!A405="","",VERI_A!A405)</f>
        <v/>
      </c>
      <c r="B405" s="15">
        <f>UPPER(TRIM(SUBSTITUTE($A405," ","")))</f>
        <v/>
      </c>
      <c r="C405" s="15">
        <f>IF($B405="",0,LEN($B405))</f>
        <v/>
      </c>
      <c r="D405" s="15">
        <f>IF($B405="","",LEFT($B405,kdo_ikincilUzunluk))</f>
        <v/>
      </c>
      <c r="E405" s="15">
        <f>"A"</f>
        <v/>
      </c>
      <c r="F405" s="15">
        <f>IF($B405="","",IF(COUNTIF(tblAnahtarA[Norm],$B405)&gt;1,"EVET","HAYIR"))</f>
        <v/>
      </c>
      <c r="G405" s="15">
        <f>IF($A405="","",ROW()-ROW($A$5))</f>
        <v/>
      </c>
      <c r="I405" s="7">
        <f>IF(VERI_B!A405="","",VERI_B!A405)</f>
        <v/>
      </c>
      <c r="J405" s="15">
        <f>UPPER(TRIM(SUBSTITUTE($I405," ","")))</f>
        <v/>
      </c>
      <c r="K405" s="15">
        <f>IF($J405="",0,LEN($J405))</f>
        <v/>
      </c>
      <c r="L405" s="15">
        <f>IF($J405="","",LEFT($J405,kdo_ikincilUzunluk))</f>
        <v/>
      </c>
      <c r="M405" s="15">
        <f>"B"</f>
        <v/>
      </c>
      <c r="N405" s="15">
        <f>IF($J405="","",IF(COUNTIF(tblAnahtarB[NormB],$J405)&gt;1,"EVET","HAYIR"))</f>
        <v/>
      </c>
      <c r="O405" s="15">
        <f>IF($I405="","",ROW()-ROW($I$5))</f>
        <v/>
      </c>
    </row>
    <row r="406">
      <c r="A406" s="7">
        <f>IF(VERI_A!A406="","",VERI_A!A406)</f>
        <v/>
      </c>
      <c r="B406" s="15">
        <f>UPPER(TRIM(SUBSTITUTE($A406," ","")))</f>
        <v/>
      </c>
      <c r="C406" s="15">
        <f>IF($B406="",0,LEN($B406))</f>
        <v/>
      </c>
      <c r="D406" s="15">
        <f>IF($B406="","",LEFT($B406,kdo_ikincilUzunluk))</f>
        <v/>
      </c>
      <c r="E406" s="15">
        <f>"A"</f>
        <v/>
      </c>
      <c r="F406" s="15">
        <f>IF($B406="","",IF(COUNTIF(tblAnahtarA[Norm],$B406)&gt;1,"EVET","HAYIR"))</f>
        <v/>
      </c>
      <c r="G406" s="15">
        <f>IF($A406="","",ROW()-ROW($A$5))</f>
        <v/>
      </c>
      <c r="I406" s="7">
        <f>IF(VERI_B!A406="","",VERI_B!A406)</f>
        <v/>
      </c>
      <c r="J406" s="15">
        <f>UPPER(TRIM(SUBSTITUTE($I406," ","")))</f>
        <v/>
      </c>
      <c r="K406" s="15">
        <f>IF($J406="",0,LEN($J406))</f>
        <v/>
      </c>
      <c r="L406" s="15">
        <f>IF($J406="","",LEFT($J406,kdo_ikincilUzunluk))</f>
        <v/>
      </c>
      <c r="M406" s="15">
        <f>"B"</f>
        <v/>
      </c>
      <c r="N406" s="15">
        <f>IF($J406="","",IF(COUNTIF(tblAnahtarB[NormB],$J406)&gt;1,"EVET","HAYIR"))</f>
        <v/>
      </c>
      <c r="O406" s="15">
        <f>IF($I406="","",ROW()-ROW($I$5))</f>
        <v/>
      </c>
    </row>
    <row r="407">
      <c r="A407" s="7">
        <f>IF(VERI_A!A407="","",VERI_A!A407)</f>
        <v/>
      </c>
      <c r="B407" s="15">
        <f>UPPER(TRIM(SUBSTITUTE($A407," ","")))</f>
        <v/>
      </c>
      <c r="C407" s="15">
        <f>IF($B407="",0,LEN($B407))</f>
        <v/>
      </c>
      <c r="D407" s="15">
        <f>IF($B407="","",LEFT($B407,kdo_ikincilUzunluk))</f>
        <v/>
      </c>
      <c r="E407" s="15">
        <f>"A"</f>
        <v/>
      </c>
      <c r="F407" s="15">
        <f>IF($B407="","",IF(COUNTIF(tblAnahtarA[Norm],$B407)&gt;1,"EVET","HAYIR"))</f>
        <v/>
      </c>
      <c r="G407" s="15">
        <f>IF($A407="","",ROW()-ROW($A$5))</f>
        <v/>
      </c>
      <c r="I407" s="7">
        <f>IF(VERI_B!A407="","",VERI_B!A407)</f>
        <v/>
      </c>
      <c r="J407" s="15">
        <f>UPPER(TRIM(SUBSTITUTE($I407," ","")))</f>
        <v/>
      </c>
      <c r="K407" s="15">
        <f>IF($J407="",0,LEN($J407))</f>
        <v/>
      </c>
      <c r="L407" s="15">
        <f>IF($J407="","",LEFT($J407,kdo_ikincilUzunluk))</f>
        <v/>
      </c>
      <c r="M407" s="15">
        <f>"B"</f>
        <v/>
      </c>
      <c r="N407" s="15">
        <f>IF($J407="","",IF(COUNTIF(tblAnahtarB[NormB],$J407)&gt;1,"EVET","HAYIR"))</f>
        <v/>
      </c>
      <c r="O407" s="15">
        <f>IF($I407="","",ROW()-ROW($I$5))</f>
        <v/>
      </c>
    </row>
    <row r="408">
      <c r="A408" s="7">
        <f>IF(VERI_A!A408="","",VERI_A!A408)</f>
        <v/>
      </c>
      <c r="B408" s="15">
        <f>UPPER(TRIM(SUBSTITUTE($A408," ","")))</f>
        <v/>
      </c>
      <c r="C408" s="15">
        <f>IF($B408="",0,LEN($B408))</f>
        <v/>
      </c>
      <c r="D408" s="15">
        <f>IF($B408="","",LEFT($B408,kdo_ikincilUzunluk))</f>
        <v/>
      </c>
      <c r="E408" s="15">
        <f>"A"</f>
        <v/>
      </c>
      <c r="F408" s="15">
        <f>IF($B408="","",IF(COUNTIF(tblAnahtarA[Norm],$B408)&gt;1,"EVET","HAYIR"))</f>
        <v/>
      </c>
      <c r="G408" s="15">
        <f>IF($A408="","",ROW()-ROW($A$5))</f>
        <v/>
      </c>
      <c r="I408" s="7">
        <f>IF(VERI_B!A408="","",VERI_B!A408)</f>
        <v/>
      </c>
      <c r="J408" s="15">
        <f>UPPER(TRIM(SUBSTITUTE($I408," ","")))</f>
        <v/>
      </c>
      <c r="K408" s="15">
        <f>IF($J408="",0,LEN($J408))</f>
        <v/>
      </c>
      <c r="L408" s="15">
        <f>IF($J408="","",LEFT($J408,kdo_ikincilUzunluk))</f>
        <v/>
      </c>
      <c r="M408" s="15">
        <f>"B"</f>
        <v/>
      </c>
      <c r="N408" s="15">
        <f>IF($J408="","",IF(COUNTIF(tblAnahtarB[NormB],$J408)&gt;1,"EVET","HAYIR"))</f>
        <v/>
      </c>
      <c r="O408" s="15">
        <f>IF($I408="","",ROW()-ROW($I$5))</f>
        <v/>
      </c>
    </row>
    <row r="409">
      <c r="A409" s="7">
        <f>IF(VERI_A!A409="","",VERI_A!A409)</f>
        <v/>
      </c>
      <c r="B409" s="15">
        <f>UPPER(TRIM(SUBSTITUTE($A409," ","")))</f>
        <v/>
      </c>
      <c r="C409" s="15">
        <f>IF($B409="",0,LEN($B409))</f>
        <v/>
      </c>
      <c r="D409" s="15">
        <f>IF($B409="","",LEFT($B409,kdo_ikincilUzunluk))</f>
        <v/>
      </c>
      <c r="E409" s="15">
        <f>"A"</f>
        <v/>
      </c>
      <c r="F409" s="15">
        <f>IF($B409="","",IF(COUNTIF(tblAnahtarA[Norm],$B409)&gt;1,"EVET","HAYIR"))</f>
        <v/>
      </c>
      <c r="G409" s="15">
        <f>IF($A409="","",ROW()-ROW($A$5))</f>
        <v/>
      </c>
      <c r="I409" s="7">
        <f>IF(VERI_B!A409="","",VERI_B!A409)</f>
        <v/>
      </c>
      <c r="J409" s="15">
        <f>UPPER(TRIM(SUBSTITUTE($I409," ","")))</f>
        <v/>
      </c>
      <c r="K409" s="15">
        <f>IF($J409="",0,LEN($J409))</f>
        <v/>
      </c>
      <c r="L409" s="15">
        <f>IF($J409="","",LEFT($J409,kdo_ikincilUzunluk))</f>
        <v/>
      </c>
      <c r="M409" s="15">
        <f>"B"</f>
        <v/>
      </c>
      <c r="N409" s="15">
        <f>IF($J409="","",IF(COUNTIF(tblAnahtarB[NormB],$J409)&gt;1,"EVET","HAYIR"))</f>
        <v/>
      </c>
      <c r="O409" s="15">
        <f>IF($I409="","",ROW()-ROW($I$5))</f>
        <v/>
      </c>
    </row>
    <row r="410">
      <c r="A410" s="7">
        <f>IF(VERI_A!A410="","",VERI_A!A410)</f>
        <v/>
      </c>
      <c r="B410" s="15">
        <f>UPPER(TRIM(SUBSTITUTE($A410," ","")))</f>
        <v/>
      </c>
      <c r="C410" s="15">
        <f>IF($B410="",0,LEN($B410))</f>
        <v/>
      </c>
      <c r="D410" s="15">
        <f>IF($B410="","",LEFT($B410,kdo_ikincilUzunluk))</f>
        <v/>
      </c>
      <c r="E410" s="15">
        <f>"A"</f>
        <v/>
      </c>
      <c r="F410" s="15">
        <f>IF($B410="","",IF(COUNTIF(tblAnahtarA[Norm],$B410)&gt;1,"EVET","HAYIR"))</f>
        <v/>
      </c>
      <c r="G410" s="15">
        <f>IF($A410="","",ROW()-ROW($A$5))</f>
        <v/>
      </c>
      <c r="I410" s="7">
        <f>IF(VERI_B!A410="","",VERI_B!A410)</f>
        <v/>
      </c>
      <c r="J410" s="15">
        <f>UPPER(TRIM(SUBSTITUTE($I410," ","")))</f>
        <v/>
      </c>
      <c r="K410" s="15">
        <f>IF($J410="",0,LEN($J410))</f>
        <v/>
      </c>
      <c r="L410" s="15">
        <f>IF($J410="","",LEFT($J410,kdo_ikincilUzunluk))</f>
        <v/>
      </c>
      <c r="M410" s="15">
        <f>"B"</f>
        <v/>
      </c>
      <c r="N410" s="15">
        <f>IF($J410="","",IF(COUNTIF(tblAnahtarB[NormB],$J410)&gt;1,"EVET","HAYIR"))</f>
        <v/>
      </c>
      <c r="O410" s="15">
        <f>IF($I410="","",ROW()-ROW($I$5))</f>
        <v/>
      </c>
    </row>
    <row r="411">
      <c r="A411" s="7">
        <f>IF(VERI_A!A411="","",VERI_A!A411)</f>
        <v/>
      </c>
      <c r="B411" s="15">
        <f>UPPER(TRIM(SUBSTITUTE($A411," ","")))</f>
        <v/>
      </c>
      <c r="C411" s="15">
        <f>IF($B411="",0,LEN($B411))</f>
        <v/>
      </c>
      <c r="D411" s="15">
        <f>IF($B411="","",LEFT($B411,kdo_ikincilUzunluk))</f>
        <v/>
      </c>
      <c r="E411" s="15">
        <f>"A"</f>
        <v/>
      </c>
      <c r="F411" s="15">
        <f>IF($B411="","",IF(COUNTIF(tblAnahtarA[Norm],$B411)&gt;1,"EVET","HAYIR"))</f>
        <v/>
      </c>
      <c r="G411" s="15">
        <f>IF($A411="","",ROW()-ROW($A$5))</f>
        <v/>
      </c>
      <c r="I411" s="7">
        <f>IF(VERI_B!A411="","",VERI_B!A411)</f>
        <v/>
      </c>
      <c r="J411" s="15">
        <f>UPPER(TRIM(SUBSTITUTE($I411," ","")))</f>
        <v/>
      </c>
      <c r="K411" s="15">
        <f>IF($J411="",0,LEN($J411))</f>
        <v/>
      </c>
      <c r="L411" s="15">
        <f>IF($J411="","",LEFT($J411,kdo_ikincilUzunluk))</f>
        <v/>
      </c>
      <c r="M411" s="15">
        <f>"B"</f>
        <v/>
      </c>
      <c r="N411" s="15">
        <f>IF($J411="","",IF(COUNTIF(tblAnahtarB[NormB],$J411)&gt;1,"EVET","HAYIR"))</f>
        <v/>
      </c>
      <c r="O411" s="15">
        <f>IF($I411="","",ROW()-ROW($I$5))</f>
        <v/>
      </c>
    </row>
    <row r="412">
      <c r="A412" s="7">
        <f>IF(VERI_A!A412="","",VERI_A!A412)</f>
        <v/>
      </c>
      <c r="B412" s="15">
        <f>UPPER(TRIM(SUBSTITUTE($A412," ","")))</f>
        <v/>
      </c>
      <c r="C412" s="15">
        <f>IF($B412="",0,LEN($B412))</f>
        <v/>
      </c>
      <c r="D412" s="15">
        <f>IF($B412="","",LEFT($B412,kdo_ikincilUzunluk))</f>
        <v/>
      </c>
      <c r="E412" s="15">
        <f>"A"</f>
        <v/>
      </c>
      <c r="F412" s="15">
        <f>IF($B412="","",IF(COUNTIF(tblAnahtarA[Norm],$B412)&gt;1,"EVET","HAYIR"))</f>
        <v/>
      </c>
      <c r="G412" s="15">
        <f>IF($A412="","",ROW()-ROW($A$5))</f>
        <v/>
      </c>
      <c r="I412" s="7">
        <f>IF(VERI_B!A412="","",VERI_B!A412)</f>
        <v/>
      </c>
      <c r="J412" s="15">
        <f>UPPER(TRIM(SUBSTITUTE($I412," ","")))</f>
        <v/>
      </c>
      <c r="K412" s="15">
        <f>IF($J412="",0,LEN($J412))</f>
        <v/>
      </c>
      <c r="L412" s="15">
        <f>IF($J412="","",LEFT($J412,kdo_ikincilUzunluk))</f>
        <v/>
      </c>
      <c r="M412" s="15">
        <f>"B"</f>
        <v/>
      </c>
      <c r="N412" s="15">
        <f>IF($J412="","",IF(COUNTIF(tblAnahtarB[NormB],$J412)&gt;1,"EVET","HAYIR"))</f>
        <v/>
      </c>
      <c r="O412" s="15">
        <f>IF($I412="","",ROW()-ROW($I$5))</f>
        <v/>
      </c>
    </row>
    <row r="413">
      <c r="A413" s="7">
        <f>IF(VERI_A!A413="","",VERI_A!A413)</f>
        <v/>
      </c>
      <c r="B413" s="15">
        <f>UPPER(TRIM(SUBSTITUTE($A413," ","")))</f>
        <v/>
      </c>
      <c r="C413" s="15">
        <f>IF($B413="",0,LEN($B413))</f>
        <v/>
      </c>
      <c r="D413" s="15">
        <f>IF($B413="","",LEFT($B413,kdo_ikincilUzunluk))</f>
        <v/>
      </c>
      <c r="E413" s="15">
        <f>"A"</f>
        <v/>
      </c>
      <c r="F413" s="15">
        <f>IF($B413="","",IF(COUNTIF(tblAnahtarA[Norm],$B413)&gt;1,"EVET","HAYIR"))</f>
        <v/>
      </c>
      <c r="G413" s="15">
        <f>IF($A413="","",ROW()-ROW($A$5))</f>
        <v/>
      </c>
      <c r="I413" s="7">
        <f>IF(VERI_B!A413="","",VERI_B!A413)</f>
        <v/>
      </c>
      <c r="J413" s="15">
        <f>UPPER(TRIM(SUBSTITUTE($I413," ","")))</f>
        <v/>
      </c>
      <c r="K413" s="15">
        <f>IF($J413="",0,LEN($J413))</f>
        <v/>
      </c>
      <c r="L413" s="15">
        <f>IF($J413="","",LEFT($J413,kdo_ikincilUzunluk))</f>
        <v/>
      </c>
      <c r="M413" s="15">
        <f>"B"</f>
        <v/>
      </c>
      <c r="N413" s="15">
        <f>IF($J413="","",IF(COUNTIF(tblAnahtarB[NormB],$J413)&gt;1,"EVET","HAYIR"))</f>
        <v/>
      </c>
      <c r="O413" s="15">
        <f>IF($I413="","",ROW()-ROW($I$5))</f>
        <v/>
      </c>
    </row>
    <row r="414">
      <c r="A414" s="7">
        <f>IF(VERI_A!A414="","",VERI_A!A414)</f>
        <v/>
      </c>
      <c r="B414" s="15">
        <f>UPPER(TRIM(SUBSTITUTE($A414," ","")))</f>
        <v/>
      </c>
      <c r="C414" s="15">
        <f>IF($B414="",0,LEN($B414))</f>
        <v/>
      </c>
      <c r="D414" s="15">
        <f>IF($B414="","",LEFT($B414,kdo_ikincilUzunluk))</f>
        <v/>
      </c>
      <c r="E414" s="15">
        <f>"A"</f>
        <v/>
      </c>
      <c r="F414" s="15">
        <f>IF($B414="","",IF(COUNTIF(tblAnahtarA[Norm],$B414)&gt;1,"EVET","HAYIR"))</f>
        <v/>
      </c>
      <c r="G414" s="15">
        <f>IF($A414="","",ROW()-ROW($A$5))</f>
        <v/>
      </c>
      <c r="I414" s="7">
        <f>IF(VERI_B!A414="","",VERI_B!A414)</f>
        <v/>
      </c>
      <c r="J414" s="15">
        <f>UPPER(TRIM(SUBSTITUTE($I414," ","")))</f>
        <v/>
      </c>
      <c r="K414" s="15">
        <f>IF($J414="",0,LEN($J414))</f>
        <v/>
      </c>
      <c r="L414" s="15">
        <f>IF($J414="","",LEFT($J414,kdo_ikincilUzunluk))</f>
        <v/>
      </c>
      <c r="M414" s="15">
        <f>"B"</f>
        <v/>
      </c>
      <c r="N414" s="15">
        <f>IF($J414="","",IF(COUNTIF(tblAnahtarB[NormB],$J414)&gt;1,"EVET","HAYIR"))</f>
        <v/>
      </c>
      <c r="O414" s="15">
        <f>IF($I414="","",ROW()-ROW($I$5))</f>
        <v/>
      </c>
    </row>
    <row r="415">
      <c r="A415" s="7">
        <f>IF(VERI_A!A415="","",VERI_A!A415)</f>
        <v/>
      </c>
      <c r="B415" s="15">
        <f>UPPER(TRIM(SUBSTITUTE($A415," ","")))</f>
        <v/>
      </c>
      <c r="C415" s="15">
        <f>IF($B415="",0,LEN($B415))</f>
        <v/>
      </c>
      <c r="D415" s="15">
        <f>IF($B415="","",LEFT($B415,kdo_ikincilUzunluk))</f>
        <v/>
      </c>
      <c r="E415" s="15">
        <f>"A"</f>
        <v/>
      </c>
      <c r="F415" s="15">
        <f>IF($B415="","",IF(COUNTIF(tblAnahtarA[Norm],$B415)&gt;1,"EVET","HAYIR"))</f>
        <v/>
      </c>
      <c r="G415" s="15">
        <f>IF($A415="","",ROW()-ROW($A$5))</f>
        <v/>
      </c>
      <c r="I415" s="7">
        <f>IF(VERI_B!A415="","",VERI_B!A415)</f>
        <v/>
      </c>
      <c r="J415" s="15">
        <f>UPPER(TRIM(SUBSTITUTE($I415," ","")))</f>
        <v/>
      </c>
      <c r="K415" s="15">
        <f>IF($J415="",0,LEN($J415))</f>
        <v/>
      </c>
      <c r="L415" s="15">
        <f>IF($J415="","",LEFT($J415,kdo_ikincilUzunluk))</f>
        <v/>
      </c>
      <c r="M415" s="15">
        <f>"B"</f>
        <v/>
      </c>
      <c r="N415" s="15">
        <f>IF($J415="","",IF(COUNTIF(tblAnahtarB[NormB],$J415)&gt;1,"EVET","HAYIR"))</f>
        <v/>
      </c>
      <c r="O415" s="15">
        <f>IF($I415="","",ROW()-ROW($I$5))</f>
        <v/>
      </c>
    </row>
    <row r="416">
      <c r="A416" s="7">
        <f>IF(VERI_A!A416="","",VERI_A!A416)</f>
        <v/>
      </c>
      <c r="B416" s="15">
        <f>UPPER(TRIM(SUBSTITUTE($A416," ","")))</f>
        <v/>
      </c>
      <c r="C416" s="15">
        <f>IF($B416="",0,LEN($B416))</f>
        <v/>
      </c>
      <c r="D416" s="15">
        <f>IF($B416="","",LEFT($B416,kdo_ikincilUzunluk))</f>
        <v/>
      </c>
      <c r="E416" s="15">
        <f>"A"</f>
        <v/>
      </c>
      <c r="F416" s="15">
        <f>IF($B416="","",IF(COUNTIF(tblAnahtarA[Norm],$B416)&gt;1,"EVET","HAYIR"))</f>
        <v/>
      </c>
      <c r="G416" s="15">
        <f>IF($A416="","",ROW()-ROW($A$5))</f>
        <v/>
      </c>
      <c r="I416" s="7">
        <f>IF(VERI_B!A416="","",VERI_B!A416)</f>
        <v/>
      </c>
      <c r="J416" s="15">
        <f>UPPER(TRIM(SUBSTITUTE($I416," ","")))</f>
        <v/>
      </c>
      <c r="K416" s="15">
        <f>IF($J416="",0,LEN($J416))</f>
        <v/>
      </c>
      <c r="L416" s="15">
        <f>IF($J416="","",LEFT($J416,kdo_ikincilUzunluk))</f>
        <v/>
      </c>
      <c r="M416" s="15">
        <f>"B"</f>
        <v/>
      </c>
      <c r="N416" s="15">
        <f>IF($J416="","",IF(COUNTIF(tblAnahtarB[NormB],$J416)&gt;1,"EVET","HAYIR"))</f>
        <v/>
      </c>
      <c r="O416" s="15">
        <f>IF($I416="","",ROW()-ROW($I$5))</f>
        <v/>
      </c>
    </row>
    <row r="417">
      <c r="A417" s="7">
        <f>IF(VERI_A!A417="","",VERI_A!A417)</f>
        <v/>
      </c>
      <c r="B417" s="15">
        <f>UPPER(TRIM(SUBSTITUTE($A417," ","")))</f>
        <v/>
      </c>
      <c r="C417" s="15">
        <f>IF($B417="",0,LEN($B417))</f>
        <v/>
      </c>
      <c r="D417" s="15">
        <f>IF($B417="","",LEFT($B417,kdo_ikincilUzunluk))</f>
        <v/>
      </c>
      <c r="E417" s="15">
        <f>"A"</f>
        <v/>
      </c>
      <c r="F417" s="15">
        <f>IF($B417="","",IF(COUNTIF(tblAnahtarA[Norm],$B417)&gt;1,"EVET","HAYIR"))</f>
        <v/>
      </c>
      <c r="G417" s="15">
        <f>IF($A417="","",ROW()-ROW($A$5))</f>
        <v/>
      </c>
      <c r="I417" s="7">
        <f>IF(VERI_B!A417="","",VERI_B!A417)</f>
        <v/>
      </c>
      <c r="J417" s="15">
        <f>UPPER(TRIM(SUBSTITUTE($I417," ","")))</f>
        <v/>
      </c>
      <c r="K417" s="15">
        <f>IF($J417="",0,LEN($J417))</f>
        <v/>
      </c>
      <c r="L417" s="15">
        <f>IF($J417="","",LEFT($J417,kdo_ikincilUzunluk))</f>
        <v/>
      </c>
      <c r="M417" s="15">
        <f>"B"</f>
        <v/>
      </c>
      <c r="N417" s="15">
        <f>IF($J417="","",IF(COUNTIF(tblAnahtarB[NormB],$J417)&gt;1,"EVET","HAYIR"))</f>
        <v/>
      </c>
      <c r="O417" s="15">
        <f>IF($I417="","",ROW()-ROW($I$5))</f>
        <v/>
      </c>
    </row>
    <row r="418">
      <c r="A418" s="7">
        <f>IF(VERI_A!A418="","",VERI_A!A418)</f>
        <v/>
      </c>
      <c r="B418" s="15">
        <f>UPPER(TRIM(SUBSTITUTE($A418," ","")))</f>
        <v/>
      </c>
      <c r="C418" s="15">
        <f>IF($B418="",0,LEN($B418))</f>
        <v/>
      </c>
      <c r="D418" s="15">
        <f>IF($B418="","",LEFT($B418,kdo_ikincilUzunluk))</f>
        <v/>
      </c>
      <c r="E418" s="15">
        <f>"A"</f>
        <v/>
      </c>
      <c r="F418" s="15">
        <f>IF($B418="","",IF(COUNTIF(tblAnahtarA[Norm],$B418)&gt;1,"EVET","HAYIR"))</f>
        <v/>
      </c>
      <c r="G418" s="15">
        <f>IF($A418="","",ROW()-ROW($A$5))</f>
        <v/>
      </c>
      <c r="I418" s="7">
        <f>IF(VERI_B!A418="","",VERI_B!A418)</f>
        <v/>
      </c>
      <c r="J418" s="15">
        <f>UPPER(TRIM(SUBSTITUTE($I418," ","")))</f>
        <v/>
      </c>
      <c r="K418" s="15">
        <f>IF($J418="",0,LEN($J418))</f>
        <v/>
      </c>
      <c r="L418" s="15">
        <f>IF($J418="","",LEFT($J418,kdo_ikincilUzunluk))</f>
        <v/>
      </c>
      <c r="M418" s="15">
        <f>"B"</f>
        <v/>
      </c>
      <c r="N418" s="15">
        <f>IF($J418="","",IF(COUNTIF(tblAnahtarB[NormB],$J418)&gt;1,"EVET","HAYIR"))</f>
        <v/>
      </c>
      <c r="O418" s="15">
        <f>IF($I418="","",ROW()-ROW($I$5))</f>
        <v/>
      </c>
    </row>
    <row r="419">
      <c r="A419" s="7">
        <f>IF(VERI_A!A419="","",VERI_A!A419)</f>
        <v/>
      </c>
      <c r="B419" s="15">
        <f>UPPER(TRIM(SUBSTITUTE($A419," ","")))</f>
        <v/>
      </c>
      <c r="C419" s="15">
        <f>IF($B419="",0,LEN($B419))</f>
        <v/>
      </c>
      <c r="D419" s="15">
        <f>IF($B419="","",LEFT($B419,kdo_ikincilUzunluk))</f>
        <v/>
      </c>
      <c r="E419" s="15">
        <f>"A"</f>
        <v/>
      </c>
      <c r="F419" s="15">
        <f>IF($B419="","",IF(COUNTIF(tblAnahtarA[Norm],$B419)&gt;1,"EVET","HAYIR"))</f>
        <v/>
      </c>
      <c r="G419" s="15">
        <f>IF($A419="","",ROW()-ROW($A$5))</f>
        <v/>
      </c>
      <c r="I419" s="7">
        <f>IF(VERI_B!A419="","",VERI_B!A419)</f>
        <v/>
      </c>
      <c r="J419" s="15">
        <f>UPPER(TRIM(SUBSTITUTE($I419," ","")))</f>
        <v/>
      </c>
      <c r="K419" s="15">
        <f>IF($J419="",0,LEN($J419))</f>
        <v/>
      </c>
      <c r="L419" s="15">
        <f>IF($J419="","",LEFT($J419,kdo_ikincilUzunluk))</f>
        <v/>
      </c>
      <c r="M419" s="15">
        <f>"B"</f>
        <v/>
      </c>
      <c r="N419" s="15">
        <f>IF($J419="","",IF(COUNTIF(tblAnahtarB[NormB],$J419)&gt;1,"EVET","HAYIR"))</f>
        <v/>
      </c>
      <c r="O419" s="15">
        <f>IF($I419="","",ROW()-ROW($I$5))</f>
        <v/>
      </c>
    </row>
    <row r="420">
      <c r="A420" s="7">
        <f>IF(VERI_A!A420="","",VERI_A!A420)</f>
        <v/>
      </c>
      <c r="B420" s="15">
        <f>UPPER(TRIM(SUBSTITUTE($A420," ","")))</f>
        <v/>
      </c>
      <c r="C420" s="15">
        <f>IF($B420="",0,LEN($B420))</f>
        <v/>
      </c>
      <c r="D420" s="15">
        <f>IF($B420="","",LEFT($B420,kdo_ikincilUzunluk))</f>
        <v/>
      </c>
      <c r="E420" s="15">
        <f>"A"</f>
        <v/>
      </c>
      <c r="F420" s="15">
        <f>IF($B420="","",IF(COUNTIF(tblAnahtarA[Norm],$B420)&gt;1,"EVET","HAYIR"))</f>
        <v/>
      </c>
      <c r="G420" s="15">
        <f>IF($A420="","",ROW()-ROW($A$5))</f>
        <v/>
      </c>
      <c r="I420" s="7">
        <f>IF(VERI_B!A420="","",VERI_B!A420)</f>
        <v/>
      </c>
      <c r="J420" s="15">
        <f>UPPER(TRIM(SUBSTITUTE($I420," ","")))</f>
        <v/>
      </c>
      <c r="K420" s="15">
        <f>IF($J420="",0,LEN($J420))</f>
        <v/>
      </c>
      <c r="L420" s="15">
        <f>IF($J420="","",LEFT($J420,kdo_ikincilUzunluk))</f>
        <v/>
      </c>
      <c r="M420" s="15">
        <f>"B"</f>
        <v/>
      </c>
      <c r="N420" s="15">
        <f>IF($J420="","",IF(COUNTIF(tblAnahtarB[NormB],$J420)&gt;1,"EVET","HAYIR"))</f>
        <v/>
      </c>
      <c r="O420" s="15">
        <f>IF($I420="","",ROW()-ROW($I$5))</f>
        <v/>
      </c>
    </row>
    <row r="421">
      <c r="A421" s="7">
        <f>IF(VERI_A!A421="","",VERI_A!A421)</f>
        <v/>
      </c>
      <c r="B421" s="15">
        <f>UPPER(TRIM(SUBSTITUTE($A421," ","")))</f>
        <v/>
      </c>
      <c r="C421" s="15">
        <f>IF($B421="",0,LEN($B421))</f>
        <v/>
      </c>
      <c r="D421" s="15">
        <f>IF($B421="","",LEFT($B421,kdo_ikincilUzunluk))</f>
        <v/>
      </c>
      <c r="E421" s="15">
        <f>"A"</f>
        <v/>
      </c>
      <c r="F421" s="15">
        <f>IF($B421="","",IF(COUNTIF(tblAnahtarA[Norm],$B421)&gt;1,"EVET","HAYIR"))</f>
        <v/>
      </c>
      <c r="G421" s="15">
        <f>IF($A421="","",ROW()-ROW($A$5))</f>
        <v/>
      </c>
      <c r="I421" s="7">
        <f>IF(VERI_B!A421="","",VERI_B!A421)</f>
        <v/>
      </c>
      <c r="J421" s="15">
        <f>UPPER(TRIM(SUBSTITUTE($I421," ","")))</f>
        <v/>
      </c>
      <c r="K421" s="15">
        <f>IF($J421="",0,LEN($J421))</f>
        <v/>
      </c>
      <c r="L421" s="15">
        <f>IF($J421="","",LEFT($J421,kdo_ikincilUzunluk))</f>
        <v/>
      </c>
      <c r="M421" s="15">
        <f>"B"</f>
        <v/>
      </c>
      <c r="N421" s="15">
        <f>IF($J421="","",IF(COUNTIF(tblAnahtarB[NormB],$J421)&gt;1,"EVET","HAYIR"))</f>
        <v/>
      </c>
      <c r="O421" s="15">
        <f>IF($I421="","",ROW()-ROW($I$5))</f>
        <v/>
      </c>
    </row>
    <row r="422">
      <c r="A422" s="7">
        <f>IF(VERI_A!A422="","",VERI_A!A422)</f>
        <v/>
      </c>
      <c r="B422" s="15">
        <f>UPPER(TRIM(SUBSTITUTE($A422," ","")))</f>
        <v/>
      </c>
      <c r="C422" s="15">
        <f>IF($B422="",0,LEN($B422))</f>
        <v/>
      </c>
      <c r="D422" s="15">
        <f>IF($B422="","",LEFT($B422,kdo_ikincilUzunluk))</f>
        <v/>
      </c>
      <c r="E422" s="15">
        <f>"A"</f>
        <v/>
      </c>
      <c r="F422" s="15">
        <f>IF($B422="","",IF(COUNTIF(tblAnahtarA[Norm],$B422)&gt;1,"EVET","HAYIR"))</f>
        <v/>
      </c>
      <c r="G422" s="15">
        <f>IF($A422="","",ROW()-ROW($A$5))</f>
        <v/>
      </c>
      <c r="I422" s="7">
        <f>IF(VERI_B!A422="","",VERI_B!A422)</f>
        <v/>
      </c>
      <c r="J422" s="15">
        <f>UPPER(TRIM(SUBSTITUTE($I422," ","")))</f>
        <v/>
      </c>
      <c r="K422" s="15">
        <f>IF($J422="",0,LEN($J422))</f>
        <v/>
      </c>
      <c r="L422" s="15">
        <f>IF($J422="","",LEFT($J422,kdo_ikincilUzunluk))</f>
        <v/>
      </c>
      <c r="M422" s="15">
        <f>"B"</f>
        <v/>
      </c>
      <c r="N422" s="15">
        <f>IF($J422="","",IF(COUNTIF(tblAnahtarB[NormB],$J422)&gt;1,"EVET","HAYIR"))</f>
        <v/>
      </c>
      <c r="O422" s="15">
        <f>IF($I422="","",ROW()-ROW($I$5))</f>
        <v/>
      </c>
    </row>
    <row r="423">
      <c r="A423" s="7">
        <f>IF(VERI_A!A423="","",VERI_A!A423)</f>
        <v/>
      </c>
      <c r="B423" s="15">
        <f>UPPER(TRIM(SUBSTITUTE($A423," ","")))</f>
        <v/>
      </c>
      <c r="C423" s="15">
        <f>IF($B423="",0,LEN($B423))</f>
        <v/>
      </c>
      <c r="D423" s="15">
        <f>IF($B423="","",LEFT($B423,kdo_ikincilUzunluk))</f>
        <v/>
      </c>
      <c r="E423" s="15">
        <f>"A"</f>
        <v/>
      </c>
      <c r="F423" s="15">
        <f>IF($B423="","",IF(COUNTIF(tblAnahtarA[Norm],$B423)&gt;1,"EVET","HAYIR"))</f>
        <v/>
      </c>
      <c r="G423" s="15">
        <f>IF($A423="","",ROW()-ROW($A$5))</f>
        <v/>
      </c>
      <c r="I423" s="7">
        <f>IF(VERI_B!A423="","",VERI_B!A423)</f>
        <v/>
      </c>
      <c r="J423" s="15">
        <f>UPPER(TRIM(SUBSTITUTE($I423," ","")))</f>
        <v/>
      </c>
      <c r="K423" s="15">
        <f>IF($J423="",0,LEN($J423))</f>
        <v/>
      </c>
      <c r="L423" s="15">
        <f>IF($J423="","",LEFT($J423,kdo_ikincilUzunluk))</f>
        <v/>
      </c>
      <c r="M423" s="15">
        <f>"B"</f>
        <v/>
      </c>
      <c r="N423" s="15">
        <f>IF($J423="","",IF(COUNTIF(tblAnahtarB[NormB],$J423)&gt;1,"EVET","HAYIR"))</f>
        <v/>
      </c>
      <c r="O423" s="15">
        <f>IF($I423="","",ROW()-ROW($I$5))</f>
        <v/>
      </c>
    </row>
    <row r="424">
      <c r="A424" s="7">
        <f>IF(VERI_A!A424="","",VERI_A!A424)</f>
        <v/>
      </c>
      <c r="B424" s="15">
        <f>UPPER(TRIM(SUBSTITUTE($A424," ","")))</f>
        <v/>
      </c>
      <c r="C424" s="15">
        <f>IF($B424="",0,LEN($B424))</f>
        <v/>
      </c>
      <c r="D424" s="15">
        <f>IF($B424="","",LEFT($B424,kdo_ikincilUzunluk))</f>
        <v/>
      </c>
      <c r="E424" s="15">
        <f>"A"</f>
        <v/>
      </c>
      <c r="F424" s="15">
        <f>IF($B424="","",IF(COUNTIF(tblAnahtarA[Norm],$B424)&gt;1,"EVET","HAYIR"))</f>
        <v/>
      </c>
      <c r="G424" s="15">
        <f>IF($A424="","",ROW()-ROW($A$5))</f>
        <v/>
      </c>
      <c r="I424" s="7">
        <f>IF(VERI_B!A424="","",VERI_B!A424)</f>
        <v/>
      </c>
      <c r="J424" s="15">
        <f>UPPER(TRIM(SUBSTITUTE($I424," ","")))</f>
        <v/>
      </c>
      <c r="K424" s="15">
        <f>IF($J424="",0,LEN($J424))</f>
        <v/>
      </c>
      <c r="L424" s="15">
        <f>IF($J424="","",LEFT($J424,kdo_ikincilUzunluk))</f>
        <v/>
      </c>
      <c r="M424" s="15">
        <f>"B"</f>
        <v/>
      </c>
      <c r="N424" s="15">
        <f>IF($J424="","",IF(COUNTIF(tblAnahtarB[NormB],$J424)&gt;1,"EVET","HAYIR"))</f>
        <v/>
      </c>
      <c r="O424" s="15">
        <f>IF($I424="","",ROW()-ROW($I$5))</f>
        <v/>
      </c>
    </row>
    <row r="425">
      <c r="A425" s="7">
        <f>IF(VERI_A!A425="","",VERI_A!A425)</f>
        <v/>
      </c>
      <c r="B425" s="15">
        <f>UPPER(TRIM(SUBSTITUTE($A425," ","")))</f>
        <v/>
      </c>
      <c r="C425" s="15">
        <f>IF($B425="",0,LEN($B425))</f>
        <v/>
      </c>
      <c r="D425" s="15">
        <f>IF($B425="","",LEFT($B425,kdo_ikincilUzunluk))</f>
        <v/>
      </c>
      <c r="E425" s="15">
        <f>"A"</f>
        <v/>
      </c>
      <c r="F425" s="15">
        <f>IF($B425="","",IF(COUNTIF(tblAnahtarA[Norm],$B425)&gt;1,"EVET","HAYIR"))</f>
        <v/>
      </c>
      <c r="G425" s="15">
        <f>IF($A425="","",ROW()-ROW($A$5))</f>
        <v/>
      </c>
      <c r="I425" s="7">
        <f>IF(VERI_B!A425="","",VERI_B!A425)</f>
        <v/>
      </c>
      <c r="J425" s="15">
        <f>UPPER(TRIM(SUBSTITUTE($I425," ","")))</f>
        <v/>
      </c>
      <c r="K425" s="15">
        <f>IF($J425="",0,LEN($J425))</f>
        <v/>
      </c>
      <c r="L425" s="15">
        <f>IF($J425="","",LEFT($J425,kdo_ikincilUzunluk))</f>
        <v/>
      </c>
      <c r="M425" s="15">
        <f>"B"</f>
        <v/>
      </c>
      <c r="N425" s="15">
        <f>IF($J425="","",IF(COUNTIF(tblAnahtarB[NormB],$J425)&gt;1,"EVET","HAYIR"))</f>
        <v/>
      </c>
      <c r="O425" s="15">
        <f>IF($I425="","",ROW()-ROW($I$5))</f>
        <v/>
      </c>
    </row>
    <row r="426">
      <c r="A426" s="7">
        <f>IF(VERI_A!A426="","",VERI_A!A426)</f>
        <v/>
      </c>
      <c r="B426" s="15">
        <f>UPPER(TRIM(SUBSTITUTE($A426," ","")))</f>
        <v/>
      </c>
      <c r="C426" s="15">
        <f>IF($B426="",0,LEN($B426))</f>
        <v/>
      </c>
      <c r="D426" s="15">
        <f>IF($B426="","",LEFT($B426,kdo_ikincilUzunluk))</f>
        <v/>
      </c>
      <c r="E426" s="15">
        <f>"A"</f>
        <v/>
      </c>
      <c r="F426" s="15">
        <f>IF($B426="","",IF(COUNTIF(tblAnahtarA[Norm],$B426)&gt;1,"EVET","HAYIR"))</f>
        <v/>
      </c>
      <c r="G426" s="15">
        <f>IF($A426="","",ROW()-ROW($A$5))</f>
        <v/>
      </c>
      <c r="I426" s="7">
        <f>IF(VERI_B!A426="","",VERI_B!A426)</f>
        <v/>
      </c>
      <c r="J426" s="15">
        <f>UPPER(TRIM(SUBSTITUTE($I426," ","")))</f>
        <v/>
      </c>
      <c r="K426" s="15">
        <f>IF($J426="",0,LEN($J426))</f>
        <v/>
      </c>
      <c r="L426" s="15">
        <f>IF($J426="","",LEFT($J426,kdo_ikincilUzunluk))</f>
        <v/>
      </c>
      <c r="M426" s="15">
        <f>"B"</f>
        <v/>
      </c>
      <c r="N426" s="15">
        <f>IF($J426="","",IF(COUNTIF(tblAnahtarB[NormB],$J426)&gt;1,"EVET","HAYIR"))</f>
        <v/>
      </c>
      <c r="O426" s="15">
        <f>IF($I426="","",ROW()-ROW($I$5))</f>
        <v/>
      </c>
    </row>
    <row r="427">
      <c r="A427" s="7">
        <f>IF(VERI_A!A427="","",VERI_A!A427)</f>
        <v/>
      </c>
      <c r="B427" s="15">
        <f>UPPER(TRIM(SUBSTITUTE($A427," ","")))</f>
        <v/>
      </c>
      <c r="C427" s="15">
        <f>IF($B427="",0,LEN($B427))</f>
        <v/>
      </c>
      <c r="D427" s="15">
        <f>IF($B427="","",LEFT($B427,kdo_ikincilUzunluk))</f>
        <v/>
      </c>
      <c r="E427" s="15">
        <f>"A"</f>
        <v/>
      </c>
      <c r="F427" s="15">
        <f>IF($B427="","",IF(COUNTIF(tblAnahtarA[Norm],$B427)&gt;1,"EVET","HAYIR"))</f>
        <v/>
      </c>
      <c r="G427" s="15">
        <f>IF($A427="","",ROW()-ROW($A$5))</f>
        <v/>
      </c>
      <c r="I427" s="7">
        <f>IF(VERI_B!A427="","",VERI_B!A427)</f>
        <v/>
      </c>
      <c r="J427" s="15">
        <f>UPPER(TRIM(SUBSTITUTE($I427," ","")))</f>
        <v/>
      </c>
      <c r="K427" s="15">
        <f>IF($J427="",0,LEN($J427))</f>
        <v/>
      </c>
      <c r="L427" s="15">
        <f>IF($J427="","",LEFT($J427,kdo_ikincilUzunluk))</f>
        <v/>
      </c>
      <c r="M427" s="15">
        <f>"B"</f>
        <v/>
      </c>
      <c r="N427" s="15">
        <f>IF($J427="","",IF(COUNTIF(tblAnahtarB[NormB],$J427)&gt;1,"EVET","HAYIR"))</f>
        <v/>
      </c>
      <c r="O427" s="15">
        <f>IF($I427="","",ROW()-ROW($I$5))</f>
        <v/>
      </c>
    </row>
    <row r="428">
      <c r="A428" s="7">
        <f>IF(VERI_A!A428="","",VERI_A!A428)</f>
        <v/>
      </c>
      <c r="B428" s="15">
        <f>UPPER(TRIM(SUBSTITUTE($A428," ","")))</f>
        <v/>
      </c>
      <c r="C428" s="15">
        <f>IF($B428="",0,LEN($B428))</f>
        <v/>
      </c>
      <c r="D428" s="15">
        <f>IF($B428="","",LEFT($B428,kdo_ikincilUzunluk))</f>
        <v/>
      </c>
      <c r="E428" s="15">
        <f>"A"</f>
        <v/>
      </c>
      <c r="F428" s="15">
        <f>IF($B428="","",IF(COUNTIF(tblAnahtarA[Norm],$B428)&gt;1,"EVET","HAYIR"))</f>
        <v/>
      </c>
      <c r="G428" s="15">
        <f>IF($A428="","",ROW()-ROW($A$5))</f>
        <v/>
      </c>
      <c r="I428" s="7">
        <f>IF(VERI_B!A428="","",VERI_B!A428)</f>
        <v/>
      </c>
      <c r="J428" s="15">
        <f>UPPER(TRIM(SUBSTITUTE($I428," ","")))</f>
        <v/>
      </c>
      <c r="K428" s="15">
        <f>IF($J428="",0,LEN($J428))</f>
        <v/>
      </c>
      <c r="L428" s="15">
        <f>IF($J428="","",LEFT($J428,kdo_ikincilUzunluk))</f>
        <v/>
      </c>
      <c r="M428" s="15">
        <f>"B"</f>
        <v/>
      </c>
      <c r="N428" s="15">
        <f>IF($J428="","",IF(COUNTIF(tblAnahtarB[NormB],$J428)&gt;1,"EVET","HAYIR"))</f>
        <v/>
      </c>
      <c r="O428" s="15">
        <f>IF($I428="","",ROW()-ROW($I$5))</f>
        <v/>
      </c>
    </row>
    <row r="429">
      <c r="A429" s="7">
        <f>IF(VERI_A!A429="","",VERI_A!A429)</f>
        <v/>
      </c>
      <c r="B429" s="15">
        <f>UPPER(TRIM(SUBSTITUTE($A429," ","")))</f>
        <v/>
      </c>
      <c r="C429" s="15">
        <f>IF($B429="",0,LEN($B429))</f>
        <v/>
      </c>
      <c r="D429" s="15">
        <f>IF($B429="","",LEFT($B429,kdo_ikincilUzunluk))</f>
        <v/>
      </c>
      <c r="E429" s="15">
        <f>"A"</f>
        <v/>
      </c>
      <c r="F429" s="15">
        <f>IF($B429="","",IF(COUNTIF(tblAnahtarA[Norm],$B429)&gt;1,"EVET","HAYIR"))</f>
        <v/>
      </c>
      <c r="G429" s="15">
        <f>IF($A429="","",ROW()-ROW($A$5))</f>
        <v/>
      </c>
      <c r="I429" s="7">
        <f>IF(VERI_B!A429="","",VERI_B!A429)</f>
        <v/>
      </c>
      <c r="J429" s="15">
        <f>UPPER(TRIM(SUBSTITUTE($I429," ","")))</f>
        <v/>
      </c>
      <c r="K429" s="15">
        <f>IF($J429="",0,LEN($J429))</f>
        <v/>
      </c>
      <c r="L429" s="15">
        <f>IF($J429="","",LEFT($J429,kdo_ikincilUzunluk))</f>
        <v/>
      </c>
      <c r="M429" s="15">
        <f>"B"</f>
        <v/>
      </c>
      <c r="N429" s="15">
        <f>IF($J429="","",IF(COUNTIF(tblAnahtarB[NormB],$J429)&gt;1,"EVET","HAYIR"))</f>
        <v/>
      </c>
      <c r="O429" s="15">
        <f>IF($I429="","",ROW()-ROW($I$5))</f>
        <v/>
      </c>
    </row>
    <row r="430">
      <c r="A430" s="7">
        <f>IF(VERI_A!A430="","",VERI_A!A430)</f>
        <v/>
      </c>
      <c r="B430" s="15">
        <f>UPPER(TRIM(SUBSTITUTE($A430," ","")))</f>
        <v/>
      </c>
      <c r="C430" s="15">
        <f>IF($B430="",0,LEN($B430))</f>
        <v/>
      </c>
      <c r="D430" s="15">
        <f>IF($B430="","",LEFT($B430,kdo_ikincilUzunluk))</f>
        <v/>
      </c>
      <c r="E430" s="15">
        <f>"A"</f>
        <v/>
      </c>
      <c r="F430" s="15">
        <f>IF($B430="","",IF(COUNTIF(tblAnahtarA[Norm],$B430)&gt;1,"EVET","HAYIR"))</f>
        <v/>
      </c>
      <c r="G430" s="15">
        <f>IF($A430="","",ROW()-ROW($A$5))</f>
        <v/>
      </c>
      <c r="I430" s="7">
        <f>IF(VERI_B!A430="","",VERI_B!A430)</f>
        <v/>
      </c>
      <c r="J430" s="15">
        <f>UPPER(TRIM(SUBSTITUTE($I430," ","")))</f>
        <v/>
      </c>
      <c r="K430" s="15">
        <f>IF($J430="",0,LEN($J430))</f>
        <v/>
      </c>
      <c r="L430" s="15">
        <f>IF($J430="","",LEFT($J430,kdo_ikincilUzunluk))</f>
        <v/>
      </c>
      <c r="M430" s="15">
        <f>"B"</f>
        <v/>
      </c>
      <c r="N430" s="15">
        <f>IF($J430="","",IF(COUNTIF(tblAnahtarB[NormB],$J430)&gt;1,"EVET","HAYIR"))</f>
        <v/>
      </c>
      <c r="O430" s="15">
        <f>IF($I430="","",ROW()-ROW($I$5))</f>
        <v/>
      </c>
    </row>
    <row r="431">
      <c r="A431" s="7">
        <f>IF(VERI_A!A431="","",VERI_A!A431)</f>
        <v/>
      </c>
      <c r="B431" s="15">
        <f>UPPER(TRIM(SUBSTITUTE($A431," ","")))</f>
        <v/>
      </c>
      <c r="C431" s="15">
        <f>IF($B431="",0,LEN($B431))</f>
        <v/>
      </c>
      <c r="D431" s="15">
        <f>IF($B431="","",LEFT($B431,kdo_ikincilUzunluk))</f>
        <v/>
      </c>
      <c r="E431" s="15">
        <f>"A"</f>
        <v/>
      </c>
      <c r="F431" s="15">
        <f>IF($B431="","",IF(COUNTIF(tblAnahtarA[Norm],$B431)&gt;1,"EVET","HAYIR"))</f>
        <v/>
      </c>
      <c r="G431" s="15">
        <f>IF($A431="","",ROW()-ROW($A$5))</f>
        <v/>
      </c>
      <c r="I431" s="7">
        <f>IF(VERI_B!A431="","",VERI_B!A431)</f>
        <v/>
      </c>
      <c r="J431" s="15">
        <f>UPPER(TRIM(SUBSTITUTE($I431," ","")))</f>
        <v/>
      </c>
      <c r="K431" s="15">
        <f>IF($J431="",0,LEN($J431))</f>
        <v/>
      </c>
      <c r="L431" s="15">
        <f>IF($J431="","",LEFT($J431,kdo_ikincilUzunluk))</f>
        <v/>
      </c>
      <c r="M431" s="15">
        <f>"B"</f>
        <v/>
      </c>
      <c r="N431" s="15">
        <f>IF($J431="","",IF(COUNTIF(tblAnahtarB[NormB],$J431)&gt;1,"EVET","HAYIR"))</f>
        <v/>
      </c>
      <c r="O431" s="15">
        <f>IF($I431="","",ROW()-ROW($I$5))</f>
        <v/>
      </c>
    </row>
    <row r="432">
      <c r="A432" s="7">
        <f>IF(VERI_A!A432="","",VERI_A!A432)</f>
        <v/>
      </c>
      <c r="B432" s="15">
        <f>UPPER(TRIM(SUBSTITUTE($A432," ","")))</f>
        <v/>
      </c>
      <c r="C432" s="15">
        <f>IF($B432="",0,LEN($B432))</f>
        <v/>
      </c>
      <c r="D432" s="15">
        <f>IF($B432="","",LEFT($B432,kdo_ikincilUzunluk))</f>
        <v/>
      </c>
      <c r="E432" s="15">
        <f>"A"</f>
        <v/>
      </c>
      <c r="F432" s="15">
        <f>IF($B432="","",IF(COUNTIF(tblAnahtarA[Norm],$B432)&gt;1,"EVET","HAYIR"))</f>
        <v/>
      </c>
      <c r="G432" s="15">
        <f>IF($A432="","",ROW()-ROW($A$5))</f>
        <v/>
      </c>
      <c r="I432" s="7">
        <f>IF(VERI_B!A432="","",VERI_B!A432)</f>
        <v/>
      </c>
      <c r="J432" s="15">
        <f>UPPER(TRIM(SUBSTITUTE($I432," ","")))</f>
        <v/>
      </c>
      <c r="K432" s="15">
        <f>IF($J432="",0,LEN($J432))</f>
        <v/>
      </c>
      <c r="L432" s="15">
        <f>IF($J432="","",LEFT($J432,kdo_ikincilUzunluk))</f>
        <v/>
      </c>
      <c r="M432" s="15">
        <f>"B"</f>
        <v/>
      </c>
      <c r="N432" s="15">
        <f>IF($J432="","",IF(COUNTIF(tblAnahtarB[NormB],$J432)&gt;1,"EVET","HAYIR"))</f>
        <v/>
      </c>
      <c r="O432" s="15">
        <f>IF($I432="","",ROW()-ROW($I$5))</f>
        <v/>
      </c>
    </row>
    <row r="433">
      <c r="A433" s="7">
        <f>IF(VERI_A!A433="","",VERI_A!A433)</f>
        <v/>
      </c>
      <c r="B433" s="15">
        <f>UPPER(TRIM(SUBSTITUTE($A433," ","")))</f>
        <v/>
      </c>
      <c r="C433" s="15">
        <f>IF($B433="",0,LEN($B433))</f>
        <v/>
      </c>
      <c r="D433" s="15">
        <f>IF($B433="","",LEFT($B433,kdo_ikincilUzunluk))</f>
        <v/>
      </c>
      <c r="E433" s="15">
        <f>"A"</f>
        <v/>
      </c>
      <c r="F433" s="15">
        <f>IF($B433="","",IF(COUNTIF(tblAnahtarA[Norm],$B433)&gt;1,"EVET","HAYIR"))</f>
        <v/>
      </c>
      <c r="G433" s="15">
        <f>IF($A433="","",ROW()-ROW($A$5))</f>
        <v/>
      </c>
      <c r="I433" s="7">
        <f>IF(VERI_B!A433="","",VERI_B!A433)</f>
        <v/>
      </c>
      <c r="J433" s="15">
        <f>UPPER(TRIM(SUBSTITUTE($I433," ","")))</f>
        <v/>
      </c>
      <c r="K433" s="15">
        <f>IF($J433="",0,LEN($J433))</f>
        <v/>
      </c>
      <c r="L433" s="15">
        <f>IF($J433="","",LEFT($J433,kdo_ikincilUzunluk))</f>
        <v/>
      </c>
      <c r="M433" s="15">
        <f>"B"</f>
        <v/>
      </c>
      <c r="N433" s="15">
        <f>IF($J433="","",IF(COUNTIF(tblAnahtarB[NormB],$J433)&gt;1,"EVET","HAYIR"))</f>
        <v/>
      </c>
      <c r="O433" s="15">
        <f>IF($I433="","",ROW()-ROW($I$5))</f>
        <v/>
      </c>
    </row>
    <row r="434">
      <c r="A434" s="7">
        <f>IF(VERI_A!A434="","",VERI_A!A434)</f>
        <v/>
      </c>
      <c r="B434" s="15">
        <f>UPPER(TRIM(SUBSTITUTE($A434," ","")))</f>
        <v/>
      </c>
      <c r="C434" s="15">
        <f>IF($B434="",0,LEN($B434))</f>
        <v/>
      </c>
      <c r="D434" s="15">
        <f>IF($B434="","",LEFT($B434,kdo_ikincilUzunluk))</f>
        <v/>
      </c>
      <c r="E434" s="15">
        <f>"A"</f>
        <v/>
      </c>
      <c r="F434" s="15">
        <f>IF($B434="","",IF(COUNTIF(tblAnahtarA[Norm],$B434)&gt;1,"EVET","HAYIR"))</f>
        <v/>
      </c>
      <c r="G434" s="15">
        <f>IF($A434="","",ROW()-ROW($A$5))</f>
        <v/>
      </c>
      <c r="I434" s="7">
        <f>IF(VERI_B!A434="","",VERI_B!A434)</f>
        <v/>
      </c>
      <c r="J434" s="15">
        <f>UPPER(TRIM(SUBSTITUTE($I434," ","")))</f>
        <v/>
      </c>
      <c r="K434" s="15">
        <f>IF($J434="",0,LEN($J434))</f>
        <v/>
      </c>
      <c r="L434" s="15">
        <f>IF($J434="","",LEFT($J434,kdo_ikincilUzunluk))</f>
        <v/>
      </c>
      <c r="M434" s="15">
        <f>"B"</f>
        <v/>
      </c>
      <c r="N434" s="15">
        <f>IF($J434="","",IF(COUNTIF(tblAnahtarB[NormB],$J434)&gt;1,"EVET","HAYIR"))</f>
        <v/>
      </c>
      <c r="O434" s="15">
        <f>IF($I434="","",ROW()-ROW($I$5))</f>
        <v/>
      </c>
    </row>
    <row r="435">
      <c r="A435" s="7">
        <f>IF(VERI_A!A435="","",VERI_A!A435)</f>
        <v/>
      </c>
      <c r="B435" s="15">
        <f>UPPER(TRIM(SUBSTITUTE($A435," ","")))</f>
        <v/>
      </c>
      <c r="C435" s="15">
        <f>IF($B435="",0,LEN($B435))</f>
        <v/>
      </c>
      <c r="D435" s="15">
        <f>IF($B435="","",LEFT($B435,kdo_ikincilUzunluk))</f>
        <v/>
      </c>
      <c r="E435" s="15">
        <f>"A"</f>
        <v/>
      </c>
      <c r="F435" s="15">
        <f>IF($B435="","",IF(COUNTIF(tblAnahtarA[Norm],$B435)&gt;1,"EVET","HAYIR"))</f>
        <v/>
      </c>
      <c r="G435" s="15">
        <f>IF($A435="","",ROW()-ROW($A$5))</f>
        <v/>
      </c>
      <c r="I435" s="7">
        <f>IF(VERI_B!A435="","",VERI_B!A435)</f>
        <v/>
      </c>
      <c r="J435" s="15">
        <f>UPPER(TRIM(SUBSTITUTE($I435," ","")))</f>
        <v/>
      </c>
      <c r="K435" s="15">
        <f>IF($J435="",0,LEN($J435))</f>
        <v/>
      </c>
      <c r="L435" s="15">
        <f>IF($J435="","",LEFT($J435,kdo_ikincilUzunluk))</f>
        <v/>
      </c>
      <c r="M435" s="15">
        <f>"B"</f>
        <v/>
      </c>
      <c r="N435" s="15">
        <f>IF($J435="","",IF(COUNTIF(tblAnahtarB[NormB],$J435)&gt;1,"EVET","HAYIR"))</f>
        <v/>
      </c>
      <c r="O435" s="15">
        <f>IF($I435="","",ROW()-ROW($I$5))</f>
        <v/>
      </c>
    </row>
    <row r="436">
      <c r="A436" s="7">
        <f>IF(VERI_A!A436="","",VERI_A!A436)</f>
        <v/>
      </c>
      <c r="B436" s="15">
        <f>UPPER(TRIM(SUBSTITUTE($A436," ","")))</f>
        <v/>
      </c>
      <c r="C436" s="15">
        <f>IF($B436="",0,LEN($B436))</f>
        <v/>
      </c>
      <c r="D436" s="15">
        <f>IF($B436="","",LEFT($B436,kdo_ikincilUzunluk))</f>
        <v/>
      </c>
      <c r="E436" s="15">
        <f>"A"</f>
        <v/>
      </c>
      <c r="F436" s="15">
        <f>IF($B436="","",IF(COUNTIF(tblAnahtarA[Norm],$B436)&gt;1,"EVET","HAYIR"))</f>
        <v/>
      </c>
      <c r="G436" s="15">
        <f>IF($A436="","",ROW()-ROW($A$5))</f>
        <v/>
      </c>
      <c r="I436" s="7">
        <f>IF(VERI_B!A436="","",VERI_B!A436)</f>
        <v/>
      </c>
      <c r="J436" s="15">
        <f>UPPER(TRIM(SUBSTITUTE($I436," ","")))</f>
        <v/>
      </c>
      <c r="K436" s="15">
        <f>IF($J436="",0,LEN($J436))</f>
        <v/>
      </c>
      <c r="L436" s="15">
        <f>IF($J436="","",LEFT($J436,kdo_ikincilUzunluk))</f>
        <v/>
      </c>
      <c r="M436" s="15">
        <f>"B"</f>
        <v/>
      </c>
      <c r="N436" s="15">
        <f>IF($J436="","",IF(COUNTIF(tblAnahtarB[NormB],$J436)&gt;1,"EVET","HAYIR"))</f>
        <v/>
      </c>
      <c r="O436" s="15">
        <f>IF($I436="","",ROW()-ROW($I$5))</f>
        <v/>
      </c>
    </row>
    <row r="437">
      <c r="A437" s="7">
        <f>IF(VERI_A!A437="","",VERI_A!A437)</f>
        <v/>
      </c>
      <c r="B437" s="15">
        <f>UPPER(TRIM(SUBSTITUTE($A437," ","")))</f>
        <v/>
      </c>
      <c r="C437" s="15">
        <f>IF($B437="",0,LEN($B437))</f>
        <v/>
      </c>
      <c r="D437" s="15">
        <f>IF($B437="","",LEFT($B437,kdo_ikincilUzunluk))</f>
        <v/>
      </c>
      <c r="E437" s="15">
        <f>"A"</f>
        <v/>
      </c>
      <c r="F437" s="15">
        <f>IF($B437="","",IF(COUNTIF(tblAnahtarA[Norm],$B437)&gt;1,"EVET","HAYIR"))</f>
        <v/>
      </c>
      <c r="G437" s="15">
        <f>IF($A437="","",ROW()-ROW($A$5))</f>
        <v/>
      </c>
      <c r="I437" s="7">
        <f>IF(VERI_B!A437="","",VERI_B!A437)</f>
        <v/>
      </c>
      <c r="J437" s="15">
        <f>UPPER(TRIM(SUBSTITUTE($I437," ","")))</f>
        <v/>
      </c>
      <c r="K437" s="15">
        <f>IF($J437="",0,LEN($J437))</f>
        <v/>
      </c>
      <c r="L437" s="15">
        <f>IF($J437="","",LEFT($J437,kdo_ikincilUzunluk))</f>
        <v/>
      </c>
      <c r="M437" s="15">
        <f>"B"</f>
        <v/>
      </c>
      <c r="N437" s="15">
        <f>IF($J437="","",IF(COUNTIF(tblAnahtarB[NormB],$J437)&gt;1,"EVET","HAYIR"))</f>
        <v/>
      </c>
      <c r="O437" s="15">
        <f>IF($I437="","",ROW()-ROW($I$5))</f>
        <v/>
      </c>
    </row>
    <row r="438">
      <c r="A438" s="7">
        <f>IF(VERI_A!A438="","",VERI_A!A438)</f>
        <v/>
      </c>
      <c r="B438" s="15">
        <f>UPPER(TRIM(SUBSTITUTE($A438," ","")))</f>
        <v/>
      </c>
      <c r="C438" s="15">
        <f>IF($B438="",0,LEN($B438))</f>
        <v/>
      </c>
      <c r="D438" s="15">
        <f>IF($B438="","",LEFT($B438,kdo_ikincilUzunluk))</f>
        <v/>
      </c>
      <c r="E438" s="15">
        <f>"A"</f>
        <v/>
      </c>
      <c r="F438" s="15">
        <f>IF($B438="","",IF(COUNTIF(tblAnahtarA[Norm],$B438)&gt;1,"EVET","HAYIR"))</f>
        <v/>
      </c>
      <c r="G438" s="15">
        <f>IF($A438="","",ROW()-ROW($A$5))</f>
        <v/>
      </c>
      <c r="I438" s="7">
        <f>IF(VERI_B!A438="","",VERI_B!A438)</f>
        <v/>
      </c>
      <c r="J438" s="15">
        <f>UPPER(TRIM(SUBSTITUTE($I438," ","")))</f>
        <v/>
      </c>
      <c r="K438" s="15">
        <f>IF($J438="",0,LEN($J438))</f>
        <v/>
      </c>
      <c r="L438" s="15">
        <f>IF($J438="","",LEFT($J438,kdo_ikincilUzunluk))</f>
        <v/>
      </c>
      <c r="M438" s="15">
        <f>"B"</f>
        <v/>
      </c>
      <c r="N438" s="15">
        <f>IF($J438="","",IF(COUNTIF(tblAnahtarB[NormB],$J438)&gt;1,"EVET","HAYIR"))</f>
        <v/>
      </c>
      <c r="O438" s="15">
        <f>IF($I438="","",ROW()-ROW($I$5))</f>
        <v/>
      </c>
    </row>
    <row r="439">
      <c r="A439" s="7">
        <f>IF(VERI_A!A439="","",VERI_A!A439)</f>
        <v/>
      </c>
      <c r="B439" s="15">
        <f>UPPER(TRIM(SUBSTITUTE($A439," ","")))</f>
        <v/>
      </c>
      <c r="C439" s="15">
        <f>IF($B439="",0,LEN($B439))</f>
        <v/>
      </c>
      <c r="D439" s="15">
        <f>IF($B439="","",LEFT($B439,kdo_ikincilUzunluk))</f>
        <v/>
      </c>
      <c r="E439" s="15">
        <f>"A"</f>
        <v/>
      </c>
      <c r="F439" s="15">
        <f>IF($B439="","",IF(COUNTIF(tblAnahtarA[Norm],$B439)&gt;1,"EVET","HAYIR"))</f>
        <v/>
      </c>
      <c r="G439" s="15">
        <f>IF($A439="","",ROW()-ROW($A$5))</f>
        <v/>
      </c>
      <c r="I439" s="7">
        <f>IF(VERI_B!A439="","",VERI_B!A439)</f>
        <v/>
      </c>
      <c r="J439" s="15">
        <f>UPPER(TRIM(SUBSTITUTE($I439," ","")))</f>
        <v/>
      </c>
      <c r="K439" s="15">
        <f>IF($J439="",0,LEN($J439))</f>
        <v/>
      </c>
      <c r="L439" s="15">
        <f>IF($J439="","",LEFT($J439,kdo_ikincilUzunluk))</f>
        <v/>
      </c>
      <c r="M439" s="15">
        <f>"B"</f>
        <v/>
      </c>
      <c r="N439" s="15">
        <f>IF($J439="","",IF(COUNTIF(tblAnahtarB[NormB],$J439)&gt;1,"EVET","HAYIR"))</f>
        <v/>
      </c>
      <c r="O439" s="15">
        <f>IF($I439="","",ROW()-ROW($I$5))</f>
        <v/>
      </c>
    </row>
    <row r="440">
      <c r="A440" s="7">
        <f>IF(VERI_A!A440="","",VERI_A!A440)</f>
        <v/>
      </c>
      <c r="B440" s="15">
        <f>UPPER(TRIM(SUBSTITUTE($A440," ","")))</f>
        <v/>
      </c>
      <c r="C440" s="15">
        <f>IF($B440="",0,LEN($B440))</f>
        <v/>
      </c>
      <c r="D440" s="15">
        <f>IF($B440="","",LEFT($B440,kdo_ikincilUzunluk))</f>
        <v/>
      </c>
      <c r="E440" s="15">
        <f>"A"</f>
        <v/>
      </c>
      <c r="F440" s="15">
        <f>IF($B440="","",IF(COUNTIF(tblAnahtarA[Norm],$B440)&gt;1,"EVET","HAYIR"))</f>
        <v/>
      </c>
      <c r="G440" s="15">
        <f>IF($A440="","",ROW()-ROW($A$5))</f>
        <v/>
      </c>
      <c r="I440" s="7">
        <f>IF(VERI_B!A440="","",VERI_B!A440)</f>
        <v/>
      </c>
      <c r="J440" s="15">
        <f>UPPER(TRIM(SUBSTITUTE($I440," ","")))</f>
        <v/>
      </c>
      <c r="K440" s="15">
        <f>IF($J440="",0,LEN($J440))</f>
        <v/>
      </c>
      <c r="L440" s="15">
        <f>IF($J440="","",LEFT($J440,kdo_ikincilUzunluk))</f>
        <v/>
      </c>
      <c r="M440" s="15">
        <f>"B"</f>
        <v/>
      </c>
      <c r="N440" s="15">
        <f>IF($J440="","",IF(COUNTIF(tblAnahtarB[NormB],$J440)&gt;1,"EVET","HAYIR"))</f>
        <v/>
      </c>
      <c r="O440" s="15">
        <f>IF($I440="","",ROW()-ROW($I$5))</f>
        <v/>
      </c>
    </row>
    <row r="441">
      <c r="A441" s="7">
        <f>IF(VERI_A!A441="","",VERI_A!A441)</f>
        <v/>
      </c>
      <c r="B441" s="15">
        <f>UPPER(TRIM(SUBSTITUTE($A441," ","")))</f>
        <v/>
      </c>
      <c r="C441" s="15">
        <f>IF($B441="",0,LEN($B441))</f>
        <v/>
      </c>
      <c r="D441" s="15">
        <f>IF($B441="","",LEFT($B441,kdo_ikincilUzunluk))</f>
        <v/>
      </c>
      <c r="E441" s="15">
        <f>"A"</f>
        <v/>
      </c>
      <c r="F441" s="15">
        <f>IF($B441="","",IF(COUNTIF(tblAnahtarA[Norm],$B441)&gt;1,"EVET","HAYIR"))</f>
        <v/>
      </c>
      <c r="G441" s="15">
        <f>IF($A441="","",ROW()-ROW($A$5))</f>
        <v/>
      </c>
      <c r="I441" s="7">
        <f>IF(VERI_B!A441="","",VERI_B!A441)</f>
        <v/>
      </c>
      <c r="J441" s="15">
        <f>UPPER(TRIM(SUBSTITUTE($I441," ","")))</f>
        <v/>
      </c>
      <c r="K441" s="15">
        <f>IF($J441="",0,LEN($J441))</f>
        <v/>
      </c>
      <c r="L441" s="15">
        <f>IF($J441="","",LEFT($J441,kdo_ikincilUzunluk))</f>
        <v/>
      </c>
      <c r="M441" s="15">
        <f>"B"</f>
        <v/>
      </c>
      <c r="N441" s="15">
        <f>IF($J441="","",IF(COUNTIF(tblAnahtarB[NormB],$J441)&gt;1,"EVET","HAYIR"))</f>
        <v/>
      </c>
      <c r="O441" s="15">
        <f>IF($I441="","",ROW()-ROW($I$5))</f>
        <v/>
      </c>
    </row>
    <row r="442">
      <c r="A442" s="7">
        <f>IF(VERI_A!A442="","",VERI_A!A442)</f>
        <v/>
      </c>
      <c r="B442" s="15">
        <f>UPPER(TRIM(SUBSTITUTE($A442," ","")))</f>
        <v/>
      </c>
      <c r="C442" s="15">
        <f>IF($B442="",0,LEN($B442))</f>
        <v/>
      </c>
      <c r="D442" s="15">
        <f>IF($B442="","",LEFT($B442,kdo_ikincilUzunluk))</f>
        <v/>
      </c>
      <c r="E442" s="15">
        <f>"A"</f>
        <v/>
      </c>
      <c r="F442" s="15">
        <f>IF($B442="","",IF(COUNTIF(tblAnahtarA[Norm],$B442)&gt;1,"EVET","HAYIR"))</f>
        <v/>
      </c>
      <c r="G442" s="15">
        <f>IF($A442="","",ROW()-ROW($A$5))</f>
        <v/>
      </c>
      <c r="I442" s="7">
        <f>IF(VERI_B!A442="","",VERI_B!A442)</f>
        <v/>
      </c>
      <c r="J442" s="15">
        <f>UPPER(TRIM(SUBSTITUTE($I442," ","")))</f>
        <v/>
      </c>
      <c r="K442" s="15">
        <f>IF($J442="",0,LEN($J442))</f>
        <v/>
      </c>
      <c r="L442" s="15">
        <f>IF($J442="","",LEFT($J442,kdo_ikincilUzunluk))</f>
        <v/>
      </c>
      <c r="M442" s="15">
        <f>"B"</f>
        <v/>
      </c>
      <c r="N442" s="15">
        <f>IF($J442="","",IF(COUNTIF(tblAnahtarB[NormB],$J442)&gt;1,"EVET","HAYIR"))</f>
        <v/>
      </c>
      <c r="O442" s="15">
        <f>IF($I442="","",ROW()-ROW($I$5))</f>
        <v/>
      </c>
    </row>
    <row r="443">
      <c r="A443" s="7">
        <f>IF(VERI_A!A443="","",VERI_A!A443)</f>
        <v/>
      </c>
      <c r="B443" s="15">
        <f>UPPER(TRIM(SUBSTITUTE($A443," ","")))</f>
        <v/>
      </c>
      <c r="C443" s="15">
        <f>IF($B443="",0,LEN($B443))</f>
        <v/>
      </c>
      <c r="D443" s="15">
        <f>IF($B443="","",LEFT($B443,kdo_ikincilUzunluk))</f>
        <v/>
      </c>
      <c r="E443" s="15">
        <f>"A"</f>
        <v/>
      </c>
      <c r="F443" s="15">
        <f>IF($B443="","",IF(COUNTIF(tblAnahtarA[Norm],$B443)&gt;1,"EVET","HAYIR"))</f>
        <v/>
      </c>
      <c r="G443" s="15">
        <f>IF($A443="","",ROW()-ROW($A$5))</f>
        <v/>
      </c>
      <c r="I443" s="7">
        <f>IF(VERI_B!A443="","",VERI_B!A443)</f>
        <v/>
      </c>
      <c r="J443" s="15">
        <f>UPPER(TRIM(SUBSTITUTE($I443," ","")))</f>
        <v/>
      </c>
      <c r="K443" s="15">
        <f>IF($J443="",0,LEN($J443))</f>
        <v/>
      </c>
      <c r="L443" s="15">
        <f>IF($J443="","",LEFT($J443,kdo_ikincilUzunluk))</f>
        <v/>
      </c>
      <c r="M443" s="15">
        <f>"B"</f>
        <v/>
      </c>
      <c r="N443" s="15">
        <f>IF($J443="","",IF(COUNTIF(tblAnahtarB[NormB],$J443)&gt;1,"EVET","HAYIR"))</f>
        <v/>
      </c>
      <c r="O443" s="15">
        <f>IF($I443="","",ROW()-ROW($I$5))</f>
        <v/>
      </c>
    </row>
    <row r="444">
      <c r="A444" s="7">
        <f>IF(VERI_A!A444="","",VERI_A!A444)</f>
        <v/>
      </c>
      <c r="B444" s="15">
        <f>UPPER(TRIM(SUBSTITUTE($A444," ","")))</f>
        <v/>
      </c>
      <c r="C444" s="15">
        <f>IF($B444="",0,LEN($B444))</f>
        <v/>
      </c>
      <c r="D444" s="15">
        <f>IF($B444="","",LEFT($B444,kdo_ikincilUzunluk))</f>
        <v/>
      </c>
      <c r="E444" s="15">
        <f>"A"</f>
        <v/>
      </c>
      <c r="F444" s="15">
        <f>IF($B444="","",IF(COUNTIF(tblAnahtarA[Norm],$B444)&gt;1,"EVET","HAYIR"))</f>
        <v/>
      </c>
      <c r="G444" s="15">
        <f>IF($A444="","",ROW()-ROW($A$5))</f>
        <v/>
      </c>
      <c r="I444" s="7">
        <f>IF(VERI_B!A444="","",VERI_B!A444)</f>
        <v/>
      </c>
      <c r="J444" s="15">
        <f>UPPER(TRIM(SUBSTITUTE($I444," ","")))</f>
        <v/>
      </c>
      <c r="K444" s="15">
        <f>IF($J444="",0,LEN($J444))</f>
        <v/>
      </c>
      <c r="L444" s="15">
        <f>IF($J444="","",LEFT($J444,kdo_ikincilUzunluk))</f>
        <v/>
      </c>
      <c r="M444" s="15">
        <f>"B"</f>
        <v/>
      </c>
      <c r="N444" s="15">
        <f>IF($J444="","",IF(COUNTIF(tblAnahtarB[NormB],$J444)&gt;1,"EVET","HAYIR"))</f>
        <v/>
      </c>
      <c r="O444" s="15">
        <f>IF($I444="","",ROW()-ROW($I$5))</f>
        <v/>
      </c>
    </row>
    <row r="445">
      <c r="A445" s="7">
        <f>IF(VERI_A!A445="","",VERI_A!A445)</f>
        <v/>
      </c>
      <c r="B445" s="15">
        <f>UPPER(TRIM(SUBSTITUTE($A445," ","")))</f>
        <v/>
      </c>
      <c r="C445" s="15">
        <f>IF($B445="",0,LEN($B445))</f>
        <v/>
      </c>
      <c r="D445" s="15">
        <f>IF($B445="","",LEFT($B445,kdo_ikincilUzunluk))</f>
        <v/>
      </c>
      <c r="E445" s="15">
        <f>"A"</f>
        <v/>
      </c>
      <c r="F445" s="15">
        <f>IF($B445="","",IF(COUNTIF(tblAnahtarA[Norm],$B445)&gt;1,"EVET","HAYIR"))</f>
        <v/>
      </c>
      <c r="G445" s="15">
        <f>IF($A445="","",ROW()-ROW($A$5))</f>
        <v/>
      </c>
      <c r="I445" s="7">
        <f>IF(VERI_B!A445="","",VERI_B!A445)</f>
        <v/>
      </c>
      <c r="J445" s="15">
        <f>UPPER(TRIM(SUBSTITUTE($I445," ","")))</f>
        <v/>
      </c>
      <c r="K445" s="15">
        <f>IF($J445="",0,LEN($J445))</f>
        <v/>
      </c>
      <c r="L445" s="15">
        <f>IF($J445="","",LEFT($J445,kdo_ikincilUzunluk))</f>
        <v/>
      </c>
      <c r="M445" s="15">
        <f>"B"</f>
        <v/>
      </c>
      <c r="N445" s="15">
        <f>IF($J445="","",IF(COUNTIF(tblAnahtarB[NormB],$J445)&gt;1,"EVET","HAYIR"))</f>
        <v/>
      </c>
      <c r="O445" s="15">
        <f>IF($I445="","",ROW()-ROW($I$5))</f>
        <v/>
      </c>
    </row>
    <row r="446">
      <c r="A446" s="7">
        <f>IF(VERI_A!A446="","",VERI_A!A446)</f>
        <v/>
      </c>
      <c r="B446" s="15">
        <f>UPPER(TRIM(SUBSTITUTE($A446," ","")))</f>
        <v/>
      </c>
      <c r="C446" s="15">
        <f>IF($B446="",0,LEN($B446))</f>
        <v/>
      </c>
      <c r="D446" s="15">
        <f>IF($B446="","",LEFT($B446,kdo_ikincilUzunluk))</f>
        <v/>
      </c>
      <c r="E446" s="15">
        <f>"A"</f>
        <v/>
      </c>
      <c r="F446" s="15">
        <f>IF($B446="","",IF(COUNTIF(tblAnahtarA[Norm],$B446)&gt;1,"EVET","HAYIR"))</f>
        <v/>
      </c>
      <c r="G446" s="15">
        <f>IF($A446="","",ROW()-ROW($A$5))</f>
        <v/>
      </c>
      <c r="I446" s="7">
        <f>IF(VERI_B!A446="","",VERI_B!A446)</f>
        <v/>
      </c>
      <c r="J446" s="15">
        <f>UPPER(TRIM(SUBSTITUTE($I446," ","")))</f>
        <v/>
      </c>
      <c r="K446" s="15">
        <f>IF($J446="",0,LEN($J446))</f>
        <v/>
      </c>
      <c r="L446" s="15">
        <f>IF($J446="","",LEFT($J446,kdo_ikincilUzunluk))</f>
        <v/>
      </c>
      <c r="M446" s="15">
        <f>"B"</f>
        <v/>
      </c>
      <c r="N446" s="15">
        <f>IF($J446="","",IF(COUNTIF(tblAnahtarB[NormB],$J446)&gt;1,"EVET","HAYIR"))</f>
        <v/>
      </c>
      <c r="O446" s="15">
        <f>IF($I446="","",ROW()-ROW($I$5))</f>
        <v/>
      </c>
    </row>
    <row r="447">
      <c r="A447" s="7">
        <f>IF(VERI_A!A447="","",VERI_A!A447)</f>
        <v/>
      </c>
      <c r="B447" s="15">
        <f>UPPER(TRIM(SUBSTITUTE($A447," ","")))</f>
        <v/>
      </c>
      <c r="C447" s="15">
        <f>IF($B447="",0,LEN($B447))</f>
        <v/>
      </c>
      <c r="D447" s="15">
        <f>IF($B447="","",LEFT($B447,kdo_ikincilUzunluk))</f>
        <v/>
      </c>
      <c r="E447" s="15">
        <f>"A"</f>
        <v/>
      </c>
      <c r="F447" s="15">
        <f>IF($B447="","",IF(COUNTIF(tblAnahtarA[Norm],$B447)&gt;1,"EVET","HAYIR"))</f>
        <v/>
      </c>
      <c r="G447" s="15">
        <f>IF($A447="","",ROW()-ROW($A$5))</f>
        <v/>
      </c>
      <c r="I447" s="7">
        <f>IF(VERI_B!A447="","",VERI_B!A447)</f>
        <v/>
      </c>
      <c r="J447" s="15">
        <f>UPPER(TRIM(SUBSTITUTE($I447," ","")))</f>
        <v/>
      </c>
      <c r="K447" s="15">
        <f>IF($J447="",0,LEN($J447))</f>
        <v/>
      </c>
      <c r="L447" s="15">
        <f>IF($J447="","",LEFT($J447,kdo_ikincilUzunluk))</f>
        <v/>
      </c>
      <c r="M447" s="15">
        <f>"B"</f>
        <v/>
      </c>
      <c r="N447" s="15">
        <f>IF($J447="","",IF(COUNTIF(tblAnahtarB[NormB],$J447)&gt;1,"EVET","HAYIR"))</f>
        <v/>
      </c>
      <c r="O447" s="15">
        <f>IF($I447="","",ROW()-ROW($I$5))</f>
        <v/>
      </c>
    </row>
    <row r="448">
      <c r="A448" s="7">
        <f>IF(VERI_A!A448="","",VERI_A!A448)</f>
        <v/>
      </c>
      <c r="B448" s="15">
        <f>UPPER(TRIM(SUBSTITUTE($A448," ","")))</f>
        <v/>
      </c>
      <c r="C448" s="15">
        <f>IF($B448="",0,LEN($B448))</f>
        <v/>
      </c>
      <c r="D448" s="15">
        <f>IF($B448="","",LEFT($B448,kdo_ikincilUzunluk))</f>
        <v/>
      </c>
      <c r="E448" s="15">
        <f>"A"</f>
        <v/>
      </c>
      <c r="F448" s="15">
        <f>IF($B448="","",IF(COUNTIF(tblAnahtarA[Norm],$B448)&gt;1,"EVET","HAYIR"))</f>
        <v/>
      </c>
      <c r="G448" s="15">
        <f>IF($A448="","",ROW()-ROW($A$5))</f>
        <v/>
      </c>
      <c r="I448" s="7">
        <f>IF(VERI_B!A448="","",VERI_B!A448)</f>
        <v/>
      </c>
      <c r="J448" s="15">
        <f>UPPER(TRIM(SUBSTITUTE($I448," ","")))</f>
        <v/>
      </c>
      <c r="K448" s="15">
        <f>IF($J448="",0,LEN($J448))</f>
        <v/>
      </c>
      <c r="L448" s="15">
        <f>IF($J448="","",LEFT($J448,kdo_ikincilUzunluk))</f>
        <v/>
      </c>
      <c r="M448" s="15">
        <f>"B"</f>
        <v/>
      </c>
      <c r="N448" s="15">
        <f>IF($J448="","",IF(COUNTIF(tblAnahtarB[NormB],$J448)&gt;1,"EVET","HAYIR"))</f>
        <v/>
      </c>
      <c r="O448" s="15">
        <f>IF($I448="","",ROW()-ROW($I$5))</f>
        <v/>
      </c>
    </row>
    <row r="449">
      <c r="A449" s="7">
        <f>IF(VERI_A!A449="","",VERI_A!A449)</f>
        <v/>
      </c>
      <c r="B449" s="15">
        <f>UPPER(TRIM(SUBSTITUTE($A449," ","")))</f>
        <v/>
      </c>
      <c r="C449" s="15">
        <f>IF($B449="",0,LEN($B449))</f>
        <v/>
      </c>
      <c r="D449" s="15">
        <f>IF($B449="","",LEFT($B449,kdo_ikincilUzunluk))</f>
        <v/>
      </c>
      <c r="E449" s="15">
        <f>"A"</f>
        <v/>
      </c>
      <c r="F449" s="15">
        <f>IF($B449="","",IF(COUNTIF(tblAnahtarA[Norm],$B449)&gt;1,"EVET","HAYIR"))</f>
        <v/>
      </c>
      <c r="G449" s="15">
        <f>IF($A449="","",ROW()-ROW($A$5))</f>
        <v/>
      </c>
      <c r="I449" s="7">
        <f>IF(VERI_B!A449="","",VERI_B!A449)</f>
        <v/>
      </c>
      <c r="J449" s="15">
        <f>UPPER(TRIM(SUBSTITUTE($I449," ","")))</f>
        <v/>
      </c>
      <c r="K449" s="15">
        <f>IF($J449="",0,LEN($J449))</f>
        <v/>
      </c>
      <c r="L449" s="15">
        <f>IF($J449="","",LEFT($J449,kdo_ikincilUzunluk))</f>
        <v/>
      </c>
      <c r="M449" s="15">
        <f>"B"</f>
        <v/>
      </c>
      <c r="N449" s="15">
        <f>IF($J449="","",IF(COUNTIF(tblAnahtarB[NormB],$J449)&gt;1,"EVET","HAYIR"))</f>
        <v/>
      </c>
      <c r="O449" s="15">
        <f>IF($I449="","",ROW()-ROW($I$5))</f>
        <v/>
      </c>
    </row>
    <row r="450">
      <c r="A450" s="7">
        <f>IF(VERI_A!A450="","",VERI_A!A450)</f>
        <v/>
      </c>
      <c r="B450" s="15">
        <f>UPPER(TRIM(SUBSTITUTE($A450," ","")))</f>
        <v/>
      </c>
      <c r="C450" s="15">
        <f>IF($B450="",0,LEN($B450))</f>
        <v/>
      </c>
      <c r="D450" s="15">
        <f>IF($B450="","",LEFT($B450,kdo_ikincilUzunluk))</f>
        <v/>
      </c>
      <c r="E450" s="15">
        <f>"A"</f>
        <v/>
      </c>
      <c r="F450" s="15">
        <f>IF($B450="","",IF(COUNTIF(tblAnahtarA[Norm],$B450)&gt;1,"EVET","HAYIR"))</f>
        <v/>
      </c>
      <c r="G450" s="15">
        <f>IF($A450="","",ROW()-ROW($A$5))</f>
        <v/>
      </c>
      <c r="I450" s="7">
        <f>IF(VERI_B!A450="","",VERI_B!A450)</f>
        <v/>
      </c>
      <c r="J450" s="15">
        <f>UPPER(TRIM(SUBSTITUTE($I450," ","")))</f>
        <v/>
      </c>
      <c r="K450" s="15">
        <f>IF($J450="",0,LEN($J450))</f>
        <v/>
      </c>
      <c r="L450" s="15">
        <f>IF($J450="","",LEFT($J450,kdo_ikincilUzunluk))</f>
        <v/>
      </c>
      <c r="M450" s="15">
        <f>"B"</f>
        <v/>
      </c>
      <c r="N450" s="15">
        <f>IF($J450="","",IF(COUNTIF(tblAnahtarB[NormB],$J450)&gt;1,"EVET","HAYIR"))</f>
        <v/>
      </c>
      <c r="O450" s="15">
        <f>IF($I450="","",ROW()-ROW($I$5))</f>
        <v/>
      </c>
    </row>
    <row r="451">
      <c r="A451" s="7">
        <f>IF(VERI_A!A451="","",VERI_A!A451)</f>
        <v/>
      </c>
      <c r="B451" s="15">
        <f>UPPER(TRIM(SUBSTITUTE($A451," ","")))</f>
        <v/>
      </c>
      <c r="C451" s="15">
        <f>IF($B451="",0,LEN($B451))</f>
        <v/>
      </c>
      <c r="D451" s="15">
        <f>IF($B451="","",LEFT($B451,kdo_ikincilUzunluk))</f>
        <v/>
      </c>
      <c r="E451" s="15">
        <f>"A"</f>
        <v/>
      </c>
      <c r="F451" s="15">
        <f>IF($B451="","",IF(COUNTIF(tblAnahtarA[Norm],$B451)&gt;1,"EVET","HAYIR"))</f>
        <v/>
      </c>
      <c r="G451" s="15">
        <f>IF($A451="","",ROW()-ROW($A$5))</f>
        <v/>
      </c>
      <c r="I451" s="7">
        <f>IF(VERI_B!A451="","",VERI_B!A451)</f>
        <v/>
      </c>
      <c r="J451" s="15">
        <f>UPPER(TRIM(SUBSTITUTE($I451," ","")))</f>
        <v/>
      </c>
      <c r="K451" s="15">
        <f>IF($J451="",0,LEN($J451))</f>
        <v/>
      </c>
      <c r="L451" s="15">
        <f>IF($J451="","",LEFT($J451,kdo_ikincilUzunluk))</f>
        <v/>
      </c>
      <c r="M451" s="15">
        <f>"B"</f>
        <v/>
      </c>
      <c r="N451" s="15">
        <f>IF($J451="","",IF(COUNTIF(tblAnahtarB[NormB],$J451)&gt;1,"EVET","HAYIR"))</f>
        <v/>
      </c>
      <c r="O451" s="15">
        <f>IF($I451="","",ROW()-ROW($I$5))</f>
        <v/>
      </c>
    </row>
    <row r="452">
      <c r="A452" s="7">
        <f>IF(VERI_A!A452="","",VERI_A!A452)</f>
        <v/>
      </c>
      <c r="B452" s="15">
        <f>UPPER(TRIM(SUBSTITUTE($A452," ","")))</f>
        <v/>
      </c>
      <c r="C452" s="15">
        <f>IF($B452="",0,LEN($B452))</f>
        <v/>
      </c>
      <c r="D452" s="15">
        <f>IF($B452="","",LEFT($B452,kdo_ikincilUzunluk))</f>
        <v/>
      </c>
      <c r="E452" s="15">
        <f>"A"</f>
        <v/>
      </c>
      <c r="F452" s="15">
        <f>IF($B452="","",IF(COUNTIF(tblAnahtarA[Norm],$B452)&gt;1,"EVET","HAYIR"))</f>
        <v/>
      </c>
      <c r="G452" s="15">
        <f>IF($A452="","",ROW()-ROW($A$5))</f>
        <v/>
      </c>
      <c r="I452" s="7">
        <f>IF(VERI_B!A452="","",VERI_B!A452)</f>
        <v/>
      </c>
      <c r="J452" s="15">
        <f>UPPER(TRIM(SUBSTITUTE($I452," ","")))</f>
        <v/>
      </c>
      <c r="K452" s="15">
        <f>IF($J452="",0,LEN($J452))</f>
        <v/>
      </c>
      <c r="L452" s="15">
        <f>IF($J452="","",LEFT($J452,kdo_ikincilUzunluk))</f>
        <v/>
      </c>
      <c r="M452" s="15">
        <f>"B"</f>
        <v/>
      </c>
      <c r="N452" s="15">
        <f>IF($J452="","",IF(COUNTIF(tblAnahtarB[NormB],$J452)&gt;1,"EVET","HAYIR"))</f>
        <v/>
      </c>
      <c r="O452" s="15">
        <f>IF($I452="","",ROW()-ROW($I$5))</f>
        <v/>
      </c>
    </row>
    <row r="453">
      <c r="A453" s="7">
        <f>IF(VERI_A!A453="","",VERI_A!A453)</f>
        <v/>
      </c>
      <c r="B453" s="15">
        <f>UPPER(TRIM(SUBSTITUTE($A453," ","")))</f>
        <v/>
      </c>
      <c r="C453" s="15">
        <f>IF($B453="",0,LEN($B453))</f>
        <v/>
      </c>
      <c r="D453" s="15">
        <f>IF($B453="","",LEFT($B453,kdo_ikincilUzunluk))</f>
        <v/>
      </c>
      <c r="E453" s="15">
        <f>"A"</f>
        <v/>
      </c>
      <c r="F453" s="15">
        <f>IF($B453="","",IF(COUNTIF(tblAnahtarA[Norm],$B453)&gt;1,"EVET","HAYIR"))</f>
        <v/>
      </c>
      <c r="G453" s="15">
        <f>IF($A453="","",ROW()-ROW($A$5))</f>
        <v/>
      </c>
      <c r="I453" s="7">
        <f>IF(VERI_B!A453="","",VERI_B!A453)</f>
        <v/>
      </c>
      <c r="J453" s="15">
        <f>UPPER(TRIM(SUBSTITUTE($I453," ","")))</f>
        <v/>
      </c>
      <c r="K453" s="15">
        <f>IF($J453="",0,LEN($J453))</f>
        <v/>
      </c>
      <c r="L453" s="15">
        <f>IF($J453="","",LEFT($J453,kdo_ikincilUzunluk))</f>
        <v/>
      </c>
      <c r="M453" s="15">
        <f>"B"</f>
        <v/>
      </c>
      <c r="N453" s="15">
        <f>IF($J453="","",IF(COUNTIF(tblAnahtarB[NormB],$J453)&gt;1,"EVET","HAYIR"))</f>
        <v/>
      </c>
      <c r="O453" s="15">
        <f>IF($I453="","",ROW()-ROW($I$5))</f>
        <v/>
      </c>
    </row>
    <row r="454">
      <c r="A454" s="7">
        <f>IF(VERI_A!A454="","",VERI_A!A454)</f>
        <v/>
      </c>
      <c r="B454" s="15">
        <f>UPPER(TRIM(SUBSTITUTE($A454," ","")))</f>
        <v/>
      </c>
      <c r="C454" s="15">
        <f>IF($B454="",0,LEN($B454))</f>
        <v/>
      </c>
      <c r="D454" s="15">
        <f>IF($B454="","",LEFT($B454,kdo_ikincilUzunluk))</f>
        <v/>
      </c>
      <c r="E454" s="15">
        <f>"A"</f>
        <v/>
      </c>
      <c r="F454" s="15">
        <f>IF($B454="","",IF(COUNTIF(tblAnahtarA[Norm],$B454)&gt;1,"EVET","HAYIR"))</f>
        <v/>
      </c>
      <c r="G454" s="15">
        <f>IF($A454="","",ROW()-ROW($A$5))</f>
        <v/>
      </c>
      <c r="I454" s="7">
        <f>IF(VERI_B!A454="","",VERI_B!A454)</f>
        <v/>
      </c>
      <c r="J454" s="15">
        <f>UPPER(TRIM(SUBSTITUTE($I454," ","")))</f>
        <v/>
      </c>
      <c r="K454" s="15">
        <f>IF($J454="",0,LEN($J454))</f>
        <v/>
      </c>
      <c r="L454" s="15">
        <f>IF($J454="","",LEFT($J454,kdo_ikincilUzunluk))</f>
        <v/>
      </c>
      <c r="M454" s="15">
        <f>"B"</f>
        <v/>
      </c>
      <c r="N454" s="15">
        <f>IF($J454="","",IF(COUNTIF(tblAnahtarB[NormB],$J454)&gt;1,"EVET","HAYIR"))</f>
        <v/>
      </c>
      <c r="O454" s="15">
        <f>IF($I454="","",ROW()-ROW($I$5))</f>
        <v/>
      </c>
    </row>
    <row r="455">
      <c r="A455" s="7">
        <f>IF(VERI_A!A455="","",VERI_A!A455)</f>
        <v/>
      </c>
      <c r="B455" s="15">
        <f>UPPER(TRIM(SUBSTITUTE($A455," ","")))</f>
        <v/>
      </c>
      <c r="C455" s="15">
        <f>IF($B455="",0,LEN($B455))</f>
        <v/>
      </c>
      <c r="D455" s="15">
        <f>IF($B455="","",LEFT($B455,kdo_ikincilUzunluk))</f>
        <v/>
      </c>
      <c r="E455" s="15">
        <f>"A"</f>
        <v/>
      </c>
      <c r="F455" s="15">
        <f>IF($B455="","",IF(COUNTIF(tblAnahtarA[Norm],$B455)&gt;1,"EVET","HAYIR"))</f>
        <v/>
      </c>
      <c r="G455" s="15">
        <f>IF($A455="","",ROW()-ROW($A$5))</f>
        <v/>
      </c>
      <c r="I455" s="7">
        <f>IF(VERI_B!A455="","",VERI_B!A455)</f>
        <v/>
      </c>
      <c r="J455" s="15">
        <f>UPPER(TRIM(SUBSTITUTE($I455," ","")))</f>
        <v/>
      </c>
      <c r="K455" s="15">
        <f>IF($J455="",0,LEN($J455))</f>
        <v/>
      </c>
      <c r="L455" s="15">
        <f>IF($J455="","",LEFT($J455,kdo_ikincilUzunluk))</f>
        <v/>
      </c>
      <c r="M455" s="15">
        <f>"B"</f>
        <v/>
      </c>
      <c r="N455" s="15">
        <f>IF($J455="","",IF(COUNTIF(tblAnahtarB[NormB],$J455)&gt;1,"EVET","HAYIR"))</f>
        <v/>
      </c>
      <c r="O455" s="15">
        <f>IF($I455="","",ROW()-ROW($I$5))</f>
        <v/>
      </c>
    </row>
    <row r="456">
      <c r="A456" s="7">
        <f>IF(VERI_A!A456="","",VERI_A!A456)</f>
        <v/>
      </c>
      <c r="B456" s="15">
        <f>UPPER(TRIM(SUBSTITUTE($A456," ","")))</f>
        <v/>
      </c>
      <c r="C456" s="15">
        <f>IF($B456="",0,LEN($B456))</f>
        <v/>
      </c>
      <c r="D456" s="15">
        <f>IF($B456="","",LEFT($B456,kdo_ikincilUzunluk))</f>
        <v/>
      </c>
      <c r="E456" s="15">
        <f>"A"</f>
        <v/>
      </c>
      <c r="F456" s="15">
        <f>IF($B456="","",IF(COUNTIF(tblAnahtarA[Norm],$B456)&gt;1,"EVET","HAYIR"))</f>
        <v/>
      </c>
      <c r="G456" s="15">
        <f>IF($A456="","",ROW()-ROW($A$5))</f>
        <v/>
      </c>
      <c r="I456" s="7">
        <f>IF(VERI_B!A456="","",VERI_B!A456)</f>
        <v/>
      </c>
      <c r="J456" s="15">
        <f>UPPER(TRIM(SUBSTITUTE($I456," ","")))</f>
        <v/>
      </c>
      <c r="K456" s="15">
        <f>IF($J456="",0,LEN($J456))</f>
        <v/>
      </c>
      <c r="L456" s="15">
        <f>IF($J456="","",LEFT($J456,kdo_ikincilUzunluk))</f>
        <v/>
      </c>
      <c r="M456" s="15">
        <f>"B"</f>
        <v/>
      </c>
      <c r="N456" s="15">
        <f>IF($J456="","",IF(COUNTIF(tblAnahtarB[NormB],$J456)&gt;1,"EVET","HAYIR"))</f>
        <v/>
      </c>
      <c r="O456" s="15">
        <f>IF($I456="","",ROW()-ROW($I$5))</f>
        <v/>
      </c>
    </row>
    <row r="457">
      <c r="A457" s="7">
        <f>IF(VERI_A!A457="","",VERI_A!A457)</f>
        <v/>
      </c>
      <c r="B457" s="15">
        <f>UPPER(TRIM(SUBSTITUTE($A457," ","")))</f>
        <v/>
      </c>
      <c r="C457" s="15">
        <f>IF($B457="",0,LEN($B457))</f>
        <v/>
      </c>
      <c r="D457" s="15">
        <f>IF($B457="","",LEFT($B457,kdo_ikincilUzunluk))</f>
        <v/>
      </c>
      <c r="E457" s="15">
        <f>"A"</f>
        <v/>
      </c>
      <c r="F457" s="15">
        <f>IF($B457="","",IF(COUNTIF(tblAnahtarA[Norm],$B457)&gt;1,"EVET","HAYIR"))</f>
        <v/>
      </c>
      <c r="G457" s="15">
        <f>IF($A457="","",ROW()-ROW($A$5))</f>
        <v/>
      </c>
      <c r="I457" s="7">
        <f>IF(VERI_B!A457="","",VERI_B!A457)</f>
        <v/>
      </c>
      <c r="J457" s="15">
        <f>UPPER(TRIM(SUBSTITUTE($I457," ","")))</f>
        <v/>
      </c>
      <c r="K457" s="15">
        <f>IF($J457="",0,LEN($J457))</f>
        <v/>
      </c>
      <c r="L457" s="15">
        <f>IF($J457="","",LEFT($J457,kdo_ikincilUzunluk))</f>
        <v/>
      </c>
      <c r="M457" s="15">
        <f>"B"</f>
        <v/>
      </c>
      <c r="N457" s="15">
        <f>IF($J457="","",IF(COUNTIF(tblAnahtarB[NormB],$J457)&gt;1,"EVET","HAYIR"))</f>
        <v/>
      </c>
      <c r="O457" s="15">
        <f>IF($I457="","",ROW()-ROW($I$5))</f>
        <v/>
      </c>
    </row>
    <row r="458">
      <c r="A458" s="7">
        <f>IF(VERI_A!A458="","",VERI_A!A458)</f>
        <v/>
      </c>
      <c r="B458" s="15">
        <f>UPPER(TRIM(SUBSTITUTE($A458," ","")))</f>
        <v/>
      </c>
      <c r="C458" s="15">
        <f>IF($B458="",0,LEN($B458))</f>
        <v/>
      </c>
      <c r="D458" s="15">
        <f>IF($B458="","",LEFT($B458,kdo_ikincilUzunluk))</f>
        <v/>
      </c>
      <c r="E458" s="15">
        <f>"A"</f>
        <v/>
      </c>
      <c r="F458" s="15">
        <f>IF($B458="","",IF(COUNTIF(tblAnahtarA[Norm],$B458)&gt;1,"EVET","HAYIR"))</f>
        <v/>
      </c>
      <c r="G458" s="15">
        <f>IF($A458="","",ROW()-ROW($A$5))</f>
        <v/>
      </c>
      <c r="I458" s="7">
        <f>IF(VERI_B!A458="","",VERI_B!A458)</f>
        <v/>
      </c>
      <c r="J458" s="15">
        <f>UPPER(TRIM(SUBSTITUTE($I458," ","")))</f>
        <v/>
      </c>
      <c r="K458" s="15">
        <f>IF($J458="",0,LEN($J458))</f>
        <v/>
      </c>
      <c r="L458" s="15">
        <f>IF($J458="","",LEFT($J458,kdo_ikincilUzunluk))</f>
        <v/>
      </c>
      <c r="M458" s="15">
        <f>"B"</f>
        <v/>
      </c>
      <c r="N458" s="15">
        <f>IF($J458="","",IF(COUNTIF(tblAnahtarB[NormB],$J458)&gt;1,"EVET","HAYIR"))</f>
        <v/>
      </c>
      <c r="O458" s="15">
        <f>IF($I458="","",ROW()-ROW($I$5))</f>
        <v/>
      </c>
    </row>
    <row r="459">
      <c r="A459" s="7">
        <f>IF(VERI_A!A459="","",VERI_A!A459)</f>
        <v/>
      </c>
      <c r="B459" s="15">
        <f>UPPER(TRIM(SUBSTITUTE($A459," ","")))</f>
        <v/>
      </c>
      <c r="C459" s="15">
        <f>IF($B459="",0,LEN($B459))</f>
        <v/>
      </c>
      <c r="D459" s="15">
        <f>IF($B459="","",LEFT($B459,kdo_ikincilUzunluk))</f>
        <v/>
      </c>
      <c r="E459" s="15">
        <f>"A"</f>
        <v/>
      </c>
      <c r="F459" s="15">
        <f>IF($B459="","",IF(COUNTIF(tblAnahtarA[Norm],$B459)&gt;1,"EVET","HAYIR"))</f>
        <v/>
      </c>
      <c r="G459" s="15">
        <f>IF($A459="","",ROW()-ROW($A$5))</f>
        <v/>
      </c>
      <c r="I459" s="7">
        <f>IF(VERI_B!A459="","",VERI_B!A459)</f>
        <v/>
      </c>
      <c r="J459" s="15">
        <f>UPPER(TRIM(SUBSTITUTE($I459," ","")))</f>
        <v/>
      </c>
      <c r="K459" s="15">
        <f>IF($J459="",0,LEN($J459))</f>
        <v/>
      </c>
      <c r="L459" s="15">
        <f>IF($J459="","",LEFT($J459,kdo_ikincilUzunluk))</f>
        <v/>
      </c>
      <c r="M459" s="15">
        <f>"B"</f>
        <v/>
      </c>
      <c r="N459" s="15">
        <f>IF($J459="","",IF(COUNTIF(tblAnahtarB[NormB],$J459)&gt;1,"EVET","HAYIR"))</f>
        <v/>
      </c>
      <c r="O459" s="15">
        <f>IF($I459="","",ROW()-ROW($I$5))</f>
        <v/>
      </c>
    </row>
    <row r="460">
      <c r="A460" s="7">
        <f>IF(VERI_A!A460="","",VERI_A!A460)</f>
        <v/>
      </c>
      <c r="B460" s="15">
        <f>UPPER(TRIM(SUBSTITUTE($A460," ","")))</f>
        <v/>
      </c>
      <c r="C460" s="15">
        <f>IF($B460="",0,LEN($B460))</f>
        <v/>
      </c>
      <c r="D460" s="15">
        <f>IF($B460="","",LEFT($B460,kdo_ikincilUzunluk))</f>
        <v/>
      </c>
      <c r="E460" s="15">
        <f>"A"</f>
        <v/>
      </c>
      <c r="F460" s="15">
        <f>IF($B460="","",IF(COUNTIF(tblAnahtarA[Norm],$B460)&gt;1,"EVET","HAYIR"))</f>
        <v/>
      </c>
      <c r="G460" s="15">
        <f>IF($A460="","",ROW()-ROW($A$5))</f>
        <v/>
      </c>
      <c r="I460" s="7">
        <f>IF(VERI_B!A460="","",VERI_B!A460)</f>
        <v/>
      </c>
      <c r="J460" s="15">
        <f>UPPER(TRIM(SUBSTITUTE($I460," ","")))</f>
        <v/>
      </c>
      <c r="K460" s="15">
        <f>IF($J460="",0,LEN($J460))</f>
        <v/>
      </c>
      <c r="L460" s="15">
        <f>IF($J460="","",LEFT($J460,kdo_ikincilUzunluk))</f>
        <v/>
      </c>
      <c r="M460" s="15">
        <f>"B"</f>
        <v/>
      </c>
      <c r="N460" s="15">
        <f>IF($J460="","",IF(COUNTIF(tblAnahtarB[NormB],$J460)&gt;1,"EVET","HAYIR"))</f>
        <v/>
      </c>
      <c r="O460" s="15">
        <f>IF($I460="","",ROW()-ROW($I$5))</f>
        <v/>
      </c>
    </row>
    <row r="461">
      <c r="A461" s="7">
        <f>IF(VERI_A!A461="","",VERI_A!A461)</f>
        <v/>
      </c>
      <c r="B461" s="15">
        <f>UPPER(TRIM(SUBSTITUTE($A461," ","")))</f>
        <v/>
      </c>
      <c r="C461" s="15">
        <f>IF($B461="",0,LEN($B461))</f>
        <v/>
      </c>
      <c r="D461" s="15">
        <f>IF($B461="","",LEFT($B461,kdo_ikincilUzunluk))</f>
        <v/>
      </c>
      <c r="E461" s="15">
        <f>"A"</f>
        <v/>
      </c>
      <c r="F461" s="15">
        <f>IF($B461="","",IF(COUNTIF(tblAnahtarA[Norm],$B461)&gt;1,"EVET","HAYIR"))</f>
        <v/>
      </c>
      <c r="G461" s="15">
        <f>IF($A461="","",ROW()-ROW($A$5))</f>
        <v/>
      </c>
      <c r="I461" s="7">
        <f>IF(VERI_B!A461="","",VERI_B!A461)</f>
        <v/>
      </c>
      <c r="J461" s="15">
        <f>UPPER(TRIM(SUBSTITUTE($I461," ","")))</f>
        <v/>
      </c>
      <c r="K461" s="15">
        <f>IF($J461="",0,LEN($J461))</f>
        <v/>
      </c>
      <c r="L461" s="15">
        <f>IF($J461="","",LEFT($J461,kdo_ikincilUzunluk))</f>
        <v/>
      </c>
      <c r="M461" s="15">
        <f>"B"</f>
        <v/>
      </c>
      <c r="N461" s="15">
        <f>IF($J461="","",IF(COUNTIF(tblAnahtarB[NormB],$J461)&gt;1,"EVET","HAYIR"))</f>
        <v/>
      </c>
      <c r="O461" s="15">
        <f>IF($I461="","",ROW()-ROW($I$5))</f>
        <v/>
      </c>
    </row>
    <row r="462">
      <c r="A462" s="7">
        <f>IF(VERI_A!A462="","",VERI_A!A462)</f>
        <v/>
      </c>
      <c r="B462" s="15">
        <f>UPPER(TRIM(SUBSTITUTE($A462," ","")))</f>
        <v/>
      </c>
      <c r="C462" s="15">
        <f>IF($B462="",0,LEN($B462))</f>
        <v/>
      </c>
      <c r="D462" s="15">
        <f>IF($B462="","",LEFT($B462,kdo_ikincilUzunluk))</f>
        <v/>
      </c>
      <c r="E462" s="15">
        <f>"A"</f>
        <v/>
      </c>
      <c r="F462" s="15">
        <f>IF($B462="","",IF(COUNTIF(tblAnahtarA[Norm],$B462)&gt;1,"EVET","HAYIR"))</f>
        <v/>
      </c>
      <c r="G462" s="15">
        <f>IF($A462="","",ROW()-ROW($A$5))</f>
        <v/>
      </c>
      <c r="I462" s="7">
        <f>IF(VERI_B!A462="","",VERI_B!A462)</f>
        <v/>
      </c>
      <c r="J462" s="15">
        <f>UPPER(TRIM(SUBSTITUTE($I462," ","")))</f>
        <v/>
      </c>
      <c r="K462" s="15">
        <f>IF($J462="",0,LEN($J462))</f>
        <v/>
      </c>
      <c r="L462" s="15">
        <f>IF($J462="","",LEFT($J462,kdo_ikincilUzunluk))</f>
        <v/>
      </c>
      <c r="M462" s="15">
        <f>"B"</f>
        <v/>
      </c>
      <c r="N462" s="15">
        <f>IF($J462="","",IF(COUNTIF(tblAnahtarB[NormB],$J462)&gt;1,"EVET","HAYIR"))</f>
        <v/>
      </c>
      <c r="O462" s="15">
        <f>IF($I462="","",ROW()-ROW($I$5))</f>
        <v/>
      </c>
    </row>
    <row r="463">
      <c r="A463" s="7">
        <f>IF(VERI_A!A463="","",VERI_A!A463)</f>
        <v/>
      </c>
      <c r="B463" s="15">
        <f>UPPER(TRIM(SUBSTITUTE($A463," ","")))</f>
        <v/>
      </c>
      <c r="C463" s="15">
        <f>IF($B463="",0,LEN($B463))</f>
        <v/>
      </c>
      <c r="D463" s="15">
        <f>IF($B463="","",LEFT($B463,kdo_ikincilUzunluk))</f>
        <v/>
      </c>
      <c r="E463" s="15">
        <f>"A"</f>
        <v/>
      </c>
      <c r="F463" s="15">
        <f>IF($B463="","",IF(COUNTIF(tblAnahtarA[Norm],$B463)&gt;1,"EVET","HAYIR"))</f>
        <v/>
      </c>
      <c r="G463" s="15">
        <f>IF($A463="","",ROW()-ROW($A$5))</f>
        <v/>
      </c>
      <c r="I463" s="7">
        <f>IF(VERI_B!A463="","",VERI_B!A463)</f>
        <v/>
      </c>
      <c r="J463" s="15">
        <f>UPPER(TRIM(SUBSTITUTE($I463," ","")))</f>
        <v/>
      </c>
      <c r="K463" s="15">
        <f>IF($J463="",0,LEN($J463))</f>
        <v/>
      </c>
      <c r="L463" s="15">
        <f>IF($J463="","",LEFT($J463,kdo_ikincilUzunluk))</f>
        <v/>
      </c>
      <c r="M463" s="15">
        <f>"B"</f>
        <v/>
      </c>
      <c r="N463" s="15">
        <f>IF($J463="","",IF(COUNTIF(tblAnahtarB[NormB],$J463)&gt;1,"EVET","HAYIR"))</f>
        <v/>
      </c>
      <c r="O463" s="15">
        <f>IF($I463="","",ROW()-ROW($I$5))</f>
        <v/>
      </c>
    </row>
    <row r="464">
      <c r="A464" s="7">
        <f>IF(VERI_A!A464="","",VERI_A!A464)</f>
        <v/>
      </c>
      <c r="B464" s="15">
        <f>UPPER(TRIM(SUBSTITUTE($A464," ","")))</f>
        <v/>
      </c>
      <c r="C464" s="15">
        <f>IF($B464="",0,LEN($B464))</f>
        <v/>
      </c>
      <c r="D464" s="15">
        <f>IF($B464="","",LEFT($B464,kdo_ikincilUzunluk))</f>
        <v/>
      </c>
      <c r="E464" s="15">
        <f>"A"</f>
        <v/>
      </c>
      <c r="F464" s="15">
        <f>IF($B464="","",IF(COUNTIF(tblAnahtarA[Norm],$B464)&gt;1,"EVET","HAYIR"))</f>
        <v/>
      </c>
      <c r="G464" s="15">
        <f>IF($A464="","",ROW()-ROW($A$5))</f>
        <v/>
      </c>
      <c r="I464" s="7">
        <f>IF(VERI_B!A464="","",VERI_B!A464)</f>
        <v/>
      </c>
      <c r="J464" s="15">
        <f>UPPER(TRIM(SUBSTITUTE($I464," ","")))</f>
        <v/>
      </c>
      <c r="K464" s="15">
        <f>IF($J464="",0,LEN($J464))</f>
        <v/>
      </c>
      <c r="L464" s="15">
        <f>IF($J464="","",LEFT($J464,kdo_ikincilUzunluk))</f>
        <v/>
      </c>
      <c r="M464" s="15">
        <f>"B"</f>
        <v/>
      </c>
      <c r="N464" s="15">
        <f>IF($J464="","",IF(COUNTIF(tblAnahtarB[NormB],$J464)&gt;1,"EVET","HAYIR"))</f>
        <v/>
      </c>
      <c r="O464" s="15">
        <f>IF($I464="","",ROW()-ROW($I$5))</f>
        <v/>
      </c>
    </row>
    <row r="465">
      <c r="A465" s="7">
        <f>IF(VERI_A!A465="","",VERI_A!A465)</f>
        <v/>
      </c>
      <c r="B465" s="15">
        <f>UPPER(TRIM(SUBSTITUTE($A465," ","")))</f>
        <v/>
      </c>
      <c r="C465" s="15">
        <f>IF($B465="",0,LEN($B465))</f>
        <v/>
      </c>
      <c r="D465" s="15">
        <f>IF($B465="","",LEFT($B465,kdo_ikincilUzunluk))</f>
        <v/>
      </c>
      <c r="E465" s="15">
        <f>"A"</f>
        <v/>
      </c>
      <c r="F465" s="15">
        <f>IF($B465="","",IF(COUNTIF(tblAnahtarA[Norm],$B465)&gt;1,"EVET","HAYIR"))</f>
        <v/>
      </c>
      <c r="G465" s="15">
        <f>IF($A465="","",ROW()-ROW($A$5))</f>
        <v/>
      </c>
      <c r="I465" s="7">
        <f>IF(VERI_B!A465="","",VERI_B!A465)</f>
        <v/>
      </c>
      <c r="J465" s="15">
        <f>UPPER(TRIM(SUBSTITUTE($I465," ","")))</f>
        <v/>
      </c>
      <c r="K465" s="15">
        <f>IF($J465="",0,LEN($J465))</f>
        <v/>
      </c>
      <c r="L465" s="15">
        <f>IF($J465="","",LEFT($J465,kdo_ikincilUzunluk))</f>
        <v/>
      </c>
      <c r="M465" s="15">
        <f>"B"</f>
        <v/>
      </c>
      <c r="N465" s="15">
        <f>IF($J465="","",IF(COUNTIF(tblAnahtarB[NormB],$J465)&gt;1,"EVET","HAYIR"))</f>
        <v/>
      </c>
      <c r="O465" s="15">
        <f>IF($I465="","",ROW()-ROW($I$5))</f>
        <v/>
      </c>
    </row>
    <row r="466">
      <c r="A466" s="7">
        <f>IF(VERI_A!A466="","",VERI_A!A466)</f>
        <v/>
      </c>
      <c r="B466" s="15">
        <f>UPPER(TRIM(SUBSTITUTE($A466," ","")))</f>
        <v/>
      </c>
      <c r="C466" s="15">
        <f>IF($B466="",0,LEN($B466))</f>
        <v/>
      </c>
      <c r="D466" s="15">
        <f>IF($B466="","",LEFT($B466,kdo_ikincilUzunluk))</f>
        <v/>
      </c>
      <c r="E466" s="15">
        <f>"A"</f>
        <v/>
      </c>
      <c r="F466" s="15">
        <f>IF($B466="","",IF(COUNTIF(tblAnahtarA[Norm],$B466)&gt;1,"EVET","HAYIR"))</f>
        <v/>
      </c>
      <c r="G466" s="15">
        <f>IF($A466="","",ROW()-ROW($A$5))</f>
        <v/>
      </c>
      <c r="I466" s="7">
        <f>IF(VERI_B!A466="","",VERI_B!A466)</f>
        <v/>
      </c>
      <c r="J466" s="15">
        <f>UPPER(TRIM(SUBSTITUTE($I466," ","")))</f>
        <v/>
      </c>
      <c r="K466" s="15">
        <f>IF($J466="",0,LEN($J466))</f>
        <v/>
      </c>
      <c r="L466" s="15">
        <f>IF($J466="","",LEFT($J466,kdo_ikincilUzunluk))</f>
        <v/>
      </c>
      <c r="M466" s="15">
        <f>"B"</f>
        <v/>
      </c>
      <c r="N466" s="15">
        <f>IF($J466="","",IF(COUNTIF(tblAnahtarB[NormB],$J466)&gt;1,"EVET","HAYIR"))</f>
        <v/>
      </c>
      <c r="O466" s="15">
        <f>IF($I466="","",ROW()-ROW($I$5))</f>
        <v/>
      </c>
    </row>
    <row r="467">
      <c r="A467" s="7">
        <f>IF(VERI_A!A467="","",VERI_A!A467)</f>
        <v/>
      </c>
      <c r="B467" s="15">
        <f>UPPER(TRIM(SUBSTITUTE($A467," ","")))</f>
        <v/>
      </c>
      <c r="C467" s="15">
        <f>IF($B467="",0,LEN($B467))</f>
        <v/>
      </c>
      <c r="D467" s="15">
        <f>IF($B467="","",LEFT($B467,kdo_ikincilUzunluk))</f>
        <v/>
      </c>
      <c r="E467" s="15">
        <f>"A"</f>
        <v/>
      </c>
      <c r="F467" s="15">
        <f>IF($B467="","",IF(COUNTIF(tblAnahtarA[Norm],$B467)&gt;1,"EVET","HAYIR"))</f>
        <v/>
      </c>
      <c r="G467" s="15">
        <f>IF($A467="","",ROW()-ROW($A$5))</f>
        <v/>
      </c>
      <c r="I467" s="7">
        <f>IF(VERI_B!A467="","",VERI_B!A467)</f>
        <v/>
      </c>
      <c r="J467" s="15">
        <f>UPPER(TRIM(SUBSTITUTE($I467," ","")))</f>
        <v/>
      </c>
      <c r="K467" s="15">
        <f>IF($J467="",0,LEN($J467))</f>
        <v/>
      </c>
      <c r="L467" s="15">
        <f>IF($J467="","",LEFT($J467,kdo_ikincilUzunluk))</f>
        <v/>
      </c>
      <c r="M467" s="15">
        <f>"B"</f>
        <v/>
      </c>
      <c r="N467" s="15">
        <f>IF($J467="","",IF(COUNTIF(tblAnahtarB[NormB],$J467)&gt;1,"EVET","HAYIR"))</f>
        <v/>
      </c>
      <c r="O467" s="15">
        <f>IF($I467="","",ROW()-ROW($I$5))</f>
        <v/>
      </c>
    </row>
    <row r="468">
      <c r="A468" s="7">
        <f>IF(VERI_A!A468="","",VERI_A!A468)</f>
        <v/>
      </c>
      <c r="B468" s="15">
        <f>UPPER(TRIM(SUBSTITUTE($A468," ","")))</f>
        <v/>
      </c>
      <c r="C468" s="15">
        <f>IF($B468="",0,LEN($B468))</f>
        <v/>
      </c>
      <c r="D468" s="15">
        <f>IF($B468="","",LEFT($B468,kdo_ikincilUzunluk))</f>
        <v/>
      </c>
      <c r="E468" s="15">
        <f>"A"</f>
        <v/>
      </c>
      <c r="F468" s="15">
        <f>IF($B468="","",IF(COUNTIF(tblAnahtarA[Norm],$B468)&gt;1,"EVET","HAYIR"))</f>
        <v/>
      </c>
      <c r="G468" s="15">
        <f>IF($A468="","",ROW()-ROW($A$5))</f>
        <v/>
      </c>
      <c r="I468" s="7">
        <f>IF(VERI_B!A468="","",VERI_B!A468)</f>
        <v/>
      </c>
      <c r="J468" s="15">
        <f>UPPER(TRIM(SUBSTITUTE($I468," ","")))</f>
        <v/>
      </c>
      <c r="K468" s="15">
        <f>IF($J468="",0,LEN($J468))</f>
        <v/>
      </c>
      <c r="L468" s="15">
        <f>IF($J468="","",LEFT($J468,kdo_ikincilUzunluk))</f>
        <v/>
      </c>
      <c r="M468" s="15">
        <f>"B"</f>
        <v/>
      </c>
      <c r="N468" s="15">
        <f>IF($J468="","",IF(COUNTIF(tblAnahtarB[NormB],$J468)&gt;1,"EVET","HAYIR"))</f>
        <v/>
      </c>
      <c r="O468" s="15">
        <f>IF($I468="","",ROW()-ROW($I$5))</f>
        <v/>
      </c>
    </row>
    <row r="469">
      <c r="A469" s="7">
        <f>IF(VERI_A!A469="","",VERI_A!A469)</f>
        <v/>
      </c>
      <c r="B469" s="15">
        <f>UPPER(TRIM(SUBSTITUTE($A469," ","")))</f>
        <v/>
      </c>
      <c r="C469" s="15">
        <f>IF($B469="",0,LEN($B469))</f>
        <v/>
      </c>
      <c r="D469" s="15">
        <f>IF($B469="","",LEFT($B469,kdo_ikincilUzunluk))</f>
        <v/>
      </c>
      <c r="E469" s="15">
        <f>"A"</f>
        <v/>
      </c>
      <c r="F469" s="15">
        <f>IF($B469="","",IF(COUNTIF(tblAnahtarA[Norm],$B469)&gt;1,"EVET","HAYIR"))</f>
        <v/>
      </c>
      <c r="G469" s="15">
        <f>IF($A469="","",ROW()-ROW($A$5))</f>
        <v/>
      </c>
      <c r="I469" s="7">
        <f>IF(VERI_B!A469="","",VERI_B!A469)</f>
        <v/>
      </c>
      <c r="J469" s="15">
        <f>UPPER(TRIM(SUBSTITUTE($I469," ","")))</f>
        <v/>
      </c>
      <c r="K469" s="15">
        <f>IF($J469="",0,LEN($J469))</f>
        <v/>
      </c>
      <c r="L469" s="15">
        <f>IF($J469="","",LEFT($J469,kdo_ikincilUzunluk))</f>
        <v/>
      </c>
      <c r="M469" s="15">
        <f>"B"</f>
        <v/>
      </c>
      <c r="N469" s="15">
        <f>IF($J469="","",IF(COUNTIF(tblAnahtarB[NormB],$J469)&gt;1,"EVET","HAYIR"))</f>
        <v/>
      </c>
      <c r="O469" s="15">
        <f>IF($I469="","",ROW()-ROW($I$5))</f>
        <v/>
      </c>
    </row>
    <row r="470">
      <c r="A470" s="7">
        <f>IF(VERI_A!A470="","",VERI_A!A470)</f>
        <v/>
      </c>
      <c r="B470" s="15">
        <f>UPPER(TRIM(SUBSTITUTE($A470," ","")))</f>
        <v/>
      </c>
      <c r="C470" s="15">
        <f>IF($B470="",0,LEN($B470))</f>
        <v/>
      </c>
      <c r="D470" s="15">
        <f>IF($B470="","",LEFT($B470,kdo_ikincilUzunluk))</f>
        <v/>
      </c>
      <c r="E470" s="15">
        <f>"A"</f>
        <v/>
      </c>
      <c r="F470" s="15">
        <f>IF($B470="","",IF(COUNTIF(tblAnahtarA[Norm],$B470)&gt;1,"EVET","HAYIR"))</f>
        <v/>
      </c>
      <c r="G470" s="15">
        <f>IF($A470="","",ROW()-ROW($A$5))</f>
        <v/>
      </c>
      <c r="I470" s="7">
        <f>IF(VERI_B!A470="","",VERI_B!A470)</f>
        <v/>
      </c>
      <c r="J470" s="15">
        <f>UPPER(TRIM(SUBSTITUTE($I470," ","")))</f>
        <v/>
      </c>
      <c r="K470" s="15">
        <f>IF($J470="",0,LEN($J470))</f>
        <v/>
      </c>
      <c r="L470" s="15">
        <f>IF($J470="","",LEFT($J470,kdo_ikincilUzunluk))</f>
        <v/>
      </c>
      <c r="M470" s="15">
        <f>"B"</f>
        <v/>
      </c>
      <c r="N470" s="15">
        <f>IF($J470="","",IF(COUNTIF(tblAnahtarB[NormB],$J470)&gt;1,"EVET","HAYIR"))</f>
        <v/>
      </c>
      <c r="O470" s="15">
        <f>IF($I470="","",ROW()-ROW($I$5))</f>
        <v/>
      </c>
    </row>
    <row r="471">
      <c r="A471" s="7">
        <f>IF(VERI_A!A471="","",VERI_A!A471)</f>
        <v/>
      </c>
      <c r="B471" s="15">
        <f>UPPER(TRIM(SUBSTITUTE($A471," ","")))</f>
        <v/>
      </c>
      <c r="C471" s="15">
        <f>IF($B471="",0,LEN($B471))</f>
        <v/>
      </c>
      <c r="D471" s="15">
        <f>IF($B471="","",LEFT($B471,kdo_ikincilUzunluk))</f>
        <v/>
      </c>
      <c r="E471" s="15">
        <f>"A"</f>
        <v/>
      </c>
      <c r="F471" s="15">
        <f>IF($B471="","",IF(COUNTIF(tblAnahtarA[Norm],$B471)&gt;1,"EVET","HAYIR"))</f>
        <v/>
      </c>
      <c r="G471" s="15">
        <f>IF($A471="","",ROW()-ROW($A$5))</f>
        <v/>
      </c>
      <c r="I471" s="7">
        <f>IF(VERI_B!A471="","",VERI_B!A471)</f>
        <v/>
      </c>
      <c r="J471" s="15">
        <f>UPPER(TRIM(SUBSTITUTE($I471," ","")))</f>
        <v/>
      </c>
      <c r="K471" s="15">
        <f>IF($J471="",0,LEN($J471))</f>
        <v/>
      </c>
      <c r="L471" s="15">
        <f>IF($J471="","",LEFT($J471,kdo_ikincilUzunluk))</f>
        <v/>
      </c>
      <c r="M471" s="15">
        <f>"B"</f>
        <v/>
      </c>
      <c r="N471" s="15">
        <f>IF($J471="","",IF(COUNTIF(tblAnahtarB[NormB],$J471)&gt;1,"EVET","HAYIR"))</f>
        <v/>
      </c>
      <c r="O471" s="15">
        <f>IF($I471="","",ROW()-ROW($I$5))</f>
        <v/>
      </c>
    </row>
    <row r="472">
      <c r="A472" s="7">
        <f>IF(VERI_A!A472="","",VERI_A!A472)</f>
        <v/>
      </c>
      <c r="B472" s="15">
        <f>UPPER(TRIM(SUBSTITUTE($A472," ","")))</f>
        <v/>
      </c>
      <c r="C472" s="15">
        <f>IF($B472="",0,LEN($B472))</f>
        <v/>
      </c>
      <c r="D472" s="15">
        <f>IF($B472="","",LEFT($B472,kdo_ikincilUzunluk))</f>
        <v/>
      </c>
      <c r="E472" s="15">
        <f>"A"</f>
        <v/>
      </c>
      <c r="F472" s="15">
        <f>IF($B472="","",IF(COUNTIF(tblAnahtarA[Norm],$B472)&gt;1,"EVET","HAYIR"))</f>
        <v/>
      </c>
      <c r="G472" s="15">
        <f>IF($A472="","",ROW()-ROW($A$5))</f>
        <v/>
      </c>
      <c r="I472" s="7">
        <f>IF(VERI_B!A472="","",VERI_B!A472)</f>
        <v/>
      </c>
      <c r="J472" s="15">
        <f>UPPER(TRIM(SUBSTITUTE($I472," ","")))</f>
        <v/>
      </c>
      <c r="K472" s="15">
        <f>IF($J472="",0,LEN($J472))</f>
        <v/>
      </c>
      <c r="L472" s="15">
        <f>IF($J472="","",LEFT($J472,kdo_ikincilUzunluk))</f>
        <v/>
      </c>
      <c r="M472" s="15">
        <f>"B"</f>
        <v/>
      </c>
      <c r="N472" s="15">
        <f>IF($J472="","",IF(COUNTIF(tblAnahtarB[NormB],$J472)&gt;1,"EVET","HAYIR"))</f>
        <v/>
      </c>
      <c r="O472" s="15">
        <f>IF($I472="","",ROW()-ROW($I$5))</f>
        <v/>
      </c>
    </row>
    <row r="473">
      <c r="A473" s="7">
        <f>IF(VERI_A!A473="","",VERI_A!A473)</f>
        <v/>
      </c>
      <c r="B473" s="15">
        <f>UPPER(TRIM(SUBSTITUTE($A473," ","")))</f>
        <v/>
      </c>
      <c r="C473" s="15">
        <f>IF($B473="",0,LEN($B473))</f>
        <v/>
      </c>
      <c r="D473" s="15">
        <f>IF($B473="","",LEFT($B473,kdo_ikincilUzunluk))</f>
        <v/>
      </c>
      <c r="E473" s="15">
        <f>"A"</f>
        <v/>
      </c>
      <c r="F473" s="15">
        <f>IF($B473="","",IF(COUNTIF(tblAnahtarA[Norm],$B473)&gt;1,"EVET","HAYIR"))</f>
        <v/>
      </c>
      <c r="G473" s="15">
        <f>IF($A473="","",ROW()-ROW($A$5))</f>
        <v/>
      </c>
      <c r="I473" s="7">
        <f>IF(VERI_B!A473="","",VERI_B!A473)</f>
        <v/>
      </c>
      <c r="J473" s="15">
        <f>UPPER(TRIM(SUBSTITUTE($I473," ","")))</f>
        <v/>
      </c>
      <c r="K473" s="15">
        <f>IF($J473="",0,LEN($J473))</f>
        <v/>
      </c>
      <c r="L473" s="15">
        <f>IF($J473="","",LEFT($J473,kdo_ikincilUzunluk))</f>
        <v/>
      </c>
      <c r="M473" s="15">
        <f>"B"</f>
        <v/>
      </c>
      <c r="N473" s="15">
        <f>IF($J473="","",IF(COUNTIF(tblAnahtarB[NormB],$J473)&gt;1,"EVET","HAYIR"))</f>
        <v/>
      </c>
      <c r="O473" s="15">
        <f>IF($I473="","",ROW()-ROW($I$5))</f>
        <v/>
      </c>
    </row>
    <row r="474">
      <c r="A474" s="7">
        <f>IF(VERI_A!A474="","",VERI_A!A474)</f>
        <v/>
      </c>
      <c r="B474" s="15">
        <f>UPPER(TRIM(SUBSTITUTE($A474," ","")))</f>
        <v/>
      </c>
      <c r="C474" s="15">
        <f>IF($B474="",0,LEN($B474))</f>
        <v/>
      </c>
      <c r="D474" s="15">
        <f>IF($B474="","",LEFT($B474,kdo_ikincilUzunluk))</f>
        <v/>
      </c>
      <c r="E474" s="15">
        <f>"A"</f>
        <v/>
      </c>
      <c r="F474" s="15">
        <f>IF($B474="","",IF(COUNTIF(tblAnahtarA[Norm],$B474)&gt;1,"EVET","HAYIR"))</f>
        <v/>
      </c>
      <c r="G474" s="15">
        <f>IF($A474="","",ROW()-ROW($A$5))</f>
        <v/>
      </c>
      <c r="I474" s="7">
        <f>IF(VERI_B!A474="","",VERI_B!A474)</f>
        <v/>
      </c>
      <c r="J474" s="15">
        <f>UPPER(TRIM(SUBSTITUTE($I474," ","")))</f>
        <v/>
      </c>
      <c r="K474" s="15">
        <f>IF($J474="",0,LEN($J474))</f>
        <v/>
      </c>
      <c r="L474" s="15">
        <f>IF($J474="","",LEFT($J474,kdo_ikincilUzunluk))</f>
        <v/>
      </c>
      <c r="M474" s="15">
        <f>"B"</f>
        <v/>
      </c>
      <c r="N474" s="15">
        <f>IF($J474="","",IF(COUNTIF(tblAnahtarB[NormB],$J474)&gt;1,"EVET","HAYIR"))</f>
        <v/>
      </c>
      <c r="O474" s="15">
        <f>IF($I474="","",ROW()-ROW($I$5))</f>
        <v/>
      </c>
    </row>
    <row r="475">
      <c r="A475" s="7">
        <f>IF(VERI_A!A475="","",VERI_A!A475)</f>
        <v/>
      </c>
      <c r="B475" s="15">
        <f>UPPER(TRIM(SUBSTITUTE($A475," ","")))</f>
        <v/>
      </c>
      <c r="C475" s="15">
        <f>IF($B475="",0,LEN($B475))</f>
        <v/>
      </c>
      <c r="D475" s="15">
        <f>IF($B475="","",LEFT($B475,kdo_ikincilUzunluk))</f>
        <v/>
      </c>
      <c r="E475" s="15">
        <f>"A"</f>
        <v/>
      </c>
      <c r="F475" s="15">
        <f>IF($B475="","",IF(COUNTIF(tblAnahtarA[Norm],$B475)&gt;1,"EVET","HAYIR"))</f>
        <v/>
      </c>
      <c r="G475" s="15">
        <f>IF($A475="","",ROW()-ROW($A$5))</f>
        <v/>
      </c>
      <c r="I475" s="7">
        <f>IF(VERI_B!A475="","",VERI_B!A475)</f>
        <v/>
      </c>
      <c r="J475" s="15">
        <f>UPPER(TRIM(SUBSTITUTE($I475," ","")))</f>
        <v/>
      </c>
      <c r="K475" s="15">
        <f>IF($J475="",0,LEN($J475))</f>
        <v/>
      </c>
      <c r="L475" s="15">
        <f>IF($J475="","",LEFT($J475,kdo_ikincilUzunluk))</f>
        <v/>
      </c>
      <c r="M475" s="15">
        <f>"B"</f>
        <v/>
      </c>
      <c r="N475" s="15">
        <f>IF($J475="","",IF(COUNTIF(tblAnahtarB[NormB],$J475)&gt;1,"EVET","HAYIR"))</f>
        <v/>
      </c>
      <c r="O475" s="15">
        <f>IF($I475="","",ROW()-ROW($I$5))</f>
        <v/>
      </c>
    </row>
    <row r="476">
      <c r="A476" s="7">
        <f>IF(VERI_A!A476="","",VERI_A!A476)</f>
        <v/>
      </c>
      <c r="B476" s="15">
        <f>UPPER(TRIM(SUBSTITUTE($A476," ","")))</f>
        <v/>
      </c>
      <c r="C476" s="15">
        <f>IF($B476="",0,LEN($B476))</f>
        <v/>
      </c>
      <c r="D476" s="15">
        <f>IF($B476="","",LEFT($B476,kdo_ikincilUzunluk))</f>
        <v/>
      </c>
      <c r="E476" s="15">
        <f>"A"</f>
        <v/>
      </c>
      <c r="F476" s="15">
        <f>IF($B476="","",IF(COUNTIF(tblAnahtarA[Norm],$B476)&gt;1,"EVET","HAYIR"))</f>
        <v/>
      </c>
      <c r="G476" s="15">
        <f>IF($A476="","",ROW()-ROW($A$5))</f>
        <v/>
      </c>
      <c r="I476" s="7">
        <f>IF(VERI_B!A476="","",VERI_B!A476)</f>
        <v/>
      </c>
      <c r="J476" s="15">
        <f>UPPER(TRIM(SUBSTITUTE($I476," ","")))</f>
        <v/>
      </c>
      <c r="K476" s="15">
        <f>IF($J476="",0,LEN($J476))</f>
        <v/>
      </c>
      <c r="L476" s="15">
        <f>IF($J476="","",LEFT($J476,kdo_ikincilUzunluk))</f>
        <v/>
      </c>
      <c r="M476" s="15">
        <f>"B"</f>
        <v/>
      </c>
      <c r="N476" s="15">
        <f>IF($J476="","",IF(COUNTIF(tblAnahtarB[NormB],$J476)&gt;1,"EVET","HAYIR"))</f>
        <v/>
      </c>
      <c r="O476" s="15">
        <f>IF($I476="","",ROW()-ROW($I$5))</f>
        <v/>
      </c>
    </row>
    <row r="477">
      <c r="A477" s="7">
        <f>IF(VERI_A!A477="","",VERI_A!A477)</f>
        <v/>
      </c>
      <c r="B477" s="15">
        <f>UPPER(TRIM(SUBSTITUTE($A477," ","")))</f>
        <v/>
      </c>
      <c r="C477" s="15">
        <f>IF($B477="",0,LEN($B477))</f>
        <v/>
      </c>
      <c r="D477" s="15">
        <f>IF($B477="","",LEFT($B477,kdo_ikincilUzunluk))</f>
        <v/>
      </c>
      <c r="E477" s="15">
        <f>"A"</f>
        <v/>
      </c>
      <c r="F477" s="15">
        <f>IF($B477="","",IF(COUNTIF(tblAnahtarA[Norm],$B477)&gt;1,"EVET","HAYIR"))</f>
        <v/>
      </c>
      <c r="G477" s="15">
        <f>IF($A477="","",ROW()-ROW($A$5))</f>
        <v/>
      </c>
      <c r="I477" s="7">
        <f>IF(VERI_B!A477="","",VERI_B!A477)</f>
        <v/>
      </c>
      <c r="J477" s="15">
        <f>UPPER(TRIM(SUBSTITUTE($I477," ","")))</f>
        <v/>
      </c>
      <c r="K477" s="15">
        <f>IF($J477="",0,LEN($J477))</f>
        <v/>
      </c>
      <c r="L477" s="15">
        <f>IF($J477="","",LEFT($J477,kdo_ikincilUzunluk))</f>
        <v/>
      </c>
      <c r="M477" s="15">
        <f>"B"</f>
        <v/>
      </c>
      <c r="N477" s="15">
        <f>IF($J477="","",IF(COUNTIF(tblAnahtarB[NormB],$J477)&gt;1,"EVET","HAYIR"))</f>
        <v/>
      </c>
      <c r="O477" s="15">
        <f>IF($I477="","",ROW()-ROW($I$5))</f>
        <v/>
      </c>
    </row>
    <row r="478">
      <c r="A478" s="7">
        <f>IF(VERI_A!A478="","",VERI_A!A478)</f>
        <v/>
      </c>
      <c r="B478" s="15">
        <f>UPPER(TRIM(SUBSTITUTE($A478," ","")))</f>
        <v/>
      </c>
      <c r="C478" s="15">
        <f>IF($B478="",0,LEN($B478))</f>
        <v/>
      </c>
      <c r="D478" s="15">
        <f>IF($B478="","",LEFT($B478,kdo_ikincilUzunluk))</f>
        <v/>
      </c>
      <c r="E478" s="15">
        <f>"A"</f>
        <v/>
      </c>
      <c r="F478" s="15">
        <f>IF($B478="","",IF(COUNTIF(tblAnahtarA[Norm],$B478)&gt;1,"EVET","HAYIR"))</f>
        <v/>
      </c>
      <c r="G478" s="15">
        <f>IF($A478="","",ROW()-ROW($A$5))</f>
        <v/>
      </c>
      <c r="I478" s="7">
        <f>IF(VERI_B!A478="","",VERI_B!A478)</f>
        <v/>
      </c>
      <c r="J478" s="15">
        <f>UPPER(TRIM(SUBSTITUTE($I478," ","")))</f>
        <v/>
      </c>
      <c r="K478" s="15">
        <f>IF($J478="",0,LEN($J478))</f>
        <v/>
      </c>
      <c r="L478" s="15">
        <f>IF($J478="","",LEFT($J478,kdo_ikincilUzunluk))</f>
        <v/>
      </c>
      <c r="M478" s="15">
        <f>"B"</f>
        <v/>
      </c>
      <c r="N478" s="15">
        <f>IF($J478="","",IF(COUNTIF(tblAnahtarB[NormB],$J478)&gt;1,"EVET","HAYIR"))</f>
        <v/>
      </c>
      <c r="O478" s="15">
        <f>IF($I478="","",ROW()-ROW($I$5))</f>
        <v/>
      </c>
    </row>
    <row r="479">
      <c r="A479" s="7">
        <f>IF(VERI_A!A479="","",VERI_A!A479)</f>
        <v/>
      </c>
      <c r="B479" s="15">
        <f>UPPER(TRIM(SUBSTITUTE($A479," ","")))</f>
        <v/>
      </c>
      <c r="C479" s="15">
        <f>IF($B479="",0,LEN($B479))</f>
        <v/>
      </c>
      <c r="D479" s="15">
        <f>IF($B479="","",LEFT($B479,kdo_ikincilUzunluk))</f>
        <v/>
      </c>
      <c r="E479" s="15">
        <f>"A"</f>
        <v/>
      </c>
      <c r="F479" s="15">
        <f>IF($B479="","",IF(COUNTIF(tblAnahtarA[Norm],$B479)&gt;1,"EVET","HAYIR"))</f>
        <v/>
      </c>
      <c r="G479" s="15">
        <f>IF($A479="","",ROW()-ROW($A$5))</f>
        <v/>
      </c>
      <c r="I479" s="7">
        <f>IF(VERI_B!A479="","",VERI_B!A479)</f>
        <v/>
      </c>
      <c r="J479" s="15">
        <f>UPPER(TRIM(SUBSTITUTE($I479," ","")))</f>
        <v/>
      </c>
      <c r="K479" s="15">
        <f>IF($J479="",0,LEN($J479))</f>
        <v/>
      </c>
      <c r="L479" s="15">
        <f>IF($J479="","",LEFT($J479,kdo_ikincilUzunluk))</f>
        <v/>
      </c>
      <c r="M479" s="15">
        <f>"B"</f>
        <v/>
      </c>
      <c r="N479" s="15">
        <f>IF($J479="","",IF(COUNTIF(tblAnahtarB[NormB],$J479)&gt;1,"EVET","HAYIR"))</f>
        <v/>
      </c>
      <c r="O479" s="15">
        <f>IF($I479="","",ROW()-ROW($I$5))</f>
        <v/>
      </c>
    </row>
    <row r="480">
      <c r="A480" s="7">
        <f>IF(VERI_A!A480="","",VERI_A!A480)</f>
        <v/>
      </c>
      <c r="B480" s="15">
        <f>UPPER(TRIM(SUBSTITUTE($A480," ","")))</f>
        <v/>
      </c>
      <c r="C480" s="15">
        <f>IF($B480="",0,LEN($B480))</f>
        <v/>
      </c>
      <c r="D480" s="15">
        <f>IF($B480="","",LEFT($B480,kdo_ikincilUzunluk))</f>
        <v/>
      </c>
      <c r="E480" s="15">
        <f>"A"</f>
        <v/>
      </c>
      <c r="F480" s="15">
        <f>IF($B480="","",IF(COUNTIF(tblAnahtarA[Norm],$B480)&gt;1,"EVET","HAYIR"))</f>
        <v/>
      </c>
      <c r="G480" s="15">
        <f>IF($A480="","",ROW()-ROW($A$5))</f>
        <v/>
      </c>
      <c r="I480" s="7">
        <f>IF(VERI_B!A480="","",VERI_B!A480)</f>
        <v/>
      </c>
      <c r="J480" s="15">
        <f>UPPER(TRIM(SUBSTITUTE($I480," ","")))</f>
        <v/>
      </c>
      <c r="K480" s="15">
        <f>IF($J480="",0,LEN($J480))</f>
        <v/>
      </c>
      <c r="L480" s="15">
        <f>IF($J480="","",LEFT($J480,kdo_ikincilUzunluk))</f>
        <v/>
      </c>
      <c r="M480" s="15">
        <f>"B"</f>
        <v/>
      </c>
      <c r="N480" s="15">
        <f>IF($J480="","",IF(COUNTIF(tblAnahtarB[NormB],$J480)&gt;1,"EVET","HAYIR"))</f>
        <v/>
      </c>
      <c r="O480" s="15">
        <f>IF($I480="","",ROW()-ROW($I$5))</f>
        <v/>
      </c>
    </row>
    <row r="481">
      <c r="A481" s="7">
        <f>IF(VERI_A!A481="","",VERI_A!A481)</f>
        <v/>
      </c>
      <c r="B481" s="15">
        <f>UPPER(TRIM(SUBSTITUTE($A481," ","")))</f>
        <v/>
      </c>
      <c r="C481" s="15">
        <f>IF($B481="",0,LEN($B481))</f>
        <v/>
      </c>
      <c r="D481" s="15">
        <f>IF($B481="","",LEFT($B481,kdo_ikincilUzunluk))</f>
        <v/>
      </c>
      <c r="E481" s="15">
        <f>"A"</f>
        <v/>
      </c>
      <c r="F481" s="15">
        <f>IF($B481="","",IF(COUNTIF(tblAnahtarA[Norm],$B481)&gt;1,"EVET","HAYIR"))</f>
        <v/>
      </c>
      <c r="G481" s="15">
        <f>IF($A481="","",ROW()-ROW($A$5))</f>
        <v/>
      </c>
      <c r="I481" s="7">
        <f>IF(VERI_B!A481="","",VERI_B!A481)</f>
        <v/>
      </c>
      <c r="J481" s="15">
        <f>UPPER(TRIM(SUBSTITUTE($I481," ","")))</f>
        <v/>
      </c>
      <c r="K481" s="15">
        <f>IF($J481="",0,LEN($J481))</f>
        <v/>
      </c>
      <c r="L481" s="15">
        <f>IF($J481="","",LEFT($J481,kdo_ikincilUzunluk))</f>
        <v/>
      </c>
      <c r="M481" s="15">
        <f>"B"</f>
        <v/>
      </c>
      <c r="N481" s="15">
        <f>IF($J481="","",IF(COUNTIF(tblAnahtarB[NormB],$J481)&gt;1,"EVET","HAYIR"))</f>
        <v/>
      </c>
      <c r="O481" s="15">
        <f>IF($I481="","",ROW()-ROW($I$5))</f>
        <v/>
      </c>
    </row>
    <row r="482">
      <c r="A482" s="7">
        <f>IF(VERI_A!A482="","",VERI_A!A482)</f>
        <v/>
      </c>
      <c r="B482" s="15">
        <f>UPPER(TRIM(SUBSTITUTE($A482," ","")))</f>
        <v/>
      </c>
      <c r="C482" s="15">
        <f>IF($B482="",0,LEN($B482))</f>
        <v/>
      </c>
      <c r="D482" s="15">
        <f>IF($B482="","",LEFT($B482,kdo_ikincilUzunluk))</f>
        <v/>
      </c>
      <c r="E482" s="15">
        <f>"A"</f>
        <v/>
      </c>
      <c r="F482" s="15">
        <f>IF($B482="","",IF(COUNTIF(tblAnahtarA[Norm],$B482)&gt;1,"EVET","HAYIR"))</f>
        <v/>
      </c>
      <c r="G482" s="15">
        <f>IF($A482="","",ROW()-ROW($A$5))</f>
        <v/>
      </c>
      <c r="I482" s="7">
        <f>IF(VERI_B!A482="","",VERI_B!A482)</f>
        <v/>
      </c>
      <c r="J482" s="15">
        <f>UPPER(TRIM(SUBSTITUTE($I482," ","")))</f>
        <v/>
      </c>
      <c r="K482" s="15">
        <f>IF($J482="",0,LEN($J482))</f>
        <v/>
      </c>
      <c r="L482" s="15">
        <f>IF($J482="","",LEFT($J482,kdo_ikincilUzunluk))</f>
        <v/>
      </c>
      <c r="M482" s="15">
        <f>"B"</f>
        <v/>
      </c>
      <c r="N482" s="15">
        <f>IF($J482="","",IF(COUNTIF(tblAnahtarB[NormB],$J482)&gt;1,"EVET","HAYIR"))</f>
        <v/>
      </c>
      <c r="O482" s="15">
        <f>IF($I482="","",ROW()-ROW($I$5))</f>
        <v/>
      </c>
    </row>
    <row r="483">
      <c r="A483" s="7">
        <f>IF(VERI_A!A483="","",VERI_A!A483)</f>
        <v/>
      </c>
      <c r="B483" s="15">
        <f>UPPER(TRIM(SUBSTITUTE($A483," ","")))</f>
        <v/>
      </c>
      <c r="C483" s="15">
        <f>IF($B483="",0,LEN($B483))</f>
        <v/>
      </c>
      <c r="D483" s="15">
        <f>IF($B483="","",LEFT($B483,kdo_ikincilUzunluk))</f>
        <v/>
      </c>
      <c r="E483" s="15">
        <f>"A"</f>
        <v/>
      </c>
      <c r="F483" s="15">
        <f>IF($B483="","",IF(COUNTIF(tblAnahtarA[Norm],$B483)&gt;1,"EVET","HAYIR"))</f>
        <v/>
      </c>
      <c r="G483" s="15">
        <f>IF($A483="","",ROW()-ROW($A$5))</f>
        <v/>
      </c>
      <c r="I483" s="7">
        <f>IF(VERI_B!A483="","",VERI_B!A483)</f>
        <v/>
      </c>
      <c r="J483" s="15">
        <f>UPPER(TRIM(SUBSTITUTE($I483," ","")))</f>
        <v/>
      </c>
      <c r="K483" s="15">
        <f>IF($J483="",0,LEN($J483))</f>
        <v/>
      </c>
      <c r="L483" s="15">
        <f>IF($J483="","",LEFT($J483,kdo_ikincilUzunluk))</f>
        <v/>
      </c>
      <c r="M483" s="15">
        <f>"B"</f>
        <v/>
      </c>
      <c r="N483" s="15">
        <f>IF($J483="","",IF(COUNTIF(tblAnahtarB[NormB],$J483)&gt;1,"EVET","HAYIR"))</f>
        <v/>
      </c>
      <c r="O483" s="15">
        <f>IF($I483="","",ROW()-ROW($I$5))</f>
        <v/>
      </c>
    </row>
    <row r="484">
      <c r="A484" s="7">
        <f>IF(VERI_A!A484="","",VERI_A!A484)</f>
        <v/>
      </c>
      <c r="B484" s="15">
        <f>UPPER(TRIM(SUBSTITUTE($A484," ","")))</f>
        <v/>
      </c>
      <c r="C484" s="15">
        <f>IF($B484="",0,LEN($B484))</f>
        <v/>
      </c>
      <c r="D484" s="15">
        <f>IF($B484="","",LEFT($B484,kdo_ikincilUzunluk))</f>
        <v/>
      </c>
      <c r="E484" s="15">
        <f>"A"</f>
        <v/>
      </c>
      <c r="F484" s="15">
        <f>IF($B484="","",IF(COUNTIF(tblAnahtarA[Norm],$B484)&gt;1,"EVET","HAYIR"))</f>
        <v/>
      </c>
      <c r="G484" s="15">
        <f>IF($A484="","",ROW()-ROW($A$5))</f>
        <v/>
      </c>
      <c r="I484" s="7">
        <f>IF(VERI_B!A484="","",VERI_B!A484)</f>
        <v/>
      </c>
      <c r="J484" s="15">
        <f>UPPER(TRIM(SUBSTITUTE($I484," ","")))</f>
        <v/>
      </c>
      <c r="K484" s="15">
        <f>IF($J484="",0,LEN($J484))</f>
        <v/>
      </c>
      <c r="L484" s="15">
        <f>IF($J484="","",LEFT($J484,kdo_ikincilUzunluk))</f>
        <v/>
      </c>
      <c r="M484" s="15">
        <f>"B"</f>
        <v/>
      </c>
      <c r="N484" s="15">
        <f>IF($J484="","",IF(COUNTIF(tblAnahtarB[NormB],$J484)&gt;1,"EVET","HAYIR"))</f>
        <v/>
      </c>
      <c r="O484" s="15">
        <f>IF($I484="","",ROW()-ROW($I$5))</f>
        <v/>
      </c>
    </row>
    <row r="485">
      <c r="A485" s="7">
        <f>IF(VERI_A!A485="","",VERI_A!A485)</f>
        <v/>
      </c>
      <c r="B485" s="15">
        <f>UPPER(TRIM(SUBSTITUTE($A485," ","")))</f>
        <v/>
      </c>
      <c r="C485" s="15">
        <f>IF($B485="",0,LEN($B485))</f>
        <v/>
      </c>
      <c r="D485" s="15">
        <f>IF($B485="","",LEFT($B485,kdo_ikincilUzunluk))</f>
        <v/>
      </c>
      <c r="E485" s="15">
        <f>"A"</f>
        <v/>
      </c>
      <c r="F485" s="15">
        <f>IF($B485="","",IF(COUNTIF(tblAnahtarA[Norm],$B485)&gt;1,"EVET","HAYIR"))</f>
        <v/>
      </c>
      <c r="G485" s="15">
        <f>IF($A485="","",ROW()-ROW($A$5))</f>
        <v/>
      </c>
      <c r="I485" s="7">
        <f>IF(VERI_B!A485="","",VERI_B!A485)</f>
        <v/>
      </c>
      <c r="J485" s="15">
        <f>UPPER(TRIM(SUBSTITUTE($I485," ","")))</f>
        <v/>
      </c>
      <c r="K485" s="15">
        <f>IF($J485="",0,LEN($J485))</f>
        <v/>
      </c>
      <c r="L485" s="15">
        <f>IF($J485="","",LEFT($J485,kdo_ikincilUzunluk))</f>
        <v/>
      </c>
      <c r="M485" s="15">
        <f>"B"</f>
        <v/>
      </c>
      <c r="N485" s="15">
        <f>IF($J485="","",IF(COUNTIF(tblAnahtarB[NormB],$J485)&gt;1,"EVET","HAYIR"))</f>
        <v/>
      </c>
      <c r="O485" s="15">
        <f>IF($I485="","",ROW()-ROW($I$5))</f>
        <v/>
      </c>
    </row>
    <row r="486">
      <c r="A486" s="7">
        <f>IF(VERI_A!A486="","",VERI_A!A486)</f>
        <v/>
      </c>
      <c r="B486" s="15">
        <f>UPPER(TRIM(SUBSTITUTE($A486," ","")))</f>
        <v/>
      </c>
      <c r="C486" s="15">
        <f>IF($B486="",0,LEN($B486))</f>
        <v/>
      </c>
      <c r="D486" s="15">
        <f>IF($B486="","",LEFT($B486,kdo_ikincilUzunluk))</f>
        <v/>
      </c>
      <c r="E486" s="15">
        <f>"A"</f>
        <v/>
      </c>
      <c r="F486" s="15">
        <f>IF($B486="","",IF(COUNTIF(tblAnahtarA[Norm],$B486)&gt;1,"EVET","HAYIR"))</f>
        <v/>
      </c>
      <c r="G486" s="15">
        <f>IF($A486="","",ROW()-ROW($A$5))</f>
        <v/>
      </c>
      <c r="I486" s="7">
        <f>IF(VERI_B!A486="","",VERI_B!A486)</f>
        <v/>
      </c>
      <c r="J486" s="15">
        <f>UPPER(TRIM(SUBSTITUTE($I486," ","")))</f>
        <v/>
      </c>
      <c r="K486" s="15">
        <f>IF($J486="",0,LEN($J486))</f>
        <v/>
      </c>
      <c r="L486" s="15">
        <f>IF($J486="","",LEFT($J486,kdo_ikincilUzunluk))</f>
        <v/>
      </c>
      <c r="M486" s="15">
        <f>"B"</f>
        <v/>
      </c>
      <c r="N486" s="15">
        <f>IF($J486="","",IF(COUNTIF(tblAnahtarB[NormB],$J486)&gt;1,"EVET","HAYIR"))</f>
        <v/>
      </c>
      <c r="O486" s="15">
        <f>IF($I486="","",ROW()-ROW($I$5))</f>
        <v/>
      </c>
    </row>
    <row r="487">
      <c r="A487" s="7">
        <f>IF(VERI_A!A487="","",VERI_A!A487)</f>
        <v/>
      </c>
      <c r="B487" s="15">
        <f>UPPER(TRIM(SUBSTITUTE($A487," ","")))</f>
        <v/>
      </c>
      <c r="C487" s="15">
        <f>IF($B487="",0,LEN($B487))</f>
        <v/>
      </c>
      <c r="D487" s="15">
        <f>IF($B487="","",LEFT($B487,kdo_ikincilUzunluk))</f>
        <v/>
      </c>
      <c r="E487" s="15">
        <f>"A"</f>
        <v/>
      </c>
      <c r="F487" s="15">
        <f>IF($B487="","",IF(COUNTIF(tblAnahtarA[Norm],$B487)&gt;1,"EVET","HAYIR"))</f>
        <v/>
      </c>
      <c r="G487" s="15">
        <f>IF($A487="","",ROW()-ROW($A$5))</f>
        <v/>
      </c>
      <c r="I487" s="7">
        <f>IF(VERI_B!A487="","",VERI_B!A487)</f>
        <v/>
      </c>
      <c r="J487" s="15">
        <f>UPPER(TRIM(SUBSTITUTE($I487," ","")))</f>
        <v/>
      </c>
      <c r="K487" s="15">
        <f>IF($J487="",0,LEN($J487))</f>
        <v/>
      </c>
      <c r="L487" s="15">
        <f>IF($J487="","",LEFT($J487,kdo_ikincilUzunluk))</f>
        <v/>
      </c>
      <c r="M487" s="15">
        <f>"B"</f>
        <v/>
      </c>
      <c r="N487" s="15">
        <f>IF($J487="","",IF(COUNTIF(tblAnahtarB[NormB],$J487)&gt;1,"EVET","HAYIR"))</f>
        <v/>
      </c>
      <c r="O487" s="15">
        <f>IF($I487="","",ROW()-ROW($I$5))</f>
        <v/>
      </c>
    </row>
    <row r="488">
      <c r="A488" s="7">
        <f>IF(VERI_A!A488="","",VERI_A!A488)</f>
        <v/>
      </c>
      <c r="B488" s="15">
        <f>UPPER(TRIM(SUBSTITUTE($A488," ","")))</f>
        <v/>
      </c>
      <c r="C488" s="15">
        <f>IF($B488="",0,LEN($B488))</f>
        <v/>
      </c>
      <c r="D488" s="15">
        <f>IF($B488="","",LEFT($B488,kdo_ikincilUzunluk))</f>
        <v/>
      </c>
      <c r="E488" s="15">
        <f>"A"</f>
        <v/>
      </c>
      <c r="F488" s="15">
        <f>IF($B488="","",IF(COUNTIF(tblAnahtarA[Norm],$B488)&gt;1,"EVET","HAYIR"))</f>
        <v/>
      </c>
      <c r="G488" s="15">
        <f>IF($A488="","",ROW()-ROW($A$5))</f>
        <v/>
      </c>
      <c r="I488" s="7">
        <f>IF(VERI_B!A488="","",VERI_B!A488)</f>
        <v/>
      </c>
      <c r="J488" s="15">
        <f>UPPER(TRIM(SUBSTITUTE($I488," ","")))</f>
        <v/>
      </c>
      <c r="K488" s="15">
        <f>IF($J488="",0,LEN($J488))</f>
        <v/>
      </c>
      <c r="L488" s="15">
        <f>IF($J488="","",LEFT($J488,kdo_ikincilUzunluk))</f>
        <v/>
      </c>
      <c r="M488" s="15">
        <f>"B"</f>
        <v/>
      </c>
      <c r="N488" s="15">
        <f>IF($J488="","",IF(COUNTIF(tblAnahtarB[NormB],$J488)&gt;1,"EVET","HAYIR"))</f>
        <v/>
      </c>
      <c r="O488" s="15">
        <f>IF($I488="","",ROW()-ROW($I$5))</f>
        <v/>
      </c>
    </row>
    <row r="489">
      <c r="A489" s="7">
        <f>IF(VERI_A!A489="","",VERI_A!A489)</f>
        <v/>
      </c>
      <c r="B489" s="15">
        <f>UPPER(TRIM(SUBSTITUTE($A489," ","")))</f>
        <v/>
      </c>
      <c r="C489" s="15">
        <f>IF($B489="",0,LEN($B489))</f>
        <v/>
      </c>
      <c r="D489" s="15">
        <f>IF($B489="","",LEFT($B489,kdo_ikincilUzunluk))</f>
        <v/>
      </c>
      <c r="E489" s="15">
        <f>"A"</f>
        <v/>
      </c>
      <c r="F489" s="15">
        <f>IF($B489="","",IF(COUNTIF(tblAnahtarA[Norm],$B489)&gt;1,"EVET","HAYIR"))</f>
        <v/>
      </c>
      <c r="G489" s="15">
        <f>IF($A489="","",ROW()-ROW($A$5))</f>
        <v/>
      </c>
      <c r="I489" s="7">
        <f>IF(VERI_B!A489="","",VERI_B!A489)</f>
        <v/>
      </c>
      <c r="J489" s="15">
        <f>UPPER(TRIM(SUBSTITUTE($I489," ","")))</f>
        <v/>
      </c>
      <c r="K489" s="15">
        <f>IF($J489="",0,LEN($J489))</f>
        <v/>
      </c>
      <c r="L489" s="15">
        <f>IF($J489="","",LEFT($J489,kdo_ikincilUzunluk))</f>
        <v/>
      </c>
      <c r="M489" s="15">
        <f>"B"</f>
        <v/>
      </c>
      <c r="N489" s="15">
        <f>IF($J489="","",IF(COUNTIF(tblAnahtarB[NormB],$J489)&gt;1,"EVET","HAYIR"))</f>
        <v/>
      </c>
      <c r="O489" s="15">
        <f>IF($I489="","",ROW()-ROW($I$5))</f>
        <v/>
      </c>
    </row>
    <row r="490">
      <c r="A490" s="7">
        <f>IF(VERI_A!A490="","",VERI_A!A490)</f>
        <v/>
      </c>
      <c r="B490" s="15">
        <f>UPPER(TRIM(SUBSTITUTE($A490," ","")))</f>
        <v/>
      </c>
      <c r="C490" s="15">
        <f>IF($B490="",0,LEN($B490))</f>
        <v/>
      </c>
      <c r="D490" s="15">
        <f>IF($B490="","",LEFT($B490,kdo_ikincilUzunluk))</f>
        <v/>
      </c>
      <c r="E490" s="15">
        <f>"A"</f>
        <v/>
      </c>
      <c r="F490" s="15">
        <f>IF($B490="","",IF(COUNTIF(tblAnahtarA[Norm],$B490)&gt;1,"EVET","HAYIR"))</f>
        <v/>
      </c>
      <c r="G490" s="15">
        <f>IF($A490="","",ROW()-ROW($A$5))</f>
        <v/>
      </c>
      <c r="I490" s="7">
        <f>IF(VERI_B!A490="","",VERI_B!A490)</f>
        <v/>
      </c>
      <c r="J490" s="15">
        <f>UPPER(TRIM(SUBSTITUTE($I490," ","")))</f>
        <v/>
      </c>
      <c r="K490" s="15">
        <f>IF($J490="",0,LEN($J490))</f>
        <v/>
      </c>
      <c r="L490" s="15">
        <f>IF($J490="","",LEFT($J490,kdo_ikincilUzunluk))</f>
        <v/>
      </c>
      <c r="M490" s="15">
        <f>"B"</f>
        <v/>
      </c>
      <c r="N490" s="15">
        <f>IF($J490="","",IF(COUNTIF(tblAnahtarB[NormB],$J490)&gt;1,"EVET","HAYIR"))</f>
        <v/>
      </c>
      <c r="O490" s="15">
        <f>IF($I490="","",ROW()-ROW($I$5))</f>
        <v/>
      </c>
    </row>
    <row r="491">
      <c r="A491" s="7">
        <f>IF(VERI_A!A491="","",VERI_A!A491)</f>
        <v/>
      </c>
      <c r="B491" s="15">
        <f>UPPER(TRIM(SUBSTITUTE($A491," ","")))</f>
        <v/>
      </c>
      <c r="C491" s="15">
        <f>IF($B491="",0,LEN($B491))</f>
        <v/>
      </c>
      <c r="D491" s="15">
        <f>IF($B491="","",LEFT($B491,kdo_ikincilUzunluk))</f>
        <v/>
      </c>
      <c r="E491" s="15">
        <f>"A"</f>
        <v/>
      </c>
      <c r="F491" s="15">
        <f>IF($B491="","",IF(COUNTIF(tblAnahtarA[Norm],$B491)&gt;1,"EVET","HAYIR"))</f>
        <v/>
      </c>
      <c r="G491" s="15">
        <f>IF($A491="","",ROW()-ROW($A$5))</f>
        <v/>
      </c>
      <c r="I491" s="7">
        <f>IF(VERI_B!A491="","",VERI_B!A491)</f>
        <v/>
      </c>
      <c r="J491" s="15">
        <f>UPPER(TRIM(SUBSTITUTE($I491," ","")))</f>
        <v/>
      </c>
      <c r="K491" s="15">
        <f>IF($J491="",0,LEN($J491))</f>
        <v/>
      </c>
      <c r="L491" s="15">
        <f>IF($J491="","",LEFT($J491,kdo_ikincilUzunluk))</f>
        <v/>
      </c>
      <c r="M491" s="15">
        <f>"B"</f>
        <v/>
      </c>
      <c r="N491" s="15">
        <f>IF($J491="","",IF(COUNTIF(tblAnahtarB[NormB],$J491)&gt;1,"EVET","HAYIR"))</f>
        <v/>
      </c>
      <c r="O491" s="15">
        <f>IF($I491="","",ROW()-ROW($I$5))</f>
        <v/>
      </c>
    </row>
    <row r="492">
      <c r="A492" s="7">
        <f>IF(VERI_A!A492="","",VERI_A!A492)</f>
        <v/>
      </c>
      <c r="B492" s="15">
        <f>UPPER(TRIM(SUBSTITUTE($A492," ","")))</f>
        <v/>
      </c>
      <c r="C492" s="15">
        <f>IF($B492="",0,LEN($B492))</f>
        <v/>
      </c>
      <c r="D492" s="15">
        <f>IF($B492="","",LEFT($B492,kdo_ikincilUzunluk))</f>
        <v/>
      </c>
      <c r="E492" s="15">
        <f>"A"</f>
        <v/>
      </c>
      <c r="F492" s="15">
        <f>IF($B492="","",IF(COUNTIF(tblAnahtarA[Norm],$B492)&gt;1,"EVET","HAYIR"))</f>
        <v/>
      </c>
      <c r="G492" s="15">
        <f>IF($A492="","",ROW()-ROW($A$5))</f>
        <v/>
      </c>
      <c r="I492" s="7">
        <f>IF(VERI_B!A492="","",VERI_B!A492)</f>
        <v/>
      </c>
      <c r="J492" s="15">
        <f>UPPER(TRIM(SUBSTITUTE($I492," ","")))</f>
        <v/>
      </c>
      <c r="K492" s="15">
        <f>IF($J492="",0,LEN($J492))</f>
        <v/>
      </c>
      <c r="L492" s="15">
        <f>IF($J492="","",LEFT($J492,kdo_ikincilUzunluk))</f>
        <v/>
      </c>
      <c r="M492" s="15">
        <f>"B"</f>
        <v/>
      </c>
      <c r="N492" s="15">
        <f>IF($J492="","",IF(COUNTIF(tblAnahtarB[NormB],$J492)&gt;1,"EVET","HAYIR"))</f>
        <v/>
      </c>
      <c r="O492" s="15">
        <f>IF($I492="","",ROW()-ROW($I$5))</f>
        <v/>
      </c>
    </row>
    <row r="493">
      <c r="A493" s="7">
        <f>IF(VERI_A!A493="","",VERI_A!A493)</f>
        <v/>
      </c>
      <c r="B493" s="15">
        <f>UPPER(TRIM(SUBSTITUTE($A493," ","")))</f>
        <v/>
      </c>
      <c r="C493" s="15">
        <f>IF($B493="",0,LEN($B493))</f>
        <v/>
      </c>
      <c r="D493" s="15">
        <f>IF($B493="","",LEFT($B493,kdo_ikincilUzunluk))</f>
        <v/>
      </c>
      <c r="E493" s="15">
        <f>"A"</f>
        <v/>
      </c>
      <c r="F493" s="15">
        <f>IF($B493="","",IF(COUNTIF(tblAnahtarA[Norm],$B493)&gt;1,"EVET","HAYIR"))</f>
        <v/>
      </c>
      <c r="G493" s="15">
        <f>IF($A493="","",ROW()-ROW($A$5))</f>
        <v/>
      </c>
      <c r="I493" s="7">
        <f>IF(VERI_B!A493="","",VERI_B!A493)</f>
        <v/>
      </c>
      <c r="J493" s="15">
        <f>UPPER(TRIM(SUBSTITUTE($I493," ","")))</f>
        <v/>
      </c>
      <c r="K493" s="15">
        <f>IF($J493="",0,LEN($J493))</f>
        <v/>
      </c>
      <c r="L493" s="15">
        <f>IF($J493="","",LEFT($J493,kdo_ikincilUzunluk))</f>
        <v/>
      </c>
      <c r="M493" s="15">
        <f>"B"</f>
        <v/>
      </c>
      <c r="N493" s="15">
        <f>IF($J493="","",IF(COUNTIF(tblAnahtarB[NormB],$J493)&gt;1,"EVET","HAYIR"))</f>
        <v/>
      </c>
      <c r="O493" s="15">
        <f>IF($I493="","",ROW()-ROW($I$5))</f>
        <v/>
      </c>
    </row>
    <row r="494">
      <c r="A494" s="7">
        <f>IF(VERI_A!A494="","",VERI_A!A494)</f>
        <v/>
      </c>
      <c r="B494" s="15">
        <f>UPPER(TRIM(SUBSTITUTE($A494," ","")))</f>
        <v/>
      </c>
      <c r="C494" s="15">
        <f>IF($B494="",0,LEN($B494))</f>
        <v/>
      </c>
      <c r="D494" s="15">
        <f>IF($B494="","",LEFT($B494,kdo_ikincilUzunluk))</f>
        <v/>
      </c>
      <c r="E494" s="15">
        <f>"A"</f>
        <v/>
      </c>
      <c r="F494" s="15">
        <f>IF($B494="","",IF(COUNTIF(tblAnahtarA[Norm],$B494)&gt;1,"EVET","HAYIR"))</f>
        <v/>
      </c>
      <c r="G494" s="15">
        <f>IF($A494="","",ROW()-ROW($A$5))</f>
        <v/>
      </c>
      <c r="I494" s="7">
        <f>IF(VERI_B!A494="","",VERI_B!A494)</f>
        <v/>
      </c>
      <c r="J494" s="15">
        <f>UPPER(TRIM(SUBSTITUTE($I494," ","")))</f>
        <v/>
      </c>
      <c r="K494" s="15">
        <f>IF($J494="",0,LEN($J494))</f>
        <v/>
      </c>
      <c r="L494" s="15">
        <f>IF($J494="","",LEFT($J494,kdo_ikincilUzunluk))</f>
        <v/>
      </c>
      <c r="M494" s="15">
        <f>"B"</f>
        <v/>
      </c>
      <c r="N494" s="15">
        <f>IF($J494="","",IF(COUNTIF(tblAnahtarB[NormB],$J494)&gt;1,"EVET","HAYIR"))</f>
        <v/>
      </c>
      <c r="O494" s="15">
        <f>IF($I494="","",ROW()-ROW($I$5))</f>
        <v/>
      </c>
    </row>
    <row r="495">
      <c r="A495" s="7">
        <f>IF(VERI_A!A495="","",VERI_A!A495)</f>
        <v/>
      </c>
      <c r="B495" s="15">
        <f>UPPER(TRIM(SUBSTITUTE($A495," ","")))</f>
        <v/>
      </c>
      <c r="C495" s="15">
        <f>IF($B495="",0,LEN($B495))</f>
        <v/>
      </c>
      <c r="D495" s="15">
        <f>IF($B495="","",LEFT($B495,kdo_ikincilUzunluk))</f>
        <v/>
      </c>
      <c r="E495" s="15">
        <f>"A"</f>
        <v/>
      </c>
      <c r="F495" s="15">
        <f>IF($B495="","",IF(COUNTIF(tblAnahtarA[Norm],$B495)&gt;1,"EVET","HAYIR"))</f>
        <v/>
      </c>
      <c r="G495" s="15">
        <f>IF($A495="","",ROW()-ROW($A$5))</f>
        <v/>
      </c>
      <c r="I495" s="7">
        <f>IF(VERI_B!A495="","",VERI_B!A495)</f>
        <v/>
      </c>
      <c r="J495" s="15">
        <f>UPPER(TRIM(SUBSTITUTE($I495," ","")))</f>
        <v/>
      </c>
      <c r="K495" s="15">
        <f>IF($J495="",0,LEN($J495))</f>
        <v/>
      </c>
      <c r="L495" s="15">
        <f>IF($J495="","",LEFT($J495,kdo_ikincilUzunluk))</f>
        <v/>
      </c>
      <c r="M495" s="15">
        <f>"B"</f>
        <v/>
      </c>
      <c r="N495" s="15">
        <f>IF($J495="","",IF(COUNTIF(tblAnahtarB[NormB],$J495)&gt;1,"EVET","HAYIR"))</f>
        <v/>
      </c>
      <c r="O495" s="15">
        <f>IF($I495="","",ROW()-ROW($I$5))</f>
        <v/>
      </c>
    </row>
    <row r="496">
      <c r="A496" s="7">
        <f>IF(VERI_A!A496="","",VERI_A!A496)</f>
        <v/>
      </c>
      <c r="B496" s="15">
        <f>UPPER(TRIM(SUBSTITUTE($A496," ","")))</f>
        <v/>
      </c>
      <c r="C496" s="15">
        <f>IF($B496="",0,LEN($B496))</f>
        <v/>
      </c>
      <c r="D496" s="15">
        <f>IF($B496="","",LEFT($B496,kdo_ikincilUzunluk))</f>
        <v/>
      </c>
      <c r="E496" s="15">
        <f>"A"</f>
        <v/>
      </c>
      <c r="F496" s="15">
        <f>IF($B496="","",IF(COUNTIF(tblAnahtarA[Norm],$B496)&gt;1,"EVET","HAYIR"))</f>
        <v/>
      </c>
      <c r="G496" s="15">
        <f>IF($A496="","",ROW()-ROW($A$5))</f>
        <v/>
      </c>
      <c r="I496" s="7">
        <f>IF(VERI_B!A496="","",VERI_B!A496)</f>
        <v/>
      </c>
      <c r="J496" s="15">
        <f>UPPER(TRIM(SUBSTITUTE($I496," ","")))</f>
        <v/>
      </c>
      <c r="K496" s="15">
        <f>IF($J496="",0,LEN($J496))</f>
        <v/>
      </c>
      <c r="L496" s="15">
        <f>IF($J496="","",LEFT($J496,kdo_ikincilUzunluk))</f>
        <v/>
      </c>
      <c r="M496" s="15">
        <f>"B"</f>
        <v/>
      </c>
      <c r="N496" s="15">
        <f>IF($J496="","",IF(COUNTIF(tblAnahtarB[NormB],$J496)&gt;1,"EVET","HAYIR"))</f>
        <v/>
      </c>
      <c r="O496" s="15">
        <f>IF($I496="","",ROW()-ROW($I$5))</f>
        <v/>
      </c>
    </row>
    <row r="497">
      <c r="A497" s="7">
        <f>IF(VERI_A!A497="","",VERI_A!A497)</f>
        <v/>
      </c>
      <c r="B497" s="15">
        <f>UPPER(TRIM(SUBSTITUTE($A497," ","")))</f>
        <v/>
      </c>
      <c r="C497" s="15">
        <f>IF($B497="",0,LEN($B497))</f>
        <v/>
      </c>
      <c r="D497" s="15">
        <f>IF($B497="","",LEFT($B497,kdo_ikincilUzunluk))</f>
        <v/>
      </c>
      <c r="E497" s="15">
        <f>"A"</f>
        <v/>
      </c>
      <c r="F497" s="15">
        <f>IF($B497="","",IF(COUNTIF(tblAnahtarA[Norm],$B497)&gt;1,"EVET","HAYIR"))</f>
        <v/>
      </c>
      <c r="G497" s="15">
        <f>IF($A497="","",ROW()-ROW($A$5))</f>
        <v/>
      </c>
      <c r="I497" s="7">
        <f>IF(VERI_B!A497="","",VERI_B!A497)</f>
        <v/>
      </c>
      <c r="J497" s="15">
        <f>UPPER(TRIM(SUBSTITUTE($I497," ","")))</f>
        <v/>
      </c>
      <c r="K497" s="15">
        <f>IF($J497="",0,LEN($J497))</f>
        <v/>
      </c>
      <c r="L497" s="15">
        <f>IF($J497="","",LEFT($J497,kdo_ikincilUzunluk))</f>
        <v/>
      </c>
      <c r="M497" s="15">
        <f>"B"</f>
        <v/>
      </c>
      <c r="N497" s="15">
        <f>IF($J497="","",IF(COUNTIF(tblAnahtarB[NormB],$J497)&gt;1,"EVET","HAYIR"))</f>
        <v/>
      </c>
      <c r="O497" s="15">
        <f>IF($I497="","",ROW()-ROW($I$5))</f>
        <v/>
      </c>
    </row>
    <row r="498">
      <c r="A498" s="7">
        <f>IF(VERI_A!A498="","",VERI_A!A498)</f>
        <v/>
      </c>
      <c r="B498" s="15">
        <f>UPPER(TRIM(SUBSTITUTE($A498," ","")))</f>
        <v/>
      </c>
      <c r="C498" s="15">
        <f>IF($B498="",0,LEN($B498))</f>
        <v/>
      </c>
      <c r="D498" s="15">
        <f>IF($B498="","",LEFT($B498,kdo_ikincilUzunluk))</f>
        <v/>
      </c>
      <c r="E498" s="15">
        <f>"A"</f>
        <v/>
      </c>
      <c r="F498" s="15">
        <f>IF($B498="","",IF(COUNTIF(tblAnahtarA[Norm],$B498)&gt;1,"EVET","HAYIR"))</f>
        <v/>
      </c>
      <c r="G498" s="15">
        <f>IF($A498="","",ROW()-ROW($A$5))</f>
        <v/>
      </c>
      <c r="I498" s="7">
        <f>IF(VERI_B!A498="","",VERI_B!A498)</f>
        <v/>
      </c>
      <c r="J498" s="15">
        <f>UPPER(TRIM(SUBSTITUTE($I498," ","")))</f>
        <v/>
      </c>
      <c r="K498" s="15">
        <f>IF($J498="",0,LEN($J498))</f>
        <v/>
      </c>
      <c r="L498" s="15">
        <f>IF($J498="","",LEFT($J498,kdo_ikincilUzunluk))</f>
        <v/>
      </c>
      <c r="M498" s="15">
        <f>"B"</f>
        <v/>
      </c>
      <c r="N498" s="15">
        <f>IF($J498="","",IF(COUNTIF(tblAnahtarB[NormB],$J498)&gt;1,"EVET","HAYIR"))</f>
        <v/>
      </c>
      <c r="O498" s="15">
        <f>IF($I498="","",ROW()-ROW($I$5))</f>
        <v/>
      </c>
    </row>
    <row r="499">
      <c r="A499" s="7">
        <f>IF(VERI_A!A499="","",VERI_A!A499)</f>
        <v/>
      </c>
      <c r="B499" s="15">
        <f>UPPER(TRIM(SUBSTITUTE($A499," ","")))</f>
        <v/>
      </c>
      <c r="C499" s="15">
        <f>IF($B499="",0,LEN($B499))</f>
        <v/>
      </c>
      <c r="D499" s="15">
        <f>IF($B499="","",LEFT($B499,kdo_ikincilUzunluk))</f>
        <v/>
      </c>
      <c r="E499" s="15">
        <f>"A"</f>
        <v/>
      </c>
      <c r="F499" s="15">
        <f>IF($B499="","",IF(COUNTIF(tblAnahtarA[Norm],$B499)&gt;1,"EVET","HAYIR"))</f>
        <v/>
      </c>
      <c r="G499" s="15">
        <f>IF($A499="","",ROW()-ROW($A$5))</f>
        <v/>
      </c>
      <c r="I499" s="7">
        <f>IF(VERI_B!A499="","",VERI_B!A499)</f>
        <v/>
      </c>
      <c r="J499" s="15">
        <f>UPPER(TRIM(SUBSTITUTE($I499," ","")))</f>
        <v/>
      </c>
      <c r="K499" s="15">
        <f>IF($J499="",0,LEN($J499))</f>
        <v/>
      </c>
      <c r="L499" s="15">
        <f>IF($J499="","",LEFT($J499,kdo_ikincilUzunluk))</f>
        <v/>
      </c>
      <c r="M499" s="15">
        <f>"B"</f>
        <v/>
      </c>
      <c r="N499" s="15">
        <f>IF($J499="","",IF(COUNTIF(tblAnahtarB[NormB],$J499)&gt;1,"EVET","HAYIR"))</f>
        <v/>
      </c>
      <c r="O499" s="15">
        <f>IF($I499="","",ROW()-ROW($I$5))</f>
        <v/>
      </c>
    </row>
    <row r="500">
      <c r="A500" s="7">
        <f>IF(VERI_A!A500="","",VERI_A!A500)</f>
        <v/>
      </c>
      <c r="B500" s="15">
        <f>UPPER(TRIM(SUBSTITUTE($A500," ","")))</f>
        <v/>
      </c>
      <c r="C500" s="15">
        <f>IF($B500="",0,LEN($B500))</f>
        <v/>
      </c>
      <c r="D500" s="15">
        <f>IF($B500="","",LEFT($B500,kdo_ikincilUzunluk))</f>
        <v/>
      </c>
      <c r="E500" s="15">
        <f>"A"</f>
        <v/>
      </c>
      <c r="F500" s="15">
        <f>IF($B500="","",IF(COUNTIF(tblAnahtarA[Norm],$B500)&gt;1,"EVET","HAYIR"))</f>
        <v/>
      </c>
      <c r="G500" s="15">
        <f>IF($A500="","",ROW()-ROW($A$5))</f>
        <v/>
      </c>
      <c r="I500" s="7">
        <f>IF(VERI_B!A500="","",VERI_B!A500)</f>
        <v/>
      </c>
      <c r="J500" s="15">
        <f>UPPER(TRIM(SUBSTITUTE($I500," ","")))</f>
        <v/>
      </c>
      <c r="K500" s="15">
        <f>IF($J500="",0,LEN($J500))</f>
        <v/>
      </c>
      <c r="L500" s="15">
        <f>IF($J500="","",LEFT($J500,kdo_ikincilUzunluk))</f>
        <v/>
      </c>
      <c r="M500" s="15">
        <f>"B"</f>
        <v/>
      </c>
      <c r="N500" s="15">
        <f>IF($J500="","",IF(COUNTIF(tblAnahtarB[NormB],$J500)&gt;1,"EVET","HAYIR"))</f>
        <v/>
      </c>
      <c r="O500" s="15">
        <f>IF($I500="","",ROW()-ROW($I$5))</f>
        <v/>
      </c>
    </row>
    <row r="501">
      <c r="A501" s="7">
        <f>IF(VERI_A!A501="","",VERI_A!A501)</f>
        <v/>
      </c>
      <c r="B501" s="15">
        <f>UPPER(TRIM(SUBSTITUTE($A501," ","")))</f>
        <v/>
      </c>
      <c r="C501" s="15">
        <f>IF($B501="",0,LEN($B501))</f>
        <v/>
      </c>
      <c r="D501" s="15">
        <f>IF($B501="","",LEFT($B501,kdo_ikincilUzunluk))</f>
        <v/>
      </c>
      <c r="E501" s="15">
        <f>"A"</f>
        <v/>
      </c>
      <c r="F501" s="15">
        <f>IF($B501="","",IF(COUNTIF(tblAnahtarA[Norm],$B501)&gt;1,"EVET","HAYIR"))</f>
        <v/>
      </c>
      <c r="G501" s="15">
        <f>IF($A501="","",ROW()-ROW($A$5))</f>
        <v/>
      </c>
      <c r="I501" s="7">
        <f>IF(VERI_B!A501="","",VERI_B!A501)</f>
        <v/>
      </c>
      <c r="J501" s="15">
        <f>UPPER(TRIM(SUBSTITUTE($I501," ","")))</f>
        <v/>
      </c>
      <c r="K501" s="15">
        <f>IF($J501="",0,LEN($J501))</f>
        <v/>
      </c>
      <c r="L501" s="15">
        <f>IF($J501="","",LEFT($J501,kdo_ikincilUzunluk))</f>
        <v/>
      </c>
      <c r="M501" s="15">
        <f>"B"</f>
        <v/>
      </c>
      <c r="N501" s="15">
        <f>IF($J501="","",IF(COUNTIF(tblAnahtarB[NormB],$J501)&gt;1,"EVET","HAYIR"))</f>
        <v/>
      </c>
      <c r="O501" s="15">
        <f>IF($I501="","",ROW()-ROW($I$5))</f>
        <v/>
      </c>
    </row>
    <row r="502">
      <c r="A502" s="7">
        <f>IF(VERI_A!A502="","",VERI_A!A502)</f>
        <v/>
      </c>
      <c r="B502" s="15">
        <f>UPPER(TRIM(SUBSTITUTE($A502," ","")))</f>
        <v/>
      </c>
      <c r="C502" s="15">
        <f>IF($B502="",0,LEN($B502))</f>
        <v/>
      </c>
      <c r="D502" s="15">
        <f>IF($B502="","",LEFT($B502,kdo_ikincilUzunluk))</f>
        <v/>
      </c>
      <c r="E502" s="15">
        <f>"A"</f>
        <v/>
      </c>
      <c r="F502" s="15">
        <f>IF($B502="","",IF(COUNTIF(tblAnahtarA[Norm],$B502)&gt;1,"EVET","HAYIR"))</f>
        <v/>
      </c>
      <c r="G502" s="15">
        <f>IF($A502="","",ROW()-ROW($A$5))</f>
        <v/>
      </c>
      <c r="I502" s="7">
        <f>IF(VERI_B!A502="","",VERI_B!A502)</f>
        <v/>
      </c>
      <c r="J502" s="15">
        <f>UPPER(TRIM(SUBSTITUTE($I502," ","")))</f>
        <v/>
      </c>
      <c r="K502" s="15">
        <f>IF($J502="",0,LEN($J502))</f>
        <v/>
      </c>
      <c r="L502" s="15">
        <f>IF($J502="","",LEFT($J502,kdo_ikincilUzunluk))</f>
        <v/>
      </c>
      <c r="M502" s="15">
        <f>"B"</f>
        <v/>
      </c>
      <c r="N502" s="15">
        <f>IF($J502="","",IF(COUNTIF(tblAnahtarB[NormB],$J502)&gt;1,"EVET","HAYIR"))</f>
        <v/>
      </c>
      <c r="O502" s="15">
        <f>IF($I502="","",ROW()-ROW($I$5))</f>
        <v/>
      </c>
    </row>
    <row r="503">
      <c r="A503" s="7">
        <f>IF(VERI_A!A503="","",VERI_A!A503)</f>
        <v/>
      </c>
      <c r="B503" s="15">
        <f>UPPER(TRIM(SUBSTITUTE($A503," ","")))</f>
        <v/>
      </c>
      <c r="C503" s="15">
        <f>IF($B503="",0,LEN($B503))</f>
        <v/>
      </c>
      <c r="D503" s="15">
        <f>IF($B503="","",LEFT($B503,kdo_ikincilUzunluk))</f>
        <v/>
      </c>
      <c r="E503" s="15">
        <f>"A"</f>
        <v/>
      </c>
      <c r="F503" s="15">
        <f>IF($B503="","",IF(COUNTIF(tblAnahtarA[Norm],$B503)&gt;1,"EVET","HAYIR"))</f>
        <v/>
      </c>
      <c r="G503" s="15">
        <f>IF($A503="","",ROW()-ROW($A$5))</f>
        <v/>
      </c>
      <c r="I503" s="7">
        <f>IF(VERI_B!A503="","",VERI_B!A503)</f>
        <v/>
      </c>
      <c r="J503" s="15">
        <f>UPPER(TRIM(SUBSTITUTE($I503," ","")))</f>
        <v/>
      </c>
      <c r="K503" s="15">
        <f>IF($J503="",0,LEN($J503))</f>
        <v/>
      </c>
      <c r="L503" s="15">
        <f>IF($J503="","",LEFT($J503,kdo_ikincilUzunluk))</f>
        <v/>
      </c>
      <c r="M503" s="15">
        <f>"B"</f>
        <v/>
      </c>
      <c r="N503" s="15">
        <f>IF($J503="","",IF(COUNTIF(tblAnahtarB[NormB],$J503)&gt;1,"EVET","HAYIR"))</f>
        <v/>
      </c>
      <c r="O503" s="15">
        <f>IF($I503="","",ROW()-ROW($I$5))</f>
        <v/>
      </c>
    </row>
    <row r="504">
      <c r="A504" s="7">
        <f>IF(VERI_A!A504="","",VERI_A!A504)</f>
        <v/>
      </c>
      <c r="B504" s="15">
        <f>UPPER(TRIM(SUBSTITUTE($A504," ","")))</f>
        <v/>
      </c>
      <c r="C504" s="15">
        <f>IF($B504="",0,LEN($B504))</f>
        <v/>
      </c>
      <c r="D504" s="15">
        <f>IF($B504="","",LEFT($B504,kdo_ikincilUzunluk))</f>
        <v/>
      </c>
      <c r="E504" s="15">
        <f>"A"</f>
        <v/>
      </c>
      <c r="F504" s="15">
        <f>IF($B504="","",IF(COUNTIF(tblAnahtarA[Norm],$B504)&gt;1,"EVET","HAYIR"))</f>
        <v/>
      </c>
      <c r="G504" s="15">
        <f>IF($A504="","",ROW()-ROW($A$5))</f>
        <v/>
      </c>
      <c r="I504" s="7">
        <f>IF(VERI_B!A504="","",VERI_B!A504)</f>
        <v/>
      </c>
      <c r="J504" s="15">
        <f>UPPER(TRIM(SUBSTITUTE($I504," ","")))</f>
        <v/>
      </c>
      <c r="K504" s="15">
        <f>IF($J504="",0,LEN($J504))</f>
        <v/>
      </c>
      <c r="L504" s="15">
        <f>IF($J504="","",LEFT($J504,kdo_ikincilUzunluk))</f>
        <v/>
      </c>
      <c r="M504" s="15">
        <f>"B"</f>
        <v/>
      </c>
      <c r="N504" s="15">
        <f>IF($J504="","",IF(COUNTIF(tblAnahtarB[NormB],$J504)&gt;1,"EVET","HAYIR"))</f>
        <v/>
      </c>
      <c r="O504" s="15">
        <f>IF($I504="","",ROW()-ROW($I$5))</f>
        <v/>
      </c>
    </row>
    <row r="505">
      <c r="A505" s="7">
        <f>IF(VERI_A!A505="","",VERI_A!A505)</f>
        <v/>
      </c>
      <c r="B505" s="15">
        <f>UPPER(TRIM(SUBSTITUTE($A505," ","")))</f>
        <v/>
      </c>
      <c r="C505" s="15">
        <f>IF($B505="",0,LEN($B505))</f>
        <v/>
      </c>
      <c r="D505" s="15">
        <f>IF($B505="","",LEFT($B505,kdo_ikincilUzunluk))</f>
        <v/>
      </c>
      <c r="E505" s="15">
        <f>"A"</f>
        <v/>
      </c>
      <c r="F505" s="15">
        <f>IF($B505="","",IF(COUNTIF(tblAnahtarA[Norm],$B505)&gt;1,"EVET","HAYIR"))</f>
        <v/>
      </c>
      <c r="G505" s="15">
        <f>IF($A505="","",ROW()-ROW($A$5))</f>
        <v/>
      </c>
      <c r="I505" s="7">
        <f>IF(VERI_B!A505="","",VERI_B!A505)</f>
        <v/>
      </c>
      <c r="J505" s="15">
        <f>UPPER(TRIM(SUBSTITUTE($I505," ","")))</f>
        <v/>
      </c>
      <c r="K505" s="15">
        <f>IF($J505="",0,LEN($J505))</f>
        <v/>
      </c>
      <c r="L505" s="15">
        <f>IF($J505="","",LEFT($J505,kdo_ikincilUzunluk))</f>
        <v/>
      </c>
      <c r="M505" s="15">
        <f>"B"</f>
        <v/>
      </c>
      <c r="N505" s="15">
        <f>IF($J505="","",IF(COUNTIF(tblAnahtarB[NormB],$J505)&gt;1,"EVET","HAYIR"))</f>
        <v/>
      </c>
      <c r="O505" s="15">
        <f>IF($I505="","",ROW()-ROW($I$5))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L3"/>
    <mergeCell ref="A1:P1"/>
  </mergeCells>
  <conditionalFormatting sqref="F6:F505">
    <cfRule type="cellIs" priority="1" operator="equal" dxfId="1">
      <formula>"EVET"</formula>
    </cfRule>
  </conditionalFormatting>
  <conditionalFormatting sqref="N6:N505">
    <cfRule type="cellIs" priority="2" operator="equal" dxfId="1">
      <formula>"EVET"</formula>
    </cfRule>
  </conditionalFormatting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tabColor rgb="001B3A4B"/>
    <outlinePr summaryBelow="1" summaryRight="1"/>
    <pageSetUpPr/>
  </sheetPr>
  <dimension ref="A1:T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26" customHeight="1">
      <c r="A1" s="1" t="inlineStr">
        <is>
          <t>MOTOR — Kargo/Desi Maliyet Optimizasyonu</t>
        </is>
      </c>
    </row>
    <row r="3" ht="20" customHeight="1">
      <c r="A3" s="10" t="inlineStr">
        <is>
          <t>Desi motoru — hacimsel desi, faturalanan birim, birim/toplam kargo, karar (D13)</t>
        </is>
      </c>
    </row>
    <row r="5" ht="30" customHeight="1">
      <c r="A5" s="12" t="inlineStr">
        <is>
          <t>A_Norm</t>
        </is>
      </c>
      <c r="B5" s="12" t="inlineStr">
        <is>
          <t>EnCm</t>
        </is>
      </c>
      <c r="C5" s="12" t="inlineStr">
        <is>
          <t>BoyCm</t>
        </is>
      </c>
      <c r="D5" s="12" t="inlineStr">
        <is>
          <t>YukCm</t>
        </is>
      </c>
      <c r="E5" s="12" t="inlineStr">
        <is>
          <t>AgirlikKg</t>
        </is>
      </c>
      <c r="F5" s="12" t="inlineStr">
        <is>
          <t>DesiCarpani</t>
        </is>
      </c>
      <c r="G5" s="12" t="inlineStr">
        <is>
          <t>HacimselDesi</t>
        </is>
      </c>
      <c r="H5" s="12" t="inlineStr">
        <is>
          <t>FaturalananBirim</t>
        </is>
      </c>
      <c r="I5" s="12" t="inlineStr">
        <is>
          <t>TarifTl</t>
        </is>
      </c>
      <c r="J5" s="12" t="inlineStr">
        <is>
          <t>Adet</t>
        </is>
      </c>
      <c r="K5" s="12" t="inlineStr">
        <is>
          <t>BirimKargo</t>
        </is>
      </c>
      <c r="L5" s="12" t="inlineStr">
        <is>
          <t>SiparisToplam</t>
        </is>
      </c>
      <c r="M5" s="12" t="inlineStr">
        <is>
          <t>AltTarif</t>
        </is>
      </c>
      <c r="N5" s="12" t="inlineStr">
        <is>
          <t>AltToplam</t>
        </is>
      </c>
      <c r="O5" s="12" t="inlineStr">
        <is>
          <t>Tasarruf</t>
        </is>
      </c>
      <c r="P5" s="12" t="inlineStr">
        <is>
          <t>KararSatir</t>
        </is>
      </c>
      <c r="Q5" s="12" t="inlineStr">
        <is>
          <t>IadeOran</t>
        </is>
      </c>
      <c r="R5" s="12" t="inlineStr">
        <is>
          <t>DesiKgOran</t>
        </is>
      </c>
      <c r="S5" s="12" t="inlineStr">
        <is>
          <t>MotorAdim1</t>
        </is>
      </c>
      <c r="T5" s="12" t="inlineStr">
        <is>
          <t>MotorAdim2</t>
        </is>
      </c>
    </row>
    <row r="6">
      <c r="A6" s="15">
        <f>IF('ANAHTAR'!$B6="","",'ANAHTAR'!$B6)</f>
        <v/>
      </c>
      <c r="B6" s="15">
        <f>IF($A6="","",IFERROR(SUMIF(tblAnahtarA[Norm],$A6,tblVeriA[EnCm]),0))</f>
        <v/>
      </c>
      <c r="C6" s="15">
        <f>IF($A6="","",IFERROR(SUMIF(tblAnahtarA[Norm],$A6,tblVeriA[BoyCm]),0))</f>
        <v/>
      </c>
      <c r="D6" s="15">
        <f>IF($A6="","",IFERROR(SUMIF(tblAnahtarA[Norm],$A6,tblVeriA[YukseklikCm]),0))</f>
        <v/>
      </c>
      <c r="E6" s="15">
        <f>IF($A6="","",IFERROR(SUMIF(tblAnahtarA[Norm],$A6,tblVeriA[AgirlikKg]),0))</f>
        <v/>
      </c>
      <c r="F6" s="15">
        <f>IF($A6="","",IFERROR(SUMIF(tblAnahtarA[Norm],$A6,tblVeriA[DesiCarpani]),kdo_varsayilanDesiCarpani))</f>
        <v/>
      </c>
      <c r="G6" s="15">
        <f>IF($A6="","",ROUND($B6*$C6*$D6/MAX($F6,1),2))</f>
        <v/>
      </c>
      <c r="H6" s="15">
        <f>IF($A6="","",MAX($G6,$E6))</f>
        <v/>
      </c>
      <c r="I6" s="15">
        <f>IF($A6="","",IFERROR(SUMIF(tblAnahtarB[NormB],$A6,tblVeriB[TarifTlDesi]),0))</f>
        <v/>
      </c>
      <c r="J6" s="15">
        <f>IF($A6="","",IFERROR(SUMIF(tblAnahtarA[Norm],$A6,tblVeriA[Adet]),1))</f>
        <v/>
      </c>
      <c r="K6" s="15">
        <f>IF($A6="","",ROUND($H6*$I6,2))</f>
        <v/>
      </c>
      <c r="L6" s="15">
        <f>IF($A6="","",ROUND($K6*$J6*(1+$Q6*kdo_iadeEtkiCarpani),2))</f>
        <v/>
      </c>
      <c r="M6" s="15">
        <f>IF($A6="","",IFERROR(SUMIF(tblAnahtarB[NormB],$A6,tblVeriB[AlternatifTarif]),0))</f>
        <v/>
      </c>
      <c r="N6" s="15">
        <f>IF($A6="","",ROUND($H6*$M6*$J6*(1+$Q6*kdo_iadeEtkiCarpani),2))</f>
        <v/>
      </c>
      <c r="O6" s="15">
        <f>IF($A6="","",ROUND($L6-$N6,2))</f>
        <v/>
      </c>
      <c r="P6" s="15">
        <f>IF($A6="","",IF($R6&gt;kdo_esikDesiOran,"DESİ DÜŞÜR",IF($O6&gt;kdo_esikTasarruf,"TAŞIYICI DEĞİŞTİR","UYGUN")))</f>
        <v/>
      </c>
      <c r="Q6" s="15">
        <f>IF($A6="","",IFERROR(SUMIF(tblAnahtarB[NormB],$A6,tblVeriB[IadeOran]),0))</f>
        <v/>
      </c>
      <c r="R6" s="15">
        <f>IF(OR($A6="",$E6=0),0,$G6/$E6)</f>
        <v/>
      </c>
      <c r="S6" s="15">
        <f>IF($A6="","",$G6-$E6)</f>
        <v/>
      </c>
      <c r="T6" s="15">
        <f>IF($A6="","",$L6-$N6)</f>
        <v/>
      </c>
    </row>
    <row r="7">
      <c r="A7" s="15">
        <f>IF('ANAHTAR'!$B7="","",'ANAHTAR'!$B7)</f>
        <v/>
      </c>
      <c r="B7" s="15">
        <f>IF($A7="","",IFERROR(SUMIF(tblAnahtarA[Norm],$A7,tblVeriA[EnCm]),0))</f>
        <v/>
      </c>
      <c r="C7" s="15">
        <f>IF($A7="","",IFERROR(SUMIF(tblAnahtarA[Norm],$A7,tblVeriA[BoyCm]),0))</f>
        <v/>
      </c>
      <c r="D7" s="15">
        <f>IF($A7="","",IFERROR(SUMIF(tblAnahtarA[Norm],$A7,tblVeriA[YukseklikCm]),0))</f>
        <v/>
      </c>
      <c r="E7" s="15">
        <f>IF($A7="","",IFERROR(SUMIF(tblAnahtarA[Norm],$A7,tblVeriA[AgirlikKg]),0))</f>
        <v/>
      </c>
      <c r="F7" s="15">
        <f>IF($A7="","",IFERROR(SUMIF(tblAnahtarA[Norm],$A7,tblVeriA[DesiCarpani]),kdo_varsayilanDesiCarpani))</f>
        <v/>
      </c>
      <c r="G7" s="15">
        <f>IF($A7="","",ROUND($B7*$C7*$D7/MAX($F7,1),2))</f>
        <v/>
      </c>
      <c r="H7" s="15">
        <f>IF($A7="","",MAX($G7,$E7))</f>
        <v/>
      </c>
      <c r="I7" s="15">
        <f>IF($A7="","",IFERROR(SUMIF(tblAnahtarB[NormB],$A7,tblVeriB[TarifTlDesi]),0))</f>
        <v/>
      </c>
      <c r="J7" s="15">
        <f>IF($A7="","",IFERROR(SUMIF(tblAnahtarA[Norm],$A7,tblVeriA[Adet]),1))</f>
        <v/>
      </c>
      <c r="K7" s="15">
        <f>IF($A7="","",ROUND($H7*$I7,2))</f>
        <v/>
      </c>
      <c r="L7" s="15">
        <f>IF($A7="","",ROUND($K7*$J7*(1+$Q7*kdo_iadeEtkiCarpani),2))</f>
        <v/>
      </c>
      <c r="M7" s="15">
        <f>IF($A7="","",IFERROR(SUMIF(tblAnahtarB[NormB],$A7,tblVeriB[AlternatifTarif]),0))</f>
        <v/>
      </c>
      <c r="N7" s="15">
        <f>IF($A7="","",ROUND($H7*$M7*$J7*(1+$Q7*kdo_iadeEtkiCarpani),2))</f>
        <v/>
      </c>
      <c r="O7" s="15">
        <f>IF($A7="","",ROUND($L7-$N7,2))</f>
        <v/>
      </c>
      <c r="P7" s="15">
        <f>IF($A7="","",IF($R7&gt;kdo_esikDesiOran,"DESİ DÜŞÜR",IF($O7&gt;kdo_esikTasarruf,"TAŞIYICI DEĞİŞTİR","UYGUN")))</f>
        <v/>
      </c>
      <c r="Q7" s="15">
        <f>IF($A7="","",IFERROR(SUMIF(tblAnahtarB[NormB],$A7,tblVeriB[IadeOran]),0))</f>
        <v/>
      </c>
      <c r="R7" s="15">
        <f>IF(OR($A7="",$E7=0),0,$G7/$E7)</f>
        <v/>
      </c>
      <c r="S7" s="15">
        <f>IF($A7="","",$G7-$E7)</f>
        <v/>
      </c>
      <c r="T7" s="15">
        <f>IF($A7="","",$L7-$N7)</f>
        <v/>
      </c>
    </row>
    <row r="8">
      <c r="A8" s="15">
        <f>IF('ANAHTAR'!$B8="","",'ANAHTAR'!$B8)</f>
        <v/>
      </c>
      <c r="B8" s="15">
        <f>IF($A8="","",IFERROR(SUMIF(tblAnahtarA[Norm],$A8,tblVeriA[EnCm]),0))</f>
        <v/>
      </c>
      <c r="C8" s="15">
        <f>IF($A8="","",IFERROR(SUMIF(tblAnahtarA[Norm],$A8,tblVeriA[BoyCm]),0))</f>
        <v/>
      </c>
      <c r="D8" s="15">
        <f>IF($A8="","",IFERROR(SUMIF(tblAnahtarA[Norm],$A8,tblVeriA[YukseklikCm]),0))</f>
        <v/>
      </c>
      <c r="E8" s="15">
        <f>IF($A8="","",IFERROR(SUMIF(tblAnahtarA[Norm],$A8,tblVeriA[AgirlikKg]),0))</f>
        <v/>
      </c>
      <c r="F8" s="15">
        <f>IF($A8="","",IFERROR(SUMIF(tblAnahtarA[Norm],$A8,tblVeriA[DesiCarpani]),kdo_varsayilanDesiCarpani))</f>
        <v/>
      </c>
      <c r="G8" s="15">
        <f>IF($A8="","",ROUND($B8*$C8*$D8/MAX($F8,1),2))</f>
        <v/>
      </c>
      <c r="H8" s="15">
        <f>IF($A8="","",MAX($G8,$E8))</f>
        <v/>
      </c>
      <c r="I8" s="15">
        <f>IF($A8="","",IFERROR(SUMIF(tblAnahtarB[NormB],$A8,tblVeriB[TarifTlDesi]),0))</f>
        <v/>
      </c>
      <c r="J8" s="15">
        <f>IF($A8="","",IFERROR(SUMIF(tblAnahtarA[Norm],$A8,tblVeriA[Adet]),1))</f>
        <v/>
      </c>
      <c r="K8" s="15">
        <f>IF($A8="","",ROUND($H8*$I8,2))</f>
        <v/>
      </c>
      <c r="L8" s="15">
        <f>IF($A8="","",ROUND($K8*$J8*(1+$Q8*kdo_iadeEtkiCarpani),2))</f>
        <v/>
      </c>
      <c r="M8" s="15">
        <f>IF($A8="","",IFERROR(SUMIF(tblAnahtarB[NormB],$A8,tblVeriB[AlternatifTarif]),0))</f>
        <v/>
      </c>
      <c r="N8" s="15">
        <f>IF($A8="","",ROUND($H8*$M8*$J8*(1+$Q8*kdo_iadeEtkiCarpani),2))</f>
        <v/>
      </c>
      <c r="O8" s="15">
        <f>IF($A8="","",ROUND($L8-$N8,2))</f>
        <v/>
      </c>
      <c r="P8" s="15">
        <f>IF($A8="","",IF($R8&gt;kdo_esikDesiOran,"DESİ DÜŞÜR",IF($O8&gt;kdo_esikTasarruf,"TAŞIYICI DEĞİŞTİR","UYGUN")))</f>
        <v/>
      </c>
      <c r="Q8" s="15">
        <f>IF($A8="","",IFERROR(SUMIF(tblAnahtarB[NormB],$A8,tblVeriB[IadeOran]),0))</f>
        <v/>
      </c>
      <c r="R8" s="15">
        <f>IF(OR($A8="",$E8=0),0,$G8/$E8)</f>
        <v/>
      </c>
      <c r="S8" s="15">
        <f>IF($A8="","",$G8-$E8)</f>
        <v/>
      </c>
      <c r="T8" s="15">
        <f>IF($A8="","",$L8-$N8)</f>
        <v/>
      </c>
    </row>
    <row r="9">
      <c r="A9" s="15">
        <f>IF('ANAHTAR'!$B9="","",'ANAHTAR'!$B9)</f>
        <v/>
      </c>
      <c r="B9" s="15">
        <f>IF($A9="","",IFERROR(SUMIF(tblAnahtarA[Norm],$A9,tblVeriA[EnCm]),0))</f>
        <v/>
      </c>
      <c r="C9" s="15">
        <f>IF($A9="","",IFERROR(SUMIF(tblAnahtarA[Norm],$A9,tblVeriA[BoyCm]),0))</f>
        <v/>
      </c>
      <c r="D9" s="15">
        <f>IF($A9="","",IFERROR(SUMIF(tblAnahtarA[Norm],$A9,tblVeriA[YukseklikCm]),0))</f>
        <v/>
      </c>
      <c r="E9" s="15">
        <f>IF($A9="","",IFERROR(SUMIF(tblAnahtarA[Norm],$A9,tblVeriA[AgirlikKg]),0))</f>
        <v/>
      </c>
      <c r="F9" s="15">
        <f>IF($A9="","",IFERROR(SUMIF(tblAnahtarA[Norm],$A9,tblVeriA[DesiCarpani]),kdo_varsayilanDesiCarpani))</f>
        <v/>
      </c>
      <c r="G9" s="15">
        <f>IF($A9="","",ROUND($B9*$C9*$D9/MAX($F9,1),2))</f>
        <v/>
      </c>
      <c r="H9" s="15">
        <f>IF($A9="","",MAX($G9,$E9))</f>
        <v/>
      </c>
      <c r="I9" s="15">
        <f>IF($A9="","",IFERROR(SUMIF(tblAnahtarB[NormB],$A9,tblVeriB[TarifTlDesi]),0))</f>
        <v/>
      </c>
      <c r="J9" s="15">
        <f>IF($A9="","",IFERROR(SUMIF(tblAnahtarA[Norm],$A9,tblVeriA[Adet]),1))</f>
        <v/>
      </c>
      <c r="K9" s="15">
        <f>IF($A9="","",ROUND($H9*$I9,2))</f>
        <v/>
      </c>
      <c r="L9" s="15">
        <f>IF($A9="","",ROUND($K9*$J9*(1+$Q9*kdo_iadeEtkiCarpani),2))</f>
        <v/>
      </c>
      <c r="M9" s="15">
        <f>IF($A9="","",IFERROR(SUMIF(tblAnahtarB[NormB],$A9,tblVeriB[AlternatifTarif]),0))</f>
        <v/>
      </c>
      <c r="N9" s="15">
        <f>IF($A9="","",ROUND($H9*$M9*$J9*(1+$Q9*kdo_iadeEtkiCarpani),2))</f>
        <v/>
      </c>
      <c r="O9" s="15">
        <f>IF($A9="","",ROUND($L9-$N9,2))</f>
        <v/>
      </c>
      <c r="P9" s="15">
        <f>IF($A9="","",IF($R9&gt;kdo_esikDesiOran,"DESİ DÜŞÜR",IF($O9&gt;kdo_esikTasarruf,"TAŞIYICI DEĞİŞTİR","UYGUN")))</f>
        <v/>
      </c>
      <c r="Q9" s="15">
        <f>IF($A9="","",IFERROR(SUMIF(tblAnahtarB[NormB],$A9,tblVeriB[IadeOran]),0))</f>
        <v/>
      </c>
      <c r="R9" s="15">
        <f>IF(OR($A9="",$E9=0),0,$G9/$E9)</f>
        <v/>
      </c>
      <c r="S9" s="15">
        <f>IF($A9="","",$G9-$E9)</f>
        <v/>
      </c>
      <c r="T9" s="15">
        <f>IF($A9="","",$L9-$N9)</f>
        <v/>
      </c>
    </row>
    <row r="10">
      <c r="A10" s="15">
        <f>IF('ANAHTAR'!$B10="","",'ANAHTAR'!$B10)</f>
        <v/>
      </c>
      <c r="B10" s="15">
        <f>IF($A10="","",IFERROR(SUMIF(tblAnahtarA[Norm],$A10,tblVeriA[EnCm]),0))</f>
        <v/>
      </c>
      <c r="C10" s="15">
        <f>IF($A10="","",IFERROR(SUMIF(tblAnahtarA[Norm],$A10,tblVeriA[BoyCm]),0))</f>
        <v/>
      </c>
      <c r="D10" s="15">
        <f>IF($A10="","",IFERROR(SUMIF(tblAnahtarA[Norm],$A10,tblVeriA[YukseklikCm]),0))</f>
        <v/>
      </c>
      <c r="E10" s="15">
        <f>IF($A10="","",IFERROR(SUMIF(tblAnahtarA[Norm],$A10,tblVeriA[AgirlikKg]),0))</f>
        <v/>
      </c>
      <c r="F10" s="15">
        <f>IF($A10="","",IFERROR(SUMIF(tblAnahtarA[Norm],$A10,tblVeriA[DesiCarpani]),kdo_varsayilanDesiCarpani))</f>
        <v/>
      </c>
      <c r="G10" s="15">
        <f>IF($A10="","",ROUND($B10*$C10*$D10/MAX($F10,1),2))</f>
        <v/>
      </c>
      <c r="H10" s="15">
        <f>IF($A10="","",MAX($G10,$E10))</f>
        <v/>
      </c>
      <c r="I10" s="15">
        <f>IF($A10="","",IFERROR(SUMIF(tblAnahtarB[NormB],$A10,tblVeriB[TarifTlDesi]),0))</f>
        <v/>
      </c>
      <c r="J10" s="15">
        <f>IF($A10="","",IFERROR(SUMIF(tblAnahtarA[Norm],$A10,tblVeriA[Adet]),1))</f>
        <v/>
      </c>
      <c r="K10" s="15">
        <f>IF($A10="","",ROUND($H10*$I10,2))</f>
        <v/>
      </c>
      <c r="L10" s="15">
        <f>IF($A10="","",ROUND($K10*$J10*(1+$Q10*kdo_iadeEtkiCarpani),2))</f>
        <v/>
      </c>
      <c r="M10" s="15">
        <f>IF($A10="","",IFERROR(SUMIF(tblAnahtarB[NormB],$A10,tblVeriB[AlternatifTarif]),0))</f>
        <v/>
      </c>
      <c r="N10" s="15">
        <f>IF($A10="","",ROUND($H10*$M10*$J10*(1+$Q10*kdo_iadeEtkiCarpani),2))</f>
        <v/>
      </c>
      <c r="O10" s="15">
        <f>IF($A10="","",ROUND($L10-$N10,2))</f>
        <v/>
      </c>
      <c r="P10" s="15">
        <f>IF($A10="","",IF($R10&gt;kdo_esikDesiOran,"DESİ DÜŞÜR",IF($O10&gt;kdo_esikTasarruf,"TAŞIYICI DEĞİŞTİR","UYGUN")))</f>
        <v/>
      </c>
      <c r="Q10" s="15">
        <f>IF($A10="","",IFERROR(SUMIF(tblAnahtarB[NormB],$A10,tblVeriB[IadeOran]),0))</f>
        <v/>
      </c>
      <c r="R10" s="15">
        <f>IF(OR($A10="",$E10=0),0,$G10/$E10)</f>
        <v/>
      </c>
      <c r="S10" s="15">
        <f>IF($A10="","",$G10-$E10)</f>
        <v/>
      </c>
      <c r="T10" s="15">
        <f>IF($A10="","",$L10-$N10)</f>
        <v/>
      </c>
    </row>
    <row r="11">
      <c r="A11" s="15">
        <f>IF('ANAHTAR'!$B11="","",'ANAHTAR'!$B11)</f>
        <v/>
      </c>
      <c r="B11" s="15">
        <f>IF($A11="","",IFERROR(SUMIF(tblAnahtarA[Norm],$A11,tblVeriA[EnCm]),0))</f>
        <v/>
      </c>
      <c r="C11" s="15">
        <f>IF($A11="","",IFERROR(SUMIF(tblAnahtarA[Norm],$A11,tblVeriA[BoyCm]),0))</f>
        <v/>
      </c>
      <c r="D11" s="15">
        <f>IF($A11="","",IFERROR(SUMIF(tblAnahtarA[Norm],$A11,tblVeriA[YukseklikCm]),0))</f>
        <v/>
      </c>
      <c r="E11" s="15">
        <f>IF($A11="","",IFERROR(SUMIF(tblAnahtarA[Norm],$A11,tblVeriA[AgirlikKg]),0))</f>
        <v/>
      </c>
      <c r="F11" s="15">
        <f>IF($A11="","",IFERROR(SUMIF(tblAnahtarA[Norm],$A11,tblVeriA[DesiCarpani]),kdo_varsayilanDesiCarpani))</f>
        <v/>
      </c>
      <c r="G11" s="15">
        <f>IF($A11="","",ROUND($B11*$C11*$D11/MAX($F11,1),2))</f>
        <v/>
      </c>
      <c r="H11" s="15">
        <f>IF($A11="","",MAX($G11,$E11))</f>
        <v/>
      </c>
      <c r="I11" s="15">
        <f>IF($A11="","",IFERROR(SUMIF(tblAnahtarB[NormB],$A11,tblVeriB[TarifTlDesi]),0))</f>
        <v/>
      </c>
      <c r="J11" s="15">
        <f>IF($A11="","",IFERROR(SUMIF(tblAnahtarA[Norm],$A11,tblVeriA[Adet]),1))</f>
        <v/>
      </c>
      <c r="K11" s="15">
        <f>IF($A11="","",ROUND($H11*$I11,2))</f>
        <v/>
      </c>
      <c r="L11" s="15">
        <f>IF($A11="","",ROUND($K11*$J11*(1+$Q11*kdo_iadeEtkiCarpani),2))</f>
        <v/>
      </c>
      <c r="M11" s="15">
        <f>IF($A11="","",IFERROR(SUMIF(tblAnahtarB[NormB],$A11,tblVeriB[AlternatifTarif]),0))</f>
        <v/>
      </c>
      <c r="N11" s="15">
        <f>IF($A11="","",ROUND($H11*$M11*$J11*(1+$Q11*kdo_iadeEtkiCarpani),2))</f>
        <v/>
      </c>
      <c r="O11" s="15">
        <f>IF($A11="","",ROUND($L11-$N11,2))</f>
        <v/>
      </c>
      <c r="P11" s="15">
        <f>IF($A11="","",IF($R11&gt;kdo_esikDesiOran,"DESİ DÜŞÜR",IF($O11&gt;kdo_esikTasarruf,"TAŞIYICI DEĞİŞTİR","UYGUN")))</f>
        <v/>
      </c>
      <c r="Q11" s="15">
        <f>IF($A11="","",IFERROR(SUMIF(tblAnahtarB[NormB],$A11,tblVeriB[IadeOran]),0))</f>
        <v/>
      </c>
      <c r="R11" s="15">
        <f>IF(OR($A11="",$E11=0),0,$G11/$E11)</f>
        <v/>
      </c>
      <c r="S11" s="15">
        <f>IF($A11="","",$G11-$E11)</f>
        <v/>
      </c>
      <c r="T11" s="15">
        <f>IF($A11="","",$L11-$N11)</f>
        <v/>
      </c>
    </row>
    <row r="12">
      <c r="A12" s="15">
        <f>IF('ANAHTAR'!$B12="","",'ANAHTAR'!$B12)</f>
        <v/>
      </c>
      <c r="B12" s="15">
        <f>IF($A12="","",IFERROR(SUMIF(tblAnahtarA[Norm],$A12,tblVeriA[EnCm]),0))</f>
        <v/>
      </c>
      <c r="C12" s="15">
        <f>IF($A12="","",IFERROR(SUMIF(tblAnahtarA[Norm],$A12,tblVeriA[BoyCm]),0))</f>
        <v/>
      </c>
      <c r="D12" s="15">
        <f>IF($A12="","",IFERROR(SUMIF(tblAnahtarA[Norm],$A12,tblVeriA[YukseklikCm]),0))</f>
        <v/>
      </c>
      <c r="E12" s="15">
        <f>IF($A12="","",IFERROR(SUMIF(tblAnahtarA[Norm],$A12,tblVeriA[AgirlikKg]),0))</f>
        <v/>
      </c>
      <c r="F12" s="15">
        <f>IF($A12="","",IFERROR(SUMIF(tblAnahtarA[Norm],$A12,tblVeriA[DesiCarpani]),kdo_varsayilanDesiCarpani))</f>
        <v/>
      </c>
      <c r="G12" s="15">
        <f>IF($A12="","",ROUND($B12*$C12*$D12/MAX($F12,1),2))</f>
        <v/>
      </c>
      <c r="H12" s="15">
        <f>IF($A12="","",MAX($G12,$E12))</f>
        <v/>
      </c>
      <c r="I12" s="15">
        <f>IF($A12="","",IFERROR(SUMIF(tblAnahtarB[NormB],$A12,tblVeriB[TarifTlDesi]),0))</f>
        <v/>
      </c>
      <c r="J12" s="15">
        <f>IF($A12="","",IFERROR(SUMIF(tblAnahtarA[Norm],$A12,tblVeriA[Adet]),1))</f>
        <v/>
      </c>
      <c r="K12" s="15">
        <f>IF($A12="","",ROUND($H12*$I12,2))</f>
        <v/>
      </c>
      <c r="L12" s="15">
        <f>IF($A12="","",ROUND($K12*$J12*(1+$Q12*kdo_iadeEtkiCarpani),2))</f>
        <v/>
      </c>
      <c r="M12" s="15">
        <f>IF($A12="","",IFERROR(SUMIF(tblAnahtarB[NormB],$A12,tblVeriB[AlternatifTarif]),0))</f>
        <v/>
      </c>
      <c r="N12" s="15">
        <f>IF($A12="","",ROUND($H12*$M12*$J12*(1+$Q12*kdo_iadeEtkiCarpani),2))</f>
        <v/>
      </c>
      <c r="O12" s="15">
        <f>IF($A12="","",ROUND($L12-$N12,2))</f>
        <v/>
      </c>
      <c r="P12" s="15">
        <f>IF($A12="","",IF($R12&gt;kdo_esikDesiOran,"DESİ DÜŞÜR",IF($O12&gt;kdo_esikTasarruf,"TAŞIYICI DEĞİŞTİR","UYGUN")))</f>
        <v/>
      </c>
      <c r="Q12" s="15">
        <f>IF($A12="","",IFERROR(SUMIF(tblAnahtarB[NormB],$A12,tblVeriB[IadeOran]),0))</f>
        <v/>
      </c>
      <c r="R12" s="15">
        <f>IF(OR($A12="",$E12=0),0,$G12/$E12)</f>
        <v/>
      </c>
      <c r="S12" s="15">
        <f>IF($A12="","",$G12-$E12)</f>
        <v/>
      </c>
      <c r="T12" s="15">
        <f>IF($A12="","",$L12-$N12)</f>
        <v/>
      </c>
    </row>
    <row r="13">
      <c r="A13" s="15">
        <f>IF('ANAHTAR'!$B13="","",'ANAHTAR'!$B13)</f>
        <v/>
      </c>
      <c r="B13" s="15">
        <f>IF($A13="","",IFERROR(SUMIF(tblAnahtarA[Norm],$A13,tblVeriA[EnCm]),0))</f>
        <v/>
      </c>
      <c r="C13" s="15">
        <f>IF($A13="","",IFERROR(SUMIF(tblAnahtarA[Norm],$A13,tblVeriA[BoyCm]),0))</f>
        <v/>
      </c>
      <c r="D13" s="15">
        <f>IF($A13="","",IFERROR(SUMIF(tblAnahtarA[Norm],$A13,tblVeriA[YukseklikCm]),0))</f>
        <v/>
      </c>
      <c r="E13" s="15">
        <f>IF($A13="","",IFERROR(SUMIF(tblAnahtarA[Norm],$A13,tblVeriA[AgirlikKg]),0))</f>
        <v/>
      </c>
      <c r="F13" s="15">
        <f>IF($A13="","",IFERROR(SUMIF(tblAnahtarA[Norm],$A13,tblVeriA[DesiCarpani]),kdo_varsayilanDesiCarpani))</f>
        <v/>
      </c>
      <c r="G13" s="15">
        <f>IF($A13="","",ROUND($B13*$C13*$D13/MAX($F13,1),2))</f>
        <v/>
      </c>
      <c r="H13" s="15">
        <f>IF($A13="","",MAX($G13,$E13))</f>
        <v/>
      </c>
      <c r="I13" s="15">
        <f>IF($A13="","",IFERROR(SUMIF(tblAnahtarB[NormB],$A13,tblVeriB[TarifTlDesi]),0))</f>
        <v/>
      </c>
      <c r="J13" s="15">
        <f>IF($A13="","",IFERROR(SUMIF(tblAnahtarA[Norm],$A13,tblVeriA[Adet]),1))</f>
        <v/>
      </c>
      <c r="K13" s="15">
        <f>IF($A13="","",ROUND($H13*$I13,2))</f>
        <v/>
      </c>
      <c r="L13" s="15">
        <f>IF($A13="","",ROUND($K13*$J13*(1+$Q13*kdo_iadeEtkiCarpani),2))</f>
        <v/>
      </c>
      <c r="M13" s="15">
        <f>IF($A13="","",IFERROR(SUMIF(tblAnahtarB[NormB],$A13,tblVeriB[AlternatifTarif]),0))</f>
        <v/>
      </c>
      <c r="N13" s="15">
        <f>IF($A13="","",ROUND($H13*$M13*$J13*(1+$Q13*kdo_iadeEtkiCarpani),2))</f>
        <v/>
      </c>
      <c r="O13" s="15">
        <f>IF($A13="","",ROUND($L13-$N13,2))</f>
        <v/>
      </c>
      <c r="P13" s="15">
        <f>IF($A13="","",IF($R13&gt;kdo_esikDesiOran,"DESİ DÜŞÜR",IF($O13&gt;kdo_esikTasarruf,"TAŞIYICI DEĞİŞTİR","UYGUN")))</f>
        <v/>
      </c>
      <c r="Q13" s="15">
        <f>IF($A13="","",IFERROR(SUMIF(tblAnahtarB[NormB],$A13,tblVeriB[IadeOran]),0))</f>
        <v/>
      </c>
      <c r="R13" s="15">
        <f>IF(OR($A13="",$E13=0),0,$G13/$E13)</f>
        <v/>
      </c>
      <c r="S13" s="15">
        <f>IF($A13="","",$G13-$E13)</f>
        <v/>
      </c>
      <c r="T13" s="15">
        <f>IF($A13="","",$L13-$N13)</f>
        <v/>
      </c>
    </row>
    <row r="14">
      <c r="A14" s="15">
        <f>IF('ANAHTAR'!$B14="","",'ANAHTAR'!$B14)</f>
        <v/>
      </c>
      <c r="B14" s="15">
        <f>IF($A14="","",IFERROR(SUMIF(tblAnahtarA[Norm],$A14,tblVeriA[EnCm]),0))</f>
        <v/>
      </c>
      <c r="C14" s="15">
        <f>IF($A14="","",IFERROR(SUMIF(tblAnahtarA[Norm],$A14,tblVeriA[BoyCm]),0))</f>
        <v/>
      </c>
      <c r="D14" s="15">
        <f>IF($A14="","",IFERROR(SUMIF(tblAnahtarA[Norm],$A14,tblVeriA[YukseklikCm]),0))</f>
        <v/>
      </c>
      <c r="E14" s="15">
        <f>IF($A14="","",IFERROR(SUMIF(tblAnahtarA[Norm],$A14,tblVeriA[AgirlikKg]),0))</f>
        <v/>
      </c>
      <c r="F14" s="15">
        <f>IF($A14="","",IFERROR(SUMIF(tblAnahtarA[Norm],$A14,tblVeriA[DesiCarpani]),kdo_varsayilanDesiCarpani))</f>
        <v/>
      </c>
      <c r="G14" s="15">
        <f>IF($A14="","",ROUND($B14*$C14*$D14/MAX($F14,1),2))</f>
        <v/>
      </c>
      <c r="H14" s="15">
        <f>IF($A14="","",MAX($G14,$E14))</f>
        <v/>
      </c>
      <c r="I14" s="15">
        <f>IF($A14="","",IFERROR(SUMIF(tblAnahtarB[NormB],$A14,tblVeriB[TarifTlDesi]),0))</f>
        <v/>
      </c>
      <c r="J14" s="15">
        <f>IF($A14="","",IFERROR(SUMIF(tblAnahtarA[Norm],$A14,tblVeriA[Adet]),1))</f>
        <v/>
      </c>
      <c r="K14" s="15">
        <f>IF($A14="","",ROUND($H14*$I14,2))</f>
        <v/>
      </c>
      <c r="L14" s="15">
        <f>IF($A14="","",ROUND($K14*$J14*(1+$Q14*kdo_iadeEtkiCarpani),2))</f>
        <v/>
      </c>
      <c r="M14" s="15">
        <f>IF($A14="","",IFERROR(SUMIF(tblAnahtarB[NormB],$A14,tblVeriB[AlternatifTarif]),0))</f>
        <v/>
      </c>
      <c r="N14" s="15">
        <f>IF($A14="","",ROUND($H14*$M14*$J14*(1+$Q14*kdo_iadeEtkiCarpani),2))</f>
        <v/>
      </c>
      <c r="O14" s="15">
        <f>IF($A14="","",ROUND($L14-$N14,2))</f>
        <v/>
      </c>
      <c r="P14" s="15">
        <f>IF($A14="","",IF($R14&gt;kdo_esikDesiOran,"DESİ DÜŞÜR",IF($O14&gt;kdo_esikTasarruf,"TAŞIYICI DEĞİŞTİR","UYGUN")))</f>
        <v/>
      </c>
      <c r="Q14" s="15">
        <f>IF($A14="","",IFERROR(SUMIF(tblAnahtarB[NormB],$A14,tblVeriB[IadeOran]),0))</f>
        <v/>
      </c>
      <c r="R14" s="15">
        <f>IF(OR($A14="",$E14=0),0,$G14/$E14)</f>
        <v/>
      </c>
      <c r="S14" s="15">
        <f>IF($A14="","",$G14-$E14)</f>
        <v/>
      </c>
      <c r="T14" s="15">
        <f>IF($A14="","",$L14-$N14)</f>
        <v/>
      </c>
    </row>
    <row r="15">
      <c r="A15" s="15">
        <f>IF('ANAHTAR'!$B15="","",'ANAHTAR'!$B15)</f>
        <v/>
      </c>
      <c r="B15" s="15">
        <f>IF($A15="","",IFERROR(SUMIF(tblAnahtarA[Norm],$A15,tblVeriA[EnCm]),0))</f>
        <v/>
      </c>
      <c r="C15" s="15">
        <f>IF($A15="","",IFERROR(SUMIF(tblAnahtarA[Norm],$A15,tblVeriA[BoyCm]),0))</f>
        <v/>
      </c>
      <c r="D15" s="15">
        <f>IF($A15="","",IFERROR(SUMIF(tblAnahtarA[Norm],$A15,tblVeriA[YukseklikCm]),0))</f>
        <v/>
      </c>
      <c r="E15" s="15">
        <f>IF($A15="","",IFERROR(SUMIF(tblAnahtarA[Norm],$A15,tblVeriA[AgirlikKg]),0))</f>
        <v/>
      </c>
      <c r="F15" s="15">
        <f>IF($A15="","",IFERROR(SUMIF(tblAnahtarA[Norm],$A15,tblVeriA[DesiCarpani]),kdo_varsayilanDesiCarpani))</f>
        <v/>
      </c>
      <c r="G15" s="15">
        <f>IF($A15="","",ROUND($B15*$C15*$D15/MAX($F15,1),2))</f>
        <v/>
      </c>
      <c r="H15" s="15">
        <f>IF($A15="","",MAX($G15,$E15))</f>
        <v/>
      </c>
      <c r="I15" s="15">
        <f>IF($A15="","",IFERROR(SUMIF(tblAnahtarB[NormB],$A15,tblVeriB[TarifTlDesi]),0))</f>
        <v/>
      </c>
      <c r="J15" s="15">
        <f>IF($A15="","",IFERROR(SUMIF(tblAnahtarA[Norm],$A15,tblVeriA[Adet]),1))</f>
        <v/>
      </c>
      <c r="K15" s="15">
        <f>IF($A15="","",ROUND($H15*$I15,2))</f>
        <v/>
      </c>
      <c r="L15" s="15">
        <f>IF($A15="","",ROUND($K15*$J15*(1+$Q15*kdo_iadeEtkiCarpani),2))</f>
        <v/>
      </c>
      <c r="M15" s="15">
        <f>IF($A15="","",IFERROR(SUMIF(tblAnahtarB[NormB],$A15,tblVeriB[AlternatifTarif]),0))</f>
        <v/>
      </c>
      <c r="N15" s="15">
        <f>IF($A15="","",ROUND($H15*$M15*$J15*(1+$Q15*kdo_iadeEtkiCarpani),2))</f>
        <v/>
      </c>
      <c r="O15" s="15">
        <f>IF($A15="","",ROUND($L15-$N15,2))</f>
        <v/>
      </c>
      <c r="P15" s="15">
        <f>IF($A15="","",IF($R15&gt;kdo_esikDesiOran,"DESİ DÜŞÜR",IF($O15&gt;kdo_esikTasarruf,"TAŞIYICI DEĞİŞTİR","UYGUN")))</f>
        <v/>
      </c>
      <c r="Q15" s="15">
        <f>IF($A15="","",IFERROR(SUMIF(tblAnahtarB[NormB],$A15,tblVeriB[IadeOran]),0))</f>
        <v/>
      </c>
      <c r="R15" s="15">
        <f>IF(OR($A15="",$E15=0),0,$G15/$E15)</f>
        <v/>
      </c>
      <c r="S15" s="15">
        <f>IF($A15="","",$G15-$E15)</f>
        <v/>
      </c>
      <c r="T15" s="15">
        <f>IF($A15="","",$L15-$N15)</f>
        <v/>
      </c>
    </row>
    <row r="16">
      <c r="A16" s="15">
        <f>IF('ANAHTAR'!$B16="","",'ANAHTAR'!$B16)</f>
        <v/>
      </c>
      <c r="B16" s="15">
        <f>IF($A16="","",IFERROR(SUMIF(tblAnahtarA[Norm],$A16,tblVeriA[EnCm]),0))</f>
        <v/>
      </c>
      <c r="C16" s="15">
        <f>IF($A16="","",IFERROR(SUMIF(tblAnahtarA[Norm],$A16,tblVeriA[BoyCm]),0))</f>
        <v/>
      </c>
      <c r="D16" s="15">
        <f>IF($A16="","",IFERROR(SUMIF(tblAnahtarA[Norm],$A16,tblVeriA[YukseklikCm]),0))</f>
        <v/>
      </c>
      <c r="E16" s="15">
        <f>IF($A16="","",IFERROR(SUMIF(tblAnahtarA[Norm],$A16,tblVeriA[AgirlikKg]),0))</f>
        <v/>
      </c>
      <c r="F16" s="15">
        <f>IF($A16="","",IFERROR(SUMIF(tblAnahtarA[Norm],$A16,tblVeriA[DesiCarpani]),kdo_varsayilanDesiCarpani))</f>
        <v/>
      </c>
      <c r="G16" s="15">
        <f>IF($A16="","",ROUND($B16*$C16*$D16/MAX($F16,1),2))</f>
        <v/>
      </c>
      <c r="H16" s="15">
        <f>IF($A16="","",MAX($G16,$E16))</f>
        <v/>
      </c>
      <c r="I16" s="15">
        <f>IF($A16="","",IFERROR(SUMIF(tblAnahtarB[NormB],$A16,tblVeriB[TarifTlDesi]),0))</f>
        <v/>
      </c>
      <c r="J16" s="15">
        <f>IF($A16="","",IFERROR(SUMIF(tblAnahtarA[Norm],$A16,tblVeriA[Adet]),1))</f>
        <v/>
      </c>
      <c r="K16" s="15">
        <f>IF($A16="","",ROUND($H16*$I16,2))</f>
        <v/>
      </c>
      <c r="L16" s="15">
        <f>IF($A16="","",ROUND($K16*$J16*(1+$Q16*kdo_iadeEtkiCarpani),2))</f>
        <v/>
      </c>
      <c r="M16" s="15">
        <f>IF($A16="","",IFERROR(SUMIF(tblAnahtarB[NormB],$A16,tblVeriB[AlternatifTarif]),0))</f>
        <v/>
      </c>
      <c r="N16" s="15">
        <f>IF($A16="","",ROUND($H16*$M16*$J16*(1+$Q16*kdo_iadeEtkiCarpani),2))</f>
        <v/>
      </c>
      <c r="O16" s="15">
        <f>IF($A16="","",ROUND($L16-$N16,2))</f>
        <v/>
      </c>
      <c r="P16" s="15">
        <f>IF($A16="","",IF($R16&gt;kdo_esikDesiOran,"DESİ DÜŞÜR",IF($O16&gt;kdo_esikTasarruf,"TAŞIYICI DEĞİŞTİR","UYGUN")))</f>
        <v/>
      </c>
      <c r="Q16" s="15">
        <f>IF($A16="","",IFERROR(SUMIF(tblAnahtarB[NormB],$A16,tblVeriB[IadeOran]),0))</f>
        <v/>
      </c>
      <c r="R16" s="15">
        <f>IF(OR($A16="",$E16=0),0,$G16/$E16)</f>
        <v/>
      </c>
      <c r="S16" s="15">
        <f>IF($A16="","",$G16-$E16)</f>
        <v/>
      </c>
      <c r="T16" s="15">
        <f>IF($A16="","",$L16-$N16)</f>
        <v/>
      </c>
    </row>
    <row r="17">
      <c r="A17" s="15">
        <f>IF('ANAHTAR'!$B17="","",'ANAHTAR'!$B17)</f>
        <v/>
      </c>
      <c r="B17" s="15">
        <f>IF($A17="","",IFERROR(SUMIF(tblAnahtarA[Norm],$A17,tblVeriA[EnCm]),0))</f>
        <v/>
      </c>
      <c r="C17" s="15">
        <f>IF($A17="","",IFERROR(SUMIF(tblAnahtarA[Norm],$A17,tblVeriA[BoyCm]),0))</f>
        <v/>
      </c>
      <c r="D17" s="15">
        <f>IF($A17="","",IFERROR(SUMIF(tblAnahtarA[Norm],$A17,tblVeriA[YukseklikCm]),0))</f>
        <v/>
      </c>
      <c r="E17" s="15">
        <f>IF($A17="","",IFERROR(SUMIF(tblAnahtarA[Norm],$A17,tblVeriA[AgirlikKg]),0))</f>
        <v/>
      </c>
      <c r="F17" s="15">
        <f>IF($A17="","",IFERROR(SUMIF(tblAnahtarA[Norm],$A17,tblVeriA[DesiCarpani]),kdo_varsayilanDesiCarpani))</f>
        <v/>
      </c>
      <c r="G17" s="15">
        <f>IF($A17="","",ROUND($B17*$C17*$D17/MAX($F17,1),2))</f>
        <v/>
      </c>
      <c r="H17" s="15">
        <f>IF($A17="","",MAX($G17,$E17))</f>
        <v/>
      </c>
      <c r="I17" s="15">
        <f>IF($A17="","",IFERROR(SUMIF(tblAnahtarB[NormB],$A17,tblVeriB[TarifTlDesi]),0))</f>
        <v/>
      </c>
      <c r="J17" s="15">
        <f>IF($A17="","",IFERROR(SUMIF(tblAnahtarA[Norm],$A17,tblVeriA[Adet]),1))</f>
        <v/>
      </c>
      <c r="K17" s="15">
        <f>IF($A17="","",ROUND($H17*$I17,2))</f>
        <v/>
      </c>
      <c r="L17" s="15">
        <f>IF($A17="","",ROUND($K17*$J17*(1+$Q17*kdo_iadeEtkiCarpani),2))</f>
        <v/>
      </c>
      <c r="M17" s="15">
        <f>IF($A17="","",IFERROR(SUMIF(tblAnahtarB[NormB],$A17,tblVeriB[AlternatifTarif]),0))</f>
        <v/>
      </c>
      <c r="N17" s="15">
        <f>IF($A17="","",ROUND($H17*$M17*$J17*(1+$Q17*kdo_iadeEtkiCarpani),2))</f>
        <v/>
      </c>
      <c r="O17" s="15">
        <f>IF($A17="","",ROUND($L17-$N17,2))</f>
        <v/>
      </c>
      <c r="P17" s="15">
        <f>IF($A17="","",IF($R17&gt;kdo_esikDesiOran,"DESİ DÜŞÜR",IF($O17&gt;kdo_esikTasarruf,"TAŞIYICI DEĞİŞTİR","UYGUN")))</f>
        <v/>
      </c>
      <c r="Q17" s="15">
        <f>IF($A17="","",IFERROR(SUMIF(tblAnahtarB[NormB],$A17,tblVeriB[IadeOran]),0))</f>
        <v/>
      </c>
      <c r="R17" s="15">
        <f>IF(OR($A17="",$E17=0),0,$G17/$E17)</f>
        <v/>
      </c>
      <c r="S17" s="15">
        <f>IF($A17="","",$G17-$E17)</f>
        <v/>
      </c>
      <c r="T17" s="15">
        <f>IF($A17="","",$L17-$N17)</f>
        <v/>
      </c>
    </row>
    <row r="18">
      <c r="A18" s="15">
        <f>IF('ANAHTAR'!$B18="","",'ANAHTAR'!$B18)</f>
        <v/>
      </c>
      <c r="B18" s="15">
        <f>IF($A18="","",IFERROR(SUMIF(tblAnahtarA[Norm],$A18,tblVeriA[EnCm]),0))</f>
        <v/>
      </c>
      <c r="C18" s="15">
        <f>IF($A18="","",IFERROR(SUMIF(tblAnahtarA[Norm],$A18,tblVeriA[BoyCm]),0))</f>
        <v/>
      </c>
      <c r="D18" s="15">
        <f>IF($A18="","",IFERROR(SUMIF(tblAnahtarA[Norm],$A18,tblVeriA[YukseklikCm]),0))</f>
        <v/>
      </c>
      <c r="E18" s="15">
        <f>IF($A18="","",IFERROR(SUMIF(tblAnahtarA[Norm],$A18,tblVeriA[AgirlikKg]),0))</f>
        <v/>
      </c>
      <c r="F18" s="15">
        <f>IF($A18="","",IFERROR(SUMIF(tblAnahtarA[Norm],$A18,tblVeriA[DesiCarpani]),kdo_varsayilanDesiCarpani))</f>
        <v/>
      </c>
      <c r="G18" s="15">
        <f>IF($A18="","",ROUND($B18*$C18*$D18/MAX($F18,1),2))</f>
        <v/>
      </c>
      <c r="H18" s="15">
        <f>IF($A18="","",MAX($G18,$E18))</f>
        <v/>
      </c>
      <c r="I18" s="15">
        <f>IF($A18="","",IFERROR(SUMIF(tblAnahtarB[NormB],$A18,tblVeriB[TarifTlDesi]),0))</f>
        <v/>
      </c>
      <c r="J18" s="15">
        <f>IF($A18="","",IFERROR(SUMIF(tblAnahtarA[Norm],$A18,tblVeriA[Adet]),1))</f>
        <v/>
      </c>
      <c r="K18" s="15">
        <f>IF($A18="","",ROUND($H18*$I18,2))</f>
        <v/>
      </c>
      <c r="L18" s="15">
        <f>IF($A18="","",ROUND($K18*$J18*(1+$Q18*kdo_iadeEtkiCarpani),2))</f>
        <v/>
      </c>
      <c r="M18" s="15">
        <f>IF($A18="","",IFERROR(SUMIF(tblAnahtarB[NormB],$A18,tblVeriB[AlternatifTarif]),0))</f>
        <v/>
      </c>
      <c r="N18" s="15">
        <f>IF($A18="","",ROUND($H18*$M18*$J18*(1+$Q18*kdo_iadeEtkiCarpani),2))</f>
        <v/>
      </c>
      <c r="O18" s="15">
        <f>IF($A18="","",ROUND($L18-$N18,2))</f>
        <v/>
      </c>
      <c r="P18" s="15">
        <f>IF($A18="","",IF($R18&gt;kdo_esikDesiOran,"DESİ DÜŞÜR",IF($O18&gt;kdo_esikTasarruf,"TAŞIYICI DEĞİŞTİR","UYGUN")))</f>
        <v/>
      </c>
      <c r="Q18" s="15">
        <f>IF($A18="","",IFERROR(SUMIF(tblAnahtarB[NormB],$A18,tblVeriB[IadeOran]),0))</f>
        <v/>
      </c>
      <c r="R18" s="15">
        <f>IF(OR($A18="",$E18=0),0,$G18/$E18)</f>
        <v/>
      </c>
      <c r="S18" s="15">
        <f>IF($A18="","",$G18-$E18)</f>
        <v/>
      </c>
      <c r="T18" s="15">
        <f>IF($A18="","",$L18-$N18)</f>
        <v/>
      </c>
    </row>
    <row r="19">
      <c r="A19" s="15">
        <f>IF('ANAHTAR'!$B19="","",'ANAHTAR'!$B19)</f>
        <v/>
      </c>
      <c r="B19" s="15">
        <f>IF($A19="","",IFERROR(SUMIF(tblAnahtarA[Norm],$A19,tblVeriA[EnCm]),0))</f>
        <v/>
      </c>
      <c r="C19" s="15">
        <f>IF($A19="","",IFERROR(SUMIF(tblAnahtarA[Norm],$A19,tblVeriA[BoyCm]),0))</f>
        <v/>
      </c>
      <c r="D19" s="15">
        <f>IF($A19="","",IFERROR(SUMIF(tblAnahtarA[Norm],$A19,tblVeriA[YukseklikCm]),0))</f>
        <v/>
      </c>
      <c r="E19" s="15">
        <f>IF($A19="","",IFERROR(SUMIF(tblAnahtarA[Norm],$A19,tblVeriA[AgirlikKg]),0))</f>
        <v/>
      </c>
      <c r="F19" s="15">
        <f>IF($A19="","",IFERROR(SUMIF(tblAnahtarA[Norm],$A19,tblVeriA[DesiCarpani]),kdo_varsayilanDesiCarpani))</f>
        <v/>
      </c>
      <c r="G19" s="15">
        <f>IF($A19="","",ROUND($B19*$C19*$D19/MAX($F19,1),2))</f>
        <v/>
      </c>
      <c r="H19" s="15">
        <f>IF($A19="","",MAX($G19,$E19))</f>
        <v/>
      </c>
      <c r="I19" s="15">
        <f>IF($A19="","",IFERROR(SUMIF(tblAnahtarB[NormB],$A19,tblVeriB[TarifTlDesi]),0))</f>
        <v/>
      </c>
      <c r="J19" s="15">
        <f>IF($A19="","",IFERROR(SUMIF(tblAnahtarA[Norm],$A19,tblVeriA[Adet]),1))</f>
        <v/>
      </c>
      <c r="K19" s="15">
        <f>IF($A19="","",ROUND($H19*$I19,2))</f>
        <v/>
      </c>
      <c r="L19" s="15">
        <f>IF($A19="","",ROUND($K19*$J19*(1+$Q19*kdo_iadeEtkiCarpani),2))</f>
        <v/>
      </c>
      <c r="M19" s="15">
        <f>IF($A19="","",IFERROR(SUMIF(tblAnahtarB[NormB],$A19,tblVeriB[AlternatifTarif]),0))</f>
        <v/>
      </c>
      <c r="N19" s="15">
        <f>IF($A19="","",ROUND($H19*$M19*$J19*(1+$Q19*kdo_iadeEtkiCarpani),2))</f>
        <v/>
      </c>
      <c r="O19" s="15">
        <f>IF($A19="","",ROUND($L19-$N19,2))</f>
        <v/>
      </c>
      <c r="P19" s="15">
        <f>IF($A19="","",IF($R19&gt;kdo_esikDesiOran,"DESİ DÜŞÜR",IF($O19&gt;kdo_esikTasarruf,"TAŞIYICI DEĞİŞTİR","UYGUN")))</f>
        <v/>
      </c>
      <c r="Q19" s="15">
        <f>IF($A19="","",IFERROR(SUMIF(tblAnahtarB[NormB],$A19,tblVeriB[IadeOran]),0))</f>
        <v/>
      </c>
      <c r="R19" s="15">
        <f>IF(OR($A19="",$E19=0),0,$G19/$E19)</f>
        <v/>
      </c>
      <c r="S19" s="15">
        <f>IF($A19="","",$G19-$E19)</f>
        <v/>
      </c>
      <c r="T19" s="15">
        <f>IF($A19="","",$L19-$N19)</f>
        <v/>
      </c>
    </row>
    <row r="20">
      <c r="A20" s="15">
        <f>IF('ANAHTAR'!$B20="","",'ANAHTAR'!$B20)</f>
        <v/>
      </c>
      <c r="B20" s="15">
        <f>IF($A20="","",IFERROR(SUMIF(tblAnahtarA[Norm],$A20,tblVeriA[EnCm]),0))</f>
        <v/>
      </c>
      <c r="C20" s="15">
        <f>IF($A20="","",IFERROR(SUMIF(tblAnahtarA[Norm],$A20,tblVeriA[BoyCm]),0))</f>
        <v/>
      </c>
      <c r="D20" s="15">
        <f>IF($A20="","",IFERROR(SUMIF(tblAnahtarA[Norm],$A20,tblVeriA[YukseklikCm]),0))</f>
        <v/>
      </c>
      <c r="E20" s="15">
        <f>IF($A20="","",IFERROR(SUMIF(tblAnahtarA[Norm],$A20,tblVeriA[AgirlikKg]),0))</f>
        <v/>
      </c>
      <c r="F20" s="15">
        <f>IF($A20="","",IFERROR(SUMIF(tblAnahtarA[Norm],$A20,tblVeriA[DesiCarpani]),kdo_varsayilanDesiCarpani))</f>
        <v/>
      </c>
      <c r="G20" s="15">
        <f>IF($A20="","",ROUND($B20*$C20*$D20/MAX($F20,1),2))</f>
        <v/>
      </c>
      <c r="H20" s="15">
        <f>IF($A20="","",MAX($G20,$E20))</f>
        <v/>
      </c>
      <c r="I20" s="15">
        <f>IF($A20="","",IFERROR(SUMIF(tblAnahtarB[NormB],$A20,tblVeriB[TarifTlDesi]),0))</f>
        <v/>
      </c>
      <c r="J20" s="15">
        <f>IF($A20="","",IFERROR(SUMIF(tblAnahtarA[Norm],$A20,tblVeriA[Adet]),1))</f>
        <v/>
      </c>
      <c r="K20" s="15">
        <f>IF($A20="","",ROUND($H20*$I20,2))</f>
        <v/>
      </c>
      <c r="L20" s="15">
        <f>IF($A20="","",ROUND($K20*$J20*(1+$Q20*kdo_iadeEtkiCarpani),2))</f>
        <v/>
      </c>
      <c r="M20" s="15">
        <f>IF($A20="","",IFERROR(SUMIF(tblAnahtarB[NormB],$A20,tblVeriB[AlternatifTarif]),0))</f>
        <v/>
      </c>
      <c r="N20" s="15">
        <f>IF($A20="","",ROUND($H20*$M20*$J20*(1+$Q20*kdo_iadeEtkiCarpani),2))</f>
        <v/>
      </c>
      <c r="O20" s="15">
        <f>IF($A20="","",ROUND($L20-$N20,2))</f>
        <v/>
      </c>
      <c r="P20" s="15">
        <f>IF($A20="","",IF($R20&gt;kdo_esikDesiOran,"DESİ DÜŞÜR",IF($O20&gt;kdo_esikTasarruf,"TAŞIYICI DEĞİŞTİR","UYGUN")))</f>
        <v/>
      </c>
      <c r="Q20" s="15">
        <f>IF($A20="","",IFERROR(SUMIF(tblAnahtarB[NormB],$A20,tblVeriB[IadeOran]),0))</f>
        <v/>
      </c>
      <c r="R20" s="15">
        <f>IF(OR($A20="",$E20=0),0,$G20/$E20)</f>
        <v/>
      </c>
      <c r="S20" s="15">
        <f>IF($A20="","",$G20-$E20)</f>
        <v/>
      </c>
      <c r="T20" s="15">
        <f>IF($A20="","",$L20-$N20)</f>
        <v/>
      </c>
    </row>
    <row r="21">
      <c r="A21" s="15">
        <f>IF('ANAHTAR'!$B21="","",'ANAHTAR'!$B21)</f>
        <v/>
      </c>
      <c r="B21" s="15">
        <f>IF($A21="","",IFERROR(SUMIF(tblAnahtarA[Norm],$A21,tblVeriA[EnCm]),0))</f>
        <v/>
      </c>
      <c r="C21" s="15">
        <f>IF($A21="","",IFERROR(SUMIF(tblAnahtarA[Norm],$A21,tblVeriA[BoyCm]),0))</f>
        <v/>
      </c>
      <c r="D21" s="15">
        <f>IF($A21="","",IFERROR(SUMIF(tblAnahtarA[Norm],$A21,tblVeriA[YukseklikCm]),0))</f>
        <v/>
      </c>
      <c r="E21" s="15">
        <f>IF($A21="","",IFERROR(SUMIF(tblAnahtarA[Norm],$A21,tblVeriA[AgirlikKg]),0))</f>
        <v/>
      </c>
      <c r="F21" s="15">
        <f>IF($A21="","",IFERROR(SUMIF(tblAnahtarA[Norm],$A21,tblVeriA[DesiCarpani]),kdo_varsayilanDesiCarpani))</f>
        <v/>
      </c>
      <c r="G21" s="15">
        <f>IF($A21="","",ROUND($B21*$C21*$D21/MAX($F21,1),2))</f>
        <v/>
      </c>
      <c r="H21" s="15">
        <f>IF($A21="","",MAX($G21,$E21))</f>
        <v/>
      </c>
      <c r="I21" s="15">
        <f>IF($A21="","",IFERROR(SUMIF(tblAnahtarB[NormB],$A21,tblVeriB[TarifTlDesi]),0))</f>
        <v/>
      </c>
      <c r="J21" s="15">
        <f>IF($A21="","",IFERROR(SUMIF(tblAnahtarA[Norm],$A21,tblVeriA[Adet]),1))</f>
        <v/>
      </c>
      <c r="K21" s="15">
        <f>IF($A21="","",ROUND($H21*$I21,2))</f>
        <v/>
      </c>
      <c r="L21" s="15">
        <f>IF($A21="","",ROUND($K21*$J21*(1+$Q21*kdo_iadeEtkiCarpani),2))</f>
        <v/>
      </c>
      <c r="M21" s="15">
        <f>IF($A21="","",IFERROR(SUMIF(tblAnahtarB[NormB],$A21,tblVeriB[AlternatifTarif]),0))</f>
        <v/>
      </c>
      <c r="N21" s="15">
        <f>IF($A21="","",ROUND($H21*$M21*$J21*(1+$Q21*kdo_iadeEtkiCarpani),2))</f>
        <v/>
      </c>
      <c r="O21" s="15">
        <f>IF($A21="","",ROUND($L21-$N21,2))</f>
        <v/>
      </c>
      <c r="P21" s="15">
        <f>IF($A21="","",IF($R21&gt;kdo_esikDesiOran,"DESİ DÜŞÜR",IF($O21&gt;kdo_esikTasarruf,"TAŞIYICI DEĞİŞTİR","UYGUN")))</f>
        <v/>
      </c>
      <c r="Q21" s="15">
        <f>IF($A21="","",IFERROR(SUMIF(tblAnahtarB[NormB],$A21,tblVeriB[IadeOran]),0))</f>
        <v/>
      </c>
      <c r="R21" s="15">
        <f>IF(OR($A21="",$E21=0),0,$G21/$E21)</f>
        <v/>
      </c>
      <c r="S21" s="15">
        <f>IF($A21="","",$G21-$E21)</f>
        <v/>
      </c>
      <c r="T21" s="15">
        <f>IF($A21="","",$L21-$N21)</f>
        <v/>
      </c>
    </row>
    <row r="22">
      <c r="A22" s="15">
        <f>IF('ANAHTAR'!$B22="","",'ANAHTAR'!$B22)</f>
        <v/>
      </c>
      <c r="B22" s="15">
        <f>IF($A22="","",IFERROR(SUMIF(tblAnahtarA[Norm],$A22,tblVeriA[EnCm]),0))</f>
        <v/>
      </c>
      <c r="C22" s="15">
        <f>IF($A22="","",IFERROR(SUMIF(tblAnahtarA[Norm],$A22,tblVeriA[BoyCm]),0))</f>
        <v/>
      </c>
      <c r="D22" s="15">
        <f>IF($A22="","",IFERROR(SUMIF(tblAnahtarA[Norm],$A22,tblVeriA[YukseklikCm]),0))</f>
        <v/>
      </c>
      <c r="E22" s="15">
        <f>IF($A22="","",IFERROR(SUMIF(tblAnahtarA[Norm],$A22,tblVeriA[AgirlikKg]),0))</f>
        <v/>
      </c>
      <c r="F22" s="15">
        <f>IF($A22="","",IFERROR(SUMIF(tblAnahtarA[Norm],$A22,tblVeriA[DesiCarpani]),kdo_varsayilanDesiCarpani))</f>
        <v/>
      </c>
      <c r="G22" s="15">
        <f>IF($A22="","",ROUND($B22*$C22*$D22/MAX($F22,1),2))</f>
        <v/>
      </c>
      <c r="H22" s="15">
        <f>IF($A22="","",MAX($G22,$E22))</f>
        <v/>
      </c>
      <c r="I22" s="15">
        <f>IF($A22="","",IFERROR(SUMIF(tblAnahtarB[NormB],$A22,tblVeriB[TarifTlDesi]),0))</f>
        <v/>
      </c>
      <c r="J22" s="15">
        <f>IF($A22="","",IFERROR(SUMIF(tblAnahtarA[Norm],$A22,tblVeriA[Adet]),1))</f>
        <v/>
      </c>
      <c r="K22" s="15">
        <f>IF($A22="","",ROUND($H22*$I22,2))</f>
        <v/>
      </c>
      <c r="L22" s="15">
        <f>IF($A22="","",ROUND($K22*$J22*(1+$Q22*kdo_iadeEtkiCarpani),2))</f>
        <v/>
      </c>
      <c r="M22" s="15">
        <f>IF($A22="","",IFERROR(SUMIF(tblAnahtarB[NormB],$A22,tblVeriB[AlternatifTarif]),0))</f>
        <v/>
      </c>
      <c r="N22" s="15">
        <f>IF($A22="","",ROUND($H22*$M22*$J22*(1+$Q22*kdo_iadeEtkiCarpani),2))</f>
        <v/>
      </c>
      <c r="O22" s="15">
        <f>IF($A22="","",ROUND($L22-$N22,2))</f>
        <v/>
      </c>
      <c r="P22" s="15">
        <f>IF($A22="","",IF($R22&gt;kdo_esikDesiOran,"DESİ DÜŞÜR",IF($O22&gt;kdo_esikTasarruf,"TAŞIYICI DEĞİŞTİR","UYGUN")))</f>
        <v/>
      </c>
      <c r="Q22" s="15">
        <f>IF($A22="","",IFERROR(SUMIF(tblAnahtarB[NormB],$A22,tblVeriB[IadeOran]),0))</f>
        <v/>
      </c>
      <c r="R22" s="15">
        <f>IF(OR($A22="",$E22=0),0,$G22/$E22)</f>
        <v/>
      </c>
      <c r="S22" s="15">
        <f>IF($A22="","",$G22-$E22)</f>
        <v/>
      </c>
      <c r="T22" s="15">
        <f>IF($A22="","",$L22-$N22)</f>
        <v/>
      </c>
    </row>
    <row r="23">
      <c r="A23" s="15">
        <f>IF('ANAHTAR'!$B23="","",'ANAHTAR'!$B23)</f>
        <v/>
      </c>
      <c r="B23" s="15">
        <f>IF($A23="","",IFERROR(SUMIF(tblAnahtarA[Norm],$A23,tblVeriA[EnCm]),0))</f>
        <v/>
      </c>
      <c r="C23" s="15">
        <f>IF($A23="","",IFERROR(SUMIF(tblAnahtarA[Norm],$A23,tblVeriA[BoyCm]),0))</f>
        <v/>
      </c>
      <c r="D23" s="15">
        <f>IF($A23="","",IFERROR(SUMIF(tblAnahtarA[Norm],$A23,tblVeriA[YukseklikCm]),0))</f>
        <v/>
      </c>
      <c r="E23" s="15">
        <f>IF($A23="","",IFERROR(SUMIF(tblAnahtarA[Norm],$A23,tblVeriA[AgirlikKg]),0))</f>
        <v/>
      </c>
      <c r="F23" s="15">
        <f>IF($A23="","",IFERROR(SUMIF(tblAnahtarA[Norm],$A23,tblVeriA[DesiCarpani]),kdo_varsayilanDesiCarpani))</f>
        <v/>
      </c>
      <c r="G23" s="15">
        <f>IF($A23="","",ROUND($B23*$C23*$D23/MAX($F23,1),2))</f>
        <v/>
      </c>
      <c r="H23" s="15">
        <f>IF($A23="","",MAX($G23,$E23))</f>
        <v/>
      </c>
      <c r="I23" s="15">
        <f>IF($A23="","",IFERROR(SUMIF(tblAnahtarB[NormB],$A23,tblVeriB[TarifTlDesi]),0))</f>
        <v/>
      </c>
      <c r="J23" s="15">
        <f>IF($A23="","",IFERROR(SUMIF(tblAnahtarA[Norm],$A23,tblVeriA[Adet]),1))</f>
        <v/>
      </c>
      <c r="K23" s="15">
        <f>IF($A23="","",ROUND($H23*$I23,2))</f>
        <v/>
      </c>
      <c r="L23" s="15">
        <f>IF($A23="","",ROUND($K23*$J23*(1+$Q23*kdo_iadeEtkiCarpani),2))</f>
        <v/>
      </c>
      <c r="M23" s="15">
        <f>IF($A23="","",IFERROR(SUMIF(tblAnahtarB[NormB],$A23,tblVeriB[AlternatifTarif]),0))</f>
        <v/>
      </c>
      <c r="N23" s="15">
        <f>IF($A23="","",ROUND($H23*$M23*$J23*(1+$Q23*kdo_iadeEtkiCarpani),2))</f>
        <v/>
      </c>
      <c r="O23" s="15">
        <f>IF($A23="","",ROUND($L23-$N23,2))</f>
        <v/>
      </c>
      <c r="P23" s="15">
        <f>IF($A23="","",IF($R23&gt;kdo_esikDesiOran,"DESİ DÜŞÜR",IF($O23&gt;kdo_esikTasarruf,"TAŞIYICI DEĞİŞTİR","UYGUN")))</f>
        <v/>
      </c>
      <c r="Q23" s="15">
        <f>IF($A23="","",IFERROR(SUMIF(tblAnahtarB[NormB],$A23,tblVeriB[IadeOran]),0))</f>
        <v/>
      </c>
      <c r="R23" s="15">
        <f>IF(OR($A23="",$E23=0),0,$G23/$E23)</f>
        <v/>
      </c>
      <c r="S23" s="15">
        <f>IF($A23="","",$G23-$E23)</f>
        <v/>
      </c>
      <c r="T23" s="15">
        <f>IF($A23="","",$L23-$N23)</f>
        <v/>
      </c>
    </row>
    <row r="24">
      <c r="A24" s="15">
        <f>IF('ANAHTAR'!$B24="","",'ANAHTAR'!$B24)</f>
        <v/>
      </c>
      <c r="B24" s="15">
        <f>IF($A24="","",IFERROR(SUMIF(tblAnahtarA[Norm],$A24,tblVeriA[EnCm]),0))</f>
        <v/>
      </c>
      <c r="C24" s="15">
        <f>IF($A24="","",IFERROR(SUMIF(tblAnahtarA[Norm],$A24,tblVeriA[BoyCm]),0))</f>
        <v/>
      </c>
      <c r="D24" s="15">
        <f>IF($A24="","",IFERROR(SUMIF(tblAnahtarA[Norm],$A24,tblVeriA[YukseklikCm]),0))</f>
        <v/>
      </c>
      <c r="E24" s="15">
        <f>IF($A24="","",IFERROR(SUMIF(tblAnahtarA[Norm],$A24,tblVeriA[AgirlikKg]),0))</f>
        <v/>
      </c>
      <c r="F24" s="15">
        <f>IF($A24="","",IFERROR(SUMIF(tblAnahtarA[Norm],$A24,tblVeriA[DesiCarpani]),kdo_varsayilanDesiCarpani))</f>
        <v/>
      </c>
      <c r="G24" s="15">
        <f>IF($A24="","",ROUND($B24*$C24*$D24/MAX($F24,1),2))</f>
        <v/>
      </c>
      <c r="H24" s="15">
        <f>IF($A24="","",MAX($G24,$E24))</f>
        <v/>
      </c>
      <c r="I24" s="15">
        <f>IF($A24="","",IFERROR(SUMIF(tblAnahtarB[NormB],$A24,tblVeriB[TarifTlDesi]),0))</f>
        <v/>
      </c>
      <c r="J24" s="15">
        <f>IF($A24="","",IFERROR(SUMIF(tblAnahtarA[Norm],$A24,tblVeriA[Adet]),1))</f>
        <v/>
      </c>
      <c r="K24" s="15">
        <f>IF($A24="","",ROUND($H24*$I24,2))</f>
        <v/>
      </c>
      <c r="L24" s="15">
        <f>IF($A24="","",ROUND($K24*$J24*(1+$Q24*kdo_iadeEtkiCarpani),2))</f>
        <v/>
      </c>
      <c r="M24" s="15">
        <f>IF($A24="","",IFERROR(SUMIF(tblAnahtarB[NormB],$A24,tblVeriB[AlternatifTarif]),0))</f>
        <v/>
      </c>
      <c r="N24" s="15">
        <f>IF($A24="","",ROUND($H24*$M24*$J24*(1+$Q24*kdo_iadeEtkiCarpani),2))</f>
        <v/>
      </c>
      <c r="O24" s="15">
        <f>IF($A24="","",ROUND($L24-$N24,2))</f>
        <v/>
      </c>
      <c r="P24" s="15">
        <f>IF($A24="","",IF($R24&gt;kdo_esikDesiOran,"DESİ DÜŞÜR",IF($O24&gt;kdo_esikTasarruf,"TAŞIYICI DEĞİŞTİR","UYGUN")))</f>
        <v/>
      </c>
      <c r="Q24" s="15">
        <f>IF($A24="","",IFERROR(SUMIF(tblAnahtarB[NormB],$A24,tblVeriB[IadeOran]),0))</f>
        <v/>
      </c>
      <c r="R24" s="15">
        <f>IF(OR($A24="",$E24=0),0,$G24/$E24)</f>
        <v/>
      </c>
      <c r="S24" s="15">
        <f>IF($A24="","",$G24-$E24)</f>
        <v/>
      </c>
      <c r="T24" s="15">
        <f>IF($A24="","",$L24-$N24)</f>
        <v/>
      </c>
    </row>
    <row r="25">
      <c r="A25" s="15">
        <f>IF('ANAHTAR'!$B25="","",'ANAHTAR'!$B25)</f>
        <v/>
      </c>
      <c r="B25" s="15">
        <f>IF($A25="","",IFERROR(SUMIF(tblAnahtarA[Norm],$A25,tblVeriA[EnCm]),0))</f>
        <v/>
      </c>
      <c r="C25" s="15">
        <f>IF($A25="","",IFERROR(SUMIF(tblAnahtarA[Norm],$A25,tblVeriA[BoyCm]),0))</f>
        <v/>
      </c>
      <c r="D25" s="15">
        <f>IF($A25="","",IFERROR(SUMIF(tblAnahtarA[Norm],$A25,tblVeriA[YukseklikCm]),0))</f>
        <v/>
      </c>
      <c r="E25" s="15">
        <f>IF($A25="","",IFERROR(SUMIF(tblAnahtarA[Norm],$A25,tblVeriA[AgirlikKg]),0))</f>
        <v/>
      </c>
      <c r="F25" s="15">
        <f>IF($A25="","",IFERROR(SUMIF(tblAnahtarA[Norm],$A25,tblVeriA[DesiCarpani]),kdo_varsayilanDesiCarpani))</f>
        <v/>
      </c>
      <c r="G25" s="15">
        <f>IF($A25="","",ROUND($B25*$C25*$D25/MAX($F25,1),2))</f>
        <v/>
      </c>
      <c r="H25" s="15">
        <f>IF($A25="","",MAX($G25,$E25))</f>
        <v/>
      </c>
      <c r="I25" s="15">
        <f>IF($A25="","",IFERROR(SUMIF(tblAnahtarB[NormB],$A25,tblVeriB[TarifTlDesi]),0))</f>
        <v/>
      </c>
      <c r="J25" s="15">
        <f>IF($A25="","",IFERROR(SUMIF(tblAnahtarA[Norm],$A25,tblVeriA[Adet]),1))</f>
        <v/>
      </c>
      <c r="K25" s="15">
        <f>IF($A25="","",ROUND($H25*$I25,2))</f>
        <v/>
      </c>
      <c r="L25" s="15">
        <f>IF($A25="","",ROUND($K25*$J25*(1+$Q25*kdo_iadeEtkiCarpani),2))</f>
        <v/>
      </c>
      <c r="M25" s="15">
        <f>IF($A25="","",IFERROR(SUMIF(tblAnahtarB[NormB],$A25,tblVeriB[AlternatifTarif]),0))</f>
        <v/>
      </c>
      <c r="N25" s="15">
        <f>IF($A25="","",ROUND($H25*$M25*$J25*(1+$Q25*kdo_iadeEtkiCarpani),2))</f>
        <v/>
      </c>
      <c r="O25" s="15">
        <f>IF($A25="","",ROUND($L25-$N25,2))</f>
        <v/>
      </c>
      <c r="P25" s="15">
        <f>IF($A25="","",IF($R25&gt;kdo_esikDesiOran,"DESİ DÜŞÜR",IF($O25&gt;kdo_esikTasarruf,"TAŞIYICI DEĞİŞTİR","UYGUN")))</f>
        <v/>
      </c>
      <c r="Q25" s="15">
        <f>IF($A25="","",IFERROR(SUMIF(tblAnahtarB[NormB],$A25,tblVeriB[IadeOran]),0))</f>
        <v/>
      </c>
      <c r="R25" s="15">
        <f>IF(OR($A25="",$E25=0),0,$G25/$E25)</f>
        <v/>
      </c>
      <c r="S25" s="15">
        <f>IF($A25="","",$G25-$E25)</f>
        <v/>
      </c>
      <c r="T25" s="15">
        <f>IF($A25="","",$L25-$N25)</f>
        <v/>
      </c>
    </row>
    <row r="26">
      <c r="A26" s="15">
        <f>IF('ANAHTAR'!$B26="","",'ANAHTAR'!$B26)</f>
        <v/>
      </c>
      <c r="B26" s="15">
        <f>IF($A26="","",IFERROR(SUMIF(tblAnahtarA[Norm],$A26,tblVeriA[EnCm]),0))</f>
        <v/>
      </c>
      <c r="C26" s="15">
        <f>IF($A26="","",IFERROR(SUMIF(tblAnahtarA[Norm],$A26,tblVeriA[BoyCm]),0))</f>
        <v/>
      </c>
      <c r="D26" s="15">
        <f>IF($A26="","",IFERROR(SUMIF(tblAnahtarA[Norm],$A26,tblVeriA[YukseklikCm]),0))</f>
        <v/>
      </c>
      <c r="E26" s="15">
        <f>IF($A26="","",IFERROR(SUMIF(tblAnahtarA[Norm],$A26,tblVeriA[AgirlikKg]),0))</f>
        <v/>
      </c>
      <c r="F26" s="15">
        <f>IF($A26="","",IFERROR(SUMIF(tblAnahtarA[Norm],$A26,tblVeriA[DesiCarpani]),kdo_varsayilanDesiCarpani))</f>
        <v/>
      </c>
      <c r="G26" s="15">
        <f>IF($A26="","",ROUND($B26*$C26*$D26/MAX($F26,1),2))</f>
        <v/>
      </c>
      <c r="H26" s="15">
        <f>IF($A26="","",MAX($G26,$E26))</f>
        <v/>
      </c>
      <c r="I26" s="15">
        <f>IF($A26="","",IFERROR(SUMIF(tblAnahtarB[NormB],$A26,tblVeriB[TarifTlDesi]),0))</f>
        <v/>
      </c>
      <c r="J26" s="15">
        <f>IF($A26="","",IFERROR(SUMIF(tblAnahtarA[Norm],$A26,tblVeriA[Adet]),1))</f>
        <v/>
      </c>
      <c r="K26" s="15">
        <f>IF($A26="","",ROUND($H26*$I26,2))</f>
        <v/>
      </c>
      <c r="L26" s="15">
        <f>IF($A26="","",ROUND($K26*$J26*(1+$Q26*kdo_iadeEtkiCarpani),2))</f>
        <v/>
      </c>
      <c r="M26" s="15">
        <f>IF($A26="","",IFERROR(SUMIF(tblAnahtarB[NormB],$A26,tblVeriB[AlternatifTarif]),0))</f>
        <v/>
      </c>
      <c r="N26" s="15">
        <f>IF($A26="","",ROUND($H26*$M26*$J26*(1+$Q26*kdo_iadeEtkiCarpani),2))</f>
        <v/>
      </c>
      <c r="O26" s="15">
        <f>IF($A26="","",ROUND($L26-$N26,2))</f>
        <v/>
      </c>
      <c r="P26" s="15">
        <f>IF($A26="","",IF($R26&gt;kdo_esikDesiOran,"DESİ DÜŞÜR",IF($O26&gt;kdo_esikTasarruf,"TAŞIYICI DEĞİŞTİR","UYGUN")))</f>
        <v/>
      </c>
      <c r="Q26" s="15">
        <f>IF($A26="","",IFERROR(SUMIF(tblAnahtarB[NormB],$A26,tblVeriB[IadeOran]),0))</f>
        <v/>
      </c>
      <c r="R26" s="15">
        <f>IF(OR($A26="",$E26=0),0,$G26/$E26)</f>
        <v/>
      </c>
      <c r="S26" s="15">
        <f>IF($A26="","",$G26-$E26)</f>
        <v/>
      </c>
      <c r="T26" s="15">
        <f>IF($A26="","",$L26-$N26)</f>
        <v/>
      </c>
    </row>
    <row r="27">
      <c r="A27" s="15">
        <f>IF('ANAHTAR'!$B27="","",'ANAHTAR'!$B27)</f>
        <v/>
      </c>
      <c r="B27" s="15">
        <f>IF($A27="","",IFERROR(SUMIF(tblAnahtarA[Norm],$A27,tblVeriA[EnCm]),0))</f>
        <v/>
      </c>
      <c r="C27" s="15">
        <f>IF($A27="","",IFERROR(SUMIF(tblAnahtarA[Norm],$A27,tblVeriA[BoyCm]),0))</f>
        <v/>
      </c>
      <c r="D27" s="15">
        <f>IF($A27="","",IFERROR(SUMIF(tblAnahtarA[Norm],$A27,tblVeriA[YukseklikCm]),0))</f>
        <v/>
      </c>
      <c r="E27" s="15">
        <f>IF($A27="","",IFERROR(SUMIF(tblAnahtarA[Norm],$A27,tblVeriA[AgirlikKg]),0))</f>
        <v/>
      </c>
      <c r="F27" s="15">
        <f>IF($A27="","",IFERROR(SUMIF(tblAnahtarA[Norm],$A27,tblVeriA[DesiCarpani]),kdo_varsayilanDesiCarpani))</f>
        <v/>
      </c>
      <c r="G27" s="15">
        <f>IF($A27="","",ROUND($B27*$C27*$D27/MAX($F27,1),2))</f>
        <v/>
      </c>
      <c r="H27" s="15">
        <f>IF($A27="","",MAX($G27,$E27))</f>
        <v/>
      </c>
      <c r="I27" s="15">
        <f>IF($A27="","",IFERROR(SUMIF(tblAnahtarB[NormB],$A27,tblVeriB[TarifTlDesi]),0))</f>
        <v/>
      </c>
      <c r="J27" s="15">
        <f>IF($A27="","",IFERROR(SUMIF(tblAnahtarA[Norm],$A27,tblVeriA[Adet]),1))</f>
        <v/>
      </c>
      <c r="K27" s="15">
        <f>IF($A27="","",ROUND($H27*$I27,2))</f>
        <v/>
      </c>
      <c r="L27" s="15">
        <f>IF($A27="","",ROUND($K27*$J27*(1+$Q27*kdo_iadeEtkiCarpani),2))</f>
        <v/>
      </c>
      <c r="M27" s="15">
        <f>IF($A27="","",IFERROR(SUMIF(tblAnahtarB[NormB],$A27,tblVeriB[AlternatifTarif]),0))</f>
        <v/>
      </c>
      <c r="N27" s="15">
        <f>IF($A27="","",ROUND($H27*$M27*$J27*(1+$Q27*kdo_iadeEtkiCarpani),2))</f>
        <v/>
      </c>
      <c r="O27" s="15">
        <f>IF($A27="","",ROUND($L27-$N27,2))</f>
        <v/>
      </c>
      <c r="P27" s="15">
        <f>IF($A27="","",IF($R27&gt;kdo_esikDesiOran,"DESİ DÜŞÜR",IF($O27&gt;kdo_esikTasarruf,"TAŞIYICI DEĞİŞTİR","UYGUN")))</f>
        <v/>
      </c>
      <c r="Q27" s="15">
        <f>IF($A27="","",IFERROR(SUMIF(tblAnahtarB[NormB],$A27,tblVeriB[IadeOran]),0))</f>
        <v/>
      </c>
      <c r="R27" s="15">
        <f>IF(OR($A27="",$E27=0),0,$G27/$E27)</f>
        <v/>
      </c>
      <c r="S27" s="15">
        <f>IF($A27="","",$G27-$E27)</f>
        <v/>
      </c>
      <c r="T27" s="15">
        <f>IF($A27="","",$L27-$N27)</f>
        <v/>
      </c>
    </row>
    <row r="28">
      <c r="A28" s="15">
        <f>IF('ANAHTAR'!$B28="","",'ANAHTAR'!$B28)</f>
        <v/>
      </c>
      <c r="B28" s="15">
        <f>IF($A28="","",IFERROR(SUMIF(tblAnahtarA[Norm],$A28,tblVeriA[EnCm]),0))</f>
        <v/>
      </c>
      <c r="C28" s="15">
        <f>IF($A28="","",IFERROR(SUMIF(tblAnahtarA[Norm],$A28,tblVeriA[BoyCm]),0))</f>
        <v/>
      </c>
      <c r="D28" s="15">
        <f>IF($A28="","",IFERROR(SUMIF(tblAnahtarA[Norm],$A28,tblVeriA[YukseklikCm]),0))</f>
        <v/>
      </c>
      <c r="E28" s="15">
        <f>IF($A28="","",IFERROR(SUMIF(tblAnahtarA[Norm],$A28,tblVeriA[AgirlikKg]),0))</f>
        <v/>
      </c>
      <c r="F28" s="15">
        <f>IF($A28="","",IFERROR(SUMIF(tblAnahtarA[Norm],$A28,tblVeriA[DesiCarpani]),kdo_varsayilanDesiCarpani))</f>
        <v/>
      </c>
      <c r="G28" s="15">
        <f>IF($A28="","",ROUND($B28*$C28*$D28/MAX($F28,1),2))</f>
        <v/>
      </c>
      <c r="H28" s="15">
        <f>IF($A28="","",MAX($G28,$E28))</f>
        <v/>
      </c>
      <c r="I28" s="15">
        <f>IF($A28="","",IFERROR(SUMIF(tblAnahtarB[NormB],$A28,tblVeriB[TarifTlDesi]),0))</f>
        <v/>
      </c>
      <c r="J28" s="15">
        <f>IF($A28="","",IFERROR(SUMIF(tblAnahtarA[Norm],$A28,tblVeriA[Adet]),1))</f>
        <v/>
      </c>
      <c r="K28" s="15">
        <f>IF($A28="","",ROUND($H28*$I28,2))</f>
        <v/>
      </c>
      <c r="L28" s="15">
        <f>IF($A28="","",ROUND($K28*$J28*(1+$Q28*kdo_iadeEtkiCarpani),2))</f>
        <v/>
      </c>
      <c r="M28" s="15">
        <f>IF($A28="","",IFERROR(SUMIF(tblAnahtarB[NormB],$A28,tblVeriB[AlternatifTarif]),0))</f>
        <v/>
      </c>
      <c r="N28" s="15">
        <f>IF($A28="","",ROUND($H28*$M28*$J28*(1+$Q28*kdo_iadeEtkiCarpani),2))</f>
        <v/>
      </c>
      <c r="O28" s="15">
        <f>IF($A28="","",ROUND($L28-$N28,2))</f>
        <v/>
      </c>
      <c r="P28" s="15">
        <f>IF($A28="","",IF($R28&gt;kdo_esikDesiOran,"DESİ DÜŞÜR",IF($O28&gt;kdo_esikTasarruf,"TAŞIYICI DEĞİŞTİR","UYGUN")))</f>
        <v/>
      </c>
      <c r="Q28" s="15">
        <f>IF($A28="","",IFERROR(SUMIF(tblAnahtarB[NormB],$A28,tblVeriB[IadeOran]),0))</f>
        <v/>
      </c>
      <c r="R28" s="15">
        <f>IF(OR($A28="",$E28=0),0,$G28/$E28)</f>
        <v/>
      </c>
      <c r="S28" s="15">
        <f>IF($A28="","",$G28-$E28)</f>
        <v/>
      </c>
      <c r="T28" s="15">
        <f>IF($A28="","",$L28-$N28)</f>
        <v/>
      </c>
    </row>
    <row r="29">
      <c r="A29" s="15">
        <f>IF('ANAHTAR'!$B29="","",'ANAHTAR'!$B29)</f>
        <v/>
      </c>
      <c r="B29" s="15">
        <f>IF($A29="","",IFERROR(SUMIF(tblAnahtarA[Norm],$A29,tblVeriA[EnCm]),0))</f>
        <v/>
      </c>
      <c r="C29" s="15">
        <f>IF($A29="","",IFERROR(SUMIF(tblAnahtarA[Norm],$A29,tblVeriA[BoyCm]),0))</f>
        <v/>
      </c>
      <c r="D29" s="15">
        <f>IF($A29="","",IFERROR(SUMIF(tblAnahtarA[Norm],$A29,tblVeriA[YukseklikCm]),0))</f>
        <v/>
      </c>
      <c r="E29" s="15">
        <f>IF($A29="","",IFERROR(SUMIF(tblAnahtarA[Norm],$A29,tblVeriA[AgirlikKg]),0))</f>
        <v/>
      </c>
      <c r="F29" s="15">
        <f>IF($A29="","",IFERROR(SUMIF(tblAnahtarA[Norm],$A29,tblVeriA[DesiCarpani]),kdo_varsayilanDesiCarpani))</f>
        <v/>
      </c>
      <c r="G29" s="15">
        <f>IF($A29="","",ROUND($B29*$C29*$D29/MAX($F29,1),2))</f>
        <v/>
      </c>
      <c r="H29" s="15">
        <f>IF($A29="","",MAX($G29,$E29))</f>
        <v/>
      </c>
      <c r="I29" s="15">
        <f>IF($A29="","",IFERROR(SUMIF(tblAnahtarB[NormB],$A29,tblVeriB[TarifTlDesi]),0))</f>
        <v/>
      </c>
      <c r="J29" s="15">
        <f>IF($A29="","",IFERROR(SUMIF(tblAnahtarA[Norm],$A29,tblVeriA[Adet]),1))</f>
        <v/>
      </c>
      <c r="K29" s="15">
        <f>IF($A29="","",ROUND($H29*$I29,2))</f>
        <v/>
      </c>
      <c r="L29" s="15">
        <f>IF($A29="","",ROUND($K29*$J29*(1+$Q29*kdo_iadeEtkiCarpani),2))</f>
        <v/>
      </c>
      <c r="M29" s="15">
        <f>IF($A29="","",IFERROR(SUMIF(tblAnahtarB[NormB],$A29,tblVeriB[AlternatifTarif]),0))</f>
        <v/>
      </c>
      <c r="N29" s="15">
        <f>IF($A29="","",ROUND($H29*$M29*$J29*(1+$Q29*kdo_iadeEtkiCarpani),2))</f>
        <v/>
      </c>
      <c r="O29" s="15">
        <f>IF($A29="","",ROUND($L29-$N29,2))</f>
        <v/>
      </c>
      <c r="P29" s="15">
        <f>IF($A29="","",IF($R29&gt;kdo_esikDesiOran,"DESİ DÜŞÜR",IF($O29&gt;kdo_esikTasarruf,"TAŞIYICI DEĞİŞTİR","UYGUN")))</f>
        <v/>
      </c>
      <c r="Q29" s="15">
        <f>IF($A29="","",IFERROR(SUMIF(tblAnahtarB[NormB],$A29,tblVeriB[IadeOran]),0))</f>
        <v/>
      </c>
      <c r="R29" s="15">
        <f>IF(OR($A29="",$E29=0),0,$G29/$E29)</f>
        <v/>
      </c>
      <c r="S29" s="15">
        <f>IF($A29="","",$G29-$E29)</f>
        <v/>
      </c>
      <c r="T29" s="15">
        <f>IF($A29="","",$L29-$N29)</f>
        <v/>
      </c>
    </row>
    <row r="30">
      <c r="A30" s="15">
        <f>IF('ANAHTAR'!$B30="","",'ANAHTAR'!$B30)</f>
        <v/>
      </c>
      <c r="B30" s="15">
        <f>IF($A30="","",IFERROR(SUMIF(tblAnahtarA[Norm],$A30,tblVeriA[EnCm]),0))</f>
        <v/>
      </c>
      <c r="C30" s="15">
        <f>IF($A30="","",IFERROR(SUMIF(tblAnahtarA[Norm],$A30,tblVeriA[BoyCm]),0))</f>
        <v/>
      </c>
      <c r="D30" s="15">
        <f>IF($A30="","",IFERROR(SUMIF(tblAnahtarA[Norm],$A30,tblVeriA[YukseklikCm]),0))</f>
        <v/>
      </c>
      <c r="E30" s="15">
        <f>IF($A30="","",IFERROR(SUMIF(tblAnahtarA[Norm],$A30,tblVeriA[AgirlikKg]),0))</f>
        <v/>
      </c>
      <c r="F30" s="15">
        <f>IF($A30="","",IFERROR(SUMIF(tblAnahtarA[Norm],$A30,tblVeriA[DesiCarpani]),kdo_varsayilanDesiCarpani))</f>
        <v/>
      </c>
      <c r="G30" s="15">
        <f>IF($A30="","",ROUND($B30*$C30*$D30/MAX($F30,1),2))</f>
        <v/>
      </c>
      <c r="H30" s="15">
        <f>IF($A30="","",MAX($G30,$E30))</f>
        <v/>
      </c>
      <c r="I30" s="15">
        <f>IF($A30="","",IFERROR(SUMIF(tblAnahtarB[NormB],$A30,tblVeriB[TarifTlDesi]),0))</f>
        <v/>
      </c>
      <c r="J30" s="15">
        <f>IF($A30="","",IFERROR(SUMIF(tblAnahtarA[Norm],$A30,tblVeriA[Adet]),1))</f>
        <v/>
      </c>
      <c r="K30" s="15">
        <f>IF($A30="","",ROUND($H30*$I30,2))</f>
        <v/>
      </c>
      <c r="L30" s="15">
        <f>IF($A30="","",ROUND($K30*$J30*(1+$Q30*kdo_iadeEtkiCarpani),2))</f>
        <v/>
      </c>
      <c r="M30" s="15">
        <f>IF($A30="","",IFERROR(SUMIF(tblAnahtarB[NormB],$A30,tblVeriB[AlternatifTarif]),0))</f>
        <v/>
      </c>
      <c r="N30" s="15">
        <f>IF($A30="","",ROUND($H30*$M30*$J30*(1+$Q30*kdo_iadeEtkiCarpani),2))</f>
        <v/>
      </c>
      <c r="O30" s="15">
        <f>IF($A30="","",ROUND($L30-$N30,2))</f>
        <v/>
      </c>
      <c r="P30" s="15">
        <f>IF($A30="","",IF($R30&gt;kdo_esikDesiOran,"DESİ DÜŞÜR",IF($O30&gt;kdo_esikTasarruf,"TAŞIYICI DEĞİŞTİR","UYGUN")))</f>
        <v/>
      </c>
      <c r="Q30" s="15">
        <f>IF($A30="","",IFERROR(SUMIF(tblAnahtarB[NormB],$A30,tblVeriB[IadeOran]),0))</f>
        <v/>
      </c>
      <c r="R30" s="15">
        <f>IF(OR($A30="",$E30=0),0,$G30/$E30)</f>
        <v/>
      </c>
      <c r="S30" s="15">
        <f>IF($A30="","",$G30-$E30)</f>
        <v/>
      </c>
      <c r="T30" s="15">
        <f>IF($A30="","",$L30-$N30)</f>
        <v/>
      </c>
    </row>
    <row r="31">
      <c r="A31" s="15">
        <f>IF('ANAHTAR'!$B31="","",'ANAHTAR'!$B31)</f>
        <v/>
      </c>
      <c r="B31" s="15">
        <f>IF($A31="","",IFERROR(SUMIF(tblAnahtarA[Norm],$A31,tblVeriA[EnCm]),0))</f>
        <v/>
      </c>
      <c r="C31" s="15">
        <f>IF($A31="","",IFERROR(SUMIF(tblAnahtarA[Norm],$A31,tblVeriA[BoyCm]),0))</f>
        <v/>
      </c>
      <c r="D31" s="15">
        <f>IF($A31="","",IFERROR(SUMIF(tblAnahtarA[Norm],$A31,tblVeriA[YukseklikCm]),0))</f>
        <v/>
      </c>
      <c r="E31" s="15">
        <f>IF($A31="","",IFERROR(SUMIF(tblAnahtarA[Norm],$A31,tblVeriA[AgirlikKg]),0))</f>
        <v/>
      </c>
      <c r="F31" s="15">
        <f>IF($A31="","",IFERROR(SUMIF(tblAnahtarA[Norm],$A31,tblVeriA[DesiCarpani]),kdo_varsayilanDesiCarpani))</f>
        <v/>
      </c>
      <c r="G31" s="15">
        <f>IF($A31="","",ROUND($B31*$C31*$D31/MAX($F31,1),2))</f>
        <v/>
      </c>
      <c r="H31" s="15">
        <f>IF($A31="","",MAX($G31,$E31))</f>
        <v/>
      </c>
      <c r="I31" s="15">
        <f>IF($A31="","",IFERROR(SUMIF(tblAnahtarB[NormB],$A31,tblVeriB[TarifTlDesi]),0))</f>
        <v/>
      </c>
      <c r="J31" s="15">
        <f>IF($A31="","",IFERROR(SUMIF(tblAnahtarA[Norm],$A31,tblVeriA[Adet]),1))</f>
        <v/>
      </c>
      <c r="K31" s="15">
        <f>IF($A31="","",ROUND($H31*$I31,2))</f>
        <v/>
      </c>
      <c r="L31" s="15">
        <f>IF($A31="","",ROUND($K31*$J31*(1+$Q31*kdo_iadeEtkiCarpani),2))</f>
        <v/>
      </c>
      <c r="M31" s="15">
        <f>IF($A31="","",IFERROR(SUMIF(tblAnahtarB[NormB],$A31,tblVeriB[AlternatifTarif]),0))</f>
        <v/>
      </c>
      <c r="N31" s="15">
        <f>IF($A31="","",ROUND($H31*$M31*$J31*(1+$Q31*kdo_iadeEtkiCarpani),2))</f>
        <v/>
      </c>
      <c r="O31" s="15">
        <f>IF($A31="","",ROUND($L31-$N31,2))</f>
        <v/>
      </c>
      <c r="P31" s="15">
        <f>IF($A31="","",IF($R31&gt;kdo_esikDesiOran,"DESİ DÜŞÜR",IF($O31&gt;kdo_esikTasarruf,"TAŞIYICI DEĞİŞTİR","UYGUN")))</f>
        <v/>
      </c>
      <c r="Q31" s="15">
        <f>IF($A31="","",IFERROR(SUMIF(tblAnahtarB[NormB],$A31,tblVeriB[IadeOran]),0))</f>
        <v/>
      </c>
      <c r="R31" s="15">
        <f>IF(OR($A31="",$E31=0),0,$G31/$E31)</f>
        <v/>
      </c>
      <c r="S31" s="15">
        <f>IF($A31="","",$G31-$E31)</f>
        <v/>
      </c>
      <c r="T31" s="15">
        <f>IF($A31="","",$L31-$N31)</f>
        <v/>
      </c>
    </row>
    <row r="32">
      <c r="A32" s="15">
        <f>IF('ANAHTAR'!$B32="","",'ANAHTAR'!$B32)</f>
        <v/>
      </c>
      <c r="B32" s="15">
        <f>IF($A32="","",IFERROR(SUMIF(tblAnahtarA[Norm],$A32,tblVeriA[EnCm]),0))</f>
        <v/>
      </c>
      <c r="C32" s="15">
        <f>IF($A32="","",IFERROR(SUMIF(tblAnahtarA[Norm],$A32,tblVeriA[BoyCm]),0))</f>
        <v/>
      </c>
      <c r="D32" s="15">
        <f>IF($A32="","",IFERROR(SUMIF(tblAnahtarA[Norm],$A32,tblVeriA[YukseklikCm]),0))</f>
        <v/>
      </c>
      <c r="E32" s="15">
        <f>IF($A32="","",IFERROR(SUMIF(tblAnahtarA[Norm],$A32,tblVeriA[AgirlikKg]),0))</f>
        <v/>
      </c>
      <c r="F32" s="15">
        <f>IF($A32="","",IFERROR(SUMIF(tblAnahtarA[Norm],$A32,tblVeriA[DesiCarpani]),kdo_varsayilanDesiCarpani))</f>
        <v/>
      </c>
      <c r="G32" s="15">
        <f>IF($A32="","",ROUND($B32*$C32*$D32/MAX($F32,1),2))</f>
        <v/>
      </c>
      <c r="H32" s="15">
        <f>IF($A32="","",MAX($G32,$E32))</f>
        <v/>
      </c>
      <c r="I32" s="15">
        <f>IF($A32="","",IFERROR(SUMIF(tblAnahtarB[NormB],$A32,tblVeriB[TarifTlDesi]),0))</f>
        <v/>
      </c>
      <c r="J32" s="15">
        <f>IF($A32="","",IFERROR(SUMIF(tblAnahtarA[Norm],$A32,tblVeriA[Adet]),1))</f>
        <v/>
      </c>
      <c r="K32" s="15">
        <f>IF($A32="","",ROUND($H32*$I32,2))</f>
        <v/>
      </c>
      <c r="L32" s="15">
        <f>IF($A32="","",ROUND($K32*$J32*(1+$Q32*kdo_iadeEtkiCarpani),2))</f>
        <v/>
      </c>
      <c r="M32" s="15">
        <f>IF($A32="","",IFERROR(SUMIF(tblAnahtarB[NormB],$A32,tblVeriB[AlternatifTarif]),0))</f>
        <v/>
      </c>
      <c r="N32" s="15">
        <f>IF($A32="","",ROUND($H32*$M32*$J32*(1+$Q32*kdo_iadeEtkiCarpani),2))</f>
        <v/>
      </c>
      <c r="O32" s="15">
        <f>IF($A32="","",ROUND($L32-$N32,2))</f>
        <v/>
      </c>
      <c r="P32" s="15">
        <f>IF($A32="","",IF($R32&gt;kdo_esikDesiOran,"DESİ DÜŞÜR",IF($O32&gt;kdo_esikTasarruf,"TAŞIYICI DEĞİŞTİR","UYGUN")))</f>
        <v/>
      </c>
      <c r="Q32" s="15">
        <f>IF($A32="","",IFERROR(SUMIF(tblAnahtarB[NormB],$A32,tblVeriB[IadeOran]),0))</f>
        <v/>
      </c>
      <c r="R32" s="15">
        <f>IF(OR($A32="",$E32=0),0,$G32/$E32)</f>
        <v/>
      </c>
      <c r="S32" s="15">
        <f>IF($A32="","",$G32-$E32)</f>
        <v/>
      </c>
      <c r="T32" s="15">
        <f>IF($A32="","",$L32-$N32)</f>
        <v/>
      </c>
    </row>
    <row r="33">
      <c r="A33" s="15">
        <f>IF('ANAHTAR'!$B33="","",'ANAHTAR'!$B33)</f>
        <v/>
      </c>
      <c r="B33" s="15">
        <f>IF($A33="","",IFERROR(SUMIF(tblAnahtarA[Norm],$A33,tblVeriA[EnCm]),0))</f>
        <v/>
      </c>
      <c r="C33" s="15">
        <f>IF($A33="","",IFERROR(SUMIF(tblAnahtarA[Norm],$A33,tblVeriA[BoyCm]),0))</f>
        <v/>
      </c>
      <c r="D33" s="15">
        <f>IF($A33="","",IFERROR(SUMIF(tblAnahtarA[Norm],$A33,tblVeriA[YukseklikCm]),0))</f>
        <v/>
      </c>
      <c r="E33" s="15">
        <f>IF($A33="","",IFERROR(SUMIF(tblAnahtarA[Norm],$A33,tblVeriA[AgirlikKg]),0))</f>
        <v/>
      </c>
      <c r="F33" s="15">
        <f>IF($A33="","",IFERROR(SUMIF(tblAnahtarA[Norm],$A33,tblVeriA[DesiCarpani]),kdo_varsayilanDesiCarpani))</f>
        <v/>
      </c>
      <c r="G33" s="15">
        <f>IF($A33="","",ROUND($B33*$C33*$D33/MAX($F33,1),2))</f>
        <v/>
      </c>
      <c r="H33" s="15">
        <f>IF($A33="","",MAX($G33,$E33))</f>
        <v/>
      </c>
      <c r="I33" s="15">
        <f>IF($A33="","",IFERROR(SUMIF(tblAnahtarB[NormB],$A33,tblVeriB[TarifTlDesi]),0))</f>
        <v/>
      </c>
      <c r="J33" s="15">
        <f>IF($A33="","",IFERROR(SUMIF(tblAnahtarA[Norm],$A33,tblVeriA[Adet]),1))</f>
        <v/>
      </c>
      <c r="K33" s="15">
        <f>IF($A33="","",ROUND($H33*$I33,2))</f>
        <v/>
      </c>
      <c r="L33" s="15">
        <f>IF($A33="","",ROUND($K33*$J33*(1+$Q33*kdo_iadeEtkiCarpani),2))</f>
        <v/>
      </c>
      <c r="M33" s="15">
        <f>IF($A33="","",IFERROR(SUMIF(tblAnahtarB[NormB],$A33,tblVeriB[AlternatifTarif]),0))</f>
        <v/>
      </c>
      <c r="N33" s="15">
        <f>IF($A33="","",ROUND($H33*$M33*$J33*(1+$Q33*kdo_iadeEtkiCarpani),2))</f>
        <v/>
      </c>
      <c r="O33" s="15">
        <f>IF($A33="","",ROUND($L33-$N33,2))</f>
        <v/>
      </c>
      <c r="P33" s="15">
        <f>IF($A33="","",IF($R33&gt;kdo_esikDesiOran,"DESİ DÜŞÜR",IF($O33&gt;kdo_esikTasarruf,"TAŞIYICI DEĞİŞTİR","UYGUN")))</f>
        <v/>
      </c>
      <c r="Q33" s="15">
        <f>IF($A33="","",IFERROR(SUMIF(tblAnahtarB[NormB],$A33,tblVeriB[IadeOran]),0))</f>
        <v/>
      </c>
      <c r="R33" s="15">
        <f>IF(OR($A33="",$E33=0),0,$G33/$E33)</f>
        <v/>
      </c>
      <c r="S33" s="15">
        <f>IF($A33="","",$G33-$E33)</f>
        <v/>
      </c>
      <c r="T33" s="15">
        <f>IF($A33="","",$L33-$N33)</f>
        <v/>
      </c>
    </row>
    <row r="34">
      <c r="A34" s="15">
        <f>IF('ANAHTAR'!$B34="","",'ANAHTAR'!$B34)</f>
        <v/>
      </c>
      <c r="B34" s="15">
        <f>IF($A34="","",IFERROR(SUMIF(tblAnahtarA[Norm],$A34,tblVeriA[EnCm]),0))</f>
        <v/>
      </c>
      <c r="C34" s="15">
        <f>IF($A34="","",IFERROR(SUMIF(tblAnahtarA[Norm],$A34,tblVeriA[BoyCm]),0))</f>
        <v/>
      </c>
      <c r="D34" s="15">
        <f>IF($A34="","",IFERROR(SUMIF(tblAnahtarA[Norm],$A34,tblVeriA[YukseklikCm]),0))</f>
        <v/>
      </c>
      <c r="E34" s="15">
        <f>IF($A34="","",IFERROR(SUMIF(tblAnahtarA[Norm],$A34,tblVeriA[AgirlikKg]),0))</f>
        <v/>
      </c>
      <c r="F34" s="15">
        <f>IF($A34="","",IFERROR(SUMIF(tblAnahtarA[Norm],$A34,tblVeriA[DesiCarpani]),kdo_varsayilanDesiCarpani))</f>
        <v/>
      </c>
      <c r="G34" s="15">
        <f>IF($A34="","",ROUND($B34*$C34*$D34/MAX($F34,1),2))</f>
        <v/>
      </c>
      <c r="H34" s="15">
        <f>IF($A34="","",MAX($G34,$E34))</f>
        <v/>
      </c>
      <c r="I34" s="15">
        <f>IF($A34="","",IFERROR(SUMIF(tblAnahtarB[NormB],$A34,tblVeriB[TarifTlDesi]),0))</f>
        <v/>
      </c>
      <c r="J34" s="15">
        <f>IF($A34="","",IFERROR(SUMIF(tblAnahtarA[Norm],$A34,tblVeriA[Adet]),1))</f>
        <v/>
      </c>
      <c r="K34" s="15">
        <f>IF($A34="","",ROUND($H34*$I34,2))</f>
        <v/>
      </c>
      <c r="L34" s="15">
        <f>IF($A34="","",ROUND($K34*$J34*(1+$Q34*kdo_iadeEtkiCarpani),2))</f>
        <v/>
      </c>
      <c r="M34" s="15">
        <f>IF($A34="","",IFERROR(SUMIF(tblAnahtarB[NormB],$A34,tblVeriB[AlternatifTarif]),0))</f>
        <v/>
      </c>
      <c r="N34" s="15">
        <f>IF($A34="","",ROUND($H34*$M34*$J34*(1+$Q34*kdo_iadeEtkiCarpani),2))</f>
        <v/>
      </c>
      <c r="O34" s="15">
        <f>IF($A34="","",ROUND($L34-$N34,2))</f>
        <v/>
      </c>
      <c r="P34" s="15">
        <f>IF($A34="","",IF($R34&gt;kdo_esikDesiOran,"DESİ DÜŞÜR",IF($O34&gt;kdo_esikTasarruf,"TAŞIYICI DEĞİŞTİR","UYGUN")))</f>
        <v/>
      </c>
      <c r="Q34" s="15">
        <f>IF($A34="","",IFERROR(SUMIF(tblAnahtarB[NormB],$A34,tblVeriB[IadeOran]),0))</f>
        <v/>
      </c>
      <c r="R34" s="15">
        <f>IF(OR($A34="",$E34=0),0,$G34/$E34)</f>
        <v/>
      </c>
      <c r="S34" s="15">
        <f>IF($A34="","",$G34-$E34)</f>
        <v/>
      </c>
      <c r="T34" s="15">
        <f>IF($A34="","",$L34-$N34)</f>
        <v/>
      </c>
    </row>
    <row r="35">
      <c r="A35" s="15">
        <f>IF('ANAHTAR'!$B35="","",'ANAHTAR'!$B35)</f>
        <v/>
      </c>
      <c r="B35" s="15">
        <f>IF($A35="","",IFERROR(SUMIF(tblAnahtarA[Norm],$A35,tblVeriA[EnCm]),0))</f>
        <v/>
      </c>
      <c r="C35" s="15">
        <f>IF($A35="","",IFERROR(SUMIF(tblAnahtarA[Norm],$A35,tblVeriA[BoyCm]),0))</f>
        <v/>
      </c>
      <c r="D35" s="15">
        <f>IF($A35="","",IFERROR(SUMIF(tblAnahtarA[Norm],$A35,tblVeriA[YukseklikCm]),0))</f>
        <v/>
      </c>
      <c r="E35" s="15">
        <f>IF($A35="","",IFERROR(SUMIF(tblAnahtarA[Norm],$A35,tblVeriA[AgirlikKg]),0))</f>
        <v/>
      </c>
      <c r="F35" s="15">
        <f>IF($A35="","",IFERROR(SUMIF(tblAnahtarA[Norm],$A35,tblVeriA[DesiCarpani]),kdo_varsayilanDesiCarpani))</f>
        <v/>
      </c>
      <c r="G35" s="15">
        <f>IF($A35="","",ROUND($B35*$C35*$D35/MAX($F35,1),2))</f>
        <v/>
      </c>
      <c r="H35" s="15">
        <f>IF($A35="","",MAX($G35,$E35))</f>
        <v/>
      </c>
      <c r="I35" s="15">
        <f>IF($A35="","",IFERROR(SUMIF(tblAnahtarB[NormB],$A35,tblVeriB[TarifTlDesi]),0))</f>
        <v/>
      </c>
      <c r="J35" s="15">
        <f>IF($A35="","",IFERROR(SUMIF(tblAnahtarA[Norm],$A35,tblVeriA[Adet]),1))</f>
        <v/>
      </c>
      <c r="K35" s="15">
        <f>IF($A35="","",ROUND($H35*$I35,2))</f>
        <v/>
      </c>
      <c r="L35" s="15">
        <f>IF($A35="","",ROUND($K35*$J35*(1+$Q35*kdo_iadeEtkiCarpani),2))</f>
        <v/>
      </c>
      <c r="M35" s="15">
        <f>IF($A35="","",IFERROR(SUMIF(tblAnahtarB[NormB],$A35,tblVeriB[AlternatifTarif]),0))</f>
        <v/>
      </c>
      <c r="N35" s="15">
        <f>IF($A35="","",ROUND($H35*$M35*$J35*(1+$Q35*kdo_iadeEtkiCarpani),2))</f>
        <v/>
      </c>
      <c r="O35" s="15">
        <f>IF($A35="","",ROUND($L35-$N35,2))</f>
        <v/>
      </c>
      <c r="P35" s="15">
        <f>IF($A35="","",IF($R35&gt;kdo_esikDesiOran,"DESİ DÜŞÜR",IF($O35&gt;kdo_esikTasarruf,"TAŞIYICI DEĞİŞTİR","UYGUN")))</f>
        <v/>
      </c>
      <c r="Q35" s="15">
        <f>IF($A35="","",IFERROR(SUMIF(tblAnahtarB[NormB],$A35,tblVeriB[IadeOran]),0))</f>
        <v/>
      </c>
      <c r="R35" s="15">
        <f>IF(OR($A35="",$E35=0),0,$G35/$E35)</f>
        <v/>
      </c>
      <c r="S35" s="15">
        <f>IF($A35="","",$G35-$E35)</f>
        <v/>
      </c>
      <c r="T35" s="15">
        <f>IF($A35="","",$L35-$N35)</f>
        <v/>
      </c>
    </row>
    <row r="36">
      <c r="A36" s="15">
        <f>IF('ANAHTAR'!$B36="","",'ANAHTAR'!$B36)</f>
        <v/>
      </c>
      <c r="B36" s="15">
        <f>IF($A36="","",IFERROR(SUMIF(tblAnahtarA[Norm],$A36,tblVeriA[EnCm]),0))</f>
        <v/>
      </c>
      <c r="C36" s="15">
        <f>IF($A36="","",IFERROR(SUMIF(tblAnahtarA[Norm],$A36,tblVeriA[BoyCm]),0))</f>
        <v/>
      </c>
      <c r="D36" s="15">
        <f>IF($A36="","",IFERROR(SUMIF(tblAnahtarA[Norm],$A36,tblVeriA[YukseklikCm]),0))</f>
        <v/>
      </c>
      <c r="E36" s="15">
        <f>IF($A36="","",IFERROR(SUMIF(tblAnahtarA[Norm],$A36,tblVeriA[AgirlikKg]),0))</f>
        <v/>
      </c>
      <c r="F36" s="15">
        <f>IF($A36="","",IFERROR(SUMIF(tblAnahtarA[Norm],$A36,tblVeriA[DesiCarpani]),kdo_varsayilanDesiCarpani))</f>
        <v/>
      </c>
      <c r="G36" s="15">
        <f>IF($A36="","",ROUND($B36*$C36*$D36/MAX($F36,1),2))</f>
        <v/>
      </c>
      <c r="H36" s="15">
        <f>IF($A36="","",MAX($G36,$E36))</f>
        <v/>
      </c>
      <c r="I36" s="15">
        <f>IF($A36="","",IFERROR(SUMIF(tblAnahtarB[NormB],$A36,tblVeriB[TarifTlDesi]),0))</f>
        <v/>
      </c>
      <c r="J36" s="15">
        <f>IF($A36="","",IFERROR(SUMIF(tblAnahtarA[Norm],$A36,tblVeriA[Adet]),1))</f>
        <v/>
      </c>
      <c r="K36" s="15">
        <f>IF($A36="","",ROUND($H36*$I36,2))</f>
        <v/>
      </c>
      <c r="L36" s="15">
        <f>IF($A36="","",ROUND($K36*$J36*(1+$Q36*kdo_iadeEtkiCarpani),2))</f>
        <v/>
      </c>
      <c r="M36" s="15">
        <f>IF($A36="","",IFERROR(SUMIF(tblAnahtarB[NormB],$A36,tblVeriB[AlternatifTarif]),0))</f>
        <v/>
      </c>
      <c r="N36" s="15">
        <f>IF($A36="","",ROUND($H36*$M36*$J36*(1+$Q36*kdo_iadeEtkiCarpani),2))</f>
        <v/>
      </c>
      <c r="O36" s="15">
        <f>IF($A36="","",ROUND($L36-$N36,2))</f>
        <v/>
      </c>
      <c r="P36" s="15">
        <f>IF($A36="","",IF($R36&gt;kdo_esikDesiOran,"DESİ DÜŞÜR",IF($O36&gt;kdo_esikTasarruf,"TAŞIYICI DEĞİŞTİR","UYGUN")))</f>
        <v/>
      </c>
      <c r="Q36" s="15">
        <f>IF($A36="","",IFERROR(SUMIF(tblAnahtarB[NormB],$A36,tblVeriB[IadeOran]),0))</f>
        <v/>
      </c>
      <c r="R36" s="15">
        <f>IF(OR($A36="",$E36=0),0,$G36/$E36)</f>
        <v/>
      </c>
      <c r="S36" s="15">
        <f>IF($A36="","",$G36-$E36)</f>
        <v/>
      </c>
      <c r="T36" s="15">
        <f>IF($A36="","",$L36-$N36)</f>
        <v/>
      </c>
    </row>
    <row r="37">
      <c r="A37" s="15">
        <f>IF('ANAHTAR'!$B37="","",'ANAHTAR'!$B37)</f>
        <v/>
      </c>
      <c r="B37" s="15">
        <f>IF($A37="","",IFERROR(SUMIF(tblAnahtarA[Norm],$A37,tblVeriA[EnCm]),0))</f>
        <v/>
      </c>
      <c r="C37" s="15">
        <f>IF($A37="","",IFERROR(SUMIF(tblAnahtarA[Norm],$A37,tblVeriA[BoyCm]),0))</f>
        <v/>
      </c>
      <c r="D37" s="15">
        <f>IF($A37="","",IFERROR(SUMIF(tblAnahtarA[Norm],$A37,tblVeriA[YukseklikCm]),0))</f>
        <v/>
      </c>
      <c r="E37" s="15">
        <f>IF($A37="","",IFERROR(SUMIF(tblAnahtarA[Norm],$A37,tblVeriA[AgirlikKg]),0))</f>
        <v/>
      </c>
      <c r="F37" s="15">
        <f>IF($A37="","",IFERROR(SUMIF(tblAnahtarA[Norm],$A37,tblVeriA[DesiCarpani]),kdo_varsayilanDesiCarpani))</f>
        <v/>
      </c>
      <c r="G37" s="15">
        <f>IF($A37="","",ROUND($B37*$C37*$D37/MAX($F37,1),2))</f>
        <v/>
      </c>
      <c r="H37" s="15">
        <f>IF($A37="","",MAX($G37,$E37))</f>
        <v/>
      </c>
      <c r="I37" s="15">
        <f>IF($A37="","",IFERROR(SUMIF(tblAnahtarB[NormB],$A37,tblVeriB[TarifTlDesi]),0))</f>
        <v/>
      </c>
      <c r="J37" s="15">
        <f>IF($A37="","",IFERROR(SUMIF(tblAnahtarA[Norm],$A37,tblVeriA[Adet]),1))</f>
        <v/>
      </c>
      <c r="K37" s="15">
        <f>IF($A37="","",ROUND($H37*$I37,2))</f>
        <v/>
      </c>
      <c r="L37" s="15">
        <f>IF($A37="","",ROUND($K37*$J37*(1+$Q37*kdo_iadeEtkiCarpani),2))</f>
        <v/>
      </c>
      <c r="M37" s="15">
        <f>IF($A37="","",IFERROR(SUMIF(tblAnahtarB[NormB],$A37,tblVeriB[AlternatifTarif]),0))</f>
        <v/>
      </c>
      <c r="N37" s="15">
        <f>IF($A37="","",ROUND($H37*$M37*$J37*(1+$Q37*kdo_iadeEtkiCarpani),2))</f>
        <v/>
      </c>
      <c r="O37" s="15">
        <f>IF($A37="","",ROUND($L37-$N37,2))</f>
        <v/>
      </c>
      <c r="P37" s="15">
        <f>IF($A37="","",IF($R37&gt;kdo_esikDesiOran,"DESİ DÜŞÜR",IF($O37&gt;kdo_esikTasarruf,"TAŞIYICI DEĞİŞTİR","UYGUN")))</f>
        <v/>
      </c>
      <c r="Q37" s="15">
        <f>IF($A37="","",IFERROR(SUMIF(tblAnahtarB[NormB],$A37,tblVeriB[IadeOran]),0))</f>
        <v/>
      </c>
      <c r="R37" s="15">
        <f>IF(OR($A37="",$E37=0),0,$G37/$E37)</f>
        <v/>
      </c>
      <c r="S37" s="15">
        <f>IF($A37="","",$G37-$E37)</f>
        <v/>
      </c>
      <c r="T37" s="15">
        <f>IF($A37="","",$L37-$N37)</f>
        <v/>
      </c>
    </row>
    <row r="38">
      <c r="A38" s="15">
        <f>IF('ANAHTAR'!$B38="","",'ANAHTAR'!$B38)</f>
        <v/>
      </c>
      <c r="B38" s="15">
        <f>IF($A38="","",IFERROR(SUMIF(tblAnahtarA[Norm],$A38,tblVeriA[EnCm]),0))</f>
        <v/>
      </c>
      <c r="C38" s="15">
        <f>IF($A38="","",IFERROR(SUMIF(tblAnahtarA[Norm],$A38,tblVeriA[BoyCm]),0))</f>
        <v/>
      </c>
      <c r="D38" s="15">
        <f>IF($A38="","",IFERROR(SUMIF(tblAnahtarA[Norm],$A38,tblVeriA[YukseklikCm]),0))</f>
        <v/>
      </c>
      <c r="E38" s="15">
        <f>IF($A38="","",IFERROR(SUMIF(tblAnahtarA[Norm],$A38,tblVeriA[AgirlikKg]),0))</f>
        <v/>
      </c>
      <c r="F38" s="15">
        <f>IF($A38="","",IFERROR(SUMIF(tblAnahtarA[Norm],$A38,tblVeriA[DesiCarpani]),kdo_varsayilanDesiCarpani))</f>
        <v/>
      </c>
      <c r="G38" s="15">
        <f>IF($A38="","",ROUND($B38*$C38*$D38/MAX($F38,1),2))</f>
        <v/>
      </c>
      <c r="H38" s="15">
        <f>IF($A38="","",MAX($G38,$E38))</f>
        <v/>
      </c>
      <c r="I38" s="15">
        <f>IF($A38="","",IFERROR(SUMIF(tblAnahtarB[NormB],$A38,tblVeriB[TarifTlDesi]),0))</f>
        <v/>
      </c>
      <c r="J38" s="15">
        <f>IF($A38="","",IFERROR(SUMIF(tblAnahtarA[Norm],$A38,tblVeriA[Adet]),1))</f>
        <v/>
      </c>
      <c r="K38" s="15">
        <f>IF($A38="","",ROUND($H38*$I38,2))</f>
        <v/>
      </c>
      <c r="L38" s="15">
        <f>IF($A38="","",ROUND($K38*$J38*(1+$Q38*kdo_iadeEtkiCarpani),2))</f>
        <v/>
      </c>
      <c r="M38" s="15">
        <f>IF($A38="","",IFERROR(SUMIF(tblAnahtarB[NormB],$A38,tblVeriB[AlternatifTarif]),0))</f>
        <v/>
      </c>
      <c r="N38" s="15">
        <f>IF($A38="","",ROUND($H38*$M38*$J38*(1+$Q38*kdo_iadeEtkiCarpani),2))</f>
        <v/>
      </c>
      <c r="O38" s="15">
        <f>IF($A38="","",ROUND($L38-$N38,2))</f>
        <v/>
      </c>
      <c r="P38" s="15">
        <f>IF($A38="","",IF($R38&gt;kdo_esikDesiOran,"DESİ DÜŞÜR",IF($O38&gt;kdo_esikTasarruf,"TAŞIYICI DEĞİŞTİR","UYGUN")))</f>
        <v/>
      </c>
      <c r="Q38" s="15">
        <f>IF($A38="","",IFERROR(SUMIF(tblAnahtarB[NormB],$A38,tblVeriB[IadeOran]),0))</f>
        <v/>
      </c>
      <c r="R38" s="15">
        <f>IF(OR($A38="",$E38=0),0,$G38/$E38)</f>
        <v/>
      </c>
      <c r="S38" s="15">
        <f>IF($A38="","",$G38-$E38)</f>
        <v/>
      </c>
      <c r="T38" s="15">
        <f>IF($A38="","",$L38-$N38)</f>
        <v/>
      </c>
    </row>
    <row r="39">
      <c r="A39" s="15">
        <f>IF('ANAHTAR'!$B39="","",'ANAHTAR'!$B39)</f>
        <v/>
      </c>
      <c r="B39" s="15">
        <f>IF($A39="","",IFERROR(SUMIF(tblAnahtarA[Norm],$A39,tblVeriA[EnCm]),0))</f>
        <v/>
      </c>
      <c r="C39" s="15">
        <f>IF($A39="","",IFERROR(SUMIF(tblAnahtarA[Norm],$A39,tblVeriA[BoyCm]),0))</f>
        <v/>
      </c>
      <c r="D39" s="15">
        <f>IF($A39="","",IFERROR(SUMIF(tblAnahtarA[Norm],$A39,tblVeriA[YukseklikCm]),0))</f>
        <v/>
      </c>
      <c r="E39" s="15">
        <f>IF($A39="","",IFERROR(SUMIF(tblAnahtarA[Norm],$A39,tblVeriA[AgirlikKg]),0))</f>
        <v/>
      </c>
      <c r="F39" s="15">
        <f>IF($A39="","",IFERROR(SUMIF(tblAnahtarA[Norm],$A39,tblVeriA[DesiCarpani]),kdo_varsayilanDesiCarpani))</f>
        <v/>
      </c>
      <c r="G39" s="15">
        <f>IF($A39="","",ROUND($B39*$C39*$D39/MAX($F39,1),2))</f>
        <v/>
      </c>
      <c r="H39" s="15">
        <f>IF($A39="","",MAX($G39,$E39))</f>
        <v/>
      </c>
      <c r="I39" s="15">
        <f>IF($A39="","",IFERROR(SUMIF(tblAnahtarB[NormB],$A39,tblVeriB[TarifTlDesi]),0))</f>
        <v/>
      </c>
      <c r="J39" s="15">
        <f>IF($A39="","",IFERROR(SUMIF(tblAnahtarA[Norm],$A39,tblVeriA[Adet]),1))</f>
        <v/>
      </c>
      <c r="K39" s="15">
        <f>IF($A39="","",ROUND($H39*$I39,2))</f>
        <v/>
      </c>
      <c r="L39" s="15">
        <f>IF($A39="","",ROUND($K39*$J39*(1+$Q39*kdo_iadeEtkiCarpani),2))</f>
        <v/>
      </c>
      <c r="M39" s="15">
        <f>IF($A39="","",IFERROR(SUMIF(tblAnahtarB[NormB],$A39,tblVeriB[AlternatifTarif]),0))</f>
        <v/>
      </c>
      <c r="N39" s="15">
        <f>IF($A39="","",ROUND($H39*$M39*$J39*(1+$Q39*kdo_iadeEtkiCarpani),2))</f>
        <v/>
      </c>
      <c r="O39" s="15">
        <f>IF($A39="","",ROUND($L39-$N39,2))</f>
        <v/>
      </c>
      <c r="P39" s="15">
        <f>IF($A39="","",IF($R39&gt;kdo_esikDesiOran,"DESİ DÜŞÜR",IF($O39&gt;kdo_esikTasarruf,"TAŞIYICI DEĞİŞTİR","UYGUN")))</f>
        <v/>
      </c>
      <c r="Q39" s="15">
        <f>IF($A39="","",IFERROR(SUMIF(tblAnahtarB[NormB],$A39,tblVeriB[IadeOran]),0))</f>
        <v/>
      </c>
      <c r="R39" s="15">
        <f>IF(OR($A39="",$E39=0),0,$G39/$E39)</f>
        <v/>
      </c>
      <c r="S39" s="15">
        <f>IF($A39="","",$G39-$E39)</f>
        <v/>
      </c>
      <c r="T39" s="15">
        <f>IF($A39="","",$L39-$N39)</f>
        <v/>
      </c>
    </row>
    <row r="40">
      <c r="A40" s="15">
        <f>IF('ANAHTAR'!$B40="","",'ANAHTAR'!$B40)</f>
        <v/>
      </c>
      <c r="B40" s="15">
        <f>IF($A40="","",IFERROR(SUMIF(tblAnahtarA[Norm],$A40,tblVeriA[EnCm]),0))</f>
        <v/>
      </c>
      <c r="C40" s="15">
        <f>IF($A40="","",IFERROR(SUMIF(tblAnahtarA[Norm],$A40,tblVeriA[BoyCm]),0))</f>
        <v/>
      </c>
      <c r="D40" s="15">
        <f>IF($A40="","",IFERROR(SUMIF(tblAnahtarA[Norm],$A40,tblVeriA[YukseklikCm]),0))</f>
        <v/>
      </c>
      <c r="E40" s="15">
        <f>IF($A40="","",IFERROR(SUMIF(tblAnahtarA[Norm],$A40,tblVeriA[AgirlikKg]),0))</f>
        <v/>
      </c>
      <c r="F40" s="15">
        <f>IF($A40="","",IFERROR(SUMIF(tblAnahtarA[Norm],$A40,tblVeriA[DesiCarpani]),kdo_varsayilanDesiCarpani))</f>
        <v/>
      </c>
      <c r="G40" s="15">
        <f>IF($A40="","",ROUND($B40*$C40*$D40/MAX($F40,1),2))</f>
        <v/>
      </c>
      <c r="H40" s="15">
        <f>IF($A40="","",MAX($G40,$E40))</f>
        <v/>
      </c>
      <c r="I40" s="15">
        <f>IF($A40="","",IFERROR(SUMIF(tblAnahtarB[NormB],$A40,tblVeriB[TarifTlDesi]),0))</f>
        <v/>
      </c>
      <c r="J40" s="15">
        <f>IF($A40="","",IFERROR(SUMIF(tblAnahtarA[Norm],$A40,tblVeriA[Adet]),1))</f>
        <v/>
      </c>
      <c r="K40" s="15">
        <f>IF($A40="","",ROUND($H40*$I40,2))</f>
        <v/>
      </c>
      <c r="L40" s="15">
        <f>IF($A40="","",ROUND($K40*$J40*(1+$Q40*kdo_iadeEtkiCarpani),2))</f>
        <v/>
      </c>
      <c r="M40" s="15">
        <f>IF($A40="","",IFERROR(SUMIF(tblAnahtarB[NormB],$A40,tblVeriB[AlternatifTarif]),0))</f>
        <v/>
      </c>
      <c r="N40" s="15">
        <f>IF($A40="","",ROUND($H40*$M40*$J40*(1+$Q40*kdo_iadeEtkiCarpani),2))</f>
        <v/>
      </c>
      <c r="O40" s="15">
        <f>IF($A40="","",ROUND($L40-$N40,2))</f>
        <v/>
      </c>
      <c r="P40" s="15">
        <f>IF($A40="","",IF($R40&gt;kdo_esikDesiOran,"DESİ DÜŞÜR",IF($O40&gt;kdo_esikTasarruf,"TAŞIYICI DEĞİŞTİR","UYGUN")))</f>
        <v/>
      </c>
      <c r="Q40" s="15">
        <f>IF($A40="","",IFERROR(SUMIF(tblAnahtarB[NormB],$A40,tblVeriB[IadeOran]),0))</f>
        <v/>
      </c>
      <c r="R40" s="15">
        <f>IF(OR($A40="",$E40=0),0,$G40/$E40)</f>
        <v/>
      </c>
      <c r="S40" s="15">
        <f>IF($A40="","",$G40-$E40)</f>
        <v/>
      </c>
      <c r="T40" s="15">
        <f>IF($A40="","",$L40-$N40)</f>
        <v/>
      </c>
    </row>
    <row r="41">
      <c r="A41" s="15">
        <f>IF('ANAHTAR'!$B41="","",'ANAHTAR'!$B41)</f>
        <v/>
      </c>
      <c r="B41" s="15">
        <f>IF($A41="","",IFERROR(SUMIF(tblAnahtarA[Norm],$A41,tblVeriA[EnCm]),0))</f>
        <v/>
      </c>
      <c r="C41" s="15">
        <f>IF($A41="","",IFERROR(SUMIF(tblAnahtarA[Norm],$A41,tblVeriA[BoyCm]),0))</f>
        <v/>
      </c>
      <c r="D41" s="15">
        <f>IF($A41="","",IFERROR(SUMIF(tblAnahtarA[Norm],$A41,tblVeriA[YukseklikCm]),0))</f>
        <v/>
      </c>
      <c r="E41" s="15">
        <f>IF($A41="","",IFERROR(SUMIF(tblAnahtarA[Norm],$A41,tblVeriA[AgirlikKg]),0))</f>
        <v/>
      </c>
      <c r="F41" s="15">
        <f>IF($A41="","",IFERROR(SUMIF(tblAnahtarA[Norm],$A41,tblVeriA[DesiCarpani]),kdo_varsayilanDesiCarpani))</f>
        <v/>
      </c>
      <c r="G41" s="15">
        <f>IF($A41="","",ROUND($B41*$C41*$D41/MAX($F41,1),2))</f>
        <v/>
      </c>
      <c r="H41" s="15">
        <f>IF($A41="","",MAX($G41,$E41))</f>
        <v/>
      </c>
      <c r="I41" s="15">
        <f>IF($A41="","",IFERROR(SUMIF(tblAnahtarB[NormB],$A41,tblVeriB[TarifTlDesi]),0))</f>
        <v/>
      </c>
      <c r="J41" s="15">
        <f>IF($A41="","",IFERROR(SUMIF(tblAnahtarA[Norm],$A41,tblVeriA[Adet]),1))</f>
        <v/>
      </c>
      <c r="K41" s="15">
        <f>IF($A41="","",ROUND($H41*$I41,2))</f>
        <v/>
      </c>
      <c r="L41" s="15">
        <f>IF($A41="","",ROUND($K41*$J41*(1+$Q41*kdo_iadeEtkiCarpani),2))</f>
        <v/>
      </c>
      <c r="M41" s="15">
        <f>IF($A41="","",IFERROR(SUMIF(tblAnahtarB[NormB],$A41,tblVeriB[AlternatifTarif]),0))</f>
        <v/>
      </c>
      <c r="N41" s="15">
        <f>IF($A41="","",ROUND($H41*$M41*$J41*(1+$Q41*kdo_iadeEtkiCarpani),2))</f>
        <v/>
      </c>
      <c r="O41" s="15">
        <f>IF($A41="","",ROUND($L41-$N41,2))</f>
        <v/>
      </c>
      <c r="P41" s="15">
        <f>IF($A41="","",IF($R41&gt;kdo_esikDesiOran,"DESİ DÜŞÜR",IF($O41&gt;kdo_esikTasarruf,"TAŞIYICI DEĞİŞTİR","UYGUN")))</f>
        <v/>
      </c>
      <c r="Q41" s="15">
        <f>IF($A41="","",IFERROR(SUMIF(tblAnahtarB[NormB],$A41,tblVeriB[IadeOran]),0))</f>
        <v/>
      </c>
      <c r="R41" s="15">
        <f>IF(OR($A41="",$E41=0),0,$G41/$E41)</f>
        <v/>
      </c>
      <c r="S41" s="15">
        <f>IF($A41="","",$G41-$E41)</f>
        <v/>
      </c>
      <c r="T41" s="15">
        <f>IF($A41="","",$L41-$N41)</f>
        <v/>
      </c>
    </row>
    <row r="42">
      <c r="A42" s="15">
        <f>IF('ANAHTAR'!$B42="","",'ANAHTAR'!$B42)</f>
        <v/>
      </c>
      <c r="B42" s="15">
        <f>IF($A42="","",IFERROR(SUMIF(tblAnahtarA[Norm],$A42,tblVeriA[EnCm]),0))</f>
        <v/>
      </c>
      <c r="C42" s="15">
        <f>IF($A42="","",IFERROR(SUMIF(tblAnahtarA[Norm],$A42,tblVeriA[BoyCm]),0))</f>
        <v/>
      </c>
      <c r="D42" s="15">
        <f>IF($A42="","",IFERROR(SUMIF(tblAnahtarA[Norm],$A42,tblVeriA[YukseklikCm]),0))</f>
        <v/>
      </c>
      <c r="E42" s="15">
        <f>IF($A42="","",IFERROR(SUMIF(tblAnahtarA[Norm],$A42,tblVeriA[AgirlikKg]),0))</f>
        <v/>
      </c>
      <c r="F42" s="15">
        <f>IF($A42="","",IFERROR(SUMIF(tblAnahtarA[Norm],$A42,tblVeriA[DesiCarpani]),kdo_varsayilanDesiCarpani))</f>
        <v/>
      </c>
      <c r="G42" s="15">
        <f>IF($A42="","",ROUND($B42*$C42*$D42/MAX($F42,1),2))</f>
        <v/>
      </c>
      <c r="H42" s="15">
        <f>IF($A42="","",MAX($G42,$E42))</f>
        <v/>
      </c>
      <c r="I42" s="15">
        <f>IF($A42="","",IFERROR(SUMIF(tblAnahtarB[NormB],$A42,tblVeriB[TarifTlDesi]),0))</f>
        <v/>
      </c>
      <c r="J42" s="15">
        <f>IF($A42="","",IFERROR(SUMIF(tblAnahtarA[Norm],$A42,tblVeriA[Adet]),1))</f>
        <v/>
      </c>
      <c r="K42" s="15">
        <f>IF($A42="","",ROUND($H42*$I42,2))</f>
        <v/>
      </c>
      <c r="L42" s="15">
        <f>IF($A42="","",ROUND($K42*$J42*(1+$Q42*kdo_iadeEtkiCarpani),2))</f>
        <v/>
      </c>
      <c r="M42" s="15">
        <f>IF($A42="","",IFERROR(SUMIF(tblAnahtarB[NormB],$A42,tblVeriB[AlternatifTarif]),0))</f>
        <v/>
      </c>
      <c r="N42" s="15">
        <f>IF($A42="","",ROUND($H42*$M42*$J42*(1+$Q42*kdo_iadeEtkiCarpani),2))</f>
        <v/>
      </c>
      <c r="O42" s="15">
        <f>IF($A42="","",ROUND($L42-$N42,2))</f>
        <v/>
      </c>
      <c r="P42" s="15">
        <f>IF($A42="","",IF($R42&gt;kdo_esikDesiOran,"DESİ DÜŞÜR",IF($O42&gt;kdo_esikTasarruf,"TAŞIYICI DEĞİŞTİR","UYGUN")))</f>
        <v/>
      </c>
      <c r="Q42" s="15">
        <f>IF($A42="","",IFERROR(SUMIF(tblAnahtarB[NormB],$A42,tblVeriB[IadeOran]),0))</f>
        <v/>
      </c>
      <c r="R42" s="15">
        <f>IF(OR($A42="",$E42=0),0,$G42/$E42)</f>
        <v/>
      </c>
      <c r="S42" s="15">
        <f>IF($A42="","",$G42-$E42)</f>
        <v/>
      </c>
      <c r="T42" s="15">
        <f>IF($A42="","",$L42-$N42)</f>
        <v/>
      </c>
    </row>
    <row r="43">
      <c r="A43" s="15">
        <f>IF('ANAHTAR'!$B43="","",'ANAHTAR'!$B43)</f>
        <v/>
      </c>
      <c r="B43" s="15">
        <f>IF($A43="","",IFERROR(SUMIF(tblAnahtarA[Norm],$A43,tblVeriA[EnCm]),0))</f>
        <v/>
      </c>
      <c r="C43" s="15">
        <f>IF($A43="","",IFERROR(SUMIF(tblAnahtarA[Norm],$A43,tblVeriA[BoyCm]),0))</f>
        <v/>
      </c>
      <c r="D43" s="15">
        <f>IF($A43="","",IFERROR(SUMIF(tblAnahtarA[Norm],$A43,tblVeriA[YukseklikCm]),0))</f>
        <v/>
      </c>
      <c r="E43" s="15">
        <f>IF($A43="","",IFERROR(SUMIF(tblAnahtarA[Norm],$A43,tblVeriA[AgirlikKg]),0))</f>
        <v/>
      </c>
      <c r="F43" s="15">
        <f>IF($A43="","",IFERROR(SUMIF(tblAnahtarA[Norm],$A43,tblVeriA[DesiCarpani]),kdo_varsayilanDesiCarpani))</f>
        <v/>
      </c>
      <c r="G43" s="15">
        <f>IF($A43="","",ROUND($B43*$C43*$D43/MAX($F43,1),2))</f>
        <v/>
      </c>
      <c r="H43" s="15">
        <f>IF($A43="","",MAX($G43,$E43))</f>
        <v/>
      </c>
      <c r="I43" s="15">
        <f>IF($A43="","",IFERROR(SUMIF(tblAnahtarB[NormB],$A43,tblVeriB[TarifTlDesi]),0))</f>
        <v/>
      </c>
      <c r="J43" s="15">
        <f>IF($A43="","",IFERROR(SUMIF(tblAnahtarA[Norm],$A43,tblVeriA[Adet]),1))</f>
        <v/>
      </c>
      <c r="K43" s="15">
        <f>IF($A43="","",ROUND($H43*$I43,2))</f>
        <v/>
      </c>
      <c r="L43" s="15">
        <f>IF($A43="","",ROUND($K43*$J43*(1+$Q43*kdo_iadeEtkiCarpani),2))</f>
        <v/>
      </c>
      <c r="M43" s="15">
        <f>IF($A43="","",IFERROR(SUMIF(tblAnahtarB[NormB],$A43,tblVeriB[AlternatifTarif]),0))</f>
        <v/>
      </c>
      <c r="N43" s="15">
        <f>IF($A43="","",ROUND($H43*$M43*$J43*(1+$Q43*kdo_iadeEtkiCarpani),2))</f>
        <v/>
      </c>
      <c r="O43" s="15">
        <f>IF($A43="","",ROUND($L43-$N43,2))</f>
        <v/>
      </c>
      <c r="P43" s="15">
        <f>IF($A43="","",IF($R43&gt;kdo_esikDesiOran,"DESİ DÜŞÜR",IF($O43&gt;kdo_esikTasarruf,"TAŞIYICI DEĞİŞTİR","UYGUN")))</f>
        <v/>
      </c>
      <c r="Q43" s="15">
        <f>IF($A43="","",IFERROR(SUMIF(tblAnahtarB[NormB],$A43,tblVeriB[IadeOran]),0))</f>
        <v/>
      </c>
      <c r="R43" s="15">
        <f>IF(OR($A43="",$E43=0),0,$G43/$E43)</f>
        <v/>
      </c>
      <c r="S43" s="15">
        <f>IF($A43="","",$G43-$E43)</f>
        <v/>
      </c>
      <c r="T43" s="15">
        <f>IF($A43="","",$L43-$N43)</f>
        <v/>
      </c>
    </row>
    <row r="44">
      <c r="A44" s="15">
        <f>IF('ANAHTAR'!$B44="","",'ANAHTAR'!$B44)</f>
        <v/>
      </c>
      <c r="B44" s="15">
        <f>IF($A44="","",IFERROR(SUMIF(tblAnahtarA[Norm],$A44,tblVeriA[EnCm]),0))</f>
        <v/>
      </c>
      <c r="C44" s="15">
        <f>IF($A44="","",IFERROR(SUMIF(tblAnahtarA[Norm],$A44,tblVeriA[BoyCm]),0))</f>
        <v/>
      </c>
      <c r="D44" s="15">
        <f>IF($A44="","",IFERROR(SUMIF(tblAnahtarA[Norm],$A44,tblVeriA[YukseklikCm]),0))</f>
        <v/>
      </c>
      <c r="E44" s="15">
        <f>IF($A44="","",IFERROR(SUMIF(tblAnahtarA[Norm],$A44,tblVeriA[AgirlikKg]),0))</f>
        <v/>
      </c>
      <c r="F44" s="15">
        <f>IF($A44="","",IFERROR(SUMIF(tblAnahtarA[Norm],$A44,tblVeriA[DesiCarpani]),kdo_varsayilanDesiCarpani))</f>
        <v/>
      </c>
      <c r="G44" s="15">
        <f>IF($A44="","",ROUND($B44*$C44*$D44/MAX($F44,1),2))</f>
        <v/>
      </c>
      <c r="H44" s="15">
        <f>IF($A44="","",MAX($G44,$E44))</f>
        <v/>
      </c>
      <c r="I44" s="15">
        <f>IF($A44="","",IFERROR(SUMIF(tblAnahtarB[NormB],$A44,tblVeriB[TarifTlDesi]),0))</f>
        <v/>
      </c>
      <c r="J44" s="15">
        <f>IF($A44="","",IFERROR(SUMIF(tblAnahtarA[Norm],$A44,tblVeriA[Adet]),1))</f>
        <v/>
      </c>
      <c r="K44" s="15">
        <f>IF($A44="","",ROUND($H44*$I44,2))</f>
        <v/>
      </c>
      <c r="L44" s="15">
        <f>IF($A44="","",ROUND($K44*$J44*(1+$Q44*kdo_iadeEtkiCarpani),2))</f>
        <v/>
      </c>
      <c r="M44" s="15">
        <f>IF($A44="","",IFERROR(SUMIF(tblAnahtarB[NormB],$A44,tblVeriB[AlternatifTarif]),0))</f>
        <v/>
      </c>
      <c r="N44" s="15">
        <f>IF($A44="","",ROUND($H44*$M44*$J44*(1+$Q44*kdo_iadeEtkiCarpani),2))</f>
        <v/>
      </c>
      <c r="O44" s="15">
        <f>IF($A44="","",ROUND($L44-$N44,2))</f>
        <v/>
      </c>
      <c r="P44" s="15">
        <f>IF($A44="","",IF($R44&gt;kdo_esikDesiOran,"DESİ DÜŞÜR",IF($O44&gt;kdo_esikTasarruf,"TAŞIYICI DEĞİŞTİR","UYGUN")))</f>
        <v/>
      </c>
      <c r="Q44" s="15">
        <f>IF($A44="","",IFERROR(SUMIF(tblAnahtarB[NormB],$A44,tblVeriB[IadeOran]),0))</f>
        <v/>
      </c>
      <c r="R44" s="15">
        <f>IF(OR($A44="",$E44=0),0,$G44/$E44)</f>
        <v/>
      </c>
      <c r="S44" s="15">
        <f>IF($A44="","",$G44-$E44)</f>
        <v/>
      </c>
      <c r="T44" s="15">
        <f>IF($A44="","",$L44-$N44)</f>
        <v/>
      </c>
    </row>
    <row r="45">
      <c r="A45" s="15">
        <f>IF('ANAHTAR'!$B45="","",'ANAHTAR'!$B45)</f>
        <v/>
      </c>
      <c r="B45" s="15">
        <f>IF($A45="","",IFERROR(SUMIF(tblAnahtarA[Norm],$A45,tblVeriA[EnCm]),0))</f>
        <v/>
      </c>
      <c r="C45" s="15">
        <f>IF($A45="","",IFERROR(SUMIF(tblAnahtarA[Norm],$A45,tblVeriA[BoyCm]),0))</f>
        <v/>
      </c>
      <c r="D45" s="15">
        <f>IF($A45="","",IFERROR(SUMIF(tblAnahtarA[Norm],$A45,tblVeriA[YukseklikCm]),0))</f>
        <v/>
      </c>
      <c r="E45" s="15">
        <f>IF($A45="","",IFERROR(SUMIF(tblAnahtarA[Norm],$A45,tblVeriA[AgirlikKg]),0))</f>
        <v/>
      </c>
      <c r="F45" s="15">
        <f>IF($A45="","",IFERROR(SUMIF(tblAnahtarA[Norm],$A45,tblVeriA[DesiCarpani]),kdo_varsayilanDesiCarpani))</f>
        <v/>
      </c>
      <c r="G45" s="15">
        <f>IF($A45="","",ROUND($B45*$C45*$D45/MAX($F45,1),2))</f>
        <v/>
      </c>
      <c r="H45" s="15">
        <f>IF($A45="","",MAX($G45,$E45))</f>
        <v/>
      </c>
      <c r="I45" s="15">
        <f>IF($A45="","",IFERROR(SUMIF(tblAnahtarB[NormB],$A45,tblVeriB[TarifTlDesi]),0))</f>
        <v/>
      </c>
      <c r="J45" s="15">
        <f>IF($A45="","",IFERROR(SUMIF(tblAnahtarA[Norm],$A45,tblVeriA[Adet]),1))</f>
        <v/>
      </c>
      <c r="K45" s="15">
        <f>IF($A45="","",ROUND($H45*$I45,2))</f>
        <v/>
      </c>
      <c r="L45" s="15">
        <f>IF($A45="","",ROUND($K45*$J45*(1+$Q45*kdo_iadeEtkiCarpani),2))</f>
        <v/>
      </c>
      <c r="M45" s="15">
        <f>IF($A45="","",IFERROR(SUMIF(tblAnahtarB[NormB],$A45,tblVeriB[AlternatifTarif]),0))</f>
        <v/>
      </c>
      <c r="N45" s="15">
        <f>IF($A45="","",ROUND($H45*$M45*$J45*(1+$Q45*kdo_iadeEtkiCarpani),2))</f>
        <v/>
      </c>
      <c r="O45" s="15">
        <f>IF($A45="","",ROUND($L45-$N45,2))</f>
        <v/>
      </c>
      <c r="P45" s="15">
        <f>IF($A45="","",IF($R45&gt;kdo_esikDesiOran,"DESİ DÜŞÜR",IF($O45&gt;kdo_esikTasarruf,"TAŞIYICI DEĞİŞTİR","UYGUN")))</f>
        <v/>
      </c>
      <c r="Q45" s="15">
        <f>IF($A45="","",IFERROR(SUMIF(tblAnahtarB[NormB],$A45,tblVeriB[IadeOran]),0))</f>
        <v/>
      </c>
      <c r="R45" s="15">
        <f>IF(OR($A45="",$E45=0),0,$G45/$E45)</f>
        <v/>
      </c>
      <c r="S45" s="15">
        <f>IF($A45="","",$G45-$E45)</f>
        <v/>
      </c>
      <c r="T45" s="15">
        <f>IF($A45="","",$L45-$N45)</f>
        <v/>
      </c>
    </row>
    <row r="46">
      <c r="A46" s="15">
        <f>IF('ANAHTAR'!$B46="","",'ANAHTAR'!$B46)</f>
        <v/>
      </c>
      <c r="B46" s="15">
        <f>IF($A46="","",IFERROR(SUMIF(tblAnahtarA[Norm],$A46,tblVeriA[EnCm]),0))</f>
        <v/>
      </c>
      <c r="C46" s="15">
        <f>IF($A46="","",IFERROR(SUMIF(tblAnahtarA[Norm],$A46,tblVeriA[BoyCm]),0))</f>
        <v/>
      </c>
      <c r="D46" s="15">
        <f>IF($A46="","",IFERROR(SUMIF(tblAnahtarA[Norm],$A46,tblVeriA[YukseklikCm]),0))</f>
        <v/>
      </c>
      <c r="E46" s="15">
        <f>IF($A46="","",IFERROR(SUMIF(tblAnahtarA[Norm],$A46,tblVeriA[AgirlikKg]),0))</f>
        <v/>
      </c>
      <c r="F46" s="15">
        <f>IF($A46="","",IFERROR(SUMIF(tblAnahtarA[Norm],$A46,tblVeriA[DesiCarpani]),kdo_varsayilanDesiCarpani))</f>
        <v/>
      </c>
      <c r="G46" s="15">
        <f>IF($A46="","",ROUND($B46*$C46*$D46/MAX($F46,1),2))</f>
        <v/>
      </c>
      <c r="H46" s="15">
        <f>IF($A46="","",MAX($G46,$E46))</f>
        <v/>
      </c>
      <c r="I46" s="15">
        <f>IF($A46="","",IFERROR(SUMIF(tblAnahtarB[NormB],$A46,tblVeriB[TarifTlDesi]),0))</f>
        <v/>
      </c>
      <c r="J46" s="15">
        <f>IF($A46="","",IFERROR(SUMIF(tblAnahtarA[Norm],$A46,tblVeriA[Adet]),1))</f>
        <v/>
      </c>
      <c r="K46" s="15">
        <f>IF($A46="","",ROUND($H46*$I46,2))</f>
        <v/>
      </c>
      <c r="L46" s="15">
        <f>IF($A46="","",ROUND($K46*$J46*(1+$Q46*kdo_iadeEtkiCarpani),2))</f>
        <v/>
      </c>
      <c r="M46" s="15">
        <f>IF($A46="","",IFERROR(SUMIF(tblAnahtarB[NormB],$A46,tblVeriB[AlternatifTarif]),0))</f>
        <v/>
      </c>
      <c r="N46" s="15">
        <f>IF($A46="","",ROUND($H46*$M46*$J46*(1+$Q46*kdo_iadeEtkiCarpani),2))</f>
        <v/>
      </c>
      <c r="O46" s="15">
        <f>IF($A46="","",ROUND($L46-$N46,2))</f>
        <v/>
      </c>
      <c r="P46" s="15">
        <f>IF($A46="","",IF($R46&gt;kdo_esikDesiOran,"DESİ DÜŞÜR",IF($O46&gt;kdo_esikTasarruf,"TAŞIYICI DEĞİŞTİR","UYGUN")))</f>
        <v/>
      </c>
      <c r="Q46" s="15">
        <f>IF($A46="","",IFERROR(SUMIF(tblAnahtarB[NormB],$A46,tblVeriB[IadeOran]),0))</f>
        <v/>
      </c>
      <c r="R46" s="15">
        <f>IF(OR($A46="",$E46=0),0,$G46/$E46)</f>
        <v/>
      </c>
      <c r="S46" s="15">
        <f>IF($A46="","",$G46-$E46)</f>
        <v/>
      </c>
      <c r="T46" s="15">
        <f>IF($A46="","",$L46-$N46)</f>
        <v/>
      </c>
    </row>
    <row r="47">
      <c r="A47" s="15">
        <f>IF('ANAHTAR'!$B47="","",'ANAHTAR'!$B47)</f>
        <v/>
      </c>
      <c r="B47" s="15">
        <f>IF($A47="","",IFERROR(SUMIF(tblAnahtarA[Norm],$A47,tblVeriA[EnCm]),0))</f>
        <v/>
      </c>
      <c r="C47" s="15">
        <f>IF($A47="","",IFERROR(SUMIF(tblAnahtarA[Norm],$A47,tblVeriA[BoyCm]),0))</f>
        <v/>
      </c>
      <c r="D47" s="15">
        <f>IF($A47="","",IFERROR(SUMIF(tblAnahtarA[Norm],$A47,tblVeriA[YukseklikCm]),0))</f>
        <v/>
      </c>
      <c r="E47" s="15">
        <f>IF($A47="","",IFERROR(SUMIF(tblAnahtarA[Norm],$A47,tblVeriA[AgirlikKg]),0))</f>
        <v/>
      </c>
      <c r="F47" s="15">
        <f>IF($A47="","",IFERROR(SUMIF(tblAnahtarA[Norm],$A47,tblVeriA[DesiCarpani]),kdo_varsayilanDesiCarpani))</f>
        <v/>
      </c>
      <c r="G47" s="15">
        <f>IF($A47="","",ROUND($B47*$C47*$D47/MAX($F47,1),2))</f>
        <v/>
      </c>
      <c r="H47" s="15">
        <f>IF($A47="","",MAX($G47,$E47))</f>
        <v/>
      </c>
      <c r="I47" s="15">
        <f>IF($A47="","",IFERROR(SUMIF(tblAnahtarB[NormB],$A47,tblVeriB[TarifTlDesi]),0))</f>
        <v/>
      </c>
      <c r="J47" s="15">
        <f>IF($A47="","",IFERROR(SUMIF(tblAnahtarA[Norm],$A47,tblVeriA[Adet]),1))</f>
        <v/>
      </c>
      <c r="K47" s="15">
        <f>IF($A47="","",ROUND($H47*$I47,2))</f>
        <v/>
      </c>
      <c r="L47" s="15">
        <f>IF($A47="","",ROUND($K47*$J47*(1+$Q47*kdo_iadeEtkiCarpani),2))</f>
        <v/>
      </c>
      <c r="M47" s="15">
        <f>IF($A47="","",IFERROR(SUMIF(tblAnahtarB[NormB],$A47,tblVeriB[AlternatifTarif]),0))</f>
        <v/>
      </c>
      <c r="N47" s="15">
        <f>IF($A47="","",ROUND($H47*$M47*$J47*(1+$Q47*kdo_iadeEtkiCarpani),2))</f>
        <v/>
      </c>
      <c r="O47" s="15">
        <f>IF($A47="","",ROUND($L47-$N47,2))</f>
        <v/>
      </c>
      <c r="P47" s="15">
        <f>IF($A47="","",IF($R47&gt;kdo_esikDesiOran,"DESİ DÜŞÜR",IF($O47&gt;kdo_esikTasarruf,"TAŞIYICI DEĞİŞTİR","UYGUN")))</f>
        <v/>
      </c>
      <c r="Q47" s="15">
        <f>IF($A47="","",IFERROR(SUMIF(tblAnahtarB[NormB],$A47,tblVeriB[IadeOran]),0))</f>
        <v/>
      </c>
      <c r="R47" s="15">
        <f>IF(OR($A47="",$E47=0),0,$G47/$E47)</f>
        <v/>
      </c>
      <c r="S47" s="15">
        <f>IF($A47="","",$G47-$E47)</f>
        <v/>
      </c>
      <c r="T47" s="15">
        <f>IF($A47="","",$L47-$N47)</f>
        <v/>
      </c>
    </row>
    <row r="48">
      <c r="A48" s="15">
        <f>IF('ANAHTAR'!$B48="","",'ANAHTAR'!$B48)</f>
        <v/>
      </c>
      <c r="B48" s="15">
        <f>IF($A48="","",IFERROR(SUMIF(tblAnahtarA[Norm],$A48,tblVeriA[EnCm]),0))</f>
        <v/>
      </c>
      <c r="C48" s="15">
        <f>IF($A48="","",IFERROR(SUMIF(tblAnahtarA[Norm],$A48,tblVeriA[BoyCm]),0))</f>
        <v/>
      </c>
      <c r="D48" s="15">
        <f>IF($A48="","",IFERROR(SUMIF(tblAnahtarA[Norm],$A48,tblVeriA[YukseklikCm]),0))</f>
        <v/>
      </c>
      <c r="E48" s="15">
        <f>IF($A48="","",IFERROR(SUMIF(tblAnahtarA[Norm],$A48,tblVeriA[AgirlikKg]),0))</f>
        <v/>
      </c>
      <c r="F48" s="15">
        <f>IF($A48="","",IFERROR(SUMIF(tblAnahtarA[Norm],$A48,tblVeriA[DesiCarpani]),kdo_varsayilanDesiCarpani))</f>
        <v/>
      </c>
      <c r="G48" s="15">
        <f>IF($A48="","",ROUND($B48*$C48*$D48/MAX($F48,1),2))</f>
        <v/>
      </c>
      <c r="H48" s="15">
        <f>IF($A48="","",MAX($G48,$E48))</f>
        <v/>
      </c>
      <c r="I48" s="15">
        <f>IF($A48="","",IFERROR(SUMIF(tblAnahtarB[NormB],$A48,tblVeriB[TarifTlDesi]),0))</f>
        <v/>
      </c>
      <c r="J48" s="15">
        <f>IF($A48="","",IFERROR(SUMIF(tblAnahtarA[Norm],$A48,tblVeriA[Adet]),1))</f>
        <v/>
      </c>
      <c r="K48" s="15">
        <f>IF($A48="","",ROUND($H48*$I48,2))</f>
        <v/>
      </c>
      <c r="L48" s="15">
        <f>IF($A48="","",ROUND($K48*$J48*(1+$Q48*kdo_iadeEtkiCarpani),2))</f>
        <v/>
      </c>
      <c r="M48" s="15">
        <f>IF($A48="","",IFERROR(SUMIF(tblAnahtarB[NormB],$A48,tblVeriB[AlternatifTarif]),0))</f>
        <v/>
      </c>
      <c r="N48" s="15">
        <f>IF($A48="","",ROUND($H48*$M48*$J48*(1+$Q48*kdo_iadeEtkiCarpani),2))</f>
        <v/>
      </c>
      <c r="O48" s="15">
        <f>IF($A48="","",ROUND($L48-$N48,2))</f>
        <v/>
      </c>
      <c r="P48" s="15">
        <f>IF($A48="","",IF($R48&gt;kdo_esikDesiOran,"DESİ DÜŞÜR",IF($O48&gt;kdo_esikTasarruf,"TAŞIYICI DEĞİŞTİR","UYGUN")))</f>
        <v/>
      </c>
      <c r="Q48" s="15">
        <f>IF($A48="","",IFERROR(SUMIF(tblAnahtarB[NormB],$A48,tblVeriB[IadeOran]),0))</f>
        <v/>
      </c>
      <c r="R48" s="15">
        <f>IF(OR($A48="",$E48=0),0,$G48/$E48)</f>
        <v/>
      </c>
      <c r="S48" s="15">
        <f>IF($A48="","",$G48-$E48)</f>
        <v/>
      </c>
      <c r="T48" s="15">
        <f>IF($A48="","",$L48-$N48)</f>
        <v/>
      </c>
    </row>
    <row r="49">
      <c r="A49" s="15">
        <f>IF('ANAHTAR'!$B49="","",'ANAHTAR'!$B49)</f>
        <v/>
      </c>
      <c r="B49" s="15">
        <f>IF($A49="","",IFERROR(SUMIF(tblAnahtarA[Norm],$A49,tblVeriA[EnCm]),0))</f>
        <v/>
      </c>
      <c r="C49" s="15">
        <f>IF($A49="","",IFERROR(SUMIF(tblAnahtarA[Norm],$A49,tblVeriA[BoyCm]),0))</f>
        <v/>
      </c>
      <c r="D49" s="15">
        <f>IF($A49="","",IFERROR(SUMIF(tblAnahtarA[Norm],$A49,tblVeriA[YukseklikCm]),0))</f>
        <v/>
      </c>
      <c r="E49" s="15">
        <f>IF($A49="","",IFERROR(SUMIF(tblAnahtarA[Norm],$A49,tblVeriA[AgirlikKg]),0))</f>
        <v/>
      </c>
      <c r="F49" s="15">
        <f>IF($A49="","",IFERROR(SUMIF(tblAnahtarA[Norm],$A49,tblVeriA[DesiCarpani]),kdo_varsayilanDesiCarpani))</f>
        <v/>
      </c>
      <c r="G49" s="15">
        <f>IF($A49="","",ROUND($B49*$C49*$D49/MAX($F49,1),2))</f>
        <v/>
      </c>
      <c r="H49" s="15">
        <f>IF($A49="","",MAX($G49,$E49))</f>
        <v/>
      </c>
      <c r="I49" s="15">
        <f>IF($A49="","",IFERROR(SUMIF(tblAnahtarB[NormB],$A49,tblVeriB[TarifTlDesi]),0))</f>
        <v/>
      </c>
      <c r="J49" s="15">
        <f>IF($A49="","",IFERROR(SUMIF(tblAnahtarA[Norm],$A49,tblVeriA[Adet]),1))</f>
        <v/>
      </c>
      <c r="K49" s="15">
        <f>IF($A49="","",ROUND($H49*$I49,2))</f>
        <v/>
      </c>
      <c r="L49" s="15">
        <f>IF($A49="","",ROUND($K49*$J49*(1+$Q49*kdo_iadeEtkiCarpani),2))</f>
        <v/>
      </c>
      <c r="M49" s="15">
        <f>IF($A49="","",IFERROR(SUMIF(tblAnahtarB[NormB],$A49,tblVeriB[AlternatifTarif]),0))</f>
        <v/>
      </c>
      <c r="N49" s="15">
        <f>IF($A49="","",ROUND($H49*$M49*$J49*(1+$Q49*kdo_iadeEtkiCarpani),2))</f>
        <v/>
      </c>
      <c r="O49" s="15">
        <f>IF($A49="","",ROUND($L49-$N49,2))</f>
        <v/>
      </c>
      <c r="P49" s="15">
        <f>IF($A49="","",IF($R49&gt;kdo_esikDesiOran,"DESİ DÜŞÜR",IF($O49&gt;kdo_esikTasarruf,"TAŞIYICI DEĞİŞTİR","UYGUN")))</f>
        <v/>
      </c>
      <c r="Q49" s="15">
        <f>IF($A49="","",IFERROR(SUMIF(tblAnahtarB[NormB],$A49,tblVeriB[IadeOran]),0))</f>
        <v/>
      </c>
      <c r="R49" s="15">
        <f>IF(OR($A49="",$E49=0),0,$G49/$E49)</f>
        <v/>
      </c>
      <c r="S49" s="15">
        <f>IF($A49="","",$G49-$E49)</f>
        <v/>
      </c>
      <c r="T49" s="15">
        <f>IF($A49="","",$L49-$N49)</f>
        <v/>
      </c>
    </row>
    <row r="50">
      <c r="A50" s="15">
        <f>IF('ANAHTAR'!$B50="","",'ANAHTAR'!$B50)</f>
        <v/>
      </c>
      <c r="B50" s="15">
        <f>IF($A50="","",IFERROR(SUMIF(tblAnahtarA[Norm],$A50,tblVeriA[EnCm]),0))</f>
        <v/>
      </c>
      <c r="C50" s="15">
        <f>IF($A50="","",IFERROR(SUMIF(tblAnahtarA[Norm],$A50,tblVeriA[BoyCm]),0))</f>
        <v/>
      </c>
      <c r="D50" s="15">
        <f>IF($A50="","",IFERROR(SUMIF(tblAnahtarA[Norm],$A50,tblVeriA[YukseklikCm]),0))</f>
        <v/>
      </c>
      <c r="E50" s="15">
        <f>IF($A50="","",IFERROR(SUMIF(tblAnahtarA[Norm],$A50,tblVeriA[AgirlikKg]),0))</f>
        <v/>
      </c>
      <c r="F50" s="15">
        <f>IF($A50="","",IFERROR(SUMIF(tblAnahtarA[Norm],$A50,tblVeriA[DesiCarpani]),kdo_varsayilanDesiCarpani))</f>
        <v/>
      </c>
      <c r="G50" s="15">
        <f>IF($A50="","",ROUND($B50*$C50*$D50/MAX($F50,1),2))</f>
        <v/>
      </c>
      <c r="H50" s="15">
        <f>IF($A50="","",MAX($G50,$E50))</f>
        <v/>
      </c>
      <c r="I50" s="15">
        <f>IF($A50="","",IFERROR(SUMIF(tblAnahtarB[NormB],$A50,tblVeriB[TarifTlDesi]),0))</f>
        <v/>
      </c>
      <c r="J50" s="15">
        <f>IF($A50="","",IFERROR(SUMIF(tblAnahtarA[Norm],$A50,tblVeriA[Adet]),1))</f>
        <v/>
      </c>
      <c r="K50" s="15">
        <f>IF($A50="","",ROUND($H50*$I50,2))</f>
        <v/>
      </c>
      <c r="L50" s="15">
        <f>IF($A50="","",ROUND($K50*$J50*(1+$Q50*kdo_iadeEtkiCarpani),2))</f>
        <v/>
      </c>
      <c r="M50" s="15">
        <f>IF($A50="","",IFERROR(SUMIF(tblAnahtarB[NormB],$A50,tblVeriB[AlternatifTarif]),0))</f>
        <v/>
      </c>
      <c r="N50" s="15">
        <f>IF($A50="","",ROUND($H50*$M50*$J50*(1+$Q50*kdo_iadeEtkiCarpani),2))</f>
        <v/>
      </c>
      <c r="O50" s="15">
        <f>IF($A50="","",ROUND($L50-$N50,2))</f>
        <v/>
      </c>
      <c r="P50" s="15">
        <f>IF($A50="","",IF($R50&gt;kdo_esikDesiOran,"DESİ DÜŞÜR",IF($O50&gt;kdo_esikTasarruf,"TAŞIYICI DEĞİŞTİR","UYGUN")))</f>
        <v/>
      </c>
      <c r="Q50" s="15">
        <f>IF($A50="","",IFERROR(SUMIF(tblAnahtarB[NormB],$A50,tblVeriB[IadeOran]),0))</f>
        <v/>
      </c>
      <c r="R50" s="15">
        <f>IF(OR($A50="",$E50=0),0,$G50/$E50)</f>
        <v/>
      </c>
      <c r="S50" s="15">
        <f>IF($A50="","",$G50-$E50)</f>
        <v/>
      </c>
      <c r="T50" s="15">
        <f>IF($A50="","",$L50-$N50)</f>
        <v/>
      </c>
    </row>
    <row r="51">
      <c r="A51" s="15">
        <f>IF('ANAHTAR'!$B51="","",'ANAHTAR'!$B51)</f>
        <v/>
      </c>
      <c r="B51" s="15">
        <f>IF($A51="","",IFERROR(SUMIF(tblAnahtarA[Norm],$A51,tblVeriA[EnCm]),0))</f>
        <v/>
      </c>
      <c r="C51" s="15">
        <f>IF($A51="","",IFERROR(SUMIF(tblAnahtarA[Norm],$A51,tblVeriA[BoyCm]),0))</f>
        <v/>
      </c>
      <c r="D51" s="15">
        <f>IF($A51="","",IFERROR(SUMIF(tblAnahtarA[Norm],$A51,tblVeriA[YukseklikCm]),0))</f>
        <v/>
      </c>
      <c r="E51" s="15">
        <f>IF($A51="","",IFERROR(SUMIF(tblAnahtarA[Norm],$A51,tblVeriA[AgirlikKg]),0))</f>
        <v/>
      </c>
      <c r="F51" s="15">
        <f>IF($A51="","",IFERROR(SUMIF(tblAnahtarA[Norm],$A51,tblVeriA[DesiCarpani]),kdo_varsayilanDesiCarpani))</f>
        <v/>
      </c>
      <c r="G51" s="15">
        <f>IF($A51="","",ROUND($B51*$C51*$D51/MAX($F51,1),2))</f>
        <v/>
      </c>
      <c r="H51" s="15">
        <f>IF($A51="","",MAX($G51,$E51))</f>
        <v/>
      </c>
      <c r="I51" s="15">
        <f>IF($A51="","",IFERROR(SUMIF(tblAnahtarB[NormB],$A51,tblVeriB[TarifTlDesi]),0))</f>
        <v/>
      </c>
      <c r="J51" s="15">
        <f>IF($A51="","",IFERROR(SUMIF(tblAnahtarA[Norm],$A51,tblVeriA[Adet]),1))</f>
        <v/>
      </c>
      <c r="K51" s="15">
        <f>IF($A51="","",ROUND($H51*$I51,2))</f>
        <v/>
      </c>
      <c r="L51" s="15">
        <f>IF($A51="","",ROUND($K51*$J51*(1+$Q51*kdo_iadeEtkiCarpani),2))</f>
        <v/>
      </c>
      <c r="M51" s="15">
        <f>IF($A51="","",IFERROR(SUMIF(tblAnahtarB[NormB],$A51,tblVeriB[AlternatifTarif]),0))</f>
        <v/>
      </c>
      <c r="N51" s="15">
        <f>IF($A51="","",ROUND($H51*$M51*$J51*(1+$Q51*kdo_iadeEtkiCarpani),2))</f>
        <v/>
      </c>
      <c r="O51" s="15">
        <f>IF($A51="","",ROUND($L51-$N51,2))</f>
        <v/>
      </c>
      <c r="P51" s="15">
        <f>IF($A51="","",IF($R51&gt;kdo_esikDesiOran,"DESİ DÜŞÜR",IF($O51&gt;kdo_esikTasarruf,"TAŞIYICI DEĞİŞTİR","UYGUN")))</f>
        <v/>
      </c>
      <c r="Q51" s="15">
        <f>IF($A51="","",IFERROR(SUMIF(tblAnahtarB[NormB],$A51,tblVeriB[IadeOran]),0))</f>
        <v/>
      </c>
      <c r="R51" s="15">
        <f>IF(OR($A51="",$E51=0),0,$G51/$E51)</f>
        <v/>
      </c>
      <c r="S51" s="15">
        <f>IF($A51="","",$G51-$E51)</f>
        <v/>
      </c>
      <c r="T51" s="15">
        <f>IF($A51="","",$L51-$N51)</f>
        <v/>
      </c>
    </row>
    <row r="52">
      <c r="A52" s="15">
        <f>IF('ANAHTAR'!$B52="","",'ANAHTAR'!$B52)</f>
        <v/>
      </c>
      <c r="B52" s="15">
        <f>IF($A52="","",IFERROR(SUMIF(tblAnahtarA[Norm],$A52,tblVeriA[EnCm]),0))</f>
        <v/>
      </c>
      <c r="C52" s="15">
        <f>IF($A52="","",IFERROR(SUMIF(tblAnahtarA[Norm],$A52,tblVeriA[BoyCm]),0))</f>
        <v/>
      </c>
      <c r="D52" s="15">
        <f>IF($A52="","",IFERROR(SUMIF(tblAnahtarA[Norm],$A52,tblVeriA[YukseklikCm]),0))</f>
        <v/>
      </c>
      <c r="E52" s="15">
        <f>IF($A52="","",IFERROR(SUMIF(tblAnahtarA[Norm],$A52,tblVeriA[AgirlikKg]),0))</f>
        <v/>
      </c>
      <c r="F52" s="15">
        <f>IF($A52="","",IFERROR(SUMIF(tblAnahtarA[Norm],$A52,tblVeriA[DesiCarpani]),kdo_varsayilanDesiCarpani))</f>
        <v/>
      </c>
      <c r="G52" s="15">
        <f>IF($A52="","",ROUND($B52*$C52*$D52/MAX($F52,1),2))</f>
        <v/>
      </c>
      <c r="H52" s="15">
        <f>IF($A52="","",MAX($G52,$E52))</f>
        <v/>
      </c>
      <c r="I52" s="15">
        <f>IF($A52="","",IFERROR(SUMIF(tblAnahtarB[NormB],$A52,tblVeriB[TarifTlDesi]),0))</f>
        <v/>
      </c>
      <c r="J52" s="15">
        <f>IF($A52="","",IFERROR(SUMIF(tblAnahtarA[Norm],$A52,tblVeriA[Adet]),1))</f>
        <v/>
      </c>
      <c r="K52" s="15">
        <f>IF($A52="","",ROUND($H52*$I52,2))</f>
        <v/>
      </c>
      <c r="L52" s="15">
        <f>IF($A52="","",ROUND($K52*$J52*(1+$Q52*kdo_iadeEtkiCarpani),2))</f>
        <v/>
      </c>
      <c r="M52" s="15">
        <f>IF($A52="","",IFERROR(SUMIF(tblAnahtarB[NormB],$A52,tblVeriB[AlternatifTarif]),0))</f>
        <v/>
      </c>
      <c r="N52" s="15">
        <f>IF($A52="","",ROUND($H52*$M52*$J52*(1+$Q52*kdo_iadeEtkiCarpani),2))</f>
        <v/>
      </c>
      <c r="O52" s="15">
        <f>IF($A52="","",ROUND($L52-$N52,2))</f>
        <v/>
      </c>
      <c r="P52" s="15">
        <f>IF($A52="","",IF($R52&gt;kdo_esikDesiOran,"DESİ DÜŞÜR",IF($O52&gt;kdo_esikTasarruf,"TAŞIYICI DEĞİŞTİR","UYGUN")))</f>
        <v/>
      </c>
      <c r="Q52" s="15">
        <f>IF($A52="","",IFERROR(SUMIF(tblAnahtarB[NormB],$A52,tblVeriB[IadeOran]),0))</f>
        <v/>
      </c>
      <c r="R52" s="15">
        <f>IF(OR($A52="",$E52=0),0,$G52/$E52)</f>
        <v/>
      </c>
      <c r="S52" s="15">
        <f>IF($A52="","",$G52-$E52)</f>
        <v/>
      </c>
      <c r="T52" s="15">
        <f>IF($A52="","",$L52-$N52)</f>
        <v/>
      </c>
    </row>
    <row r="53">
      <c r="A53" s="15">
        <f>IF('ANAHTAR'!$B53="","",'ANAHTAR'!$B53)</f>
        <v/>
      </c>
      <c r="B53" s="15">
        <f>IF($A53="","",IFERROR(SUMIF(tblAnahtarA[Norm],$A53,tblVeriA[EnCm]),0))</f>
        <v/>
      </c>
      <c r="C53" s="15">
        <f>IF($A53="","",IFERROR(SUMIF(tblAnahtarA[Norm],$A53,tblVeriA[BoyCm]),0))</f>
        <v/>
      </c>
      <c r="D53" s="15">
        <f>IF($A53="","",IFERROR(SUMIF(tblAnahtarA[Norm],$A53,tblVeriA[YukseklikCm]),0))</f>
        <v/>
      </c>
      <c r="E53" s="15">
        <f>IF($A53="","",IFERROR(SUMIF(tblAnahtarA[Norm],$A53,tblVeriA[AgirlikKg]),0))</f>
        <v/>
      </c>
      <c r="F53" s="15">
        <f>IF($A53="","",IFERROR(SUMIF(tblAnahtarA[Norm],$A53,tblVeriA[DesiCarpani]),kdo_varsayilanDesiCarpani))</f>
        <v/>
      </c>
      <c r="G53" s="15">
        <f>IF($A53="","",ROUND($B53*$C53*$D53/MAX($F53,1),2))</f>
        <v/>
      </c>
      <c r="H53" s="15">
        <f>IF($A53="","",MAX($G53,$E53))</f>
        <v/>
      </c>
      <c r="I53" s="15">
        <f>IF($A53="","",IFERROR(SUMIF(tblAnahtarB[NormB],$A53,tblVeriB[TarifTlDesi]),0))</f>
        <v/>
      </c>
      <c r="J53" s="15">
        <f>IF($A53="","",IFERROR(SUMIF(tblAnahtarA[Norm],$A53,tblVeriA[Adet]),1))</f>
        <v/>
      </c>
      <c r="K53" s="15">
        <f>IF($A53="","",ROUND($H53*$I53,2))</f>
        <v/>
      </c>
      <c r="L53" s="15">
        <f>IF($A53="","",ROUND($K53*$J53*(1+$Q53*kdo_iadeEtkiCarpani),2))</f>
        <v/>
      </c>
      <c r="M53" s="15">
        <f>IF($A53="","",IFERROR(SUMIF(tblAnahtarB[NormB],$A53,tblVeriB[AlternatifTarif]),0))</f>
        <v/>
      </c>
      <c r="N53" s="15">
        <f>IF($A53="","",ROUND($H53*$M53*$J53*(1+$Q53*kdo_iadeEtkiCarpani),2))</f>
        <v/>
      </c>
      <c r="O53" s="15">
        <f>IF($A53="","",ROUND($L53-$N53,2))</f>
        <v/>
      </c>
      <c r="P53" s="15">
        <f>IF($A53="","",IF($R53&gt;kdo_esikDesiOran,"DESİ DÜŞÜR",IF($O53&gt;kdo_esikTasarruf,"TAŞIYICI DEĞİŞTİR","UYGUN")))</f>
        <v/>
      </c>
      <c r="Q53" s="15">
        <f>IF($A53="","",IFERROR(SUMIF(tblAnahtarB[NormB],$A53,tblVeriB[IadeOran]),0))</f>
        <v/>
      </c>
      <c r="R53" s="15">
        <f>IF(OR($A53="",$E53=0),0,$G53/$E53)</f>
        <v/>
      </c>
      <c r="S53" s="15">
        <f>IF($A53="","",$G53-$E53)</f>
        <v/>
      </c>
      <c r="T53" s="15">
        <f>IF($A53="","",$L53-$N53)</f>
        <v/>
      </c>
    </row>
    <row r="54">
      <c r="A54" s="15">
        <f>IF('ANAHTAR'!$B54="","",'ANAHTAR'!$B54)</f>
        <v/>
      </c>
      <c r="B54" s="15">
        <f>IF($A54="","",IFERROR(SUMIF(tblAnahtarA[Norm],$A54,tblVeriA[EnCm]),0))</f>
        <v/>
      </c>
      <c r="C54" s="15">
        <f>IF($A54="","",IFERROR(SUMIF(tblAnahtarA[Norm],$A54,tblVeriA[BoyCm]),0))</f>
        <v/>
      </c>
      <c r="D54" s="15">
        <f>IF($A54="","",IFERROR(SUMIF(tblAnahtarA[Norm],$A54,tblVeriA[YukseklikCm]),0))</f>
        <v/>
      </c>
      <c r="E54" s="15">
        <f>IF($A54="","",IFERROR(SUMIF(tblAnahtarA[Norm],$A54,tblVeriA[AgirlikKg]),0))</f>
        <v/>
      </c>
      <c r="F54" s="15">
        <f>IF($A54="","",IFERROR(SUMIF(tblAnahtarA[Norm],$A54,tblVeriA[DesiCarpani]),kdo_varsayilanDesiCarpani))</f>
        <v/>
      </c>
      <c r="G54" s="15">
        <f>IF($A54="","",ROUND($B54*$C54*$D54/MAX($F54,1),2))</f>
        <v/>
      </c>
      <c r="H54" s="15">
        <f>IF($A54="","",MAX($G54,$E54))</f>
        <v/>
      </c>
      <c r="I54" s="15">
        <f>IF($A54="","",IFERROR(SUMIF(tblAnahtarB[NormB],$A54,tblVeriB[TarifTlDesi]),0))</f>
        <v/>
      </c>
      <c r="J54" s="15">
        <f>IF($A54="","",IFERROR(SUMIF(tblAnahtarA[Norm],$A54,tblVeriA[Adet]),1))</f>
        <v/>
      </c>
      <c r="K54" s="15">
        <f>IF($A54="","",ROUND($H54*$I54,2))</f>
        <v/>
      </c>
      <c r="L54" s="15">
        <f>IF($A54="","",ROUND($K54*$J54*(1+$Q54*kdo_iadeEtkiCarpani),2))</f>
        <v/>
      </c>
      <c r="M54" s="15">
        <f>IF($A54="","",IFERROR(SUMIF(tblAnahtarB[NormB],$A54,tblVeriB[AlternatifTarif]),0))</f>
        <v/>
      </c>
      <c r="N54" s="15">
        <f>IF($A54="","",ROUND($H54*$M54*$J54*(1+$Q54*kdo_iadeEtkiCarpani),2))</f>
        <v/>
      </c>
      <c r="O54" s="15">
        <f>IF($A54="","",ROUND($L54-$N54,2))</f>
        <v/>
      </c>
      <c r="P54" s="15">
        <f>IF($A54="","",IF($R54&gt;kdo_esikDesiOran,"DESİ DÜŞÜR",IF($O54&gt;kdo_esikTasarruf,"TAŞIYICI DEĞİŞTİR","UYGUN")))</f>
        <v/>
      </c>
      <c r="Q54" s="15">
        <f>IF($A54="","",IFERROR(SUMIF(tblAnahtarB[NormB],$A54,tblVeriB[IadeOran]),0))</f>
        <v/>
      </c>
      <c r="R54" s="15">
        <f>IF(OR($A54="",$E54=0),0,$G54/$E54)</f>
        <v/>
      </c>
      <c r="S54" s="15">
        <f>IF($A54="","",$G54-$E54)</f>
        <v/>
      </c>
      <c r="T54" s="15">
        <f>IF($A54="","",$L54-$N54)</f>
        <v/>
      </c>
    </row>
    <row r="55">
      <c r="A55" s="15">
        <f>IF('ANAHTAR'!$B55="","",'ANAHTAR'!$B55)</f>
        <v/>
      </c>
      <c r="B55" s="15">
        <f>IF($A55="","",IFERROR(SUMIF(tblAnahtarA[Norm],$A55,tblVeriA[EnCm]),0))</f>
        <v/>
      </c>
      <c r="C55" s="15">
        <f>IF($A55="","",IFERROR(SUMIF(tblAnahtarA[Norm],$A55,tblVeriA[BoyCm]),0))</f>
        <v/>
      </c>
      <c r="D55" s="15">
        <f>IF($A55="","",IFERROR(SUMIF(tblAnahtarA[Norm],$A55,tblVeriA[YukseklikCm]),0))</f>
        <v/>
      </c>
      <c r="E55" s="15">
        <f>IF($A55="","",IFERROR(SUMIF(tblAnahtarA[Norm],$A55,tblVeriA[AgirlikKg]),0))</f>
        <v/>
      </c>
      <c r="F55" s="15">
        <f>IF($A55="","",IFERROR(SUMIF(tblAnahtarA[Norm],$A55,tblVeriA[DesiCarpani]),kdo_varsayilanDesiCarpani))</f>
        <v/>
      </c>
      <c r="G55" s="15">
        <f>IF($A55="","",ROUND($B55*$C55*$D55/MAX($F55,1),2))</f>
        <v/>
      </c>
      <c r="H55" s="15">
        <f>IF($A55="","",MAX($G55,$E55))</f>
        <v/>
      </c>
      <c r="I55" s="15">
        <f>IF($A55="","",IFERROR(SUMIF(tblAnahtarB[NormB],$A55,tblVeriB[TarifTlDesi]),0))</f>
        <v/>
      </c>
      <c r="J55" s="15">
        <f>IF($A55="","",IFERROR(SUMIF(tblAnahtarA[Norm],$A55,tblVeriA[Adet]),1))</f>
        <v/>
      </c>
      <c r="K55" s="15">
        <f>IF($A55="","",ROUND($H55*$I55,2))</f>
        <v/>
      </c>
      <c r="L55" s="15">
        <f>IF($A55="","",ROUND($K55*$J55*(1+$Q55*kdo_iadeEtkiCarpani),2))</f>
        <v/>
      </c>
      <c r="M55" s="15">
        <f>IF($A55="","",IFERROR(SUMIF(tblAnahtarB[NormB],$A55,tblVeriB[AlternatifTarif]),0))</f>
        <v/>
      </c>
      <c r="N55" s="15">
        <f>IF($A55="","",ROUND($H55*$M55*$J55*(1+$Q55*kdo_iadeEtkiCarpani),2))</f>
        <v/>
      </c>
      <c r="O55" s="15">
        <f>IF($A55="","",ROUND($L55-$N55,2))</f>
        <v/>
      </c>
      <c r="P55" s="15">
        <f>IF($A55="","",IF($R55&gt;kdo_esikDesiOran,"DESİ DÜŞÜR",IF($O55&gt;kdo_esikTasarruf,"TAŞIYICI DEĞİŞTİR","UYGUN")))</f>
        <v/>
      </c>
      <c r="Q55" s="15">
        <f>IF($A55="","",IFERROR(SUMIF(tblAnahtarB[NormB],$A55,tblVeriB[IadeOran]),0))</f>
        <v/>
      </c>
      <c r="R55" s="15">
        <f>IF(OR($A55="",$E55=0),0,$G55/$E55)</f>
        <v/>
      </c>
      <c r="S55" s="15">
        <f>IF($A55="","",$G55-$E55)</f>
        <v/>
      </c>
      <c r="T55" s="15">
        <f>IF($A55="","",$L55-$N55)</f>
        <v/>
      </c>
    </row>
    <row r="56">
      <c r="A56" s="15">
        <f>IF('ANAHTAR'!$B56="","",'ANAHTAR'!$B56)</f>
        <v/>
      </c>
      <c r="B56" s="15">
        <f>IF($A56="","",IFERROR(SUMIF(tblAnahtarA[Norm],$A56,tblVeriA[EnCm]),0))</f>
        <v/>
      </c>
      <c r="C56" s="15">
        <f>IF($A56="","",IFERROR(SUMIF(tblAnahtarA[Norm],$A56,tblVeriA[BoyCm]),0))</f>
        <v/>
      </c>
      <c r="D56" s="15">
        <f>IF($A56="","",IFERROR(SUMIF(tblAnahtarA[Norm],$A56,tblVeriA[YukseklikCm]),0))</f>
        <v/>
      </c>
      <c r="E56" s="15">
        <f>IF($A56="","",IFERROR(SUMIF(tblAnahtarA[Norm],$A56,tblVeriA[AgirlikKg]),0))</f>
        <v/>
      </c>
      <c r="F56" s="15">
        <f>IF($A56="","",IFERROR(SUMIF(tblAnahtarA[Norm],$A56,tblVeriA[DesiCarpani]),kdo_varsayilanDesiCarpani))</f>
        <v/>
      </c>
      <c r="G56" s="15">
        <f>IF($A56="","",ROUND($B56*$C56*$D56/MAX($F56,1),2))</f>
        <v/>
      </c>
      <c r="H56" s="15">
        <f>IF($A56="","",MAX($G56,$E56))</f>
        <v/>
      </c>
      <c r="I56" s="15">
        <f>IF($A56="","",IFERROR(SUMIF(tblAnahtarB[NormB],$A56,tblVeriB[TarifTlDesi]),0))</f>
        <v/>
      </c>
      <c r="J56" s="15">
        <f>IF($A56="","",IFERROR(SUMIF(tblAnahtarA[Norm],$A56,tblVeriA[Adet]),1))</f>
        <v/>
      </c>
      <c r="K56" s="15">
        <f>IF($A56="","",ROUND($H56*$I56,2))</f>
        <v/>
      </c>
      <c r="L56" s="15">
        <f>IF($A56="","",ROUND($K56*$J56*(1+$Q56*kdo_iadeEtkiCarpani),2))</f>
        <v/>
      </c>
      <c r="M56" s="15">
        <f>IF($A56="","",IFERROR(SUMIF(tblAnahtarB[NormB],$A56,tblVeriB[AlternatifTarif]),0))</f>
        <v/>
      </c>
      <c r="N56" s="15">
        <f>IF($A56="","",ROUND($H56*$M56*$J56*(1+$Q56*kdo_iadeEtkiCarpani),2))</f>
        <v/>
      </c>
      <c r="O56" s="15">
        <f>IF($A56="","",ROUND($L56-$N56,2))</f>
        <v/>
      </c>
      <c r="P56" s="15">
        <f>IF($A56="","",IF($R56&gt;kdo_esikDesiOran,"DESİ DÜŞÜR",IF($O56&gt;kdo_esikTasarruf,"TAŞIYICI DEĞİŞTİR","UYGUN")))</f>
        <v/>
      </c>
      <c r="Q56" s="15">
        <f>IF($A56="","",IFERROR(SUMIF(tblAnahtarB[NormB],$A56,tblVeriB[IadeOran]),0))</f>
        <v/>
      </c>
      <c r="R56" s="15">
        <f>IF(OR($A56="",$E56=0),0,$G56/$E56)</f>
        <v/>
      </c>
      <c r="S56" s="15">
        <f>IF($A56="","",$G56-$E56)</f>
        <v/>
      </c>
      <c r="T56" s="15">
        <f>IF($A56="","",$L56-$N56)</f>
        <v/>
      </c>
    </row>
    <row r="57">
      <c r="A57" s="15">
        <f>IF('ANAHTAR'!$B57="","",'ANAHTAR'!$B57)</f>
        <v/>
      </c>
      <c r="B57" s="15">
        <f>IF($A57="","",IFERROR(SUMIF(tblAnahtarA[Norm],$A57,tblVeriA[EnCm]),0))</f>
        <v/>
      </c>
      <c r="C57" s="15">
        <f>IF($A57="","",IFERROR(SUMIF(tblAnahtarA[Norm],$A57,tblVeriA[BoyCm]),0))</f>
        <v/>
      </c>
      <c r="D57" s="15">
        <f>IF($A57="","",IFERROR(SUMIF(tblAnahtarA[Norm],$A57,tblVeriA[YukseklikCm]),0))</f>
        <v/>
      </c>
      <c r="E57" s="15">
        <f>IF($A57="","",IFERROR(SUMIF(tblAnahtarA[Norm],$A57,tblVeriA[AgirlikKg]),0))</f>
        <v/>
      </c>
      <c r="F57" s="15">
        <f>IF($A57="","",IFERROR(SUMIF(tblAnahtarA[Norm],$A57,tblVeriA[DesiCarpani]),kdo_varsayilanDesiCarpani))</f>
        <v/>
      </c>
      <c r="G57" s="15">
        <f>IF($A57="","",ROUND($B57*$C57*$D57/MAX($F57,1),2))</f>
        <v/>
      </c>
      <c r="H57" s="15">
        <f>IF($A57="","",MAX($G57,$E57))</f>
        <v/>
      </c>
      <c r="I57" s="15">
        <f>IF($A57="","",IFERROR(SUMIF(tblAnahtarB[NormB],$A57,tblVeriB[TarifTlDesi]),0))</f>
        <v/>
      </c>
      <c r="J57" s="15">
        <f>IF($A57="","",IFERROR(SUMIF(tblAnahtarA[Norm],$A57,tblVeriA[Adet]),1))</f>
        <v/>
      </c>
      <c r="K57" s="15">
        <f>IF($A57="","",ROUND($H57*$I57,2))</f>
        <v/>
      </c>
      <c r="L57" s="15">
        <f>IF($A57="","",ROUND($K57*$J57*(1+$Q57*kdo_iadeEtkiCarpani),2))</f>
        <v/>
      </c>
      <c r="M57" s="15">
        <f>IF($A57="","",IFERROR(SUMIF(tblAnahtarB[NormB],$A57,tblVeriB[AlternatifTarif]),0))</f>
        <v/>
      </c>
      <c r="N57" s="15">
        <f>IF($A57="","",ROUND($H57*$M57*$J57*(1+$Q57*kdo_iadeEtkiCarpani),2))</f>
        <v/>
      </c>
      <c r="O57" s="15">
        <f>IF($A57="","",ROUND($L57-$N57,2))</f>
        <v/>
      </c>
      <c r="P57" s="15">
        <f>IF($A57="","",IF($R57&gt;kdo_esikDesiOran,"DESİ DÜŞÜR",IF($O57&gt;kdo_esikTasarruf,"TAŞIYICI DEĞİŞTİR","UYGUN")))</f>
        <v/>
      </c>
      <c r="Q57" s="15">
        <f>IF($A57="","",IFERROR(SUMIF(tblAnahtarB[NormB],$A57,tblVeriB[IadeOran]),0))</f>
        <v/>
      </c>
      <c r="R57" s="15">
        <f>IF(OR($A57="",$E57=0),0,$G57/$E57)</f>
        <v/>
      </c>
      <c r="S57" s="15">
        <f>IF($A57="","",$G57-$E57)</f>
        <v/>
      </c>
      <c r="T57" s="15">
        <f>IF($A57="","",$L57-$N57)</f>
        <v/>
      </c>
    </row>
    <row r="58">
      <c r="A58" s="15">
        <f>IF('ANAHTAR'!$B58="","",'ANAHTAR'!$B58)</f>
        <v/>
      </c>
      <c r="B58" s="15">
        <f>IF($A58="","",IFERROR(SUMIF(tblAnahtarA[Norm],$A58,tblVeriA[EnCm]),0))</f>
        <v/>
      </c>
      <c r="C58" s="15">
        <f>IF($A58="","",IFERROR(SUMIF(tblAnahtarA[Norm],$A58,tblVeriA[BoyCm]),0))</f>
        <v/>
      </c>
      <c r="D58" s="15">
        <f>IF($A58="","",IFERROR(SUMIF(tblAnahtarA[Norm],$A58,tblVeriA[YukseklikCm]),0))</f>
        <v/>
      </c>
      <c r="E58" s="15">
        <f>IF($A58="","",IFERROR(SUMIF(tblAnahtarA[Norm],$A58,tblVeriA[AgirlikKg]),0))</f>
        <v/>
      </c>
      <c r="F58" s="15">
        <f>IF($A58="","",IFERROR(SUMIF(tblAnahtarA[Norm],$A58,tblVeriA[DesiCarpani]),kdo_varsayilanDesiCarpani))</f>
        <v/>
      </c>
      <c r="G58" s="15">
        <f>IF($A58="","",ROUND($B58*$C58*$D58/MAX($F58,1),2))</f>
        <v/>
      </c>
      <c r="H58" s="15">
        <f>IF($A58="","",MAX($G58,$E58))</f>
        <v/>
      </c>
      <c r="I58" s="15">
        <f>IF($A58="","",IFERROR(SUMIF(tblAnahtarB[NormB],$A58,tblVeriB[TarifTlDesi]),0))</f>
        <v/>
      </c>
      <c r="J58" s="15">
        <f>IF($A58="","",IFERROR(SUMIF(tblAnahtarA[Norm],$A58,tblVeriA[Adet]),1))</f>
        <v/>
      </c>
      <c r="K58" s="15">
        <f>IF($A58="","",ROUND($H58*$I58,2))</f>
        <v/>
      </c>
      <c r="L58" s="15">
        <f>IF($A58="","",ROUND($K58*$J58*(1+$Q58*kdo_iadeEtkiCarpani),2))</f>
        <v/>
      </c>
      <c r="M58" s="15">
        <f>IF($A58="","",IFERROR(SUMIF(tblAnahtarB[NormB],$A58,tblVeriB[AlternatifTarif]),0))</f>
        <v/>
      </c>
      <c r="N58" s="15">
        <f>IF($A58="","",ROUND($H58*$M58*$J58*(1+$Q58*kdo_iadeEtkiCarpani),2))</f>
        <v/>
      </c>
      <c r="O58" s="15">
        <f>IF($A58="","",ROUND($L58-$N58,2))</f>
        <v/>
      </c>
      <c r="P58" s="15">
        <f>IF($A58="","",IF($R58&gt;kdo_esikDesiOran,"DESİ DÜŞÜR",IF($O58&gt;kdo_esikTasarruf,"TAŞIYICI DEĞİŞTİR","UYGUN")))</f>
        <v/>
      </c>
      <c r="Q58" s="15">
        <f>IF($A58="","",IFERROR(SUMIF(tblAnahtarB[NormB],$A58,tblVeriB[IadeOran]),0))</f>
        <v/>
      </c>
      <c r="R58" s="15">
        <f>IF(OR($A58="",$E58=0),0,$G58/$E58)</f>
        <v/>
      </c>
      <c r="S58" s="15">
        <f>IF($A58="","",$G58-$E58)</f>
        <v/>
      </c>
      <c r="T58" s="15">
        <f>IF($A58="","",$L58-$N58)</f>
        <v/>
      </c>
    </row>
    <row r="59">
      <c r="A59" s="15">
        <f>IF('ANAHTAR'!$B59="","",'ANAHTAR'!$B59)</f>
        <v/>
      </c>
      <c r="B59" s="15">
        <f>IF($A59="","",IFERROR(SUMIF(tblAnahtarA[Norm],$A59,tblVeriA[EnCm]),0))</f>
        <v/>
      </c>
      <c r="C59" s="15">
        <f>IF($A59="","",IFERROR(SUMIF(tblAnahtarA[Norm],$A59,tblVeriA[BoyCm]),0))</f>
        <v/>
      </c>
      <c r="D59" s="15">
        <f>IF($A59="","",IFERROR(SUMIF(tblAnahtarA[Norm],$A59,tblVeriA[YukseklikCm]),0))</f>
        <v/>
      </c>
      <c r="E59" s="15">
        <f>IF($A59="","",IFERROR(SUMIF(tblAnahtarA[Norm],$A59,tblVeriA[AgirlikKg]),0))</f>
        <v/>
      </c>
      <c r="F59" s="15">
        <f>IF($A59="","",IFERROR(SUMIF(tblAnahtarA[Norm],$A59,tblVeriA[DesiCarpani]),kdo_varsayilanDesiCarpani))</f>
        <v/>
      </c>
      <c r="G59" s="15">
        <f>IF($A59="","",ROUND($B59*$C59*$D59/MAX($F59,1),2))</f>
        <v/>
      </c>
      <c r="H59" s="15">
        <f>IF($A59="","",MAX($G59,$E59))</f>
        <v/>
      </c>
      <c r="I59" s="15">
        <f>IF($A59="","",IFERROR(SUMIF(tblAnahtarB[NormB],$A59,tblVeriB[TarifTlDesi]),0))</f>
        <v/>
      </c>
      <c r="J59" s="15">
        <f>IF($A59="","",IFERROR(SUMIF(tblAnahtarA[Norm],$A59,tblVeriA[Adet]),1))</f>
        <v/>
      </c>
      <c r="K59" s="15">
        <f>IF($A59="","",ROUND($H59*$I59,2))</f>
        <v/>
      </c>
      <c r="L59" s="15">
        <f>IF($A59="","",ROUND($K59*$J59*(1+$Q59*kdo_iadeEtkiCarpani),2))</f>
        <v/>
      </c>
      <c r="M59" s="15">
        <f>IF($A59="","",IFERROR(SUMIF(tblAnahtarB[NormB],$A59,tblVeriB[AlternatifTarif]),0))</f>
        <v/>
      </c>
      <c r="N59" s="15">
        <f>IF($A59="","",ROUND($H59*$M59*$J59*(1+$Q59*kdo_iadeEtkiCarpani),2))</f>
        <v/>
      </c>
      <c r="O59" s="15">
        <f>IF($A59="","",ROUND($L59-$N59,2))</f>
        <v/>
      </c>
      <c r="P59" s="15">
        <f>IF($A59="","",IF($R59&gt;kdo_esikDesiOran,"DESİ DÜŞÜR",IF($O59&gt;kdo_esikTasarruf,"TAŞIYICI DEĞİŞTİR","UYGUN")))</f>
        <v/>
      </c>
      <c r="Q59" s="15">
        <f>IF($A59="","",IFERROR(SUMIF(tblAnahtarB[NormB],$A59,tblVeriB[IadeOran]),0))</f>
        <v/>
      </c>
      <c r="R59" s="15">
        <f>IF(OR($A59="",$E59=0),0,$G59/$E59)</f>
        <v/>
      </c>
      <c r="S59" s="15">
        <f>IF($A59="","",$G59-$E59)</f>
        <v/>
      </c>
      <c r="T59" s="15">
        <f>IF($A59="","",$L59-$N59)</f>
        <v/>
      </c>
    </row>
    <row r="60">
      <c r="A60" s="15">
        <f>IF('ANAHTAR'!$B60="","",'ANAHTAR'!$B60)</f>
        <v/>
      </c>
      <c r="B60" s="15">
        <f>IF($A60="","",IFERROR(SUMIF(tblAnahtarA[Norm],$A60,tblVeriA[EnCm]),0))</f>
        <v/>
      </c>
      <c r="C60" s="15">
        <f>IF($A60="","",IFERROR(SUMIF(tblAnahtarA[Norm],$A60,tblVeriA[BoyCm]),0))</f>
        <v/>
      </c>
      <c r="D60" s="15">
        <f>IF($A60="","",IFERROR(SUMIF(tblAnahtarA[Norm],$A60,tblVeriA[YukseklikCm]),0))</f>
        <v/>
      </c>
      <c r="E60" s="15">
        <f>IF($A60="","",IFERROR(SUMIF(tblAnahtarA[Norm],$A60,tblVeriA[AgirlikKg]),0))</f>
        <v/>
      </c>
      <c r="F60" s="15">
        <f>IF($A60="","",IFERROR(SUMIF(tblAnahtarA[Norm],$A60,tblVeriA[DesiCarpani]),kdo_varsayilanDesiCarpani))</f>
        <v/>
      </c>
      <c r="G60" s="15">
        <f>IF($A60="","",ROUND($B60*$C60*$D60/MAX($F60,1),2))</f>
        <v/>
      </c>
      <c r="H60" s="15">
        <f>IF($A60="","",MAX($G60,$E60))</f>
        <v/>
      </c>
      <c r="I60" s="15">
        <f>IF($A60="","",IFERROR(SUMIF(tblAnahtarB[NormB],$A60,tblVeriB[TarifTlDesi]),0))</f>
        <v/>
      </c>
      <c r="J60" s="15">
        <f>IF($A60="","",IFERROR(SUMIF(tblAnahtarA[Norm],$A60,tblVeriA[Adet]),1))</f>
        <v/>
      </c>
      <c r="K60" s="15">
        <f>IF($A60="","",ROUND($H60*$I60,2))</f>
        <v/>
      </c>
      <c r="L60" s="15">
        <f>IF($A60="","",ROUND($K60*$J60*(1+$Q60*kdo_iadeEtkiCarpani),2))</f>
        <v/>
      </c>
      <c r="M60" s="15">
        <f>IF($A60="","",IFERROR(SUMIF(tblAnahtarB[NormB],$A60,tblVeriB[AlternatifTarif]),0))</f>
        <v/>
      </c>
      <c r="N60" s="15">
        <f>IF($A60="","",ROUND($H60*$M60*$J60*(1+$Q60*kdo_iadeEtkiCarpani),2))</f>
        <v/>
      </c>
      <c r="O60" s="15">
        <f>IF($A60="","",ROUND($L60-$N60,2))</f>
        <v/>
      </c>
      <c r="P60" s="15">
        <f>IF($A60="","",IF($R60&gt;kdo_esikDesiOran,"DESİ DÜŞÜR",IF($O60&gt;kdo_esikTasarruf,"TAŞIYICI DEĞİŞTİR","UYGUN")))</f>
        <v/>
      </c>
      <c r="Q60" s="15">
        <f>IF($A60="","",IFERROR(SUMIF(tblAnahtarB[NormB],$A60,tblVeriB[IadeOran]),0))</f>
        <v/>
      </c>
      <c r="R60" s="15">
        <f>IF(OR($A60="",$E60=0),0,$G60/$E60)</f>
        <v/>
      </c>
      <c r="S60" s="15">
        <f>IF($A60="","",$G60-$E60)</f>
        <v/>
      </c>
      <c r="T60" s="15">
        <f>IF($A60="","",$L60-$N60)</f>
        <v/>
      </c>
    </row>
    <row r="61">
      <c r="A61" s="15">
        <f>IF('ANAHTAR'!$B61="","",'ANAHTAR'!$B61)</f>
        <v/>
      </c>
      <c r="B61" s="15">
        <f>IF($A61="","",IFERROR(SUMIF(tblAnahtarA[Norm],$A61,tblVeriA[EnCm]),0))</f>
        <v/>
      </c>
      <c r="C61" s="15">
        <f>IF($A61="","",IFERROR(SUMIF(tblAnahtarA[Norm],$A61,tblVeriA[BoyCm]),0))</f>
        <v/>
      </c>
      <c r="D61" s="15">
        <f>IF($A61="","",IFERROR(SUMIF(tblAnahtarA[Norm],$A61,tblVeriA[YukseklikCm]),0))</f>
        <v/>
      </c>
      <c r="E61" s="15">
        <f>IF($A61="","",IFERROR(SUMIF(tblAnahtarA[Norm],$A61,tblVeriA[AgirlikKg]),0))</f>
        <v/>
      </c>
      <c r="F61" s="15">
        <f>IF($A61="","",IFERROR(SUMIF(tblAnahtarA[Norm],$A61,tblVeriA[DesiCarpani]),kdo_varsayilanDesiCarpani))</f>
        <v/>
      </c>
      <c r="G61" s="15">
        <f>IF($A61="","",ROUND($B61*$C61*$D61/MAX($F61,1),2))</f>
        <v/>
      </c>
      <c r="H61" s="15">
        <f>IF($A61="","",MAX($G61,$E61))</f>
        <v/>
      </c>
      <c r="I61" s="15">
        <f>IF($A61="","",IFERROR(SUMIF(tblAnahtarB[NormB],$A61,tblVeriB[TarifTlDesi]),0))</f>
        <v/>
      </c>
      <c r="J61" s="15">
        <f>IF($A61="","",IFERROR(SUMIF(tblAnahtarA[Norm],$A61,tblVeriA[Adet]),1))</f>
        <v/>
      </c>
      <c r="K61" s="15">
        <f>IF($A61="","",ROUND($H61*$I61,2))</f>
        <v/>
      </c>
      <c r="L61" s="15">
        <f>IF($A61="","",ROUND($K61*$J61*(1+$Q61*kdo_iadeEtkiCarpani),2))</f>
        <v/>
      </c>
      <c r="M61" s="15">
        <f>IF($A61="","",IFERROR(SUMIF(tblAnahtarB[NormB],$A61,tblVeriB[AlternatifTarif]),0))</f>
        <v/>
      </c>
      <c r="N61" s="15">
        <f>IF($A61="","",ROUND($H61*$M61*$J61*(1+$Q61*kdo_iadeEtkiCarpani),2))</f>
        <v/>
      </c>
      <c r="O61" s="15">
        <f>IF($A61="","",ROUND($L61-$N61,2))</f>
        <v/>
      </c>
      <c r="P61" s="15">
        <f>IF($A61="","",IF($R61&gt;kdo_esikDesiOran,"DESİ DÜŞÜR",IF($O61&gt;kdo_esikTasarruf,"TAŞIYICI DEĞİŞTİR","UYGUN")))</f>
        <v/>
      </c>
      <c r="Q61" s="15">
        <f>IF($A61="","",IFERROR(SUMIF(tblAnahtarB[NormB],$A61,tblVeriB[IadeOran]),0))</f>
        <v/>
      </c>
      <c r="R61" s="15">
        <f>IF(OR($A61="",$E61=0),0,$G61/$E61)</f>
        <v/>
      </c>
      <c r="S61" s="15">
        <f>IF($A61="","",$G61-$E61)</f>
        <v/>
      </c>
      <c r="T61" s="15">
        <f>IF($A61="","",$L61-$N61)</f>
        <v/>
      </c>
    </row>
    <row r="62">
      <c r="A62" s="15">
        <f>IF('ANAHTAR'!$B62="","",'ANAHTAR'!$B62)</f>
        <v/>
      </c>
      <c r="B62" s="15">
        <f>IF($A62="","",IFERROR(SUMIF(tblAnahtarA[Norm],$A62,tblVeriA[EnCm]),0))</f>
        <v/>
      </c>
      <c r="C62" s="15">
        <f>IF($A62="","",IFERROR(SUMIF(tblAnahtarA[Norm],$A62,tblVeriA[BoyCm]),0))</f>
        <v/>
      </c>
      <c r="D62" s="15">
        <f>IF($A62="","",IFERROR(SUMIF(tblAnahtarA[Norm],$A62,tblVeriA[YukseklikCm]),0))</f>
        <v/>
      </c>
      <c r="E62" s="15">
        <f>IF($A62="","",IFERROR(SUMIF(tblAnahtarA[Norm],$A62,tblVeriA[AgirlikKg]),0))</f>
        <v/>
      </c>
      <c r="F62" s="15">
        <f>IF($A62="","",IFERROR(SUMIF(tblAnahtarA[Norm],$A62,tblVeriA[DesiCarpani]),kdo_varsayilanDesiCarpani))</f>
        <v/>
      </c>
      <c r="G62" s="15">
        <f>IF($A62="","",ROUND($B62*$C62*$D62/MAX($F62,1),2))</f>
        <v/>
      </c>
      <c r="H62" s="15">
        <f>IF($A62="","",MAX($G62,$E62))</f>
        <v/>
      </c>
      <c r="I62" s="15">
        <f>IF($A62="","",IFERROR(SUMIF(tblAnahtarB[NormB],$A62,tblVeriB[TarifTlDesi]),0))</f>
        <v/>
      </c>
      <c r="J62" s="15">
        <f>IF($A62="","",IFERROR(SUMIF(tblAnahtarA[Norm],$A62,tblVeriA[Adet]),1))</f>
        <v/>
      </c>
      <c r="K62" s="15">
        <f>IF($A62="","",ROUND($H62*$I62,2))</f>
        <v/>
      </c>
      <c r="L62" s="15">
        <f>IF($A62="","",ROUND($K62*$J62*(1+$Q62*kdo_iadeEtkiCarpani),2))</f>
        <v/>
      </c>
      <c r="M62" s="15">
        <f>IF($A62="","",IFERROR(SUMIF(tblAnahtarB[NormB],$A62,tblVeriB[AlternatifTarif]),0))</f>
        <v/>
      </c>
      <c r="N62" s="15">
        <f>IF($A62="","",ROUND($H62*$M62*$J62*(1+$Q62*kdo_iadeEtkiCarpani),2))</f>
        <v/>
      </c>
      <c r="O62" s="15">
        <f>IF($A62="","",ROUND($L62-$N62,2))</f>
        <v/>
      </c>
      <c r="P62" s="15">
        <f>IF($A62="","",IF($R62&gt;kdo_esikDesiOran,"DESİ DÜŞÜR",IF($O62&gt;kdo_esikTasarruf,"TAŞIYICI DEĞİŞTİR","UYGUN")))</f>
        <v/>
      </c>
      <c r="Q62" s="15">
        <f>IF($A62="","",IFERROR(SUMIF(tblAnahtarB[NormB],$A62,tblVeriB[IadeOran]),0))</f>
        <v/>
      </c>
      <c r="R62" s="15">
        <f>IF(OR($A62="",$E62=0),0,$G62/$E62)</f>
        <v/>
      </c>
      <c r="S62" s="15">
        <f>IF($A62="","",$G62-$E62)</f>
        <v/>
      </c>
      <c r="T62" s="15">
        <f>IF($A62="","",$L62-$N62)</f>
        <v/>
      </c>
    </row>
    <row r="63">
      <c r="A63" s="15">
        <f>IF('ANAHTAR'!$B63="","",'ANAHTAR'!$B63)</f>
        <v/>
      </c>
      <c r="B63" s="15">
        <f>IF($A63="","",IFERROR(SUMIF(tblAnahtarA[Norm],$A63,tblVeriA[EnCm]),0))</f>
        <v/>
      </c>
      <c r="C63" s="15">
        <f>IF($A63="","",IFERROR(SUMIF(tblAnahtarA[Norm],$A63,tblVeriA[BoyCm]),0))</f>
        <v/>
      </c>
      <c r="D63" s="15">
        <f>IF($A63="","",IFERROR(SUMIF(tblAnahtarA[Norm],$A63,tblVeriA[YukseklikCm]),0))</f>
        <v/>
      </c>
      <c r="E63" s="15">
        <f>IF($A63="","",IFERROR(SUMIF(tblAnahtarA[Norm],$A63,tblVeriA[AgirlikKg]),0))</f>
        <v/>
      </c>
      <c r="F63" s="15">
        <f>IF($A63="","",IFERROR(SUMIF(tblAnahtarA[Norm],$A63,tblVeriA[DesiCarpani]),kdo_varsayilanDesiCarpani))</f>
        <v/>
      </c>
      <c r="G63" s="15">
        <f>IF($A63="","",ROUND($B63*$C63*$D63/MAX($F63,1),2))</f>
        <v/>
      </c>
      <c r="H63" s="15">
        <f>IF($A63="","",MAX($G63,$E63))</f>
        <v/>
      </c>
      <c r="I63" s="15">
        <f>IF($A63="","",IFERROR(SUMIF(tblAnahtarB[NormB],$A63,tblVeriB[TarifTlDesi]),0))</f>
        <v/>
      </c>
      <c r="J63" s="15">
        <f>IF($A63="","",IFERROR(SUMIF(tblAnahtarA[Norm],$A63,tblVeriA[Adet]),1))</f>
        <v/>
      </c>
      <c r="K63" s="15">
        <f>IF($A63="","",ROUND($H63*$I63,2))</f>
        <v/>
      </c>
      <c r="L63" s="15">
        <f>IF($A63="","",ROUND($K63*$J63*(1+$Q63*kdo_iadeEtkiCarpani),2))</f>
        <v/>
      </c>
      <c r="M63" s="15">
        <f>IF($A63="","",IFERROR(SUMIF(tblAnahtarB[NormB],$A63,tblVeriB[AlternatifTarif]),0))</f>
        <v/>
      </c>
      <c r="N63" s="15">
        <f>IF($A63="","",ROUND($H63*$M63*$J63*(1+$Q63*kdo_iadeEtkiCarpani),2))</f>
        <v/>
      </c>
      <c r="O63" s="15">
        <f>IF($A63="","",ROUND($L63-$N63,2))</f>
        <v/>
      </c>
      <c r="P63" s="15">
        <f>IF($A63="","",IF($R63&gt;kdo_esikDesiOran,"DESİ DÜŞÜR",IF($O63&gt;kdo_esikTasarruf,"TAŞIYICI DEĞİŞTİR","UYGUN")))</f>
        <v/>
      </c>
      <c r="Q63" s="15">
        <f>IF($A63="","",IFERROR(SUMIF(tblAnahtarB[NormB],$A63,tblVeriB[IadeOran]),0))</f>
        <v/>
      </c>
      <c r="R63" s="15">
        <f>IF(OR($A63="",$E63=0),0,$G63/$E63)</f>
        <v/>
      </c>
      <c r="S63" s="15">
        <f>IF($A63="","",$G63-$E63)</f>
        <v/>
      </c>
      <c r="T63" s="15">
        <f>IF($A63="","",$L63-$N63)</f>
        <v/>
      </c>
    </row>
    <row r="64">
      <c r="A64" s="15">
        <f>IF('ANAHTAR'!$B64="","",'ANAHTAR'!$B64)</f>
        <v/>
      </c>
      <c r="B64" s="15">
        <f>IF($A64="","",IFERROR(SUMIF(tblAnahtarA[Norm],$A64,tblVeriA[EnCm]),0))</f>
        <v/>
      </c>
      <c r="C64" s="15">
        <f>IF($A64="","",IFERROR(SUMIF(tblAnahtarA[Norm],$A64,tblVeriA[BoyCm]),0))</f>
        <v/>
      </c>
      <c r="D64" s="15">
        <f>IF($A64="","",IFERROR(SUMIF(tblAnahtarA[Norm],$A64,tblVeriA[YukseklikCm]),0))</f>
        <v/>
      </c>
      <c r="E64" s="15">
        <f>IF($A64="","",IFERROR(SUMIF(tblAnahtarA[Norm],$A64,tblVeriA[AgirlikKg]),0))</f>
        <v/>
      </c>
      <c r="F64" s="15">
        <f>IF($A64="","",IFERROR(SUMIF(tblAnahtarA[Norm],$A64,tblVeriA[DesiCarpani]),kdo_varsayilanDesiCarpani))</f>
        <v/>
      </c>
      <c r="G64" s="15">
        <f>IF($A64="","",ROUND($B64*$C64*$D64/MAX($F64,1),2))</f>
        <v/>
      </c>
      <c r="H64" s="15">
        <f>IF($A64="","",MAX($G64,$E64))</f>
        <v/>
      </c>
      <c r="I64" s="15">
        <f>IF($A64="","",IFERROR(SUMIF(tblAnahtarB[NormB],$A64,tblVeriB[TarifTlDesi]),0))</f>
        <v/>
      </c>
      <c r="J64" s="15">
        <f>IF($A64="","",IFERROR(SUMIF(tblAnahtarA[Norm],$A64,tblVeriA[Adet]),1))</f>
        <v/>
      </c>
      <c r="K64" s="15">
        <f>IF($A64="","",ROUND($H64*$I64,2))</f>
        <v/>
      </c>
      <c r="L64" s="15">
        <f>IF($A64="","",ROUND($K64*$J64*(1+$Q64*kdo_iadeEtkiCarpani),2))</f>
        <v/>
      </c>
      <c r="M64" s="15">
        <f>IF($A64="","",IFERROR(SUMIF(tblAnahtarB[NormB],$A64,tblVeriB[AlternatifTarif]),0))</f>
        <v/>
      </c>
      <c r="N64" s="15">
        <f>IF($A64="","",ROUND($H64*$M64*$J64*(1+$Q64*kdo_iadeEtkiCarpani),2))</f>
        <v/>
      </c>
      <c r="O64" s="15">
        <f>IF($A64="","",ROUND($L64-$N64,2))</f>
        <v/>
      </c>
      <c r="P64" s="15">
        <f>IF($A64="","",IF($R64&gt;kdo_esikDesiOran,"DESİ DÜŞÜR",IF($O64&gt;kdo_esikTasarruf,"TAŞIYICI DEĞİŞTİR","UYGUN")))</f>
        <v/>
      </c>
      <c r="Q64" s="15">
        <f>IF($A64="","",IFERROR(SUMIF(tblAnahtarB[NormB],$A64,tblVeriB[IadeOran]),0))</f>
        <v/>
      </c>
      <c r="R64" s="15">
        <f>IF(OR($A64="",$E64=0),0,$G64/$E64)</f>
        <v/>
      </c>
      <c r="S64" s="15">
        <f>IF($A64="","",$G64-$E64)</f>
        <v/>
      </c>
      <c r="T64" s="15">
        <f>IF($A64="","",$L64-$N64)</f>
        <v/>
      </c>
    </row>
    <row r="65">
      <c r="A65" s="15">
        <f>IF('ANAHTAR'!$B65="","",'ANAHTAR'!$B65)</f>
        <v/>
      </c>
      <c r="B65" s="15">
        <f>IF($A65="","",IFERROR(SUMIF(tblAnahtarA[Norm],$A65,tblVeriA[EnCm]),0))</f>
        <v/>
      </c>
      <c r="C65" s="15">
        <f>IF($A65="","",IFERROR(SUMIF(tblAnahtarA[Norm],$A65,tblVeriA[BoyCm]),0))</f>
        <v/>
      </c>
      <c r="D65" s="15">
        <f>IF($A65="","",IFERROR(SUMIF(tblAnahtarA[Norm],$A65,tblVeriA[YukseklikCm]),0))</f>
        <v/>
      </c>
      <c r="E65" s="15">
        <f>IF($A65="","",IFERROR(SUMIF(tblAnahtarA[Norm],$A65,tblVeriA[AgirlikKg]),0))</f>
        <v/>
      </c>
      <c r="F65" s="15">
        <f>IF($A65="","",IFERROR(SUMIF(tblAnahtarA[Norm],$A65,tblVeriA[DesiCarpani]),kdo_varsayilanDesiCarpani))</f>
        <v/>
      </c>
      <c r="G65" s="15">
        <f>IF($A65="","",ROUND($B65*$C65*$D65/MAX($F65,1),2))</f>
        <v/>
      </c>
      <c r="H65" s="15">
        <f>IF($A65="","",MAX($G65,$E65))</f>
        <v/>
      </c>
      <c r="I65" s="15">
        <f>IF($A65="","",IFERROR(SUMIF(tblAnahtarB[NormB],$A65,tblVeriB[TarifTlDesi]),0))</f>
        <v/>
      </c>
      <c r="J65" s="15">
        <f>IF($A65="","",IFERROR(SUMIF(tblAnahtarA[Norm],$A65,tblVeriA[Adet]),1))</f>
        <v/>
      </c>
      <c r="K65" s="15">
        <f>IF($A65="","",ROUND($H65*$I65,2))</f>
        <v/>
      </c>
      <c r="L65" s="15">
        <f>IF($A65="","",ROUND($K65*$J65*(1+$Q65*kdo_iadeEtkiCarpani),2))</f>
        <v/>
      </c>
      <c r="M65" s="15">
        <f>IF($A65="","",IFERROR(SUMIF(tblAnahtarB[NormB],$A65,tblVeriB[AlternatifTarif]),0))</f>
        <v/>
      </c>
      <c r="N65" s="15">
        <f>IF($A65="","",ROUND($H65*$M65*$J65*(1+$Q65*kdo_iadeEtkiCarpani),2))</f>
        <v/>
      </c>
      <c r="O65" s="15">
        <f>IF($A65="","",ROUND($L65-$N65,2))</f>
        <v/>
      </c>
      <c r="P65" s="15">
        <f>IF($A65="","",IF($R65&gt;kdo_esikDesiOran,"DESİ DÜŞÜR",IF($O65&gt;kdo_esikTasarruf,"TAŞIYICI DEĞİŞTİR","UYGUN")))</f>
        <v/>
      </c>
      <c r="Q65" s="15">
        <f>IF($A65="","",IFERROR(SUMIF(tblAnahtarB[NormB],$A65,tblVeriB[IadeOran]),0))</f>
        <v/>
      </c>
      <c r="R65" s="15">
        <f>IF(OR($A65="",$E65=0),0,$G65/$E65)</f>
        <v/>
      </c>
      <c r="S65" s="15">
        <f>IF($A65="","",$G65-$E65)</f>
        <v/>
      </c>
      <c r="T65" s="15">
        <f>IF($A65="","",$L65-$N65)</f>
        <v/>
      </c>
    </row>
    <row r="66">
      <c r="A66" s="15">
        <f>IF('ANAHTAR'!$B66="","",'ANAHTAR'!$B66)</f>
        <v/>
      </c>
      <c r="B66" s="15">
        <f>IF($A66="","",IFERROR(SUMIF(tblAnahtarA[Norm],$A66,tblVeriA[EnCm]),0))</f>
        <v/>
      </c>
      <c r="C66" s="15">
        <f>IF($A66="","",IFERROR(SUMIF(tblAnahtarA[Norm],$A66,tblVeriA[BoyCm]),0))</f>
        <v/>
      </c>
      <c r="D66" s="15">
        <f>IF($A66="","",IFERROR(SUMIF(tblAnahtarA[Norm],$A66,tblVeriA[YukseklikCm]),0))</f>
        <v/>
      </c>
      <c r="E66" s="15">
        <f>IF($A66="","",IFERROR(SUMIF(tblAnahtarA[Norm],$A66,tblVeriA[AgirlikKg]),0))</f>
        <v/>
      </c>
      <c r="F66" s="15">
        <f>IF($A66="","",IFERROR(SUMIF(tblAnahtarA[Norm],$A66,tblVeriA[DesiCarpani]),kdo_varsayilanDesiCarpani))</f>
        <v/>
      </c>
      <c r="G66" s="15">
        <f>IF($A66="","",ROUND($B66*$C66*$D66/MAX($F66,1),2))</f>
        <v/>
      </c>
      <c r="H66" s="15">
        <f>IF($A66="","",MAX($G66,$E66))</f>
        <v/>
      </c>
      <c r="I66" s="15">
        <f>IF($A66="","",IFERROR(SUMIF(tblAnahtarB[NormB],$A66,tblVeriB[TarifTlDesi]),0))</f>
        <v/>
      </c>
      <c r="J66" s="15">
        <f>IF($A66="","",IFERROR(SUMIF(tblAnahtarA[Norm],$A66,tblVeriA[Adet]),1))</f>
        <v/>
      </c>
      <c r="K66" s="15">
        <f>IF($A66="","",ROUND($H66*$I66,2))</f>
        <v/>
      </c>
      <c r="L66" s="15">
        <f>IF($A66="","",ROUND($K66*$J66*(1+$Q66*kdo_iadeEtkiCarpani),2))</f>
        <v/>
      </c>
      <c r="M66" s="15">
        <f>IF($A66="","",IFERROR(SUMIF(tblAnahtarB[NormB],$A66,tblVeriB[AlternatifTarif]),0))</f>
        <v/>
      </c>
      <c r="N66" s="15">
        <f>IF($A66="","",ROUND($H66*$M66*$J66*(1+$Q66*kdo_iadeEtkiCarpani),2))</f>
        <v/>
      </c>
      <c r="O66" s="15">
        <f>IF($A66="","",ROUND($L66-$N66,2))</f>
        <v/>
      </c>
      <c r="P66" s="15">
        <f>IF($A66="","",IF($R66&gt;kdo_esikDesiOran,"DESİ DÜŞÜR",IF($O66&gt;kdo_esikTasarruf,"TAŞIYICI DEĞİŞTİR","UYGUN")))</f>
        <v/>
      </c>
      <c r="Q66" s="15">
        <f>IF($A66="","",IFERROR(SUMIF(tblAnahtarB[NormB],$A66,tblVeriB[IadeOran]),0))</f>
        <v/>
      </c>
      <c r="R66" s="15">
        <f>IF(OR($A66="",$E66=0),0,$G66/$E66)</f>
        <v/>
      </c>
      <c r="S66" s="15">
        <f>IF($A66="","",$G66-$E66)</f>
        <v/>
      </c>
      <c r="T66" s="15">
        <f>IF($A66="","",$L66-$N66)</f>
        <v/>
      </c>
    </row>
    <row r="67">
      <c r="A67" s="15">
        <f>IF('ANAHTAR'!$B67="","",'ANAHTAR'!$B67)</f>
        <v/>
      </c>
      <c r="B67" s="15">
        <f>IF($A67="","",IFERROR(SUMIF(tblAnahtarA[Norm],$A67,tblVeriA[EnCm]),0))</f>
        <v/>
      </c>
      <c r="C67" s="15">
        <f>IF($A67="","",IFERROR(SUMIF(tblAnahtarA[Norm],$A67,tblVeriA[BoyCm]),0))</f>
        <v/>
      </c>
      <c r="D67" s="15">
        <f>IF($A67="","",IFERROR(SUMIF(tblAnahtarA[Norm],$A67,tblVeriA[YukseklikCm]),0))</f>
        <v/>
      </c>
      <c r="E67" s="15">
        <f>IF($A67="","",IFERROR(SUMIF(tblAnahtarA[Norm],$A67,tblVeriA[AgirlikKg]),0))</f>
        <v/>
      </c>
      <c r="F67" s="15">
        <f>IF($A67="","",IFERROR(SUMIF(tblAnahtarA[Norm],$A67,tblVeriA[DesiCarpani]),kdo_varsayilanDesiCarpani))</f>
        <v/>
      </c>
      <c r="G67" s="15">
        <f>IF($A67="","",ROUND($B67*$C67*$D67/MAX($F67,1),2))</f>
        <v/>
      </c>
      <c r="H67" s="15">
        <f>IF($A67="","",MAX($G67,$E67))</f>
        <v/>
      </c>
      <c r="I67" s="15">
        <f>IF($A67="","",IFERROR(SUMIF(tblAnahtarB[NormB],$A67,tblVeriB[TarifTlDesi]),0))</f>
        <v/>
      </c>
      <c r="J67" s="15">
        <f>IF($A67="","",IFERROR(SUMIF(tblAnahtarA[Norm],$A67,tblVeriA[Adet]),1))</f>
        <v/>
      </c>
      <c r="K67" s="15">
        <f>IF($A67="","",ROUND($H67*$I67,2))</f>
        <v/>
      </c>
      <c r="L67" s="15">
        <f>IF($A67="","",ROUND($K67*$J67*(1+$Q67*kdo_iadeEtkiCarpani),2))</f>
        <v/>
      </c>
      <c r="M67" s="15">
        <f>IF($A67="","",IFERROR(SUMIF(tblAnahtarB[NormB],$A67,tblVeriB[AlternatifTarif]),0))</f>
        <v/>
      </c>
      <c r="N67" s="15">
        <f>IF($A67="","",ROUND($H67*$M67*$J67*(1+$Q67*kdo_iadeEtkiCarpani),2))</f>
        <v/>
      </c>
      <c r="O67" s="15">
        <f>IF($A67="","",ROUND($L67-$N67,2))</f>
        <v/>
      </c>
      <c r="P67" s="15">
        <f>IF($A67="","",IF($R67&gt;kdo_esikDesiOran,"DESİ DÜŞÜR",IF($O67&gt;kdo_esikTasarruf,"TAŞIYICI DEĞİŞTİR","UYGUN")))</f>
        <v/>
      </c>
      <c r="Q67" s="15">
        <f>IF($A67="","",IFERROR(SUMIF(tblAnahtarB[NormB],$A67,tblVeriB[IadeOran]),0))</f>
        <v/>
      </c>
      <c r="R67" s="15">
        <f>IF(OR($A67="",$E67=0),0,$G67/$E67)</f>
        <v/>
      </c>
      <c r="S67" s="15">
        <f>IF($A67="","",$G67-$E67)</f>
        <v/>
      </c>
      <c r="T67" s="15">
        <f>IF($A67="","",$L67-$N67)</f>
        <v/>
      </c>
    </row>
    <row r="68">
      <c r="A68" s="15">
        <f>IF('ANAHTAR'!$B68="","",'ANAHTAR'!$B68)</f>
        <v/>
      </c>
      <c r="B68" s="15">
        <f>IF($A68="","",IFERROR(SUMIF(tblAnahtarA[Norm],$A68,tblVeriA[EnCm]),0))</f>
        <v/>
      </c>
      <c r="C68" s="15">
        <f>IF($A68="","",IFERROR(SUMIF(tblAnahtarA[Norm],$A68,tblVeriA[BoyCm]),0))</f>
        <v/>
      </c>
      <c r="D68" s="15">
        <f>IF($A68="","",IFERROR(SUMIF(tblAnahtarA[Norm],$A68,tblVeriA[YukseklikCm]),0))</f>
        <v/>
      </c>
      <c r="E68" s="15">
        <f>IF($A68="","",IFERROR(SUMIF(tblAnahtarA[Norm],$A68,tblVeriA[AgirlikKg]),0))</f>
        <v/>
      </c>
      <c r="F68" s="15">
        <f>IF($A68="","",IFERROR(SUMIF(tblAnahtarA[Norm],$A68,tblVeriA[DesiCarpani]),kdo_varsayilanDesiCarpani))</f>
        <v/>
      </c>
      <c r="G68" s="15">
        <f>IF($A68="","",ROUND($B68*$C68*$D68/MAX($F68,1),2))</f>
        <v/>
      </c>
      <c r="H68" s="15">
        <f>IF($A68="","",MAX($G68,$E68))</f>
        <v/>
      </c>
      <c r="I68" s="15">
        <f>IF($A68="","",IFERROR(SUMIF(tblAnahtarB[NormB],$A68,tblVeriB[TarifTlDesi]),0))</f>
        <v/>
      </c>
      <c r="J68" s="15">
        <f>IF($A68="","",IFERROR(SUMIF(tblAnahtarA[Norm],$A68,tblVeriA[Adet]),1))</f>
        <v/>
      </c>
      <c r="K68" s="15">
        <f>IF($A68="","",ROUND($H68*$I68,2))</f>
        <v/>
      </c>
      <c r="L68" s="15">
        <f>IF($A68="","",ROUND($K68*$J68*(1+$Q68*kdo_iadeEtkiCarpani),2))</f>
        <v/>
      </c>
      <c r="M68" s="15">
        <f>IF($A68="","",IFERROR(SUMIF(tblAnahtarB[NormB],$A68,tblVeriB[AlternatifTarif]),0))</f>
        <v/>
      </c>
      <c r="N68" s="15">
        <f>IF($A68="","",ROUND($H68*$M68*$J68*(1+$Q68*kdo_iadeEtkiCarpani),2))</f>
        <v/>
      </c>
      <c r="O68" s="15">
        <f>IF($A68="","",ROUND($L68-$N68,2))</f>
        <v/>
      </c>
      <c r="P68" s="15">
        <f>IF($A68="","",IF($R68&gt;kdo_esikDesiOran,"DESİ DÜŞÜR",IF($O68&gt;kdo_esikTasarruf,"TAŞIYICI DEĞİŞTİR","UYGUN")))</f>
        <v/>
      </c>
      <c r="Q68" s="15">
        <f>IF($A68="","",IFERROR(SUMIF(tblAnahtarB[NormB],$A68,tblVeriB[IadeOran]),0))</f>
        <v/>
      </c>
      <c r="R68" s="15">
        <f>IF(OR($A68="",$E68=0),0,$G68/$E68)</f>
        <v/>
      </c>
      <c r="S68" s="15">
        <f>IF($A68="","",$G68-$E68)</f>
        <v/>
      </c>
      <c r="T68" s="15">
        <f>IF($A68="","",$L68-$N68)</f>
        <v/>
      </c>
    </row>
    <row r="69">
      <c r="A69" s="15">
        <f>IF('ANAHTAR'!$B69="","",'ANAHTAR'!$B69)</f>
        <v/>
      </c>
      <c r="B69" s="15">
        <f>IF($A69="","",IFERROR(SUMIF(tblAnahtarA[Norm],$A69,tblVeriA[EnCm]),0))</f>
        <v/>
      </c>
      <c r="C69" s="15">
        <f>IF($A69="","",IFERROR(SUMIF(tblAnahtarA[Norm],$A69,tblVeriA[BoyCm]),0))</f>
        <v/>
      </c>
      <c r="D69" s="15">
        <f>IF($A69="","",IFERROR(SUMIF(tblAnahtarA[Norm],$A69,tblVeriA[YukseklikCm]),0))</f>
        <v/>
      </c>
      <c r="E69" s="15">
        <f>IF($A69="","",IFERROR(SUMIF(tblAnahtarA[Norm],$A69,tblVeriA[AgirlikKg]),0))</f>
        <v/>
      </c>
      <c r="F69" s="15">
        <f>IF($A69="","",IFERROR(SUMIF(tblAnahtarA[Norm],$A69,tblVeriA[DesiCarpani]),kdo_varsayilanDesiCarpani))</f>
        <v/>
      </c>
      <c r="G69" s="15">
        <f>IF($A69="","",ROUND($B69*$C69*$D69/MAX($F69,1),2))</f>
        <v/>
      </c>
      <c r="H69" s="15">
        <f>IF($A69="","",MAX($G69,$E69))</f>
        <v/>
      </c>
      <c r="I69" s="15">
        <f>IF($A69="","",IFERROR(SUMIF(tblAnahtarB[NormB],$A69,tblVeriB[TarifTlDesi]),0))</f>
        <v/>
      </c>
      <c r="J69" s="15">
        <f>IF($A69="","",IFERROR(SUMIF(tblAnahtarA[Norm],$A69,tblVeriA[Adet]),1))</f>
        <v/>
      </c>
      <c r="K69" s="15">
        <f>IF($A69="","",ROUND($H69*$I69,2))</f>
        <v/>
      </c>
      <c r="L69" s="15">
        <f>IF($A69="","",ROUND($K69*$J69*(1+$Q69*kdo_iadeEtkiCarpani),2))</f>
        <v/>
      </c>
      <c r="M69" s="15">
        <f>IF($A69="","",IFERROR(SUMIF(tblAnahtarB[NormB],$A69,tblVeriB[AlternatifTarif]),0))</f>
        <v/>
      </c>
      <c r="N69" s="15">
        <f>IF($A69="","",ROUND($H69*$M69*$J69*(1+$Q69*kdo_iadeEtkiCarpani),2))</f>
        <v/>
      </c>
      <c r="O69" s="15">
        <f>IF($A69="","",ROUND($L69-$N69,2))</f>
        <v/>
      </c>
      <c r="P69" s="15">
        <f>IF($A69="","",IF($R69&gt;kdo_esikDesiOran,"DESİ DÜŞÜR",IF($O69&gt;kdo_esikTasarruf,"TAŞIYICI DEĞİŞTİR","UYGUN")))</f>
        <v/>
      </c>
      <c r="Q69" s="15">
        <f>IF($A69="","",IFERROR(SUMIF(tblAnahtarB[NormB],$A69,tblVeriB[IadeOran]),0))</f>
        <v/>
      </c>
      <c r="R69" s="15">
        <f>IF(OR($A69="",$E69=0),0,$G69/$E69)</f>
        <v/>
      </c>
      <c r="S69" s="15">
        <f>IF($A69="","",$G69-$E69)</f>
        <v/>
      </c>
      <c r="T69" s="15">
        <f>IF($A69="","",$L69-$N69)</f>
        <v/>
      </c>
    </row>
    <row r="70">
      <c r="A70" s="15">
        <f>IF('ANAHTAR'!$B70="","",'ANAHTAR'!$B70)</f>
        <v/>
      </c>
      <c r="B70" s="15">
        <f>IF($A70="","",IFERROR(SUMIF(tblAnahtarA[Norm],$A70,tblVeriA[EnCm]),0))</f>
        <v/>
      </c>
      <c r="C70" s="15">
        <f>IF($A70="","",IFERROR(SUMIF(tblAnahtarA[Norm],$A70,tblVeriA[BoyCm]),0))</f>
        <v/>
      </c>
      <c r="D70" s="15">
        <f>IF($A70="","",IFERROR(SUMIF(tblAnahtarA[Norm],$A70,tblVeriA[YukseklikCm]),0))</f>
        <v/>
      </c>
      <c r="E70" s="15">
        <f>IF($A70="","",IFERROR(SUMIF(tblAnahtarA[Norm],$A70,tblVeriA[AgirlikKg]),0))</f>
        <v/>
      </c>
      <c r="F70" s="15">
        <f>IF($A70="","",IFERROR(SUMIF(tblAnahtarA[Norm],$A70,tblVeriA[DesiCarpani]),kdo_varsayilanDesiCarpani))</f>
        <v/>
      </c>
      <c r="G70" s="15">
        <f>IF($A70="","",ROUND($B70*$C70*$D70/MAX($F70,1),2))</f>
        <v/>
      </c>
      <c r="H70" s="15">
        <f>IF($A70="","",MAX($G70,$E70))</f>
        <v/>
      </c>
      <c r="I70" s="15">
        <f>IF($A70="","",IFERROR(SUMIF(tblAnahtarB[NormB],$A70,tblVeriB[TarifTlDesi]),0))</f>
        <v/>
      </c>
      <c r="J70" s="15">
        <f>IF($A70="","",IFERROR(SUMIF(tblAnahtarA[Norm],$A70,tblVeriA[Adet]),1))</f>
        <v/>
      </c>
      <c r="K70" s="15">
        <f>IF($A70="","",ROUND($H70*$I70,2))</f>
        <v/>
      </c>
      <c r="L70" s="15">
        <f>IF($A70="","",ROUND($K70*$J70*(1+$Q70*kdo_iadeEtkiCarpani),2))</f>
        <v/>
      </c>
      <c r="M70" s="15">
        <f>IF($A70="","",IFERROR(SUMIF(tblAnahtarB[NormB],$A70,tblVeriB[AlternatifTarif]),0))</f>
        <v/>
      </c>
      <c r="N70" s="15">
        <f>IF($A70="","",ROUND($H70*$M70*$J70*(1+$Q70*kdo_iadeEtkiCarpani),2))</f>
        <v/>
      </c>
      <c r="O70" s="15">
        <f>IF($A70="","",ROUND($L70-$N70,2))</f>
        <v/>
      </c>
      <c r="P70" s="15">
        <f>IF($A70="","",IF($R70&gt;kdo_esikDesiOran,"DESİ DÜŞÜR",IF($O70&gt;kdo_esikTasarruf,"TAŞIYICI DEĞİŞTİR","UYGUN")))</f>
        <v/>
      </c>
      <c r="Q70" s="15">
        <f>IF($A70="","",IFERROR(SUMIF(tblAnahtarB[NormB],$A70,tblVeriB[IadeOran]),0))</f>
        <v/>
      </c>
      <c r="R70" s="15">
        <f>IF(OR($A70="",$E70=0),0,$G70/$E70)</f>
        <v/>
      </c>
      <c r="S70" s="15">
        <f>IF($A70="","",$G70-$E70)</f>
        <v/>
      </c>
      <c r="T70" s="15">
        <f>IF($A70="","",$L70-$N70)</f>
        <v/>
      </c>
    </row>
    <row r="71">
      <c r="A71" s="15">
        <f>IF('ANAHTAR'!$B71="","",'ANAHTAR'!$B71)</f>
        <v/>
      </c>
      <c r="B71" s="15">
        <f>IF($A71="","",IFERROR(SUMIF(tblAnahtarA[Norm],$A71,tblVeriA[EnCm]),0))</f>
        <v/>
      </c>
      <c r="C71" s="15">
        <f>IF($A71="","",IFERROR(SUMIF(tblAnahtarA[Norm],$A71,tblVeriA[BoyCm]),0))</f>
        <v/>
      </c>
      <c r="D71" s="15">
        <f>IF($A71="","",IFERROR(SUMIF(tblAnahtarA[Norm],$A71,tblVeriA[YukseklikCm]),0))</f>
        <v/>
      </c>
      <c r="E71" s="15">
        <f>IF($A71="","",IFERROR(SUMIF(tblAnahtarA[Norm],$A71,tblVeriA[AgirlikKg]),0))</f>
        <v/>
      </c>
      <c r="F71" s="15">
        <f>IF($A71="","",IFERROR(SUMIF(tblAnahtarA[Norm],$A71,tblVeriA[DesiCarpani]),kdo_varsayilanDesiCarpani))</f>
        <v/>
      </c>
      <c r="G71" s="15">
        <f>IF($A71="","",ROUND($B71*$C71*$D71/MAX($F71,1),2))</f>
        <v/>
      </c>
      <c r="H71" s="15">
        <f>IF($A71="","",MAX($G71,$E71))</f>
        <v/>
      </c>
      <c r="I71" s="15">
        <f>IF($A71="","",IFERROR(SUMIF(tblAnahtarB[NormB],$A71,tblVeriB[TarifTlDesi]),0))</f>
        <v/>
      </c>
      <c r="J71" s="15">
        <f>IF($A71="","",IFERROR(SUMIF(tblAnahtarA[Norm],$A71,tblVeriA[Adet]),1))</f>
        <v/>
      </c>
      <c r="K71" s="15">
        <f>IF($A71="","",ROUND($H71*$I71,2))</f>
        <v/>
      </c>
      <c r="L71" s="15">
        <f>IF($A71="","",ROUND($K71*$J71*(1+$Q71*kdo_iadeEtkiCarpani),2))</f>
        <v/>
      </c>
      <c r="M71" s="15">
        <f>IF($A71="","",IFERROR(SUMIF(tblAnahtarB[NormB],$A71,tblVeriB[AlternatifTarif]),0))</f>
        <v/>
      </c>
      <c r="N71" s="15">
        <f>IF($A71="","",ROUND($H71*$M71*$J71*(1+$Q71*kdo_iadeEtkiCarpani),2))</f>
        <v/>
      </c>
      <c r="O71" s="15">
        <f>IF($A71="","",ROUND($L71-$N71,2))</f>
        <v/>
      </c>
      <c r="P71" s="15">
        <f>IF($A71="","",IF($R71&gt;kdo_esikDesiOran,"DESİ DÜŞÜR",IF($O71&gt;kdo_esikTasarruf,"TAŞIYICI DEĞİŞTİR","UYGUN")))</f>
        <v/>
      </c>
      <c r="Q71" s="15">
        <f>IF($A71="","",IFERROR(SUMIF(tblAnahtarB[NormB],$A71,tblVeriB[IadeOran]),0))</f>
        <v/>
      </c>
      <c r="R71" s="15">
        <f>IF(OR($A71="",$E71=0),0,$G71/$E71)</f>
        <v/>
      </c>
      <c r="S71" s="15">
        <f>IF($A71="","",$G71-$E71)</f>
        <v/>
      </c>
      <c r="T71" s="15">
        <f>IF($A71="","",$L71-$N71)</f>
        <v/>
      </c>
    </row>
    <row r="72">
      <c r="A72" s="15">
        <f>IF('ANAHTAR'!$B72="","",'ANAHTAR'!$B72)</f>
        <v/>
      </c>
      <c r="B72" s="15">
        <f>IF($A72="","",IFERROR(SUMIF(tblAnahtarA[Norm],$A72,tblVeriA[EnCm]),0))</f>
        <v/>
      </c>
      <c r="C72" s="15">
        <f>IF($A72="","",IFERROR(SUMIF(tblAnahtarA[Norm],$A72,tblVeriA[BoyCm]),0))</f>
        <v/>
      </c>
      <c r="D72" s="15">
        <f>IF($A72="","",IFERROR(SUMIF(tblAnahtarA[Norm],$A72,tblVeriA[YukseklikCm]),0))</f>
        <v/>
      </c>
      <c r="E72" s="15">
        <f>IF($A72="","",IFERROR(SUMIF(tblAnahtarA[Norm],$A72,tblVeriA[AgirlikKg]),0))</f>
        <v/>
      </c>
      <c r="F72" s="15">
        <f>IF($A72="","",IFERROR(SUMIF(tblAnahtarA[Norm],$A72,tblVeriA[DesiCarpani]),kdo_varsayilanDesiCarpani))</f>
        <v/>
      </c>
      <c r="G72" s="15">
        <f>IF($A72="","",ROUND($B72*$C72*$D72/MAX($F72,1),2))</f>
        <v/>
      </c>
      <c r="H72" s="15">
        <f>IF($A72="","",MAX($G72,$E72))</f>
        <v/>
      </c>
      <c r="I72" s="15">
        <f>IF($A72="","",IFERROR(SUMIF(tblAnahtarB[NormB],$A72,tblVeriB[TarifTlDesi]),0))</f>
        <v/>
      </c>
      <c r="J72" s="15">
        <f>IF($A72="","",IFERROR(SUMIF(tblAnahtarA[Norm],$A72,tblVeriA[Adet]),1))</f>
        <v/>
      </c>
      <c r="K72" s="15">
        <f>IF($A72="","",ROUND($H72*$I72,2))</f>
        <v/>
      </c>
      <c r="L72" s="15">
        <f>IF($A72="","",ROUND($K72*$J72*(1+$Q72*kdo_iadeEtkiCarpani),2))</f>
        <v/>
      </c>
      <c r="M72" s="15">
        <f>IF($A72="","",IFERROR(SUMIF(tblAnahtarB[NormB],$A72,tblVeriB[AlternatifTarif]),0))</f>
        <v/>
      </c>
      <c r="N72" s="15">
        <f>IF($A72="","",ROUND($H72*$M72*$J72*(1+$Q72*kdo_iadeEtkiCarpani),2))</f>
        <v/>
      </c>
      <c r="O72" s="15">
        <f>IF($A72="","",ROUND($L72-$N72,2))</f>
        <v/>
      </c>
      <c r="P72" s="15">
        <f>IF($A72="","",IF($R72&gt;kdo_esikDesiOran,"DESİ DÜŞÜR",IF($O72&gt;kdo_esikTasarruf,"TAŞIYICI DEĞİŞTİR","UYGUN")))</f>
        <v/>
      </c>
      <c r="Q72" s="15">
        <f>IF($A72="","",IFERROR(SUMIF(tblAnahtarB[NormB],$A72,tblVeriB[IadeOran]),0))</f>
        <v/>
      </c>
      <c r="R72" s="15">
        <f>IF(OR($A72="",$E72=0),0,$G72/$E72)</f>
        <v/>
      </c>
      <c r="S72" s="15">
        <f>IF($A72="","",$G72-$E72)</f>
        <v/>
      </c>
      <c r="T72" s="15">
        <f>IF($A72="","",$L72-$N72)</f>
        <v/>
      </c>
    </row>
    <row r="73">
      <c r="A73" s="15">
        <f>IF('ANAHTAR'!$B73="","",'ANAHTAR'!$B73)</f>
        <v/>
      </c>
      <c r="B73" s="15">
        <f>IF($A73="","",IFERROR(SUMIF(tblAnahtarA[Norm],$A73,tblVeriA[EnCm]),0))</f>
        <v/>
      </c>
      <c r="C73" s="15">
        <f>IF($A73="","",IFERROR(SUMIF(tblAnahtarA[Norm],$A73,tblVeriA[BoyCm]),0))</f>
        <v/>
      </c>
      <c r="D73" s="15">
        <f>IF($A73="","",IFERROR(SUMIF(tblAnahtarA[Norm],$A73,tblVeriA[YukseklikCm]),0))</f>
        <v/>
      </c>
      <c r="E73" s="15">
        <f>IF($A73="","",IFERROR(SUMIF(tblAnahtarA[Norm],$A73,tblVeriA[AgirlikKg]),0))</f>
        <v/>
      </c>
      <c r="F73" s="15">
        <f>IF($A73="","",IFERROR(SUMIF(tblAnahtarA[Norm],$A73,tblVeriA[DesiCarpani]),kdo_varsayilanDesiCarpani))</f>
        <v/>
      </c>
      <c r="G73" s="15">
        <f>IF($A73="","",ROUND($B73*$C73*$D73/MAX($F73,1),2))</f>
        <v/>
      </c>
      <c r="H73" s="15">
        <f>IF($A73="","",MAX($G73,$E73))</f>
        <v/>
      </c>
      <c r="I73" s="15">
        <f>IF($A73="","",IFERROR(SUMIF(tblAnahtarB[NormB],$A73,tblVeriB[TarifTlDesi]),0))</f>
        <v/>
      </c>
      <c r="J73" s="15">
        <f>IF($A73="","",IFERROR(SUMIF(tblAnahtarA[Norm],$A73,tblVeriA[Adet]),1))</f>
        <v/>
      </c>
      <c r="K73" s="15">
        <f>IF($A73="","",ROUND($H73*$I73,2))</f>
        <v/>
      </c>
      <c r="L73" s="15">
        <f>IF($A73="","",ROUND($K73*$J73*(1+$Q73*kdo_iadeEtkiCarpani),2))</f>
        <v/>
      </c>
      <c r="M73" s="15">
        <f>IF($A73="","",IFERROR(SUMIF(tblAnahtarB[NormB],$A73,tblVeriB[AlternatifTarif]),0))</f>
        <v/>
      </c>
      <c r="N73" s="15">
        <f>IF($A73="","",ROUND($H73*$M73*$J73*(1+$Q73*kdo_iadeEtkiCarpani),2))</f>
        <v/>
      </c>
      <c r="O73" s="15">
        <f>IF($A73="","",ROUND($L73-$N73,2))</f>
        <v/>
      </c>
      <c r="P73" s="15">
        <f>IF($A73="","",IF($R73&gt;kdo_esikDesiOran,"DESİ DÜŞÜR",IF($O73&gt;kdo_esikTasarruf,"TAŞIYICI DEĞİŞTİR","UYGUN")))</f>
        <v/>
      </c>
      <c r="Q73" s="15">
        <f>IF($A73="","",IFERROR(SUMIF(tblAnahtarB[NormB],$A73,tblVeriB[IadeOran]),0))</f>
        <v/>
      </c>
      <c r="R73" s="15">
        <f>IF(OR($A73="",$E73=0),0,$G73/$E73)</f>
        <v/>
      </c>
      <c r="S73" s="15">
        <f>IF($A73="","",$G73-$E73)</f>
        <v/>
      </c>
      <c r="T73" s="15">
        <f>IF($A73="","",$L73-$N73)</f>
        <v/>
      </c>
    </row>
    <row r="74">
      <c r="A74" s="15">
        <f>IF('ANAHTAR'!$B74="","",'ANAHTAR'!$B74)</f>
        <v/>
      </c>
      <c r="B74" s="15">
        <f>IF($A74="","",IFERROR(SUMIF(tblAnahtarA[Norm],$A74,tblVeriA[EnCm]),0))</f>
        <v/>
      </c>
      <c r="C74" s="15">
        <f>IF($A74="","",IFERROR(SUMIF(tblAnahtarA[Norm],$A74,tblVeriA[BoyCm]),0))</f>
        <v/>
      </c>
      <c r="D74" s="15">
        <f>IF($A74="","",IFERROR(SUMIF(tblAnahtarA[Norm],$A74,tblVeriA[YukseklikCm]),0))</f>
        <v/>
      </c>
      <c r="E74" s="15">
        <f>IF($A74="","",IFERROR(SUMIF(tblAnahtarA[Norm],$A74,tblVeriA[AgirlikKg]),0))</f>
        <v/>
      </c>
      <c r="F74" s="15">
        <f>IF($A74="","",IFERROR(SUMIF(tblAnahtarA[Norm],$A74,tblVeriA[DesiCarpani]),kdo_varsayilanDesiCarpani))</f>
        <v/>
      </c>
      <c r="G74" s="15">
        <f>IF($A74="","",ROUND($B74*$C74*$D74/MAX($F74,1),2))</f>
        <v/>
      </c>
      <c r="H74" s="15">
        <f>IF($A74="","",MAX($G74,$E74))</f>
        <v/>
      </c>
      <c r="I74" s="15">
        <f>IF($A74="","",IFERROR(SUMIF(tblAnahtarB[NormB],$A74,tblVeriB[TarifTlDesi]),0))</f>
        <v/>
      </c>
      <c r="J74" s="15">
        <f>IF($A74="","",IFERROR(SUMIF(tblAnahtarA[Norm],$A74,tblVeriA[Adet]),1))</f>
        <v/>
      </c>
      <c r="K74" s="15">
        <f>IF($A74="","",ROUND($H74*$I74,2))</f>
        <v/>
      </c>
      <c r="L74" s="15">
        <f>IF($A74="","",ROUND($K74*$J74*(1+$Q74*kdo_iadeEtkiCarpani),2))</f>
        <v/>
      </c>
      <c r="M74" s="15">
        <f>IF($A74="","",IFERROR(SUMIF(tblAnahtarB[NormB],$A74,tblVeriB[AlternatifTarif]),0))</f>
        <v/>
      </c>
      <c r="N74" s="15">
        <f>IF($A74="","",ROUND($H74*$M74*$J74*(1+$Q74*kdo_iadeEtkiCarpani),2))</f>
        <v/>
      </c>
      <c r="O74" s="15">
        <f>IF($A74="","",ROUND($L74-$N74,2))</f>
        <v/>
      </c>
      <c r="P74" s="15">
        <f>IF($A74="","",IF($R74&gt;kdo_esikDesiOran,"DESİ DÜŞÜR",IF($O74&gt;kdo_esikTasarruf,"TAŞIYICI DEĞİŞTİR","UYGUN")))</f>
        <v/>
      </c>
      <c r="Q74" s="15">
        <f>IF($A74="","",IFERROR(SUMIF(tblAnahtarB[NormB],$A74,tblVeriB[IadeOran]),0))</f>
        <v/>
      </c>
      <c r="R74" s="15">
        <f>IF(OR($A74="",$E74=0),0,$G74/$E74)</f>
        <v/>
      </c>
      <c r="S74" s="15">
        <f>IF($A74="","",$G74-$E74)</f>
        <v/>
      </c>
      <c r="T74" s="15">
        <f>IF($A74="","",$L74-$N74)</f>
        <v/>
      </c>
    </row>
    <row r="75">
      <c r="A75" s="15">
        <f>IF('ANAHTAR'!$B75="","",'ANAHTAR'!$B75)</f>
        <v/>
      </c>
      <c r="B75" s="15">
        <f>IF($A75="","",IFERROR(SUMIF(tblAnahtarA[Norm],$A75,tblVeriA[EnCm]),0))</f>
        <v/>
      </c>
      <c r="C75" s="15">
        <f>IF($A75="","",IFERROR(SUMIF(tblAnahtarA[Norm],$A75,tblVeriA[BoyCm]),0))</f>
        <v/>
      </c>
      <c r="D75" s="15">
        <f>IF($A75="","",IFERROR(SUMIF(tblAnahtarA[Norm],$A75,tblVeriA[YukseklikCm]),0))</f>
        <v/>
      </c>
      <c r="E75" s="15">
        <f>IF($A75="","",IFERROR(SUMIF(tblAnahtarA[Norm],$A75,tblVeriA[AgirlikKg]),0))</f>
        <v/>
      </c>
      <c r="F75" s="15">
        <f>IF($A75="","",IFERROR(SUMIF(tblAnahtarA[Norm],$A75,tblVeriA[DesiCarpani]),kdo_varsayilanDesiCarpani))</f>
        <v/>
      </c>
      <c r="G75" s="15">
        <f>IF($A75="","",ROUND($B75*$C75*$D75/MAX($F75,1),2))</f>
        <v/>
      </c>
      <c r="H75" s="15">
        <f>IF($A75="","",MAX($G75,$E75))</f>
        <v/>
      </c>
      <c r="I75" s="15">
        <f>IF($A75="","",IFERROR(SUMIF(tblAnahtarB[NormB],$A75,tblVeriB[TarifTlDesi]),0))</f>
        <v/>
      </c>
      <c r="J75" s="15">
        <f>IF($A75="","",IFERROR(SUMIF(tblAnahtarA[Norm],$A75,tblVeriA[Adet]),1))</f>
        <v/>
      </c>
      <c r="K75" s="15">
        <f>IF($A75="","",ROUND($H75*$I75,2))</f>
        <v/>
      </c>
      <c r="L75" s="15">
        <f>IF($A75="","",ROUND($K75*$J75*(1+$Q75*kdo_iadeEtkiCarpani),2))</f>
        <v/>
      </c>
      <c r="M75" s="15">
        <f>IF($A75="","",IFERROR(SUMIF(tblAnahtarB[NormB],$A75,tblVeriB[AlternatifTarif]),0))</f>
        <v/>
      </c>
      <c r="N75" s="15">
        <f>IF($A75="","",ROUND($H75*$M75*$J75*(1+$Q75*kdo_iadeEtkiCarpani),2))</f>
        <v/>
      </c>
      <c r="O75" s="15">
        <f>IF($A75="","",ROUND($L75-$N75,2))</f>
        <v/>
      </c>
      <c r="P75" s="15">
        <f>IF($A75="","",IF($R75&gt;kdo_esikDesiOran,"DESİ DÜŞÜR",IF($O75&gt;kdo_esikTasarruf,"TAŞIYICI DEĞİŞTİR","UYGUN")))</f>
        <v/>
      </c>
      <c r="Q75" s="15">
        <f>IF($A75="","",IFERROR(SUMIF(tblAnahtarB[NormB],$A75,tblVeriB[IadeOran]),0))</f>
        <v/>
      </c>
      <c r="R75" s="15">
        <f>IF(OR($A75="",$E75=0),0,$G75/$E75)</f>
        <v/>
      </c>
      <c r="S75" s="15">
        <f>IF($A75="","",$G75-$E75)</f>
        <v/>
      </c>
      <c r="T75" s="15">
        <f>IF($A75="","",$L75-$N75)</f>
        <v/>
      </c>
    </row>
    <row r="76">
      <c r="A76" s="15">
        <f>IF('ANAHTAR'!$B76="","",'ANAHTAR'!$B76)</f>
        <v/>
      </c>
      <c r="B76" s="15">
        <f>IF($A76="","",IFERROR(SUMIF(tblAnahtarA[Norm],$A76,tblVeriA[EnCm]),0))</f>
        <v/>
      </c>
      <c r="C76" s="15">
        <f>IF($A76="","",IFERROR(SUMIF(tblAnahtarA[Norm],$A76,tblVeriA[BoyCm]),0))</f>
        <v/>
      </c>
      <c r="D76" s="15">
        <f>IF($A76="","",IFERROR(SUMIF(tblAnahtarA[Norm],$A76,tblVeriA[YukseklikCm]),0))</f>
        <v/>
      </c>
      <c r="E76" s="15">
        <f>IF($A76="","",IFERROR(SUMIF(tblAnahtarA[Norm],$A76,tblVeriA[AgirlikKg]),0))</f>
        <v/>
      </c>
      <c r="F76" s="15">
        <f>IF($A76="","",IFERROR(SUMIF(tblAnahtarA[Norm],$A76,tblVeriA[DesiCarpani]),kdo_varsayilanDesiCarpani))</f>
        <v/>
      </c>
      <c r="G76" s="15">
        <f>IF($A76="","",ROUND($B76*$C76*$D76/MAX($F76,1),2))</f>
        <v/>
      </c>
      <c r="H76" s="15">
        <f>IF($A76="","",MAX($G76,$E76))</f>
        <v/>
      </c>
      <c r="I76" s="15">
        <f>IF($A76="","",IFERROR(SUMIF(tblAnahtarB[NormB],$A76,tblVeriB[TarifTlDesi]),0))</f>
        <v/>
      </c>
      <c r="J76" s="15">
        <f>IF($A76="","",IFERROR(SUMIF(tblAnahtarA[Norm],$A76,tblVeriA[Adet]),1))</f>
        <v/>
      </c>
      <c r="K76" s="15">
        <f>IF($A76="","",ROUND($H76*$I76,2))</f>
        <v/>
      </c>
      <c r="L76" s="15">
        <f>IF($A76="","",ROUND($K76*$J76*(1+$Q76*kdo_iadeEtkiCarpani),2))</f>
        <v/>
      </c>
      <c r="M76" s="15">
        <f>IF($A76="","",IFERROR(SUMIF(tblAnahtarB[NormB],$A76,tblVeriB[AlternatifTarif]),0))</f>
        <v/>
      </c>
      <c r="N76" s="15">
        <f>IF($A76="","",ROUND($H76*$M76*$J76*(1+$Q76*kdo_iadeEtkiCarpani),2))</f>
        <v/>
      </c>
      <c r="O76" s="15">
        <f>IF($A76="","",ROUND($L76-$N76,2))</f>
        <v/>
      </c>
      <c r="P76" s="15">
        <f>IF($A76="","",IF($R76&gt;kdo_esikDesiOran,"DESİ DÜŞÜR",IF($O76&gt;kdo_esikTasarruf,"TAŞIYICI DEĞİŞTİR","UYGUN")))</f>
        <v/>
      </c>
      <c r="Q76" s="15">
        <f>IF($A76="","",IFERROR(SUMIF(tblAnahtarB[NormB],$A76,tblVeriB[IadeOran]),0))</f>
        <v/>
      </c>
      <c r="R76" s="15">
        <f>IF(OR($A76="",$E76=0),0,$G76/$E76)</f>
        <v/>
      </c>
      <c r="S76" s="15">
        <f>IF($A76="","",$G76-$E76)</f>
        <v/>
      </c>
      <c r="T76" s="15">
        <f>IF($A76="","",$L76-$N76)</f>
        <v/>
      </c>
    </row>
    <row r="77">
      <c r="A77" s="15">
        <f>IF('ANAHTAR'!$B77="","",'ANAHTAR'!$B77)</f>
        <v/>
      </c>
      <c r="B77" s="15">
        <f>IF($A77="","",IFERROR(SUMIF(tblAnahtarA[Norm],$A77,tblVeriA[EnCm]),0))</f>
        <v/>
      </c>
      <c r="C77" s="15">
        <f>IF($A77="","",IFERROR(SUMIF(tblAnahtarA[Norm],$A77,tblVeriA[BoyCm]),0))</f>
        <v/>
      </c>
      <c r="D77" s="15">
        <f>IF($A77="","",IFERROR(SUMIF(tblAnahtarA[Norm],$A77,tblVeriA[YukseklikCm]),0))</f>
        <v/>
      </c>
      <c r="E77" s="15">
        <f>IF($A77="","",IFERROR(SUMIF(tblAnahtarA[Norm],$A77,tblVeriA[AgirlikKg]),0))</f>
        <v/>
      </c>
      <c r="F77" s="15">
        <f>IF($A77="","",IFERROR(SUMIF(tblAnahtarA[Norm],$A77,tblVeriA[DesiCarpani]),kdo_varsayilanDesiCarpani))</f>
        <v/>
      </c>
      <c r="G77" s="15">
        <f>IF($A77="","",ROUND($B77*$C77*$D77/MAX($F77,1),2))</f>
        <v/>
      </c>
      <c r="H77" s="15">
        <f>IF($A77="","",MAX($G77,$E77))</f>
        <v/>
      </c>
      <c r="I77" s="15">
        <f>IF($A77="","",IFERROR(SUMIF(tblAnahtarB[NormB],$A77,tblVeriB[TarifTlDesi]),0))</f>
        <v/>
      </c>
      <c r="J77" s="15">
        <f>IF($A77="","",IFERROR(SUMIF(tblAnahtarA[Norm],$A77,tblVeriA[Adet]),1))</f>
        <v/>
      </c>
      <c r="K77" s="15">
        <f>IF($A77="","",ROUND($H77*$I77,2))</f>
        <v/>
      </c>
      <c r="L77" s="15">
        <f>IF($A77="","",ROUND($K77*$J77*(1+$Q77*kdo_iadeEtkiCarpani),2))</f>
        <v/>
      </c>
      <c r="M77" s="15">
        <f>IF($A77="","",IFERROR(SUMIF(tblAnahtarB[NormB],$A77,tblVeriB[AlternatifTarif]),0))</f>
        <v/>
      </c>
      <c r="N77" s="15">
        <f>IF($A77="","",ROUND($H77*$M77*$J77*(1+$Q77*kdo_iadeEtkiCarpani),2))</f>
        <v/>
      </c>
      <c r="O77" s="15">
        <f>IF($A77="","",ROUND($L77-$N77,2))</f>
        <v/>
      </c>
      <c r="P77" s="15">
        <f>IF($A77="","",IF($R77&gt;kdo_esikDesiOran,"DESİ DÜŞÜR",IF($O77&gt;kdo_esikTasarruf,"TAŞIYICI DEĞİŞTİR","UYGUN")))</f>
        <v/>
      </c>
      <c r="Q77" s="15">
        <f>IF($A77="","",IFERROR(SUMIF(tblAnahtarB[NormB],$A77,tblVeriB[IadeOran]),0))</f>
        <v/>
      </c>
      <c r="R77" s="15">
        <f>IF(OR($A77="",$E77=0),0,$G77/$E77)</f>
        <v/>
      </c>
      <c r="S77" s="15">
        <f>IF($A77="","",$G77-$E77)</f>
        <v/>
      </c>
      <c r="T77" s="15">
        <f>IF($A77="","",$L77-$N77)</f>
        <v/>
      </c>
    </row>
    <row r="78">
      <c r="A78" s="15">
        <f>IF('ANAHTAR'!$B78="","",'ANAHTAR'!$B78)</f>
        <v/>
      </c>
      <c r="B78" s="15">
        <f>IF($A78="","",IFERROR(SUMIF(tblAnahtarA[Norm],$A78,tblVeriA[EnCm]),0))</f>
        <v/>
      </c>
      <c r="C78" s="15">
        <f>IF($A78="","",IFERROR(SUMIF(tblAnahtarA[Norm],$A78,tblVeriA[BoyCm]),0))</f>
        <v/>
      </c>
      <c r="D78" s="15">
        <f>IF($A78="","",IFERROR(SUMIF(tblAnahtarA[Norm],$A78,tblVeriA[YukseklikCm]),0))</f>
        <v/>
      </c>
      <c r="E78" s="15">
        <f>IF($A78="","",IFERROR(SUMIF(tblAnahtarA[Norm],$A78,tblVeriA[AgirlikKg]),0))</f>
        <v/>
      </c>
      <c r="F78" s="15">
        <f>IF($A78="","",IFERROR(SUMIF(tblAnahtarA[Norm],$A78,tblVeriA[DesiCarpani]),kdo_varsayilanDesiCarpani))</f>
        <v/>
      </c>
      <c r="G78" s="15">
        <f>IF($A78="","",ROUND($B78*$C78*$D78/MAX($F78,1),2))</f>
        <v/>
      </c>
      <c r="H78" s="15">
        <f>IF($A78="","",MAX($G78,$E78))</f>
        <v/>
      </c>
      <c r="I78" s="15">
        <f>IF($A78="","",IFERROR(SUMIF(tblAnahtarB[NormB],$A78,tblVeriB[TarifTlDesi]),0))</f>
        <v/>
      </c>
      <c r="J78" s="15">
        <f>IF($A78="","",IFERROR(SUMIF(tblAnahtarA[Norm],$A78,tblVeriA[Adet]),1))</f>
        <v/>
      </c>
      <c r="K78" s="15">
        <f>IF($A78="","",ROUND($H78*$I78,2))</f>
        <v/>
      </c>
      <c r="L78" s="15">
        <f>IF($A78="","",ROUND($K78*$J78*(1+$Q78*kdo_iadeEtkiCarpani),2))</f>
        <v/>
      </c>
      <c r="M78" s="15">
        <f>IF($A78="","",IFERROR(SUMIF(tblAnahtarB[NormB],$A78,tblVeriB[AlternatifTarif]),0))</f>
        <v/>
      </c>
      <c r="N78" s="15">
        <f>IF($A78="","",ROUND($H78*$M78*$J78*(1+$Q78*kdo_iadeEtkiCarpani),2))</f>
        <v/>
      </c>
      <c r="O78" s="15">
        <f>IF($A78="","",ROUND($L78-$N78,2))</f>
        <v/>
      </c>
      <c r="P78" s="15">
        <f>IF($A78="","",IF($R78&gt;kdo_esikDesiOran,"DESİ DÜŞÜR",IF($O78&gt;kdo_esikTasarruf,"TAŞIYICI DEĞİŞTİR","UYGUN")))</f>
        <v/>
      </c>
      <c r="Q78" s="15">
        <f>IF($A78="","",IFERROR(SUMIF(tblAnahtarB[NormB],$A78,tblVeriB[IadeOran]),0))</f>
        <v/>
      </c>
      <c r="R78" s="15">
        <f>IF(OR($A78="",$E78=0),0,$G78/$E78)</f>
        <v/>
      </c>
      <c r="S78" s="15">
        <f>IF($A78="","",$G78-$E78)</f>
        <v/>
      </c>
      <c r="T78" s="15">
        <f>IF($A78="","",$L78-$N78)</f>
        <v/>
      </c>
    </row>
    <row r="79">
      <c r="A79" s="15">
        <f>IF('ANAHTAR'!$B79="","",'ANAHTAR'!$B79)</f>
        <v/>
      </c>
      <c r="B79" s="15">
        <f>IF($A79="","",IFERROR(SUMIF(tblAnahtarA[Norm],$A79,tblVeriA[EnCm]),0))</f>
        <v/>
      </c>
      <c r="C79" s="15">
        <f>IF($A79="","",IFERROR(SUMIF(tblAnahtarA[Norm],$A79,tblVeriA[BoyCm]),0))</f>
        <v/>
      </c>
      <c r="D79" s="15">
        <f>IF($A79="","",IFERROR(SUMIF(tblAnahtarA[Norm],$A79,tblVeriA[YukseklikCm]),0))</f>
        <v/>
      </c>
      <c r="E79" s="15">
        <f>IF($A79="","",IFERROR(SUMIF(tblAnahtarA[Norm],$A79,tblVeriA[AgirlikKg]),0))</f>
        <v/>
      </c>
      <c r="F79" s="15">
        <f>IF($A79="","",IFERROR(SUMIF(tblAnahtarA[Norm],$A79,tblVeriA[DesiCarpani]),kdo_varsayilanDesiCarpani))</f>
        <v/>
      </c>
      <c r="G79" s="15">
        <f>IF($A79="","",ROUND($B79*$C79*$D79/MAX($F79,1),2))</f>
        <v/>
      </c>
      <c r="H79" s="15">
        <f>IF($A79="","",MAX($G79,$E79))</f>
        <v/>
      </c>
      <c r="I79" s="15">
        <f>IF($A79="","",IFERROR(SUMIF(tblAnahtarB[NormB],$A79,tblVeriB[TarifTlDesi]),0))</f>
        <v/>
      </c>
      <c r="J79" s="15">
        <f>IF($A79="","",IFERROR(SUMIF(tblAnahtarA[Norm],$A79,tblVeriA[Adet]),1))</f>
        <v/>
      </c>
      <c r="K79" s="15">
        <f>IF($A79="","",ROUND($H79*$I79,2))</f>
        <v/>
      </c>
      <c r="L79" s="15">
        <f>IF($A79="","",ROUND($K79*$J79*(1+$Q79*kdo_iadeEtkiCarpani),2))</f>
        <v/>
      </c>
      <c r="M79" s="15">
        <f>IF($A79="","",IFERROR(SUMIF(tblAnahtarB[NormB],$A79,tblVeriB[AlternatifTarif]),0))</f>
        <v/>
      </c>
      <c r="N79" s="15">
        <f>IF($A79="","",ROUND($H79*$M79*$J79*(1+$Q79*kdo_iadeEtkiCarpani),2))</f>
        <v/>
      </c>
      <c r="O79" s="15">
        <f>IF($A79="","",ROUND($L79-$N79,2))</f>
        <v/>
      </c>
      <c r="P79" s="15">
        <f>IF($A79="","",IF($R79&gt;kdo_esikDesiOran,"DESİ DÜŞÜR",IF($O79&gt;kdo_esikTasarruf,"TAŞIYICI DEĞİŞTİR","UYGUN")))</f>
        <v/>
      </c>
      <c r="Q79" s="15">
        <f>IF($A79="","",IFERROR(SUMIF(tblAnahtarB[NormB],$A79,tblVeriB[IadeOran]),0))</f>
        <v/>
      </c>
      <c r="R79" s="15">
        <f>IF(OR($A79="",$E79=0),0,$G79/$E79)</f>
        <v/>
      </c>
      <c r="S79" s="15">
        <f>IF($A79="","",$G79-$E79)</f>
        <v/>
      </c>
      <c r="T79" s="15">
        <f>IF($A79="","",$L79-$N79)</f>
        <v/>
      </c>
    </row>
    <row r="80">
      <c r="A80" s="15">
        <f>IF('ANAHTAR'!$B80="","",'ANAHTAR'!$B80)</f>
        <v/>
      </c>
      <c r="B80" s="15">
        <f>IF($A80="","",IFERROR(SUMIF(tblAnahtarA[Norm],$A80,tblVeriA[EnCm]),0))</f>
        <v/>
      </c>
      <c r="C80" s="15">
        <f>IF($A80="","",IFERROR(SUMIF(tblAnahtarA[Norm],$A80,tblVeriA[BoyCm]),0))</f>
        <v/>
      </c>
      <c r="D80" s="15">
        <f>IF($A80="","",IFERROR(SUMIF(tblAnahtarA[Norm],$A80,tblVeriA[YukseklikCm]),0))</f>
        <v/>
      </c>
      <c r="E80" s="15">
        <f>IF($A80="","",IFERROR(SUMIF(tblAnahtarA[Norm],$A80,tblVeriA[AgirlikKg]),0))</f>
        <v/>
      </c>
      <c r="F80" s="15">
        <f>IF($A80="","",IFERROR(SUMIF(tblAnahtarA[Norm],$A80,tblVeriA[DesiCarpani]),kdo_varsayilanDesiCarpani))</f>
        <v/>
      </c>
      <c r="G80" s="15">
        <f>IF($A80="","",ROUND($B80*$C80*$D80/MAX($F80,1),2))</f>
        <v/>
      </c>
      <c r="H80" s="15">
        <f>IF($A80="","",MAX($G80,$E80))</f>
        <v/>
      </c>
      <c r="I80" s="15">
        <f>IF($A80="","",IFERROR(SUMIF(tblAnahtarB[NormB],$A80,tblVeriB[TarifTlDesi]),0))</f>
        <v/>
      </c>
      <c r="J80" s="15">
        <f>IF($A80="","",IFERROR(SUMIF(tblAnahtarA[Norm],$A80,tblVeriA[Adet]),1))</f>
        <v/>
      </c>
      <c r="K80" s="15">
        <f>IF($A80="","",ROUND($H80*$I80,2))</f>
        <v/>
      </c>
      <c r="L80" s="15">
        <f>IF($A80="","",ROUND($K80*$J80*(1+$Q80*kdo_iadeEtkiCarpani),2))</f>
        <v/>
      </c>
      <c r="M80" s="15">
        <f>IF($A80="","",IFERROR(SUMIF(tblAnahtarB[NormB],$A80,tblVeriB[AlternatifTarif]),0))</f>
        <v/>
      </c>
      <c r="N80" s="15">
        <f>IF($A80="","",ROUND($H80*$M80*$J80*(1+$Q80*kdo_iadeEtkiCarpani),2))</f>
        <v/>
      </c>
      <c r="O80" s="15">
        <f>IF($A80="","",ROUND($L80-$N80,2))</f>
        <v/>
      </c>
      <c r="P80" s="15">
        <f>IF($A80="","",IF($R80&gt;kdo_esikDesiOran,"DESİ DÜŞÜR",IF($O80&gt;kdo_esikTasarruf,"TAŞIYICI DEĞİŞTİR","UYGUN")))</f>
        <v/>
      </c>
      <c r="Q80" s="15">
        <f>IF($A80="","",IFERROR(SUMIF(tblAnahtarB[NormB],$A80,tblVeriB[IadeOran]),0))</f>
        <v/>
      </c>
      <c r="R80" s="15">
        <f>IF(OR($A80="",$E80=0),0,$G80/$E80)</f>
        <v/>
      </c>
      <c r="S80" s="15">
        <f>IF($A80="","",$G80-$E80)</f>
        <v/>
      </c>
      <c r="T80" s="15">
        <f>IF($A80="","",$L80-$N80)</f>
        <v/>
      </c>
    </row>
    <row r="81">
      <c r="A81" s="15">
        <f>IF('ANAHTAR'!$B81="","",'ANAHTAR'!$B81)</f>
        <v/>
      </c>
      <c r="B81" s="15">
        <f>IF($A81="","",IFERROR(SUMIF(tblAnahtarA[Norm],$A81,tblVeriA[EnCm]),0))</f>
        <v/>
      </c>
      <c r="C81" s="15">
        <f>IF($A81="","",IFERROR(SUMIF(tblAnahtarA[Norm],$A81,tblVeriA[BoyCm]),0))</f>
        <v/>
      </c>
      <c r="D81" s="15">
        <f>IF($A81="","",IFERROR(SUMIF(tblAnahtarA[Norm],$A81,tblVeriA[YukseklikCm]),0))</f>
        <v/>
      </c>
      <c r="E81" s="15">
        <f>IF($A81="","",IFERROR(SUMIF(tblAnahtarA[Norm],$A81,tblVeriA[AgirlikKg]),0))</f>
        <v/>
      </c>
      <c r="F81" s="15">
        <f>IF($A81="","",IFERROR(SUMIF(tblAnahtarA[Norm],$A81,tblVeriA[DesiCarpani]),kdo_varsayilanDesiCarpani))</f>
        <v/>
      </c>
      <c r="G81" s="15">
        <f>IF($A81="","",ROUND($B81*$C81*$D81/MAX($F81,1),2))</f>
        <v/>
      </c>
      <c r="H81" s="15">
        <f>IF($A81="","",MAX($G81,$E81))</f>
        <v/>
      </c>
      <c r="I81" s="15">
        <f>IF($A81="","",IFERROR(SUMIF(tblAnahtarB[NormB],$A81,tblVeriB[TarifTlDesi]),0))</f>
        <v/>
      </c>
      <c r="J81" s="15">
        <f>IF($A81="","",IFERROR(SUMIF(tblAnahtarA[Norm],$A81,tblVeriA[Adet]),1))</f>
        <v/>
      </c>
      <c r="K81" s="15">
        <f>IF($A81="","",ROUND($H81*$I81,2))</f>
        <v/>
      </c>
      <c r="L81" s="15">
        <f>IF($A81="","",ROUND($K81*$J81*(1+$Q81*kdo_iadeEtkiCarpani),2))</f>
        <v/>
      </c>
      <c r="M81" s="15">
        <f>IF($A81="","",IFERROR(SUMIF(tblAnahtarB[NormB],$A81,tblVeriB[AlternatifTarif]),0))</f>
        <v/>
      </c>
      <c r="N81" s="15">
        <f>IF($A81="","",ROUND($H81*$M81*$J81*(1+$Q81*kdo_iadeEtkiCarpani),2))</f>
        <v/>
      </c>
      <c r="O81" s="15">
        <f>IF($A81="","",ROUND($L81-$N81,2))</f>
        <v/>
      </c>
      <c r="P81" s="15">
        <f>IF($A81="","",IF($R81&gt;kdo_esikDesiOran,"DESİ DÜŞÜR",IF($O81&gt;kdo_esikTasarruf,"TAŞIYICI DEĞİŞTİR","UYGUN")))</f>
        <v/>
      </c>
      <c r="Q81" s="15">
        <f>IF($A81="","",IFERROR(SUMIF(tblAnahtarB[NormB],$A81,tblVeriB[IadeOran]),0))</f>
        <v/>
      </c>
      <c r="R81" s="15">
        <f>IF(OR($A81="",$E81=0),0,$G81/$E81)</f>
        <v/>
      </c>
      <c r="S81" s="15">
        <f>IF($A81="","",$G81-$E81)</f>
        <v/>
      </c>
      <c r="T81" s="15">
        <f>IF($A81="","",$L81-$N81)</f>
        <v/>
      </c>
    </row>
    <row r="82">
      <c r="A82" s="15">
        <f>IF('ANAHTAR'!$B82="","",'ANAHTAR'!$B82)</f>
        <v/>
      </c>
      <c r="B82" s="15">
        <f>IF($A82="","",IFERROR(SUMIF(tblAnahtarA[Norm],$A82,tblVeriA[EnCm]),0))</f>
        <v/>
      </c>
      <c r="C82" s="15">
        <f>IF($A82="","",IFERROR(SUMIF(tblAnahtarA[Norm],$A82,tblVeriA[BoyCm]),0))</f>
        <v/>
      </c>
      <c r="D82" s="15">
        <f>IF($A82="","",IFERROR(SUMIF(tblAnahtarA[Norm],$A82,tblVeriA[YukseklikCm]),0))</f>
        <v/>
      </c>
      <c r="E82" s="15">
        <f>IF($A82="","",IFERROR(SUMIF(tblAnahtarA[Norm],$A82,tblVeriA[AgirlikKg]),0))</f>
        <v/>
      </c>
      <c r="F82" s="15">
        <f>IF($A82="","",IFERROR(SUMIF(tblAnahtarA[Norm],$A82,tblVeriA[DesiCarpani]),kdo_varsayilanDesiCarpani))</f>
        <v/>
      </c>
      <c r="G82" s="15">
        <f>IF($A82="","",ROUND($B82*$C82*$D82/MAX($F82,1),2))</f>
        <v/>
      </c>
      <c r="H82" s="15">
        <f>IF($A82="","",MAX($G82,$E82))</f>
        <v/>
      </c>
      <c r="I82" s="15">
        <f>IF($A82="","",IFERROR(SUMIF(tblAnahtarB[NormB],$A82,tblVeriB[TarifTlDesi]),0))</f>
        <v/>
      </c>
      <c r="J82" s="15">
        <f>IF($A82="","",IFERROR(SUMIF(tblAnahtarA[Norm],$A82,tblVeriA[Adet]),1))</f>
        <v/>
      </c>
      <c r="K82" s="15">
        <f>IF($A82="","",ROUND($H82*$I82,2))</f>
        <v/>
      </c>
      <c r="L82" s="15">
        <f>IF($A82="","",ROUND($K82*$J82*(1+$Q82*kdo_iadeEtkiCarpani),2))</f>
        <v/>
      </c>
      <c r="M82" s="15">
        <f>IF($A82="","",IFERROR(SUMIF(tblAnahtarB[NormB],$A82,tblVeriB[AlternatifTarif]),0))</f>
        <v/>
      </c>
      <c r="N82" s="15">
        <f>IF($A82="","",ROUND($H82*$M82*$J82*(1+$Q82*kdo_iadeEtkiCarpani),2))</f>
        <v/>
      </c>
      <c r="O82" s="15">
        <f>IF($A82="","",ROUND($L82-$N82,2))</f>
        <v/>
      </c>
      <c r="P82" s="15">
        <f>IF($A82="","",IF($R82&gt;kdo_esikDesiOran,"DESİ DÜŞÜR",IF($O82&gt;kdo_esikTasarruf,"TAŞIYICI DEĞİŞTİR","UYGUN")))</f>
        <v/>
      </c>
      <c r="Q82" s="15">
        <f>IF($A82="","",IFERROR(SUMIF(tblAnahtarB[NormB],$A82,tblVeriB[IadeOran]),0))</f>
        <v/>
      </c>
      <c r="R82" s="15">
        <f>IF(OR($A82="",$E82=0),0,$G82/$E82)</f>
        <v/>
      </c>
      <c r="S82" s="15">
        <f>IF($A82="","",$G82-$E82)</f>
        <v/>
      </c>
      <c r="T82" s="15">
        <f>IF($A82="","",$L82-$N82)</f>
        <v/>
      </c>
    </row>
    <row r="83">
      <c r="A83" s="15">
        <f>IF('ANAHTAR'!$B83="","",'ANAHTAR'!$B83)</f>
        <v/>
      </c>
      <c r="B83" s="15">
        <f>IF($A83="","",IFERROR(SUMIF(tblAnahtarA[Norm],$A83,tblVeriA[EnCm]),0))</f>
        <v/>
      </c>
      <c r="C83" s="15">
        <f>IF($A83="","",IFERROR(SUMIF(tblAnahtarA[Norm],$A83,tblVeriA[BoyCm]),0))</f>
        <v/>
      </c>
      <c r="D83" s="15">
        <f>IF($A83="","",IFERROR(SUMIF(tblAnahtarA[Norm],$A83,tblVeriA[YukseklikCm]),0))</f>
        <v/>
      </c>
      <c r="E83" s="15">
        <f>IF($A83="","",IFERROR(SUMIF(tblAnahtarA[Norm],$A83,tblVeriA[AgirlikKg]),0))</f>
        <v/>
      </c>
      <c r="F83" s="15">
        <f>IF($A83="","",IFERROR(SUMIF(tblAnahtarA[Norm],$A83,tblVeriA[DesiCarpani]),kdo_varsayilanDesiCarpani))</f>
        <v/>
      </c>
      <c r="G83" s="15">
        <f>IF($A83="","",ROUND($B83*$C83*$D83/MAX($F83,1),2))</f>
        <v/>
      </c>
      <c r="H83" s="15">
        <f>IF($A83="","",MAX($G83,$E83))</f>
        <v/>
      </c>
      <c r="I83" s="15">
        <f>IF($A83="","",IFERROR(SUMIF(tblAnahtarB[NormB],$A83,tblVeriB[TarifTlDesi]),0))</f>
        <v/>
      </c>
      <c r="J83" s="15">
        <f>IF($A83="","",IFERROR(SUMIF(tblAnahtarA[Norm],$A83,tblVeriA[Adet]),1))</f>
        <v/>
      </c>
      <c r="K83" s="15">
        <f>IF($A83="","",ROUND($H83*$I83,2))</f>
        <v/>
      </c>
      <c r="L83" s="15">
        <f>IF($A83="","",ROUND($K83*$J83*(1+$Q83*kdo_iadeEtkiCarpani),2))</f>
        <v/>
      </c>
      <c r="M83" s="15">
        <f>IF($A83="","",IFERROR(SUMIF(tblAnahtarB[NormB],$A83,tblVeriB[AlternatifTarif]),0))</f>
        <v/>
      </c>
      <c r="N83" s="15">
        <f>IF($A83="","",ROUND($H83*$M83*$J83*(1+$Q83*kdo_iadeEtkiCarpani),2))</f>
        <v/>
      </c>
      <c r="O83" s="15">
        <f>IF($A83="","",ROUND($L83-$N83,2))</f>
        <v/>
      </c>
      <c r="P83" s="15">
        <f>IF($A83="","",IF($R83&gt;kdo_esikDesiOran,"DESİ DÜŞÜR",IF($O83&gt;kdo_esikTasarruf,"TAŞIYICI DEĞİŞTİR","UYGUN")))</f>
        <v/>
      </c>
      <c r="Q83" s="15">
        <f>IF($A83="","",IFERROR(SUMIF(tblAnahtarB[NormB],$A83,tblVeriB[IadeOran]),0))</f>
        <v/>
      </c>
      <c r="R83" s="15">
        <f>IF(OR($A83="",$E83=0),0,$G83/$E83)</f>
        <v/>
      </c>
      <c r="S83" s="15">
        <f>IF($A83="","",$G83-$E83)</f>
        <v/>
      </c>
      <c r="T83" s="15">
        <f>IF($A83="","",$L83-$N83)</f>
        <v/>
      </c>
    </row>
    <row r="84">
      <c r="A84" s="15">
        <f>IF('ANAHTAR'!$B84="","",'ANAHTAR'!$B84)</f>
        <v/>
      </c>
      <c r="B84" s="15">
        <f>IF($A84="","",IFERROR(SUMIF(tblAnahtarA[Norm],$A84,tblVeriA[EnCm]),0))</f>
        <v/>
      </c>
      <c r="C84" s="15">
        <f>IF($A84="","",IFERROR(SUMIF(tblAnahtarA[Norm],$A84,tblVeriA[BoyCm]),0))</f>
        <v/>
      </c>
      <c r="D84" s="15">
        <f>IF($A84="","",IFERROR(SUMIF(tblAnahtarA[Norm],$A84,tblVeriA[YukseklikCm]),0))</f>
        <v/>
      </c>
      <c r="E84" s="15">
        <f>IF($A84="","",IFERROR(SUMIF(tblAnahtarA[Norm],$A84,tblVeriA[AgirlikKg]),0))</f>
        <v/>
      </c>
      <c r="F84" s="15">
        <f>IF($A84="","",IFERROR(SUMIF(tblAnahtarA[Norm],$A84,tblVeriA[DesiCarpani]),kdo_varsayilanDesiCarpani))</f>
        <v/>
      </c>
      <c r="G84" s="15">
        <f>IF($A84="","",ROUND($B84*$C84*$D84/MAX($F84,1),2))</f>
        <v/>
      </c>
      <c r="H84" s="15">
        <f>IF($A84="","",MAX($G84,$E84))</f>
        <v/>
      </c>
      <c r="I84" s="15">
        <f>IF($A84="","",IFERROR(SUMIF(tblAnahtarB[NormB],$A84,tblVeriB[TarifTlDesi]),0))</f>
        <v/>
      </c>
      <c r="J84" s="15">
        <f>IF($A84="","",IFERROR(SUMIF(tblAnahtarA[Norm],$A84,tblVeriA[Adet]),1))</f>
        <v/>
      </c>
      <c r="K84" s="15">
        <f>IF($A84="","",ROUND($H84*$I84,2))</f>
        <v/>
      </c>
      <c r="L84" s="15">
        <f>IF($A84="","",ROUND($K84*$J84*(1+$Q84*kdo_iadeEtkiCarpani),2))</f>
        <v/>
      </c>
      <c r="M84" s="15">
        <f>IF($A84="","",IFERROR(SUMIF(tblAnahtarB[NormB],$A84,tblVeriB[AlternatifTarif]),0))</f>
        <v/>
      </c>
      <c r="N84" s="15">
        <f>IF($A84="","",ROUND($H84*$M84*$J84*(1+$Q84*kdo_iadeEtkiCarpani),2))</f>
        <v/>
      </c>
      <c r="O84" s="15">
        <f>IF($A84="","",ROUND($L84-$N84,2))</f>
        <v/>
      </c>
      <c r="P84" s="15">
        <f>IF($A84="","",IF($R84&gt;kdo_esikDesiOran,"DESİ DÜŞÜR",IF($O84&gt;kdo_esikTasarruf,"TAŞIYICI DEĞİŞTİR","UYGUN")))</f>
        <v/>
      </c>
      <c r="Q84" s="15">
        <f>IF($A84="","",IFERROR(SUMIF(tblAnahtarB[NormB],$A84,tblVeriB[IadeOran]),0))</f>
        <v/>
      </c>
      <c r="R84" s="15">
        <f>IF(OR($A84="",$E84=0),0,$G84/$E84)</f>
        <v/>
      </c>
      <c r="S84" s="15">
        <f>IF($A84="","",$G84-$E84)</f>
        <v/>
      </c>
      <c r="T84" s="15">
        <f>IF($A84="","",$L84-$N84)</f>
        <v/>
      </c>
    </row>
    <row r="85">
      <c r="A85" s="15">
        <f>IF('ANAHTAR'!$B85="","",'ANAHTAR'!$B85)</f>
        <v/>
      </c>
      <c r="B85" s="15">
        <f>IF($A85="","",IFERROR(SUMIF(tblAnahtarA[Norm],$A85,tblVeriA[EnCm]),0))</f>
        <v/>
      </c>
      <c r="C85" s="15">
        <f>IF($A85="","",IFERROR(SUMIF(tblAnahtarA[Norm],$A85,tblVeriA[BoyCm]),0))</f>
        <v/>
      </c>
      <c r="D85" s="15">
        <f>IF($A85="","",IFERROR(SUMIF(tblAnahtarA[Norm],$A85,tblVeriA[YukseklikCm]),0))</f>
        <v/>
      </c>
      <c r="E85" s="15">
        <f>IF($A85="","",IFERROR(SUMIF(tblAnahtarA[Norm],$A85,tblVeriA[AgirlikKg]),0))</f>
        <v/>
      </c>
      <c r="F85" s="15">
        <f>IF($A85="","",IFERROR(SUMIF(tblAnahtarA[Norm],$A85,tblVeriA[DesiCarpani]),kdo_varsayilanDesiCarpani))</f>
        <v/>
      </c>
      <c r="G85" s="15">
        <f>IF($A85="","",ROUND($B85*$C85*$D85/MAX($F85,1),2))</f>
        <v/>
      </c>
      <c r="H85" s="15">
        <f>IF($A85="","",MAX($G85,$E85))</f>
        <v/>
      </c>
      <c r="I85" s="15">
        <f>IF($A85="","",IFERROR(SUMIF(tblAnahtarB[NormB],$A85,tblVeriB[TarifTlDesi]),0))</f>
        <v/>
      </c>
      <c r="J85" s="15">
        <f>IF($A85="","",IFERROR(SUMIF(tblAnahtarA[Norm],$A85,tblVeriA[Adet]),1))</f>
        <v/>
      </c>
      <c r="K85" s="15">
        <f>IF($A85="","",ROUND($H85*$I85,2))</f>
        <v/>
      </c>
      <c r="L85" s="15">
        <f>IF($A85="","",ROUND($K85*$J85*(1+$Q85*kdo_iadeEtkiCarpani),2))</f>
        <v/>
      </c>
      <c r="M85" s="15">
        <f>IF($A85="","",IFERROR(SUMIF(tblAnahtarB[NormB],$A85,tblVeriB[AlternatifTarif]),0))</f>
        <v/>
      </c>
      <c r="N85" s="15">
        <f>IF($A85="","",ROUND($H85*$M85*$J85*(1+$Q85*kdo_iadeEtkiCarpani),2))</f>
        <v/>
      </c>
      <c r="O85" s="15">
        <f>IF($A85="","",ROUND($L85-$N85,2))</f>
        <v/>
      </c>
      <c r="P85" s="15">
        <f>IF($A85="","",IF($R85&gt;kdo_esikDesiOran,"DESİ DÜŞÜR",IF($O85&gt;kdo_esikTasarruf,"TAŞIYICI DEĞİŞTİR","UYGUN")))</f>
        <v/>
      </c>
      <c r="Q85" s="15">
        <f>IF($A85="","",IFERROR(SUMIF(tblAnahtarB[NormB],$A85,tblVeriB[IadeOran]),0))</f>
        <v/>
      </c>
      <c r="R85" s="15">
        <f>IF(OR($A85="",$E85=0),0,$G85/$E85)</f>
        <v/>
      </c>
      <c r="S85" s="15">
        <f>IF($A85="","",$G85-$E85)</f>
        <v/>
      </c>
      <c r="T85" s="15">
        <f>IF($A85="","",$L85-$N85)</f>
        <v/>
      </c>
    </row>
    <row r="86">
      <c r="A86" s="15">
        <f>IF('ANAHTAR'!$B86="","",'ANAHTAR'!$B86)</f>
        <v/>
      </c>
      <c r="B86" s="15">
        <f>IF($A86="","",IFERROR(SUMIF(tblAnahtarA[Norm],$A86,tblVeriA[EnCm]),0))</f>
        <v/>
      </c>
      <c r="C86" s="15">
        <f>IF($A86="","",IFERROR(SUMIF(tblAnahtarA[Norm],$A86,tblVeriA[BoyCm]),0))</f>
        <v/>
      </c>
      <c r="D86" s="15">
        <f>IF($A86="","",IFERROR(SUMIF(tblAnahtarA[Norm],$A86,tblVeriA[YukseklikCm]),0))</f>
        <v/>
      </c>
      <c r="E86" s="15">
        <f>IF($A86="","",IFERROR(SUMIF(tblAnahtarA[Norm],$A86,tblVeriA[AgirlikKg]),0))</f>
        <v/>
      </c>
      <c r="F86" s="15">
        <f>IF($A86="","",IFERROR(SUMIF(tblAnahtarA[Norm],$A86,tblVeriA[DesiCarpani]),kdo_varsayilanDesiCarpani))</f>
        <v/>
      </c>
      <c r="G86" s="15">
        <f>IF($A86="","",ROUND($B86*$C86*$D86/MAX($F86,1),2))</f>
        <v/>
      </c>
      <c r="H86" s="15">
        <f>IF($A86="","",MAX($G86,$E86))</f>
        <v/>
      </c>
      <c r="I86" s="15">
        <f>IF($A86="","",IFERROR(SUMIF(tblAnahtarB[NormB],$A86,tblVeriB[TarifTlDesi]),0))</f>
        <v/>
      </c>
      <c r="J86" s="15">
        <f>IF($A86="","",IFERROR(SUMIF(tblAnahtarA[Norm],$A86,tblVeriA[Adet]),1))</f>
        <v/>
      </c>
      <c r="K86" s="15">
        <f>IF($A86="","",ROUND($H86*$I86,2))</f>
        <v/>
      </c>
      <c r="L86" s="15">
        <f>IF($A86="","",ROUND($K86*$J86*(1+$Q86*kdo_iadeEtkiCarpani),2))</f>
        <v/>
      </c>
      <c r="M86" s="15">
        <f>IF($A86="","",IFERROR(SUMIF(tblAnahtarB[NormB],$A86,tblVeriB[AlternatifTarif]),0))</f>
        <v/>
      </c>
      <c r="N86" s="15">
        <f>IF($A86="","",ROUND($H86*$M86*$J86*(1+$Q86*kdo_iadeEtkiCarpani),2))</f>
        <v/>
      </c>
      <c r="O86" s="15">
        <f>IF($A86="","",ROUND($L86-$N86,2))</f>
        <v/>
      </c>
      <c r="P86" s="15">
        <f>IF($A86="","",IF($R86&gt;kdo_esikDesiOran,"DESİ DÜŞÜR",IF($O86&gt;kdo_esikTasarruf,"TAŞIYICI DEĞİŞTİR","UYGUN")))</f>
        <v/>
      </c>
      <c r="Q86" s="15">
        <f>IF($A86="","",IFERROR(SUMIF(tblAnahtarB[NormB],$A86,tblVeriB[IadeOran]),0))</f>
        <v/>
      </c>
      <c r="R86" s="15">
        <f>IF(OR($A86="",$E86=0),0,$G86/$E86)</f>
        <v/>
      </c>
      <c r="S86" s="15">
        <f>IF($A86="","",$G86-$E86)</f>
        <v/>
      </c>
      <c r="T86" s="15">
        <f>IF($A86="","",$L86-$N86)</f>
        <v/>
      </c>
    </row>
    <row r="87">
      <c r="A87" s="15">
        <f>IF('ANAHTAR'!$B87="","",'ANAHTAR'!$B87)</f>
        <v/>
      </c>
      <c r="B87" s="15">
        <f>IF($A87="","",IFERROR(SUMIF(tblAnahtarA[Norm],$A87,tblVeriA[EnCm]),0))</f>
        <v/>
      </c>
      <c r="C87" s="15">
        <f>IF($A87="","",IFERROR(SUMIF(tblAnahtarA[Norm],$A87,tblVeriA[BoyCm]),0))</f>
        <v/>
      </c>
      <c r="D87" s="15">
        <f>IF($A87="","",IFERROR(SUMIF(tblAnahtarA[Norm],$A87,tblVeriA[YukseklikCm]),0))</f>
        <v/>
      </c>
      <c r="E87" s="15">
        <f>IF($A87="","",IFERROR(SUMIF(tblAnahtarA[Norm],$A87,tblVeriA[AgirlikKg]),0))</f>
        <v/>
      </c>
      <c r="F87" s="15">
        <f>IF($A87="","",IFERROR(SUMIF(tblAnahtarA[Norm],$A87,tblVeriA[DesiCarpani]),kdo_varsayilanDesiCarpani))</f>
        <v/>
      </c>
      <c r="G87" s="15">
        <f>IF($A87="","",ROUND($B87*$C87*$D87/MAX($F87,1),2))</f>
        <v/>
      </c>
      <c r="H87" s="15">
        <f>IF($A87="","",MAX($G87,$E87))</f>
        <v/>
      </c>
      <c r="I87" s="15">
        <f>IF($A87="","",IFERROR(SUMIF(tblAnahtarB[NormB],$A87,tblVeriB[TarifTlDesi]),0))</f>
        <v/>
      </c>
      <c r="J87" s="15">
        <f>IF($A87="","",IFERROR(SUMIF(tblAnahtarA[Norm],$A87,tblVeriA[Adet]),1))</f>
        <v/>
      </c>
      <c r="K87" s="15">
        <f>IF($A87="","",ROUND($H87*$I87,2))</f>
        <v/>
      </c>
      <c r="L87" s="15">
        <f>IF($A87="","",ROUND($K87*$J87*(1+$Q87*kdo_iadeEtkiCarpani),2))</f>
        <v/>
      </c>
      <c r="M87" s="15">
        <f>IF($A87="","",IFERROR(SUMIF(tblAnahtarB[NormB],$A87,tblVeriB[AlternatifTarif]),0))</f>
        <v/>
      </c>
      <c r="N87" s="15">
        <f>IF($A87="","",ROUND($H87*$M87*$J87*(1+$Q87*kdo_iadeEtkiCarpani),2))</f>
        <v/>
      </c>
      <c r="O87" s="15">
        <f>IF($A87="","",ROUND($L87-$N87,2))</f>
        <v/>
      </c>
      <c r="P87" s="15">
        <f>IF($A87="","",IF($R87&gt;kdo_esikDesiOran,"DESİ DÜŞÜR",IF($O87&gt;kdo_esikTasarruf,"TAŞIYICI DEĞİŞTİR","UYGUN")))</f>
        <v/>
      </c>
      <c r="Q87" s="15">
        <f>IF($A87="","",IFERROR(SUMIF(tblAnahtarB[NormB],$A87,tblVeriB[IadeOran]),0))</f>
        <v/>
      </c>
      <c r="R87" s="15">
        <f>IF(OR($A87="",$E87=0),0,$G87/$E87)</f>
        <v/>
      </c>
      <c r="S87" s="15">
        <f>IF($A87="","",$G87-$E87)</f>
        <v/>
      </c>
      <c r="T87" s="15">
        <f>IF($A87="","",$L87-$N87)</f>
        <v/>
      </c>
    </row>
    <row r="88">
      <c r="A88" s="15">
        <f>IF('ANAHTAR'!$B88="","",'ANAHTAR'!$B88)</f>
        <v/>
      </c>
      <c r="B88" s="15">
        <f>IF($A88="","",IFERROR(SUMIF(tblAnahtarA[Norm],$A88,tblVeriA[EnCm]),0))</f>
        <v/>
      </c>
      <c r="C88" s="15">
        <f>IF($A88="","",IFERROR(SUMIF(tblAnahtarA[Norm],$A88,tblVeriA[BoyCm]),0))</f>
        <v/>
      </c>
      <c r="D88" s="15">
        <f>IF($A88="","",IFERROR(SUMIF(tblAnahtarA[Norm],$A88,tblVeriA[YukseklikCm]),0))</f>
        <v/>
      </c>
      <c r="E88" s="15">
        <f>IF($A88="","",IFERROR(SUMIF(tblAnahtarA[Norm],$A88,tblVeriA[AgirlikKg]),0))</f>
        <v/>
      </c>
      <c r="F88" s="15">
        <f>IF($A88="","",IFERROR(SUMIF(tblAnahtarA[Norm],$A88,tblVeriA[DesiCarpani]),kdo_varsayilanDesiCarpani))</f>
        <v/>
      </c>
      <c r="G88" s="15">
        <f>IF($A88="","",ROUND($B88*$C88*$D88/MAX($F88,1),2))</f>
        <v/>
      </c>
      <c r="H88" s="15">
        <f>IF($A88="","",MAX($G88,$E88))</f>
        <v/>
      </c>
      <c r="I88" s="15">
        <f>IF($A88="","",IFERROR(SUMIF(tblAnahtarB[NormB],$A88,tblVeriB[TarifTlDesi]),0))</f>
        <v/>
      </c>
      <c r="J88" s="15">
        <f>IF($A88="","",IFERROR(SUMIF(tblAnahtarA[Norm],$A88,tblVeriA[Adet]),1))</f>
        <v/>
      </c>
      <c r="K88" s="15">
        <f>IF($A88="","",ROUND($H88*$I88,2))</f>
        <v/>
      </c>
      <c r="L88" s="15">
        <f>IF($A88="","",ROUND($K88*$J88*(1+$Q88*kdo_iadeEtkiCarpani),2))</f>
        <v/>
      </c>
      <c r="M88" s="15">
        <f>IF($A88="","",IFERROR(SUMIF(tblAnahtarB[NormB],$A88,tblVeriB[AlternatifTarif]),0))</f>
        <v/>
      </c>
      <c r="N88" s="15">
        <f>IF($A88="","",ROUND($H88*$M88*$J88*(1+$Q88*kdo_iadeEtkiCarpani),2))</f>
        <v/>
      </c>
      <c r="O88" s="15">
        <f>IF($A88="","",ROUND($L88-$N88,2))</f>
        <v/>
      </c>
      <c r="P88" s="15">
        <f>IF($A88="","",IF($R88&gt;kdo_esikDesiOran,"DESİ DÜŞÜR",IF($O88&gt;kdo_esikTasarruf,"TAŞIYICI DEĞİŞTİR","UYGUN")))</f>
        <v/>
      </c>
      <c r="Q88" s="15">
        <f>IF($A88="","",IFERROR(SUMIF(tblAnahtarB[NormB],$A88,tblVeriB[IadeOran]),0))</f>
        <v/>
      </c>
      <c r="R88" s="15">
        <f>IF(OR($A88="",$E88=0),0,$G88/$E88)</f>
        <v/>
      </c>
      <c r="S88" s="15">
        <f>IF($A88="","",$G88-$E88)</f>
        <v/>
      </c>
      <c r="T88" s="15">
        <f>IF($A88="","",$L88-$N88)</f>
        <v/>
      </c>
    </row>
    <row r="89">
      <c r="A89" s="15">
        <f>IF('ANAHTAR'!$B89="","",'ANAHTAR'!$B89)</f>
        <v/>
      </c>
      <c r="B89" s="15">
        <f>IF($A89="","",IFERROR(SUMIF(tblAnahtarA[Norm],$A89,tblVeriA[EnCm]),0))</f>
        <v/>
      </c>
      <c r="C89" s="15">
        <f>IF($A89="","",IFERROR(SUMIF(tblAnahtarA[Norm],$A89,tblVeriA[BoyCm]),0))</f>
        <v/>
      </c>
      <c r="D89" s="15">
        <f>IF($A89="","",IFERROR(SUMIF(tblAnahtarA[Norm],$A89,tblVeriA[YukseklikCm]),0))</f>
        <v/>
      </c>
      <c r="E89" s="15">
        <f>IF($A89="","",IFERROR(SUMIF(tblAnahtarA[Norm],$A89,tblVeriA[AgirlikKg]),0))</f>
        <v/>
      </c>
      <c r="F89" s="15">
        <f>IF($A89="","",IFERROR(SUMIF(tblAnahtarA[Norm],$A89,tblVeriA[DesiCarpani]),kdo_varsayilanDesiCarpani))</f>
        <v/>
      </c>
      <c r="G89" s="15">
        <f>IF($A89="","",ROUND($B89*$C89*$D89/MAX($F89,1),2))</f>
        <v/>
      </c>
      <c r="H89" s="15">
        <f>IF($A89="","",MAX($G89,$E89))</f>
        <v/>
      </c>
      <c r="I89" s="15">
        <f>IF($A89="","",IFERROR(SUMIF(tblAnahtarB[NormB],$A89,tblVeriB[TarifTlDesi]),0))</f>
        <v/>
      </c>
      <c r="J89" s="15">
        <f>IF($A89="","",IFERROR(SUMIF(tblAnahtarA[Norm],$A89,tblVeriA[Adet]),1))</f>
        <v/>
      </c>
      <c r="K89" s="15">
        <f>IF($A89="","",ROUND($H89*$I89,2))</f>
        <v/>
      </c>
      <c r="L89" s="15">
        <f>IF($A89="","",ROUND($K89*$J89*(1+$Q89*kdo_iadeEtkiCarpani),2))</f>
        <v/>
      </c>
      <c r="M89" s="15">
        <f>IF($A89="","",IFERROR(SUMIF(tblAnahtarB[NormB],$A89,tblVeriB[AlternatifTarif]),0))</f>
        <v/>
      </c>
      <c r="N89" s="15">
        <f>IF($A89="","",ROUND($H89*$M89*$J89*(1+$Q89*kdo_iadeEtkiCarpani),2))</f>
        <v/>
      </c>
      <c r="O89" s="15">
        <f>IF($A89="","",ROUND($L89-$N89,2))</f>
        <v/>
      </c>
      <c r="P89" s="15">
        <f>IF($A89="","",IF($R89&gt;kdo_esikDesiOran,"DESİ DÜŞÜR",IF($O89&gt;kdo_esikTasarruf,"TAŞIYICI DEĞİŞTİR","UYGUN")))</f>
        <v/>
      </c>
      <c r="Q89" s="15">
        <f>IF($A89="","",IFERROR(SUMIF(tblAnahtarB[NormB],$A89,tblVeriB[IadeOran]),0))</f>
        <v/>
      </c>
      <c r="R89" s="15">
        <f>IF(OR($A89="",$E89=0),0,$G89/$E89)</f>
        <v/>
      </c>
      <c r="S89" s="15">
        <f>IF($A89="","",$G89-$E89)</f>
        <v/>
      </c>
      <c r="T89" s="15">
        <f>IF($A89="","",$L89-$N89)</f>
        <v/>
      </c>
    </row>
    <row r="90">
      <c r="A90" s="15">
        <f>IF('ANAHTAR'!$B90="","",'ANAHTAR'!$B90)</f>
        <v/>
      </c>
      <c r="B90" s="15">
        <f>IF($A90="","",IFERROR(SUMIF(tblAnahtarA[Norm],$A90,tblVeriA[EnCm]),0))</f>
        <v/>
      </c>
      <c r="C90" s="15">
        <f>IF($A90="","",IFERROR(SUMIF(tblAnahtarA[Norm],$A90,tblVeriA[BoyCm]),0))</f>
        <v/>
      </c>
      <c r="D90" s="15">
        <f>IF($A90="","",IFERROR(SUMIF(tblAnahtarA[Norm],$A90,tblVeriA[YukseklikCm]),0))</f>
        <v/>
      </c>
      <c r="E90" s="15">
        <f>IF($A90="","",IFERROR(SUMIF(tblAnahtarA[Norm],$A90,tblVeriA[AgirlikKg]),0))</f>
        <v/>
      </c>
      <c r="F90" s="15">
        <f>IF($A90="","",IFERROR(SUMIF(tblAnahtarA[Norm],$A90,tblVeriA[DesiCarpani]),kdo_varsayilanDesiCarpani))</f>
        <v/>
      </c>
      <c r="G90" s="15">
        <f>IF($A90="","",ROUND($B90*$C90*$D90/MAX($F90,1),2))</f>
        <v/>
      </c>
      <c r="H90" s="15">
        <f>IF($A90="","",MAX($G90,$E90))</f>
        <v/>
      </c>
      <c r="I90" s="15">
        <f>IF($A90="","",IFERROR(SUMIF(tblAnahtarB[NormB],$A90,tblVeriB[TarifTlDesi]),0))</f>
        <v/>
      </c>
      <c r="J90" s="15">
        <f>IF($A90="","",IFERROR(SUMIF(tblAnahtarA[Norm],$A90,tblVeriA[Adet]),1))</f>
        <v/>
      </c>
      <c r="K90" s="15">
        <f>IF($A90="","",ROUND($H90*$I90,2))</f>
        <v/>
      </c>
      <c r="L90" s="15">
        <f>IF($A90="","",ROUND($K90*$J90*(1+$Q90*kdo_iadeEtkiCarpani),2))</f>
        <v/>
      </c>
      <c r="M90" s="15">
        <f>IF($A90="","",IFERROR(SUMIF(tblAnahtarB[NormB],$A90,tblVeriB[AlternatifTarif]),0))</f>
        <v/>
      </c>
      <c r="N90" s="15">
        <f>IF($A90="","",ROUND($H90*$M90*$J90*(1+$Q90*kdo_iadeEtkiCarpani),2))</f>
        <v/>
      </c>
      <c r="O90" s="15">
        <f>IF($A90="","",ROUND($L90-$N90,2))</f>
        <v/>
      </c>
      <c r="P90" s="15">
        <f>IF($A90="","",IF($R90&gt;kdo_esikDesiOran,"DESİ DÜŞÜR",IF($O90&gt;kdo_esikTasarruf,"TAŞIYICI DEĞİŞTİR","UYGUN")))</f>
        <v/>
      </c>
      <c r="Q90" s="15">
        <f>IF($A90="","",IFERROR(SUMIF(tblAnahtarB[NormB],$A90,tblVeriB[IadeOran]),0))</f>
        <v/>
      </c>
      <c r="R90" s="15">
        <f>IF(OR($A90="",$E90=0),0,$G90/$E90)</f>
        <v/>
      </c>
      <c r="S90" s="15">
        <f>IF($A90="","",$G90-$E90)</f>
        <v/>
      </c>
      <c r="T90" s="15">
        <f>IF($A90="","",$L90-$N90)</f>
        <v/>
      </c>
    </row>
    <row r="91">
      <c r="A91" s="15">
        <f>IF('ANAHTAR'!$B91="","",'ANAHTAR'!$B91)</f>
        <v/>
      </c>
      <c r="B91" s="15">
        <f>IF($A91="","",IFERROR(SUMIF(tblAnahtarA[Norm],$A91,tblVeriA[EnCm]),0))</f>
        <v/>
      </c>
      <c r="C91" s="15">
        <f>IF($A91="","",IFERROR(SUMIF(tblAnahtarA[Norm],$A91,tblVeriA[BoyCm]),0))</f>
        <v/>
      </c>
      <c r="D91" s="15">
        <f>IF($A91="","",IFERROR(SUMIF(tblAnahtarA[Norm],$A91,tblVeriA[YukseklikCm]),0))</f>
        <v/>
      </c>
      <c r="E91" s="15">
        <f>IF($A91="","",IFERROR(SUMIF(tblAnahtarA[Norm],$A91,tblVeriA[AgirlikKg]),0))</f>
        <v/>
      </c>
      <c r="F91" s="15">
        <f>IF($A91="","",IFERROR(SUMIF(tblAnahtarA[Norm],$A91,tblVeriA[DesiCarpani]),kdo_varsayilanDesiCarpani))</f>
        <v/>
      </c>
      <c r="G91" s="15">
        <f>IF($A91="","",ROUND($B91*$C91*$D91/MAX($F91,1),2))</f>
        <v/>
      </c>
      <c r="H91" s="15">
        <f>IF($A91="","",MAX($G91,$E91))</f>
        <v/>
      </c>
      <c r="I91" s="15">
        <f>IF($A91="","",IFERROR(SUMIF(tblAnahtarB[NormB],$A91,tblVeriB[TarifTlDesi]),0))</f>
        <v/>
      </c>
      <c r="J91" s="15">
        <f>IF($A91="","",IFERROR(SUMIF(tblAnahtarA[Norm],$A91,tblVeriA[Adet]),1))</f>
        <v/>
      </c>
      <c r="K91" s="15">
        <f>IF($A91="","",ROUND($H91*$I91,2))</f>
        <v/>
      </c>
      <c r="L91" s="15">
        <f>IF($A91="","",ROUND($K91*$J91*(1+$Q91*kdo_iadeEtkiCarpani),2))</f>
        <v/>
      </c>
      <c r="M91" s="15">
        <f>IF($A91="","",IFERROR(SUMIF(tblAnahtarB[NormB],$A91,tblVeriB[AlternatifTarif]),0))</f>
        <v/>
      </c>
      <c r="N91" s="15">
        <f>IF($A91="","",ROUND($H91*$M91*$J91*(1+$Q91*kdo_iadeEtkiCarpani),2))</f>
        <v/>
      </c>
      <c r="O91" s="15">
        <f>IF($A91="","",ROUND($L91-$N91,2))</f>
        <v/>
      </c>
      <c r="P91" s="15">
        <f>IF($A91="","",IF($R91&gt;kdo_esikDesiOran,"DESİ DÜŞÜR",IF($O91&gt;kdo_esikTasarruf,"TAŞIYICI DEĞİŞTİR","UYGUN")))</f>
        <v/>
      </c>
      <c r="Q91" s="15">
        <f>IF($A91="","",IFERROR(SUMIF(tblAnahtarB[NormB],$A91,tblVeriB[IadeOran]),0))</f>
        <v/>
      </c>
      <c r="R91" s="15">
        <f>IF(OR($A91="",$E91=0),0,$G91/$E91)</f>
        <v/>
      </c>
      <c r="S91" s="15">
        <f>IF($A91="","",$G91-$E91)</f>
        <v/>
      </c>
      <c r="T91" s="15">
        <f>IF($A91="","",$L91-$N91)</f>
        <v/>
      </c>
    </row>
    <row r="92">
      <c r="A92" s="15">
        <f>IF('ANAHTAR'!$B92="","",'ANAHTAR'!$B92)</f>
        <v/>
      </c>
      <c r="B92" s="15">
        <f>IF($A92="","",IFERROR(SUMIF(tblAnahtarA[Norm],$A92,tblVeriA[EnCm]),0))</f>
        <v/>
      </c>
      <c r="C92" s="15">
        <f>IF($A92="","",IFERROR(SUMIF(tblAnahtarA[Norm],$A92,tblVeriA[BoyCm]),0))</f>
        <v/>
      </c>
      <c r="D92" s="15">
        <f>IF($A92="","",IFERROR(SUMIF(tblAnahtarA[Norm],$A92,tblVeriA[YukseklikCm]),0))</f>
        <v/>
      </c>
      <c r="E92" s="15">
        <f>IF($A92="","",IFERROR(SUMIF(tblAnahtarA[Norm],$A92,tblVeriA[AgirlikKg]),0))</f>
        <v/>
      </c>
      <c r="F92" s="15">
        <f>IF($A92="","",IFERROR(SUMIF(tblAnahtarA[Norm],$A92,tblVeriA[DesiCarpani]),kdo_varsayilanDesiCarpani))</f>
        <v/>
      </c>
      <c r="G92" s="15">
        <f>IF($A92="","",ROUND($B92*$C92*$D92/MAX($F92,1),2))</f>
        <v/>
      </c>
      <c r="H92" s="15">
        <f>IF($A92="","",MAX($G92,$E92))</f>
        <v/>
      </c>
      <c r="I92" s="15">
        <f>IF($A92="","",IFERROR(SUMIF(tblAnahtarB[NormB],$A92,tblVeriB[TarifTlDesi]),0))</f>
        <v/>
      </c>
      <c r="J92" s="15">
        <f>IF($A92="","",IFERROR(SUMIF(tblAnahtarA[Norm],$A92,tblVeriA[Adet]),1))</f>
        <v/>
      </c>
      <c r="K92" s="15">
        <f>IF($A92="","",ROUND($H92*$I92,2))</f>
        <v/>
      </c>
      <c r="L92" s="15">
        <f>IF($A92="","",ROUND($K92*$J92*(1+$Q92*kdo_iadeEtkiCarpani),2))</f>
        <v/>
      </c>
      <c r="M92" s="15">
        <f>IF($A92="","",IFERROR(SUMIF(tblAnahtarB[NormB],$A92,tblVeriB[AlternatifTarif]),0))</f>
        <v/>
      </c>
      <c r="N92" s="15">
        <f>IF($A92="","",ROUND($H92*$M92*$J92*(1+$Q92*kdo_iadeEtkiCarpani),2))</f>
        <v/>
      </c>
      <c r="O92" s="15">
        <f>IF($A92="","",ROUND($L92-$N92,2))</f>
        <v/>
      </c>
      <c r="P92" s="15">
        <f>IF($A92="","",IF($R92&gt;kdo_esikDesiOran,"DESİ DÜŞÜR",IF($O92&gt;kdo_esikTasarruf,"TAŞIYICI DEĞİŞTİR","UYGUN")))</f>
        <v/>
      </c>
      <c r="Q92" s="15">
        <f>IF($A92="","",IFERROR(SUMIF(tblAnahtarB[NormB],$A92,tblVeriB[IadeOran]),0))</f>
        <v/>
      </c>
      <c r="R92" s="15">
        <f>IF(OR($A92="",$E92=0),0,$G92/$E92)</f>
        <v/>
      </c>
      <c r="S92" s="15">
        <f>IF($A92="","",$G92-$E92)</f>
        <v/>
      </c>
      <c r="T92" s="15">
        <f>IF($A92="","",$L92-$N92)</f>
        <v/>
      </c>
    </row>
    <row r="93">
      <c r="A93" s="15">
        <f>IF('ANAHTAR'!$B93="","",'ANAHTAR'!$B93)</f>
        <v/>
      </c>
      <c r="B93" s="15">
        <f>IF($A93="","",IFERROR(SUMIF(tblAnahtarA[Norm],$A93,tblVeriA[EnCm]),0))</f>
        <v/>
      </c>
      <c r="C93" s="15">
        <f>IF($A93="","",IFERROR(SUMIF(tblAnahtarA[Norm],$A93,tblVeriA[BoyCm]),0))</f>
        <v/>
      </c>
      <c r="D93" s="15">
        <f>IF($A93="","",IFERROR(SUMIF(tblAnahtarA[Norm],$A93,tblVeriA[YukseklikCm]),0))</f>
        <v/>
      </c>
      <c r="E93" s="15">
        <f>IF($A93="","",IFERROR(SUMIF(tblAnahtarA[Norm],$A93,tblVeriA[AgirlikKg]),0))</f>
        <v/>
      </c>
      <c r="F93" s="15">
        <f>IF($A93="","",IFERROR(SUMIF(tblAnahtarA[Norm],$A93,tblVeriA[DesiCarpani]),kdo_varsayilanDesiCarpani))</f>
        <v/>
      </c>
      <c r="G93" s="15">
        <f>IF($A93="","",ROUND($B93*$C93*$D93/MAX($F93,1),2))</f>
        <v/>
      </c>
      <c r="H93" s="15">
        <f>IF($A93="","",MAX($G93,$E93))</f>
        <v/>
      </c>
      <c r="I93" s="15">
        <f>IF($A93="","",IFERROR(SUMIF(tblAnahtarB[NormB],$A93,tblVeriB[TarifTlDesi]),0))</f>
        <v/>
      </c>
      <c r="J93" s="15">
        <f>IF($A93="","",IFERROR(SUMIF(tblAnahtarA[Norm],$A93,tblVeriA[Adet]),1))</f>
        <v/>
      </c>
      <c r="K93" s="15">
        <f>IF($A93="","",ROUND($H93*$I93,2))</f>
        <v/>
      </c>
      <c r="L93" s="15">
        <f>IF($A93="","",ROUND($K93*$J93*(1+$Q93*kdo_iadeEtkiCarpani),2))</f>
        <v/>
      </c>
      <c r="M93" s="15">
        <f>IF($A93="","",IFERROR(SUMIF(tblAnahtarB[NormB],$A93,tblVeriB[AlternatifTarif]),0))</f>
        <v/>
      </c>
      <c r="N93" s="15">
        <f>IF($A93="","",ROUND($H93*$M93*$J93*(1+$Q93*kdo_iadeEtkiCarpani),2))</f>
        <v/>
      </c>
      <c r="O93" s="15">
        <f>IF($A93="","",ROUND($L93-$N93,2))</f>
        <v/>
      </c>
      <c r="P93" s="15">
        <f>IF($A93="","",IF($R93&gt;kdo_esikDesiOran,"DESİ DÜŞÜR",IF($O93&gt;kdo_esikTasarruf,"TAŞIYICI DEĞİŞTİR","UYGUN")))</f>
        <v/>
      </c>
      <c r="Q93" s="15">
        <f>IF($A93="","",IFERROR(SUMIF(tblAnahtarB[NormB],$A93,tblVeriB[IadeOran]),0))</f>
        <v/>
      </c>
      <c r="R93" s="15">
        <f>IF(OR($A93="",$E93=0),0,$G93/$E93)</f>
        <v/>
      </c>
      <c r="S93" s="15">
        <f>IF($A93="","",$G93-$E93)</f>
        <v/>
      </c>
      <c r="T93" s="15">
        <f>IF($A93="","",$L93-$N93)</f>
        <v/>
      </c>
    </row>
    <row r="94">
      <c r="A94" s="15">
        <f>IF('ANAHTAR'!$B94="","",'ANAHTAR'!$B94)</f>
        <v/>
      </c>
      <c r="B94" s="15">
        <f>IF($A94="","",IFERROR(SUMIF(tblAnahtarA[Norm],$A94,tblVeriA[EnCm]),0))</f>
        <v/>
      </c>
      <c r="C94" s="15">
        <f>IF($A94="","",IFERROR(SUMIF(tblAnahtarA[Norm],$A94,tblVeriA[BoyCm]),0))</f>
        <v/>
      </c>
      <c r="D94" s="15">
        <f>IF($A94="","",IFERROR(SUMIF(tblAnahtarA[Norm],$A94,tblVeriA[YukseklikCm]),0))</f>
        <v/>
      </c>
      <c r="E94" s="15">
        <f>IF($A94="","",IFERROR(SUMIF(tblAnahtarA[Norm],$A94,tblVeriA[AgirlikKg]),0))</f>
        <v/>
      </c>
      <c r="F94" s="15">
        <f>IF($A94="","",IFERROR(SUMIF(tblAnahtarA[Norm],$A94,tblVeriA[DesiCarpani]),kdo_varsayilanDesiCarpani))</f>
        <v/>
      </c>
      <c r="G94" s="15">
        <f>IF($A94="","",ROUND($B94*$C94*$D94/MAX($F94,1),2))</f>
        <v/>
      </c>
      <c r="H94" s="15">
        <f>IF($A94="","",MAX($G94,$E94))</f>
        <v/>
      </c>
      <c r="I94" s="15">
        <f>IF($A94="","",IFERROR(SUMIF(tblAnahtarB[NormB],$A94,tblVeriB[TarifTlDesi]),0))</f>
        <v/>
      </c>
      <c r="J94" s="15">
        <f>IF($A94="","",IFERROR(SUMIF(tblAnahtarA[Norm],$A94,tblVeriA[Adet]),1))</f>
        <v/>
      </c>
      <c r="K94" s="15">
        <f>IF($A94="","",ROUND($H94*$I94,2))</f>
        <v/>
      </c>
      <c r="L94" s="15">
        <f>IF($A94="","",ROUND($K94*$J94*(1+$Q94*kdo_iadeEtkiCarpani),2))</f>
        <v/>
      </c>
      <c r="M94" s="15">
        <f>IF($A94="","",IFERROR(SUMIF(tblAnahtarB[NormB],$A94,tblVeriB[AlternatifTarif]),0))</f>
        <v/>
      </c>
      <c r="N94" s="15">
        <f>IF($A94="","",ROUND($H94*$M94*$J94*(1+$Q94*kdo_iadeEtkiCarpani),2))</f>
        <v/>
      </c>
      <c r="O94" s="15">
        <f>IF($A94="","",ROUND($L94-$N94,2))</f>
        <v/>
      </c>
      <c r="P94" s="15">
        <f>IF($A94="","",IF($R94&gt;kdo_esikDesiOran,"DESİ DÜŞÜR",IF($O94&gt;kdo_esikTasarruf,"TAŞIYICI DEĞİŞTİR","UYGUN")))</f>
        <v/>
      </c>
      <c r="Q94" s="15">
        <f>IF($A94="","",IFERROR(SUMIF(tblAnahtarB[NormB],$A94,tblVeriB[IadeOran]),0))</f>
        <v/>
      </c>
      <c r="R94" s="15">
        <f>IF(OR($A94="",$E94=0),0,$G94/$E94)</f>
        <v/>
      </c>
      <c r="S94" s="15">
        <f>IF($A94="","",$G94-$E94)</f>
        <v/>
      </c>
      <c r="T94" s="15">
        <f>IF($A94="","",$L94-$N94)</f>
        <v/>
      </c>
    </row>
    <row r="95">
      <c r="A95" s="15">
        <f>IF('ANAHTAR'!$B95="","",'ANAHTAR'!$B95)</f>
        <v/>
      </c>
      <c r="B95" s="15">
        <f>IF($A95="","",IFERROR(SUMIF(tblAnahtarA[Norm],$A95,tblVeriA[EnCm]),0))</f>
        <v/>
      </c>
      <c r="C95" s="15">
        <f>IF($A95="","",IFERROR(SUMIF(tblAnahtarA[Norm],$A95,tblVeriA[BoyCm]),0))</f>
        <v/>
      </c>
      <c r="D95" s="15">
        <f>IF($A95="","",IFERROR(SUMIF(tblAnahtarA[Norm],$A95,tblVeriA[YukseklikCm]),0))</f>
        <v/>
      </c>
      <c r="E95" s="15">
        <f>IF($A95="","",IFERROR(SUMIF(tblAnahtarA[Norm],$A95,tblVeriA[AgirlikKg]),0))</f>
        <v/>
      </c>
      <c r="F95" s="15">
        <f>IF($A95="","",IFERROR(SUMIF(tblAnahtarA[Norm],$A95,tblVeriA[DesiCarpani]),kdo_varsayilanDesiCarpani))</f>
        <v/>
      </c>
      <c r="G95" s="15">
        <f>IF($A95="","",ROUND($B95*$C95*$D95/MAX($F95,1),2))</f>
        <v/>
      </c>
      <c r="H95" s="15">
        <f>IF($A95="","",MAX($G95,$E95))</f>
        <v/>
      </c>
      <c r="I95" s="15">
        <f>IF($A95="","",IFERROR(SUMIF(tblAnahtarB[NormB],$A95,tblVeriB[TarifTlDesi]),0))</f>
        <v/>
      </c>
      <c r="J95" s="15">
        <f>IF($A95="","",IFERROR(SUMIF(tblAnahtarA[Norm],$A95,tblVeriA[Adet]),1))</f>
        <v/>
      </c>
      <c r="K95" s="15">
        <f>IF($A95="","",ROUND($H95*$I95,2))</f>
        <v/>
      </c>
      <c r="L95" s="15">
        <f>IF($A95="","",ROUND($K95*$J95*(1+$Q95*kdo_iadeEtkiCarpani),2))</f>
        <v/>
      </c>
      <c r="M95" s="15">
        <f>IF($A95="","",IFERROR(SUMIF(tblAnahtarB[NormB],$A95,tblVeriB[AlternatifTarif]),0))</f>
        <v/>
      </c>
      <c r="N95" s="15">
        <f>IF($A95="","",ROUND($H95*$M95*$J95*(1+$Q95*kdo_iadeEtkiCarpani),2))</f>
        <v/>
      </c>
      <c r="O95" s="15">
        <f>IF($A95="","",ROUND($L95-$N95,2))</f>
        <v/>
      </c>
      <c r="P95" s="15">
        <f>IF($A95="","",IF($R95&gt;kdo_esikDesiOran,"DESİ DÜŞÜR",IF($O95&gt;kdo_esikTasarruf,"TAŞIYICI DEĞİŞTİR","UYGUN")))</f>
        <v/>
      </c>
      <c r="Q95" s="15">
        <f>IF($A95="","",IFERROR(SUMIF(tblAnahtarB[NormB],$A95,tblVeriB[IadeOran]),0))</f>
        <v/>
      </c>
      <c r="R95" s="15">
        <f>IF(OR($A95="",$E95=0),0,$G95/$E95)</f>
        <v/>
      </c>
      <c r="S95" s="15">
        <f>IF($A95="","",$G95-$E95)</f>
        <v/>
      </c>
      <c r="T95" s="15">
        <f>IF($A95="","",$L95-$N95)</f>
        <v/>
      </c>
    </row>
    <row r="96">
      <c r="A96" s="15">
        <f>IF('ANAHTAR'!$B96="","",'ANAHTAR'!$B96)</f>
        <v/>
      </c>
      <c r="B96" s="15">
        <f>IF($A96="","",IFERROR(SUMIF(tblAnahtarA[Norm],$A96,tblVeriA[EnCm]),0))</f>
        <v/>
      </c>
      <c r="C96" s="15">
        <f>IF($A96="","",IFERROR(SUMIF(tblAnahtarA[Norm],$A96,tblVeriA[BoyCm]),0))</f>
        <v/>
      </c>
      <c r="D96" s="15">
        <f>IF($A96="","",IFERROR(SUMIF(tblAnahtarA[Norm],$A96,tblVeriA[YukseklikCm]),0))</f>
        <v/>
      </c>
      <c r="E96" s="15">
        <f>IF($A96="","",IFERROR(SUMIF(tblAnahtarA[Norm],$A96,tblVeriA[AgirlikKg]),0))</f>
        <v/>
      </c>
      <c r="F96" s="15">
        <f>IF($A96="","",IFERROR(SUMIF(tblAnahtarA[Norm],$A96,tblVeriA[DesiCarpani]),kdo_varsayilanDesiCarpani))</f>
        <v/>
      </c>
      <c r="G96" s="15">
        <f>IF($A96="","",ROUND($B96*$C96*$D96/MAX($F96,1),2))</f>
        <v/>
      </c>
      <c r="H96" s="15">
        <f>IF($A96="","",MAX($G96,$E96))</f>
        <v/>
      </c>
      <c r="I96" s="15">
        <f>IF($A96="","",IFERROR(SUMIF(tblAnahtarB[NormB],$A96,tblVeriB[TarifTlDesi]),0))</f>
        <v/>
      </c>
      <c r="J96" s="15">
        <f>IF($A96="","",IFERROR(SUMIF(tblAnahtarA[Norm],$A96,tblVeriA[Adet]),1))</f>
        <v/>
      </c>
      <c r="K96" s="15">
        <f>IF($A96="","",ROUND($H96*$I96,2))</f>
        <v/>
      </c>
      <c r="L96" s="15">
        <f>IF($A96="","",ROUND($K96*$J96*(1+$Q96*kdo_iadeEtkiCarpani),2))</f>
        <v/>
      </c>
      <c r="M96" s="15">
        <f>IF($A96="","",IFERROR(SUMIF(tblAnahtarB[NormB],$A96,tblVeriB[AlternatifTarif]),0))</f>
        <v/>
      </c>
      <c r="N96" s="15">
        <f>IF($A96="","",ROUND($H96*$M96*$J96*(1+$Q96*kdo_iadeEtkiCarpani),2))</f>
        <v/>
      </c>
      <c r="O96" s="15">
        <f>IF($A96="","",ROUND($L96-$N96,2))</f>
        <v/>
      </c>
      <c r="P96" s="15">
        <f>IF($A96="","",IF($R96&gt;kdo_esikDesiOran,"DESİ DÜŞÜR",IF($O96&gt;kdo_esikTasarruf,"TAŞIYICI DEĞİŞTİR","UYGUN")))</f>
        <v/>
      </c>
      <c r="Q96" s="15">
        <f>IF($A96="","",IFERROR(SUMIF(tblAnahtarB[NormB],$A96,tblVeriB[IadeOran]),0))</f>
        <v/>
      </c>
      <c r="R96" s="15">
        <f>IF(OR($A96="",$E96=0),0,$G96/$E96)</f>
        <v/>
      </c>
      <c r="S96" s="15">
        <f>IF($A96="","",$G96-$E96)</f>
        <v/>
      </c>
      <c r="T96" s="15">
        <f>IF($A96="","",$L96-$N96)</f>
        <v/>
      </c>
    </row>
    <row r="97">
      <c r="A97" s="15">
        <f>IF('ANAHTAR'!$B97="","",'ANAHTAR'!$B97)</f>
        <v/>
      </c>
      <c r="B97" s="15">
        <f>IF($A97="","",IFERROR(SUMIF(tblAnahtarA[Norm],$A97,tblVeriA[EnCm]),0))</f>
        <v/>
      </c>
      <c r="C97" s="15">
        <f>IF($A97="","",IFERROR(SUMIF(tblAnahtarA[Norm],$A97,tblVeriA[BoyCm]),0))</f>
        <v/>
      </c>
      <c r="D97" s="15">
        <f>IF($A97="","",IFERROR(SUMIF(tblAnahtarA[Norm],$A97,tblVeriA[YukseklikCm]),0))</f>
        <v/>
      </c>
      <c r="E97" s="15">
        <f>IF($A97="","",IFERROR(SUMIF(tblAnahtarA[Norm],$A97,tblVeriA[AgirlikKg]),0))</f>
        <v/>
      </c>
      <c r="F97" s="15">
        <f>IF($A97="","",IFERROR(SUMIF(tblAnahtarA[Norm],$A97,tblVeriA[DesiCarpani]),kdo_varsayilanDesiCarpani))</f>
        <v/>
      </c>
      <c r="G97" s="15">
        <f>IF($A97="","",ROUND($B97*$C97*$D97/MAX($F97,1),2))</f>
        <v/>
      </c>
      <c r="H97" s="15">
        <f>IF($A97="","",MAX($G97,$E97))</f>
        <v/>
      </c>
      <c r="I97" s="15">
        <f>IF($A97="","",IFERROR(SUMIF(tblAnahtarB[NormB],$A97,tblVeriB[TarifTlDesi]),0))</f>
        <v/>
      </c>
      <c r="J97" s="15">
        <f>IF($A97="","",IFERROR(SUMIF(tblAnahtarA[Norm],$A97,tblVeriA[Adet]),1))</f>
        <v/>
      </c>
      <c r="K97" s="15">
        <f>IF($A97="","",ROUND($H97*$I97,2))</f>
        <v/>
      </c>
      <c r="L97" s="15">
        <f>IF($A97="","",ROUND($K97*$J97*(1+$Q97*kdo_iadeEtkiCarpani),2))</f>
        <v/>
      </c>
      <c r="M97" s="15">
        <f>IF($A97="","",IFERROR(SUMIF(tblAnahtarB[NormB],$A97,tblVeriB[AlternatifTarif]),0))</f>
        <v/>
      </c>
      <c r="N97" s="15">
        <f>IF($A97="","",ROUND($H97*$M97*$J97*(1+$Q97*kdo_iadeEtkiCarpani),2))</f>
        <v/>
      </c>
      <c r="O97" s="15">
        <f>IF($A97="","",ROUND($L97-$N97,2))</f>
        <v/>
      </c>
      <c r="P97" s="15">
        <f>IF($A97="","",IF($R97&gt;kdo_esikDesiOran,"DESİ DÜŞÜR",IF($O97&gt;kdo_esikTasarruf,"TAŞIYICI DEĞİŞTİR","UYGUN")))</f>
        <v/>
      </c>
      <c r="Q97" s="15">
        <f>IF($A97="","",IFERROR(SUMIF(tblAnahtarB[NormB],$A97,tblVeriB[IadeOran]),0))</f>
        <v/>
      </c>
      <c r="R97" s="15">
        <f>IF(OR($A97="",$E97=0),0,$G97/$E97)</f>
        <v/>
      </c>
      <c r="S97" s="15">
        <f>IF($A97="","",$G97-$E97)</f>
        <v/>
      </c>
      <c r="T97" s="15">
        <f>IF($A97="","",$L97-$N97)</f>
        <v/>
      </c>
    </row>
    <row r="98">
      <c r="A98" s="15">
        <f>IF('ANAHTAR'!$B98="","",'ANAHTAR'!$B98)</f>
        <v/>
      </c>
      <c r="B98" s="15">
        <f>IF($A98="","",IFERROR(SUMIF(tblAnahtarA[Norm],$A98,tblVeriA[EnCm]),0))</f>
        <v/>
      </c>
      <c r="C98" s="15">
        <f>IF($A98="","",IFERROR(SUMIF(tblAnahtarA[Norm],$A98,tblVeriA[BoyCm]),0))</f>
        <v/>
      </c>
      <c r="D98" s="15">
        <f>IF($A98="","",IFERROR(SUMIF(tblAnahtarA[Norm],$A98,tblVeriA[YukseklikCm]),0))</f>
        <v/>
      </c>
      <c r="E98" s="15">
        <f>IF($A98="","",IFERROR(SUMIF(tblAnahtarA[Norm],$A98,tblVeriA[AgirlikKg]),0))</f>
        <v/>
      </c>
      <c r="F98" s="15">
        <f>IF($A98="","",IFERROR(SUMIF(tblAnahtarA[Norm],$A98,tblVeriA[DesiCarpani]),kdo_varsayilanDesiCarpani))</f>
        <v/>
      </c>
      <c r="G98" s="15">
        <f>IF($A98="","",ROUND($B98*$C98*$D98/MAX($F98,1),2))</f>
        <v/>
      </c>
      <c r="H98" s="15">
        <f>IF($A98="","",MAX($G98,$E98))</f>
        <v/>
      </c>
      <c r="I98" s="15">
        <f>IF($A98="","",IFERROR(SUMIF(tblAnahtarB[NormB],$A98,tblVeriB[TarifTlDesi]),0))</f>
        <v/>
      </c>
      <c r="J98" s="15">
        <f>IF($A98="","",IFERROR(SUMIF(tblAnahtarA[Norm],$A98,tblVeriA[Adet]),1))</f>
        <v/>
      </c>
      <c r="K98" s="15">
        <f>IF($A98="","",ROUND($H98*$I98,2))</f>
        <v/>
      </c>
      <c r="L98" s="15">
        <f>IF($A98="","",ROUND($K98*$J98*(1+$Q98*kdo_iadeEtkiCarpani),2))</f>
        <v/>
      </c>
      <c r="M98" s="15">
        <f>IF($A98="","",IFERROR(SUMIF(tblAnahtarB[NormB],$A98,tblVeriB[AlternatifTarif]),0))</f>
        <v/>
      </c>
      <c r="N98" s="15">
        <f>IF($A98="","",ROUND($H98*$M98*$J98*(1+$Q98*kdo_iadeEtkiCarpani),2))</f>
        <v/>
      </c>
      <c r="O98" s="15">
        <f>IF($A98="","",ROUND($L98-$N98,2))</f>
        <v/>
      </c>
      <c r="P98" s="15">
        <f>IF($A98="","",IF($R98&gt;kdo_esikDesiOran,"DESİ DÜŞÜR",IF($O98&gt;kdo_esikTasarruf,"TAŞIYICI DEĞİŞTİR","UYGUN")))</f>
        <v/>
      </c>
      <c r="Q98" s="15">
        <f>IF($A98="","",IFERROR(SUMIF(tblAnahtarB[NormB],$A98,tblVeriB[IadeOran]),0))</f>
        <v/>
      </c>
      <c r="R98" s="15">
        <f>IF(OR($A98="",$E98=0),0,$G98/$E98)</f>
        <v/>
      </c>
      <c r="S98" s="15">
        <f>IF($A98="","",$G98-$E98)</f>
        <v/>
      </c>
      <c r="T98" s="15">
        <f>IF($A98="","",$L98-$N98)</f>
        <v/>
      </c>
    </row>
    <row r="99">
      <c r="A99" s="15">
        <f>IF('ANAHTAR'!$B99="","",'ANAHTAR'!$B99)</f>
        <v/>
      </c>
      <c r="B99" s="15">
        <f>IF($A99="","",IFERROR(SUMIF(tblAnahtarA[Norm],$A99,tblVeriA[EnCm]),0))</f>
        <v/>
      </c>
      <c r="C99" s="15">
        <f>IF($A99="","",IFERROR(SUMIF(tblAnahtarA[Norm],$A99,tblVeriA[BoyCm]),0))</f>
        <v/>
      </c>
      <c r="D99" s="15">
        <f>IF($A99="","",IFERROR(SUMIF(tblAnahtarA[Norm],$A99,tblVeriA[YukseklikCm]),0))</f>
        <v/>
      </c>
      <c r="E99" s="15">
        <f>IF($A99="","",IFERROR(SUMIF(tblAnahtarA[Norm],$A99,tblVeriA[AgirlikKg]),0))</f>
        <v/>
      </c>
      <c r="F99" s="15">
        <f>IF($A99="","",IFERROR(SUMIF(tblAnahtarA[Norm],$A99,tblVeriA[DesiCarpani]),kdo_varsayilanDesiCarpani))</f>
        <v/>
      </c>
      <c r="G99" s="15">
        <f>IF($A99="","",ROUND($B99*$C99*$D99/MAX($F99,1),2))</f>
        <v/>
      </c>
      <c r="H99" s="15">
        <f>IF($A99="","",MAX($G99,$E99))</f>
        <v/>
      </c>
      <c r="I99" s="15">
        <f>IF($A99="","",IFERROR(SUMIF(tblAnahtarB[NormB],$A99,tblVeriB[TarifTlDesi]),0))</f>
        <v/>
      </c>
      <c r="J99" s="15">
        <f>IF($A99="","",IFERROR(SUMIF(tblAnahtarA[Norm],$A99,tblVeriA[Adet]),1))</f>
        <v/>
      </c>
      <c r="K99" s="15">
        <f>IF($A99="","",ROUND($H99*$I99,2))</f>
        <v/>
      </c>
      <c r="L99" s="15">
        <f>IF($A99="","",ROUND($K99*$J99*(1+$Q99*kdo_iadeEtkiCarpani),2))</f>
        <v/>
      </c>
      <c r="M99" s="15">
        <f>IF($A99="","",IFERROR(SUMIF(tblAnahtarB[NormB],$A99,tblVeriB[AlternatifTarif]),0))</f>
        <v/>
      </c>
      <c r="N99" s="15">
        <f>IF($A99="","",ROUND($H99*$M99*$J99*(1+$Q99*kdo_iadeEtkiCarpani),2))</f>
        <v/>
      </c>
      <c r="O99" s="15">
        <f>IF($A99="","",ROUND($L99-$N99,2))</f>
        <v/>
      </c>
      <c r="P99" s="15">
        <f>IF($A99="","",IF($R99&gt;kdo_esikDesiOran,"DESİ DÜŞÜR",IF($O99&gt;kdo_esikTasarruf,"TAŞIYICI DEĞİŞTİR","UYGUN")))</f>
        <v/>
      </c>
      <c r="Q99" s="15">
        <f>IF($A99="","",IFERROR(SUMIF(tblAnahtarB[NormB],$A99,tblVeriB[IadeOran]),0))</f>
        <v/>
      </c>
      <c r="R99" s="15">
        <f>IF(OR($A99="",$E99=0),0,$G99/$E99)</f>
        <v/>
      </c>
      <c r="S99" s="15">
        <f>IF($A99="","",$G99-$E99)</f>
        <v/>
      </c>
      <c r="T99" s="15">
        <f>IF($A99="","",$L99-$N99)</f>
        <v/>
      </c>
    </row>
    <row r="100">
      <c r="A100" s="15">
        <f>IF('ANAHTAR'!$B100="","",'ANAHTAR'!$B100)</f>
        <v/>
      </c>
      <c r="B100" s="15">
        <f>IF($A100="","",IFERROR(SUMIF(tblAnahtarA[Norm],$A100,tblVeriA[EnCm]),0))</f>
        <v/>
      </c>
      <c r="C100" s="15">
        <f>IF($A100="","",IFERROR(SUMIF(tblAnahtarA[Norm],$A100,tblVeriA[BoyCm]),0))</f>
        <v/>
      </c>
      <c r="D100" s="15">
        <f>IF($A100="","",IFERROR(SUMIF(tblAnahtarA[Norm],$A100,tblVeriA[YukseklikCm]),0))</f>
        <v/>
      </c>
      <c r="E100" s="15">
        <f>IF($A100="","",IFERROR(SUMIF(tblAnahtarA[Norm],$A100,tblVeriA[AgirlikKg]),0))</f>
        <v/>
      </c>
      <c r="F100" s="15">
        <f>IF($A100="","",IFERROR(SUMIF(tblAnahtarA[Norm],$A100,tblVeriA[DesiCarpani]),kdo_varsayilanDesiCarpani))</f>
        <v/>
      </c>
      <c r="G100" s="15">
        <f>IF($A100="","",ROUND($B100*$C100*$D100/MAX($F100,1),2))</f>
        <v/>
      </c>
      <c r="H100" s="15">
        <f>IF($A100="","",MAX($G100,$E100))</f>
        <v/>
      </c>
      <c r="I100" s="15">
        <f>IF($A100="","",IFERROR(SUMIF(tblAnahtarB[NormB],$A100,tblVeriB[TarifTlDesi]),0))</f>
        <v/>
      </c>
      <c r="J100" s="15">
        <f>IF($A100="","",IFERROR(SUMIF(tblAnahtarA[Norm],$A100,tblVeriA[Adet]),1))</f>
        <v/>
      </c>
      <c r="K100" s="15">
        <f>IF($A100="","",ROUND($H100*$I100,2))</f>
        <v/>
      </c>
      <c r="L100" s="15">
        <f>IF($A100="","",ROUND($K100*$J100*(1+$Q100*kdo_iadeEtkiCarpani),2))</f>
        <v/>
      </c>
      <c r="M100" s="15">
        <f>IF($A100="","",IFERROR(SUMIF(tblAnahtarB[NormB],$A100,tblVeriB[AlternatifTarif]),0))</f>
        <v/>
      </c>
      <c r="N100" s="15">
        <f>IF($A100="","",ROUND($H100*$M100*$J100*(1+$Q100*kdo_iadeEtkiCarpani),2))</f>
        <v/>
      </c>
      <c r="O100" s="15">
        <f>IF($A100="","",ROUND($L100-$N100,2))</f>
        <v/>
      </c>
      <c r="P100" s="15">
        <f>IF($A100="","",IF($R100&gt;kdo_esikDesiOran,"DESİ DÜŞÜR",IF($O100&gt;kdo_esikTasarruf,"TAŞIYICI DEĞİŞTİR","UYGUN")))</f>
        <v/>
      </c>
      <c r="Q100" s="15">
        <f>IF($A100="","",IFERROR(SUMIF(tblAnahtarB[NormB],$A100,tblVeriB[IadeOran]),0))</f>
        <v/>
      </c>
      <c r="R100" s="15">
        <f>IF(OR($A100="",$E100=0),0,$G100/$E100)</f>
        <v/>
      </c>
      <c r="S100" s="15">
        <f>IF($A100="","",$G100-$E100)</f>
        <v/>
      </c>
      <c r="T100" s="15">
        <f>IF($A100="","",$L100-$N100)</f>
        <v/>
      </c>
    </row>
    <row r="101">
      <c r="A101" s="15">
        <f>IF('ANAHTAR'!$B101="","",'ANAHTAR'!$B101)</f>
        <v/>
      </c>
      <c r="B101" s="15">
        <f>IF($A101="","",IFERROR(SUMIF(tblAnahtarA[Norm],$A101,tblVeriA[EnCm]),0))</f>
        <v/>
      </c>
      <c r="C101" s="15">
        <f>IF($A101="","",IFERROR(SUMIF(tblAnahtarA[Norm],$A101,tblVeriA[BoyCm]),0))</f>
        <v/>
      </c>
      <c r="D101" s="15">
        <f>IF($A101="","",IFERROR(SUMIF(tblAnahtarA[Norm],$A101,tblVeriA[YukseklikCm]),0))</f>
        <v/>
      </c>
      <c r="E101" s="15">
        <f>IF($A101="","",IFERROR(SUMIF(tblAnahtarA[Norm],$A101,tblVeriA[AgirlikKg]),0))</f>
        <v/>
      </c>
      <c r="F101" s="15">
        <f>IF($A101="","",IFERROR(SUMIF(tblAnahtarA[Norm],$A101,tblVeriA[DesiCarpani]),kdo_varsayilanDesiCarpani))</f>
        <v/>
      </c>
      <c r="G101" s="15">
        <f>IF($A101="","",ROUND($B101*$C101*$D101/MAX($F101,1),2))</f>
        <v/>
      </c>
      <c r="H101" s="15">
        <f>IF($A101="","",MAX($G101,$E101))</f>
        <v/>
      </c>
      <c r="I101" s="15">
        <f>IF($A101="","",IFERROR(SUMIF(tblAnahtarB[NormB],$A101,tblVeriB[TarifTlDesi]),0))</f>
        <v/>
      </c>
      <c r="J101" s="15">
        <f>IF($A101="","",IFERROR(SUMIF(tblAnahtarA[Norm],$A101,tblVeriA[Adet]),1))</f>
        <v/>
      </c>
      <c r="K101" s="15">
        <f>IF($A101="","",ROUND($H101*$I101,2))</f>
        <v/>
      </c>
      <c r="L101" s="15">
        <f>IF($A101="","",ROUND($K101*$J101*(1+$Q101*kdo_iadeEtkiCarpani),2))</f>
        <v/>
      </c>
      <c r="M101" s="15">
        <f>IF($A101="","",IFERROR(SUMIF(tblAnahtarB[NormB],$A101,tblVeriB[AlternatifTarif]),0))</f>
        <v/>
      </c>
      <c r="N101" s="15">
        <f>IF($A101="","",ROUND($H101*$M101*$J101*(1+$Q101*kdo_iadeEtkiCarpani),2))</f>
        <v/>
      </c>
      <c r="O101" s="15">
        <f>IF($A101="","",ROUND($L101-$N101,2))</f>
        <v/>
      </c>
      <c r="P101" s="15">
        <f>IF($A101="","",IF($R101&gt;kdo_esikDesiOran,"DESİ DÜŞÜR",IF($O101&gt;kdo_esikTasarruf,"TAŞIYICI DEĞİŞTİR","UYGUN")))</f>
        <v/>
      </c>
      <c r="Q101" s="15">
        <f>IF($A101="","",IFERROR(SUMIF(tblAnahtarB[NormB],$A101,tblVeriB[IadeOran]),0))</f>
        <v/>
      </c>
      <c r="R101" s="15">
        <f>IF(OR($A101="",$E101=0),0,$G101/$E101)</f>
        <v/>
      </c>
      <c r="S101" s="15">
        <f>IF($A101="","",$G101-$E101)</f>
        <v/>
      </c>
      <c r="T101" s="15">
        <f>IF($A101="","",$L101-$N101)</f>
        <v/>
      </c>
    </row>
    <row r="102">
      <c r="A102" s="15">
        <f>IF('ANAHTAR'!$B102="","",'ANAHTAR'!$B102)</f>
        <v/>
      </c>
      <c r="B102" s="15">
        <f>IF($A102="","",IFERROR(SUMIF(tblAnahtarA[Norm],$A102,tblVeriA[EnCm]),0))</f>
        <v/>
      </c>
      <c r="C102" s="15">
        <f>IF($A102="","",IFERROR(SUMIF(tblAnahtarA[Norm],$A102,tblVeriA[BoyCm]),0))</f>
        <v/>
      </c>
      <c r="D102" s="15">
        <f>IF($A102="","",IFERROR(SUMIF(tblAnahtarA[Norm],$A102,tblVeriA[YukseklikCm]),0))</f>
        <v/>
      </c>
      <c r="E102" s="15">
        <f>IF($A102="","",IFERROR(SUMIF(tblAnahtarA[Norm],$A102,tblVeriA[AgirlikKg]),0))</f>
        <v/>
      </c>
      <c r="F102" s="15">
        <f>IF($A102="","",IFERROR(SUMIF(tblAnahtarA[Norm],$A102,tblVeriA[DesiCarpani]),kdo_varsayilanDesiCarpani))</f>
        <v/>
      </c>
      <c r="G102" s="15">
        <f>IF($A102="","",ROUND($B102*$C102*$D102/MAX($F102,1),2))</f>
        <v/>
      </c>
      <c r="H102" s="15">
        <f>IF($A102="","",MAX($G102,$E102))</f>
        <v/>
      </c>
      <c r="I102" s="15">
        <f>IF($A102="","",IFERROR(SUMIF(tblAnahtarB[NormB],$A102,tblVeriB[TarifTlDesi]),0))</f>
        <v/>
      </c>
      <c r="J102" s="15">
        <f>IF($A102="","",IFERROR(SUMIF(tblAnahtarA[Norm],$A102,tblVeriA[Adet]),1))</f>
        <v/>
      </c>
      <c r="K102" s="15">
        <f>IF($A102="","",ROUND($H102*$I102,2))</f>
        <v/>
      </c>
      <c r="L102" s="15">
        <f>IF($A102="","",ROUND($K102*$J102*(1+$Q102*kdo_iadeEtkiCarpani),2))</f>
        <v/>
      </c>
      <c r="M102" s="15">
        <f>IF($A102="","",IFERROR(SUMIF(tblAnahtarB[NormB],$A102,tblVeriB[AlternatifTarif]),0))</f>
        <v/>
      </c>
      <c r="N102" s="15">
        <f>IF($A102="","",ROUND($H102*$M102*$J102*(1+$Q102*kdo_iadeEtkiCarpani),2))</f>
        <v/>
      </c>
      <c r="O102" s="15">
        <f>IF($A102="","",ROUND($L102-$N102,2))</f>
        <v/>
      </c>
      <c r="P102" s="15">
        <f>IF($A102="","",IF($R102&gt;kdo_esikDesiOran,"DESİ DÜŞÜR",IF($O102&gt;kdo_esikTasarruf,"TAŞIYICI DEĞİŞTİR","UYGUN")))</f>
        <v/>
      </c>
      <c r="Q102" s="15">
        <f>IF($A102="","",IFERROR(SUMIF(tblAnahtarB[NormB],$A102,tblVeriB[IadeOran]),0))</f>
        <v/>
      </c>
      <c r="R102" s="15">
        <f>IF(OR($A102="",$E102=0),0,$G102/$E102)</f>
        <v/>
      </c>
      <c r="S102" s="15">
        <f>IF($A102="","",$G102-$E102)</f>
        <v/>
      </c>
      <c r="T102" s="15">
        <f>IF($A102="","",$L102-$N102)</f>
        <v/>
      </c>
    </row>
    <row r="103">
      <c r="A103" s="15">
        <f>IF('ANAHTAR'!$B103="","",'ANAHTAR'!$B103)</f>
        <v/>
      </c>
      <c r="B103" s="15">
        <f>IF($A103="","",IFERROR(SUMIF(tblAnahtarA[Norm],$A103,tblVeriA[EnCm]),0))</f>
        <v/>
      </c>
      <c r="C103" s="15">
        <f>IF($A103="","",IFERROR(SUMIF(tblAnahtarA[Norm],$A103,tblVeriA[BoyCm]),0))</f>
        <v/>
      </c>
      <c r="D103" s="15">
        <f>IF($A103="","",IFERROR(SUMIF(tblAnahtarA[Norm],$A103,tblVeriA[YukseklikCm]),0))</f>
        <v/>
      </c>
      <c r="E103" s="15">
        <f>IF($A103="","",IFERROR(SUMIF(tblAnahtarA[Norm],$A103,tblVeriA[AgirlikKg]),0))</f>
        <v/>
      </c>
      <c r="F103" s="15">
        <f>IF($A103="","",IFERROR(SUMIF(tblAnahtarA[Norm],$A103,tblVeriA[DesiCarpani]),kdo_varsayilanDesiCarpani))</f>
        <v/>
      </c>
      <c r="G103" s="15">
        <f>IF($A103="","",ROUND($B103*$C103*$D103/MAX($F103,1),2))</f>
        <v/>
      </c>
      <c r="H103" s="15">
        <f>IF($A103="","",MAX($G103,$E103))</f>
        <v/>
      </c>
      <c r="I103" s="15">
        <f>IF($A103="","",IFERROR(SUMIF(tblAnahtarB[NormB],$A103,tblVeriB[TarifTlDesi]),0))</f>
        <v/>
      </c>
      <c r="J103" s="15">
        <f>IF($A103="","",IFERROR(SUMIF(tblAnahtarA[Norm],$A103,tblVeriA[Adet]),1))</f>
        <v/>
      </c>
      <c r="K103" s="15">
        <f>IF($A103="","",ROUND($H103*$I103,2))</f>
        <v/>
      </c>
      <c r="L103" s="15">
        <f>IF($A103="","",ROUND($K103*$J103*(1+$Q103*kdo_iadeEtkiCarpani),2))</f>
        <v/>
      </c>
      <c r="M103" s="15">
        <f>IF($A103="","",IFERROR(SUMIF(tblAnahtarB[NormB],$A103,tblVeriB[AlternatifTarif]),0))</f>
        <v/>
      </c>
      <c r="N103" s="15">
        <f>IF($A103="","",ROUND($H103*$M103*$J103*(1+$Q103*kdo_iadeEtkiCarpani),2))</f>
        <v/>
      </c>
      <c r="O103" s="15">
        <f>IF($A103="","",ROUND($L103-$N103,2))</f>
        <v/>
      </c>
      <c r="P103" s="15">
        <f>IF($A103="","",IF($R103&gt;kdo_esikDesiOran,"DESİ DÜŞÜR",IF($O103&gt;kdo_esikTasarruf,"TAŞIYICI DEĞİŞTİR","UYGUN")))</f>
        <v/>
      </c>
      <c r="Q103" s="15">
        <f>IF($A103="","",IFERROR(SUMIF(tblAnahtarB[NormB],$A103,tblVeriB[IadeOran]),0))</f>
        <v/>
      </c>
      <c r="R103" s="15">
        <f>IF(OR($A103="",$E103=0),0,$G103/$E103)</f>
        <v/>
      </c>
      <c r="S103" s="15">
        <f>IF($A103="","",$G103-$E103)</f>
        <v/>
      </c>
      <c r="T103" s="15">
        <f>IF($A103="","",$L103-$N103)</f>
        <v/>
      </c>
    </row>
    <row r="104">
      <c r="A104" s="15">
        <f>IF('ANAHTAR'!$B104="","",'ANAHTAR'!$B104)</f>
        <v/>
      </c>
      <c r="B104" s="15">
        <f>IF($A104="","",IFERROR(SUMIF(tblAnahtarA[Norm],$A104,tblVeriA[EnCm]),0))</f>
        <v/>
      </c>
      <c r="C104" s="15">
        <f>IF($A104="","",IFERROR(SUMIF(tblAnahtarA[Norm],$A104,tblVeriA[BoyCm]),0))</f>
        <v/>
      </c>
      <c r="D104" s="15">
        <f>IF($A104="","",IFERROR(SUMIF(tblAnahtarA[Norm],$A104,tblVeriA[YukseklikCm]),0))</f>
        <v/>
      </c>
      <c r="E104" s="15">
        <f>IF($A104="","",IFERROR(SUMIF(tblAnahtarA[Norm],$A104,tblVeriA[AgirlikKg]),0))</f>
        <v/>
      </c>
      <c r="F104" s="15">
        <f>IF($A104="","",IFERROR(SUMIF(tblAnahtarA[Norm],$A104,tblVeriA[DesiCarpani]),kdo_varsayilanDesiCarpani))</f>
        <v/>
      </c>
      <c r="G104" s="15">
        <f>IF($A104="","",ROUND($B104*$C104*$D104/MAX($F104,1),2))</f>
        <v/>
      </c>
      <c r="H104" s="15">
        <f>IF($A104="","",MAX($G104,$E104))</f>
        <v/>
      </c>
      <c r="I104" s="15">
        <f>IF($A104="","",IFERROR(SUMIF(tblAnahtarB[NormB],$A104,tblVeriB[TarifTlDesi]),0))</f>
        <v/>
      </c>
      <c r="J104" s="15">
        <f>IF($A104="","",IFERROR(SUMIF(tblAnahtarA[Norm],$A104,tblVeriA[Adet]),1))</f>
        <v/>
      </c>
      <c r="K104" s="15">
        <f>IF($A104="","",ROUND($H104*$I104,2))</f>
        <v/>
      </c>
      <c r="L104" s="15">
        <f>IF($A104="","",ROUND($K104*$J104*(1+$Q104*kdo_iadeEtkiCarpani),2))</f>
        <v/>
      </c>
      <c r="M104" s="15">
        <f>IF($A104="","",IFERROR(SUMIF(tblAnahtarB[NormB],$A104,tblVeriB[AlternatifTarif]),0))</f>
        <v/>
      </c>
      <c r="N104" s="15">
        <f>IF($A104="","",ROUND($H104*$M104*$J104*(1+$Q104*kdo_iadeEtkiCarpani),2))</f>
        <v/>
      </c>
      <c r="O104" s="15">
        <f>IF($A104="","",ROUND($L104-$N104,2))</f>
        <v/>
      </c>
      <c r="P104" s="15">
        <f>IF($A104="","",IF($R104&gt;kdo_esikDesiOran,"DESİ DÜŞÜR",IF($O104&gt;kdo_esikTasarruf,"TAŞIYICI DEĞİŞTİR","UYGUN")))</f>
        <v/>
      </c>
      <c r="Q104" s="15">
        <f>IF($A104="","",IFERROR(SUMIF(tblAnahtarB[NormB],$A104,tblVeriB[IadeOran]),0))</f>
        <v/>
      </c>
      <c r="R104" s="15">
        <f>IF(OR($A104="",$E104=0),0,$G104/$E104)</f>
        <v/>
      </c>
      <c r="S104" s="15">
        <f>IF($A104="","",$G104-$E104)</f>
        <v/>
      </c>
      <c r="T104" s="15">
        <f>IF($A104="","",$L104-$N104)</f>
        <v/>
      </c>
    </row>
    <row r="105">
      <c r="A105" s="15">
        <f>IF('ANAHTAR'!$B105="","",'ANAHTAR'!$B105)</f>
        <v/>
      </c>
      <c r="B105" s="15">
        <f>IF($A105="","",IFERROR(SUMIF(tblAnahtarA[Norm],$A105,tblVeriA[EnCm]),0))</f>
        <v/>
      </c>
      <c r="C105" s="15">
        <f>IF($A105="","",IFERROR(SUMIF(tblAnahtarA[Norm],$A105,tblVeriA[BoyCm]),0))</f>
        <v/>
      </c>
      <c r="D105" s="15">
        <f>IF($A105="","",IFERROR(SUMIF(tblAnahtarA[Norm],$A105,tblVeriA[YukseklikCm]),0))</f>
        <v/>
      </c>
      <c r="E105" s="15">
        <f>IF($A105="","",IFERROR(SUMIF(tblAnahtarA[Norm],$A105,tblVeriA[AgirlikKg]),0))</f>
        <v/>
      </c>
      <c r="F105" s="15">
        <f>IF($A105="","",IFERROR(SUMIF(tblAnahtarA[Norm],$A105,tblVeriA[DesiCarpani]),kdo_varsayilanDesiCarpani))</f>
        <v/>
      </c>
      <c r="G105" s="15">
        <f>IF($A105="","",ROUND($B105*$C105*$D105/MAX($F105,1),2))</f>
        <v/>
      </c>
      <c r="H105" s="15">
        <f>IF($A105="","",MAX($G105,$E105))</f>
        <v/>
      </c>
      <c r="I105" s="15">
        <f>IF($A105="","",IFERROR(SUMIF(tblAnahtarB[NormB],$A105,tblVeriB[TarifTlDesi]),0))</f>
        <v/>
      </c>
      <c r="J105" s="15">
        <f>IF($A105="","",IFERROR(SUMIF(tblAnahtarA[Norm],$A105,tblVeriA[Adet]),1))</f>
        <v/>
      </c>
      <c r="K105" s="15">
        <f>IF($A105="","",ROUND($H105*$I105,2))</f>
        <v/>
      </c>
      <c r="L105" s="15">
        <f>IF($A105="","",ROUND($K105*$J105*(1+$Q105*kdo_iadeEtkiCarpani),2))</f>
        <v/>
      </c>
      <c r="M105" s="15">
        <f>IF($A105="","",IFERROR(SUMIF(tblAnahtarB[NormB],$A105,tblVeriB[AlternatifTarif]),0))</f>
        <v/>
      </c>
      <c r="N105" s="15">
        <f>IF($A105="","",ROUND($H105*$M105*$J105*(1+$Q105*kdo_iadeEtkiCarpani),2))</f>
        <v/>
      </c>
      <c r="O105" s="15">
        <f>IF($A105="","",ROUND($L105-$N105,2))</f>
        <v/>
      </c>
      <c r="P105" s="15">
        <f>IF($A105="","",IF($R105&gt;kdo_esikDesiOran,"DESİ DÜŞÜR",IF($O105&gt;kdo_esikTasarruf,"TAŞIYICI DEĞİŞTİR","UYGUN")))</f>
        <v/>
      </c>
      <c r="Q105" s="15">
        <f>IF($A105="","",IFERROR(SUMIF(tblAnahtarB[NormB],$A105,tblVeriB[IadeOran]),0))</f>
        <v/>
      </c>
      <c r="R105" s="15">
        <f>IF(OR($A105="",$E105=0),0,$G105/$E105)</f>
        <v/>
      </c>
      <c r="S105" s="15">
        <f>IF($A105="","",$G105-$E105)</f>
        <v/>
      </c>
      <c r="T105" s="15">
        <f>IF($A105="","",$L105-$N105)</f>
        <v/>
      </c>
    </row>
    <row r="106">
      <c r="A106" s="15">
        <f>IF('ANAHTAR'!$B106="","",'ANAHTAR'!$B106)</f>
        <v/>
      </c>
      <c r="B106" s="15">
        <f>IF($A106="","",IFERROR(SUMIF(tblAnahtarA[Norm],$A106,tblVeriA[EnCm]),0))</f>
        <v/>
      </c>
      <c r="C106" s="15">
        <f>IF($A106="","",IFERROR(SUMIF(tblAnahtarA[Norm],$A106,tblVeriA[BoyCm]),0))</f>
        <v/>
      </c>
      <c r="D106" s="15">
        <f>IF($A106="","",IFERROR(SUMIF(tblAnahtarA[Norm],$A106,tblVeriA[YukseklikCm]),0))</f>
        <v/>
      </c>
      <c r="E106" s="15">
        <f>IF($A106="","",IFERROR(SUMIF(tblAnahtarA[Norm],$A106,tblVeriA[AgirlikKg]),0))</f>
        <v/>
      </c>
      <c r="F106" s="15">
        <f>IF($A106="","",IFERROR(SUMIF(tblAnahtarA[Norm],$A106,tblVeriA[DesiCarpani]),kdo_varsayilanDesiCarpani))</f>
        <v/>
      </c>
      <c r="G106" s="15">
        <f>IF($A106="","",ROUND($B106*$C106*$D106/MAX($F106,1),2))</f>
        <v/>
      </c>
      <c r="H106" s="15">
        <f>IF($A106="","",MAX($G106,$E106))</f>
        <v/>
      </c>
      <c r="I106" s="15">
        <f>IF($A106="","",IFERROR(SUMIF(tblAnahtarB[NormB],$A106,tblVeriB[TarifTlDesi]),0))</f>
        <v/>
      </c>
      <c r="J106" s="15">
        <f>IF($A106="","",IFERROR(SUMIF(tblAnahtarA[Norm],$A106,tblVeriA[Adet]),1))</f>
        <v/>
      </c>
      <c r="K106" s="15">
        <f>IF($A106="","",ROUND($H106*$I106,2))</f>
        <v/>
      </c>
      <c r="L106" s="15">
        <f>IF($A106="","",ROUND($K106*$J106*(1+$Q106*kdo_iadeEtkiCarpani),2))</f>
        <v/>
      </c>
      <c r="M106" s="15">
        <f>IF($A106="","",IFERROR(SUMIF(tblAnahtarB[NormB],$A106,tblVeriB[AlternatifTarif]),0))</f>
        <v/>
      </c>
      <c r="N106" s="15">
        <f>IF($A106="","",ROUND($H106*$M106*$J106*(1+$Q106*kdo_iadeEtkiCarpani),2))</f>
        <v/>
      </c>
      <c r="O106" s="15">
        <f>IF($A106="","",ROUND($L106-$N106,2))</f>
        <v/>
      </c>
      <c r="P106" s="15">
        <f>IF($A106="","",IF($R106&gt;kdo_esikDesiOran,"DESİ DÜŞÜR",IF($O106&gt;kdo_esikTasarruf,"TAŞIYICI DEĞİŞTİR","UYGUN")))</f>
        <v/>
      </c>
      <c r="Q106" s="15">
        <f>IF($A106="","",IFERROR(SUMIF(tblAnahtarB[NormB],$A106,tblVeriB[IadeOran]),0))</f>
        <v/>
      </c>
      <c r="R106" s="15">
        <f>IF(OR($A106="",$E106=0),0,$G106/$E106)</f>
        <v/>
      </c>
      <c r="S106" s="15">
        <f>IF($A106="","",$G106-$E106)</f>
        <v/>
      </c>
      <c r="T106" s="15">
        <f>IF($A106="","",$L106-$N106)</f>
        <v/>
      </c>
    </row>
    <row r="107">
      <c r="A107" s="15">
        <f>IF('ANAHTAR'!$B107="","",'ANAHTAR'!$B107)</f>
        <v/>
      </c>
      <c r="B107" s="15">
        <f>IF($A107="","",IFERROR(SUMIF(tblAnahtarA[Norm],$A107,tblVeriA[EnCm]),0))</f>
        <v/>
      </c>
      <c r="C107" s="15">
        <f>IF($A107="","",IFERROR(SUMIF(tblAnahtarA[Norm],$A107,tblVeriA[BoyCm]),0))</f>
        <v/>
      </c>
      <c r="D107" s="15">
        <f>IF($A107="","",IFERROR(SUMIF(tblAnahtarA[Norm],$A107,tblVeriA[YukseklikCm]),0))</f>
        <v/>
      </c>
      <c r="E107" s="15">
        <f>IF($A107="","",IFERROR(SUMIF(tblAnahtarA[Norm],$A107,tblVeriA[AgirlikKg]),0))</f>
        <v/>
      </c>
      <c r="F107" s="15">
        <f>IF($A107="","",IFERROR(SUMIF(tblAnahtarA[Norm],$A107,tblVeriA[DesiCarpani]),kdo_varsayilanDesiCarpani))</f>
        <v/>
      </c>
      <c r="G107" s="15">
        <f>IF($A107="","",ROUND($B107*$C107*$D107/MAX($F107,1),2))</f>
        <v/>
      </c>
      <c r="H107" s="15">
        <f>IF($A107="","",MAX($G107,$E107))</f>
        <v/>
      </c>
      <c r="I107" s="15">
        <f>IF($A107="","",IFERROR(SUMIF(tblAnahtarB[NormB],$A107,tblVeriB[TarifTlDesi]),0))</f>
        <v/>
      </c>
      <c r="J107" s="15">
        <f>IF($A107="","",IFERROR(SUMIF(tblAnahtarA[Norm],$A107,tblVeriA[Adet]),1))</f>
        <v/>
      </c>
      <c r="K107" s="15">
        <f>IF($A107="","",ROUND($H107*$I107,2))</f>
        <v/>
      </c>
      <c r="L107" s="15">
        <f>IF($A107="","",ROUND($K107*$J107*(1+$Q107*kdo_iadeEtkiCarpani),2))</f>
        <v/>
      </c>
      <c r="M107" s="15">
        <f>IF($A107="","",IFERROR(SUMIF(tblAnahtarB[NormB],$A107,tblVeriB[AlternatifTarif]),0))</f>
        <v/>
      </c>
      <c r="N107" s="15">
        <f>IF($A107="","",ROUND($H107*$M107*$J107*(1+$Q107*kdo_iadeEtkiCarpani),2))</f>
        <v/>
      </c>
      <c r="O107" s="15">
        <f>IF($A107="","",ROUND($L107-$N107,2))</f>
        <v/>
      </c>
      <c r="P107" s="15">
        <f>IF($A107="","",IF($R107&gt;kdo_esikDesiOran,"DESİ DÜŞÜR",IF($O107&gt;kdo_esikTasarruf,"TAŞIYICI DEĞİŞTİR","UYGUN")))</f>
        <v/>
      </c>
      <c r="Q107" s="15">
        <f>IF($A107="","",IFERROR(SUMIF(tblAnahtarB[NormB],$A107,tblVeriB[IadeOran]),0))</f>
        <v/>
      </c>
      <c r="R107" s="15">
        <f>IF(OR($A107="",$E107=0),0,$G107/$E107)</f>
        <v/>
      </c>
      <c r="S107" s="15">
        <f>IF($A107="","",$G107-$E107)</f>
        <v/>
      </c>
      <c r="T107" s="15">
        <f>IF($A107="","",$L107-$N107)</f>
        <v/>
      </c>
    </row>
    <row r="108">
      <c r="A108" s="15">
        <f>IF('ANAHTAR'!$B108="","",'ANAHTAR'!$B108)</f>
        <v/>
      </c>
      <c r="B108" s="15">
        <f>IF($A108="","",IFERROR(SUMIF(tblAnahtarA[Norm],$A108,tblVeriA[EnCm]),0))</f>
        <v/>
      </c>
      <c r="C108" s="15">
        <f>IF($A108="","",IFERROR(SUMIF(tblAnahtarA[Norm],$A108,tblVeriA[BoyCm]),0))</f>
        <v/>
      </c>
      <c r="D108" s="15">
        <f>IF($A108="","",IFERROR(SUMIF(tblAnahtarA[Norm],$A108,tblVeriA[YukseklikCm]),0))</f>
        <v/>
      </c>
      <c r="E108" s="15">
        <f>IF($A108="","",IFERROR(SUMIF(tblAnahtarA[Norm],$A108,tblVeriA[AgirlikKg]),0))</f>
        <v/>
      </c>
      <c r="F108" s="15">
        <f>IF($A108="","",IFERROR(SUMIF(tblAnahtarA[Norm],$A108,tblVeriA[DesiCarpani]),kdo_varsayilanDesiCarpani))</f>
        <v/>
      </c>
      <c r="G108" s="15">
        <f>IF($A108="","",ROUND($B108*$C108*$D108/MAX($F108,1),2))</f>
        <v/>
      </c>
      <c r="H108" s="15">
        <f>IF($A108="","",MAX($G108,$E108))</f>
        <v/>
      </c>
      <c r="I108" s="15">
        <f>IF($A108="","",IFERROR(SUMIF(tblAnahtarB[NormB],$A108,tblVeriB[TarifTlDesi]),0))</f>
        <v/>
      </c>
      <c r="J108" s="15">
        <f>IF($A108="","",IFERROR(SUMIF(tblAnahtarA[Norm],$A108,tblVeriA[Adet]),1))</f>
        <v/>
      </c>
      <c r="K108" s="15">
        <f>IF($A108="","",ROUND($H108*$I108,2))</f>
        <v/>
      </c>
      <c r="L108" s="15">
        <f>IF($A108="","",ROUND($K108*$J108*(1+$Q108*kdo_iadeEtkiCarpani),2))</f>
        <v/>
      </c>
      <c r="M108" s="15">
        <f>IF($A108="","",IFERROR(SUMIF(tblAnahtarB[NormB],$A108,tblVeriB[AlternatifTarif]),0))</f>
        <v/>
      </c>
      <c r="N108" s="15">
        <f>IF($A108="","",ROUND($H108*$M108*$J108*(1+$Q108*kdo_iadeEtkiCarpani),2))</f>
        <v/>
      </c>
      <c r="O108" s="15">
        <f>IF($A108="","",ROUND($L108-$N108,2))</f>
        <v/>
      </c>
      <c r="P108" s="15">
        <f>IF($A108="","",IF($R108&gt;kdo_esikDesiOran,"DESİ DÜŞÜR",IF($O108&gt;kdo_esikTasarruf,"TAŞIYICI DEĞİŞTİR","UYGUN")))</f>
        <v/>
      </c>
      <c r="Q108" s="15">
        <f>IF($A108="","",IFERROR(SUMIF(tblAnahtarB[NormB],$A108,tblVeriB[IadeOran]),0))</f>
        <v/>
      </c>
      <c r="R108" s="15">
        <f>IF(OR($A108="",$E108=0),0,$G108/$E108)</f>
        <v/>
      </c>
      <c r="S108" s="15">
        <f>IF($A108="","",$G108-$E108)</f>
        <v/>
      </c>
      <c r="T108" s="15">
        <f>IF($A108="","",$L108-$N108)</f>
        <v/>
      </c>
    </row>
    <row r="109">
      <c r="A109" s="15">
        <f>IF('ANAHTAR'!$B109="","",'ANAHTAR'!$B109)</f>
        <v/>
      </c>
      <c r="B109" s="15">
        <f>IF($A109="","",IFERROR(SUMIF(tblAnahtarA[Norm],$A109,tblVeriA[EnCm]),0))</f>
        <v/>
      </c>
      <c r="C109" s="15">
        <f>IF($A109="","",IFERROR(SUMIF(tblAnahtarA[Norm],$A109,tblVeriA[BoyCm]),0))</f>
        <v/>
      </c>
      <c r="D109" s="15">
        <f>IF($A109="","",IFERROR(SUMIF(tblAnahtarA[Norm],$A109,tblVeriA[YukseklikCm]),0))</f>
        <v/>
      </c>
      <c r="E109" s="15">
        <f>IF($A109="","",IFERROR(SUMIF(tblAnahtarA[Norm],$A109,tblVeriA[AgirlikKg]),0))</f>
        <v/>
      </c>
      <c r="F109" s="15">
        <f>IF($A109="","",IFERROR(SUMIF(tblAnahtarA[Norm],$A109,tblVeriA[DesiCarpani]),kdo_varsayilanDesiCarpani))</f>
        <v/>
      </c>
      <c r="G109" s="15">
        <f>IF($A109="","",ROUND($B109*$C109*$D109/MAX($F109,1),2))</f>
        <v/>
      </c>
      <c r="H109" s="15">
        <f>IF($A109="","",MAX($G109,$E109))</f>
        <v/>
      </c>
      <c r="I109" s="15">
        <f>IF($A109="","",IFERROR(SUMIF(tblAnahtarB[NormB],$A109,tblVeriB[TarifTlDesi]),0))</f>
        <v/>
      </c>
      <c r="J109" s="15">
        <f>IF($A109="","",IFERROR(SUMIF(tblAnahtarA[Norm],$A109,tblVeriA[Adet]),1))</f>
        <v/>
      </c>
      <c r="K109" s="15">
        <f>IF($A109="","",ROUND($H109*$I109,2))</f>
        <v/>
      </c>
      <c r="L109" s="15">
        <f>IF($A109="","",ROUND($K109*$J109*(1+$Q109*kdo_iadeEtkiCarpani),2))</f>
        <v/>
      </c>
      <c r="M109" s="15">
        <f>IF($A109="","",IFERROR(SUMIF(tblAnahtarB[NormB],$A109,tblVeriB[AlternatifTarif]),0))</f>
        <v/>
      </c>
      <c r="N109" s="15">
        <f>IF($A109="","",ROUND($H109*$M109*$J109*(1+$Q109*kdo_iadeEtkiCarpani),2))</f>
        <v/>
      </c>
      <c r="O109" s="15">
        <f>IF($A109="","",ROUND($L109-$N109,2))</f>
        <v/>
      </c>
      <c r="P109" s="15">
        <f>IF($A109="","",IF($R109&gt;kdo_esikDesiOran,"DESİ DÜŞÜR",IF($O109&gt;kdo_esikTasarruf,"TAŞIYICI DEĞİŞTİR","UYGUN")))</f>
        <v/>
      </c>
      <c r="Q109" s="15">
        <f>IF($A109="","",IFERROR(SUMIF(tblAnahtarB[NormB],$A109,tblVeriB[IadeOran]),0))</f>
        <v/>
      </c>
      <c r="R109" s="15">
        <f>IF(OR($A109="",$E109=0),0,$G109/$E109)</f>
        <v/>
      </c>
      <c r="S109" s="15">
        <f>IF($A109="","",$G109-$E109)</f>
        <v/>
      </c>
      <c r="T109" s="15">
        <f>IF($A109="","",$L109-$N109)</f>
        <v/>
      </c>
    </row>
    <row r="110">
      <c r="A110" s="15">
        <f>IF('ANAHTAR'!$B110="","",'ANAHTAR'!$B110)</f>
        <v/>
      </c>
      <c r="B110" s="15">
        <f>IF($A110="","",IFERROR(SUMIF(tblAnahtarA[Norm],$A110,tblVeriA[EnCm]),0))</f>
        <v/>
      </c>
      <c r="C110" s="15">
        <f>IF($A110="","",IFERROR(SUMIF(tblAnahtarA[Norm],$A110,tblVeriA[BoyCm]),0))</f>
        <v/>
      </c>
      <c r="D110" s="15">
        <f>IF($A110="","",IFERROR(SUMIF(tblAnahtarA[Norm],$A110,tblVeriA[YukseklikCm]),0))</f>
        <v/>
      </c>
      <c r="E110" s="15">
        <f>IF($A110="","",IFERROR(SUMIF(tblAnahtarA[Norm],$A110,tblVeriA[AgirlikKg]),0))</f>
        <v/>
      </c>
      <c r="F110" s="15">
        <f>IF($A110="","",IFERROR(SUMIF(tblAnahtarA[Norm],$A110,tblVeriA[DesiCarpani]),kdo_varsayilanDesiCarpani))</f>
        <v/>
      </c>
      <c r="G110" s="15">
        <f>IF($A110="","",ROUND($B110*$C110*$D110/MAX($F110,1),2))</f>
        <v/>
      </c>
      <c r="H110" s="15">
        <f>IF($A110="","",MAX($G110,$E110))</f>
        <v/>
      </c>
      <c r="I110" s="15">
        <f>IF($A110="","",IFERROR(SUMIF(tblAnahtarB[NormB],$A110,tblVeriB[TarifTlDesi]),0))</f>
        <v/>
      </c>
      <c r="J110" s="15">
        <f>IF($A110="","",IFERROR(SUMIF(tblAnahtarA[Norm],$A110,tblVeriA[Adet]),1))</f>
        <v/>
      </c>
      <c r="K110" s="15">
        <f>IF($A110="","",ROUND($H110*$I110,2))</f>
        <v/>
      </c>
      <c r="L110" s="15">
        <f>IF($A110="","",ROUND($K110*$J110*(1+$Q110*kdo_iadeEtkiCarpani),2))</f>
        <v/>
      </c>
      <c r="M110" s="15">
        <f>IF($A110="","",IFERROR(SUMIF(tblAnahtarB[NormB],$A110,tblVeriB[AlternatifTarif]),0))</f>
        <v/>
      </c>
      <c r="N110" s="15">
        <f>IF($A110="","",ROUND($H110*$M110*$J110*(1+$Q110*kdo_iadeEtkiCarpani),2))</f>
        <v/>
      </c>
      <c r="O110" s="15">
        <f>IF($A110="","",ROUND($L110-$N110,2))</f>
        <v/>
      </c>
      <c r="P110" s="15">
        <f>IF($A110="","",IF($R110&gt;kdo_esikDesiOran,"DESİ DÜŞÜR",IF($O110&gt;kdo_esikTasarruf,"TAŞIYICI DEĞİŞTİR","UYGUN")))</f>
        <v/>
      </c>
      <c r="Q110" s="15">
        <f>IF($A110="","",IFERROR(SUMIF(tblAnahtarB[NormB],$A110,tblVeriB[IadeOran]),0))</f>
        <v/>
      </c>
      <c r="R110" s="15">
        <f>IF(OR($A110="",$E110=0),0,$G110/$E110)</f>
        <v/>
      </c>
      <c r="S110" s="15">
        <f>IF($A110="","",$G110-$E110)</f>
        <v/>
      </c>
      <c r="T110" s="15">
        <f>IF($A110="","",$L110-$N110)</f>
        <v/>
      </c>
    </row>
    <row r="111">
      <c r="A111" s="15">
        <f>IF('ANAHTAR'!$B111="","",'ANAHTAR'!$B111)</f>
        <v/>
      </c>
      <c r="B111" s="15">
        <f>IF($A111="","",IFERROR(SUMIF(tblAnahtarA[Norm],$A111,tblVeriA[EnCm]),0))</f>
        <v/>
      </c>
      <c r="C111" s="15">
        <f>IF($A111="","",IFERROR(SUMIF(tblAnahtarA[Norm],$A111,tblVeriA[BoyCm]),0))</f>
        <v/>
      </c>
      <c r="D111" s="15">
        <f>IF($A111="","",IFERROR(SUMIF(tblAnahtarA[Norm],$A111,tblVeriA[YukseklikCm]),0))</f>
        <v/>
      </c>
      <c r="E111" s="15">
        <f>IF($A111="","",IFERROR(SUMIF(tblAnahtarA[Norm],$A111,tblVeriA[AgirlikKg]),0))</f>
        <v/>
      </c>
      <c r="F111" s="15">
        <f>IF($A111="","",IFERROR(SUMIF(tblAnahtarA[Norm],$A111,tblVeriA[DesiCarpani]),kdo_varsayilanDesiCarpani))</f>
        <v/>
      </c>
      <c r="G111" s="15">
        <f>IF($A111="","",ROUND($B111*$C111*$D111/MAX($F111,1),2))</f>
        <v/>
      </c>
      <c r="H111" s="15">
        <f>IF($A111="","",MAX($G111,$E111))</f>
        <v/>
      </c>
      <c r="I111" s="15">
        <f>IF($A111="","",IFERROR(SUMIF(tblAnahtarB[NormB],$A111,tblVeriB[TarifTlDesi]),0))</f>
        <v/>
      </c>
      <c r="J111" s="15">
        <f>IF($A111="","",IFERROR(SUMIF(tblAnahtarA[Norm],$A111,tblVeriA[Adet]),1))</f>
        <v/>
      </c>
      <c r="K111" s="15">
        <f>IF($A111="","",ROUND($H111*$I111,2))</f>
        <v/>
      </c>
      <c r="L111" s="15">
        <f>IF($A111="","",ROUND($K111*$J111*(1+$Q111*kdo_iadeEtkiCarpani),2))</f>
        <v/>
      </c>
      <c r="M111" s="15">
        <f>IF($A111="","",IFERROR(SUMIF(tblAnahtarB[NormB],$A111,tblVeriB[AlternatifTarif]),0))</f>
        <v/>
      </c>
      <c r="N111" s="15">
        <f>IF($A111="","",ROUND($H111*$M111*$J111*(1+$Q111*kdo_iadeEtkiCarpani),2))</f>
        <v/>
      </c>
      <c r="O111" s="15">
        <f>IF($A111="","",ROUND($L111-$N111,2))</f>
        <v/>
      </c>
      <c r="P111" s="15">
        <f>IF($A111="","",IF($R111&gt;kdo_esikDesiOran,"DESİ DÜŞÜR",IF($O111&gt;kdo_esikTasarruf,"TAŞIYICI DEĞİŞTİR","UYGUN")))</f>
        <v/>
      </c>
      <c r="Q111" s="15">
        <f>IF($A111="","",IFERROR(SUMIF(tblAnahtarB[NormB],$A111,tblVeriB[IadeOran]),0))</f>
        <v/>
      </c>
      <c r="R111" s="15">
        <f>IF(OR($A111="",$E111=0),0,$G111/$E111)</f>
        <v/>
      </c>
      <c r="S111" s="15">
        <f>IF($A111="","",$G111-$E111)</f>
        <v/>
      </c>
      <c r="T111" s="15">
        <f>IF($A111="","",$L111-$N111)</f>
        <v/>
      </c>
    </row>
    <row r="112">
      <c r="A112" s="15">
        <f>IF('ANAHTAR'!$B112="","",'ANAHTAR'!$B112)</f>
        <v/>
      </c>
      <c r="B112" s="15">
        <f>IF($A112="","",IFERROR(SUMIF(tblAnahtarA[Norm],$A112,tblVeriA[EnCm]),0))</f>
        <v/>
      </c>
      <c r="C112" s="15">
        <f>IF($A112="","",IFERROR(SUMIF(tblAnahtarA[Norm],$A112,tblVeriA[BoyCm]),0))</f>
        <v/>
      </c>
      <c r="D112" s="15">
        <f>IF($A112="","",IFERROR(SUMIF(tblAnahtarA[Norm],$A112,tblVeriA[YukseklikCm]),0))</f>
        <v/>
      </c>
      <c r="E112" s="15">
        <f>IF($A112="","",IFERROR(SUMIF(tblAnahtarA[Norm],$A112,tblVeriA[AgirlikKg]),0))</f>
        <v/>
      </c>
      <c r="F112" s="15">
        <f>IF($A112="","",IFERROR(SUMIF(tblAnahtarA[Norm],$A112,tblVeriA[DesiCarpani]),kdo_varsayilanDesiCarpani))</f>
        <v/>
      </c>
      <c r="G112" s="15">
        <f>IF($A112="","",ROUND($B112*$C112*$D112/MAX($F112,1),2))</f>
        <v/>
      </c>
      <c r="H112" s="15">
        <f>IF($A112="","",MAX($G112,$E112))</f>
        <v/>
      </c>
      <c r="I112" s="15">
        <f>IF($A112="","",IFERROR(SUMIF(tblAnahtarB[NormB],$A112,tblVeriB[TarifTlDesi]),0))</f>
        <v/>
      </c>
      <c r="J112" s="15">
        <f>IF($A112="","",IFERROR(SUMIF(tblAnahtarA[Norm],$A112,tblVeriA[Adet]),1))</f>
        <v/>
      </c>
      <c r="K112" s="15">
        <f>IF($A112="","",ROUND($H112*$I112,2))</f>
        <v/>
      </c>
      <c r="L112" s="15">
        <f>IF($A112="","",ROUND($K112*$J112*(1+$Q112*kdo_iadeEtkiCarpani),2))</f>
        <v/>
      </c>
      <c r="M112" s="15">
        <f>IF($A112="","",IFERROR(SUMIF(tblAnahtarB[NormB],$A112,tblVeriB[AlternatifTarif]),0))</f>
        <v/>
      </c>
      <c r="N112" s="15">
        <f>IF($A112="","",ROUND($H112*$M112*$J112*(1+$Q112*kdo_iadeEtkiCarpani),2))</f>
        <v/>
      </c>
      <c r="O112" s="15">
        <f>IF($A112="","",ROUND($L112-$N112,2))</f>
        <v/>
      </c>
      <c r="P112" s="15">
        <f>IF($A112="","",IF($R112&gt;kdo_esikDesiOran,"DESİ DÜŞÜR",IF($O112&gt;kdo_esikTasarruf,"TAŞIYICI DEĞİŞTİR","UYGUN")))</f>
        <v/>
      </c>
      <c r="Q112" s="15">
        <f>IF($A112="","",IFERROR(SUMIF(tblAnahtarB[NormB],$A112,tblVeriB[IadeOran]),0))</f>
        <v/>
      </c>
      <c r="R112" s="15">
        <f>IF(OR($A112="",$E112=0),0,$G112/$E112)</f>
        <v/>
      </c>
      <c r="S112" s="15">
        <f>IF($A112="","",$G112-$E112)</f>
        <v/>
      </c>
      <c r="T112" s="15">
        <f>IF($A112="","",$L112-$N112)</f>
        <v/>
      </c>
    </row>
    <row r="113">
      <c r="A113" s="15">
        <f>IF('ANAHTAR'!$B113="","",'ANAHTAR'!$B113)</f>
        <v/>
      </c>
      <c r="B113" s="15">
        <f>IF($A113="","",IFERROR(SUMIF(tblAnahtarA[Norm],$A113,tblVeriA[EnCm]),0))</f>
        <v/>
      </c>
      <c r="C113" s="15">
        <f>IF($A113="","",IFERROR(SUMIF(tblAnahtarA[Norm],$A113,tblVeriA[BoyCm]),0))</f>
        <v/>
      </c>
      <c r="D113" s="15">
        <f>IF($A113="","",IFERROR(SUMIF(tblAnahtarA[Norm],$A113,tblVeriA[YukseklikCm]),0))</f>
        <v/>
      </c>
      <c r="E113" s="15">
        <f>IF($A113="","",IFERROR(SUMIF(tblAnahtarA[Norm],$A113,tblVeriA[AgirlikKg]),0))</f>
        <v/>
      </c>
      <c r="F113" s="15">
        <f>IF($A113="","",IFERROR(SUMIF(tblAnahtarA[Norm],$A113,tblVeriA[DesiCarpani]),kdo_varsayilanDesiCarpani))</f>
        <v/>
      </c>
      <c r="G113" s="15">
        <f>IF($A113="","",ROUND($B113*$C113*$D113/MAX($F113,1),2))</f>
        <v/>
      </c>
      <c r="H113" s="15">
        <f>IF($A113="","",MAX($G113,$E113))</f>
        <v/>
      </c>
      <c r="I113" s="15">
        <f>IF($A113="","",IFERROR(SUMIF(tblAnahtarB[NormB],$A113,tblVeriB[TarifTlDesi]),0))</f>
        <v/>
      </c>
      <c r="J113" s="15">
        <f>IF($A113="","",IFERROR(SUMIF(tblAnahtarA[Norm],$A113,tblVeriA[Adet]),1))</f>
        <v/>
      </c>
      <c r="K113" s="15">
        <f>IF($A113="","",ROUND($H113*$I113,2))</f>
        <v/>
      </c>
      <c r="L113" s="15">
        <f>IF($A113="","",ROUND($K113*$J113*(1+$Q113*kdo_iadeEtkiCarpani),2))</f>
        <v/>
      </c>
      <c r="M113" s="15">
        <f>IF($A113="","",IFERROR(SUMIF(tblAnahtarB[NormB],$A113,tblVeriB[AlternatifTarif]),0))</f>
        <v/>
      </c>
      <c r="N113" s="15">
        <f>IF($A113="","",ROUND($H113*$M113*$J113*(1+$Q113*kdo_iadeEtkiCarpani),2))</f>
        <v/>
      </c>
      <c r="O113" s="15">
        <f>IF($A113="","",ROUND($L113-$N113,2))</f>
        <v/>
      </c>
      <c r="P113" s="15">
        <f>IF($A113="","",IF($R113&gt;kdo_esikDesiOran,"DESİ DÜŞÜR",IF($O113&gt;kdo_esikTasarruf,"TAŞIYICI DEĞİŞTİR","UYGUN")))</f>
        <v/>
      </c>
      <c r="Q113" s="15">
        <f>IF($A113="","",IFERROR(SUMIF(tblAnahtarB[NormB],$A113,tblVeriB[IadeOran]),0))</f>
        <v/>
      </c>
      <c r="R113" s="15">
        <f>IF(OR($A113="",$E113=0),0,$G113/$E113)</f>
        <v/>
      </c>
      <c r="S113" s="15">
        <f>IF($A113="","",$G113-$E113)</f>
        <v/>
      </c>
      <c r="T113" s="15">
        <f>IF($A113="","",$L113-$N113)</f>
        <v/>
      </c>
    </row>
    <row r="114">
      <c r="A114" s="15">
        <f>IF('ANAHTAR'!$B114="","",'ANAHTAR'!$B114)</f>
        <v/>
      </c>
      <c r="B114" s="15">
        <f>IF($A114="","",IFERROR(SUMIF(tblAnahtarA[Norm],$A114,tblVeriA[EnCm]),0))</f>
        <v/>
      </c>
      <c r="C114" s="15">
        <f>IF($A114="","",IFERROR(SUMIF(tblAnahtarA[Norm],$A114,tblVeriA[BoyCm]),0))</f>
        <v/>
      </c>
      <c r="D114" s="15">
        <f>IF($A114="","",IFERROR(SUMIF(tblAnahtarA[Norm],$A114,tblVeriA[YukseklikCm]),0))</f>
        <v/>
      </c>
      <c r="E114" s="15">
        <f>IF($A114="","",IFERROR(SUMIF(tblAnahtarA[Norm],$A114,tblVeriA[AgirlikKg]),0))</f>
        <v/>
      </c>
      <c r="F114" s="15">
        <f>IF($A114="","",IFERROR(SUMIF(tblAnahtarA[Norm],$A114,tblVeriA[DesiCarpani]),kdo_varsayilanDesiCarpani))</f>
        <v/>
      </c>
      <c r="G114" s="15">
        <f>IF($A114="","",ROUND($B114*$C114*$D114/MAX($F114,1),2))</f>
        <v/>
      </c>
      <c r="H114" s="15">
        <f>IF($A114="","",MAX($G114,$E114))</f>
        <v/>
      </c>
      <c r="I114" s="15">
        <f>IF($A114="","",IFERROR(SUMIF(tblAnahtarB[NormB],$A114,tblVeriB[TarifTlDesi]),0))</f>
        <v/>
      </c>
      <c r="J114" s="15">
        <f>IF($A114="","",IFERROR(SUMIF(tblAnahtarA[Norm],$A114,tblVeriA[Adet]),1))</f>
        <v/>
      </c>
      <c r="K114" s="15">
        <f>IF($A114="","",ROUND($H114*$I114,2))</f>
        <v/>
      </c>
      <c r="L114" s="15">
        <f>IF($A114="","",ROUND($K114*$J114*(1+$Q114*kdo_iadeEtkiCarpani),2))</f>
        <v/>
      </c>
      <c r="M114" s="15">
        <f>IF($A114="","",IFERROR(SUMIF(tblAnahtarB[NormB],$A114,tblVeriB[AlternatifTarif]),0))</f>
        <v/>
      </c>
      <c r="N114" s="15">
        <f>IF($A114="","",ROUND($H114*$M114*$J114*(1+$Q114*kdo_iadeEtkiCarpani),2))</f>
        <v/>
      </c>
      <c r="O114" s="15">
        <f>IF($A114="","",ROUND($L114-$N114,2))</f>
        <v/>
      </c>
      <c r="P114" s="15">
        <f>IF($A114="","",IF($R114&gt;kdo_esikDesiOran,"DESİ DÜŞÜR",IF($O114&gt;kdo_esikTasarruf,"TAŞIYICI DEĞİŞTİR","UYGUN")))</f>
        <v/>
      </c>
      <c r="Q114" s="15">
        <f>IF($A114="","",IFERROR(SUMIF(tblAnahtarB[NormB],$A114,tblVeriB[IadeOran]),0))</f>
        <v/>
      </c>
      <c r="R114" s="15">
        <f>IF(OR($A114="",$E114=0),0,$G114/$E114)</f>
        <v/>
      </c>
      <c r="S114" s="15">
        <f>IF($A114="","",$G114-$E114)</f>
        <v/>
      </c>
      <c r="T114" s="15">
        <f>IF($A114="","",$L114-$N114)</f>
        <v/>
      </c>
    </row>
    <row r="115">
      <c r="A115" s="15">
        <f>IF('ANAHTAR'!$B115="","",'ANAHTAR'!$B115)</f>
        <v/>
      </c>
      <c r="B115" s="15">
        <f>IF($A115="","",IFERROR(SUMIF(tblAnahtarA[Norm],$A115,tblVeriA[EnCm]),0))</f>
        <v/>
      </c>
      <c r="C115" s="15">
        <f>IF($A115="","",IFERROR(SUMIF(tblAnahtarA[Norm],$A115,tblVeriA[BoyCm]),0))</f>
        <v/>
      </c>
      <c r="D115" s="15">
        <f>IF($A115="","",IFERROR(SUMIF(tblAnahtarA[Norm],$A115,tblVeriA[YukseklikCm]),0))</f>
        <v/>
      </c>
      <c r="E115" s="15">
        <f>IF($A115="","",IFERROR(SUMIF(tblAnahtarA[Norm],$A115,tblVeriA[AgirlikKg]),0))</f>
        <v/>
      </c>
      <c r="F115" s="15">
        <f>IF($A115="","",IFERROR(SUMIF(tblAnahtarA[Norm],$A115,tblVeriA[DesiCarpani]),kdo_varsayilanDesiCarpani))</f>
        <v/>
      </c>
      <c r="G115" s="15">
        <f>IF($A115="","",ROUND($B115*$C115*$D115/MAX($F115,1),2))</f>
        <v/>
      </c>
      <c r="H115" s="15">
        <f>IF($A115="","",MAX($G115,$E115))</f>
        <v/>
      </c>
      <c r="I115" s="15">
        <f>IF($A115="","",IFERROR(SUMIF(tblAnahtarB[NormB],$A115,tblVeriB[TarifTlDesi]),0))</f>
        <v/>
      </c>
      <c r="J115" s="15">
        <f>IF($A115="","",IFERROR(SUMIF(tblAnahtarA[Norm],$A115,tblVeriA[Adet]),1))</f>
        <v/>
      </c>
      <c r="K115" s="15">
        <f>IF($A115="","",ROUND($H115*$I115,2))</f>
        <v/>
      </c>
      <c r="L115" s="15">
        <f>IF($A115="","",ROUND($K115*$J115*(1+$Q115*kdo_iadeEtkiCarpani),2))</f>
        <v/>
      </c>
      <c r="M115" s="15">
        <f>IF($A115="","",IFERROR(SUMIF(tblAnahtarB[NormB],$A115,tblVeriB[AlternatifTarif]),0))</f>
        <v/>
      </c>
      <c r="N115" s="15">
        <f>IF($A115="","",ROUND($H115*$M115*$J115*(1+$Q115*kdo_iadeEtkiCarpani),2))</f>
        <v/>
      </c>
      <c r="O115" s="15">
        <f>IF($A115="","",ROUND($L115-$N115,2))</f>
        <v/>
      </c>
      <c r="P115" s="15">
        <f>IF($A115="","",IF($R115&gt;kdo_esikDesiOran,"DESİ DÜŞÜR",IF($O115&gt;kdo_esikTasarruf,"TAŞIYICI DEĞİŞTİR","UYGUN")))</f>
        <v/>
      </c>
      <c r="Q115" s="15">
        <f>IF($A115="","",IFERROR(SUMIF(tblAnahtarB[NormB],$A115,tblVeriB[IadeOran]),0))</f>
        <v/>
      </c>
      <c r="R115" s="15">
        <f>IF(OR($A115="",$E115=0),0,$G115/$E115)</f>
        <v/>
      </c>
      <c r="S115" s="15">
        <f>IF($A115="","",$G115-$E115)</f>
        <v/>
      </c>
      <c r="T115" s="15">
        <f>IF($A115="","",$L115-$N115)</f>
        <v/>
      </c>
    </row>
    <row r="116">
      <c r="A116" s="15">
        <f>IF('ANAHTAR'!$B116="","",'ANAHTAR'!$B116)</f>
        <v/>
      </c>
      <c r="B116" s="15">
        <f>IF($A116="","",IFERROR(SUMIF(tblAnahtarA[Norm],$A116,tblVeriA[EnCm]),0))</f>
        <v/>
      </c>
      <c r="C116" s="15">
        <f>IF($A116="","",IFERROR(SUMIF(tblAnahtarA[Norm],$A116,tblVeriA[BoyCm]),0))</f>
        <v/>
      </c>
      <c r="D116" s="15">
        <f>IF($A116="","",IFERROR(SUMIF(tblAnahtarA[Norm],$A116,tblVeriA[YukseklikCm]),0))</f>
        <v/>
      </c>
      <c r="E116" s="15">
        <f>IF($A116="","",IFERROR(SUMIF(tblAnahtarA[Norm],$A116,tblVeriA[AgirlikKg]),0))</f>
        <v/>
      </c>
      <c r="F116" s="15">
        <f>IF($A116="","",IFERROR(SUMIF(tblAnahtarA[Norm],$A116,tblVeriA[DesiCarpani]),kdo_varsayilanDesiCarpani))</f>
        <v/>
      </c>
      <c r="G116" s="15">
        <f>IF($A116="","",ROUND($B116*$C116*$D116/MAX($F116,1),2))</f>
        <v/>
      </c>
      <c r="H116" s="15">
        <f>IF($A116="","",MAX($G116,$E116))</f>
        <v/>
      </c>
      <c r="I116" s="15">
        <f>IF($A116="","",IFERROR(SUMIF(tblAnahtarB[NormB],$A116,tblVeriB[TarifTlDesi]),0))</f>
        <v/>
      </c>
      <c r="J116" s="15">
        <f>IF($A116="","",IFERROR(SUMIF(tblAnahtarA[Norm],$A116,tblVeriA[Adet]),1))</f>
        <v/>
      </c>
      <c r="K116" s="15">
        <f>IF($A116="","",ROUND($H116*$I116,2))</f>
        <v/>
      </c>
      <c r="L116" s="15">
        <f>IF($A116="","",ROUND($K116*$J116*(1+$Q116*kdo_iadeEtkiCarpani),2))</f>
        <v/>
      </c>
      <c r="M116" s="15">
        <f>IF($A116="","",IFERROR(SUMIF(tblAnahtarB[NormB],$A116,tblVeriB[AlternatifTarif]),0))</f>
        <v/>
      </c>
      <c r="N116" s="15">
        <f>IF($A116="","",ROUND($H116*$M116*$J116*(1+$Q116*kdo_iadeEtkiCarpani),2))</f>
        <v/>
      </c>
      <c r="O116" s="15">
        <f>IF($A116="","",ROUND($L116-$N116,2))</f>
        <v/>
      </c>
      <c r="P116" s="15">
        <f>IF($A116="","",IF($R116&gt;kdo_esikDesiOran,"DESİ DÜŞÜR",IF($O116&gt;kdo_esikTasarruf,"TAŞIYICI DEĞİŞTİR","UYGUN")))</f>
        <v/>
      </c>
      <c r="Q116" s="15">
        <f>IF($A116="","",IFERROR(SUMIF(tblAnahtarB[NormB],$A116,tblVeriB[IadeOran]),0))</f>
        <v/>
      </c>
      <c r="R116" s="15">
        <f>IF(OR($A116="",$E116=0),0,$G116/$E116)</f>
        <v/>
      </c>
      <c r="S116" s="15">
        <f>IF($A116="","",$G116-$E116)</f>
        <v/>
      </c>
      <c r="T116" s="15">
        <f>IF($A116="","",$L116-$N116)</f>
        <v/>
      </c>
    </row>
    <row r="117">
      <c r="A117" s="15">
        <f>IF('ANAHTAR'!$B117="","",'ANAHTAR'!$B117)</f>
        <v/>
      </c>
      <c r="B117" s="15">
        <f>IF($A117="","",IFERROR(SUMIF(tblAnahtarA[Norm],$A117,tblVeriA[EnCm]),0))</f>
        <v/>
      </c>
      <c r="C117" s="15">
        <f>IF($A117="","",IFERROR(SUMIF(tblAnahtarA[Norm],$A117,tblVeriA[BoyCm]),0))</f>
        <v/>
      </c>
      <c r="D117" s="15">
        <f>IF($A117="","",IFERROR(SUMIF(tblAnahtarA[Norm],$A117,tblVeriA[YukseklikCm]),0))</f>
        <v/>
      </c>
      <c r="E117" s="15">
        <f>IF($A117="","",IFERROR(SUMIF(tblAnahtarA[Norm],$A117,tblVeriA[AgirlikKg]),0))</f>
        <v/>
      </c>
      <c r="F117" s="15">
        <f>IF($A117="","",IFERROR(SUMIF(tblAnahtarA[Norm],$A117,tblVeriA[DesiCarpani]),kdo_varsayilanDesiCarpani))</f>
        <v/>
      </c>
      <c r="G117" s="15">
        <f>IF($A117="","",ROUND($B117*$C117*$D117/MAX($F117,1),2))</f>
        <v/>
      </c>
      <c r="H117" s="15">
        <f>IF($A117="","",MAX($G117,$E117))</f>
        <v/>
      </c>
      <c r="I117" s="15">
        <f>IF($A117="","",IFERROR(SUMIF(tblAnahtarB[NormB],$A117,tblVeriB[TarifTlDesi]),0))</f>
        <v/>
      </c>
      <c r="J117" s="15">
        <f>IF($A117="","",IFERROR(SUMIF(tblAnahtarA[Norm],$A117,tblVeriA[Adet]),1))</f>
        <v/>
      </c>
      <c r="K117" s="15">
        <f>IF($A117="","",ROUND($H117*$I117,2))</f>
        <v/>
      </c>
      <c r="L117" s="15">
        <f>IF($A117="","",ROUND($K117*$J117*(1+$Q117*kdo_iadeEtkiCarpani),2))</f>
        <v/>
      </c>
      <c r="M117" s="15">
        <f>IF($A117="","",IFERROR(SUMIF(tblAnahtarB[NormB],$A117,tblVeriB[AlternatifTarif]),0))</f>
        <v/>
      </c>
      <c r="N117" s="15">
        <f>IF($A117="","",ROUND($H117*$M117*$J117*(1+$Q117*kdo_iadeEtkiCarpani),2))</f>
        <v/>
      </c>
      <c r="O117" s="15">
        <f>IF($A117="","",ROUND($L117-$N117,2))</f>
        <v/>
      </c>
      <c r="P117" s="15">
        <f>IF($A117="","",IF($R117&gt;kdo_esikDesiOran,"DESİ DÜŞÜR",IF($O117&gt;kdo_esikTasarruf,"TAŞIYICI DEĞİŞTİR","UYGUN")))</f>
        <v/>
      </c>
      <c r="Q117" s="15">
        <f>IF($A117="","",IFERROR(SUMIF(tblAnahtarB[NormB],$A117,tblVeriB[IadeOran]),0))</f>
        <v/>
      </c>
      <c r="R117" s="15">
        <f>IF(OR($A117="",$E117=0),0,$G117/$E117)</f>
        <v/>
      </c>
      <c r="S117" s="15">
        <f>IF($A117="","",$G117-$E117)</f>
        <v/>
      </c>
      <c r="T117" s="15">
        <f>IF($A117="","",$L117-$N117)</f>
        <v/>
      </c>
    </row>
    <row r="118">
      <c r="A118" s="15">
        <f>IF('ANAHTAR'!$B118="","",'ANAHTAR'!$B118)</f>
        <v/>
      </c>
      <c r="B118" s="15">
        <f>IF($A118="","",IFERROR(SUMIF(tblAnahtarA[Norm],$A118,tblVeriA[EnCm]),0))</f>
        <v/>
      </c>
      <c r="C118" s="15">
        <f>IF($A118="","",IFERROR(SUMIF(tblAnahtarA[Norm],$A118,tblVeriA[BoyCm]),0))</f>
        <v/>
      </c>
      <c r="D118" s="15">
        <f>IF($A118="","",IFERROR(SUMIF(tblAnahtarA[Norm],$A118,tblVeriA[YukseklikCm]),0))</f>
        <v/>
      </c>
      <c r="E118" s="15">
        <f>IF($A118="","",IFERROR(SUMIF(tblAnahtarA[Norm],$A118,tblVeriA[AgirlikKg]),0))</f>
        <v/>
      </c>
      <c r="F118" s="15">
        <f>IF($A118="","",IFERROR(SUMIF(tblAnahtarA[Norm],$A118,tblVeriA[DesiCarpani]),kdo_varsayilanDesiCarpani))</f>
        <v/>
      </c>
      <c r="G118" s="15">
        <f>IF($A118="","",ROUND($B118*$C118*$D118/MAX($F118,1),2))</f>
        <v/>
      </c>
      <c r="H118" s="15">
        <f>IF($A118="","",MAX($G118,$E118))</f>
        <v/>
      </c>
      <c r="I118" s="15">
        <f>IF($A118="","",IFERROR(SUMIF(tblAnahtarB[NormB],$A118,tblVeriB[TarifTlDesi]),0))</f>
        <v/>
      </c>
      <c r="J118" s="15">
        <f>IF($A118="","",IFERROR(SUMIF(tblAnahtarA[Norm],$A118,tblVeriA[Adet]),1))</f>
        <v/>
      </c>
      <c r="K118" s="15">
        <f>IF($A118="","",ROUND($H118*$I118,2))</f>
        <v/>
      </c>
      <c r="L118" s="15">
        <f>IF($A118="","",ROUND($K118*$J118*(1+$Q118*kdo_iadeEtkiCarpani),2))</f>
        <v/>
      </c>
      <c r="M118" s="15">
        <f>IF($A118="","",IFERROR(SUMIF(tblAnahtarB[NormB],$A118,tblVeriB[AlternatifTarif]),0))</f>
        <v/>
      </c>
      <c r="N118" s="15">
        <f>IF($A118="","",ROUND($H118*$M118*$J118*(1+$Q118*kdo_iadeEtkiCarpani),2))</f>
        <v/>
      </c>
      <c r="O118" s="15">
        <f>IF($A118="","",ROUND($L118-$N118,2))</f>
        <v/>
      </c>
      <c r="P118" s="15">
        <f>IF($A118="","",IF($R118&gt;kdo_esikDesiOran,"DESİ DÜŞÜR",IF($O118&gt;kdo_esikTasarruf,"TAŞIYICI DEĞİŞTİR","UYGUN")))</f>
        <v/>
      </c>
      <c r="Q118" s="15">
        <f>IF($A118="","",IFERROR(SUMIF(tblAnahtarB[NormB],$A118,tblVeriB[IadeOran]),0))</f>
        <v/>
      </c>
      <c r="R118" s="15">
        <f>IF(OR($A118="",$E118=0),0,$G118/$E118)</f>
        <v/>
      </c>
      <c r="S118" s="15">
        <f>IF($A118="","",$G118-$E118)</f>
        <v/>
      </c>
      <c r="T118" s="15">
        <f>IF($A118="","",$L118-$N118)</f>
        <v/>
      </c>
    </row>
    <row r="119">
      <c r="A119" s="15">
        <f>IF('ANAHTAR'!$B119="","",'ANAHTAR'!$B119)</f>
        <v/>
      </c>
      <c r="B119" s="15">
        <f>IF($A119="","",IFERROR(SUMIF(tblAnahtarA[Norm],$A119,tblVeriA[EnCm]),0))</f>
        <v/>
      </c>
      <c r="C119" s="15">
        <f>IF($A119="","",IFERROR(SUMIF(tblAnahtarA[Norm],$A119,tblVeriA[BoyCm]),0))</f>
        <v/>
      </c>
      <c r="D119" s="15">
        <f>IF($A119="","",IFERROR(SUMIF(tblAnahtarA[Norm],$A119,tblVeriA[YukseklikCm]),0))</f>
        <v/>
      </c>
      <c r="E119" s="15">
        <f>IF($A119="","",IFERROR(SUMIF(tblAnahtarA[Norm],$A119,tblVeriA[AgirlikKg]),0))</f>
        <v/>
      </c>
      <c r="F119" s="15">
        <f>IF($A119="","",IFERROR(SUMIF(tblAnahtarA[Norm],$A119,tblVeriA[DesiCarpani]),kdo_varsayilanDesiCarpani))</f>
        <v/>
      </c>
      <c r="G119" s="15">
        <f>IF($A119="","",ROUND($B119*$C119*$D119/MAX($F119,1),2))</f>
        <v/>
      </c>
      <c r="H119" s="15">
        <f>IF($A119="","",MAX($G119,$E119))</f>
        <v/>
      </c>
      <c r="I119" s="15">
        <f>IF($A119="","",IFERROR(SUMIF(tblAnahtarB[NormB],$A119,tblVeriB[TarifTlDesi]),0))</f>
        <v/>
      </c>
      <c r="J119" s="15">
        <f>IF($A119="","",IFERROR(SUMIF(tblAnahtarA[Norm],$A119,tblVeriA[Adet]),1))</f>
        <v/>
      </c>
      <c r="K119" s="15">
        <f>IF($A119="","",ROUND($H119*$I119,2))</f>
        <v/>
      </c>
      <c r="L119" s="15">
        <f>IF($A119="","",ROUND($K119*$J119*(1+$Q119*kdo_iadeEtkiCarpani),2))</f>
        <v/>
      </c>
      <c r="M119" s="15">
        <f>IF($A119="","",IFERROR(SUMIF(tblAnahtarB[NormB],$A119,tblVeriB[AlternatifTarif]),0))</f>
        <v/>
      </c>
      <c r="N119" s="15">
        <f>IF($A119="","",ROUND($H119*$M119*$J119*(1+$Q119*kdo_iadeEtkiCarpani),2))</f>
        <v/>
      </c>
      <c r="O119" s="15">
        <f>IF($A119="","",ROUND($L119-$N119,2))</f>
        <v/>
      </c>
      <c r="P119" s="15">
        <f>IF($A119="","",IF($R119&gt;kdo_esikDesiOran,"DESİ DÜŞÜR",IF($O119&gt;kdo_esikTasarruf,"TAŞIYICI DEĞİŞTİR","UYGUN")))</f>
        <v/>
      </c>
      <c r="Q119" s="15">
        <f>IF($A119="","",IFERROR(SUMIF(tblAnahtarB[NormB],$A119,tblVeriB[IadeOran]),0))</f>
        <v/>
      </c>
      <c r="R119" s="15">
        <f>IF(OR($A119="",$E119=0),0,$G119/$E119)</f>
        <v/>
      </c>
      <c r="S119" s="15">
        <f>IF($A119="","",$G119-$E119)</f>
        <v/>
      </c>
      <c r="T119" s="15">
        <f>IF($A119="","",$L119-$N119)</f>
        <v/>
      </c>
    </row>
    <row r="120">
      <c r="A120" s="15">
        <f>IF('ANAHTAR'!$B120="","",'ANAHTAR'!$B120)</f>
        <v/>
      </c>
      <c r="B120" s="15">
        <f>IF($A120="","",IFERROR(SUMIF(tblAnahtarA[Norm],$A120,tblVeriA[EnCm]),0))</f>
        <v/>
      </c>
      <c r="C120" s="15">
        <f>IF($A120="","",IFERROR(SUMIF(tblAnahtarA[Norm],$A120,tblVeriA[BoyCm]),0))</f>
        <v/>
      </c>
      <c r="D120" s="15">
        <f>IF($A120="","",IFERROR(SUMIF(tblAnahtarA[Norm],$A120,tblVeriA[YukseklikCm]),0))</f>
        <v/>
      </c>
      <c r="E120" s="15">
        <f>IF($A120="","",IFERROR(SUMIF(tblAnahtarA[Norm],$A120,tblVeriA[AgirlikKg]),0))</f>
        <v/>
      </c>
      <c r="F120" s="15">
        <f>IF($A120="","",IFERROR(SUMIF(tblAnahtarA[Norm],$A120,tblVeriA[DesiCarpani]),kdo_varsayilanDesiCarpani))</f>
        <v/>
      </c>
      <c r="G120" s="15">
        <f>IF($A120="","",ROUND($B120*$C120*$D120/MAX($F120,1),2))</f>
        <v/>
      </c>
      <c r="H120" s="15">
        <f>IF($A120="","",MAX($G120,$E120))</f>
        <v/>
      </c>
      <c r="I120" s="15">
        <f>IF($A120="","",IFERROR(SUMIF(tblAnahtarB[NormB],$A120,tblVeriB[TarifTlDesi]),0))</f>
        <v/>
      </c>
      <c r="J120" s="15">
        <f>IF($A120="","",IFERROR(SUMIF(tblAnahtarA[Norm],$A120,tblVeriA[Adet]),1))</f>
        <v/>
      </c>
      <c r="K120" s="15">
        <f>IF($A120="","",ROUND($H120*$I120,2))</f>
        <v/>
      </c>
      <c r="L120" s="15">
        <f>IF($A120="","",ROUND($K120*$J120*(1+$Q120*kdo_iadeEtkiCarpani),2))</f>
        <v/>
      </c>
      <c r="M120" s="15">
        <f>IF($A120="","",IFERROR(SUMIF(tblAnahtarB[NormB],$A120,tblVeriB[AlternatifTarif]),0))</f>
        <v/>
      </c>
      <c r="N120" s="15">
        <f>IF($A120="","",ROUND($H120*$M120*$J120*(1+$Q120*kdo_iadeEtkiCarpani),2))</f>
        <v/>
      </c>
      <c r="O120" s="15">
        <f>IF($A120="","",ROUND($L120-$N120,2))</f>
        <v/>
      </c>
      <c r="P120" s="15">
        <f>IF($A120="","",IF($R120&gt;kdo_esikDesiOran,"DESİ DÜŞÜR",IF($O120&gt;kdo_esikTasarruf,"TAŞIYICI DEĞİŞTİR","UYGUN")))</f>
        <v/>
      </c>
      <c r="Q120" s="15">
        <f>IF($A120="","",IFERROR(SUMIF(tblAnahtarB[NormB],$A120,tblVeriB[IadeOran]),0))</f>
        <v/>
      </c>
      <c r="R120" s="15">
        <f>IF(OR($A120="",$E120=0),0,$G120/$E120)</f>
        <v/>
      </c>
      <c r="S120" s="15">
        <f>IF($A120="","",$G120-$E120)</f>
        <v/>
      </c>
      <c r="T120" s="15">
        <f>IF($A120="","",$L120-$N120)</f>
        <v/>
      </c>
    </row>
    <row r="121">
      <c r="A121" s="15">
        <f>IF('ANAHTAR'!$B121="","",'ANAHTAR'!$B121)</f>
        <v/>
      </c>
      <c r="B121" s="15">
        <f>IF($A121="","",IFERROR(SUMIF(tblAnahtarA[Norm],$A121,tblVeriA[EnCm]),0))</f>
        <v/>
      </c>
      <c r="C121" s="15">
        <f>IF($A121="","",IFERROR(SUMIF(tblAnahtarA[Norm],$A121,tblVeriA[BoyCm]),0))</f>
        <v/>
      </c>
      <c r="D121" s="15">
        <f>IF($A121="","",IFERROR(SUMIF(tblAnahtarA[Norm],$A121,tblVeriA[YukseklikCm]),0))</f>
        <v/>
      </c>
      <c r="E121" s="15">
        <f>IF($A121="","",IFERROR(SUMIF(tblAnahtarA[Norm],$A121,tblVeriA[AgirlikKg]),0))</f>
        <v/>
      </c>
      <c r="F121" s="15">
        <f>IF($A121="","",IFERROR(SUMIF(tblAnahtarA[Norm],$A121,tblVeriA[DesiCarpani]),kdo_varsayilanDesiCarpani))</f>
        <v/>
      </c>
      <c r="G121" s="15">
        <f>IF($A121="","",ROUND($B121*$C121*$D121/MAX($F121,1),2))</f>
        <v/>
      </c>
      <c r="H121" s="15">
        <f>IF($A121="","",MAX($G121,$E121))</f>
        <v/>
      </c>
      <c r="I121" s="15">
        <f>IF($A121="","",IFERROR(SUMIF(tblAnahtarB[NormB],$A121,tblVeriB[TarifTlDesi]),0))</f>
        <v/>
      </c>
      <c r="J121" s="15">
        <f>IF($A121="","",IFERROR(SUMIF(tblAnahtarA[Norm],$A121,tblVeriA[Adet]),1))</f>
        <v/>
      </c>
      <c r="K121" s="15">
        <f>IF($A121="","",ROUND($H121*$I121,2))</f>
        <v/>
      </c>
      <c r="L121" s="15">
        <f>IF($A121="","",ROUND($K121*$J121*(1+$Q121*kdo_iadeEtkiCarpani),2))</f>
        <v/>
      </c>
      <c r="M121" s="15">
        <f>IF($A121="","",IFERROR(SUMIF(tblAnahtarB[NormB],$A121,tblVeriB[AlternatifTarif]),0))</f>
        <v/>
      </c>
      <c r="N121" s="15">
        <f>IF($A121="","",ROUND($H121*$M121*$J121*(1+$Q121*kdo_iadeEtkiCarpani),2))</f>
        <v/>
      </c>
      <c r="O121" s="15">
        <f>IF($A121="","",ROUND($L121-$N121,2))</f>
        <v/>
      </c>
      <c r="P121" s="15">
        <f>IF($A121="","",IF($R121&gt;kdo_esikDesiOran,"DESİ DÜŞÜR",IF($O121&gt;kdo_esikTasarruf,"TAŞIYICI DEĞİŞTİR","UYGUN")))</f>
        <v/>
      </c>
      <c r="Q121" s="15">
        <f>IF($A121="","",IFERROR(SUMIF(tblAnahtarB[NormB],$A121,tblVeriB[IadeOran]),0))</f>
        <v/>
      </c>
      <c r="R121" s="15">
        <f>IF(OR($A121="",$E121=0),0,$G121/$E121)</f>
        <v/>
      </c>
      <c r="S121" s="15">
        <f>IF($A121="","",$G121-$E121)</f>
        <v/>
      </c>
      <c r="T121" s="15">
        <f>IF($A121="","",$L121-$N121)</f>
        <v/>
      </c>
    </row>
    <row r="122">
      <c r="A122" s="15">
        <f>IF('ANAHTAR'!$B122="","",'ANAHTAR'!$B122)</f>
        <v/>
      </c>
      <c r="B122" s="15">
        <f>IF($A122="","",IFERROR(SUMIF(tblAnahtarA[Norm],$A122,tblVeriA[EnCm]),0))</f>
        <v/>
      </c>
      <c r="C122" s="15">
        <f>IF($A122="","",IFERROR(SUMIF(tblAnahtarA[Norm],$A122,tblVeriA[BoyCm]),0))</f>
        <v/>
      </c>
      <c r="D122" s="15">
        <f>IF($A122="","",IFERROR(SUMIF(tblAnahtarA[Norm],$A122,tblVeriA[YukseklikCm]),0))</f>
        <v/>
      </c>
      <c r="E122" s="15">
        <f>IF($A122="","",IFERROR(SUMIF(tblAnahtarA[Norm],$A122,tblVeriA[AgirlikKg]),0))</f>
        <v/>
      </c>
      <c r="F122" s="15">
        <f>IF($A122="","",IFERROR(SUMIF(tblAnahtarA[Norm],$A122,tblVeriA[DesiCarpani]),kdo_varsayilanDesiCarpani))</f>
        <v/>
      </c>
      <c r="G122" s="15">
        <f>IF($A122="","",ROUND($B122*$C122*$D122/MAX($F122,1),2))</f>
        <v/>
      </c>
      <c r="H122" s="15">
        <f>IF($A122="","",MAX($G122,$E122))</f>
        <v/>
      </c>
      <c r="I122" s="15">
        <f>IF($A122="","",IFERROR(SUMIF(tblAnahtarB[NormB],$A122,tblVeriB[TarifTlDesi]),0))</f>
        <v/>
      </c>
      <c r="J122" s="15">
        <f>IF($A122="","",IFERROR(SUMIF(tblAnahtarA[Norm],$A122,tblVeriA[Adet]),1))</f>
        <v/>
      </c>
      <c r="K122" s="15">
        <f>IF($A122="","",ROUND($H122*$I122,2))</f>
        <v/>
      </c>
      <c r="L122" s="15">
        <f>IF($A122="","",ROUND($K122*$J122*(1+$Q122*kdo_iadeEtkiCarpani),2))</f>
        <v/>
      </c>
      <c r="M122" s="15">
        <f>IF($A122="","",IFERROR(SUMIF(tblAnahtarB[NormB],$A122,tblVeriB[AlternatifTarif]),0))</f>
        <v/>
      </c>
      <c r="N122" s="15">
        <f>IF($A122="","",ROUND($H122*$M122*$J122*(1+$Q122*kdo_iadeEtkiCarpani),2))</f>
        <v/>
      </c>
      <c r="O122" s="15">
        <f>IF($A122="","",ROUND($L122-$N122,2))</f>
        <v/>
      </c>
      <c r="P122" s="15">
        <f>IF($A122="","",IF($R122&gt;kdo_esikDesiOran,"DESİ DÜŞÜR",IF($O122&gt;kdo_esikTasarruf,"TAŞIYICI DEĞİŞTİR","UYGUN")))</f>
        <v/>
      </c>
      <c r="Q122" s="15">
        <f>IF($A122="","",IFERROR(SUMIF(tblAnahtarB[NormB],$A122,tblVeriB[IadeOran]),0))</f>
        <v/>
      </c>
      <c r="R122" s="15">
        <f>IF(OR($A122="",$E122=0),0,$G122/$E122)</f>
        <v/>
      </c>
      <c r="S122" s="15">
        <f>IF($A122="","",$G122-$E122)</f>
        <v/>
      </c>
      <c r="T122" s="15">
        <f>IF($A122="","",$L122-$N122)</f>
        <v/>
      </c>
    </row>
    <row r="123">
      <c r="A123" s="15">
        <f>IF('ANAHTAR'!$B123="","",'ANAHTAR'!$B123)</f>
        <v/>
      </c>
      <c r="B123" s="15">
        <f>IF($A123="","",IFERROR(SUMIF(tblAnahtarA[Norm],$A123,tblVeriA[EnCm]),0))</f>
        <v/>
      </c>
      <c r="C123" s="15">
        <f>IF($A123="","",IFERROR(SUMIF(tblAnahtarA[Norm],$A123,tblVeriA[BoyCm]),0))</f>
        <v/>
      </c>
      <c r="D123" s="15">
        <f>IF($A123="","",IFERROR(SUMIF(tblAnahtarA[Norm],$A123,tblVeriA[YukseklikCm]),0))</f>
        <v/>
      </c>
      <c r="E123" s="15">
        <f>IF($A123="","",IFERROR(SUMIF(tblAnahtarA[Norm],$A123,tblVeriA[AgirlikKg]),0))</f>
        <v/>
      </c>
      <c r="F123" s="15">
        <f>IF($A123="","",IFERROR(SUMIF(tblAnahtarA[Norm],$A123,tblVeriA[DesiCarpani]),kdo_varsayilanDesiCarpani))</f>
        <v/>
      </c>
      <c r="G123" s="15">
        <f>IF($A123="","",ROUND($B123*$C123*$D123/MAX($F123,1),2))</f>
        <v/>
      </c>
      <c r="H123" s="15">
        <f>IF($A123="","",MAX($G123,$E123))</f>
        <v/>
      </c>
      <c r="I123" s="15">
        <f>IF($A123="","",IFERROR(SUMIF(tblAnahtarB[NormB],$A123,tblVeriB[TarifTlDesi]),0))</f>
        <v/>
      </c>
      <c r="J123" s="15">
        <f>IF($A123="","",IFERROR(SUMIF(tblAnahtarA[Norm],$A123,tblVeriA[Adet]),1))</f>
        <v/>
      </c>
      <c r="K123" s="15">
        <f>IF($A123="","",ROUND($H123*$I123,2))</f>
        <v/>
      </c>
      <c r="L123" s="15">
        <f>IF($A123="","",ROUND($K123*$J123*(1+$Q123*kdo_iadeEtkiCarpani),2))</f>
        <v/>
      </c>
      <c r="M123" s="15">
        <f>IF($A123="","",IFERROR(SUMIF(tblAnahtarB[NormB],$A123,tblVeriB[AlternatifTarif]),0))</f>
        <v/>
      </c>
      <c r="N123" s="15">
        <f>IF($A123="","",ROUND($H123*$M123*$J123*(1+$Q123*kdo_iadeEtkiCarpani),2))</f>
        <v/>
      </c>
      <c r="O123" s="15">
        <f>IF($A123="","",ROUND($L123-$N123,2))</f>
        <v/>
      </c>
      <c r="P123" s="15">
        <f>IF($A123="","",IF($R123&gt;kdo_esikDesiOran,"DESİ DÜŞÜR",IF($O123&gt;kdo_esikTasarruf,"TAŞIYICI DEĞİŞTİR","UYGUN")))</f>
        <v/>
      </c>
      <c r="Q123" s="15">
        <f>IF($A123="","",IFERROR(SUMIF(tblAnahtarB[NormB],$A123,tblVeriB[IadeOran]),0))</f>
        <v/>
      </c>
      <c r="R123" s="15">
        <f>IF(OR($A123="",$E123=0),0,$G123/$E123)</f>
        <v/>
      </c>
      <c r="S123" s="15">
        <f>IF($A123="","",$G123-$E123)</f>
        <v/>
      </c>
      <c r="T123" s="15">
        <f>IF($A123="","",$L123-$N123)</f>
        <v/>
      </c>
    </row>
    <row r="124">
      <c r="A124" s="15">
        <f>IF('ANAHTAR'!$B124="","",'ANAHTAR'!$B124)</f>
        <v/>
      </c>
      <c r="B124" s="15">
        <f>IF($A124="","",IFERROR(SUMIF(tblAnahtarA[Norm],$A124,tblVeriA[EnCm]),0))</f>
        <v/>
      </c>
      <c r="C124" s="15">
        <f>IF($A124="","",IFERROR(SUMIF(tblAnahtarA[Norm],$A124,tblVeriA[BoyCm]),0))</f>
        <v/>
      </c>
      <c r="D124" s="15">
        <f>IF($A124="","",IFERROR(SUMIF(tblAnahtarA[Norm],$A124,tblVeriA[YukseklikCm]),0))</f>
        <v/>
      </c>
      <c r="E124" s="15">
        <f>IF($A124="","",IFERROR(SUMIF(tblAnahtarA[Norm],$A124,tblVeriA[AgirlikKg]),0))</f>
        <v/>
      </c>
      <c r="F124" s="15">
        <f>IF($A124="","",IFERROR(SUMIF(tblAnahtarA[Norm],$A124,tblVeriA[DesiCarpani]),kdo_varsayilanDesiCarpani))</f>
        <v/>
      </c>
      <c r="G124" s="15">
        <f>IF($A124="","",ROUND($B124*$C124*$D124/MAX($F124,1),2))</f>
        <v/>
      </c>
      <c r="H124" s="15">
        <f>IF($A124="","",MAX($G124,$E124))</f>
        <v/>
      </c>
      <c r="I124" s="15">
        <f>IF($A124="","",IFERROR(SUMIF(tblAnahtarB[NormB],$A124,tblVeriB[TarifTlDesi]),0))</f>
        <v/>
      </c>
      <c r="J124" s="15">
        <f>IF($A124="","",IFERROR(SUMIF(tblAnahtarA[Norm],$A124,tblVeriA[Adet]),1))</f>
        <v/>
      </c>
      <c r="K124" s="15">
        <f>IF($A124="","",ROUND($H124*$I124,2))</f>
        <v/>
      </c>
      <c r="L124" s="15">
        <f>IF($A124="","",ROUND($K124*$J124*(1+$Q124*kdo_iadeEtkiCarpani),2))</f>
        <v/>
      </c>
      <c r="M124" s="15">
        <f>IF($A124="","",IFERROR(SUMIF(tblAnahtarB[NormB],$A124,tblVeriB[AlternatifTarif]),0))</f>
        <v/>
      </c>
      <c r="N124" s="15">
        <f>IF($A124="","",ROUND($H124*$M124*$J124*(1+$Q124*kdo_iadeEtkiCarpani),2))</f>
        <v/>
      </c>
      <c r="O124" s="15">
        <f>IF($A124="","",ROUND($L124-$N124,2))</f>
        <v/>
      </c>
      <c r="P124" s="15">
        <f>IF($A124="","",IF($R124&gt;kdo_esikDesiOran,"DESİ DÜŞÜR",IF($O124&gt;kdo_esikTasarruf,"TAŞIYICI DEĞİŞTİR","UYGUN")))</f>
        <v/>
      </c>
      <c r="Q124" s="15">
        <f>IF($A124="","",IFERROR(SUMIF(tblAnahtarB[NormB],$A124,tblVeriB[IadeOran]),0))</f>
        <v/>
      </c>
      <c r="R124" s="15">
        <f>IF(OR($A124="",$E124=0),0,$G124/$E124)</f>
        <v/>
      </c>
      <c r="S124" s="15">
        <f>IF($A124="","",$G124-$E124)</f>
        <v/>
      </c>
      <c r="T124" s="15">
        <f>IF($A124="","",$L124-$N124)</f>
        <v/>
      </c>
    </row>
    <row r="125">
      <c r="A125" s="15">
        <f>IF('ANAHTAR'!$B125="","",'ANAHTAR'!$B125)</f>
        <v/>
      </c>
      <c r="B125" s="15">
        <f>IF($A125="","",IFERROR(SUMIF(tblAnahtarA[Norm],$A125,tblVeriA[EnCm]),0))</f>
        <v/>
      </c>
      <c r="C125" s="15">
        <f>IF($A125="","",IFERROR(SUMIF(tblAnahtarA[Norm],$A125,tblVeriA[BoyCm]),0))</f>
        <v/>
      </c>
      <c r="D125" s="15">
        <f>IF($A125="","",IFERROR(SUMIF(tblAnahtarA[Norm],$A125,tblVeriA[YukseklikCm]),0))</f>
        <v/>
      </c>
      <c r="E125" s="15">
        <f>IF($A125="","",IFERROR(SUMIF(tblAnahtarA[Norm],$A125,tblVeriA[AgirlikKg]),0))</f>
        <v/>
      </c>
      <c r="F125" s="15">
        <f>IF($A125="","",IFERROR(SUMIF(tblAnahtarA[Norm],$A125,tblVeriA[DesiCarpani]),kdo_varsayilanDesiCarpani))</f>
        <v/>
      </c>
      <c r="G125" s="15">
        <f>IF($A125="","",ROUND($B125*$C125*$D125/MAX($F125,1),2))</f>
        <v/>
      </c>
      <c r="H125" s="15">
        <f>IF($A125="","",MAX($G125,$E125))</f>
        <v/>
      </c>
      <c r="I125" s="15">
        <f>IF($A125="","",IFERROR(SUMIF(tblAnahtarB[NormB],$A125,tblVeriB[TarifTlDesi]),0))</f>
        <v/>
      </c>
      <c r="J125" s="15">
        <f>IF($A125="","",IFERROR(SUMIF(tblAnahtarA[Norm],$A125,tblVeriA[Adet]),1))</f>
        <v/>
      </c>
      <c r="K125" s="15">
        <f>IF($A125="","",ROUND($H125*$I125,2))</f>
        <v/>
      </c>
      <c r="L125" s="15">
        <f>IF($A125="","",ROUND($K125*$J125*(1+$Q125*kdo_iadeEtkiCarpani),2))</f>
        <v/>
      </c>
      <c r="M125" s="15">
        <f>IF($A125="","",IFERROR(SUMIF(tblAnahtarB[NormB],$A125,tblVeriB[AlternatifTarif]),0))</f>
        <v/>
      </c>
      <c r="N125" s="15">
        <f>IF($A125="","",ROUND($H125*$M125*$J125*(1+$Q125*kdo_iadeEtkiCarpani),2))</f>
        <v/>
      </c>
      <c r="O125" s="15">
        <f>IF($A125="","",ROUND($L125-$N125,2))</f>
        <v/>
      </c>
      <c r="P125" s="15">
        <f>IF($A125="","",IF($R125&gt;kdo_esikDesiOran,"DESİ DÜŞÜR",IF($O125&gt;kdo_esikTasarruf,"TAŞIYICI DEĞİŞTİR","UYGUN")))</f>
        <v/>
      </c>
      <c r="Q125" s="15">
        <f>IF($A125="","",IFERROR(SUMIF(tblAnahtarB[NormB],$A125,tblVeriB[IadeOran]),0))</f>
        <v/>
      </c>
      <c r="R125" s="15">
        <f>IF(OR($A125="",$E125=0),0,$G125/$E125)</f>
        <v/>
      </c>
      <c r="S125" s="15">
        <f>IF($A125="","",$G125-$E125)</f>
        <v/>
      </c>
      <c r="T125" s="15">
        <f>IF($A125="","",$L125-$N125)</f>
        <v/>
      </c>
    </row>
    <row r="126">
      <c r="A126" s="15">
        <f>IF('ANAHTAR'!$B126="","",'ANAHTAR'!$B126)</f>
        <v/>
      </c>
      <c r="B126" s="15">
        <f>IF($A126="","",IFERROR(SUMIF(tblAnahtarA[Norm],$A126,tblVeriA[EnCm]),0))</f>
        <v/>
      </c>
      <c r="C126" s="15">
        <f>IF($A126="","",IFERROR(SUMIF(tblAnahtarA[Norm],$A126,tblVeriA[BoyCm]),0))</f>
        <v/>
      </c>
      <c r="D126" s="15">
        <f>IF($A126="","",IFERROR(SUMIF(tblAnahtarA[Norm],$A126,tblVeriA[YukseklikCm]),0))</f>
        <v/>
      </c>
      <c r="E126" s="15">
        <f>IF($A126="","",IFERROR(SUMIF(tblAnahtarA[Norm],$A126,tblVeriA[AgirlikKg]),0))</f>
        <v/>
      </c>
      <c r="F126" s="15">
        <f>IF($A126="","",IFERROR(SUMIF(tblAnahtarA[Norm],$A126,tblVeriA[DesiCarpani]),kdo_varsayilanDesiCarpani))</f>
        <v/>
      </c>
      <c r="G126" s="15">
        <f>IF($A126="","",ROUND($B126*$C126*$D126/MAX($F126,1),2))</f>
        <v/>
      </c>
      <c r="H126" s="15">
        <f>IF($A126="","",MAX($G126,$E126))</f>
        <v/>
      </c>
      <c r="I126" s="15">
        <f>IF($A126="","",IFERROR(SUMIF(tblAnahtarB[NormB],$A126,tblVeriB[TarifTlDesi]),0))</f>
        <v/>
      </c>
      <c r="J126" s="15">
        <f>IF($A126="","",IFERROR(SUMIF(tblAnahtarA[Norm],$A126,tblVeriA[Adet]),1))</f>
        <v/>
      </c>
      <c r="K126" s="15">
        <f>IF($A126="","",ROUND($H126*$I126,2))</f>
        <v/>
      </c>
      <c r="L126" s="15">
        <f>IF($A126="","",ROUND($K126*$J126*(1+$Q126*kdo_iadeEtkiCarpani),2))</f>
        <v/>
      </c>
      <c r="M126" s="15">
        <f>IF($A126="","",IFERROR(SUMIF(tblAnahtarB[NormB],$A126,tblVeriB[AlternatifTarif]),0))</f>
        <v/>
      </c>
      <c r="N126" s="15">
        <f>IF($A126="","",ROUND($H126*$M126*$J126*(1+$Q126*kdo_iadeEtkiCarpani),2))</f>
        <v/>
      </c>
      <c r="O126" s="15">
        <f>IF($A126="","",ROUND($L126-$N126,2))</f>
        <v/>
      </c>
      <c r="P126" s="15">
        <f>IF($A126="","",IF($R126&gt;kdo_esikDesiOran,"DESİ DÜŞÜR",IF($O126&gt;kdo_esikTasarruf,"TAŞIYICI DEĞİŞTİR","UYGUN")))</f>
        <v/>
      </c>
      <c r="Q126" s="15">
        <f>IF($A126="","",IFERROR(SUMIF(tblAnahtarB[NormB],$A126,tblVeriB[IadeOran]),0))</f>
        <v/>
      </c>
      <c r="R126" s="15">
        <f>IF(OR($A126="",$E126=0),0,$G126/$E126)</f>
        <v/>
      </c>
      <c r="S126" s="15">
        <f>IF($A126="","",$G126-$E126)</f>
        <v/>
      </c>
      <c r="T126" s="15">
        <f>IF($A126="","",$L126-$N126)</f>
        <v/>
      </c>
    </row>
    <row r="127">
      <c r="A127" s="15">
        <f>IF('ANAHTAR'!$B127="","",'ANAHTAR'!$B127)</f>
        <v/>
      </c>
      <c r="B127" s="15">
        <f>IF($A127="","",IFERROR(SUMIF(tblAnahtarA[Norm],$A127,tblVeriA[EnCm]),0))</f>
        <v/>
      </c>
      <c r="C127" s="15">
        <f>IF($A127="","",IFERROR(SUMIF(tblAnahtarA[Norm],$A127,tblVeriA[BoyCm]),0))</f>
        <v/>
      </c>
      <c r="D127" s="15">
        <f>IF($A127="","",IFERROR(SUMIF(tblAnahtarA[Norm],$A127,tblVeriA[YukseklikCm]),0))</f>
        <v/>
      </c>
      <c r="E127" s="15">
        <f>IF($A127="","",IFERROR(SUMIF(tblAnahtarA[Norm],$A127,tblVeriA[AgirlikKg]),0))</f>
        <v/>
      </c>
      <c r="F127" s="15">
        <f>IF($A127="","",IFERROR(SUMIF(tblAnahtarA[Norm],$A127,tblVeriA[DesiCarpani]),kdo_varsayilanDesiCarpani))</f>
        <v/>
      </c>
      <c r="G127" s="15">
        <f>IF($A127="","",ROUND($B127*$C127*$D127/MAX($F127,1),2))</f>
        <v/>
      </c>
      <c r="H127" s="15">
        <f>IF($A127="","",MAX($G127,$E127))</f>
        <v/>
      </c>
      <c r="I127" s="15">
        <f>IF($A127="","",IFERROR(SUMIF(tblAnahtarB[NormB],$A127,tblVeriB[TarifTlDesi]),0))</f>
        <v/>
      </c>
      <c r="J127" s="15">
        <f>IF($A127="","",IFERROR(SUMIF(tblAnahtarA[Norm],$A127,tblVeriA[Adet]),1))</f>
        <v/>
      </c>
      <c r="K127" s="15">
        <f>IF($A127="","",ROUND($H127*$I127,2))</f>
        <v/>
      </c>
      <c r="L127" s="15">
        <f>IF($A127="","",ROUND($K127*$J127*(1+$Q127*kdo_iadeEtkiCarpani),2))</f>
        <v/>
      </c>
      <c r="M127" s="15">
        <f>IF($A127="","",IFERROR(SUMIF(tblAnahtarB[NormB],$A127,tblVeriB[AlternatifTarif]),0))</f>
        <v/>
      </c>
      <c r="N127" s="15">
        <f>IF($A127="","",ROUND($H127*$M127*$J127*(1+$Q127*kdo_iadeEtkiCarpani),2))</f>
        <v/>
      </c>
      <c r="O127" s="15">
        <f>IF($A127="","",ROUND($L127-$N127,2))</f>
        <v/>
      </c>
      <c r="P127" s="15">
        <f>IF($A127="","",IF($R127&gt;kdo_esikDesiOran,"DESİ DÜŞÜR",IF($O127&gt;kdo_esikTasarruf,"TAŞIYICI DEĞİŞTİR","UYGUN")))</f>
        <v/>
      </c>
      <c r="Q127" s="15">
        <f>IF($A127="","",IFERROR(SUMIF(tblAnahtarB[NormB],$A127,tblVeriB[IadeOran]),0))</f>
        <v/>
      </c>
      <c r="R127" s="15">
        <f>IF(OR($A127="",$E127=0),0,$G127/$E127)</f>
        <v/>
      </c>
      <c r="S127" s="15">
        <f>IF($A127="","",$G127-$E127)</f>
        <v/>
      </c>
      <c r="T127" s="15">
        <f>IF($A127="","",$L127-$N127)</f>
        <v/>
      </c>
    </row>
    <row r="128">
      <c r="A128" s="15">
        <f>IF('ANAHTAR'!$B128="","",'ANAHTAR'!$B128)</f>
        <v/>
      </c>
      <c r="B128" s="15">
        <f>IF($A128="","",IFERROR(SUMIF(tblAnahtarA[Norm],$A128,tblVeriA[EnCm]),0))</f>
        <v/>
      </c>
      <c r="C128" s="15">
        <f>IF($A128="","",IFERROR(SUMIF(tblAnahtarA[Norm],$A128,tblVeriA[BoyCm]),0))</f>
        <v/>
      </c>
      <c r="D128" s="15">
        <f>IF($A128="","",IFERROR(SUMIF(tblAnahtarA[Norm],$A128,tblVeriA[YukseklikCm]),0))</f>
        <v/>
      </c>
      <c r="E128" s="15">
        <f>IF($A128="","",IFERROR(SUMIF(tblAnahtarA[Norm],$A128,tblVeriA[AgirlikKg]),0))</f>
        <v/>
      </c>
      <c r="F128" s="15">
        <f>IF($A128="","",IFERROR(SUMIF(tblAnahtarA[Norm],$A128,tblVeriA[DesiCarpani]),kdo_varsayilanDesiCarpani))</f>
        <v/>
      </c>
      <c r="G128" s="15">
        <f>IF($A128="","",ROUND($B128*$C128*$D128/MAX($F128,1),2))</f>
        <v/>
      </c>
      <c r="H128" s="15">
        <f>IF($A128="","",MAX($G128,$E128))</f>
        <v/>
      </c>
      <c r="I128" s="15">
        <f>IF($A128="","",IFERROR(SUMIF(tblAnahtarB[NormB],$A128,tblVeriB[TarifTlDesi]),0))</f>
        <v/>
      </c>
      <c r="J128" s="15">
        <f>IF($A128="","",IFERROR(SUMIF(tblAnahtarA[Norm],$A128,tblVeriA[Adet]),1))</f>
        <v/>
      </c>
      <c r="K128" s="15">
        <f>IF($A128="","",ROUND($H128*$I128,2))</f>
        <v/>
      </c>
      <c r="L128" s="15">
        <f>IF($A128="","",ROUND($K128*$J128*(1+$Q128*kdo_iadeEtkiCarpani),2))</f>
        <v/>
      </c>
      <c r="M128" s="15">
        <f>IF($A128="","",IFERROR(SUMIF(tblAnahtarB[NormB],$A128,tblVeriB[AlternatifTarif]),0))</f>
        <v/>
      </c>
      <c r="N128" s="15">
        <f>IF($A128="","",ROUND($H128*$M128*$J128*(1+$Q128*kdo_iadeEtkiCarpani),2))</f>
        <v/>
      </c>
      <c r="O128" s="15">
        <f>IF($A128="","",ROUND($L128-$N128,2))</f>
        <v/>
      </c>
      <c r="P128" s="15">
        <f>IF($A128="","",IF($R128&gt;kdo_esikDesiOran,"DESİ DÜŞÜR",IF($O128&gt;kdo_esikTasarruf,"TAŞIYICI DEĞİŞTİR","UYGUN")))</f>
        <v/>
      </c>
      <c r="Q128" s="15">
        <f>IF($A128="","",IFERROR(SUMIF(tblAnahtarB[NormB],$A128,tblVeriB[IadeOran]),0))</f>
        <v/>
      </c>
      <c r="R128" s="15">
        <f>IF(OR($A128="",$E128=0),0,$G128/$E128)</f>
        <v/>
      </c>
      <c r="S128" s="15">
        <f>IF($A128="","",$G128-$E128)</f>
        <v/>
      </c>
      <c r="T128" s="15">
        <f>IF($A128="","",$L128-$N128)</f>
        <v/>
      </c>
    </row>
    <row r="129">
      <c r="A129" s="15">
        <f>IF('ANAHTAR'!$B129="","",'ANAHTAR'!$B129)</f>
        <v/>
      </c>
      <c r="B129" s="15">
        <f>IF($A129="","",IFERROR(SUMIF(tblAnahtarA[Norm],$A129,tblVeriA[EnCm]),0))</f>
        <v/>
      </c>
      <c r="C129" s="15">
        <f>IF($A129="","",IFERROR(SUMIF(tblAnahtarA[Norm],$A129,tblVeriA[BoyCm]),0))</f>
        <v/>
      </c>
      <c r="D129" s="15">
        <f>IF($A129="","",IFERROR(SUMIF(tblAnahtarA[Norm],$A129,tblVeriA[YukseklikCm]),0))</f>
        <v/>
      </c>
      <c r="E129" s="15">
        <f>IF($A129="","",IFERROR(SUMIF(tblAnahtarA[Norm],$A129,tblVeriA[AgirlikKg]),0))</f>
        <v/>
      </c>
      <c r="F129" s="15">
        <f>IF($A129="","",IFERROR(SUMIF(tblAnahtarA[Norm],$A129,tblVeriA[DesiCarpani]),kdo_varsayilanDesiCarpani))</f>
        <v/>
      </c>
      <c r="G129" s="15">
        <f>IF($A129="","",ROUND($B129*$C129*$D129/MAX($F129,1),2))</f>
        <v/>
      </c>
      <c r="H129" s="15">
        <f>IF($A129="","",MAX($G129,$E129))</f>
        <v/>
      </c>
      <c r="I129" s="15">
        <f>IF($A129="","",IFERROR(SUMIF(tblAnahtarB[NormB],$A129,tblVeriB[TarifTlDesi]),0))</f>
        <v/>
      </c>
      <c r="J129" s="15">
        <f>IF($A129="","",IFERROR(SUMIF(tblAnahtarA[Norm],$A129,tblVeriA[Adet]),1))</f>
        <v/>
      </c>
      <c r="K129" s="15">
        <f>IF($A129="","",ROUND($H129*$I129,2))</f>
        <v/>
      </c>
      <c r="L129" s="15">
        <f>IF($A129="","",ROUND($K129*$J129*(1+$Q129*kdo_iadeEtkiCarpani),2))</f>
        <v/>
      </c>
      <c r="M129" s="15">
        <f>IF($A129="","",IFERROR(SUMIF(tblAnahtarB[NormB],$A129,tblVeriB[AlternatifTarif]),0))</f>
        <v/>
      </c>
      <c r="N129" s="15">
        <f>IF($A129="","",ROUND($H129*$M129*$J129*(1+$Q129*kdo_iadeEtkiCarpani),2))</f>
        <v/>
      </c>
      <c r="O129" s="15">
        <f>IF($A129="","",ROUND($L129-$N129,2))</f>
        <v/>
      </c>
      <c r="P129" s="15">
        <f>IF($A129="","",IF($R129&gt;kdo_esikDesiOran,"DESİ DÜŞÜR",IF($O129&gt;kdo_esikTasarruf,"TAŞIYICI DEĞİŞTİR","UYGUN")))</f>
        <v/>
      </c>
      <c r="Q129" s="15">
        <f>IF($A129="","",IFERROR(SUMIF(tblAnahtarB[NormB],$A129,tblVeriB[IadeOran]),0))</f>
        <v/>
      </c>
      <c r="R129" s="15">
        <f>IF(OR($A129="",$E129=0),0,$G129/$E129)</f>
        <v/>
      </c>
      <c r="S129" s="15">
        <f>IF($A129="","",$G129-$E129)</f>
        <v/>
      </c>
      <c r="T129" s="15">
        <f>IF($A129="","",$L129-$N129)</f>
        <v/>
      </c>
    </row>
    <row r="130">
      <c r="A130" s="15">
        <f>IF('ANAHTAR'!$B130="","",'ANAHTAR'!$B130)</f>
        <v/>
      </c>
      <c r="B130" s="15">
        <f>IF($A130="","",IFERROR(SUMIF(tblAnahtarA[Norm],$A130,tblVeriA[EnCm]),0))</f>
        <v/>
      </c>
      <c r="C130" s="15">
        <f>IF($A130="","",IFERROR(SUMIF(tblAnahtarA[Norm],$A130,tblVeriA[BoyCm]),0))</f>
        <v/>
      </c>
      <c r="D130" s="15">
        <f>IF($A130="","",IFERROR(SUMIF(tblAnahtarA[Norm],$A130,tblVeriA[YukseklikCm]),0))</f>
        <v/>
      </c>
      <c r="E130" s="15">
        <f>IF($A130="","",IFERROR(SUMIF(tblAnahtarA[Norm],$A130,tblVeriA[AgirlikKg]),0))</f>
        <v/>
      </c>
      <c r="F130" s="15">
        <f>IF($A130="","",IFERROR(SUMIF(tblAnahtarA[Norm],$A130,tblVeriA[DesiCarpani]),kdo_varsayilanDesiCarpani))</f>
        <v/>
      </c>
      <c r="G130" s="15">
        <f>IF($A130="","",ROUND($B130*$C130*$D130/MAX($F130,1),2))</f>
        <v/>
      </c>
      <c r="H130" s="15">
        <f>IF($A130="","",MAX($G130,$E130))</f>
        <v/>
      </c>
      <c r="I130" s="15">
        <f>IF($A130="","",IFERROR(SUMIF(tblAnahtarB[NormB],$A130,tblVeriB[TarifTlDesi]),0))</f>
        <v/>
      </c>
      <c r="J130" s="15">
        <f>IF($A130="","",IFERROR(SUMIF(tblAnahtarA[Norm],$A130,tblVeriA[Adet]),1))</f>
        <v/>
      </c>
      <c r="K130" s="15">
        <f>IF($A130="","",ROUND($H130*$I130,2))</f>
        <v/>
      </c>
      <c r="L130" s="15">
        <f>IF($A130="","",ROUND($K130*$J130*(1+$Q130*kdo_iadeEtkiCarpani),2))</f>
        <v/>
      </c>
      <c r="M130" s="15">
        <f>IF($A130="","",IFERROR(SUMIF(tblAnahtarB[NormB],$A130,tblVeriB[AlternatifTarif]),0))</f>
        <v/>
      </c>
      <c r="N130" s="15">
        <f>IF($A130="","",ROUND($H130*$M130*$J130*(1+$Q130*kdo_iadeEtkiCarpani),2))</f>
        <v/>
      </c>
      <c r="O130" s="15">
        <f>IF($A130="","",ROUND($L130-$N130,2))</f>
        <v/>
      </c>
      <c r="P130" s="15">
        <f>IF($A130="","",IF($R130&gt;kdo_esikDesiOran,"DESİ DÜŞÜR",IF($O130&gt;kdo_esikTasarruf,"TAŞIYICI DEĞİŞTİR","UYGUN")))</f>
        <v/>
      </c>
      <c r="Q130" s="15">
        <f>IF($A130="","",IFERROR(SUMIF(tblAnahtarB[NormB],$A130,tblVeriB[IadeOran]),0))</f>
        <v/>
      </c>
      <c r="R130" s="15">
        <f>IF(OR($A130="",$E130=0),0,$G130/$E130)</f>
        <v/>
      </c>
      <c r="S130" s="15">
        <f>IF($A130="","",$G130-$E130)</f>
        <v/>
      </c>
      <c r="T130" s="15">
        <f>IF($A130="","",$L130-$N130)</f>
        <v/>
      </c>
    </row>
    <row r="131">
      <c r="A131" s="15">
        <f>IF('ANAHTAR'!$B131="","",'ANAHTAR'!$B131)</f>
        <v/>
      </c>
      <c r="B131" s="15">
        <f>IF($A131="","",IFERROR(SUMIF(tblAnahtarA[Norm],$A131,tblVeriA[EnCm]),0))</f>
        <v/>
      </c>
      <c r="C131" s="15">
        <f>IF($A131="","",IFERROR(SUMIF(tblAnahtarA[Norm],$A131,tblVeriA[BoyCm]),0))</f>
        <v/>
      </c>
      <c r="D131" s="15">
        <f>IF($A131="","",IFERROR(SUMIF(tblAnahtarA[Norm],$A131,tblVeriA[YukseklikCm]),0))</f>
        <v/>
      </c>
      <c r="E131" s="15">
        <f>IF($A131="","",IFERROR(SUMIF(tblAnahtarA[Norm],$A131,tblVeriA[AgirlikKg]),0))</f>
        <v/>
      </c>
      <c r="F131" s="15">
        <f>IF($A131="","",IFERROR(SUMIF(tblAnahtarA[Norm],$A131,tblVeriA[DesiCarpani]),kdo_varsayilanDesiCarpani))</f>
        <v/>
      </c>
      <c r="G131" s="15">
        <f>IF($A131="","",ROUND($B131*$C131*$D131/MAX($F131,1),2))</f>
        <v/>
      </c>
      <c r="H131" s="15">
        <f>IF($A131="","",MAX($G131,$E131))</f>
        <v/>
      </c>
      <c r="I131" s="15">
        <f>IF($A131="","",IFERROR(SUMIF(tblAnahtarB[NormB],$A131,tblVeriB[TarifTlDesi]),0))</f>
        <v/>
      </c>
      <c r="J131" s="15">
        <f>IF($A131="","",IFERROR(SUMIF(tblAnahtarA[Norm],$A131,tblVeriA[Adet]),1))</f>
        <v/>
      </c>
      <c r="K131" s="15">
        <f>IF($A131="","",ROUND($H131*$I131,2))</f>
        <v/>
      </c>
      <c r="L131" s="15">
        <f>IF($A131="","",ROUND($K131*$J131*(1+$Q131*kdo_iadeEtkiCarpani),2))</f>
        <v/>
      </c>
      <c r="M131" s="15">
        <f>IF($A131="","",IFERROR(SUMIF(tblAnahtarB[NormB],$A131,tblVeriB[AlternatifTarif]),0))</f>
        <v/>
      </c>
      <c r="N131" s="15">
        <f>IF($A131="","",ROUND($H131*$M131*$J131*(1+$Q131*kdo_iadeEtkiCarpani),2))</f>
        <v/>
      </c>
      <c r="O131" s="15">
        <f>IF($A131="","",ROUND($L131-$N131,2))</f>
        <v/>
      </c>
      <c r="P131" s="15">
        <f>IF($A131="","",IF($R131&gt;kdo_esikDesiOran,"DESİ DÜŞÜR",IF($O131&gt;kdo_esikTasarruf,"TAŞIYICI DEĞİŞTİR","UYGUN")))</f>
        <v/>
      </c>
      <c r="Q131" s="15">
        <f>IF($A131="","",IFERROR(SUMIF(tblAnahtarB[NormB],$A131,tblVeriB[IadeOran]),0))</f>
        <v/>
      </c>
      <c r="R131" s="15">
        <f>IF(OR($A131="",$E131=0),0,$G131/$E131)</f>
        <v/>
      </c>
      <c r="S131" s="15">
        <f>IF($A131="","",$G131-$E131)</f>
        <v/>
      </c>
      <c r="T131" s="15">
        <f>IF($A131="","",$L131-$N131)</f>
        <v/>
      </c>
    </row>
    <row r="132">
      <c r="A132" s="15">
        <f>IF('ANAHTAR'!$B132="","",'ANAHTAR'!$B132)</f>
        <v/>
      </c>
      <c r="B132" s="15">
        <f>IF($A132="","",IFERROR(SUMIF(tblAnahtarA[Norm],$A132,tblVeriA[EnCm]),0))</f>
        <v/>
      </c>
      <c r="C132" s="15">
        <f>IF($A132="","",IFERROR(SUMIF(tblAnahtarA[Norm],$A132,tblVeriA[BoyCm]),0))</f>
        <v/>
      </c>
      <c r="D132" s="15">
        <f>IF($A132="","",IFERROR(SUMIF(tblAnahtarA[Norm],$A132,tblVeriA[YukseklikCm]),0))</f>
        <v/>
      </c>
      <c r="E132" s="15">
        <f>IF($A132="","",IFERROR(SUMIF(tblAnahtarA[Norm],$A132,tblVeriA[AgirlikKg]),0))</f>
        <v/>
      </c>
      <c r="F132" s="15">
        <f>IF($A132="","",IFERROR(SUMIF(tblAnahtarA[Norm],$A132,tblVeriA[DesiCarpani]),kdo_varsayilanDesiCarpani))</f>
        <v/>
      </c>
      <c r="G132" s="15">
        <f>IF($A132="","",ROUND($B132*$C132*$D132/MAX($F132,1),2))</f>
        <v/>
      </c>
      <c r="H132" s="15">
        <f>IF($A132="","",MAX($G132,$E132))</f>
        <v/>
      </c>
      <c r="I132" s="15">
        <f>IF($A132="","",IFERROR(SUMIF(tblAnahtarB[NormB],$A132,tblVeriB[TarifTlDesi]),0))</f>
        <v/>
      </c>
      <c r="J132" s="15">
        <f>IF($A132="","",IFERROR(SUMIF(tblAnahtarA[Norm],$A132,tblVeriA[Adet]),1))</f>
        <v/>
      </c>
      <c r="K132" s="15">
        <f>IF($A132="","",ROUND($H132*$I132,2))</f>
        <v/>
      </c>
      <c r="L132" s="15">
        <f>IF($A132="","",ROUND($K132*$J132*(1+$Q132*kdo_iadeEtkiCarpani),2))</f>
        <v/>
      </c>
      <c r="M132" s="15">
        <f>IF($A132="","",IFERROR(SUMIF(tblAnahtarB[NormB],$A132,tblVeriB[AlternatifTarif]),0))</f>
        <v/>
      </c>
      <c r="N132" s="15">
        <f>IF($A132="","",ROUND($H132*$M132*$J132*(1+$Q132*kdo_iadeEtkiCarpani),2))</f>
        <v/>
      </c>
      <c r="O132" s="15">
        <f>IF($A132="","",ROUND($L132-$N132,2))</f>
        <v/>
      </c>
      <c r="P132" s="15">
        <f>IF($A132="","",IF($R132&gt;kdo_esikDesiOran,"DESİ DÜŞÜR",IF($O132&gt;kdo_esikTasarruf,"TAŞIYICI DEĞİŞTİR","UYGUN")))</f>
        <v/>
      </c>
      <c r="Q132" s="15">
        <f>IF($A132="","",IFERROR(SUMIF(tblAnahtarB[NormB],$A132,tblVeriB[IadeOran]),0))</f>
        <v/>
      </c>
      <c r="R132" s="15">
        <f>IF(OR($A132="",$E132=0),0,$G132/$E132)</f>
        <v/>
      </c>
      <c r="S132" s="15">
        <f>IF($A132="","",$G132-$E132)</f>
        <v/>
      </c>
      <c r="T132" s="15">
        <f>IF($A132="","",$L132-$N132)</f>
        <v/>
      </c>
    </row>
    <row r="133">
      <c r="A133" s="15">
        <f>IF('ANAHTAR'!$B133="","",'ANAHTAR'!$B133)</f>
        <v/>
      </c>
      <c r="B133" s="15">
        <f>IF($A133="","",IFERROR(SUMIF(tblAnahtarA[Norm],$A133,tblVeriA[EnCm]),0))</f>
        <v/>
      </c>
      <c r="C133" s="15">
        <f>IF($A133="","",IFERROR(SUMIF(tblAnahtarA[Norm],$A133,tblVeriA[BoyCm]),0))</f>
        <v/>
      </c>
      <c r="D133" s="15">
        <f>IF($A133="","",IFERROR(SUMIF(tblAnahtarA[Norm],$A133,tblVeriA[YukseklikCm]),0))</f>
        <v/>
      </c>
      <c r="E133" s="15">
        <f>IF($A133="","",IFERROR(SUMIF(tblAnahtarA[Norm],$A133,tblVeriA[AgirlikKg]),0))</f>
        <v/>
      </c>
      <c r="F133" s="15">
        <f>IF($A133="","",IFERROR(SUMIF(tblAnahtarA[Norm],$A133,tblVeriA[DesiCarpani]),kdo_varsayilanDesiCarpani))</f>
        <v/>
      </c>
      <c r="G133" s="15">
        <f>IF($A133="","",ROUND($B133*$C133*$D133/MAX($F133,1),2))</f>
        <v/>
      </c>
      <c r="H133" s="15">
        <f>IF($A133="","",MAX($G133,$E133))</f>
        <v/>
      </c>
      <c r="I133" s="15">
        <f>IF($A133="","",IFERROR(SUMIF(tblAnahtarB[NormB],$A133,tblVeriB[TarifTlDesi]),0))</f>
        <v/>
      </c>
      <c r="J133" s="15">
        <f>IF($A133="","",IFERROR(SUMIF(tblAnahtarA[Norm],$A133,tblVeriA[Adet]),1))</f>
        <v/>
      </c>
      <c r="K133" s="15">
        <f>IF($A133="","",ROUND($H133*$I133,2))</f>
        <v/>
      </c>
      <c r="L133" s="15">
        <f>IF($A133="","",ROUND($K133*$J133*(1+$Q133*kdo_iadeEtkiCarpani),2))</f>
        <v/>
      </c>
      <c r="M133" s="15">
        <f>IF($A133="","",IFERROR(SUMIF(tblAnahtarB[NormB],$A133,tblVeriB[AlternatifTarif]),0))</f>
        <v/>
      </c>
      <c r="N133" s="15">
        <f>IF($A133="","",ROUND($H133*$M133*$J133*(1+$Q133*kdo_iadeEtkiCarpani),2))</f>
        <v/>
      </c>
      <c r="O133" s="15">
        <f>IF($A133="","",ROUND($L133-$N133,2))</f>
        <v/>
      </c>
      <c r="P133" s="15">
        <f>IF($A133="","",IF($R133&gt;kdo_esikDesiOran,"DESİ DÜŞÜR",IF($O133&gt;kdo_esikTasarruf,"TAŞIYICI DEĞİŞTİR","UYGUN")))</f>
        <v/>
      </c>
      <c r="Q133" s="15">
        <f>IF($A133="","",IFERROR(SUMIF(tblAnahtarB[NormB],$A133,tblVeriB[IadeOran]),0))</f>
        <v/>
      </c>
      <c r="R133" s="15">
        <f>IF(OR($A133="",$E133=0),0,$G133/$E133)</f>
        <v/>
      </c>
      <c r="S133" s="15">
        <f>IF($A133="","",$G133-$E133)</f>
        <v/>
      </c>
      <c r="T133" s="15">
        <f>IF($A133="","",$L133-$N133)</f>
        <v/>
      </c>
    </row>
    <row r="134">
      <c r="A134" s="15">
        <f>IF('ANAHTAR'!$B134="","",'ANAHTAR'!$B134)</f>
        <v/>
      </c>
      <c r="B134" s="15">
        <f>IF($A134="","",IFERROR(SUMIF(tblAnahtarA[Norm],$A134,tblVeriA[EnCm]),0))</f>
        <v/>
      </c>
      <c r="C134" s="15">
        <f>IF($A134="","",IFERROR(SUMIF(tblAnahtarA[Norm],$A134,tblVeriA[BoyCm]),0))</f>
        <v/>
      </c>
      <c r="D134" s="15">
        <f>IF($A134="","",IFERROR(SUMIF(tblAnahtarA[Norm],$A134,tblVeriA[YukseklikCm]),0))</f>
        <v/>
      </c>
      <c r="E134" s="15">
        <f>IF($A134="","",IFERROR(SUMIF(tblAnahtarA[Norm],$A134,tblVeriA[AgirlikKg]),0))</f>
        <v/>
      </c>
      <c r="F134" s="15">
        <f>IF($A134="","",IFERROR(SUMIF(tblAnahtarA[Norm],$A134,tblVeriA[DesiCarpani]),kdo_varsayilanDesiCarpani))</f>
        <v/>
      </c>
      <c r="G134" s="15">
        <f>IF($A134="","",ROUND($B134*$C134*$D134/MAX($F134,1),2))</f>
        <v/>
      </c>
      <c r="H134" s="15">
        <f>IF($A134="","",MAX($G134,$E134))</f>
        <v/>
      </c>
      <c r="I134" s="15">
        <f>IF($A134="","",IFERROR(SUMIF(tblAnahtarB[NormB],$A134,tblVeriB[TarifTlDesi]),0))</f>
        <v/>
      </c>
      <c r="J134" s="15">
        <f>IF($A134="","",IFERROR(SUMIF(tblAnahtarA[Norm],$A134,tblVeriA[Adet]),1))</f>
        <v/>
      </c>
      <c r="K134" s="15">
        <f>IF($A134="","",ROUND($H134*$I134,2))</f>
        <v/>
      </c>
      <c r="L134" s="15">
        <f>IF($A134="","",ROUND($K134*$J134*(1+$Q134*kdo_iadeEtkiCarpani),2))</f>
        <v/>
      </c>
      <c r="M134" s="15">
        <f>IF($A134="","",IFERROR(SUMIF(tblAnahtarB[NormB],$A134,tblVeriB[AlternatifTarif]),0))</f>
        <v/>
      </c>
      <c r="N134" s="15">
        <f>IF($A134="","",ROUND($H134*$M134*$J134*(1+$Q134*kdo_iadeEtkiCarpani),2))</f>
        <v/>
      </c>
      <c r="O134" s="15">
        <f>IF($A134="","",ROUND($L134-$N134,2))</f>
        <v/>
      </c>
      <c r="P134" s="15">
        <f>IF($A134="","",IF($R134&gt;kdo_esikDesiOran,"DESİ DÜŞÜR",IF($O134&gt;kdo_esikTasarruf,"TAŞIYICI DEĞİŞTİR","UYGUN")))</f>
        <v/>
      </c>
      <c r="Q134" s="15">
        <f>IF($A134="","",IFERROR(SUMIF(tblAnahtarB[NormB],$A134,tblVeriB[IadeOran]),0))</f>
        <v/>
      </c>
      <c r="R134" s="15">
        <f>IF(OR($A134="",$E134=0),0,$G134/$E134)</f>
        <v/>
      </c>
      <c r="S134" s="15">
        <f>IF($A134="","",$G134-$E134)</f>
        <v/>
      </c>
      <c r="T134" s="15">
        <f>IF($A134="","",$L134-$N134)</f>
        <v/>
      </c>
    </row>
    <row r="135">
      <c r="A135" s="15">
        <f>IF('ANAHTAR'!$B135="","",'ANAHTAR'!$B135)</f>
        <v/>
      </c>
      <c r="B135" s="15">
        <f>IF($A135="","",IFERROR(SUMIF(tblAnahtarA[Norm],$A135,tblVeriA[EnCm]),0))</f>
        <v/>
      </c>
      <c r="C135" s="15">
        <f>IF($A135="","",IFERROR(SUMIF(tblAnahtarA[Norm],$A135,tblVeriA[BoyCm]),0))</f>
        <v/>
      </c>
      <c r="D135" s="15">
        <f>IF($A135="","",IFERROR(SUMIF(tblAnahtarA[Norm],$A135,tblVeriA[YukseklikCm]),0))</f>
        <v/>
      </c>
      <c r="E135" s="15">
        <f>IF($A135="","",IFERROR(SUMIF(tblAnahtarA[Norm],$A135,tblVeriA[AgirlikKg]),0))</f>
        <v/>
      </c>
      <c r="F135" s="15">
        <f>IF($A135="","",IFERROR(SUMIF(tblAnahtarA[Norm],$A135,tblVeriA[DesiCarpani]),kdo_varsayilanDesiCarpani))</f>
        <v/>
      </c>
      <c r="G135" s="15">
        <f>IF($A135="","",ROUND($B135*$C135*$D135/MAX($F135,1),2))</f>
        <v/>
      </c>
      <c r="H135" s="15">
        <f>IF($A135="","",MAX($G135,$E135))</f>
        <v/>
      </c>
      <c r="I135" s="15">
        <f>IF($A135="","",IFERROR(SUMIF(tblAnahtarB[NormB],$A135,tblVeriB[TarifTlDesi]),0))</f>
        <v/>
      </c>
      <c r="J135" s="15">
        <f>IF($A135="","",IFERROR(SUMIF(tblAnahtarA[Norm],$A135,tblVeriA[Adet]),1))</f>
        <v/>
      </c>
      <c r="K135" s="15">
        <f>IF($A135="","",ROUND($H135*$I135,2))</f>
        <v/>
      </c>
      <c r="L135" s="15">
        <f>IF($A135="","",ROUND($K135*$J135*(1+$Q135*kdo_iadeEtkiCarpani),2))</f>
        <v/>
      </c>
      <c r="M135" s="15">
        <f>IF($A135="","",IFERROR(SUMIF(tblAnahtarB[NormB],$A135,tblVeriB[AlternatifTarif]),0))</f>
        <v/>
      </c>
      <c r="N135" s="15">
        <f>IF($A135="","",ROUND($H135*$M135*$J135*(1+$Q135*kdo_iadeEtkiCarpani),2))</f>
        <v/>
      </c>
      <c r="O135" s="15">
        <f>IF($A135="","",ROUND($L135-$N135,2))</f>
        <v/>
      </c>
      <c r="P135" s="15">
        <f>IF($A135="","",IF($R135&gt;kdo_esikDesiOran,"DESİ DÜŞÜR",IF($O135&gt;kdo_esikTasarruf,"TAŞIYICI DEĞİŞTİR","UYGUN")))</f>
        <v/>
      </c>
      <c r="Q135" s="15">
        <f>IF($A135="","",IFERROR(SUMIF(tblAnahtarB[NormB],$A135,tblVeriB[IadeOran]),0))</f>
        <v/>
      </c>
      <c r="R135" s="15">
        <f>IF(OR($A135="",$E135=0),0,$G135/$E135)</f>
        <v/>
      </c>
      <c r="S135" s="15">
        <f>IF($A135="","",$G135-$E135)</f>
        <v/>
      </c>
      <c r="T135" s="15">
        <f>IF($A135="","",$L135-$N135)</f>
        <v/>
      </c>
    </row>
    <row r="136">
      <c r="A136" s="15">
        <f>IF('ANAHTAR'!$B136="","",'ANAHTAR'!$B136)</f>
        <v/>
      </c>
      <c r="B136" s="15">
        <f>IF($A136="","",IFERROR(SUMIF(tblAnahtarA[Norm],$A136,tblVeriA[EnCm]),0))</f>
        <v/>
      </c>
      <c r="C136" s="15">
        <f>IF($A136="","",IFERROR(SUMIF(tblAnahtarA[Norm],$A136,tblVeriA[BoyCm]),0))</f>
        <v/>
      </c>
      <c r="D136" s="15">
        <f>IF($A136="","",IFERROR(SUMIF(tblAnahtarA[Norm],$A136,tblVeriA[YukseklikCm]),0))</f>
        <v/>
      </c>
      <c r="E136" s="15">
        <f>IF($A136="","",IFERROR(SUMIF(tblAnahtarA[Norm],$A136,tblVeriA[AgirlikKg]),0))</f>
        <v/>
      </c>
      <c r="F136" s="15">
        <f>IF($A136="","",IFERROR(SUMIF(tblAnahtarA[Norm],$A136,tblVeriA[DesiCarpani]),kdo_varsayilanDesiCarpani))</f>
        <v/>
      </c>
      <c r="G136" s="15">
        <f>IF($A136="","",ROUND($B136*$C136*$D136/MAX($F136,1),2))</f>
        <v/>
      </c>
      <c r="H136" s="15">
        <f>IF($A136="","",MAX($G136,$E136))</f>
        <v/>
      </c>
      <c r="I136" s="15">
        <f>IF($A136="","",IFERROR(SUMIF(tblAnahtarB[NormB],$A136,tblVeriB[TarifTlDesi]),0))</f>
        <v/>
      </c>
      <c r="J136" s="15">
        <f>IF($A136="","",IFERROR(SUMIF(tblAnahtarA[Norm],$A136,tblVeriA[Adet]),1))</f>
        <v/>
      </c>
      <c r="K136" s="15">
        <f>IF($A136="","",ROUND($H136*$I136,2))</f>
        <v/>
      </c>
      <c r="L136" s="15">
        <f>IF($A136="","",ROUND($K136*$J136*(1+$Q136*kdo_iadeEtkiCarpani),2))</f>
        <v/>
      </c>
      <c r="M136" s="15">
        <f>IF($A136="","",IFERROR(SUMIF(tblAnahtarB[NormB],$A136,tblVeriB[AlternatifTarif]),0))</f>
        <v/>
      </c>
      <c r="N136" s="15">
        <f>IF($A136="","",ROUND($H136*$M136*$J136*(1+$Q136*kdo_iadeEtkiCarpani),2))</f>
        <v/>
      </c>
      <c r="O136" s="15">
        <f>IF($A136="","",ROUND($L136-$N136,2))</f>
        <v/>
      </c>
      <c r="P136" s="15">
        <f>IF($A136="","",IF($R136&gt;kdo_esikDesiOran,"DESİ DÜŞÜR",IF($O136&gt;kdo_esikTasarruf,"TAŞIYICI DEĞİŞTİR","UYGUN")))</f>
        <v/>
      </c>
      <c r="Q136" s="15">
        <f>IF($A136="","",IFERROR(SUMIF(tblAnahtarB[NormB],$A136,tblVeriB[IadeOran]),0))</f>
        <v/>
      </c>
      <c r="R136" s="15">
        <f>IF(OR($A136="",$E136=0),0,$G136/$E136)</f>
        <v/>
      </c>
      <c r="S136" s="15">
        <f>IF($A136="","",$G136-$E136)</f>
        <v/>
      </c>
      <c r="T136" s="15">
        <f>IF($A136="","",$L136-$N136)</f>
        <v/>
      </c>
    </row>
    <row r="137">
      <c r="A137" s="15">
        <f>IF('ANAHTAR'!$B137="","",'ANAHTAR'!$B137)</f>
        <v/>
      </c>
      <c r="B137" s="15">
        <f>IF($A137="","",IFERROR(SUMIF(tblAnahtarA[Norm],$A137,tblVeriA[EnCm]),0))</f>
        <v/>
      </c>
      <c r="C137" s="15">
        <f>IF($A137="","",IFERROR(SUMIF(tblAnahtarA[Norm],$A137,tblVeriA[BoyCm]),0))</f>
        <v/>
      </c>
      <c r="D137" s="15">
        <f>IF($A137="","",IFERROR(SUMIF(tblAnahtarA[Norm],$A137,tblVeriA[YukseklikCm]),0))</f>
        <v/>
      </c>
      <c r="E137" s="15">
        <f>IF($A137="","",IFERROR(SUMIF(tblAnahtarA[Norm],$A137,tblVeriA[AgirlikKg]),0))</f>
        <v/>
      </c>
      <c r="F137" s="15">
        <f>IF($A137="","",IFERROR(SUMIF(tblAnahtarA[Norm],$A137,tblVeriA[DesiCarpani]),kdo_varsayilanDesiCarpani))</f>
        <v/>
      </c>
      <c r="G137" s="15">
        <f>IF($A137="","",ROUND($B137*$C137*$D137/MAX($F137,1),2))</f>
        <v/>
      </c>
      <c r="H137" s="15">
        <f>IF($A137="","",MAX($G137,$E137))</f>
        <v/>
      </c>
      <c r="I137" s="15">
        <f>IF($A137="","",IFERROR(SUMIF(tblAnahtarB[NormB],$A137,tblVeriB[TarifTlDesi]),0))</f>
        <v/>
      </c>
      <c r="J137" s="15">
        <f>IF($A137="","",IFERROR(SUMIF(tblAnahtarA[Norm],$A137,tblVeriA[Adet]),1))</f>
        <v/>
      </c>
      <c r="K137" s="15">
        <f>IF($A137="","",ROUND($H137*$I137,2))</f>
        <v/>
      </c>
      <c r="L137" s="15">
        <f>IF($A137="","",ROUND($K137*$J137*(1+$Q137*kdo_iadeEtkiCarpani),2))</f>
        <v/>
      </c>
      <c r="M137" s="15">
        <f>IF($A137="","",IFERROR(SUMIF(tblAnahtarB[NormB],$A137,tblVeriB[AlternatifTarif]),0))</f>
        <v/>
      </c>
      <c r="N137" s="15">
        <f>IF($A137="","",ROUND($H137*$M137*$J137*(1+$Q137*kdo_iadeEtkiCarpani),2))</f>
        <v/>
      </c>
      <c r="O137" s="15">
        <f>IF($A137="","",ROUND($L137-$N137,2))</f>
        <v/>
      </c>
      <c r="P137" s="15">
        <f>IF($A137="","",IF($R137&gt;kdo_esikDesiOran,"DESİ DÜŞÜR",IF($O137&gt;kdo_esikTasarruf,"TAŞIYICI DEĞİŞTİR","UYGUN")))</f>
        <v/>
      </c>
      <c r="Q137" s="15">
        <f>IF($A137="","",IFERROR(SUMIF(tblAnahtarB[NormB],$A137,tblVeriB[IadeOran]),0))</f>
        <v/>
      </c>
      <c r="R137" s="15">
        <f>IF(OR($A137="",$E137=0),0,$G137/$E137)</f>
        <v/>
      </c>
      <c r="S137" s="15">
        <f>IF($A137="","",$G137-$E137)</f>
        <v/>
      </c>
      <c r="T137" s="15">
        <f>IF($A137="","",$L137-$N137)</f>
        <v/>
      </c>
    </row>
    <row r="138">
      <c r="A138" s="15">
        <f>IF('ANAHTAR'!$B138="","",'ANAHTAR'!$B138)</f>
        <v/>
      </c>
      <c r="B138" s="15">
        <f>IF($A138="","",IFERROR(SUMIF(tblAnahtarA[Norm],$A138,tblVeriA[EnCm]),0))</f>
        <v/>
      </c>
      <c r="C138" s="15">
        <f>IF($A138="","",IFERROR(SUMIF(tblAnahtarA[Norm],$A138,tblVeriA[BoyCm]),0))</f>
        <v/>
      </c>
      <c r="D138" s="15">
        <f>IF($A138="","",IFERROR(SUMIF(tblAnahtarA[Norm],$A138,tblVeriA[YukseklikCm]),0))</f>
        <v/>
      </c>
      <c r="E138" s="15">
        <f>IF($A138="","",IFERROR(SUMIF(tblAnahtarA[Norm],$A138,tblVeriA[AgirlikKg]),0))</f>
        <v/>
      </c>
      <c r="F138" s="15">
        <f>IF($A138="","",IFERROR(SUMIF(tblAnahtarA[Norm],$A138,tblVeriA[DesiCarpani]),kdo_varsayilanDesiCarpani))</f>
        <v/>
      </c>
      <c r="G138" s="15">
        <f>IF($A138="","",ROUND($B138*$C138*$D138/MAX($F138,1),2))</f>
        <v/>
      </c>
      <c r="H138" s="15">
        <f>IF($A138="","",MAX($G138,$E138))</f>
        <v/>
      </c>
      <c r="I138" s="15">
        <f>IF($A138="","",IFERROR(SUMIF(tblAnahtarB[NormB],$A138,tblVeriB[TarifTlDesi]),0))</f>
        <v/>
      </c>
      <c r="J138" s="15">
        <f>IF($A138="","",IFERROR(SUMIF(tblAnahtarA[Norm],$A138,tblVeriA[Adet]),1))</f>
        <v/>
      </c>
      <c r="K138" s="15">
        <f>IF($A138="","",ROUND($H138*$I138,2))</f>
        <v/>
      </c>
      <c r="L138" s="15">
        <f>IF($A138="","",ROUND($K138*$J138*(1+$Q138*kdo_iadeEtkiCarpani),2))</f>
        <v/>
      </c>
      <c r="M138" s="15">
        <f>IF($A138="","",IFERROR(SUMIF(tblAnahtarB[NormB],$A138,tblVeriB[AlternatifTarif]),0))</f>
        <v/>
      </c>
      <c r="N138" s="15">
        <f>IF($A138="","",ROUND($H138*$M138*$J138*(1+$Q138*kdo_iadeEtkiCarpani),2))</f>
        <v/>
      </c>
      <c r="O138" s="15">
        <f>IF($A138="","",ROUND($L138-$N138,2))</f>
        <v/>
      </c>
      <c r="P138" s="15">
        <f>IF($A138="","",IF($R138&gt;kdo_esikDesiOran,"DESİ DÜŞÜR",IF($O138&gt;kdo_esikTasarruf,"TAŞIYICI DEĞİŞTİR","UYGUN")))</f>
        <v/>
      </c>
      <c r="Q138" s="15">
        <f>IF($A138="","",IFERROR(SUMIF(tblAnahtarB[NormB],$A138,tblVeriB[IadeOran]),0))</f>
        <v/>
      </c>
      <c r="R138" s="15">
        <f>IF(OR($A138="",$E138=0),0,$G138/$E138)</f>
        <v/>
      </c>
      <c r="S138" s="15">
        <f>IF($A138="","",$G138-$E138)</f>
        <v/>
      </c>
      <c r="T138" s="15">
        <f>IF($A138="","",$L138-$N138)</f>
        <v/>
      </c>
    </row>
    <row r="139">
      <c r="A139" s="15">
        <f>IF('ANAHTAR'!$B139="","",'ANAHTAR'!$B139)</f>
        <v/>
      </c>
      <c r="B139" s="15">
        <f>IF($A139="","",IFERROR(SUMIF(tblAnahtarA[Norm],$A139,tblVeriA[EnCm]),0))</f>
        <v/>
      </c>
      <c r="C139" s="15">
        <f>IF($A139="","",IFERROR(SUMIF(tblAnahtarA[Norm],$A139,tblVeriA[BoyCm]),0))</f>
        <v/>
      </c>
      <c r="D139" s="15">
        <f>IF($A139="","",IFERROR(SUMIF(tblAnahtarA[Norm],$A139,tblVeriA[YukseklikCm]),0))</f>
        <v/>
      </c>
      <c r="E139" s="15">
        <f>IF($A139="","",IFERROR(SUMIF(tblAnahtarA[Norm],$A139,tblVeriA[AgirlikKg]),0))</f>
        <v/>
      </c>
      <c r="F139" s="15">
        <f>IF($A139="","",IFERROR(SUMIF(tblAnahtarA[Norm],$A139,tblVeriA[DesiCarpani]),kdo_varsayilanDesiCarpani))</f>
        <v/>
      </c>
      <c r="G139" s="15">
        <f>IF($A139="","",ROUND($B139*$C139*$D139/MAX($F139,1),2))</f>
        <v/>
      </c>
      <c r="H139" s="15">
        <f>IF($A139="","",MAX($G139,$E139))</f>
        <v/>
      </c>
      <c r="I139" s="15">
        <f>IF($A139="","",IFERROR(SUMIF(tblAnahtarB[NormB],$A139,tblVeriB[TarifTlDesi]),0))</f>
        <v/>
      </c>
      <c r="J139" s="15">
        <f>IF($A139="","",IFERROR(SUMIF(tblAnahtarA[Norm],$A139,tblVeriA[Adet]),1))</f>
        <v/>
      </c>
      <c r="K139" s="15">
        <f>IF($A139="","",ROUND($H139*$I139,2))</f>
        <v/>
      </c>
      <c r="L139" s="15">
        <f>IF($A139="","",ROUND($K139*$J139*(1+$Q139*kdo_iadeEtkiCarpani),2))</f>
        <v/>
      </c>
      <c r="M139" s="15">
        <f>IF($A139="","",IFERROR(SUMIF(tblAnahtarB[NormB],$A139,tblVeriB[AlternatifTarif]),0))</f>
        <v/>
      </c>
      <c r="N139" s="15">
        <f>IF($A139="","",ROUND($H139*$M139*$J139*(1+$Q139*kdo_iadeEtkiCarpani),2))</f>
        <v/>
      </c>
      <c r="O139" s="15">
        <f>IF($A139="","",ROUND($L139-$N139,2))</f>
        <v/>
      </c>
      <c r="P139" s="15">
        <f>IF($A139="","",IF($R139&gt;kdo_esikDesiOran,"DESİ DÜŞÜR",IF($O139&gt;kdo_esikTasarruf,"TAŞIYICI DEĞİŞTİR","UYGUN")))</f>
        <v/>
      </c>
      <c r="Q139" s="15">
        <f>IF($A139="","",IFERROR(SUMIF(tblAnahtarB[NormB],$A139,tblVeriB[IadeOran]),0))</f>
        <v/>
      </c>
      <c r="R139" s="15">
        <f>IF(OR($A139="",$E139=0),0,$G139/$E139)</f>
        <v/>
      </c>
      <c r="S139" s="15">
        <f>IF($A139="","",$G139-$E139)</f>
        <v/>
      </c>
      <c r="T139" s="15">
        <f>IF($A139="","",$L139-$N139)</f>
        <v/>
      </c>
    </row>
    <row r="140">
      <c r="A140" s="15">
        <f>IF('ANAHTAR'!$B140="","",'ANAHTAR'!$B140)</f>
        <v/>
      </c>
      <c r="B140" s="15">
        <f>IF($A140="","",IFERROR(SUMIF(tblAnahtarA[Norm],$A140,tblVeriA[EnCm]),0))</f>
        <v/>
      </c>
      <c r="C140" s="15">
        <f>IF($A140="","",IFERROR(SUMIF(tblAnahtarA[Norm],$A140,tblVeriA[BoyCm]),0))</f>
        <v/>
      </c>
      <c r="D140" s="15">
        <f>IF($A140="","",IFERROR(SUMIF(tblAnahtarA[Norm],$A140,tblVeriA[YukseklikCm]),0))</f>
        <v/>
      </c>
      <c r="E140" s="15">
        <f>IF($A140="","",IFERROR(SUMIF(tblAnahtarA[Norm],$A140,tblVeriA[AgirlikKg]),0))</f>
        <v/>
      </c>
      <c r="F140" s="15">
        <f>IF($A140="","",IFERROR(SUMIF(tblAnahtarA[Norm],$A140,tblVeriA[DesiCarpani]),kdo_varsayilanDesiCarpani))</f>
        <v/>
      </c>
      <c r="G140" s="15">
        <f>IF($A140="","",ROUND($B140*$C140*$D140/MAX($F140,1),2))</f>
        <v/>
      </c>
      <c r="H140" s="15">
        <f>IF($A140="","",MAX($G140,$E140))</f>
        <v/>
      </c>
      <c r="I140" s="15">
        <f>IF($A140="","",IFERROR(SUMIF(tblAnahtarB[NormB],$A140,tblVeriB[TarifTlDesi]),0))</f>
        <v/>
      </c>
      <c r="J140" s="15">
        <f>IF($A140="","",IFERROR(SUMIF(tblAnahtarA[Norm],$A140,tblVeriA[Adet]),1))</f>
        <v/>
      </c>
      <c r="K140" s="15">
        <f>IF($A140="","",ROUND($H140*$I140,2))</f>
        <v/>
      </c>
      <c r="L140" s="15">
        <f>IF($A140="","",ROUND($K140*$J140*(1+$Q140*kdo_iadeEtkiCarpani),2))</f>
        <v/>
      </c>
      <c r="M140" s="15">
        <f>IF($A140="","",IFERROR(SUMIF(tblAnahtarB[NormB],$A140,tblVeriB[AlternatifTarif]),0))</f>
        <v/>
      </c>
      <c r="N140" s="15">
        <f>IF($A140="","",ROUND($H140*$M140*$J140*(1+$Q140*kdo_iadeEtkiCarpani),2))</f>
        <v/>
      </c>
      <c r="O140" s="15">
        <f>IF($A140="","",ROUND($L140-$N140,2))</f>
        <v/>
      </c>
      <c r="P140" s="15">
        <f>IF($A140="","",IF($R140&gt;kdo_esikDesiOran,"DESİ DÜŞÜR",IF($O140&gt;kdo_esikTasarruf,"TAŞIYICI DEĞİŞTİR","UYGUN")))</f>
        <v/>
      </c>
      <c r="Q140" s="15">
        <f>IF($A140="","",IFERROR(SUMIF(tblAnahtarB[NormB],$A140,tblVeriB[IadeOran]),0))</f>
        <v/>
      </c>
      <c r="R140" s="15">
        <f>IF(OR($A140="",$E140=0),0,$G140/$E140)</f>
        <v/>
      </c>
      <c r="S140" s="15">
        <f>IF($A140="","",$G140-$E140)</f>
        <v/>
      </c>
      <c r="T140" s="15">
        <f>IF($A140="","",$L140-$N140)</f>
        <v/>
      </c>
    </row>
    <row r="141">
      <c r="A141" s="15">
        <f>IF('ANAHTAR'!$B141="","",'ANAHTAR'!$B141)</f>
        <v/>
      </c>
      <c r="B141" s="15">
        <f>IF($A141="","",IFERROR(SUMIF(tblAnahtarA[Norm],$A141,tblVeriA[EnCm]),0))</f>
        <v/>
      </c>
      <c r="C141" s="15">
        <f>IF($A141="","",IFERROR(SUMIF(tblAnahtarA[Norm],$A141,tblVeriA[BoyCm]),0))</f>
        <v/>
      </c>
      <c r="D141" s="15">
        <f>IF($A141="","",IFERROR(SUMIF(tblAnahtarA[Norm],$A141,tblVeriA[YukseklikCm]),0))</f>
        <v/>
      </c>
      <c r="E141" s="15">
        <f>IF($A141="","",IFERROR(SUMIF(tblAnahtarA[Norm],$A141,tblVeriA[AgirlikKg]),0))</f>
        <v/>
      </c>
      <c r="F141" s="15">
        <f>IF($A141="","",IFERROR(SUMIF(tblAnahtarA[Norm],$A141,tblVeriA[DesiCarpani]),kdo_varsayilanDesiCarpani))</f>
        <v/>
      </c>
      <c r="G141" s="15">
        <f>IF($A141="","",ROUND($B141*$C141*$D141/MAX($F141,1),2))</f>
        <v/>
      </c>
      <c r="H141" s="15">
        <f>IF($A141="","",MAX($G141,$E141))</f>
        <v/>
      </c>
      <c r="I141" s="15">
        <f>IF($A141="","",IFERROR(SUMIF(tblAnahtarB[NormB],$A141,tblVeriB[TarifTlDesi]),0))</f>
        <v/>
      </c>
      <c r="J141" s="15">
        <f>IF($A141="","",IFERROR(SUMIF(tblAnahtarA[Norm],$A141,tblVeriA[Adet]),1))</f>
        <v/>
      </c>
      <c r="K141" s="15">
        <f>IF($A141="","",ROUND($H141*$I141,2))</f>
        <v/>
      </c>
      <c r="L141" s="15">
        <f>IF($A141="","",ROUND($K141*$J141*(1+$Q141*kdo_iadeEtkiCarpani),2))</f>
        <v/>
      </c>
      <c r="M141" s="15">
        <f>IF($A141="","",IFERROR(SUMIF(tblAnahtarB[NormB],$A141,tblVeriB[AlternatifTarif]),0))</f>
        <v/>
      </c>
      <c r="N141" s="15">
        <f>IF($A141="","",ROUND($H141*$M141*$J141*(1+$Q141*kdo_iadeEtkiCarpani),2))</f>
        <v/>
      </c>
      <c r="O141" s="15">
        <f>IF($A141="","",ROUND($L141-$N141,2))</f>
        <v/>
      </c>
      <c r="P141" s="15">
        <f>IF($A141="","",IF($R141&gt;kdo_esikDesiOran,"DESİ DÜŞÜR",IF($O141&gt;kdo_esikTasarruf,"TAŞIYICI DEĞİŞTİR","UYGUN")))</f>
        <v/>
      </c>
      <c r="Q141" s="15">
        <f>IF($A141="","",IFERROR(SUMIF(tblAnahtarB[NormB],$A141,tblVeriB[IadeOran]),0))</f>
        <v/>
      </c>
      <c r="R141" s="15">
        <f>IF(OR($A141="",$E141=0),0,$G141/$E141)</f>
        <v/>
      </c>
      <c r="S141" s="15">
        <f>IF($A141="","",$G141-$E141)</f>
        <v/>
      </c>
      <c r="T141" s="15">
        <f>IF($A141="","",$L141-$N141)</f>
        <v/>
      </c>
    </row>
    <row r="142">
      <c r="A142" s="15">
        <f>IF('ANAHTAR'!$B142="","",'ANAHTAR'!$B142)</f>
        <v/>
      </c>
      <c r="B142" s="15">
        <f>IF($A142="","",IFERROR(SUMIF(tblAnahtarA[Norm],$A142,tblVeriA[EnCm]),0))</f>
        <v/>
      </c>
      <c r="C142" s="15">
        <f>IF($A142="","",IFERROR(SUMIF(tblAnahtarA[Norm],$A142,tblVeriA[BoyCm]),0))</f>
        <v/>
      </c>
      <c r="D142" s="15">
        <f>IF($A142="","",IFERROR(SUMIF(tblAnahtarA[Norm],$A142,tblVeriA[YukseklikCm]),0))</f>
        <v/>
      </c>
      <c r="E142" s="15">
        <f>IF($A142="","",IFERROR(SUMIF(tblAnahtarA[Norm],$A142,tblVeriA[AgirlikKg]),0))</f>
        <v/>
      </c>
      <c r="F142" s="15">
        <f>IF($A142="","",IFERROR(SUMIF(tblAnahtarA[Norm],$A142,tblVeriA[DesiCarpani]),kdo_varsayilanDesiCarpani))</f>
        <v/>
      </c>
      <c r="G142" s="15">
        <f>IF($A142="","",ROUND($B142*$C142*$D142/MAX($F142,1),2))</f>
        <v/>
      </c>
      <c r="H142" s="15">
        <f>IF($A142="","",MAX($G142,$E142))</f>
        <v/>
      </c>
      <c r="I142" s="15">
        <f>IF($A142="","",IFERROR(SUMIF(tblAnahtarB[NormB],$A142,tblVeriB[TarifTlDesi]),0))</f>
        <v/>
      </c>
      <c r="J142" s="15">
        <f>IF($A142="","",IFERROR(SUMIF(tblAnahtarA[Norm],$A142,tblVeriA[Adet]),1))</f>
        <v/>
      </c>
      <c r="K142" s="15">
        <f>IF($A142="","",ROUND($H142*$I142,2))</f>
        <v/>
      </c>
      <c r="L142" s="15">
        <f>IF($A142="","",ROUND($K142*$J142*(1+$Q142*kdo_iadeEtkiCarpani),2))</f>
        <v/>
      </c>
      <c r="M142" s="15">
        <f>IF($A142="","",IFERROR(SUMIF(tblAnahtarB[NormB],$A142,tblVeriB[AlternatifTarif]),0))</f>
        <v/>
      </c>
      <c r="N142" s="15">
        <f>IF($A142="","",ROUND($H142*$M142*$J142*(1+$Q142*kdo_iadeEtkiCarpani),2))</f>
        <v/>
      </c>
      <c r="O142" s="15">
        <f>IF($A142="","",ROUND($L142-$N142,2))</f>
        <v/>
      </c>
      <c r="P142" s="15">
        <f>IF($A142="","",IF($R142&gt;kdo_esikDesiOran,"DESİ DÜŞÜR",IF($O142&gt;kdo_esikTasarruf,"TAŞIYICI DEĞİŞTİR","UYGUN")))</f>
        <v/>
      </c>
      <c r="Q142" s="15">
        <f>IF($A142="","",IFERROR(SUMIF(tblAnahtarB[NormB],$A142,tblVeriB[IadeOran]),0))</f>
        <v/>
      </c>
      <c r="R142" s="15">
        <f>IF(OR($A142="",$E142=0),0,$G142/$E142)</f>
        <v/>
      </c>
      <c r="S142" s="15">
        <f>IF($A142="","",$G142-$E142)</f>
        <v/>
      </c>
      <c r="T142" s="15">
        <f>IF($A142="","",$L142-$N142)</f>
        <v/>
      </c>
    </row>
    <row r="143">
      <c r="A143" s="15">
        <f>IF('ANAHTAR'!$B143="","",'ANAHTAR'!$B143)</f>
        <v/>
      </c>
      <c r="B143" s="15">
        <f>IF($A143="","",IFERROR(SUMIF(tblAnahtarA[Norm],$A143,tblVeriA[EnCm]),0))</f>
        <v/>
      </c>
      <c r="C143" s="15">
        <f>IF($A143="","",IFERROR(SUMIF(tblAnahtarA[Norm],$A143,tblVeriA[BoyCm]),0))</f>
        <v/>
      </c>
      <c r="D143" s="15">
        <f>IF($A143="","",IFERROR(SUMIF(tblAnahtarA[Norm],$A143,tblVeriA[YukseklikCm]),0))</f>
        <v/>
      </c>
      <c r="E143" s="15">
        <f>IF($A143="","",IFERROR(SUMIF(tblAnahtarA[Norm],$A143,tblVeriA[AgirlikKg]),0))</f>
        <v/>
      </c>
      <c r="F143" s="15">
        <f>IF($A143="","",IFERROR(SUMIF(tblAnahtarA[Norm],$A143,tblVeriA[DesiCarpani]),kdo_varsayilanDesiCarpani))</f>
        <v/>
      </c>
      <c r="G143" s="15">
        <f>IF($A143="","",ROUND($B143*$C143*$D143/MAX($F143,1),2))</f>
        <v/>
      </c>
      <c r="H143" s="15">
        <f>IF($A143="","",MAX($G143,$E143))</f>
        <v/>
      </c>
      <c r="I143" s="15">
        <f>IF($A143="","",IFERROR(SUMIF(tblAnahtarB[NormB],$A143,tblVeriB[TarifTlDesi]),0))</f>
        <v/>
      </c>
      <c r="J143" s="15">
        <f>IF($A143="","",IFERROR(SUMIF(tblAnahtarA[Norm],$A143,tblVeriA[Adet]),1))</f>
        <v/>
      </c>
      <c r="K143" s="15">
        <f>IF($A143="","",ROUND($H143*$I143,2))</f>
        <v/>
      </c>
      <c r="L143" s="15">
        <f>IF($A143="","",ROUND($K143*$J143*(1+$Q143*kdo_iadeEtkiCarpani),2))</f>
        <v/>
      </c>
      <c r="M143" s="15">
        <f>IF($A143="","",IFERROR(SUMIF(tblAnahtarB[NormB],$A143,tblVeriB[AlternatifTarif]),0))</f>
        <v/>
      </c>
      <c r="N143" s="15">
        <f>IF($A143="","",ROUND($H143*$M143*$J143*(1+$Q143*kdo_iadeEtkiCarpani),2))</f>
        <v/>
      </c>
      <c r="O143" s="15">
        <f>IF($A143="","",ROUND($L143-$N143,2))</f>
        <v/>
      </c>
      <c r="P143" s="15">
        <f>IF($A143="","",IF($R143&gt;kdo_esikDesiOran,"DESİ DÜŞÜR",IF($O143&gt;kdo_esikTasarruf,"TAŞIYICI DEĞİŞTİR","UYGUN")))</f>
        <v/>
      </c>
      <c r="Q143" s="15">
        <f>IF($A143="","",IFERROR(SUMIF(tblAnahtarB[NormB],$A143,tblVeriB[IadeOran]),0))</f>
        <v/>
      </c>
      <c r="R143" s="15">
        <f>IF(OR($A143="",$E143=0),0,$G143/$E143)</f>
        <v/>
      </c>
      <c r="S143" s="15">
        <f>IF($A143="","",$G143-$E143)</f>
        <v/>
      </c>
      <c r="T143" s="15">
        <f>IF($A143="","",$L143-$N143)</f>
        <v/>
      </c>
    </row>
    <row r="144">
      <c r="A144" s="15">
        <f>IF('ANAHTAR'!$B144="","",'ANAHTAR'!$B144)</f>
        <v/>
      </c>
      <c r="B144" s="15">
        <f>IF($A144="","",IFERROR(SUMIF(tblAnahtarA[Norm],$A144,tblVeriA[EnCm]),0))</f>
        <v/>
      </c>
      <c r="C144" s="15">
        <f>IF($A144="","",IFERROR(SUMIF(tblAnahtarA[Norm],$A144,tblVeriA[BoyCm]),0))</f>
        <v/>
      </c>
      <c r="D144" s="15">
        <f>IF($A144="","",IFERROR(SUMIF(tblAnahtarA[Norm],$A144,tblVeriA[YukseklikCm]),0))</f>
        <v/>
      </c>
      <c r="E144" s="15">
        <f>IF($A144="","",IFERROR(SUMIF(tblAnahtarA[Norm],$A144,tblVeriA[AgirlikKg]),0))</f>
        <v/>
      </c>
      <c r="F144" s="15">
        <f>IF($A144="","",IFERROR(SUMIF(tblAnahtarA[Norm],$A144,tblVeriA[DesiCarpani]),kdo_varsayilanDesiCarpani))</f>
        <v/>
      </c>
      <c r="G144" s="15">
        <f>IF($A144="","",ROUND($B144*$C144*$D144/MAX($F144,1),2))</f>
        <v/>
      </c>
      <c r="H144" s="15">
        <f>IF($A144="","",MAX($G144,$E144))</f>
        <v/>
      </c>
      <c r="I144" s="15">
        <f>IF($A144="","",IFERROR(SUMIF(tblAnahtarB[NormB],$A144,tblVeriB[TarifTlDesi]),0))</f>
        <v/>
      </c>
      <c r="J144" s="15">
        <f>IF($A144="","",IFERROR(SUMIF(tblAnahtarA[Norm],$A144,tblVeriA[Adet]),1))</f>
        <v/>
      </c>
      <c r="K144" s="15">
        <f>IF($A144="","",ROUND($H144*$I144,2))</f>
        <v/>
      </c>
      <c r="L144" s="15">
        <f>IF($A144="","",ROUND($K144*$J144*(1+$Q144*kdo_iadeEtkiCarpani),2))</f>
        <v/>
      </c>
      <c r="M144" s="15">
        <f>IF($A144="","",IFERROR(SUMIF(tblAnahtarB[NormB],$A144,tblVeriB[AlternatifTarif]),0))</f>
        <v/>
      </c>
      <c r="N144" s="15">
        <f>IF($A144="","",ROUND($H144*$M144*$J144*(1+$Q144*kdo_iadeEtkiCarpani),2))</f>
        <v/>
      </c>
      <c r="O144" s="15">
        <f>IF($A144="","",ROUND($L144-$N144,2))</f>
        <v/>
      </c>
      <c r="P144" s="15">
        <f>IF($A144="","",IF($R144&gt;kdo_esikDesiOran,"DESİ DÜŞÜR",IF($O144&gt;kdo_esikTasarruf,"TAŞIYICI DEĞİŞTİR","UYGUN")))</f>
        <v/>
      </c>
      <c r="Q144" s="15">
        <f>IF($A144="","",IFERROR(SUMIF(tblAnahtarB[NormB],$A144,tblVeriB[IadeOran]),0))</f>
        <v/>
      </c>
      <c r="R144" s="15">
        <f>IF(OR($A144="",$E144=0),0,$G144/$E144)</f>
        <v/>
      </c>
      <c r="S144" s="15">
        <f>IF($A144="","",$G144-$E144)</f>
        <v/>
      </c>
      <c r="T144" s="15">
        <f>IF($A144="","",$L144-$N144)</f>
        <v/>
      </c>
    </row>
    <row r="145">
      <c r="A145" s="15">
        <f>IF('ANAHTAR'!$B145="","",'ANAHTAR'!$B145)</f>
        <v/>
      </c>
      <c r="B145" s="15">
        <f>IF($A145="","",IFERROR(SUMIF(tblAnahtarA[Norm],$A145,tblVeriA[EnCm]),0))</f>
        <v/>
      </c>
      <c r="C145" s="15">
        <f>IF($A145="","",IFERROR(SUMIF(tblAnahtarA[Norm],$A145,tblVeriA[BoyCm]),0))</f>
        <v/>
      </c>
      <c r="D145" s="15">
        <f>IF($A145="","",IFERROR(SUMIF(tblAnahtarA[Norm],$A145,tblVeriA[YukseklikCm]),0))</f>
        <v/>
      </c>
      <c r="E145" s="15">
        <f>IF($A145="","",IFERROR(SUMIF(tblAnahtarA[Norm],$A145,tblVeriA[AgirlikKg]),0))</f>
        <v/>
      </c>
      <c r="F145" s="15">
        <f>IF($A145="","",IFERROR(SUMIF(tblAnahtarA[Norm],$A145,tblVeriA[DesiCarpani]),kdo_varsayilanDesiCarpani))</f>
        <v/>
      </c>
      <c r="G145" s="15">
        <f>IF($A145="","",ROUND($B145*$C145*$D145/MAX($F145,1),2))</f>
        <v/>
      </c>
      <c r="H145" s="15">
        <f>IF($A145="","",MAX($G145,$E145))</f>
        <v/>
      </c>
      <c r="I145" s="15">
        <f>IF($A145="","",IFERROR(SUMIF(tblAnahtarB[NormB],$A145,tblVeriB[TarifTlDesi]),0))</f>
        <v/>
      </c>
      <c r="J145" s="15">
        <f>IF($A145="","",IFERROR(SUMIF(tblAnahtarA[Norm],$A145,tblVeriA[Adet]),1))</f>
        <v/>
      </c>
      <c r="K145" s="15">
        <f>IF($A145="","",ROUND($H145*$I145,2))</f>
        <v/>
      </c>
      <c r="L145" s="15">
        <f>IF($A145="","",ROUND($K145*$J145*(1+$Q145*kdo_iadeEtkiCarpani),2))</f>
        <v/>
      </c>
      <c r="M145" s="15">
        <f>IF($A145="","",IFERROR(SUMIF(tblAnahtarB[NormB],$A145,tblVeriB[AlternatifTarif]),0))</f>
        <v/>
      </c>
      <c r="N145" s="15">
        <f>IF($A145="","",ROUND($H145*$M145*$J145*(1+$Q145*kdo_iadeEtkiCarpani),2))</f>
        <v/>
      </c>
      <c r="O145" s="15">
        <f>IF($A145="","",ROUND($L145-$N145,2))</f>
        <v/>
      </c>
      <c r="P145" s="15">
        <f>IF($A145="","",IF($R145&gt;kdo_esikDesiOran,"DESİ DÜŞÜR",IF($O145&gt;kdo_esikTasarruf,"TAŞIYICI DEĞİŞTİR","UYGUN")))</f>
        <v/>
      </c>
      <c r="Q145" s="15">
        <f>IF($A145="","",IFERROR(SUMIF(tblAnahtarB[NormB],$A145,tblVeriB[IadeOran]),0))</f>
        <v/>
      </c>
      <c r="R145" s="15">
        <f>IF(OR($A145="",$E145=0),0,$G145/$E145)</f>
        <v/>
      </c>
      <c r="S145" s="15">
        <f>IF($A145="","",$G145-$E145)</f>
        <v/>
      </c>
      <c r="T145" s="15">
        <f>IF($A145="","",$L145-$N145)</f>
        <v/>
      </c>
    </row>
    <row r="146">
      <c r="A146" s="15">
        <f>IF('ANAHTAR'!$B146="","",'ANAHTAR'!$B146)</f>
        <v/>
      </c>
      <c r="B146" s="15">
        <f>IF($A146="","",IFERROR(SUMIF(tblAnahtarA[Norm],$A146,tblVeriA[EnCm]),0))</f>
        <v/>
      </c>
      <c r="C146" s="15">
        <f>IF($A146="","",IFERROR(SUMIF(tblAnahtarA[Norm],$A146,tblVeriA[BoyCm]),0))</f>
        <v/>
      </c>
      <c r="D146" s="15">
        <f>IF($A146="","",IFERROR(SUMIF(tblAnahtarA[Norm],$A146,tblVeriA[YukseklikCm]),0))</f>
        <v/>
      </c>
      <c r="E146" s="15">
        <f>IF($A146="","",IFERROR(SUMIF(tblAnahtarA[Norm],$A146,tblVeriA[AgirlikKg]),0))</f>
        <v/>
      </c>
      <c r="F146" s="15">
        <f>IF($A146="","",IFERROR(SUMIF(tblAnahtarA[Norm],$A146,tblVeriA[DesiCarpani]),kdo_varsayilanDesiCarpani))</f>
        <v/>
      </c>
      <c r="G146" s="15">
        <f>IF($A146="","",ROUND($B146*$C146*$D146/MAX($F146,1),2))</f>
        <v/>
      </c>
      <c r="H146" s="15">
        <f>IF($A146="","",MAX($G146,$E146))</f>
        <v/>
      </c>
      <c r="I146" s="15">
        <f>IF($A146="","",IFERROR(SUMIF(tblAnahtarB[NormB],$A146,tblVeriB[TarifTlDesi]),0))</f>
        <v/>
      </c>
      <c r="J146" s="15">
        <f>IF($A146="","",IFERROR(SUMIF(tblAnahtarA[Norm],$A146,tblVeriA[Adet]),1))</f>
        <v/>
      </c>
      <c r="K146" s="15">
        <f>IF($A146="","",ROUND($H146*$I146,2))</f>
        <v/>
      </c>
      <c r="L146" s="15">
        <f>IF($A146="","",ROUND($K146*$J146*(1+$Q146*kdo_iadeEtkiCarpani),2))</f>
        <v/>
      </c>
      <c r="M146" s="15">
        <f>IF($A146="","",IFERROR(SUMIF(tblAnahtarB[NormB],$A146,tblVeriB[AlternatifTarif]),0))</f>
        <v/>
      </c>
      <c r="N146" s="15">
        <f>IF($A146="","",ROUND($H146*$M146*$J146*(1+$Q146*kdo_iadeEtkiCarpani),2))</f>
        <v/>
      </c>
      <c r="O146" s="15">
        <f>IF($A146="","",ROUND($L146-$N146,2))</f>
        <v/>
      </c>
      <c r="P146" s="15">
        <f>IF($A146="","",IF($R146&gt;kdo_esikDesiOran,"DESİ DÜŞÜR",IF($O146&gt;kdo_esikTasarruf,"TAŞIYICI DEĞİŞTİR","UYGUN")))</f>
        <v/>
      </c>
      <c r="Q146" s="15">
        <f>IF($A146="","",IFERROR(SUMIF(tblAnahtarB[NormB],$A146,tblVeriB[IadeOran]),0))</f>
        <v/>
      </c>
      <c r="R146" s="15">
        <f>IF(OR($A146="",$E146=0),0,$G146/$E146)</f>
        <v/>
      </c>
      <c r="S146" s="15">
        <f>IF($A146="","",$G146-$E146)</f>
        <v/>
      </c>
      <c r="T146" s="15">
        <f>IF($A146="","",$L146-$N146)</f>
        <v/>
      </c>
    </row>
    <row r="147">
      <c r="A147" s="15">
        <f>IF('ANAHTAR'!$B147="","",'ANAHTAR'!$B147)</f>
        <v/>
      </c>
      <c r="B147" s="15">
        <f>IF($A147="","",IFERROR(SUMIF(tblAnahtarA[Norm],$A147,tblVeriA[EnCm]),0))</f>
        <v/>
      </c>
      <c r="C147" s="15">
        <f>IF($A147="","",IFERROR(SUMIF(tblAnahtarA[Norm],$A147,tblVeriA[BoyCm]),0))</f>
        <v/>
      </c>
      <c r="D147" s="15">
        <f>IF($A147="","",IFERROR(SUMIF(tblAnahtarA[Norm],$A147,tblVeriA[YukseklikCm]),0))</f>
        <v/>
      </c>
      <c r="E147" s="15">
        <f>IF($A147="","",IFERROR(SUMIF(tblAnahtarA[Norm],$A147,tblVeriA[AgirlikKg]),0))</f>
        <v/>
      </c>
      <c r="F147" s="15">
        <f>IF($A147="","",IFERROR(SUMIF(tblAnahtarA[Norm],$A147,tblVeriA[DesiCarpani]),kdo_varsayilanDesiCarpani))</f>
        <v/>
      </c>
      <c r="G147" s="15">
        <f>IF($A147="","",ROUND($B147*$C147*$D147/MAX($F147,1),2))</f>
        <v/>
      </c>
      <c r="H147" s="15">
        <f>IF($A147="","",MAX($G147,$E147))</f>
        <v/>
      </c>
      <c r="I147" s="15">
        <f>IF($A147="","",IFERROR(SUMIF(tblAnahtarB[NormB],$A147,tblVeriB[TarifTlDesi]),0))</f>
        <v/>
      </c>
      <c r="J147" s="15">
        <f>IF($A147="","",IFERROR(SUMIF(tblAnahtarA[Norm],$A147,tblVeriA[Adet]),1))</f>
        <v/>
      </c>
      <c r="K147" s="15">
        <f>IF($A147="","",ROUND($H147*$I147,2))</f>
        <v/>
      </c>
      <c r="L147" s="15">
        <f>IF($A147="","",ROUND($K147*$J147*(1+$Q147*kdo_iadeEtkiCarpani),2))</f>
        <v/>
      </c>
      <c r="M147" s="15">
        <f>IF($A147="","",IFERROR(SUMIF(tblAnahtarB[NormB],$A147,tblVeriB[AlternatifTarif]),0))</f>
        <v/>
      </c>
      <c r="N147" s="15">
        <f>IF($A147="","",ROUND($H147*$M147*$J147*(1+$Q147*kdo_iadeEtkiCarpani),2))</f>
        <v/>
      </c>
      <c r="O147" s="15">
        <f>IF($A147="","",ROUND($L147-$N147,2))</f>
        <v/>
      </c>
      <c r="P147" s="15">
        <f>IF($A147="","",IF($R147&gt;kdo_esikDesiOran,"DESİ DÜŞÜR",IF($O147&gt;kdo_esikTasarruf,"TAŞIYICI DEĞİŞTİR","UYGUN")))</f>
        <v/>
      </c>
      <c r="Q147" s="15">
        <f>IF($A147="","",IFERROR(SUMIF(tblAnahtarB[NormB],$A147,tblVeriB[IadeOran]),0))</f>
        <v/>
      </c>
      <c r="R147" s="15">
        <f>IF(OR($A147="",$E147=0),0,$G147/$E147)</f>
        <v/>
      </c>
      <c r="S147" s="15">
        <f>IF($A147="","",$G147-$E147)</f>
        <v/>
      </c>
      <c r="T147" s="15">
        <f>IF($A147="","",$L147-$N147)</f>
        <v/>
      </c>
    </row>
    <row r="148">
      <c r="A148" s="15">
        <f>IF('ANAHTAR'!$B148="","",'ANAHTAR'!$B148)</f>
        <v/>
      </c>
      <c r="B148" s="15">
        <f>IF($A148="","",IFERROR(SUMIF(tblAnahtarA[Norm],$A148,tblVeriA[EnCm]),0))</f>
        <v/>
      </c>
      <c r="C148" s="15">
        <f>IF($A148="","",IFERROR(SUMIF(tblAnahtarA[Norm],$A148,tblVeriA[BoyCm]),0))</f>
        <v/>
      </c>
      <c r="D148" s="15">
        <f>IF($A148="","",IFERROR(SUMIF(tblAnahtarA[Norm],$A148,tblVeriA[YukseklikCm]),0))</f>
        <v/>
      </c>
      <c r="E148" s="15">
        <f>IF($A148="","",IFERROR(SUMIF(tblAnahtarA[Norm],$A148,tblVeriA[AgirlikKg]),0))</f>
        <v/>
      </c>
      <c r="F148" s="15">
        <f>IF($A148="","",IFERROR(SUMIF(tblAnahtarA[Norm],$A148,tblVeriA[DesiCarpani]),kdo_varsayilanDesiCarpani))</f>
        <v/>
      </c>
      <c r="G148" s="15">
        <f>IF($A148="","",ROUND($B148*$C148*$D148/MAX($F148,1),2))</f>
        <v/>
      </c>
      <c r="H148" s="15">
        <f>IF($A148="","",MAX($G148,$E148))</f>
        <v/>
      </c>
      <c r="I148" s="15">
        <f>IF($A148="","",IFERROR(SUMIF(tblAnahtarB[NormB],$A148,tblVeriB[TarifTlDesi]),0))</f>
        <v/>
      </c>
      <c r="J148" s="15">
        <f>IF($A148="","",IFERROR(SUMIF(tblAnahtarA[Norm],$A148,tblVeriA[Adet]),1))</f>
        <v/>
      </c>
      <c r="K148" s="15">
        <f>IF($A148="","",ROUND($H148*$I148,2))</f>
        <v/>
      </c>
      <c r="L148" s="15">
        <f>IF($A148="","",ROUND($K148*$J148*(1+$Q148*kdo_iadeEtkiCarpani),2))</f>
        <v/>
      </c>
      <c r="M148" s="15">
        <f>IF($A148="","",IFERROR(SUMIF(tblAnahtarB[NormB],$A148,tblVeriB[AlternatifTarif]),0))</f>
        <v/>
      </c>
      <c r="N148" s="15">
        <f>IF($A148="","",ROUND($H148*$M148*$J148*(1+$Q148*kdo_iadeEtkiCarpani),2))</f>
        <v/>
      </c>
      <c r="O148" s="15">
        <f>IF($A148="","",ROUND($L148-$N148,2))</f>
        <v/>
      </c>
      <c r="P148" s="15">
        <f>IF($A148="","",IF($R148&gt;kdo_esikDesiOran,"DESİ DÜŞÜR",IF($O148&gt;kdo_esikTasarruf,"TAŞIYICI DEĞİŞTİR","UYGUN")))</f>
        <v/>
      </c>
      <c r="Q148" s="15">
        <f>IF($A148="","",IFERROR(SUMIF(tblAnahtarB[NormB],$A148,tblVeriB[IadeOran]),0))</f>
        <v/>
      </c>
      <c r="R148" s="15">
        <f>IF(OR($A148="",$E148=0),0,$G148/$E148)</f>
        <v/>
      </c>
      <c r="S148" s="15">
        <f>IF($A148="","",$G148-$E148)</f>
        <v/>
      </c>
      <c r="T148" s="15">
        <f>IF($A148="","",$L148-$N148)</f>
        <v/>
      </c>
    </row>
    <row r="149">
      <c r="A149" s="15">
        <f>IF('ANAHTAR'!$B149="","",'ANAHTAR'!$B149)</f>
        <v/>
      </c>
      <c r="B149" s="15">
        <f>IF($A149="","",IFERROR(SUMIF(tblAnahtarA[Norm],$A149,tblVeriA[EnCm]),0))</f>
        <v/>
      </c>
      <c r="C149" s="15">
        <f>IF($A149="","",IFERROR(SUMIF(tblAnahtarA[Norm],$A149,tblVeriA[BoyCm]),0))</f>
        <v/>
      </c>
      <c r="D149" s="15">
        <f>IF($A149="","",IFERROR(SUMIF(tblAnahtarA[Norm],$A149,tblVeriA[YukseklikCm]),0))</f>
        <v/>
      </c>
      <c r="E149" s="15">
        <f>IF($A149="","",IFERROR(SUMIF(tblAnahtarA[Norm],$A149,tblVeriA[AgirlikKg]),0))</f>
        <v/>
      </c>
      <c r="F149" s="15">
        <f>IF($A149="","",IFERROR(SUMIF(tblAnahtarA[Norm],$A149,tblVeriA[DesiCarpani]),kdo_varsayilanDesiCarpani))</f>
        <v/>
      </c>
      <c r="G149" s="15">
        <f>IF($A149="","",ROUND($B149*$C149*$D149/MAX($F149,1),2))</f>
        <v/>
      </c>
      <c r="H149" s="15">
        <f>IF($A149="","",MAX($G149,$E149))</f>
        <v/>
      </c>
      <c r="I149" s="15">
        <f>IF($A149="","",IFERROR(SUMIF(tblAnahtarB[NormB],$A149,tblVeriB[TarifTlDesi]),0))</f>
        <v/>
      </c>
      <c r="J149" s="15">
        <f>IF($A149="","",IFERROR(SUMIF(tblAnahtarA[Norm],$A149,tblVeriA[Adet]),1))</f>
        <v/>
      </c>
      <c r="K149" s="15">
        <f>IF($A149="","",ROUND($H149*$I149,2))</f>
        <v/>
      </c>
      <c r="L149" s="15">
        <f>IF($A149="","",ROUND($K149*$J149*(1+$Q149*kdo_iadeEtkiCarpani),2))</f>
        <v/>
      </c>
      <c r="M149" s="15">
        <f>IF($A149="","",IFERROR(SUMIF(tblAnahtarB[NormB],$A149,tblVeriB[AlternatifTarif]),0))</f>
        <v/>
      </c>
      <c r="N149" s="15">
        <f>IF($A149="","",ROUND($H149*$M149*$J149*(1+$Q149*kdo_iadeEtkiCarpani),2))</f>
        <v/>
      </c>
      <c r="O149" s="15">
        <f>IF($A149="","",ROUND($L149-$N149,2))</f>
        <v/>
      </c>
      <c r="P149" s="15">
        <f>IF($A149="","",IF($R149&gt;kdo_esikDesiOran,"DESİ DÜŞÜR",IF($O149&gt;kdo_esikTasarruf,"TAŞIYICI DEĞİŞTİR","UYGUN")))</f>
        <v/>
      </c>
      <c r="Q149" s="15">
        <f>IF($A149="","",IFERROR(SUMIF(tblAnahtarB[NormB],$A149,tblVeriB[IadeOran]),0))</f>
        <v/>
      </c>
      <c r="R149" s="15">
        <f>IF(OR($A149="",$E149=0),0,$G149/$E149)</f>
        <v/>
      </c>
      <c r="S149" s="15">
        <f>IF($A149="","",$G149-$E149)</f>
        <v/>
      </c>
      <c r="T149" s="15">
        <f>IF($A149="","",$L149-$N149)</f>
        <v/>
      </c>
    </row>
    <row r="150">
      <c r="A150" s="15">
        <f>IF('ANAHTAR'!$B150="","",'ANAHTAR'!$B150)</f>
        <v/>
      </c>
      <c r="B150" s="15">
        <f>IF($A150="","",IFERROR(SUMIF(tblAnahtarA[Norm],$A150,tblVeriA[EnCm]),0))</f>
        <v/>
      </c>
      <c r="C150" s="15">
        <f>IF($A150="","",IFERROR(SUMIF(tblAnahtarA[Norm],$A150,tblVeriA[BoyCm]),0))</f>
        <v/>
      </c>
      <c r="D150" s="15">
        <f>IF($A150="","",IFERROR(SUMIF(tblAnahtarA[Norm],$A150,tblVeriA[YukseklikCm]),0))</f>
        <v/>
      </c>
      <c r="E150" s="15">
        <f>IF($A150="","",IFERROR(SUMIF(tblAnahtarA[Norm],$A150,tblVeriA[AgirlikKg]),0))</f>
        <v/>
      </c>
      <c r="F150" s="15">
        <f>IF($A150="","",IFERROR(SUMIF(tblAnahtarA[Norm],$A150,tblVeriA[DesiCarpani]),kdo_varsayilanDesiCarpani))</f>
        <v/>
      </c>
      <c r="G150" s="15">
        <f>IF($A150="","",ROUND($B150*$C150*$D150/MAX($F150,1),2))</f>
        <v/>
      </c>
      <c r="H150" s="15">
        <f>IF($A150="","",MAX($G150,$E150))</f>
        <v/>
      </c>
      <c r="I150" s="15">
        <f>IF($A150="","",IFERROR(SUMIF(tblAnahtarB[NormB],$A150,tblVeriB[TarifTlDesi]),0))</f>
        <v/>
      </c>
      <c r="J150" s="15">
        <f>IF($A150="","",IFERROR(SUMIF(tblAnahtarA[Norm],$A150,tblVeriA[Adet]),1))</f>
        <v/>
      </c>
      <c r="K150" s="15">
        <f>IF($A150="","",ROUND($H150*$I150,2))</f>
        <v/>
      </c>
      <c r="L150" s="15">
        <f>IF($A150="","",ROUND($K150*$J150*(1+$Q150*kdo_iadeEtkiCarpani),2))</f>
        <v/>
      </c>
      <c r="M150" s="15">
        <f>IF($A150="","",IFERROR(SUMIF(tblAnahtarB[NormB],$A150,tblVeriB[AlternatifTarif]),0))</f>
        <v/>
      </c>
      <c r="N150" s="15">
        <f>IF($A150="","",ROUND($H150*$M150*$J150*(1+$Q150*kdo_iadeEtkiCarpani),2))</f>
        <v/>
      </c>
      <c r="O150" s="15">
        <f>IF($A150="","",ROUND($L150-$N150,2))</f>
        <v/>
      </c>
      <c r="P150" s="15">
        <f>IF($A150="","",IF($R150&gt;kdo_esikDesiOran,"DESİ DÜŞÜR",IF($O150&gt;kdo_esikTasarruf,"TAŞIYICI DEĞİŞTİR","UYGUN")))</f>
        <v/>
      </c>
      <c r="Q150" s="15">
        <f>IF($A150="","",IFERROR(SUMIF(tblAnahtarB[NormB],$A150,tblVeriB[IadeOran]),0))</f>
        <v/>
      </c>
      <c r="R150" s="15">
        <f>IF(OR($A150="",$E150=0),0,$G150/$E150)</f>
        <v/>
      </c>
      <c r="S150" s="15">
        <f>IF($A150="","",$G150-$E150)</f>
        <v/>
      </c>
      <c r="T150" s="15">
        <f>IF($A150="","",$L150-$N150)</f>
        <v/>
      </c>
    </row>
    <row r="151">
      <c r="A151" s="15">
        <f>IF('ANAHTAR'!$B151="","",'ANAHTAR'!$B151)</f>
        <v/>
      </c>
      <c r="B151" s="15">
        <f>IF($A151="","",IFERROR(SUMIF(tblAnahtarA[Norm],$A151,tblVeriA[EnCm]),0))</f>
        <v/>
      </c>
      <c r="C151" s="15">
        <f>IF($A151="","",IFERROR(SUMIF(tblAnahtarA[Norm],$A151,tblVeriA[BoyCm]),0))</f>
        <v/>
      </c>
      <c r="D151" s="15">
        <f>IF($A151="","",IFERROR(SUMIF(tblAnahtarA[Norm],$A151,tblVeriA[YukseklikCm]),0))</f>
        <v/>
      </c>
      <c r="E151" s="15">
        <f>IF($A151="","",IFERROR(SUMIF(tblAnahtarA[Norm],$A151,tblVeriA[AgirlikKg]),0))</f>
        <v/>
      </c>
      <c r="F151" s="15">
        <f>IF($A151="","",IFERROR(SUMIF(tblAnahtarA[Norm],$A151,tblVeriA[DesiCarpani]),kdo_varsayilanDesiCarpani))</f>
        <v/>
      </c>
      <c r="G151" s="15">
        <f>IF($A151="","",ROUND($B151*$C151*$D151/MAX($F151,1),2))</f>
        <v/>
      </c>
      <c r="H151" s="15">
        <f>IF($A151="","",MAX($G151,$E151))</f>
        <v/>
      </c>
      <c r="I151" s="15">
        <f>IF($A151="","",IFERROR(SUMIF(tblAnahtarB[NormB],$A151,tblVeriB[TarifTlDesi]),0))</f>
        <v/>
      </c>
      <c r="J151" s="15">
        <f>IF($A151="","",IFERROR(SUMIF(tblAnahtarA[Norm],$A151,tblVeriA[Adet]),1))</f>
        <v/>
      </c>
      <c r="K151" s="15">
        <f>IF($A151="","",ROUND($H151*$I151,2))</f>
        <v/>
      </c>
      <c r="L151" s="15">
        <f>IF($A151="","",ROUND($K151*$J151*(1+$Q151*kdo_iadeEtkiCarpani),2))</f>
        <v/>
      </c>
      <c r="M151" s="15">
        <f>IF($A151="","",IFERROR(SUMIF(tblAnahtarB[NormB],$A151,tblVeriB[AlternatifTarif]),0))</f>
        <v/>
      </c>
      <c r="N151" s="15">
        <f>IF($A151="","",ROUND($H151*$M151*$J151*(1+$Q151*kdo_iadeEtkiCarpani),2))</f>
        <v/>
      </c>
      <c r="O151" s="15">
        <f>IF($A151="","",ROUND($L151-$N151,2))</f>
        <v/>
      </c>
      <c r="P151" s="15">
        <f>IF($A151="","",IF($R151&gt;kdo_esikDesiOran,"DESİ DÜŞÜR",IF($O151&gt;kdo_esikTasarruf,"TAŞIYICI DEĞİŞTİR","UYGUN")))</f>
        <v/>
      </c>
      <c r="Q151" s="15">
        <f>IF($A151="","",IFERROR(SUMIF(tblAnahtarB[NormB],$A151,tblVeriB[IadeOran]),0))</f>
        <v/>
      </c>
      <c r="R151" s="15">
        <f>IF(OR($A151="",$E151=0),0,$G151/$E151)</f>
        <v/>
      </c>
      <c r="S151" s="15">
        <f>IF($A151="","",$G151-$E151)</f>
        <v/>
      </c>
      <c r="T151" s="15">
        <f>IF($A151="","",$L151-$N151)</f>
        <v/>
      </c>
    </row>
    <row r="152">
      <c r="A152" s="15">
        <f>IF('ANAHTAR'!$B152="","",'ANAHTAR'!$B152)</f>
        <v/>
      </c>
      <c r="B152" s="15">
        <f>IF($A152="","",IFERROR(SUMIF(tblAnahtarA[Norm],$A152,tblVeriA[EnCm]),0))</f>
        <v/>
      </c>
      <c r="C152" s="15">
        <f>IF($A152="","",IFERROR(SUMIF(tblAnahtarA[Norm],$A152,tblVeriA[BoyCm]),0))</f>
        <v/>
      </c>
      <c r="D152" s="15">
        <f>IF($A152="","",IFERROR(SUMIF(tblAnahtarA[Norm],$A152,tblVeriA[YukseklikCm]),0))</f>
        <v/>
      </c>
      <c r="E152" s="15">
        <f>IF($A152="","",IFERROR(SUMIF(tblAnahtarA[Norm],$A152,tblVeriA[AgirlikKg]),0))</f>
        <v/>
      </c>
      <c r="F152" s="15">
        <f>IF($A152="","",IFERROR(SUMIF(tblAnahtarA[Norm],$A152,tblVeriA[DesiCarpani]),kdo_varsayilanDesiCarpani))</f>
        <v/>
      </c>
      <c r="G152" s="15">
        <f>IF($A152="","",ROUND($B152*$C152*$D152/MAX($F152,1),2))</f>
        <v/>
      </c>
      <c r="H152" s="15">
        <f>IF($A152="","",MAX($G152,$E152))</f>
        <v/>
      </c>
      <c r="I152" s="15">
        <f>IF($A152="","",IFERROR(SUMIF(tblAnahtarB[NormB],$A152,tblVeriB[TarifTlDesi]),0))</f>
        <v/>
      </c>
      <c r="J152" s="15">
        <f>IF($A152="","",IFERROR(SUMIF(tblAnahtarA[Norm],$A152,tblVeriA[Adet]),1))</f>
        <v/>
      </c>
      <c r="K152" s="15">
        <f>IF($A152="","",ROUND($H152*$I152,2))</f>
        <v/>
      </c>
      <c r="L152" s="15">
        <f>IF($A152="","",ROUND($K152*$J152*(1+$Q152*kdo_iadeEtkiCarpani),2))</f>
        <v/>
      </c>
      <c r="M152" s="15">
        <f>IF($A152="","",IFERROR(SUMIF(tblAnahtarB[NormB],$A152,tblVeriB[AlternatifTarif]),0))</f>
        <v/>
      </c>
      <c r="N152" s="15">
        <f>IF($A152="","",ROUND($H152*$M152*$J152*(1+$Q152*kdo_iadeEtkiCarpani),2))</f>
        <v/>
      </c>
      <c r="O152" s="15">
        <f>IF($A152="","",ROUND($L152-$N152,2))</f>
        <v/>
      </c>
      <c r="P152" s="15">
        <f>IF($A152="","",IF($R152&gt;kdo_esikDesiOran,"DESİ DÜŞÜR",IF($O152&gt;kdo_esikTasarruf,"TAŞIYICI DEĞİŞTİR","UYGUN")))</f>
        <v/>
      </c>
      <c r="Q152" s="15">
        <f>IF($A152="","",IFERROR(SUMIF(tblAnahtarB[NormB],$A152,tblVeriB[IadeOran]),0))</f>
        <v/>
      </c>
      <c r="R152" s="15">
        <f>IF(OR($A152="",$E152=0),0,$G152/$E152)</f>
        <v/>
      </c>
      <c r="S152" s="15">
        <f>IF($A152="","",$G152-$E152)</f>
        <v/>
      </c>
      <c r="T152" s="15">
        <f>IF($A152="","",$L152-$N152)</f>
        <v/>
      </c>
    </row>
    <row r="153">
      <c r="A153" s="15">
        <f>IF('ANAHTAR'!$B153="","",'ANAHTAR'!$B153)</f>
        <v/>
      </c>
      <c r="B153" s="15">
        <f>IF($A153="","",IFERROR(SUMIF(tblAnahtarA[Norm],$A153,tblVeriA[EnCm]),0))</f>
        <v/>
      </c>
      <c r="C153" s="15">
        <f>IF($A153="","",IFERROR(SUMIF(tblAnahtarA[Norm],$A153,tblVeriA[BoyCm]),0))</f>
        <v/>
      </c>
      <c r="D153" s="15">
        <f>IF($A153="","",IFERROR(SUMIF(tblAnahtarA[Norm],$A153,tblVeriA[YukseklikCm]),0))</f>
        <v/>
      </c>
      <c r="E153" s="15">
        <f>IF($A153="","",IFERROR(SUMIF(tblAnahtarA[Norm],$A153,tblVeriA[AgirlikKg]),0))</f>
        <v/>
      </c>
      <c r="F153" s="15">
        <f>IF($A153="","",IFERROR(SUMIF(tblAnahtarA[Norm],$A153,tblVeriA[DesiCarpani]),kdo_varsayilanDesiCarpani))</f>
        <v/>
      </c>
      <c r="G153" s="15">
        <f>IF($A153="","",ROUND($B153*$C153*$D153/MAX($F153,1),2))</f>
        <v/>
      </c>
      <c r="H153" s="15">
        <f>IF($A153="","",MAX($G153,$E153))</f>
        <v/>
      </c>
      <c r="I153" s="15">
        <f>IF($A153="","",IFERROR(SUMIF(tblAnahtarB[NormB],$A153,tblVeriB[TarifTlDesi]),0))</f>
        <v/>
      </c>
      <c r="J153" s="15">
        <f>IF($A153="","",IFERROR(SUMIF(tblAnahtarA[Norm],$A153,tblVeriA[Adet]),1))</f>
        <v/>
      </c>
      <c r="K153" s="15">
        <f>IF($A153="","",ROUND($H153*$I153,2))</f>
        <v/>
      </c>
      <c r="L153" s="15">
        <f>IF($A153="","",ROUND($K153*$J153*(1+$Q153*kdo_iadeEtkiCarpani),2))</f>
        <v/>
      </c>
      <c r="M153" s="15">
        <f>IF($A153="","",IFERROR(SUMIF(tblAnahtarB[NormB],$A153,tblVeriB[AlternatifTarif]),0))</f>
        <v/>
      </c>
      <c r="N153" s="15">
        <f>IF($A153="","",ROUND($H153*$M153*$J153*(1+$Q153*kdo_iadeEtkiCarpani),2))</f>
        <v/>
      </c>
      <c r="O153" s="15">
        <f>IF($A153="","",ROUND($L153-$N153,2))</f>
        <v/>
      </c>
      <c r="P153" s="15">
        <f>IF($A153="","",IF($R153&gt;kdo_esikDesiOran,"DESİ DÜŞÜR",IF($O153&gt;kdo_esikTasarruf,"TAŞIYICI DEĞİŞTİR","UYGUN")))</f>
        <v/>
      </c>
      <c r="Q153" s="15">
        <f>IF($A153="","",IFERROR(SUMIF(tblAnahtarB[NormB],$A153,tblVeriB[IadeOran]),0))</f>
        <v/>
      </c>
      <c r="R153" s="15">
        <f>IF(OR($A153="",$E153=0),0,$G153/$E153)</f>
        <v/>
      </c>
      <c r="S153" s="15">
        <f>IF($A153="","",$G153-$E153)</f>
        <v/>
      </c>
      <c r="T153" s="15">
        <f>IF($A153="","",$L153-$N153)</f>
        <v/>
      </c>
    </row>
    <row r="154">
      <c r="A154" s="15">
        <f>IF('ANAHTAR'!$B154="","",'ANAHTAR'!$B154)</f>
        <v/>
      </c>
      <c r="B154" s="15">
        <f>IF($A154="","",IFERROR(SUMIF(tblAnahtarA[Norm],$A154,tblVeriA[EnCm]),0))</f>
        <v/>
      </c>
      <c r="C154" s="15">
        <f>IF($A154="","",IFERROR(SUMIF(tblAnahtarA[Norm],$A154,tblVeriA[BoyCm]),0))</f>
        <v/>
      </c>
      <c r="D154" s="15">
        <f>IF($A154="","",IFERROR(SUMIF(tblAnahtarA[Norm],$A154,tblVeriA[YukseklikCm]),0))</f>
        <v/>
      </c>
      <c r="E154" s="15">
        <f>IF($A154="","",IFERROR(SUMIF(tblAnahtarA[Norm],$A154,tblVeriA[AgirlikKg]),0))</f>
        <v/>
      </c>
      <c r="F154" s="15">
        <f>IF($A154="","",IFERROR(SUMIF(tblAnahtarA[Norm],$A154,tblVeriA[DesiCarpani]),kdo_varsayilanDesiCarpani))</f>
        <v/>
      </c>
      <c r="G154" s="15">
        <f>IF($A154="","",ROUND($B154*$C154*$D154/MAX($F154,1),2))</f>
        <v/>
      </c>
      <c r="H154" s="15">
        <f>IF($A154="","",MAX($G154,$E154))</f>
        <v/>
      </c>
      <c r="I154" s="15">
        <f>IF($A154="","",IFERROR(SUMIF(tblAnahtarB[NormB],$A154,tblVeriB[TarifTlDesi]),0))</f>
        <v/>
      </c>
      <c r="J154" s="15">
        <f>IF($A154="","",IFERROR(SUMIF(tblAnahtarA[Norm],$A154,tblVeriA[Adet]),1))</f>
        <v/>
      </c>
      <c r="K154" s="15">
        <f>IF($A154="","",ROUND($H154*$I154,2))</f>
        <v/>
      </c>
      <c r="L154" s="15">
        <f>IF($A154="","",ROUND($K154*$J154*(1+$Q154*kdo_iadeEtkiCarpani),2))</f>
        <v/>
      </c>
      <c r="M154" s="15">
        <f>IF($A154="","",IFERROR(SUMIF(tblAnahtarB[NormB],$A154,tblVeriB[AlternatifTarif]),0))</f>
        <v/>
      </c>
      <c r="N154" s="15">
        <f>IF($A154="","",ROUND($H154*$M154*$J154*(1+$Q154*kdo_iadeEtkiCarpani),2))</f>
        <v/>
      </c>
      <c r="O154" s="15">
        <f>IF($A154="","",ROUND($L154-$N154,2))</f>
        <v/>
      </c>
      <c r="P154" s="15">
        <f>IF($A154="","",IF($R154&gt;kdo_esikDesiOran,"DESİ DÜŞÜR",IF($O154&gt;kdo_esikTasarruf,"TAŞIYICI DEĞİŞTİR","UYGUN")))</f>
        <v/>
      </c>
      <c r="Q154" s="15">
        <f>IF($A154="","",IFERROR(SUMIF(tblAnahtarB[NormB],$A154,tblVeriB[IadeOran]),0))</f>
        <v/>
      </c>
      <c r="R154" s="15">
        <f>IF(OR($A154="",$E154=0),0,$G154/$E154)</f>
        <v/>
      </c>
      <c r="S154" s="15">
        <f>IF($A154="","",$G154-$E154)</f>
        <v/>
      </c>
      <c r="T154" s="15">
        <f>IF($A154="","",$L154-$N154)</f>
        <v/>
      </c>
    </row>
    <row r="155">
      <c r="A155" s="15">
        <f>IF('ANAHTAR'!$B155="","",'ANAHTAR'!$B155)</f>
        <v/>
      </c>
      <c r="B155" s="15">
        <f>IF($A155="","",IFERROR(SUMIF(tblAnahtarA[Norm],$A155,tblVeriA[EnCm]),0))</f>
        <v/>
      </c>
      <c r="C155" s="15">
        <f>IF($A155="","",IFERROR(SUMIF(tblAnahtarA[Norm],$A155,tblVeriA[BoyCm]),0))</f>
        <v/>
      </c>
      <c r="D155" s="15">
        <f>IF($A155="","",IFERROR(SUMIF(tblAnahtarA[Norm],$A155,tblVeriA[YukseklikCm]),0))</f>
        <v/>
      </c>
      <c r="E155" s="15">
        <f>IF($A155="","",IFERROR(SUMIF(tblAnahtarA[Norm],$A155,tblVeriA[AgirlikKg]),0))</f>
        <v/>
      </c>
      <c r="F155" s="15">
        <f>IF($A155="","",IFERROR(SUMIF(tblAnahtarA[Norm],$A155,tblVeriA[DesiCarpani]),kdo_varsayilanDesiCarpani))</f>
        <v/>
      </c>
      <c r="G155" s="15">
        <f>IF($A155="","",ROUND($B155*$C155*$D155/MAX($F155,1),2))</f>
        <v/>
      </c>
      <c r="H155" s="15">
        <f>IF($A155="","",MAX($G155,$E155))</f>
        <v/>
      </c>
      <c r="I155" s="15">
        <f>IF($A155="","",IFERROR(SUMIF(tblAnahtarB[NormB],$A155,tblVeriB[TarifTlDesi]),0))</f>
        <v/>
      </c>
      <c r="J155" s="15">
        <f>IF($A155="","",IFERROR(SUMIF(tblAnahtarA[Norm],$A155,tblVeriA[Adet]),1))</f>
        <v/>
      </c>
      <c r="K155" s="15">
        <f>IF($A155="","",ROUND($H155*$I155,2))</f>
        <v/>
      </c>
      <c r="L155" s="15">
        <f>IF($A155="","",ROUND($K155*$J155*(1+$Q155*kdo_iadeEtkiCarpani),2))</f>
        <v/>
      </c>
      <c r="M155" s="15">
        <f>IF($A155="","",IFERROR(SUMIF(tblAnahtarB[NormB],$A155,tblVeriB[AlternatifTarif]),0))</f>
        <v/>
      </c>
      <c r="N155" s="15">
        <f>IF($A155="","",ROUND($H155*$M155*$J155*(1+$Q155*kdo_iadeEtkiCarpani),2))</f>
        <v/>
      </c>
      <c r="O155" s="15">
        <f>IF($A155="","",ROUND($L155-$N155,2))</f>
        <v/>
      </c>
      <c r="P155" s="15">
        <f>IF($A155="","",IF($R155&gt;kdo_esikDesiOran,"DESİ DÜŞÜR",IF($O155&gt;kdo_esikTasarruf,"TAŞIYICI DEĞİŞTİR","UYGUN")))</f>
        <v/>
      </c>
      <c r="Q155" s="15">
        <f>IF($A155="","",IFERROR(SUMIF(tblAnahtarB[NormB],$A155,tblVeriB[IadeOran]),0))</f>
        <v/>
      </c>
      <c r="R155" s="15">
        <f>IF(OR($A155="",$E155=0),0,$G155/$E155)</f>
        <v/>
      </c>
      <c r="S155" s="15">
        <f>IF($A155="","",$G155-$E155)</f>
        <v/>
      </c>
      <c r="T155" s="15">
        <f>IF($A155="","",$L155-$N155)</f>
        <v/>
      </c>
    </row>
    <row r="156">
      <c r="A156" s="15">
        <f>IF('ANAHTAR'!$B156="","",'ANAHTAR'!$B156)</f>
        <v/>
      </c>
      <c r="B156" s="15">
        <f>IF($A156="","",IFERROR(SUMIF(tblAnahtarA[Norm],$A156,tblVeriA[EnCm]),0))</f>
        <v/>
      </c>
      <c r="C156" s="15">
        <f>IF($A156="","",IFERROR(SUMIF(tblAnahtarA[Norm],$A156,tblVeriA[BoyCm]),0))</f>
        <v/>
      </c>
      <c r="D156" s="15">
        <f>IF($A156="","",IFERROR(SUMIF(tblAnahtarA[Norm],$A156,tblVeriA[YukseklikCm]),0))</f>
        <v/>
      </c>
      <c r="E156" s="15">
        <f>IF($A156="","",IFERROR(SUMIF(tblAnahtarA[Norm],$A156,tblVeriA[AgirlikKg]),0))</f>
        <v/>
      </c>
      <c r="F156" s="15">
        <f>IF($A156="","",IFERROR(SUMIF(tblAnahtarA[Norm],$A156,tblVeriA[DesiCarpani]),kdo_varsayilanDesiCarpani))</f>
        <v/>
      </c>
      <c r="G156" s="15">
        <f>IF($A156="","",ROUND($B156*$C156*$D156/MAX($F156,1),2))</f>
        <v/>
      </c>
      <c r="H156" s="15">
        <f>IF($A156="","",MAX($G156,$E156))</f>
        <v/>
      </c>
      <c r="I156" s="15">
        <f>IF($A156="","",IFERROR(SUMIF(tblAnahtarB[NormB],$A156,tblVeriB[TarifTlDesi]),0))</f>
        <v/>
      </c>
      <c r="J156" s="15">
        <f>IF($A156="","",IFERROR(SUMIF(tblAnahtarA[Norm],$A156,tblVeriA[Adet]),1))</f>
        <v/>
      </c>
      <c r="K156" s="15">
        <f>IF($A156="","",ROUND($H156*$I156,2))</f>
        <v/>
      </c>
      <c r="L156" s="15">
        <f>IF($A156="","",ROUND($K156*$J156*(1+$Q156*kdo_iadeEtkiCarpani),2))</f>
        <v/>
      </c>
      <c r="M156" s="15">
        <f>IF($A156="","",IFERROR(SUMIF(tblAnahtarB[NormB],$A156,tblVeriB[AlternatifTarif]),0))</f>
        <v/>
      </c>
      <c r="N156" s="15">
        <f>IF($A156="","",ROUND($H156*$M156*$J156*(1+$Q156*kdo_iadeEtkiCarpani),2))</f>
        <v/>
      </c>
      <c r="O156" s="15">
        <f>IF($A156="","",ROUND($L156-$N156,2))</f>
        <v/>
      </c>
      <c r="P156" s="15">
        <f>IF($A156="","",IF($R156&gt;kdo_esikDesiOran,"DESİ DÜŞÜR",IF($O156&gt;kdo_esikTasarruf,"TAŞIYICI DEĞİŞTİR","UYGUN")))</f>
        <v/>
      </c>
      <c r="Q156" s="15">
        <f>IF($A156="","",IFERROR(SUMIF(tblAnahtarB[NormB],$A156,tblVeriB[IadeOran]),0))</f>
        <v/>
      </c>
      <c r="R156" s="15">
        <f>IF(OR($A156="",$E156=0),0,$G156/$E156)</f>
        <v/>
      </c>
      <c r="S156" s="15">
        <f>IF($A156="","",$G156-$E156)</f>
        <v/>
      </c>
      <c r="T156" s="15">
        <f>IF($A156="","",$L156-$N156)</f>
        <v/>
      </c>
    </row>
    <row r="157">
      <c r="A157" s="15">
        <f>IF('ANAHTAR'!$B157="","",'ANAHTAR'!$B157)</f>
        <v/>
      </c>
      <c r="B157" s="15">
        <f>IF($A157="","",IFERROR(SUMIF(tblAnahtarA[Norm],$A157,tblVeriA[EnCm]),0))</f>
        <v/>
      </c>
      <c r="C157" s="15">
        <f>IF($A157="","",IFERROR(SUMIF(tblAnahtarA[Norm],$A157,tblVeriA[BoyCm]),0))</f>
        <v/>
      </c>
      <c r="D157" s="15">
        <f>IF($A157="","",IFERROR(SUMIF(tblAnahtarA[Norm],$A157,tblVeriA[YukseklikCm]),0))</f>
        <v/>
      </c>
      <c r="E157" s="15">
        <f>IF($A157="","",IFERROR(SUMIF(tblAnahtarA[Norm],$A157,tblVeriA[AgirlikKg]),0))</f>
        <v/>
      </c>
      <c r="F157" s="15">
        <f>IF($A157="","",IFERROR(SUMIF(tblAnahtarA[Norm],$A157,tblVeriA[DesiCarpani]),kdo_varsayilanDesiCarpani))</f>
        <v/>
      </c>
      <c r="G157" s="15">
        <f>IF($A157="","",ROUND($B157*$C157*$D157/MAX($F157,1),2))</f>
        <v/>
      </c>
      <c r="H157" s="15">
        <f>IF($A157="","",MAX($G157,$E157))</f>
        <v/>
      </c>
      <c r="I157" s="15">
        <f>IF($A157="","",IFERROR(SUMIF(tblAnahtarB[NormB],$A157,tblVeriB[TarifTlDesi]),0))</f>
        <v/>
      </c>
      <c r="J157" s="15">
        <f>IF($A157="","",IFERROR(SUMIF(tblAnahtarA[Norm],$A157,tblVeriA[Adet]),1))</f>
        <v/>
      </c>
      <c r="K157" s="15">
        <f>IF($A157="","",ROUND($H157*$I157,2))</f>
        <v/>
      </c>
      <c r="L157" s="15">
        <f>IF($A157="","",ROUND($K157*$J157*(1+$Q157*kdo_iadeEtkiCarpani),2))</f>
        <v/>
      </c>
      <c r="M157" s="15">
        <f>IF($A157="","",IFERROR(SUMIF(tblAnahtarB[NormB],$A157,tblVeriB[AlternatifTarif]),0))</f>
        <v/>
      </c>
      <c r="N157" s="15">
        <f>IF($A157="","",ROUND($H157*$M157*$J157*(1+$Q157*kdo_iadeEtkiCarpani),2))</f>
        <v/>
      </c>
      <c r="O157" s="15">
        <f>IF($A157="","",ROUND($L157-$N157,2))</f>
        <v/>
      </c>
      <c r="P157" s="15">
        <f>IF($A157="","",IF($R157&gt;kdo_esikDesiOran,"DESİ DÜŞÜR",IF($O157&gt;kdo_esikTasarruf,"TAŞIYICI DEĞİŞTİR","UYGUN")))</f>
        <v/>
      </c>
      <c r="Q157" s="15">
        <f>IF($A157="","",IFERROR(SUMIF(tblAnahtarB[NormB],$A157,tblVeriB[IadeOran]),0))</f>
        <v/>
      </c>
      <c r="R157" s="15">
        <f>IF(OR($A157="",$E157=0),0,$G157/$E157)</f>
        <v/>
      </c>
      <c r="S157" s="15">
        <f>IF($A157="","",$G157-$E157)</f>
        <v/>
      </c>
      <c r="T157" s="15">
        <f>IF($A157="","",$L157-$N157)</f>
        <v/>
      </c>
    </row>
    <row r="158">
      <c r="A158" s="15">
        <f>IF('ANAHTAR'!$B158="","",'ANAHTAR'!$B158)</f>
        <v/>
      </c>
      <c r="B158" s="15">
        <f>IF($A158="","",IFERROR(SUMIF(tblAnahtarA[Norm],$A158,tblVeriA[EnCm]),0))</f>
        <v/>
      </c>
      <c r="C158" s="15">
        <f>IF($A158="","",IFERROR(SUMIF(tblAnahtarA[Norm],$A158,tblVeriA[BoyCm]),0))</f>
        <v/>
      </c>
      <c r="D158" s="15">
        <f>IF($A158="","",IFERROR(SUMIF(tblAnahtarA[Norm],$A158,tblVeriA[YukseklikCm]),0))</f>
        <v/>
      </c>
      <c r="E158" s="15">
        <f>IF($A158="","",IFERROR(SUMIF(tblAnahtarA[Norm],$A158,tblVeriA[AgirlikKg]),0))</f>
        <v/>
      </c>
      <c r="F158" s="15">
        <f>IF($A158="","",IFERROR(SUMIF(tblAnahtarA[Norm],$A158,tblVeriA[DesiCarpani]),kdo_varsayilanDesiCarpani))</f>
        <v/>
      </c>
      <c r="G158" s="15">
        <f>IF($A158="","",ROUND($B158*$C158*$D158/MAX($F158,1),2))</f>
        <v/>
      </c>
      <c r="H158" s="15">
        <f>IF($A158="","",MAX($G158,$E158))</f>
        <v/>
      </c>
      <c r="I158" s="15">
        <f>IF($A158="","",IFERROR(SUMIF(tblAnahtarB[NormB],$A158,tblVeriB[TarifTlDesi]),0))</f>
        <v/>
      </c>
      <c r="J158" s="15">
        <f>IF($A158="","",IFERROR(SUMIF(tblAnahtarA[Norm],$A158,tblVeriA[Adet]),1))</f>
        <v/>
      </c>
      <c r="K158" s="15">
        <f>IF($A158="","",ROUND($H158*$I158,2))</f>
        <v/>
      </c>
      <c r="L158" s="15">
        <f>IF($A158="","",ROUND($K158*$J158*(1+$Q158*kdo_iadeEtkiCarpani),2))</f>
        <v/>
      </c>
      <c r="M158" s="15">
        <f>IF($A158="","",IFERROR(SUMIF(tblAnahtarB[NormB],$A158,tblVeriB[AlternatifTarif]),0))</f>
        <v/>
      </c>
      <c r="N158" s="15">
        <f>IF($A158="","",ROUND($H158*$M158*$J158*(1+$Q158*kdo_iadeEtkiCarpani),2))</f>
        <v/>
      </c>
      <c r="O158" s="15">
        <f>IF($A158="","",ROUND($L158-$N158,2))</f>
        <v/>
      </c>
      <c r="P158" s="15">
        <f>IF($A158="","",IF($R158&gt;kdo_esikDesiOran,"DESİ DÜŞÜR",IF($O158&gt;kdo_esikTasarruf,"TAŞIYICI DEĞİŞTİR","UYGUN")))</f>
        <v/>
      </c>
      <c r="Q158" s="15">
        <f>IF($A158="","",IFERROR(SUMIF(tblAnahtarB[NormB],$A158,tblVeriB[IadeOran]),0))</f>
        <v/>
      </c>
      <c r="R158" s="15">
        <f>IF(OR($A158="",$E158=0),0,$G158/$E158)</f>
        <v/>
      </c>
      <c r="S158" s="15">
        <f>IF($A158="","",$G158-$E158)</f>
        <v/>
      </c>
      <c r="T158" s="15">
        <f>IF($A158="","",$L158-$N158)</f>
        <v/>
      </c>
    </row>
    <row r="159">
      <c r="A159" s="15">
        <f>IF('ANAHTAR'!$B159="","",'ANAHTAR'!$B159)</f>
        <v/>
      </c>
      <c r="B159" s="15">
        <f>IF($A159="","",IFERROR(SUMIF(tblAnahtarA[Norm],$A159,tblVeriA[EnCm]),0))</f>
        <v/>
      </c>
      <c r="C159" s="15">
        <f>IF($A159="","",IFERROR(SUMIF(tblAnahtarA[Norm],$A159,tblVeriA[BoyCm]),0))</f>
        <v/>
      </c>
      <c r="D159" s="15">
        <f>IF($A159="","",IFERROR(SUMIF(tblAnahtarA[Norm],$A159,tblVeriA[YukseklikCm]),0))</f>
        <v/>
      </c>
      <c r="E159" s="15">
        <f>IF($A159="","",IFERROR(SUMIF(tblAnahtarA[Norm],$A159,tblVeriA[AgirlikKg]),0))</f>
        <v/>
      </c>
      <c r="F159" s="15">
        <f>IF($A159="","",IFERROR(SUMIF(tblAnahtarA[Norm],$A159,tblVeriA[DesiCarpani]),kdo_varsayilanDesiCarpani))</f>
        <v/>
      </c>
      <c r="G159" s="15">
        <f>IF($A159="","",ROUND($B159*$C159*$D159/MAX($F159,1),2))</f>
        <v/>
      </c>
      <c r="H159" s="15">
        <f>IF($A159="","",MAX($G159,$E159))</f>
        <v/>
      </c>
      <c r="I159" s="15">
        <f>IF($A159="","",IFERROR(SUMIF(tblAnahtarB[NormB],$A159,tblVeriB[TarifTlDesi]),0))</f>
        <v/>
      </c>
      <c r="J159" s="15">
        <f>IF($A159="","",IFERROR(SUMIF(tblAnahtarA[Norm],$A159,tblVeriA[Adet]),1))</f>
        <v/>
      </c>
      <c r="K159" s="15">
        <f>IF($A159="","",ROUND($H159*$I159,2))</f>
        <v/>
      </c>
      <c r="L159" s="15">
        <f>IF($A159="","",ROUND($K159*$J159*(1+$Q159*kdo_iadeEtkiCarpani),2))</f>
        <v/>
      </c>
      <c r="M159" s="15">
        <f>IF($A159="","",IFERROR(SUMIF(tblAnahtarB[NormB],$A159,tblVeriB[AlternatifTarif]),0))</f>
        <v/>
      </c>
      <c r="N159" s="15">
        <f>IF($A159="","",ROUND($H159*$M159*$J159*(1+$Q159*kdo_iadeEtkiCarpani),2))</f>
        <v/>
      </c>
      <c r="O159" s="15">
        <f>IF($A159="","",ROUND($L159-$N159,2))</f>
        <v/>
      </c>
      <c r="P159" s="15">
        <f>IF($A159="","",IF($R159&gt;kdo_esikDesiOran,"DESİ DÜŞÜR",IF($O159&gt;kdo_esikTasarruf,"TAŞIYICI DEĞİŞTİR","UYGUN")))</f>
        <v/>
      </c>
      <c r="Q159" s="15">
        <f>IF($A159="","",IFERROR(SUMIF(tblAnahtarB[NormB],$A159,tblVeriB[IadeOran]),0))</f>
        <v/>
      </c>
      <c r="R159" s="15">
        <f>IF(OR($A159="",$E159=0),0,$G159/$E159)</f>
        <v/>
      </c>
      <c r="S159" s="15">
        <f>IF($A159="","",$G159-$E159)</f>
        <v/>
      </c>
      <c r="T159" s="15">
        <f>IF($A159="","",$L159-$N159)</f>
        <v/>
      </c>
    </row>
    <row r="160">
      <c r="A160" s="15">
        <f>IF('ANAHTAR'!$B160="","",'ANAHTAR'!$B160)</f>
        <v/>
      </c>
      <c r="B160" s="15">
        <f>IF($A160="","",IFERROR(SUMIF(tblAnahtarA[Norm],$A160,tblVeriA[EnCm]),0))</f>
        <v/>
      </c>
      <c r="C160" s="15">
        <f>IF($A160="","",IFERROR(SUMIF(tblAnahtarA[Norm],$A160,tblVeriA[BoyCm]),0))</f>
        <v/>
      </c>
      <c r="D160" s="15">
        <f>IF($A160="","",IFERROR(SUMIF(tblAnahtarA[Norm],$A160,tblVeriA[YukseklikCm]),0))</f>
        <v/>
      </c>
      <c r="E160" s="15">
        <f>IF($A160="","",IFERROR(SUMIF(tblAnahtarA[Norm],$A160,tblVeriA[AgirlikKg]),0))</f>
        <v/>
      </c>
      <c r="F160" s="15">
        <f>IF($A160="","",IFERROR(SUMIF(tblAnahtarA[Norm],$A160,tblVeriA[DesiCarpani]),kdo_varsayilanDesiCarpani))</f>
        <v/>
      </c>
      <c r="G160" s="15">
        <f>IF($A160="","",ROUND($B160*$C160*$D160/MAX($F160,1),2))</f>
        <v/>
      </c>
      <c r="H160" s="15">
        <f>IF($A160="","",MAX($G160,$E160))</f>
        <v/>
      </c>
      <c r="I160" s="15">
        <f>IF($A160="","",IFERROR(SUMIF(tblAnahtarB[NormB],$A160,tblVeriB[TarifTlDesi]),0))</f>
        <v/>
      </c>
      <c r="J160" s="15">
        <f>IF($A160="","",IFERROR(SUMIF(tblAnahtarA[Norm],$A160,tblVeriA[Adet]),1))</f>
        <v/>
      </c>
      <c r="K160" s="15">
        <f>IF($A160="","",ROUND($H160*$I160,2))</f>
        <v/>
      </c>
      <c r="L160" s="15">
        <f>IF($A160="","",ROUND($K160*$J160*(1+$Q160*kdo_iadeEtkiCarpani),2))</f>
        <v/>
      </c>
      <c r="M160" s="15">
        <f>IF($A160="","",IFERROR(SUMIF(tblAnahtarB[NormB],$A160,tblVeriB[AlternatifTarif]),0))</f>
        <v/>
      </c>
      <c r="N160" s="15">
        <f>IF($A160="","",ROUND($H160*$M160*$J160*(1+$Q160*kdo_iadeEtkiCarpani),2))</f>
        <v/>
      </c>
      <c r="O160" s="15">
        <f>IF($A160="","",ROUND($L160-$N160,2))</f>
        <v/>
      </c>
      <c r="P160" s="15">
        <f>IF($A160="","",IF($R160&gt;kdo_esikDesiOran,"DESİ DÜŞÜR",IF($O160&gt;kdo_esikTasarruf,"TAŞIYICI DEĞİŞTİR","UYGUN")))</f>
        <v/>
      </c>
      <c r="Q160" s="15">
        <f>IF($A160="","",IFERROR(SUMIF(tblAnahtarB[NormB],$A160,tblVeriB[IadeOran]),0))</f>
        <v/>
      </c>
      <c r="R160" s="15">
        <f>IF(OR($A160="",$E160=0),0,$G160/$E160)</f>
        <v/>
      </c>
      <c r="S160" s="15">
        <f>IF($A160="","",$G160-$E160)</f>
        <v/>
      </c>
      <c r="T160" s="15">
        <f>IF($A160="","",$L160-$N160)</f>
        <v/>
      </c>
    </row>
    <row r="161">
      <c r="A161" s="15">
        <f>IF('ANAHTAR'!$B161="","",'ANAHTAR'!$B161)</f>
        <v/>
      </c>
      <c r="B161" s="15">
        <f>IF($A161="","",IFERROR(SUMIF(tblAnahtarA[Norm],$A161,tblVeriA[EnCm]),0))</f>
        <v/>
      </c>
      <c r="C161" s="15">
        <f>IF($A161="","",IFERROR(SUMIF(tblAnahtarA[Norm],$A161,tblVeriA[BoyCm]),0))</f>
        <v/>
      </c>
      <c r="D161" s="15">
        <f>IF($A161="","",IFERROR(SUMIF(tblAnahtarA[Norm],$A161,tblVeriA[YukseklikCm]),0))</f>
        <v/>
      </c>
      <c r="E161" s="15">
        <f>IF($A161="","",IFERROR(SUMIF(tblAnahtarA[Norm],$A161,tblVeriA[AgirlikKg]),0))</f>
        <v/>
      </c>
      <c r="F161" s="15">
        <f>IF($A161="","",IFERROR(SUMIF(tblAnahtarA[Norm],$A161,tblVeriA[DesiCarpani]),kdo_varsayilanDesiCarpani))</f>
        <v/>
      </c>
      <c r="G161" s="15">
        <f>IF($A161="","",ROUND($B161*$C161*$D161/MAX($F161,1),2))</f>
        <v/>
      </c>
      <c r="H161" s="15">
        <f>IF($A161="","",MAX($G161,$E161))</f>
        <v/>
      </c>
      <c r="I161" s="15">
        <f>IF($A161="","",IFERROR(SUMIF(tblAnahtarB[NormB],$A161,tblVeriB[TarifTlDesi]),0))</f>
        <v/>
      </c>
      <c r="J161" s="15">
        <f>IF($A161="","",IFERROR(SUMIF(tblAnahtarA[Norm],$A161,tblVeriA[Adet]),1))</f>
        <v/>
      </c>
      <c r="K161" s="15">
        <f>IF($A161="","",ROUND($H161*$I161,2))</f>
        <v/>
      </c>
      <c r="L161" s="15">
        <f>IF($A161="","",ROUND($K161*$J161*(1+$Q161*kdo_iadeEtkiCarpani),2))</f>
        <v/>
      </c>
      <c r="M161" s="15">
        <f>IF($A161="","",IFERROR(SUMIF(tblAnahtarB[NormB],$A161,tblVeriB[AlternatifTarif]),0))</f>
        <v/>
      </c>
      <c r="N161" s="15">
        <f>IF($A161="","",ROUND($H161*$M161*$J161*(1+$Q161*kdo_iadeEtkiCarpani),2))</f>
        <v/>
      </c>
      <c r="O161" s="15">
        <f>IF($A161="","",ROUND($L161-$N161,2))</f>
        <v/>
      </c>
      <c r="P161" s="15">
        <f>IF($A161="","",IF($R161&gt;kdo_esikDesiOran,"DESİ DÜŞÜR",IF($O161&gt;kdo_esikTasarruf,"TAŞIYICI DEĞİŞTİR","UYGUN")))</f>
        <v/>
      </c>
      <c r="Q161" s="15">
        <f>IF($A161="","",IFERROR(SUMIF(tblAnahtarB[NormB],$A161,tblVeriB[IadeOran]),0))</f>
        <v/>
      </c>
      <c r="R161" s="15">
        <f>IF(OR($A161="",$E161=0),0,$G161/$E161)</f>
        <v/>
      </c>
      <c r="S161" s="15">
        <f>IF($A161="","",$G161-$E161)</f>
        <v/>
      </c>
      <c r="T161" s="15">
        <f>IF($A161="","",$L161-$N161)</f>
        <v/>
      </c>
    </row>
    <row r="162">
      <c r="A162" s="15">
        <f>IF('ANAHTAR'!$B162="","",'ANAHTAR'!$B162)</f>
        <v/>
      </c>
      <c r="B162" s="15">
        <f>IF($A162="","",IFERROR(SUMIF(tblAnahtarA[Norm],$A162,tblVeriA[EnCm]),0))</f>
        <v/>
      </c>
      <c r="C162" s="15">
        <f>IF($A162="","",IFERROR(SUMIF(tblAnahtarA[Norm],$A162,tblVeriA[BoyCm]),0))</f>
        <v/>
      </c>
      <c r="D162" s="15">
        <f>IF($A162="","",IFERROR(SUMIF(tblAnahtarA[Norm],$A162,tblVeriA[YukseklikCm]),0))</f>
        <v/>
      </c>
      <c r="E162" s="15">
        <f>IF($A162="","",IFERROR(SUMIF(tblAnahtarA[Norm],$A162,tblVeriA[AgirlikKg]),0))</f>
        <v/>
      </c>
      <c r="F162" s="15">
        <f>IF($A162="","",IFERROR(SUMIF(tblAnahtarA[Norm],$A162,tblVeriA[DesiCarpani]),kdo_varsayilanDesiCarpani))</f>
        <v/>
      </c>
      <c r="G162" s="15">
        <f>IF($A162="","",ROUND($B162*$C162*$D162/MAX($F162,1),2))</f>
        <v/>
      </c>
      <c r="H162" s="15">
        <f>IF($A162="","",MAX($G162,$E162))</f>
        <v/>
      </c>
      <c r="I162" s="15">
        <f>IF($A162="","",IFERROR(SUMIF(tblAnahtarB[NormB],$A162,tblVeriB[TarifTlDesi]),0))</f>
        <v/>
      </c>
      <c r="J162" s="15">
        <f>IF($A162="","",IFERROR(SUMIF(tblAnahtarA[Norm],$A162,tblVeriA[Adet]),1))</f>
        <v/>
      </c>
      <c r="K162" s="15">
        <f>IF($A162="","",ROUND($H162*$I162,2))</f>
        <v/>
      </c>
      <c r="L162" s="15">
        <f>IF($A162="","",ROUND($K162*$J162*(1+$Q162*kdo_iadeEtkiCarpani),2))</f>
        <v/>
      </c>
      <c r="M162" s="15">
        <f>IF($A162="","",IFERROR(SUMIF(tblAnahtarB[NormB],$A162,tblVeriB[AlternatifTarif]),0))</f>
        <v/>
      </c>
      <c r="N162" s="15">
        <f>IF($A162="","",ROUND($H162*$M162*$J162*(1+$Q162*kdo_iadeEtkiCarpani),2))</f>
        <v/>
      </c>
      <c r="O162" s="15">
        <f>IF($A162="","",ROUND($L162-$N162,2))</f>
        <v/>
      </c>
      <c r="P162" s="15">
        <f>IF($A162="","",IF($R162&gt;kdo_esikDesiOran,"DESİ DÜŞÜR",IF($O162&gt;kdo_esikTasarruf,"TAŞIYICI DEĞİŞTİR","UYGUN")))</f>
        <v/>
      </c>
      <c r="Q162" s="15">
        <f>IF($A162="","",IFERROR(SUMIF(tblAnahtarB[NormB],$A162,tblVeriB[IadeOran]),0))</f>
        <v/>
      </c>
      <c r="R162" s="15">
        <f>IF(OR($A162="",$E162=0),0,$G162/$E162)</f>
        <v/>
      </c>
      <c r="S162" s="15">
        <f>IF($A162="","",$G162-$E162)</f>
        <v/>
      </c>
      <c r="T162" s="15">
        <f>IF($A162="","",$L162-$N162)</f>
        <v/>
      </c>
    </row>
    <row r="163">
      <c r="A163" s="15">
        <f>IF('ANAHTAR'!$B163="","",'ANAHTAR'!$B163)</f>
        <v/>
      </c>
      <c r="B163" s="15">
        <f>IF($A163="","",IFERROR(SUMIF(tblAnahtarA[Norm],$A163,tblVeriA[EnCm]),0))</f>
        <v/>
      </c>
      <c r="C163" s="15">
        <f>IF($A163="","",IFERROR(SUMIF(tblAnahtarA[Norm],$A163,tblVeriA[BoyCm]),0))</f>
        <v/>
      </c>
      <c r="D163" s="15">
        <f>IF($A163="","",IFERROR(SUMIF(tblAnahtarA[Norm],$A163,tblVeriA[YukseklikCm]),0))</f>
        <v/>
      </c>
      <c r="E163" s="15">
        <f>IF($A163="","",IFERROR(SUMIF(tblAnahtarA[Norm],$A163,tblVeriA[AgirlikKg]),0))</f>
        <v/>
      </c>
      <c r="F163" s="15">
        <f>IF($A163="","",IFERROR(SUMIF(tblAnahtarA[Norm],$A163,tblVeriA[DesiCarpani]),kdo_varsayilanDesiCarpani))</f>
        <v/>
      </c>
      <c r="G163" s="15">
        <f>IF($A163="","",ROUND($B163*$C163*$D163/MAX($F163,1),2))</f>
        <v/>
      </c>
      <c r="H163" s="15">
        <f>IF($A163="","",MAX($G163,$E163))</f>
        <v/>
      </c>
      <c r="I163" s="15">
        <f>IF($A163="","",IFERROR(SUMIF(tblAnahtarB[NormB],$A163,tblVeriB[TarifTlDesi]),0))</f>
        <v/>
      </c>
      <c r="J163" s="15">
        <f>IF($A163="","",IFERROR(SUMIF(tblAnahtarA[Norm],$A163,tblVeriA[Adet]),1))</f>
        <v/>
      </c>
      <c r="K163" s="15">
        <f>IF($A163="","",ROUND($H163*$I163,2))</f>
        <v/>
      </c>
      <c r="L163" s="15">
        <f>IF($A163="","",ROUND($K163*$J163*(1+$Q163*kdo_iadeEtkiCarpani),2))</f>
        <v/>
      </c>
      <c r="M163" s="15">
        <f>IF($A163="","",IFERROR(SUMIF(tblAnahtarB[NormB],$A163,tblVeriB[AlternatifTarif]),0))</f>
        <v/>
      </c>
      <c r="N163" s="15">
        <f>IF($A163="","",ROUND($H163*$M163*$J163*(1+$Q163*kdo_iadeEtkiCarpani),2))</f>
        <v/>
      </c>
      <c r="O163" s="15">
        <f>IF($A163="","",ROUND($L163-$N163,2))</f>
        <v/>
      </c>
      <c r="P163" s="15">
        <f>IF($A163="","",IF($R163&gt;kdo_esikDesiOran,"DESİ DÜŞÜR",IF($O163&gt;kdo_esikTasarruf,"TAŞIYICI DEĞİŞTİR","UYGUN")))</f>
        <v/>
      </c>
      <c r="Q163" s="15">
        <f>IF($A163="","",IFERROR(SUMIF(tblAnahtarB[NormB],$A163,tblVeriB[IadeOran]),0))</f>
        <v/>
      </c>
      <c r="R163" s="15">
        <f>IF(OR($A163="",$E163=0),0,$G163/$E163)</f>
        <v/>
      </c>
      <c r="S163" s="15">
        <f>IF($A163="","",$G163-$E163)</f>
        <v/>
      </c>
      <c r="T163" s="15">
        <f>IF($A163="","",$L163-$N163)</f>
        <v/>
      </c>
    </row>
    <row r="164">
      <c r="A164" s="15">
        <f>IF('ANAHTAR'!$B164="","",'ANAHTAR'!$B164)</f>
        <v/>
      </c>
      <c r="B164" s="15">
        <f>IF($A164="","",IFERROR(SUMIF(tblAnahtarA[Norm],$A164,tblVeriA[EnCm]),0))</f>
        <v/>
      </c>
      <c r="C164" s="15">
        <f>IF($A164="","",IFERROR(SUMIF(tblAnahtarA[Norm],$A164,tblVeriA[BoyCm]),0))</f>
        <v/>
      </c>
      <c r="D164" s="15">
        <f>IF($A164="","",IFERROR(SUMIF(tblAnahtarA[Norm],$A164,tblVeriA[YukseklikCm]),0))</f>
        <v/>
      </c>
      <c r="E164" s="15">
        <f>IF($A164="","",IFERROR(SUMIF(tblAnahtarA[Norm],$A164,tblVeriA[AgirlikKg]),0))</f>
        <v/>
      </c>
      <c r="F164" s="15">
        <f>IF($A164="","",IFERROR(SUMIF(tblAnahtarA[Norm],$A164,tblVeriA[DesiCarpani]),kdo_varsayilanDesiCarpani))</f>
        <v/>
      </c>
      <c r="G164" s="15">
        <f>IF($A164="","",ROUND($B164*$C164*$D164/MAX($F164,1),2))</f>
        <v/>
      </c>
      <c r="H164" s="15">
        <f>IF($A164="","",MAX($G164,$E164))</f>
        <v/>
      </c>
      <c r="I164" s="15">
        <f>IF($A164="","",IFERROR(SUMIF(tblAnahtarB[NormB],$A164,tblVeriB[TarifTlDesi]),0))</f>
        <v/>
      </c>
      <c r="J164" s="15">
        <f>IF($A164="","",IFERROR(SUMIF(tblAnahtarA[Norm],$A164,tblVeriA[Adet]),1))</f>
        <v/>
      </c>
      <c r="K164" s="15">
        <f>IF($A164="","",ROUND($H164*$I164,2))</f>
        <v/>
      </c>
      <c r="L164" s="15">
        <f>IF($A164="","",ROUND($K164*$J164*(1+$Q164*kdo_iadeEtkiCarpani),2))</f>
        <v/>
      </c>
      <c r="M164" s="15">
        <f>IF($A164="","",IFERROR(SUMIF(tblAnahtarB[NormB],$A164,tblVeriB[AlternatifTarif]),0))</f>
        <v/>
      </c>
      <c r="N164" s="15">
        <f>IF($A164="","",ROUND($H164*$M164*$J164*(1+$Q164*kdo_iadeEtkiCarpani),2))</f>
        <v/>
      </c>
      <c r="O164" s="15">
        <f>IF($A164="","",ROUND($L164-$N164,2))</f>
        <v/>
      </c>
      <c r="P164" s="15">
        <f>IF($A164="","",IF($R164&gt;kdo_esikDesiOran,"DESİ DÜŞÜR",IF($O164&gt;kdo_esikTasarruf,"TAŞIYICI DEĞİŞTİR","UYGUN")))</f>
        <v/>
      </c>
      <c r="Q164" s="15">
        <f>IF($A164="","",IFERROR(SUMIF(tblAnahtarB[NormB],$A164,tblVeriB[IadeOran]),0))</f>
        <v/>
      </c>
      <c r="R164" s="15">
        <f>IF(OR($A164="",$E164=0),0,$G164/$E164)</f>
        <v/>
      </c>
      <c r="S164" s="15">
        <f>IF($A164="","",$G164-$E164)</f>
        <v/>
      </c>
      <c r="T164" s="15">
        <f>IF($A164="","",$L164-$N164)</f>
        <v/>
      </c>
    </row>
    <row r="165">
      <c r="A165" s="15">
        <f>IF('ANAHTAR'!$B165="","",'ANAHTAR'!$B165)</f>
        <v/>
      </c>
      <c r="B165" s="15">
        <f>IF($A165="","",IFERROR(SUMIF(tblAnahtarA[Norm],$A165,tblVeriA[EnCm]),0))</f>
        <v/>
      </c>
      <c r="C165" s="15">
        <f>IF($A165="","",IFERROR(SUMIF(tblAnahtarA[Norm],$A165,tblVeriA[BoyCm]),0))</f>
        <v/>
      </c>
      <c r="D165" s="15">
        <f>IF($A165="","",IFERROR(SUMIF(tblAnahtarA[Norm],$A165,tblVeriA[YukseklikCm]),0))</f>
        <v/>
      </c>
      <c r="E165" s="15">
        <f>IF($A165="","",IFERROR(SUMIF(tblAnahtarA[Norm],$A165,tblVeriA[AgirlikKg]),0))</f>
        <v/>
      </c>
      <c r="F165" s="15">
        <f>IF($A165="","",IFERROR(SUMIF(tblAnahtarA[Norm],$A165,tblVeriA[DesiCarpani]),kdo_varsayilanDesiCarpani))</f>
        <v/>
      </c>
      <c r="G165" s="15">
        <f>IF($A165="","",ROUND($B165*$C165*$D165/MAX($F165,1),2))</f>
        <v/>
      </c>
      <c r="H165" s="15">
        <f>IF($A165="","",MAX($G165,$E165))</f>
        <v/>
      </c>
      <c r="I165" s="15">
        <f>IF($A165="","",IFERROR(SUMIF(tblAnahtarB[NormB],$A165,tblVeriB[TarifTlDesi]),0))</f>
        <v/>
      </c>
      <c r="J165" s="15">
        <f>IF($A165="","",IFERROR(SUMIF(tblAnahtarA[Norm],$A165,tblVeriA[Adet]),1))</f>
        <v/>
      </c>
      <c r="K165" s="15">
        <f>IF($A165="","",ROUND($H165*$I165,2))</f>
        <v/>
      </c>
      <c r="L165" s="15">
        <f>IF($A165="","",ROUND($K165*$J165*(1+$Q165*kdo_iadeEtkiCarpani),2))</f>
        <v/>
      </c>
      <c r="M165" s="15">
        <f>IF($A165="","",IFERROR(SUMIF(tblAnahtarB[NormB],$A165,tblVeriB[AlternatifTarif]),0))</f>
        <v/>
      </c>
      <c r="N165" s="15">
        <f>IF($A165="","",ROUND($H165*$M165*$J165*(1+$Q165*kdo_iadeEtkiCarpani),2))</f>
        <v/>
      </c>
      <c r="O165" s="15">
        <f>IF($A165="","",ROUND($L165-$N165,2))</f>
        <v/>
      </c>
      <c r="P165" s="15">
        <f>IF($A165="","",IF($R165&gt;kdo_esikDesiOran,"DESİ DÜŞÜR",IF($O165&gt;kdo_esikTasarruf,"TAŞIYICI DEĞİŞTİR","UYGUN")))</f>
        <v/>
      </c>
      <c r="Q165" s="15">
        <f>IF($A165="","",IFERROR(SUMIF(tblAnahtarB[NormB],$A165,tblVeriB[IadeOran]),0))</f>
        <v/>
      </c>
      <c r="R165" s="15">
        <f>IF(OR($A165="",$E165=0),0,$G165/$E165)</f>
        <v/>
      </c>
      <c r="S165" s="15">
        <f>IF($A165="","",$G165-$E165)</f>
        <v/>
      </c>
      <c r="T165" s="15">
        <f>IF($A165="","",$L165-$N165)</f>
        <v/>
      </c>
    </row>
    <row r="166">
      <c r="A166" s="15">
        <f>IF('ANAHTAR'!$B166="","",'ANAHTAR'!$B166)</f>
        <v/>
      </c>
      <c r="B166" s="15">
        <f>IF($A166="","",IFERROR(SUMIF(tblAnahtarA[Norm],$A166,tblVeriA[EnCm]),0))</f>
        <v/>
      </c>
      <c r="C166" s="15">
        <f>IF($A166="","",IFERROR(SUMIF(tblAnahtarA[Norm],$A166,tblVeriA[BoyCm]),0))</f>
        <v/>
      </c>
      <c r="D166" s="15">
        <f>IF($A166="","",IFERROR(SUMIF(tblAnahtarA[Norm],$A166,tblVeriA[YukseklikCm]),0))</f>
        <v/>
      </c>
      <c r="E166" s="15">
        <f>IF($A166="","",IFERROR(SUMIF(tblAnahtarA[Norm],$A166,tblVeriA[AgirlikKg]),0))</f>
        <v/>
      </c>
      <c r="F166" s="15">
        <f>IF($A166="","",IFERROR(SUMIF(tblAnahtarA[Norm],$A166,tblVeriA[DesiCarpani]),kdo_varsayilanDesiCarpani))</f>
        <v/>
      </c>
      <c r="G166" s="15">
        <f>IF($A166="","",ROUND($B166*$C166*$D166/MAX($F166,1),2))</f>
        <v/>
      </c>
      <c r="H166" s="15">
        <f>IF($A166="","",MAX($G166,$E166))</f>
        <v/>
      </c>
      <c r="I166" s="15">
        <f>IF($A166="","",IFERROR(SUMIF(tblAnahtarB[NormB],$A166,tblVeriB[TarifTlDesi]),0))</f>
        <v/>
      </c>
      <c r="J166" s="15">
        <f>IF($A166="","",IFERROR(SUMIF(tblAnahtarA[Norm],$A166,tblVeriA[Adet]),1))</f>
        <v/>
      </c>
      <c r="K166" s="15">
        <f>IF($A166="","",ROUND($H166*$I166,2))</f>
        <v/>
      </c>
      <c r="L166" s="15">
        <f>IF($A166="","",ROUND($K166*$J166*(1+$Q166*kdo_iadeEtkiCarpani),2))</f>
        <v/>
      </c>
      <c r="M166" s="15">
        <f>IF($A166="","",IFERROR(SUMIF(tblAnahtarB[NormB],$A166,tblVeriB[AlternatifTarif]),0))</f>
        <v/>
      </c>
      <c r="N166" s="15">
        <f>IF($A166="","",ROUND($H166*$M166*$J166*(1+$Q166*kdo_iadeEtkiCarpani),2))</f>
        <v/>
      </c>
      <c r="O166" s="15">
        <f>IF($A166="","",ROUND($L166-$N166,2))</f>
        <v/>
      </c>
      <c r="P166" s="15">
        <f>IF($A166="","",IF($R166&gt;kdo_esikDesiOran,"DESİ DÜŞÜR",IF($O166&gt;kdo_esikTasarruf,"TAŞIYICI DEĞİŞTİR","UYGUN")))</f>
        <v/>
      </c>
      <c r="Q166" s="15">
        <f>IF($A166="","",IFERROR(SUMIF(tblAnahtarB[NormB],$A166,tblVeriB[IadeOran]),0))</f>
        <v/>
      </c>
      <c r="R166" s="15">
        <f>IF(OR($A166="",$E166=0),0,$G166/$E166)</f>
        <v/>
      </c>
      <c r="S166" s="15">
        <f>IF($A166="","",$G166-$E166)</f>
        <v/>
      </c>
      <c r="T166" s="15">
        <f>IF($A166="","",$L166-$N166)</f>
        <v/>
      </c>
    </row>
    <row r="167">
      <c r="A167" s="15">
        <f>IF('ANAHTAR'!$B167="","",'ANAHTAR'!$B167)</f>
        <v/>
      </c>
      <c r="B167" s="15">
        <f>IF($A167="","",IFERROR(SUMIF(tblAnahtarA[Norm],$A167,tblVeriA[EnCm]),0))</f>
        <v/>
      </c>
      <c r="C167" s="15">
        <f>IF($A167="","",IFERROR(SUMIF(tblAnahtarA[Norm],$A167,tblVeriA[BoyCm]),0))</f>
        <v/>
      </c>
      <c r="D167" s="15">
        <f>IF($A167="","",IFERROR(SUMIF(tblAnahtarA[Norm],$A167,tblVeriA[YukseklikCm]),0))</f>
        <v/>
      </c>
      <c r="E167" s="15">
        <f>IF($A167="","",IFERROR(SUMIF(tblAnahtarA[Norm],$A167,tblVeriA[AgirlikKg]),0))</f>
        <v/>
      </c>
      <c r="F167" s="15">
        <f>IF($A167="","",IFERROR(SUMIF(tblAnahtarA[Norm],$A167,tblVeriA[DesiCarpani]),kdo_varsayilanDesiCarpani))</f>
        <v/>
      </c>
      <c r="G167" s="15">
        <f>IF($A167="","",ROUND($B167*$C167*$D167/MAX($F167,1),2))</f>
        <v/>
      </c>
      <c r="H167" s="15">
        <f>IF($A167="","",MAX($G167,$E167))</f>
        <v/>
      </c>
      <c r="I167" s="15">
        <f>IF($A167="","",IFERROR(SUMIF(tblAnahtarB[NormB],$A167,tblVeriB[TarifTlDesi]),0))</f>
        <v/>
      </c>
      <c r="J167" s="15">
        <f>IF($A167="","",IFERROR(SUMIF(tblAnahtarA[Norm],$A167,tblVeriA[Adet]),1))</f>
        <v/>
      </c>
      <c r="K167" s="15">
        <f>IF($A167="","",ROUND($H167*$I167,2))</f>
        <v/>
      </c>
      <c r="L167" s="15">
        <f>IF($A167="","",ROUND($K167*$J167*(1+$Q167*kdo_iadeEtkiCarpani),2))</f>
        <v/>
      </c>
      <c r="M167" s="15">
        <f>IF($A167="","",IFERROR(SUMIF(tblAnahtarB[NormB],$A167,tblVeriB[AlternatifTarif]),0))</f>
        <v/>
      </c>
      <c r="N167" s="15">
        <f>IF($A167="","",ROUND($H167*$M167*$J167*(1+$Q167*kdo_iadeEtkiCarpani),2))</f>
        <v/>
      </c>
      <c r="O167" s="15">
        <f>IF($A167="","",ROUND($L167-$N167,2))</f>
        <v/>
      </c>
      <c r="P167" s="15">
        <f>IF($A167="","",IF($R167&gt;kdo_esikDesiOran,"DESİ DÜŞÜR",IF($O167&gt;kdo_esikTasarruf,"TAŞIYICI DEĞİŞTİR","UYGUN")))</f>
        <v/>
      </c>
      <c r="Q167" s="15">
        <f>IF($A167="","",IFERROR(SUMIF(tblAnahtarB[NormB],$A167,tblVeriB[IadeOran]),0))</f>
        <v/>
      </c>
      <c r="R167" s="15">
        <f>IF(OR($A167="",$E167=0),0,$G167/$E167)</f>
        <v/>
      </c>
      <c r="S167" s="15">
        <f>IF($A167="","",$G167-$E167)</f>
        <v/>
      </c>
      <c r="T167" s="15">
        <f>IF($A167="","",$L167-$N167)</f>
        <v/>
      </c>
    </row>
    <row r="168">
      <c r="A168" s="15">
        <f>IF('ANAHTAR'!$B168="","",'ANAHTAR'!$B168)</f>
        <v/>
      </c>
      <c r="B168" s="15">
        <f>IF($A168="","",IFERROR(SUMIF(tblAnahtarA[Norm],$A168,tblVeriA[EnCm]),0))</f>
        <v/>
      </c>
      <c r="C168" s="15">
        <f>IF($A168="","",IFERROR(SUMIF(tblAnahtarA[Norm],$A168,tblVeriA[BoyCm]),0))</f>
        <v/>
      </c>
      <c r="D168" s="15">
        <f>IF($A168="","",IFERROR(SUMIF(tblAnahtarA[Norm],$A168,tblVeriA[YukseklikCm]),0))</f>
        <v/>
      </c>
      <c r="E168" s="15">
        <f>IF($A168="","",IFERROR(SUMIF(tblAnahtarA[Norm],$A168,tblVeriA[AgirlikKg]),0))</f>
        <v/>
      </c>
      <c r="F168" s="15">
        <f>IF($A168="","",IFERROR(SUMIF(tblAnahtarA[Norm],$A168,tblVeriA[DesiCarpani]),kdo_varsayilanDesiCarpani))</f>
        <v/>
      </c>
      <c r="G168" s="15">
        <f>IF($A168="","",ROUND($B168*$C168*$D168/MAX($F168,1),2))</f>
        <v/>
      </c>
      <c r="H168" s="15">
        <f>IF($A168="","",MAX($G168,$E168))</f>
        <v/>
      </c>
      <c r="I168" s="15">
        <f>IF($A168="","",IFERROR(SUMIF(tblAnahtarB[NormB],$A168,tblVeriB[TarifTlDesi]),0))</f>
        <v/>
      </c>
      <c r="J168" s="15">
        <f>IF($A168="","",IFERROR(SUMIF(tblAnahtarA[Norm],$A168,tblVeriA[Adet]),1))</f>
        <v/>
      </c>
      <c r="K168" s="15">
        <f>IF($A168="","",ROUND($H168*$I168,2))</f>
        <v/>
      </c>
      <c r="L168" s="15">
        <f>IF($A168="","",ROUND($K168*$J168*(1+$Q168*kdo_iadeEtkiCarpani),2))</f>
        <v/>
      </c>
      <c r="M168" s="15">
        <f>IF($A168="","",IFERROR(SUMIF(tblAnahtarB[NormB],$A168,tblVeriB[AlternatifTarif]),0))</f>
        <v/>
      </c>
      <c r="N168" s="15">
        <f>IF($A168="","",ROUND($H168*$M168*$J168*(1+$Q168*kdo_iadeEtkiCarpani),2))</f>
        <v/>
      </c>
      <c r="O168" s="15">
        <f>IF($A168="","",ROUND($L168-$N168,2))</f>
        <v/>
      </c>
      <c r="P168" s="15">
        <f>IF($A168="","",IF($R168&gt;kdo_esikDesiOran,"DESİ DÜŞÜR",IF($O168&gt;kdo_esikTasarruf,"TAŞIYICI DEĞİŞTİR","UYGUN")))</f>
        <v/>
      </c>
      <c r="Q168" s="15">
        <f>IF($A168="","",IFERROR(SUMIF(tblAnahtarB[NormB],$A168,tblVeriB[IadeOran]),0))</f>
        <v/>
      </c>
      <c r="R168" s="15">
        <f>IF(OR($A168="",$E168=0),0,$G168/$E168)</f>
        <v/>
      </c>
      <c r="S168" s="15">
        <f>IF($A168="","",$G168-$E168)</f>
        <v/>
      </c>
      <c r="T168" s="15">
        <f>IF($A168="","",$L168-$N168)</f>
        <v/>
      </c>
    </row>
    <row r="169">
      <c r="A169" s="15">
        <f>IF('ANAHTAR'!$B169="","",'ANAHTAR'!$B169)</f>
        <v/>
      </c>
      <c r="B169" s="15">
        <f>IF($A169="","",IFERROR(SUMIF(tblAnahtarA[Norm],$A169,tblVeriA[EnCm]),0))</f>
        <v/>
      </c>
      <c r="C169" s="15">
        <f>IF($A169="","",IFERROR(SUMIF(tblAnahtarA[Norm],$A169,tblVeriA[BoyCm]),0))</f>
        <v/>
      </c>
      <c r="D169" s="15">
        <f>IF($A169="","",IFERROR(SUMIF(tblAnahtarA[Norm],$A169,tblVeriA[YukseklikCm]),0))</f>
        <v/>
      </c>
      <c r="E169" s="15">
        <f>IF($A169="","",IFERROR(SUMIF(tblAnahtarA[Norm],$A169,tblVeriA[AgirlikKg]),0))</f>
        <v/>
      </c>
      <c r="F169" s="15">
        <f>IF($A169="","",IFERROR(SUMIF(tblAnahtarA[Norm],$A169,tblVeriA[DesiCarpani]),kdo_varsayilanDesiCarpani))</f>
        <v/>
      </c>
      <c r="G169" s="15">
        <f>IF($A169="","",ROUND($B169*$C169*$D169/MAX($F169,1),2))</f>
        <v/>
      </c>
      <c r="H169" s="15">
        <f>IF($A169="","",MAX($G169,$E169))</f>
        <v/>
      </c>
      <c r="I169" s="15">
        <f>IF($A169="","",IFERROR(SUMIF(tblAnahtarB[NormB],$A169,tblVeriB[TarifTlDesi]),0))</f>
        <v/>
      </c>
      <c r="J169" s="15">
        <f>IF($A169="","",IFERROR(SUMIF(tblAnahtarA[Norm],$A169,tblVeriA[Adet]),1))</f>
        <v/>
      </c>
      <c r="K169" s="15">
        <f>IF($A169="","",ROUND($H169*$I169,2))</f>
        <v/>
      </c>
      <c r="L169" s="15">
        <f>IF($A169="","",ROUND($K169*$J169*(1+$Q169*kdo_iadeEtkiCarpani),2))</f>
        <v/>
      </c>
      <c r="M169" s="15">
        <f>IF($A169="","",IFERROR(SUMIF(tblAnahtarB[NormB],$A169,tblVeriB[AlternatifTarif]),0))</f>
        <v/>
      </c>
      <c r="N169" s="15">
        <f>IF($A169="","",ROUND($H169*$M169*$J169*(1+$Q169*kdo_iadeEtkiCarpani),2))</f>
        <v/>
      </c>
      <c r="O169" s="15">
        <f>IF($A169="","",ROUND($L169-$N169,2))</f>
        <v/>
      </c>
      <c r="P169" s="15">
        <f>IF($A169="","",IF($R169&gt;kdo_esikDesiOran,"DESİ DÜŞÜR",IF($O169&gt;kdo_esikTasarruf,"TAŞIYICI DEĞİŞTİR","UYGUN")))</f>
        <v/>
      </c>
      <c r="Q169" s="15">
        <f>IF($A169="","",IFERROR(SUMIF(tblAnahtarB[NormB],$A169,tblVeriB[IadeOran]),0))</f>
        <v/>
      </c>
      <c r="R169" s="15">
        <f>IF(OR($A169="",$E169=0),0,$G169/$E169)</f>
        <v/>
      </c>
      <c r="S169" s="15">
        <f>IF($A169="","",$G169-$E169)</f>
        <v/>
      </c>
      <c r="T169" s="15">
        <f>IF($A169="","",$L169-$N169)</f>
        <v/>
      </c>
    </row>
    <row r="170">
      <c r="A170" s="15">
        <f>IF('ANAHTAR'!$B170="","",'ANAHTAR'!$B170)</f>
        <v/>
      </c>
      <c r="B170" s="15">
        <f>IF($A170="","",IFERROR(SUMIF(tblAnahtarA[Norm],$A170,tblVeriA[EnCm]),0))</f>
        <v/>
      </c>
      <c r="C170" s="15">
        <f>IF($A170="","",IFERROR(SUMIF(tblAnahtarA[Norm],$A170,tblVeriA[BoyCm]),0))</f>
        <v/>
      </c>
      <c r="D170" s="15">
        <f>IF($A170="","",IFERROR(SUMIF(tblAnahtarA[Norm],$A170,tblVeriA[YukseklikCm]),0))</f>
        <v/>
      </c>
      <c r="E170" s="15">
        <f>IF($A170="","",IFERROR(SUMIF(tblAnahtarA[Norm],$A170,tblVeriA[AgirlikKg]),0))</f>
        <v/>
      </c>
      <c r="F170" s="15">
        <f>IF($A170="","",IFERROR(SUMIF(tblAnahtarA[Norm],$A170,tblVeriA[DesiCarpani]),kdo_varsayilanDesiCarpani))</f>
        <v/>
      </c>
      <c r="G170" s="15">
        <f>IF($A170="","",ROUND($B170*$C170*$D170/MAX($F170,1),2))</f>
        <v/>
      </c>
      <c r="H170" s="15">
        <f>IF($A170="","",MAX($G170,$E170))</f>
        <v/>
      </c>
      <c r="I170" s="15">
        <f>IF($A170="","",IFERROR(SUMIF(tblAnahtarB[NormB],$A170,tblVeriB[TarifTlDesi]),0))</f>
        <v/>
      </c>
      <c r="J170" s="15">
        <f>IF($A170="","",IFERROR(SUMIF(tblAnahtarA[Norm],$A170,tblVeriA[Adet]),1))</f>
        <v/>
      </c>
      <c r="K170" s="15">
        <f>IF($A170="","",ROUND($H170*$I170,2))</f>
        <v/>
      </c>
      <c r="L170" s="15">
        <f>IF($A170="","",ROUND($K170*$J170*(1+$Q170*kdo_iadeEtkiCarpani),2))</f>
        <v/>
      </c>
      <c r="M170" s="15">
        <f>IF($A170="","",IFERROR(SUMIF(tblAnahtarB[NormB],$A170,tblVeriB[AlternatifTarif]),0))</f>
        <v/>
      </c>
      <c r="N170" s="15">
        <f>IF($A170="","",ROUND($H170*$M170*$J170*(1+$Q170*kdo_iadeEtkiCarpani),2))</f>
        <v/>
      </c>
      <c r="O170" s="15">
        <f>IF($A170="","",ROUND($L170-$N170,2))</f>
        <v/>
      </c>
      <c r="P170" s="15">
        <f>IF($A170="","",IF($R170&gt;kdo_esikDesiOran,"DESİ DÜŞÜR",IF($O170&gt;kdo_esikTasarruf,"TAŞIYICI DEĞİŞTİR","UYGUN")))</f>
        <v/>
      </c>
      <c r="Q170" s="15">
        <f>IF($A170="","",IFERROR(SUMIF(tblAnahtarB[NormB],$A170,tblVeriB[IadeOran]),0))</f>
        <v/>
      </c>
      <c r="R170" s="15">
        <f>IF(OR($A170="",$E170=0),0,$G170/$E170)</f>
        <v/>
      </c>
      <c r="S170" s="15">
        <f>IF($A170="","",$G170-$E170)</f>
        <v/>
      </c>
      <c r="T170" s="15">
        <f>IF($A170="","",$L170-$N170)</f>
        <v/>
      </c>
    </row>
    <row r="171">
      <c r="A171" s="15">
        <f>IF('ANAHTAR'!$B171="","",'ANAHTAR'!$B171)</f>
        <v/>
      </c>
      <c r="B171" s="15">
        <f>IF($A171="","",IFERROR(SUMIF(tblAnahtarA[Norm],$A171,tblVeriA[EnCm]),0))</f>
        <v/>
      </c>
      <c r="C171" s="15">
        <f>IF($A171="","",IFERROR(SUMIF(tblAnahtarA[Norm],$A171,tblVeriA[BoyCm]),0))</f>
        <v/>
      </c>
      <c r="D171" s="15">
        <f>IF($A171="","",IFERROR(SUMIF(tblAnahtarA[Norm],$A171,tblVeriA[YukseklikCm]),0))</f>
        <v/>
      </c>
      <c r="E171" s="15">
        <f>IF($A171="","",IFERROR(SUMIF(tblAnahtarA[Norm],$A171,tblVeriA[AgirlikKg]),0))</f>
        <v/>
      </c>
      <c r="F171" s="15">
        <f>IF($A171="","",IFERROR(SUMIF(tblAnahtarA[Norm],$A171,tblVeriA[DesiCarpani]),kdo_varsayilanDesiCarpani))</f>
        <v/>
      </c>
      <c r="G171" s="15">
        <f>IF($A171="","",ROUND($B171*$C171*$D171/MAX($F171,1),2))</f>
        <v/>
      </c>
      <c r="H171" s="15">
        <f>IF($A171="","",MAX($G171,$E171))</f>
        <v/>
      </c>
      <c r="I171" s="15">
        <f>IF($A171="","",IFERROR(SUMIF(tblAnahtarB[NormB],$A171,tblVeriB[TarifTlDesi]),0))</f>
        <v/>
      </c>
      <c r="J171" s="15">
        <f>IF($A171="","",IFERROR(SUMIF(tblAnahtarA[Norm],$A171,tblVeriA[Adet]),1))</f>
        <v/>
      </c>
      <c r="K171" s="15">
        <f>IF($A171="","",ROUND($H171*$I171,2))</f>
        <v/>
      </c>
      <c r="L171" s="15">
        <f>IF($A171="","",ROUND($K171*$J171*(1+$Q171*kdo_iadeEtkiCarpani),2))</f>
        <v/>
      </c>
      <c r="M171" s="15">
        <f>IF($A171="","",IFERROR(SUMIF(tblAnahtarB[NormB],$A171,tblVeriB[AlternatifTarif]),0))</f>
        <v/>
      </c>
      <c r="N171" s="15">
        <f>IF($A171="","",ROUND($H171*$M171*$J171*(1+$Q171*kdo_iadeEtkiCarpani),2))</f>
        <v/>
      </c>
      <c r="O171" s="15">
        <f>IF($A171="","",ROUND($L171-$N171,2))</f>
        <v/>
      </c>
      <c r="P171" s="15">
        <f>IF($A171="","",IF($R171&gt;kdo_esikDesiOran,"DESİ DÜŞÜR",IF($O171&gt;kdo_esikTasarruf,"TAŞIYICI DEĞİŞTİR","UYGUN")))</f>
        <v/>
      </c>
      <c r="Q171" s="15">
        <f>IF($A171="","",IFERROR(SUMIF(tblAnahtarB[NormB],$A171,tblVeriB[IadeOran]),0))</f>
        <v/>
      </c>
      <c r="R171" s="15">
        <f>IF(OR($A171="",$E171=0),0,$G171/$E171)</f>
        <v/>
      </c>
      <c r="S171" s="15">
        <f>IF($A171="","",$G171-$E171)</f>
        <v/>
      </c>
      <c r="T171" s="15">
        <f>IF($A171="","",$L171-$N171)</f>
        <v/>
      </c>
    </row>
    <row r="172">
      <c r="A172" s="15">
        <f>IF('ANAHTAR'!$B172="","",'ANAHTAR'!$B172)</f>
        <v/>
      </c>
      <c r="B172" s="15">
        <f>IF($A172="","",IFERROR(SUMIF(tblAnahtarA[Norm],$A172,tblVeriA[EnCm]),0))</f>
        <v/>
      </c>
      <c r="C172" s="15">
        <f>IF($A172="","",IFERROR(SUMIF(tblAnahtarA[Norm],$A172,tblVeriA[BoyCm]),0))</f>
        <v/>
      </c>
      <c r="D172" s="15">
        <f>IF($A172="","",IFERROR(SUMIF(tblAnahtarA[Norm],$A172,tblVeriA[YukseklikCm]),0))</f>
        <v/>
      </c>
      <c r="E172" s="15">
        <f>IF($A172="","",IFERROR(SUMIF(tblAnahtarA[Norm],$A172,tblVeriA[AgirlikKg]),0))</f>
        <v/>
      </c>
      <c r="F172" s="15">
        <f>IF($A172="","",IFERROR(SUMIF(tblAnahtarA[Norm],$A172,tblVeriA[DesiCarpani]),kdo_varsayilanDesiCarpani))</f>
        <v/>
      </c>
      <c r="G172" s="15">
        <f>IF($A172="","",ROUND($B172*$C172*$D172/MAX($F172,1),2))</f>
        <v/>
      </c>
      <c r="H172" s="15">
        <f>IF($A172="","",MAX($G172,$E172))</f>
        <v/>
      </c>
      <c r="I172" s="15">
        <f>IF($A172="","",IFERROR(SUMIF(tblAnahtarB[NormB],$A172,tblVeriB[TarifTlDesi]),0))</f>
        <v/>
      </c>
      <c r="J172" s="15">
        <f>IF($A172="","",IFERROR(SUMIF(tblAnahtarA[Norm],$A172,tblVeriA[Adet]),1))</f>
        <v/>
      </c>
      <c r="K172" s="15">
        <f>IF($A172="","",ROUND($H172*$I172,2))</f>
        <v/>
      </c>
      <c r="L172" s="15">
        <f>IF($A172="","",ROUND($K172*$J172*(1+$Q172*kdo_iadeEtkiCarpani),2))</f>
        <v/>
      </c>
      <c r="M172" s="15">
        <f>IF($A172="","",IFERROR(SUMIF(tblAnahtarB[NormB],$A172,tblVeriB[AlternatifTarif]),0))</f>
        <v/>
      </c>
      <c r="N172" s="15">
        <f>IF($A172="","",ROUND($H172*$M172*$J172*(1+$Q172*kdo_iadeEtkiCarpani),2))</f>
        <v/>
      </c>
      <c r="O172" s="15">
        <f>IF($A172="","",ROUND($L172-$N172,2))</f>
        <v/>
      </c>
      <c r="P172" s="15">
        <f>IF($A172="","",IF($R172&gt;kdo_esikDesiOran,"DESİ DÜŞÜR",IF($O172&gt;kdo_esikTasarruf,"TAŞIYICI DEĞİŞTİR","UYGUN")))</f>
        <v/>
      </c>
      <c r="Q172" s="15">
        <f>IF($A172="","",IFERROR(SUMIF(tblAnahtarB[NormB],$A172,tblVeriB[IadeOran]),0))</f>
        <v/>
      </c>
      <c r="R172" s="15">
        <f>IF(OR($A172="",$E172=0),0,$G172/$E172)</f>
        <v/>
      </c>
      <c r="S172" s="15">
        <f>IF($A172="","",$G172-$E172)</f>
        <v/>
      </c>
      <c r="T172" s="15">
        <f>IF($A172="","",$L172-$N172)</f>
        <v/>
      </c>
    </row>
    <row r="173">
      <c r="A173" s="15">
        <f>IF('ANAHTAR'!$B173="","",'ANAHTAR'!$B173)</f>
        <v/>
      </c>
      <c r="B173" s="15">
        <f>IF($A173="","",IFERROR(SUMIF(tblAnahtarA[Norm],$A173,tblVeriA[EnCm]),0))</f>
        <v/>
      </c>
      <c r="C173" s="15">
        <f>IF($A173="","",IFERROR(SUMIF(tblAnahtarA[Norm],$A173,tblVeriA[BoyCm]),0))</f>
        <v/>
      </c>
      <c r="D173" s="15">
        <f>IF($A173="","",IFERROR(SUMIF(tblAnahtarA[Norm],$A173,tblVeriA[YukseklikCm]),0))</f>
        <v/>
      </c>
      <c r="E173" s="15">
        <f>IF($A173="","",IFERROR(SUMIF(tblAnahtarA[Norm],$A173,tblVeriA[AgirlikKg]),0))</f>
        <v/>
      </c>
      <c r="F173" s="15">
        <f>IF($A173="","",IFERROR(SUMIF(tblAnahtarA[Norm],$A173,tblVeriA[DesiCarpani]),kdo_varsayilanDesiCarpani))</f>
        <v/>
      </c>
      <c r="G173" s="15">
        <f>IF($A173="","",ROUND($B173*$C173*$D173/MAX($F173,1),2))</f>
        <v/>
      </c>
      <c r="H173" s="15">
        <f>IF($A173="","",MAX($G173,$E173))</f>
        <v/>
      </c>
      <c r="I173" s="15">
        <f>IF($A173="","",IFERROR(SUMIF(tblAnahtarB[NormB],$A173,tblVeriB[TarifTlDesi]),0))</f>
        <v/>
      </c>
      <c r="J173" s="15">
        <f>IF($A173="","",IFERROR(SUMIF(tblAnahtarA[Norm],$A173,tblVeriA[Adet]),1))</f>
        <v/>
      </c>
      <c r="K173" s="15">
        <f>IF($A173="","",ROUND($H173*$I173,2))</f>
        <v/>
      </c>
      <c r="L173" s="15">
        <f>IF($A173="","",ROUND($K173*$J173*(1+$Q173*kdo_iadeEtkiCarpani),2))</f>
        <v/>
      </c>
      <c r="M173" s="15">
        <f>IF($A173="","",IFERROR(SUMIF(tblAnahtarB[NormB],$A173,tblVeriB[AlternatifTarif]),0))</f>
        <v/>
      </c>
      <c r="N173" s="15">
        <f>IF($A173="","",ROUND($H173*$M173*$J173*(1+$Q173*kdo_iadeEtkiCarpani),2))</f>
        <v/>
      </c>
      <c r="O173" s="15">
        <f>IF($A173="","",ROUND($L173-$N173,2))</f>
        <v/>
      </c>
      <c r="P173" s="15">
        <f>IF($A173="","",IF($R173&gt;kdo_esikDesiOran,"DESİ DÜŞÜR",IF($O173&gt;kdo_esikTasarruf,"TAŞIYICI DEĞİŞTİR","UYGUN")))</f>
        <v/>
      </c>
      <c r="Q173" s="15">
        <f>IF($A173="","",IFERROR(SUMIF(tblAnahtarB[NormB],$A173,tblVeriB[IadeOran]),0))</f>
        <v/>
      </c>
      <c r="R173" s="15">
        <f>IF(OR($A173="",$E173=0),0,$G173/$E173)</f>
        <v/>
      </c>
      <c r="S173" s="15">
        <f>IF($A173="","",$G173-$E173)</f>
        <v/>
      </c>
      <c r="T173" s="15">
        <f>IF($A173="","",$L173-$N173)</f>
        <v/>
      </c>
    </row>
    <row r="174">
      <c r="A174" s="15">
        <f>IF('ANAHTAR'!$B174="","",'ANAHTAR'!$B174)</f>
        <v/>
      </c>
      <c r="B174" s="15">
        <f>IF($A174="","",IFERROR(SUMIF(tblAnahtarA[Norm],$A174,tblVeriA[EnCm]),0))</f>
        <v/>
      </c>
      <c r="C174" s="15">
        <f>IF($A174="","",IFERROR(SUMIF(tblAnahtarA[Norm],$A174,tblVeriA[BoyCm]),0))</f>
        <v/>
      </c>
      <c r="D174" s="15">
        <f>IF($A174="","",IFERROR(SUMIF(tblAnahtarA[Norm],$A174,tblVeriA[YukseklikCm]),0))</f>
        <v/>
      </c>
      <c r="E174" s="15">
        <f>IF($A174="","",IFERROR(SUMIF(tblAnahtarA[Norm],$A174,tblVeriA[AgirlikKg]),0))</f>
        <v/>
      </c>
      <c r="F174" s="15">
        <f>IF($A174="","",IFERROR(SUMIF(tblAnahtarA[Norm],$A174,tblVeriA[DesiCarpani]),kdo_varsayilanDesiCarpani))</f>
        <v/>
      </c>
      <c r="G174" s="15">
        <f>IF($A174="","",ROUND($B174*$C174*$D174/MAX($F174,1),2))</f>
        <v/>
      </c>
      <c r="H174" s="15">
        <f>IF($A174="","",MAX($G174,$E174))</f>
        <v/>
      </c>
      <c r="I174" s="15">
        <f>IF($A174="","",IFERROR(SUMIF(tblAnahtarB[NormB],$A174,tblVeriB[TarifTlDesi]),0))</f>
        <v/>
      </c>
      <c r="J174" s="15">
        <f>IF($A174="","",IFERROR(SUMIF(tblAnahtarA[Norm],$A174,tblVeriA[Adet]),1))</f>
        <v/>
      </c>
      <c r="K174" s="15">
        <f>IF($A174="","",ROUND($H174*$I174,2))</f>
        <v/>
      </c>
      <c r="L174" s="15">
        <f>IF($A174="","",ROUND($K174*$J174*(1+$Q174*kdo_iadeEtkiCarpani),2))</f>
        <v/>
      </c>
      <c r="M174" s="15">
        <f>IF($A174="","",IFERROR(SUMIF(tblAnahtarB[NormB],$A174,tblVeriB[AlternatifTarif]),0))</f>
        <v/>
      </c>
      <c r="N174" s="15">
        <f>IF($A174="","",ROUND($H174*$M174*$J174*(1+$Q174*kdo_iadeEtkiCarpani),2))</f>
        <v/>
      </c>
      <c r="O174" s="15">
        <f>IF($A174="","",ROUND($L174-$N174,2))</f>
        <v/>
      </c>
      <c r="P174" s="15">
        <f>IF($A174="","",IF($R174&gt;kdo_esikDesiOran,"DESİ DÜŞÜR",IF($O174&gt;kdo_esikTasarruf,"TAŞIYICI DEĞİŞTİR","UYGUN")))</f>
        <v/>
      </c>
      <c r="Q174" s="15">
        <f>IF($A174="","",IFERROR(SUMIF(tblAnahtarB[NormB],$A174,tblVeriB[IadeOran]),0))</f>
        <v/>
      </c>
      <c r="R174" s="15">
        <f>IF(OR($A174="",$E174=0),0,$G174/$E174)</f>
        <v/>
      </c>
      <c r="S174" s="15">
        <f>IF($A174="","",$G174-$E174)</f>
        <v/>
      </c>
      <c r="T174" s="15">
        <f>IF($A174="","",$L174-$N174)</f>
        <v/>
      </c>
    </row>
    <row r="175">
      <c r="A175" s="15">
        <f>IF('ANAHTAR'!$B175="","",'ANAHTAR'!$B175)</f>
        <v/>
      </c>
      <c r="B175" s="15">
        <f>IF($A175="","",IFERROR(SUMIF(tblAnahtarA[Norm],$A175,tblVeriA[EnCm]),0))</f>
        <v/>
      </c>
      <c r="C175" s="15">
        <f>IF($A175="","",IFERROR(SUMIF(tblAnahtarA[Norm],$A175,tblVeriA[BoyCm]),0))</f>
        <v/>
      </c>
      <c r="D175" s="15">
        <f>IF($A175="","",IFERROR(SUMIF(tblAnahtarA[Norm],$A175,tblVeriA[YukseklikCm]),0))</f>
        <v/>
      </c>
      <c r="E175" s="15">
        <f>IF($A175="","",IFERROR(SUMIF(tblAnahtarA[Norm],$A175,tblVeriA[AgirlikKg]),0))</f>
        <v/>
      </c>
      <c r="F175" s="15">
        <f>IF($A175="","",IFERROR(SUMIF(tblAnahtarA[Norm],$A175,tblVeriA[DesiCarpani]),kdo_varsayilanDesiCarpani))</f>
        <v/>
      </c>
      <c r="G175" s="15">
        <f>IF($A175="","",ROUND($B175*$C175*$D175/MAX($F175,1),2))</f>
        <v/>
      </c>
      <c r="H175" s="15">
        <f>IF($A175="","",MAX($G175,$E175))</f>
        <v/>
      </c>
      <c r="I175" s="15">
        <f>IF($A175="","",IFERROR(SUMIF(tblAnahtarB[NormB],$A175,tblVeriB[TarifTlDesi]),0))</f>
        <v/>
      </c>
      <c r="J175" s="15">
        <f>IF($A175="","",IFERROR(SUMIF(tblAnahtarA[Norm],$A175,tblVeriA[Adet]),1))</f>
        <v/>
      </c>
      <c r="K175" s="15">
        <f>IF($A175="","",ROUND($H175*$I175,2))</f>
        <v/>
      </c>
      <c r="L175" s="15">
        <f>IF($A175="","",ROUND($K175*$J175*(1+$Q175*kdo_iadeEtkiCarpani),2))</f>
        <v/>
      </c>
      <c r="M175" s="15">
        <f>IF($A175="","",IFERROR(SUMIF(tblAnahtarB[NormB],$A175,tblVeriB[AlternatifTarif]),0))</f>
        <v/>
      </c>
      <c r="N175" s="15">
        <f>IF($A175="","",ROUND($H175*$M175*$J175*(1+$Q175*kdo_iadeEtkiCarpani),2))</f>
        <v/>
      </c>
      <c r="O175" s="15">
        <f>IF($A175="","",ROUND($L175-$N175,2))</f>
        <v/>
      </c>
      <c r="P175" s="15">
        <f>IF($A175="","",IF($R175&gt;kdo_esikDesiOran,"DESİ DÜŞÜR",IF($O175&gt;kdo_esikTasarruf,"TAŞIYICI DEĞİŞTİR","UYGUN")))</f>
        <v/>
      </c>
      <c r="Q175" s="15">
        <f>IF($A175="","",IFERROR(SUMIF(tblAnahtarB[NormB],$A175,tblVeriB[IadeOran]),0))</f>
        <v/>
      </c>
      <c r="R175" s="15">
        <f>IF(OR($A175="",$E175=0),0,$G175/$E175)</f>
        <v/>
      </c>
      <c r="S175" s="15">
        <f>IF($A175="","",$G175-$E175)</f>
        <v/>
      </c>
      <c r="T175" s="15">
        <f>IF($A175="","",$L175-$N175)</f>
        <v/>
      </c>
    </row>
    <row r="176">
      <c r="A176" s="15">
        <f>IF('ANAHTAR'!$B176="","",'ANAHTAR'!$B176)</f>
        <v/>
      </c>
      <c r="B176" s="15">
        <f>IF($A176="","",IFERROR(SUMIF(tblAnahtarA[Norm],$A176,tblVeriA[EnCm]),0))</f>
        <v/>
      </c>
      <c r="C176" s="15">
        <f>IF($A176="","",IFERROR(SUMIF(tblAnahtarA[Norm],$A176,tblVeriA[BoyCm]),0))</f>
        <v/>
      </c>
      <c r="D176" s="15">
        <f>IF($A176="","",IFERROR(SUMIF(tblAnahtarA[Norm],$A176,tblVeriA[YukseklikCm]),0))</f>
        <v/>
      </c>
      <c r="E176" s="15">
        <f>IF($A176="","",IFERROR(SUMIF(tblAnahtarA[Norm],$A176,tblVeriA[AgirlikKg]),0))</f>
        <v/>
      </c>
      <c r="F176" s="15">
        <f>IF($A176="","",IFERROR(SUMIF(tblAnahtarA[Norm],$A176,tblVeriA[DesiCarpani]),kdo_varsayilanDesiCarpani))</f>
        <v/>
      </c>
      <c r="G176" s="15">
        <f>IF($A176="","",ROUND($B176*$C176*$D176/MAX($F176,1),2))</f>
        <v/>
      </c>
      <c r="H176" s="15">
        <f>IF($A176="","",MAX($G176,$E176))</f>
        <v/>
      </c>
      <c r="I176" s="15">
        <f>IF($A176="","",IFERROR(SUMIF(tblAnahtarB[NormB],$A176,tblVeriB[TarifTlDesi]),0))</f>
        <v/>
      </c>
      <c r="J176" s="15">
        <f>IF($A176="","",IFERROR(SUMIF(tblAnahtarA[Norm],$A176,tblVeriA[Adet]),1))</f>
        <v/>
      </c>
      <c r="K176" s="15">
        <f>IF($A176="","",ROUND($H176*$I176,2))</f>
        <v/>
      </c>
      <c r="L176" s="15">
        <f>IF($A176="","",ROUND($K176*$J176*(1+$Q176*kdo_iadeEtkiCarpani),2))</f>
        <v/>
      </c>
      <c r="M176" s="15">
        <f>IF($A176="","",IFERROR(SUMIF(tblAnahtarB[NormB],$A176,tblVeriB[AlternatifTarif]),0))</f>
        <v/>
      </c>
      <c r="N176" s="15">
        <f>IF($A176="","",ROUND($H176*$M176*$J176*(1+$Q176*kdo_iadeEtkiCarpani),2))</f>
        <v/>
      </c>
      <c r="O176" s="15">
        <f>IF($A176="","",ROUND($L176-$N176,2))</f>
        <v/>
      </c>
      <c r="P176" s="15">
        <f>IF($A176="","",IF($R176&gt;kdo_esikDesiOran,"DESİ DÜŞÜR",IF($O176&gt;kdo_esikTasarruf,"TAŞIYICI DEĞİŞTİR","UYGUN")))</f>
        <v/>
      </c>
      <c r="Q176" s="15">
        <f>IF($A176="","",IFERROR(SUMIF(tblAnahtarB[NormB],$A176,tblVeriB[IadeOran]),0))</f>
        <v/>
      </c>
      <c r="R176" s="15">
        <f>IF(OR($A176="",$E176=0),0,$G176/$E176)</f>
        <v/>
      </c>
      <c r="S176" s="15">
        <f>IF($A176="","",$G176-$E176)</f>
        <v/>
      </c>
      <c r="T176" s="15">
        <f>IF($A176="","",$L176-$N176)</f>
        <v/>
      </c>
    </row>
    <row r="177">
      <c r="A177" s="15">
        <f>IF('ANAHTAR'!$B177="","",'ANAHTAR'!$B177)</f>
        <v/>
      </c>
      <c r="B177" s="15">
        <f>IF($A177="","",IFERROR(SUMIF(tblAnahtarA[Norm],$A177,tblVeriA[EnCm]),0))</f>
        <v/>
      </c>
      <c r="C177" s="15">
        <f>IF($A177="","",IFERROR(SUMIF(tblAnahtarA[Norm],$A177,tblVeriA[BoyCm]),0))</f>
        <v/>
      </c>
      <c r="D177" s="15">
        <f>IF($A177="","",IFERROR(SUMIF(tblAnahtarA[Norm],$A177,tblVeriA[YukseklikCm]),0))</f>
        <v/>
      </c>
      <c r="E177" s="15">
        <f>IF($A177="","",IFERROR(SUMIF(tblAnahtarA[Norm],$A177,tblVeriA[AgirlikKg]),0))</f>
        <v/>
      </c>
      <c r="F177" s="15">
        <f>IF($A177="","",IFERROR(SUMIF(tblAnahtarA[Norm],$A177,tblVeriA[DesiCarpani]),kdo_varsayilanDesiCarpani))</f>
        <v/>
      </c>
      <c r="G177" s="15">
        <f>IF($A177="","",ROUND($B177*$C177*$D177/MAX($F177,1),2))</f>
        <v/>
      </c>
      <c r="H177" s="15">
        <f>IF($A177="","",MAX($G177,$E177))</f>
        <v/>
      </c>
      <c r="I177" s="15">
        <f>IF($A177="","",IFERROR(SUMIF(tblAnahtarB[NormB],$A177,tblVeriB[TarifTlDesi]),0))</f>
        <v/>
      </c>
      <c r="J177" s="15">
        <f>IF($A177="","",IFERROR(SUMIF(tblAnahtarA[Norm],$A177,tblVeriA[Adet]),1))</f>
        <v/>
      </c>
      <c r="K177" s="15">
        <f>IF($A177="","",ROUND($H177*$I177,2))</f>
        <v/>
      </c>
      <c r="L177" s="15">
        <f>IF($A177="","",ROUND($K177*$J177*(1+$Q177*kdo_iadeEtkiCarpani),2))</f>
        <v/>
      </c>
      <c r="M177" s="15">
        <f>IF($A177="","",IFERROR(SUMIF(tblAnahtarB[NormB],$A177,tblVeriB[AlternatifTarif]),0))</f>
        <v/>
      </c>
      <c r="N177" s="15">
        <f>IF($A177="","",ROUND($H177*$M177*$J177*(1+$Q177*kdo_iadeEtkiCarpani),2))</f>
        <v/>
      </c>
      <c r="O177" s="15">
        <f>IF($A177="","",ROUND($L177-$N177,2))</f>
        <v/>
      </c>
      <c r="P177" s="15">
        <f>IF($A177="","",IF($R177&gt;kdo_esikDesiOran,"DESİ DÜŞÜR",IF($O177&gt;kdo_esikTasarruf,"TAŞIYICI DEĞİŞTİR","UYGUN")))</f>
        <v/>
      </c>
      <c r="Q177" s="15">
        <f>IF($A177="","",IFERROR(SUMIF(tblAnahtarB[NormB],$A177,tblVeriB[IadeOran]),0))</f>
        <v/>
      </c>
      <c r="R177" s="15">
        <f>IF(OR($A177="",$E177=0),0,$G177/$E177)</f>
        <v/>
      </c>
      <c r="S177" s="15">
        <f>IF($A177="","",$G177-$E177)</f>
        <v/>
      </c>
      <c r="T177" s="15">
        <f>IF($A177="","",$L177-$N177)</f>
        <v/>
      </c>
    </row>
    <row r="178">
      <c r="A178" s="15">
        <f>IF('ANAHTAR'!$B178="","",'ANAHTAR'!$B178)</f>
        <v/>
      </c>
      <c r="B178" s="15">
        <f>IF($A178="","",IFERROR(SUMIF(tblAnahtarA[Norm],$A178,tblVeriA[EnCm]),0))</f>
        <v/>
      </c>
      <c r="C178" s="15">
        <f>IF($A178="","",IFERROR(SUMIF(tblAnahtarA[Norm],$A178,tblVeriA[BoyCm]),0))</f>
        <v/>
      </c>
      <c r="D178" s="15">
        <f>IF($A178="","",IFERROR(SUMIF(tblAnahtarA[Norm],$A178,tblVeriA[YukseklikCm]),0))</f>
        <v/>
      </c>
      <c r="E178" s="15">
        <f>IF($A178="","",IFERROR(SUMIF(tblAnahtarA[Norm],$A178,tblVeriA[AgirlikKg]),0))</f>
        <v/>
      </c>
      <c r="F178" s="15">
        <f>IF($A178="","",IFERROR(SUMIF(tblAnahtarA[Norm],$A178,tblVeriA[DesiCarpani]),kdo_varsayilanDesiCarpani))</f>
        <v/>
      </c>
      <c r="G178" s="15">
        <f>IF($A178="","",ROUND($B178*$C178*$D178/MAX($F178,1),2))</f>
        <v/>
      </c>
      <c r="H178" s="15">
        <f>IF($A178="","",MAX($G178,$E178))</f>
        <v/>
      </c>
      <c r="I178" s="15">
        <f>IF($A178="","",IFERROR(SUMIF(tblAnahtarB[NormB],$A178,tblVeriB[TarifTlDesi]),0))</f>
        <v/>
      </c>
      <c r="J178" s="15">
        <f>IF($A178="","",IFERROR(SUMIF(tblAnahtarA[Norm],$A178,tblVeriA[Adet]),1))</f>
        <v/>
      </c>
      <c r="K178" s="15">
        <f>IF($A178="","",ROUND($H178*$I178,2))</f>
        <v/>
      </c>
      <c r="L178" s="15">
        <f>IF($A178="","",ROUND($K178*$J178*(1+$Q178*kdo_iadeEtkiCarpani),2))</f>
        <v/>
      </c>
      <c r="M178" s="15">
        <f>IF($A178="","",IFERROR(SUMIF(tblAnahtarB[NormB],$A178,tblVeriB[AlternatifTarif]),0))</f>
        <v/>
      </c>
      <c r="N178" s="15">
        <f>IF($A178="","",ROUND($H178*$M178*$J178*(1+$Q178*kdo_iadeEtkiCarpani),2))</f>
        <v/>
      </c>
      <c r="O178" s="15">
        <f>IF($A178="","",ROUND($L178-$N178,2))</f>
        <v/>
      </c>
      <c r="P178" s="15">
        <f>IF($A178="","",IF($R178&gt;kdo_esikDesiOran,"DESİ DÜŞÜR",IF($O178&gt;kdo_esikTasarruf,"TAŞIYICI DEĞİŞTİR","UYGUN")))</f>
        <v/>
      </c>
      <c r="Q178" s="15">
        <f>IF($A178="","",IFERROR(SUMIF(tblAnahtarB[NormB],$A178,tblVeriB[IadeOran]),0))</f>
        <v/>
      </c>
      <c r="R178" s="15">
        <f>IF(OR($A178="",$E178=0),0,$G178/$E178)</f>
        <v/>
      </c>
      <c r="S178" s="15">
        <f>IF($A178="","",$G178-$E178)</f>
        <v/>
      </c>
      <c r="T178" s="15">
        <f>IF($A178="","",$L178-$N178)</f>
        <v/>
      </c>
    </row>
    <row r="179">
      <c r="A179" s="15">
        <f>IF('ANAHTAR'!$B179="","",'ANAHTAR'!$B179)</f>
        <v/>
      </c>
      <c r="B179" s="15">
        <f>IF($A179="","",IFERROR(SUMIF(tblAnahtarA[Norm],$A179,tblVeriA[EnCm]),0))</f>
        <v/>
      </c>
      <c r="C179" s="15">
        <f>IF($A179="","",IFERROR(SUMIF(tblAnahtarA[Norm],$A179,tblVeriA[BoyCm]),0))</f>
        <v/>
      </c>
      <c r="D179" s="15">
        <f>IF($A179="","",IFERROR(SUMIF(tblAnahtarA[Norm],$A179,tblVeriA[YukseklikCm]),0))</f>
        <v/>
      </c>
      <c r="E179" s="15">
        <f>IF($A179="","",IFERROR(SUMIF(tblAnahtarA[Norm],$A179,tblVeriA[AgirlikKg]),0))</f>
        <v/>
      </c>
      <c r="F179" s="15">
        <f>IF($A179="","",IFERROR(SUMIF(tblAnahtarA[Norm],$A179,tblVeriA[DesiCarpani]),kdo_varsayilanDesiCarpani))</f>
        <v/>
      </c>
      <c r="G179" s="15">
        <f>IF($A179="","",ROUND($B179*$C179*$D179/MAX($F179,1),2))</f>
        <v/>
      </c>
      <c r="H179" s="15">
        <f>IF($A179="","",MAX($G179,$E179))</f>
        <v/>
      </c>
      <c r="I179" s="15">
        <f>IF($A179="","",IFERROR(SUMIF(tblAnahtarB[NormB],$A179,tblVeriB[TarifTlDesi]),0))</f>
        <v/>
      </c>
      <c r="J179" s="15">
        <f>IF($A179="","",IFERROR(SUMIF(tblAnahtarA[Norm],$A179,tblVeriA[Adet]),1))</f>
        <v/>
      </c>
      <c r="K179" s="15">
        <f>IF($A179="","",ROUND($H179*$I179,2))</f>
        <v/>
      </c>
      <c r="L179" s="15">
        <f>IF($A179="","",ROUND($K179*$J179*(1+$Q179*kdo_iadeEtkiCarpani),2))</f>
        <v/>
      </c>
      <c r="M179" s="15">
        <f>IF($A179="","",IFERROR(SUMIF(tblAnahtarB[NormB],$A179,tblVeriB[AlternatifTarif]),0))</f>
        <v/>
      </c>
      <c r="N179" s="15">
        <f>IF($A179="","",ROUND($H179*$M179*$J179*(1+$Q179*kdo_iadeEtkiCarpani),2))</f>
        <v/>
      </c>
      <c r="O179" s="15">
        <f>IF($A179="","",ROUND($L179-$N179,2))</f>
        <v/>
      </c>
      <c r="P179" s="15">
        <f>IF($A179="","",IF($R179&gt;kdo_esikDesiOran,"DESİ DÜŞÜR",IF($O179&gt;kdo_esikTasarruf,"TAŞIYICI DEĞİŞTİR","UYGUN")))</f>
        <v/>
      </c>
      <c r="Q179" s="15">
        <f>IF($A179="","",IFERROR(SUMIF(tblAnahtarB[NormB],$A179,tblVeriB[IadeOran]),0))</f>
        <v/>
      </c>
      <c r="R179" s="15">
        <f>IF(OR($A179="",$E179=0),0,$G179/$E179)</f>
        <v/>
      </c>
      <c r="S179" s="15">
        <f>IF($A179="","",$G179-$E179)</f>
        <v/>
      </c>
      <c r="T179" s="15">
        <f>IF($A179="","",$L179-$N179)</f>
        <v/>
      </c>
    </row>
    <row r="180">
      <c r="A180" s="15">
        <f>IF('ANAHTAR'!$B180="","",'ANAHTAR'!$B180)</f>
        <v/>
      </c>
      <c r="B180" s="15">
        <f>IF($A180="","",IFERROR(SUMIF(tblAnahtarA[Norm],$A180,tblVeriA[EnCm]),0))</f>
        <v/>
      </c>
      <c r="C180" s="15">
        <f>IF($A180="","",IFERROR(SUMIF(tblAnahtarA[Norm],$A180,tblVeriA[BoyCm]),0))</f>
        <v/>
      </c>
      <c r="D180" s="15">
        <f>IF($A180="","",IFERROR(SUMIF(tblAnahtarA[Norm],$A180,tblVeriA[YukseklikCm]),0))</f>
        <v/>
      </c>
      <c r="E180" s="15">
        <f>IF($A180="","",IFERROR(SUMIF(tblAnahtarA[Norm],$A180,tblVeriA[AgirlikKg]),0))</f>
        <v/>
      </c>
      <c r="F180" s="15">
        <f>IF($A180="","",IFERROR(SUMIF(tblAnahtarA[Norm],$A180,tblVeriA[DesiCarpani]),kdo_varsayilanDesiCarpani))</f>
        <v/>
      </c>
      <c r="G180" s="15">
        <f>IF($A180="","",ROUND($B180*$C180*$D180/MAX($F180,1),2))</f>
        <v/>
      </c>
      <c r="H180" s="15">
        <f>IF($A180="","",MAX($G180,$E180))</f>
        <v/>
      </c>
      <c r="I180" s="15">
        <f>IF($A180="","",IFERROR(SUMIF(tblAnahtarB[NormB],$A180,tblVeriB[TarifTlDesi]),0))</f>
        <v/>
      </c>
      <c r="J180" s="15">
        <f>IF($A180="","",IFERROR(SUMIF(tblAnahtarA[Norm],$A180,tblVeriA[Adet]),1))</f>
        <v/>
      </c>
      <c r="K180" s="15">
        <f>IF($A180="","",ROUND($H180*$I180,2))</f>
        <v/>
      </c>
      <c r="L180" s="15">
        <f>IF($A180="","",ROUND($K180*$J180*(1+$Q180*kdo_iadeEtkiCarpani),2))</f>
        <v/>
      </c>
      <c r="M180" s="15">
        <f>IF($A180="","",IFERROR(SUMIF(tblAnahtarB[NormB],$A180,tblVeriB[AlternatifTarif]),0))</f>
        <v/>
      </c>
      <c r="N180" s="15">
        <f>IF($A180="","",ROUND($H180*$M180*$J180*(1+$Q180*kdo_iadeEtkiCarpani),2))</f>
        <v/>
      </c>
      <c r="O180" s="15">
        <f>IF($A180="","",ROUND($L180-$N180,2))</f>
        <v/>
      </c>
      <c r="P180" s="15">
        <f>IF($A180="","",IF($R180&gt;kdo_esikDesiOran,"DESİ DÜŞÜR",IF($O180&gt;kdo_esikTasarruf,"TAŞIYICI DEĞİŞTİR","UYGUN")))</f>
        <v/>
      </c>
      <c r="Q180" s="15">
        <f>IF($A180="","",IFERROR(SUMIF(tblAnahtarB[NormB],$A180,tblVeriB[IadeOran]),0))</f>
        <v/>
      </c>
      <c r="R180" s="15">
        <f>IF(OR($A180="",$E180=0),0,$G180/$E180)</f>
        <v/>
      </c>
      <c r="S180" s="15">
        <f>IF($A180="","",$G180-$E180)</f>
        <v/>
      </c>
      <c r="T180" s="15">
        <f>IF($A180="","",$L180-$N180)</f>
        <v/>
      </c>
    </row>
    <row r="181">
      <c r="A181" s="15">
        <f>IF('ANAHTAR'!$B181="","",'ANAHTAR'!$B181)</f>
        <v/>
      </c>
      <c r="B181" s="15">
        <f>IF($A181="","",IFERROR(SUMIF(tblAnahtarA[Norm],$A181,tblVeriA[EnCm]),0))</f>
        <v/>
      </c>
      <c r="C181" s="15">
        <f>IF($A181="","",IFERROR(SUMIF(tblAnahtarA[Norm],$A181,tblVeriA[BoyCm]),0))</f>
        <v/>
      </c>
      <c r="D181" s="15">
        <f>IF($A181="","",IFERROR(SUMIF(tblAnahtarA[Norm],$A181,tblVeriA[YukseklikCm]),0))</f>
        <v/>
      </c>
      <c r="E181" s="15">
        <f>IF($A181="","",IFERROR(SUMIF(tblAnahtarA[Norm],$A181,tblVeriA[AgirlikKg]),0))</f>
        <v/>
      </c>
      <c r="F181" s="15">
        <f>IF($A181="","",IFERROR(SUMIF(tblAnahtarA[Norm],$A181,tblVeriA[DesiCarpani]),kdo_varsayilanDesiCarpani))</f>
        <v/>
      </c>
      <c r="G181" s="15">
        <f>IF($A181="","",ROUND($B181*$C181*$D181/MAX($F181,1),2))</f>
        <v/>
      </c>
      <c r="H181" s="15">
        <f>IF($A181="","",MAX($G181,$E181))</f>
        <v/>
      </c>
      <c r="I181" s="15">
        <f>IF($A181="","",IFERROR(SUMIF(tblAnahtarB[NormB],$A181,tblVeriB[TarifTlDesi]),0))</f>
        <v/>
      </c>
      <c r="J181" s="15">
        <f>IF($A181="","",IFERROR(SUMIF(tblAnahtarA[Norm],$A181,tblVeriA[Adet]),1))</f>
        <v/>
      </c>
      <c r="K181" s="15">
        <f>IF($A181="","",ROUND($H181*$I181,2))</f>
        <v/>
      </c>
      <c r="L181" s="15">
        <f>IF($A181="","",ROUND($K181*$J181*(1+$Q181*kdo_iadeEtkiCarpani),2))</f>
        <v/>
      </c>
      <c r="M181" s="15">
        <f>IF($A181="","",IFERROR(SUMIF(tblAnahtarB[NormB],$A181,tblVeriB[AlternatifTarif]),0))</f>
        <v/>
      </c>
      <c r="N181" s="15">
        <f>IF($A181="","",ROUND($H181*$M181*$J181*(1+$Q181*kdo_iadeEtkiCarpani),2))</f>
        <v/>
      </c>
      <c r="O181" s="15">
        <f>IF($A181="","",ROUND($L181-$N181,2))</f>
        <v/>
      </c>
      <c r="P181" s="15">
        <f>IF($A181="","",IF($R181&gt;kdo_esikDesiOran,"DESİ DÜŞÜR",IF($O181&gt;kdo_esikTasarruf,"TAŞIYICI DEĞİŞTİR","UYGUN")))</f>
        <v/>
      </c>
      <c r="Q181" s="15">
        <f>IF($A181="","",IFERROR(SUMIF(tblAnahtarB[NormB],$A181,tblVeriB[IadeOran]),0))</f>
        <v/>
      </c>
      <c r="R181" s="15">
        <f>IF(OR($A181="",$E181=0),0,$G181/$E181)</f>
        <v/>
      </c>
      <c r="S181" s="15">
        <f>IF($A181="","",$G181-$E181)</f>
        <v/>
      </c>
      <c r="T181" s="15">
        <f>IF($A181="","",$L181-$N181)</f>
        <v/>
      </c>
    </row>
    <row r="182">
      <c r="A182" s="15">
        <f>IF('ANAHTAR'!$B182="","",'ANAHTAR'!$B182)</f>
        <v/>
      </c>
      <c r="B182" s="15">
        <f>IF($A182="","",IFERROR(SUMIF(tblAnahtarA[Norm],$A182,tblVeriA[EnCm]),0))</f>
        <v/>
      </c>
      <c r="C182" s="15">
        <f>IF($A182="","",IFERROR(SUMIF(tblAnahtarA[Norm],$A182,tblVeriA[BoyCm]),0))</f>
        <v/>
      </c>
      <c r="D182" s="15">
        <f>IF($A182="","",IFERROR(SUMIF(tblAnahtarA[Norm],$A182,tblVeriA[YukseklikCm]),0))</f>
        <v/>
      </c>
      <c r="E182" s="15">
        <f>IF($A182="","",IFERROR(SUMIF(tblAnahtarA[Norm],$A182,tblVeriA[AgirlikKg]),0))</f>
        <v/>
      </c>
      <c r="F182" s="15">
        <f>IF($A182="","",IFERROR(SUMIF(tblAnahtarA[Norm],$A182,tblVeriA[DesiCarpani]),kdo_varsayilanDesiCarpani))</f>
        <v/>
      </c>
      <c r="G182" s="15">
        <f>IF($A182="","",ROUND($B182*$C182*$D182/MAX($F182,1),2))</f>
        <v/>
      </c>
      <c r="H182" s="15">
        <f>IF($A182="","",MAX($G182,$E182))</f>
        <v/>
      </c>
      <c r="I182" s="15">
        <f>IF($A182="","",IFERROR(SUMIF(tblAnahtarB[NormB],$A182,tblVeriB[TarifTlDesi]),0))</f>
        <v/>
      </c>
      <c r="J182" s="15">
        <f>IF($A182="","",IFERROR(SUMIF(tblAnahtarA[Norm],$A182,tblVeriA[Adet]),1))</f>
        <v/>
      </c>
      <c r="K182" s="15">
        <f>IF($A182="","",ROUND($H182*$I182,2))</f>
        <v/>
      </c>
      <c r="L182" s="15">
        <f>IF($A182="","",ROUND($K182*$J182*(1+$Q182*kdo_iadeEtkiCarpani),2))</f>
        <v/>
      </c>
      <c r="M182" s="15">
        <f>IF($A182="","",IFERROR(SUMIF(tblAnahtarB[NormB],$A182,tblVeriB[AlternatifTarif]),0))</f>
        <v/>
      </c>
      <c r="N182" s="15">
        <f>IF($A182="","",ROUND($H182*$M182*$J182*(1+$Q182*kdo_iadeEtkiCarpani),2))</f>
        <v/>
      </c>
      <c r="O182" s="15">
        <f>IF($A182="","",ROUND($L182-$N182,2))</f>
        <v/>
      </c>
      <c r="P182" s="15">
        <f>IF($A182="","",IF($R182&gt;kdo_esikDesiOran,"DESİ DÜŞÜR",IF($O182&gt;kdo_esikTasarruf,"TAŞIYICI DEĞİŞTİR","UYGUN")))</f>
        <v/>
      </c>
      <c r="Q182" s="15">
        <f>IF($A182="","",IFERROR(SUMIF(tblAnahtarB[NormB],$A182,tblVeriB[IadeOran]),0))</f>
        <v/>
      </c>
      <c r="R182" s="15">
        <f>IF(OR($A182="",$E182=0),0,$G182/$E182)</f>
        <v/>
      </c>
      <c r="S182" s="15">
        <f>IF($A182="","",$G182-$E182)</f>
        <v/>
      </c>
      <c r="T182" s="15">
        <f>IF($A182="","",$L182-$N182)</f>
        <v/>
      </c>
    </row>
    <row r="183">
      <c r="A183" s="15">
        <f>IF('ANAHTAR'!$B183="","",'ANAHTAR'!$B183)</f>
        <v/>
      </c>
      <c r="B183" s="15">
        <f>IF($A183="","",IFERROR(SUMIF(tblAnahtarA[Norm],$A183,tblVeriA[EnCm]),0))</f>
        <v/>
      </c>
      <c r="C183" s="15">
        <f>IF($A183="","",IFERROR(SUMIF(tblAnahtarA[Norm],$A183,tblVeriA[BoyCm]),0))</f>
        <v/>
      </c>
      <c r="D183" s="15">
        <f>IF($A183="","",IFERROR(SUMIF(tblAnahtarA[Norm],$A183,tblVeriA[YukseklikCm]),0))</f>
        <v/>
      </c>
      <c r="E183" s="15">
        <f>IF($A183="","",IFERROR(SUMIF(tblAnahtarA[Norm],$A183,tblVeriA[AgirlikKg]),0))</f>
        <v/>
      </c>
      <c r="F183" s="15">
        <f>IF($A183="","",IFERROR(SUMIF(tblAnahtarA[Norm],$A183,tblVeriA[DesiCarpani]),kdo_varsayilanDesiCarpani))</f>
        <v/>
      </c>
      <c r="G183" s="15">
        <f>IF($A183="","",ROUND($B183*$C183*$D183/MAX($F183,1),2))</f>
        <v/>
      </c>
      <c r="H183" s="15">
        <f>IF($A183="","",MAX($G183,$E183))</f>
        <v/>
      </c>
      <c r="I183" s="15">
        <f>IF($A183="","",IFERROR(SUMIF(tblAnahtarB[NormB],$A183,tblVeriB[TarifTlDesi]),0))</f>
        <v/>
      </c>
      <c r="J183" s="15">
        <f>IF($A183="","",IFERROR(SUMIF(tblAnahtarA[Norm],$A183,tblVeriA[Adet]),1))</f>
        <v/>
      </c>
      <c r="K183" s="15">
        <f>IF($A183="","",ROUND($H183*$I183,2))</f>
        <v/>
      </c>
      <c r="L183" s="15">
        <f>IF($A183="","",ROUND($K183*$J183*(1+$Q183*kdo_iadeEtkiCarpani),2))</f>
        <v/>
      </c>
      <c r="M183" s="15">
        <f>IF($A183="","",IFERROR(SUMIF(tblAnahtarB[NormB],$A183,tblVeriB[AlternatifTarif]),0))</f>
        <v/>
      </c>
      <c r="N183" s="15">
        <f>IF($A183="","",ROUND($H183*$M183*$J183*(1+$Q183*kdo_iadeEtkiCarpani),2))</f>
        <v/>
      </c>
      <c r="O183" s="15">
        <f>IF($A183="","",ROUND($L183-$N183,2))</f>
        <v/>
      </c>
      <c r="P183" s="15">
        <f>IF($A183="","",IF($R183&gt;kdo_esikDesiOran,"DESİ DÜŞÜR",IF($O183&gt;kdo_esikTasarruf,"TAŞIYICI DEĞİŞTİR","UYGUN")))</f>
        <v/>
      </c>
      <c r="Q183" s="15">
        <f>IF($A183="","",IFERROR(SUMIF(tblAnahtarB[NormB],$A183,tblVeriB[IadeOran]),0))</f>
        <v/>
      </c>
      <c r="R183" s="15">
        <f>IF(OR($A183="",$E183=0),0,$G183/$E183)</f>
        <v/>
      </c>
      <c r="S183" s="15">
        <f>IF($A183="","",$G183-$E183)</f>
        <v/>
      </c>
      <c r="T183" s="15">
        <f>IF($A183="","",$L183-$N183)</f>
        <v/>
      </c>
    </row>
    <row r="184">
      <c r="A184" s="15">
        <f>IF('ANAHTAR'!$B184="","",'ANAHTAR'!$B184)</f>
        <v/>
      </c>
      <c r="B184" s="15">
        <f>IF($A184="","",IFERROR(SUMIF(tblAnahtarA[Norm],$A184,tblVeriA[EnCm]),0))</f>
        <v/>
      </c>
      <c r="C184" s="15">
        <f>IF($A184="","",IFERROR(SUMIF(tblAnahtarA[Norm],$A184,tblVeriA[BoyCm]),0))</f>
        <v/>
      </c>
      <c r="D184" s="15">
        <f>IF($A184="","",IFERROR(SUMIF(tblAnahtarA[Norm],$A184,tblVeriA[YukseklikCm]),0))</f>
        <v/>
      </c>
      <c r="E184" s="15">
        <f>IF($A184="","",IFERROR(SUMIF(tblAnahtarA[Norm],$A184,tblVeriA[AgirlikKg]),0))</f>
        <v/>
      </c>
      <c r="F184" s="15">
        <f>IF($A184="","",IFERROR(SUMIF(tblAnahtarA[Norm],$A184,tblVeriA[DesiCarpani]),kdo_varsayilanDesiCarpani))</f>
        <v/>
      </c>
      <c r="G184" s="15">
        <f>IF($A184="","",ROUND($B184*$C184*$D184/MAX($F184,1),2))</f>
        <v/>
      </c>
      <c r="H184" s="15">
        <f>IF($A184="","",MAX($G184,$E184))</f>
        <v/>
      </c>
      <c r="I184" s="15">
        <f>IF($A184="","",IFERROR(SUMIF(tblAnahtarB[NormB],$A184,tblVeriB[TarifTlDesi]),0))</f>
        <v/>
      </c>
      <c r="J184" s="15">
        <f>IF($A184="","",IFERROR(SUMIF(tblAnahtarA[Norm],$A184,tblVeriA[Adet]),1))</f>
        <v/>
      </c>
      <c r="K184" s="15">
        <f>IF($A184="","",ROUND($H184*$I184,2))</f>
        <v/>
      </c>
      <c r="L184" s="15">
        <f>IF($A184="","",ROUND($K184*$J184*(1+$Q184*kdo_iadeEtkiCarpani),2))</f>
        <v/>
      </c>
      <c r="M184" s="15">
        <f>IF($A184="","",IFERROR(SUMIF(tblAnahtarB[NormB],$A184,tblVeriB[AlternatifTarif]),0))</f>
        <v/>
      </c>
      <c r="N184" s="15">
        <f>IF($A184="","",ROUND($H184*$M184*$J184*(1+$Q184*kdo_iadeEtkiCarpani),2))</f>
        <v/>
      </c>
      <c r="O184" s="15">
        <f>IF($A184="","",ROUND($L184-$N184,2))</f>
        <v/>
      </c>
      <c r="P184" s="15">
        <f>IF($A184="","",IF($R184&gt;kdo_esikDesiOran,"DESİ DÜŞÜR",IF($O184&gt;kdo_esikTasarruf,"TAŞIYICI DEĞİŞTİR","UYGUN")))</f>
        <v/>
      </c>
      <c r="Q184" s="15">
        <f>IF($A184="","",IFERROR(SUMIF(tblAnahtarB[NormB],$A184,tblVeriB[IadeOran]),0))</f>
        <v/>
      </c>
      <c r="R184" s="15">
        <f>IF(OR($A184="",$E184=0),0,$G184/$E184)</f>
        <v/>
      </c>
      <c r="S184" s="15">
        <f>IF($A184="","",$G184-$E184)</f>
        <v/>
      </c>
      <c r="T184" s="15">
        <f>IF($A184="","",$L184-$N184)</f>
        <v/>
      </c>
    </row>
    <row r="185">
      <c r="A185" s="15">
        <f>IF('ANAHTAR'!$B185="","",'ANAHTAR'!$B185)</f>
        <v/>
      </c>
      <c r="B185" s="15">
        <f>IF($A185="","",IFERROR(SUMIF(tblAnahtarA[Norm],$A185,tblVeriA[EnCm]),0))</f>
        <v/>
      </c>
      <c r="C185" s="15">
        <f>IF($A185="","",IFERROR(SUMIF(tblAnahtarA[Norm],$A185,tblVeriA[BoyCm]),0))</f>
        <v/>
      </c>
      <c r="D185" s="15">
        <f>IF($A185="","",IFERROR(SUMIF(tblAnahtarA[Norm],$A185,tblVeriA[YukseklikCm]),0))</f>
        <v/>
      </c>
      <c r="E185" s="15">
        <f>IF($A185="","",IFERROR(SUMIF(tblAnahtarA[Norm],$A185,tblVeriA[AgirlikKg]),0))</f>
        <v/>
      </c>
      <c r="F185" s="15">
        <f>IF($A185="","",IFERROR(SUMIF(tblAnahtarA[Norm],$A185,tblVeriA[DesiCarpani]),kdo_varsayilanDesiCarpani))</f>
        <v/>
      </c>
      <c r="G185" s="15">
        <f>IF($A185="","",ROUND($B185*$C185*$D185/MAX($F185,1),2))</f>
        <v/>
      </c>
      <c r="H185" s="15">
        <f>IF($A185="","",MAX($G185,$E185))</f>
        <v/>
      </c>
      <c r="I185" s="15">
        <f>IF($A185="","",IFERROR(SUMIF(tblAnahtarB[NormB],$A185,tblVeriB[TarifTlDesi]),0))</f>
        <v/>
      </c>
      <c r="J185" s="15">
        <f>IF($A185="","",IFERROR(SUMIF(tblAnahtarA[Norm],$A185,tblVeriA[Adet]),1))</f>
        <v/>
      </c>
      <c r="K185" s="15">
        <f>IF($A185="","",ROUND($H185*$I185,2))</f>
        <v/>
      </c>
      <c r="L185" s="15">
        <f>IF($A185="","",ROUND($K185*$J185*(1+$Q185*kdo_iadeEtkiCarpani),2))</f>
        <v/>
      </c>
      <c r="M185" s="15">
        <f>IF($A185="","",IFERROR(SUMIF(tblAnahtarB[NormB],$A185,tblVeriB[AlternatifTarif]),0))</f>
        <v/>
      </c>
      <c r="N185" s="15">
        <f>IF($A185="","",ROUND($H185*$M185*$J185*(1+$Q185*kdo_iadeEtkiCarpani),2))</f>
        <v/>
      </c>
      <c r="O185" s="15">
        <f>IF($A185="","",ROUND($L185-$N185,2))</f>
        <v/>
      </c>
      <c r="P185" s="15">
        <f>IF($A185="","",IF($R185&gt;kdo_esikDesiOran,"DESİ DÜŞÜR",IF($O185&gt;kdo_esikTasarruf,"TAŞIYICI DEĞİŞTİR","UYGUN")))</f>
        <v/>
      </c>
      <c r="Q185" s="15">
        <f>IF($A185="","",IFERROR(SUMIF(tblAnahtarB[NormB],$A185,tblVeriB[IadeOran]),0))</f>
        <v/>
      </c>
      <c r="R185" s="15">
        <f>IF(OR($A185="",$E185=0),0,$G185/$E185)</f>
        <v/>
      </c>
      <c r="S185" s="15">
        <f>IF($A185="","",$G185-$E185)</f>
        <v/>
      </c>
      <c r="T185" s="15">
        <f>IF($A185="","",$L185-$N185)</f>
        <v/>
      </c>
    </row>
    <row r="186">
      <c r="A186" s="15">
        <f>IF('ANAHTAR'!$B186="","",'ANAHTAR'!$B186)</f>
        <v/>
      </c>
      <c r="B186" s="15">
        <f>IF($A186="","",IFERROR(SUMIF(tblAnahtarA[Norm],$A186,tblVeriA[EnCm]),0))</f>
        <v/>
      </c>
      <c r="C186" s="15">
        <f>IF($A186="","",IFERROR(SUMIF(tblAnahtarA[Norm],$A186,tblVeriA[BoyCm]),0))</f>
        <v/>
      </c>
      <c r="D186" s="15">
        <f>IF($A186="","",IFERROR(SUMIF(tblAnahtarA[Norm],$A186,tblVeriA[YukseklikCm]),0))</f>
        <v/>
      </c>
      <c r="E186" s="15">
        <f>IF($A186="","",IFERROR(SUMIF(tblAnahtarA[Norm],$A186,tblVeriA[AgirlikKg]),0))</f>
        <v/>
      </c>
      <c r="F186" s="15">
        <f>IF($A186="","",IFERROR(SUMIF(tblAnahtarA[Norm],$A186,tblVeriA[DesiCarpani]),kdo_varsayilanDesiCarpani))</f>
        <v/>
      </c>
      <c r="G186" s="15">
        <f>IF($A186="","",ROUND($B186*$C186*$D186/MAX($F186,1),2))</f>
        <v/>
      </c>
      <c r="H186" s="15">
        <f>IF($A186="","",MAX($G186,$E186))</f>
        <v/>
      </c>
      <c r="I186" s="15">
        <f>IF($A186="","",IFERROR(SUMIF(tblAnahtarB[NormB],$A186,tblVeriB[TarifTlDesi]),0))</f>
        <v/>
      </c>
      <c r="J186" s="15">
        <f>IF($A186="","",IFERROR(SUMIF(tblAnahtarA[Norm],$A186,tblVeriA[Adet]),1))</f>
        <v/>
      </c>
      <c r="K186" s="15">
        <f>IF($A186="","",ROUND($H186*$I186,2))</f>
        <v/>
      </c>
      <c r="L186" s="15">
        <f>IF($A186="","",ROUND($K186*$J186*(1+$Q186*kdo_iadeEtkiCarpani),2))</f>
        <v/>
      </c>
      <c r="M186" s="15">
        <f>IF($A186="","",IFERROR(SUMIF(tblAnahtarB[NormB],$A186,tblVeriB[AlternatifTarif]),0))</f>
        <v/>
      </c>
      <c r="N186" s="15">
        <f>IF($A186="","",ROUND($H186*$M186*$J186*(1+$Q186*kdo_iadeEtkiCarpani),2))</f>
        <v/>
      </c>
      <c r="O186" s="15">
        <f>IF($A186="","",ROUND($L186-$N186,2))</f>
        <v/>
      </c>
      <c r="P186" s="15">
        <f>IF($A186="","",IF($R186&gt;kdo_esikDesiOran,"DESİ DÜŞÜR",IF($O186&gt;kdo_esikTasarruf,"TAŞIYICI DEĞİŞTİR","UYGUN")))</f>
        <v/>
      </c>
      <c r="Q186" s="15">
        <f>IF($A186="","",IFERROR(SUMIF(tblAnahtarB[NormB],$A186,tblVeriB[IadeOran]),0))</f>
        <v/>
      </c>
      <c r="R186" s="15">
        <f>IF(OR($A186="",$E186=0),0,$G186/$E186)</f>
        <v/>
      </c>
      <c r="S186" s="15">
        <f>IF($A186="","",$G186-$E186)</f>
        <v/>
      </c>
      <c r="T186" s="15">
        <f>IF($A186="","",$L186-$N186)</f>
        <v/>
      </c>
    </row>
    <row r="187">
      <c r="A187" s="15">
        <f>IF('ANAHTAR'!$B187="","",'ANAHTAR'!$B187)</f>
        <v/>
      </c>
      <c r="B187" s="15">
        <f>IF($A187="","",IFERROR(SUMIF(tblAnahtarA[Norm],$A187,tblVeriA[EnCm]),0))</f>
        <v/>
      </c>
      <c r="C187" s="15">
        <f>IF($A187="","",IFERROR(SUMIF(tblAnahtarA[Norm],$A187,tblVeriA[BoyCm]),0))</f>
        <v/>
      </c>
      <c r="D187" s="15">
        <f>IF($A187="","",IFERROR(SUMIF(tblAnahtarA[Norm],$A187,tblVeriA[YukseklikCm]),0))</f>
        <v/>
      </c>
      <c r="E187" s="15">
        <f>IF($A187="","",IFERROR(SUMIF(tblAnahtarA[Norm],$A187,tblVeriA[AgirlikKg]),0))</f>
        <v/>
      </c>
      <c r="F187" s="15">
        <f>IF($A187="","",IFERROR(SUMIF(tblAnahtarA[Norm],$A187,tblVeriA[DesiCarpani]),kdo_varsayilanDesiCarpani))</f>
        <v/>
      </c>
      <c r="G187" s="15">
        <f>IF($A187="","",ROUND($B187*$C187*$D187/MAX($F187,1),2))</f>
        <v/>
      </c>
      <c r="H187" s="15">
        <f>IF($A187="","",MAX($G187,$E187))</f>
        <v/>
      </c>
      <c r="I187" s="15">
        <f>IF($A187="","",IFERROR(SUMIF(tblAnahtarB[NormB],$A187,tblVeriB[TarifTlDesi]),0))</f>
        <v/>
      </c>
      <c r="J187" s="15">
        <f>IF($A187="","",IFERROR(SUMIF(tblAnahtarA[Norm],$A187,tblVeriA[Adet]),1))</f>
        <v/>
      </c>
      <c r="K187" s="15">
        <f>IF($A187="","",ROUND($H187*$I187,2))</f>
        <v/>
      </c>
      <c r="L187" s="15">
        <f>IF($A187="","",ROUND($K187*$J187*(1+$Q187*kdo_iadeEtkiCarpani),2))</f>
        <v/>
      </c>
      <c r="M187" s="15">
        <f>IF($A187="","",IFERROR(SUMIF(tblAnahtarB[NormB],$A187,tblVeriB[AlternatifTarif]),0))</f>
        <v/>
      </c>
      <c r="N187" s="15">
        <f>IF($A187="","",ROUND($H187*$M187*$J187*(1+$Q187*kdo_iadeEtkiCarpani),2))</f>
        <v/>
      </c>
      <c r="O187" s="15">
        <f>IF($A187="","",ROUND($L187-$N187,2))</f>
        <v/>
      </c>
      <c r="P187" s="15">
        <f>IF($A187="","",IF($R187&gt;kdo_esikDesiOran,"DESİ DÜŞÜR",IF($O187&gt;kdo_esikTasarruf,"TAŞIYICI DEĞİŞTİR","UYGUN")))</f>
        <v/>
      </c>
      <c r="Q187" s="15">
        <f>IF($A187="","",IFERROR(SUMIF(tblAnahtarB[NormB],$A187,tblVeriB[IadeOran]),0))</f>
        <v/>
      </c>
      <c r="R187" s="15">
        <f>IF(OR($A187="",$E187=0),0,$G187/$E187)</f>
        <v/>
      </c>
      <c r="S187" s="15">
        <f>IF($A187="","",$G187-$E187)</f>
        <v/>
      </c>
      <c r="T187" s="15">
        <f>IF($A187="","",$L187-$N187)</f>
        <v/>
      </c>
    </row>
    <row r="188">
      <c r="A188" s="15">
        <f>IF('ANAHTAR'!$B188="","",'ANAHTAR'!$B188)</f>
        <v/>
      </c>
      <c r="B188" s="15">
        <f>IF($A188="","",IFERROR(SUMIF(tblAnahtarA[Norm],$A188,tblVeriA[EnCm]),0))</f>
        <v/>
      </c>
      <c r="C188" s="15">
        <f>IF($A188="","",IFERROR(SUMIF(tblAnahtarA[Norm],$A188,tblVeriA[BoyCm]),0))</f>
        <v/>
      </c>
      <c r="D188" s="15">
        <f>IF($A188="","",IFERROR(SUMIF(tblAnahtarA[Norm],$A188,tblVeriA[YukseklikCm]),0))</f>
        <v/>
      </c>
      <c r="E188" s="15">
        <f>IF($A188="","",IFERROR(SUMIF(tblAnahtarA[Norm],$A188,tblVeriA[AgirlikKg]),0))</f>
        <v/>
      </c>
      <c r="F188" s="15">
        <f>IF($A188="","",IFERROR(SUMIF(tblAnahtarA[Norm],$A188,tblVeriA[DesiCarpani]),kdo_varsayilanDesiCarpani))</f>
        <v/>
      </c>
      <c r="G188" s="15">
        <f>IF($A188="","",ROUND($B188*$C188*$D188/MAX($F188,1),2))</f>
        <v/>
      </c>
      <c r="H188" s="15">
        <f>IF($A188="","",MAX($G188,$E188))</f>
        <v/>
      </c>
      <c r="I188" s="15">
        <f>IF($A188="","",IFERROR(SUMIF(tblAnahtarB[NormB],$A188,tblVeriB[TarifTlDesi]),0))</f>
        <v/>
      </c>
      <c r="J188" s="15">
        <f>IF($A188="","",IFERROR(SUMIF(tblAnahtarA[Norm],$A188,tblVeriA[Adet]),1))</f>
        <v/>
      </c>
      <c r="K188" s="15">
        <f>IF($A188="","",ROUND($H188*$I188,2))</f>
        <v/>
      </c>
      <c r="L188" s="15">
        <f>IF($A188="","",ROUND($K188*$J188*(1+$Q188*kdo_iadeEtkiCarpani),2))</f>
        <v/>
      </c>
      <c r="M188" s="15">
        <f>IF($A188="","",IFERROR(SUMIF(tblAnahtarB[NormB],$A188,tblVeriB[AlternatifTarif]),0))</f>
        <v/>
      </c>
      <c r="N188" s="15">
        <f>IF($A188="","",ROUND($H188*$M188*$J188*(1+$Q188*kdo_iadeEtkiCarpani),2))</f>
        <v/>
      </c>
      <c r="O188" s="15">
        <f>IF($A188="","",ROUND($L188-$N188,2))</f>
        <v/>
      </c>
      <c r="P188" s="15">
        <f>IF($A188="","",IF($R188&gt;kdo_esikDesiOran,"DESİ DÜŞÜR",IF($O188&gt;kdo_esikTasarruf,"TAŞIYICI DEĞİŞTİR","UYGUN")))</f>
        <v/>
      </c>
      <c r="Q188" s="15">
        <f>IF($A188="","",IFERROR(SUMIF(tblAnahtarB[NormB],$A188,tblVeriB[IadeOran]),0))</f>
        <v/>
      </c>
      <c r="R188" s="15">
        <f>IF(OR($A188="",$E188=0),0,$G188/$E188)</f>
        <v/>
      </c>
      <c r="S188" s="15">
        <f>IF($A188="","",$G188-$E188)</f>
        <v/>
      </c>
      <c r="T188" s="15">
        <f>IF($A188="","",$L188-$N188)</f>
        <v/>
      </c>
    </row>
    <row r="189">
      <c r="A189" s="15">
        <f>IF('ANAHTAR'!$B189="","",'ANAHTAR'!$B189)</f>
        <v/>
      </c>
      <c r="B189" s="15">
        <f>IF($A189="","",IFERROR(SUMIF(tblAnahtarA[Norm],$A189,tblVeriA[EnCm]),0))</f>
        <v/>
      </c>
      <c r="C189" s="15">
        <f>IF($A189="","",IFERROR(SUMIF(tblAnahtarA[Norm],$A189,tblVeriA[BoyCm]),0))</f>
        <v/>
      </c>
      <c r="D189" s="15">
        <f>IF($A189="","",IFERROR(SUMIF(tblAnahtarA[Norm],$A189,tblVeriA[YukseklikCm]),0))</f>
        <v/>
      </c>
      <c r="E189" s="15">
        <f>IF($A189="","",IFERROR(SUMIF(tblAnahtarA[Norm],$A189,tblVeriA[AgirlikKg]),0))</f>
        <v/>
      </c>
      <c r="F189" s="15">
        <f>IF($A189="","",IFERROR(SUMIF(tblAnahtarA[Norm],$A189,tblVeriA[DesiCarpani]),kdo_varsayilanDesiCarpani))</f>
        <v/>
      </c>
      <c r="G189" s="15">
        <f>IF($A189="","",ROUND($B189*$C189*$D189/MAX($F189,1),2))</f>
        <v/>
      </c>
      <c r="H189" s="15">
        <f>IF($A189="","",MAX($G189,$E189))</f>
        <v/>
      </c>
      <c r="I189" s="15">
        <f>IF($A189="","",IFERROR(SUMIF(tblAnahtarB[NormB],$A189,tblVeriB[TarifTlDesi]),0))</f>
        <v/>
      </c>
      <c r="J189" s="15">
        <f>IF($A189="","",IFERROR(SUMIF(tblAnahtarA[Norm],$A189,tblVeriA[Adet]),1))</f>
        <v/>
      </c>
      <c r="K189" s="15">
        <f>IF($A189="","",ROUND($H189*$I189,2))</f>
        <v/>
      </c>
      <c r="L189" s="15">
        <f>IF($A189="","",ROUND($K189*$J189*(1+$Q189*kdo_iadeEtkiCarpani),2))</f>
        <v/>
      </c>
      <c r="M189" s="15">
        <f>IF($A189="","",IFERROR(SUMIF(tblAnahtarB[NormB],$A189,tblVeriB[AlternatifTarif]),0))</f>
        <v/>
      </c>
      <c r="N189" s="15">
        <f>IF($A189="","",ROUND($H189*$M189*$J189*(1+$Q189*kdo_iadeEtkiCarpani),2))</f>
        <v/>
      </c>
      <c r="O189" s="15">
        <f>IF($A189="","",ROUND($L189-$N189,2))</f>
        <v/>
      </c>
      <c r="P189" s="15">
        <f>IF($A189="","",IF($R189&gt;kdo_esikDesiOran,"DESİ DÜŞÜR",IF($O189&gt;kdo_esikTasarruf,"TAŞIYICI DEĞİŞTİR","UYGUN")))</f>
        <v/>
      </c>
      <c r="Q189" s="15">
        <f>IF($A189="","",IFERROR(SUMIF(tblAnahtarB[NormB],$A189,tblVeriB[IadeOran]),0))</f>
        <v/>
      </c>
      <c r="R189" s="15">
        <f>IF(OR($A189="",$E189=0),0,$G189/$E189)</f>
        <v/>
      </c>
      <c r="S189" s="15">
        <f>IF($A189="","",$G189-$E189)</f>
        <v/>
      </c>
      <c r="T189" s="15">
        <f>IF($A189="","",$L189-$N189)</f>
        <v/>
      </c>
    </row>
    <row r="190">
      <c r="A190" s="15">
        <f>IF('ANAHTAR'!$B190="","",'ANAHTAR'!$B190)</f>
        <v/>
      </c>
      <c r="B190" s="15">
        <f>IF($A190="","",IFERROR(SUMIF(tblAnahtarA[Norm],$A190,tblVeriA[EnCm]),0))</f>
        <v/>
      </c>
      <c r="C190" s="15">
        <f>IF($A190="","",IFERROR(SUMIF(tblAnahtarA[Norm],$A190,tblVeriA[BoyCm]),0))</f>
        <v/>
      </c>
      <c r="D190" s="15">
        <f>IF($A190="","",IFERROR(SUMIF(tblAnahtarA[Norm],$A190,tblVeriA[YukseklikCm]),0))</f>
        <v/>
      </c>
      <c r="E190" s="15">
        <f>IF($A190="","",IFERROR(SUMIF(tblAnahtarA[Norm],$A190,tblVeriA[AgirlikKg]),0))</f>
        <v/>
      </c>
      <c r="F190" s="15">
        <f>IF($A190="","",IFERROR(SUMIF(tblAnahtarA[Norm],$A190,tblVeriA[DesiCarpani]),kdo_varsayilanDesiCarpani))</f>
        <v/>
      </c>
      <c r="G190" s="15">
        <f>IF($A190="","",ROUND($B190*$C190*$D190/MAX($F190,1),2))</f>
        <v/>
      </c>
      <c r="H190" s="15">
        <f>IF($A190="","",MAX($G190,$E190))</f>
        <v/>
      </c>
      <c r="I190" s="15">
        <f>IF($A190="","",IFERROR(SUMIF(tblAnahtarB[NormB],$A190,tblVeriB[TarifTlDesi]),0))</f>
        <v/>
      </c>
      <c r="J190" s="15">
        <f>IF($A190="","",IFERROR(SUMIF(tblAnahtarA[Norm],$A190,tblVeriA[Adet]),1))</f>
        <v/>
      </c>
      <c r="K190" s="15">
        <f>IF($A190="","",ROUND($H190*$I190,2))</f>
        <v/>
      </c>
      <c r="L190" s="15">
        <f>IF($A190="","",ROUND($K190*$J190*(1+$Q190*kdo_iadeEtkiCarpani),2))</f>
        <v/>
      </c>
      <c r="M190" s="15">
        <f>IF($A190="","",IFERROR(SUMIF(tblAnahtarB[NormB],$A190,tblVeriB[AlternatifTarif]),0))</f>
        <v/>
      </c>
      <c r="N190" s="15">
        <f>IF($A190="","",ROUND($H190*$M190*$J190*(1+$Q190*kdo_iadeEtkiCarpani),2))</f>
        <v/>
      </c>
      <c r="O190" s="15">
        <f>IF($A190="","",ROUND($L190-$N190,2))</f>
        <v/>
      </c>
      <c r="P190" s="15">
        <f>IF($A190="","",IF($R190&gt;kdo_esikDesiOran,"DESİ DÜŞÜR",IF($O190&gt;kdo_esikTasarruf,"TAŞIYICI DEĞİŞTİR","UYGUN")))</f>
        <v/>
      </c>
      <c r="Q190" s="15">
        <f>IF($A190="","",IFERROR(SUMIF(tblAnahtarB[NormB],$A190,tblVeriB[IadeOran]),0))</f>
        <v/>
      </c>
      <c r="R190" s="15">
        <f>IF(OR($A190="",$E190=0),0,$G190/$E190)</f>
        <v/>
      </c>
      <c r="S190" s="15">
        <f>IF($A190="","",$G190-$E190)</f>
        <v/>
      </c>
      <c r="T190" s="15">
        <f>IF($A190="","",$L190-$N190)</f>
        <v/>
      </c>
    </row>
    <row r="191">
      <c r="A191" s="15">
        <f>IF('ANAHTAR'!$B191="","",'ANAHTAR'!$B191)</f>
        <v/>
      </c>
      <c r="B191" s="15">
        <f>IF($A191="","",IFERROR(SUMIF(tblAnahtarA[Norm],$A191,tblVeriA[EnCm]),0))</f>
        <v/>
      </c>
      <c r="C191" s="15">
        <f>IF($A191="","",IFERROR(SUMIF(tblAnahtarA[Norm],$A191,tblVeriA[BoyCm]),0))</f>
        <v/>
      </c>
      <c r="D191" s="15">
        <f>IF($A191="","",IFERROR(SUMIF(tblAnahtarA[Norm],$A191,tblVeriA[YukseklikCm]),0))</f>
        <v/>
      </c>
      <c r="E191" s="15">
        <f>IF($A191="","",IFERROR(SUMIF(tblAnahtarA[Norm],$A191,tblVeriA[AgirlikKg]),0))</f>
        <v/>
      </c>
      <c r="F191" s="15">
        <f>IF($A191="","",IFERROR(SUMIF(tblAnahtarA[Norm],$A191,tblVeriA[DesiCarpani]),kdo_varsayilanDesiCarpani))</f>
        <v/>
      </c>
      <c r="G191" s="15">
        <f>IF($A191="","",ROUND($B191*$C191*$D191/MAX($F191,1),2))</f>
        <v/>
      </c>
      <c r="H191" s="15">
        <f>IF($A191="","",MAX($G191,$E191))</f>
        <v/>
      </c>
      <c r="I191" s="15">
        <f>IF($A191="","",IFERROR(SUMIF(tblAnahtarB[NormB],$A191,tblVeriB[TarifTlDesi]),0))</f>
        <v/>
      </c>
      <c r="J191" s="15">
        <f>IF($A191="","",IFERROR(SUMIF(tblAnahtarA[Norm],$A191,tblVeriA[Adet]),1))</f>
        <v/>
      </c>
      <c r="K191" s="15">
        <f>IF($A191="","",ROUND($H191*$I191,2))</f>
        <v/>
      </c>
      <c r="L191" s="15">
        <f>IF($A191="","",ROUND($K191*$J191*(1+$Q191*kdo_iadeEtkiCarpani),2))</f>
        <v/>
      </c>
      <c r="M191" s="15">
        <f>IF($A191="","",IFERROR(SUMIF(tblAnahtarB[NormB],$A191,tblVeriB[AlternatifTarif]),0))</f>
        <v/>
      </c>
      <c r="N191" s="15">
        <f>IF($A191="","",ROUND($H191*$M191*$J191*(1+$Q191*kdo_iadeEtkiCarpani),2))</f>
        <v/>
      </c>
      <c r="O191" s="15">
        <f>IF($A191="","",ROUND($L191-$N191,2))</f>
        <v/>
      </c>
      <c r="P191" s="15">
        <f>IF($A191="","",IF($R191&gt;kdo_esikDesiOran,"DESİ DÜŞÜR",IF($O191&gt;kdo_esikTasarruf,"TAŞIYICI DEĞİŞTİR","UYGUN")))</f>
        <v/>
      </c>
      <c r="Q191" s="15">
        <f>IF($A191="","",IFERROR(SUMIF(tblAnahtarB[NormB],$A191,tblVeriB[IadeOran]),0))</f>
        <v/>
      </c>
      <c r="R191" s="15">
        <f>IF(OR($A191="",$E191=0),0,$G191/$E191)</f>
        <v/>
      </c>
      <c r="S191" s="15">
        <f>IF($A191="","",$G191-$E191)</f>
        <v/>
      </c>
      <c r="T191" s="15">
        <f>IF($A191="","",$L191-$N191)</f>
        <v/>
      </c>
    </row>
    <row r="192">
      <c r="A192" s="15">
        <f>IF('ANAHTAR'!$B192="","",'ANAHTAR'!$B192)</f>
        <v/>
      </c>
      <c r="B192" s="15">
        <f>IF($A192="","",IFERROR(SUMIF(tblAnahtarA[Norm],$A192,tblVeriA[EnCm]),0))</f>
        <v/>
      </c>
      <c r="C192" s="15">
        <f>IF($A192="","",IFERROR(SUMIF(tblAnahtarA[Norm],$A192,tblVeriA[BoyCm]),0))</f>
        <v/>
      </c>
      <c r="D192" s="15">
        <f>IF($A192="","",IFERROR(SUMIF(tblAnahtarA[Norm],$A192,tblVeriA[YukseklikCm]),0))</f>
        <v/>
      </c>
      <c r="E192" s="15">
        <f>IF($A192="","",IFERROR(SUMIF(tblAnahtarA[Norm],$A192,tblVeriA[AgirlikKg]),0))</f>
        <v/>
      </c>
      <c r="F192" s="15">
        <f>IF($A192="","",IFERROR(SUMIF(tblAnahtarA[Norm],$A192,tblVeriA[DesiCarpani]),kdo_varsayilanDesiCarpani))</f>
        <v/>
      </c>
      <c r="G192" s="15">
        <f>IF($A192="","",ROUND($B192*$C192*$D192/MAX($F192,1),2))</f>
        <v/>
      </c>
      <c r="H192" s="15">
        <f>IF($A192="","",MAX($G192,$E192))</f>
        <v/>
      </c>
      <c r="I192" s="15">
        <f>IF($A192="","",IFERROR(SUMIF(tblAnahtarB[NormB],$A192,tblVeriB[TarifTlDesi]),0))</f>
        <v/>
      </c>
      <c r="J192" s="15">
        <f>IF($A192="","",IFERROR(SUMIF(tblAnahtarA[Norm],$A192,tblVeriA[Adet]),1))</f>
        <v/>
      </c>
      <c r="K192" s="15">
        <f>IF($A192="","",ROUND($H192*$I192,2))</f>
        <v/>
      </c>
      <c r="L192" s="15">
        <f>IF($A192="","",ROUND($K192*$J192*(1+$Q192*kdo_iadeEtkiCarpani),2))</f>
        <v/>
      </c>
      <c r="M192" s="15">
        <f>IF($A192="","",IFERROR(SUMIF(tblAnahtarB[NormB],$A192,tblVeriB[AlternatifTarif]),0))</f>
        <v/>
      </c>
      <c r="N192" s="15">
        <f>IF($A192="","",ROUND($H192*$M192*$J192*(1+$Q192*kdo_iadeEtkiCarpani),2))</f>
        <v/>
      </c>
      <c r="O192" s="15">
        <f>IF($A192="","",ROUND($L192-$N192,2))</f>
        <v/>
      </c>
      <c r="P192" s="15">
        <f>IF($A192="","",IF($R192&gt;kdo_esikDesiOran,"DESİ DÜŞÜR",IF($O192&gt;kdo_esikTasarruf,"TAŞIYICI DEĞİŞTİR","UYGUN")))</f>
        <v/>
      </c>
      <c r="Q192" s="15">
        <f>IF($A192="","",IFERROR(SUMIF(tblAnahtarB[NormB],$A192,tblVeriB[IadeOran]),0))</f>
        <v/>
      </c>
      <c r="R192" s="15">
        <f>IF(OR($A192="",$E192=0),0,$G192/$E192)</f>
        <v/>
      </c>
      <c r="S192" s="15">
        <f>IF($A192="","",$G192-$E192)</f>
        <v/>
      </c>
      <c r="T192" s="15">
        <f>IF($A192="","",$L192-$N192)</f>
        <v/>
      </c>
    </row>
    <row r="193">
      <c r="A193" s="15">
        <f>IF('ANAHTAR'!$B193="","",'ANAHTAR'!$B193)</f>
        <v/>
      </c>
      <c r="B193" s="15">
        <f>IF($A193="","",IFERROR(SUMIF(tblAnahtarA[Norm],$A193,tblVeriA[EnCm]),0))</f>
        <v/>
      </c>
      <c r="C193" s="15">
        <f>IF($A193="","",IFERROR(SUMIF(tblAnahtarA[Norm],$A193,tblVeriA[BoyCm]),0))</f>
        <v/>
      </c>
      <c r="D193" s="15">
        <f>IF($A193="","",IFERROR(SUMIF(tblAnahtarA[Norm],$A193,tblVeriA[YukseklikCm]),0))</f>
        <v/>
      </c>
      <c r="E193" s="15">
        <f>IF($A193="","",IFERROR(SUMIF(tblAnahtarA[Norm],$A193,tblVeriA[AgirlikKg]),0))</f>
        <v/>
      </c>
      <c r="F193" s="15">
        <f>IF($A193="","",IFERROR(SUMIF(tblAnahtarA[Norm],$A193,tblVeriA[DesiCarpani]),kdo_varsayilanDesiCarpani))</f>
        <v/>
      </c>
      <c r="G193" s="15">
        <f>IF($A193="","",ROUND($B193*$C193*$D193/MAX($F193,1),2))</f>
        <v/>
      </c>
      <c r="H193" s="15">
        <f>IF($A193="","",MAX($G193,$E193))</f>
        <v/>
      </c>
      <c r="I193" s="15">
        <f>IF($A193="","",IFERROR(SUMIF(tblAnahtarB[NormB],$A193,tblVeriB[TarifTlDesi]),0))</f>
        <v/>
      </c>
      <c r="J193" s="15">
        <f>IF($A193="","",IFERROR(SUMIF(tblAnahtarA[Norm],$A193,tblVeriA[Adet]),1))</f>
        <v/>
      </c>
      <c r="K193" s="15">
        <f>IF($A193="","",ROUND($H193*$I193,2))</f>
        <v/>
      </c>
      <c r="L193" s="15">
        <f>IF($A193="","",ROUND($K193*$J193*(1+$Q193*kdo_iadeEtkiCarpani),2))</f>
        <v/>
      </c>
      <c r="M193" s="15">
        <f>IF($A193="","",IFERROR(SUMIF(tblAnahtarB[NormB],$A193,tblVeriB[AlternatifTarif]),0))</f>
        <v/>
      </c>
      <c r="N193" s="15">
        <f>IF($A193="","",ROUND($H193*$M193*$J193*(1+$Q193*kdo_iadeEtkiCarpani),2))</f>
        <v/>
      </c>
      <c r="O193" s="15">
        <f>IF($A193="","",ROUND($L193-$N193,2))</f>
        <v/>
      </c>
      <c r="P193" s="15">
        <f>IF($A193="","",IF($R193&gt;kdo_esikDesiOran,"DESİ DÜŞÜR",IF($O193&gt;kdo_esikTasarruf,"TAŞIYICI DEĞİŞTİR","UYGUN")))</f>
        <v/>
      </c>
      <c r="Q193" s="15">
        <f>IF($A193="","",IFERROR(SUMIF(tblAnahtarB[NormB],$A193,tblVeriB[IadeOran]),0))</f>
        <v/>
      </c>
      <c r="R193" s="15">
        <f>IF(OR($A193="",$E193=0),0,$G193/$E193)</f>
        <v/>
      </c>
      <c r="S193" s="15">
        <f>IF($A193="","",$G193-$E193)</f>
        <v/>
      </c>
      <c r="T193" s="15">
        <f>IF($A193="","",$L193-$N193)</f>
        <v/>
      </c>
    </row>
    <row r="194">
      <c r="A194" s="15">
        <f>IF('ANAHTAR'!$B194="","",'ANAHTAR'!$B194)</f>
        <v/>
      </c>
      <c r="B194" s="15">
        <f>IF($A194="","",IFERROR(SUMIF(tblAnahtarA[Norm],$A194,tblVeriA[EnCm]),0))</f>
        <v/>
      </c>
      <c r="C194" s="15">
        <f>IF($A194="","",IFERROR(SUMIF(tblAnahtarA[Norm],$A194,tblVeriA[BoyCm]),0))</f>
        <v/>
      </c>
      <c r="D194" s="15">
        <f>IF($A194="","",IFERROR(SUMIF(tblAnahtarA[Norm],$A194,tblVeriA[YukseklikCm]),0))</f>
        <v/>
      </c>
      <c r="E194" s="15">
        <f>IF($A194="","",IFERROR(SUMIF(tblAnahtarA[Norm],$A194,tblVeriA[AgirlikKg]),0))</f>
        <v/>
      </c>
      <c r="F194" s="15">
        <f>IF($A194="","",IFERROR(SUMIF(tblAnahtarA[Norm],$A194,tblVeriA[DesiCarpani]),kdo_varsayilanDesiCarpani))</f>
        <v/>
      </c>
      <c r="G194" s="15">
        <f>IF($A194="","",ROUND($B194*$C194*$D194/MAX($F194,1),2))</f>
        <v/>
      </c>
      <c r="H194" s="15">
        <f>IF($A194="","",MAX($G194,$E194))</f>
        <v/>
      </c>
      <c r="I194" s="15">
        <f>IF($A194="","",IFERROR(SUMIF(tblAnahtarB[NormB],$A194,tblVeriB[TarifTlDesi]),0))</f>
        <v/>
      </c>
      <c r="J194" s="15">
        <f>IF($A194="","",IFERROR(SUMIF(tblAnahtarA[Norm],$A194,tblVeriA[Adet]),1))</f>
        <v/>
      </c>
      <c r="K194" s="15">
        <f>IF($A194="","",ROUND($H194*$I194,2))</f>
        <v/>
      </c>
      <c r="L194" s="15">
        <f>IF($A194="","",ROUND($K194*$J194*(1+$Q194*kdo_iadeEtkiCarpani),2))</f>
        <v/>
      </c>
      <c r="M194" s="15">
        <f>IF($A194="","",IFERROR(SUMIF(tblAnahtarB[NormB],$A194,tblVeriB[AlternatifTarif]),0))</f>
        <v/>
      </c>
      <c r="N194" s="15">
        <f>IF($A194="","",ROUND($H194*$M194*$J194*(1+$Q194*kdo_iadeEtkiCarpani),2))</f>
        <v/>
      </c>
      <c r="O194" s="15">
        <f>IF($A194="","",ROUND($L194-$N194,2))</f>
        <v/>
      </c>
      <c r="P194" s="15">
        <f>IF($A194="","",IF($R194&gt;kdo_esikDesiOran,"DESİ DÜŞÜR",IF($O194&gt;kdo_esikTasarruf,"TAŞIYICI DEĞİŞTİR","UYGUN")))</f>
        <v/>
      </c>
      <c r="Q194" s="15">
        <f>IF($A194="","",IFERROR(SUMIF(tblAnahtarB[NormB],$A194,tblVeriB[IadeOran]),0))</f>
        <v/>
      </c>
      <c r="R194" s="15">
        <f>IF(OR($A194="",$E194=0),0,$G194/$E194)</f>
        <v/>
      </c>
      <c r="S194" s="15">
        <f>IF($A194="","",$G194-$E194)</f>
        <v/>
      </c>
      <c r="T194" s="15">
        <f>IF($A194="","",$L194-$N194)</f>
        <v/>
      </c>
    </row>
    <row r="195">
      <c r="A195" s="15">
        <f>IF('ANAHTAR'!$B195="","",'ANAHTAR'!$B195)</f>
        <v/>
      </c>
      <c r="B195" s="15">
        <f>IF($A195="","",IFERROR(SUMIF(tblAnahtarA[Norm],$A195,tblVeriA[EnCm]),0))</f>
        <v/>
      </c>
      <c r="C195" s="15">
        <f>IF($A195="","",IFERROR(SUMIF(tblAnahtarA[Norm],$A195,tblVeriA[BoyCm]),0))</f>
        <v/>
      </c>
      <c r="D195" s="15">
        <f>IF($A195="","",IFERROR(SUMIF(tblAnahtarA[Norm],$A195,tblVeriA[YukseklikCm]),0))</f>
        <v/>
      </c>
      <c r="E195" s="15">
        <f>IF($A195="","",IFERROR(SUMIF(tblAnahtarA[Norm],$A195,tblVeriA[AgirlikKg]),0))</f>
        <v/>
      </c>
      <c r="F195" s="15">
        <f>IF($A195="","",IFERROR(SUMIF(tblAnahtarA[Norm],$A195,tblVeriA[DesiCarpani]),kdo_varsayilanDesiCarpani))</f>
        <v/>
      </c>
      <c r="G195" s="15">
        <f>IF($A195="","",ROUND($B195*$C195*$D195/MAX($F195,1),2))</f>
        <v/>
      </c>
      <c r="H195" s="15">
        <f>IF($A195="","",MAX($G195,$E195))</f>
        <v/>
      </c>
      <c r="I195" s="15">
        <f>IF($A195="","",IFERROR(SUMIF(tblAnahtarB[NormB],$A195,tblVeriB[TarifTlDesi]),0))</f>
        <v/>
      </c>
      <c r="J195" s="15">
        <f>IF($A195="","",IFERROR(SUMIF(tblAnahtarA[Norm],$A195,tblVeriA[Adet]),1))</f>
        <v/>
      </c>
      <c r="K195" s="15">
        <f>IF($A195="","",ROUND($H195*$I195,2))</f>
        <v/>
      </c>
      <c r="L195" s="15">
        <f>IF($A195="","",ROUND($K195*$J195*(1+$Q195*kdo_iadeEtkiCarpani),2))</f>
        <v/>
      </c>
      <c r="M195" s="15">
        <f>IF($A195="","",IFERROR(SUMIF(tblAnahtarB[NormB],$A195,tblVeriB[AlternatifTarif]),0))</f>
        <v/>
      </c>
      <c r="N195" s="15">
        <f>IF($A195="","",ROUND($H195*$M195*$J195*(1+$Q195*kdo_iadeEtkiCarpani),2))</f>
        <v/>
      </c>
      <c r="O195" s="15">
        <f>IF($A195="","",ROUND($L195-$N195,2))</f>
        <v/>
      </c>
      <c r="P195" s="15">
        <f>IF($A195="","",IF($R195&gt;kdo_esikDesiOran,"DESİ DÜŞÜR",IF($O195&gt;kdo_esikTasarruf,"TAŞIYICI DEĞİŞTİR","UYGUN")))</f>
        <v/>
      </c>
      <c r="Q195" s="15">
        <f>IF($A195="","",IFERROR(SUMIF(tblAnahtarB[NormB],$A195,tblVeriB[IadeOran]),0))</f>
        <v/>
      </c>
      <c r="R195" s="15">
        <f>IF(OR($A195="",$E195=0),0,$G195/$E195)</f>
        <v/>
      </c>
      <c r="S195" s="15">
        <f>IF($A195="","",$G195-$E195)</f>
        <v/>
      </c>
      <c r="T195" s="15">
        <f>IF($A195="","",$L195-$N195)</f>
        <v/>
      </c>
    </row>
    <row r="196">
      <c r="A196" s="15">
        <f>IF('ANAHTAR'!$B196="","",'ANAHTAR'!$B196)</f>
        <v/>
      </c>
      <c r="B196" s="15">
        <f>IF($A196="","",IFERROR(SUMIF(tblAnahtarA[Norm],$A196,tblVeriA[EnCm]),0))</f>
        <v/>
      </c>
      <c r="C196" s="15">
        <f>IF($A196="","",IFERROR(SUMIF(tblAnahtarA[Norm],$A196,tblVeriA[BoyCm]),0))</f>
        <v/>
      </c>
      <c r="D196" s="15">
        <f>IF($A196="","",IFERROR(SUMIF(tblAnahtarA[Norm],$A196,tblVeriA[YukseklikCm]),0))</f>
        <v/>
      </c>
      <c r="E196" s="15">
        <f>IF($A196="","",IFERROR(SUMIF(tblAnahtarA[Norm],$A196,tblVeriA[AgirlikKg]),0))</f>
        <v/>
      </c>
      <c r="F196" s="15">
        <f>IF($A196="","",IFERROR(SUMIF(tblAnahtarA[Norm],$A196,tblVeriA[DesiCarpani]),kdo_varsayilanDesiCarpani))</f>
        <v/>
      </c>
      <c r="G196" s="15">
        <f>IF($A196="","",ROUND($B196*$C196*$D196/MAX($F196,1),2))</f>
        <v/>
      </c>
      <c r="H196" s="15">
        <f>IF($A196="","",MAX($G196,$E196))</f>
        <v/>
      </c>
      <c r="I196" s="15">
        <f>IF($A196="","",IFERROR(SUMIF(tblAnahtarB[NormB],$A196,tblVeriB[TarifTlDesi]),0))</f>
        <v/>
      </c>
      <c r="J196" s="15">
        <f>IF($A196="","",IFERROR(SUMIF(tblAnahtarA[Norm],$A196,tblVeriA[Adet]),1))</f>
        <v/>
      </c>
      <c r="K196" s="15">
        <f>IF($A196="","",ROUND($H196*$I196,2))</f>
        <v/>
      </c>
      <c r="L196" s="15">
        <f>IF($A196="","",ROUND($K196*$J196*(1+$Q196*kdo_iadeEtkiCarpani),2))</f>
        <v/>
      </c>
      <c r="M196" s="15">
        <f>IF($A196="","",IFERROR(SUMIF(tblAnahtarB[NormB],$A196,tblVeriB[AlternatifTarif]),0))</f>
        <v/>
      </c>
      <c r="N196" s="15">
        <f>IF($A196="","",ROUND($H196*$M196*$J196*(1+$Q196*kdo_iadeEtkiCarpani),2))</f>
        <v/>
      </c>
      <c r="O196" s="15">
        <f>IF($A196="","",ROUND($L196-$N196,2))</f>
        <v/>
      </c>
      <c r="P196" s="15">
        <f>IF($A196="","",IF($R196&gt;kdo_esikDesiOran,"DESİ DÜŞÜR",IF($O196&gt;kdo_esikTasarruf,"TAŞIYICI DEĞİŞTİR","UYGUN")))</f>
        <v/>
      </c>
      <c r="Q196" s="15">
        <f>IF($A196="","",IFERROR(SUMIF(tblAnahtarB[NormB],$A196,tblVeriB[IadeOran]),0))</f>
        <v/>
      </c>
      <c r="R196" s="15">
        <f>IF(OR($A196="",$E196=0),0,$G196/$E196)</f>
        <v/>
      </c>
      <c r="S196" s="15">
        <f>IF($A196="","",$G196-$E196)</f>
        <v/>
      </c>
      <c r="T196" s="15">
        <f>IF($A196="","",$L196-$N196)</f>
        <v/>
      </c>
    </row>
    <row r="197">
      <c r="A197" s="15">
        <f>IF('ANAHTAR'!$B197="","",'ANAHTAR'!$B197)</f>
        <v/>
      </c>
      <c r="B197" s="15">
        <f>IF($A197="","",IFERROR(SUMIF(tblAnahtarA[Norm],$A197,tblVeriA[EnCm]),0))</f>
        <v/>
      </c>
      <c r="C197" s="15">
        <f>IF($A197="","",IFERROR(SUMIF(tblAnahtarA[Norm],$A197,tblVeriA[BoyCm]),0))</f>
        <v/>
      </c>
      <c r="D197" s="15">
        <f>IF($A197="","",IFERROR(SUMIF(tblAnahtarA[Norm],$A197,tblVeriA[YukseklikCm]),0))</f>
        <v/>
      </c>
      <c r="E197" s="15">
        <f>IF($A197="","",IFERROR(SUMIF(tblAnahtarA[Norm],$A197,tblVeriA[AgirlikKg]),0))</f>
        <v/>
      </c>
      <c r="F197" s="15">
        <f>IF($A197="","",IFERROR(SUMIF(tblAnahtarA[Norm],$A197,tblVeriA[DesiCarpani]),kdo_varsayilanDesiCarpani))</f>
        <v/>
      </c>
      <c r="G197" s="15">
        <f>IF($A197="","",ROUND($B197*$C197*$D197/MAX($F197,1),2))</f>
        <v/>
      </c>
      <c r="H197" s="15">
        <f>IF($A197="","",MAX($G197,$E197))</f>
        <v/>
      </c>
      <c r="I197" s="15">
        <f>IF($A197="","",IFERROR(SUMIF(tblAnahtarB[NormB],$A197,tblVeriB[TarifTlDesi]),0))</f>
        <v/>
      </c>
      <c r="J197" s="15">
        <f>IF($A197="","",IFERROR(SUMIF(tblAnahtarA[Norm],$A197,tblVeriA[Adet]),1))</f>
        <v/>
      </c>
      <c r="K197" s="15">
        <f>IF($A197="","",ROUND($H197*$I197,2))</f>
        <v/>
      </c>
      <c r="L197" s="15">
        <f>IF($A197="","",ROUND($K197*$J197*(1+$Q197*kdo_iadeEtkiCarpani),2))</f>
        <v/>
      </c>
      <c r="M197" s="15">
        <f>IF($A197="","",IFERROR(SUMIF(tblAnahtarB[NormB],$A197,tblVeriB[AlternatifTarif]),0))</f>
        <v/>
      </c>
      <c r="N197" s="15">
        <f>IF($A197="","",ROUND($H197*$M197*$J197*(1+$Q197*kdo_iadeEtkiCarpani),2))</f>
        <v/>
      </c>
      <c r="O197" s="15">
        <f>IF($A197="","",ROUND($L197-$N197,2))</f>
        <v/>
      </c>
      <c r="P197" s="15">
        <f>IF($A197="","",IF($R197&gt;kdo_esikDesiOran,"DESİ DÜŞÜR",IF($O197&gt;kdo_esikTasarruf,"TAŞIYICI DEĞİŞTİR","UYGUN")))</f>
        <v/>
      </c>
      <c r="Q197" s="15">
        <f>IF($A197="","",IFERROR(SUMIF(tblAnahtarB[NormB],$A197,tblVeriB[IadeOran]),0))</f>
        <v/>
      </c>
      <c r="R197" s="15">
        <f>IF(OR($A197="",$E197=0),0,$G197/$E197)</f>
        <v/>
      </c>
      <c r="S197" s="15">
        <f>IF($A197="","",$G197-$E197)</f>
        <v/>
      </c>
      <c r="T197" s="15">
        <f>IF($A197="","",$L197-$N197)</f>
        <v/>
      </c>
    </row>
    <row r="198">
      <c r="A198" s="15">
        <f>IF('ANAHTAR'!$B198="","",'ANAHTAR'!$B198)</f>
        <v/>
      </c>
      <c r="B198" s="15">
        <f>IF($A198="","",IFERROR(SUMIF(tblAnahtarA[Norm],$A198,tblVeriA[EnCm]),0))</f>
        <v/>
      </c>
      <c r="C198" s="15">
        <f>IF($A198="","",IFERROR(SUMIF(tblAnahtarA[Norm],$A198,tblVeriA[BoyCm]),0))</f>
        <v/>
      </c>
      <c r="D198" s="15">
        <f>IF($A198="","",IFERROR(SUMIF(tblAnahtarA[Norm],$A198,tblVeriA[YukseklikCm]),0))</f>
        <v/>
      </c>
      <c r="E198" s="15">
        <f>IF($A198="","",IFERROR(SUMIF(tblAnahtarA[Norm],$A198,tblVeriA[AgirlikKg]),0))</f>
        <v/>
      </c>
      <c r="F198" s="15">
        <f>IF($A198="","",IFERROR(SUMIF(tblAnahtarA[Norm],$A198,tblVeriA[DesiCarpani]),kdo_varsayilanDesiCarpani))</f>
        <v/>
      </c>
      <c r="G198" s="15">
        <f>IF($A198="","",ROUND($B198*$C198*$D198/MAX($F198,1),2))</f>
        <v/>
      </c>
      <c r="H198" s="15">
        <f>IF($A198="","",MAX($G198,$E198))</f>
        <v/>
      </c>
      <c r="I198" s="15">
        <f>IF($A198="","",IFERROR(SUMIF(tblAnahtarB[NormB],$A198,tblVeriB[TarifTlDesi]),0))</f>
        <v/>
      </c>
      <c r="J198" s="15">
        <f>IF($A198="","",IFERROR(SUMIF(tblAnahtarA[Norm],$A198,tblVeriA[Adet]),1))</f>
        <v/>
      </c>
      <c r="K198" s="15">
        <f>IF($A198="","",ROUND($H198*$I198,2))</f>
        <v/>
      </c>
      <c r="L198" s="15">
        <f>IF($A198="","",ROUND($K198*$J198*(1+$Q198*kdo_iadeEtkiCarpani),2))</f>
        <v/>
      </c>
      <c r="M198" s="15">
        <f>IF($A198="","",IFERROR(SUMIF(tblAnahtarB[NormB],$A198,tblVeriB[AlternatifTarif]),0))</f>
        <v/>
      </c>
      <c r="N198" s="15">
        <f>IF($A198="","",ROUND($H198*$M198*$J198*(1+$Q198*kdo_iadeEtkiCarpani),2))</f>
        <v/>
      </c>
      <c r="O198" s="15">
        <f>IF($A198="","",ROUND($L198-$N198,2))</f>
        <v/>
      </c>
      <c r="P198" s="15">
        <f>IF($A198="","",IF($R198&gt;kdo_esikDesiOran,"DESİ DÜŞÜR",IF($O198&gt;kdo_esikTasarruf,"TAŞIYICI DEĞİŞTİR","UYGUN")))</f>
        <v/>
      </c>
      <c r="Q198" s="15">
        <f>IF($A198="","",IFERROR(SUMIF(tblAnahtarB[NormB],$A198,tblVeriB[IadeOran]),0))</f>
        <v/>
      </c>
      <c r="R198" s="15">
        <f>IF(OR($A198="",$E198=0),0,$G198/$E198)</f>
        <v/>
      </c>
      <c r="S198" s="15">
        <f>IF($A198="","",$G198-$E198)</f>
        <v/>
      </c>
      <c r="T198" s="15">
        <f>IF($A198="","",$L198-$N198)</f>
        <v/>
      </c>
    </row>
    <row r="199">
      <c r="A199" s="15">
        <f>IF('ANAHTAR'!$B199="","",'ANAHTAR'!$B199)</f>
        <v/>
      </c>
      <c r="B199" s="15">
        <f>IF($A199="","",IFERROR(SUMIF(tblAnahtarA[Norm],$A199,tblVeriA[EnCm]),0))</f>
        <v/>
      </c>
      <c r="C199" s="15">
        <f>IF($A199="","",IFERROR(SUMIF(tblAnahtarA[Norm],$A199,tblVeriA[BoyCm]),0))</f>
        <v/>
      </c>
      <c r="D199" s="15">
        <f>IF($A199="","",IFERROR(SUMIF(tblAnahtarA[Norm],$A199,tblVeriA[YukseklikCm]),0))</f>
        <v/>
      </c>
      <c r="E199" s="15">
        <f>IF($A199="","",IFERROR(SUMIF(tblAnahtarA[Norm],$A199,tblVeriA[AgirlikKg]),0))</f>
        <v/>
      </c>
      <c r="F199" s="15">
        <f>IF($A199="","",IFERROR(SUMIF(tblAnahtarA[Norm],$A199,tblVeriA[DesiCarpani]),kdo_varsayilanDesiCarpani))</f>
        <v/>
      </c>
      <c r="G199" s="15">
        <f>IF($A199="","",ROUND($B199*$C199*$D199/MAX($F199,1),2))</f>
        <v/>
      </c>
      <c r="H199" s="15">
        <f>IF($A199="","",MAX($G199,$E199))</f>
        <v/>
      </c>
      <c r="I199" s="15">
        <f>IF($A199="","",IFERROR(SUMIF(tblAnahtarB[NormB],$A199,tblVeriB[TarifTlDesi]),0))</f>
        <v/>
      </c>
      <c r="J199" s="15">
        <f>IF($A199="","",IFERROR(SUMIF(tblAnahtarA[Norm],$A199,tblVeriA[Adet]),1))</f>
        <v/>
      </c>
      <c r="K199" s="15">
        <f>IF($A199="","",ROUND($H199*$I199,2))</f>
        <v/>
      </c>
      <c r="L199" s="15">
        <f>IF($A199="","",ROUND($K199*$J199*(1+$Q199*kdo_iadeEtkiCarpani),2))</f>
        <v/>
      </c>
      <c r="M199" s="15">
        <f>IF($A199="","",IFERROR(SUMIF(tblAnahtarB[NormB],$A199,tblVeriB[AlternatifTarif]),0))</f>
        <v/>
      </c>
      <c r="N199" s="15">
        <f>IF($A199="","",ROUND($H199*$M199*$J199*(1+$Q199*kdo_iadeEtkiCarpani),2))</f>
        <v/>
      </c>
      <c r="O199" s="15">
        <f>IF($A199="","",ROUND($L199-$N199,2))</f>
        <v/>
      </c>
      <c r="P199" s="15">
        <f>IF($A199="","",IF($R199&gt;kdo_esikDesiOran,"DESİ DÜŞÜR",IF($O199&gt;kdo_esikTasarruf,"TAŞIYICI DEĞİŞTİR","UYGUN")))</f>
        <v/>
      </c>
      <c r="Q199" s="15">
        <f>IF($A199="","",IFERROR(SUMIF(tblAnahtarB[NormB],$A199,tblVeriB[IadeOran]),0))</f>
        <v/>
      </c>
      <c r="R199" s="15">
        <f>IF(OR($A199="",$E199=0),0,$G199/$E199)</f>
        <v/>
      </c>
      <c r="S199" s="15">
        <f>IF($A199="","",$G199-$E199)</f>
        <v/>
      </c>
      <c r="T199" s="15">
        <f>IF($A199="","",$L199-$N199)</f>
        <v/>
      </c>
    </row>
    <row r="200">
      <c r="A200" s="15">
        <f>IF('ANAHTAR'!$B200="","",'ANAHTAR'!$B200)</f>
        <v/>
      </c>
      <c r="B200" s="15">
        <f>IF($A200="","",IFERROR(SUMIF(tblAnahtarA[Norm],$A200,tblVeriA[EnCm]),0))</f>
        <v/>
      </c>
      <c r="C200" s="15">
        <f>IF($A200="","",IFERROR(SUMIF(tblAnahtarA[Norm],$A200,tblVeriA[BoyCm]),0))</f>
        <v/>
      </c>
      <c r="D200" s="15">
        <f>IF($A200="","",IFERROR(SUMIF(tblAnahtarA[Norm],$A200,tblVeriA[YukseklikCm]),0))</f>
        <v/>
      </c>
      <c r="E200" s="15">
        <f>IF($A200="","",IFERROR(SUMIF(tblAnahtarA[Norm],$A200,tblVeriA[AgirlikKg]),0))</f>
        <v/>
      </c>
      <c r="F200" s="15">
        <f>IF($A200="","",IFERROR(SUMIF(tblAnahtarA[Norm],$A200,tblVeriA[DesiCarpani]),kdo_varsayilanDesiCarpani))</f>
        <v/>
      </c>
      <c r="G200" s="15">
        <f>IF($A200="","",ROUND($B200*$C200*$D200/MAX($F200,1),2))</f>
        <v/>
      </c>
      <c r="H200" s="15">
        <f>IF($A200="","",MAX($G200,$E200))</f>
        <v/>
      </c>
      <c r="I200" s="15">
        <f>IF($A200="","",IFERROR(SUMIF(tblAnahtarB[NormB],$A200,tblVeriB[TarifTlDesi]),0))</f>
        <v/>
      </c>
      <c r="J200" s="15">
        <f>IF($A200="","",IFERROR(SUMIF(tblAnahtarA[Norm],$A200,tblVeriA[Adet]),1))</f>
        <v/>
      </c>
      <c r="K200" s="15">
        <f>IF($A200="","",ROUND($H200*$I200,2))</f>
        <v/>
      </c>
      <c r="L200" s="15">
        <f>IF($A200="","",ROUND($K200*$J200*(1+$Q200*kdo_iadeEtkiCarpani),2))</f>
        <v/>
      </c>
      <c r="M200" s="15">
        <f>IF($A200="","",IFERROR(SUMIF(tblAnahtarB[NormB],$A200,tblVeriB[AlternatifTarif]),0))</f>
        <v/>
      </c>
      <c r="N200" s="15">
        <f>IF($A200="","",ROUND($H200*$M200*$J200*(1+$Q200*kdo_iadeEtkiCarpani),2))</f>
        <v/>
      </c>
      <c r="O200" s="15">
        <f>IF($A200="","",ROUND($L200-$N200,2))</f>
        <v/>
      </c>
      <c r="P200" s="15">
        <f>IF($A200="","",IF($R200&gt;kdo_esikDesiOran,"DESİ DÜŞÜR",IF($O200&gt;kdo_esikTasarruf,"TAŞIYICI DEĞİŞTİR","UYGUN")))</f>
        <v/>
      </c>
      <c r="Q200" s="15">
        <f>IF($A200="","",IFERROR(SUMIF(tblAnahtarB[NormB],$A200,tblVeriB[IadeOran]),0))</f>
        <v/>
      </c>
      <c r="R200" s="15">
        <f>IF(OR($A200="",$E200=0),0,$G200/$E200)</f>
        <v/>
      </c>
      <c r="S200" s="15">
        <f>IF($A200="","",$G200-$E200)</f>
        <v/>
      </c>
      <c r="T200" s="15">
        <f>IF($A200="","",$L200-$N200)</f>
        <v/>
      </c>
    </row>
    <row r="201">
      <c r="A201" s="15">
        <f>IF('ANAHTAR'!$B201="","",'ANAHTAR'!$B201)</f>
        <v/>
      </c>
      <c r="B201" s="15">
        <f>IF($A201="","",IFERROR(SUMIF(tblAnahtarA[Norm],$A201,tblVeriA[EnCm]),0))</f>
        <v/>
      </c>
      <c r="C201" s="15">
        <f>IF($A201="","",IFERROR(SUMIF(tblAnahtarA[Norm],$A201,tblVeriA[BoyCm]),0))</f>
        <v/>
      </c>
      <c r="D201" s="15">
        <f>IF($A201="","",IFERROR(SUMIF(tblAnahtarA[Norm],$A201,tblVeriA[YukseklikCm]),0))</f>
        <v/>
      </c>
      <c r="E201" s="15">
        <f>IF($A201="","",IFERROR(SUMIF(tblAnahtarA[Norm],$A201,tblVeriA[AgirlikKg]),0))</f>
        <v/>
      </c>
      <c r="F201" s="15">
        <f>IF($A201="","",IFERROR(SUMIF(tblAnahtarA[Norm],$A201,tblVeriA[DesiCarpani]),kdo_varsayilanDesiCarpani))</f>
        <v/>
      </c>
      <c r="G201" s="15">
        <f>IF($A201="","",ROUND($B201*$C201*$D201/MAX($F201,1),2))</f>
        <v/>
      </c>
      <c r="H201" s="15">
        <f>IF($A201="","",MAX($G201,$E201))</f>
        <v/>
      </c>
      <c r="I201" s="15">
        <f>IF($A201="","",IFERROR(SUMIF(tblAnahtarB[NormB],$A201,tblVeriB[TarifTlDesi]),0))</f>
        <v/>
      </c>
      <c r="J201" s="15">
        <f>IF($A201="","",IFERROR(SUMIF(tblAnahtarA[Norm],$A201,tblVeriA[Adet]),1))</f>
        <v/>
      </c>
      <c r="K201" s="15">
        <f>IF($A201="","",ROUND($H201*$I201,2))</f>
        <v/>
      </c>
      <c r="L201" s="15">
        <f>IF($A201="","",ROUND($K201*$J201*(1+$Q201*kdo_iadeEtkiCarpani),2))</f>
        <v/>
      </c>
      <c r="M201" s="15">
        <f>IF($A201="","",IFERROR(SUMIF(tblAnahtarB[NormB],$A201,tblVeriB[AlternatifTarif]),0))</f>
        <v/>
      </c>
      <c r="N201" s="15">
        <f>IF($A201="","",ROUND($H201*$M201*$J201*(1+$Q201*kdo_iadeEtkiCarpani),2))</f>
        <v/>
      </c>
      <c r="O201" s="15">
        <f>IF($A201="","",ROUND($L201-$N201,2))</f>
        <v/>
      </c>
      <c r="P201" s="15">
        <f>IF($A201="","",IF($R201&gt;kdo_esikDesiOran,"DESİ DÜŞÜR",IF($O201&gt;kdo_esikTasarruf,"TAŞIYICI DEĞİŞTİR","UYGUN")))</f>
        <v/>
      </c>
      <c r="Q201" s="15">
        <f>IF($A201="","",IFERROR(SUMIF(tblAnahtarB[NormB],$A201,tblVeriB[IadeOran]),0))</f>
        <v/>
      </c>
      <c r="R201" s="15">
        <f>IF(OR($A201="",$E201=0),0,$G201/$E201)</f>
        <v/>
      </c>
      <c r="S201" s="15">
        <f>IF($A201="","",$G201-$E201)</f>
        <v/>
      </c>
      <c r="T201" s="15">
        <f>IF($A201="","",$L201-$N201)</f>
        <v/>
      </c>
    </row>
    <row r="202">
      <c r="A202" s="15">
        <f>IF('ANAHTAR'!$B202="","",'ANAHTAR'!$B202)</f>
        <v/>
      </c>
      <c r="B202" s="15">
        <f>IF($A202="","",IFERROR(SUMIF(tblAnahtarA[Norm],$A202,tblVeriA[EnCm]),0))</f>
        <v/>
      </c>
      <c r="C202" s="15">
        <f>IF($A202="","",IFERROR(SUMIF(tblAnahtarA[Norm],$A202,tblVeriA[BoyCm]),0))</f>
        <v/>
      </c>
      <c r="D202" s="15">
        <f>IF($A202="","",IFERROR(SUMIF(tblAnahtarA[Norm],$A202,tblVeriA[YukseklikCm]),0))</f>
        <v/>
      </c>
      <c r="E202" s="15">
        <f>IF($A202="","",IFERROR(SUMIF(tblAnahtarA[Norm],$A202,tblVeriA[AgirlikKg]),0))</f>
        <v/>
      </c>
      <c r="F202" s="15">
        <f>IF($A202="","",IFERROR(SUMIF(tblAnahtarA[Norm],$A202,tblVeriA[DesiCarpani]),kdo_varsayilanDesiCarpani))</f>
        <v/>
      </c>
      <c r="G202" s="15">
        <f>IF($A202="","",ROUND($B202*$C202*$D202/MAX($F202,1),2))</f>
        <v/>
      </c>
      <c r="H202" s="15">
        <f>IF($A202="","",MAX($G202,$E202))</f>
        <v/>
      </c>
      <c r="I202" s="15">
        <f>IF($A202="","",IFERROR(SUMIF(tblAnahtarB[NormB],$A202,tblVeriB[TarifTlDesi]),0))</f>
        <v/>
      </c>
      <c r="J202" s="15">
        <f>IF($A202="","",IFERROR(SUMIF(tblAnahtarA[Norm],$A202,tblVeriA[Adet]),1))</f>
        <v/>
      </c>
      <c r="K202" s="15">
        <f>IF($A202="","",ROUND($H202*$I202,2))</f>
        <v/>
      </c>
      <c r="L202" s="15">
        <f>IF($A202="","",ROUND($K202*$J202*(1+$Q202*kdo_iadeEtkiCarpani),2))</f>
        <v/>
      </c>
      <c r="M202" s="15">
        <f>IF($A202="","",IFERROR(SUMIF(tblAnahtarB[NormB],$A202,tblVeriB[AlternatifTarif]),0))</f>
        <v/>
      </c>
      <c r="N202" s="15">
        <f>IF($A202="","",ROUND($H202*$M202*$J202*(1+$Q202*kdo_iadeEtkiCarpani),2))</f>
        <v/>
      </c>
      <c r="O202" s="15">
        <f>IF($A202="","",ROUND($L202-$N202,2))</f>
        <v/>
      </c>
      <c r="P202" s="15">
        <f>IF($A202="","",IF($R202&gt;kdo_esikDesiOran,"DESİ DÜŞÜR",IF($O202&gt;kdo_esikTasarruf,"TAŞIYICI DEĞİŞTİR","UYGUN")))</f>
        <v/>
      </c>
      <c r="Q202" s="15">
        <f>IF($A202="","",IFERROR(SUMIF(tblAnahtarB[NormB],$A202,tblVeriB[IadeOran]),0))</f>
        <v/>
      </c>
      <c r="R202" s="15">
        <f>IF(OR($A202="",$E202=0),0,$G202/$E202)</f>
        <v/>
      </c>
      <c r="S202" s="15">
        <f>IF($A202="","",$G202-$E202)</f>
        <v/>
      </c>
      <c r="T202" s="15">
        <f>IF($A202="","",$L202-$N202)</f>
        <v/>
      </c>
    </row>
    <row r="203">
      <c r="A203" s="15">
        <f>IF('ANAHTAR'!$B203="","",'ANAHTAR'!$B203)</f>
        <v/>
      </c>
      <c r="B203" s="15">
        <f>IF($A203="","",IFERROR(SUMIF(tblAnahtarA[Norm],$A203,tblVeriA[EnCm]),0))</f>
        <v/>
      </c>
      <c r="C203" s="15">
        <f>IF($A203="","",IFERROR(SUMIF(tblAnahtarA[Norm],$A203,tblVeriA[BoyCm]),0))</f>
        <v/>
      </c>
      <c r="D203" s="15">
        <f>IF($A203="","",IFERROR(SUMIF(tblAnahtarA[Norm],$A203,tblVeriA[YukseklikCm]),0))</f>
        <v/>
      </c>
      <c r="E203" s="15">
        <f>IF($A203="","",IFERROR(SUMIF(tblAnahtarA[Norm],$A203,tblVeriA[AgirlikKg]),0))</f>
        <v/>
      </c>
      <c r="F203" s="15">
        <f>IF($A203="","",IFERROR(SUMIF(tblAnahtarA[Norm],$A203,tblVeriA[DesiCarpani]),kdo_varsayilanDesiCarpani))</f>
        <v/>
      </c>
      <c r="G203" s="15">
        <f>IF($A203="","",ROUND($B203*$C203*$D203/MAX($F203,1),2))</f>
        <v/>
      </c>
      <c r="H203" s="15">
        <f>IF($A203="","",MAX($G203,$E203))</f>
        <v/>
      </c>
      <c r="I203" s="15">
        <f>IF($A203="","",IFERROR(SUMIF(tblAnahtarB[NormB],$A203,tblVeriB[TarifTlDesi]),0))</f>
        <v/>
      </c>
      <c r="J203" s="15">
        <f>IF($A203="","",IFERROR(SUMIF(tblAnahtarA[Norm],$A203,tblVeriA[Adet]),1))</f>
        <v/>
      </c>
      <c r="K203" s="15">
        <f>IF($A203="","",ROUND($H203*$I203,2))</f>
        <v/>
      </c>
      <c r="L203" s="15">
        <f>IF($A203="","",ROUND($K203*$J203*(1+$Q203*kdo_iadeEtkiCarpani),2))</f>
        <v/>
      </c>
      <c r="M203" s="15">
        <f>IF($A203="","",IFERROR(SUMIF(tblAnahtarB[NormB],$A203,tblVeriB[AlternatifTarif]),0))</f>
        <v/>
      </c>
      <c r="N203" s="15">
        <f>IF($A203="","",ROUND($H203*$M203*$J203*(1+$Q203*kdo_iadeEtkiCarpani),2))</f>
        <v/>
      </c>
      <c r="O203" s="15">
        <f>IF($A203="","",ROUND($L203-$N203,2))</f>
        <v/>
      </c>
      <c r="P203" s="15">
        <f>IF($A203="","",IF($R203&gt;kdo_esikDesiOran,"DESİ DÜŞÜR",IF($O203&gt;kdo_esikTasarruf,"TAŞIYICI DEĞİŞTİR","UYGUN")))</f>
        <v/>
      </c>
      <c r="Q203" s="15">
        <f>IF($A203="","",IFERROR(SUMIF(tblAnahtarB[NormB],$A203,tblVeriB[IadeOran]),0))</f>
        <v/>
      </c>
      <c r="R203" s="15">
        <f>IF(OR($A203="",$E203=0),0,$G203/$E203)</f>
        <v/>
      </c>
      <c r="S203" s="15">
        <f>IF($A203="","",$G203-$E203)</f>
        <v/>
      </c>
      <c r="T203" s="15">
        <f>IF($A203="","",$L203-$N203)</f>
        <v/>
      </c>
    </row>
    <row r="204">
      <c r="A204" s="15">
        <f>IF('ANAHTAR'!$B204="","",'ANAHTAR'!$B204)</f>
        <v/>
      </c>
      <c r="B204" s="15">
        <f>IF($A204="","",IFERROR(SUMIF(tblAnahtarA[Norm],$A204,tblVeriA[EnCm]),0))</f>
        <v/>
      </c>
      <c r="C204" s="15">
        <f>IF($A204="","",IFERROR(SUMIF(tblAnahtarA[Norm],$A204,tblVeriA[BoyCm]),0))</f>
        <v/>
      </c>
      <c r="D204" s="15">
        <f>IF($A204="","",IFERROR(SUMIF(tblAnahtarA[Norm],$A204,tblVeriA[YukseklikCm]),0))</f>
        <v/>
      </c>
      <c r="E204" s="15">
        <f>IF($A204="","",IFERROR(SUMIF(tblAnahtarA[Norm],$A204,tblVeriA[AgirlikKg]),0))</f>
        <v/>
      </c>
      <c r="F204" s="15">
        <f>IF($A204="","",IFERROR(SUMIF(tblAnahtarA[Norm],$A204,tblVeriA[DesiCarpani]),kdo_varsayilanDesiCarpani))</f>
        <v/>
      </c>
      <c r="G204" s="15">
        <f>IF($A204="","",ROUND($B204*$C204*$D204/MAX($F204,1),2))</f>
        <v/>
      </c>
      <c r="H204" s="15">
        <f>IF($A204="","",MAX($G204,$E204))</f>
        <v/>
      </c>
      <c r="I204" s="15">
        <f>IF($A204="","",IFERROR(SUMIF(tblAnahtarB[NormB],$A204,tblVeriB[TarifTlDesi]),0))</f>
        <v/>
      </c>
      <c r="J204" s="15">
        <f>IF($A204="","",IFERROR(SUMIF(tblAnahtarA[Norm],$A204,tblVeriA[Adet]),1))</f>
        <v/>
      </c>
      <c r="K204" s="15">
        <f>IF($A204="","",ROUND($H204*$I204,2))</f>
        <v/>
      </c>
      <c r="L204" s="15">
        <f>IF($A204="","",ROUND($K204*$J204*(1+$Q204*kdo_iadeEtkiCarpani),2))</f>
        <v/>
      </c>
      <c r="M204" s="15">
        <f>IF($A204="","",IFERROR(SUMIF(tblAnahtarB[NormB],$A204,tblVeriB[AlternatifTarif]),0))</f>
        <v/>
      </c>
      <c r="N204" s="15">
        <f>IF($A204="","",ROUND($H204*$M204*$J204*(1+$Q204*kdo_iadeEtkiCarpani),2))</f>
        <v/>
      </c>
      <c r="O204" s="15">
        <f>IF($A204="","",ROUND($L204-$N204,2))</f>
        <v/>
      </c>
      <c r="P204" s="15">
        <f>IF($A204="","",IF($R204&gt;kdo_esikDesiOran,"DESİ DÜŞÜR",IF($O204&gt;kdo_esikTasarruf,"TAŞIYICI DEĞİŞTİR","UYGUN")))</f>
        <v/>
      </c>
      <c r="Q204" s="15">
        <f>IF($A204="","",IFERROR(SUMIF(tblAnahtarB[NormB],$A204,tblVeriB[IadeOran]),0))</f>
        <v/>
      </c>
      <c r="R204" s="15">
        <f>IF(OR($A204="",$E204=0),0,$G204/$E204)</f>
        <v/>
      </c>
      <c r="S204" s="15">
        <f>IF($A204="","",$G204-$E204)</f>
        <v/>
      </c>
      <c r="T204" s="15">
        <f>IF($A204="","",$L204-$N204)</f>
        <v/>
      </c>
    </row>
    <row r="205">
      <c r="A205" s="15">
        <f>IF('ANAHTAR'!$B205="","",'ANAHTAR'!$B205)</f>
        <v/>
      </c>
      <c r="B205" s="15">
        <f>IF($A205="","",IFERROR(SUMIF(tblAnahtarA[Norm],$A205,tblVeriA[EnCm]),0))</f>
        <v/>
      </c>
      <c r="C205" s="15">
        <f>IF($A205="","",IFERROR(SUMIF(tblAnahtarA[Norm],$A205,tblVeriA[BoyCm]),0))</f>
        <v/>
      </c>
      <c r="D205" s="15">
        <f>IF($A205="","",IFERROR(SUMIF(tblAnahtarA[Norm],$A205,tblVeriA[YukseklikCm]),0))</f>
        <v/>
      </c>
      <c r="E205" s="15">
        <f>IF($A205="","",IFERROR(SUMIF(tblAnahtarA[Norm],$A205,tblVeriA[AgirlikKg]),0))</f>
        <v/>
      </c>
      <c r="F205" s="15">
        <f>IF($A205="","",IFERROR(SUMIF(tblAnahtarA[Norm],$A205,tblVeriA[DesiCarpani]),kdo_varsayilanDesiCarpani))</f>
        <v/>
      </c>
      <c r="G205" s="15">
        <f>IF($A205="","",ROUND($B205*$C205*$D205/MAX($F205,1),2))</f>
        <v/>
      </c>
      <c r="H205" s="15">
        <f>IF($A205="","",MAX($G205,$E205))</f>
        <v/>
      </c>
      <c r="I205" s="15">
        <f>IF($A205="","",IFERROR(SUMIF(tblAnahtarB[NormB],$A205,tblVeriB[TarifTlDesi]),0))</f>
        <v/>
      </c>
      <c r="J205" s="15">
        <f>IF($A205="","",IFERROR(SUMIF(tblAnahtarA[Norm],$A205,tblVeriA[Adet]),1))</f>
        <v/>
      </c>
      <c r="K205" s="15">
        <f>IF($A205="","",ROUND($H205*$I205,2))</f>
        <v/>
      </c>
      <c r="L205" s="15">
        <f>IF($A205="","",ROUND($K205*$J205*(1+$Q205*kdo_iadeEtkiCarpani),2))</f>
        <v/>
      </c>
      <c r="M205" s="15">
        <f>IF($A205="","",IFERROR(SUMIF(tblAnahtarB[NormB],$A205,tblVeriB[AlternatifTarif]),0))</f>
        <v/>
      </c>
      <c r="N205" s="15">
        <f>IF($A205="","",ROUND($H205*$M205*$J205*(1+$Q205*kdo_iadeEtkiCarpani),2))</f>
        <v/>
      </c>
      <c r="O205" s="15">
        <f>IF($A205="","",ROUND($L205-$N205,2))</f>
        <v/>
      </c>
      <c r="P205" s="15">
        <f>IF($A205="","",IF($R205&gt;kdo_esikDesiOran,"DESİ DÜŞÜR",IF($O205&gt;kdo_esikTasarruf,"TAŞIYICI DEĞİŞTİR","UYGUN")))</f>
        <v/>
      </c>
      <c r="Q205" s="15">
        <f>IF($A205="","",IFERROR(SUMIF(tblAnahtarB[NormB],$A205,tblVeriB[IadeOran]),0))</f>
        <v/>
      </c>
      <c r="R205" s="15">
        <f>IF(OR($A205="",$E205=0),0,$G205/$E205)</f>
        <v/>
      </c>
      <c r="S205" s="15">
        <f>IF($A205="","",$G205-$E205)</f>
        <v/>
      </c>
      <c r="T205" s="15">
        <f>IF($A205="","",$L205-$N205)</f>
        <v/>
      </c>
    </row>
    <row r="206">
      <c r="A206" s="15">
        <f>IF('ANAHTAR'!$B206="","",'ANAHTAR'!$B206)</f>
        <v/>
      </c>
      <c r="B206" s="15">
        <f>IF($A206="","",IFERROR(SUMIF(tblAnahtarA[Norm],$A206,tblVeriA[EnCm]),0))</f>
        <v/>
      </c>
      <c r="C206" s="15">
        <f>IF($A206="","",IFERROR(SUMIF(tblAnahtarA[Norm],$A206,tblVeriA[BoyCm]),0))</f>
        <v/>
      </c>
      <c r="D206" s="15">
        <f>IF($A206="","",IFERROR(SUMIF(tblAnahtarA[Norm],$A206,tblVeriA[YukseklikCm]),0))</f>
        <v/>
      </c>
      <c r="E206" s="15">
        <f>IF($A206="","",IFERROR(SUMIF(tblAnahtarA[Norm],$A206,tblVeriA[AgirlikKg]),0))</f>
        <v/>
      </c>
      <c r="F206" s="15">
        <f>IF($A206="","",IFERROR(SUMIF(tblAnahtarA[Norm],$A206,tblVeriA[DesiCarpani]),kdo_varsayilanDesiCarpani))</f>
        <v/>
      </c>
      <c r="G206" s="15">
        <f>IF($A206="","",ROUND($B206*$C206*$D206/MAX($F206,1),2))</f>
        <v/>
      </c>
      <c r="H206" s="15">
        <f>IF($A206="","",MAX($G206,$E206))</f>
        <v/>
      </c>
      <c r="I206" s="15">
        <f>IF($A206="","",IFERROR(SUMIF(tblAnahtarB[NormB],$A206,tblVeriB[TarifTlDesi]),0))</f>
        <v/>
      </c>
      <c r="J206" s="15">
        <f>IF($A206="","",IFERROR(SUMIF(tblAnahtarA[Norm],$A206,tblVeriA[Adet]),1))</f>
        <v/>
      </c>
      <c r="K206" s="15">
        <f>IF($A206="","",ROUND($H206*$I206,2))</f>
        <v/>
      </c>
      <c r="L206" s="15">
        <f>IF($A206="","",ROUND($K206*$J206*(1+$Q206*kdo_iadeEtkiCarpani),2))</f>
        <v/>
      </c>
      <c r="M206" s="15">
        <f>IF($A206="","",IFERROR(SUMIF(tblAnahtarB[NormB],$A206,tblVeriB[AlternatifTarif]),0))</f>
        <v/>
      </c>
      <c r="N206" s="15">
        <f>IF($A206="","",ROUND($H206*$M206*$J206*(1+$Q206*kdo_iadeEtkiCarpani),2))</f>
        <v/>
      </c>
      <c r="O206" s="15">
        <f>IF($A206="","",ROUND($L206-$N206,2))</f>
        <v/>
      </c>
      <c r="P206" s="15">
        <f>IF($A206="","",IF($R206&gt;kdo_esikDesiOran,"DESİ DÜŞÜR",IF($O206&gt;kdo_esikTasarruf,"TAŞIYICI DEĞİŞTİR","UYGUN")))</f>
        <v/>
      </c>
      <c r="Q206" s="15">
        <f>IF($A206="","",IFERROR(SUMIF(tblAnahtarB[NormB],$A206,tblVeriB[IadeOran]),0))</f>
        <v/>
      </c>
      <c r="R206" s="15">
        <f>IF(OR($A206="",$E206=0),0,$G206/$E206)</f>
        <v/>
      </c>
      <c r="S206" s="15">
        <f>IF($A206="","",$G206-$E206)</f>
        <v/>
      </c>
      <c r="T206" s="15">
        <f>IF($A206="","",$L206-$N206)</f>
        <v/>
      </c>
    </row>
    <row r="207">
      <c r="A207" s="15">
        <f>IF('ANAHTAR'!$B207="","",'ANAHTAR'!$B207)</f>
        <v/>
      </c>
      <c r="B207" s="15">
        <f>IF($A207="","",IFERROR(SUMIF(tblAnahtarA[Norm],$A207,tblVeriA[EnCm]),0))</f>
        <v/>
      </c>
      <c r="C207" s="15">
        <f>IF($A207="","",IFERROR(SUMIF(tblAnahtarA[Norm],$A207,tblVeriA[BoyCm]),0))</f>
        <v/>
      </c>
      <c r="D207" s="15">
        <f>IF($A207="","",IFERROR(SUMIF(tblAnahtarA[Norm],$A207,tblVeriA[YukseklikCm]),0))</f>
        <v/>
      </c>
      <c r="E207" s="15">
        <f>IF($A207="","",IFERROR(SUMIF(tblAnahtarA[Norm],$A207,tblVeriA[AgirlikKg]),0))</f>
        <v/>
      </c>
      <c r="F207" s="15">
        <f>IF($A207="","",IFERROR(SUMIF(tblAnahtarA[Norm],$A207,tblVeriA[DesiCarpani]),kdo_varsayilanDesiCarpani))</f>
        <v/>
      </c>
      <c r="G207" s="15">
        <f>IF($A207="","",ROUND($B207*$C207*$D207/MAX($F207,1),2))</f>
        <v/>
      </c>
      <c r="H207" s="15">
        <f>IF($A207="","",MAX($G207,$E207))</f>
        <v/>
      </c>
      <c r="I207" s="15">
        <f>IF($A207="","",IFERROR(SUMIF(tblAnahtarB[NormB],$A207,tblVeriB[TarifTlDesi]),0))</f>
        <v/>
      </c>
      <c r="J207" s="15">
        <f>IF($A207="","",IFERROR(SUMIF(tblAnahtarA[Norm],$A207,tblVeriA[Adet]),1))</f>
        <v/>
      </c>
      <c r="K207" s="15">
        <f>IF($A207="","",ROUND($H207*$I207,2))</f>
        <v/>
      </c>
      <c r="L207" s="15">
        <f>IF($A207="","",ROUND($K207*$J207*(1+$Q207*kdo_iadeEtkiCarpani),2))</f>
        <v/>
      </c>
      <c r="M207" s="15">
        <f>IF($A207="","",IFERROR(SUMIF(tblAnahtarB[NormB],$A207,tblVeriB[AlternatifTarif]),0))</f>
        <v/>
      </c>
      <c r="N207" s="15">
        <f>IF($A207="","",ROUND($H207*$M207*$J207*(1+$Q207*kdo_iadeEtkiCarpani),2))</f>
        <v/>
      </c>
      <c r="O207" s="15">
        <f>IF($A207="","",ROUND($L207-$N207,2))</f>
        <v/>
      </c>
      <c r="P207" s="15">
        <f>IF($A207="","",IF($R207&gt;kdo_esikDesiOran,"DESİ DÜŞÜR",IF($O207&gt;kdo_esikTasarruf,"TAŞIYICI DEĞİŞTİR","UYGUN")))</f>
        <v/>
      </c>
      <c r="Q207" s="15">
        <f>IF($A207="","",IFERROR(SUMIF(tblAnahtarB[NormB],$A207,tblVeriB[IadeOran]),0))</f>
        <v/>
      </c>
      <c r="R207" s="15">
        <f>IF(OR($A207="",$E207=0),0,$G207/$E207)</f>
        <v/>
      </c>
      <c r="S207" s="15">
        <f>IF($A207="","",$G207-$E207)</f>
        <v/>
      </c>
      <c r="T207" s="15">
        <f>IF($A207="","",$L207-$N207)</f>
        <v/>
      </c>
    </row>
    <row r="208">
      <c r="A208" s="15">
        <f>IF('ANAHTAR'!$B208="","",'ANAHTAR'!$B208)</f>
        <v/>
      </c>
      <c r="B208" s="15">
        <f>IF($A208="","",IFERROR(SUMIF(tblAnahtarA[Norm],$A208,tblVeriA[EnCm]),0))</f>
        <v/>
      </c>
      <c r="C208" s="15">
        <f>IF($A208="","",IFERROR(SUMIF(tblAnahtarA[Norm],$A208,tblVeriA[BoyCm]),0))</f>
        <v/>
      </c>
      <c r="D208" s="15">
        <f>IF($A208="","",IFERROR(SUMIF(tblAnahtarA[Norm],$A208,tblVeriA[YukseklikCm]),0))</f>
        <v/>
      </c>
      <c r="E208" s="15">
        <f>IF($A208="","",IFERROR(SUMIF(tblAnahtarA[Norm],$A208,tblVeriA[AgirlikKg]),0))</f>
        <v/>
      </c>
      <c r="F208" s="15">
        <f>IF($A208="","",IFERROR(SUMIF(tblAnahtarA[Norm],$A208,tblVeriA[DesiCarpani]),kdo_varsayilanDesiCarpani))</f>
        <v/>
      </c>
      <c r="G208" s="15">
        <f>IF($A208="","",ROUND($B208*$C208*$D208/MAX($F208,1),2))</f>
        <v/>
      </c>
      <c r="H208" s="15">
        <f>IF($A208="","",MAX($G208,$E208))</f>
        <v/>
      </c>
      <c r="I208" s="15">
        <f>IF($A208="","",IFERROR(SUMIF(tblAnahtarB[NormB],$A208,tblVeriB[TarifTlDesi]),0))</f>
        <v/>
      </c>
      <c r="J208" s="15">
        <f>IF($A208="","",IFERROR(SUMIF(tblAnahtarA[Norm],$A208,tblVeriA[Adet]),1))</f>
        <v/>
      </c>
      <c r="K208" s="15">
        <f>IF($A208="","",ROUND($H208*$I208,2))</f>
        <v/>
      </c>
      <c r="L208" s="15">
        <f>IF($A208="","",ROUND($K208*$J208*(1+$Q208*kdo_iadeEtkiCarpani),2))</f>
        <v/>
      </c>
      <c r="M208" s="15">
        <f>IF($A208="","",IFERROR(SUMIF(tblAnahtarB[NormB],$A208,tblVeriB[AlternatifTarif]),0))</f>
        <v/>
      </c>
      <c r="N208" s="15">
        <f>IF($A208="","",ROUND($H208*$M208*$J208*(1+$Q208*kdo_iadeEtkiCarpani),2))</f>
        <v/>
      </c>
      <c r="O208" s="15">
        <f>IF($A208="","",ROUND($L208-$N208,2))</f>
        <v/>
      </c>
      <c r="P208" s="15">
        <f>IF($A208="","",IF($R208&gt;kdo_esikDesiOran,"DESİ DÜŞÜR",IF($O208&gt;kdo_esikTasarruf,"TAŞIYICI DEĞİŞTİR","UYGUN")))</f>
        <v/>
      </c>
      <c r="Q208" s="15">
        <f>IF($A208="","",IFERROR(SUMIF(tblAnahtarB[NormB],$A208,tblVeriB[IadeOran]),0))</f>
        <v/>
      </c>
      <c r="R208" s="15">
        <f>IF(OR($A208="",$E208=0),0,$G208/$E208)</f>
        <v/>
      </c>
      <c r="S208" s="15">
        <f>IF($A208="","",$G208-$E208)</f>
        <v/>
      </c>
      <c r="T208" s="15">
        <f>IF($A208="","",$L208-$N208)</f>
        <v/>
      </c>
    </row>
    <row r="209">
      <c r="A209" s="15">
        <f>IF('ANAHTAR'!$B209="","",'ANAHTAR'!$B209)</f>
        <v/>
      </c>
      <c r="B209" s="15">
        <f>IF($A209="","",IFERROR(SUMIF(tblAnahtarA[Norm],$A209,tblVeriA[EnCm]),0))</f>
        <v/>
      </c>
      <c r="C209" s="15">
        <f>IF($A209="","",IFERROR(SUMIF(tblAnahtarA[Norm],$A209,tblVeriA[BoyCm]),0))</f>
        <v/>
      </c>
      <c r="D209" s="15">
        <f>IF($A209="","",IFERROR(SUMIF(tblAnahtarA[Norm],$A209,tblVeriA[YukseklikCm]),0))</f>
        <v/>
      </c>
      <c r="E209" s="15">
        <f>IF($A209="","",IFERROR(SUMIF(tblAnahtarA[Norm],$A209,tblVeriA[AgirlikKg]),0))</f>
        <v/>
      </c>
      <c r="F209" s="15">
        <f>IF($A209="","",IFERROR(SUMIF(tblAnahtarA[Norm],$A209,tblVeriA[DesiCarpani]),kdo_varsayilanDesiCarpani))</f>
        <v/>
      </c>
      <c r="G209" s="15">
        <f>IF($A209="","",ROUND($B209*$C209*$D209/MAX($F209,1),2))</f>
        <v/>
      </c>
      <c r="H209" s="15">
        <f>IF($A209="","",MAX($G209,$E209))</f>
        <v/>
      </c>
      <c r="I209" s="15">
        <f>IF($A209="","",IFERROR(SUMIF(tblAnahtarB[NormB],$A209,tblVeriB[TarifTlDesi]),0))</f>
        <v/>
      </c>
      <c r="J209" s="15">
        <f>IF($A209="","",IFERROR(SUMIF(tblAnahtarA[Norm],$A209,tblVeriA[Adet]),1))</f>
        <v/>
      </c>
      <c r="K209" s="15">
        <f>IF($A209="","",ROUND($H209*$I209,2))</f>
        <v/>
      </c>
      <c r="L209" s="15">
        <f>IF($A209="","",ROUND($K209*$J209*(1+$Q209*kdo_iadeEtkiCarpani),2))</f>
        <v/>
      </c>
      <c r="M209" s="15">
        <f>IF($A209="","",IFERROR(SUMIF(tblAnahtarB[NormB],$A209,tblVeriB[AlternatifTarif]),0))</f>
        <v/>
      </c>
      <c r="N209" s="15">
        <f>IF($A209="","",ROUND($H209*$M209*$J209*(1+$Q209*kdo_iadeEtkiCarpani),2))</f>
        <v/>
      </c>
      <c r="O209" s="15">
        <f>IF($A209="","",ROUND($L209-$N209,2))</f>
        <v/>
      </c>
      <c r="P209" s="15">
        <f>IF($A209="","",IF($R209&gt;kdo_esikDesiOran,"DESİ DÜŞÜR",IF($O209&gt;kdo_esikTasarruf,"TAŞIYICI DEĞİŞTİR","UYGUN")))</f>
        <v/>
      </c>
      <c r="Q209" s="15">
        <f>IF($A209="","",IFERROR(SUMIF(tblAnahtarB[NormB],$A209,tblVeriB[IadeOran]),0))</f>
        <v/>
      </c>
      <c r="R209" s="15">
        <f>IF(OR($A209="",$E209=0),0,$G209/$E209)</f>
        <v/>
      </c>
      <c r="S209" s="15">
        <f>IF($A209="","",$G209-$E209)</f>
        <v/>
      </c>
      <c r="T209" s="15">
        <f>IF($A209="","",$L209-$N209)</f>
        <v/>
      </c>
    </row>
    <row r="210">
      <c r="A210" s="15">
        <f>IF('ANAHTAR'!$B210="","",'ANAHTAR'!$B210)</f>
        <v/>
      </c>
      <c r="B210" s="15">
        <f>IF($A210="","",IFERROR(SUMIF(tblAnahtarA[Norm],$A210,tblVeriA[EnCm]),0))</f>
        <v/>
      </c>
      <c r="C210" s="15">
        <f>IF($A210="","",IFERROR(SUMIF(tblAnahtarA[Norm],$A210,tblVeriA[BoyCm]),0))</f>
        <v/>
      </c>
      <c r="D210" s="15">
        <f>IF($A210="","",IFERROR(SUMIF(tblAnahtarA[Norm],$A210,tblVeriA[YukseklikCm]),0))</f>
        <v/>
      </c>
      <c r="E210" s="15">
        <f>IF($A210="","",IFERROR(SUMIF(tblAnahtarA[Norm],$A210,tblVeriA[AgirlikKg]),0))</f>
        <v/>
      </c>
      <c r="F210" s="15">
        <f>IF($A210="","",IFERROR(SUMIF(tblAnahtarA[Norm],$A210,tblVeriA[DesiCarpani]),kdo_varsayilanDesiCarpani))</f>
        <v/>
      </c>
      <c r="G210" s="15">
        <f>IF($A210="","",ROUND($B210*$C210*$D210/MAX($F210,1),2))</f>
        <v/>
      </c>
      <c r="H210" s="15">
        <f>IF($A210="","",MAX($G210,$E210))</f>
        <v/>
      </c>
      <c r="I210" s="15">
        <f>IF($A210="","",IFERROR(SUMIF(tblAnahtarB[NormB],$A210,tblVeriB[TarifTlDesi]),0))</f>
        <v/>
      </c>
      <c r="J210" s="15">
        <f>IF($A210="","",IFERROR(SUMIF(tblAnahtarA[Norm],$A210,tblVeriA[Adet]),1))</f>
        <v/>
      </c>
      <c r="K210" s="15">
        <f>IF($A210="","",ROUND($H210*$I210,2))</f>
        <v/>
      </c>
      <c r="L210" s="15">
        <f>IF($A210="","",ROUND($K210*$J210*(1+$Q210*kdo_iadeEtkiCarpani),2))</f>
        <v/>
      </c>
      <c r="M210" s="15">
        <f>IF($A210="","",IFERROR(SUMIF(tblAnahtarB[NormB],$A210,tblVeriB[AlternatifTarif]),0))</f>
        <v/>
      </c>
      <c r="N210" s="15">
        <f>IF($A210="","",ROUND($H210*$M210*$J210*(1+$Q210*kdo_iadeEtkiCarpani),2))</f>
        <v/>
      </c>
      <c r="O210" s="15">
        <f>IF($A210="","",ROUND($L210-$N210,2))</f>
        <v/>
      </c>
      <c r="P210" s="15">
        <f>IF($A210="","",IF($R210&gt;kdo_esikDesiOran,"DESİ DÜŞÜR",IF($O210&gt;kdo_esikTasarruf,"TAŞIYICI DEĞİŞTİR","UYGUN")))</f>
        <v/>
      </c>
      <c r="Q210" s="15">
        <f>IF($A210="","",IFERROR(SUMIF(tblAnahtarB[NormB],$A210,tblVeriB[IadeOran]),0))</f>
        <v/>
      </c>
      <c r="R210" s="15">
        <f>IF(OR($A210="",$E210=0),0,$G210/$E210)</f>
        <v/>
      </c>
      <c r="S210" s="15">
        <f>IF($A210="","",$G210-$E210)</f>
        <v/>
      </c>
      <c r="T210" s="15">
        <f>IF($A210="","",$L210-$N210)</f>
        <v/>
      </c>
    </row>
    <row r="211">
      <c r="A211" s="15">
        <f>IF('ANAHTAR'!$B211="","",'ANAHTAR'!$B211)</f>
        <v/>
      </c>
      <c r="B211" s="15">
        <f>IF($A211="","",IFERROR(SUMIF(tblAnahtarA[Norm],$A211,tblVeriA[EnCm]),0))</f>
        <v/>
      </c>
      <c r="C211" s="15">
        <f>IF($A211="","",IFERROR(SUMIF(tblAnahtarA[Norm],$A211,tblVeriA[BoyCm]),0))</f>
        <v/>
      </c>
      <c r="D211" s="15">
        <f>IF($A211="","",IFERROR(SUMIF(tblAnahtarA[Norm],$A211,tblVeriA[YukseklikCm]),0))</f>
        <v/>
      </c>
      <c r="E211" s="15">
        <f>IF($A211="","",IFERROR(SUMIF(tblAnahtarA[Norm],$A211,tblVeriA[AgirlikKg]),0))</f>
        <v/>
      </c>
      <c r="F211" s="15">
        <f>IF($A211="","",IFERROR(SUMIF(tblAnahtarA[Norm],$A211,tblVeriA[DesiCarpani]),kdo_varsayilanDesiCarpani))</f>
        <v/>
      </c>
      <c r="G211" s="15">
        <f>IF($A211="","",ROUND($B211*$C211*$D211/MAX($F211,1),2))</f>
        <v/>
      </c>
      <c r="H211" s="15">
        <f>IF($A211="","",MAX($G211,$E211))</f>
        <v/>
      </c>
      <c r="I211" s="15">
        <f>IF($A211="","",IFERROR(SUMIF(tblAnahtarB[NormB],$A211,tblVeriB[TarifTlDesi]),0))</f>
        <v/>
      </c>
      <c r="J211" s="15">
        <f>IF($A211="","",IFERROR(SUMIF(tblAnahtarA[Norm],$A211,tblVeriA[Adet]),1))</f>
        <v/>
      </c>
      <c r="K211" s="15">
        <f>IF($A211="","",ROUND($H211*$I211,2))</f>
        <v/>
      </c>
      <c r="L211" s="15">
        <f>IF($A211="","",ROUND($K211*$J211*(1+$Q211*kdo_iadeEtkiCarpani),2))</f>
        <v/>
      </c>
      <c r="M211" s="15">
        <f>IF($A211="","",IFERROR(SUMIF(tblAnahtarB[NormB],$A211,tblVeriB[AlternatifTarif]),0))</f>
        <v/>
      </c>
      <c r="N211" s="15">
        <f>IF($A211="","",ROUND($H211*$M211*$J211*(1+$Q211*kdo_iadeEtkiCarpani),2))</f>
        <v/>
      </c>
      <c r="O211" s="15">
        <f>IF($A211="","",ROUND($L211-$N211,2))</f>
        <v/>
      </c>
      <c r="P211" s="15">
        <f>IF($A211="","",IF($R211&gt;kdo_esikDesiOran,"DESİ DÜŞÜR",IF($O211&gt;kdo_esikTasarruf,"TAŞIYICI DEĞİŞTİR","UYGUN")))</f>
        <v/>
      </c>
      <c r="Q211" s="15">
        <f>IF($A211="","",IFERROR(SUMIF(tblAnahtarB[NormB],$A211,tblVeriB[IadeOran]),0))</f>
        <v/>
      </c>
      <c r="R211" s="15">
        <f>IF(OR($A211="",$E211=0),0,$G211/$E211)</f>
        <v/>
      </c>
      <c r="S211" s="15">
        <f>IF($A211="","",$G211-$E211)</f>
        <v/>
      </c>
      <c r="T211" s="15">
        <f>IF($A211="","",$L211-$N211)</f>
        <v/>
      </c>
    </row>
    <row r="212">
      <c r="A212" s="15">
        <f>IF('ANAHTAR'!$B212="","",'ANAHTAR'!$B212)</f>
        <v/>
      </c>
      <c r="B212" s="15">
        <f>IF($A212="","",IFERROR(SUMIF(tblAnahtarA[Norm],$A212,tblVeriA[EnCm]),0))</f>
        <v/>
      </c>
      <c r="C212" s="15">
        <f>IF($A212="","",IFERROR(SUMIF(tblAnahtarA[Norm],$A212,tblVeriA[BoyCm]),0))</f>
        <v/>
      </c>
      <c r="D212" s="15">
        <f>IF($A212="","",IFERROR(SUMIF(tblAnahtarA[Norm],$A212,tblVeriA[YukseklikCm]),0))</f>
        <v/>
      </c>
      <c r="E212" s="15">
        <f>IF($A212="","",IFERROR(SUMIF(tblAnahtarA[Norm],$A212,tblVeriA[AgirlikKg]),0))</f>
        <v/>
      </c>
      <c r="F212" s="15">
        <f>IF($A212="","",IFERROR(SUMIF(tblAnahtarA[Norm],$A212,tblVeriA[DesiCarpani]),kdo_varsayilanDesiCarpani))</f>
        <v/>
      </c>
      <c r="G212" s="15">
        <f>IF($A212="","",ROUND($B212*$C212*$D212/MAX($F212,1),2))</f>
        <v/>
      </c>
      <c r="H212" s="15">
        <f>IF($A212="","",MAX($G212,$E212))</f>
        <v/>
      </c>
      <c r="I212" s="15">
        <f>IF($A212="","",IFERROR(SUMIF(tblAnahtarB[NormB],$A212,tblVeriB[TarifTlDesi]),0))</f>
        <v/>
      </c>
      <c r="J212" s="15">
        <f>IF($A212="","",IFERROR(SUMIF(tblAnahtarA[Norm],$A212,tblVeriA[Adet]),1))</f>
        <v/>
      </c>
      <c r="K212" s="15">
        <f>IF($A212="","",ROUND($H212*$I212,2))</f>
        <v/>
      </c>
      <c r="L212" s="15">
        <f>IF($A212="","",ROUND($K212*$J212*(1+$Q212*kdo_iadeEtkiCarpani),2))</f>
        <v/>
      </c>
      <c r="M212" s="15">
        <f>IF($A212="","",IFERROR(SUMIF(tblAnahtarB[NormB],$A212,tblVeriB[AlternatifTarif]),0))</f>
        <v/>
      </c>
      <c r="N212" s="15">
        <f>IF($A212="","",ROUND($H212*$M212*$J212*(1+$Q212*kdo_iadeEtkiCarpani),2))</f>
        <v/>
      </c>
      <c r="O212" s="15">
        <f>IF($A212="","",ROUND($L212-$N212,2))</f>
        <v/>
      </c>
      <c r="P212" s="15">
        <f>IF($A212="","",IF($R212&gt;kdo_esikDesiOran,"DESİ DÜŞÜR",IF($O212&gt;kdo_esikTasarruf,"TAŞIYICI DEĞİŞTİR","UYGUN")))</f>
        <v/>
      </c>
      <c r="Q212" s="15">
        <f>IF($A212="","",IFERROR(SUMIF(tblAnahtarB[NormB],$A212,tblVeriB[IadeOran]),0))</f>
        <v/>
      </c>
      <c r="R212" s="15">
        <f>IF(OR($A212="",$E212=0),0,$G212/$E212)</f>
        <v/>
      </c>
      <c r="S212" s="15">
        <f>IF($A212="","",$G212-$E212)</f>
        <v/>
      </c>
      <c r="T212" s="15">
        <f>IF($A212="","",$L212-$N212)</f>
        <v/>
      </c>
    </row>
    <row r="213">
      <c r="A213" s="15">
        <f>IF('ANAHTAR'!$B213="","",'ANAHTAR'!$B213)</f>
        <v/>
      </c>
      <c r="B213" s="15">
        <f>IF($A213="","",IFERROR(SUMIF(tblAnahtarA[Norm],$A213,tblVeriA[EnCm]),0))</f>
        <v/>
      </c>
      <c r="C213" s="15">
        <f>IF($A213="","",IFERROR(SUMIF(tblAnahtarA[Norm],$A213,tblVeriA[BoyCm]),0))</f>
        <v/>
      </c>
      <c r="D213" s="15">
        <f>IF($A213="","",IFERROR(SUMIF(tblAnahtarA[Norm],$A213,tblVeriA[YukseklikCm]),0))</f>
        <v/>
      </c>
      <c r="E213" s="15">
        <f>IF($A213="","",IFERROR(SUMIF(tblAnahtarA[Norm],$A213,tblVeriA[AgirlikKg]),0))</f>
        <v/>
      </c>
      <c r="F213" s="15">
        <f>IF($A213="","",IFERROR(SUMIF(tblAnahtarA[Norm],$A213,tblVeriA[DesiCarpani]),kdo_varsayilanDesiCarpani))</f>
        <v/>
      </c>
      <c r="G213" s="15">
        <f>IF($A213="","",ROUND($B213*$C213*$D213/MAX($F213,1),2))</f>
        <v/>
      </c>
      <c r="H213" s="15">
        <f>IF($A213="","",MAX($G213,$E213))</f>
        <v/>
      </c>
      <c r="I213" s="15">
        <f>IF($A213="","",IFERROR(SUMIF(tblAnahtarB[NormB],$A213,tblVeriB[TarifTlDesi]),0))</f>
        <v/>
      </c>
      <c r="J213" s="15">
        <f>IF($A213="","",IFERROR(SUMIF(tblAnahtarA[Norm],$A213,tblVeriA[Adet]),1))</f>
        <v/>
      </c>
      <c r="K213" s="15">
        <f>IF($A213="","",ROUND($H213*$I213,2))</f>
        <v/>
      </c>
      <c r="L213" s="15">
        <f>IF($A213="","",ROUND($K213*$J213*(1+$Q213*kdo_iadeEtkiCarpani),2))</f>
        <v/>
      </c>
      <c r="M213" s="15">
        <f>IF($A213="","",IFERROR(SUMIF(tblAnahtarB[NormB],$A213,tblVeriB[AlternatifTarif]),0))</f>
        <v/>
      </c>
      <c r="N213" s="15">
        <f>IF($A213="","",ROUND($H213*$M213*$J213*(1+$Q213*kdo_iadeEtkiCarpani),2))</f>
        <v/>
      </c>
      <c r="O213" s="15">
        <f>IF($A213="","",ROUND($L213-$N213,2))</f>
        <v/>
      </c>
      <c r="P213" s="15">
        <f>IF($A213="","",IF($R213&gt;kdo_esikDesiOran,"DESİ DÜŞÜR",IF($O213&gt;kdo_esikTasarruf,"TAŞIYICI DEĞİŞTİR","UYGUN")))</f>
        <v/>
      </c>
      <c r="Q213" s="15">
        <f>IF($A213="","",IFERROR(SUMIF(tblAnahtarB[NormB],$A213,tblVeriB[IadeOran]),0))</f>
        <v/>
      </c>
      <c r="R213" s="15">
        <f>IF(OR($A213="",$E213=0),0,$G213/$E213)</f>
        <v/>
      </c>
      <c r="S213" s="15">
        <f>IF($A213="","",$G213-$E213)</f>
        <v/>
      </c>
      <c r="T213" s="15">
        <f>IF($A213="","",$L213-$N213)</f>
        <v/>
      </c>
    </row>
    <row r="214">
      <c r="A214" s="15">
        <f>IF('ANAHTAR'!$B214="","",'ANAHTAR'!$B214)</f>
        <v/>
      </c>
      <c r="B214" s="15">
        <f>IF($A214="","",IFERROR(SUMIF(tblAnahtarA[Norm],$A214,tblVeriA[EnCm]),0))</f>
        <v/>
      </c>
      <c r="C214" s="15">
        <f>IF($A214="","",IFERROR(SUMIF(tblAnahtarA[Norm],$A214,tblVeriA[BoyCm]),0))</f>
        <v/>
      </c>
      <c r="D214" s="15">
        <f>IF($A214="","",IFERROR(SUMIF(tblAnahtarA[Norm],$A214,tblVeriA[YukseklikCm]),0))</f>
        <v/>
      </c>
      <c r="E214" s="15">
        <f>IF($A214="","",IFERROR(SUMIF(tblAnahtarA[Norm],$A214,tblVeriA[AgirlikKg]),0))</f>
        <v/>
      </c>
      <c r="F214" s="15">
        <f>IF($A214="","",IFERROR(SUMIF(tblAnahtarA[Norm],$A214,tblVeriA[DesiCarpani]),kdo_varsayilanDesiCarpani))</f>
        <v/>
      </c>
      <c r="G214" s="15">
        <f>IF($A214="","",ROUND($B214*$C214*$D214/MAX($F214,1),2))</f>
        <v/>
      </c>
      <c r="H214" s="15">
        <f>IF($A214="","",MAX($G214,$E214))</f>
        <v/>
      </c>
      <c r="I214" s="15">
        <f>IF($A214="","",IFERROR(SUMIF(tblAnahtarB[NormB],$A214,tblVeriB[TarifTlDesi]),0))</f>
        <v/>
      </c>
      <c r="J214" s="15">
        <f>IF($A214="","",IFERROR(SUMIF(tblAnahtarA[Norm],$A214,tblVeriA[Adet]),1))</f>
        <v/>
      </c>
      <c r="K214" s="15">
        <f>IF($A214="","",ROUND($H214*$I214,2))</f>
        <v/>
      </c>
      <c r="L214" s="15">
        <f>IF($A214="","",ROUND($K214*$J214*(1+$Q214*kdo_iadeEtkiCarpani),2))</f>
        <v/>
      </c>
      <c r="M214" s="15">
        <f>IF($A214="","",IFERROR(SUMIF(tblAnahtarB[NormB],$A214,tblVeriB[AlternatifTarif]),0))</f>
        <v/>
      </c>
      <c r="N214" s="15">
        <f>IF($A214="","",ROUND($H214*$M214*$J214*(1+$Q214*kdo_iadeEtkiCarpani),2))</f>
        <v/>
      </c>
      <c r="O214" s="15">
        <f>IF($A214="","",ROUND($L214-$N214,2))</f>
        <v/>
      </c>
      <c r="P214" s="15">
        <f>IF($A214="","",IF($R214&gt;kdo_esikDesiOran,"DESİ DÜŞÜR",IF($O214&gt;kdo_esikTasarruf,"TAŞIYICI DEĞİŞTİR","UYGUN")))</f>
        <v/>
      </c>
      <c r="Q214" s="15">
        <f>IF($A214="","",IFERROR(SUMIF(tblAnahtarB[NormB],$A214,tblVeriB[IadeOran]),0))</f>
        <v/>
      </c>
      <c r="R214" s="15">
        <f>IF(OR($A214="",$E214=0),0,$G214/$E214)</f>
        <v/>
      </c>
      <c r="S214" s="15">
        <f>IF($A214="","",$G214-$E214)</f>
        <v/>
      </c>
      <c r="T214" s="15">
        <f>IF($A214="","",$L214-$N214)</f>
        <v/>
      </c>
    </row>
    <row r="215">
      <c r="A215" s="15">
        <f>IF('ANAHTAR'!$B215="","",'ANAHTAR'!$B215)</f>
        <v/>
      </c>
      <c r="B215" s="15">
        <f>IF($A215="","",IFERROR(SUMIF(tblAnahtarA[Norm],$A215,tblVeriA[EnCm]),0))</f>
        <v/>
      </c>
      <c r="C215" s="15">
        <f>IF($A215="","",IFERROR(SUMIF(tblAnahtarA[Norm],$A215,tblVeriA[BoyCm]),0))</f>
        <v/>
      </c>
      <c r="D215" s="15">
        <f>IF($A215="","",IFERROR(SUMIF(tblAnahtarA[Norm],$A215,tblVeriA[YukseklikCm]),0))</f>
        <v/>
      </c>
      <c r="E215" s="15">
        <f>IF($A215="","",IFERROR(SUMIF(tblAnahtarA[Norm],$A215,tblVeriA[AgirlikKg]),0))</f>
        <v/>
      </c>
      <c r="F215" s="15">
        <f>IF($A215="","",IFERROR(SUMIF(tblAnahtarA[Norm],$A215,tblVeriA[DesiCarpani]),kdo_varsayilanDesiCarpani))</f>
        <v/>
      </c>
      <c r="G215" s="15">
        <f>IF($A215="","",ROUND($B215*$C215*$D215/MAX($F215,1),2))</f>
        <v/>
      </c>
      <c r="H215" s="15">
        <f>IF($A215="","",MAX($G215,$E215))</f>
        <v/>
      </c>
      <c r="I215" s="15">
        <f>IF($A215="","",IFERROR(SUMIF(tblAnahtarB[NormB],$A215,tblVeriB[TarifTlDesi]),0))</f>
        <v/>
      </c>
      <c r="J215" s="15">
        <f>IF($A215="","",IFERROR(SUMIF(tblAnahtarA[Norm],$A215,tblVeriA[Adet]),1))</f>
        <v/>
      </c>
      <c r="K215" s="15">
        <f>IF($A215="","",ROUND($H215*$I215,2))</f>
        <v/>
      </c>
      <c r="L215" s="15">
        <f>IF($A215="","",ROUND($K215*$J215*(1+$Q215*kdo_iadeEtkiCarpani),2))</f>
        <v/>
      </c>
      <c r="M215" s="15">
        <f>IF($A215="","",IFERROR(SUMIF(tblAnahtarB[NormB],$A215,tblVeriB[AlternatifTarif]),0))</f>
        <v/>
      </c>
      <c r="N215" s="15">
        <f>IF($A215="","",ROUND($H215*$M215*$J215*(1+$Q215*kdo_iadeEtkiCarpani),2))</f>
        <v/>
      </c>
      <c r="O215" s="15">
        <f>IF($A215="","",ROUND($L215-$N215,2))</f>
        <v/>
      </c>
      <c r="P215" s="15">
        <f>IF($A215="","",IF($R215&gt;kdo_esikDesiOran,"DESİ DÜŞÜR",IF($O215&gt;kdo_esikTasarruf,"TAŞIYICI DEĞİŞTİR","UYGUN")))</f>
        <v/>
      </c>
      <c r="Q215" s="15">
        <f>IF($A215="","",IFERROR(SUMIF(tblAnahtarB[NormB],$A215,tblVeriB[IadeOran]),0))</f>
        <v/>
      </c>
      <c r="R215" s="15">
        <f>IF(OR($A215="",$E215=0),0,$G215/$E215)</f>
        <v/>
      </c>
      <c r="S215" s="15">
        <f>IF($A215="","",$G215-$E215)</f>
        <v/>
      </c>
      <c r="T215" s="15">
        <f>IF($A215="","",$L215-$N215)</f>
        <v/>
      </c>
    </row>
    <row r="216">
      <c r="A216" s="15">
        <f>IF('ANAHTAR'!$B216="","",'ANAHTAR'!$B216)</f>
        <v/>
      </c>
      <c r="B216" s="15">
        <f>IF($A216="","",IFERROR(SUMIF(tblAnahtarA[Norm],$A216,tblVeriA[EnCm]),0))</f>
        <v/>
      </c>
      <c r="C216" s="15">
        <f>IF($A216="","",IFERROR(SUMIF(tblAnahtarA[Norm],$A216,tblVeriA[BoyCm]),0))</f>
        <v/>
      </c>
      <c r="D216" s="15">
        <f>IF($A216="","",IFERROR(SUMIF(tblAnahtarA[Norm],$A216,tblVeriA[YukseklikCm]),0))</f>
        <v/>
      </c>
      <c r="E216" s="15">
        <f>IF($A216="","",IFERROR(SUMIF(tblAnahtarA[Norm],$A216,tblVeriA[AgirlikKg]),0))</f>
        <v/>
      </c>
      <c r="F216" s="15">
        <f>IF($A216="","",IFERROR(SUMIF(tblAnahtarA[Norm],$A216,tblVeriA[DesiCarpani]),kdo_varsayilanDesiCarpani))</f>
        <v/>
      </c>
      <c r="G216" s="15">
        <f>IF($A216="","",ROUND($B216*$C216*$D216/MAX($F216,1),2))</f>
        <v/>
      </c>
      <c r="H216" s="15">
        <f>IF($A216="","",MAX($G216,$E216))</f>
        <v/>
      </c>
      <c r="I216" s="15">
        <f>IF($A216="","",IFERROR(SUMIF(tblAnahtarB[NormB],$A216,tblVeriB[TarifTlDesi]),0))</f>
        <v/>
      </c>
      <c r="J216" s="15">
        <f>IF($A216="","",IFERROR(SUMIF(tblAnahtarA[Norm],$A216,tblVeriA[Adet]),1))</f>
        <v/>
      </c>
      <c r="K216" s="15">
        <f>IF($A216="","",ROUND($H216*$I216,2))</f>
        <v/>
      </c>
      <c r="L216" s="15">
        <f>IF($A216="","",ROUND($K216*$J216*(1+$Q216*kdo_iadeEtkiCarpani),2))</f>
        <v/>
      </c>
      <c r="M216" s="15">
        <f>IF($A216="","",IFERROR(SUMIF(tblAnahtarB[NormB],$A216,tblVeriB[AlternatifTarif]),0))</f>
        <v/>
      </c>
      <c r="N216" s="15">
        <f>IF($A216="","",ROUND($H216*$M216*$J216*(1+$Q216*kdo_iadeEtkiCarpani),2))</f>
        <v/>
      </c>
      <c r="O216" s="15">
        <f>IF($A216="","",ROUND($L216-$N216,2))</f>
        <v/>
      </c>
      <c r="P216" s="15">
        <f>IF($A216="","",IF($R216&gt;kdo_esikDesiOran,"DESİ DÜŞÜR",IF($O216&gt;kdo_esikTasarruf,"TAŞIYICI DEĞİŞTİR","UYGUN")))</f>
        <v/>
      </c>
      <c r="Q216" s="15">
        <f>IF($A216="","",IFERROR(SUMIF(tblAnahtarB[NormB],$A216,tblVeriB[IadeOran]),0))</f>
        <v/>
      </c>
      <c r="R216" s="15">
        <f>IF(OR($A216="",$E216=0),0,$G216/$E216)</f>
        <v/>
      </c>
      <c r="S216" s="15">
        <f>IF($A216="","",$G216-$E216)</f>
        <v/>
      </c>
      <c r="T216" s="15">
        <f>IF($A216="","",$L216-$N216)</f>
        <v/>
      </c>
    </row>
    <row r="217">
      <c r="A217" s="15">
        <f>IF('ANAHTAR'!$B217="","",'ANAHTAR'!$B217)</f>
        <v/>
      </c>
      <c r="B217" s="15">
        <f>IF($A217="","",IFERROR(SUMIF(tblAnahtarA[Norm],$A217,tblVeriA[EnCm]),0))</f>
        <v/>
      </c>
      <c r="C217" s="15">
        <f>IF($A217="","",IFERROR(SUMIF(tblAnahtarA[Norm],$A217,tblVeriA[BoyCm]),0))</f>
        <v/>
      </c>
      <c r="D217" s="15">
        <f>IF($A217="","",IFERROR(SUMIF(tblAnahtarA[Norm],$A217,tblVeriA[YukseklikCm]),0))</f>
        <v/>
      </c>
      <c r="E217" s="15">
        <f>IF($A217="","",IFERROR(SUMIF(tblAnahtarA[Norm],$A217,tblVeriA[AgirlikKg]),0))</f>
        <v/>
      </c>
      <c r="F217" s="15">
        <f>IF($A217="","",IFERROR(SUMIF(tblAnahtarA[Norm],$A217,tblVeriA[DesiCarpani]),kdo_varsayilanDesiCarpani))</f>
        <v/>
      </c>
      <c r="G217" s="15">
        <f>IF($A217="","",ROUND($B217*$C217*$D217/MAX($F217,1),2))</f>
        <v/>
      </c>
      <c r="H217" s="15">
        <f>IF($A217="","",MAX($G217,$E217))</f>
        <v/>
      </c>
      <c r="I217" s="15">
        <f>IF($A217="","",IFERROR(SUMIF(tblAnahtarB[NormB],$A217,tblVeriB[TarifTlDesi]),0))</f>
        <v/>
      </c>
      <c r="J217" s="15">
        <f>IF($A217="","",IFERROR(SUMIF(tblAnahtarA[Norm],$A217,tblVeriA[Adet]),1))</f>
        <v/>
      </c>
      <c r="K217" s="15">
        <f>IF($A217="","",ROUND($H217*$I217,2))</f>
        <v/>
      </c>
      <c r="L217" s="15">
        <f>IF($A217="","",ROUND($K217*$J217*(1+$Q217*kdo_iadeEtkiCarpani),2))</f>
        <v/>
      </c>
      <c r="M217" s="15">
        <f>IF($A217="","",IFERROR(SUMIF(tblAnahtarB[NormB],$A217,tblVeriB[AlternatifTarif]),0))</f>
        <v/>
      </c>
      <c r="N217" s="15">
        <f>IF($A217="","",ROUND($H217*$M217*$J217*(1+$Q217*kdo_iadeEtkiCarpani),2))</f>
        <v/>
      </c>
      <c r="O217" s="15">
        <f>IF($A217="","",ROUND($L217-$N217,2))</f>
        <v/>
      </c>
      <c r="P217" s="15">
        <f>IF($A217="","",IF($R217&gt;kdo_esikDesiOran,"DESİ DÜŞÜR",IF($O217&gt;kdo_esikTasarruf,"TAŞIYICI DEĞİŞTİR","UYGUN")))</f>
        <v/>
      </c>
      <c r="Q217" s="15">
        <f>IF($A217="","",IFERROR(SUMIF(tblAnahtarB[NormB],$A217,tblVeriB[IadeOran]),0))</f>
        <v/>
      </c>
      <c r="R217" s="15">
        <f>IF(OR($A217="",$E217=0),0,$G217/$E217)</f>
        <v/>
      </c>
      <c r="S217" s="15">
        <f>IF($A217="","",$G217-$E217)</f>
        <v/>
      </c>
      <c r="T217" s="15">
        <f>IF($A217="","",$L217-$N217)</f>
        <v/>
      </c>
    </row>
    <row r="218">
      <c r="A218" s="15">
        <f>IF('ANAHTAR'!$B218="","",'ANAHTAR'!$B218)</f>
        <v/>
      </c>
      <c r="B218" s="15">
        <f>IF($A218="","",IFERROR(SUMIF(tblAnahtarA[Norm],$A218,tblVeriA[EnCm]),0))</f>
        <v/>
      </c>
      <c r="C218" s="15">
        <f>IF($A218="","",IFERROR(SUMIF(tblAnahtarA[Norm],$A218,tblVeriA[BoyCm]),0))</f>
        <v/>
      </c>
      <c r="D218" s="15">
        <f>IF($A218="","",IFERROR(SUMIF(tblAnahtarA[Norm],$A218,tblVeriA[YukseklikCm]),0))</f>
        <v/>
      </c>
      <c r="E218" s="15">
        <f>IF($A218="","",IFERROR(SUMIF(tblAnahtarA[Norm],$A218,tblVeriA[AgirlikKg]),0))</f>
        <v/>
      </c>
      <c r="F218" s="15">
        <f>IF($A218="","",IFERROR(SUMIF(tblAnahtarA[Norm],$A218,tblVeriA[DesiCarpani]),kdo_varsayilanDesiCarpani))</f>
        <v/>
      </c>
      <c r="G218" s="15">
        <f>IF($A218="","",ROUND($B218*$C218*$D218/MAX($F218,1),2))</f>
        <v/>
      </c>
      <c r="H218" s="15">
        <f>IF($A218="","",MAX($G218,$E218))</f>
        <v/>
      </c>
      <c r="I218" s="15">
        <f>IF($A218="","",IFERROR(SUMIF(tblAnahtarB[NormB],$A218,tblVeriB[TarifTlDesi]),0))</f>
        <v/>
      </c>
      <c r="J218" s="15">
        <f>IF($A218="","",IFERROR(SUMIF(tblAnahtarA[Norm],$A218,tblVeriA[Adet]),1))</f>
        <v/>
      </c>
      <c r="K218" s="15">
        <f>IF($A218="","",ROUND($H218*$I218,2))</f>
        <v/>
      </c>
      <c r="L218" s="15">
        <f>IF($A218="","",ROUND($K218*$J218*(1+$Q218*kdo_iadeEtkiCarpani),2))</f>
        <v/>
      </c>
      <c r="M218" s="15">
        <f>IF($A218="","",IFERROR(SUMIF(tblAnahtarB[NormB],$A218,tblVeriB[AlternatifTarif]),0))</f>
        <v/>
      </c>
      <c r="N218" s="15">
        <f>IF($A218="","",ROUND($H218*$M218*$J218*(1+$Q218*kdo_iadeEtkiCarpani),2))</f>
        <v/>
      </c>
      <c r="O218" s="15">
        <f>IF($A218="","",ROUND($L218-$N218,2))</f>
        <v/>
      </c>
      <c r="P218" s="15">
        <f>IF($A218="","",IF($R218&gt;kdo_esikDesiOran,"DESİ DÜŞÜR",IF($O218&gt;kdo_esikTasarruf,"TAŞIYICI DEĞİŞTİR","UYGUN")))</f>
        <v/>
      </c>
      <c r="Q218" s="15">
        <f>IF($A218="","",IFERROR(SUMIF(tblAnahtarB[NormB],$A218,tblVeriB[IadeOran]),0))</f>
        <v/>
      </c>
      <c r="R218" s="15">
        <f>IF(OR($A218="",$E218=0),0,$G218/$E218)</f>
        <v/>
      </c>
      <c r="S218" s="15">
        <f>IF($A218="","",$G218-$E218)</f>
        <v/>
      </c>
      <c r="T218" s="15">
        <f>IF($A218="","",$L218-$N218)</f>
        <v/>
      </c>
    </row>
    <row r="219">
      <c r="A219" s="15">
        <f>IF('ANAHTAR'!$B219="","",'ANAHTAR'!$B219)</f>
        <v/>
      </c>
      <c r="B219" s="15">
        <f>IF($A219="","",IFERROR(SUMIF(tblAnahtarA[Norm],$A219,tblVeriA[EnCm]),0))</f>
        <v/>
      </c>
      <c r="C219" s="15">
        <f>IF($A219="","",IFERROR(SUMIF(tblAnahtarA[Norm],$A219,tblVeriA[BoyCm]),0))</f>
        <v/>
      </c>
      <c r="D219" s="15">
        <f>IF($A219="","",IFERROR(SUMIF(tblAnahtarA[Norm],$A219,tblVeriA[YukseklikCm]),0))</f>
        <v/>
      </c>
      <c r="E219" s="15">
        <f>IF($A219="","",IFERROR(SUMIF(tblAnahtarA[Norm],$A219,tblVeriA[AgirlikKg]),0))</f>
        <v/>
      </c>
      <c r="F219" s="15">
        <f>IF($A219="","",IFERROR(SUMIF(tblAnahtarA[Norm],$A219,tblVeriA[DesiCarpani]),kdo_varsayilanDesiCarpani))</f>
        <v/>
      </c>
      <c r="G219" s="15">
        <f>IF($A219="","",ROUND($B219*$C219*$D219/MAX($F219,1),2))</f>
        <v/>
      </c>
      <c r="H219" s="15">
        <f>IF($A219="","",MAX($G219,$E219))</f>
        <v/>
      </c>
      <c r="I219" s="15">
        <f>IF($A219="","",IFERROR(SUMIF(tblAnahtarB[NormB],$A219,tblVeriB[TarifTlDesi]),0))</f>
        <v/>
      </c>
      <c r="J219" s="15">
        <f>IF($A219="","",IFERROR(SUMIF(tblAnahtarA[Norm],$A219,tblVeriA[Adet]),1))</f>
        <v/>
      </c>
      <c r="K219" s="15">
        <f>IF($A219="","",ROUND($H219*$I219,2))</f>
        <v/>
      </c>
      <c r="L219" s="15">
        <f>IF($A219="","",ROUND($K219*$J219*(1+$Q219*kdo_iadeEtkiCarpani),2))</f>
        <v/>
      </c>
      <c r="M219" s="15">
        <f>IF($A219="","",IFERROR(SUMIF(tblAnahtarB[NormB],$A219,tblVeriB[AlternatifTarif]),0))</f>
        <v/>
      </c>
      <c r="N219" s="15">
        <f>IF($A219="","",ROUND($H219*$M219*$J219*(1+$Q219*kdo_iadeEtkiCarpani),2))</f>
        <v/>
      </c>
      <c r="O219" s="15">
        <f>IF($A219="","",ROUND($L219-$N219,2))</f>
        <v/>
      </c>
      <c r="P219" s="15">
        <f>IF($A219="","",IF($R219&gt;kdo_esikDesiOran,"DESİ DÜŞÜR",IF($O219&gt;kdo_esikTasarruf,"TAŞIYICI DEĞİŞTİR","UYGUN")))</f>
        <v/>
      </c>
      <c r="Q219" s="15">
        <f>IF($A219="","",IFERROR(SUMIF(tblAnahtarB[NormB],$A219,tblVeriB[IadeOran]),0))</f>
        <v/>
      </c>
      <c r="R219" s="15">
        <f>IF(OR($A219="",$E219=0),0,$G219/$E219)</f>
        <v/>
      </c>
      <c r="S219" s="15">
        <f>IF($A219="","",$G219-$E219)</f>
        <v/>
      </c>
      <c r="T219" s="15">
        <f>IF($A219="","",$L219-$N219)</f>
        <v/>
      </c>
    </row>
    <row r="220">
      <c r="A220" s="15">
        <f>IF('ANAHTAR'!$B220="","",'ANAHTAR'!$B220)</f>
        <v/>
      </c>
      <c r="B220" s="15">
        <f>IF($A220="","",IFERROR(SUMIF(tblAnahtarA[Norm],$A220,tblVeriA[EnCm]),0))</f>
        <v/>
      </c>
      <c r="C220" s="15">
        <f>IF($A220="","",IFERROR(SUMIF(tblAnahtarA[Norm],$A220,tblVeriA[BoyCm]),0))</f>
        <v/>
      </c>
      <c r="D220" s="15">
        <f>IF($A220="","",IFERROR(SUMIF(tblAnahtarA[Norm],$A220,tblVeriA[YukseklikCm]),0))</f>
        <v/>
      </c>
      <c r="E220" s="15">
        <f>IF($A220="","",IFERROR(SUMIF(tblAnahtarA[Norm],$A220,tblVeriA[AgirlikKg]),0))</f>
        <v/>
      </c>
      <c r="F220" s="15">
        <f>IF($A220="","",IFERROR(SUMIF(tblAnahtarA[Norm],$A220,tblVeriA[DesiCarpani]),kdo_varsayilanDesiCarpani))</f>
        <v/>
      </c>
      <c r="G220" s="15">
        <f>IF($A220="","",ROUND($B220*$C220*$D220/MAX($F220,1),2))</f>
        <v/>
      </c>
      <c r="H220" s="15">
        <f>IF($A220="","",MAX($G220,$E220))</f>
        <v/>
      </c>
      <c r="I220" s="15">
        <f>IF($A220="","",IFERROR(SUMIF(tblAnahtarB[NormB],$A220,tblVeriB[TarifTlDesi]),0))</f>
        <v/>
      </c>
      <c r="J220" s="15">
        <f>IF($A220="","",IFERROR(SUMIF(tblAnahtarA[Norm],$A220,tblVeriA[Adet]),1))</f>
        <v/>
      </c>
      <c r="K220" s="15">
        <f>IF($A220="","",ROUND($H220*$I220,2))</f>
        <v/>
      </c>
      <c r="L220" s="15">
        <f>IF($A220="","",ROUND($K220*$J220*(1+$Q220*kdo_iadeEtkiCarpani),2))</f>
        <v/>
      </c>
      <c r="M220" s="15">
        <f>IF($A220="","",IFERROR(SUMIF(tblAnahtarB[NormB],$A220,tblVeriB[AlternatifTarif]),0))</f>
        <v/>
      </c>
      <c r="N220" s="15">
        <f>IF($A220="","",ROUND($H220*$M220*$J220*(1+$Q220*kdo_iadeEtkiCarpani),2))</f>
        <v/>
      </c>
      <c r="O220" s="15">
        <f>IF($A220="","",ROUND($L220-$N220,2))</f>
        <v/>
      </c>
      <c r="P220" s="15">
        <f>IF($A220="","",IF($R220&gt;kdo_esikDesiOran,"DESİ DÜŞÜR",IF($O220&gt;kdo_esikTasarruf,"TAŞIYICI DEĞİŞTİR","UYGUN")))</f>
        <v/>
      </c>
      <c r="Q220" s="15">
        <f>IF($A220="","",IFERROR(SUMIF(tblAnahtarB[NormB],$A220,tblVeriB[IadeOran]),0))</f>
        <v/>
      </c>
      <c r="R220" s="15">
        <f>IF(OR($A220="",$E220=0),0,$G220/$E220)</f>
        <v/>
      </c>
      <c r="S220" s="15">
        <f>IF($A220="","",$G220-$E220)</f>
        <v/>
      </c>
      <c r="T220" s="15">
        <f>IF($A220="","",$L220-$N220)</f>
        <v/>
      </c>
    </row>
    <row r="221">
      <c r="A221" s="15">
        <f>IF('ANAHTAR'!$B221="","",'ANAHTAR'!$B221)</f>
        <v/>
      </c>
      <c r="B221" s="15">
        <f>IF($A221="","",IFERROR(SUMIF(tblAnahtarA[Norm],$A221,tblVeriA[EnCm]),0))</f>
        <v/>
      </c>
      <c r="C221" s="15">
        <f>IF($A221="","",IFERROR(SUMIF(tblAnahtarA[Norm],$A221,tblVeriA[BoyCm]),0))</f>
        <v/>
      </c>
      <c r="D221" s="15">
        <f>IF($A221="","",IFERROR(SUMIF(tblAnahtarA[Norm],$A221,tblVeriA[YukseklikCm]),0))</f>
        <v/>
      </c>
      <c r="E221" s="15">
        <f>IF($A221="","",IFERROR(SUMIF(tblAnahtarA[Norm],$A221,tblVeriA[AgirlikKg]),0))</f>
        <v/>
      </c>
      <c r="F221" s="15">
        <f>IF($A221="","",IFERROR(SUMIF(tblAnahtarA[Norm],$A221,tblVeriA[DesiCarpani]),kdo_varsayilanDesiCarpani))</f>
        <v/>
      </c>
      <c r="G221" s="15">
        <f>IF($A221="","",ROUND($B221*$C221*$D221/MAX($F221,1),2))</f>
        <v/>
      </c>
      <c r="H221" s="15">
        <f>IF($A221="","",MAX($G221,$E221))</f>
        <v/>
      </c>
      <c r="I221" s="15">
        <f>IF($A221="","",IFERROR(SUMIF(tblAnahtarB[NormB],$A221,tblVeriB[TarifTlDesi]),0))</f>
        <v/>
      </c>
      <c r="J221" s="15">
        <f>IF($A221="","",IFERROR(SUMIF(tblAnahtarA[Norm],$A221,tblVeriA[Adet]),1))</f>
        <v/>
      </c>
      <c r="K221" s="15">
        <f>IF($A221="","",ROUND($H221*$I221,2))</f>
        <v/>
      </c>
      <c r="L221" s="15">
        <f>IF($A221="","",ROUND($K221*$J221*(1+$Q221*kdo_iadeEtkiCarpani),2))</f>
        <v/>
      </c>
      <c r="M221" s="15">
        <f>IF($A221="","",IFERROR(SUMIF(tblAnahtarB[NormB],$A221,tblVeriB[AlternatifTarif]),0))</f>
        <v/>
      </c>
      <c r="N221" s="15">
        <f>IF($A221="","",ROUND($H221*$M221*$J221*(1+$Q221*kdo_iadeEtkiCarpani),2))</f>
        <v/>
      </c>
      <c r="O221" s="15">
        <f>IF($A221="","",ROUND($L221-$N221,2))</f>
        <v/>
      </c>
      <c r="P221" s="15">
        <f>IF($A221="","",IF($R221&gt;kdo_esikDesiOran,"DESİ DÜŞÜR",IF($O221&gt;kdo_esikTasarruf,"TAŞIYICI DEĞİŞTİR","UYGUN")))</f>
        <v/>
      </c>
      <c r="Q221" s="15">
        <f>IF($A221="","",IFERROR(SUMIF(tblAnahtarB[NormB],$A221,tblVeriB[IadeOran]),0))</f>
        <v/>
      </c>
      <c r="R221" s="15">
        <f>IF(OR($A221="",$E221=0),0,$G221/$E221)</f>
        <v/>
      </c>
      <c r="S221" s="15">
        <f>IF($A221="","",$G221-$E221)</f>
        <v/>
      </c>
      <c r="T221" s="15">
        <f>IF($A221="","",$L221-$N221)</f>
        <v/>
      </c>
    </row>
    <row r="222">
      <c r="A222" s="15">
        <f>IF('ANAHTAR'!$B222="","",'ANAHTAR'!$B222)</f>
        <v/>
      </c>
      <c r="B222" s="15">
        <f>IF($A222="","",IFERROR(SUMIF(tblAnahtarA[Norm],$A222,tblVeriA[EnCm]),0))</f>
        <v/>
      </c>
      <c r="C222" s="15">
        <f>IF($A222="","",IFERROR(SUMIF(tblAnahtarA[Norm],$A222,tblVeriA[BoyCm]),0))</f>
        <v/>
      </c>
      <c r="D222" s="15">
        <f>IF($A222="","",IFERROR(SUMIF(tblAnahtarA[Norm],$A222,tblVeriA[YukseklikCm]),0))</f>
        <v/>
      </c>
      <c r="E222" s="15">
        <f>IF($A222="","",IFERROR(SUMIF(tblAnahtarA[Norm],$A222,tblVeriA[AgirlikKg]),0))</f>
        <v/>
      </c>
      <c r="F222" s="15">
        <f>IF($A222="","",IFERROR(SUMIF(tblAnahtarA[Norm],$A222,tblVeriA[DesiCarpani]),kdo_varsayilanDesiCarpani))</f>
        <v/>
      </c>
      <c r="G222" s="15">
        <f>IF($A222="","",ROUND($B222*$C222*$D222/MAX($F222,1),2))</f>
        <v/>
      </c>
      <c r="H222" s="15">
        <f>IF($A222="","",MAX($G222,$E222))</f>
        <v/>
      </c>
      <c r="I222" s="15">
        <f>IF($A222="","",IFERROR(SUMIF(tblAnahtarB[NormB],$A222,tblVeriB[TarifTlDesi]),0))</f>
        <v/>
      </c>
      <c r="J222" s="15">
        <f>IF($A222="","",IFERROR(SUMIF(tblAnahtarA[Norm],$A222,tblVeriA[Adet]),1))</f>
        <v/>
      </c>
      <c r="K222" s="15">
        <f>IF($A222="","",ROUND($H222*$I222,2))</f>
        <v/>
      </c>
      <c r="L222" s="15">
        <f>IF($A222="","",ROUND($K222*$J222*(1+$Q222*kdo_iadeEtkiCarpani),2))</f>
        <v/>
      </c>
      <c r="M222" s="15">
        <f>IF($A222="","",IFERROR(SUMIF(tblAnahtarB[NormB],$A222,tblVeriB[AlternatifTarif]),0))</f>
        <v/>
      </c>
      <c r="N222" s="15">
        <f>IF($A222="","",ROUND($H222*$M222*$J222*(1+$Q222*kdo_iadeEtkiCarpani),2))</f>
        <v/>
      </c>
      <c r="O222" s="15">
        <f>IF($A222="","",ROUND($L222-$N222,2))</f>
        <v/>
      </c>
      <c r="P222" s="15">
        <f>IF($A222="","",IF($R222&gt;kdo_esikDesiOran,"DESİ DÜŞÜR",IF($O222&gt;kdo_esikTasarruf,"TAŞIYICI DEĞİŞTİR","UYGUN")))</f>
        <v/>
      </c>
      <c r="Q222" s="15">
        <f>IF($A222="","",IFERROR(SUMIF(tblAnahtarB[NormB],$A222,tblVeriB[IadeOran]),0))</f>
        <v/>
      </c>
      <c r="R222" s="15">
        <f>IF(OR($A222="",$E222=0),0,$G222/$E222)</f>
        <v/>
      </c>
      <c r="S222" s="15">
        <f>IF($A222="","",$G222-$E222)</f>
        <v/>
      </c>
      <c r="T222" s="15">
        <f>IF($A222="","",$L222-$N222)</f>
        <v/>
      </c>
    </row>
    <row r="223">
      <c r="A223" s="15">
        <f>IF('ANAHTAR'!$B223="","",'ANAHTAR'!$B223)</f>
        <v/>
      </c>
      <c r="B223" s="15">
        <f>IF($A223="","",IFERROR(SUMIF(tblAnahtarA[Norm],$A223,tblVeriA[EnCm]),0))</f>
        <v/>
      </c>
      <c r="C223" s="15">
        <f>IF($A223="","",IFERROR(SUMIF(tblAnahtarA[Norm],$A223,tblVeriA[BoyCm]),0))</f>
        <v/>
      </c>
      <c r="D223" s="15">
        <f>IF($A223="","",IFERROR(SUMIF(tblAnahtarA[Norm],$A223,tblVeriA[YukseklikCm]),0))</f>
        <v/>
      </c>
      <c r="E223" s="15">
        <f>IF($A223="","",IFERROR(SUMIF(tblAnahtarA[Norm],$A223,tblVeriA[AgirlikKg]),0))</f>
        <v/>
      </c>
      <c r="F223" s="15">
        <f>IF($A223="","",IFERROR(SUMIF(tblAnahtarA[Norm],$A223,tblVeriA[DesiCarpani]),kdo_varsayilanDesiCarpani))</f>
        <v/>
      </c>
      <c r="G223" s="15">
        <f>IF($A223="","",ROUND($B223*$C223*$D223/MAX($F223,1),2))</f>
        <v/>
      </c>
      <c r="H223" s="15">
        <f>IF($A223="","",MAX($G223,$E223))</f>
        <v/>
      </c>
      <c r="I223" s="15">
        <f>IF($A223="","",IFERROR(SUMIF(tblAnahtarB[NormB],$A223,tblVeriB[TarifTlDesi]),0))</f>
        <v/>
      </c>
      <c r="J223" s="15">
        <f>IF($A223="","",IFERROR(SUMIF(tblAnahtarA[Norm],$A223,tblVeriA[Adet]),1))</f>
        <v/>
      </c>
      <c r="K223" s="15">
        <f>IF($A223="","",ROUND($H223*$I223,2))</f>
        <v/>
      </c>
      <c r="L223" s="15">
        <f>IF($A223="","",ROUND($K223*$J223*(1+$Q223*kdo_iadeEtkiCarpani),2))</f>
        <v/>
      </c>
      <c r="M223" s="15">
        <f>IF($A223="","",IFERROR(SUMIF(tblAnahtarB[NormB],$A223,tblVeriB[AlternatifTarif]),0))</f>
        <v/>
      </c>
      <c r="N223" s="15">
        <f>IF($A223="","",ROUND($H223*$M223*$J223*(1+$Q223*kdo_iadeEtkiCarpani),2))</f>
        <v/>
      </c>
      <c r="O223" s="15">
        <f>IF($A223="","",ROUND($L223-$N223,2))</f>
        <v/>
      </c>
      <c r="P223" s="15">
        <f>IF($A223="","",IF($R223&gt;kdo_esikDesiOran,"DESİ DÜŞÜR",IF($O223&gt;kdo_esikTasarruf,"TAŞIYICI DEĞİŞTİR","UYGUN")))</f>
        <v/>
      </c>
      <c r="Q223" s="15">
        <f>IF($A223="","",IFERROR(SUMIF(tblAnahtarB[NormB],$A223,tblVeriB[IadeOran]),0))</f>
        <v/>
      </c>
      <c r="R223" s="15">
        <f>IF(OR($A223="",$E223=0),0,$G223/$E223)</f>
        <v/>
      </c>
      <c r="S223" s="15">
        <f>IF($A223="","",$G223-$E223)</f>
        <v/>
      </c>
      <c r="T223" s="15">
        <f>IF($A223="","",$L223-$N223)</f>
        <v/>
      </c>
    </row>
    <row r="224">
      <c r="A224" s="15">
        <f>IF('ANAHTAR'!$B224="","",'ANAHTAR'!$B224)</f>
        <v/>
      </c>
      <c r="B224" s="15">
        <f>IF($A224="","",IFERROR(SUMIF(tblAnahtarA[Norm],$A224,tblVeriA[EnCm]),0))</f>
        <v/>
      </c>
      <c r="C224" s="15">
        <f>IF($A224="","",IFERROR(SUMIF(tblAnahtarA[Norm],$A224,tblVeriA[BoyCm]),0))</f>
        <v/>
      </c>
      <c r="D224" s="15">
        <f>IF($A224="","",IFERROR(SUMIF(tblAnahtarA[Norm],$A224,tblVeriA[YukseklikCm]),0))</f>
        <v/>
      </c>
      <c r="E224" s="15">
        <f>IF($A224="","",IFERROR(SUMIF(tblAnahtarA[Norm],$A224,tblVeriA[AgirlikKg]),0))</f>
        <v/>
      </c>
      <c r="F224" s="15">
        <f>IF($A224="","",IFERROR(SUMIF(tblAnahtarA[Norm],$A224,tblVeriA[DesiCarpani]),kdo_varsayilanDesiCarpani))</f>
        <v/>
      </c>
      <c r="G224" s="15">
        <f>IF($A224="","",ROUND($B224*$C224*$D224/MAX($F224,1),2))</f>
        <v/>
      </c>
      <c r="H224" s="15">
        <f>IF($A224="","",MAX($G224,$E224))</f>
        <v/>
      </c>
      <c r="I224" s="15">
        <f>IF($A224="","",IFERROR(SUMIF(tblAnahtarB[NormB],$A224,tblVeriB[TarifTlDesi]),0))</f>
        <v/>
      </c>
      <c r="J224" s="15">
        <f>IF($A224="","",IFERROR(SUMIF(tblAnahtarA[Norm],$A224,tblVeriA[Adet]),1))</f>
        <v/>
      </c>
      <c r="K224" s="15">
        <f>IF($A224="","",ROUND($H224*$I224,2))</f>
        <v/>
      </c>
      <c r="L224" s="15">
        <f>IF($A224="","",ROUND($K224*$J224*(1+$Q224*kdo_iadeEtkiCarpani),2))</f>
        <v/>
      </c>
      <c r="M224" s="15">
        <f>IF($A224="","",IFERROR(SUMIF(tblAnahtarB[NormB],$A224,tblVeriB[AlternatifTarif]),0))</f>
        <v/>
      </c>
      <c r="N224" s="15">
        <f>IF($A224="","",ROUND($H224*$M224*$J224*(1+$Q224*kdo_iadeEtkiCarpani),2))</f>
        <v/>
      </c>
      <c r="O224" s="15">
        <f>IF($A224="","",ROUND($L224-$N224,2))</f>
        <v/>
      </c>
      <c r="P224" s="15">
        <f>IF($A224="","",IF($R224&gt;kdo_esikDesiOran,"DESİ DÜŞÜR",IF($O224&gt;kdo_esikTasarruf,"TAŞIYICI DEĞİŞTİR","UYGUN")))</f>
        <v/>
      </c>
      <c r="Q224" s="15">
        <f>IF($A224="","",IFERROR(SUMIF(tblAnahtarB[NormB],$A224,tblVeriB[IadeOran]),0))</f>
        <v/>
      </c>
      <c r="R224" s="15">
        <f>IF(OR($A224="",$E224=0),0,$G224/$E224)</f>
        <v/>
      </c>
      <c r="S224" s="15">
        <f>IF($A224="","",$G224-$E224)</f>
        <v/>
      </c>
      <c r="T224" s="15">
        <f>IF($A224="","",$L224-$N224)</f>
        <v/>
      </c>
    </row>
    <row r="225">
      <c r="A225" s="15">
        <f>IF('ANAHTAR'!$B225="","",'ANAHTAR'!$B225)</f>
        <v/>
      </c>
      <c r="B225" s="15">
        <f>IF($A225="","",IFERROR(SUMIF(tblAnahtarA[Norm],$A225,tblVeriA[EnCm]),0))</f>
        <v/>
      </c>
      <c r="C225" s="15">
        <f>IF($A225="","",IFERROR(SUMIF(tblAnahtarA[Norm],$A225,tblVeriA[BoyCm]),0))</f>
        <v/>
      </c>
      <c r="D225" s="15">
        <f>IF($A225="","",IFERROR(SUMIF(tblAnahtarA[Norm],$A225,tblVeriA[YukseklikCm]),0))</f>
        <v/>
      </c>
      <c r="E225" s="15">
        <f>IF($A225="","",IFERROR(SUMIF(tblAnahtarA[Norm],$A225,tblVeriA[AgirlikKg]),0))</f>
        <v/>
      </c>
      <c r="F225" s="15">
        <f>IF($A225="","",IFERROR(SUMIF(tblAnahtarA[Norm],$A225,tblVeriA[DesiCarpani]),kdo_varsayilanDesiCarpani))</f>
        <v/>
      </c>
      <c r="G225" s="15">
        <f>IF($A225="","",ROUND($B225*$C225*$D225/MAX($F225,1),2))</f>
        <v/>
      </c>
      <c r="H225" s="15">
        <f>IF($A225="","",MAX($G225,$E225))</f>
        <v/>
      </c>
      <c r="I225" s="15">
        <f>IF($A225="","",IFERROR(SUMIF(tblAnahtarB[NormB],$A225,tblVeriB[TarifTlDesi]),0))</f>
        <v/>
      </c>
      <c r="J225" s="15">
        <f>IF($A225="","",IFERROR(SUMIF(tblAnahtarA[Norm],$A225,tblVeriA[Adet]),1))</f>
        <v/>
      </c>
      <c r="K225" s="15">
        <f>IF($A225="","",ROUND($H225*$I225,2))</f>
        <v/>
      </c>
      <c r="L225" s="15">
        <f>IF($A225="","",ROUND($K225*$J225*(1+$Q225*kdo_iadeEtkiCarpani),2))</f>
        <v/>
      </c>
      <c r="M225" s="15">
        <f>IF($A225="","",IFERROR(SUMIF(tblAnahtarB[NormB],$A225,tblVeriB[AlternatifTarif]),0))</f>
        <v/>
      </c>
      <c r="N225" s="15">
        <f>IF($A225="","",ROUND($H225*$M225*$J225*(1+$Q225*kdo_iadeEtkiCarpani),2))</f>
        <v/>
      </c>
      <c r="O225" s="15">
        <f>IF($A225="","",ROUND($L225-$N225,2))</f>
        <v/>
      </c>
      <c r="P225" s="15">
        <f>IF($A225="","",IF($R225&gt;kdo_esikDesiOran,"DESİ DÜŞÜR",IF($O225&gt;kdo_esikTasarruf,"TAŞIYICI DEĞİŞTİR","UYGUN")))</f>
        <v/>
      </c>
      <c r="Q225" s="15">
        <f>IF($A225="","",IFERROR(SUMIF(tblAnahtarB[NormB],$A225,tblVeriB[IadeOran]),0))</f>
        <v/>
      </c>
      <c r="R225" s="15">
        <f>IF(OR($A225="",$E225=0),0,$G225/$E225)</f>
        <v/>
      </c>
      <c r="S225" s="15">
        <f>IF($A225="","",$G225-$E225)</f>
        <v/>
      </c>
      <c r="T225" s="15">
        <f>IF($A225="","",$L225-$N225)</f>
        <v/>
      </c>
    </row>
    <row r="226">
      <c r="A226" s="15">
        <f>IF('ANAHTAR'!$B226="","",'ANAHTAR'!$B226)</f>
        <v/>
      </c>
      <c r="B226" s="15">
        <f>IF($A226="","",IFERROR(SUMIF(tblAnahtarA[Norm],$A226,tblVeriA[EnCm]),0))</f>
        <v/>
      </c>
      <c r="C226" s="15">
        <f>IF($A226="","",IFERROR(SUMIF(tblAnahtarA[Norm],$A226,tblVeriA[BoyCm]),0))</f>
        <v/>
      </c>
      <c r="D226" s="15">
        <f>IF($A226="","",IFERROR(SUMIF(tblAnahtarA[Norm],$A226,tblVeriA[YukseklikCm]),0))</f>
        <v/>
      </c>
      <c r="E226" s="15">
        <f>IF($A226="","",IFERROR(SUMIF(tblAnahtarA[Norm],$A226,tblVeriA[AgirlikKg]),0))</f>
        <v/>
      </c>
      <c r="F226" s="15">
        <f>IF($A226="","",IFERROR(SUMIF(tblAnahtarA[Norm],$A226,tblVeriA[DesiCarpani]),kdo_varsayilanDesiCarpani))</f>
        <v/>
      </c>
      <c r="G226" s="15">
        <f>IF($A226="","",ROUND($B226*$C226*$D226/MAX($F226,1),2))</f>
        <v/>
      </c>
      <c r="H226" s="15">
        <f>IF($A226="","",MAX($G226,$E226))</f>
        <v/>
      </c>
      <c r="I226" s="15">
        <f>IF($A226="","",IFERROR(SUMIF(tblAnahtarB[NormB],$A226,tblVeriB[TarifTlDesi]),0))</f>
        <v/>
      </c>
      <c r="J226" s="15">
        <f>IF($A226="","",IFERROR(SUMIF(tblAnahtarA[Norm],$A226,tblVeriA[Adet]),1))</f>
        <v/>
      </c>
      <c r="K226" s="15">
        <f>IF($A226="","",ROUND($H226*$I226,2))</f>
        <v/>
      </c>
      <c r="L226" s="15">
        <f>IF($A226="","",ROUND($K226*$J226*(1+$Q226*kdo_iadeEtkiCarpani),2))</f>
        <v/>
      </c>
      <c r="M226" s="15">
        <f>IF($A226="","",IFERROR(SUMIF(tblAnahtarB[NormB],$A226,tblVeriB[AlternatifTarif]),0))</f>
        <v/>
      </c>
      <c r="N226" s="15">
        <f>IF($A226="","",ROUND($H226*$M226*$J226*(1+$Q226*kdo_iadeEtkiCarpani),2))</f>
        <v/>
      </c>
      <c r="O226" s="15">
        <f>IF($A226="","",ROUND($L226-$N226,2))</f>
        <v/>
      </c>
      <c r="P226" s="15">
        <f>IF($A226="","",IF($R226&gt;kdo_esikDesiOran,"DESİ DÜŞÜR",IF($O226&gt;kdo_esikTasarruf,"TAŞIYICI DEĞİŞTİR","UYGUN")))</f>
        <v/>
      </c>
      <c r="Q226" s="15">
        <f>IF($A226="","",IFERROR(SUMIF(tblAnahtarB[NormB],$A226,tblVeriB[IadeOran]),0))</f>
        <v/>
      </c>
      <c r="R226" s="15">
        <f>IF(OR($A226="",$E226=0),0,$G226/$E226)</f>
        <v/>
      </c>
      <c r="S226" s="15">
        <f>IF($A226="","",$G226-$E226)</f>
        <v/>
      </c>
      <c r="T226" s="15">
        <f>IF($A226="","",$L226-$N226)</f>
        <v/>
      </c>
    </row>
    <row r="227">
      <c r="A227" s="15">
        <f>IF('ANAHTAR'!$B227="","",'ANAHTAR'!$B227)</f>
        <v/>
      </c>
      <c r="B227" s="15">
        <f>IF($A227="","",IFERROR(SUMIF(tblAnahtarA[Norm],$A227,tblVeriA[EnCm]),0))</f>
        <v/>
      </c>
      <c r="C227" s="15">
        <f>IF($A227="","",IFERROR(SUMIF(tblAnahtarA[Norm],$A227,tblVeriA[BoyCm]),0))</f>
        <v/>
      </c>
      <c r="D227" s="15">
        <f>IF($A227="","",IFERROR(SUMIF(tblAnahtarA[Norm],$A227,tblVeriA[YukseklikCm]),0))</f>
        <v/>
      </c>
      <c r="E227" s="15">
        <f>IF($A227="","",IFERROR(SUMIF(tblAnahtarA[Norm],$A227,tblVeriA[AgirlikKg]),0))</f>
        <v/>
      </c>
      <c r="F227" s="15">
        <f>IF($A227="","",IFERROR(SUMIF(tblAnahtarA[Norm],$A227,tblVeriA[DesiCarpani]),kdo_varsayilanDesiCarpani))</f>
        <v/>
      </c>
      <c r="G227" s="15">
        <f>IF($A227="","",ROUND($B227*$C227*$D227/MAX($F227,1),2))</f>
        <v/>
      </c>
      <c r="H227" s="15">
        <f>IF($A227="","",MAX($G227,$E227))</f>
        <v/>
      </c>
      <c r="I227" s="15">
        <f>IF($A227="","",IFERROR(SUMIF(tblAnahtarB[NormB],$A227,tblVeriB[TarifTlDesi]),0))</f>
        <v/>
      </c>
      <c r="J227" s="15">
        <f>IF($A227="","",IFERROR(SUMIF(tblAnahtarA[Norm],$A227,tblVeriA[Adet]),1))</f>
        <v/>
      </c>
      <c r="K227" s="15">
        <f>IF($A227="","",ROUND($H227*$I227,2))</f>
        <v/>
      </c>
      <c r="L227" s="15">
        <f>IF($A227="","",ROUND($K227*$J227*(1+$Q227*kdo_iadeEtkiCarpani),2))</f>
        <v/>
      </c>
      <c r="M227" s="15">
        <f>IF($A227="","",IFERROR(SUMIF(tblAnahtarB[NormB],$A227,tblVeriB[AlternatifTarif]),0))</f>
        <v/>
      </c>
      <c r="N227" s="15">
        <f>IF($A227="","",ROUND($H227*$M227*$J227*(1+$Q227*kdo_iadeEtkiCarpani),2))</f>
        <v/>
      </c>
      <c r="O227" s="15">
        <f>IF($A227="","",ROUND($L227-$N227,2))</f>
        <v/>
      </c>
      <c r="P227" s="15">
        <f>IF($A227="","",IF($R227&gt;kdo_esikDesiOran,"DESİ DÜŞÜR",IF($O227&gt;kdo_esikTasarruf,"TAŞIYICI DEĞİŞTİR","UYGUN")))</f>
        <v/>
      </c>
      <c r="Q227" s="15">
        <f>IF($A227="","",IFERROR(SUMIF(tblAnahtarB[NormB],$A227,tblVeriB[IadeOran]),0))</f>
        <v/>
      </c>
      <c r="R227" s="15">
        <f>IF(OR($A227="",$E227=0),0,$G227/$E227)</f>
        <v/>
      </c>
      <c r="S227" s="15">
        <f>IF($A227="","",$G227-$E227)</f>
        <v/>
      </c>
      <c r="T227" s="15">
        <f>IF($A227="","",$L227-$N227)</f>
        <v/>
      </c>
    </row>
    <row r="228">
      <c r="A228" s="15">
        <f>IF('ANAHTAR'!$B228="","",'ANAHTAR'!$B228)</f>
        <v/>
      </c>
      <c r="B228" s="15">
        <f>IF($A228="","",IFERROR(SUMIF(tblAnahtarA[Norm],$A228,tblVeriA[EnCm]),0))</f>
        <v/>
      </c>
      <c r="C228" s="15">
        <f>IF($A228="","",IFERROR(SUMIF(tblAnahtarA[Norm],$A228,tblVeriA[BoyCm]),0))</f>
        <v/>
      </c>
      <c r="D228" s="15">
        <f>IF($A228="","",IFERROR(SUMIF(tblAnahtarA[Norm],$A228,tblVeriA[YukseklikCm]),0))</f>
        <v/>
      </c>
      <c r="E228" s="15">
        <f>IF($A228="","",IFERROR(SUMIF(tblAnahtarA[Norm],$A228,tblVeriA[AgirlikKg]),0))</f>
        <v/>
      </c>
      <c r="F228" s="15">
        <f>IF($A228="","",IFERROR(SUMIF(tblAnahtarA[Norm],$A228,tblVeriA[DesiCarpani]),kdo_varsayilanDesiCarpani))</f>
        <v/>
      </c>
      <c r="G228" s="15">
        <f>IF($A228="","",ROUND($B228*$C228*$D228/MAX($F228,1),2))</f>
        <v/>
      </c>
      <c r="H228" s="15">
        <f>IF($A228="","",MAX($G228,$E228))</f>
        <v/>
      </c>
      <c r="I228" s="15">
        <f>IF($A228="","",IFERROR(SUMIF(tblAnahtarB[NormB],$A228,tblVeriB[TarifTlDesi]),0))</f>
        <v/>
      </c>
      <c r="J228" s="15">
        <f>IF($A228="","",IFERROR(SUMIF(tblAnahtarA[Norm],$A228,tblVeriA[Adet]),1))</f>
        <v/>
      </c>
      <c r="K228" s="15">
        <f>IF($A228="","",ROUND($H228*$I228,2))</f>
        <v/>
      </c>
      <c r="L228" s="15">
        <f>IF($A228="","",ROUND($K228*$J228*(1+$Q228*kdo_iadeEtkiCarpani),2))</f>
        <v/>
      </c>
      <c r="M228" s="15">
        <f>IF($A228="","",IFERROR(SUMIF(tblAnahtarB[NormB],$A228,tblVeriB[AlternatifTarif]),0))</f>
        <v/>
      </c>
      <c r="N228" s="15">
        <f>IF($A228="","",ROUND($H228*$M228*$J228*(1+$Q228*kdo_iadeEtkiCarpani),2))</f>
        <v/>
      </c>
      <c r="O228" s="15">
        <f>IF($A228="","",ROUND($L228-$N228,2))</f>
        <v/>
      </c>
      <c r="P228" s="15">
        <f>IF($A228="","",IF($R228&gt;kdo_esikDesiOran,"DESİ DÜŞÜR",IF($O228&gt;kdo_esikTasarruf,"TAŞIYICI DEĞİŞTİR","UYGUN")))</f>
        <v/>
      </c>
      <c r="Q228" s="15">
        <f>IF($A228="","",IFERROR(SUMIF(tblAnahtarB[NormB],$A228,tblVeriB[IadeOran]),0))</f>
        <v/>
      </c>
      <c r="R228" s="15">
        <f>IF(OR($A228="",$E228=0),0,$G228/$E228)</f>
        <v/>
      </c>
      <c r="S228" s="15">
        <f>IF($A228="","",$G228-$E228)</f>
        <v/>
      </c>
      <c r="T228" s="15">
        <f>IF($A228="","",$L228-$N228)</f>
        <v/>
      </c>
    </row>
    <row r="229">
      <c r="A229" s="15">
        <f>IF('ANAHTAR'!$B229="","",'ANAHTAR'!$B229)</f>
        <v/>
      </c>
      <c r="B229" s="15">
        <f>IF($A229="","",IFERROR(SUMIF(tblAnahtarA[Norm],$A229,tblVeriA[EnCm]),0))</f>
        <v/>
      </c>
      <c r="C229" s="15">
        <f>IF($A229="","",IFERROR(SUMIF(tblAnahtarA[Norm],$A229,tblVeriA[BoyCm]),0))</f>
        <v/>
      </c>
      <c r="D229" s="15">
        <f>IF($A229="","",IFERROR(SUMIF(tblAnahtarA[Norm],$A229,tblVeriA[YukseklikCm]),0))</f>
        <v/>
      </c>
      <c r="E229" s="15">
        <f>IF($A229="","",IFERROR(SUMIF(tblAnahtarA[Norm],$A229,tblVeriA[AgirlikKg]),0))</f>
        <v/>
      </c>
      <c r="F229" s="15">
        <f>IF($A229="","",IFERROR(SUMIF(tblAnahtarA[Norm],$A229,tblVeriA[DesiCarpani]),kdo_varsayilanDesiCarpani))</f>
        <v/>
      </c>
      <c r="G229" s="15">
        <f>IF($A229="","",ROUND($B229*$C229*$D229/MAX($F229,1),2))</f>
        <v/>
      </c>
      <c r="H229" s="15">
        <f>IF($A229="","",MAX($G229,$E229))</f>
        <v/>
      </c>
      <c r="I229" s="15">
        <f>IF($A229="","",IFERROR(SUMIF(tblAnahtarB[NormB],$A229,tblVeriB[TarifTlDesi]),0))</f>
        <v/>
      </c>
      <c r="J229" s="15">
        <f>IF($A229="","",IFERROR(SUMIF(tblAnahtarA[Norm],$A229,tblVeriA[Adet]),1))</f>
        <v/>
      </c>
      <c r="K229" s="15">
        <f>IF($A229="","",ROUND($H229*$I229,2))</f>
        <v/>
      </c>
      <c r="L229" s="15">
        <f>IF($A229="","",ROUND($K229*$J229*(1+$Q229*kdo_iadeEtkiCarpani),2))</f>
        <v/>
      </c>
      <c r="M229" s="15">
        <f>IF($A229="","",IFERROR(SUMIF(tblAnahtarB[NormB],$A229,tblVeriB[AlternatifTarif]),0))</f>
        <v/>
      </c>
      <c r="N229" s="15">
        <f>IF($A229="","",ROUND($H229*$M229*$J229*(1+$Q229*kdo_iadeEtkiCarpani),2))</f>
        <v/>
      </c>
      <c r="O229" s="15">
        <f>IF($A229="","",ROUND($L229-$N229,2))</f>
        <v/>
      </c>
      <c r="P229" s="15">
        <f>IF($A229="","",IF($R229&gt;kdo_esikDesiOran,"DESİ DÜŞÜR",IF($O229&gt;kdo_esikTasarruf,"TAŞIYICI DEĞİŞTİR","UYGUN")))</f>
        <v/>
      </c>
      <c r="Q229" s="15">
        <f>IF($A229="","",IFERROR(SUMIF(tblAnahtarB[NormB],$A229,tblVeriB[IadeOran]),0))</f>
        <v/>
      </c>
      <c r="R229" s="15">
        <f>IF(OR($A229="",$E229=0),0,$G229/$E229)</f>
        <v/>
      </c>
      <c r="S229" s="15">
        <f>IF($A229="","",$G229-$E229)</f>
        <v/>
      </c>
      <c r="T229" s="15">
        <f>IF($A229="","",$L229-$N229)</f>
        <v/>
      </c>
    </row>
    <row r="230">
      <c r="A230" s="15">
        <f>IF('ANAHTAR'!$B230="","",'ANAHTAR'!$B230)</f>
        <v/>
      </c>
      <c r="B230" s="15">
        <f>IF($A230="","",IFERROR(SUMIF(tblAnahtarA[Norm],$A230,tblVeriA[EnCm]),0))</f>
        <v/>
      </c>
      <c r="C230" s="15">
        <f>IF($A230="","",IFERROR(SUMIF(tblAnahtarA[Norm],$A230,tblVeriA[BoyCm]),0))</f>
        <v/>
      </c>
      <c r="D230" s="15">
        <f>IF($A230="","",IFERROR(SUMIF(tblAnahtarA[Norm],$A230,tblVeriA[YukseklikCm]),0))</f>
        <v/>
      </c>
      <c r="E230" s="15">
        <f>IF($A230="","",IFERROR(SUMIF(tblAnahtarA[Norm],$A230,tblVeriA[AgirlikKg]),0))</f>
        <v/>
      </c>
      <c r="F230" s="15">
        <f>IF($A230="","",IFERROR(SUMIF(tblAnahtarA[Norm],$A230,tblVeriA[DesiCarpani]),kdo_varsayilanDesiCarpani))</f>
        <v/>
      </c>
      <c r="G230" s="15">
        <f>IF($A230="","",ROUND($B230*$C230*$D230/MAX($F230,1),2))</f>
        <v/>
      </c>
      <c r="H230" s="15">
        <f>IF($A230="","",MAX($G230,$E230))</f>
        <v/>
      </c>
      <c r="I230" s="15">
        <f>IF($A230="","",IFERROR(SUMIF(tblAnahtarB[NormB],$A230,tblVeriB[TarifTlDesi]),0))</f>
        <v/>
      </c>
      <c r="J230" s="15">
        <f>IF($A230="","",IFERROR(SUMIF(tblAnahtarA[Norm],$A230,tblVeriA[Adet]),1))</f>
        <v/>
      </c>
      <c r="K230" s="15">
        <f>IF($A230="","",ROUND($H230*$I230,2))</f>
        <v/>
      </c>
      <c r="L230" s="15">
        <f>IF($A230="","",ROUND($K230*$J230*(1+$Q230*kdo_iadeEtkiCarpani),2))</f>
        <v/>
      </c>
      <c r="M230" s="15">
        <f>IF($A230="","",IFERROR(SUMIF(tblAnahtarB[NormB],$A230,tblVeriB[AlternatifTarif]),0))</f>
        <v/>
      </c>
      <c r="N230" s="15">
        <f>IF($A230="","",ROUND($H230*$M230*$J230*(1+$Q230*kdo_iadeEtkiCarpani),2))</f>
        <v/>
      </c>
      <c r="O230" s="15">
        <f>IF($A230="","",ROUND($L230-$N230,2))</f>
        <v/>
      </c>
      <c r="P230" s="15">
        <f>IF($A230="","",IF($R230&gt;kdo_esikDesiOran,"DESİ DÜŞÜR",IF($O230&gt;kdo_esikTasarruf,"TAŞIYICI DEĞİŞTİR","UYGUN")))</f>
        <v/>
      </c>
      <c r="Q230" s="15">
        <f>IF($A230="","",IFERROR(SUMIF(tblAnahtarB[NormB],$A230,tblVeriB[IadeOran]),0))</f>
        <v/>
      </c>
      <c r="R230" s="15">
        <f>IF(OR($A230="",$E230=0),0,$G230/$E230)</f>
        <v/>
      </c>
      <c r="S230" s="15">
        <f>IF($A230="","",$G230-$E230)</f>
        <v/>
      </c>
      <c r="T230" s="15">
        <f>IF($A230="","",$L230-$N230)</f>
        <v/>
      </c>
    </row>
    <row r="231">
      <c r="A231" s="15">
        <f>IF('ANAHTAR'!$B231="","",'ANAHTAR'!$B231)</f>
        <v/>
      </c>
      <c r="B231" s="15">
        <f>IF($A231="","",IFERROR(SUMIF(tblAnahtarA[Norm],$A231,tblVeriA[EnCm]),0))</f>
        <v/>
      </c>
      <c r="C231" s="15">
        <f>IF($A231="","",IFERROR(SUMIF(tblAnahtarA[Norm],$A231,tblVeriA[BoyCm]),0))</f>
        <v/>
      </c>
      <c r="D231" s="15">
        <f>IF($A231="","",IFERROR(SUMIF(tblAnahtarA[Norm],$A231,tblVeriA[YukseklikCm]),0))</f>
        <v/>
      </c>
      <c r="E231" s="15">
        <f>IF($A231="","",IFERROR(SUMIF(tblAnahtarA[Norm],$A231,tblVeriA[AgirlikKg]),0))</f>
        <v/>
      </c>
      <c r="F231" s="15">
        <f>IF($A231="","",IFERROR(SUMIF(tblAnahtarA[Norm],$A231,tblVeriA[DesiCarpani]),kdo_varsayilanDesiCarpani))</f>
        <v/>
      </c>
      <c r="G231" s="15">
        <f>IF($A231="","",ROUND($B231*$C231*$D231/MAX($F231,1),2))</f>
        <v/>
      </c>
      <c r="H231" s="15">
        <f>IF($A231="","",MAX($G231,$E231))</f>
        <v/>
      </c>
      <c r="I231" s="15">
        <f>IF($A231="","",IFERROR(SUMIF(tblAnahtarB[NormB],$A231,tblVeriB[TarifTlDesi]),0))</f>
        <v/>
      </c>
      <c r="J231" s="15">
        <f>IF($A231="","",IFERROR(SUMIF(tblAnahtarA[Norm],$A231,tblVeriA[Adet]),1))</f>
        <v/>
      </c>
      <c r="K231" s="15">
        <f>IF($A231="","",ROUND($H231*$I231,2))</f>
        <v/>
      </c>
      <c r="L231" s="15">
        <f>IF($A231="","",ROUND($K231*$J231*(1+$Q231*kdo_iadeEtkiCarpani),2))</f>
        <v/>
      </c>
      <c r="M231" s="15">
        <f>IF($A231="","",IFERROR(SUMIF(tblAnahtarB[NormB],$A231,tblVeriB[AlternatifTarif]),0))</f>
        <v/>
      </c>
      <c r="N231" s="15">
        <f>IF($A231="","",ROUND($H231*$M231*$J231*(1+$Q231*kdo_iadeEtkiCarpani),2))</f>
        <v/>
      </c>
      <c r="O231" s="15">
        <f>IF($A231="","",ROUND($L231-$N231,2))</f>
        <v/>
      </c>
      <c r="P231" s="15">
        <f>IF($A231="","",IF($R231&gt;kdo_esikDesiOran,"DESİ DÜŞÜR",IF($O231&gt;kdo_esikTasarruf,"TAŞIYICI DEĞİŞTİR","UYGUN")))</f>
        <v/>
      </c>
      <c r="Q231" s="15">
        <f>IF($A231="","",IFERROR(SUMIF(tblAnahtarB[NormB],$A231,tblVeriB[IadeOran]),0))</f>
        <v/>
      </c>
      <c r="R231" s="15">
        <f>IF(OR($A231="",$E231=0),0,$G231/$E231)</f>
        <v/>
      </c>
      <c r="S231" s="15">
        <f>IF($A231="","",$G231-$E231)</f>
        <v/>
      </c>
      <c r="T231" s="15">
        <f>IF($A231="","",$L231-$N231)</f>
        <v/>
      </c>
    </row>
    <row r="232">
      <c r="A232" s="15">
        <f>IF('ANAHTAR'!$B232="","",'ANAHTAR'!$B232)</f>
        <v/>
      </c>
      <c r="B232" s="15">
        <f>IF($A232="","",IFERROR(SUMIF(tblAnahtarA[Norm],$A232,tblVeriA[EnCm]),0))</f>
        <v/>
      </c>
      <c r="C232" s="15">
        <f>IF($A232="","",IFERROR(SUMIF(tblAnahtarA[Norm],$A232,tblVeriA[BoyCm]),0))</f>
        <v/>
      </c>
      <c r="D232" s="15">
        <f>IF($A232="","",IFERROR(SUMIF(tblAnahtarA[Norm],$A232,tblVeriA[YukseklikCm]),0))</f>
        <v/>
      </c>
      <c r="E232" s="15">
        <f>IF($A232="","",IFERROR(SUMIF(tblAnahtarA[Norm],$A232,tblVeriA[AgirlikKg]),0))</f>
        <v/>
      </c>
      <c r="F232" s="15">
        <f>IF($A232="","",IFERROR(SUMIF(tblAnahtarA[Norm],$A232,tblVeriA[DesiCarpani]),kdo_varsayilanDesiCarpani))</f>
        <v/>
      </c>
      <c r="G232" s="15">
        <f>IF($A232="","",ROUND($B232*$C232*$D232/MAX($F232,1),2))</f>
        <v/>
      </c>
      <c r="H232" s="15">
        <f>IF($A232="","",MAX($G232,$E232))</f>
        <v/>
      </c>
      <c r="I232" s="15">
        <f>IF($A232="","",IFERROR(SUMIF(tblAnahtarB[NormB],$A232,tblVeriB[TarifTlDesi]),0))</f>
        <v/>
      </c>
      <c r="J232" s="15">
        <f>IF($A232="","",IFERROR(SUMIF(tblAnahtarA[Norm],$A232,tblVeriA[Adet]),1))</f>
        <v/>
      </c>
      <c r="K232" s="15">
        <f>IF($A232="","",ROUND($H232*$I232,2))</f>
        <v/>
      </c>
      <c r="L232" s="15">
        <f>IF($A232="","",ROUND($K232*$J232*(1+$Q232*kdo_iadeEtkiCarpani),2))</f>
        <v/>
      </c>
      <c r="M232" s="15">
        <f>IF($A232="","",IFERROR(SUMIF(tblAnahtarB[NormB],$A232,tblVeriB[AlternatifTarif]),0))</f>
        <v/>
      </c>
      <c r="N232" s="15">
        <f>IF($A232="","",ROUND($H232*$M232*$J232*(1+$Q232*kdo_iadeEtkiCarpani),2))</f>
        <v/>
      </c>
      <c r="O232" s="15">
        <f>IF($A232="","",ROUND($L232-$N232,2))</f>
        <v/>
      </c>
      <c r="P232" s="15">
        <f>IF($A232="","",IF($R232&gt;kdo_esikDesiOran,"DESİ DÜŞÜR",IF($O232&gt;kdo_esikTasarruf,"TAŞIYICI DEĞİŞTİR","UYGUN")))</f>
        <v/>
      </c>
      <c r="Q232" s="15">
        <f>IF($A232="","",IFERROR(SUMIF(tblAnahtarB[NormB],$A232,tblVeriB[IadeOran]),0))</f>
        <v/>
      </c>
      <c r="R232" s="15">
        <f>IF(OR($A232="",$E232=0),0,$G232/$E232)</f>
        <v/>
      </c>
      <c r="S232" s="15">
        <f>IF($A232="","",$G232-$E232)</f>
        <v/>
      </c>
      <c r="T232" s="15">
        <f>IF($A232="","",$L232-$N232)</f>
        <v/>
      </c>
    </row>
    <row r="233">
      <c r="A233" s="15">
        <f>IF('ANAHTAR'!$B233="","",'ANAHTAR'!$B233)</f>
        <v/>
      </c>
      <c r="B233" s="15">
        <f>IF($A233="","",IFERROR(SUMIF(tblAnahtarA[Norm],$A233,tblVeriA[EnCm]),0))</f>
        <v/>
      </c>
      <c r="C233" s="15">
        <f>IF($A233="","",IFERROR(SUMIF(tblAnahtarA[Norm],$A233,tblVeriA[BoyCm]),0))</f>
        <v/>
      </c>
      <c r="D233" s="15">
        <f>IF($A233="","",IFERROR(SUMIF(tblAnahtarA[Norm],$A233,tblVeriA[YukseklikCm]),0))</f>
        <v/>
      </c>
      <c r="E233" s="15">
        <f>IF($A233="","",IFERROR(SUMIF(tblAnahtarA[Norm],$A233,tblVeriA[AgirlikKg]),0))</f>
        <v/>
      </c>
      <c r="F233" s="15">
        <f>IF($A233="","",IFERROR(SUMIF(tblAnahtarA[Norm],$A233,tblVeriA[DesiCarpani]),kdo_varsayilanDesiCarpani))</f>
        <v/>
      </c>
      <c r="G233" s="15">
        <f>IF($A233="","",ROUND($B233*$C233*$D233/MAX($F233,1),2))</f>
        <v/>
      </c>
      <c r="H233" s="15">
        <f>IF($A233="","",MAX($G233,$E233))</f>
        <v/>
      </c>
      <c r="I233" s="15">
        <f>IF($A233="","",IFERROR(SUMIF(tblAnahtarB[NormB],$A233,tblVeriB[TarifTlDesi]),0))</f>
        <v/>
      </c>
      <c r="J233" s="15">
        <f>IF($A233="","",IFERROR(SUMIF(tblAnahtarA[Norm],$A233,tblVeriA[Adet]),1))</f>
        <v/>
      </c>
      <c r="K233" s="15">
        <f>IF($A233="","",ROUND($H233*$I233,2))</f>
        <v/>
      </c>
      <c r="L233" s="15">
        <f>IF($A233="","",ROUND($K233*$J233*(1+$Q233*kdo_iadeEtkiCarpani),2))</f>
        <v/>
      </c>
      <c r="M233" s="15">
        <f>IF($A233="","",IFERROR(SUMIF(tblAnahtarB[NormB],$A233,tblVeriB[AlternatifTarif]),0))</f>
        <v/>
      </c>
      <c r="N233" s="15">
        <f>IF($A233="","",ROUND($H233*$M233*$J233*(1+$Q233*kdo_iadeEtkiCarpani),2))</f>
        <v/>
      </c>
      <c r="O233" s="15">
        <f>IF($A233="","",ROUND($L233-$N233,2))</f>
        <v/>
      </c>
      <c r="P233" s="15">
        <f>IF($A233="","",IF($R233&gt;kdo_esikDesiOran,"DESİ DÜŞÜR",IF($O233&gt;kdo_esikTasarruf,"TAŞIYICI DEĞİŞTİR","UYGUN")))</f>
        <v/>
      </c>
      <c r="Q233" s="15">
        <f>IF($A233="","",IFERROR(SUMIF(tblAnahtarB[NormB],$A233,tblVeriB[IadeOran]),0))</f>
        <v/>
      </c>
      <c r="R233" s="15">
        <f>IF(OR($A233="",$E233=0),0,$G233/$E233)</f>
        <v/>
      </c>
      <c r="S233" s="15">
        <f>IF($A233="","",$G233-$E233)</f>
        <v/>
      </c>
      <c r="T233" s="15">
        <f>IF($A233="","",$L233-$N233)</f>
        <v/>
      </c>
    </row>
    <row r="234">
      <c r="A234" s="15">
        <f>IF('ANAHTAR'!$B234="","",'ANAHTAR'!$B234)</f>
        <v/>
      </c>
      <c r="B234" s="15">
        <f>IF($A234="","",IFERROR(SUMIF(tblAnahtarA[Norm],$A234,tblVeriA[EnCm]),0))</f>
        <v/>
      </c>
      <c r="C234" s="15">
        <f>IF($A234="","",IFERROR(SUMIF(tblAnahtarA[Norm],$A234,tblVeriA[BoyCm]),0))</f>
        <v/>
      </c>
      <c r="D234" s="15">
        <f>IF($A234="","",IFERROR(SUMIF(tblAnahtarA[Norm],$A234,tblVeriA[YukseklikCm]),0))</f>
        <v/>
      </c>
      <c r="E234" s="15">
        <f>IF($A234="","",IFERROR(SUMIF(tblAnahtarA[Norm],$A234,tblVeriA[AgirlikKg]),0))</f>
        <v/>
      </c>
      <c r="F234" s="15">
        <f>IF($A234="","",IFERROR(SUMIF(tblAnahtarA[Norm],$A234,tblVeriA[DesiCarpani]),kdo_varsayilanDesiCarpani))</f>
        <v/>
      </c>
      <c r="G234" s="15">
        <f>IF($A234="","",ROUND($B234*$C234*$D234/MAX($F234,1),2))</f>
        <v/>
      </c>
      <c r="H234" s="15">
        <f>IF($A234="","",MAX($G234,$E234))</f>
        <v/>
      </c>
      <c r="I234" s="15">
        <f>IF($A234="","",IFERROR(SUMIF(tblAnahtarB[NormB],$A234,tblVeriB[TarifTlDesi]),0))</f>
        <v/>
      </c>
      <c r="J234" s="15">
        <f>IF($A234="","",IFERROR(SUMIF(tblAnahtarA[Norm],$A234,tblVeriA[Adet]),1))</f>
        <v/>
      </c>
      <c r="K234" s="15">
        <f>IF($A234="","",ROUND($H234*$I234,2))</f>
        <v/>
      </c>
      <c r="L234" s="15">
        <f>IF($A234="","",ROUND($K234*$J234*(1+$Q234*kdo_iadeEtkiCarpani),2))</f>
        <v/>
      </c>
      <c r="M234" s="15">
        <f>IF($A234="","",IFERROR(SUMIF(tblAnahtarB[NormB],$A234,tblVeriB[AlternatifTarif]),0))</f>
        <v/>
      </c>
      <c r="N234" s="15">
        <f>IF($A234="","",ROUND($H234*$M234*$J234*(1+$Q234*kdo_iadeEtkiCarpani),2))</f>
        <v/>
      </c>
      <c r="O234" s="15">
        <f>IF($A234="","",ROUND($L234-$N234,2))</f>
        <v/>
      </c>
      <c r="P234" s="15">
        <f>IF($A234="","",IF($R234&gt;kdo_esikDesiOran,"DESİ DÜŞÜR",IF($O234&gt;kdo_esikTasarruf,"TAŞIYICI DEĞİŞTİR","UYGUN")))</f>
        <v/>
      </c>
      <c r="Q234" s="15">
        <f>IF($A234="","",IFERROR(SUMIF(tblAnahtarB[NormB],$A234,tblVeriB[IadeOran]),0))</f>
        <v/>
      </c>
      <c r="R234" s="15">
        <f>IF(OR($A234="",$E234=0),0,$G234/$E234)</f>
        <v/>
      </c>
      <c r="S234" s="15">
        <f>IF($A234="","",$G234-$E234)</f>
        <v/>
      </c>
      <c r="T234" s="15">
        <f>IF($A234="","",$L234-$N234)</f>
        <v/>
      </c>
    </row>
    <row r="235">
      <c r="A235" s="15">
        <f>IF('ANAHTAR'!$B235="","",'ANAHTAR'!$B235)</f>
        <v/>
      </c>
      <c r="B235" s="15">
        <f>IF($A235="","",IFERROR(SUMIF(tblAnahtarA[Norm],$A235,tblVeriA[EnCm]),0))</f>
        <v/>
      </c>
      <c r="C235" s="15">
        <f>IF($A235="","",IFERROR(SUMIF(tblAnahtarA[Norm],$A235,tblVeriA[BoyCm]),0))</f>
        <v/>
      </c>
      <c r="D235" s="15">
        <f>IF($A235="","",IFERROR(SUMIF(tblAnahtarA[Norm],$A235,tblVeriA[YukseklikCm]),0))</f>
        <v/>
      </c>
      <c r="E235" s="15">
        <f>IF($A235="","",IFERROR(SUMIF(tblAnahtarA[Norm],$A235,tblVeriA[AgirlikKg]),0))</f>
        <v/>
      </c>
      <c r="F235" s="15">
        <f>IF($A235="","",IFERROR(SUMIF(tblAnahtarA[Norm],$A235,tblVeriA[DesiCarpani]),kdo_varsayilanDesiCarpani))</f>
        <v/>
      </c>
      <c r="G235" s="15">
        <f>IF($A235="","",ROUND($B235*$C235*$D235/MAX($F235,1),2))</f>
        <v/>
      </c>
      <c r="H235" s="15">
        <f>IF($A235="","",MAX($G235,$E235))</f>
        <v/>
      </c>
      <c r="I235" s="15">
        <f>IF($A235="","",IFERROR(SUMIF(tblAnahtarB[NormB],$A235,tblVeriB[TarifTlDesi]),0))</f>
        <v/>
      </c>
      <c r="J235" s="15">
        <f>IF($A235="","",IFERROR(SUMIF(tblAnahtarA[Norm],$A235,tblVeriA[Adet]),1))</f>
        <v/>
      </c>
      <c r="K235" s="15">
        <f>IF($A235="","",ROUND($H235*$I235,2))</f>
        <v/>
      </c>
      <c r="L235" s="15">
        <f>IF($A235="","",ROUND($K235*$J235*(1+$Q235*kdo_iadeEtkiCarpani),2))</f>
        <v/>
      </c>
      <c r="M235" s="15">
        <f>IF($A235="","",IFERROR(SUMIF(tblAnahtarB[NormB],$A235,tblVeriB[AlternatifTarif]),0))</f>
        <v/>
      </c>
      <c r="N235" s="15">
        <f>IF($A235="","",ROUND($H235*$M235*$J235*(1+$Q235*kdo_iadeEtkiCarpani),2))</f>
        <v/>
      </c>
      <c r="O235" s="15">
        <f>IF($A235="","",ROUND($L235-$N235,2))</f>
        <v/>
      </c>
      <c r="P235" s="15">
        <f>IF($A235="","",IF($R235&gt;kdo_esikDesiOran,"DESİ DÜŞÜR",IF($O235&gt;kdo_esikTasarruf,"TAŞIYICI DEĞİŞTİR","UYGUN")))</f>
        <v/>
      </c>
      <c r="Q235" s="15">
        <f>IF($A235="","",IFERROR(SUMIF(tblAnahtarB[NormB],$A235,tblVeriB[IadeOran]),0))</f>
        <v/>
      </c>
      <c r="R235" s="15">
        <f>IF(OR($A235="",$E235=0),0,$G235/$E235)</f>
        <v/>
      </c>
      <c r="S235" s="15">
        <f>IF($A235="","",$G235-$E235)</f>
        <v/>
      </c>
      <c r="T235" s="15">
        <f>IF($A235="","",$L235-$N235)</f>
        <v/>
      </c>
    </row>
    <row r="236">
      <c r="A236" s="15">
        <f>IF('ANAHTAR'!$B236="","",'ANAHTAR'!$B236)</f>
        <v/>
      </c>
      <c r="B236" s="15">
        <f>IF($A236="","",IFERROR(SUMIF(tblAnahtarA[Norm],$A236,tblVeriA[EnCm]),0))</f>
        <v/>
      </c>
      <c r="C236" s="15">
        <f>IF($A236="","",IFERROR(SUMIF(tblAnahtarA[Norm],$A236,tblVeriA[BoyCm]),0))</f>
        <v/>
      </c>
      <c r="D236" s="15">
        <f>IF($A236="","",IFERROR(SUMIF(tblAnahtarA[Norm],$A236,tblVeriA[YukseklikCm]),0))</f>
        <v/>
      </c>
      <c r="E236" s="15">
        <f>IF($A236="","",IFERROR(SUMIF(tblAnahtarA[Norm],$A236,tblVeriA[AgirlikKg]),0))</f>
        <v/>
      </c>
      <c r="F236" s="15">
        <f>IF($A236="","",IFERROR(SUMIF(tblAnahtarA[Norm],$A236,tblVeriA[DesiCarpani]),kdo_varsayilanDesiCarpani))</f>
        <v/>
      </c>
      <c r="G236" s="15">
        <f>IF($A236="","",ROUND($B236*$C236*$D236/MAX($F236,1),2))</f>
        <v/>
      </c>
      <c r="H236" s="15">
        <f>IF($A236="","",MAX($G236,$E236))</f>
        <v/>
      </c>
      <c r="I236" s="15">
        <f>IF($A236="","",IFERROR(SUMIF(tblAnahtarB[NormB],$A236,tblVeriB[TarifTlDesi]),0))</f>
        <v/>
      </c>
      <c r="J236" s="15">
        <f>IF($A236="","",IFERROR(SUMIF(tblAnahtarA[Norm],$A236,tblVeriA[Adet]),1))</f>
        <v/>
      </c>
      <c r="K236" s="15">
        <f>IF($A236="","",ROUND($H236*$I236,2))</f>
        <v/>
      </c>
      <c r="L236" s="15">
        <f>IF($A236="","",ROUND($K236*$J236*(1+$Q236*kdo_iadeEtkiCarpani),2))</f>
        <v/>
      </c>
      <c r="M236" s="15">
        <f>IF($A236="","",IFERROR(SUMIF(tblAnahtarB[NormB],$A236,tblVeriB[AlternatifTarif]),0))</f>
        <v/>
      </c>
      <c r="N236" s="15">
        <f>IF($A236="","",ROUND($H236*$M236*$J236*(1+$Q236*kdo_iadeEtkiCarpani),2))</f>
        <v/>
      </c>
      <c r="O236" s="15">
        <f>IF($A236="","",ROUND($L236-$N236,2))</f>
        <v/>
      </c>
      <c r="P236" s="15">
        <f>IF($A236="","",IF($R236&gt;kdo_esikDesiOran,"DESİ DÜŞÜR",IF($O236&gt;kdo_esikTasarruf,"TAŞIYICI DEĞİŞTİR","UYGUN")))</f>
        <v/>
      </c>
      <c r="Q236" s="15">
        <f>IF($A236="","",IFERROR(SUMIF(tblAnahtarB[NormB],$A236,tblVeriB[IadeOran]),0))</f>
        <v/>
      </c>
      <c r="R236" s="15">
        <f>IF(OR($A236="",$E236=0),0,$G236/$E236)</f>
        <v/>
      </c>
      <c r="S236" s="15">
        <f>IF($A236="","",$G236-$E236)</f>
        <v/>
      </c>
      <c r="T236" s="15">
        <f>IF($A236="","",$L236-$N236)</f>
        <v/>
      </c>
    </row>
    <row r="237">
      <c r="A237" s="15">
        <f>IF('ANAHTAR'!$B237="","",'ANAHTAR'!$B237)</f>
        <v/>
      </c>
      <c r="B237" s="15">
        <f>IF($A237="","",IFERROR(SUMIF(tblAnahtarA[Norm],$A237,tblVeriA[EnCm]),0))</f>
        <v/>
      </c>
      <c r="C237" s="15">
        <f>IF($A237="","",IFERROR(SUMIF(tblAnahtarA[Norm],$A237,tblVeriA[BoyCm]),0))</f>
        <v/>
      </c>
      <c r="D237" s="15">
        <f>IF($A237="","",IFERROR(SUMIF(tblAnahtarA[Norm],$A237,tblVeriA[YukseklikCm]),0))</f>
        <v/>
      </c>
      <c r="E237" s="15">
        <f>IF($A237="","",IFERROR(SUMIF(tblAnahtarA[Norm],$A237,tblVeriA[AgirlikKg]),0))</f>
        <v/>
      </c>
      <c r="F237" s="15">
        <f>IF($A237="","",IFERROR(SUMIF(tblAnahtarA[Norm],$A237,tblVeriA[DesiCarpani]),kdo_varsayilanDesiCarpani))</f>
        <v/>
      </c>
      <c r="G237" s="15">
        <f>IF($A237="","",ROUND($B237*$C237*$D237/MAX($F237,1),2))</f>
        <v/>
      </c>
      <c r="H237" s="15">
        <f>IF($A237="","",MAX($G237,$E237))</f>
        <v/>
      </c>
      <c r="I237" s="15">
        <f>IF($A237="","",IFERROR(SUMIF(tblAnahtarB[NormB],$A237,tblVeriB[TarifTlDesi]),0))</f>
        <v/>
      </c>
      <c r="J237" s="15">
        <f>IF($A237="","",IFERROR(SUMIF(tblAnahtarA[Norm],$A237,tblVeriA[Adet]),1))</f>
        <v/>
      </c>
      <c r="K237" s="15">
        <f>IF($A237="","",ROUND($H237*$I237,2))</f>
        <v/>
      </c>
      <c r="L237" s="15">
        <f>IF($A237="","",ROUND($K237*$J237*(1+$Q237*kdo_iadeEtkiCarpani),2))</f>
        <v/>
      </c>
      <c r="M237" s="15">
        <f>IF($A237="","",IFERROR(SUMIF(tblAnahtarB[NormB],$A237,tblVeriB[AlternatifTarif]),0))</f>
        <v/>
      </c>
      <c r="N237" s="15">
        <f>IF($A237="","",ROUND($H237*$M237*$J237*(1+$Q237*kdo_iadeEtkiCarpani),2))</f>
        <v/>
      </c>
      <c r="O237" s="15">
        <f>IF($A237="","",ROUND($L237-$N237,2))</f>
        <v/>
      </c>
      <c r="P237" s="15">
        <f>IF($A237="","",IF($R237&gt;kdo_esikDesiOran,"DESİ DÜŞÜR",IF($O237&gt;kdo_esikTasarruf,"TAŞIYICI DEĞİŞTİR","UYGUN")))</f>
        <v/>
      </c>
      <c r="Q237" s="15">
        <f>IF($A237="","",IFERROR(SUMIF(tblAnahtarB[NormB],$A237,tblVeriB[IadeOran]),0))</f>
        <v/>
      </c>
      <c r="R237" s="15">
        <f>IF(OR($A237="",$E237=0),0,$G237/$E237)</f>
        <v/>
      </c>
      <c r="S237" s="15">
        <f>IF($A237="","",$G237-$E237)</f>
        <v/>
      </c>
      <c r="T237" s="15">
        <f>IF($A237="","",$L237-$N237)</f>
        <v/>
      </c>
    </row>
    <row r="238">
      <c r="A238" s="15">
        <f>IF('ANAHTAR'!$B238="","",'ANAHTAR'!$B238)</f>
        <v/>
      </c>
      <c r="B238" s="15">
        <f>IF($A238="","",IFERROR(SUMIF(tblAnahtarA[Norm],$A238,tblVeriA[EnCm]),0))</f>
        <v/>
      </c>
      <c r="C238" s="15">
        <f>IF($A238="","",IFERROR(SUMIF(tblAnahtarA[Norm],$A238,tblVeriA[BoyCm]),0))</f>
        <v/>
      </c>
      <c r="D238" s="15">
        <f>IF($A238="","",IFERROR(SUMIF(tblAnahtarA[Norm],$A238,tblVeriA[YukseklikCm]),0))</f>
        <v/>
      </c>
      <c r="E238" s="15">
        <f>IF($A238="","",IFERROR(SUMIF(tblAnahtarA[Norm],$A238,tblVeriA[AgirlikKg]),0))</f>
        <v/>
      </c>
      <c r="F238" s="15">
        <f>IF($A238="","",IFERROR(SUMIF(tblAnahtarA[Norm],$A238,tblVeriA[DesiCarpani]),kdo_varsayilanDesiCarpani))</f>
        <v/>
      </c>
      <c r="G238" s="15">
        <f>IF($A238="","",ROUND($B238*$C238*$D238/MAX($F238,1),2))</f>
        <v/>
      </c>
      <c r="H238" s="15">
        <f>IF($A238="","",MAX($G238,$E238))</f>
        <v/>
      </c>
      <c r="I238" s="15">
        <f>IF($A238="","",IFERROR(SUMIF(tblAnahtarB[NormB],$A238,tblVeriB[TarifTlDesi]),0))</f>
        <v/>
      </c>
      <c r="J238" s="15">
        <f>IF($A238="","",IFERROR(SUMIF(tblAnahtarA[Norm],$A238,tblVeriA[Adet]),1))</f>
        <v/>
      </c>
      <c r="K238" s="15">
        <f>IF($A238="","",ROUND($H238*$I238,2))</f>
        <v/>
      </c>
      <c r="L238" s="15">
        <f>IF($A238="","",ROUND($K238*$J238*(1+$Q238*kdo_iadeEtkiCarpani),2))</f>
        <v/>
      </c>
      <c r="M238" s="15">
        <f>IF($A238="","",IFERROR(SUMIF(tblAnahtarB[NormB],$A238,tblVeriB[AlternatifTarif]),0))</f>
        <v/>
      </c>
      <c r="N238" s="15">
        <f>IF($A238="","",ROUND($H238*$M238*$J238*(1+$Q238*kdo_iadeEtkiCarpani),2))</f>
        <v/>
      </c>
      <c r="O238" s="15">
        <f>IF($A238="","",ROUND($L238-$N238,2))</f>
        <v/>
      </c>
      <c r="P238" s="15">
        <f>IF($A238="","",IF($R238&gt;kdo_esikDesiOran,"DESİ DÜŞÜR",IF($O238&gt;kdo_esikTasarruf,"TAŞIYICI DEĞİŞTİR","UYGUN")))</f>
        <v/>
      </c>
      <c r="Q238" s="15">
        <f>IF($A238="","",IFERROR(SUMIF(tblAnahtarB[NormB],$A238,tblVeriB[IadeOran]),0))</f>
        <v/>
      </c>
      <c r="R238" s="15">
        <f>IF(OR($A238="",$E238=0),0,$G238/$E238)</f>
        <v/>
      </c>
      <c r="S238" s="15">
        <f>IF($A238="","",$G238-$E238)</f>
        <v/>
      </c>
      <c r="T238" s="15">
        <f>IF($A238="","",$L238-$N238)</f>
        <v/>
      </c>
    </row>
    <row r="239">
      <c r="A239" s="15">
        <f>IF('ANAHTAR'!$B239="","",'ANAHTAR'!$B239)</f>
        <v/>
      </c>
      <c r="B239" s="15">
        <f>IF($A239="","",IFERROR(SUMIF(tblAnahtarA[Norm],$A239,tblVeriA[EnCm]),0))</f>
        <v/>
      </c>
      <c r="C239" s="15">
        <f>IF($A239="","",IFERROR(SUMIF(tblAnahtarA[Norm],$A239,tblVeriA[BoyCm]),0))</f>
        <v/>
      </c>
      <c r="D239" s="15">
        <f>IF($A239="","",IFERROR(SUMIF(tblAnahtarA[Norm],$A239,tblVeriA[YukseklikCm]),0))</f>
        <v/>
      </c>
      <c r="E239" s="15">
        <f>IF($A239="","",IFERROR(SUMIF(tblAnahtarA[Norm],$A239,tblVeriA[AgirlikKg]),0))</f>
        <v/>
      </c>
      <c r="F239" s="15">
        <f>IF($A239="","",IFERROR(SUMIF(tblAnahtarA[Norm],$A239,tblVeriA[DesiCarpani]),kdo_varsayilanDesiCarpani))</f>
        <v/>
      </c>
      <c r="G239" s="15">
        <f>IF($A239="","",ROUND($B239*$C239*$D239/MAX($F239,1),2))</f>
        <v/>
      </c>
      <c r="H239" s="15">
        <f>IF($A239="","",MAX($G239,$E239))</f>
        <v/>
      </c>
      <c r="I239" s="15">
        <f>IF($A239="","",IFERROR(SUMIF(tblAnahtarB[NormB],$A239,tblVeriB[TarifTlDesi]),0))</f>
        <v/>
      </c>
      <c r="J239" s="15">
        <f>IF($A239="","",IFERROR(SUMIF(tblAnahtarA[Norm],$A239,tblVeriA[Adet]),1))</f>
        <v/>
      </c>
      <c r="K239" s="15">
        <f>IF($A239="","",ROUND($H239*$I239,2))</f>
        <v/>
      </c>
      <c r="L239" s="15">
        <f>IF($A239="","",ROUND($K239*$J239*(1+$Q239*kdo_iadeEtkiCarpani),2))</f>
        <v/>
      </c>
      <c r="M239" s="15">
        <f>IF($A239="","",IFERROR(SUMIF(tblAnahtarB[NormB],$A239,tblVeriB[AlternatifTarif]),0))</f>
        <v/>
      </c>
      <c r="N239" s="15">
        <f>IF($A239="","",ROUND($H239*$M239*$J239*(1+$Q239*kdo_iadeEtkiCarpani),2))</f>
        <v/>
      </c>
      <c r="O239" s="15">
        <f>IF($A239="","",ROUND($L239-$N239,2))</f>
        <v/>
      </c>
      <c r="P239" s="15">
        <f>IF($A239="","",IF($R239&gt;kdo_esikDesiOran,"DESİ DÜŞÜR",IF($O239&gt;kdo_esikTasarruf,"TAŞIYICI DEĞİŞTİR","UYGUN")))</f>
        <v/>
      </c>
      <c r="Q239" s="15">
        <f>IF($A239="","",IFERROR(SUMIF(tblAnahtarB[NormB],$A239,tblVeriB[IadeOran]),0))</f>
        <v/>
      </c>
      <c r="R239" s="15">
        <f>IF(OR($A239="",$E239=0),0,$G239/$E239)</f>
        <v/>
      </c>
      <c r="S239" s="15">
        <f>IF($A239="","",$G239-$E239)</f>
        <v/>
      </c>
      <c r="T239" s="15">
        <f>IF($A239="","",$L239-$N239)</f>
        <v/>
      </c>
    </row>
    <row r="240">
      <c r="A240" s="15">
        <f>IF('ANAHTAR'!$B240="","",'ANAHTAR'!$B240)</f>
        <v/>
      </c>
      <c r="B240" s="15">
        <f>IF($A240="","",IFERROR(SUMIF(tblAnahtarA[Norm],$A240,tblVeriA[EnCm]),0))</f>
        <v/>
      </c>
      <c r="C240" s="15">
        <f>IF($A240="","",IFERROR(SUMIF(tblAnahtarA[Norm],$A240,tblVeriA[BoyCm]),0))</f>
        <v/>
      </c>
      <c r="D240" s="15">
        <f>IF($A240="","",IFERROR(SUMIF(tblAnahtarA[Norm],$A240,tblVeriA[YukseklikCm]),0))</f>
        <v/>
      </c>
      <c r="E240" s="15">
        <f>IF($A240="","",IFERROR(SUMIF(tblAnahtarA[Norm],$A240,tblVeriA[AgirlikKg]),0))</f>
        <v/>
      </c>
      <c r="F240" s="15">
        <f>IF($A240="","",IFERROR(SUMIF(tblAnahtarA[Norm],$A240,tblVeriA[DesiCarpani]),kdo_varsayilanDesiCarpani))</f>
        <v/>
      </c>
      <c r="G240" s="15">
        <f>IF($A240="","",ROUND($B240*$C240*$D240/MAX($F240,1),2))</f>
        <v/>
      </c>
      <c r="H240" s="15">
        <f>IF($A240="","",MAX($G240,$E240))</f>
        <v/>
      </c>
      <c r="I240" s="15">
        <f>IF($A240="","",IFERROR(SUMIF(tblAnahtarB[NormB],$A240,tblVeriB[TarifTlDesi]),0))</f>
        <v/>
      </c>
      <c r="J240" s="15">
        <f>IF($A240="","",IFERROR(SUMIF(tblAnahtarA[Norm],$A240,tblVeriA[Adet]),1))</f>
        <v/>
      </c>
      <c r="K240" s="15">
        <f>IF($A240="","",ROUND($H240*$I240,2))</f>
        <v/>
      </c>
      <c r="L240" s="15">
        <f>IF($A240="","",ROUND($K240*$J240*(1+$Q240*kdo_iadeEtkiCarpani),2))</f>
        <v/>
      </c>
      <c r="M240" s="15">
        <f>IF($A240="","",IFERROR(SUMIF(tblAnahtarB[NormB],$A240,tblVeriB[AlternatifTarif]),0))</f>
        <v/>
      </c>
      <c r="N240" s="15">
        <f>IF($A240="","",ROUND($H240*$M240*$J240*(1+$Q240*kdo_iadeEtkiCarpani),2))</f>
        <v/>
      </c>
      <c r="O240" s="15">
        <f>IF($A240="","",ROUND($L240-$N240,2))</f>
        <v/>
      </c>
      <c r="P240" s="15">
        <f>IF($A240="","",IF($R240&gt;kdo_esikDesiOran,"DESİ DÜŞÜR",IF($O240&gt;kdo_esikTasarruf,"TAŞIYICI DEĞİŞTİR","UYGUN")))</f>
        <v/>
      </c>
      <c r="Q240" s="15">
        <f>IF($A240="","",IFERROR(SUMIF(tblAnahtarB[NormB],$A240,tblVeriB[IadeOran]),0))</f>
        <v/>
      </c>
      <c r="R240" s="15">
        <f>IF(OR($A240="",$E240=0),0,$G240/$E240)</f>
        <v/>
      </c>
      <c r="S240" s="15">
        <f>IF($A240="","",$G240-$E240)</f>
        <v/>
      </c>
      <c r="T240" s="15">
        <f>IF($A240="","",$L240-$N240)</f>
        <v/>
      </c>
    </row>
    <row r="241">
      <c r="A241" s="15">
        <f>IF('ANAHTAR'!$B241="","",'ANAHTAR'!$B241)</f>
        <v/>
      </c>
      <c r="B241" s="15">
        <f>IF($A241="","",IFERROR(SUMIF(tblAnahtarA[Norm],$A241,tblVeriA[EnCm]),0))</f>
        <v/>
      </c>
      <c r="C241" s="15">
        <f>IF($A241="","",IFERROR(SUMIF(tblAnahtarA[Norm],$A241,tblVeriA[BoyCm]),0))</f>
        <v/>
      </c>
      <c r="D241" s="15">
        <f>IF($A241="","",IFERROR(SUMIF(tblAnahtarA[Norm],$A241,tblVeriA[YukseklikCm]),0))</f>
        <v/>
      </c>
      <c r="E241" s="15">
        <f>IF($A241="","",IFERROR(SUMIF(tblAnahtarA[Norm],$A241,tblVeriA[AgirlikKg]),0))</f>
        <v/>
      </c>
      <c r="F241" s="15">
        <f>IF($A241="","",IFERROR(SUMIF(tblAnahtarA[Norm],$A241,tblVeriA[DesiCarpani]),kdo_varsayilanDesiCarpani))</f>
        <v/>
      </c>
      <c r="G241" s="15">
        <f>IF($A241="","",ROUND($B241*$C241*$D241/MAX($F241,1),2))</f>
        <v/>
      </c>
      <c r="H241" s="15">
        <f>IF($A241="","",MAX($G241,$E241))</f>
        <v/>
      </c>
      <c r="I241" s="15">
        <f>IF($A241="","",IFERROR(SUMIF(tblAnahtarB[NormB],$A241,tblVeriB[TarifTlDesi]),0))</f>
        <v/>
      </c>
      <c r="J241" s="15">
        <f>IF($A241="","",IFERROR(SUMIF(tblAnahtarA[Norm],$A241,tblVeriA[Adet]),1))</f>
        <v/>
      </c>
      <c r="K241" s="15">
        <f>IF($A241="","",ROUND($H241*$I241,2))</f>
        <v/>
      </c>
      <c r="L241" s="15">
        <f>IF($A241="","",ROUND($K241*$J241*(1+$Q241*kdo_iadeEtkiCarpani),2))</f>
        <v/>
      </c>
      <c r="M241" s="15">
        <f>IF($A241="","",IFERROR(SUMIF(tblAnahtarB[NormB],$A241,tblVeriB[AlternatifTarif]),0))</f>
        <v/>
      </c>
      <c r="N241" s="15">
        <f>IF($A241="","",ROUND($H241*$M241*$J241*(1+$Q241*kdo_iadeEtkiCarpani),2))</f>
        <v/>
      </c>
      <c r="O241" s="15">
        <f>IF($A241="","",ROUND($L241-$N241,2))</f>
        <v/>
      </c>
      <c r="P241" s="15">
        <f>IF($A241="","",IF($R241&gt;kdo_esikDesiOran,"DESİ DÜŞÜR",IF($O241&gt;kdo_esikTasarruf,"TAŞIYICI DEĞİŞTİR","UYGUN")))</f>
        <v/>
      </c>
      <c r="Q241" s="15">
        <f>IF($A241="","",IFERROR(SUMIF(tblAnahtarB[NormB],$A241,tblVeriB[IadeOran]),0))</f>
        <v/>
      </c>
      <c r="R241" s="15">
        <f>IF(OR($A241="",$E241=0),0,$G241/$E241)</f>
        <v/>
      </c>
      <c r="S241" s="15">
        <f>IF($A241="","",$G241-$E241)</f>
        <v/>
      </c>
      <c r="T241" s="15">
        <f>IF($A241="","",$L241-$N241)</f>
        <v/>
      </c>
    </row>
    <row r="242">
      <c r="A242" s="15">
        <f>IF('ANAHTAR'!$B242="","",'ANAHTAR'!$B242)</f>
        <v/>
      </c>
      <c r="B242" s="15">
        <f>IF($A242="","",IFERROR(SUMIF(tblAnahtarA[Norm],$A242,tblVeriA[EnCm]),0))</f>
        <v/>
      </c>
      <c r="C242" s="15">
        <f>IF($A242="","",IFERROR(SUMIF(tblAnahtarA[Norm],$A242,tblVeriA[BoyCm]),0))</f>
        <v/>
      </c>
      <c r="D242" s="15">
        <f>IF($A242="","",IFERROR(SUMIF(tblAnahtarA[Norm],$A242,tblVeriA[YukseklikCm]),0))</f>
        <v/>
      </c>
      <c r="E242" s="15">
        <f>IF($A242="","",IFERROR(SUMIF(tblAnahtarA[Norm],$A242,tblVeriA[AgirlikKg]),0))</f>
        <v/>
      </c>
      <c r="F242" s="15">
        <f>IF($A242="","",IFERROR(SUMIF(tblAnahtarA[Norm],$A242,tblVeriA[DesiCarpani]),kdo_varsayilanDesiCarpani))</f>
        <v/>
      </c>
      <c r="G242" s="15">
        <f>IF($A242="","",ROUND($B242*$C242*$D242/MAX($F242,1),2))</f>
        <v/>
      </c>
      <c r="H242" s="15">
        <f>IF($A242="","",MAX($G242,$E242))</f>
        <v/>
      </c>
      <c r="I242" s="15">
        <f>IF($A242="","",IFERROR(SUMIF(tblAnahtarB[NormB],$A242,tblVeriB[TarifTlDesi]),0))</f>
        <v/>
      </c>
      <c r="J242" s="15">
        <f>IF($A242="","",IFERROR(SUMIF(tblAnahtarA[Norm],$A242,tblVeriA[Adet]),1))</f>
        <v/>
      </c>
      <c r="K242" s="15">
        <f>IF($A242="","",ROUND($H242*$I242,2))</f>
        <v/>
      </c>
      <c r="L242" s="15">
        <f>IF($A242="","",ROUND($K242*$J242*(1+$Q242*kdo_iadeEtkiCarpani),2))</f>
        <v/>
      </c>
      <c r="M242" s="15">
        <f>IF($A242="","",IFERROR(SUMIF(tblAnahtarB[NormB],$A242,tblVeriB[AlternatifTarif]),0))</f>
        <v/>
      </c>
      <c r="N242" s="15">
        <f>IF($A242="","",ROUND($H242*$M242*$J242*(1+$Q242*kdo_iadeEtkiCarpani),2))</f>
        <v/>
      </c>
      <c r="O242" s="15">
        <f>IF($A242="","",ROUND($L242-$N242,2))</f>
        <v/>
      </c>
      <c r="P242" s="15">
        <f>IF($A242="","",IF($R242&gt;kdo_esikDesiOran,"DESİ DÜŞÜR",IF($O242&gt;kdo_esikTasarruf,"TAŞIYICI DEĞİŞTİR","UYGUN")))</f>
        <v/>
      </c>
      <c r="Q242" s="15">
        <f>IF($A242="","",IFERROR(SUMIF(tblAnahtarB[NormB],$A242,tblVeriB[IadeOran]),0))</f>
        <v/>
      </c>
      <c r="R242" s="15">
        <f>IF(OR($A242="",$E242=0),0,$G242/$E242)</f>
        <v/>
      </c>
      <c r="S242" s="15">
        <f>IF($A242="","",$G242-$E242)</f>
        <v/>
      </c>
      <c r="T242" s="15">
        <f>IF($A242="","",$L242-$N242)</f>
        <v/>
      </c>
    </row>
    <row r="243">
      <c r="A243" s="15">
        <f>IF('ANAHTAR'!$B243="","",'ANAHTAR'!$B243)</f>
        <v/>
      </c>
      <c r="B243" s="15">
        <f>IF($A243="","",IFERROR(SUMIF(tblAnahtarA[Norm],$A243,tblVeriA[EnCm]),0))</f>
        <v/>
      </c>
      <c r="C243" s="15">
        <f>IF($A243="","",IFERROR(SUMIF(tblAnahtarA[Norm],$A243,tblVeriA[BoyCm]),0))</f>
        <v/>
      </c>
      <c r="D243" s="15">
        <f>IF($A243="","",IFERROR(SUMIF(tblAnahtarA[Norm],$A243,tblVeriA[YukseklikCm]),0))</f>
        <v/>
      </c>
      <c r="E243" s="15">
        <f>IF($A243="","",IFERROR(SUMIF(tblAnahtarA[Norm],$A243,tblVeriA[AgirlikKg]),0))</f>
        <v/>
      </c>
      <c r="F243" s="15">
        <f>IF($A243="","",IFERROR(SUMIF(tblAnahtarA[Norm],$A243,tblVeriA[DesiCarpani]),kdo_varsayilanDesiCarpani))</f>
        <v/>
      </c>
      <c r="G243" s="15">
        <f>IF($A243="","",ROUND($B243*$C243*$D243/MAX($F243,1),2))</f>
        <v/>
      </c>
      <c r="H243" s="15">
        <f>IF($A243="","",MAX($G243,$E243))</f>
        <v/>
      </c>
      <c r="I243" s="15">
        <f>IF($A243="","",IFERROR(SUMIF(tblAnahtarB[NormB],$A243,tblVeriB[TarifTlDesi]),0))</f>
        <v/>
      </c>
      <c r="J243" s="15">
        <f>IF($A243="","",IFERROR(SUMIF(tblAnahtarA[Norm],$A243,tblVeriA[Adet]),1))</f>
        <v/>
      </c>
      <c r="K243" s="15">
        <f>IF($A243="","",ROUND($H243*$I243,2))</f>
        <v/>
      </c>
      <c r="L243" s="15">
        <f>IF($A243="","",ROUND($K243*$J243*(1+$Q243*kdo_iadeEtkiCarpani),2))</f>
        <v/>
      </c>
      <c r="M243" s="15">
        <f>IF($A243="","",IFERROR(SUMIF(tblAnahtarB[NormB],$A243,tblVeriB[AlternatifTarif]),0))</f>
        <v/>
      </c>
      <c r="N243" s="15">
        <f>IF($A243="","",ROUND($H243*$M243*$J243*(1+$Q243*kdo_iadeEtkiCarpani),2))</f>
        <v/>
      </c>
      <c r="O243" s="15">
        <f>IF($A243="","",ROUND($L243-$N243,2))</f>
        <v/>
      </c>
      <c r="P243" s="15">
        <f>IF($A243="","",IF($R243&gt;kdo_esikDesiOran,"DESİ DÜŞÜR",IF($O243&gt;kdo_esikTasarruf,"TAŞIYICI DEĞİŞTİR","UYGUN")))</f>
        <v/>
      </c>
      <c r="Q243" s="15">
        <f>IF($A243="","",IFERROR(SUMIF(tblAnahtarB[NormB],$A243,tblVeriB[IadeOran]),0))</f>
        <v/>
      </c>
      <c r="R243" s="15">
        <f>IF(OR($A243="",$E243=0),0,$G243/$E243)</f>
        <v/>
      </c>
      <c r="S243" s="15">
        <f>IF($A243="","",$G243-$E243)</f>
        <v/>
      </c>
      <c r="T243" s="15">
        <f>IF($A243="","",$L243-$N243)</f>
        <v/>
      </c>
    </row>
    <row r="244">
      <c r="A244" s="15">
        <f>IF('ANAHTAR'!$B244="","",'ANAHTAR'!$B244)</f>
        <v/>
      </c>
      <c r="B244" s="15">
        <f>IF($A244="","",IFERROR(SUMIF(tblAnahtarA[Norm],$A244,tblVeriA[EnCm]),0))</f>
        <v/>
      </c>
      <c r="C244" s="15">
        <f>IF($A244="","",IFERROR(SUMIF(tblAnahtarA[Norm],$A244,tblVeriA[BoyCm]),0))</f>
        <v/>
      </c>
      <c r="D244" s="15">
        <f>IF($A244="","",IFERROR(SUMIF(tblAnahtarA[Norm],$A244,tblVeriA[YukseklikCm]),0))</f>
        <v/>
      </c>
      <c r="E244" s="15">
        <f>IF($A244="","",IFERROR(SUMIF(tblAnahtarA[Norm],$A244,tblVeriA[AgirlikKg]),0))</f>
        <v/>
      </c>
      <c r="F244" s="15">
        <f>IF($A244="","",IFERROR(SUMIF(tblAnahtarA[Norm],$A244,tblVeriA[DesiCarpani]),kdo_varsayilanDesiCarpani))</f>
        <v/>
      </c>
      <c r="G244" s="15">
        <f>IF($A244="","",ROUND($B244*$C244*$D244/MAX($F244,1),2))</f>
        <v/>
      </c>
      <c r="H244" s="15">
        <f>IF($A244="","",MAX($G244,$E244))</f>
        <v/>
      </c>
      <c r="I244" s="15">
        <f>IF($A244="","",IFERROR(SUMIF(tblAnahtarB[NormB],$A244,tblVeriB[TarifTlDesi]),0))</f>
        <v/>
      </c>
      <c r="J244" s="15">
        <f>IF($A244="","",IFERROR(SUMIF(tblAnahtarA[Norm],$A244,tblVeriA[Adet]),1))</f>
        <v/>
      </c>
      <c r="K244" s="15">
        <f>IF($A244="","",ROUND($H244*$I244,2))</f>
        <v/>
      </c>
      <c r="L244" s="15">
        <f>IF($A244="","",ROUND($K244*$J244*(1+$Q244*kdo_iadeEtkiCarpani),2))</f>
        <v/>
      </c>
      <c r="M244" s="15">
        <f>IF($A244="","",IFERROR(SUMIF(tblAnahtarB[NormB],$A244,tblVeriB[AlternatifTarif]),0))</f>
        <v/>
      </c>
      <c r="N244" s="15">
        <f>IF($A244="","",ROUND($H244*$M244*$J244*(1+$Q244*kdo_iadeEtkiCarpani),2))</f>
        <v/>
      </c>
      <c r="O244" s="15">
        <f>IF($A244="","",ROUND($L244-$N244,2))</f>
        <v/>
      </c>
      <c r="P244" s="15">
        <f>IF($A244="","",IF($R244&gt;kdo_esikDesiOran,"DESİ DÜŞÜR",IF($O244&gt;kdo_esikTasarruf,"TAŞIYICI DEĞİŞTİR","UYGUN")))</f>
        <v/>
      </c>
      <c r="Q244" s="15">
        <f>IF($A244="","",IFERROR(SUMIF(tblAnahtarB[NormB],$A244,tblVeriB[IadeOran]),0))</f>
        <v/>
      </c>
      <c r="R244" s="15">
        <f>IF(OR($A244="",$E244=0),0,$G244/$E244)</f>
        <v/>
      </c>
      <c r="S244" s="15">
        <f>IF($A244="","",$G244-$E244)</f>
        <v/>
      </c>
      <c r="T244" s="15">
        <f>IF($A244="","",$L244-$N244)</f>
        <v/>
      </c>
    </row>
    <row r="245">
      <c r="A245" s="15">
        <f>IF('ANAHTAR'!$B245="","",'ANAHTAR'!$B245)</f>
        <v/>
      </c>
      <c r="B245" s="15">
        <f>IF($A245="","",IFERROR(SUMIF(tblAnahtarA[Norm],$A245,tblVeriA[EnCm]),0))</f>
        <v/>
      </c>
      <c r="C245" s="15">
        <f>IF($A245="","",IFERROR(SUMIF(tblAnahtarA[Norm],$A245,tblVeriA[BoyCm]),0))</f>
        <v/>
      </c>
      <c r="D245" s="15">
        <f>IF($A245="","",IFERROR(SUMIF(tblAnahtarA[Norm],$A245,tblVeriA[YukseklikCm]),0))</f>
        <v/>
      </c>
      <c r="E245" s="15">
        <f>IF($A245="","",IFERROR(SUMIF(tblAnahtarA[Norm],$A245,tblVeriA[AgirlikKg]),0))</f>
        <v/>
      </c>
      <c r="F245" s="15">
        <f>IF($A245="","",IFERROR(SUMIF(tblAnahtarA[Norm],$A245,tblVeriA[DesiCarpani]),kdo_varsayilanDesiCarpani))</f>
        <v/>
      </c>
      <c r="G245" s="15">
        <f>IF($A245="","",ROUND($B245*$C245*$D245/MAX($F245,1),2))</f>
        <v/>
      </c>
      <c r="H245" s="15">
        <f>IF($A245="","",MAX($G245,$E245))</f>
        <v/>
      </c>
      <c r="I245" s="15">
        <f>IF($A245="","",IFERROR(SUMIF(tblAnahtarB[NormB],$A245,tblVeriB[TarifTlDesi]),0))</f>
        <v/>
      </c>
      <c r="J245" s="15">
        <f>IF($A245="","",IFERROR(SUMIF(tblAnahtarA[Norm],$A245,tblVeriA[Adet]),1))</f>
        <v/>
      </c>
      <c r="K245" s="15">
        <f>IF($A245="","",ROUND($H245*$I245,2))</f>
        <v/>
      </c>
      <c r="L245" s="15">
        <f>IF($A245="","",ROUND($K245*$J245*(1+$Q245*kdo_iadeEtkiCarpani),2))</f>
        <v/>
      </c>
      <c r="M245" s="15">
        <f>IF($A245="","",IFERROR(SUMIF(tblAnahtarB[NormB],$A245,tblVeriB[AlternatifTarif]),0))</f>
        <v/>
      </c>
      <c r="N245" s="15">
        <f>IF($A245="","",ROUND($H245*$M245*$J245*(1+$Q245*kdo_iadeEtkiCarpani),2))</f>
        <v/>
      </c>
      <c r="O245" s="15">
        <f>IF($A245="","",ROUND($L245-$N245,2))</f>
        <v/>
      </c>
      <c r="P245" s="15">
        <f>IF($A245="","",IF($R245&gt;kdo_esikDesiOran,"DESİ DÜŞÜR",IF($O245&gt;kdo_esikTasarruf,"TAŞIYICI DEĞİŞTİR","UYGUN")))</f>
        <v/>
      </c>
      <c r="Q245" s="15">
        <f>IF($A245="","",IFERROR(SUMIF(tblAnahtarB[NormB],$A245,tblVeriB[IadeOran]),0))</f>
        <v/>
      </c>
      <c r="R245" s="15">
        <f>IF(OR($A245="",$E245=0),0,$G245/$E245)</f>
        <v/>
      </c>
      <c r="S245" s="15">
        <f>IF($A245="","",$G245-$E245)</f>
        <v/>
      </c>
      <c r="T245" s="15">
        <f>IF($A245="","",$L245-$N245)</f>
        <v/>
      </c>
    </row>
    <row r="246">
      <c r="A246" s="15">
        <f>IF('ANAHTAR'!$B246="","",'ANAHTAR'!$B246)</f>
        <v/>
      </c>
      <c r="B246" s="15">
        <f>IF($A246="","",IFERROR(SUMIF(tblAnahtarA[Norm],$A246,tblVeriA[EnCm]),0))</f>
        <v/>
      </c>
      <c r="C246" s="15">
        <f>IF($A246="","",IFERROR(SUMIF(tblAnahtarA[Norm],$A246,tblVeriA[BoyCm]),0))</f>
        <v/>
      </c>
      <c r="D246" s="15">
        <f>IF($A246="","",IFERROR(SUMIF(tblAnahtarA[Norm],$A246,tblVeriA[YukseklikCm]),0))</f>
        <v/>
      </c>
      <c r="E246" s="15">
        <f>IF($A246="","",IFERROR(SUMIF(tblAnahtarA[Norm],$A246,tblVeriA[AgirlikKg]),0))</f>
        <v/>
      </c>
      <c r="F246" s="15">
        <f>IF($A246="","",IFERROR(SUMIF(tblAnahtarA[Norm],$A246,tblVeriA[DesiCarpani]),kdo_varsayilanDesiCarpani))</f>
        <v/>
      </c>
      <c r="G246" s="15">
        <f>IF($A246="","",ROUND($B246*$C246*$D246/MAX($F246,1),2))</f>
        <v/>
      </c>
      <c r="H246" s="15">
        <f>IF($A246="","",MAX($G246,$E246))</f>
        <v/>
      </c>
      <c r="I246" s="15">
        <f>IF($A246="","",IFERROR(SUMIF(tblAnahtarB[NormB],$A246,tblVeriB[TarifTlDesi]),0))</f>
        <v/>
      </c>
      <c r="J246" s="15">
        <f>IF($A246="","",IFERROR(SUMIF(tblAnahtarA[Norm],$A246,tblVeriA[Adet]),1))</f>
        <v/>
      </c>
      <c r="K246" s="15">
        <f>IF($A246="","",ROUND($H246*$I246,2))</f>
        <v/>
      </c>
      <c r="L246" s="15">
        <f>IF($A246="","",ROUND($K246*$J246*(1+$Q246*kdo_iadeEtkiCarpani),2))</f>
        <v/>
      </c>
      <c r="M246" s="15">
        <f>IF($A246="","",IFERROR(SUMIF(tblAnahtarB[NormB],$A246,tblVeriB[AlternatifTarif]),0))</f>
        <v/>
      </c>
      <c r="N246" s="15">
        <f>IF($A246="","",ROUND($H246*$M246*$J246*(1+$Q246*kdo_iadeEtkiCarpani),2))</f>
        <v/>
      </c>
      <c r="O246" s="15">
        <f>IF($A246="","",ROUND($L246-$N246,2))</f>
        <v/>
      </c>
      <c r="P246" s="15">
        <f>IF($A246="","",IF($R246&gt;kdo_esikDesiOran,"DESİ DÜŞÜR",IF($O246&gt;kdo_esikTasarruf,"TAŞIYICI DEĞİŞTİR","UYGUN")))</f>
        <v/>
      </c>
      <c r="Q246" s="15">
        <f>IF($A246="","",IFERROR(SUMIF(tblAnahtarB[NormB],$A246,tblVeriB[IadeOran]),0))</f>
        <v/>
      </c>
      <c r="R246" s="15">
        <f>IF(OR($A246="",$E246=0),0,$G246/$E246)</f>
        <v/>
      </c>
      <c r="S246" s="15">
        <f>IF($A246="","",$G246-$E246)</f>
        <v/>
      </c>
      <c r="T246" s="15">
        <f>IF($A246="","",$L246-$N246)</f>
        <v/>
      </c>
    </row>
    <row r="247">
      <c r="A247" s="15">
        <f>IF('ANAHTAR'!$B247="","",'ANAHTAR'!$B247)</f>
        <v/>
      </c>
      <c r="B247" s="15">
        <f>IF($A247="","",IFERROR(SUMIF(tblAnahtarA[Norm],$A247,tblVeriA[EnCm]),0))</f>
        <v/>
      </c>
      <c r="C247" s="15">
        <f>IF($A247="","",IFERROR(SUMIF(tblAnahtarA[Norm],$A247,tblVeriA[BoyCm]),0))</f>
        <v/>
      </c>
      <c r="D247" s="15">
        <f>IF($A247="","",IFERROR(SUMIF(tblAnahtarA[Norm],$A247,tblVeriA[YukseklikCm]),0))</f>
        <v/>
      </c>
      <c r="E247" s="15">
        <f>IF($A247="","",IFERROR(SUMIF(tblAnahtarA[Norm],$A247,tblVeriA[AgirlikKg]),0))</f>
        <v/>
      </c>
      <c r="F247" s="15">
        <f>IF($A247="","",IFERROR(SUMIF(tblAnahtarA[Norm],$A247,tblVeriA[DesiCarpani]),kdo_varsayilanDesiCarpani))</f>
        <v/>
      </c>
      <c r="G247" s="15">
        <f>IF($A247="","",ROUND($B247*$C247*$D247/MAX($F247,1),2))</f>
        <v/>
      </c>
      <c r="H247" s="15">
        <f>IF($A247="","",MAX($G247,$E247))</f>
        <v/>
      </c>
      <c r="I247" s="15">
        <f>IF($A247="","",IFERROR(SUMIF(tblAnahtarB[NormB],$A247,tblVeriB[TarifTlDesi]),0))</f>
        <v/>
      </c>
      <c r="J247" s="15">
        <f>IF($A247="","",IFERROR(SUMIF(tblAnahtarA[Norm],$A247,tblVeriA[Adet]),1))</f>
        <v/>
      </c>
      <c r="K247" s="15">
        <f>IF($A247="","",ROUND($H247*$I247,2))</f>
        <v/>
      </c>
      <c r="L247" s="15">
        <f>IF($A247="","",ROUND($K247*$J247*(1+$Q247*kdo_iadeEtkiCarpani),2))</f>
        <v/>
      </c>
      <c r="M247" s="15">
        <f>IF($A247="","",IFERROR(SUMIF(tblAnahtarB[NormB],$A247,tblVeriB[AlternatifTarif]),0))</f>
        <v/>
      </c>
      <c r="N247" s="15">
        <f>IF($A247="","",ROUND($H247*$M247*$J247*(1+$Q247*kdo_iadeEtkiCarpani),2))</f>
        <v/>
      </c>
      <c r="O247" s="15">
        <f>IF($A247="","",ROUND($L247-$N247,2))</f>
        <v/>
      </c>
      <c r="P247" s="15">
        <f>IF($A247="","",IF($R247&gt;kdo_esikDesiOran,"DESİ DÜŞÜR",IF($O247&gt;kdo_esikTasarruf,"TAŞIYICI DEĞİŞTİR","UYGUN")))</f>
        <v/>
      </c>
      <c r="Q247" s="15">
        <f>IF($A247="","",IFERROR(SUMIF(tblAnahtarB[NormB],$A247,tblVeriB[IadeOran]),0))</f>
        <v/>
      </c>
      <c r="R247" s="15">
        <f>IF(OR($A247="",$E247=0),0,$G247/$E247)</f>
        <v/>
      </c>
      <c r="S247" s="15">
        <f>IF($A247="","",$G247-$E247)</f>
        <v/>
      </c>
      <c r="T247" s="15">
        <f>IF($A247="","",$L247-$N247)</f>
        <v/>
      </c>
    </row>
    <row r="248">
      <c r="A248" s="15">
        <f>IF('ANAHTAR'!$B248="","",'ANAHTAR'!$B248)</f>
        <v/>
      </c>
      <c r="B248" s="15">
        <f>IF($A248="","",IFERROR(SUMIF(tblAnahtarA[Norm],$A248,tblVeriA[EnCm]),0))</f>
        <v/>
      </c>
      <c r="C248" s="15">
        <f>IF($A248="","",IFERROR(SUMIF(tblAnahtarA[Norm],$A248,tblVeriA[BoyCm]),0))</f>
        <v/>
      </c>
      <c r="D248" s="15">
        <f>IF($A248="","",IFERROR(SUMIF(tblAnahtarA[Norm],$A248,tblVeriA[YukseklikCm]),0))</f>
        <v/>
      </c>
      <c r="E248" s="15">
        <f>IF($A248="","",IFERROR(SUMIF(tblAnahtarA[Norm],$A248,tblVeriA[AgirlikKg]),0))</f>
        <v/>
      </c>
      <c r="F248" s="15">
        <f>IF($A248="","",IFERROR(SUMIF(tblAnahtarA[Norm],$A248,tblVeriA[DesiCarpani]),kdo_varsayilanDesiCarpani))</f>
        <v/>
      </c>
      <c r="G248" s="15">
        <f>IF($A248="","",ROUND($B248*$C248*$D248/MAX($F248,1),2))</f>
        <v/>
      </c>
      <c r="H248" s="15">
        <f>IF($A248="","",MAX($G248,$E248))</f>
        <v/>
      </c>
      <c r="I248" s="15">
        <f>IF($A248="","",IFERROR(SUMIF(tblAnahtarB[NormB],$A248,tblVeriB[TarifTlDesi]),0))</f>
        <v/>
      </c>
      <c r="J248" s="15">
        <f>IF($A248="","",IFERROR(SUMIF(tblAnahtarA[Norm],$A248,tblVeriA[Adet]),1))</f>
        <v/>
      </c>
      <c r="K248" s="15">
        <f>IF($A248="","",ROUND($H248*$I248,2))</f>
        <v/>
      </c>
      <c r="L248" s="15">
        <f>IF($A248="","",ROUND($K248*$J248*(1+$Q248*kdo_iadeEtkiCarpani),2))</f>
        <v/>
      </c>
      <c r="M248" s="15">
        <f>IF($A248="","",IFERROR(SUMIF(tblAnahtarB[NormB],$A248,tblVeriB[AlternatifTarif]),0))</f>
        <v/>
      </c>
      <c r="N248" s="15">
        <f>IF($A248="","",ROUND($H248*$M248*$J248*(1+$Q248*kdo_iadeEtkiCarpani),2))</f>
        <v/>
      </c>
      <c r="O248" s="15">
        <f>IF($A248="","",ROUND($L248-$N248,2))</f>
        <v/>
      </c>
      <c r="P248" s="15">
        <f>IF($A248="","",IF($R248&gt;kdo_esikDesiOran,"DESİ DÜŞÜR",IF($O248&gt;kdo_esikTasarruf,"TAŞIYICI DEĞİŞTİR","UYGUN")))</f>
        <v/>
      </c>
      <c r="Q248" s="15">
        <f>IF($A248="","",IFERROR(SUMIF(tblAnahtarB[NormB],$A248,tblVeriB[IadeOran]),0))</f>
        <v/>
      </c>
      <c r="R248" s="15">
        <f>IF(OR($A248="",$E248=0),0,$G248/$E248)</f>
        <v/>
      </c>
      <c r="S248" s="15">
        <f>IF($A248="","",$G248-$E248)</f>
        <v/>
      </c>
      <c r="T248" s="15">
        <f>IF($A248="","",$L248-$N248)</f>
        <v/>
      </c>
    </row>
    <row r="249">
      <c r="A249" s="15">
        <f>IF('ANAHTAR'!$B249="","",'ANAHTAR'!$B249)</f>
        <v/>
      </c>
      <c r="B249" s="15">
        <f>IF($A249="","",IFERROR(SUMIF(tblAnahtarA[Norm],$A249,tblVeriA[EnCm]),0))</f>
        <v/>
      </c>
      <c r="C249" s="15">
        <f>IF($A249="","",IFERROR(SUMIF(tblAnahtarA[Norm],$A249,tblVeriA[BoyCm]),0))</f>
        <v/>
      </c>
      <c r="D249" s="15">
        <f>IF($A249="","",IFERROR(SUMIF(tblAnahtarA[Norm],$A249,tblVeriA[YukseklikCm]),0))</f>
        <v/>
      </c>
      <c r="E249" s="15">
        <f>IF($A249="","",IFERROR(SUMIF(tblAnahtarA[Norm],$A249,tblVeriA[AgirlikKg]),0))</f>
        <v/>
      </c>
      <c r="F249" s="15">
        <f>IF($A249="","",IFERROR(SUMIF(tblAnahtarA[Norm],$A249,tblVeriA[DesiCarpani]),kdo_varsayilanDesiCarpani))</f>
        <v/>
      </c>
      <c r="G249" s="15">
        <f>IF($A249="","",ROUND($B249*$C249*$D249/MAX($F249,1),2))</f>
        <v/>
      </c>
      <c r="H249" s="15">
        <f>IF($A249="","",MAX($G249,$E249))</f>
        <v/>
      </c>
      <c r="I249" s="15">
        <f>IF($A249="","",IFERROR(SUMIF(tblAnahtarB[NormB],$A249,tblVeriB[TarifTlDesi]),0))</f>
        <v/>
      </c>
      <c r="J249" s="15">
        <f>IF($A249="","",IFERROR(SUMIF(tblAnahtarA[Norm],$A249,tblVeriA[Adet]),1))</f>
        <v/>
      </c>
      <c r="K249" s="15">
        <f>IF($A249="","",ROUND($H249*$I249,2))</f>
        <v/>
      </c>
      <c r="L249" s="15">
        <f>IF($A249="","",ROUND($K249*$J249*(1+$Q249*kdo_iadeEtkiCarpani),2))</f>
        <v/>
      </c>
      <c r="M249" s="15">
        <f>IF($A249="","",IFERROR(SUMIF(tblAnahtarB[NormB],$A249,tblVeriB[AlternatifTarif]),0))</f>
        <v/>
      </c>
      <c r="N249" s="15">
        <f>IF($A249="","",ROUND($H249*$M249*$J249*(1+$Q249*kdo_iadeEtkiCarpani),2))</f>
        <v/>
      </c>
      <c r="O249" s="15">
        <f>IF($A249="","",ROUND($L249-$N249,2))</f>
        <v/>
      </c>
      <c r="P249" s="15">
        <f>IF($A249="","",IF($R249&gt;kdo_esikDesiOran,"DESİ DÜŞÜR",IF($O249&gt;kdo_esikTasarruf,"TAŞIYICI DEĞİŞTİR","UYGUN")))</f>
        <v/>
      </c>
      <c r="Q249" s="15">
        <f>IF($A249="","",IFERROR(SUMIF(tblAnahtarB[NormB],$A249,tblVeriB[IadeOran]),0))</f>
        <v/>
      </c>
      <c r="R249" s="15">
        <f>IF(OR($A249="",$E249=0),0,$G249/$E249)</f>
        <v/>
      </c>
      <c r="S249" s="15">
        <f>IF($A249="","",$G249-$E249)</f>
        <v/>
      </c>
      <c r="T249" s="15">
        <f>IF($A249="","",$L249-$N249)</f>
        <v/>
      </c>
    </row>
    <row r="250">
      <c r="A250" s="15">
        <f>IF('ANAHTAR'!$B250="","",'ANAHTAR'!$B250)</f>
        <v/>
      </c>
      <c r="B250" s="15">
        <f>IF($A250="","",IFERROR(SUMIF(tblAnahtarA[Norm],$A250,tblVeriA[EnCm]),0))</f>
        <v/>
      </c>
      <c r="C250" s="15">
        <f>IF($A250="","",IFERROR(SUMIF(tblAnahtarA[Norm],$A250,tblVeriA[BoyCm]),0))</f>
        <v/>
      </c>
      <c r="D250" s="15">
        <f>IF($A250="","",IFERROR(SUMIF(tblAnahtarA[Norm],$A250,tblVeriA[YukseklikCm]),0))</f>
        <v/>
      </c>
      <c r="E250" s="15">
        <f>IF($A250="","",IFERROR(SUMIF(tblAnahtarA[Norm],$A250,tblVeriA[AgirlikKg]),0))</f>
        <v/>
      </c>
      <c r="F250" s="15">
        <f>IF($A250="","",IFERROR(SUMIF(tblAnahtarA[Norm],$A250,tblVeriA[DesiCarpani]),kdo_varsayilanDesiCarpani))</f>
        <v/>
      </c>
      <c r="G250" s="15">
        <f>IF($A250="","",ROUND($B250*$C250*$D250/MAX($F250,1),2))</f>
        <v/>
      </c>
      <c r="H250" s="15">
        <f>IF($A250="","",MAX($G250,$E250))</f>
        <v/>
      </c>
      <c r="I250" s="15">
        <f>IF($A250="","",IFERROR(SUMIF(tblAnahtarB[NormB],$A250,tblVeriB[TarifTlDesi]),0))</f>
        <v/>
      </c>
      <c r="J250" s="15">
        <f>IF($A250="","",IFERROR(SUMIF(tblAnahtarA[Norm],$A250,tblVeriA[Adet]),1))</f>
        <v/>
      </c>
      <c r="K250" s="15">
        <f>IF($A250="","",ROUND($H250*$I250,2))</f>
        <v/>
      </c>
      <c r="L250" s="15">
        <f>IF($A250="","",ROUND($K250*$J250*(1+$Q250*kdo_iadeEtkiCarpani),2))</f>
        <v/>
      </c>
      <c r="M250" s="15">
        <f>IF($A250="","",IFERROR(SUMIF(tblAnahtarB[NormB],$A250,tblVeriB[AlternatifTarif]),0))</f>
        <v/>
      </c>
      <c r="N250" s="15">
        <f>IF($A250="","",ROUND($H250*$M250*$J250*(1+$Q250*kdo_iadeEtkiCarpani),2))</f>
        <v/>
      </c>
      <c r="O250" s="15">
        <f>IF($A250="","",ROUND($L250-$N250,2))</f>
        <v/>
      </c>
      <c r="P250" s="15">
        <f>IF($A250="","",IF($R250&gt;kdo_esikDesiOran,"DESİ DÜŞÜR",IF($O250&gt;kdo_esikTasarruf,"TAŞIYICI DEĞİŞTİR","UYGUN")))</f>
        <v/>
      </c>
      <c r="Q250" s="15">
        <f>IF($A250="","",IFERROR(SUMIF(tblAnahtarB[NormB],$A250,tblVeriB[IadeOran]),0))</f>
        <v/>
      </c>
      <c r="R250" s="15">
        <f>IF(OR($A250="",$E250=0),0,$G250/$E250)</f>
        <v/>
      </c>
      <c r="S250" s="15">
        <f>IF($A250="","",$G250-$E250)</f>
        <v/>
      </c>
      <c r="T250" s="15">
        <f>IF($A250="","",$L250-$N250)</f>
        <v/>
      </c>
    </row>
    <row r="251">
      <c r="A251" s="15">
        <f>IF('ANAHTAR'!$B251="","",'ANAHTAR'!$B251)</f>
        <v/>
      </c>
      <c r="B251" s="15">
        <f>IF($A251="","",IFERROR(SUMIF(tblAnahtarA[Norm],$A251,tblVeriA[EnCm]),0))</f>
        <v/>
      </c>
      <c r="C251" s="15">
        <f>IF($A251="","",IFERROR(SUMIF(tblAnahtarA[Norm],$A251,tblVeriA[BoyCm]),0))</f>
        <v/>
      </c>
      <c r="D251" s="15">
        <f>IF($A251="","",IFERROR(SUMIF(tblAnahtarA[Norm],$A251,tblVeriA[YukseklikCm]),0))</f>
        <v/>
      </c>
      <c r="E251" s="15">
        <f>IF($A251="","",IFERROR(SUMIF(tblAnahtarA[Norm],$A251,tblVeriA[AgirlikKg]),0))</f>
        <v/>
      </c>
      <c r="F251" s="15">
        <f>IF($A251="","",IFERROR(SUMIF(tblAnahtarA[Norm],$A251,tblVeriA[DesiCarpani]),kdo_varsayilanDesiCarpani))</f>
        <v/>
      </c>
      <c r="G251" s="15">
        <f>IF($A251="","",ROUND($B251*$C251*$D251/MAX($F251,1),2))</f>
        <v/>
      </c>
      <c r="H251" s="15">
        <f>IF($A251="","",MAX($G251,$E251))</f>
        <v/>
      </c>
      <c r="I251" s="15">
        <f>IF($A251="","",IFERROR(SUMIF(tblAnahtarB[NormB],$A251,tblVeriB[TarifTlDesi]),0))</f>
        <v/>
      </c>
      <c r="J251" s="15">
        <f>IF($A251="","",IFERROR(SUMIF(tblAnahtarA[Norm],$A251,tblVeriA[Adet]),1))</f>
        <v/>
      </c>
      <c r="K251" s="15">
        <f>IF($A251="","",ROUND($H251*$I251,2))</f>
        <v/>
      </c>
      <c r="L251" s="15">
        <f>IF($A251="","",ROUND($K251*$J251*(1+$Q251*kdo_iadeEtkiCarpani),2))</f>
        <v/>
      </c>
      <c r="M251" s="15">
        <f>IF($A251="","",IFERROR(SUMIF(tblAnahtarB[NormB],$A251,tblVeriB[AlternatifTarif]),0))</f>
        <v/>
      </c>
      <c r="N251" s="15">
        <f>IF($A251="","",ROUND($H251*$M251*$J251*(1+$Q251*kdo_iadeEtkiCarpani),2))</f>
        <v/>
      </c>
      <c r="O251" s="15">
        <f>IF($A251="","",ROUND($L251-$N251,2))</f>
        <v/>
      </c>
      <c r="P251" s="15">
        <f>IF($A251="","",IF($R251&gt;kdo_esikDesiOran,"DESİ DÜŞÜR",IF($O251&gt;kdo_esikTasarruf,"TAŞIYICI DEĞİŞTİR","UYGUN")))</f>
        <v/>
      </c>
      <c r="Q251" s="15">
        <f>IF($A251="","",IFERROR(SUMIF(tblAnahtarB[NormB],$A251,tblVeriB[IadeOran]),0))</f>
        <v/>
      </c>
      <c r="R251" s="15">
        <f>IF(OR($A251="",$E251=0),0,$G251/$E251)</f>
        <v/>
      </c>
      <c r="S251" s="15">
        <f>IF($A251="","",$G251-$E251)</f>
        <v/>
      </c>
      <c r="T251" s="15">
        <f>IF($A251="","",$L251-$N251)</f>
        <v/>
      </c>
    </row>
    <row r="252">
      <c r="A252" s="15">
        <f>IF('ANAHTAR'!$B252="","",'ANAHTAR'!$B252)</f>
        <v/>
      </c>
      <c r="B252" s="15">
        <f>IF($A252="","",IFERROR(SUMIF(tblAnahtarA[Norm],$A252,tblVeriA[EnCm]),0))</f>
        <v/>
      </c>
      <c r="C252" s="15">
        <f>IF($A252="","",IFERROR(SUMIF(tblAnahtarA[Norm],$A252,tblVeriA[BoyCm]),0))</f>
        <v/>
      </c>
      <c r="D252" s="15">
        <f>IF($A252="","",IFERROR(SUMIF(tblAnahtarA[Norm],$A252,tblVeriA[YukseklikCm]),0))</f>
        <v/>
      </c>
      <c r="E252" s="15">
        <f>IF($A252="","",IFERROR(SUMIF(tblAnahtarA[Norm],$A252,tblVeriA[AgirlikKg]),0))</f>
        <v/>
      </c>
      <c r="F252" s="15">
        <f>IF($A252="","",IFERROR(SUMIF(tblAnahtarA[Norm],$A252,tblVeriA[DesiCarpani]),kdo_varsayilanDesiCarpani))</f>
        <v/>
      </c>
      <c r="G252" s="15">
        <f>IF($A252="","",ROUND($B252*$C252*$D252/MAX($F252,1),2))</f>
        <v/>
      </c>
      <c r="H252" s="15">
        <f>IF($A252="","",MAX($G252,$E252))</f>
        <v/>
      </c>
      <c r="I252" s="15">
        <f>IF($A252="","",IFERROR(SUMIF(tblAnahtarB[NormB],$A252,tblVeriB[TarifTlDesi]),0))</f>
        <v/>
      </c>
      <c r="J252" s="15">
        <f>IF($A252="","",IFERROR(SUMIF(tblAnahtarA[Norm],$A252,tblVeriA[Adet]),1))</f>
        <v/>
      </c>
      <c r="K252" s="15">
        <f>IF($A252="","",ROUND($H252*$I252,2))</f>
        <v/>
      </c>
      <c r="L252" s="15">
        <f>IF($A252="","",ROUND($K252*$J252*(1+$Q252*kdo_iadeEtkiCarpani),2))</f>
        <v/>
      </c>
      <c r="M252" s="15">
        <f>IF($A252="","",IFERROR(SUMIF(tblAnahtarB[NormB],$A252,tblVeriB[AlternatifTarif]),0))</f>
        <v/>
      </c>
      <c r="N252" s="15">
        <f>IF($A252="","",ROUND($H252*$M252*$J252*(1+$Q252*kdo_iadeEtkiCarpani),2))</f>
        <v/>
      </c>
      <c r="O252" s="15">
        <f>IF($A252="","",ROUND($L252-$N252,2))</f>
        <v/>
      </c>
      <c r="P252" s="15">
        <f>IF($A252="","",IF($R252&gt;kdo_esikDesiOran,"DESİ DÜŞÜR",IF($O252&gt;kdo_esikTasarruf,"TAŞIYICI DEĞİŞTİR","UYGUN")))</f>
        <v/>
      </c>
      <c r="Q252" s="15">
        <f>IF($A252="","",IFERROR(SUMIF(tblAnahtarB[NormB],$A252,tblVeriB[IadeOran]),0))</f>
        <v/>
      </c>
      <c r="R252" s="15">
        <f>IF(OR($A252="",$E252=0),0,$G252/$E252)</f>
        <v/>
      </c>
      <c r="S252" s="15">
        <f>IF($A252="","",$G252-$E252)</f>
        <v/>
      </c>
      <c r="T252" s="15">
        <f>IF($A252="","",$L252-$N252)</f>
        <v/>
      </c>
    </row>
    <row r="253">
      <c r="A253" s="15">
        <f>IF('ANAHTAR'!$B253="","",'ANAHTAR'!$B253)</f>
        <v/>
      </c>
      <c r="B253" s="15">
        <f>IF($A253="","",IFERROR(SUMIF(tblAnahtarA[Norm],$A253,tblVeriA[EnCm]),0))</f>
        <v/>
      </c>
      <c r="C253" s="15">
        <f>IF($A253="","",IFERROR(SUMIF(tblAnahtarA[Norm],$A253,tblVeriA[BoyCm]),0))</f>
        <v/>
      </c>
      <c r="D253" s="15">
        <f>IF($A253="","",IFERROR(SUMIF(tblAnahtarA[Norm],$A253,tblVeriA[YukseklikCm]),0))</f>
        <v/>
      </c>
      <c r="E253" s="15">
        <f>IF($A253="","",IFERROR(SUMIF(tblAnahtarA[Norm],$A253,tblVeriA[AgirlikKg]),0))</f>
        <v/>
      </c>
      <c r="F253" s="15">
        <f>IF($A253="","",IFERROR(SUMIF(tblAnahtarA[Norm],$A253,tblVeriA[DesiCarpani]),kdo_varsayilanDesiCarpani))</f>
        <v/>
      </c>
      <c r="G253" s="15">
        <f>IF($A253="","",ROUND($B253*$C253*$D253/MAX($F253,1),2))</f>
        <v/>
      </c>
      <c r="H253" s="15">
        <f>IF($A253="","",MAX($G253,$E253))</f>
        <v/>
      </c>
      <c r="I253" s="15">
        <f>IF($A253="","",IFERROR(SUMIF(tblAnahtarB[NormB],$A253,tblVeriB[TarifTlDesi]),0))</f>
        <v/>
      </c>
      <c r="J253" s="15">
        <f>IF($A253="","",IFERROR(SUMIF(tblAnahtarA[Norm],$A253,tblVeriA[Adet]),1))</f>
        <v/>
      </c>
      <c r="K253" s="15">
        <f>IF($A253="","",ROUND($H253*$I253,2))</f>
        <v/>
      </c>
      <c r="L253" s="15">
        <f>IF($A253="","",ROUND($K253*$J253*(1+$Q253*kdo_iadeEtkiCarpani),2))</f>
        <v/>
      </c>
      <c r="M253" s="15">
        <f>IF($A253="","",IFERROR(SUMIF(tblAnahtarB[NormB],$A253,tblVeriB[AlternatifTarif]),0))</f>
        <v/>
      </c>
      <c r="N253" s="15">
        <f>IF($A253="","",ROUND($H253*$M253*$J253*(1+$Q253*kdo_iadeEtkiCarpani),2))</f>
        <v/>
      </c>
      <c r="O253" s="15">
        <f>IF($A253="","",ROUND($L253-$N253,2))</f>
        <v/>
      </c>
      <c r="P253" s="15">
        <f>IF($A253="","",IF($R253&gt;kdo_esikDesiOran,"DESİ DÜŞÜR",IF($O253&gt;kdo_esikTasarruf,"TAŞIYICI DEĞİŞTİR","UYGUN")))</f>
        <v/>
      </c>
      <c r="Q253" s="15">
        <f>IF($A253="","",IFERROR(SUMIF(tblAnahtarB[NormB],$A253,tblVeriB[IadeOran]),0))</f>
        <v/>
      </c>
      <c r="R253" s="15">
        <f>IF(OR($A253="",$E253=0),0,$G253/$E253)</f>
        <v/>
      </c>
      <c r="S253" s="15">
        <f>IF($A253="","",$G253-$E253)</f>
        <v/>
      </c>
      <c r="T253" s="15">
        <f>IF($A253="","",$L253-$N253)</f>
        <v/>
      </c>
    </row>
    <row r="254">
      <c r="A254" s="15">
        <f>IF('ANAHTAR'!$B254="","",'ANAHTAR'!$B254)</f>
        <v/>
      </c>
      <c r="B254" s="15">
        <f>IF($A254="","",IFERROR(SUMIF(tblAnahtarA[Norm],$A254,tblVeriA[EnCm]),0))</f>
        <v/>
      </c>
      <c r="C254" s="15">
        <f>IF($A254="","",IFERROR(SUMIF(tblAnahtarA[Norm],$A254,tblVeriA[BoyCm]),0))</f>
        <v/>
      </c>
      <c r="D254" s="15">
        <f>IF($A254="","",IFERROR(SUMIF(tblAnahtarA[Norm],$A254,tblVeriA[YukseklikCm]),0))</f>
        <v/>
      </c>
      <c r="E254" s="15">
        <f>IF($A254="","",IFERROR(SUMIF(tblAnahtarA[Norm],$A254,tblVeriA[AgirlikKg]),0))</f>
        <v/>
      </c>
      <c r="F254" s="15">
        <f>IF($A254="","",IFERROR(SUMIF(tblAnahtarA[Norm],$A254,tblVeriA[DesiCarpani]),kdo_varsayilanDesiCarpani))</f>
        <v/>
      </c>
      <c r="G254" s="15">
        <f>IF($A254="","",ROUND($B254*$C254*$D254/MAX($F254,1),2))</f>
        <v/>
      </c>
      <c r="H254" s="15">
        <f>IF($A254="","",MAX($G254,$E254))</f>
        <v/>
      </c>
      <c r="I254" s="15">
        <f>IF($A254="","",IFERROR(SUMIF(tblAnahtarB[NormB],$A254,tblVeriB[TarifTlDesi]),0))</f>
        <v/>
      </c>
      <c r="J254" s="15">
        <f>IF($A254="","",IFERROR(SUMIF(tblAnahtarA[Norm],$A254,tblVeriA[Adet]),1))</f>
        <v/>
      </c>
      <c r="K254" s="15">
        <f>IF($A254="","",ROUND($H254*$I254,2))</f>
        <v/>
      </c>
      <c r="L254" s="15">
        <f>IF($A254="","",ROUND($K254*$J254*(1+$Q254*kdo_iadeEtkiCarpani),2))</f>
        <v/>
      </c>
      <c r="M254" s="15">
        <f>IF($A254="","",IFERROR(SUMIF(tblAnahtarB[NormB],$A254,tblVeriB[AlternatifTarif]),0))</f>
        <v/>
      </c>
      <c r="N254" s="15">
        <f>IF($A254="","",ROUND($H254*$M254*$J254*(1+$Q254*kdo_iadeEtkiCarpani),2))</f>
        <v/>
      </c>
      <c r="O254" s="15">
        <f>IF($A254="","",ROUND($L254-$N254,2))</f>
        <v/>
      </c>
      <c r="P254" s="15">
        <f>IF($A254="","",IF($R254&gt;kdo_esikDesiOran,"DESİ DÜŞÜR",IF($O254&gt;kdo_esikTasarruf,"TAŞIYICI DEĞİŞTİR","UYGUN")))</f>
        <v/>
      </c>
      <c r="Q254" s="15">
        <f>IF($A254="","",IFERROR(SUMIF(tblAnahtarB[NormB],$A254,tblVeriB[IadeOran]),0))</f>
        <v/>
      </c>
      <c r="R254" s="15">
        <f>IF(OR($A254="",$E254=0),0,$G254/$E254)</f>
        <v/>
      </c>
      <c r="S254" s="15">
        <f>IF($A254="","",$G254-$E254)</f>
        <v/>
      </c>
      <c r="T254" s="15">
        <f>IF($A254="","",$L254-$N254)</f>
        <v/>
      </c>
    </row>
    <row r="255">
      <c r="A255" s="15">
        <f>IF('ANAHTAR'!$B255="","",'ANAHTAR'!$B255)</f>
        <v/>
      </c>
      <c r="B255" s="15">
        <f>IF($A255="","",IFERROR(SUMIF(tblAnahtarA[Norm],$A255,tblVeriA[EnCm]),0))</f>
        <v/>
      </c>
      <c r="C255" s="15">
        <f>IF($A255="","",IFERROR(SUMIF(tblAnahtarA[Norm],$A255,tblVeriA[BoyCm]),0))</f>
        <v/>
      </c>
      <c r="D255" s="15">
        <f>IF($A255="","",IFERROR(SUMIF(tblAnahtarA[Norm],$A255,tblVeriA[YukseklikCm]),0))</f>
        <v/>
      </c>
      <c r="E255" s="15">
        <f>IF($A255="","",IFERROR(SUMIF(tblAnahtarA[Norm],$A255,tblVeriA[AgirlikKg]),0))</f>
        <v/>
      </c>
      <c r="F255" s="15">
        <f>IF($A255="","",IFERROR(SUMIF(tblAnahtarA[Norm],$A255,tblVeriA[DesiCarpani]),kdo_varsayilanDesiCarpani))</f>
        <v/>
      </c>
      <c r="G255" s="15">
        <f>IF($A255="","",ROUND($B255*$C255*$D255/MAX($F255,1),2))</f>
        <v/>
      </c>
      <c r="H255" s="15">
        <f>IF($A255="","",MAX($G255,$E255))</f>
        <v/>
      </c>
      <c r="I255" s="15">
        <f>IF($A255="","",IFERROR(SUMIF(tblAnahtarB[NormB],$A255,tblVeriB[TarifTlDesi]),0))</f>
        <v/>
      </c>
      <c r="J255" s="15">
        <f>IF($A255="","",IFERROR(SUMIF(tblAnahtarA[Norm],$A255,tblVeriA[Adet]),1))</f>
        <v/>
      </c>
      <c r="K255" s="15">
        <f>IF($A255="","",ROUND($H255*$I255,2))</f>
        <v/>
      </c>
      <c r="L255" s="15">
        <f>IF($A255="","",ROUND($K255*$J255*(1+$Q255*kdo_iadeEtkiCarpani),2))</f>
        <v/>
      </c>
      <c r="M255" s="15">
        <f>IF($A255="","",IFERROR(SUMIF(tblAnahtarB[NormB],$A255,tblVeriB[AlternatifTarif]),0))</f>
        <v/>
      </c>
      <c r="N255" s="15">
        <f>IF($A255="","",ROUND($H255*$M255*$J255*(1+$Q255*kdo_iadeEtkiCarpani),2))</f>
        <v/>
      </c>
      <c r="O255" s="15">
        <f>IF($A255="","",ROUND($L255-$N255,2))</f>
        <v/>
      </c>
      <c r="P255" s="15">
        <f>IF($A255="","",IF($R255&gt;kdo_esikDesiOran,"DESİ DÜŞÜR",IF($O255&gt;kdo_esikTasarruf,"TAŞIYICI DEĞİŞTİR","UYGUN")))</f>
        <v/>
      </c>
      <c r="Q255" s="15">
        <f>IF($A255="","",IFERROR(SUMIF(tblAnahtarB[NormB],$A255,tblVeriB[IadeOran]),0))</f>
        <v/>
      </c>
      <c r="R255" s="15">
        <f>IF(OR($A255="",$E255=0),0,$G255/$E255)</f>
        <v/>
      </c>
      <c r="S255" s="15">
        <f>IF($A255="","",$G255-$E255)</f>
        <v/>
      </c>
      <c r="T255" s="15">
        <f>IF($A255="","",$L255-$N255)</f>
        <v/>
      </c>
    </row>
    <row r="256">
      <c r="A256" s="15">
        <f>IF('ANAHTAR'!$B256="","",'ANAHTAR'!$B256)</f>
        <v/>
      </c>
      <c r="B256" s="15">
        <f>IF($A256="","",IFERROR(SUMIF(tblAnahtarA[Norm],$A256,tblVeriA[EnCm]),0))</f>
        <v/>
      </c>
      <c r="C256" s="15">
        <f>IF($A256="","",IFERROR(SUMIF(tblAnahtarA[Norm],$A256,tblVeriA[BoyCm]),0))</f>
        <v/>
      </c>
      <c r="D256" s="15">
        <f>IF($A256="","",IFERROR(SUMIF(tblAnahtarA[Norm],$A256,tblVeriA[YukseklikCm]),0))</f>
        <v/>
      </c>
      <c r="E256" s="15">
        <f>IF($A256="","",IFERROR(SUMIF(tblAnahtarA[Norm],$A256,tblVeriA[AgirlikKg]),0))</f>
        <v/>
      </c>
      <c r="F256" s="15">
        <f>IF($A256="","",IFERROR(SUMIF(tblAnahtarA[Norm],$A256,tblVeriA[DesiCarpani]),kdo_varsayilanDesiCarpani))</f>
        <v/>
      </c>
      <c r="G256" s="15">
        <f>IF($A256="","",ROUND($B256*$C256*$D256/MAX($F256,1),2))</f>
        <v/>
      </c>
      <c r="H256" s="15">
        <f>IF($A256="","",MAX($G256,$E256))</f>
        <v/>
      </c>
      <c r="I256" s="15">
        <f>IF($A256="","",IFERROR(SUMIF(tblAnahtarB[NormB],$A256,tblVeriB[TarifTlDesi]),0))</f>
        <v/>
      </c>
      <c r="J256" s="15">
        <f>IF($A256="","",IFERROR(SUMIF(tblAnahtarA[Norm],$A256,tblVeriA[Adet]),1))</f>
        <v/>
      </c>
      <c r="K256" s="15">
        <f>IF($A256="","",ROUND($H256*$I256,2))</f>
        <v/>
      </c>
      <c r="L256" s="15">
        <f>IF($A256="","",ROUND($K256*$J256*(1+$Q256*kdo_iadeEtkiCarpani),2))</f>
        <v/>
      </c>
      <c r="M256" s="15">
        <f>IF($A256="","",IFERROR(SUMIF(tblAnahtarB[NormB],$A256,tblVeriB[AlternatifTarif]),0))</f>
        <v/>
      </c>
      <c r="N256" s="15">
        <f>IF($A256="","",ROUND($H256*$M256*$J256*(1+$Q256*kdo_iadeEtkiCarpani),2))</f>
        <v/>
      </c>
      <c r="O256" s="15">
        <f>IF($A256="","",ROUND($L256-$N256,2))</f>
        <v/>
      </c>
      <c r="P256" s="15">
        <f>IF($A256="","",IF($R256&gt;kdo_esikDesiOran,"DESİ DÜŞÜR",IF($O256&gt;kdo_esikTasarruf,"TAŞIYICI DEĞİŞTİR","UYGUN")))</f>
        <v/>
      </c>
      <c r="Q256" s="15">
        <f>IF($A256="","",IFERROR(SUMIF(tblAnahtarB[NormB],$A256,tblVeriB[IadeOran]),0))</f>
        <v/>
      </c>
      <c r="R256" s="15">
        <f>IF(OR($A256="",$E256=0),0,$G256/$E256)</f>
        <v/>
      </c>
      <c r="S256" s="15">
        <f>IF($A256="","",$G256-$E256)</f>
        <v/>
      </c>
      <c r="T256" s="15">
        <f>IF($A256="","",$L256-$N256)</f>
        <v/>
      </c>
    </row>
    <row r="257">
      <c r="A257" s="15">
        <f>IF('ANAHTAR'!$B257="","",'ANAHTAR'!$B257)</f>
        <v/>
      </c>
      <c r="B257" s="15">
        <f>IF($A257="","",IFERROR(SUMIF(tblAnahtarA[Norm],$A257,tblVeriA[EnCm]),0))</f>
        <v/>
      </c>
      <c r="C257" s="15">
        <f>IF($A257="","",IFERROR(SUMIF(tblAnahtarA[Norm],$A257,tblVeriA[BoyCm]),0))</f>
        <v/>
      </c>
      <c r="D257" s="15">
        <f>IF($A257="","",IFERROR(SUMIF(tblAnahtarA[Norm],$A257,tblVeriA[YukseklikCm]),0))</f>
        <v/>
      </c>
      <c r="E257" s="15">
        <f>IF($A257="","",IFERROR(SUMIF(tblAnahtarA[Norm],$A257,tblVeriA[AgirlikKg]),0))</f>
        <v/>
      </c>
      <c r="F257" s="15">
        <f>IF($A257="","",IFERROR(SUMIF(tblAnahtarA[Norm],$A257,tblVeriA[DesiCarpani]),kdo_varsayilanDesiCarpani))</f>
        <v/>
      </c>
      <c r="G257" s="15">
        <f>IF($A257="","",ROUND($B257*$C257*$D257/MAX($F257,1),2))</f>
        <v/>
      </c>
      <c r="H257" s="15">
        <f>IF($A257="","",MAX($G257,$E257))</f>
        <v/>
      </c>
      <c r="I257" s="15">
        <f>IF($A257="","",IFERROR(SUMIF(tblAnahtarB[NormB],$A257,tblVeriB[TarifTlDesi]),0))</f>
        <v/>
      </c>
      <c r="J257" s="15">
        <f>IF($A257="","",IFERROR(SUMIF(tblAnahtarA[Norm],$A257,tblVeriA[Adet]),1))</f>
        <v/>
      </c>
      <c r="K257" s="15">
        <f>IF($A257="","",ROUND($H257*$I257,2))</f>
        <v/>
      </c>
      <c r="L257" s="15">
        <f>IF($A257="","",ROUND($K257*$J257*(1+$Q257*kdo_iadeEtkiCarpani),2))</f>
        <v/>
      </c>
      <c r="M257" s="15">
        <f>IF($A257="","",IFERROR(SUMIF(tblAnahtarB[NormB],$A257,tblVeriB[AlternatifTarif]),0))</f>
        <v/>
      </c>
      <c r="N257" s="15">
        <f>IF($A257="","",ROUND($H257*$M257*$J257*(1+$Q257*kdo_iadeEtkiCarpani),2))</f>
        <v/>
      </c>
      <c r="O257" s="15">
        <f>IF($A257="","",ROUND($L257-$N257,2))</f>
        <v/>
      </c>
      <c r="P257" s="15">
        <f>IF($A257="","",IF($R257&gt;kdo_esikDesiOran,"DESİ DÜŞÜR",IF($O257&gt;kdo_esikTasarruf,"TAŞIYICI DEĞİŞTİR","UYGUN")))</f>
        <v/>
      </c>
      <c r="Q257" s="15">
        <f>IF($A257="","",IFERROR(SUMIF(tblAnahtarB[NormB],$A257,tblVeriB[IadeOran]),0))</f>
        <v/>
      </c>
      <c r="R257" s="15">
        <f>IF(OR($A257="",$E257=0),0,$G257/$E257)</f>
        <v/>
      </c>
      <c r="S257" s="15">
        <f>IF($A257="","",$G257-$E257)</f>
        <v/>
      </c>
      <c r="T257" s="15">
        <f>IF($A257="","",$L257-$N257)</f>
        <v/>
      </c>
    </row>
    <row r="258">
      <c r="A258" s="15">
        <f>IF('ANAHTAR'!$B258="","",'ANAHTAR'!$B258)</f>
        <v/>
      </c>
      <c r="B258" s="15">
        <f>IF($A258="","",IFERROR(SUMIF(tblAnahtarA[Norm],$A258,tblVeriA[EnCm]),0))</f>
        <v/>
      </c>
      <c r="C258" s="15">
        <f>IF($A258="","",IFERROR(SUMIF(tblAnahtarA[Norm],$A258,tblVeriA[BoyCm]),0))</f>
        <v/>
      </c>
      <c r="D258" s="15">
        <f>IF($A258="","",IFERROR(SUMIF(tblAnahtarA[Norm],$A258,tblVeriA[YukseklikCm]),0))</f>
        <v/>
      </c>
      <c r="E258" s="15">
        <f>IF($A258="","",IFERROR(SUMIF(tblAnahtarA[Norm],$A258,tblVeriA[AgirlikKg]),0))</f>
        <v/>
      </c>
      <c r="F258" s="15">
        <f>IF($A258="","",IFERROR(SUMIF(tblAnahtarA[Norm],$A258,tblVeriA[DesiCarpani]),kdo_varsayilanDesiCarpani))</f>
        <v/>
      </c>
      <c r="G258" s="15">
        <f>IF($A258="","",ROUND($B258*$C258*$D258/MAX($F258,1),2))</f>
        <v/>
      </c>
      <c r="H258" s="15">
        <f>IF($A258="","",MAX($G258,$E258))</f>
        <v/>
      </c>
      <c r="I258" s="15">
        <f>IF($A258="","",IFERROR(SUMIF(tblAnahtarB[NormB],$A258,tblVeriB[TarifTlDesi]),0))</f>
        <v/>
      </c>
      <c r="J258" s="15">
        <f>IF($A258="","",IFERROR(SUMIF(tblAnahtarA[Norm],$A258,tblVeriA[Adet]),1))</f>
        <v/>
      </c>
      <c r="K258" s="15">
        <f>IF($A258="","",ROUND($H258*$I258,2))</f>
        <v/>
      </c>
      <c r="L258" s="15">
        <f>IF($A258="","",ROUND($K258*$J258*(1+$Q258*kdo_iadeEtkiCarpani),2))</f>
        <v/>
      </c>
      <c r="M258" s="15">
        <f>IF($A258="","",IFERROR(SUMIF(tblAnahtarB[NormB],$A258,tblVeriB[AlternatifTarif]),0))</f>
        <v/>
      </c>
      <c r="N258" s="15">
        <f>IF($A258="","",ROUND($H258*$M258*$J258*(1+$Q258*kdo_iadeEtkiCarpani),2))</f>
        <v/>
      </c>
      <c r="O258" s="15">
        <f>IF($A258="","",ROUND($L258-$N258,2))</f>
        <v/>
      </c>
      <c r="P258" s="15">
        <f>IF($A258="","",IF($R258&gt;kdo_esikDesiOran,"DESİ DÜŞÜR",IF($O258&gt;kdo_esikTasarruf,"TAŞIYICI DEĞİŞTİR","UYGUN")))</f>
        <v/>
      </c>
      <c r="Q258" s="15">
        <f>IF($A258="","",IFERROR(SUMIF(tblAnahtarB[NormB],$A258,tblVeriB[IadeOran]),0))</f>
        <v/>
      </c>
      <c r="R258" s="15">
        <f>IF(OR($A258="",$E258=0),0,$G258/$E258)</f>
        <v/>
      </c>
      <c r="S258" s="15">
        <f>IF($A258="","",$G258-$E258)</f>
        <v/>
      </c>
      <c r="T258" s="15">
        <f>IF($A258="","",$L258-$N258)</f>
        <v/>
      </c>
    </row>
    <row r="259">
      <c r="A259" s="15">
        <f>IF('ANAHTAR'!$B259="","",'ANAHTAR'!$B259)</f>
        <v/>
      </c>
      <c r="B259" s="15">
        <f>IF($A259="","",IFERROR(SUMIF(tblAnahtarA[Norm],$A259,tblVeriA[EnCm]),0))</f>
        <v/>
      </c>
      <c r="C259" s="15">
        <f>IF($A259="","",IFERROR(SUMIF(tblAnahtarA[Norm],$A259,tblVeriA[BoyCm]),0))</f>
        <v/>
      </c>
      <c r="D259" s="15">
        <f>IF($A259="","",IFERROR(SUMIF(tblAnahtarA[Norm],$A259,tblVeriA[YukseklikCm]),0))</f>
        <v/>
      </c>
      <c r="E259" s="15">
        <f>IF($A259="","",IFERROR(SUMIF(tblAnahtarA[Norm],$A259,tblVeriA[AgirlikKg]),0))</f>
        <v/>
      </c>
      <c r="F259" s="15">
        <f>IF($A259="","",IFERROR(SUMIF(tblAnahtarA[Norm],$A259,tblVeriA[DesiCarpani]),kdo_varsayilanDesiCarpani))</f>
        <v/>
      </c>
      <c r="G259" s="15">
        <f>IF($A259="","",ROUND($B259*$C259*$D259/MAX($F259,1),2))</f>
        <v/>
      </c>
      <c r="H259" s="15">
        <f>IF($A259="","",MAX($G259,$E259))</f>
        <v/>
      </c>
      <c r="I259" s="15">
        <f>IF($A259="","",IFERROR(SUMIF(tblAnahtarB[NormB],$A259,tblVeriB[TarifTlDesi]),0))</f>
        <v/>
      </c>
      <c r="J259" s="15">
        <f>IF($A259="","",IFERROR(SUMIF(tblAnahtarA[Norm],$A259,tblVeriA[Adet]),1))</f>
        <v/>
      </c>
      <c r="K259" s="15">
        <f>IF($A259="","",ROUND($H259*$I259,2))</f>
        <v/>
      </c>
      <c r="L259" s="15">
        <f>IF($A259="","",ROUND($K259*$J259*(1+$Q259*kdo_iadeEtkiCarpani),2))</f>
        <v/>
      </c>
      <c r="M259" s="15">
        <f>IF($A259="","",IFERROR(SUMIF(tblAnahtarB[NormB],$A259,tblVeriB[AlternatifTarif]),0))</f>
        <v/>
      </c>
      <c r="N259" s="15">
        <f>IF($A259="","",ROUND($H259*$M259*$J259*(1+$Q259*kdo_iadeEtkiCarpani),2))</f>
        <v/>
      </c>
      <c r="O259" s="15">
        <f>IF($A259="","",ROUND($L259-$N259,2))</f>
        <v/>
      </c>
      <c r="P259" s="15">
        <f>IF($A259="","",IF($R259&gt;kdo_esikDesiOran,"DESİ DÜŞÜR",IF($O259&gt;kdo_esikTasarruf,"TAŞIYICI DEĞİŞTİR","UYGUN")))</f>
        <v/>
      </c>
      <c r="Q259" s="15">
        <f>IF($A259="","",IFERROR(SUMIF(tblAnahtarB[NormB],$A259,tblVeriB[IadeOran]),0))</f>
        <v/>
      </c>
      <c r="R259" s="15">
        <f>IF(OR($A259="",$E259=0),0,$G259/$E259)</f>
        <v/>
      </c>
      <c r="S259" s="15">
        <f>IF($A259="","",$G259-$E259)</f>
        <v/>
      </c>
      <c r="T259" s="15">
        <f>IF($A259="","",$L259-$N259)</f>
        <v/>
      </c>
    </row>
    <row r="260">
      <c r="A260" s="15">
        <f>IF('ANAHTAR'!$B260="","",'ANAHTAR'!$B260)</f>
        <v/>
      </c>
      <c r="B260" s="15">
        <f>IF($A260="","",IFERROR(SUMIF(tblAnahtarA[Norm],$A260,tblVeriA[EnCm]),0))</f>
        <v/>
      </c>
      <c r="C260" s="15">
        <f>IF($A260="","",IFERROR(SUMIF(tblAnahtarA[Norm],$A260,tblVeriA[BoyCm]),0))</f>
        <v/>
      </c>
      <c r="D260" s="15">
        <f>IF($A260="","",IFERROR(SUMIF(tblAnahtarA[Norm],$A260,tblVeriA[YukseklikCm]),0))</f>
        <v/>
      </c>
      <c r="E260" s="15">
        <f>IF($A260="","",IFERROR(SUMIF(tblAnahtarA[Norm],$A260,tblVeriA[AgirlikKg]),0))</f>
        <v/>
      </c>
      <c r="F260" s="15">
        <f>IF($A260="","",IFERROR(SUMIF(tblAnahtarA[Norm],$A260,tblVeriA[DesiCarpani]),kdo_varsayilanDesiCarpani))</f>
        <v/>
      </c>
      <c r="G260" s="15">
        <f>IF($A260="","",ROUND($B260*$C260*$D260/MAX($F260,1),2))</f>
        <v/>
      </c>
      <c r="H260" s="15">
        <f>IF($A260="","",MAX($G260,$E260))</f>
        <v/>
      </c>
      <c r="I260" s="15">
        <f>IF($A260="","",IFERROR(SUMIF(tblAnahtarB[NormB],$A260,tblVeriB[TarifTlDesi]),0))</f>
        <v/>
      </c>
      <c r="J260" s="15">
        <f>IF($A260="","",IFERROR(SUMIF(tblAnahtarA[Norm],$A260,tblVeriA[Adet]),1))</f>
        <v/>
      </c>
      <c r="K260" s="15">
        <f>IF($A260="","",ROUND($H260*$I260,2))</f>
        <v/>
      </c>
      <c r="L260" s="15">
        <f>IF($A260="","",ROUND($K260*$J260*(1+$Q260*kdo_iadeEtkiCarpani),2))</f>
        <v/>
      </c>
      <c r="M260" s="15">
        <f>IF($A260="","",IFERROR(SUMIF(tblAnahtarB[NormB],$A260,tblVeriB[AlternatifTarif]),0))</f>
        <v/>
      </c>
      <c r="N260" s="15">
        <f>IF($A260="","",ROUND($H260*$M260*$J260*(1+$Q260*kdo_iadeEtkiCarpani),2))</f>
        <v/>
      </c>
      <c r="O260" s="15">
        <f>IF($A260="","",ROUND($L260-$N260,2))</f>
        <v/>
      </c>
      <c r="P260" s="15">
        <f>IF($A260="","",IF($R260&gt;kdo_esikDesiOran,"DESİ DÜŞÜR",IF($O260&gt;kdo_esikTasarruf,"TAŞIYICI DEĞİŞTİR","UYGUN")))</f>
        <v/>
      </c>
      <c r="Q260" s="15">
        <f>IF($A260="","",IFERROR(SUMIF(tblAnahtarB[NormB],$A260,tblVeriB[IadeOran]),0))</f>
        <v/>
      </c>
      <c r="R260" s="15">
        <f>IF(OR($A260="",$E260=0),0,$G260/$E260)</f>
        <v/>
      </c>
      <c r="S260" s="15">
        <f>IF($A260="","",$G260-$E260)</f>
        <v/>
      </c>
      <c r="T260" s="15">
        <f>IF($A260="","",$L260-$N260)</f>
        <v/>
      </c>
    </row>
    <row r="261">
      <c r="A261" s="15">
        <f>IF('ANAHTAR'!$B261="","",'ANAHTAR'!$B261)</f>
        <v/>
      </c>
      <c r="B261" s="15">
        <f>IF($A261="","",IFERROR(SUMIF(tblAnahtarA[Norm],$A261,tblVeriA[EnCm]),0))</f>
        <v/>
      </c>
      <c r="C261" s="15">
        <f>IF($A261="","",IFERROR(SUMIF(tblAnahtarA[Norm],$A261,tblVeriA[BoyCm]),0))</f>
        <v/>
      </c>
      <c r="D261" s="15">
        <f>IF($A261="","",IFERROR(SUMIF(tblAnahtarA[Norm],$A261,tblVeriA[YukseklikCm]),0))</f>
        <v/>
      </c>
      <c r="E261" s="15">
        <f>IF($A261="","",IFERROR(SUMIF(tblAnahtarA[Norm],$A261,tblVeriA[AgirlikKg]),0))</f>
        <v/>
      </c>
      <c r="F261" s="15">
        <f>IF($A261="","",IFERROR(SUMIF(tblAnahtarA[Norm],$A261,tblVeriA[DesiCarpani]),kdo_varsayilanDesiCarpani))</f>
        <v/>
      </c>
      <c r="G261" s="15">
        <f>IF($A261="","",ROUND($B261*$C261*$D261/MAX($F261,1),2))</f>
        <v/>
      </c>
      <c r="H261" s="15">
        <f>IF($A261="","",MAX($G261,$E261))</f>
        <v/>
      </c>
      <c r="I261" s="15">
        <f>IF($A261="","",IFERROR(SUMIF(tblAnahtarB[NormB],$A261,tblVeriB[TarifTlDesi]),0))</f>
        <v/>
      </c>
      <c r="J261" s="15">
        <f>IF($A261="","",IFERROR(SUMIF(tblAnahtarA[Norm],$A261,tblVeriA[Adet]),1))</f>
        <v/>
      </c>
      <c r="K261" s="15">
        <f>IF($A261="","",ROUND($H261*$I261,2))</f>
        <v/>
      </c>
      <c r="L261" s="15">
        <f>IF($A261="","",ROUND($K261*$J261*(1+$Q261*kdo_iadeEtkiCarpani),2))</f>
        <v/>
      </c>
      <c r="M261" s="15">
        <f>IF($A261="","",IFERROR(SUMIF(tblAnahtarB[NormB],$A261,tblVeriB[AlternatifTarif]),0))</f>
        <v/>
      </c>
      <c r="N261" s="15">
        <f>IF($A261="","",ROUND($H261*$M261*$J261*(1+$Q261*kdo_iadeEtkiCarpani),2))</f>
        <v/>
      </c>
      <c r="O261" s="15">
        <f>IF($A261="","",ROUND($L261-$N261,2))</f>
        <v/>
      </c>
      <c r="P261" s="15">
        <f>IF($A261="","",IF($R261&gt;kdo_esikDesiOran,"DESİ DÜŞÜR",IF($O261&gt;kdo_esikTasarruf,"TAŞIYICI DEĞİŞTİR","UYGUN")))</f>
        <v/>
      </c>
      <c r="Q261" s="15">
        <f>IF($A261="","",IFERROR(SUMIF(tblAnahtarB[NormB],$A261,tblVeriB[IadeOran]),0))</f>
        <v/>
      </c>
      <c r="R261" s="15">
        <f>IF(OR($A261="",$E261=0),0,$G261/$E261)</f>
        <v/>
      </c>
      <c r="S261" s="15">
        <f>IF($A261="","",$G261-$E261)</f>
        <v/>
      </c>
      <c r="T261" s="15">
        <f>IF($A261="","",$L261-$N261)</f>
        <v/>
      </c>
    </row>
    <row r="262">
      <c r="A262" s="15">
        <f>IF('ANAHTAR'!$B262="","",'ANAHTAR'!$B262)</f>
        <v/>
      </c>
      <c r="B262" s="15">
        <f>IF($A262="","",IFERROR(SUMIF(tblAnahtarA[Norm],$A262,tblVeriA[EnCm]),0))</f>
        <v/>
      </c>
      <c r="C262" s="15">
        <f>IF($A262="","",IFERROR(SUMIF(tblAnahtarA[Norm],$A262,tblVeriA[BoyCm]),0))</f>
        <v/>
      </c>
      <c r="D262" s="15">
        <f>IF($A262="","",IFERROR(SUMIF(tblAnahtarA[Norm],$A262,tblVeriA[YukseklikCm]),0))</f>
        <v/>
      </c>
      <c r="E262" s="15">
        <f>IF($A262="","",IFERROR(SUMIF(tblAnahtarA[Norm],$A262,tblVeriA[AgirlikKg]),0))</f>
        <v/>
      </c>
      <c r="F262" s="15">
        <f>IF($A262="","",IFERROR(SUMIF(tblAnahtarA[Norm],$A262,tblVeriA[DesiCarpani]),kdo_varsayilanDesiCarpani))</f>
        <v/>
      </c>
      <c r="G262" s="15">
        <f>IF($A262="","",ROUND($B262*$C262*$D262/MAX($F262,1),2))</f>
        <v/>
      </c>
      <c r="H262" s="15">
        <f>IF($A262="","",MAX($G262,$E262))</f>
        <v/>
      </c>
      <c r="I262" s="15">
        <f>IF($A262="","",IFERROR(SUMIF(tblAnahtarB[NormB],$A262,tblVeriB[TarifTlDesi]),0))</f>
        <v/>
      </c>
      <c r="J262" s="15">
        <f>IF($A262="","",IFERROR(SUMIF(tblAnahtarA[Norm],$A262,tblVeriA[Adet]),1))</f>
        <v/>
      </c>
      <c r="K262" s="15">
        <f>IF($A262="","",ROUND($H262*$I262,2))</f>
        <v/>
      </c>
      <c r="L262" s="15">
        <f>IF($A262="","",ROUND($K262*$J262*(1+$Q262*kdo_iadeEtkiCarpani),2))</f>
        <v/>
      </c>
      <c r="M262" s="15">
        <f>IF($A262="","",IFERROR(SUMIF(tblAnahtarB[NormB],$A262,tblVeriB[AlternatifTarif]),0))</f>
        <v/>
      </c>
      <c r="N262" s="15">
        <f>IF($A262="","",ROUND($H262*$M262*$J262*(1+$Q262*kdo_iadeEtkiCarpani),2))</f>
        <v/>
      </c>
      <c r="O262" s="15">
        <f>IF($A262="","",ROUND($L262-$N262,2))</f>
        <v/>
      </c>
      <c r="P262" s="15">
        <f>IF($A262="","",IF($R262&gt;kdo_esikDesiOran,"DESİ DÜŞÜR",IF($O262&gt;kdo_esikTasarruf,"TAŞIYICI DEĞİŞTİR","UYGUN")))</f>
        <v/>
      </c>
      <c r="Q262" s="15">
        <f>IF($A262="","",IFERROR(SUMIF(tblAnahtarB[NormB],$A262,tblVeriB[IadeOran]),0))</f>
        <v/>
      </c>
      <c r="R262" s="15">
        <f>IF(OR($A262="",$E262=0),0,$G262/$E262)</f>
        <v/>
      </c>
      <c r="S262" s="15">
        <f>IF($A262="","",$G262-$E262)</f>
        <v/>
      </c>
      <c r="T262" s="15">
        <f>IF($A262="","",$L262-$N262)</f>
        <v/>
      </c>
    </row>
    <row r="263">
      <c r="A263" s="15">
        <f>IF('ANAHTAR'!$B263="","",'ANAHTAR'!$B263)</f>
        <v/>
      </c>
      <c r="B263" s="15">
        <f>IF($A263="","",IFERROR(SUMIF(tblAnahtarA[Norm],$A263,tblVeriA[EnCm]),0))</f>
        <v/>
      </c>
      <c r="C263" s="15">
        <f>IF($A263="","",IFERROR(SUMIF(tblAnahtarA[Norm],$A263,tblVeriA[BoyCm]),0))</f>
        <v/>
      </c>
      <c r="D263" s="15">
        <f>IF($A263="","",IFERROR(SUMIF(tblAnahtarA[Norm],$A263,tblVeriA[YukseklikCm]),0))</f>
        <v/>
      </c>
      <c r="E263" s="15">
        <f>IF($A263="","",IFERROR(SUMIF(tblAnahtarA[Norm],$A263,tblVeriA[AgirlikKg]),0))</f>
        <v/>
      </c>
      <c r="F263" s="15">
        <f>IF($A263="","",IFERROR(SUMIF(tblAnahtarA[Norm],$A263,tblVeriA[DesiCarpani]),kdo_varsayilanDesiCarpani))</f>
        <v/>
      </c>
      <c r="G263" s="15">
        <f>IF($A263="","",ROUND($B263*$C263*$D263/MAX($F263,1),2))</f>
        <v/>
      </c>
      <c r="H263" s="15">
        <f>IF($A263="","",MAX($G263,$E263))</f>
        <v/>
      </c>
      <c r="I263" s="15">
        <f>IF($A263="","",IFERROR(SUMIF(tblAnahtarB[NormB],$A263,tblVeriB[TarifTlDesi]),0))</f>
        <v/>
      </c>
      <c r="J263" s="15">
        <f>IF($A263="","",IFERROR(SUMIF(tblAnahtarA[Norm],$A263,tblVeriA[Adet]),1))</f>
        <v/>
      </c>
      <c r="K263" s="15">
        <f>IF($A263="","",ROUND($H263*$I263,2))</f>
        <v/>
      </c>
      <c r="L263" s="15">
        <f>IF($A263="","",ROUND($K263*$J263*(1+$Q263*kdo_iadeEtkiCarpani),2))</f>
        <v/>
      </c>
      <c r="M263" s="15">
        <f>IF($A263="","",IFERROR(SUMIF(tblAnahtarB[NormB],$A263,tblVeriB[AlternatifTarif]),0))</f>
        <v/>
      </c>
      <c r="N263" s="15">
        <f>IF($A263="","",ROUND($H263*$M263*$J263*(1+$Q263*kdo_iadeEtkiCarpani),2))</f>
        <v/>
      </c>
      <c r="O263" s="15">
        <f>IF($A263="","",ROUND($L263-$N263,2))</f>
        <v/>
      </c>
      <c r="P263" s="15">
        <f>IF($A263="","",IF($R263&gt;kdo_esikDesiOran,"DESİ DÜŞÜR",IF($O263&gt;kdo_esikTasarruf,"TAŞIYICI DEĞİŞTİR","UYGUN")))</f>
        <v/>
      </c>
      <c r="Q263" s="15">
        <f>IF($A263="","",IFERROR(SUMIF(tblAnahtarB[NormB],$A263,tblVeriB[IadeOran]),0))</f>
        <v/>
      </c>
      <c r="R263" s="15">
        <f>IF(OR($A263="",$E263=0),0,$G263/$E263)</f>
        <v/>
      </c>
      <c r="S263" s="15">
        <f>IF($A263="","",$G263-$E263)</f>
        <v/>
      </c>
      <c r="T263" s="15">
        <f>IF($A263="","",$L263-$N263)</f>
        <v/>
      </c>
    </row>
    <row r="264">
      <c r="A264" s="15">
        <f>IF('ANAHTAR'!$B264="","",'ANAHTAR'!$B264)</f>
        <v/>
      </c>
      <c r="B264" s="15">
        <f>IF($A264="","",IFERROR(SUMIF(tblAnahtarA[Norm],$A264,tblVeriA[EnCm]),0))</f>
        <v/>
      </c>
      <c r="C264" s="15">
        <f>IF($A264="","",IFERROR(SUMIF(tblAnahtarA[Norm],$A264,tblVeriA[BoyCm]),0))</f>
        <v/>
      </c>
      <c r="D264" s="15">
        <f>IF($A264="","",IFERROR(SUMIF(tblAnahtarA[Norm],$A264,tblVeriA[YukseklikCm]),0))</f>
        <v/>
      </c>
      <c r="E264" s="15">
        <f>IF($A264="","",IFERROR(SUMIF(tblAnahtarA[Norm],$A264,tblVeriA[AgirlikKg]),0))</f>
        <v/>
      </c>
      <c r="F264" s="15">
        <f>IF($A264="","",IFERROR(SUMIF(tblAnahtarA[Norm],$A264,tblVeriA[DesiCarpani]),kdo_varsayilanDesiCarpani))</f>
        <v/>
      </c>
      <c r="G264" s="15">
        <f>IF($A264="","",ROUND($B264*$C264*$D264/MAX($F264,1),2))</f>
        <v/>
      </c>
      <c r="H264" s="15">
        <f>IF($A264="","",MAX($G264,$E264))</f>
        <v/>
      </c>
      <c r="I264" s="15">
        <f>IF($A264="","",IFERROR(SUMIF(tblAnahtarB[NormB],$A264,tblVeriB[TarifTlDesi]),0))</f>
        <v/>
      </c>
      <c r="J264" s="15">
        <f>IF($A264="","",IFERROR(SUMIF(tblAnahtarA[Norm],$A264,tblVeriA[Adet]),1))</f>
        <v/>
      </c>
      <c r="K264" s="15">
        <f>IF($A264="","",ROUND($H264*$I264,2))</f>
        <v/>
      </c>
      <c r="L264" s="15">
        <f>IF($A264="","",ROUND($K264*$J264*(1+$Q264*kdo_iadeEtkiCarpani),2))</f>
        <v/>
      </c>
      <c r="M264" s="15">
        <f>IF($A264="","",IFERROR(SUMIF(tblAnahtarB[NormB],$A264,tblVeriB[AlternatifTarif]),0))</f>
        <v/>
      </c>
      <c r="N264" s="15">
        <f>IF($A264="","",ROUND($H264*$M264*$J264*(1+$Q264*kdo_iadeEtkiCarpani),2))</f>
        <v/>
      </c>
      <c r="O264" s="15">
        <f>IF($A264="","",ROUND($L264-$N264,2))</f>
        <v/>
      </c>
      <c r="P264" s="15">
        <f>IF($A264="","",IF($R264&gt;kdo_esikDesiOran,"DESİ DÜŞÜR",IF($O264&gt;kdo_esikTasarruf,"TAŞIYICI DEĞİŞTİR","UYGUN")))</f>
        <v/>
      </c>
      <c r="Q264" s="15">
        <f>IF($A264="","",IFERROR(SUMIF(tblAnahtarB[NormB],$A264,tblVeriB[IadeOran]),0))</f>
        <v/>
      </c>
      <c r="R264" s="15">
        <f>IF(OR($A264="",$E264=0),0,$G264/$E264)</f>
        <v/>
      </c>
      <c r="S264" s="15">
        <f>IF($A264="","",$G264-$E264)</f>
        <v/>
      </c>
      <c r="T264" s="15">
        <f>IF($A264="","",$L264-$N264)</f>
        <v/>
      </c>
    </row>
    <row r="265">
      <c r="A265" s="15">
        <f>IF('ANAHTAR'!$B265="","",'ANAHTAR'!$B265)</f>
        <v/>
      </c>
      <c r="B265" s="15">
        <f>IF($A265="","",IFERROR(SUMIF(tblAnahtarA[Norm],$A265,tblVeriA[EnCm]),0))</f>
        <v/>
      </c>
      <c r="C265" s="15">
        <f>IF($A265="","",IFERROR(SUMIF(tblAnahtarA[Norm],$A265,tblVeriA[BoyCm]),0))</f>
        <v/>
      </c>
      <c r="D265" s="15">
        <f>IF($A265="","",IFERROR(SUMIF(tblAnahtarA[Norm],$A265,tblVeriA[YukseklikCm]),0))</f>
        <v/>
      </c>
      <c r="E265" s="15">
        <f>IF($A265="","",IFERROR(SUMIF(tblAnahtarA[Norm],$A265,tblVeriA[AgirlikKg]),0))</f>
        <v/>
      </c>
      <c r="F265" s="15">
        <f>IF($A265="","",IFERROR(SUMIF(tblAnahtarA[Norm],$A265,tblVeriA[DesiCarpani]),kdo_varsayilanDesiCarpani))</f>
        <v/>
      </c>
      <c r="G265" s="15">
        <f>IF($A265="","",ROUND($B265*$C265*$D265/MAX($F265,1),2))</f>
        <v/>
      </c>
      <c r="H265" s="15">
        <f>IF($A265="","",MAX($G265,$E265))</f>
        <v/>
      </c>
      <c r="I265" s="15">
        <f>IF($A265="","",IFERROR(SUMIF(tblAnahtarB[NormB],$A265,tblVeriB[TarifTlDesi]),0))</f>
        <v/>
      </c>
      <c r="J265" s="15">
        <f>IF($A265="","",IFERROR(SUMIF(tblAnahtarA[Norm],$A265,tblVeriA[Adet]),1))</f>
        <v/>
      </c>
      <c r="K265" s="15">
        <f>IF($A265="","",ROUND($H265*$I265,2))</f>
        <v/>
      </c>
      <c r="L265" s="15">
        <f>IF($A265="","",ROUND($K265*$J265*(1+$Q265*kdo_iadeEtkiCarpani),2))</f>
        <v/>
      </c>
      <c r="M265" s="15">
        <f>IF($A265="","",IFERROR(SUMIF(tblAnahtarB[NormB],$A265,tblVeriB[AlternatifTarif]),0))</f>
        <v/>
      </c>
      <c r="N265" s="15">
        <f>IF($A265="","",ROUND($H265*$M265*$J265*(1+$Q265*kdo_iadeEtkiCarpani),2))</f>
        <v/>
      </c>
      <c r="O265" s="15">
        <f>IF($A265="","",ROUND($L265-$N265,2))</f>
        <v/>
      </c>
      <c r="P265" s="15">
        <f>IF($A265="","",IF($R265&gt;kdo_esikDesiOran,"DESİ DÜŞÜR",IF($O265&gt;kdo_esikTasarruf,"TAŞIYICI DEĞİŞTİR","UYGUN")))</f>
        <v/>
      </c>
      <c r="Q265" s="15">
        <f>IF($A265="","",IFERROR(SUMIF(tblAnahtarB[NormB],$A265,tblVeriB[IadeOran]),0))</f>
        <v/>
      </c>
      <c r="R265" s="15">
        <f>IF(OR($A265="",$E265=0),0,$G265/$E265)</f>
        <v/>
      </c>
      <c r="S265" s="15">
        <f>IF($A265="","",$G265-$E265)</f>
        <v/>
      </c>
      <c r="T265" s="15">
        <f>IF($A265="","",$L265-$N265)</f>
        <v/>
      </c>
    </row>
    <row r="266">
      <c r="A266" s="15">
        <f>IF('ANAHTAR'!$B266="","",'ANAHTAR'!$B266)</f>
        <v/>
      </c>
      <c r="B266" s="15">
        <f>IF($A266="","",IFERROR(SUMIF(tblAnahtarA[Norm],$A266,tblVeriA[EnCm]),0))</f>
        <v/>
      </c>
      <c r="C266" s="15">
        <f>IF($A266="","",IFERROR(SUMIF(tblAnahtarA[Norm],$A266,tblVeriA[BoyCm]),0))</f>
        <v/>
      </c>
      <c r="D266" s="15">
        <f>IF($A266="","",IFERROR(SUMIF(tblAnahtarA[Norm],$A266,tblVeriA[YukseklikCm]),0))</f>
        <v/>
      </c>
      <c r="E266" s="15">
        <f>IF($A266="","",IFERROR(SUMIF(tblAnahtarA[Norm],$A266,tblVeriA[AgirlikKg]),0))</f>
        <v/>
      </c>
      <c r="F266" s="15">
        <f>IF($A266="","",IFERROR(SUMIF(tblAnahtarA[Norm],$A266,tblVeriA[DesiCarpani]),kdo_varsayilanDesiCarpani))</f>
        <v/>
      </c>
      <c r="G266" s="15">
        <f>IF($A266="","",ROUND($B266*$C266*$D266/MAX($F266,1),2))</f>
        <v/>
      </c>
      <c r="H266" s="15">
        <f>IF($A266="","",MAX($G266,$E266))</f>
        <v/>
      </c>
      <c r="I266" s="15">
        <f>IF($A266="","",IFERROR(SUMIF(tblAnahtarB[NormB],$A266,tblVeriB[TarifTlDesi]),0))</f>
        <v/>
      </c>
      <c r="J266" s="15">
        <f>IF($A266="","",IFERROR(SUMIF(tblAnahtarA[Norm],$A266,tblVeriA[Adet]),1))</f>
        <v/>
      </c>
      <c r="K266" s="15">
        <f>IF($A266="","",ROUND($H266*$I266,2))</f>
        <v/>
      </c>
      <c r="L266" s="15">
        <f>IF($A266="","",ROUND($K266*$J266*(1+$Q266*kdo_iadeEtkiCarpani),2))</f>
        <v/>
      </c>
      <c r="M266" s="15">
        <f>IF($A266="","",IFERROR(SUMIF(tblAnahtarB[NormB],$A266,tblVeriB[AlternatifTarif]),0))</f>
        <v/>
      </c>
      <c r="N266" s="15">
        <f>IF($A266="","",ROUND($H266*$M266*$J266*(1+$Q266*kdo_iadeEtkiCarpani),2))</f>
        <v/>
      </c>
      <c r="O266" s="15">
        <f>IF($A266="","",ROUND($L266-$N266,2))</f>
        <v/>
      </c>
      <c r="P266" s="15">
        <f>IF($A266="","",IF($R266&gt;kdo_esikDesiOran,"DESİ DÜŞÜR",IF($O266&gt;kdo_esikTasarruf,"TAŞIYICI DEĞİŞTİR","UYGUN")))</f>
        <v/>
      </c>
      <c r="Q266" s="15">
        <f>IF($A266="","",IFERROR(SUMIF(tblAnahtarB[NormB],$A266,tblVeriB[IadeOran]),0))</f>
        <v/>
      </c>
      <c r="R266" s="15">
        <f>IF(OR($A266="",$E266=0),0,$G266/$E266)</f>
        <v/>
      </c>
      <c r="S266" s="15">
        <f>IF($A266="","",$G266-$E266)</f>
        <v/>
      </c>
      <c r="T266" s="15">
        <f>IF($A266="","",$L266-$N266)</f>
        <v/>
      </c>
    </row>
    <row r="267">
      <c r="A267" s="15">
        <f>IF('ANAHTAR'!$B267="","",'ANAHTAR'!$B267)</f>
        <v/>
      </c>
      <c r="B267" s="15">
        <f>IF($A267="","",IFERROR(SUMIF(tblAnahtarA[Norm],$A267,tblVeriA[EnCm]),0))</f>
        <v/>
      </c>
      <c r="C267" s="15">
        <f>IF($A267="","",IFERROR(SUMIF(tblAnahtarA[Norm],$A267,tblVeriA[BoyCm]),0))</f>
        <v/>
      </c>
      <c r="D267" s="15">
        <f>IF($A267="","",IFERROR(SUMIF(tblAnahtarA[Norm],$A267,tblVeriA[YukseklikCm]),0))</f>
        <v/>
      </c>
      <c r="E267" s="15">
        <f>IF($A267="","",IFERROR(SUMIF(tblAnahtarA[Norm],$A267,tblVeriA[AgirlikKg]),0))</f>
        <v/>
      </c>
      <c r="F267" s="15">
        <f>IF($A267="","",IFERROR(SUMIF(tblAnahtarA[Norm],$A267,tblVeriA[DesiCarpani]),kdo_varsayilanDesiCarpani))</f>
        <v/>
      </c>
      <c r="G267" s="15">
        <f>IF($A267="","",ROUND($B267*$C267*$D267/MAX($F267,1),2))</f>
        <v/>
      </c>
      <c r="H267" s="15">
        <f>IF($A267="","",MAX($G267,$E267))</f>
        <v/>
      </c>
      <c r="I267" s="15">
        <f>IF($A267="","",IFERROR(SUMIF(tblAnahtarB[NormB],$A267,tblVeriB[TarifTlDesi]),0))</f>
        <v/>
      </c>
      <c r="J267" s="15">
        <f>IF($A267="","",IFERROR(SUMIF(tblAnahtarA[Norm],$A267,tblVeriA[Adet]),1))</f>
        <v/>
      </c>
      <c r="K267" s="15">
        <f>IF($A267="","",ROUND($H267*$I267,2))</f>
        <v/>
      </c>
      <c r="L267" s="15">
        <f>IF($A267="","",ROUND($K267*$J267*(1+$Q267*kdo_iadeEtkiCarpani),2))</f>
        <v/>
      </c>
      <c r="M267" s="15">
        <f>IF($A267="","",IFERROR(SUMIF(tblAnahtarB[NormB],$A267,tblVeriB[AlternatifTarif]),0))</f>
        <v/>
      </c>
      <c r="N267" s="15">
        <f>IF($A267="","",ROUND($H267*$M267*$J267*(1+$Q267*kdo_iadeEtkiCarpani),2))</f>
        <v/>
      </c>
      <c r="O267" s="15">
        <f>IF($A267="","",ROUND($L267-$N267,2))</f>
        <v/>
      </c>
      <c r="P267" s="15">
        <f>IF($A267="","",IF($R267&gt;kdo_esikDesiOran,"DESİ DÜŞÜR",IF($O267&gt;kdo_esikTasarruf,"TAŞIYICI DEĞİŞTİR","UYGUN")))</f>
        <v/>
      </c>
      <c r="Q267" s="15">
        <f>IF($A267="","",IFERROR(SUMIF(tblAnahtarB[NormB],$A267,tblVeriB[IadeOran]),0))</f>
        <v/>
      </c>
      <c r="R267" s="15">
        <f>IF(OR($A267="",$E267=0),0,$G267/$E267)</f>
        <v/>
      </c>
      <c r="S267" s="15">
        <f>IF($A267="","",$G267-$E267)</f>
        <v/>
      </c>
      <c r="T267" s="15">
        <f>IF($A267="","",$L267-$N267)</f>
        <v/>
      </c>
    </row>
    <row r="268">
      <c r="A268" s="15">
        <f>IF('ANAHTAR'!$B268="","",'ANAHTAR'!$B268)</f>
        <v/>
      </c>
      <c r="B268" s="15">
        <f>IF($A268="","",IFERROR(SUMIF(tblAnahtarA[Norm],$A268,tblVeriA[EnCm]),0))</f>
        <v/>
      </c>
      <c r="C268" s="15">
        <f>IF($A268="","",IFERROR(SUMIF(tblAnahtarA[Norm],$A268,tblVeriA[BoyCm]),0))</f>
        <v/>
      </c>
      <c r="D268" s="15">
        <f>IF($A268="","",IFERROR(SUMIF(tblAnahtarA[Norm],$A268,tblVeriA[YukseklikCm]),0))</f>
        <v/>
      </c>
      <c r="E268" s="15">
        <f>IF($A268="","",IFERROR(SUMIF(tblAnahtarA[Norm],$A268,tblVeriA[AgirlikKg]),0))</f>
        <v/>
      </c>
      <c r="F268" s="15">
        <f>IF($A268="","",IFERROR(SUMIF(tblAnahtarA[Norm],$A268,tblVeriA[DesiCarpani]),kdo_varsayilanDesiCarpani))</f>
        <v/>
      </c>
      <c r="G268" s="15">
        <f>IF($A268="","",ROUND($B268*$C268*$D268/MAX($F268,1),2))</f>
        <v/>
      </c>
      <c r="H268" s="15">
        <f>IF($A268="","",MAX($G268,$E268))</f>
        <v/>
      </c>
      <c r="I268" s="15">
        <f>IF($A268="","",IFERROR(SUMIF(tblAnahtarB[NormB],$A268,tblVeriB[TarifTlDesi]),0))</f>
        <v/>
      </c>
      <c r="J268" s="15">
        <f>IF($A268="","",IFERROR(SUMIF(tblAnahtarA[Norm],$A268,tblVeriA[Adet]),1))</f>
        <v/>
      </c>
      <c r="K268" s="15">
        <f>IF($A268="","",ROUND($H268*$I268,2))</f>
        <v/>
      </c>
      <c r="L268" s="15">
        <f>IF($A268="","",ROUND($K268*$J268*(1+$Q268*kdo_iadeEtkiCarpani),2))</f>
        <v/>
      </c>
      <c r="M268" s="15">
        <f>IF($A268="","",IFERROR(SUMIF(tblAnahtarB[NormB],$A268,tblVeriB[AlternatifTarif]),0))</f>
        <v/>
      </c>
      <c r="N268" s="15">
        <f>IF($A268="","",ROUND($H268*$M268*$J268*(1+$Q268*kdo_iadeEtkiCarpani),2))</f>
        <v/>
      </c>
      <c r="O268" s="15">
        <f>IF($A268="","",ROUND($L268-$N268,2))</f>
        <v/>
      </c>
      <c r="P268" s="15">
        <f>IF($A268="","",IF($R268&gt;kdo_esikDesiOran,"DESİ DÜŞÜR",IF($O268&gt;kdo_esikTasarruf,"TAŞIYICI DEĞİŞTİR","UYGUN")))</f>
        <v/>
      </c>
      <c r="Q268" s="15">
        <f>IF($A268="","",IFERROR(SUMIF(tblAnahtarB[NormB],$A268,tblVeriB[IadeOran]),0))</f>
        <v/>
      </c>
      <c r="R268" s="15">
        <f>IF(OR($A268="",$E268=0),0,$G268/$E268)</f>
        <v/>
      </c>
      <c r="S268" s="15">
        <f>IF($A268="","",$G268-$E268)</f>
        <v/>
      </c>
      <c r="T268" s="15">
        <f>IF($A268="","",$L268-$N268)</f>
        <v/>
      </c>
    </row>
    <row r="269">
      <c r="A269" s="15">
        <f>IF('ANAHTAR'!$B269="","",'ANAHTAR'!$B269)</f>
        <v/>
      </c>
      <c r="B269" s="15">
        <f>IF($A269="","",IFERROR(SUMIF(tblAnahtarA[Norm],$A269,tblVeriA[EnCm]),0))</f>
        <v/>
      </c>
      <c r="C269" s="15">
        <f>IF($A269="","",IFERROR(SUMIF(tblAnahtarA[Norm],$A269,tblVeriA[BoyCm]),0))</f>
        <v/>
      </c>
      <c r="D269" s="15">
        <f>IF($A269="","",IFERROR(SUMIF(tblAnahtarA[Norm],$A269,tblVeriA[YukseklikCm]),0))</f>
        <v/>
      </c>
      <c r="E269" s="15">
        <f>IF($A269="","",IFERROR(SUMIF(tblAnahtarA[Norm],$A269,tblVeriA[AgirlikKg]),0))</f>
        <v/>
      </c>
      <c r="F269" s="15">
        <f>IF($A269="","",IFERROR(SUMIF(tblAnahtarA[Norm],$A269,tblVeriA[DesiCarpani]),kdo_varsayilanDesiCarpani))</f>
        <v/>
      </c>
      <c r="G269" s="15">
        <f>IF($A269="","",ROUND($B269*$C269*$D269/MAX($F269,1),2))</f>
        <v/>
      </c>
      <c r="H269" s="15">
        <f>IF($A269="","",MAX($G269,$E269))</f>
        <v/>
      </c>
      <c r="I269" s="15">
        <f>IF($A269="","",IFERROR(SUMIF(tblAnahtarB[NormB],$A269,tblVeriB[TarifTlDesi]),0))</f>
        <v/>
      </c>
      <c r="J269" s="15">
        <f>IF($A269="","",IFERROR(SUMIF(tblAnahtarA[Norm],$A269,tblVeriA[Adet]),1))</f>
        <v/>
      </c>
      <c r="K269" s="15">
        <f>IF($A269="","",ROUND($H269*$I269,2))</f>
        <v/>
      </c>
      <c r="L269" s="15">
        <f>IF($A269="","",ROUND($K269*$J269*(1+$Q269*kdo_iadeEtkiCarpani),2))</f>
        <v/>
      </c>
      <c r="M269" s="15">
        <f>IF($A269="","",IFERROR(SUMIF(tblAnahtarB[NormB],$A269,tblVeriB[AlternatifTarif]),0))</f>
        <v/>
      </c>
      <c r="N269" s="15">
        <f>IF($A269="","",ROUND($H269*$M269*$J269*(1+$Q269*kdo_iadeEtkiCarpani),2))</f>
        <v/>
      </c>
      <c r="O269" s="15">
        <f>IF($A269="","",ROUND($L269-$N269,2))</f>
        <v/>
      </c>
      <c r="P269" s="15">
        <f>IF($A269="","",IF($R269&gt;kdo_esikDesiOran,"DESİ DÜŞÜR",IF($O269&gt;kdo_esikTasarruf,"TAŞIYICI DEĞİŞTİR","UYGUN")))</f>
        <v/>
      </c>
      <c r="Q269" s="15">
        <f>IF($A269="","",IFERROR(SUMIF(tblAnahtarB[NormB],$A269,tblVeriB[IadeOran]),0))</f>
        <v/>
      </c>
      <c r="R269" s="15">
        <f>IF(OR($A269="",$E269=0),0,$G269/$E269)</f>
        <v/>
      </c>
      <c r="S269" s="15">
        <f>IF($A269="","",$G269-$E269)</f>
        <v/>
      </c>
      <c r="T269" s="15">
        <f>IF($A269="","",$L269-$N269)</f>
        <v/>
      </c>
    </row>
    <row r="270">
      <c r="A270" s="15">
        <f>IF('ANAHTAR'!$B270="","",'ANAHTAR'!$B270)</f>
        <v/>
      </c>
      <c r="B270" s="15">
        <f>IF($A270="","",IFERROR(SUMIF(tblAnahtarA[Norm],$A270,tblVeriA[EnCm]),0))</f>
        <v/>
      </c>
      <c r="C270" s="15">
        <f>IF($A270="","",IFERROR(SUMIF(tblAnahtarA[Norm],$A270,tblVeriA[BoyCm]),0))</f>
        <v/>
      </c>
      <c r="D270" s="15">
        <f>IF($A270="","",IFERROR(SUMIF(tblAnahtarA[Norm],$A270,tblVeriA[YukseklikCm]),0))</f>
        <v/>
      </c>
      <c r="E270" s="15">
        <f>IF($A270="","",IFERROR(SUMIF(tblAnahtarA[Norm],$A270,tblVeriA[AgirlikKg]),0))</f>
        <v/>
      </c>
      <c r="F270" s="15">
        <f>IF($A270="","",IFERROR(SUMIF(tblAnahtarA[Norm],$A270,tblVeriA[DesiCarpani]),kdo_varsayilanDesiCarpani))</f>
        <v/>
      </c>
      <c r="G270" s="15">
        <f>IF($A270="","",ROUND($B270*$C270*$D270/MAX($F270,1),2))</f>
        <v/>
      </c>
      <c r="H270" s="15">
        <f>IF($A270="","",MAX($G270,$E270))</f>
        <v/>
      </c>
      <c r="I270" s="15">
        <f>IF($A270="","",IFERROR(SUMIF(tblAnahtarB[NormB],$A270,tblVeriB[TarifTlDesi]),0))</f>
        <v/>
      </c>
      <c r="J270" s="15">
        <f>IF($A270="","",IFERROR(SUMIF(tblAnahtarA[Norm],$A270,tblVeriA[Adet]),1))</f>
        <v/>
      </c>
      <c r="K270" s="15">
        <f>IF($A270="","",ROUND($H270*$I270,2))</f>
        <v/>
      </c>
      <c r="L270" s="15">
        <f>IF($A270="","",ROUND($K270*$J270*(1+$Q270*kdo_iadeEtkiCarpani),2))</f>
        <v/>
      </c>
      <c r="M270" s="15">
        <f>IF($A270="","",IFERROR(SUMIF(tblAnahtarB[NormB],$A270,tblVeriB[AlternatifTarif]),0))</f>
        <v/>
      </c>
      <c r="N270" s="15">
        <f>IF($A270="","",ROUND($H270*$M270*$J270*(1+$Q270*kdo_iadeEtkiCarpani),2))</f>
        <v/>
      </c>
      <c r="O270" s="15">
        <f>IF($A270="","",ROUND($L270-$N270,2))</f>
        <v/>
      </c>
      <c r="P270" s="15">
        <f>IF($A270="","",IF($R270&gt;kdo_esikDesiOran,"DESİ DÜŞÜR",IF($O270&gt;kdo_esikTasarruf,"TAŞIYICI DEĞİŞTİR","UYGUN")))</f>
        <v/>
      </c>
      <c r="Q270" s="15">
        <f>IF($A270="","",IFERROR(SUMIF(tblAnahtarB[NormB],$A270,tblVeriB[IadeOran]),0))</f>
        <v/>
      </c>
      <c r="R270" s="15">
        <f>IF(OR($A270="",$E270=0),0,$G270/$E270)</f>
        <v/>
      </c>
      <c r="S270" s="15">
        <f>IF($A270="","",$G270-$E270)</f>
        <v/>
      </c>
      <c r="T270" s="15">
        <f>IF($A270="","",$L270-$N270)</f>
        <v/>
      </c>
    </row>
    <row r="271">
      <c r="A271" s="15">
        <f>IF('ANAHTAR'!$B271="","",'ANAHTAR'!$B271)</f>
        <v/>
      </c>
      <c r="B271" s="15">
        <f>IF($A271="","",IFERROR(SUMIF(tblAnahtarA[Norm],$A271,tblVeriA[EnCm]),0))</f>
        <v/>
      </c>
      <c r="C271" s="15">
        <f>IF($A271="","",IFERROR(SUMIF(tblAnahtarA[Norm],$A271,tblVeriA[BoyCm]),0))</f>
        <v/>
      </c>
      <c r="D271" s="15">
        <f>IF($A271="","",IFERROR(SUMIF(tblAnahtarA[Norm],$A271,tblVeriA[YukseklikCm]),0))</f>
        <v/>
      </c>
      <c r="E271" s="15">
        <f>IF($A271="","",IFERROR(SUMIF(tblAnahtarA[Norm],$A271,tblVeriA[AgirlikKg]),0))</f>
        <v/>
      </c>
      <c r="F271" s="15">
        <f>IF($A271="","",IFERROR(SUMIF(tblAnahtarA[Norm],$A271,tblVeriA[DesiCarpani]),kdo_varsayilanDesiCarpani))</f>
        <v/>
      </c>
      <c r="G271" s="15">
        <f>IF($A271="","",ROUND($B271*$C271*$D271/MAX($F271,1),2))</f>
        <v/>
      </c>
      <c r="H271" s="15">
        <f>IF($A271="","",MAX($G271,$E271))</f>
        <v/>
      </c>
      <c r="I271" s="15">
        <f>IF($A271="","",IFERROR(SUMIF(tblAnahtarB[NormB],$A271,tblVeriB[TarifTlDesi]),0))</f>
        <v/>
      </c>
      <c r="J271" s="15">
        <f>IF($A271="","",IFERROR(SUMIF(tblAnahtarA[Norm],$A271,tblVeriA[Adet]),1))</f>
        <v/>
      </c>
      <c r="K271" s="15">
        <f>IF($A271="","",ROUND($H271*$I271,2))</f>
        <v/>
      </c>
      <c r="L271" s="15">
        <f>IF($A271="","",ROUND($K271*$J271*(1+$Q271*kdo_iadeEtkiCarpani),2))</f>
        <v/>
      </c>
      <c r="M271" s="15">
        <f>IF($A271="","",IFERROR(SUMIF(tblAnahtarB[NormB],$A271,tblVeriB[AlternatifTarif]),0))</f>
        <v/>
      </c>
      <c r="N271" s="15">
        <f>IF($A271="","",ROUND($H271*$M271*$J271*(1+$Q271*kdo_iadeEtkiCarpani),2))</f>
        <v/>
      </c>
      <c r="O271" s="15">
        <f>IF($A271="","",ROUND($L271-$N271,2))</f>
        <v/>
      </c>
      <c r="P271" s="15">
        <f>IF($A271="","",IF($R271&gt;kdo_esikDesiOran,"DESİ DÜŞÜR",IF($O271&gt;kdo_esikTasarruf,"TAŞIYICI DEĞİŞTİR","UYGUN")))</f>
        <v/>
      </c>
      <c r="Q271" s="15">
        <f>IF($A271="","",IFERROR(SUMIF(tblAnahtarB[NormB],$A271,tblVeriB[IadeOran]),0))</f>
        <v/>
      </c>
      <c r="R271" s="15">
        <f>IF(OR($A271="",$E271=0),0,$G271/$E271)</f>
        <v/>
      </c>
      <c r="S271" s="15">
        <f>IF($A271="","",$G271-$E271)</f>
        <v/>
      </c>
      <c r="T271" s="15">
        <f>IF($A271="","",$L271-$N271)</f>
        <v/>
      </c>
    </row>
    <row r="272">
      <c r="A272" s="15">
        <f>IF('ANAHTAR'!$B272="","",'ANAHTAR'!$B272)</f>
        <v/>
      </c>
      <c r="B272" s="15">
        <f>IF($A272="","",IFERROR(SUMIF(tblAnahtarA[Norm],$A272,tblVeriA[EnCm]),0))</f>
        <v/>
      </c>
      <c r="C272" s="15">
        <f>IF($A272="","",IFERROR(SUMIF(tblAnahtarA[Norm],$A272,tblVeriA[BoyCm]),0))</f>
        <v/>
      </c>
      <c r="D272" s="15">
        <f>IF($A272="","",IFERROR(SUMIF(tblAnahtarA[Norm],$A272,tblVeriA[YukseklikCm]),0))</f>
        <v/>
      </c>
      <c r="E272" s="15">
        <f>IF($A272="","",IFERROR(SUMIF(tblAnahtarA[Norm],$A272,tblVeriA[AgirlikKg]),0))</f>
        <v/>
      </c>
      <c r="F272" s="15">
        <f>IF($A272="","",IFERROR(SUMIF(tblAnahtarA[Norm],$A272,tblVeriA[DesiCarpani]),kdo_varsayilanDesiCarpani))</f>
        <v/>
      </c>
      <c r="G272" s="15">
        <f>IF($A272="","",ROUND($B272*$C272*$D272/MAX($F272,1),2))</f>
        <v/>
      </c>
      <c r="H272" s="15">
        <f>IF($A272="","",MAX($G272,$E272))</f>
        <v/>
      </c>
      <c r="I272" s="15">
        <f>IF($A272="","",IFERROR(SUMIF(tblAnahtarB[NormB],$A272,tblVeriB[TarifTlDesi]),0))</f>
        <v/>
      </c>
      <c r="J272" s="15">
        <f>IF($A272="","",IFERROR(SUMIF(tblAnahtarA[Norm],$A272,tblVeriA[Adet]),1))</f>
        <v/>
      </c>
      <c r="K272" s="15">
        <f>IF($A272="","",ROUND($H272*$I272,2))</f>
        <v/>
      </c>
      <c r="L272" s="15">
        <f>IF($A272="","",ROUND($K272*$J272*(1+$Q272*kdo_iadeEtkiCarpani),2))</f>
        <v/>
      </c>
      <c r="M272" s="15">
        <f>IF($A272="","",IFERROR(SUMIF(tblAnahtarB[NormB],$A272,tblVeriB[AlternatifTarif]),0))</f>
        <v/>
      </c>
      <c r="N272" s="15">
        <f>IF($A272="","",ROUND($H272*$M272*$J272*(1+$Q272*kdo_iadeEtkiCarpani),2))</f>
        <v/>
      </c>
      <c r="O272" s="15">
        <f>IF($A272="","",ROUND($L272-$N272,2))</f>
        <v/>
      </c>
      <c r="P272" s="15">
        <f>IF($A272="","",IF($R272&gt;kdo_esikDesiOran,"DESİ DÜŞÜR",IF($O272&gt;kdo_esikTasarruf,"TAŞIYICI DEĞİŞTİR","UYGUN")))</f>
        <v/>
      </c>
      <c r="Q272" s="15">
        <f>IF($A272="","",IFERROR(SUMIF(tblAnahtarB[NormB],$A272,tblVeriB[IadeOran]),0))</f>
        <v/>
      </c>
      <c r="R272" s="15">
        <f>IF(OR($A272="",$E272=0),0,$G272/$E272)</f>
        <v/>
      </c>
      <c r="S272" s="15">
        <f>IF($A272="","",$G272-$E272)</f>
        <v/>
      </c>
      <c r="T272" s="15">
        <f>IF($A272="","",$L272-$N272)</f>
        <v/>
      </c>
    </row>
    <row r="273">
      <c r="A273" s="15">
        <f>IF('ANAHTAR'!$B273="","",'ANAHTAR'!$B273)</f>
        <v/>
      </c>
      <c r="B273" s="15">
        <f>IF($A273="","",IFERROR(SUMIF(tblAnahtarA[Norm],$A273,tblVeriA[EnCm]),0))</f>
        <v/>
      </c>
      <c r="C273" s="15">
        <f>IF($A273="","",IFERROR(SUMIF(tblAnahtarA[Norm],$A273,tblVeriA[BoyCm]),0))</f>
        <v/>
      </c>
      <c r="D273" s="15">
        <f>IF($A273="","",IFERROR(SUMIF(tblAnahtarA[Norm],$A273,tblVeriA[YukseklikCm]),0))</f>
        <v/>
      </c>
      <c r="E273" s="15">
        <f>IF($A273="","",IFERROR(SUMIF(tblAnahtarA[Norm],$A273,tblVeriA[AgirlikKg]),0))</f>
        <v/>
      </c>
      <c r="F273" s="15">
        <f>IF($A273="","",IFERROR(SUMIF(tblAnahtarA[Norm],$A273,tblVeriA[DesiCarpani]),kdo_varsayilanDesiCarpani))</f>
        <v/>
      </c>
      <c r="G273" s="15">
        <f>IF($A273="","",ROUND($B273*$C273*$D273/MAX($F273,1),2))</f>
        <v/>
      </c>
      <c r="H273" s="15">
        <f>IF($A273="","",MAX($G273,$E273))</f>
        <v/>
      </c>
      <c r="I273" s="15">
        <f>IF($A273="","",IFERROR(SUMIF(tblAnahtarB[NormB],$A273,tblVeriB[TarifTlDesi]),0))</f>
        <v/>
      </c>
      <c r="J273" s="15">
        <f>IF($A273="","",IFERROR(SUMIF(tblAnahtarA[Norm],$A273,tblVeriA[Adet]),1))</f>
        <v/>
      </c>
      <c r="K273" s="15">
        <f>IF($A273="","",ROUND($H273*$I273,2))</f>
        <v/>
      </c>
      <c r="L273" s="15">
        <f>IF($A273="","",ROUND($K273*$J273*(1+$Q273*kdo_iadeEtkiCarpani),2))</f>
        <v/>
      </c>
      <c r="M273" s="15">
        <f>IF($A273="","",IFERROR(SUMIF(tblAnahtarB[NormB],$A273,tblVeriB[AlternatifTarif]),0))</f>
        <v/>
      </c>
      <c r="N273" s="15">
        <f>IF($A273="","",ROUND($H273*$M273*$J273*(1+$Q273*kdo_iadeEtkiCarpani),2))</f>
        <v/>
      </c>
      <c r="O273" s="15">
        <f>IF($A273="","",ROUND($L273-$N273,2))</f>
        <v/>
      </c>
      <c r="P273" s="15">
        <f>IF($A273="","",IF($R273&gt;kdo_esikDesiOran,"DESİ DÜŞÜR",IF($O273&gt;kdo_esikTasarruf,"TAŞIYICI DEĞİŞTİR","UYGUN")))</f>
        <v/>
      </c>
      <c r="Q273" s="15">
        <f>IF($A273="","",IFERROR(SUMIF(tblAnahtarB[NormB],$A273,tblVeriB[IadeOran]),0))</f>
        <v/>
      </c>
      <c r="R273" s="15">
        <f>IF(OR($A273="",$E273=0),0,$G273/$E273)</f>
        <v/>
      </c>
      <c r="S273" s="15">
        <f>IF($A273="","",$G273-$E273)</f>
        <v/>
      </c>
      <c r="T273" s="15">
        <f>IF($A273="","",$L273-$N273)</f>
        <v/>
      </c>
    </row>
    <row r="274">
      <c r="A274" s="15">
        <f>IF('ANAHTAR'!$B274="","",'ANAHTAR'!$B274)</f>
        <v/>
      </c>
      <c r="B274" s="15">
        <f>IF($A274="","",IFERROR(SUMIF(tblAnahtarA[Norm],$A274,tblVeriA[EnCm]),0))</f>
        <v/>
      </c>
      <c r="C274" s="15">
        <f>IF($A274="","",IFERROR(SUMIF(tblAnahtarA[Norm],$A274,tblVeriA[BoyCm]),0))</f>
        <v/>
      </c>
      <c r="D274" s="15">
        <f>IF($A274="","",IFERROR(SUMIF(tblAnahtarA[Norm],$A274,tblVeriA[YukseklikCm]),0))</f>
        <v/>
      </c>
      <c r="E274" s="15">
        <f>IF($A274="","",IFERROR(SUMIF(tblAnahtarA[Norm],$A274,tblVeriA[AgirlikKg]),0))</f>
        <v/>
      </c>
      <c r="F274" s="15">
        <f>IF($A274="","",IFERROR(SUMIF(tblAnahtarA[Norm],$A274,tblVeriA[DesiCarpani]),kdo_varsayilanDesiCarpani))</f>
        <v/>
      </c>
      <c r="G274" s="15">
        <f>IF($A274="","",ROUND($B274*$C274*$D274/MAX($F274,1),2))</f>
        <v/>
      </c>
      <c r="H274" s="15">
        <f>IF($A274="","",MAX($G274,$E274))</f>
        <v/>
      </c>
      <c r="I274" s="15">
        <f>IF($A274="","",IFERROR(SUMIF(tblAnahtarB[NormB],$A274,tblVeriB[TarifTlDesi]),0))</f>
        <v/>
      </c>
      <c r="J274" s="15">
        <f>IF($A274="","",IFERROR(SUMIF(tblAnahtarA[Norm],$A274,tblVeriA[Adet]),1))</f>
        <v/>
      </c>
      <c r="K274" s="15">
        <f>IF($A274="","",ROUND($H274*$I274,2))</f>
        <v/>
      </c>
      <c r="L274" s="15">
        <f>IF($A274="","",ROUND($K274*$J274*(1+$Q274*kdo_iadeEtkiCarpani),2))</f>
        <v/>
      </c>
      <c r="M274" s="15">
        <f>IF($A274="","",IFERROR(SUMIF(tblAnahtarB[NormB],$A274,tblVeriB[AlternatifTarif]),0))</f>
        <v/>
      </c>
      <c r="N274" s="15">
        <f>IF($A274="","",ROUND($H274*$M274*$J274*(1+$Q274*kdo_iadeEtkiCarpani),2))</f>
        <v/>
      </c>
      <c r="O274" s="15">
        <f>IF($A274="","",ROUND($L274-$N274,2))</f>
        <v/>
      </c>
      <c r="P274" s="15">
        <f>IF($A274="","",IF($R274&gt;kdo_esikDesiOran,"DESİ DÜŞÜR",IF($O274&gt;kdo_esikTasarruf,"TAŞIYICI DEĞİŞTİR","UYGUN")))</f>
        <v/>
      </c>
      <c r="Q274" s="15">
        <f>IF($A274="","",IFERROR(SUMIF(tblAnahtarB[NormB],$A274,tblVeriB[IadeOran]),0))</f>
        <v/>
      </c>
      <c r="R274" s="15">
        <f>IF(OR($A274="",$E274=0),0,$G274/$E274)</f>
        <v/>
      </c>
      <c r="S274" s="15">
        <f>IF($A274="","",$G274-$E274)</f>
        <v/>
      </c>
      <c r="T274" s="15">
        <f>IF($A274="","",$L274-$N274)</f>
        <v/>
      </c>
    </row>
    <row r="275">
      <c r="A275" s="15">
        <f>IF('ANAHTAR'!$B275="","",'ANAHTAR'!$B275)</f>
        <v/>
      </c>
      <c r="B275" s="15">
        <f>IF($A275="","",IFERROR(SUMIF(tblAnahtarA[Norm],$A275,tblVeriA[EnCm]),0))</f>
        <v/>
      </c>
      <c r="C275" s="15">
        <f>IF($A275="","",IFERROR(SUMIF(tblAnahtarA[Norm],$A275,tblVeriA[BoyCm]),0))</f>
        <v/>
      </c>
      <c r="D275" s="15">
        <f>IF($A275="","",IFERROR(SUMIF(tblAnahtarA[Norm],$A275,tblVeriA[YukseklikCm]),0))</f>
        <v/>
      </c>
      <c r="E275" s="15">
        <f>IF($A275="","",IFERROR(SUMIF(tblAnahtarA[Norm],$A275,tblVeriA[AgirlikKg]),0))</f>
        <v/>
      </c>
      <c r="F275" s="15">
        <f>IF($A275="","",IFERROR(SUMIF(tblAnahtarA[Norm],$A275,tblVeriA[DesiCarpani]),kdo_varsayilanDesiCarpani))</f>
        <v/>
      </c>
      <c r="G275" s="15">
        <f>IF($A275="","",ROUND($B275*$C275*$D275/MAX($F275,1),2))</f>
        <v/>
      </c>
      <c r="H275" s="15">
        <f>IF($A275="","",MAX($G275,$E275))</f>
        <v/>
      </c>
      <c r="I275" s="15">
        <f>IF($A275="","",IFERROR(SUMIF(tblAnahtarB[NormB],$A275,tblVeriB[TarifTlDesi]),0))</f>
        <v/>
      </c>
      <c r="J275" s="15">
        <f>IF($A275="","",IFERROR(SUMIF(tblAnahtarA[Norm],$A275,tblVeriA[Adet]),1))</f>
        <v/>
      </c>
      <c r="K275" s="15">
        <f>IF($A275="","",ROUND($H275*$I275,2))</f>
        <v/>
      </c>
      <c r="L275" s="15">
        <f>IF($A275="","",ROUND($K275*$J275*(1+$Q275*kdo_iadeEtkiCarpani),2))</f>
        <v/>
      </c>
      <c r="M275" s="15">
        <f>IF($A275="","",IFERROR(SUMIF(tblAnahtarB[NormB],$A275,tblVeriB[AlternatifTarif]),0))</f>
        <v/>
      </c>
      <c r="N275" s="15">
        <f>IF($A275="","",ROUND($H275*$M275*$J275*(1+$Q275*kdo_iadeEtkiCarpani),2))</f>
        <v/>
      </c>
      <c r="O275" s="15">
        <f>IF($A275="","",ROUND($L275-$N275,2))</f>
        <v/>
      </c>
      <c r="P275" s="15">
        <f>IF($A275="","",IF($R275&gt;kdo_esikDesiOran,"DESİ DÜŞÜR",IF($O275&gt;kdo_esikTasarruf,"TAŞIYICI DEĞİŞTİR","UYGUN")))</f>
        <v/>
      </c>
      <c r="Q275" s="15">
        <f>IF($A275="","",IFERROR(SUMIF(tblAnahtarB[NormB],$A275,tblVeriB[IadeOran]),0))</f>
        <v/>
      </c>
      <c r="R275" s="15">
        <f>IF(OR($A275="",$E275=0),0,$G275/$E275)</f>
        <v/>
      </c>
      <c r="S275" s="15">
        <f>IF($A275="","",$G275-$E275)</f>
        <v/>
      </c>
      <c r="T275" s="15">
        <f>IF($A275="","",$L275-$N275)</f>
        <v/>
      </c>
    </row>
    <row r="276">
      <c r="A276" s="15">
        <f>IF('ANAHTAR'!$B276="","",'ANAHTAR'!$B276)</f>
        <v/>
      </c>
      <c r="B276" s="15">
        <f>IF($A276="","",IFERROR(SUMIF(tblAnahtarA[Norm],$A276,tblVeriA[EnCm]),0))</f>
        <v/>
      </c>
      <c r="C276" s="15">
        <f>IF($A276="","",IFERROR(SUMIF(tblAnahtarA[Norm],$A276,tblVeriA[BoyCm]),0))</f>
        <v/>
      </c>
      <c r="D276" s="15">
        <f>IF($A276="","",IFERROR(SUMIF(tblAnahtarA[Norm],$A276,tblVeriA[YukseklikCm]),0))</f>
        <v/>
      </c>
      <c r="E276" s="15">
        <f>IF($A276="","",IFERROR(SUMIF(tblAnahtarA[Norm],$A276,tblVeriA[AgirlikKg]),0))</f>
        <v/>
      </c>
      <c r="F276" s="15">
        <f>IF($A276="","",IFERROR(SUMIF(tblAnahtarA[Norm],$A276,tblVeriA[DesiCarpani]),kdo_varsayilanDesiCarpani))</f>
        <v/>
      </c>
      <c r="G276" s="15">
        <f>IF($A276="","",ROUND($B276*$C276*$D276/MAX($F276,1),2))</f>
        <v/>
      </c>
      <c r="H276" s="15">
        <f>IF($A276="","",MAX($G276,$E276))</f>
        <v/>
      </c>
      <c r="I276" s="15">
        <f>IF($A276="","",IFERROR(SUMIF(tblAnahtarB[NormB],$A276,tblVeriB[TarifTlDesi]),0))</f>
        <v/>
      </c>
      <c r="J276" s="15">
        <f>IF($A276="","",IFERROR(SUMIF(tblAnahtarA[Norm],$A276,tblVeriA[Adet]),1))</f>
        <v/>
      </c>
      <c r="K276" s="15">
        <f>IF($A276="","",ROUND($H276*$I276,2))</f>
        <v/>
      </c>
      <c r="L276" s="15">
        <f>IF($A276="","",ROUND($K276*$J276*(1+$Q276*kdo_iadeEtkiCarpani),2))</f>
        <v/>
      </c>
      <c r="M276" s="15">
        <f>IF($A276="","",IFERROR(SUMIF(tblAnahtarB[NormB],$A276,tblVeriB[AlternatifTarif]),0))</f>
        <v/>
      </c>
      <c r="N276" s="15">
        <f>IF($A276="","",ROUND($H276*$M276*$J276*(1+$Q276*kdo_iadeEtkiCarpani),2))</f>
        <v/>
      </c>
      <c r="O276" s="15">
        <f>IF($A276="","",ROUND($L276-$N276,2))</f>
        <v/>
      </c>
      <c r="P276" s="15">
        <f>IF($A276="","",IF($R276&gt;kdo_esikDesiOran,"DESİ DÜŞÜR",IF($O276&gt;kdo_esikTasarruf,"TAŞIYICI DEĞİŞTİR","UYGUN")))</f>
        <v/>
      </c>
      <c r="Q276" s="15">
        <f>IF($A276="","",IFERROR(SUMIF(tblAnahtarB[NormB],$A276,tblVeriB[IadeOran]),0))</f>
        <v/>
      </c>
      <c r="R276" s="15">
        <f>IF(OR($A276="",$E276=0),0,$G276/$E276)</f>
        <v/>
      </c>
      <c r="S276" s="15">
        <f>IF($A276="","",$G276-$E276)</f>
        <v/>
      </c>
      <c r="T276" s="15">
        <f>IF($A276="","",$L276-$N276)</f>
        <v/>
      </c>
    </row>
    <row r="277">
      <c r="A277" s="15">
        <f>IF('ANAHTAR'!$B277="","",'ANAHTAR'!$B277)</f>
        <v/>
      </c>
      <c r="B277" s="15">
        <f>IF($A277="","",IFERROR(SUMIF(tblAnahtarA[Norm],$A277,tblVeriA[EnCm]),0))</f>
        <v/>
      </c>
      <c r="C277" s="15">
        <f>IF($A277="","",IFERROR(SUMIF(tblAnahtarA[Norm],$A277,tblVeriA[BoyCm]),0))</f>
        <v/>
      </c>
      <c r="D277" s="15">
        <f>IF($A277="","",IFERROR(SUMIF(tblAnahtarA[Norm],$A277,tblVeriA[YukseklikCm]),0))</f>
        <v/>
      </c>
      <c r="E277" s="15">
        <f>IF($A277="","",IFERROR(SUMIF(tblAnahtarA[Norm],$A277,tblVeriA[AgirlikKg]),0))</f>
        <v/>
      </c>
      <c r="F277" s="15">
        <f>IF($A277="","",IFERROR(SUMIF(tblAnahtarA[Norm],$A277,tblVeriA[DesiCarpani]),kdo_varsayilanDesiCarpani))</f>
        <v/>
      </c>
      <c r="G277" s="15">
        <f>IF($A277="","",ROUND($B277*$C277*$D277/MAX($F277,1),2))</f>
        <v/>
      </c>
      <c r="H277" s="15">
        <f>IF($A277="","",MAX($G277,$E277))</f>
        <v/>
      </c>
      <c r="I277" s="15">
        <f>IF($A277="","",IFERROR(SUMIF(tblAnahtarB[NormB],$A277,tblVeriB[TarifTlDesi]),0))</f>
        <v/>
      </c>
      <c r="J277" s="15">
        <f>IF($A277="","",IFERROR(SUMIF(tblAnahtarA[Norm],$A277,tblVeriA[Adet]),1))</f>
        <v/>
      </c>
      <c r="K277" s="15">
        <f>IF($A277="","",ROUND($H277*$I277,2))</f>
        <v/>
      </c>
      <c r="L277" s="15">
        <f>IF($A277="","",ROUND($K277*$J277*(1+$Q277*kdo_iadeEtkiCarpani),2))</f>
        <v/>
      </c>
      <c r="M277" s="15">
        <f>IF($A277="","",IFERROR(SUMIF(tblAnahtarB[NormB],$A277,tblVeriB[AlternatifTarif]),0))</f>
        <v/>
      </c>
      <c r="N277" s="15">
        <f>IF($A277="","",ROUND($H277*$M277*$J277*(1+$Q277*kdo_iadeEtkiCarpani),2))</f>
        <v/>
      </c>
      <c r="O277" s="15">
        <f>IF($A277="","",ROUND($L277-$N277,2))</f>
        <v/>
      </c>
      <c r="P277" s="15">
        <f>IF($A277="","",IF($R277&gt;kdo_esikDesiOran,"DESİ DÜŞÜR",IF($O277&gt;kdo_esikTasarruf,"TAŞIYICI DEĞİŞTİR","UYGUN")))</f>
        <v/>
      </c>
      <c r="Q277" s="15">
        <f>IF($A277="","",IFERROR(SUMIF(tblAnahtarB[NormB],$A277,tblVeriB[IadeOran]),0))</f>
        <v/>
      </c>
      <c r="R277" s="15">
        <f>IF(OR($A277="",$E277=0),0,$G277/$E277)</f>
        <v/>
      </c>
      <c r="S277" s="15">
        <f>IF($A277="","",$G277-$E277)</f>
        <v/>
      </c>
      <c r="T277" s="15">
        <f>IF($A277="","",$L277-$N277)</f>
        <v/>
      </c>
    </row>
    <row r="278">
      <c r="A278" s="15">
        <f>IF('ANAHTAR'!$B278="","",'ANAHTAR'!$B278)</f>
        <v/>
      </c>
      <c r="B278" s="15">
        <f>IF($A278="","",IFERROR(SUMIF(tblAnahtarA[Norm],$A278,tblVeriA[EnCm]),0))</f>
        <v/>
      </c>
      <c r="C278" s="15">
        <f>IF($A278="","",IFERROR(SUMIF(tblAnahtarA[Norm],$A278,tblVeriA[BoyCm]),0))</f>
        <v/>
      </c>
      <c r="D278" s="15">
        <f>IF($A278="","",IFERROR(SUMIF(tblAnahtarA[Norm],$A278,tblVeriA[YukseklikCm]),0))</f>
        <v/>
      </c>
      <c r="E278" s="15">
        <f>IF($A278="","",IFERROR(SUMIF(tblAnahtarA[Norm],$A278,tblVeriA[AgirlikKg]),0))</f>
        <v/>
      </c>
      <c r="F278" s="15">
        <f>IF($A278="","",IFERROR(SUMIF(tblAnahtarA[Norm],$A278,tblVeriA[DesiCarpani]),kdo_varsayilanDesiCarpani))</f>
        <v/>
      </c>
      <c r="G278" s="15">
        <f>IF($A278="","",ROUND($B278*$C278*$D278/MAX($F278,1),2))</f>
        <v/>
      </c>
      <c r="H278" s="15">
        <f>IF($A278="","",MAX($G278,$E278))</f>
        <v/>
      </c>
      <c r="I278" s="15">
        <f>IF($A278="","",IFERROR(SUMIF(tblAnahtarB[NormB],$A278,tblVeriB[TarifTlDesi]),0))</f>
        <v/>
      </c>
      <c r="J278" s="15">
        <f>IF($A278="","",IFERROR(SUMIF(tblAnahtarA[Norm],$A278,tblVeriA[Adet]),1))</f>
        <v/>
      </c>
      <c r="K278" s="15">
        <f>IF($A278="","",ROUND($H278*$I278,2))</f>
        <v/>
      </c>
      <c r="L278" s="15">
        <f>IF($A278="","",ROUND($K278*$J278*(1+$Q278*kdo_iadeEtkiCarpani),2))</f>
        <v/>
      </c>
      <c r="M278" s="15">
        <f>IF($A278="","",IFERROR(SUMIF(tblAnahtarB[NormB],$A278,tblVeriB[AlternatifTarif]),0))</f>
        <v/>
      </c>
      <c r="N278" s="15">
        <f>IF($A278="","",ROUND($H278*$M278*$J278*(1+$Q278*kdo_iadeEtkiCarpani),2))</f>
        <v/>
      </c>
      <c r="O278" s="15">
        <f>IF($A278="","",ROUND($L278-$N278,2))</f>
        <v/>
      </c>
      <c r="P278" s="15">
        <f>IF($A278="","",IF($R278&gt;kdo_esikDesiOran,"DESİ DÜŞÜR",IF($O278&gt;kdo_esikTasarruf,"TAŞIYICI DEĞİŞTİR","UYGUN")))</f>
        <v/>
      </c>
      <c r="Q278" s="15">
        <f>IF($A278="","",IFERROR(SUMIF(tblAnahtarB[NormB],$A278,tblVeriB[IadeOran]),0))</f>
        <v/>
      </c>
      <c r="R278" s="15">
        <f>IF(OR($A278="",$E278=0),0,$G278/$E278)</f>
        <v/>
      </c>
      <c r="S278" s="15">
        <f>IF($A278="","",$G278-$E278)</f>
        <v/>
      </c>
      <c r="T278" s="15">
        <f>IF($A278="","",$L278-$N278)</f>
        <v/>
      </c>
    </row>
    <row r="279">
      <c r="A279" s="15">
        <f>IF('ANAHTAR'!$B279="","",'ANAHTAR'!$B279)</f>
        <v/>
      </c>
      <c r="B279" s="15">
        <f>IF($A279="","",IFERROR(SUMIF(tblAnahtarA[Norm],$A279,tblVeriA[EnCm]),0))</f>
        <v/>
      </c>
      <c r="C279" s="15">
        <f>IF($A279="","",IFERROR(SUMIF(tblAnahtarA[Norm],$A279,tblVeriA[BoyCm]),0))</f>
        <v/>
      </c>
      <c r="D279" s="15">
        <f>IF($A279="","",IFERROR(SUMIF(tblAnahtarA[Norm],$A279,tblVeriA[YukseklikCm]),0))</f>
        <v/>
      </c>
      <c r="E279" s="15">
        <f>IF($A279="","",IFERROR(SUMIF(tblAnahtarA[Norm],$A279,tblVeriA[AgirlikKg]),0))</f>
        <v/>
      </c>
      <c r="F279" s="15">
        <f>IF($A279="","",IFERROR(SUMIF(tblAnahtarA[Norm],$A279,tblVeriA[DesiCarpani]),kdo_varsayilanDesiCarpani))</f>
        <v/>
      </c>
      <c r="G279" s="15">
        <f>IF($A279="","",ROUND($B279*$C279*$D279/MAX($F279,1),2))</f>
        <v/>
      </c>
      <c r="H279" s="15">
        <f>IF($A279="","",MAX($G279,$E279))</f>
        <v/>
      </c>
      <c r="I279" s="15">
        <f>IF($A279="","",IFERROR(SUMIF(tblAnahtarB[NormB],$A279,tblVeriB[TarifTlDesi]),0))</f>
        <v/>
      </c>
      <c r="J279" s="15">
        <f>IF($A279="","",IFERROR(SUMIF(tblAnahtarA[Norm],$A279,tblVeriA[Adet]),1))</f>
        <v/>
      </c>
      <c r="K279" s="15">
        <f>IF($A279="","",ROUND($H279*$I279,2))</f>
        <v/>
      </c>
      <c r="L279" s="15">
        <f>IF($A279="","",ROUND($K279*$J279*(1+$Q279*kdo_iadeEtkiCarpani),2))</f>
        <v/>
      </c>
      <c r="M279" s="15">
        <f>IF($A279="","",IFERROR(SUMIF(tblAnahtarB[NormB],$A279,tblVeriB[AlternatifTarif]),0))</f>
        <v/>
      </c>
      <c r="N279" s="15">
        <f>IF($A279="","",ROUND($H279*$M279*$J279*(1+$Q279*kdo_iadeEtkiCarpani),2))</f>
        <v/>
      </c>
      <c r="O279" s="15">
        <f>IF($A279="","",ROUND($L279-$N279,2))</f>
        <v/>
      </c>
      <c r="P279" s="15">
        <f>IF($A279="","",IF($R279&gt;kdo_esikDesiOran,"DESİ DÜŞÜR",IF($O279&gt;kdo_esikTasarruf,"TAŞIYICI DEĞİŞTİR","UYGUN")))</f>
        <v/>
      </c>
      <c r="Q279" s="15">
        <f>IF($A279="","",IFERROR(SUMIF(tblAnahtarB[NormB],$A279,tblVeriB[IadeOran]),0))</f>
        <v/>
      </c>
      <c r="R279" s="15">
        <f>IF(OR($A279="",$E279=0),0,$G279/$E279)</f>
        <v/>
      </c>
      <c r="S279" s="15">
        <f>IF($A279="","",$G279-$E279)</f>
        <v/>
      </c>
      <c r="T279" s="15">
        <f>IF($A279="","",$L279-$N279)</f>
        <v/>
      </c>
    </row>
    <row r="280">
      <c r="A280" s="15">
        <f>IF('ANAHTAR'!$B280="","",'ANAHTAR'!$B280)</f>
        <v/>
      </c>
      <c r="B280" s="15">
        <f>IF($A280="","",IFERROR(SUMIF(tblAnahtarA[Norm],$A280,tblVeriA[EnCm]),0))</f>
        <v/>
      </c>
      <c r="C280" s="15">
        <f>IF($A280="","",IFERROR(SUMIF(tblAnahtarA[Norm],$A280,tblVeriA[BoyCm]),0))</f>
        <v/>
      </c>
      <c r="D280" s="15">
        <f>IF($A280="","",IFERROR(SUMIF(tblAnahtarA[Norm],$A280,tblVeriA[YukseklikCm]),0))</f>
        <v/>
      </c>
      <c r="E280" s="15">
        <f>IF($A280="","",IFERROR(SUMIF(tblAnahtarA[Norm],$A280,tblVeriA[AgirlikKg]),0))</f>
        <v/>
      </c>
      <c r="F280" s="15">
        <f>IF($A280="","",IFERROR(SUMIF(tblAnahtarA[Norm],$A280,tblVeriA[DesiCarpani]),kdo_varsayilanDesiCarpani))</f>
        <v/>
      </c>
      <c r="G280" s="15">
        <f>IF($A280="","",ROUND($B280*$C280*$D280/MAX($F280,1),2))</f>
        <v/>
      </c>
      <c r="H280" s="15">
        <f>IF($A280="","",MAX($G280,$E280))</f>
        <v/>
      </c>
      <c r="I280" s="15">
        <f>IF($A280="","",IFERROR(SUMIF(tblAnahtarB[NormB],$A280,tblVeriB[TarifTlDesi]),0))</f>
        <v/>
      </c>
      <c r="J280" s="15">
        <f>IF($A280="","",IFERROR(SUMIF(tblAnahtarA[Norm],$A280,tblVeriA[Adet]),1))</f>
        <v/>
      </c>
      <c r="K280" s="15">
        <f>IF($A280="","",ROUND($H280*$I280,2))</f>
        <v/>
      </c>
      <c r="L280" s="15">
        <f>IF($A280="","",ROUND($K280*$J280*(1+$Q280*kdo_iadeEtkiCarpani),2))</f>
        <v/>
      </c>
      <c r="M280" s="15">
        <f>IF($A280="","",IFERROR(SUMIF(tblAnahtarB[NormB],$A280,tblVeriB[AlternatifTarif]),0))</f>
        <v/>
      </c>
      <c r="N280" s="15">
        <f>IF($A280="","",ROUND($H280*$M280*$J280*(1+$Q280*kdo_iadeEtkiCarpani),2))</f>
        <v/>
      </c>
      <c r="O280" s="15">
        <f>IF($A280="","",ROUND($L280-$N280,2))</f>
        <v/>
      </c>
      <c r="P280" s="15">
        <f>IF($A280="","",IF($R280&gt;kdo_esikDesiOran,"DESİ DÜŞÜR",IF($O280&gt;kdo_esikTasarruf,"TAŞIYICI DEĞİŞTİR","UYGUN")))</f>
        <v/>
      </c>
      <c r="Q280" s="15">
        <f>IF($A280="","",IFERROR(SUMIF(tblAnahtarB[NormB],$A280,tblVeriB[IadeOran]),0))</f>
        <v/>
      </c>
      <c r="R280" s="15">
        <f>IF(OR($A280="",$E280=0),0,$G280/$E280)</f>
        <v/>
      </c>
      <c r="S280" s="15">
        <f>IF($A280="","",$G280-$E280)</f>
        <v/>
      </c>
      <c r="T280" s="15">
        <f>IF($A280="","",$L280-$N280)</f>
        <v/>
      </c>
    </row>
    <row r="281">
      <c r="A281" s="15">
        <f>IF('ANAHTAR'!$B281="","",'ANAHTAR'!$B281)</f>
        <v/>
      </c>
      <c r="B281" s="15">
        <f>IF($A281="","",IFERROR(SUMIF(tblAnahtarA[Norm],$A281,tblVeriA[EnCm]),0))</f>
        <v/>
      </c>
      <c r="C281" s="15">
        <f>IF($A281="","",IFERROR(SUMIF(tblAnahtarA[Norm],$A281,tblVeriA[BoyCm]),0))</f>
        <v/>
      </c>
      <c r="D281" s="15">
        <f>IF($A281="","",IFERROR(SUMIF(tblAnahtarA[Norm],$A281,tblVeriA[YukseklikCm]),0))</f>
        <v/>
      </c>
      <c r="E281" s="15">
        <f>IF($A281="","",IFERROR(SUMIF(tblAnahtarA[Norm],$A281,tblVeriA[AgirlikKg]),0))</f>
        <v/>
      </c>
      <c r="F281" s="15">
        <f>IF($A281="","",IFERROR(SUMIF(tblAnahtarA[Norm],$A281,tblVeriA[DesiCarpani]),kdo_varsayilanDesiCarpani))</f>
        <v/>
      </c>
      <c r="G281" s="15">
        <f>IF($A281="","",ROUND($B281*$C281*$D281/MAX($F281,1),2))</f>
        <v/>
      </c>
      <c r="H281" s="15">
        <f>IF($A281="","",MAX($G281,$E281))</f>
        <v/>
      </c>
      <c r="I281" s="15">
        <f>IF($A281="","",IFERROR(SUMIF(tblAnahtarB[NormB],$A281,tblVeriB[TarifTlDesi]),0))</f>
        <v/>
      </c>
      <c r="J281" s="15">
        <f>IF($A281="","",IFERROR(SUMIF(tblAnahtarA[Norm],$A281,tblVeriA[Adet]),1))</f>
        <v/>
      </c>
      <c r="K281" s="15">
        <f>IF($A281="","",ROUND($H281*$I281,2))</f>
        <v/>
      </c>
      <c r="L281" s="15">
        <f>IF($A281="","",ROUND($K281*$J281*(1+$Q281*kdo_iadeEtkiCarpani),2))</f>
        <v/>
      </c>
      <c r="M281" s="15">
        <f>IF($A281="","",IFERROR(SUMIF(tblAnahtarB[NormB],$A281,tblVeriB[AlternatifTarif]),0))</f>
        <v/>
      </c>
      <c r="N281" s="15">
        <f>IF($A281="","",ROUND($H281*$M281*$J281*(1+$Q281*kdo_iadeEtkiCarpani),2))</f>
        <v/>
      </c>
      <c r="O281" s="15">
        <f>IF($A281="","",ROUND($L281-$N281,2))</f>
        <v/>
      </c>
      <c r="P281" s="15">
        <f>IF($A281="","",IF($R281&gt;kdo_esikDesiOran,"DESİ DÜŞÜR",IF($O281&gt;kdo_esikTasarruf,"TAŞIYICI DEĞİŞTİR","UYGUN")))</f>
        <v/>
      </c>
      <c r="Q281" s="15">
        <f>IF($A281="","",IFERROR(SUMIF(tblAnahtarB[NormB],$A281,tblVeriB[IadeOran]),0))</f>
        <v/>
      </c>
      <c r="R281" s="15">
        <f>IF(OR($A281="",$E281=0),0,$G281/$E281)</f>
        <v/>
      </c>
      <c r="S281" s="15">
        <f>IF($A281="","",$G281-$E281)</f>
        <v/>
      </c>
      <c r="T281" s="15">
        <f>IF($A281="","",$L281-$N281)</f>
        <v/>
      </c>
    </row>
    <row r="282">
      <c r="A282" s="15">
        <f>IF('ANAHTAR'!$B282="","",'ANAHTAR'!$B282)</f>
        <v/>
      </c>
      <c r="B282" s="15">
        <f>IF($A282="","",IFERROR(SUMIF(tblAnahtarA[Norm],$A282,tblVeriA[EnCm]),0))</f>
        <v/>
      </c>
      <c r="C282" s="15">
        <f>IF($A282="","",IFERROR(SUMIF(tblAnahtarA[Norm],$A282,tblVeriA[BoyCm]),0))</f>
        <v/>
      </c>
      <c r="D282" s="15">
        <f>IF($A282="","",IFERROR(SUMIF(tblAnahtarA[Norm],$A282,tblVeriA[YukseklikCm]),0))</f>
        <v/>
      </c>
      <c r="E282" s="15">
        <f>IF($A282="","",IFERROR(SUMIF(tblAnahtarA[Norm],$A282,tblVeriA[AgirlikKg]),0))</f>
        <v/>
      </c>
      <c r="F282" s="15">
        <f>IF($A282="","",IFERROR(SUMIF(tblAnahtarA[Norm],$A282,tblVeriA[DesiCarpani]),kdo_varsayilanDesiCarpani))</f>
        <v/>
      </c>
      <c r="G282" s="15">
        <f>IF($A282="","",ROUND($B282*$C282*$D282/MAX($F282,1),2))</f>
        <v/>
      </c>
      <c r="H282" s="15">
        <f>IF($A282="","",MAX($G282,$E282))</f>
        <v/>
      </c>
      <c r="I282" s="15">
        <f>IF($A282="","",IFERROR(SUMIF(tblAnahtarB[NormB],$A282,tblVeriB[TarifTlDesi]),0))</f>
        <v/>
      </c>
      <c r="J282" s="15">
        <f>IF($A282="","",IFERROR(SUMIF(tblAnahtarA[Norm],$A282,tblVeriA[Adet]),1))</f>
        <v/>
      </c>
      <c r="K282" s="15">
        <f>IF($A282="","",ROUND($H282*$I282,2))</f>
        <v/>
      </c>
      <c r="L282" s="15">
        <f>IF($A282="","",ROUND($K282*$J282*(1+$Q282*kdo_iadeEtkiCarpani),2))</f>
        <v/>
      </c>
      <c r="M282" s="15">
        <f>IF($A282="","",IFERROR(SUMIF(tblAnahtarB[NormB],$A282,tblVeriB[AlternatifTarif]),0))</f>
        <v/>
      </c>
      <c r="N282" s="15">
        <f>IF($A282="","",ROUND($H282*$M282*$J282*(1+$Q282*kdo_iadeEtkiCarpani),2))</f>
        <v/>
      </c>
      <c r="O282" s="15">
        <f>IF($A282="","",ROUND($L282-$N282,2))</f>
        <v/>
      </c>
      <c r="P282" s="15">
        <f>IF($A282="","",IF($R282&gt;kdo_esikDesiOran,"DESİ DÜŞÜR",IF($O282&gt;kdo_esikTasarruf,"TAŞIYICI DEĞİŞTİR","UYGUN")))</f>
        <v/>
      </c>
      <c r="Q282" s="15">
        <f>IF($A282="","",IFERROR(SUMIF(tblAnahtarB[NormB],$A282,tblVeriB[IadeOran]),0))</f>
        <v/>
      </c>
      <c r="R282" s="15">
        <f>IF(OR($A282="",$E282=0),0,$G282/$E282)</f>
        <v/>
      </c>
      <c r="S282" s="15">
        <f>IF($A282="","",$G282-$E282)</f>
        <v/>
      </c>
      <c r="T282" s="15">
        <f>IF($A282="","",$L282-$N282)</f>
        <v/>
      </c>
    </row>
    <row r="283">
      <c r="A283" s="15">
        <f>IF('ANAHTAR'!$B283="","",'ANAHTAR'!$B283)</f>
        <v/>
      </c>
      <c r="B283" s="15">
        <f>IF($A283="","",IFERROR(SUMIF(tblAnahtarA[Norm],$A283,tblVeriA[EnCm]),0))</f>
        <v/>
      </c>
      <c r="C283" s="15">
        <f>IF($A283="","",IFERROR(SUMIF(tblAnahtarA[Norm],$A283,tblVeriA[BoyCm]),0))</f>
        <v/>
      </c>
      <c r="D283" s="15">
        <f>IF($A283="","",IFERROR(SUMIF(tblAnahtarA[Norm],$A283,tblVeriA[YukseklikCm]),0))</f>
        <v/>
      </c>
      <c r="E283" s="15">
        <f>IF($A283="","",IFERROR(SUMIF(tblAnahtarA[Norm],$A283,tblVeriA[AgirlikKg]),0))</f>
        <v/>
      </c>
      <c r="F283" s="15">
        <f>IF($A283="","",IFERROR(SUMIF(tblAnahtarA[Norm],$A283,tblVeriA[DesiCarpani]),kdo_varsayilanDesiCarpani))</f>
        <v/>
      </c>
      <c r="G283" s="15">
        <f>IF($A283="","",ROUND($B283*$C283*$D283/MAX($F283,1),2))</f>
        <v/>
      </c>
      <c r="H283" s="15">
        <f>IF($A283="","",MAX($G283,$E283))</f>
        <v/>
      </c>
      <c r="I283" s="15">
        <f>IF($A283="","",IFERROR(SUMIF(tblAnahtarB[NormB],$A283,tblVeriB[TarifTlDesi]),0))</f>
        <v/>
      </c>
      <c r="J283" s="15">
        <f>IF($A283="","",IFERROR(SUMIF(tblAnahtarA[Norm],$A283,tblVeriA[Adet]),1))</f>
        <v/>
      </c>
      <c r="K283" s="15">
        <f>IF($A283="","",ROUND($H283*$I283,2))</f>
        <v/>
      </c>
      <c r="L283" s="15">
        <f>IF($A283="","",ROUND($K283*$J283*(1+$Q283*kdo_iadeEtkiCarpani),2))</f>
        <v/>
      </c>
      <c r="M283" s="15">
        <f>IF($A283="","",IFERROR(SUMIF(tblAnahtarB[NormB],$A283,tblVeriB[AlternatifTarif]),0))</f>
        <v/>
      </c>
      <c r="N283" s="15">
        <f>IF($A283="","",ROUND($H283*$M283*$J283*(1+$Q283*kdo_iadeEtkiCarpani),2))</f>
        <v/>
      </c>
      <c r="O283" s="15">
        <f>IF($A283="","",ROUND($L283-$N283,2))</f>
        <v/>
      </c>
      <c r="P283" s="15">
        <f>IF($A283="","",IF($R283&gt;kdo_esikDesiOran,"DESİ DÜŞÜR",IF($O283&gt;kdo_esikTasarruf,"TAŞIYICI DEĞİŞTİR","UYGUN")))</f>
        <v/>
      </c>
      <c r="Q283" s="15">
        <f>IF($A283="","",IFERROR(SUMIF(tblAnahtarB[NormB],$A283,tblVeriB[IadeOran]),0))</f>
        <v/>
      </c>
      <c r="R283" s="15">
        <f>IF(OR($A283="",$E283=0),0,$G283/$E283)</f>
        <v/>
      </c>
      <c r="S283" s="15">
        <f>IF($A283="","",$G283-$E283)</f>
        <v/>
      </c>
      <c r="T283" s="15">
        <f>IF($A283="","",$L283-$N283)</f>
        <v/>
      </c>
    </row>
    <row r="284">
      <c r="A284" s="15">
        <f>IF('ANAHTAR'!$B284="","",'ANAHTAR'!$B284)</f>
        <v/>
      </c>
      <c r="B284" s="15">
        <f>IF($A284="","",IFERROR(SUMIF(tblAnahtarA[Norm],$A284,tblVeriA[EnCm]),0))</f>
        <v/>
      </c>
      <c r="C284" s="15">
        <f>IF($A284="","",IFERROR(SUMIF(tblAnahtarA[Norm],$A284,tblVeriA[BoyCm]),0))</f>
        <v/>
      </c>
      <c r="D284" s="15">
        <f>IF($A284="","",IFERROR(SUMIF(tblAnahtarA[Norm],$A284,tblVeriA[YukseklikCm]),0))</f>
        <v/>
      </c>
      <c r="E284" s="15">
        <f>IF($A284="","",IFERROR(SUMIF(tblAnahtarA[Norm],$A284,tblVeriA[AgirlikKg]),0))</f>
        <v/>
      </c>
      <c r="F284" s="15">
        <f>IF($A284="","",IFERROR(SUMIF(tblAnahtarA[Norm],$A284,tblVeriA[DesiCarpani]),kdo_varsayilanDesiCarpani))</f>
        <v/>
      </c>
      <c r="G284" s="15">
        <f>IF($A284="","",ROUND($B284*$C284*$D284/MAX($F284,1),2))</f>
        <v/>
      </c>
      <c r="H284" s="15">
        <f>IF($A284="","",MAX($G284,$E284))</f>
        <v/>
      </c>
      <c r="I284" s="15">
        <f>IF($A284="","",IFERROR(SUMIF(tblAnahtarB[NormB],$A284,tblVeriB[TarifTlDesi]),0))</f>
        <v/>
      </c>
      <c r="J284" s="15">
        <f>IF($A284="","",IFERROR(SUMIF(tblAnahtarA[Norm],$A284,tblVeriA[Adet]),1))</f>
        <v/>
      </c>
      <c r="K284" s="15">
        <f>IF($A284="","",ROUND($H284*$I284,2))</f>
        <v/>
      </c>
      <c r="L284" s="15">
        <f>IF($A284="","",ROUND($K284*$J284*(1+$Q284*kdo_iadeEtkiCarpani),2))</f>
        <v/>
      </c>
      <c r="M284" s="15">
        <f>IF($A284="","",IFERROR(SUMIF(tblAnahtarB[NormB],$A284,tblVeriB[AlternatifTarif]),0))</f>
        <v/>
      </c>
      <c r="N284" s="15">
        <f>IF($A284="","",ROUND($H284*$M284*$J284*(1+$Q284*kdo_iadeEtkiCarpani),2))</f>
        <v/>
      </c>
      <c r="O284" s="15">
        <f>IF($A284="","",ROUND($L284-$N284,2))</f>
        <v/>
      </c>
      <c r="P284" s="15">
        <f>IF($A284="","",IF($R284&gt;kdo_esikDesiOran,"DESİ DÜŞÜR",IF($O284&gt;kdo_esikTasarruf,"TAŞIYICI DEĞİŞTİR","UYGUN")))</f>
        <v/>
      </c>
      <c r="Q284" s="15">
        <f>IF($A284="","",IFERROR(SUMIF(tblAnahtarB[NormB],$A284,tblVeriB[IadeOran]),0))</f>
        <v/>
      </c>
      <c r="R284" s="15">
        <f>IF(OR($A284="",$E284=0),0,$G284/$E284)</f>
        <v/>
      </c>
      <c r="S284" s="15">
        <f>IF($A284="","",$G284-$E284)</f>
        <v/>
      </c>
      <c r="T284" s="15">
        <f>IF($A284="","",$L284-$N284)</f>
        <v/>
      </c>
    </row>
    <row r="285">
      <c r="A285" s="15">
        <f>IF('ANAHTAR'!$B285="","",'ANAHTAR'!$B285)</f>
        <v/>
      </c>
      <c r="B285" s="15">
        <f>IF($A285="","",IFERROR(SUMIF(tblAnahtarA[Norm],$A285,tblVeriA[EnCm]),0))</f>
        <v/>
      </c>
      <c r="C285" s="15">
        <f>IF($A285="","",IFERROR(SUMIF(tblAnahtarA[Norm],$A285,tblVeriA[BoyCm]),0))</f>
        <v/>
      </c>
      <c r="D285" s="15">
        <f>IF($A285="","",IFERROR(SUMIF(tblAnahtarA[Norm],$A285,tblVeriA[YukseklikCm]),0))</f>
        <v/>
      </c>
      <c r="E285" s="15">
        <f>IF($A285="","",IFERROR(SUMIF(tblAnahtarA[Norm],$A285,tblVeriA[AgirlikKg]),0))</f>
        <v/>
      </c>
      <c r="F285" s="15">
        <f>IF($A285="","",IFERROR(SUMIF(tblAnahtarA[Norm],$A285,tblVeriA[DesiCarpani]),kdo_varsayilanDesiCarpani))</f>
        <v/>
      </c>
      <c r="G285" s="15">
        <f>IF($A285="","",ROUND($B285*$C285*$D285/MAX($F285,1),2))</f>
        <v/>
      </c>
      <c r="H285" s="15">
        <f>IF($A285="","",MAX($G285,$E285))</f>
        <v/>
      </c>
      <c r="I285" s="15">
        <f>IF($A285="","",IFERROR(SUMIF(tblAnahtarB[NormB],$A285,tblVeriB[TarifTlDesi]),0))</f>
        <v/>
      </c>
      <c r="J285" s="15">
        <f>IF($A285="","",IFERROR(SUMIF(tblAnahtarA[Norm],$A285,tblVeriA[Adet]),1))</f>
        <v/>
      </c>
      <c r="K285" s="15">
        <f>IF($A285="","",ROUND($H285*$I285,2))</f>
        <v/>
      </c>
      <c r="L285" s="15">
        <f>IF($A285="","",ROUND($K285*$J285*(1+$Q285*kdo_iadeEtkiCarpani),2))</f>
        <v/>
      </c>
      <c r="M285" s="15">
        <f>IF($A285="","",IFERROR(SUMIF(tblAnahtarB[NormB],$A285,tblVeriB[AlternatifTarif]),0))</f>
        <v/>
      </c>
      <c r="N285" s="15">
        <f>IF($A285="","",ROUND($H285*$M285*$J285*(1+$Q285*kdo_iadeEtkiCarpani),2))</f>
        <v/>
      </c>
      <c r="O285" s="15">
        <f>IF($A285="","",ROUND($L285-$N285,2))</f>
        <v/>
      </c>
      <c r="P285" s="15">
        <f>IF($A285="","",IF($R285&gt;kdo_esikDesiOran,"DESİ DÜŞÜR",IF($O285&gt;kdo_esikTasarruf,"TAŞIYICI DEĞİŞTİR","UYGUN")))</f>
        <v/>
      </c>
      <c r="Q285" s="15">
        <f>IF($A285="","",IFERROR(SUMIF(tblAnahtarB[NormB],$A285,tblVeriB[IadeOran]),0))</f>
        <v/>
      </c>
      <c r="R285" s="15">
        <f>IF(OR($A285="",$E285=0),0,$G285/$E285)</f>
        <v/>
      </c>
      <c r="S285" s="15">
        <f>IF($A285="","",$G285-$E285)</f>
        <v/>
      </c>
      <c r="T285" s="15">
        <f>IF($A285="","",$L285-$N285)</f>
        <v/>
      </c>
    </row>
    <row r="286">
      <c r="A286" s="15">
        <f>IF('ANAHTAR'!$B286="","",'ANAHTAR'!$B286)</f>
        <v/>
      </c>
      <c r="B286" s="15">
        <f>IF($A286="","",IFERROR(SUMIF(tblAnahtarA[Norm],$A286,tblVeriA[EnCm]),0))</f>
        <v/>
      </c>
      <c r="C286" s="15">
        <f>IF($A286="","",IFERROR(SUMIF(tblAnahtarA[Norm],$A286,tblVeriA[BoyCm]),0))</f>
        <v/>
      </c>
      <c r="D286" s="15">
        <f>IF($A286="","",IFERROR(SUMIF(tblAnahtarA[Norm],$A286,tblVeriA[YukseklikCm]),0))</f>
        <v/>
      </c>
      <c r="E286" s="15">
        <f>IF($A286="","",IFERROR(SUMIF(tblAnahtarA[Norm],$A286,tblVeriA[AgirlikKg]),0))</f>
        <v/>
      </c>
      <c r="F286" s="15">
        <f>IF($A286="","",IFERROR(SUMIF(tblAnahtarA[Norm],$A286,tblVeriA[DesiCarpani]),kdo_varsayilanDesiCarpani))</f>
        <v/>
      </c>
      <c r="G286" s="15">
        <f>IF($A286="","",ROUND($B286*$C286*$D286/MAX($F286,1),2))</f>
        <v/>
      </c>
      <c r="H286" s="15">
        <f>IF($A286="","",MAX($G286,$E286))</f>
        <v/>
      </c>
      <c r="I286" s="15">
        <f>IF($A286="","",IFERROR(SUMIF(tblAnahtarB[NormB],$A286,tblVeriB[TarifTlDesi]),0))</f>
        <v/>
      </c>
      <c r="J286" s="15">
        <f>IF($A286="","",IFERROR(SUMIF(tblAnahtarA[Norm],$A286,tblVeriA[Adet]),1))</f>
        <v/>
      </c>
      <c r="K286" s="15">
        <f>IF($A286="","",ROUND($H286*$I286,2))</f>
        <v/>
      </c>
      <c r="L286" s="15">
        <f>IF($A286="","",ROUND($K286*$J286*(1+$Q286*kdo_iadeEtkiCarpani),2))</f>
        <v/>
      </c>
      <c r="M286" s="15">
        <f>IF($A286="","",IFERROR(SUMIF(tblAnahtarB[NormB],$A286,tblVeriB[AlternatifTarif]),0))</f>
        <v/>
      </c>
      <c r="N286" s="15">
        <f>IF($A286="","",ROUND($H286*$M286*$J286*(1+$Q286*kdo_iadeEtkiCarpani),2))</f>
        <v/>
      </c>
      <c r="O286" s="15">
        <f>IF($A286="","",ROUND($L286-$N286,2))</f>
        <v/>
      </c>
      <c r="P286" s="15">
        <f>IF($A286="","",IF($R286&gt;kdo_esikDesiOran,"DESİ DÜŞÜR",IF($O286&gt;kdo_esikTasarruf,"TAŞIYICI DEĞİŞTİR","UYGUN")))</f>
        <v/>
      </c>
      <c r="Q286" s="15">
        <f>IF($A286="","",IFERROR(SUMIF(tblAnahtarB[NormB],$A286,tblVeriB[IadeOran]),0))</f>
        <v/>
      </c>
      <c r="R286" s="15">
        <f>IF(OR($A286="",$E286=0),0,$G286/$E286)</f>
        <v/>
      </c>
      <c r="S286" s="15">
        <f>IF($A286="","",$G286-$E286)</f>
        <v/>
      </c>
      <c r="T286" s="15">
        <f>IF($A286="","",$L286-$N286)</f>
        <v/>
      </c>
    </row>
    <row r="287">
      <c r="A287" s="15">
        <f>IF('ANAHTAR'!$B287="","",'ANAHTAR'!$B287)</f>
        <v/>
      </c>
      <c r="B287" s="15">
        <f>IF($A287="","",IFERROR(SUMIF(tblAnahtarA[Norm],$A287,tblVeriA[EnCm]),0))</f>
        <v/>
      </c>
      <c r="C287" s="15">
        <f>IF($A287="","",IFERROR(SUMIF(tblAnahtarA[Norm],$A287,tblVeriA[BoyCm]),0))</f>
        <v/>
      </c>
      <c r="D287" s="15">
        <f>IF($A287="","",IFERROR(SUMIF(tblAnahtarA[Norm],$A287,tblVeriA[YukseklikCm]),0))</f>
        <v/>
      </c>
      <c r="E287" s="15">
        <f>IF($A287="","",IFERROR(SUMIF(tblAnahtarA[Norm],$A287,tblVeriA[AgirlikKg]),0))</f>
        <v/>
      </c>
      <c r="F287" s="15">
        <f>IF($A287="","",IFERROR(SUMIF(tblAnahtarA[Norm],$A287,tblVeriA[DesiCarpani]),kdo_varsayilanDesiCarpani))</f>
        <v/>
      </c>
      <c r="G287" s="15">
        <f>IF($A287="","",ROUND($B287*$C287*$D287/MAX($F287,1),2))</f>
        <v/>
      </c>
      <c r="H287" s="15">
        <f>IF($A287="","",MAX($G287,$E287))</f>
        <v/>
      </c>
      <c r="I287" s="15">
        <f>IF($A287="","",IFERROR(SUMIF(tblAnahtarB[NormB],$A287,tblVeriB[TarifTlDesi]),0))</f>
        <v/>
      </c>
      <c r="J287" s="15">
        <f>IF($A287="","",IFERROR(SUMIF(tblAnahtarA[Norm],$A287,tblVeriA[Adet]),1))</f>
        <v/>
      </c>
      <c r="K287" s="15">
        <f>IF($A287="","",ROUND($H287*$I287,2))</f>
        <v/>
      </c>
      <c r="L287" s="15">
        <f>IF($A287="","",ROUND($K287*$J287*(1+$Q287*kdo_iadeEtkiCarpani),2))</f>
        <v/>
      </c>
      <c r="M287" s="15">
        <f>IF($A287="","",IFERROR(SUMIF(tblAnahtarB[NormB],$A287,tblVeriB[AlternatifTarif]),0))</f>
        <v/>
      </c>
      <c r="N287" s="15">
        <f>IF($A287="","",ROUND($H287*$M287*$J287*(1+$Q287*kdo_iadeEtkiCarpani),2))</f>
        <v/>
      </c>
      <c r="O287" s="15">
        <f>IF($A287="","",ROUND($L287-$N287,2))</f>
        <v/>
      </c>
      <c r="P287" s="15">
        <f>IF($A287="","",IF($R287&gt;kdo_esikDesiOran,"DESİ DÜŞÜR",IF($O287&gt;kdo_esikTasarruf,"TAŞIYICI DEĞİŞTİR","UYGUN")))</f>
        <v/>
      </c>
      <c r="Q287" s="15">
        <f>IF($A287="","",IFERROR(SUMIF(tblAnahtarB[NormB],$A287,tblVeriB[IadeOran]),0))</f>
        <v/>
      </c>
      <c r="R287" s="15">
        <f>IF(OR($A287="",$E287=0),0,$G287/$E287)</f>
        <v/>
      </c>
      <c r="S287" s="15">
        <f>IF($A287="","",$G287-$E287)</f>
        <v/>
      </c>
      <c r="T287" s="15">
        <f>IF($A287="","",$L287-$N287)</f>
        <v/>
      </c>
    </row>
    <row r="288">
      <c r="A288" s="15">
        <f>IF('ANAHTAR'!$B288="","",'ANAHTAR'!$B288)</f>
        <v/>
      </c>
      <c r="B288" s="15">
        <f>IF($A288="","",IFERROR(SUMIF(tblAnahtarA[Norm],$A288,tblVeriA[EnCm]),0))</f>
        <v/>
      </c>
      <c r="C288" s="15">
        <f>IF($A288="","",IFERROR(SUMIF(tblAnahtarA[Norm],$A288,tblVeriA[BoyCm]),0))</f>
        <v/>
      </c>
      <c r="D288" s="15">
        <f>IF($A288="","",IFERROR(SUMIF(tblAnahtarA[Norm],$A288,tblVeriA[YukseklikCm]),0))</f>
        <v/>
      </c>
      <c r="E288" s="15">
        <f>IF($A288="","",IFERROR(SUMIF(tblAnahtarA[Norm],$A288,tblVeriA[AgirlikKg]),0))</f>
        <v/>
      </c>
      <c r="F288" s="15">
        <f>IF($A288="","",IFERROR(SUMIF(tblAnahtarA[Norm],$A288,tblVeriA[DesiCarpani]),kdo_varsayilanDesiCarpani))</f>
        <v/>
      </c>
      <c r="G288" s="15">
        <f>IF($A288="","",ROUND($B288*$C288*$D288/MAX($F288,1),2))</f>
        <v/>
      </c>
      <c r="H288" s="15">
        <f>IF($A288="","",MAX($G288,$E288))</f>
        <v/>
      </c>
      <c r="I288" s="15">
        <f>IF($A288="","",IFERROR(SUMIF(tblAnahtarB[NormB],$A288,tblVeriB[TarifTlDesi]),0))</f>
        <v/>
      </c>
      <c r="J288" s="15">
        <f>IF($A288="","",IFERROR(SUMIF(tblAnahtarA[Norm],$A288,tblVeriA[Adet]),1))</f>
        <v/>
      </c>
      <c r="K288" s="15">
        <f>IF($A288="","",ROUND($H288*$I288,2))</f>
        <v/>
      </c>
      <c r="L288" s="15">
        <f>IF($A288="","",ROUND($K288*$J288*(1+$Q288*kdo_iadeEtkiCarpani),2))</f>
        <v/>
      </c>
      <c r="M288" s="15">
        <f>IF($A288="","",IFERROR(SUMIF(tblAnahtarB[NormB],$A288,tblVeriB[AlternatifTarif]),0))</f>
        <v/>
      </c>
      <c r="N288" s="15">
        <f>IF($A288="","",ROUND($H288*$M288*$J288*(1+$Q288*kdo_iadeEtkiCarpani),2))</f>
        <v/>
      </c>
      <c r="O288" s="15">
        <f>IF($A288="","",ROUND($L288-$N288,2))</f>
        <v/>
      </c>
      <c r="P288" s="15">
        <f>IF($A288="","",IF($R288&gt;kdo_esikDesiOran,"DESİ DÜŞÜR",IF($O288&gt;kdo_esikTasarruf,"TAŞIYICI DEĞİŞTİR","UYGUN")))</f>
        <v/>
      </c>
      <c r="Q288" s="15">
        <f>IF($A288="","",IFERROR(SUMIF(tblAnahtarB[NormB],$A288,tblVeriB[IadeOran]),0))</f>
        <v/>
      </c>
      <c r="R288" s="15">
        <f>IF(OR($A288="",$E288=0),0,$G288/$E288)</f>
        <v/>
      </c>
      <c r="S288" s="15">
        <f>IF($A288="","",$G288-$E288)</f>
        <v/>
      </c>
      <c r="T288" s="15">
        <f>IF($A288="","",$L288-$N288)</f>
        <v/>
      </c>
    </row>
    <row r="289">
      <c r="A289" s="15">
        <f>IF('ANAHTAR'!$B289="","",'ANAHTAR'!$B289)</f>
        <v/>
      </c>
      <c r="B289" s="15">
        <f>IF($A289="","",IFERROR(SUMIF(tblAnahtarA[Norm],$A289,tblVeriA[EnCm]),0))</f>
        <v/>
      </c>
      <c r="C289" s="15">
        <f>IF($A289="","",IFERROR(SUMIF(tblAnahtarA[Norm],$A289,tblVeriA[BoyCm]),0))</f>
        <v/>
      </c>
      <c r="D289" s="15">
        <f>IF($A289="","",IFERROR(SUMIF(tblAnahtarA[Norm],$A289,tblVeriA[YukseklikCm]),0))</f>
        <v/>
      </c>
      <c r="E289" s="15">
        <f>IF($A289="","",IFERROR(SUMIF(tblAnahtarA[Norm],$A289,tblVeriA[AgirlikKg]),0))</f>
        <v/>
      </c>
      <c r="F289" s="15">
        <f>IF($A289="","",IFERROR(SUMIF(tblAnahtarA[Norm],$A289,tblVeriA[DesiCarpani]),kdo_varsayilanDesiCarpani))</f>
        <v/>
      </c>
      <c r="G289" s="15">
        <f>IF($A289="","",ROUND($B289*$C289*$D289/MAX($F289,1),2))</f>
        <v/>
      </c>
      <c r="H289" s="15">
        <f>IF($A289="","",MAX($G289,$E289))</f>
        <v/>
      </c>
      <c r="I289" s="15">
        <f>IF($A289="","",IFERROR(SUMIF(tblAnahtarB[NormB],$A289,tblVeriB[TarifTlDesi]),0))</f>
        <v/>
      </c>
      <c r="J289" s="15">
        <f>IF($A289="","",IFERROR(SUMIF(tblAnahtarA[Norm],$A289,tblVeriA[Adet]),1))</f>
        <v/>
      </c>
      <c r="K289" s="15">
        <f>IF($A289="","",ROUND($H289*$I289,2))</f>
        <v/>
      </c>
      <c r="L289" s="15">
        <f>IF($A289="","",ROUND($K289*$J289*(1+$Q289*kdo_iadeEtkiCarpani),2))</f>
        <v/>
      </c>
      <c r="M289" s="15">
        <f>IF($A289="","",IFERROR(SUMIF(tblAnahtarB[NormB],$A289,tblVeriB[AlternatifTarif]),0))</f>
        <v/>
      </c>
      <c r="N289" s="15">
        <f>IF($A289="","",ROUND($H289*$M289*$J289*(1+$Q289*kdo_iadeEtkiCarpani),2))</f>
        <v/>
      </c>
      <c r="O289" s="15">
        <f>IF($A289="","",ROUND($L289-$N289,2))</f>
        <v/>
      </c>
      <c r="P289" s="15">
        <f>IF($A289="","",IF($R289&gt;kdo_esikDesiOran,"DESİ DÜŞÜR",IF($O289&gt;kdo_esikTasarruf,"TAŞIYICI DEĞİŞTİR","UYGUN")))</f>
        <v/>
      </c>
      <c r="Q289" s="15">
        <f>IF($A289="","",IFERROR(SUMIF(tblAnahtarB[NormB],$A289,tblVeriB[IadeOran]),0))</f>
        <v/>
      </c>
      <c r="R289" s="15">
        <f>IF(OR($A289="",$E289=0),0,$G289/$E289)</f>
        <v/>
      </c>
      <c r="S289" s="15">
        <f>IF($A289="","",$G289-$E289)</f>
        <v/>
      </c>
      <c r="T289" s="15">
        <f>IF($A289="","",$L289-$N289)</f>
        <v/>
      </c>
    </row>
    <row r="290">
      <c r="A290" s="15">
        <f>IF('ANAHTAR'!$B290="","",'ANAHTAR'!$B290)</f>
        <v/>
      </c>
      <c r="B290" s="15">
        <f>IF($A290="","",IFERROR(SUMIF(tblAnahtarA[Norm],$A290,tblVeriA[EnCm]),0))</f>
        <v/>
      </c>
      <c r="C290" s="15">
        <f>IF($A290="","",IFERROR(SUMIF(tblAnahtarA[Norm],$A290,tblVeriA[BoyCm]),0))</f>
        <v/>
      </c>
      <c r="D290" s="15">
        <f>IF($A290="","",IFERROR(SUMIF(tblAnahtarA[Norm],$A290,tblVeriA[YukseklikCm]),0))</f>
        <v/>
      </c>
      <c r="E290" s="15">
        <f>IF($A290="","",IFERROR(SUMIF(tblAnahtarA[Norm],$A290,tblVeriA[AgirlikKg]),0))</f>
        <v/>
      </c>
      <c r="F290" s="15">
        <f>IF($A290="","",IFERROR(SUMIF(tblAnahtarA[Norm],$A290,tblVeriA[DesiCarpani]),kdo_varsayilanDesiCarpani))</f>
        <v/>
      </c>
      <c r="G290" s="15">
        <f>IF($A290="","",ROUND($B290*$C290*$D290/MAX($F290,1),2))</f>
        <v/>
      </c>
      <c r="H290" s="15">
        <f>IF($A290="","",MAX($G290,$E290))</f>
        <v/>
      </c>
      <c r="I290" s="15">
        <f>IF($A290="","",IFERROR(SUMIF(tblAnahtarB[NormB],$A290,tblVeriB[TarifTlDesi]),0))</f>
        <v/>
      </c>
      <c r="J290" s="15">
        <f>IF($A290="","",IFERROR(SUMIF(tblAnahtarA[Norm],$A290,tblVeriA[Adet]),1))</f>
        <v/>
      </c>
      <c r="K290" s="15">
        <f>IF($A290="","",ROUND($H290*$I290,2))</f>
        <v/>
      </c>
      <c r="L290" s="15">
        <f>IF($A290="","",ROUND($K290*$J290*(1+$Q290*kdo_iadeEtkiCarpani),2))</f>
        <v/>
      </c>
      <c r="M290" s="15">
        <f>IF($A290="","",IFERROR(SUMIF(tblAnahtarB[NormB],$A290,tblVeriB[AlternatifTarif]),0))</f>
        <v/>
      </c>
      <c r="N290" s="15">
        <f>IF($A290="","",ROUND($H290*$M290*$J290*(1+$Q290*kdo_iadeEtkiCarpani),2))</f>
        <v/>
      </c>
      <c r="O290" s="15">
        <f>IF($A290="","",ROUND($L290-$N290,2))</f>
        <v/>
      </c>
      <c r="P290" s="15">
        <f>IF($A290="","",IF($R290&gt;kdo_esikDesiOran,"DESİ DÜŞÜR",IF($O290&gt;kdo_esikTasarruf,"TAŞIYICI DEĞİŞTİR","UYGUN")))</f>
        <v/>
      </c>
      <c r="Q290" s="15">
        <f>IF($A290="","",IFERROR(SUMIF(tblAnahtarB[NormB],$A290,tblVeriB[IadeOran]),0))</f>
        <v/>
      </c>
      <c r="R290" s="15">
        <f>IF(OR($A290="",$E290=0),0,$G290/$E290)</f>
        <v/>
      </c>
      <c r="S290" s="15">
        <f>IF($A290="","",$G290-$E290)</f>
        <v/>
      </c>
      <c r="T290" s="15">
        <f>IF($A290="","",$L290-$N290)</f>
        <v/>
      </c>
    </row>
    <row r="291">
      <c r="A291" s="15">
        <f>IF('ANAHTAR'!$B291="","",'ANAHTAR'!$B291)</f>
        <v/>
      </c>
      <c r="B291" s="15">
        <f>IF($A291="","",IFERROR(SUMIF(tblAnahtarA[Norm],$A291,tblVeriA[EnCm]),0))</f>
        <v/>
      </c>
      <c r="C291" s="15">
        <f>IF($A291="","",IFERROR(SUMIF(tblAnahtarA[Norm],$A291,tblVeriA[BoyCm]),0))</f>
        <v/>
      </c>
      <c r="D291" s="15">
        <f>IF($A291="","",IFERROR(SUMIF(tblAnahtarA[Norm],$A291,tblVeriA[YukseklikCm]),0))</f>
        <v/>
      </c>
      <c r="E291" s="15">
        <f>IF($A291="","",IFERROR(SUMIF(tblAnahtarA[Norm],$A291,tblVeriA[AgirlikKg]),0))</f>
        <v/>
      </c>
      <c r="F291" s="15">
        <f>IF($A291="","",IFERROR(SUMIF(tblAnahtarA[Norm],$A291,tblVeriA[DesiCarpani]),kdo_varsayilanDesiCarpani))</f>
        <v/>
      </c>
      <c r="G291" s="15">
        <f>IF($A291="","",ROUND($B291*$C291*$D291/MAX($F291,1),2))</f>
        <v/>
      </c>
      <c r="H291" s="15">
        <f>IF($A291="","",MAX($G291,$E291))</f>
        <v/>
      </c>
      <c r="I291" s="15">
        <f>IF($A291="","",IFERROR(SUMIF(tblAnahtarB[NormB],$A291,tblVeriB[TarifTlDesi]),0))</f>
        <v/>
      </c>
      <c r="J291" s="15">
        <f>IF($A291="","",IFERROR(SUMIF(tblAnahtarA[Norm],$A291,tblVeriA[Adet]),1))</f>
        <v/>
      </c>
      <c r="K291" s="15">
        <f>IF($A291="","",ROUND($H291*$I291,2))</f>
        <v/>
      </c>
      <c r="L291" s="15">
        <f>IF($A291="","",ROUND($K291*$J291*(1+$Q291*kdo_iadeEtkiCarpani),2))</f>
        <v/>
      </c>
      <c r="M291" s="15">
        <f>IF($A291="","",IFERROR(SUMIF(tblAnahtarB[NormB],$A291,tblVeriB[AlternatifTarif]),0))</f>
        <v/>
      </c>
      <c r="N291" s="15">
        <f>IF($A291="","",ROUND($H291*$M291*$J291*(1+$Q291*kdo_iadeEtkiCarpani),2))</f>
        <v/>
      </c>
      <c r="O291" s="15">
        <f>IF($A291="","",ROUND($L291-$N291,2))</f>
        <v/>
      </c>
      <c r="P291" s="15">
        <f>IF($A291="","",IF($R291&gt;kdo_esikDesiOran,"DESİ DÜŞÜR",IF($O291&gt;kdo_esikTasarruf,"TAŞIYICI DEĞİŞTİR","UYGUN")))</f>
        <v/>
      </c>
      <c r="Q291" s="15">
        <f>IF($A291="","",IFERROR(SUMIF(tblAnahtarB[NormB],$A291,tblVeriB[IadeOran]),0))</f>
        <v/>
      </c>
      <c r="R291" s="15">
        <f>IF(OR($A291="",$E291=0),0,$G291/$E291)</f>
        <v/>
      </c>
      <c r="S291" s="15">
        <f>IF($A291="","",$G291-$E291)</f>
        <v/>
      </c>
      <c r="T291" s="15">
        <f>IF($A291="","",$L291-$N291)</f>
        <v/>
      </c>
    </row>
    <row r="292">
      <c r="A292" s="15">
        <f>IF('ANAHTAR'!$B292="","",'ANAHTAR'!$B292)</f>
        <v/>
      </c>
      <c r="B292" s="15">
        <f>IF($A292="","",IFERROR(SUMIF(tblAnahtarA[Norm],$A292,tblVeriA[EnCm]),0))</f>
        <v/>
      </c>
      <c r="C292" s="15">
        <f>IF($A292="","",IFERROR(SUMIF(tblAnahtarA[Norm],$A292,tblVeriA[BoyCm]),0))</f>
        <v/>
      </c>
      <c r="D292" s="15">
        <f>IF($A292="","",IFERROR(SUMIF(tblAnahtarA[Norm],$A292,tblVeriA[YukseklikCm]),0))</f>
        <v/>
      </c>
      <c r="E292" s="15">
        <f>IF($A292="","",IFERROR(SUMIF(tblAnahtarA[Norm],$A292,tblVeriA[AgirlikKg]),0))</f>
        <v/>
      </c>
      <c r="F292" s="15">
        <f>IF($A292="","",IFERROR(SUMIF(tblAnahtarA[Norm],$A292,tblVeriA[DesiCarpani]),kdo_varsayilanDesiCarpani))</f>
        <v/>
      </c>
      <c r="G292" s="15">
        <f>IF($A292="","",ROUND($B292*$C292*$D292/MAX($F292,1),2))</f>
        <v/>
      </c>
      <c r="H292" s="15">
        <f>IF($A292="","",MAX($G292,$E292))</f>
        <v/>
      </c>
      <c r="I292" s="15">
        <f>IF($A292="","",IFERROR(SUMIF(tblAnahtarB[NormB],$A292,tblVeriB[TarifTlDesi]),0))</f>
        <v/>
      </c>
      <c r="J292" s="15">
        <f>IF($A292="","",IFERROR(SUMIF(tblAnahtarA[Norm],$A292,tblVeriA[Adet]),1))</f>
        <v/>
      </c>
      <c r="K292" s="15">
        <f>IF($A292="","",ROUND($H292*$I292,2))</f>
        <v/>
      </c>
      <c r="L292" s="15">
        <f>IF($A292="","",ROUND($K292*$J292*(1+$Q292*kdo_iadeEtkiCarpani),2))</f>
        <v/>
      </c>
      <c r="M292" s="15">
        <f>IF($A292="","",IFERROR(SUMIF(tblAnahtarB[NormB],$A292,tblVeriB[AlternatifTarif]),0))</f>
        <v/>
      </c>
      <c r="N292" s="15">
        <f>IF($A292="","",ROUND($H292*$M292*$J292*(1+$Q292*kdo_iadeEtkiCarpani),2))</f>
        <v/>
      </c>
      <c r="O292" s="15">
        <f>IF($A292="","",ROUND($L292-$N292,2))</f>
        <v/>
      </c>
      <c r="P292" s="15">
        <f>IF($A292="","",IF($R292&gt;kdo_esikDesiOran,"DESİ DÜŞÜR",IF($O292&gt;kdo_esikTasarruf,"TAŞIYICI DEĞİŞTİR","UYGUN")))</f>
        <v/>
      </c>
      <c r="Q292" s="15">
        <f>IF($A292="","",IFERROR(SUMIF(tblAnahtarB[NormB],$A292,tblVeriB[IadeOran]),0))</f>
        <v/>
      </c>
      <c r="R292" s="15">
        <f>IF(OR($A292="",$E292=0),0,$G292/$E292)</f>
        <v/>
      </c>
      <c r="S292" s="15">
        <f>IF($A292="","",$G292-$E292)</f>
        <v/>
      </c>
      <c r="T292" s="15">
        <f>IF($A292="","",$L292-$N292)</f>
        <v/>
      </c>
    </row>
    <row r="293">
      <c r="A293" s="15">
        <f>IF('ANAHTAR'!$B293="","",'ANAHTAR'!$B293)</f>
        <v/>
      </c>
      <c r="B293" s="15">
        <f>IF($A293="","",IFERROR(SUMIF(tblAnahtarA[Norm],$A293,tblVeriA[EnCm]),0))</f>
        <v/>
      </c>
      <c r="C293" s="15">
        <f>IF($A293="","",IFERROR(SUMIF(tblAnahtarA[Norm],$A293,tblVeriA[BoyCm]),0))</f>
        <v/>
      </c>
      <c r="D293" s="15">
        <f>IF($A293="","",IFERROR(SUMIF(tblAnahtarA[Norm],$A293,tblVeriA[YukseklikCm]),0))</f>
        <v/>
      </c>
      <c r="E293" s="15">
        <f>IF($A293="","",IFERROR(SUMIF(tblAnahtarA[Norm],$A293,tblVeriA[AgirlikKg]),0))</f>
        <v/>
      </c>
      <c r="F293" s="15">
        <f>IF($A293="","",IFERROR(SUMIF(tblAnahtarA[Norm],$A293,tblVeriA[DesiCarpani]),kdo_varsayilanDesiCarpani))</f>
        <v/>
      </c>
      <c r="G293" s="15">
        <f>IF($A293="","",ROUND($B293*$C293*$D293/MAX($F293,1),2))</f>
        <v/>
      </c>
      <c r="H293" s="15">
        <f>IF($A293="","",MAX($G293,$E293))</f>
        <v/>
      </c>
      <c r="I293" s="15">
        <f>IF($A293="","",IFERROR(SUMIF(tblAnahtarB[NormB],$A293,tblVeriB[TarifTlDesi]),0))</f>
        <v/>
      </c>
      <c r="J293" s="15">
        <f>IF($A293="","",IFERROR(SUMIF(tblAnahtarA[Norm],$A293,tblVeriA[Adet]),1))</f>
        <v/>
      </c>
      <c r="K293" s="15">
        <f>IF($A293="","",ROUND($H293*$I293,2))</f>
        <v/>
      </c>
      <c r="L293" s="15">
        <f>IF($A293="","",ROUND($K293*$J293*(1+$Q293*kdo_iadeEtkiCarpani),2))</f>
        <v/>
      </c>
      <c r="M293" s="15">
        <f>IF($A293="","",IFERROR(SUMIF(tblAnahtarB[NormB],$A293,tblVeriB[AlternatifTarif]),0))</f>
        <v/>
      </c>
      <c r="N293" s="15">
        <f>IF($A293="","",ROUND($H293*$M293*$J293*(1+$Q293*kdo_iadeEtkiCarpani),2))</f>
        <v/>
      </c>
      <c r="O293" s="15">
        <f>IF($A293="","",ROUND($L293-$N293,2))</f>
        <v/>
      </c>
      <c r="P293" s="15">
        <f>IF($A293="","",IF($R293&gt;kdo_esikDesiOran,"DESİ DÜŞÜR",IF($O293&gt;kdo_esikTasarruf,"TAŞIYICI DEĞİŞTİR","UYGUN")))</f>
        <v/>
      </c>
      <c r="Q293" s="15">
        <f>IF($A293="","",IFERROR(SUMIF(tblAnahtarB[NormB],$A293,tblVeriB[IadeOran]),0))</f>
        <v/>
      </c>
      <c r="R293" s="15">
        <f>IF(OR($A293="",$E293=0),0,$G293/$E293)</f>
        <v/>
      </c>
      <c r="S293" s="15">
        <f>IF($A293="","",$G293-$E293)</f>
        <v/>
      </c>
      <c r="T293" s="15">
        <f>IF($A293="","",$L293-$N293)</f>
        <v/>
      </c>
    </row>
    <row r="294">
      <c r="A294" s="15">
        <f>IF('ANAHTAR'!$B294="","",'ANAHTAR'!$B294)</f>
        <v/>
      </c>
      <c r="B294" s="15">
        <f>IF($A294="","",IFERROR(SUMIF(tblAnahtarA[Norm],$A294,tblVeriA[EnCm]),0))</f>
        <v/>
      </c>
      <c r="C294" s="15">
        <f>IF($A294="","",IFERROR(SUMIF(tblAnahtarA[Norm],$A294,tblVeriA[BoyCm]),0))</f>
        <v/>
      </c>
      <c r="D294" s="15">
        <f>IF($A294="","",IFERROR(SUMIF(tblAnahtarA[Norm],$A294,tblVeriA[YukseklikCm]),0))</f>
        <v/>
      </c>
      <c r="E294" s="15">
        <f>IF($A294="","",IFERROR(SUMIF(tblAnahtarA[Norm],$A294,tblVeriA[AgirlikKg]),0))</f>
        <v/>
      </c>
      <c r="F294" s="15">
        <f>IF($A294="","",IFERROR(SUMIF(tblAnahtarA[Norm],$A294,tblVeriA[DesiCarpani]),kdo_varsayilanDesiCarpani))</f>
        <v/>
      </c>
      <c r="G294" s="15">
        <f>IF($A294="","",ROUND($B294*$C294*$D294/MAX($F294,1),2))</f>
        <v/>
      </c>
      <c r="H294" s="15">
        <f>IF($A294="","",MAX($G294,$E294))</f>
        <v/>
      </c>
      <c r="I294" s="15">
        <f>IF($A294="","",IFERROR(SUMIF(tblAnahtarB[NormB],$A294,tblVeriB[TarifTlDesi]),0))</f>
        <v/>
      </c>
      <c r="J294" s="15">
        <f>IF($A294="","",IFERROR(SUMIF(tblAnahtarA[Norm],$A294,tblVeriA[Adet]),1))</f>
        <v/>
      </c>
      <c r="K294" s="15">
        <f>IF($A294="","",ROUND($H294*$I294,2))</f>
        <v/>
      </c>
      <c r="L294" s="15">
        <f>IF($A294="","",ROUND($K294*$J294*(1+$Q294*kdo_iadeEtkiCarpani),2))</f>
        <v/>
      </c>
      <c r="M294" s="15">
        <f>IF($A294="","",IFERROR(SUMIF(tblAnahtarB[NormB],$A294,tblVeriB[AlternatifTarif]),0))</f>
        <v/>
      </c>
      <c r="N294" s="15">
        <f>IF($A294="","",ROUND($H294*$M294*$J294*(1+$Q294*kdo_iadeEtkiCarpani),2))</f>
        <v/>
      </c>
      <c r="O294" s="15">
        <f>IF($A294="","",ROUND($L294-$N294,2))</f>
        <v/>
      </c>
      <c r="P294" s="15">
        <f>IF($A294="","",IF($R294&gt;kdo_esikDesiOran,"DESİ DÜŞÜR",IF($O294&gt;kdo_esikTasarruf,"TAŞIYICI DEĞİŞTİR","UYGUN")))</f>
        <v/>
      </c>
      <c r="Q294" s="15">
        <f>IF($A294="","",IFERROR(SUMIF(tblAnahtarB[NormB],$A294,tblVeriB[IadeOran]),0))</f>
        <v/>
      </c>
      <c r="R294" s="15">
        <f>IF(OR($A294="",$E294=0),0,$G294/$E294)</f>
        <v/>
      </c>
      <c r="S294" s="15">
        <f>IF($A294="","",$G294-$E294)</f>
        <v/>
      </c>
      <c r="T294" s="15">
        <f>IF($A294="","",$L294-$N294)</f>
        <v/>
      </c>
    </row>
    <row r="295">
      <c r="A295" s="15">
        <f>IF('ANAHTAR'!$B295="","",'ANAHTAR'!$B295)</f>
        <v/>
      </c>
      <c r="B295" s="15">
        <f>IF($A295="","",IFERROR(SUMIF(tblAnahtarA[Norm],$A295,tblVeriA[EnCm]),0))</f>
        <v/>
      </c>
      <c r="C295" s="15">
        <f>IF($A295="","",IFERROR(SUMIF(tblAnahtarA[Norm],$A295,tblVeriA[BoyCm]),0))</f>
        <v/>
      </c>
      <c r="D295" s="15">
        <f>IF($A295="","",IFERROR(SUMIF(tblAnahtarA[Norm],$A295,tblVeriA[YukseklikCm]),0))</f>
        <v/>
      </c>
      <c r="E295" s="15">
        <f>IF($A295="","",IFERROR(SUMIF(tblAnahtarA[Norm],$A295,tblVeriA[AgirlikKg]),0))</f>
        <v/>
      </c>
      <c r="F295" s="15">
        <f>IF($A295="","",IFERROR(SUMIF(tblAnahtarA[Norm],$A295,tblVeriA[DesiCarpani]),kdo_varsayilanDesiCarpani))</f>
        <v/>
      </c>
      <c r="G295" s="15">
        <f>IF($A295="","",ROUND($B295*$C295*$D295/MAX($F295,1),2))</f>
        <v/>
      </c>
      <c r="H295" s="15">
        <f>IF($A295="","",MAX($G295,$E295))</f>
        <v/>
      </c>
      <c r="I295" s="15">
        <f>IF($A295="","",IFERROR(SUMIF(tblAnahtarB[NormB],$A295,tblVeriB[TarifTlDesi]),0))</f>
        <v/>
      </c>
      <c r="J295" s="15">
        <f>IF($A295="","",IFERROR(SUMIF(tblAnahtarA[Norm],$A295,tblVeriA[Adet]),1))</f>
        <v/>
      </c>
      <c r="K295" s="15">
        <f>IF($A295="","",ROUND($H295*$I295,2))</f>
        <v/>
      </c>
      <c r="L295" s="15">
        <f>IF($A295="","",ROUND($K295*$J295*(1+$Q295*kdo_iadeEtkiCarpani),2))</f>
        <v/>
      </c>
      <c r="M295" s="15">
        <f>IF($A295="","",IFERROR(SUMIF(tblAnahtarB[NormB],$A295,tblVeriB[AlternatifTarif]),0))</f>
        <v/>
      </c>
      <c r="N295" s="15">
        <f>IF($A295="","",ROUND($H295*$M295*$J295*(1+$Q295*kdo_iadeEtkiCarpani),2))</f>
        <v/>
      </c>
      <c r="O295" s="15">
        <f>IF($A295="","",ROUND($L295-$N295,2))</f>
        <v/>
      </c>
      <c r="P295" s="15">
        <f>IF($A295="","",IF($R295&gt;kdo_esikDesiOran,"DESİ DÜŞÜR",IF($O295&gt;kdo_esikTasarruf,"TAŞIYICI DEĞİŞTİR","UYGUN")))</f>
        <v/>
      </c>
      <c r="Q295" s="15">
        <f>IF($A295="","",IFERROR(SUMIF(tblAnahtarB[NormB],$A295,tblVeriB[IadeOran]),0))</f>
        <v/>
      </c>
      <c r="R295" s="15">
        <f>IF(OR($A295="",$E295=0),0,$G295/$E295)</f>
        <v/>
      </c>
      <c r="S295" s="15">
        <f>IF($A295="","",$G295-$E295)</f>
        <v/>
      </c>
      <c r="T295" s="15">
        <f>IF($A295="","",$L295-$N295)</f>
        <v/>
      </c>
    </row>
    <row r="296">
      <c r="A296" s="15">
        <f>IF('ANAHTAR'!$B296="","",'ANAHTAR'!$B296)</f>
        <v/>
      </c>
      <c r="B296" s="15">
        <f>IF($A296="","",IFERROR(SUMIF(tblAnahtarA[Norm],$A296,tblVeriA[EnCm]),0))</f>
        <v/>
      </c>
      <c r="C296" s="15">
        <f>IF($A296="","",IFERROR(SUMIF(tblAnahtarA[Norm],$A296,tblVeriA[BoyCm]),0))</f>
        <v/>
      </c>
      <c r="D296" s="15">
        <f>IF($A296="","",IFERROR(SUMIF(tblAnahtarA[Norm],$A296,tblVeriA[YukseklikCm]),0))</f>
        <v/>
      </c>
      <c r="E296" s="15">
        <f>IF($A296="","",IFERROR(SUMIF(tblAnahtarA[Norm],$A296,tblVeriA[AgirlikKg]),0))</f>
        <v/>
      </c>
      <c r="F296" s="15">
        <f>IF($A296="","",IFERROR(SUMIF(tblAnahtarA[Norm],$A296,tblVeriA[DesiCarpani]),kdo_varsayilanDesiCarpani))</f>
        <v/>
      </c>
      <c r="G296" s="15">
        <f>IF($A296="","",ROUND($B296*$C296*$D296/MAX($F296,1),2))</f>
        <v/>
      </c>
      <c r="H296" s="15">
        <f>IF($A296="","",MAX($G296,$E296))</f>
        <v/>
      </c>
      <c r="I296" s="15">
        <f>IF($A296="","",IFERROR(SUMIF(tblAnahtarB[NormB],$A296,tblVeriB[TarifTlDesi]),0))</f>
        <v/>
      </c>
      <c r="J296" s="15">
        <f>IF($A296="","",IFERROR(SUMIF(tblAnahtarA[Norm],$A296,tblVeriA[Adet]),1))</f>
        <v/>
      </c>
      <c r="K296" s="15">
        <f>IF($A296="","",ROUND($H296*$I296,2))</f>
        <v/>
      </c>
      <c r="L296" s="15">
        <f>IF($A296="","",ROUND($K296*$J296*(1+$Q296*kdo_iadeEtkiCarpani),2))</f>
        <v/>
      </c>
      <c r="M296" s="15">
        <f>IF($A296="","",IFERROR(SUMIF(tblAnahtarB[NormB],$A296,tblVeriB[AlternatifTarif]),0))</f>
        <v/>
      </c>
      <c r="N296" s="15">
        <f>IF($A296="","",ROUND($H296*$M296*$J296*(1+$Q296*kdo_iadeEtkiCarpani),2))</f>
        <v/>
      </c>
      <c r="O296" s="15">
        <f>IF($A296="","",ROUND($L296-$N296,2))</f>
        <v/>
      </c>
      <c r="P296" s="15">
        <f>IF($A296="","",IF($R296&gt;kdo_esikDesiOran,"DESİ DÜŞÜR",IF($O296&gt;kdo_esikTasarruf,"TAŞIYICI DEĞİŞTİR","UYGUN")))</f>
        <v/>
      </c>
      <c r="Q296" s="15">
        <f>IF($A296="","",IFERROR(SUMIF(tblAnahtarB[NormB],$A296,tblVeriB[IadeOran]),0))</f>
        <v/>
      </c>
      <c r="R296" s="15">
        <f>IF(OR($A296="",$E296=0),0,$G296/$E296)</f>
        <v/>
      </c>
      <c r="S296" s="15">
        <f>IF($A296="","",$G296-$E296)</f>
        <v/>
      </c>
      <c r="T296" s="15">
        <f>IF($A296="","",$L296-$N296)</f>
        <v/>
      </c>
    </row>
    <row r="297">
      <c r="A297" s="15">
        <f>IF('ANAHTAR'!$B297="","",'ANAHTAR'!$B297)</f>
        <v/>
      </c>
      <c r="B297" s="15">
        <f>IF($A297="","",IFERROR(SUMIF(tblAnahtarA[Norm],$A297,tblVeriA[EnCm]),0))</f>
        <v/>
      </c>
      <c r="C297" s="15">
        <f>IF($A297="","",IFERROR(SUMIF(tblAnahtarA[Norm],$A297,tblVeriA[BoyCm]),0))</f>
        <v/>
      </c>
      <c r="D297" s="15">
        <f>IF($A297="","",IFERROR(SUMIF(tblAnahtarA[Norm],$A297,tblVeriA[YukseklikCm]),0))</f>
        <v/>
      </c>
      <c r="E297" s="15">
        <f>IF($A297="","",IFERROR(SUMIF(tblAnahtarA[Norm],$A297,tblVeriA[AgirlikKg]),0))</f>
        <v/>
      </c>
      <c r="F297" s="15">
        <f>IF($A297="","",IFERROR(SUMIF(tblAnahtarA[Norm],$A297,tblVeriA[DesiCarpani]),kdo_varsayilanDesiCarpani))</f>
        <v/>
      </c>
      <c r="G297" s="15">
        <f>IF($A297="","",ROUND($B297*$C297*$D297/MAX($F297,1),2))</f>
        <v/>
      </c>
      <c r="H297" s="15">
        <f>IF($A297="","",MAX($G297,$E297))</f>
        <v/>
      </c>
      <c r="I297" s="15">
        <f>IF($A297="","",IFERROR(SUMIF(tblAnahtarB[NormB],$A297,tblVeriB[TarifTlDesi]),0))</f>
        <v/>
      </c>
      <c r="J297" s="15">
        <f>IF($A297="","",IFERROR(SUMIF(tblAnahtarA[Norm],$A297,tblVeriA[Adet]),1))</f>
        <v/>
      </c>
      <c r="K297" s="15">
        <f>IF($A297="","",ROUND($H297*$I297,2))</f>
        <v/>
      </c>
      <c r="L297" s="15">
        <f>IF($A297="","",ROUND($K297*$J297*(1+$Q297*kdo_iadeEtkiCarpani),2))</f>
        <v/>
      </c>
      <c r="M297" s="15">
        <f>IF($A297="","",IFERROR(SUMIF(tblAnahtarB[NormB],$A297,tblVeriB[AlternatifTarif]),0))</f>
        <v/>
      </c>
      <c r="N297" s="15">
        <f>IF($A297="","",ROUND($H297*$M297*$J297*(1+$Q297*kdo_iadeEtkiCarpani),2))</f>
        <v/>
      </c>
      <c r="O297" s="15">
        <f>IF($A297="","",ROUND($L297-$N297,2))</f>
        <v/>
      </c>
      <c r="P297" s="15">
        <f>IF($A297="","",IF($R297&gt;kdo_esikDesiOran,"DESİ DÜŞÜR",IF($O297&gt;kdo_esikTasarruf,"TAŞIYICI DEĞİŞTİR","UYGUN")))</f>
        <v/>
      </c>
      <c r="Q297" s="15">
        <f>IF($A297="","",IFERROR(SUMIF(tblAnahtarB[NormB],$A297,tblVeriB[IadeOran]),0))</f>
        <v/>
      </c>
      <c r="R297" s="15">
        <f>IF(OR($A297="",$E297=0),0,$G297/$E297)</f>
        <v/>
      </c>
      <c r="S297" s="15">
        <f>IF($A297="","",$G297-$E297)</f>
        <v/>
      </c>
      <c r="T297" s="15">
        <f>IF($A297="","",$L297-$N297)</f>
        <v/>
      </c>
    </row>
    <row r="298">
      <c r="A298" s="15">
        <f>IF('ANAHTAR'!$B298="","",'ANAHTAR'!$B298)</f>
        <v/>
      </c>
      <c r="B298" s="15">
        <f>IF($A298="","",IFERROR(SUMIF(tblAnahtarA[Norm],$A298,tblVeriA[EnCm]),0))</f>
        <v/>
      </c>
      <c r="C298" s="15">
        <f>IF($A298="","",IFERROR(SUMIF(tblAnahtarA[Norm],$A298,tblVeriA[BoyCm]),0))</f>
        <v/>
      </c>
      <c r="D298" s="15">
        <f>IF($A298="","",IFERROR(SUMIF(tblAnahtarA[Norm],$A298,tblVeriA[YukseklikCm]),0))</f>
        <v/>
      </c>
      <c r="E298" s="15">
        <f>IF($A298="","",IFERROR(SUMIF(tblAnahtarA[Norm],$A298,tblVeriA[AgirlikKg]),0))</f>
        <v/>
      </c>
      <c r="F298" s="15">
        <f>IF($A298="","",IFERROR(SUMIF(tblAnahtarA[Norm],$A298,tblVeriA[DesiCarpani]),kdo_varsayilanDesiCarpani))</f>
        <v/>
      </c>
      <c r="G298" s="15">
        <f>IF($A298="","",ROUND($B298*$C298*$D298/MAX($F298,1),2))</f>
        <v/>
      </c>
      <c r="H298" s="15">
        <f>IF($A298="","",MAX($G298,$E298))</f>
        <v/>
      </c>
      <c r="I298" s="15">
        <f>IF($A298="","",IFERROR(SUMIF(tblAnahtarB[NormB],$A298,tblVeriB[TarifTlDesi]),0))</f>
        <v/>
      </c>
      <c r="J298" s="15">
        <f>IF($A298="","",IFERROR(SUMIF(tblAnahtarA[Norm],$A298,tblVeriA[Adet]),1))</f>
        <v/>
      </c>
      <c r="K298" s="15">
        <f>IF($A298="","",ROUND($H298*$I298,2))</f>
        <v/>
      </c>
      <c r="L298" s="15">
        <f>IF($A298="","",ROUND($K298*$J298*(1+$Q298*kdo_iadeEtkiCarpani),2))</f>
        <v/>
      </c>
      <c r="M298" s="15">
        <f>IF($A298="","",IFERROR(SUMIF(tblAnahtarB[NormB],$A298,tblVeriB[AlternatifTarif]),0))</f>
        <v/>
      </c>
      <c r="N298" s="15">
        <f>IF($A298="","",ROUND($H298*$M298*$J298*(1+$Q298*kdo_iadeEtkiCarpani),2))</f>
        <v/>
      </c>
      <c r="O298" s="15">
        <f>IF($A298="","",ROUND($L298-$N298,2))</f>
        <v/>
      </c>
      <c r="P298" s="15">
        <f>IF($A298="","",IF($R298&gt;kdo_esikDesiOran,"DESİ DÜŞÜR",IF($O298&gt;kdo_esikTasarruf,"TAŞIYICI DEĞİŞTİR","UYGUN")))</f>
        <v/>
      </c>
      <c r="Q298" s="15">
        <f>IF($A298="","",IFERROR(SUMIF(tblAnahtarB[NormB],$A298,tblVeriB[IadeOran]),0))</f>
        <v/>
      </c>
      <c r="R298" s="15">
        <f>IF(OR($A298="",$E298=0),0,$G298/$E298)</f>
        <v/>
      </c>
      <c r="S298" s="15">
        <f>IF($A298="","",$G298-$E298)</f>
        <v/>
      </c>
      <c r="T298" s="15">
        <f>IF($A298="","",$L298-$N298)</f>
        <v/>
      </c>
    </row>
    <row r="299">
      <c r="A299" s="15">
        <f>IF('ANAHTAR'!$B299="","",'ANAHTAR'!$B299)</f>
        <v/>
      </c>
      <c r="B299" s="15">
        <f>IF($A299="","",IFERROR(SUMIF(tblAnahtarA[Norm],$A299,tblVeriA[EnCm]),0))</f>
        <v/>
      </c>
      <c r="C299" s="15">
        <f>IF($A299="","",IFERROR(SUMIF(tblAnahtarA[Norm],$A299,tblVeriA[BoyCm]),0))</f>
        <v/>
      </c>
      <c r="D299" s="15">
        <f>IF($A299="","",IFERROR(SUMIF(tblAnahtarA[Norm],$A299,tblVeriA[YukseklikCm]),0))</f>
        <v/>
      </c>
      <c r="E299" s="15">
        <f>IF($A299="","",IFERROR(SUMIF(tblAnahtarA[Norm],$A299,tblVeriA[AgirlikKg]),0))</f>
        <v/>
      </c>
      <c r="F299" s="15">
        <f>IF($A299="","",IFERROR(SUMIF(tblAnahtarA[Norm],$A299,tblVeriA[DesiCarpani]),kdo_varsayilanDesiCarpani))</f>
        <v/>
      </c>
      <c r="G299" s="15">
        <f>IF($A299="","",ROUND($B299*$C299*$D299/MAX($F299,1),2))</f>
        <v/>
      </c>
      <c r="H299" s="15">
        <f>IF($A299="","",MAX($G299,$E299))</f>
        <v/>
      </c>
      <c r="I299" s="15">
        <f>IF($A299="","",IFERROR(SUMIF(tblAnahtarB[NormB],$A299,tblVeriB[TarifTlDesi]),0))</f>
        <v/>
      </c>
      <c r="J299" s="15">
        <f>IF($A299="","",IFERROR(SUMIF(tblAnahtarA[Norm],$A299,tblVeriA[Adet]),1))</f>
        <v/>
      </c>
      <c r="K299" s="15">
        <f>IF($A299="","",ROUND($H299*$I299,2))</f>
        <v/>
      </c>
      <c r="L299" s="15">
        <f>IF($A299="","",ROUND($K299*$J299*(1+$Q299*kdo_iadeEtkiCarpani),2))</f>
        <v/>
      </c>
      <c r="M299" s="15">
        <f>IF($A299="","",IFERROR(SUMIF(tblAnahtarB[NormB],$A299,tblVeriB[AlternatifTarif]),0))</f>
        <v/>
      </c>
      <c r="N299" s="15">
        <f>IF($A299="","",ROUND($H299*$M299*$J299*(1+$Q299*kdo_iadeEtkiCarpani),2))</f>
        <v/>
      </c>
      <c r="O299" s="15">
        <f>IF($A299="","",ROUND($L299-$N299,2))</f>
        <v/>
      </c>
      <c r="P299" s="15">
        <f>IF($A299="","",IF($R299&gt;kdo_esikDesiOran,"DESİ DÜŞÜR",IF($O299&gt;kdo_esikTasarruf,"TAŞIYICI DEĞİŞTİR","UYGUN")))</f>
        <v/>
      </c>
      <c r="Q299" s="15">
        <f>IF($A299="","",IFERROR(SUMIF(tblAnahtarB[NormB],$A299,tblVeriB[IadeOran]),0))</f>
        <v/>
      </c>
      <c r="R299" s="15">
        <f>IF(OR($A299="",$E299=0),0,$G299/$E299)</f>
        <v/>
      </c>
      <c r="S299" s="15">
        <f>IF($A299="","",$G299-$E299)</f>
        <v/>
      </c>
      <c r="T299" s="15">
        <f>IF($A299="","",$L299-$N299)</f>
        <v/>
      </c>
    </row>
    <row r="300">
      <c r="A300" s="15">
        <f>IF('ANAHTAR'!$B300="","",'ANAHTAR'!$B300)</f>
        <v/>
      </c>
      <c r="B300" s="15">
        <f>IF($A300="","",IFERROR(SUMIF(tblAnahtarA[Norm],$A300,tblVeriA[EnCm]),0))</f>
        <v/>
      </c>
      <c r="C300" s="15">
        <f>IF($A300="","",IFERROR(SUMIF(tblAnahtarA[Norm],$A300,tblVeriA[BoyCm]),0))</f>
        <v/>
      </c>
      <c r="D300" s="15">
        <f>IF($A300="","",IFERROR(SUMIF(tblAnahtarA[Norm],$A300,tblVeriA[YukseklikCm]),0))</f>
        <v/>
      </c>
      <c r="E300" s="15">
        <f>IF($A300="","",IFERROR(SUMIF(tblAnahtarA[Norm],$A300,tblVeriA[AgirlikKg]),0))</f>
        <v/>
      </c>
      <c r="F300" s="15">
        <f>IF($A300="","",IFERROR(SUMIF(tblAnahtarA[Norm],$A300,tblVeriA[DesiCarpani]),kdo_varsayilanDesiCarpani))</f>
        <v/>
      </c>
      <c r="G300" s="15">
        <f>IF($A300="","",ROUND($B300*$C300*$D300/MAX($F300,1),2))</f>
        <v/>
      </c>
      <c r="H300" s="15">
        <f>IF($A300="","",MAX($G300,$E300))</f>
        <v/>
      </c>
      <c r="I300" s="15">
        <f>IF($A300="","",IFERROR(SUMIF(tblAnahtarB[NormB],$A300,tblVeriB[TarifTlDesi]),0))</f>
        <v/>
      </c>
      <c r="J300" s="15">
        <f>IF($A300="","",IFERROR(SUMIF(tblAnahtarA[Norm],$A300,tblVeriA[Adet]),1))</f>
        <v/>
      </c>
      <c r="K300" s="15">
        <f>IF($A300="","",ROUND($H300*$I300,2))</f>
        <v/>
      </c>
      <c r="L300" s="15">
        <f>IF($A300="","",ROUND($K300*$J300*(1+$Q300*kdo_iadeEtkiCarpani),2))</f>
        <v/>
      </c>
      <c r="M300" s="15">
        <f>IF($A300="","",IFERROR(SUMIF(tblAnahtarB[NormB],$A300,tblVeriB[AlternatifTarif]),0))</f>
        <v/>
      </c>
      <c r="N300" s="15">
        <f>IF($A300="","",ROUND($H300*$M300*$J300*(1+$Q300*kdo_iadeEtkiCarpani),2))</f>
        <v/>
      </c>
      <c r="O300" s="15">
        <f>IF($A300="","",ROUND($L300-$N300,2))</f>
        <v/>
      </c>
      <c r="P300" s="15">
        <f>IF($A300="","",IF($R300&gt;kdo_esikDesiOran,"DESİ DÜŞÜR",IF($O300&gt;kdo_esikTasarruf,"TAŞIYICI DEĞİŞTİR","UYGUN")))</f>
        <v/>
      </c>
      <c r="Q300" s="15">
        <f>IF($A300="","",IFERROR(SUMIF(tblAnahtarB[NormB],$A300,tblVeriB[IadeOran]),0))</f>
        <v/>
      </c>
      <c r="R300" s="15">
        <f>IF(OR($A300="",$E300=0),0,$G300/$E300)</f>
        <v/>
      </c>
      <c r="S300" s="15">
        <f>IF($A300="","",$G300-$E300)</f>
        <v/>
      </c>
      <c r="T300" s="15">
        <f>IF($A300="","",$L300-$N300)</f>
        <v/>
      </c>
    </row>
    <row r="301">
      <c r="A301" s="15">
        <f>IF('ANAHTAR'!$B301="","",'ANAHTAR'!$B301)</f>
        <v/>
      </c>
      <c r="B301" s="15">
        <f>IF($A301="","",IFERROR(SUMIF(tblAnahtarA[Norm],$A301,tblVeriA[EnCm]),0))</f>
        <v/>
      </c>
      <c r="C301" s="15">
        <f>IF($A301="","",IFERROR(SUMIF(tblAnahtarA[Norm],$A301,tblVeriA[BoyCm]),0))</f>
        <v/>
      </c>
      <c r="D301" s="15">
        <f>IF($A301="","",IFERROR(SUMIF(tblAnahtarA[Norm],$A301,tblVeriA[YukseklikCm]),0))</f>
        <v/>
      </c>
      <c r="E301" s="15">
        <f>IF($A301="","",IFERROR(SUMIF(tblAnahtarA[Norm],$A301,tblVeriA[AgirlikKg]),0))</f>
        <v/>
      </c>
      <c r="F301" s="15">
        <f>IF($A301="","",IFERROR(SUMIF(tblAnahtarA[Norm],$A301,tblVeriA[DesiCarpani]),kdo_varsayilanDesiCarpani))</f>
        <v/>
      </c>
      <c r="G301" s="15">
        <f>IF($A301="","",ROUND($B301*$C301*$D301/MAX($F301,1),2))</f>
        <v/>
      </c>
      <c r="H301" s="15">
        <f>IF($A301="","",MAX($G301,$E301))</f>
        <v/>
      </c>
      <c r="I301" s="15">
        <f>IF($A301="","",IFERROR(SUMIF(tblAnahtarB[NormB],$A301,tblVeriB[TarifTlDesi]),0))</f>
        <v/>
      </c>
      <c r="J301" s="15">
        <f>IF($A301="","",IFERROR(SUMIF(tblAnahtarA[Norm],$A301,tblVeriA[Adet]),1))</f>
        <v/>
      </c>
      <c r="K301" s="15">
        <f>IF($A301="","",ROUND($H301*$I301,2))</f>
        <v/>
      </c>
      <c r="L301" s="15">
        <f>IF($A301="","",ROUND($K301*$J301*(1+$Q301*kdo_iadeEtkiCarpani),2))</f>
        <v/>
      </c>
      <c r="M301" s="15">
        <f>IF($A301="","",IFERROR(SUMIF(tblAnahtarB[NormB],$A301,tblVeriB[AlternatifTarif]),0))</f>
        <v/>
      </c>
      <c r="N301" s="15">
        <f>IF($A301="","",ROUND($H301*$M301*$J301*(1+$Q301*kdo_iadeEtkiCarpani),2))</f>
        <v/>
      </c>
      <c r="O301" s="15">
        <f>IF($A301="","",ROUND($L301-$N301,2))</f>
        <v/>
      </c>
      <c r="P301" s="15">
        <f>IF($A301="","",IF($R301&gt;kdo_esikDesiOran,"DESİ DÜŞÜR",IF($O301&gt;kdo_esikTasarruf,"TAŞIYICI DEĞİŞTİR","UYGUN")))</f>
        <v/>
      </c>
      <c r="Q301" s="15">
        <f>IF($A301="","",IFERROR(SUMIF(tblAnahtarB[NormB],$A301,tblVeriB[IadeOran]),0))</f>
        <v/>
      </c>
      <c r="R301" s="15">
        <f>IF(OR($A301="",$E301=0),0,$G301/$E301)</f>
        <v/>
      </c>
      <c r="S301" s="15">
        <f>IF($A301="","",$G301-$E301)</f>
        <v/>
      </c>
      <c r="T301" s="15">
        <f>IF($A301="","",$L301-$N301)</f>
        <v/>
      </c>
    </row>
    <row r="302">
      <c r="A302" s="15">
        <f>IF('ANAHTAR'!$B302="","",'ANAHTAR'!$B302)</f>
        <v/>
      </c>
      <c r="B302" s="15">
        <f>IF($A302="","",IFERROR(SUMIF(tblAnahtarA[Norm],$A302,tblVeriA[EnCm]),0))</f>
        <v/>
      </c>
      <c r="C302" s="15">
        <f>IF($A302="","",IFERROR(SUMIF(tblAnahtarA[Norm],$A302,tblVeriA[BoyCm]),0))</f>
        <v/>
      </c>
      <c r="D302" s="15">
        <f>IF($A302="","",IFERROR(SUMIF(tblAnahtarA[Norm],$A302,tblVeriA[YukseklikCm]),0))</f>
        <v/>
      </c>
      <c r="E302" s="15">
        <f>IF($A302="","",IFERROR(SUMIF(tblAnahtarA[Norm],$A302,tblVeriA[AgirlikKg]),0))</f>
        <v/>
      </c>
      <c r="F302" s="15">
        <f>IF($A302="","",IFERROR(SUMIF(tblAnahtarA[Norm],$A302,tblVeriA[DesiCarpani]),kdo_varsayilanDesiCarpani))</f>
        <v/>
      </c>
      <c r="G302" s="15">
        <f>IF($A302="","",ROUND($B302*$C302*$D302/MAX($F302,1),2))</f>
        <v/>
      </c>
      <c r="H302" s="15">
        <f>IF($A302="","",MAX($G302,$E302))</f>
        <v/>
      </c>
      <c r="I302" s="15">
        <f>IF($A302="","",IFERROR(SUMIF(tblAnahtarB[NormB],$A302,tblVeriB[TarifTlDesi]),0))</f>
        <v/>
      </c>
      <c r="J302" s="15">
        <f>IF($A302="","",IFERROR(SUMIF(tblAnahtarA[Norm],$A302,tblVeriA[Adet]),1))</f>
        <v/>
      </c>
      <c r="K302" s="15">
        <f>IF($A302="","",ROUND($H302*$I302,2))</f>
        <v/>
      </c>
      <c r="L302" s="15">
        <f>IF($A302="","",ROUND($K302*$J302*(1+$Q302*kdo_iadeEtkiCarpani),2))</f>
        <v/>
      </c>
      <c r="M302" s="15">
        <f>IF($A302="","",IFERROR(SUMIF(tblAnahtarB[NormB],$A302,tblVeriB[AlternatifTarif]),0))</f>
        <v/>
      </c>
      <c r="N302" s="15">
        <f>IF($A302="","",ROUND($H302*$M302*$J302*(1+$Q302*kdo_iadeEtkiCarpani),2))</f>
        <v/>
      </c>
      <c r="O302" s="15">
        <f>IF($A302="","",ROUND($L302-$N302,2))</f>
        <v/>
      </c>
      <c r="P302" s="15">
        <f>IF($A302="","",IF($R302&gt;kdo_esikDesiOran,"DESİ DÜŞÜR",IF($O302&gt;kdo_esikTasarruf,"TAŞIYICI DEĞİŞTİR","UYGUN")))</f>
        <v/>
      </c>
      <c r="Q302" s="15">
        <f>IF($A302="","",IFERROR(SUMIF(tblAnahtarB[NormB],$A302,tblVeriB[IadeOran]),0))</f>
        <v/>
      </c>
      <c r="R302" s="15">
        <f>IF(OR($A302="",$E302=0),0,$G302/$E302)</f>
        <v/>
      </c>
      <c r="S302" s="15">
        <f>IF($A302="","",$G302-$E302)</f>
        <v/>
      </c>
      <c r="T302" s="15">
        <f>IF($A302="","",$L302-$N302)</f>
        <v/>
      </c>
    </row>
    <row r="303">
      <c r="A303" s="15">
        <f>IF('ANAHTAR'!$B303="","",'ANAHTAR'!$B303)</f>
        <v/>
      </c>
      <c r="B303" s="15">
        <f>IF($A303="","",IFERROR(SUMIF(tblAnahtarA[Norm],$A303,tblVeriA[EnCm]),0))</f>
        <v/>
      </c>
      <c r="C303" s="15">
        <f>IF($A303="","",IFERROR(SUMIF(tblAnahtarA[Norm],$A303,tblVeriA[BoyCm]),0))</f>
        <v/>
      </c>
      <c r="D303" s="15">
        <f>IF($A303="","",IFERROR(SUMIF(tblAnahtarA[Norm],$A303,tblVeriA[YukseklikCm]),0))</f>
        <v/>
      </c>
      <c r="E303" s="15">
        <f>IF($A303="","",IFERROR(SUMIF(tblAnahtarA[Norm],$A303,tblVeriA[AgirlikKg]),0))</f>
        <v/>
      </c>
      <c r="F303" s="15">
        <f>IF($A303="","",IFERROR(SUMIF(tblAnahtarA[Norm],$A303,tblVeriA[DesiCarpani]),kdo_varsayilanDesiCarpani))</f>
        <v/>
      </c>
      <c r="G303" s="15">
        <f>IF($A303="","",ROUND($B303*$C303*$D303/MAX($F303,1),2))</f>
        <v/>
      </c>
      <c r="H303" s="15">
        <f>IF($A303="","",MAX($G303,$E303))</f>
        <v/>
      </c>
      <c r="I303" s="15">
        <f>IF($A303="","",IFERROR(SUMIF(tblAnahtarB[NormB],$A303,tblVeriB[TarifTlDesi]),0))</f>
        <v/>
      </c>
      <c r="J303" s="15">
        <f>IF($A303="","",IFERROR(SUMIF(tblAnahtarA[Norm],$A303,tblVeriA[Adet]),1))</f>
        <v/>
      </c>
      <c r="K303" s="15">
        <f>IF($A303="","",ROUND($H303*$I303,2))</f>
        <v/>
      </c>
      <c r="L303" s="15">
        <f>IF($A303="","",ROUND($K303*$J303*(1+$Q303*kdo_iadeEtkiCarpani),2))</f>
        <v/>
      </c>
      <c r="M303" s="15">
        <f>IF($A303="","",IFERROR(SUMIF(tblAnahtarB[NormB],$A303,tblVeriB[AlternatifTarif]),0))</f>
        <v/>
      </c>
      <c r="N303" s="15">
        <f>IF($A303="","",ROUND($H303*$M303*$J303*(1+$Q303*kdo_iadeEtkiCarpani),2))</f>
        <v/>
      </c>
      <c r="O303" s="15">
        <f>IF($A303="","",ROUND($L303-$N303,2))</f>
        <v/>
      </c>
      <c r="P303" s="15">
        <f>IF($A303="","",IF($R303&gt;kdo_esikDesiOran,"DESİ DÜŞÜR",IF($O303&gt;kdo_esikTasarruf,"TAŞIYICI DEĞİŞTİR","UYGUN")))</f>
        <v/>
      </c>
      <c r="Q303" s="15">
        <f>IF($A303="","",IFERROR(SUMIF(tblAnahtarB[NormB],$A303,tblVeriB[IadeOran]),0))</f>
        <v/>
      </c>
      <c r="R303" s="15">
        <f>IF(OR($A303="",$E303=0),0,$G303/$E303)</f>
        <v/>
      </c>
      <c r="S303" s="15">
        <f>IF($A303="","",$G303-$E303)</f>
        <v/>
      </c>
      <c r="T303" s="15">
        <f>IF($A303="","",$L303-$N303)</f>
        <v/>
      </c>
    </row>
    <row r="304">
      <c r="A304" s="15">
        <f>IF('ANAHTAR'!$B304="","",'ANAHTAR'!$B304)</f>
        <v/>
      </c>
      <c r="B304" s="15">
        <f>IF($A304="","",IFERROR(SUMIF(tblAnahtarA[Norm],$A304,tblVeriA[EnCm]),0))</f>
        <v/>
      </c>
      <c r="C304" s="15">
        <f>IF($A304="","",IFERROR(SUMIF(tblAnahtarA[Norm],$A304,tblVeriA[BoyCm]),0))</f>
        <v/>
      </c>
      <c r="D304" s="15">
        <f>IF($A304="","",IFERROR(SUMIF(tblAnahtarA[Norm],$A304,tblVeriA[YukseklikCm]),0))</f>
        <v/>
      </c>
      <c r="E304" s="15">
        <f>IF($A304="","",IFERROR(SUMIF(tblAnahtarA[Norm],$A304,tblVeriA[AgirlikKg]),0))</f>
        <v/>
      </c>
      <c r="F304" s="15">
        <f>IF($A304="","",IFERROR(SUMIF(tblAnahtarA[Norm],$A304,tblVeriA[DesiCarpani]),kdo_varsayilanDesiCarpani))</f>
        <v/>
      </c>
      <c r="G304" s="15">
        <f>IF($A304="","",ROUND($B304*$C304*$D304/MAX($F304,1),2))</f>
        <v/>
      </c>
      <c r="H304" s="15">
        <f>IF($A304="","",MAX($G304,$E304))</f>
        <v/>
      </c>
      <c r="I304" s="15">
        <f>IF($A304="","",IFERROR(SUMIF(tblAnahtarB[NormB],$A304,tblVeriB[TarifTlDesi]),0))</f>
        <v/>
      </c>
      <c r="J304" s="15">
        <f>IF($A304="","",IFERROR(SUMIF(tblAnahtarA[Norm],$A304,tblVeriA[Adet]),1))</f>
        <v/>
      </c>
      <c r="K304" s="15">
        <f>IF($A304="","",ROUND($H304*$I304,2))</f>
        <v/>
      </c>
      <c r="L304" s="15">
        <f>IF($A304="","",ROUND($K304*$J304*(1+$Q304*kdo_iadeEtkiCarpani),2))</f>
        <v/>
      </c>
      <c r="M304" s="15">
        <f>IF($A304="","",IFERROR(SUMIF(tblAnahtarB[NormB],$A304,tblVeriB[AlternatifTarif]),0))</f>
        <v/>
      </c>
      <c r="N304" s="15">
        <f>IF($A304="","",ROUND($H304*$M304*$J304*(1+$Q304*kdo_iadeEtkiCarpani),2))</f>
        <v/>
      </c>
      <c r="O304" s="15">
        <f>IF($A304="","",ROUND($L304-$N304,2))</f>
        <v/>
      </c>
      <c r="P304" s="15">
        <f>IF($A304="","",IF($R304&gt;kdo_esikDesiOran,"DESİ DÜŞÜR",IF($O304&gt;kdo_esikTasarruf,"TAŞIYICI DEĞİŞTİR","UYGUN")))</f>
        <v/>
      </c>
      <c r="Q304" s="15">
        <f>IF($A304="","",IFERROR(SUMIF(tblAnahtarB[NormB],$A304,tblVeriB[IadeOran]),0))</f>
        <v/>
      </c>
      <c r="R304" s="15">
        <f>IF(OR($A304="",$E304=0),0,$G304/$E304)</f>
        <v/>
      </c>
      <c r="S304" s="15">
        <f>IF($A304="","",$G304-$E304)</f>
        <v/>
      </c>
      <c r="T304" s="15">
        <f>IF($A304="","",$L304-$N304)</f>
        <v/>
      </c>
    </row>
    <row r="305">
      <c r="A305" s="15">
        <f>IF('ANAHTAR'!$B305="","",'ANAHTAR'!$B305)</f>
        <v/>
      </c>
      <c r="B305" s="15">
        <f>IF($A305="","",IFERROR(SUMIF(tblAnahtarA[Norm],$A305,tblVeriA[EnCm]),0))</f>
        <v/>
      </c>
      <c r="C305" s="15">
        <f>IF($A305="","",IFERROR(SUMIF(tblAnahtarA[Norm],$A305,tblVeriA[BoyCm]),0))</f>
        <v/>
      </c>
      <c r="D305" s="15">
        <f>IF($A305="","",IFERROR(SUMIF(tblAnahtarA[Norm],$A305,tblVeriA[YukseklikCm]),0))</f>
        <v/>
      </c>
      <c r="E305" s="15">
        <f>IF($A305="","",IFERROR(SUMIF(tblAnahtarA[Norm],$A305,tblVeriA[AgirlikKg]),0))</f>
        <v/>
      </c>
      <c r="F305" s="15">
        <f>IF($A305="","",IFERROR(SUMIF(tblAnahtarA[Norm],$A305,tblVeriA[DesiCarpani]),kdo_varsayilanDesiCarpani))</f>
        <v/>
      </c>
      <c r="G305" s="15">
        <f>IF($A305="","",ROUND($B305*$C305*$D305/MAX($F305,1),2))</f>
        <v/>
      </c>
      <c r="H305" s="15">
        <f>IF($A305="","",MAX($G305,$E305))</f>
        <v/>
      </c>
      <c r="I305" s="15">
        <f>IF($A305="","",IFERROR(SUMIF(tblAnahtarB[NormB],$A305,tblVeriB[TarifTlDesi]),0))</f>
        <v/>
      </c>
      <c r="J305" s="15">
        <f>IF($A305="","",IFERROR(SUMIF(tblAnahtarA[Norm],$A305,tblVeriA[Adet]),1))</f>
        <v/>
      </c>
      <c r="K305" s="15">
        <f>IF($A305="","",ROUND($H305*$I305,2))</f>
        <v/>
      </c>
      <c r="L305" s="15">
        <f>IF($A305="","",ROUND($K305*$J305*(1+$Q305*kdo_iadeEtkiCarpani),2))</f>
        <v/>
      </c>
      <c r="M305" s="15">
        <f>IF($A305="","",IFERROR(SUMIF(tblAnahtarB[NormB],$A305,tblVeriB[AlternatifTarif]),0))</f>
        <v/>
      </c>
      <c r="N305" s="15">
        <f>IF($A305="","",ROUND($H305*$M305*$J305*(1+$Q305*kdo_iadeEtkiCarpani),2))</f>
        <v/>
      </c>
      <c r="O305" s="15">
        <f>IF($A305="","",ROUND($L305-$N305,2))</f>
        <v/>
      </c>
      <c r="P305" s="15">
        <f>IF($A305="","",IF($R305&gt;kdo_esikDesiOran,"DESİ DÜŞÜR",IF($O305&gt;kdo_esikTasarruf,"TAŞIYICI DEĞİŞTİR","UYGUN")))</f>
        <v/>
      </c>
      <c r="Q305" s="15">
        <f>IF($A305="","",IFERROR(SUMIF(tblAnahtarB[NormB],$A305,tblVeriB[IadeOran]),0))</f>
        <v/>
      </c>
      <c r="R305" s="15">
        <f>IF(OR($A305="",$E305=0),0,$G305/$E305)</f>
        <v/>
      </c>
      <c r="S305" s="15">
        <f>IF($A305="","",$G305-$E305)</f>
        <v/>
      </c>
      <c r="T305" s="15">
        <f>IF($A305="","",$L305-$N305)</f>
        <v/>
      </c>
    </row>
    <row r="306">
      <c r="A306" s="15">
        <f>IF('ANAHTAR'!$B306="","",'ANAHTAR'!$B306)</f>
        <v/>
      </c>
      <c r="B306" s="15">
        <f>IF($A306="","",IFERROR(SUMIF(tblAnahtarA[Norm],$A306,tblVeriA[EnCm]),0))</f>
        <v/>
      </c>
      <c r="C306" s="15">
        <f>IF($A306="","",IFERROR(SUMIF(tblAnahtarA[Norm],$A306,tblVeriA[BoyCm]),0))</f>
        <v/>
      </c>
      <c r="D306" s="15">
        <f>IF($A306="","",IFERROR(SUMIF(tblAnahtarA[Norm],$A306,tblVeriA[YukseklikCm]),0))</f>
        <v/>
      </c>
      <c r="E306" s="15">
        <f>IF($A306="","",IFERROR(SUMIF(tblAnahtarA[Norm],$A306,tblVeriA[AgirlikKg]),0))</f>
        <v/>
      </c>
      <c r="F306" s="15">
        <f>IF($A306="","",IFERROR(SUMIF(tblAnahtarA[Norm],$A306,tblVeriA[DesiCarpani]),kdo_varsayilanDesiCarpani))</f>
        <v/>
      </c>
      <c r="G306" s="15">
        <f>IF($A306="","",ROUND($B306*$C306*$D306/MAX($F306,1),2))</f>
        <v/>
      </c>
      <c r="H306" s="15">
        <f>IF($A306="","",MAX($G306,$E306))</f>
        <v/>
      </c>
      <c r="I306" s="15">
        <f>IF($A306="","",IFERROR(SUMIF(tblAnahtarB[NormB],$A306,tblVeriB[TarifTlDesi]),0))</f>
        <v/>
      </c>
      <c r="J306" s="15">
        <f>IF($A306="","",IFERROR(SUMIF(tblAnahtarA[Norm],$A306,tblVeriA[Adet]),1))</f>
        <v/>
      </c>
      <c r="K306" s="15">
        <f>IF($A306="","",ROUND($H306*$I306,2))</f>
        <v/>
      </c>
      <c r="L306" s="15">
        <f>IF($A306="","",ROUND($K306*$J306*(1+$Q306*kdo_iadeEtkiCarpani),2))</f>
        <v/>
      </c>
      <c r="M306" s="15">
        <f>IF($A306="","",IFERROR(SUMIF(tblAnahtarB[NormB],$A306,tblVeriB[AlternatifTarif]),0))</f>
        <v/>
      </c>
      <c r="N306" s="15">
        <f>IF($A306="","",ROUND($H306*$M306*$J306*(1+$Q306*kdo_iadeEtkiCarpani),2))</f>
        <v/>
      </c>
      <c r="O306" s="15">
        <f>IF($A306="","",ROUND($L306-$N306,2))</f>
        <v/>
      </c>
      <c r="P306" s="15">
        <f>IF($A306="","",IF($R306&gt;kdo_esikDesiOran,"DESİ DÜŞÜR",IF($O306&gt;kdo_esikTasarruf,"TAŞIYICI DEĞİŞTİR","UYGUN")))</f>
        <v/>
      </c>
      <c r="Q306" s="15">
        <f>IF($A306="","",IFERROR(SUMIF(tblAnahtarB[NormB],$A306,tblVeriB[IadeOran]),0))</f>
        <v/>
      </c>
      <c r="R306" s="15">
        <f>IF(OR($A306="",$E306=0),0,$G306/$E306)</f>
        <v/>
      </c>
      <c r="S306" s="15">
        <f>IF($A306="","",$G306-$E306)</f>
        <v/>
      </c>
      <c r="T306" s="15">
        <f>IF($A306="","",$L306-$N306)</f>
        <v/>
      </c>
    </row>
    <row r="307">
      <c r="A307" s="15">
        <f>IF('ANAHTAR'!$B307="","",'ANAHTAR'!$B307)</f>
        <v/>
      </c>
      <c r="B307" s="15">
        <f>IF($A307="","",IFERROR(SUMIF(tblAnahtarA[Norm],$A307,tblVeriA[EnCm]),0))</f>
        <v/>
      </c>
      <c r="C307" s="15">
        <f>IF($A307="","",IFERROR(SUMIF(tblAnahtarA[Norm],$A307,tblVeriA[BoyCm]),0))</f>
        <v/>
      </c>
      <c r="D307" s="15">
        <f>IF($A307="","",IFERROR(SUMIF(tblAnahtarA[Norm],$A307,tblVeriA[YukseklikCm]),0))</f>
        <v/>
      </c>
      <c r="E307" s="15">
        <f>IF($A307="","",IFERROR(SUMIF(tblAnahtarA[Norm],$A307,tblVeriA[AgirlikKg]),0))</f>
        <v/>
      </c>
      <c r="F307" s="15">
        <f>IF($A307="","",IFERROR(SUMIF(tblAnahtarA[Norm],$A307,tblVeriA[DesiCarpani]),kdo_varsayilanDesiCarpani))</f>
        <v/>
      </c>
      <c r="G307" s="15">
        <f>IF($A307="","",ROUND($B307*$C307*$D307/MAX($F307,1),2))</f>
        <v/>
      </c>
      <c r="H307" s="15">
        <f>IF($A307="","",MAX($G307,$E307))</f>
        <v/>
      </c>
      <c r="I307" s="15">
        <f>IF($A307="","",IFERROR(SUMIF(tblAnahtarB[NormB],$A307,tblVeriB[TarifTlDesi]),0))</f>
        <v/>
      </c>
      <c r="J307" s="15">
        <f>IF($A307="","",IFERROR(SUMIF(tblAnahtarA[Norm],$A307,tblVeriA[Adet]),1))</f>
        <v/>
      </c>
      <c r="K307" s="15">
        <f>IF($A307="","",ROUND($H307*$I307,2))</f>
        <v/>
      </c>
      <c r="L307" s="15">
        <f>IF($A307="","",ROUND($K307*$J307*(1+$Q307*kdo_iadeEtkiCarpani),2))</f>
        <v/>
      </c>
      <c r="M307" s="15">
        <f>IF($A307="","",IFERROR(SUMIF(tblAnahtarB[NormB],$A307,tblVeriB[AlternatifTarif]),0))</f>
        <v/>
      </c>
      <c r="N307" s="15">
        <f>IF($A307="","",ROUND($H307*$M307*$J307*(1+$Q307*kdo_iadeEtkiCarpani),2))</f>
        <v/>
      </c>
      <c r="O307" s="15">
        <f>IF($A307="","",ROUND($L307-$N307,2))</f>
        <v/>
      </c>
      <c r="P307" s="15">
        <f>IF($A307="","",IF($R307&gt;kdo_esikDesiOran,"DESİ DÜŞÜR",IF($O307&gt;kdo_esikTasarruf,"TAŞIYICI DEĞİŞTİR","UYGUN")))</f>
        <v/>
      </c>
      <c r="Q307" s="15">
        <f>IF($A307="","",IFERROR(SUMIF(tblAnahtarB[NormB],$A307,tblVeriB[IadeOran]),0))</f>
        <v/>
      </c>
      <c r="R307" s="15">
        <f>IF(OR($A307="",$E307=0),0,$G307/$E307)</f>
        <v/>
      </c>
      <c r="S307" s="15">
        <f>IF($A307="","",$G307-$E307)</f>
        <v/>
      </c>
      <c r="T307" s="15">
        <f>IF($A307="","",$L307-$N307)</f>
        <v/>
      </c>
    </row>
    <row r="308">
      <c r="A308" s="15">
        <f>IF('ANAHTAR'!$B308="","",'ANAHTAR'!$B308)</f>
        <v/>
      </c>
      <c r="B308" s="15">
        <f>IF($A308="","",IFERROR(SUMIF(tblAnahtarA[Norm],$A308,tblVeriA[EnCm]),0))</f>
        <v/>
      </c>
      <c r="C308" s="15">
        <f>IF($A308="","",IFERROR(SUMIF(tblAnahtarA[Norm],$A308,tblVeriA[BoyCm]),0))</f>
        <v/>
      </c>
      <c r="D308" s="15">
        <f>IF($A308="","",IFERROR(SUMIF(tblAnahtarA[Norm],$A308,tblVeriA[YukseklikCm]),0))</f>
        <v/>
      </c>
      <c r="E308" s="15">
        <f>IF($A308="","",IFERROR(SUMIF(tblAnahtarA[Norm],$A308,tblVeriA[AgirlikKg]),0))</f>
        <v/>
      </c>
      <c r="F308" s="15">
        <f>IF($A308="","",IFERROR(SUMIF(tblAnahtarA[Norm],$A308,tblVeriA[DesiCarpani]),kdo_varsayilanDesiCarpani))</f>
        <v/>
      </c>
      <c r="G308" s="15">
        <f>IF($A308="","",ROUND($B308*$C308*$D308/MAX($F308,1),2))</f>
        <v/>
      </c>
      <c r="H308" s="15">
        <f>IF($A308="","",MAX($G308,$E308))</f>
        <v/>
      </c>
      <c r="I308" s="15">
        <f>IF($A308="","",IFERROR(SUMIF(tblAnahtarB[NormB],$A308,tblVeriB[TarifTlDesi]),0))</f>
        <v/>
      </c>
      <c r="J308" s="15">
        <f>IF($A308="","",IFERROR(SUMIF(tblAnahtarA[Norm],$A308,tblVeriA[Adet]),1))</f>
        <v/>
      </c>
      <c r="K308" s="15">
        <f>IF($A308="","",ROUND($H308*$I308,2))</f>
        <v/>
      </c>
      <c r="L308" s="15">
        <f>IF($A308="","",ROUND($K308*$J308*(1+$Q308*kdo_iadeEtkiCarpani),2))</f>
        <v/>
      </c>
      <c r="M308" s="15">
        <f>IF($A308="","",IFERROR(SUMIF(tblAnahtarB[NormB],$A308,tblVeriB[AlternatifTarif]),0))</f>
        <v/>
      </c>
      <c r="N308" s="15">
        <f>IF($A308="","",ROUND($H308*$M308*$J308*(1+$Q308*kdo_iadeEtkiCarpani),2))</f>
        <v/>
      </c>
      <c r="O308" s="15">
        <f>IF($A308="","",ROUND($L308-$N308,2))</f>
        <v/>
      </c>
      <c r="P308" s="15">
        <f>IF($A308="","",IF($R308&gt;kdo_esikDesiOran,"DESİ DÜŞÜR",IF($O308&gt;kdo_esikTasarruf,"TAŞIYICI DEĞİŞTİR","UYGUN")))</f>
        <v/>
      </c>
      <c r="Q308" s="15">
        <f>IF($A308="","",IFERROR(SUMIF(tblAnahtarB[NormB],$A308,tblVeriB[IadeOran]),0))</f>
        <v/>
      </c>
      <c r="R308" s="15">
        <f>IF(OR($A308="",$E308=0),0,$G308/$E308)</f>
        <v/>
      </c>
      <c r="S308" s="15">
        <f>IF($A308="","",$G308-$E308)</f>
        <v/>
      </c>
      <c r="T308" s="15">
        <f>IF($A308="","",$L308-$N308)</f>
        <v/>
      </c>
    </row>
    <row r="309">
      <c r="A309" s="15">
        <f>IF('ANAHTAR'!$B309="","",'ANAHTAR'!$B309)</f>
        <v/>
      </c>
      <c r="B309" s="15">
        <f>IF($A309="","",IFERROR(SUMIF(tblAnahtarA[Norm],$A309,tblVeriA[EnCm]),0))</f>
        <v/>
      </c>
      <c r="C309" s="15">
        <f>IF($A309="","",IFERROR(SUMIF(tblAnahtarA[Norm],$A309,tblVeriA[BoyCm]),0))</f>
        <v/>
      </c>
      <c r="D309" s="15">
        <f>IF($A309="","",IFERROR(SUMIF(tblAnahtarA[Norm],$A309,tblVeriA[YukseklikCm]),0))</f>
        <v/>
      </c>
      <c r="E309" s="15">
        <f>IF($A309="","",IFERROR(SUMIF(tblAnahtarA[Norm],$A309,tblVeriA[AgirlikKg]),0))</f>
        <v/>
      </c>
      <c r="F309" s="15">
        <f>IF($A309="","",IFERROR(SUMIF(tblAnahtarA[Norm],$A309,tblVeriA[DesiCarpani]),kdo_varsayilanDesiCarpani))</f>
        <v/>
      </c>
      <c r="G309" s="15">
        <f>IF($A309="","",ROUND($B309*$C309*$D309/MAX($F309,1),2))</f>
        <v/>
      </c>
      <c r="H309" s="15">
        <f>IF($A309="","",MAX($G309,$E309))</f>
        <v/>
      </c>
      <c r="I309" s="15">
        <f>IF($A309="","",IFERROR(SUMIF(tblAnahtarB[NormB],$A309,tblVeriB[TarifTlDesi]),0))</f>
        <v/>
      </c>
      <c r="J309" s="15">
        <f>IF($A309="","",IFERROR(SUMIF(tblAnahtarA[Norm],$A309,tblVeriA[Adet]),1))</f>
        <v/>
      </c>
      <c r="K309" s="15">
        <f>IF($A309="","",ROUND($H309*$I309,2))</f>
        <v/>
      </c>
      <c r="L309" s="15">
        <f>IF($A309="","",ROUND($K309*$J309*(1+$Q309*kdo_iadeEtkiCarpani),2))</f>
        <v/>
      </c>
      <c r="M309" s="15">
        <f>IF($A309="","",IFERROR(SUMIF(tblAnahtarB[NormB],$A309,tblVeriB[AlternatifTarif]),0))</f>
        <v/>
      </c>
      <c r="N309" s="15">
        <f>IF($A309="","",ROUND($H309*$M309*$J309*(1+$Q309*kdo_iadeEtkiCarpani),2))</f>
        <v/>
      </c>
      <c r="O309" s="15">
        <f>IF($A309="","",ROUND($L309-$N309,2))</f>
        <v/>
      </c>
      <c r="P309" s="15">
        <f>IF($A309="","",IF($R309&gt;kdo_esikDesiOran,"DESİ DÜŞÜR",IF($O309&gt;kdo_esikTasarruf,"TAŞIYICI DEĞİŞTİR","UYGUN")))</f>
        <v/>
      </c>
      <c r="Q309" s="15">
        <f>IF($A309="","",IFERROR(SUMIF(tblAnahtarB[NormB],$A309,tblVeriB[IadeOran]),0))</f>
        <v/>
      </c>
      <c r="R309" s="15">
        <f>IF(OR($A309="",$E309=0),0,$G309/$E309)</f>
        <v/>
      </c>
      <c r="S309" s="15">
        <f>IF($A309="","",$G309-$E309)</f>
        <v/>
      </c>
      <c r="T309" s="15">
        <f>IF($A309="","",$L309-$N309)</f>
        <v/>
      </c>
    </row>
    <row r="310">
      <c r="A310" s="15">
        <f>IF('ANAHTAR'!$B310="","",'ANAHTAR'!$B310)</f>
        <v/>
      </c>
      <c r="B310" s="15">
        <f>IF($A310="","",IFERROR(SUMIF(tblAnahtarA[Norm],$A310,tblVeriA[EnCm]),0))</f>
        <v/>
      </c>
      <c r="C310" s="15">
        <f>IF($A310="","",IFERROR(SUMIF(tblAnahtarA[Norm],$A310,tblVeriA[BoyCm]),0))</f>
        <v/>
      </c>
      <c r="D310" s="15">
        <f>IF($A310="","",IFERROR(SUMIF(tblAnahtarA[Norm],$A310,tblVeriA[YukseklikCm]),0))</f>
        <v/>
      </c>
      <c r="E310" s="15">
        <f>IF($A310="","",IFERROR(SUMIF(tblAnahtarA[Norm],$A310,tblVeriA[AgirlikKg]),0))</f>
        <v/>
      </c>
      <c r="F310" s="15">
        <f>IF($A310="","",IFERROR(SUMIF(tblAnahtarA[Norm],$A310,tblVeriA[DesiCarpani]),kdo_varsayilanDesiCarpani))</f>
        <v/>
      </c>
      <c r="G310" s="15">
        <f>IF($A310="","",ROUND($B310*$C310*$D310/MAX($F310,1),2))</f>
        <v/>
      </c>
      <c r="H310" s="15">
        <f>IF($A310="","",MAX($G310,$E310))</f>
        <v/>
      </c>
      <c r="I310" s="15">
        <f>IF($A310="","",IFERROR(SUMIF(tblAnahtarB[NormB],$A310,tblVeriB[TarifTlDesi]),0))</f>
        <v/>
      </c>
      <c r="J310" s="15">
        <f>IF($A310="","",IFERROR(SUMIF(tblAnahtarA[Norm],$A310,tblVeriA[Adet]),1))</f>
        <v/>
      </c>
      <c r="K310" s="15">
        <f>IF($A310="","",ROUND($H310*$I310,2))</f>
        <v/>
      </c>
      <c r="L310" s="15">
        <f>IF($A310="","",ROUND($K310*$J310*(1+$Q310*kdo_iadeEtkiCarpani),2))</f>
        <v/>
      </c>
      <c r="M310" s="15">
        <f>IF($A310="","",IFERROR(SUMIF(tblAnahtarB[NormB],$A310,tblVeriB[AlternatifTarif]),0))</f>
        <v/>
      </c>
      <c r="N310" s="15">
        <f>IF($A310="","",ROUND($H310*$M310*$J310*(1+$Q310*kdo_iadeEtkiCarpani),2))</f>
        <v/>
      </c>
      <c r="O310" s="15">
        <f>IF($A310="","",ROUND($L310-$N310,2))</f>
        <v/>
      </c>
      <c r="P310" s="15">
        <f>IF($A310="","",IF($R310&gt;kdo_esikDesiOran,"DESİ DÜŞÜR",IF($O310&gt;kdo_esikTasarruf,"TAŞIYICI DEĞİŞTİR","UYGUN")))</f>
        <v/>
      </c>
      <c r="Q310" s="15">
        <f>IF($A310="","",IFERROR(SUMIF(tblAnahtarB[NormB],$A310,tblVeriB[IadeOran]),0))</f>
        <v/>
      </c>
      <c r="R310" s="15">
        <f>IF(OR($A310="",$E310=0),0,$G310/$E310)</f>
        <v/>
      </c>
      <c r="S310" s="15">
        <f>IF($A310="","",$G310-$E310)</f>
        <v/>
      </c>
      <c r="T310" s="15">
        <f>IF($A310="","",$L310-$N310)</f>
        <v/>
      </c>
    </row>
    <row r="311">
      <c r="A311" s="15">
        <f>IF('ANAHTAR'!$B311="","",'ANAHTAR'!$B311)</f>
        <v/>
      </c>
      <c r="B311" s="15">
        <f>IF($A311="","",IFERROR(SUMIF(tblAnahtarA[Norm],$A311,tblVeriA[EnCm]),0))</f>
        <v/>
      </c>
      <c r="C311" s="15">
        <f>IF($A311="","",IFERROR(SUMIF(tblAnahtarA[Norm],$A311,tblVeriA[BoyCm]),0))</f>
        <v/>
      </c>
      <c r="D311" s="15">
        <f>IF($A311="","",IFERROR(SUMIF(tblAnahtarA[Norm],$A311,tblVeriA[YukseklikCm]),0))</f>
        <v/>
      </c>
      <c r="E311" s="15">
        <f>IF($A311="","",IFERROR(SUMIF(tblAnahtarA[Norm],$A311,tblVeriA[AgirlikKg]),0))</f>
        <v/>
      </c>
      <c r="F311" s="15">
        <f>IF($A311="","",IFERROR(SUMIF(tblAnahtarA[Norm],$A311,tblVeriA[DesiCarpani]),kdo_varsayilanDesiCarpani))</f>
        <v/>
      </c>
      <c r="G311" s="15">
        <f>IF($A311="","",ROUND($B311*$C311*$D311/MAX($F311,1),2))</f>
        <v/>
      </c>
      <c r="H311" s="15">
        <f>IF($A311="","",MAX($G311,$E311))</f>
        <v/>
      </c>
      <c r="I311" s="15">
        <f>IF($A311="","",IFERROR(SUMIF(tblAnahtarB[NormB],$A311,tblVeriB[TarifTlDesi]),0))</f>
        <v/>
      </c>
      <c r="J311" s="15">
        <f>IF($A311="","",IFERROR(SUMIF(tblAnahtarA[Norm],$A311,tblVeriA[Adet]),1))</f>
        <v/>
      </c>
      <c r="K311" s="15">
        <f>IF($A311="","",ROUND($H311*$I311,2))</f>
        <v/>
      </c>
      <c r="L311" s="15">
        <f>IF($A311="","",ROUND($K311*$J311*(1+$Q311*kdo_iadeEtkiCarpani),2))</f>
        <v/>
      </c>
      <c r="M311" s="15">
        <f>IF($A311="","",IFERROR(SUMIF(tblAnahtarB[NormB],$A311,tblVeriB[AlternatifTarif]),0))</f>
        <v/>
      </c>
      <c r="N311" s="15">
        <f>IF($A311="","",ROUND($H311*$M311*$J311*(1+$Q311*kdo_iadeEtkiCarpani),2))</f>
        <v/>
      </c>
      <c r="O311" s="15">
        <f>IF($A311="","",ROUND($L311-$N311,2))</f>
        <v/>
      </c>
      <c r="P311" s="15">
        <f>IF($A311="","",IF($R311&gt;kdo_esikDesiOran,"DESİ DÜŞÜR",IF($O311&gt;kdo_esikTasarruf,"TAŞIYICI DEĞİŞTİR","UYGUN")))</f>
        <v/>
      </c>
      <c r="Q311" s="15">
        <f>IF($A311="","",IFERROR(SUMIF(tblAnahtarB[NormB],$A311,tblVeriB[IadeOran]),0))</f>
        <v/>
      </c>
      <c r="R311" s="15">
        <f>IF(OR($A311="",$E311=0),0,$G311/$E311)</f>
        <v/>
      </c>
      <c r="S311" s="15">
        <f>IF($A311="","",$G311-$E311)</f>
        <v/>
      </c>
      <c r="T311" s="15">
        <f>IF($A311="","",$L311-$N311)</f>
        <v/>
      </c>
    </row>
    <row r="312">
      <c r="A312" s="15">
        <f>IF('ANAHTAR'!$B312="","",'ANAHTAR'!$B312)</f>
        <v/>
      </c>
      <c r="B312" s="15">
        <f>IF($A312="","",IFERROR(SUMIF(tblAnahtarA[Norm],$A312,tblVeriA[EnCm]),0))</f>
        <v/>
      </c>
      <c r="C312" s="15">
        <f>IF($A312="","",IFERROR(SUMIF(tblAnahtarA[Norm],$A312,tblVeriA[BoyCm]),0))</f>
        <v/>
      </c>
      <c r="D312" s="15">
        <f>IF($A312="","",IFERROR(SUMIF(tblAnahtarA[Norm],$A312,tblVeriA[YukseklikCm]),0))</f>
        <v/>
      </c>
      <c r="E312" s="15">
        <f>IF($A312="","",IFERROR(SUMIF(tblAnahtarA[Norm],$A312,tblVeriA[AgirlikKg]),0))</f>
        <v/>
      </c>
      <c r="F312" s="15">
        <f>IF($A312="","",IFERROR(SUMIF(tblAnahtarA[Norm],$A312,tblVeriA[DesiCarpani]),kdo_varsayilanDesiCarpani))</f>
        <v/>
      </c>
      <c r="G312" s="15">
        <f>IF($A312="","",ROUND($B312*$C312*$D312/MAX($F312,1),2))</f>
        <v/>
      </c>
      <c r="H312" s="15">
        <f>IF($A312="","",MAX($G312,$E312))</f>
        <v/>
      </c>
      <c r="I312" s="15">
        <f>IF($A312="","",IFERROR(SUMIF(tblAnahtarB[NormB],$A312,tblVeriB[TarifTlDesi]),0))</f>
        <v/>
      </c>
      <c r="J312" s="15">
        <f>IF($A312="","",IFERROR(SUMIF(tblAnahtarA[Norm],$A312,tblVeriA[Adet]),1))</f>
        <v/>
      </c>
      <c r="K312" s="15">
        <f>IF($A312="","",ROUND($H312*$I312,2))</f>
        <v/>
      </c>
      <c r="L312" s="15">
        <f>IF($A312="","",ROUND($K312*$J312*(1+$Q312*kdo_iadeEtkiCarpani),2))</f>
        <v/>
      </c>
      <c r="M312" s="15">
        <f>IF($A312="","",IFERROR(SUMIF(tblAnahtarB[NormB],$A312,tblVeriB[AlternatifTarif]),0))</f>
        <v/>
      </c>
      <c r="N312" s="15">
        <f>IF($A312="","",ROUND($H312*$M312*$J312*(1+$Q312*kdo_iadeEtkiCarpani),2))</f>
        <v/>
      </c>
      <c r="O312" s="15">
        <f>IF($A312="","",ROUND($L312-$N312,2))</f>
        <v/>
      </c>
      <c r="P312" s="15">
        <f>IF($A312="","",IF($R312&gt;kdo_esikDesiOran,"DESİ DÜŞÜR",IF($O312&gt;kdo_esikTasarruf,"TAŞIYICI DEĞİŞTİR","UYGUN")))</f>
        <v/>
      </c>
      <c r="Q312" s="15">
        <f>IF($A312="","",IFERROR(SUMIF(tblAnahtarB[NormB],$A312,tblVeriB[IadeOran]),0))</f>
        <v/>
      </c>
      <c r="R312" s="15">
        <f>IF(OR($A312="",$E312=0),0,$G312/$E312)</f>
        <v/>
      </c>
      <c r="S312" s="15">
        <f>IF($A312="","",$G312-$E312)</f>
        <v/>
      </c>
      <c r="T312" s="15">
        <f>IF($A312="","",$L312-$N312)</f>
        <v/>
      </c>
    </row>
    <row r="313">
      <c r="A313" s="15">
        <f>IF('ANAHTAR'!$B313="","",'ANAHTAR'!$B313)</f>
        <v/>
      </c>
      <c r="B313" s="15">
        <f>IF($A313="","",IFERROR(SUMIF(tblAnahtarA[Norm],$A313,tblVeriA[EnCm]),0))</f>
        <v/>
      </c>
      <c r="C313" s="15">
        <f>IF($A313="","",IFERROR(SUMIF(tblAnahtarA[Norm],$A313,tblVeriA[BoyCm]),0))</f>
        <v/>
      </c>
      <c r="D313" s="15">
        <f>IF($A313="","",IFERROR(SUMIF(tblAnahtarA[Norm],$A313,tblVeriA[YukseklikCm]),0))</f>
        <v/>
      </c>
      <c r="E313" s="15">
        <f>IF($A313="","",IFERROR(SUMIF(tblAnahtarA[Norm],$A313,tblVeriA[AgirlikKg]),0))</f>
        <v/>
      </c>
      <c r="F313" s="15">
        <f>IF($A313="","",IFERROR(SUMIF(tblAnahtarA[Norm],$A313,tblVeriA[DesiCarpani]),kdo_varsayilanDesiCarpani))</f>
        <v/>
      </c>
      <c r="G313" s="15">
        <f>IF($A313="","",ROUND($B313*$C313*$D313/MAX($F313,1),2))</f>
        <v/>
      </c>
      <c r="H313" s="15">
        <f>IF($A313="","",MAX($G313,$E313))</f>
        <v/>
      </c>
      <c r="I313" s="15">
        <f>IF($A313="","",IFERROR(SUMIF(tblAnahtarB[NormB],$A313,tblVeriB[TarifTlDesi]),0))</f>
        <v/>
      </c>
      <c r="J313" s="15">
        <f>IF($A313="","",IFERROR(SUMIF(tblAnahtarA[Norm],$A313,tblVeriA[Adet]),1))</f>
        <v/>
      </c>
      <c r="K313" s="15">
        <f>IF($A313="","",ROUND($H313*$I313,2))</f>
        <v/>
      </c>
      <c r="L313" s="15">
        <f>IF($A313="","",ROUND($K313*$J313*(1+$Q313*kdo_iadeEtkiCarpani),2))</f>
        <v/>
      </c>
      <c r="M313" s="15">
        <f>IF($A313="","",IFERROR(SUMIF(tblAnahtarB[NormB],$A313,tblVeriB[AlternatifTarif]),0))</f>
        <v/>
      </c>
      <c r="N313" s="15">
        <f>IF($A313="","",ROUND($H313*$M313*$J313*(1+$Q313*kdo_iadeEtkiCarpani),2))</f>
        <v/>
      </c>
      <c r="O313" s="15">
        <f>IF($A313="","",ROUND($L313-$N313,2))</f>
        <v/>
      </c>
      <c r="P313" s="15">
        <f>IF($A313="","",IF($R313&gt;kdo_esikDesiOran,"DESİ DÜŞÜR",IF($O313&gt;kdo_esikTasarruf,"TAŞIYICI DEĞİŞTİR","UYGUN")))</f>
        <v/>
      </c>
      <c r="Q313" s="15">
        <f>IF($A313="","",IFERROR(SUMIF(tblAnahtarB[NormB],$A313,tblVeriB[IadeOran]),0))</f>
        <v/>
      </c>
      <c r="R313" s="15">
        <f>IF(OR($A313="",$E313=0),0,$G313/$E313)</f>
        <v/>
      </c>
      <c r="S313" s="15">
        <f>IF($A313="","",$G313-$E313)</f>
        <v/>
      </c>
      <c r="T313" s="15">
        <f>IF($A313="","",$L313-$N313)</f>
        <v/>
      </c>
    </row>
    <row r="314">
      <c r="A314" s="15">
        <f>IF('ANAHTAR'!$B314="","",'ANAHTAR'!$B314)</f>
        <v/>
      </c>
      <c r="B314" s="15">
        <f>IF($A314="","",IFERROR(SUMIF(tblAnahtarA[Norm],$A314,tblVeriA[EnCm]),0))</f>
        <v/>
      </c>
      <c r="C314" s="15">
        <f>IF($A314="","",IFERROR(SUMIF(tblAnahtarA[Norm],$A314,tblVeriA[BoyCm]),0))</f>
        <v/>
      </c>
      <c r="D314" s="15">
        <f>IF($A314="","",IFERROR(SUMIF(tblAnahtarA[Norm],$A314,tblVeriA[YukseklikCm]),0))</f>
        <v/>
      </c>
      <c r="E314" s="15">
        <f>IF($A314="","",IFERROR(SUMIF(tblAnahtarA[Norm],$A314,tblVeriA[AgirlikKg]),0))</f>
        <v/>
      </c>
      <c r="F314" s="15">
        <f>IF($A314="","",IFERROR(SUMIF(tblAnahtarA[Norm],$A314,tblVeriA[DesiCarpani]),kdo_varsayilanDesiCarpani))</f>
        <v/>
      </c>
      <c r="G314" s="15">
        <f>IF($A314="","",ROUND($B314*$C314*$D314/MAX($F314,1),2))</f>
        <v/>
      </c>
      <c r="H314" s="15">
        <f>IF($A314="","",MAX($G314,$E314))</f>
        <v/>
      </c>
      <c r="I314" s="15">
        <f>IF($A314="","",IFERROR(SUMIF(tblAnahtarB[NormB],$A314,tblVeriB[TarifTlDesi]),0))</f>
        <v/>
      </c>
      <c r="J314" s="15">
        <f>IF($A314="","",IFERROR(SUMIF(tblAnahtarA[Norm],$A314,tblVeriA[Adet]),1))</f>
        <v/>
      </c>
      <c r="K314" s="15">
        <f>IF($A314="","",ROUND($H314*$I314,2))</f>
        <v/>
      </c>
      <c r="L314" s="15">
        <f>IF($A314="","",ROUND($K314*$J314*(1+$Q314*kdo_iadeEtkiCarpani),2))</f>
        <v/>
      </c>
      <c r="M314" s="15">
        <f>IF($A314="","",IFERROR(SUMIF(tblAnahtarB[NormB],$A314,tblVeriB[AlternatifTarif]),0))</f>
        <v/>
      </c>
      <c r="N314" s="15">
        <f>IF($A314="","",ROUND($H314*$M314*$J314*(1+$Q314*kdo_iadeEtkiCarpani),2))</f>
        <v/>
      </c>
      <c r="O314" s="15">
        <f>IF($A314="","",ROUND($L314-$N314,2))</f>
        <v/>
      </c>
      <c r="P314" s="15">
        <f>IF($A314="","",IF($R314&gt;kdo_esikDesiOran,"DESİ DÜŞÜR",IF($O314&gt;kdo_esikTasarruf,"TAŞIYICI DEĞİŞTİR","UYGUN")))</f>
        <v/>
      </c>
      <c r="Q314" s="15">
        <f>IF($A314="","",IFERROR(SUMIF(tblAnahtarB[NormB],$A314,tblVeriB[IadeOran]),0))</f>
        <v/>
      </c>
      <c r="R314" s="15">
        <f>IF(OR($A314="",$E314=0),0,$G314/$E314)</f>
        <v/>
      </c>
      <c r="S314" s="15">
        <f>IF($A314="","",$G314-$E314)</f>
        <v/>
      </c>
      <c r="T314" s="15">
        <f>IF($A314="","",$L314-$N314)</f>
        <v/>
      </c>
    </row>
    <row r="315">
      <c r="A315" s="15">
        <f>IF('ANAHTAR'!$B315="","",'ANAHTAR'!$B315)</f>
        <v/>
      </c>
      <c r="B315" s="15">
        <f>IF($A315="","",IFERROR(SUMIF(tblAnahtarA[Norm],$A315,tblVeriA[EnCm]),0))</f>
        <v/>
      </c>
      <c r="C315" s="15">
        <f>IF($A315="","",IFERROR(SUMIF(tblAnahtarA[Norm],$A315,tblVeriA[BoyCm]),0))</f>
        <v/>
      </c>
      <c r="D315" s="15">
        <f>IF($A315="","",IFERROR(SUMIF(tblAnahtarA[Norm],$A315,tblVeriA[YukseklikCm]),0))</f>
        <v/>
      </c>
      <c r="E315" s="15">
        <f>IF($A315="","",IFERROR(SUMIF(tblAnahtarA[Norm],$A315,tblVeriA[AgirlikKg]),0))</f>
        <v/>
      </c>
      <c r="F315" s="15">
        <f>IF($A315="","",IFERROR(SUMIF(tblAnahtarA[Norm],$A315,tblVeriA[DesiCarpani]),kdo_varsayilanDesiCarpani))</f>
        <v/>
      </c>
      <c r="G315" s="15">
        <f>IF($A315="","",ROUND($B315*$C315*$D315/MAX($F315,1),2))</f>
        <v/>
      </c>
      <c r="H315" s="15">
        <f>IF($A315="","",MAX($G315,$E315))</f>
        <v/>
      </c>
      <c r="I315" s="15">
        <f>IF($A315="","",IFERROR(SUMIF(tblAnahtarB[NormB],$A315,tblVeriB[TarifTlDesi]),0))</f>
        <v/>
      </c>
      <c r="J315" s="15">
        <f>IF($A315="","",IFERROR(SUMIF(tblAnahtarA[Norm],$A315,tblVeriA[Adet]),1))</f>
        <v/>
      </c>
      <c r="K315" s="15">
        <f>IF($A315="","",ROUND($H315*$I315,2))</f>
        <v/>
      </c>
      <c r="L315" s="15">
        <f>IF($A315="","",ROUND($K315*$J315*(1+$Q315*kdo_iadeEtkiCarpani),2))</f>
        <v/>
      </c>
      <c r="M315" s="15">
        <f>IF($A315="","",IFERROR(SUMIF(tblAnahtarB[NormB],$A315,tblVeriB[AlternatifTarif]),0))</f>
        <v/>
      </c>
      <c r="N315" s="15">
        <f>IF($A315="","",ROUND($H315*$M315*$J315*(1+$Q315*kdo_iadeEtkiCarpani),2))</f>
        <v/>
      </c>
      <c r="O315" s="15">
        <f>IF($A315="","",ROUND($L315-$N315,2))</f>
        <v/>
      </c>
      <c r="P315" s="15">
        <f>IF($A315="","",IF($R315&gt;kdo_esikDesiOran,"DESİ DÜŞÜR",IF($O315&gt;kdo_esikTasarruf,"TAŞIYICI DEĞİŞTİR","UYGUN")))</f>
        <v/>
      </c>
      <c r="Q315" s="15">
        <f>IF($A315="","",IFERROR(SUMIF(tblAnahtarB[NormB],$A315,tblVeriB[IadeOran]),0))</f>
        <v/>
      </c>
      <c r="R315" s="15">
        <f>IF(OR($A315="",$E315=0),0,$G315/$E315)</f>
        <v/>
      </c>
      <c r="S315" s="15">
        <f>IF($A315="","",$G315-$E315)</f>
        <v/>
      </c>
      <c r="T315" s="15">
        <f>IF($A315="","",$L315-$N315)</f>
        <v/>
      </c>
    </row>
    <row r="316">
      <c r="A316" s="15">
        <f>IF('ANAHTAR'!$B316="","",'ANAHTAR'!$B316)</f>
        <v/>
      </c>
      <c r="B316" s="15">
        <f>IF($A316="","",IFERROR(SUMIF(tblAnahtarA[Norm],$A316,tblVeriA[EnCm]),0))</f>
        <v/>
      </c>
      <c r="C316" s="15">
        <f>IF($A316="","",IFERROR(SUMIF(tblAnahtarA[Norm],$A316,tblVeriA[BoyCm]),0))</f>
        <v/>
      </c>
      <c r="D316" s="15">
        <f>IF($A316="","",IFERROR(SUMIF(tblAnahtarA[Norm],$A316,tblVeriA[YukseklikCm]),0))</f>
        <v/>
      </c>
      <c r="E316" s="15">
        <f>IF($A316="","",IFERROR(SUMIF(tblAnahtarA[Norm],$A316,tblVeriA[AgirlikKg]),0))</f>
        <v/>
      </c>
      <c r="F316" s="15">
        <f>IF($A316="","",IFERROR(SUMIF(tblAnahtarA[Norm],$A316,tblVeriA[DesiCarpani]),kdo_varsayilanDesiCarpani))</f>
        <v/>
      </c>
      <c r="G316" s="15">
        <f>IF($A316="","",ROUND($B316*$C316*$D316/MAX($F316,1),2))</f>
        <v/>
      </c>
      <c r="H316" s="15">
        <f>IF($A316="","",MAX($G316,$E316))</f>
        <v/>
      </c>
      <c r="I316" s="15">
        <f>IF($A316="","",IFERROR(SUMIF(tblAnahtarB[NormB],$A316,tblVeriB[TarifTlDesi]),0))</f>
        <v/>
      </c>
      <c r="J316" s="15">
        <f>IF($A316="","",IFERROR(SUMIF(tblAnahtarA[Norm],$A316,tblVeriA[Adet]),1))</f>
        <v/>
      </c>
      <c r="K316" s="15">
        <f>IF($A316="","",ROUND($H316*$I316,2))</f>
        <v/>
      </c>
      <c r="L316" s="15">
        <f>IF($A316="","",ROUND($K316*$J316*(1+$Q316*kdo_iadeEtkiCarpani),2))</f>
        <v/>
      </c>
      <c r="M316" s="15">
        <f>IF($A316="","",IFERROR(SUMIF(tblAnahtarB[NormB],$A316,tblVeriB[AlternatifTarif]),0))</f>
        <v/>
      </c>
      <c r="N316" s="15">
        <f>IF($A316="","",ROUND($H316*$M316*$J316*(1+$Q316*kdo_iadeEtkiCarpani),2))</f>
        <v/>
      </c>
      <c r="O316" s="15">
        <f>IF($A316="","",ROUND($L316-$N316,2))</f>
        <v/>
      </c>
      <c r="P316" s="15">
        <f>IF($A316="","",IF($R316&gt;kdo_esikDesiOran,"DESİ DÜŞÜR",IF($O316&gt;kdo_esikTasarruf,"TAŞIYICI DEĞİŞTİR","UYGUN")))</f>
        <v/>
      </c>
      <c r="Q316" s="15">
        <f>IF($A316="","",IFERROR(SUMIF(tblAnahtarB[NormB],$A316,tblVeriB[IadeOran]),0))</f>
        <v/>
      </c>
      <c r="R316" s="15">
        <f>IF(OR($A316="",$E316=0),0,$G316/$E316)</f>
        <v/>
      </c>
      <c r="S316" s="15">
        <f>IF($A316="","",$G316-$E316)</f>
        <v/>
      </c>
      <c r="T316" s="15">
        <f>IF($A316="","",$L316-$N316)</f>
        <v/>
      </c>
    </row>
    <row r="317">
      <c r="A317" s="15">
        <f>IF('ANAHTAR'!$B317="","",'ANAHTAR'!$B317)</f>
        <v/>
      </c>
      <c r="B317" s="15">
        <f>IF($A317="","",IFERROR(SUMIF(tblAnahtarA[Norm],$A317,tblVeriA[EnCm]),0))</f>
        <v/>
      </c>
      <c r="C317" s="15">
        <f>IF($A317="","",IFERROR(SUMIF(tblAnahtarA[Norm],$A317,tblVeriA[BoyCm]),0))</f>
        <v/>
      </c>
      <c r="D317" s="15">
        <f>IF($A317="","",IFERROR(SUMIF(tblAnahtarA[Norm],$A317,tblVeriA[YukseklikCm]),0))</f>
        <v/>
      </c>
      <c r="E317" s="15">
        <f>IF($A317="","",IFERROR(SUMIF(tblAnahtarA[Norm],$A317,tblVeriA[AgirlikKg]),0))</f>
        <v/>
      </c>
      <c r="F317" s="15">
        <f>IF($A317="","",IFERROR(SUMIF(tblAnahtarA[Norm],$A317,tblVeriA[DesiCarpani]),kdo_varsayilanDesiCarpani))</f>
        <v/>
      </c>
      <c r="G317" s="15">
        <f>IF($A317="","",ROUND($B317*$C317*$D317/MAX($F317,1),2))</f>
        <v/>
      </c>
      <c r="H317" s="15">
        <f>IF($A317="","",MAX($G317,$E317))</f>
        <v/>
      </c>
      <c r="I317" s="15">
        <f>IF($A317="","",IFERROR(SUMIF(tblAnahtarB[NormB],$A317,tblVeriB[TarifTlDesi]),0))</f>
        <v/>
      </c>
      <c r="J317" s="15">
        <f>IF($A317="","",IFERROR(SUMIF(tblAnahtarA[Norm],$A317,tblVeriA[Adet]),1))</f>
        <v/>
      </c>
      <c r="K317" s="15">
        <f>IF($A317="","",ROUND($H317*$I317,2))</f>
        <v/>
      </c>
      <c r="L317" s="15">
        <f>IF($A317="","",ROUND($K317*$J317*(1+$Q317*kdo_iadeEtkiCarpani),2))</f>
        <v/>
      </c>
      <c r="M317" s="15">
        <f>IF($A317="","",IFERROR(SUMIF(tblAnahtarB[NormB],$A317,tblVeriB[AlternatifTarif]),0))</f>
        <v/>
      </c>
      <c r="N317" s="15">
        <f>IF($A317="","",ROUND($H317*$M317*$J317*(1+$Q317*kdo_iadeEtkiCarpani),2))</f>
        <v/>
      </c>
      <c r="O317" s="15">
        <f>IF($A317="","",ROUND($L317-$N317,2))</f>
        <v/>
      </c>
      <c r="P317" s="15">
        <f>IF($A317="","",IF($R317&gt;kdo_esikDesiOran,"DESİ DÜŞÜR",IF($O317&gt;kdo_esikTasarruf,"TAŞIYICI DEĞİŞTİR","UYGUN")))</f>
        <v/>
      </c>
      <c r="Q317" s="15">
        <f>IF($A317="","",IFERROR(SUMIF(tblAnahtarB[NormB],$A317,tblVeriB[IadeOran]),0))</f>
        <v/>
      </c>
      <c r="R317" s="15">
        <f>IF(OR($A317="",$E317=0),0,$G317/$E317)</f>
        <v/>
      </c>
      <c r="S317" s="15">
        <f>IF($A317="","",$G317-$E317)</f>
        <v/>
      </c>
      <c r="T317" s="15">
        <f>IF($A317="","",$L317-$N317)</f>
        <v/>
      </c>
    </row>
    <row r="318">
      <c r="A318" s="15">
        <f>IF('ANAHTAR'!$B318="","",'ANAHTAR'!$B318)</f>
        <v/>
      </c>
      <c r="B318" s="15">
        <f>IF($A318="","",IFERROR(SUMIF(tblAnahtarA[Norm],$A318,tblVeriA[EnCm]),0))</f>
        <v/>
      </c>
      <c r="C318" s="15">
        <f>IF($A318="","",IFERROR(SUMIF(tblAnahtarA[Norm],$A318,tblVeriA[BoyCm]),0))</f>
        <v/>
      </c>
      <c r="D318" s="15">
        <f>IF($A318="","",IFERROR(SUMIF(tblAnahtarA[Norm],$A318,tblVeriA[YukseklikCm]),0))</f>
        <v/>
      </c>
      <c r="E318" s="15">
        <f>IF($A318="","",IFERROR(SUMIF(tblAnahtarA[Norm],$A318,tblVeriA[AgirlikKg]),0))</f>
        <v/>
      </c>
      <c r="F318" s="15">
        <f>IF($A318="","",IFERROR(SUMIF(tblAnahtarA[Norm],$A318,tblVeriA[DesiCarpani]),kdo_varsayilanDesiCarpani))</f>
        <v/>
      </c>
      <c r="G318" s="15">
        <f>IF($A318="","",ROUND($B318*$C318*$D318/MAX($F318,1),2))</f>
        <v/>
      </c>
      <c r="H318" s="15">
        <f>IF($A318="","",MAX($G318,$E318))</f>
        <v/>
      </c>
      <c r="I318" s="15">
        <f>IF($A318="","",IFERROR(SUMIF(tblAnahtarB[NormB],$A318,tblVeriB[TarifTlDesi]),0))</f>
        <v/>
      </c>
      <c r="J318" s="15">
        <f>IF($A318="","",IFERROR(SUMIF(tblAnahtarA[Norm],$A318,tblVeriA[Adet]),1))</f>
        <v/>
      </c>
      <c r="K318" s="15">
        <f>IF($A318="","",ROUND($H318*$I318,2))</f>
        <v/>
      </c>
      <c r="L318" s="15">
        <f>IF($A318="","",ROUND($K318*$J318*(1+$Q318*kdo_iadeEtkiCarpani),2))</f>
        <v/>
      </c>
      <c r="M318" s="15">
        <f>IF($A318="","",IFERROR(SUMIF(tblAnahtarB[NormB],$A318,tblVeriB[AlternatifTarif]),0))</f>
        <v/>
      </c>
      <c r="N318" s="15">
        <f>IF($A318="","",ROUND($H318*$M318*$J318*(1+$Q318*kdo_iadeEtkiCarpani),2))</f>
        <v/>
      </c>
      <c r="O318" s="15">
        <f>IF($A318="","",ROUND($L318-$N318,2))</f>
        <v/>
      </c>
      <c r="P318" s="15">
        <f>IF($A318="","",IF($R318&gt;kdo_esikDesiOran,"DESİ DÜŞÜR",IF($O318&gt;kdo_esikTasarruf,"TAŞIYICI DEĞİŞTİR","UYGUN")))</f>
        <v/>
      </c>
      <c r="Q318" s="15">
        <f>IF($A318="","",IFERROR(SUMIF(tblAnahtarB[NormB],$A318,tblVeriB[IadeOran]),0))</f>
        <v/>
      </c>
      <c r="R318" s="15">
        <f>IF(OR($A318="",$E318=0),0,$G318/$E318)</f>
        <v/>
      </c>
      <c r="S318" s="15">
        <f>IF($A318="","",$G318-$E318)</f>
        <v/>
      </c>
      <c r="T318" s="15">
        <f>IF($A318="","",$L318-$N318)</f>
        <v/>
      </c>
    </row>
    <row r="319">
      <c r="A319" s="15">
        <f>IF('ANAHTAR'!$B319="","",'ANAHTAR'!$B319)</f>
        <v/>
      </c>
      <c r="B319" s="15">
        <f>IF($A319="","",IFERROR(SUMIF(tblAnahtarA[Norm],$A319,tblVeriA[EnCm]),0))</f>
        <v/>
      </c>
      <c r="C319" s="15">
        <f>IF($A319="","",IFERROR(SUMIF(tblAnahtarA[Norm],$A319,tblVeriA[BoyCm]),0))</f>
        <v/>
      </c>
      <c r="D319" s="15">
        <f>IF($A319="","",IFERROR(SUMIF(tblAnahtarA[Norm],$A319,tblVeriA[YukseklikCm]),0))</f>
        <v/>
      </c>
      <c r="E319" s="15">
        <f>IF($A319="","",IFERROR(SUMIF(tblAnahtarA[Norm],$A319,tblVeriA[AgirlikKg]),0))</f>
        <v/>
      </c>
      <c r="F319" s="15">
        <f>IF($A319="","",IFERROR(SUMIF(tblAnahtarA[Norm],$A319,tblVeriA[DesiCarpani]),kdo_varsayilanDesiCarpani))</f>
        <v/>
      </c>
      <c r="G319" s="15">
        <f>IF($A319="","",ROUND($B319*$C319*$D319/MAX($F319,1),2))</f>
        <v/>
      </c>
      <c r="H319" s="15">
        <f>IF($A319="","",MAX($G319,$E319))</f>
        <v/>
      </c>
      <c r="I319" s="15">
        <f>IF($A319="","",IFERROR(SUMIF(tblAnahtarB[NormB],$A319,tblVeriB[TarifTlDesi]),0))</f>
        <v/>
      </c>
      <c r="J319" s="15">
        <f>IF($A319="","",IFERROR(SUMIF(tblAnahtarA[Norm],$A319,tblVeriA[Adet]),1))</f>
        <v/>
      </c>
      <c r="K319" s="15">
        <f>IF($A319="","",ROUND($H319*$I319,2))</f>
        <v/>
      </c>
      <c r="L319" s="15">
        <f>IF($A319="","",ROUND($K319*$J319*(1+$Q319*kdo_iadeEtkiCarpani),2))</f>
        <v/>
      </c>
      <c r="M319" s="15">
        <f>IF($A319="","",IFERROR(SUMIF(tblAnahtarB[NormB],$A319,tblVeriB[AlternatifTarif]),0))</f>
        <v/>
      </c>
      <c r="N319" s="15">
        <f>IF($A319="","",ROUND($H319*$M319*$J319*(1+$Q319*kdo_iadeEtkiCarpani),2))</f>
        <v/>
      </c>
      <c r="O319" s="15">
        <f>IF($A319="","",ROUND($L319-$N319,2))</f>
        <v/>
      </c>
      <c r="P319" s="15">
        <f>IF($A319="","",IF($R319&gt;kdo_esikDesiOran,"DESİ DÜŞÜR",IF($O319&gt;kdo_esikTasarruf,"TAŞIYICI DEĞİŞTİR","UYGUN")))</f>
        <v/>
      </c>
      <c r="Q319" s="15">
        <f>IF($A319="","",IFERROR(SUMIF(tblAnahtarB[NormB],$A319,tblVeriB[IadeOran]),0))</f>
        <v/>
      </c>
      <c r="R319" s="15">
        <f>IF(OR($A319="",$E319=0),0,$G319/$E319)</f>
        <v/>
      </c>
      <c r="S319" s="15">
        <f>IF($A319="","",$G319-$E319)</f>
        <v/>
      </c>
      <c r="T319" s="15">
        <f>IF($A319="","",$L319-$N319)</f>
        <v/>
      </c>
    </row>
    <row r="320">
      <c r="A320" s="15">
        <f>IF('ANAHTAR'!$B320="","",'ANAHTAR'!$B320)</f>
        <v/>
      </c>
      <c r="B320" s="15">
        <f>IF($A320="","",IFERROR(SUMIF(tblAnahtarA[Norm],$A320,tblVeriA[EnCm]),0))</f>
        <v/>
      </c>
      <c r="C320" s="15">
        <f>IF($A320="","",IFERROR(SUMIF(tblAnahtarA[Norm],$A320,tblVeriA[BoyCm]),0))</f>
        <v/>
      </c>
      <c r="D320" s="15">
        <f>IF($A320="","",IFERROR(SUMIF(tblAnahtarA[Norm],$A320,tblVeriA[YukseklikCm]),0))</f>
        <v/>
      </c>
      <c r="E320" s="15">
        <f>IF($A320="","",IFERROR(SUMIF(tblAnahtarA[Norm],$A320,tblVeriA[AgirlikKg]),0))</f>
        <v/>
      </c>
      <c r="F320" s="15">
        <f>IF($A320="","",IFERROR(SUMIF(tblAnahtarA[Norm],$A320,tblVeriA[DesiCarpani]),kdo_varsayilanDesiCarpani))</f>
        <v/>
      </c>
      <c r="G320" s="15">
        <f>IF($A320="","",ROUND($B320*$C320*$D320/MAX($F320,1),2))</f>
        <v/>
      </c>
      <c r="H320" s="15">
        <f>IF($A320="","",MAX($G320,$E320))</f>
        <v/>
      </c>
      <c r="I320" s="15">
        <f>IF($A320="","",IFERROR(SUMIF(tblAnahtarB[NormB],$A320,tblVeriB[TarifTlDesi]),0))</f>
        <v/>
      </c>
      <c r="J320" s="15">
        <f>IF($A320="","",IFERROR(SUMIF(tblAnahtarA[Norm],$A320,tblVeriA[Adet]),1))</f>
        <v/>
      </c>
      <c r="K320" s="15">
        <f>IF($A320="","",ROUND($H320*$I320,2))</f>
        <v/>
      </c>
      <c r="L320" s="15">
        <f>IF($A320="","",ROUND($K320*$J320*(1+$Q320*kdo_iadeEtkiCarpani),2))</f>
        <v/>
      </c>
      <c r="M320" s="15">
        <f>IF($A320="","",IFERROR(SUMIF(tblAnahtarB[NormB],$A320,tblVeriB[AlternatifTarif]),0))</f>
        <v/>
      </c>
      <c r="N320" s="15">
        <f>IF($A320="","",ROUND($H320*$M320*$J320*(1+$Q320*kdo_iadeEtkiCarpani),2))</f>
        <v/>
      </c>
      <c r="O320" s="15">
        <f>IF($A320="","",ROUND($L320-$N320,2))</f>
        <v/>
      </c>
      <c r="P320" s="15">
        <f>IF($A320="","",IF($R320&gt;kdo_esikDesiOran,"DESİ DÜŞÜR",IF($O320&gt;kdo_esikTasarruf,"TAŞIYICI DEĞİŞTİR","UYGUN")))</f>
        <v/>
      </c>
      <c r="Q320" s="15">
        <f>IF($A320="","",IFERROR(SUMIF(tblAnahtarB[NormB],$A320,tblVeriB[IadeOran]),0))</f>
        <v/>
      </c>
      <c r="R320" s="15">
        <f>IF(OR($A320="",$E320=0),0,$G320/$E320)</f>
        <v/>
      </c>
      <c r="S320" s="15">
        <f>IF($A320="","",$G320-$E320)</f>
        <v/>
      </c>
      <c r="T320" s="15">
        <f>IF($A320="","",$L320-$N320)</f>
        <v/>
      </c>
    </row>
    <row r="321">
      <c r="A321" s="15">
        <f>IF('ANAHTAR'!$B321="","",'ANAHTAR'!$B321)</f>
        <v/>
      </c>
      <c r="B321" s="15">
        <f>IF($A321="","",IFERROR(SUMIF(tblAnahtarA[Norm],$A321,tblVeriA[EnCm]),0))</f>
        <v/>
      </c>
      <c r="C321" s="15">
        <f>IF($A321="","",IFERROR(SUMIF(tblAnahtarA[Norm],$A321,tblVeriA[BoyCm]),0))</f>
        <v/>
      </c>
      <c r="D321" s="15">
        <f>IF($A321="","",IFERROR(SUMIF(tblAnahtarA[Norm],$A321,tblVeriA[YukseklikCm]),0))</f>
        <v/>
      </c>
      <c r="E321" s="15">
        <f>IF($A321="","",IFERROR(SUMIF(tblAnahtarA[Norm],$A321,tblVeriA[AgirlikKg]),0))</f>
        <v/>
      </c>
      <c r="F321" s="15">
        <f>IF($A321="","",IFERROR(SUMIF(tblAnahtarA[Norm],$A321,tblVeriA[DesiCarpani]),kdo_varsayilanDesiCarpani))</f>
        <v/>
      </c>
      <c r="G321" s="15">
        <f>IF($A321="","",ROUND($B321*$C321*$D321/MAX($F321,1),2))</f>
        <v/>
      </c>
      <c r="H321" s="15">
        <f>IF($A321="","",MAX($G321,$E321))</f>
        <v/>
      </c>
      <c r="I321" s="15">
        <f>IF($A321="","",IFERROR(SUMIF(tblAnahtarB[NormB],$A321,tblVeriB[TarifTlDesi]),0))</f>
        <v/>
      </c>
      <c r="J321" s="15">
        <f>IF($A321="","",IFERROR(SUMIF(tblAnahtarA[Norm],$A321,tblVeriA[Adet]),1))</f>
        <v/>
      </c>
      <c r="K321" s="15">
        <f>IF($A321="","",ROUND($H321*$I321,2))</f>
        <v/>
      </c>
      <c r="L321" s="15">
        <f>IF($A321="","",ROUND($K321*$J321*(1+$Q321*kdo_iadeEtkiCarpani),2))</f>
        <v/>
      </c>
      <c r="M321" s="15">
        <f>IF($A321="","",IFERROR(SUMIF(tblAnahtarB[NormB],$A321,tblVeriB[AlternatifTarif]),0))</f>
        <v/>
      </c>
      <c r="N321" s="15">
        <f>IF($A321="","",ROUND($H321*$M321*$J321*(1+$Q321*kdo_iadeEtkiCarpani),2))</f>
        <v/>
      </c>
      <c r="O321" s="15">
        <f>IF($A321="","",ROUND($L321-$N321,2))</f>
        <v/>
      </c>
      <c r="P321" s="15">
        <f>IF($A321="","",IF($R321&gt;kdo_esikDesiOran,"DESİ DÜŞÜR",IF($O321&gt;kdo_esikTasarruf,"TAŞIYICI DEĞİŞTİR","UYGUN")))</f>
        <v/>
      </c>
      <c r="Q321" s="15">
        <f>IF($A321="","",IFERROR(SUMIF(tblAnahtarB[NormB],$A321,tblVeriB[IadeOran]),0))</f>
        <v/>
      </c>
      <c r="R321" s="15">
        <f>IF(OR($A321="",$E321=0),0,$G321/$E321)</f>
        <v/>
      </c>
      <c r="S321" s="15">
        <f>IF($A321="","",$G321-$E321)</f>
        <v/>
      </c>
      <c r="T321" s="15">
        <f>IF($A321="","",$L321-$N321)</f>
        <v/>
      </c>
    </row>
    <row r="322">
      <c r="A322" s="15">
        <f>IF('ANAHTAR'!$B322="","",'ANAHTAR'!$B322)</f>
        <v/>
      </c>
      <c r="B322" s="15">
        <f>IF($A322="","",IFERROR(SUMIF(tblAnahtarA[Norm],$A322,tblVeriA[EnCm]),0))</f>
        <v/>
      </c>
      <c r="C322" s="15">
        <f>IF($A322="","",IFERROR(SUMIF(tblAnahtarA[Norm],$A322,tblVeriA[BoyCm]),0))</f>
        <v/>
      </c>
      <c r="D322" s="15">
        <f>IF($A322="","",IFERROR(SUMIF(tblAnahtarA[Norm],$A322,tblVeriA[YukseklikCm]),0))</f>
        <v/>
      </c>
      <c r="E322" s="15">
        <f>IF($A322="","",IFERROR(SUMIF(tblAnahtarA[Norm],$A322,tblVeriA[AgirlikKg]),0))</f>
        <v/>
      </c>
      <c r="F322" s="15">
        <f>IF($A322="","",IFERROR(SUMIF(tblAnahtarA[Norm],$A322,tblVeriA[DesiCarpani]),kdo_varsayilanDesiCarpani))</f>
        <v/>
      </c>
      <c r="G322" s="15">
        <f>IF($A322="","",ROUND($B322*$C322*$D322/MAX($F322,1),2))</f>
        <v/>
      </c>
      <c r="H322" s="15">
        <f>IF($A322="","",MAX($G322,$E322))</f>
        <v/>
      </c>
      <c r="I322" s="15">
        <f>IF($A322="","",IFERROR(SUMIF(tblAnahtarB[NormB],$A322,tblVeriB[TarifTlDesi]),0))</f>
        <v/>
      </c>
      <c r="J322" s="15">
        <f>IF($A322="","",IFERROR(SUMIF(tblAnahtarA[Norm],$A322,tblVeriA[Adet]),1))</f>
        <v/>
      </c>
      <c r="K322" s="15">
        <f>IF($A322="","",ROUND($H322*$I322,2))</f>
        <v/>
      </c>
      <c r="L322" s="15">
        <f>IF($A322="","",ROUND($K322*$J322*(1+$Q322*kdo_iadeEtkiCarpani),2))</f>
        <v/>
      </c>
      <c r="M322" s="15">
        <f>IF($A322="","",IFERROR(SUMIF(tblAnahtarB[NormB],$A322,tblVeriB[AlternatifTarif]),0))</f>
        <v/>
      </c>
      <c r="N322" s="15">
        <f>IF($A322="","",ROUND($H322*$M322*$J322*(1+$Q322*kdo_iadeEtkiCarpani),2))</f>
        <v/>
      </c>
      <c r="O322" s="15">
        <f>IF($A322="","",ROUND($L322-$N322,2))</f>
        <v/>
      </c>
      <c r="P322" s="15">
        <f>IF($A322="","",IF($R322&gt;kdo_esikDesiOran,"DESİ DÜŞÜR",IF($O322&gt;kdo_esikTasarruf,"TAŞIYICI DEĞİŞTİR","UYGUN")))</f>
        <v/>
      </c>
      <c r="Q322" s="15">
        <f>IF($A322="","",IFERROR(SUMIF(tblAnahtarB[NormB],$A322,tblVeriB[IadeOran]),0))</f>
        <v/>
      </c>
      <c r="R322" s="15">
        <f>IF(OR($A322="",$E322=0),0,$G322/$E322)</f>
        <v/>
      </c>
      <c r="S322" s="15">
        <f>IF($A322="","",$G322-$E322)</f>
        <v/>
      </c>
      <c r="T322" s="15">
        <f>IF($A322="","",$L322-$N322)</f>
        <v/>
      </c>
    </row>
    <row r="323">
      <c r="A323" s="15">
        <f>IF('ANAHTAR'!$B323="","",'ANAHTAR'!$B323)</f>
        <v/>
      </c>
      <c r="B323" s="15">
        <f>IF($A323="","",IFERROR(SUMIF(tblAnahtarA[Norm],$A323,tblVeriA[EnCm]),0))</f>
        <v/>
      </c>
      <c r="C323" s="15">
        <f>IF($A323="","",IFERROR(SUMIF(tblAnahtarA[Norm],$A323,tblVeriA[BoyCm]),0))</f>
        <v/>
      </c>
      <c r="D323" s="15">
        <f>IF($A323="","",IFERROR(SUMIF(tblAnahtarA[Norm],$A323,tblVeriA[YukseklikCm]),0))</f>
        <v/>
      </c>
      <c r="E323" s="15">
        <f>IF($A323="","",IFERROR(SUMIF(tblAnahtarA[Norm],$A323,tblVeriA[AgirlikKg]),0))</f>
        <v/>
      </c>
      <c r="F323" s="15">
        <f>IF($A323="","",IFERROR(SUMIF(tblAnahtarA[Norm],$A323,tblVeriA[DesiCarpani]),kdo_varsayilanDesiCarpani))</f>
        <v/>
      </c>
      <c r="G323" s="15">
        <f>IF($A323="","",ROUND($B323*$C323*$D323/MAX($F323,1),2))</f>
        <v/>
      </c>
      <c r="H323" s="15">
        <f>IF($A323="","",MAX($G323,$E323))</f>
        <v/>
      </c>
      <c r="I323" s="15">
        <f>IF($A323="","",IFERROR(SUMIF(tblAnahtarB[NormB],$A323,tblVeriB[TarifTlDesi]),0))</f>
        <v/>
      </c>
      <c r="J323" s="15">
        <f>IF($A323="","",IFERROR(SUMIF(tblAnahtarA[Norm],$A323,tblVeriA[Adet]),1))</f>
        <v/>
      </c>
      <c r="K323" s="15">
        <f>IF($A323="","",ROUND($H323*$I323,2))</f>
        <v/>
      </c>
      <c r="L323" s="15">
        <f>IF($A323="","",ROUND($K323*$J323*(1+$Q323*kdo_iadeEtkiCarpani),2))</f>
        <v/>
      </c>
      <c r="M323" s="15">
        <f>IF($A323="","",IFERROR(SUMIF(tblAnahtarB[NormB],$A323,tblVeriB[AlternatifTarif]),0))</f>
        <v/>
      </c>
      <c r="N323" s="15">
        <f>IF($A323="","",ROUND($H323*$M323*$J323*(1+$Q323*kdo_iadeEtkiCarpani),2))</f>
        <v/>
      </c>
      <c r="O323" s="15">
        <f>IF($A323="","",ROUND($L323-$N323,2))</f>
        <v/>
      </c>
      <c r="P323" s="15">
        <f>IF($A323="","",IF($R323&gt;kdo_esikDesiOran,"DESİ DÜŞÜR",IF($O323&gt;kdo_esikTasarruf,"TAŞIYICI DEĞİŞTİR","UYGUN")))</f>
        <v/>
      </c>
      <c r="Q323" s="15">
        <f>IF($A323="","",IFERROR(SUMIF(tblAnahtarB[NormB],$A323,tblVeriB[IadeOran]),0))</f>
        <v/>
      </c>
      <c r="R323" s="15">
        <f>IF(OR($A323="",$E323=0),0,$G323/$E323)</f>
        <v/>
      </c>
      <c r="S323" s="15">
        <f>IF($A323="","",$G323-$E323)</f>
        <v/>
      </c>
      <c r="T323" s="15">
        <f>IF($A323="","",$L323-$N323)</f>
        <v/>
      </c>
    </row>
    <row r="324">
      <c r="A324" s="15">
        <f>IF('ANAHTAR'!$B324="","",'ANAHTAR'!$B324)</f>
        <v/>
      </c>
      <c r="B324" s="15">
        <f>IF($A324="","",IFERROR(SUMIF(tblAnahtarA[Norm],$A324,tblVeriA[EnCm]),0))</f>
        <v/>
      </c>
      <c r="C324" s="15">
        <f>IF($A324="","",IFERROR(SUMIF(tblAnahtarA[Norm],$A324,tblVeriA[BoyCm]),0))</f>
        <v/>
      </c>
      <c r="D324" s="15">
        <f>IF($A324="","",IFERROR(SUMIF(tblAnahtarA[Norm],$A324,tblVeriA[YukseklikCm]),0))</f>
        <v/>
      </c>
      <c r="E324" s="15">
        <f>IF($A324="","",IFERROR(SUMIF(tblAnahtarA[Norm],$A324,tblVeriA[AgirlikKg]),0))</f>
        <v/>
      </c>
      <c r="F324" s="15">
        <f>IF($A324="","",IFERROR(SUMIF(tblAnahtarA[Norm],$A324,tblVeriA[DesiCarpani]),kdo_varsayilanDesiCarpani))</f>
        <v/>
      </c>
      <c r="G324" s="15">
        <f>IF($A324="","",ROUND($B324*$C324*$D324/MAX($F324,1),2))</f>
        <v/>
      </c>
      <c r="H324" s="15">
        <f>IF($A324="","",MAX($G324,$E324))</f>
        <v/>
      </c>
      <c r="I324" s="15">
        <f>IF($A324="","",IFERROR(SUMIF(tblAnahtarB[NormB],$A324,tblVeriB[TarifTlDesi]),0))</f>
        <v/>
      </c>
      <c r="J324" s="15">
        <f>IF($A324="","",IFERROR(SUMIF(tblAnahtarA[Norm],$A324,tblVeriA[Adet]),1))</f>
        <v/>
      </c>
      <c r="K324" s="15">
        <f>IF($A324="","",ROUND($H324*$I324,2))</f>
        <v/>
      </c>
      <c r="L324" s="15">
        <f>IF($A324="","",ROUND($K324*$J324*(1+$Q324*kdo_iadeEtkiCarpani),2))</f>
        <v/>
      </c>
      <c r="M324" s="15">
        <f>IF($A324="","",IFERROR(SUMIF(tblAnahtarB[NormB],$A324,tblVeriB[AlternatifTarif]),0))</f>
        <v/>
      </c>
      <c r="N324" s="15">
        <f>IF($A324="","",ROUND($H324*$M324*$J324*(1+$Q324*kdo_iadeEtkiCarpani),2))</f>
        <v/>
      </c>
      <c r="O324" s="15">
        <f>IF($A324="","",ROUND($L324-$N324,2))</f>
        <v/>
      </c>
      <c r="P324" s="15">
        <f>IF($A324="","",IF($R324&gt;kdo_esikDesiOran,"DESİ DÜŞÜR",IF($O324&gt;kdo_esikTasarruf,"TAŞIYICI DEĞİŞTİR","UYGUN")))</f>
        <v/>
      </c>
      <c r="Q324" s="15">
        <f>IF($A324="","",IFERROR(SUMIF(tblAnahtarB[NormB],$A324,tblVeriB[IadeOran]),0))</f>
        <v/>
      </c>
      <c r="R324" s="15">
        <f>IF(OR($A324="",$E324=0),0,$G324/$E324)</f>
        <v/>
      </c>
      <c r="S324" s="15">
        <f>IF($A324="","",$G324-$E324)</f>
        <v/>
      </c>
      <c r="T324" s="15">
        <f>IF($A324="","",$L324-$N324)</f>
        <v/>
      </c>
    </row>
    <row r="325">
      <c r="A325" s="15">
        <f>IF('ANAHTAR'!$B325="","",'ANAHTAR'!$B325)</f>
        <v/>
      </c>
      <c r="B325" s="15">
        <f>IF($A325="","",IFERROR(SUMIF(tblAnahtarA[Norm],$A325,tblVeriA[EnCm]),0))</f>
        <v/>
      </c>
      <c r="C325" s="15">
        <f>IF($A325="","",IFERROR(SUMIF(tblAnahtarA[Norm],$A325,tblVeriA[BoyCm]),0))</f>
        <v/>
      </c>
      <c r="D325" s="15">
        <f>IF($A325="","",IFERROR(SUMIF(tblAnahtarA[Norm],$A325,tblVeriA[YukseklikCm]),0))</f>
        <v/>
      </c>
      <c r="E325" s="15">
        <f>IF($A325="","",IFERROR(SUMIF(tblAnahtarA[Norm],$A325,tblVeriA[AgirlikKg]),0))</f>
        <v/>
      </c>
      <c r="F325" s="15">
        <f>IF($A325="","",IFERROR(SUMIF(tblAnahtarA[Norm],$A325,tblVeriA[DesiCarpani]),kdo_varsayilanDesiCarpani))</f>
        <v/>
      </c>
      <c r="G325" s="15">
        <f>IF($A325="","",ROUND($B325*$C325*$D325/MAX($F325,1),2))</f>
        <v/>
      </c>
      <c r="H325" s="15">
        <f>IF($A325="","",MAX($G325,$E325))</f>
        <v/>
      </c>
      <c r="I325" s="15">
        <f>IF($A325="","",IFERROR(SUMIF(tblAnahtarB[NormB],$A325,tblVeriB[TarifTlDesi]),0))</f>
        <v/>
      </c>
      <c r="J325" s="15">
        <f>IF($A325="","",IFERROR(SUMIF(tblAnahtarA[Norm],$A325,tblVeriA[Adet]),1))</f>
        <v/>
      </c>
      <c r="K325" s="15">
        <f>IF($A325="","",ROUND($H325*$I325,2))</f>
        <v/>
      </c>
      <c r="L325" s="15">
        <f>IF($A325="","",ROUND($K325*$J325*(1+$Q325*kdo_iadeEtkiCarpani),2))</f>
        <v/>
      </c>
      <c r="M325" s="15">
        <f>IF($A325="","",IFERROR(SUMIF(tblAnahtarB[NormB],$A325,tblVeriB[AlternatifTarif]),0))</f>
        <v/>
      </c>
      <c r="N325" s="15">
        <f>IF($A325="","",ROUND($H325*$M325*$J325*(1+$Q325*kdo_iadeEtkiCarpani),2))</f>
        <v/>
      </c>
      <c r="O325" s="15">
        <f>IF($A325="","",ROUND($L325-$N325,2))</f>
        <v/>
      </c>
      <c r="P325" s="15">
        <f>IF($A325="","",IF($R325&gt;kdo_esikDesiOran,"DESİ DÜŞÜR",IF($O325&gt;kdo_esikTasarruf,"TAŞIYICI DEĞİŞTİR","UYGUN")))</f>
        <v/>
      </c>
      <c r="Q325" s="15">
        <f>IF($A325="","",IFERROR(SUMIF(tblAnahtarB[NormB],$A325,tblVeriB[IadeOran]),0))</f>
        <v/>
      </c>
      <c r="R325" s="15">
        <f>IF(OR($A325="",$E325=0),0,$G325/$E325)</f>
        <v/>
      </c>
      <c r="S325" s="15">
        <f>IF($A325="","",$G325-$E325)</f>
        <v/>
      </c>
      <c r="T325" s="15">
        <f>IF($A325="","",$L325-$N325)</f>
        <v/>
      </c>
    </row>
    <row r="326">
      <c r="A326" s="15">
        <f>IF('ANAHTAR'!$B326="","",'ANAHTAR'!$B326)</f>
        <v/>
      </c>
      <c r="B326" s="15">
        <f>IF($A326="","",IFERROR(SUMIF(tblAnahtarA[Norm],$A326,tblVeriA[EnCm]),0))</f>
        <v/>
      </c>
      <c r="C326" s="15">
        <f>IF($A326="","",IFERROR(SUMIF(tblAnahtarA[Norm],$A326,tblVeriA[BoyCm]),0))</f>
        <v/>
      </c>
      <c r="D326" s="15">
        <f>IF($A326="","",IFERROR(SUMIF(tblAnahtarA[Norm],$A326,tblVeriA[YukseklikCm]),0))</f>
        <v/>
      </c>
      <c r="E326" s="15">
        <f>IF($A326="","",IFERROR(SUMIF(tblAnahtarA[Norm],$A326,tblVeriA[AgirlikKg]),0))</f>
        <v/>
      </c>
      <c r="F326" s="15">
        <f>IF($A326="","",IFERROR(SUMIF(tblAnahtarA[Norm],$A326,tblVeriA[DesiCarpani]),kdo_varsayilanDesiCarpani))</f>
        <v/>
      </c>
      <c r="G326" s="15">
        <f>IF($A326="","",ROUND($B326*$C326*$D326/MAX($F326,1),2))</f>
        <v/>
      </c>
      <c r="H326" s="15">
        <f>IF($A326="","",MAX($G326,$E326))</f>
        <v/>
      </c>
      <c r="I326" s="15">
        <f>IF($A326="","",IFERROR(SUMIF(tblAnahtarB[NormB],$A326,tblVeriB[TarifTlDesi]),0))</f>
        <v/>
      </c>
      <c r="J326" s="15">
        <f>IF($A326="","",IFERROR(SUMIF(tblAnahtarA[Norm],$A326,tblVeriA[Adet]),1))</f>
        <v/>
      </c>
      <c r="K326" s="15">
        <f>IF($A326="","",ROUND($H326*$I326,2))</f>
        <v/>
      </c>
      <c r="L326" s="15">
        <f>IF($A326="","",ROUND($K326*$J326*(1+$Q326*kdo_iadeEtkiCarpani),2))</f>
        <v/>
      </c>
      <c r="M326" s="15">
        <f>IF($A326="","",IFERROR(SUMIF(tblAnahtarB[NormB],$A326,tblVeriB[AlternatifTarif]),0))</f>
        <v/>
      </c>
      <c r="N326" s="15">
        <f>IF($A326="","",ROUND($H326*$M326*$J326*(1+$Q326*kdo_iadeEtkiCarpani),2))</f>
        <v/>
      </c>
      <c r="O326" s="15">
        <f>IF($A326="","",ROUND($L326-$N326,2))</f>
        <v/>
      </c>
      <c r="P326" s="15">
        <f>IF($A326="","",IF($R326&gt;kdo_esikDesiOran,"DESİ DÜŞÜR",IF($O326&gt;kdo_esikTasarruf,"TAŞIYICI DEĞİŞTİR","UYGUN")))</f>
        <v/>
      </c>
      <c r="Q326" s="15">
        <f>IF($A326="","",IFERROR(SUMIF(tblAnahtarB[NormB],$A326,tblVeriB[IadeOran]),0))</f>
        <v/>
      </c>
      <c r="R326" s="15">
        <f>IF(OR($A326="",$E326=0),0,$G326/$E326)</f>
        <v/>
      </c>
      <c r="S326" s="15">
        <f>IF($A326="","",$G326-$E326)</f>
        <v/>
      </c>
      <c r="T326" s="15">
        <f>IF($A326="","",$L326-$N326)</f>
        <v/>
      </c>
    </row>
    <row r="327">
      <c r="A327" s="15">
        <f>IF('ANAHTAR'!$B327="","",'ANAHTAR'!$B327)</f>
        <v/>
      </c>
      <c r="B327" s="15">
        <f>IF($A327="","",IFERROR(SUMIF(tblAnahtarA[Norm],$A327,tblVeriA[EnCm]),0))</f>
        <v/>
      </c>
      <c r="C327" s="15">
        <f>IF($A327="","",IFERROR(SUMIF(tblAnahtarA[Norm],$A327,tblVeriA[BoyCm]),0))</f>
        <v/>
      </c>
      <c r="D327" s="15">
        <f>IF($A327="","",IFERROR(SUMIF(tblAnahtarA[Norm],$A327,tblVeriA[YukseklikCm]),0))</f>
        <v/>
      </c>
      <c r="E327" s="15">
        <f>IF($A327="","",IFERROR(SUMIF(tblAnahtarA[Norm],$A327,tblVeriA[AgirlikKg]),0))</f>
        <v/>
      </c>
      <c r="F327" s="15">
        <f>IF($A327="","",IFERROR(SUMIF(tblAnahtarA[Norm],$A327,tblVeriA[DesiCarpani]),kdo_varsayilanDesiCarpani))</f>
        <v/>
      </c>
      <c r="G327" s="15">
        <f>IF($A327="","",ROUND($B327*$C327*$D327/MAX($F327,1),2))</f>
        <v/>
      </c>
      <c r="H327" s="15">
        <f>IF($A327="","",MAX($G327,$E327))</f>
        <v/>
      </c>
      <c r="I327" s="15">
        <f>IF($A327="","",IFERROR(SUMIF(tblAnahtarB[NormB],$A327,tblVeriB[TarifTlDesi]),0))</f>
        <v/>
      </c>
      <c r="J327" s="15">
        <f>IF($A327="","",IFERROR(SUMIF(tblAnahtarA[Norm],$A327,tblVeriA[Adet]),1))</f>
        <v/>
      </c>
      <c r="K327" s="15">
        <f>IF($A327="","",ROUND($H327*$I327,2))</f>
        <v/>
      </c>
      <c r="L327" s="15">
        <f>IF($A327="","",ROUND($K327*$J327*(1+$Q327*kdo_iadeEtkiCarpani),2))</f>
        <v/>
      </c>
      <c r="M327" s="15">
        <f>IF($A327="","",IFERROR(SUMIF(tblAnahtarB[NormB],$A327,tblVeriB[AlternatifTarif]),0))</f>
        <v/>
      </c>
      <c r="N327" s="15">
        <f>IF($A327="","",ROUND($H327*$M327*$J327*(1+$Q327*kdo_iadeEtkiCarpani),2))</f>
        <v/>
      </c>
      <c r="O327" s="15">
        <f>IF($A327="","",ROUND($L327-$N327,2))</f>
        <v/>
      </c>
      <c r="P327" s="15">
        <f>IF($A327="","",IF($R327&gt;kdo_esikDesiOran,"DESİ DÜŞÜR",IF($O327&gt;kdo_esikTasarruf,"TAŞIYICI DEĞİŞTİR","UYGUN")))</f>
        <v/>
      </c>
      <c r="Q327" s="15">
        <f>IF($A327="","",IFERROR(SUMIF(tblAnahtarB[NormB],$A327,tblVeriB[IadeOran]),0))</f>
        <v/>
      </c>
      <c r="R327" s="15">
        <f>IF(OR($A327="",$E327=0),0,$G327/$E327)</f>
        <v/>
      </c>
      <c r="S327" s="15">
        <f>IF($A327="","",$G327-$E327)</f>
        <v/>
      </c>
      <c r="T327" s="15">
        <f>IF($A327="","",$L327-$N327)</f>
        <v/>
      </c>
    </row>
    <row r="328">
      <c r="A328" s="15">
        <f>IF('ANAHTAR'!$B328="","",'ANAHTAR'!$B328)</f>
        <v/>
      </c>
      <c r="B328" s="15">
        <f>IF($A328="","",IFERROR(SUMIF(tblAnahtarA[Norm],$A328,tblVeriA[EnCm]),0))</f>
        <v/>
      </c>
      <c r="C328" s="15">
        <f>IF($A328="","",IFERROR(SUMIF(tblAnahtarA[Norm],$A328,tblVeriA[BoyCm]),0))</f>
        <v/>
      </c>
      <c r="D328" s="15">
        <f>IF($A328="","",IFERROR(SUMIF(tblAnahtarA[Norm],$A328,tblVeriA[YukseklikCm]),0))</f>
        <v/>
      </c>
      <c r="E328" s="15">
        <f>IF($A328="","",IFERROR(SUMIF(tblAnahtarA[Norm],$A328,tblVeriA[AgirlikKg]),0))</f>
        <v/>
      </c>
      <c r="F328" s="15">
        <f>IF($A328="","",IFERROR(SUMIF(tblAnahtarA[Norm],$A328,tblVeriA[DesiCarpani]),kdo_varsayilanDesiCarpani))</f>
        <v/>
      </c>
      <c r="G328" s="15">
        <f>IF($A328="","",ROUND($B328*$C328*$D328/MAX($F328,1),2))</f>
        <v/>
      </c>
      <c r="H328" s="15">
        <f>IF($A328="","",MAX($G328,$E328))</f>
        <v/>
      </c>
      <c r="I328" s="15">
        <f>IF($A328="","",IFERROR(SUMIF(tblAnahtarB[NormB],$A328,tblVeriB[TarifTlDesi]),0))</f>
        <v/>
      </c>
      <c r="J328" s="15">
        <f>IF($A328="","",IFERROR(SUMIF(tblAnahtarA[Norm],$A328,tblVeriA[Adet]),1))</f>
        <v/>
      </c>
      <c r="K328" s="15">
        <f>IF($A328="","",ROUND($H328*$I328,2))</f>
        <v/>
      </c>
      <c r="L328" s="15">
        <f>IF($A328="","",ROUND($K328*$J328*(1+$Q328*kdo_iadeEtkiCarpani),2))</f>
        <v/>
      </c>
      <c r="M328" s="15">
        <f>IF($A328="","",IFERROR(SUMIF(tblAnahtarB[NormB],$A328,tblVeriB[AlternatifTarif]),0))</f>
        <v/>
      </c>
      <c r="N328" s="15">
        <f>IF($A328="","",ROUND($H328*$M328*$J328*(1+$Q328*kdo_iadeEtkiCarpani),2))</f>
        <v/>
      </c>
      <c r="O328" s="15">
        <f>IF($A328="","",ROUND($L328-$N328,2))</f>
        <v/>
      </c>
      <c r="P328" s="15">
        <f>IF($A328="","",IF($R328&gt;kdo_esikDesiOran,"DESİ DÜŞÜR",IF($O328&gt;kdo_esikTasarruf,"TAŞIYICI DEĞİŞTİR","UYGUN")))</f>
        <v/>
      </c>
      <c r="Q328" s="15">
        <f>IF($A328="","",IFERROR(SUMIF(tblAnahtarB[NormB],$A328,tblVeriB[IadeOran]),0))</f>
        <v/>
      </c>
      <c r="R328" s="15">
        <f>IF(OR($A328="",$E328=0),0,$G328/$E328)</f>
        <v/>
      </c>
      <c r="S328" s="15">
        <f>IF($A328="","",$G328-$E328)</f>
        <v/>
      </c>
      <c r="T328" s="15">
        <f>IF($A328="","",$L328-$N328)</f>
        <v/>
      </c>
    </row>
    <row r="329">
      <c r="A329" s="15">
        <f>IF('ANAHTAR'!$B329="","",'ANAHTAR'!$B329)</f>
        <v/>
      </c>
      <c r="B329" s="15">
        <f>IF($A329="","",IFERROR(SUMIF(tblAnahtarA[Norm],$A329,tblVeriA[EnCm]),0))</f>
        <v/>
      </c>
      <c r="C329" s="15">
        <f>IF($A329="","",IFERROR(SUMIF(tblAnahtarA[Norm],$A329,tblVeriA[BoyCm]),0))</f>
        <v/>
      </c>
      <c r="D329" s="15">
        <f>IF($A329="","",IFERROR(SUMIF(tblAnahtarA[Norm],$A329,tblVeriA[YukseklikCm]),0))</f>
        <v/>
      </c>
      <c r="E329" s="15">
        <f>IF($A329="","",IFERROR(SUMIF(tblAnahtarA[Norm],$A329,tblVeriA[AgirlikKg]),0))</f>
        <v/>
      </c>
      <c r="F329" s="15">
        <f>IF($A329="","",IFERROR(SUMIF(tblAnahtarA[Norm],$A329,tblVeriA[DesiCarpani]),kdo_varsayilanDesiCarpani))</f>
        <v/>
      </c>
      <c r="G329" s="15">
        <f>IF($A329="","",ROUND($B329*$C329*$D329/MAX($F329,1),2))</f>
        <v/>
      </c>
      <c r="H329" s="15">
        <f>IF($A329="","",MAX($G329,$E329))</f>
        <v/>
      </c>
      <c r="I329" s="15">
        <f>IF($A329="","",IFERROR(SUMIF(tblAnahtarB[NormB],$A329,tblVeriB[TarifTlDesi]),0))</f>
        <v/>
      </c>
      <c r="J329" s="15">
        <f>IF($A329="","",IFERROR(SUMIF(tblAnahtarA[Norm],$A329,tblVeriA[Adet]),1))</f>
        <v/>
      </c>
      <c r="K329" s="15">
        <f>IF($A329="","",ROUND($H329*$I329,2))</f>
        <v/>
      </c>
      <c r="L329" s="15">
        <f>IF($A329="","",ROUND($K329*$J329*(1+$Q329*kdo_iadeEtkiCarpani),2))</f>
        <v/>
      </c>
      <c r="M329" s="15">
        <f>IF($A329="","",IFERROR(SUMIF(tblAnahtarB[NormB],$A329,tblVeriB[AlternatifTarif]),0))</f>
        <v/>
      </c>
      <c r="N329" s="15">
        <f>IF($A329="","",ROUND($H329*$M329*$J329*(1+$Q329*kdo_iadeEtkiCarpani),2))</f>
        <v/>
      </c>
      <c r="O329" s="15">
        <f>IF($A329="","",ROUND($L329-$N329,2))</f>
        <v/>
      </c>
      <c r="P329" s="15">
        <f>IF($A329="","",IF($R329&gt;kdo_esikDesiOran,"DESİ DÜŞÜR",IF($O329&gt;kdo_esikTasarruf,"TAŞIYICI DEĞİŞTİR","UYGUN")))</f>
        <v/>
      </c>
      <c r="Q329" s="15">
        <f>IF($A329="","",IFERROR(SUMIF(tblAnahtarB[NormB],$A329,tblVeriB[IadeOran]),0))</f>
        <v/>
      </c>
      <c r="R329" s="15">
        <f>IF(OR($A329="",$E329=0),0,$G329/$E329)</f>
        <v/>
      </c>
      <c r="S329" s="15">
        <f>IF($A329="","",$G329-$E329)</f>
        <v/>
      </c>
      <c r="T329" s="15">
        <f>IF($A329="","",$L329-$N329)</f>
        <v/>
      </c>
    </row>
    <row r="330">
      <c r="A330" s="15">
        <f>IF('ANAHTAR'!$B330="","",'ANAHTAR'!$B330)</f>
        <v/>
      </c>
      <c r="B330" s="15">
        <f>IF($A330="","",IFERROR(SUMIF(tblAnahtarA[Norm],$A330,tblVeriA[EnCm]),0))</f>
        <v/>
      </c>
      <c r="C330" s="15">
        <f>IF($A330="","",IFERROR(SUMIF(tblAnahtarA[Norm],$A330,tblVeriA[BoyCm]),0))</f>
        <v/>
      </c>
      <c r="D330" s="15">
        <f>IF($A330="","",IFERROR(SUMIF(tblAnahtarA[Norm],$A330,tblVeriA[YukseklikCm]),0))</f>
        <v/>
      </c>
      <c r="E330" s="15">
        <f>IF($A330="","",IFERROR(SUMIF(tblAnahtarA[Norm],$A330,tblVeriA[AgirlikKg]),0))</f>
        <v/>
      </c>
      <c r="F330" s="15">
        <f>IF($A330="","",IFERROR(SUMIF(tblAnahtarA[Norm],$A330,tblVeriA[DesiCarpani]),kdo_varsayilanDesiCarpani))</f>
        <v/>
      </c>
      <c r="G330" s="15">
        <f>IF($A330="","",ROUND($B330*$C330*$D330/MAX($F330,1),2))</f>
        <v/>
      </c>
      <c r="H330" s="15">
        <f>IF($A330="","",MAX($G330,$E330))</f>
        <v/>
      </c>
      <c r="I330" s="15">
        <f>IF($A330="","",IFERROR(SUMIF(tblAnahtarB[NormB],$A330,tblVeriB[TarifTlDesi]),0))</f>
        <v/>
      </c>
      <c r="J330" s="15">
        <f>IF($A330="","",IFERROR(SUMIF(tblAnahtarA[Norm],$A330,tblVeriA[Adet]),1))</f>
        <v/>
      </c>
      <c r="K330" s="15">
        <f>IF($A330="","",ROUND($H330*$I330,2))</f>
        <v/>
      </c>
      <c r="L330" s="15">
        <f>IF($A330="","",ROUND($K330*$J330*(1+$Q330*kdo_iadeEtkiCarpani),2))</f>
        <v/>
      </c>
      <c r="M330" s="15">
        <f>IF($A330="","",IFERROR(SUMIF(tblAnahtarB[NormB],$A330,tblVeriB[AlternatifTarif]),0))</f>
        <v/>
      </c>
      <c r="N330" s="15">
        <f>IF($A330="","",ROUND($H330*$M330*$J330*(1+$Q330*kdo_iadeEtkiCarpani),2))</f>
        <v/>
      </c>
      <c r="O330" s="15">
        <f>IF($A330="","",ROUND($L330-$N330,2))</f>
        <v/>
      </c>
      <c r="P330" s="15">
        <f>IF($A330="","",IF($R330&gt;kdo_esikDesiOran,"DESİ DÜŞÜR",IF($O330&gt;kdo_esikTasarruf,"TAŞIYICI DEĞİŞTİR","UYGUN")))</f>
        <v/>
      </c>
      <c r="Q330" s="15">
        <f>IF($A330="","",IFERROR(SUMIF(tblAnahtarB[NormB],$A330,tblVeriB[IadeOran]),0))</f>
        <v/>
      </c>
      <c r="R330" s="15">
        <f>IF(OR($A330="",$E330=0),0,$G330/$E330)</f>
        <v/>
      </c>
      <c r="S330" s="15">
        <f>IF($A330="","",$G330-$E330)</f>
        <v/>
      </c>
      <c r="T330" s="15">
        <f>IF($A330="","",$L330-$N330)</f>
        <v/>
      </c>
    </row>
    <row r="331">
      <c r="A331" s="15">
        <f>IF('ANAHTAR'!$B331="","",'ANAHTAR'!$B331)</f>
        <v/>
      </c>
      <c r="B331" s="15">
        <f>IF($A331="","",IFERROR(SUMIF(tblAnahtarA[Norm],$A331,tblVeriA[EnCm]),0))</f>
        <v/>
      </c>
      <c r="C331" s="15">
        <f>IF($A331="","",IFERROR(SUMIF(tblAnahtarA[Norm],$A331,tblVeriA[BoyCm]),0))</f>
        <v/>
      </c>
      <c r="D331" s="15">
        <f>IF($A331="","",IFERROR(SUMIF(tblAnahtarA[Norm],$A331,tblVeriA[YukseklikCm]),0))</f>
        <v/>
      </c>
      <c r="E331" s="15">
        <f>IF($A331="","",IFERROR(SUMIF(tblAnahtarA[Norm],$A331,tblVeriA[AgirlikKg]),0))</f>
        <v/>
      </c>
      <c r="F331" s="15">
        <f>IF($A331="","",IFERROR(SUMIF(tblAnahtarA[Norm],$A331,tblVeriA[DesiCarpani]),kdo_varsayilanDesiCarpani))</f>
        <v/>
      </c>
      <c r="G331" s="15">
        <f>IF($A331="","",ROUND($B331*$C331*$D331/MAX($F331,1),2))</f>
        <v/>
      </c>
      <c r="H331" s="15">
        <f>IF($A331="","",MAX($G331,$E331))</f>
        <v/>
      </c>
      <c r="I331" s="15">
        <f>IF($A331="","",IFERROR(SUMIF(tblAnahtarB[NormB],$A331,tblVeriB[TarifTlDesi]),0))</f>
        <v/>
      </c>
      <c r="J331" s="15">
        <f>IF($A331="","",IFERROR(SUMIF(tblAnahtarA[Norm],$A331,tblVeriA[Adet]),1))</f>
        <v/>
      </c>
      <c r="K331" s="15">
        <f>IF($A331="","",ROUND($H331*$I331,2))</f>
        <v/>
      </c>
      <c r="L331" s="15">
        <f>IF($A331="","",ROUND($K331*$J331*(1+$Q331*kdo_iadeEtkiCarpani),2))</f>
        <v/>
      </c>
      <c r="M331" s="15">
        <f>IF($A331="","",IFERROR(SUMIF(tblAnahtarB[NormB],$A331,tblVeriB[AlternatifTarif]),0))</f>
        <v/>
      </c>
      <c r="N331" s="15">
        <f>IF($A331="","",ROUND($H331*$M331*$J331*(1+$Q331*kdo_iadeEtkiCarpani),2))</f>
        <v/>
      </c>
      <c r="O331" s="15">
        <f>IF($A331="","",ROUND($L331-$N331,2))</f>
        <v/>
      </c>
      <c r="P331" s="15">
        <f>IF($A331="","",IF($R331&gt;kdo_esikDesiOran,"DESİ DÜŞÜR",IF($O331&gt;kdo_esikTasarruf,"TAŞIYICI DEĞİŞTİR","UYGUN")))</f>
        <v/>
      </c>
      <c r="Q331" s="15">
        <f>IF($A331="","",IFERROR(SUMIF(tblAnahtarB[NormB],$A331,tblVeriB[IadeOran]),0))</f>
        <v/>
      </c>
      <c r="R331" s="15">
        <f>IF(OR($A331="",$E331=0),0,$G331/$E331)</f>
        <v/>
      </c>
      <c r="S331" s="15">
        <f>IF($A331="","",$G331-$E331)</f>
        <v/>
      </c>
      <c r="T331" s="15">
        <f>IF($A331="","",$L331-$N331)</f>
        <v/>
      </c>
    </row>
    <row r="332">
      <c r="A332" s="15">
        <f>IF('ANAHTAR'!$B332="","",'ANAHTAR'!$B332)</f>
        <v/>
      </c>
      <c r="B332" s="15">
        <f>IF($A332="","",IFERROR(SUMIF(tblAnahtarA[Norm],$A332,tblVeriA[EnCm]),0))</f>
        <v/>
      </c>
      <c r="C332" s="15">
        <f>IF($A332="","",IFERROR(SUMIF(tblAnahtarA[Norm],$A332,tblVeriA[BoyCm]),0))</f>
        <v/>
      </c>
      <c r="D332" s="15">
        <f>IF($A332="","",IFERROR(SUMIF(tblAnahtarA[Norm],$A332,tblVeriA[YukseklikCm]),0))</f>
        <v/>
      </c>
      <c r="E332" s="15">
        <f>IF($A332="","",IFERROR(SUMIF(tblAnahtarA[Norm],$A332,tblVeriA[AgirlikKg]),0))</f>
        <v/>
      </c>
      <c r="F332" s="15">
        <f>IF($A332="","",IFERROR(SUMIF(tblAnahtarA[Norm],$A332,tblVeriA[DesiCarpani]),kdo_varsayilanDesiCarpani))</f>
        <v/>
      </c>
      <c r="G332" s="15">
        <f>IF($A332="","",ROUND($B332*$C332*$D332/MAX($F332,1),2))</f>
        <v/>
      </c>
      <c r="H332" s="15">
        <f>IF($A332="","",MAX($G332,$E332))</f>
        <v/>
      </c>
      <c r="I332" s="15">
        <f>IF($A332="","",IFERROR(SUMIF(tblAnahtarB[NormB],$A332,tblVeriB[TarifTlDesi]),0))</f>
        <v/>
      </c>
      <c r="J332" s="15">
        <f>IF($A332="","",IFERROR(SUMIF(tblAnahtarA[Norm],$A332,tblVeriA[Adet]),1))</f>
        <v/>
      </c>
      <c r="K332" s="15">
        <f>IF($A332="","",ROUND($H332*$I332,2))</f>
        <v/>
      </c>
      <c r="L332" s="15">
        <f>IF($A332="","",ROUND($K332*$J332*(1+$Q332*kdo_iadeEtkiCarpani),2))</f>
        <v/>
      </c>
      <c r="M332" s="15">
        <f>IF($A332="","",IFERROR(SUMIF(tblAnahtarB[NormB],$A332,tblVeriB[AlternatifTarif]),0))</f>
        <v/>
      </c>
      <c r="N332" s="15">
        <f>IF($A332="","",ROUND($H332*$M332*$J332*(1+$Q332*kdo_iadeEtkiCarpani),2))</f>
        <v/>
      </c>
      <c r="O332" s="15">
        <f>IF($A332="","",ROUND($L332-$N332,2))</f>
        <v/>
      </c>
      <c r="P332" s="15">
        <f>IF($A332="","",IF($R332&gt;kdo_esikDesiOran,"DESİ DÜŞÜR",IF($O332&gt;kdo_esikTasarruf,"TAŞIYICI DEĞİŞTİR","UYGUN")))</f>
        <v/>
      </c>
      <c r="Q332" s="15">
        <f>IF($A332="","",IFERROR(SUMIF(tblAnahtarB[NormB],$A332,tblVeriB[IadeOran]),0))</f>
        <v/>
      </c>
      <c r="R332" s="15">
        <f>IF(OR($A332="",$E332=0),0,$G332/$E332)</f>
        <v/>
      </c>
      <c r="S332" s="15">
        <f>IF($A332="","",$G332-$E332)</f>
        <v/>
      </c>
      <c r="T332" s="15">
        <f>IF($A332="","",$L332-$N332)</f>
        <v/>
      </c>
    </row>
    <row r="333">
      <c r="A333" s="15">
        <f>IF('ANAHTAR'!$B333="","",'ANAHTAR'!$B333)</f>
        <v/>
      </c>
      <c r="B333" s="15">
        <f>IF($A333="","",IFERROR(SUMIF(tblAnahtarA[Norm],$A333,tblVeriA[EnCm]),0))</f>
        <v/>
      </c>
      <c r="C333" s="15">
        <f>IF($A333="","",IFERROR(SUMIF(tblAnahtarA[Norm],$A333,tblVeriA[BoyCm]),0))</f>
        <v/>
      </c>
      <c r="D333" s="15">
        <f>IF($A333="","",IFERROR(SUMIF(tblAnahtarA[Norm],$A333,tblVeriA[YukseklikCm]),0))</f>
        <v/>
      </c>
      <c r="E333" s="15">
        <f>IF($A333="","",IFERROR(SUMIF(tblAnahtarA[Norm],$A333,tblVeriA[AgirlikKg]),0))</f>
        <v/>
      </c>
      <c r="F333" s="15">
        <f>IF($A333="","",IFERROR(SUMIF(tblAnahtarA[Norm],$A333,tblVeriA[DesiCarpani]),kdo_varsayilanDesiCarpani))</f>
        <v/>
      </c>
      <c r="G333" s="15">
        <f>IF($A333="","",ROUND($B333*$C333*$D333/MAX($F333,1),2))</f>
        <v/>
      </c>
      <c r="H333" s="15">
        <f>IF($A333="","",MAX($G333,$E333))</f>
        <v/>
      </c>
      <c r="I333" s="15">
        <f>IF($A333="","",IFERROR(SUMIF(tblAnahtarB[NormB],$A333,tblVeriB[TarifTlDesi]),0))</f>
        <v/>
      </c>
      <c r="J333" s="15">
        <f>IF($A333="","",IFERROR(SUMIF(tblAnahtarA[Norm],$A333,tblVeriA[Adet]),1))</f>
        <v/>
      </c>
      <c r="K333" s="15">
        <f>IF($A333="","",ROUND($H333*$I333,2))</f>
        <v/>
      </c>
      <c r="L333" s="15">
        <f>IF($A333="","",ROUND($K333*$J333*(1+$Q333*kdo_iadeEtkiCarpani),2))</f>
        <v/>
      </c>
      <c r="M333" s="15">
        <f>IF($A333="","",IFERROR(SUMIF(tblAnahtarB[NormB],$A333,tblVeriB[AlternatifTarif]),0))</f>
        <v/>
      </c>
      <c r="N333" s="15">
        <f>IF($A333="","",ROUND($H333*$M333*$J333*(1+$Q333*kdo_iadeEtkiCarpani),2))</f>
        <v/>
      </c>
      <c r="O333" s="15">
        <f>IF($A333="","",ROUND($L333-$N333,2))</f>
        <v/>
      </c>
      <c r="P333" s="15">
        <f>IF($A333="","",IF($R333&gt;kdo_esikDesiOran,"DESİ DÜŞÜR",IF($O333&gt;kdo_esikTasarruf,"TAŞIYICI DEĞİŞTİR","UYGUN")))</f>
        <v/>
      </c>
      <c r="Q333" s="15">
        <f>IF($A333="","",IFERROR(SUMIF(tblAnahtarB[NormB],$A333,tblVeriB[IadeOran]),0))</f>
        <v/>
      </c>
      <c r="R333" s="15">
        <f>IF(OR($A333="",$E333=0),0,$G333/$E333)</f>
        <v/>
      </c>
      <c r="S333" s="15">
        <f>IF($A333="","",$G333-$E333)</f>
        <v/>
      </c>
      <c r="T333" s="15">
        <f>IF($A333="","",$L333-$N333)</f>
        <v/>
      </c>
    </row>
    <row r="334">
      <c r="A334" s="15">
        <f>IF('ANAHTAR'!$B334="","",'ANAHTAR'!$B334)</f>
        <v/>
      </c>
      <c r="B334" s="15">
        <f>IF($A334="","",IFERROR(SUMIF(tblAnahtarA[Norm],$A334,tblVeriA[EnCm]),0))</f>
        <v/>
      </c>
      <c r="C334" s="15">
        <f>IF($A334="","",IFERROR(SUMIF(tblAnahtarA[Norm],$A334,tblVeriA[BoyCm]),0))</f>
        <v/>
      </c>
      <c r="D334" s="15">
        <f>IF($A334="","",IFERROR(SUMIF(tblAnahtarA[Norm],$A334,tblVeriA[YukseklikCm]),0))</f>
        <v/>
      </c>
      <c r="E334" s="15">
        <f>IF($A334="","",IFERROR(SUMIF(tblAnahtarA[Norm],$A334,tblVeriA[AgirlikKg]),0))</f>
        <v/>
      </c>
      <c r="F334" s="15">
        <f>IF($A334="","",IFERROR(SUMIF(tblAnahtarA[Norm],$A334,tblVeriA[DesiCarpani]),kdo_varsayilanDesiCarpani))</f>
        <v/>
      </c>
      <c r="G334" s="15">
        <f>IF($A334="","",ROUND($B334*$C334*$D334/MAX($F334,1),2))</f>
        <v/>
      </c>
      <c r="H334" s="15">
        <f>IF($A334="","",MAX($G334,$E334))</f>
        <v/>
      </c>
      <c r="I334" s="15">
        <f>IF($A334="","",IFERROR(SUMIF(tblAnahtarB[NormB],$A334,tblVeriB[TarifTlDesi]),0))</f>
        <v/>
      </c>
      <c r="J334" s="15">
        <f>IF($A334="","",IFERROR(SUMIF(tblAnahtarA[Norm],$A334,tblVeriA[Adet]),1))</f>
        <v/>
      </c>
      <c r="K334" s="15">
        <f>IF($A334="","",ROUND($H334*$I334,2))</f>
        <v/>
      </c>
      <c r="L334" s="15">
        <f>IF($A334="","",ROUND($K334*$J334*(1+$Q334*kdo_iadeEtkiCarpani),2))</f>
        <v/>
      </c>
      <c r="M334" s="15">
        <f>IF($A334="","",IFERROR(SUMIF(tblAnahtarB[NormB],$A334,tblVeriB[AlternatifTarif]),0))</f>
        <v/>
      </c>
      <c r="N334" s="15">
        <f>IF($A334="","",ROUND($H334*$M334*$J334*(1+$Q334*kdo_iadeEtkiCarpani),2))</f>
        <v/>
      </c>
      <c r="O334" s="15">
        <f>IF($A334="","",ROUND($L334-$N334,2))</f>
        <v/>
      </c>
      <c r="P334" s="15">
        <f>IF($A334="","",IF($R334&gt;kdo_esikDesiOran,"DESİ DÜŞÜR",IF($O334&gt;kdo_esikTasarruf,"TAŞIYICI DEĞİŞTİR","UYGUN")))</f>
        <v/>
      </c>
      <c r="Q334" s="15">
        <f>IF($A334="","",IFERROR(SUMIF(tblAnahtarB[NormB],$A334,tblVeriB[IadeOran]),0))</f>
        <v/>
      </c>
      <c r="R334" s="15">
        <f>IF(OR($A334="",$E334=0),0,$G334/$E334)</f>
        <v/>
      </c>
      <c r="S334" s="15">
        <f>IF($A334="","",$G334-$E334)</f>
        <v/>
      </c>
      <c r="T334" s="15">
        <f>IF($A334="","",$L334-$N334)</f>
        <v/>
      </c>
    </row>
    <row r="335">
      <c r="A335" s="15">
        <f>IF('ANAHTAR'!$B335="","",'ANAHTAR'!$B335)</f>
        <v/>
      </c>
      <c r="B335" s="15">
        <f>IF($A335="","",IFERROR(SUMIF(tblAnahtarA[Norm],$A335,tblVeriA[EnCm]),0))</f>
        <v/>
      </c>
      <c r="C335" s="15">
        <f>IF($A335="","",IFERROR(SUMIF(tblAnahtarA[Norm],$A335,tblVeriA[BoyCm]),0))</f>
        <v/>
      </c>
      <c r="D335" s="15">
        <f>IF($A335="","",IFERROR(SUMIF(tblAnahtarA[Norm],$A335,tblVeriA[YukseklikCm]),0))</f>
        <v/>
      </c>
      <c r="E335" s="15">
        <f>IF($A335="","",IFERROR(SUMIF(tblAnahtarA[Norm],$A335,tblVeriA[AgirlikKg]),0))</f>
        <v/>
      </c>
      <c r="F335" s="15">
        <f>IF($A335="","",IFERROR(SUMIF(tblAnahtarA[Norm],$A335,tblVeriA[DesiCarpani]),kdo_varsayilanDesiCarpani))</f>
        <v/>
      </c>
      <c r="G335" s="15">
        <f>IF($A335="","",ROUND($B335*$C335*$D335/MAX($F335,1),2))</f>
        <v/>
      </c>
      <c r="H335" s="15">
        <f>IF($A335="","",MAX($G335,$E335))</f>
        <v/>
      </c>
      <c r="I335" s="15">
        <f>IF($A335="","",IFERROR(SUMIF(tblAnahtarB[NormB],$A335,tblVeriB[TarifTlDesi]),0))</f>
        <v/>
      </c>
      <c r="J335" s="15">
        <f>IF($A335="","",IFERROR(SUMIF(tblAnahtarA[Norm],$A335,tblVeriA[Adet]),1))</f>
        <v/>
      </c>
      <c r="K335" s="15">
        <f>IF($A335="","",ROUND($H335*$I335,2))</f>
        <v/>
      </c>
      <c r="L335" s="15">
        <f>IF($A335="","",ROUND($K335*$J335*(1+$Q335*kdo_iadeEtkiCarpani),2))</f>
        <v/>
      </c>
      <c r="M335" s="15">
        <f>IF($A335="","",IFERROR(SUMIF(tblAnahtarB[NormB],$A335,tblVeriB[AlternatifTarif]),0))</f>
        <v/>
      </c>
      <c r="N335" s="15">
        <f>IF($A335="","",ROUND($H335*$M335*$J335*(1+$Q335*kdo_iadeEtkiCarpani),2))</f>
        <v/>
      </c>
      <c r="O335" s="15">
        <f>IF($A335="","",ROUND($L335-$N335,2))</f>
        <v/>
      </c>
      <c r="P335" s="15">
        <f>IF($A335="","",IF($R335&gt;kdo_esikDesiOran,"DESİ DÜŞÜR",IF($O335&gt;kdo_esikTasarruf,"TAŞIYICI DEĞİŞTİR","UYGUN")))</f>
        <v/>
      </c>
      <c r="Q335" s="15">
        <f>IF($A335="","",IFERROR(SUMIF(tblAnahtarB[NormB],$A335,tblVeriB[IadeOran]),0))</f>
        <v/>
      </c>
      <c r="R335" s="15">
        <f>IF(OR($A335="",$E335=0),0,$G335/$E335)</f>
        <v/>
      </c>
      <c r="S335" s="15">
        <f>IF($A335="","",$G335-$E335)</f>
        <v/>
      </c>
      <c r="T335" s="15">
        <f>IF($A335="","",$L335-$N335)</f>
        <v/>
      </c>
    </row>
    <row r="336">
      <c r="A336" s="15">
        <f>IF('ANAHTAR'!$B336="","",'ANAHTAR'!$B336)</f>
        <v/>
      </c>
      <c r="B336" s="15">
        <f>IF($A336="","",IFERROR(SUMIF(tblAnahtarA[Norm],$A336,tblVeriA[EnCm]),0))</f>
        <v/>
      </c>
      <c r="C336" s="15">
        <f>IF($A336="","",IFERROR(SUMIF(tblAnahtarA[Norm],$A336,tblVeriA[BoyCm]),0))</f>
        <v/>
      </c>
      <c r="D336" s="15">
        <f>IF($A336="","",IFERROR(SUMIF(tblAnahtarA[Norm],$A336,tblVeriA[YukseklikCm]),0))</f>
        <v/>
      </c>
      <c r="E336" s="15">
        <f>IF($A336="","",IFERROR(SUMIF(tblAnahtarA[Norm],$A336,tblVeriA[AgirlikKg]),0))</f>
        <v/>
      </c>
      <c r="F336" s="15">
        <f>IF($A336="","",IFERROR(SUMIF(tblAnahtarA[Norm],$A336,tblVeriA[DesiCarpani]),kdo_varsayilanDesiCarpani))</f>
        <v/>
      </c>
      <c r="G336" s="15">
        <f>IF($A336="","",ROUND($B336*$C336*$D336/MAX($F336,1),2))</f>
        <v/>
      </c>
      <c r="H336" s="15">
        <f>IF($A336="","",MAX($G336,$E336))</f>
        <v/>
      </c>
      <c r="I336" s="15">
        <f>IF($A336="","",IFERROR(SUMIF(tblAnahtarB[NormB],$A336,tblVeriB[TarifTlDesi]),0))</f>
        <v/>
      </c>
      <c r="J336" s="15">
        <f>IF($A336="","",IFERROR(SUMIF(tblAnahtarA[Norm],$A336,tblVeriA[Adet]),1))</f>
        <v/>
      </c>
      <c r="K336" s="15">
        <f>IF($A336="","",ROUND($H336*$I336,2))</f>
        <v/>
      </c>
      <c r="L336" s="15">
        <f>IF($A336="","",ROUND($K336*$J336*(1+$Q336*kdo_iadeEtkiCarpani),2))</f>
        <v/>
      </c>
      <c r="M336" s="15">
        <f>IF($A336="","",IFERROR(SUMIF(tblAnahtarB[NormB],$A336,tblVeriB[AlternatifTarif]),0))</f>
        <v/>
      </c>
      <c r="N336" s="15">
        <f>IF($A336="","",ROUND($H336*$M336*$J336*(1+$Q336*kdo_iadeEtkiCarpani),2))</f>
        <v/>
      </c>
      <c r="O336" s="15">
        <f>IF($A336="","",ROUND($L336-$N336,2))</f>
        <v/>
      </c>
      <c r="P336" s="15">
        <f>IF($A336="","",IF($R336&gt;kdo_esikDesiOran,"DESİ DÜŞÜR",IF($O336&gt;kdo_esikTasarruf,"TAŞIYICI DEĞİŞTİR","UYGUN")))</f>
        <v/>
      </c>
      <c r="Q336" s="15">
        <f>IF($A336="","",IFERROR(SUMIF(tblAnahtarB[NormB],$A336,tblVeriB[IadeOran]),0))</f>
        <v/>
      </c>
      <c r="R336" s="15">
        <f>IF(OR($A336="",$E336=0),0,$G336/$E336)</f>
        <v/>
      </c>
      <c r="S336" s="15">
        <f>IF($A336="","",$G336-$E336)</f>
        <v/>
      </c>
      <c r="T336" s="15">
        <f>IF($A336="","",$L336-$N336)</f>
        <v/>
      </c>
    </row>
    <row r="337">
      <c r="A337" s="15">
        <f>IF('ANAHTAR'!$B337="","",'ANAHTAR'!$B337)</f>
        <v/>
      </c>
      <c r="B337" s="15">
        <f>IF($A337="","",IFERROR(SUMIF(tblAnahtarA[Norm],$A337,tblVeriA[EnCm]),0))</f>
        <v/>
      </c>
      <c r="C337" s="15">
        <f>IF($A337="","",IFERROR(SUMIF(tblAnahtarA[Norm],$A337,tblVeriA[BoyCm]),0))</f>
        <v/>
      </c>
      <c r="D337" s="15">
        <f>IF($A337="","",IFERROR(SUMIF(tblAnahtarA[Norm],$A337,tblVeriA[YukseklikCm]),0))</f>
        <v/>
      </c>
      <c r="E337" s="15">
        <f>IF($A337="","",IFERROR(SUMIF(tblAnahtarA[Norm],$A337,tblVeriA[AgirlikKg]),0))</f>
        <v/>
      </c>
      <c r="F337" s="15">
        <f>IF($A337="","",IFERROR(SUMIF(tblAnahtarA[Norm],$A337,tblVeriA[DesiCarpani]),kdo_varsayilanDesiCarpani))</f>
        <v/>
      </c>
      <c r="G337" s="15">
        <f>IF($A337="","",ROUND($B337*$C337*$D337/MAX($F337,1),2))</f>
        <v/>
      </c>
      <c r="H337" s="15">
        <f>IF($A337="","",MAX($G337,$E337))</f>
        <v/>
      </c>
      <c r="I337" s="15">
        <f>IF($A337="","",IFERROR(SUMIF(tblAnahtarB[NormB],$A337,tblVeriB[TarifTlDesi]),0))</f>
        <v/>
      </c>
      <c r="J337" s="15">
        <f>IF($A337="","",IFERROR(SUMIF(tblAnahtarA[Norm],$A337,tblVeriA[Adet]),1))</f>
        <v/>
      </c>
      <c r="K337" s="15">
        <f>IF($A337="","",ROUND($H337*$I337,2))</f>
        <v/>
      </c>
      <c r="L337" s="15">
        <f>IF($A337="","",ROUND($K337*$J337*(1+$Q337*kdo_iadeEtkiCarpani),2))</f>
        <v/>
      </c>
      <c r="M337" s="15">
        <f>IF($A337="","",IFERROR(SUMIF(tblAnahtarB[NormB],$A337,tblVeriB[AlternatifTarif]),0))</f>
        <v/>
      </c>
      <c r="N337" s="15">
        <f>IF($A337="","",ROUND($H337*$M337*$J337*(1+$Q337*kdo_iadeEtkiCarpani),2))</f>
        <v/>
      </c>
      <c r="O337" s="15">
        <f>IF($A337="","",ROUND($L337-$N337,2))</f>
        <v/>
      </c>
      <c r="P337" s="15">
        <f>IF($A337="","",IF($R337&gt;kdo_esikDesiOran,"DESİ DÜŞÜR",IF($O337&gt;kdo_esikTasarruf,"TAŞIYICI DEĞİŞTİR","UYGUN")))</f>
        <v/>
      </c>
      <c r="Q337" s="15">
        <f>IF($A337="","",IFERROR(SUMIF(tblAnahtarB[NormB],$A337,tblVeriB[IadeOran]),0))</f>
        <v/>
      </c>
      <c r="R337" s="15">
        <f>IF(OR($A337="",$E337=0),0,$G337/$E337)</f>
        <v/>
      </c>
      <c r="S337" s="15">
        <f>IF($A337="","",$G337-$E337)</f>
        <v/>
      </c>
      <c r="T337" s="15">
        <f>IF($A337="","",$L337-$N337)</f>
        <v/>
      </c>
    </row>
    <row r="338">
      <c r="A338" s="15">
        <f>IF('ANAHTAR'!$B338="","",'ANAHTAR'!$B338)</f>
        <v/>
      </c>
      <c r="B338" s="15">
        <f>IF($A338="","",IFERROR(SUMIF(tblAnahtarA[Norm],$A338,tblVeriA[EnCm]),0))</f>
        <v/>
      </c>
      <c r="C338" s="15">
        <f>IF($A338="","",IFERROR(SUMIF(tblAnahtarA[Norm],$A338,tblVeriA[BoyCm]),0))</f>
        <v/>
      </c>
      <c r="D338" s="15">
        <f>IF($A338="","",IFERROR(SUMIF(tblAnahtarA[Norm],$A338,tblVeriA[YukseklikCm]),0))</f>
        <v/>
      </c>
      <c r="E338" s="15">
        <f>IF($A338="","",IFERROR(SUMIF(tblAnahtarA[Norm],$A338,tblVeriA[AgirlikKg]),0))</f>
        <v/>
      </c>
      <c r="F338" s="15">
        <f>IF($A338="","",IFERROR(SUMIF(tblAnahtarA[Norm],$A338,tblVeriA[DesiCarpani]),kdo_varsayilanDesiCarpani))</f>
        <v/>
      </c>
      <c r="G338" s="15">
        <f>IF($A338="","",ROUND($B338*$C338*$D338/MAX($F338,1),2))</f>
        <v/>
      </c>
      <c r="H338" s="15">
        <f>IF($A338="","",MAX($G338,$E338))</f>
        <v/>
      </c>
      <c r="I338" s="15">
        <f>IF($A338="","",IFERROR(SUMIF(tblAnahtarB[NormB],$A338,tblVeriB[TarifTlDesi]),0))</f>
        <v/>
      </c>
      <c r="J338" s="15">
        <f>IF($A338="","",IFERROR(SUMIF(tblAnahtarA[Norm],$A338,tblVeriA[Adet]),1))</f>
        <v/>
      </c>
      <c r="K338" s="15">
        <f>IF($A338="","",ROUND($H338*$I338,2))</f>
        <v/>
      </c>
      <c r="L338" s="15">
        <f>IF($A338="","",ROUND($K338*$J338*(1+$Q338*kdo_iadeEtkiCarpani),2))</f>
        <v/>
      </c>
      <c r="M338" s="15">
        <f>IF($A338="","",IFERROR(SUMIF(tblAnahtarB[NormB],$A338,tblVeriB[AlternatifTarif]),0))</f>
        <v/>
      </c>
      <c r="N338" s="15">
        <f>IF($A338="","",ROUND($H338*$M338*$J338*(1+$Q338*kdo_iadeEtkiCarpani),2))</f>
        <v/>
      </c>
      <c r="O338" s="15">
        <f>IF($A338="","",ROUND($L338-$N338,2))</f>
        <v/>
      </c>
      <c r="P338" s="15">
        <f>IF($A338="","",IF($R338&gt;kdo_esikDesiOran,"DESİ DÜŞÜR",IF($O338&gt;kdo_esikTasarruf,"TAŞIYICI DEĞİŞTİR","UYGUN")))</f>
        <v/>
      </c>
      <c r="Q338" s="15">
        <f>IF($A338="","",IFERROR(SUMIF(tblAnahtarB[NormB],$A338,tblVeriB[IadeOran]),0))</f>
        <v/>
      </c>
      <c r="R338" s="15">
        <f>IF(OR($A338="",$E338=0),0,$G338/$E338)</f>
        <v/>
      </c>
      <c r="S338" s="15">
        <f>IF($A338="","",$G338-$E338)</f>
        <v/>
      </c>
      <c r="T338" s="15">
        <f>IF($A338="","",$L338-$N338)</f>
        <v/>
      </c>
    </row>
    <row r="339">
      <c r="A339" s="15">
        <f>IF('ANAHTAR'!$B339="","",'ANAHTAR'!$B339)</f>
        <v/>
      </c>
      <c r="B339" s="15">
        <f>IF($A339="","",IFERROR(SUMIF(tblAnahtarA[Norm],$A339,tblVeriA[EnCm]),0))</f>
        <v/>
      </c>
      <c r="C339" s="15">
        <f>IF($A339="","",IFERROR(SUMIF(tblAnahtarA[Norm],$A339,tblVeriA[BoyCm]),0))</f>
        <v/>
      </c>
      <c r="D339" s="15">
        <f>IF($A339="","",IFERROR(SUMIF(tblAnahtarA[Norm],$A339,tblVeriA[YukseklikCm]),0))</f>
        <v/>
      </c>
      <c r="E339" s="15">
        <f>IF($A339="","",IFERROR(SUMIF(tblAnahtarA[Norm],$A339,tblVeriA[AgirlikKg]),0))</f>
        <v/>
      </c>
      <c r="F339" s="15">
        <f>IF($A339="","",IFERROR(SUMIF(tblAnahtarA[Norm],$A339,tblVeriA[DesiCarpani]),kdo_varsayilanDesiCarpani))</f>
        <v/>
      </c>
      <c r="G339" s="15">
        <f>IF($A339="","",ROUND($B339*$C339*$D339/MAX($F339,1),2))</f>
        <v/>
      </c>
      <c r="H339" s="15">
        <f>IF($A339="","",MAX($G339,$E339))</f>
        <v/>
      </c>
      <c r="I339" s="15">
        <f>IF($A339="","",IFERROR(SUMIF(tblAnahtarB[NormB],$A339,tblVeriB[TarifTlDesi]),0))</f>
        <v/>
      </c>
      <c r="J339" s="15">
        <f>IF($A339="","",IFERROR(SUMIF(tblAnahtarA[Norm],$A339,tblVeriA[Adet]),1))</f>
        <v/>
      </c>
      <c r="K339" s="15">
        <f>IF($A339="","",ROUND($H339*$I339,2))</f>
        <v/>
      </c>
      <c r="L339" s="15">
        <f>IF($A339="","",ROUND($K339*$J339*(1+$Q339*kdo_iadeEtkiCarpani),2))</f>
        <v/>
      </c>
      <c r="M339" s="15">
        <f>IF($A339="","",IFERROR(SUMIF(tblAnahtarB[NormB],$A339,tblVeriB[AlternatifTarif]),0))</f>
        <v/>
      </c>
      <c r="N339" s="15">
        <f>IF($A339="","",ROUND($H339*$M339*$J339*(1+$Q339*kdo_iadeEtkiCarpani),2))</f>
        <v/>
      </c>
      <c r="O339" s="15">
        <f>IF($A339="","",ROUND($L339-$N339,2))</f>
        <v/>
      </c>
      <c r="P339" s="15">
        <f>IF($A339="","",IF($R339&gt;kdo_esikDesiOran,"DESİ DÜŞÜR",IF($O339&gt;kdo_esikTasarruf,"TAŞIYICI DEĞİŞTİR","UYGUN")))</f>
        <v/>
      </c>
      <c r="Q339" s="15">
        <f>IF($A339="","",IFERROR(SUMIF(tblAnahtarB[NormB],$A339,tblVeriB[IadeOran]),0))</f>
        <v/>
      </c>
      <c r="R339" s="15">
        <f>IF(OR($A339="",$E339=0),0,$G339/$E339)</f>
        <v/>
      </c>
      <c r="S339" s="15">
        <f>IF($A339="","",$G339-$E339)</f>
        <v/>
      </c>
      <c r="T339" s="15">
        <f>IF($A339="","",$L339-$N339)</f>
        <v/>
      </c>
    </row>
    <row r="340">
      <c r="A340" s="15">
        <f>IF('ANAHTAR'!$B340="","",'ANAHTAR'!$B340)</f>
        <v/>
      </c>
      <c r="B340" s="15">
        <f>IF($A340="","",IFERROR(SUMIF(tblAnahtarA[Norm],$A340,tblVeriA[EnCm]),0))</f>
        <v/>
      </c>
      <c r="C340" s="15">
        <f>IF($A340="","",IFERROR(SUMIF(tblAnahtarA[Norm],$A340,tblVeriA[BoyCm]),0))</f>
        <v/>
      </c>
      <c r="D340" s="15">
        <f>IF($A340="","",IFERROR(SUMIF(tblAnahtarA[Norm],$A340,tblVeriA[YukseklikCm]),0))</f>
        <v/>
      </c>
      <c r="E340" s="15">
        <f>IF($A340="","",IFERROR(SUMIF(tblAnahtarA[Norm],$A340,tblVeriA[AgirlikKg]),0))</f>
        <v/>
      </c>
      <c r="F340" s="15">
        <f>IF($A340="","",IFERROR(SUMIF(tblAnahtarA[Norm],$A340,tblVeriA[DesiCarpani]),kdo_varsayilanDesiCarpani))</f>
        <v/>
      </c>
      <c r="G340" s="15">
        <f>IF($A340="","",ROUND($B340*$C340*$D340/MAX($F340,1),2))</f>
        <v/>
      </c>
      <c r="H340" s="15">
        <f>IF($A340="","",MAX($G340,$E340))</f>
        <v/>
      </c>
      <c r="I340" s="15">
        <f>IF($A340="","",IFERROR(SUMIF(tblAnahtarB[NormB],$A340,tblVeriB[TarifTlDesi]),0))</f>
        <v/>
      </c>
      <c r="J340" s="15">
        <f>IF($A340="","",IFERROR(SUMIF(tblAnahtarA[Norm],$A340,tblVeriA[Adet]),1))</f>
        <v/>
      </c>
      <c r="K340" s="15">
        <f>IF($A340="","",ROUND($H340*$I340,2))</f>
        <v/>
      </c>
      <c r="L340" s="15">
        <f>IF($A340="","",ROUND($K340*$J340*(1+$Q340*kdo_iadeEtkiCarpani),2))</f>
        <v/>
      </c>
      <c r="M340" s="15">
        <f>IF($A340="","",IFERROR(SUMIF(tblAnahtarB[NormB],$A340,tblVeriB[AlternatifTarif]),0))</f>
        <v/>
      </c>
      <c r="N340" s="15">
        <f>IF($A340="","",ROUND($H340*$M340*$J340*(1+$Q340*kdo_iadeEtkiCarpani),2))</f>
        <v/>
      </c>
      <c r="O340" s="15">
        <f>IF($A340="","",ROUND($L340-$N340,2))</f>
        <v/>
      </c>
      <c r="P340" s="15">
        <f>IF($A340="","",IF($R340&gt;kdo_esikDesiOran,"DESİ DÜŞÜR",IF($O340&gt;kdo_esikTasarruf,"TAŞIYICI DEĞİŞTİR","UYGUN")))</f>
        <v/>
      </c>
      <c r="Q340" s="15">
        <f>IF($A340="","",IFERROR(SUMIF(tblAnahtarB[NormB],$A340,tblVeriB[IadeOran]),0))</f>
        <v/>
      </c>
      <c r="R340" s="15">
        <f>IF(OR($A340="",$E340=0),0,$G340/$E340)</f>
        <v/>
      </c>
      <c r="S340" s="15">
        <f>IF($A340="","",$G340-$E340)</f>
        <v/>
      </c>
      <c r="T340" s="15">
        <f>IF($A340="","",$L340-$N340)</f>
        <v/>
      </c>
    </row>
    <row r="341">
      <c r="A341" s="15">
        <f>IF('ANAHTAR'!$B341="","",'ANAHTAR'!$B341)</f>
        <v/>
      </c>
      <c r="B341" s="15">
        <f>IF($A341="","",IFERROR(SUMIF(tblAnahtarA[Norm],$A341,tblVeriA[EnCm]),0))</f>
        <v/>
      </c>
      <c r="C341" s="15">
        <f>IF($A341="","",IFERROR(SUMIF(tblAnahtarA[Norm],$A341,tblVeriA[BoyCm]),0))</f>
        <v/>
      </c>
      <c r="D341" s="15">
        <f>IF($A341="","",IFERROR(SUMIF(tblAnahtarA[Norm],$A341,tblVeriA[YukseklikCm]),0))</f>
        <v/>
      </c>
      <c r="E341" s="15">
        <f>IF($A341="","",IFERROR(SUMIF(tblAnahtarA[Norm],$A341,tblVeriA[AgirlikKg]),0))</f>
        <v/>
      </c>
      <c r="F341" s="15">
        <f>IF($A341="","",IFERROR(SUMIF(tblAnahtarA[Norm],$A341,tblVeriA[DesiCarpani]),kdo_varsayilanDesiCarpani))</f>
        <v/>
      </c>
      <c r="G341" s="15">
        <f>IF($A341="","",ROUND($B341*$C341*$D341/MAX($F341,1),2))</f>
        <v/>
      </c>
      <c r="H341" s="15">
        <f>IF($A341="","",MAX($G341,$E341))</f>
        <v/>
      </c>
      <c r="I341" s="15">
        <f>IF($A341="","",IFERROR(SUMIF(tblAnahtarB[NormB],$A341,tblVeriB[TarifTlDesi]),0))</f>
        <v/>
      </c>
      <c r="J341" s="15">
        <f>IF($A341="","",IFERROR(SUMIF(tblAnahtarA[Norm],$A341,tblVeriA[Adet]),1))</f>
        <v/>
      </c>
      <c r="K341" s="15">
        <f>IF($A341="","",ROUND($H341*$I341,2))</f>
        <v/>
      </c>
      <c r="L341" s="15">
        <f>IF($A341="","",ROUND($K341*$J341*(1+$Q341*kdo_iadeEtkiCarpani),2))</f>
        <v/>
      </c>
      <c r="M341" s="15">
        <f>IF($A341="","",IFERROR(SUMIF(tblAnahtarB[NormB],$A341,tblVeriB[AlternatifTarif]),0))</f>
        <v/>
      </c>
      <c r="N341" s="15">
        <f>IF($A341="","",ROUND($H341*$M341*$J341*(1+$Q341*kdo_iadeEtkiCarpani),2))</f>
        <v/>
      </c>
      <c r="O341" s="15">
        <f>IF($A341="","",ROUND($L341-$N341,2))</f>
        <v/>
      </c>
      <c r="P341" s="15">
        <f>IF($A341="","",IF($R341&gt;kdo_esikDesiOran,"DESİ DÜŞÜR",IF($O341&gt;kdo_esikTasarruf,"TAŞIYICI DEĞİŞTİR","UYGUN")))</f>
        <v/>
      </c>
      <c r="Q341" s="15">
        <f>IF($A341="","",IFERROR(SUMIF(tblAnahtarB[NormB],$A341,tblVeriB[IadeOran]),0))</f>
        <v/>
      </c>
      <c r="R341" s="15">
        <f>IF(OR($A341="",$E341=0),0,$G341/$E341)</f>
        <v/>
      </c>
      <c r="S341" s="15">
        <f>IF($A341="","",$G341-$E341)</f>
        <v/>
      </c>
      <c r="T341" s="15">
        <f>IF($A341="","",$L341-$N341)</f>
        <v/>
      </c>
    </row>
    <row r="342">
      <c r="A342" s="15">
        <f>IF('ANAHTAR'!$B342="","",'ANAHTAR'!$B342)</f>
        <v/>
      </c>
      <c r="B342" s="15">
        <f>IF($A342="","",IFERROR(SUMIF(tblAnahtarA[Norm],$A342,tblVeriA[EnCm]),0))</f>
        <v/>
      </c>
      <c r="C342" s="15">
        <f>IF($A342="","",IFERROR(SUMIF(tblAnahtarA[Norm],$A342,tblVeriA[BoyCm]),0))</f>
        <v/>
      </c>
      <c r="D342" s="15">
        <f>IF($A342="","",IFERROR(SUMIF(tblAnahtarA[Norm],$A342,tblVeriA[YukseklikCm]),0))</f>
        <v/>
      </c>
      <c r="E342" s="15">
        <f>IF($A342="","",IFERROR(SUMIF(tblAnahtarA[Norm],$A342,tblVeriA[AgirlikKg]),0))</f>
        <v/>
      </c>
      <c r="F342" s="15">
        <f>IF($A342="","",IFERROR(SUMIF(tblAnahtarA[Norm],$A342,tblVeriA[DesiCarpani]),kdo_varsayilanDesiCarpani))</f>
        <v/>
      </c>
      <c r="G342" s="15">
        <f>IF($A342="","",ROUND($B342*$C342*$D342/MAX($F342,1),2))</f>
        <v/>
      </c>
      <c r="H342" s="15">
        <f>IF($A342="","",MAX($G342,$E342))</f>
        <v/>
      </c>
      <c r="I342" s="15">
        <f>IF($A342="","",IFERROR(SUMIF(tblAnahtarB[NormB],$A342,tblVeriB[TarifTlDesi]),0))</f>
        <v/>
      </c>
      <c r="J342" s="15">
        <f>IF($A342="","",IFERROR(SUMIF(tblAnahtarA[Norm],$A342,tblVeriA[Adet]),1))</f>
        <v/>
      </c>
      <c r="K342" s="15">
        <f>IF($A342="","",ROUND($H342*$I342,2))</f>
        <v/>
      </c>
      <c r="L342" s="15">
        <f>IF($A342="","",ROUND($K342*$J342*(1+$Q342*kdo_iadeEtkiCarpani),2))</f>
        <v/>
      </c>
      <c r="M342" s="15">
        <f>IF($A342="","",IFERROR(SUMIF(tblAnahtarB[NormB],$A342,tblVeriB[AlternatifTarif]),0))</f>
        <v/>
      </c>
      <c r="N342" s="15">
        <f>IF($A342="","",ROUND($H342*$M342*$J342*(1+$Q342*kdo_iadeEtkiCarpani),2))</f>
        <v/>
      </c>
      <c r="O342" s="15">
        <f>IF($A342="","",ROUND($L342-$N342,2))</f>
        <v/>
      </c>
      <c r="P342" s="15">
        <f>IF($A342="","",IF($R342&gt;kdo_esikDesiOran,"DESİ DÜŞÜR",IF($O342&gt;kdo_esikTasarruf,"TAŞIYICI DEĞİŞTİR","UYGUN")))</f>
        <v/>
      </c>
      <c r="Q342" s="15">
        <f>IF($A342="","",IFERROR(SUMIF(tblAnahtarB[NormB],$A342,tblVeriB[IadeOran]),0))</f>
        <v/>
      </c>
      <c r="R342" s="15">
        <f>IF(OR($A342="",$E342=0),0,$G342/$E342)</f>
        <v/>
      </c>
      <c r="S342" s="15">
        <f>IF($A342="","",$G342-$E342)</f>
        <v/>
      </c>
      <c r="T342" s="15">
        <f>IF($A342="","",$L342-$N342)</f>
        <v/>
      </c>
    </row>
    <row r="343">
      <c r="A343" s="15">
        <f>IF('ANAHTAR'!$B343="","",'ANAHTAR'!$B343)</f>
        <v/>
      </c>
      <c r="B343" s="15">
        <f>IF($A343="","",IFERROR(SUMIF(tblAnahtarA[Norm],$A343,tblVeriA[EnCm]),0))</f>
        <v/>
      </c>
      <c r="C343" s="15">
        <f>IF($A343="","",IFERROR(SUMIF(tblAnahtarA[Norm],$A343,tblVeriA[BoyCm]),0))</f>
        <v/>
      </c>
      <c r="D343" s="15">
        <f>IF($A343="","",IFERROR(SUMIF(tblAnahtarA[Norm],$A343,tblVeriA[YukseklikCm]),0))</f>
        <v/>
      </c>
      <c r="E343" s="15">
        <f>IF($A343="","",IFERROR(SUMIF(tblAnahtarA[Norm],$A343,tblVeriA[AgirlikKg]),0))</f>
        <v/>
      </c>
      <c r="F343" s="15">
        <f>IF($A343="","",IFERROR(SUMIF(tblAnahtarA[Norm],$A343,tblVeriA[DesiCarpani]),kdo_varsayilanDesiCarpani))</f>
        <v/>
      </c>
      <c r="G343" s="15">
        <f>IF($A343="","",ROUND($B343*$C343*$D343/MAX($F343,1),2))</f>
        <v/>
      </c>
      <c r="H343" s="15">
        <f>IF($A343="","",MAX($G343,$E343))</f>
        <v/>
      </c>
      <c r="I343" s="15">
        <f>IF($A343="","",IFERROR(SUMIF(tblAnahtarB[NormB],$A343,tblVeriB[TarifTlDesi]),0))</f>
        <v/>
      </c>
      <c r="J343" s="15">
        <f>IF($A343="","",IFERROR(SUMIF(tblAnahtarA[Norm],$A343,tblVeriA[Adet]),1))</f>
        <v/>
      </c>
      <c r="K343" s="15">
        <f>IF($A343="","",ROUND($H343*$I343,2))</f>
        <v/>
      </c>
      <c r="L343" s="15">
        <f>IF($A343="","",ROUND($K343*$J343*(1+$Q343*kdo_iadeEtkiCarpani),2))</f>
        <v/>
      </c>
      <c r="M343" s="15">
        <f>IF($A343="","",IFERROR(SUMIF(tblAnahtarB[NormB],$A343,tblVeriB[AlternatifTarif]),0))</f>
        <v/>
      </c>
      <c r="N343" s="15">
        <f>IF($A343="","",ROUND($H343*$M343*$J343*(1+$Q343*kdo_iadeEtkiCarpani),2))</f>
        <v/>
      </c>
      <c r="O343" s="15">
        <f>IF($A343="","",ROUND($L343-$N343,2))</f>
        <v/>
      </c>
      <c r="P343" s="15">
        <f>IF($A343="","",IF($R343&gt;kdo_esikDesiOran,"DESİ DÜŞÜR",IF($O343&gt;kdo_esikTasarruf,"TAŞIYICI DEĞİŞTİR","UYGUN")))</f>
        <v/>
      </c>
      <c r="Q343" s="15">
        <f>IF($A343="","",IFERROR(SUMIF(tblAnahtarB[NormB],$A343,tblVeriB[IadeOran]),0))</f>
        <v/>
      </c>
      <c r="R343" s="15">
        <f>IF(OR($A343="",$E343=0),0,$G343/$E343)</f>
        <v/>
      </c>
      <c r="S343" s="15">
        <f>IF($A343="","",$G343-$E343)</f>
        <v/>
      </c>
      <c r="T343" s="15">
        <f>IF($A343="","",$L343-$N343)</f>
        <v/>
      </c>
    </row>
    <row r="344">
      <c r="A344" s="15">
        <f>IF('ANAHTAR'!$B344="","",'ANAHTAR'!$B344)</f>
        <v/>
      </c>
      <c r="B344" s="15">
        <f>IF($A344="","",IFERROR(SUMIF(tblAnahtarA[Norm],$A344,tblVeriA[EnCm]),0))</f>
        <v/>
      </c>
      <c r="C344" s="15">
        <f>IF($A344="","",IFERROR(SUMIF(tblAnahtarA[Norm],$A344,tblVeriA[BoyCm]),0))</f>
        <v/>
      </c>
      <c r="D344" s="15">
        <f>IF($A344="","",IFERROR(SUMIF(tblAnahtarA[Norm],$A344,tblVeriA[YukseklikCm]),0))</f>
        <v/>
      </c>
      <c r="E344" s="15">
        <f>IF($A344="","",IFERROR(SUMIF(tblAnahtarA[Norm],$A344,tblVeriA[AgirlikKg]),0))</f>
        <v/>
      </c>
      <c r="F344" s="15">
        <f>IF($A344="","",IFERROR(SUMIF(tblAnahtarA[Norm],$A344,tblVeriA[DesiCarpani]),kdo_varsayilanDesiCarpani))</f>
        <v/>
      </c>
      <c r="G344" s="15">
        <f>IF($A344="","",ROUND($B344*$C344*$D344/MAX($F344,1),2))</f>
        <v/>
      </c>
      <c r="H344" s="15">
        <f>IF($A344="","",MAX($G344,$E344))</f>
        <v/>
      </c>
      <c r="I344" s="15">
        <f>IF($A344="","",IFERROR(SUMIF(tblAnahtarB[NormB],$A344,tblVeriB[TarifTlDesi]),0))</f>
        <v/>
      </c>
      <c r="J344" s="15">
        <f>IF($A344="","",IFERROR(SUMIF(tblAnahtarA[Norm],$A344,tblVeriA[Adet]),1))</f>
        <v/>
      </c>
      <c r="K344" s="15">
        <f>IF($A344="","",ROUND($H344*$I344,2))</f>
        <v/>
      </c>
      <c r="L344" s="15">
        <f>IF($A344="","",ROUND($K344*$J344*(1+$Q344*kdo_iadeEtkiCarpani),2))</f>
        <v/>
      </c>
      <c r="M344" s="15">
        <f>IF($A344="","",IFERROR(SUMIF(tblAnahtarB[NormB],$A344,tblVeriB[AlternatifTarif]),0))</f>
        <v/>
      </c>
      <c r="N344" s="15">
        <f>IF($A344="","",ROUND($H344*$M344*$J344*(1+$Q344*kdo_iadeEtkiCarpani),2))</f>
        <v/>
      </c>
      <c r="O344" s="15">
        <f>IF($A344="","",ROUND($L344-$N344,2))</f>
        <v/>
      </c>
      <c r="P344" s="15">
        <f>IF($A344="","",IF($R344&gt;kdo_esikDesiOran,"DESİ DÜŞÜR",IF($O344&gt;kdo_esikTasarruf,"TAŞIYICI DEĞİŞTİR","UYGUN")))</f>
        <v/>
      </c>
      <c r="Q344" s="15">
        <f>IF($A344="","",IFERROR(SUMIF(tblAnahtarB[NormB],$A344,tblVeriB[IadeOran]),0))</f>
        <v/>
      </c>
      <c r="R344" s="15">
        <f>IF(OR($A344="",$E344=0),0,$G344/$E344)</f>
        <v/>
      </c>
      <c r="S344" s="15">
        <f>IF($A344="","",$G344-$E344)</f>
        <v/>
      </c>
      <c r="T344" s="15">
        <f>IF($A344="","",$L344-$N344)</f>
        <v/>
      </c>
    </row>
    <row r="345">
      <c r="A345" s="15">
        <f>IF('ANAHTAR'!$B345="","",'ANAHTAR'!$B345)</f>
        <v/>
      </c>
      <c r="B345" s="15">
        <f>IF($A345="","",IFERROR(SUMIF(tblAnahtarA[Norm],$A345,tblVeriA[EnCm]),0))</f>
        <v/>
      </c>
      <c r="C345" s="15">
        <f>IF($A345="","",IFERROR(SUMIF(tblAnahtarA[Norm],$A345,tblVeriA[BoyCm]),0))</f>
        <v/>
      </c>
      <c r="D345" s="15">
        <f>IF($A345="","",IFERROR(SUMIF(tblAnahtarA[Norm],$A345,tblVeriA[YukseklikCm]),0))</f>
        <v/>
      </c>
      <c r="E345" s="15">
        <f>IF($A345="","",IFERROR(SUMIF(tblAnahtarA[Norm],$A345,tblVeriA[AgirlikKg]),0))</f>
        <v/>
      </c>
      <c r="F345" s="15">
        <f>IF($A345="","",IFERROR(SUMIF(tblAnahtarA[Norm],$A345,tblVeriA[DesiCarpani]),kdo_varsayilanDesiCarpani))</f>
        <v/>
      </c>
      <c r="G345" s="15">
        <f>IF($A345="","",ROUND($B345*$C345*$D345/MAX($F345,1),2))</f>
        <v/>
      </c>
      <c r="H345" s="15">
        <f>IF($A345="","",MAX($G345,$E345))</f>
        <v/>
      </c>
      <c r="I345" s="15">
        <f>IF($A345="","",IFERROR(SUMIF(tblAnahtarB[NormB],$A345,tblVeriB[TarifTlDesi]),0))</f>
        <v/>
      </c>
      <c r="J345" s="15">
        <f>IF($A345="","",IFERROR(SUMIF(tblAnahtarA[Norm],$A345,tblVeriA[Adet]),1))</f>
        <v/>
      </c>
      <c r="K345" s="15">
        <f>IF($A345="","",ROUND($H345*$I345,2))</f>
        <v/>
      </c>
      <c r="L345" s="15">
        <f>IF($A345="","",ROUND($K345*$J345*(1+$Q345*kdo_iadeEtkiCarpani),2))</f>
        <v/>
      </c>
      <c r="M345" s="15">
        <f>IF($A345="","",IFERROR(SUMIF(tblAnahtarB[NormB],$A345,tblVeriB[AlternatifTarif]),0))</f>
        <v/>
      </c>
      <c r="N345" s="15">
        <f>IF($A345="","",ROUND($H345*$M345*$J345*(1+$Q345*kdo_iadeEtkiCarpani),2))</f>
        <v/>
      </c>
      <c r="O345" s="15">
        <f>IF($A345="","",ROUND($L345-$N345,2))</f>
        <v/>
      </c>
      <c r="P345" s="15">
        <f>IF($A345="","",IF($R345&gt;kdo_esikDesiOran,"DESİ DÜŞÜR",IF($O345&gt;kdo_esikTasarruf,"TAŞIYICI DEĞİŞTİR","UYGUN")))</f>
        <v/>
      </c>
      <c r="Q345" s="15">
        <f>IF($A345="","",IFERROR(SUMIF(tblAnahtarB[NormB],$A345,tblVeriB[IadeOran]),0))</f>
        <v/>
      </c>
      <c r="R345" s="15">
        <f>IF(OR($A345="",$E345=0),0,$G345/$E345)</f>
        <v/>
      </c>
      <c r="S345" s="15">
        <f>IF($A345="","",$G345-$E345)</f>
        <v/>
      </c>
      <c r="T345" s="15">
        <f>IF($A345="","",$L345-$N345)</f>
        <v/>
      </c>
    </row>
    <row r="346">
      <c r="A346" s="15">
        <f>IF('ANAHTAR'!$B346="","",'ANAHTAR'!$B346)</f>
        <v/>
      </c>
      <c r="B346" s="15">
        <f>IF($A346="","",IFERROR(SUMIF(tblAnahtarA[Norm],$A346,tblVeriA[EnCm]),0))</f>
        <v/>
      </c>
      <c r="C346" s="15">
        <f>IF($A346="","",IFERROR(SUMIF(tblAnahtarA[Norm],$A346,tblVeriA[BoyCm]),0))</f>
        <v/>
      </c>
      <c r="D346" s="15">
        <f>IF($A346="","",IFERROR(SUMIF(tblAnahtarA[Norm],$A346,tblVeriA[YukseklikCm]),0))</f>
        <v/>
      </c>
      <c r="E346" s="15">
        <f>IF($A346="","",IFERROR(SUMIF(tblAnahtarA[Norm],$A346,tblVeriA[AgirlikKg]),0))</f>
        <v/>
      </c>
      <c r="F346" s="15">
        <f>IF($A346="","",IFERROR(SUMIF(tblAnahtarA[Norm],$A346,tblVeriA[DesiCarpani]),kdo_varsayilanDesiCarpani))</f>
        <v/>
      </c>
      <c r="G346" s="15">
        <f>IF($A346="","",ROUND($B346*$C346*$D346/MAX($F346,1),2))</f>
        <v/>
      </c>
      <c r="H346" s="15">
        <f>IF($A346="","",MAX($G346,$E346))</f>
        <v/>
      </c>
      <c r="I346" s="15">
        <f>IF($A346="","",IFERROR(SUMIF(tblAnahtarB[NormB],$A346,tblVeriB[TarifTlDesi]),0))</f>
        <v/>
      </c>
      <c r="J346" s="15">
        <f>IF($A346="","",IFERROR(SUMIF(tblAnahtarA[Norm],$A346,tblVeriA[Adet]),1))</f>
        <v/>
      </c>
      <c r="K346" s="15">
        <f>IF($A346="","",ROUND($H346*$I346,2))</f>
        <v/>
      </c>
      <c r="L346" s="15">
        <f>IF($A346="","",ROUND($K346*$J346*(1+$Q346*kdo_iadeEtkiCarpani),2))</f>
        <v/>
      </c>
      <c r="M346" s="15">
        <f>IF($A346="","",IFERROR(SUMIF(tblAnahtarB[NormB],$A346,tblVeriB[AlternatifTarif]),0))</f>
        <v/>
      </c>
      <c r="N346" s="15">
        <f>IF($A346="","",ROUND($H346*$M346*$J346*(1+$Q346*kdo_iadeEtkiCarpani),2))</f>
        <v/>
      </c>
      <c r="O346" s="15">
        <f>IF($A346="","",ROUND($L346-$N346,2))</f>
        <v/>
      </c>
      <c r="P346" s="15">
        <f>IF($A346="","",IF($R346&gt;kdo_esikDesiOran,"DESİ DÜŞÜR",IF($O346&gt;kdo_esikTasarruf,"TAŞIYICI DEĞİŞTİR","UYGUN")))</f>
        <v/>
      </c>
      <c r="Q346" s="15">
        <f>IF($A346="","",IFERROR(SUMIF(tblAnahtarB[NormB],$A346,tblVeriB[IadeOran]),0))</f>
        <v/>
      </c>
      <c r="R346" s="15">
        <f>IF(OR($A346="",$E346=0),0,$G346/$E346)</f>
        <v/>
      </c>
      <c r="S346" s="15">
        <f>IF($A346="","",$G346-$E346)</f>
        <v/>
      </c>
      <c r="T346" s="15">
        <f>IF($A346="","",$L346-$N346)</f>
        <v/>
      </c>
    </row>
    <row r="347">
      <c r="A347" s="15">
        <f>IF('ANAHTAR'!$B347="","",'ANAHTAR'!$B347)</f>
        <v/>
      </c>
      <c r="B347" s="15">
        <f>IF($A347="","",IFERROR(SUMIF(tblAnahtarA[Norm],$A347,tblVeriA[EnCm]),0))</f>
        <v/>
      </c>
      <c r="C347" s="15">
        <f>IF($A347="","",IFERROR(SUMIF(tblAnahtarA[Norm],$A347,tblVeriA[BoyCm]),0))</f>
        <v/>
      </c>
      <c r="D347" s="15">
        <f>IF($A347="","",IFERROR(SUMIF(tblAnahtarA[Norm],$A347,tblVeriA[YukseklikCm]),0))</f>
        <v/>
      </c>
      <c r="E347" s="15">
        <f>IF($A347="","",IFERROR(SUMIF(tblAnahtarA[Norm],$A347,tblVeriA[AgirlikKg]),0))</f>
        <v/>
      </c>
      <c r="F347" s="15">
        <f>IF($A347="","",IFERROR(SUMIF(tblAnahtarA[Norm],$A347,tblVeriA[DesiCarpani]),kdo_varsayilanDesiCarpani))</f>
        <v/>
      </c>
      <c r="G347" s="15">
        <f>IF($A347="","",ROUND($B347*$C347*$D347/MAX($F347,1),2))</f>
        <v/>
      </c>
      <c r="H347" s="15">
        <f>IF($A347="","",MAX($G347,$E347))</f>
        <v/>
      </c>
      <c r="I347" s="15">
        <f>IF($A347="","",IFERROR(SUMIF(tblAnahtarB[NormB],$A347,tblVeriB[TarifTlDesi]),0))</f>
        <v/>
      </c>
      <c r="J347" s="15">
        <f>IF($A347="","",IFERROR(SUMIF(tblAnahtarA[Norm],$A347,tblVeriA[Adet]),1))</f>
        <v/>
      </c>
      <c r="K347" s="15">
        <f>IF($A347="","",ROUND($H347*$I347,2))</f>
        <v/>
      </c>
      <c r="L347" s="15">
        <f>IF($A347="","",ROUND($K347*$J347*(1+$Q347*kdo_iadeEtkiCarpani),2))</f>
        <v/>
      </c>
      <c r="M347" s="15">
        <f>IF($A347="","",IFERROR(SUMIF(tblAnahtarB[NormB],$A347,tblVeriB[AlternatifTarif]),0))</f>
        <v/>
      </c>
      <c r="N347" s="15">
        <f>IF($A347="","",ROUND($H347*$M347*$J347*(1+$Q347*kdo_iadeEtkiCarpani),2))</f>
        <v/>
      </c>
      <c r="O347" s="15">
        <f>IF($A347="","",ROUND($L347-$N347,2))</f>
        <v/>
      </c>
      <c r="P347" s="15">
        <f>IF($A347="","",IF($R347&gt;kdo_esikDesiOran,"DESİ DÜŞÜR",IF($O347&gt;kdo_esikTasarruf,"TAŞIYICI DEĞİŞTİR","UYGUN")))</f>
        <v/>
      </c>
      <c r="Q347" s="15">
        <f>IF($A347="","",IFERROR(SUMIF(tblAnahtarB[NormB],$A347,tblVeriB[IadeOran]),0))</f>
        <v/>
      </c>
      <c r="R347" s="15">
        <f>IF(OR($A347="",$E347=0),0,$G347/$E347)</f>
        <v/>
      </c>
      <c r="S347" s="15">
        <f>IF($A347="","",$G347-$E347)</f>
        <v/>
      </c>
      <c r="T347" s="15">
        <f>IF($A347="","",$L347-$N347)</f>
        <v/>
      </c>
    </row>
    <row r="348">
      <c r="A348" s="15">
        <f>IF('ANAHTAR'!$B348="","",'ANAHTAR'!$B348)</f>
        <v/>
      </c>
      <c r="B348" s="15">
        <f>IF($A348="","",IFERROR(SUMIF(tblAnahtarA[Norm],$A348,tblVeriA[EnCm]),0))</f>
        <v/>
      </c>
      <c r="C348" s="15">
        <f>IF($A348="","",IFERROR(SUMIF(tblAnahtarA[Norm],$A348,tblVeriA[BoyCm]),0))</f>
        <v/>
      </c>
      <c r="D348" s="15">
        <f>IF($A348="","",IFERROR(SUMIF(tblAnahtarA[Norm],$A348,tblVeriA[YukseklikCm]),0))</f>
        <v/>
      </c>
      <c r="E348" s="15">
        <f>IF($A348="","",IFERROR(SUMIF(tblAnahtarA[Norm],$A348,tblVeriA[AgirlikKg]),0))</f>
        <v/>
      </c>
      <c r="F348" s="15">
        <f>IF($A348="","",IFERROR(SUMIF(tblAnahtarA[Norm],$A348,tblVeriA[DesiCarpani]),kdo_varsayilanDesiCarpani))</f>
        <v/>
      </c>
      <c r="G348" s="15">
        <f>IF($A348="","",ROUND($B348*$C348*$D348/MAX($F348,1),2))</f>
        <v/>
      </c>
      <c r="H348" s="15">
        <f>IF($A348="","",MAX($G348,$E348))</f>
        <v/>
      </c>
      <c r="I348" s="15">
        <f>IF($A348="","",IFERROR(SUMIF(tblAnahtarB[NormB],$A348,tblVeriB[TarifTlDesi]),0))</f>
        <v/>
      </c>
      <c r="J348" s="15">
        <f>IF($A348="","",IFERROR(SUMIF(tblAnahtarA[Norm],$A348,tblVeriA[Adet]),1))</f>
        <v/>
      </c>
      <c r="K348" s="15">
        <f>IF($A348="","",ROUND($H348*$I348,2))</f>
        <v/>
      </c>
      <c r="L348" s="15">
        <f>IF($A348="","",ROUND($K348*$J348*(1+$Q348*kdo_iadeEtkiCarpani),2))</f>
        <v/>
      </c>
      <c r="M348" s="15">
        <f>IF($A348="","",IFERROR(SUMIF(tblAnahtarB[NormB],$A348,tblVeriB[AlternatifTarif]),0))</f>
        <v/>
      </c>
      <c r="N348" s="15">
        <f>IF($A348="","",ROUND($H348*$M348*$J348*(1+$Q348*kdo_iadeEtkiCarpani),2))</f>
        <v/>
      </c>
      <c r="O348" s="15">
        <f>IF($A348="","",ROUND($L348-$N348,2))</f>
        <v/>
      </c>
      <c r="P348" s="15">
        <f>IF($A348="","",IF($R348&gt;kdo_esikDesiOran,"DESİ DÜŞÜR",IF($O348&gt;kdo_esikTasarruf,"TAŞIYICI DEĞİŞTİR","UYGUN")))</f>
        <v/>
      </c>
      <c r="Q348" s="15">
        <f>IF($A348="","",IFERROR(SUMIF(tblAnahtarB[NormB],$A348,tblVeriB[IadeOran]),0))</f>
        <v/>
      </c>
      <c r="R348" s="15">
        <f>IF(OR($A348="",$E348=0),0,$G348/$E348)</f>
        <v/>
      </c>
      <c r="S348" s="15">
        <f>IF($A348="","",$G348-$E348)</f>
        <v/>
      </c>
      <c r="T348" s="15">
        <f>IF($A348="","",$L348-$N348)</f>
        <v/>
      </c>
    </row>
    <row r="349">
      <c r="A349" s="15">
        <f>IF('ANAHTAR'!$B349="","",'ANAHTAR'!$B349)</f>
        <v/>
      </c>
      <c r="B349" s="15">
        <f>IF($A349="","",IFERROR(SUMIF(tblAnahtarA[Norm],$A349,tblVeriA[EnCm]),0))</f>
        <v/>
      </c>
      <c r="C349" s="15">
        <f>IF($A349="","",IFERROR(SUMIF(tblAnahtarA[Norm],$A349,tblVeriA[BoyCm]),0))</f>
        <v/>
      </c>
      <c r="D349" s="15">
        <f>IF($A349="","",IFERROR(SUMIF(tblAnahtarA[Norm],$A349,tblVeriA[YukseklikCm]),0))</f>
        <v/>
      </c>
      <c r="E349" s="15">
        <f>IF($A349="","",IFERROR(SUMIF(tblAnahtarA[Norm],$A349,tblVeriA[AgirlikKg]),0))</f>
        <v/>
      </c>
      <c r="F349" s="15">
        <f>IF($A349="","",IFERROR(SUMIF(tblAnahtarA[Norm],$A349,tblVeriA[DesiCarpani]),kdo_varsayilanDesiCarpani))</f>
        <v/>
      </c>
      <c r="G349" s="15">
        <f>IF($A349="","",ROUND($B349*$C349*$D349/MAX($F349,1),2))</f>
        <v/>
      </c>
      <c r="H349" s="15">
        <f>IF($A349="","",MAX($G349,$E349))</f>
        <v/>
      </c>
      <c r="I349" s="15">
        <f>IF($A349="","",IFERROR(SUMIF(tblAnahtarB[NormB],$A349,tblVeriB[TarifTlDesi]),0))</f>
        <v/>
      </c>
      <c r="J349" s="15">
        <f>IF($A349="","",IFERROR(SUMIF(tblAnahtarA[Norm],$A349,tblVeriA[Adet]),1))</f>
        <v/>
      </c>
      <c r="K349" s="15">
        <f>IF($A349="","",ROUND($H349*$I349,2))</f>
        <v/>
      </c>
      <c r="L349" s="15">
        <f>IF($A349="","",ROUND($K349*$J349*(1+$Q349*kdo_iadeEtkiCarpani),2))</f>
        <v/>
      </c>
      <c r="M349" s="15">
        <f>IF($A349="","",IFERROR(SUMIF(tblAnahtarB[NormB],$A349,tblVeriB[AlternatifTarif]),0))</f>
        <v/>
      </c>
      <c r="N349" s="15">
        <f>IF($A349="","",ROUND($H349*$M349*$J349*(1+$Q349*kdo_iadeEtkiCarpani),2))</f>
        <v/>
      </c>
      <c r="O349" s="15">
        <f>IF($A349="","",ROUND($L349-$N349,2))</f>
        <v/>
      </c>
      <c r="P349" s="15">
        <f>IF($A349="","",IF($R349&gt;kdo_esikDesiOran,"DESİ DÜŞÜR",IF($O349&gt;kdo_esikTasarruf,"TAŞIYICI DEĞİŞTİR","UYGUN")))</f>
        <v/>
      </c>
      <c r="Q349" s="15">
        <f>IF($A349="","",IFERROR(SUMIF(tblAnahtarB[NormB],$A349,tblVeriB[IadeOran]),0))</f>
        <v/>
      </c>
      <c r="R349" s="15">
        <f>IF(OR($A349="",$E349=0),0,$G349/$E349)</f>
        <v/>
      </c>
      <c r="S349" s="15">
        <f>IF($A349="","",$G349-$E349)</f>
        <v/>
      </c>
      <c r="T349" s="15">
        <f>IF($A349="","",$L349-$N349)</f>
        <v/>
      </c>
    </row>
    <row r="350">
      <c r="A350" s="15">
        <f>IF('ANAHTAR'!$B350="","",'ANAHTAR'!$B350)</f>
        <v/>
      </c>
      <c r="B350" s="15">
        <f>IF($A350="","",IFERROR(SUMIF(tblAnahtarA[Norm],$A350,tblVeriA[EnCm]),0))</f>
        <v/>
      </c>
      <c r="C350" s="15">
        <f>IF($A350="","",IFERROR(SUMIF(tblAnahtarA[Norm],$A350,tblVeriA[BoyCm]),0))</f>
        <v/>
      </c>
      <c r="D350" s="15">
        <f>IF($A350="","",IFERROR(SUMIF(tblAnahtarA[Norm],$A350,tblVeriA[YukseklikCm]),0))</f>
        <v/>
      </c>
      <c r="E350" s="15">
        <f>IF($A350="","",IFERROR(SUMIF(tblAnahtarA[Norm],$A350,tblVeriA[AgirlikKg]),0))</f>
        <v/>
      </c>
      <c r="F350" s="15">
        <f>IF($A350="","",IFERROR(SUMIF(tblAnahtarA[Norm],$A350,tblVeriA[DesiCarpani]),kdo_varsayilanDesiCarpani))</f>
        <v/>
      </c>
      <c r="G350" s="15">
        <f>IF($A350="","",ROUND($B350*$C350*$D350/MAX($F350,1),2))</f>
        <v/>
      </c>
      <c r="H350" s="15">
        <f>IF($A350="","",MAX($G350,$E350))</f>
        <v/>
      </c>
      <c r="I350" s="15">
        <f>IF($A350="","",IFERROR(SUMIF(tblAnahtarB[NormB],$A350,tblVeriB[TarifTlDesi]),0))</f>
        <v/>
      </c>
      <c r="J350" s="15">
        <f>IF($A350="","",IFERROR(SUMIF(tblAnahtarA[Norm],$A350,tblVeriA[Adet]),1))</f>
        <v/>
      </c>
      <c r="K350" s="15">
        <f>IF($A350="","",ROUND($H350*$I350,2))</f>
        <v/>
      </c>
      <c r="L350" s="15">
        <f>IF($A350="","",ROUND($K350*$J350*(1+$Q350*kdo_iadeEtkiCarpani),2))</f>
        <v/>
      </c>
      <c r="M350" s="15">
        <f>IF($A350="","",IFERROR(SUMIF(tblAnahtarB[NormB],$A350,tblVeriB[AlternatifTarif]),0))</f>
        <v/>
      </c>
      <c r="N350" s="15">
        <f>IF($A350="","",ROUND($H350*$M350*$J350*(1+$Q350*kdo_iadeEtkiCarpani),2))</f>
        <v/>
      </c>
      <c r="O350" s="15">
        <f>IF($A350="","",ROUND($L350-$N350,2))</f>
        <v/>
      </c>
      <c r="P350" s="15">
        <f>IF($A350="","",IF($R350&gt;kdo_esikDesiOran,"DESİ DÜŞÜR",IF($O350&gt;kdo_esikTasarruf,"TAŞIYICI DEĞİŞTİR","UYGUN")))</f>
        <v/>
      </c>
      <c r="Q350" s="15">
        <f>IF($A350="","",IFERROR(SUMIF(tblAnahtarB[NormB],$A350,tblVeriB[IadeOran]),0))</f>
        <v/>
      </c>
      <c r="R350" s="15">
        <f>IF(OR($A350="",$E350=0),0,$G350/$E350)</f>
        <v/>
      </c>
      <c r="S350" s="15">
        <f>IF($A350="","",$G350-$E350)</f>
        <v/>
      </c>
      <c r="T350" s="15">
        <f>IF($A350="","",$L350-$N350)</f>
        <v/>
      </c>
    </row>
    <row r="351">
      <c r="A351" s="15">
        <f>IF('ANAHTAR'!$B351="","",'ANAHTAR'!$B351)</f>
        <v/>
      </c>
      <c r="B351" s="15">
        <f>IF($A351="","",IFERROR(SUMIF(tblAnahtarA[Norm],$A351,tblVeriA[EnCm]),0))</f>
        <v/>
      </c>
      <c r="C351" s="15">
        <f>IF($A351="","",IFERROR(SUMIF(tblAnahtarA[Norm],$A351,tblVeriA[BoyCm]),0))</f>
        <v/>
      </c>
      <c r="D351" s="15">
        <f>IF($A351="","",IFERROR(SUMIF(tblAnahtarA[Norm],$A351,tblVeriA[YukseklikCm]),0))</f>
        <v/>
      </c>
      <c r="E351" s="15">
        <f>IF($A351="","",IFERROR(SUMIF(tblAnahtarA[Norm],$A351,tblVeriA[AgirlikKg]),0))</f>
        <v/>
      </c>
      <c r="F351" s="15">
        <f>IF($A351="","",IFERROR(SUMIF(tblAnahtarA[Norm],$A351,tblVeriA[DesiCarpani]),kdo_varsayilanDesiCarpani))</f>
        <v/>
      </c>
      <c r="G351" s="15">
        <f>IF($A351="","",ROUND($B351*$C351*$D351/MAX($F351,1),2))</f>
        <v/>
      </c>
      <c r="H351" s="15">
        <f>IF($A351="","",MAX($G351,$E351))</f>
        <v/>
      </c>
      <c r="I351" s="15">
        <f>IF($A351="","",IFERROR(SUMIF(tblAnahtarB[NormB],$A351,tblVeriB[TarifTlDesi]),0))</f>
        <v/>
      </c>
      <c r="J351" s="15">
        <f>IF($A351="","",IFERROR(SUMIF(tblAnahtarA[Norm],$A351,tblVeriA[Adet]),1))</f>
        <v/>
      </c>
      <c r="K351" s="15">
        <f>IF($A351="","",ROUND($H351*$I351,2))</f>
        <v/>
      </c>
      <c r="L351" s="15">
        <f>IF($A351="","",ROUND($K351*$J351*(1+$Q351*kdo_iadeEtkiCarpani),2))</f>
        <v/>
      </c>
      <c r="M351" s="15">
        <f>IF($A351="","",IFERROR(SUMIF(tblAnahtarB[NormB],$A351,tblVeriB[AlternatifTarif]),0))</f>
        <v/>
      </c>
      <c r="N351" s="15">
        <f>IF($A351="","",ROUND($H351*$M351*$J351*(1+$Q351*kdo_iadeEtkiCarpani),2))</f>
        <v/>
      </c>
      <c r="O351" s="15">
        <f>IF($A351="","",ROUND($L351-$N351,2))</f>
        <v/>
      </c>
      <c r="P351" s="15">
        <f>IF($A351="","",IF($R351&gt;kdo_esikDesiOran,"DESİ DÜŞÜR",IF($O351&gt;kdo_esikTasarruf,"TAŞIYICI DEĞİŞTİR","UYGUN")))</f>
        <v/>
      </c>
      <c r="Q351" s="15">
        <f>IF($A351="","",IFERROR(SUMIF(tblAnahtarB[NormB],$A351,tblVeriB[IadeOran]),0))</f>
        <v/>
      </c>
      <c r="R351" s="15">
        <f>IF(OR($A351="",$E351=0),0,$G351/$E351)</f>
        <v/>
      </c>
      <c r="S351" s="15">
        <f>IF($A351="","",$G351-$E351)</f>
        <v/>
      </c>
      <c r="T351" s="15">
        <f>IF($A351="","",$L351-$N351)</f>
        <v/>
      </c>
    </row>
    <row r="352">
      <c r="A352" s="15">
        <f>IF('ANAHTAR'!$B352="","",'ANAHTAR'!$B352)</f>
        <v/>
      </c>
      <c r="B352" s="15">
        <f>IF($A352="","",IFERROR(SUMIF(tblAnahtarA[Norm],$A352,tblVeriA[EnCm]),0))</f>
        <v/>
      </c>
      <c r="C352" s="15">
        <f>IF($A352="","",IFERROR(SUMIF(tblAnahtarA[Norm],$A352,tblVeriA[BoyCm]),0))</f>
        <v/>
      </c>
      <c r="D352" s="15">
        <f>IF($A352="","",IFERROR(SUMIF(tblAnahtarA[Norm],$A352,tblVeriA[YukseklikCm]),0))</f>
        <v/>
      </c>
      <c r="E352" s="15">
        <f>IF($A352="","",IFERROR(SUMIF(tblAnahtarA[Norm],$A352,tblVeriA[AgirlikKg]),0))</f>
        <v/>
      </c>
      <c r="F352" s="15">
        <f>IF($A352="","",IFERROR(SUMIF(tblAnahtarA[Norm],$A352,tblVeriA[DesiCarpani]),kdo_varsayilanDesiCarpani))</f>
        <v/>
      </c>
      <c r="G352" s="15">
        <f>IF($A352="","",ROUND($B352*$C352*$D352/MAX($F352,1),2))</f>
        <v/>
      </c>
      <c r="H352" s="15">
        <f>IF($A352="","",MAX($G352,$E352))</f>
        <v/>
      </c>
      <c r="I352" s="15">
        <f>IF($A352="","",IFERROR(SUMIF(tblAnahtarB[NormB],$A352,tblVeriB[TarifTlDesi]),0))</f>
        <v/>
      </c>
      <c r="J352" s="15">
        <f>IF($A352="","",IFERROR(SUMIF(tblAnahtarA[Norm],$A352,tblVeriA[Adet]),1))</f>
        <v/>
      </c>
      <c r="K352" s="15">
        <f>IF($A352="","",ROUND($H352*$I352,2))</f>
        <v/>
      </c>
      <c r="L352" s="15">
        <f>IF($A352="","",ROUND($K352*$J352*(1+$Q352*kdo_iadeEtkiCarpani),2))</f>
        <v/>
      </c>
      <c r="M352" s="15">
        <f>IF($A352="","",IFERROR(SUMIF(tblAnahtarB[NormB],$A352,tblVeriB[AlternatifTarif]),0))</f>
        <v/>
      </c>
      <c r="N352" s="15">
        <f>IF($A352="","",ROUND($H352*$M352*$J352*(1+$Q352*kdo_iadeEtkiCarpani),2))</f>
        <v/>
      </c>
      <c r="O352" s="15">
        <f>IF($A352="","",ROUND($L352-$N352,2))</f>
        <v/>
      </c>
      <c r="P352" s="15">
        <f>IF($A352="","",IF($R352&gt;kdo_esikDesiOran,"DESİ DÜŞÜR",IF($O352&gt;kdo_esikTasarruf,"TAŞIYICI DEĞİŞTİR","UYGUN")))</f>
        <v/>
      </c>
      <c r="Q352" s="15">
        <f>IF($A352="","",IFERROR(SUMIF(tblAnahtarB[NormB],$A352,tblVeriB[IadeOran]),0))</f>
        <v/>
      </c>
      <c r="R352" s="15">
        <f>IF(OR($A352="",$E352=0),0,$G352/$E352)</f>
        <v/>
      </c>
      <c r="S352" s="15">
        <f>IF($A352="","",$G352-$E352)</f>
        <v/>
      </c>
      <c r="T352" s="15">
        <f>IF($A352="","",$L352-$N352)</f>
        <v/>
      </c>
    </row>
    <row r="353">
      <c r="A353" s="15">
        <f>IF('ANAHTAR'!$B353="","",'ANAHTAR'!$B353)</f>
        <v/>
      </c>
      <c r="B353" s="15">
        <f>IF($A353="","",IFERROR(SUMIF(tblAnahtarA[Norm],$A353,tblVeriA[EnCm]),0))</f>
        <v/>
      </c>
      <c r="C353" s="15">
        <f>IF($A353="","",IFERROR(SUMIF(tblAnahtarA[Norm],$A353,tblVeriA[BoyCm]),0))</f>
        <v/>
      </c>
      <c r="D353" s="15">
        <f>IF($A353="","",IFERROR(SUMIF(tblAnahtarA[Norm],$A353,tblVeriA[YukseklikCm]),0))</f>
        <v/>
      </c>
      <c r="E353" s="15">
        <f>IF($A353="","",IFERROR(SUMIF(tblAnahtarA[Norm],$A353,tblVeriA[AgirlikKg]),0))</f>
        <v/>
      </c>
      <c r="F353" s="15">
        <f>IF($A353="","",IFERROR(SUMIF(tblAnahtarA[Norm],$A353,tblVeriA[DesiCarpani]),kdo_varsayilanDesiCarpani))</f>
        <v/>
      </c>
      <c r="G353" s="15">
        <f>IF($A353="","",ROUND($B353*$C353*$D353/MAX($F353,1),2))</f>
        <v/>
      </c>
      <c r="H353" s="15">
        <f>IF($A353="","",MAX($G353,$E353))</f>
        <v/>
      </c>
      <c r="I353" s="15">
        <f>IF($A353="","",IFERROR(SUMIF(tblAnahtarB[NormB],$A353,tblVeriB[TarifTlDesi]),0))</f>
        <v/>
      </c>
      <c r="J353" s="15">
        <f>IF($A353="","",IFERROR(SUMIF(tblAnahtarA[Norm],$A353,tblVeriA[Adet]),1))</f>
        <v/>
      </c>
      <c r="K353" s="15">
        <f>IF($A353="","",ROUND($H353*$I353,2))</f>
        <v/>
      </c>
      <c r="L353" s="15">
        <f>IF($A353="","",ROUND($K353*$J353*(1+$Q353*kdo_iadeEtkiCarpani),2))</f>
        <v/>
      </c>
      <c r="M353" s="15">
        <f>IF($A353="","",IFERROR(SUMIF(tblAnahtarB[NormB],$A353,tblVeriB[AlternatifTarif]),0))</f>
        <v/>
      </c>
      <c r="N353" s="15">
        <f>IF($A353="","",ROUND($H353*$M353*$J353*(1+$Q353*kdo_iadeEtkiCarpani),2))</f>
        <v/>
      </c>
      <c r="O353" s="15">
        <f>IF($A353="","",ROUND($L353-$N353,2))</f>
        <v/>
      </c>
      <c r="P353" s="15">
        <f>IF($A353="","",IF($R353&gt;kdo_esikDesiOran,"DESİ DÜŞÜR",IF($O353&gt;kdo_esikTasarruf,"TAŞIYICI DEĞİŞTİR","UYGUN")))</f>
        <v/>
      </c>
      <c r="Q353" s="15">
        <f>IF($A353="","",IFERROR(SUMIF(tblAnahtarB[NormB],$A353,tblVeriB[IadeOran]),0))</f>
        <v/>
      </c>
      <c r="R353" s="15">
        <f>IF(OR($A353="",$E353=0),0,$G353/$E353)</f>
        <v/>
      </c>
      <c r="S353" s="15">
        <f>IF($A353="","",$G353-$E353)</f>
        <v/>
      </c>
      <c r="T353" s="15">
        <f>IF($A353="","",$L353-$N353)</f>
        <v/>
      </c>
    </row>
    <row r="354">
      <c r="A354" s="15">
        <f>IF('ANAHTAR'!$B354="","",'ANAHTAR'!$B354)</f>
        <v/>
      </c>
      <c r="B354" s="15">
        <f>IF($A354="","",IFERROR(SUMIF(tblAnahtarA[Norm],$A354,tblVeriA[EnCm]),0))</f>
        <v/>
      </c>
      <c r="C354" s="15">
        <f>IF($A354="","",IFERROR(SUMIF(tblAnahtarA[Norm],$A354,tblVeriA[BoyCm]),0))</f>
        <v/>
      </c>
      <c r="D354" s="15">
        <f>IF($A354="","",IFERROR(SUMIF(tblAnahtarA[Norm],$A354,tblVeriA[YukseklikCm]),0))</f>
        <v/>
      </c>
      <c r="E354" s="15">
        <f>IF($A354="","",IFERROR(SUMIF(tblAnahtarA[Norm],$A354,tblVeriA[AgirlikKg]),0))</f>
        <v/>
      </c>
      <c r="F354" s="15">
        <f>IF($A354="","",IFERROR(SUMIF(tblAnahtarA[Norm],$A354,tblVeriA[DesiCarpani]),kdo_varsayilanDesiCarpani))</f>
        <v/>
      </c>
      <c r="G354" s="15">
        <f>IF($A354="","",ROUND($B354*$C354*$D354/MAX($F354,1),2))</f>
        <v/>
      </c>
      <c r="H354" s="15">
        <f>IF($A354="","",MAX($G354,$E354))</f>
        <v/>
      </c>
      <c r="I354" s="15">
        <f>IF($A354="","",IFERROR(SUMIF(tblAnahtarB[NormB],$A354,tblVeriB[TarifTlDesi]),0))</f>
        <v/>
      </c>
      <c r="J354" s="15">
        <f>IF($A354="","",IFERROR(SUMIF(tblAnahtarA[Norm],$A354,tblVeriA[Adet]),1))</f>
        <v/>
      </c>
      <c r="K354" s="15">
        <f>IF($A354="","",ROUND($H354*$I354,2))</f>
        <v/>
      </c>
      <c r="L354" s="15">
        <f>IF($A354="","",ROUND($K354*$J354*(1+$Q354*kdo_iadeEtkiCarpani),2))</f>
        <v/>
      </c>
      <c r="M354" s="15">
        <f>IF($A354="","",IFERROR(SUMIF(tblAnahtarB[NormB],$A354,tblVeriB[AlternatifTarif]),0))</f>
        <v/>
      </c>
      <c r="N354" s="15">
        <f>IF($A354="","",ROUND($H354*$M354*$J354*(1+$Q354*kdo_iadeEtkiCarpani),2))</f>
        <v/>
      </c>
      <c r="O354" s="15">
        <f>IF($A354="","",ROUND($L354-$N354,2))</f>
        <v/>
      </c>
      <c r="P354" s="15">
        <f>IF($A354="","",IF($R354&gt;kdo_esikDesiOran,"DESİ DÜŞÜR",IF($O354&gt;kdo_esikTasarruf,"TAŞIYICI DEĞİŞTİR","UYGUN")))</f>
        <v/>
      </c>
      <c r="Q354" s="15">
        <f>IF($A354="","",IFERROR(SUMIF(tblAnahtarB[NormB],$A354,tblVeriB[IadeOran]),0))</f>
        <v/>
      </c>
      <c r="R354" s="15">
        <f>IF(OR($A354="",$E354=0),0,$G354/$E354)</f>
        <v/>
      </c>
      <c r="S354" s="15">
        <f>IF($A354="","",$G354-$E354)</f>
        <v/>
      </c>
      <c r="T354" s="15">
        <f>IF($A354="","",$L354-$N354)</f>
        <v/>
      </c>
    </row>
    <row r="355">
      <c r="A355" s="15">
        <f>IF('ANAHTAR'!$B355="","",'ANAHTAR'!$B355)</f>
        <v/>
      </c>
      <c r="B355" s="15">
        <f>IF($A355="","",IFERROR(SUMIF(tblAnahtarA[Norm],$A355,tblVeriA[EnCm]),0))</f>
        <v/>
      </c>
      <c r="C355" s="15">
        <f>IF($A355="","",IFERROR(SUMIF(tblAnahtarA[Norm],$A355,tblVeriA[BoyCm]),0))</f>
        <v/>
      </c>
      <c r="D355" s="15">
        <f>IF($A355="","",IFERROR(SUMIF(tblAnahtarA[Norm],$A355,tblVeriA[YukseklikCm]),0))</f>
        <v/>
      </c>
      <c r="E355" s="15">
        <f>IF($A355="","",IFERROR(SUMIF(tblAnahtarA[Norm],$A355,tblVeriA[AgirlikKg]),0))</f>
        <v/>
      </c>
      <c r="F355" s="15">
        <f>IF($A355="","",IFERROR(SUMIF(tblAnahtarA[Norm],$A355,tblVeriA[DesiCarpani]),kdo_varsayilanDesiCarpani))</f>
        <v/>
      </c>
      <c r="G355" s="15">
        <f>IF($A355="","",ROUND($B355*$C355*$D355/MAX($F355,1),2))</f>
        <v/>
      </c>
      <c r="H355" s="15">
        <f>IF($A355="","",MAX($G355,$E355))</f>
        <v/>
      </c>
      <c r="I355" s="15">
        <f>IF($A355="","",IFERROR(SUMIF(tblAnahtarB[NormB],$A355,tblVeriB[TarifTlDesi]),0))</f>
        <v/>
      </c>
      <c r="J355" s="15">
        <f>IF($A355="","",IFERROR(SUMIF(tblAnahtarA[Norm],$A355,tblVeriA[Adet]),1))</f>
        <v/>
      </c>
      <c r="K355" s="15">
        <f>IF($A355="","",ROUND($H355*$I355,2))</f>
        <v/>
      </c>
      <c r="L355" s="15">
        <f>IF($A355="","",ROUND($K355*$J355*(1+$Q355*kdo_iadeEtkiCarpani),2))</f>
        <v/>
      </c>
      <c r="M355" s="15">
        <f>IF($A355="","",IFERROR(SUMIF(tblAnahtarB[NormB],$A355,tblVeriB[AlternatifTarif]),0))</f>
        <v/>
      </c>
      <c r="N355" s="15">
        <f>IF($A355="","",ROUND($H355*$M355*$J355*(1+$Q355*kdo_iadeEtkiCarpani),2))</f>
        <v/>
      </c>
      <c r="O355" s="15">
        <f>IF($A355="","",ROUND($L355-$N355,2))</f>
        <v/>
      </c>
      <c r="P355" s="15">
        <f>IF($A355="","",IF($R355&gt;kdo_esikDesiOran,"DESİ DÜŞÜR",IF($O355&gt;kdo_esikTasarruf,"TAŞIYICI DEĞİŞTİR","UYGUN")))</f>
        <v/>
      </c>
      <c r="Q355" s="15">
        <f>IF($A355="","",IFERROR(SUMIF(tblAnahtarB[NormB],$A355,tblVeriB[IadeOran]),0))</f>
        <v/>
      </c>
      <c r="R355" s="15">
        <f>IF(OR($A355="",$E355=0),0,$G355/$E355)</f>
        <v/>
      </c>
      <c r="S355" s="15">
        <f>IF($A355="","",$G355-$E355)</f>
        <v/>
      </c>
      <c r="T355" s="15">
        <f>IF($A355="","",$L355-$N355)</f>
        <v/>
      </c>
    </row>
    <row r="356">
      <c r="A356" s="15">
        <f>IF('ANAHTAR'!$B356="","",'ANAHTAR'!$B356)</f>
        <v/>
      </c>
      <c r="B356" s="15">
        <f>IF($A356="","",IFERROR(SUMIF(tblAnahtarA[Norm],$A356,tblVeriA[EnCm]),0))</f>
        <v/>
      </c>
      <c r="C356" s="15">
        <f>IF($A356="","",IFERROR(SUMIF(tblAnahtarA[Norm],$A356,tblVeriA[BoyCm]),0))</f>
        <v/>
      </c>
      <c r="D356" s="15">
        <f>IF($A356="","",IFERROR(SUMIF(tblAnahtarA[Norm],$A356,tblVeriA[YukseklikCm]),0))</f>
        <v/>
      </c>
      <c r="E356" s="15">
        <f>IF($A356="","",IFERROR(SUMIF(tblAnahtarA[Norm],$A356,tblVeriA[AgirlikKg]),0))</f>
        <v/>
      </c>
      <c r="F356" s="15">
        <f>IF($A356="","",IFERROR(SUMIF(tblAnahtarA[Norm],$A356,tblVeriA[DesiCarpani]),kdo_varsayilanDesiCarpani))</f>
        <v/>
      </c>
      <c r="G356" s="15">
        <f>IF($A356="","",ROUND($B356*$C356*$D356/MAX($F356,1),2))</f>
        <v/>
      </c>
      <c r="H356" s="15">
        <f>IF($A356="","",MAX($G356,$E356))</f>
        <v/>
      </c>
      <c r="I356" s="15">
        <f>IF($A356="","",IFERROR(SUMIF(tblAnahtarB[NormB],$A356,tblVeriB[TarifTlDesi]),0))</f>
        <v/>
      </c>
      <c r="J356" s="15">
        <f>IF($A356="","",IFERROR(SUMIF(tblAnahtarA[Norm],$A356,tblVeriA[Adet]),1))</f>
        <v/>
      </c>
      <c r="K356" s="15">
        <f>IF($A356="","",ROUND($H356*$I356,2))</f>
        <v/>
      </c>
      <c r="L356" s="15">
        <f>IF($A356="","",ROUND($K356*$J356*(1+$Q356*kdo_iadeEtkiCarpani),2))</f>
        <v/>
      </c>
      <c r="M356" s="15">
        <f>IF($A356="","",IFERROR(SUMIF(tblAnahtarB[NormB],$A356,tblVeriB[AlternatifTarif]),0))</f>
        <v/>
      </c>
      <c r="N356" s="15">
        <f>IF($A356="","",ROUND($H356*$M356*$J356*(1+$Q356*kdo_iadeEtkiCarpani),2))</f>
        <v/>
      </c>
      <c r="O356" s="15">
        <f>IF($A356="","",ROUND($L356-$N356,2))</f>
        <v/>
      </c>
      <c r="P356" s="15">
        <f>IF($A356="","",IF($R356&gt;kdo_esikDesiOran,"DESİ DÜŞÜR",IF($O356&gt;kdo_esikTasarruf,"TAŞIYICI DEĞİŞTİR","UYGUN")))</f>
        <v/>
      </c>
      <c r="Q356" s="15">
        <f>IF($A356="","",IFERROR(SUMIF(tblAnahtarB[NormB],$A356,tblVeriB[IadeOran]),0))</f>
        <v/>
      </c>
      <c r="R356" s="15">
        <f>IF(OR($A356="",$E356=0),0,$G356/$E356)</f>
        <v/>
      </c>
      <c r="S356" s="15">
        <f>IF($A356="","",$G356-$E356)</f>
        <v/>
      </c>
      <c r="T356" s="15">
        <f>IF($A356="","",$L356-$N356)</f>
        <v/>
      </c>
    </row>
    <row r="357">
      <c r="A357" s="15">
        <f>IF('ANAHTAR'!$B357="","",'ANAHTAR'!$B357)</f>
        <v/>
      </c>
      <c r="B357" s="15">
        <f>IF($A357="","",IFERROR(SUMIF(tblAnahtarA[Norm],$A357,tblVeriA[EnCm]),0))</f>
        <v/>
      </c>
      <c r="C357" s="15">
        <f>IF($A357="","",IFERROR(SUMIF(tblAnahtarA[Norm],$A357,tblVeriA[BoyCm]),0))</f>
        <v/>
      </c>
      <c r="D357" s="15">
        <f>IF($A357="","",IFERROR(SUMIF(tblAnahtarA[Norm],$A357,tblVeriA[YukseklikCm]),0))</f>
        <v/>
      </c>
      <c r="E357" s="15">
        <f>IF($A357="","",IFERROR(SUMIF(tblAnahtarA[Norm],$A357,tblVeriA[AgirlikKg]),0))</f>
        <v/>
      </c>
      <c r="F357" s="15">
        <f>IF($A357="","",IFERROR(SUMIF(tblAnahtarA[Norm],$A357,tblVeriA[DesiCarpani]),kdo_varsayilanDesiCarpani))</f>
        <v/>
      </c>
      <c r="G357" s="15">
        <f>IF($A357="","",ROUND($B357*$C357*$D357/MAX($F357,1),2))</f>
        <v/>
      </c>
      <c r="H357" s="15">
        <f>IF($A357="","",MAX($G357,$E357))</f>
        <v/>
      </c>
      <c r="I357" s="15">
        <f>IF($A357="","",IFERROR(SUMIF(tblAnahtarB[NormB],$A357,tblVeriB[TarifTlDesi]),0))</f>
        <v/>
      </c>
      <c r="J357" s="15">
        <f>IF($A357="","",IFERROR(SUMIF(tblAnahtarA[Norm],$A357,tblVeriA[Adet]),1))</f>
        <v/>
      </c>
      <c r="K357" s="15">
        <f>IF($A357="","",ROUND($H357*$I357,2))</f>
        <v/>
      </c>
      <c r="L357" s="15">
        <f>IF($A357="","",ROUND($K357*$J357*(1+$Q357*kdo_iadeEtkiCarpani),2))</f>
        <v/>
      </c>
      <c r="M357" s="15">
        <f>IF($A357="","",IFERROR(SUMIF(tblAnahtarB[NormB],$A357,tblVeriB[AlternatifTarif]),0))</f>
        <v/>
      </c>
      <c r="N357" s="15">
        <f>IF($A357="","",ROUND($H357*$M357*$J357*(1+$Q357*kdo_iadeEtkiCarpani),2))</f>
        <v/>
      </c>
      <c r="O357" s="15">
        <f>IF($A357="","",ROUND($L357-$N357,2))</f>
        <v/>
      </c>
      <c r="P357" s="15">
        <f>IF($A357="","",IF($R357&gt;kdo_esikDesiOran,"DESİ DÜŞÜR",IF($O357&gt;kdo_esikTasarruf,"TAŞIYICI DEĞİŞTİR","UYGUN")))</f>
        <v/>
      </c>
      <c r="Q357" s="15">
        <f>IF($A357="","",IFERROR(SUMIF(tblAnahtarB[NormB],$A357,tblVeriB[IadeOran]),0))</f>
        <v/>
      </c>
      <c r="R357" s="15">
        <f>IF(OR($A357="",$E357=0),0,$G357/$E357)</f>
        <v/>
      </c>
      <c r="S357" s="15">
        <f>IF($A357="","",$G357-$E357)</f>
        <v/>
      </c>
      <c r="T357" s="15">
        <f>IF($A357="","",$L357-$N357)</f>
        <v/>
      </c>
    </row>
    <row r="358">
      <c r="A358" s="15">
        <f>IF('ANAHTAR'!$B358="","",'ANAHTAR'!$B358)</f>
        <v/>
      </c>
      <c r="B358" s="15">
        <f>IF($A358="","",IFERROR(SUMIF(tblAnahtarA[Norm],$A358,tblVeriA[EnCm]),0))</f>
        <v/>
      </c>
      <c r="C358" s="15">
        <f>IF($A358="","",IFERROR(SUMIF(tblAnahtarA[Norm],$A358,tblVeriA[BoyCm]),0))</f>
        <v/>
      </c>
      <c r="D358" s="15">
        <f>IF($A358="","",IFERROR(SUMIF(tblAnahtarA[Norm],$A358,tblVeriA[YukseklikCm]),0))</f>
        <v/>
      </c>
      <c r="E358" s="15">
        <f>IF($A358="","",IFERROR(SUMIF(tblAnahtarA[Norm],$A358,tblVeriA[AgirlikKg]),0))</f>
        <v/>
      </c>
      <c r="F358" s="15">
        <f>IF($A358="","",IFERROR(SUMIF(tblAnahtarA[Norm],$A358,tblVeriA[DesiCarpani]),kdo_varsayilanDesiCarpani))</f>
        <v/>
      </c>
      <c r="G358" s="15">
        <f>IF($A358="","",ROUND($B358*$C358*$D358/MAX($F358,1),2))</f>
        <v/>
      </c>
      <c r="H358" s="15">
        <f>IF($A358="","",MAX($G358,$E358))</f>
        <v/>
      </c>
      <c r="I358" s="15">
        <f>IF($A358="","",IFERROR(SUMIF(tblAnahtarB[NormB],$A358,tblVeriB[TarifTlDesi]),0))</f>
        <v/>
      </c>
      <c r="J358" s="15">
        <f>IF($A358="","",IFERROR(SUMIF(tblAnahtarA[Norm],$A358,tblVeriA[Adet]),1))</f>
        <v/>
      </c>
      <c r="K358" s="15">
        <f>IF($A358="","",ROUND($H358*$I358,2))</f>
        <v/>
      </c>
      <c r="L358" s="15">
        <f>IF($A358="","",ROUND($K358*$J358*(1+$Q358*kdo_iadeEtkiCarpani),2))</f>
        <v/>
      </c>
      <c r="M358" s="15">
        <f>IF($A358="","",IFERROR(SUMIF(tblAnahtarB[NormB],$A358,tblVeriB[AlternatifTarif]),0))</f>
        <v/>
      </c>
      <c r="N358" s="15">
        <f>IF($A358="","",ROUND($H358*$M358*$J358*(1+$Q358*kdo_iadeEtkiCarpani),2))</f>
        <v/>
      </c>
      <c r="O358" s="15">
        <f>IF($A358="","",ROUND($L358-$N358,2))</f>
        <v/>
      </c>
      <c r="P358" s="15">
        <f>IF($A358="","",IF($R358&gt;kdo_esikDesiOran,"DESİ DÜŞÜR",IF($O358&gt;kdo_esikTasarruf,"TAŞIYICI DEĞİŞTİR","UYGUN")))</f>
        <v/>
      </c>
      <c r="Q358" s="15">
        <f>IF($A358="","",IFERROR(SUMIF(tblAnahtarB[NormB],$A358,tblVeriB[IadeOran]),0))</f>
        <v/>
      </c>
      <c r="R358" s="15">
        <f>IF(OR($A358="",$E358=0),0,$G358/$E358)</f>
        <v/>
      </c>
      <c r="S358" s="15">
        <f>IF($A358="","",$G358-$E358)</f>
        <v/>
      </c>
      <c r="T358" s="15">
        <f>IF($A358="","",$L358-$N358)</f>
        <v/>
      </c>
    </row>
    <row r="359">
      <c r="A359" s="15">
        <f>IF('ANAHTAR'!$B359="","",'ANAHTAR'!$B359)</f>
        <v/>
      </c>
      <c r="B359" s="15">
        <f>IF($A359="","",IFERROR(SUMIF(tblAnahtarA[Norm],$A359,tblVeriA[EnCm]),0))</f>
        <v/>
      </c>
      <c r="C359" s="15">
        <f>IF($A359="","",IFERROR(SUMIF(tblAnahtarA[Norm],$A359,tblVeriA[BoyCm]),0))</f>
        <v/>
      </c>
      <c r="D359" s="15">
        <f>IF($A359="","",IFERROR(SUMIF(tblAnahtarA[Norm],$A359,tblVeriA[YukseklikCm]),0))</f>
        <v/>
      </c>
      <c r="E359" s="15">
        <f>IF($A359="","",IFERROR(SUMIF(tblAnahtarA[Norm],$A359,tblVeriA[AgirlikKg]),0))</f>
        <v/>
      </c>
      <c r="F359" s="15">
        <f>IF($A359="","",IFERROR(SUMIF(tblAnahtarA[Norm],$A359,tblVeriA[DesiCarpani]),kdo_varsayilanDesiCarpani))</f>
        <v/>
      </c>
      <c r="G359" s="15">
        <f>IF($A359="","",ROUND($B359*$C359*$D359/MAX($F359,1),2))</f>
        <v/>
      </c>
      <c r="H359" s="15">
        <f>IF($A359="","",MAX($G359,$E359))</f>
        <v/>
      </c>
      <c r="I359" s="15">
        <f>IF($A359="","",IFERROR(SUMIF(tblAnahtarB[NormB],$A359,tblVeriB[TarifTlDesi]),0))</f>
        <v/>
      </c>
      <c r="J359" s="15">
        <f>IF($A359="","",IFERROR(SUMIF(tblAnahtarA[Norm],$A359,tblVeriA[Adet]),1))</f>
        <v/>
      </c>
      <c r="K359" s="15">
        <f>IF($A359="","",ROUND($H359*$I359,2))</f>
        <v/>
      </c>
      <c r="L359" s="15">
        <f>IF($A359="","",ROUND($K359*$J359*(1+$Q359*kdo_iadeEtkiCarpani),2))</f>
        <v/>
      </c>
      <c r="M359" s="15">
        <f>IF($A359="","",IFERROR(SUMIF(tblAnahtarB[NormB],$A359,tblVeriB[AlternatifTarif]),0))</f>
        <v/>
      </c>
      <c r="N359" s="15">
        <f>IF($A359="","",ROUND($H359*$M359*$J359*(1+$Q359*kdo_iadeEtkiCarpani),2))</f>
        <v/>
      </c>
      <c r="O359" s="15">
        <f>IF($A359="","",ROUND($L359-$N359,2))</f>
        <v/>
      </c>
      <c r="P359" s="15">
        <f>IF($A359="","",IF($R359&gt;kdo_esikDesiOran,"DESİ DÜŞÜR",IF($O359&gt;kdo_esikTasarruf,"TAŞIYICI DEĞİŞTİR","UYGUN")))</f>
        <v/>
      </c>
      <c r="Q359" s="15">
        <f>IF($A359="","",IFERROR(SUMIF(tblAnahtarB[NormB],$A359,tblVeriB[IadeOran]),0))</f>
        <v/>
      </c>
      <c r="R359" s="15">
        <f>IF(OR($A359="",$E359=0),0,$G359/$E359)</f>
        <v/>
      </c>
      <c r="S359" s="15">
        <f>IF($A359="","",$G359-$E359)</f>
        <v/>
      </c>
      <c r="T359" s="15">
        <f>IF($A359="","",$L359-$N359)</f>
        <v/>
      </c>
    </row>
    <row r="360">
      <c r="A360" s="15">
        <f>IF('ANAHTAR'!$B360="","",'ANAHTAR'!$B360)</f>
        <v/>
      </c>
      <c r="B360" s="15">
        <f>IF($A360="","",IFERROR(SUMIF(tblAnahtarA[Norm],$A360,tblVeriA[EnCm]),0))</f>
        <v/>
      </c>
      <c r="C360" s="15">
        <f>IF($A360="","",IFERROR(SUMIF(tblAnahtarA[Norm],$A360,tblVeriA[BoyCm]),0))</f>
        <v/>
      </c>
      <c r="D360" s="15">
        <f>IF($A360="","",IFERROR(SUMIF(tblAnahtarA[Norm],$A360,tblVeriA[YukseklikCm]),0))</f>
        <v/>
      </c>
      <c r="E360" s="15">
        <f>IF($A360="","",IFERROR(SUMIF(tblAnahtarA[Norm],$A360,tblVeriA[AgirlikKg]),0))</f>
        <v/>
      </c>
      <c r="F360" s="15">
        <f>IF($A360="","",IFERROR(SUMIF(tblAnahtarA[Norm],$A360,tblVeriA[DesiCarpani]),kdo_varsayilanDesiCarpani))</f>
        <v/>
      </c>
      <c r="G360" s="15">
        <f>IF($A360="","",ROUND($B360*$C360*$D360/MAX($F360,1),2))</f>
        <v/>
      </c>
      <c r="H360" s="15">
        <f>IF($A360="","",MAX($G360,$E360))</f>
        <v/>
      </c>
      <c r="I360" s="15">
        <f>IF($A360="","",IFERROR(SUMIF(tblAnahtarB[NormB],$A360,tblVeriB[TarifTlDesi]),0))</f>
        <v/>
      </c>
      <c r="J360" s="15">
        <f>IF($A360="","",IFERROR(SUMIF(tblAnahtarA[Norm],$A360,tblVeriA[Adet]),1))</f>
        <v/>
      </c>
      <c r="K360" s="15">
        <f>IF($A360="","",ROUND($H360*$I360,2))</f>
        <v/>
      </c>
      <c r="L360" s="15">
        <f>IF($A360="","",ROUND($K360*$J360*(1+$Q360*kdo_iadeEtkiCarpani),2))</f>
        <v/>
      </c>
      <c r="M360" s="15">
        <f>IF($A360="","",IFERROR(SUMIF(tblAnahtarB[NormB],$A360,tblVeriB[AlternatifTarif]),0))</f>
        <v/>
      </c>
      <c r="N360" s="15">
        <f>IF($A360="","",ROUND($H360*$M360*$J360*(1+$Q360*kdo_iadeEtkiCarpani),2))</f>
        <v/>
      </c>
      <c r="O360" s="15">
        <f>IF($A360="","",ROUND($L360-$N360,2))</f>
        <v/>
      </c>
      <c r="P360" s="15">
        <f>IF($A360="","",IF($R360&gt;kdo_esikDesiOran,"DESİ DÜŞÜR",IF($O360&gt;kdo_esikTasarruf,"TAŞIYICI DEĞİŞTİR","UYGUN")))</f>
        <v/>
      </c>
      <c r="Q360" s="15">
        <f>IF($A360="","",IFERROR(SUMIF(tblAnahtarB[NormB],$A360,tblVeriB[IadeOran]),0))</f>
        <v/>
      </c>
      <c r="R360" s="15">
        <f>IF(OR($A360="",$E360=0),0,$G360/$E360)</f>
        <v/>
      </c>
      <c r="S360" s="15">
        <f>IF($A360="","",$G360-$E360)</f>
        <v/>
      </c>
      <c r="T360" s="15">
        <f>IF($A360="","",$L360-$N360)</f>
        <v/>
      </c>
    </row>
    <row r="361">
      <c r="A361" s="15">
        <f>IF('ANAHTAR'!$B361="","",'ANAHTAR'!$B361)</f>
        <v/>
      </c>
      <c r="B361" s="15">
        <f>IF($A361="","",IFERROR(SUMIF(tblAnahtarA[Norm],$A361,tblVeriA[EnCm]),0))</f>
        <v/>
      </c>
      <c r="C361" s="15">
        <f>IF($A361="","",IFERROR(SUMIF(tblAnahtarA[Norm],$A361,tblVeriA[BoyCm]),0))</f>
        <v/>
      </c>
      <c r="D361" s="15">
        <f>IF($A361="","",IFERROR(SUMIF(tblAnahtarA[Norm],$A361,tblVeriA[YukseklikCm]),0))</f>
        <v/>
      </c>
      <c r="E361" s="15">
        <f>IF($A361="","",IFERROR(SUMIF(tblAnahtarA[Norm],$A361,tblVeriA[AgirlikKg]),0))</f>
        <v/>
      </c>
      <c r="F361" s="15">
        <f>IF($A361="","",IFERROR(SUMIF(tblAnahtarA[Norm],$A361,tblVeriA[DesiCarpani]),kdo_varsayilanDesiCarpani))</f>
        <v/>
      </c>
      <c r="G361" s="15">
        <f>IF($A361="","",ROUND($B361*$C361*$D361/MAX($F361,1),2))</f>
        <v/>
      </c>
      <c r="H361" s="15">
        <f>IF($A361="","",MAX($G361,$E361))</f>
        <v/>
      </c>
      <c r="I361" s="15">
        <f>IF($A361="","",IFERROR(SUMIF(tblAnahtarB[NormB],$A361,tblVeriB[TarifTlDesi]),0))</f>
        <v/>
      </c>
      <c r="J361" s="15">
        <f>IF($A361="","",IFERROR(SUMIF(tblAnahtarA[Norm],$A361,tblVeriA[Adet]),1))</f>
        <v/>
      </c>
      <c r="K361" s="15">
        <f>IF($A361="","",ROUND($H361*$I361,2))</f>
        <v/>
      </c>
      <c r="L361" s="15">
        <f>IF($A361="","",ROUND($K361*$J361*(1+$Q361*kdo_iadeEtkiCarpani),2))</f>
        <v/>
      </c>
      <c r="M361" s="15">
        <f>IF($A361="","",IFERROR(SUMIF(tblAnahtarB[NormB],$A361,tblVeriB[AlternatifTarif]),0))</f>
        <v/>
      </c>
      <c r="N361" s="15">
        <f>IF($A361="","",ROUND($H361*$M361*$J361*(1+$Q361*kdo_iadeEtkiCarpani),2))</f>
        <v/>
      </c>
      <c r="O361" s="15">
        <f>IF($A361="","",ROUND($L361-$N361,2))</f>
        <v/>
      </c>
      <c r="P361" s="15">
        <f>IF($A361="","",IF($R361&gt;kdo_esikDesiOran,"DESİ DÜŞÜR",IF($O361&gt;kdo_esikTasarruf,"TAŞIYICI DEĞİŞTİR","UYGUN")))</f>
        <v/>
      </c>
      <c r="Q361" s="15">
        <f>IF($A361="","",IFERROR(SUMIF(tblAnahtarB[NormB],$A361,tblVeriB[IadeOran]),0))</f>
        <v/>
      </c>
      <c r="R361" s="15">
        <f>IF(OR($A361="",$E361=0),0,$G361/$E361)</f>
        <v/>
      </c>
      <c r="S361" s="15">
        <f>IF($A361="","",$G361-$E361)</f>
        <v/>
      </c>
      <c r="T361" s="15">
        <f>IF($A361="","",$L361-$N361)</f>
        <v/>
      </c>
    </row>
    <row r="362">
      <c r="A362" s="15">
        <f>IF('ANAHTAR'!$B362="","",'ANAHTAR'!$B362)</f>
        <v/>
      </c>
      <c r="B362" s="15">
        <f>IF($A362="","",IFERROR(SUMIF(tblAnahtarA[Norm],$A362,tblVeriA[EnCm]),0))</f>
        <v/>
      </c>
      <c r="C362" s="15">
        <f>IF($A362="","",IFERROR(SUMIF(tblAnahtarA[Norm],$A362,tblVeriA[BoyCm]),0))</f>
        <v/>
      </c>
      <c r="D362" s="15">
        <f>IF($A362="","",IFERROR(SUMIF(tblAnahtarA[Norm],$A362,tblVeriA[YukseklikCm]),0))</f>
        <v/>
      </c>
      <c r="E362" s="15">
        <f>IF($A362="","",IFERROR(SUMIF(tblAnahtarA[Norm],$A362,tblVeriA[AgirlikKg]),0))</f>
        <v/>
      </c>
      <c r="F362" s="15">
        <f>IF($A362="","",IFERROR(SUMIF(tblAnahtarA[Norm],$A362,tblVeriA[DesiCarpani]),kdo_varsayilanDesiCarpani))</f>
        <v/>
      </c>
      <c r="G362" s="15">
        <f>IF($A362="","",ROUND($B362*$C362*$D362/MAX($F362,1),2))</f>
        <v/>
      </c>
      <c r="H362" s="15">
        <f>IF($A362="","",MAX($G362,$E362))</f>
        <v/>
      </c>
      <c r="I362" s="15">
        <f>IF($A362="","",IFERROR(SUMIF(tblAnahtarB[NormB],$A362,tblVeriB[TarifTlDesi]),0))</f>
        <v/>
      </c>
      <c r="J362" s="15">
        <f>IF($A362="","",IFERROR(SUMIF(tblAnahtarA[Norm],$A362,tblVeriA[Adet]),1))</f>
        <v/>
      </c>
      <c r="K362" s="15">
        <f>IF($A362="","",ROUND($H362*$I362,2))</f>
        <v/>
      </c>
      <c r="L362" s="15">
        <f>IF($A362="","",ROUND($K362*$J362*(1+$Q362*kdo_iadeEtkiCarpani),2))</f>
        <v/>
      </c>
      <c r="M362" s="15">
        <f>IF($A362="","",IFERROR(SUMIF(tblAnahtarB[NormB],$A362,tblVeriB[AlternatifTarif]),0))</f>
        <v/>
      </c>
      <c r="N362" s="15">
        <f>IF($A362="","",ROUND($H362*$M362*$J362*(1+$Q362*kdo_iadeEtkiCarpani),2))</f>
        <v/>
      </c>
      <c r="O362" s="15">
        <f>IF($A362="","",ROUND($L362-$N362,2))</f>
        <v/>
      </c>
      <c r="P362" s="15">
        <f>IF($A362="","",IF($R362&gt;kdo_esikDesiOran,"DESİ DÜŞÜR",IF($O362&gt;kdo_esikTasarruf,"TAŞIYICI DEĞİŞTİR","UYGUN")))</f>
        <v/>
      </c>
      <c r="Q362" s="15">
        <f>IF($A362="","",IFERROR(SUMIF(tblAnahtarB[NormB],$A362,tblVeriB[IadeOran]),0))</f>
        <v/>
      </c>
      <c r="R362" s="15">
        <f>IF(OR($A362="",$E362=0),0,$G362/$E362)</f>
        <v/>
      </c>
      <c r="S362" s="15">
        <f>IF($A362="","",$G362-$E362)</f>
        <v/>
      </c>
      <c r="T362" s="15">
        <f>IF($A362="","",$L362-$N362)</f>
        <v/>
      </c>
    </row>
    <row r="363">
      <c r="A363" s="15">
        <f>IF('ANAHTAR'!$B363="","",'ANAHTAR'!$B363)</f>
        <v/>
      </c>
      <c r="B363" s="15">
        <f>IF($A363="","",IFERROR(SUMIF(tblAnahtarA[Norm],$A363,tblVeriA[EnCm]),0))</f>
        <v/>
      </c>
      <c r="C363" s="15">
        <f>IF($A363="","",IFERROR(SUMIF(tblAnahtarA[Norm],$A363,tblVeriA[BoyCm]),0))</f>
        <v/>
      </c>
      <c r="D363" s="15">
        <f>IF($A363="","",IFERROR(SUMIF(tblAnahtarA[Norm],$A363,tblVeriA[YukseklikCm]),0))</f>
        <v/>
      </c>
      <c r="E363" s="15">
        <f>IF($A363="","",IFERROR(SUMIF(tblAnahtarA[Norm],$A363,tblVeriA[AgirlikKg]),0))</f>
        <v/>
      </c>
      <c r="F363" s="15">
        <f>IF($A363="","",IFERROR(SUMIF(tblAnahtarA[Norm],$A363,tblVeriA[DesiCarpani]),kdo_varsayilanDesiCarpani))</f>
        <v/>
      </c>
      <c r="G363" s="15">
        <f>IF($A363="","",ROUND($B363*$C363*$D363/MAX($F363,1),2))</f>
        <v/>
      </c>
      <c r="H363" s="15">
        <f>IF($A363="","",MAX($G363,$E363))</f>
        <v/>
      </c>
      <c r="I363" s="15">
        <f>IF($A363="","",IFERROR(SUMIF(tblAnahtarB[NormB],$A363,tblVeriB[TarifTlDesi]),0))</f>
        <v/>
      </c>
      <c r="J363" s="15">
        <f>IF($A363="","",IFERROR(SUMIF(tblAnahtarA[Norm],$A363,tblVeriA[Adet]),1))</f>
        <v/>
      </c>
      <c r="K363" s="15">
        <f>IF($A363="","",ROUND($H363*$I363,2))</f>
        <v/>
      </c>
      <c r="L363" s="15">
        <f>IF($A363="","",ROUND($K363*$J363*(1+$Q363*kdo_iadeEtkiCarpani),2))</f>
        <v/>
      </c>
      <c r="M363" s="15">
        <f>IF($A363="","",IFERROR(SUMIF(tblAnahtarB[NormB],$A363,tblVeriB[AlternatifTarif]),0))</f>
        <v/>
      </c>
      <c r="N363" s="15">
        <f>IF($A363="","",ROUND($H363*$M363*$J363*(1+$Q363*kdo_iadeEtkiCarpani),2))</f>
        <v/>
      </c>
      <c r="O363" s="15">
        <f>IF($A363="","",ROUND($L363-$N363,2))</f>
        <v/>
      </c>
      <c r="P363" s="15">
        <f>IF($A363="","",IF($R363&gt;kdo_esikDesiOran,"DESİ DÜŞÜR",IF($O363&gt;kdo_esikTasarruf,"TAŞIYICI DEĞİŞTİR","UYGUN")))</f>
        <v/>
      </c>
      <c r="Q363" s="15">
        <f>IF($A363="","",IFERROR(SUMIF(tblAnahtarB[NormB],$A363,tblVeriB[IadeOran]),0))</f>
        <v/>
      </c>
      <c r="R363" s="15">
        <f>IF(OR($A363="",$E363=0),0,$G363/$E363)</f>
        <v/>
      </c>
      <c r="S363" s="15">
        <f>IF($A363="","",$G363-$E363)</f>
        <v/>
      </c>
      <c r="T363" s="15">
        <f>IF($A363="","",$L363-$N363)</f>
        <v/>
      </c>
    </row>
    <row r="364">
      <c r="A364" s="15">
        <f>IF('ANAHTAR'!$B364="","",'ANAHTAR'!$B364)</f>
        <v/>
      </c>
      <c r="B364" s="15">
        <f>IF($A364="","",IFERROR(SUMIF(tblAnahtarA[Norm],$A364,tblVeriA[EnCm]),0))</f>
        <v/>
      </c>
      <c r="C364" s="15">
        <f>IF($A364="","",IFERROR(SUMIF(tblAnahtarA[Norm],$A364,tblVeriA[BoyCm]),0))</f>
        <v/>
      </c>
      <c r="D364" s="15">
        <f>IF($A364="","",IFERROR(SUMIF(tblAnahtarA[Norm],$A364,tblVeriA[YukseklikCm]),0))</f>
        <v/>
      </c>
      <c r="E364" s="15">
        <f>IF($A364="","",IFERROR(SUMIF(tblAnahtarA[Norm],$A364,tblVeriA[AgirlikKg]),0))</f>
        <v/>
      </c>
      <c r="F364" s="15">
        <f>IF($A364="","",IFERROR(SUMIF(tblAnahtarA[Norm],$A364,tblVeriA[DesiCarpani]),kdo_varsayilanDesiCarpani))</f>
        <v/>
      </c>
      <c r="G364" s="15">
        <f>IF($A364="","",ROUND($B364*$C364*$D364/MAX($F364,1),2))</f>
        <v/>
      </c>
      <c r="H364" s="15">
        <f>IF($A364="","",MAX($G364,$E364))</f>
        <v/>
      </c>
      <c r="I364" s="15">
        <f>IF($A364="","",IFERROR(SUMIF(tblAnahtarB[NormB],$A364,tblVeriB[TarifTlDesi]),0))</f>
        <v/>
      </c>
      <c r="J364" s="15">
        <f>IF($A364="","",IFERROR(SUMIF(tblAnahtarA[Norm],$A364,tblVeriA[Adet]),1))</f>
        <v/>
      </c>
      <c r="K364" s="15">
        <f>IF($A364="","",ROUND($H364*$I364,2))</f>
        <v/>
      </c>
      <c r="L364" s="15">
        <f>IF($A364="","",ROUND($K364*$J364*(1+$Q364*kdo_iadeEtkiCarpani),2))</f>
        <v/>
      </c>
      <c r="M364" s="15">
        <f>IF($A364="","",IFERROR(SUMIF(tblAnahtarB[NormB],$A364,tblVeriB[AlternatifTarif]),0))</f>
        <v/>
      </c>
      <c r="N364" s="15">
        <f>IF($A364="","",ROUND($H364*$M364*$J364*(1+$Q364*kdo_iadeEtkiCarpani),2))</f>
        <v/>
      </c>
      <c r="O364" s="15">
        <f>IF($A364="","",ROUND($L364-$N364,2))</f>
        <v/>
      </c>
      <c r="P364" s="15">
        <f>IF($A364="","",IF($R364&gt;kdo_esikDesiOran,"DESİ DÜŞÜR",IF($O364&gt;kdo_esikTasarruf,"TAŞIYICI DEĞİŞTİR","UYGUN")))</f>
        <v/>
      </c>
      <c r="Q364" s="15">
        <f>IF($A364="","",IFERROR(SUMIF(tblAnahtarB[NormB],$A364,tblVeriB[IadeOran]),0))</f>
        <v/>
      </c>
      <c r="R364" s="15">
        <f>IF(OR($A364="",$E364=0),0,$G364/$E364)</f>
        <v/>
      </c>
      <c r="S364" s="15">
        <f>IF($A364="","",$G364-$E364)</f>
        <v/>
      </c>
      <c r="T364" s="15">
        <f>IF($A364="","",$L364-$N364)</f>
        <v/>
      </c>
    </row>
    <row r="365">
      <c r="A365" s="15">
        <f>IF('ANAHTAR'!$B365="","",'ANAHTAR'!$B365)</f>
        <v/>
      </c>
      <c r="B365" s="15">
        <f>IF($A365="","",IFERROR(SUMIF(tblAnahtarA[Norm],$A365,tblVeriA[EnCm]),0))</f>
        <v/>
      </c>
      <c r="C365" s="15">
        <f>IF($A365="","",IFERROR(SUMIF(tblAnahtarA[Norm],$A365,tblVeriA[BoyCm]),0))</f>
        <v/>
      </c>
      <c r="D365" s="15">
        <f>IF($A365="","",IFERROR(SUMIF(tblAnahtarA[Norm],$A365,tblVeriA[YukseklikCm]),0))</f>
        <v/>
      </c>
      <c r="E365" s="15">
        <f>IF($A365="","",IFERROR(SUMIF(tblAnahtarA[Norm],$A365,tblVeriA[AgirlikKg]),0))</f>
        <v/>
      </c>
      <c r="F365" s="15">
        <f>IF($A365="","",IFERROR(SUMIF(tblAnahtarA[Norm],$A365,tblVeriA[DesiCarpani]),kdo_varsayilanDesiCarpani))</f>
        <v/>
      </c>
      <c r="G365" s="15">
        <f>IF($A365="","",ROUND($B365*$C365*$D365/MAX($F365,1),2))</f>
        <v/>
      </c>
      <c r="H365" s="15">
        <f>IF($A365="","",MAX($G365,$E365))</f>
        <v/>
      </c>
      <c r="I365" s="15">
        <f>IF($A365="","",IFERROR(SUMIF(tblAnahtarB[NormB],$A365,tblVeriB[TarifTlDesi]),0))</f>
        <v/>
      </c>
      <c r="J365" s="15">
        <f>IF($A365="","",IFERROR(SUMIF(tblAnahtarA[Norm],$A365,tblVeriA[Adet]),1))</f>
        <v/>
      </c>
      <c r="K365" s="15">
        <f>IF($A365="","",ROUND($H365*$I365,2))</f>
        <v/>
      </c>
      <c r="L365" s="15">
        <f>IF($A365="","",ROUND($K365*$J365*(1+$Q365*kdo_iadeEtkiCarpani),2))</f>
        <v/>
      </c>
      <c r="M365" s="15">
        <f>IF($A365="","",IFERROR(SUMIF(tblAnahtarB[NormB],$A365,tblVeriB[AlternatifTarif]),0))</f>
        <v/>
      </c>
      <c r="N365" s="15">
        <f>IF($A365="","",ROUND($H365*$M365*$J365*(1+$Q365*kdo_iadeEtkiCarpani),2))</f>
        <v/>
      </c>
      <c r="O365" s="15">
        <f>IF($A365="","",ROUND($L365-$N365,2))</f>
        <v/>
      </c>
      <c r="P365" s="15">
        <f>IF($A365="","",IF($R365&gt;kdo_esikDesiOran,"DESİ DÜŞÜR",IF($O365&gt;kdo_esikTasarruf,"TAŞIYICI DEĞİŞTİR","UYGUN")))</f>
        <v/>
      </c>
      <c r="Q365" s="15">
        <f>IF($A365="","",IFERROR(SUMIF(tblAnahtarB[NormB],$A365,tblVeriB[IadeOran]),0))</f>
        <v/>
      </c>
      <c r="R365" s="15">
        <f>IF(OR($A365="",$E365=0),0,$G365/$E365)</f>
        <v/>
      </c>
      <c r="S365" s="15">
        <f>IF($A365="","",$G365-$E365)</f>
        <v/>
      </c>
      <c r="T365" s="15">
        <f>IF($A365="","",$L365-$N365)</f>
        <v/>
      </c>
    </row>
    <row r="366">
      <c r="A366" s="15">
        <f>IF('ANAHTAR'!$B366="","",'ANAHTAR'!$B366)</f>
        <v/>
      </c>
      <c r="B366" s="15">
        <f>IF($A366="","",IFERROR(SUMIF(tblAnahtarA[Norm],$A366,tblVeriA[EnCm]),0))</f>
        <v/>
      </c>
      <c r="C366" s="15">
        <f>IF($A366="","",IFERROR(SUMIF(tblAnahtarA[Norm],$A366,tblVeriA[BoyCm]),0))</f>
        <v/>
      </c>
      <c r="D366" s="15">
        <f>IF($A366="","",IFERROR(SUMIF(tblAnahtarA[Norm],$A366,tblVeriA[YukseklikCm]),0))</f>
        <v/>
      </c>
      <c r="E366" s="15">
        <f>IF($A366="","",IFERROR(SUMIF(tblAnahtarA[Norm],$A366,tblVeriA[AgirlikKg]),0))</f>
        <v/>
      </c>
      <c r="F366" s="15">
        <f>IF($A366="","",IFERROR(SUMIF(tblAnahtarA[Norm],$A366,tblVeriA[DesiCarpani]),kdo_varsayilanDesiCarpani))</f>
        <v/>
      </c>
      <c r="G366" s="15">
        <f>IF($A366="","",ROUND($B366*$C366*$D366/MAX($F366,1),2))</f>
        <v/>
      </c>
      <c r="H366" s="15">
        <f>IF($A366="","",MAX($G366,$E366))</f>
        <v/>
      </c>
      <c r="I366" s="15">
        <f>IF($A366="","",IFERROR(SUMIF(tblAnahtarB[NormB],$A366,tblVeriB[TarifTlDesi]),0))</f>
        <v/>
      </c>
      <c r="J366" s="15">
        <f>IF($A366="","",IFERROR(SUMIF(tblAnahtarA[Norm],$A366,tblVeriA[Adet]),1))</f>
        <v/>
      </c>
      <c r="K366" s="15">
        <f>IF($A366="","",ROUND($H366*$I366,2))</f>
        <v/>
      </c>
      <c r="L366" s="15">
        <f>IF($A366="","",ROUND($K366*$J366*(1+$Q366*kdo_iadeEtkiCarpani),2))</f>
        <v/>
      </c>
      <c r="M366" s="15">
        <f>IF($A366="","",IFERROR(SUMIF(tblAnahtarB[NormB],$A366,tblVeriB[AlternatifTarif]),0))</f>
        <v/>
      </c>
      <c r="N366" s="15">
        <f>IF($A366="","",ROUND($H366*$M366*$J366*(1+$Q366*kdo_iadeEtkiCarpani),2))</f>
        <v/>
      </c>
      <c r="O366" s="15">
        <f>IF($A366="","",ROUND($L366-$N366,2))</f>
        <v/>
      </c>
      <c r="P366" s="15">
        <f>IF($A366="","",IF($R366&gt;kdo_esikDesiOran,"DESİ DÜŞÜR",IF($O366&gt;kdo_esikTasarruf,"TAŞIYICI DEĞİŞTİR","UYGUN")))</f>
        <v/>
      </c>
      <c r="Q366" s="15">
        <f>IF($A366="","",IFERROR(SUMIF(tblAnahtarB[NormB],$A366,tblVeriB[IadeOran]),0))</f>
        <v/>
      </c>
      <c r="R366" s="15">
        <f>IF(OR($A366="",$E366=0),0,$G366/$E366)</f>
        <v/>
      </c>
      <c r="S366" s="15">
        <f>IF($A366="","",$G366-$E366)</f>
        <v/>
      </c>
      <c r="T366" s="15">
        <f>IF($A366="","",$L366-$N366)</f>
        <v/>
      </c>
    </row>
    <row r="367">
      <c r="A367" s="15">
        <f>IF('ANAHTAR'!$B367="","",'ANAHTAR'!$B367)</f>
        <v/>
      </c>
      <c r="B367" s="15">
        <f>IF($A367="","",IFERROR(SUMIF(tblAnahtarA[Norm],$A367,tblVeriA[EnCm]),0))</f>
        <v/>
      </c>
      <c r="C367" s="15">
        <f>IF($A367="","",IFERROR(SUMIF(tblAnahtarA[Norm],$A367,tblVeriA[BoyCm]),0))</f>
        <v/>
      </c>
      <c r="D367" s="15">
        <f>IF($A367="","",IFERROR(SUMIF(tblAnahtarA[Norm],$A367,tblVeriA[YukseklikCm]),0))</f>
        <v/>
      </c>
      <c r="E367" s="15">
        <f>IF($A367="","",IFERROR(SUMIF(tblAnahtarA[Norm],$A367,tblVeriA[AgirlikKg]),0))</f>
        <v/>
      </c>
      <c r="F367" s="15">
        <f>IF($A367="","",IFERROR(SUMIF(tblAnahtarA[Norm],$A367,tblVeriA[DesiCarpani]),kdo_varsayilanDesiCarpani))</f>
        <v/>
      </c>
      <c r="G367" s="15">
        <f>IF($A367="","",ROUND($B367*$C367*$D367/MAX($F367,1),2))</f>
        <v/>
      </c>
      <c r="H367" s="15">
        <f>IF($A367="","",MAX($G367,$E367))</f>
        <v/>
      </c>
      <c r="I367" s="15">
        <f>IF($A367="","",IFERROR(SUMIF(tblAnahtarB[NormB],$A367,tblVeriB[TarifTlDesi]),0))</f>
        <v/>
      </c>
      <c r="J367" s="15">
        <f>IF($A367="","",IFERROR(SUMIF(tblAnahtarA[Norm],$A367,tblVeriA[Adet]),1))</f>
        <v/>
      </c>
      <c r="K367" s="15">
        <f>IF($A367="","",ROUND($H367*$I367,2))</f>
        <v/>
      </c>
      <c r="L367" s="15">
        <f>IF($A367="","",ROUND($K367*$J367*(1+$Q367*kdo_iadeEtkiCarpani),2))</f>
        <v/>
      </c>
      <c r="M367" s="15">
        <f>IF($A367="","",IFERROR(SUMIF(tblAnahtarB[NormB],$A367,tblVeriB[AlternatifTarif]),0))</f>
        <v/>
      </c>
      <c r="N367" s="15">
        <f>IF($A367="","",ROUND($H367*$M367*$J367*(1+$Q367*kdo_iadeEtkiCarpani),2))</f>
        <v/>
      </c>
      <c r="O367" s="15">
        <f>IF($A367="","",ROUND($L367-$N367,2))</f>
        <v/>
      </c>
      <c r="P367" s="15">
        <f>IF($A367="","",IF($R367&gt;kdo_esikDesiOran,"DESİ DÜŞÜR",IF($O367&gt;kdo_esikTasarruf,"TAŞIYICI DEĞİŞTİR","UYGUN")))</f>
        <v/>
      </c>
      <c r="Q367" s="15">
        <f>IF($A367="","",IFERROR(SUMIF(tblAnahtarB[NormB],$A367,tblVeriB[IadeOran]),0))</f>
        <v/>
      </c>
      <c r="R367" s="15">
        <f>IF(OR($A367="",$E367=0),0,$G367/$E367)</f>
        <v/>
      </c>
      <c r="S367" s="15">
        <f>IF($A367="","",$G367-$E367)</f>
        <v/>
      </c>
      <c r="T367" s="15">
        <f>IF($A367="","",$L367-$N367)</f>
        <v/>
      </c>
    </row>
    <row r="368">
      <c r="A368" s="15">
        <f>IF('ANAHTAR'!$B368="","",'ANAHTAR'!$B368)</f>
        <v/>
      </c>
      <c r="B368" s="15">
        <f>IF($A368="","",IFERROR(SUMIF(tblAnahtarA[Norm],$A368,tblVeriA[EnCm]),0))</f>
        <v/>
      </c>
      <c r="C368" s="15">
        <f>IF($A368="","",IFERROR(SUMIF(tblAnahtarA[Norm],$A368,tblVeriA[BoyCm]),0))</f>
        <v/>
      </c>
      <c r="D368" s="15">
        <f>IF($A368="","",IFERROR(SUMIF(tblAnahtarA[Norm],$A368,tblVeriA[YukseklikCm]),0))</f>
        <v/>
      </c>
      <c r="E368" s="15">
        <f>IF($A368="","",IFERROR(SUMIF(tblAnahtarA[Norm],$A368,tblVeriA[AgirlikKg]),0))</f>
        <v/>
      </c>
      <c r="F368" s="15">
        <f>IF($A368="","",IFERROR(SUMIF(tblAnahtarA[Norm],$A368,tblVeriA[DesiCarpani]),kdo_varsayilanDesiCarpani))</f>
        <v/>
      </c>
      <c r="G368" s="15">
        <f>IF($A368="","",ROUND($B368*$C368*$D368/MAX($F368,1),2))</f>
        <v/>
      </c>
      <c r="H368" s="15">
        <f>IF($A368="","",MAX($G368,$E368))</f>
        <v/>
      </c>
      <c r="I368" s="15">
        <f>IF($A368="","",IFERROR(SUMIF(tblAnahtarB[NormB],$A368,tblVeriB[TarifTlDesi]),0))</f>
        <v/>
      </c>
      <c r="J368" s="15">
        <f>IF($A368="","",IFERROR(SUMIF(tblAnahtarA[Norm],$A368,tblVeriA[Adet]),1))</f>
        <v/>
      </c>
      <c r="K368" s="15">
        <f>IF($A368="","",ROUND($H368*$I368,2))</f>
        <v/>
      </c>
      <c r="L368" s="15">
        <f>IF($A368="","",ROUND($K368*$J368*(1+$Q368*kdo_iadeEtkiCarpani),2))</f>
        <v/>
      </c>
      <c r="M368" s="15">
        <f>IF($A368="","",IFERROR(SUMIF(tblAnahtarB[NormB],$A368,tblVeriB[AlternatifTarif]),0))</f>
        <v/>
      </c>
      <c r="N368" s="15">
        <f>IF($A368="","",ROUND($H368*$M368*$J368*(1+$Q368*kdo_iadeEtkiCarpani),2))</f>
        <v/>
      </c>
      <c r="O368" s="15">
        <f>IF($A368="","",ROUND($L368-$N368,2))</f>
        <v/>
      </c>
      <c r="P368" s="15">
        <f>IF($A368="","",IF($R368&gt;kdo_esikDesiOran,"DESİ DÜŞÜR",IF($O368&gt;kdo_esikTasarruf,"TAŞIYICI DEĞİŞTİR","UYGUN")))</f>
        <v/>
      </c>
      <c r="Q368" s="15">
        <f>IF($A368="","",IFERROR(SUMIF(tblAnahtarB[NormB],$A368,tblVeriB[IadeOran]),0))</f>
        <v/>
      </c>
      <c r="R368" s="15">
        <f>IF(OR($A368="",$E368=0),0,$G368/$E368)</f>
        <v/>
      </c>
      <c r="S368" s="15">
        <f>IF($A368="","",$G368-$E368)</f>
        <v/>
      </c>
      <c r="T368" s="15">
        <f>IF($A368="","",$L368-$N368)</f>
        <v/>
      </c>
    </row>
    <row r="369">
      <c r="A369" s="15">
        <f>IF('ANAHTAR'!$B369="","",'ANAHTAR'!$B369)</f>
        <v/>
      </c>
      <c r="B369" s="15">
        <f>IF($A369="","",IFERROR(SUMIF(tblAnahtarA[Norm],$A369,tblVeriA[EnCm]),0))</f>
        <v/>
      </c>
      <c r="C369" s="15">
        <f>IF($A369="","",IFERROR(SUMIF(tblAnahtarA[Norm],$A369,tblVeriA[BoyCm]),0))</f>
        <v/>
      </c>
      <c r="D369" s="15">
        <f>IF($A369="","",IFERROR(SUMIF(tblAnahtarA[Norm],$A369,tblVeriA[YukseklikCm]),0))</f>
        <v/>
      </c>
      <c r="E369" s="15">
        <f>IF($A369="","",IFERROR(SUMIF(tblAnahtarA[Norm],$A369,tblVeriA[AgirlikKg]),0))</f>
        <v/>
      </c>
      <c r="F369" s="15">
        <f>IF($A369="","",IFERROR(SUMIF(tblAnahtarA[Norm],$A369,tblVeriA[DesiCarpani]),kdo_varsayilanDesiCarpani))</f>
        <v/>
      </c>
      <c r="G369" s="15">
        <f>IF($A369="","",ROUND($B369*$C369*$D369/MAX($F369,1),2))</f>
        <v/>
      </c>
      <c r="H369" s="15">
        <f>IF($A369="","",MAX($G369,$E369))</f>
        <v/>
      </c>
      <c r="I369" s="15">
        <f>IF($A369="","",IFERROR(SUMIF(tblAnahtarB[NormB],$A369,tblVeriB[TarifTlDesi]),0))</f>
        <v/>
      </c>
      <c r="J369" s="15">
        <f>IF($A369="","",IFERROR(SUMIF(tblAnahtarA[Norm],$A369,tblVeriA[Adet]),1))</f>
        <v/>
      </c>
      <c r="K369" s="15">
        <f>IF($A369="","",ROUND($H369*$I369,2))</f>
        <v/>
      </c>
      <c r="L369" s="15">
        <f>IF($A369="","",ROUND($K369*$J369*(1+$Q369*kdo_iadeEtkiCarpani),2))</f>
        <v/>
      </c>
      <c r="M369" s="15">
        <f>IF($A369="","",IFERROR(SUMIF(tblAnahtarB[NormB],$A369,tblVeriB[AlternatifTarif]),0))</f>
        <v/>
      </c>
      <c r="N369" s="15">
        <f>IF($A369="","",ROUND($H369*$M369*$J369*(1+$Q369*kdo_iadeEtkiCarpani),2))</f>
        <v/>
      </c>
      <c r="O369" s="15">
        <f>IF($A369="","",ROUND($L369-$N369,2))</f>
        <v/>
      </c>
      <c r="P369" s="15">
        <f>IF($A369="","",IF($R369&gt;kdo_esikDesiOran,"DESİ DÜŞÜR",IF($O369&gt;kdo_esikTasarruf,"TAŞIYICI DEĞİŞTİR","UYGUN")))</f>
        <v/>
      </c>
      <c r="Q369" s="15">
        <f>IF($A369="","",IFERROR(SUMIF(tblAnahtarB[NormB],$A369,tblVeriB[IadeOran]),0))</f>
        <v/>
      </c>
      <c r="R369" s="15">
        <f>IF(OR($A369="",$E369=0),0,$G369/$E369)</f>
        <v/>
      </c>
      <c r="S369" s="15">
        <f>IF($A369="","",$G369-$E369)</f>
        <v/>
      </c>
      <c r="T369" s="15">
        <f>IF($A369="","",$L369-$N369)</f>
        <v/>
      </c>
    </row>
    <row r="370">
      <c r="A370" s="15">
        <f>IF('ANAHTAR'!$B370="","",'ANAHTAR'!$B370)</f>
        <v/>
      </c>
      <c r="B370" s="15">
        <f>IF($A370="","",IFERROR(SUMIF(tblAnahtarA[Norm],$A370,tblVeriA[EnCm]),0))</f>
        <v/>
      </c>
      <c r="C370" s="15">
        <f>IF($A370="","",IFERROR(SUMIF(tblAnahtarA[Norm],$A370,tblVeriA[BoyCm]),0))</f>
        <v/>
      </c>
      <c r="D370" s="15">
        <f>IF($A370="","",IFERROR(SUMIF(tblAnahtarA[Norm],$A370,tblVeriA[YukseklikCm]),0))</f>
        <v/>
      </c>
      <c r="E370" s="15">
        <f>IF($A370="","",IFERROR(SUMIF(tblAnahtarA[Norm],$A370,tblVeriA[AgirlikKg]),0))</f>
        <v/>
      </c>
      <c r="F370" s="15">
        <f>IF($A370="","",IFERROR(SUMIF(tblAnahtarA[Norm],$A370,tblVeriA[DesiCarpani]),kdo_varsayilanDesiCarpani))</f>
        <v/>
      </c>
      <c r="G370" s="15">
        <f>IF($A370="","",ROUND($B370*$C370*$D370/MAX($F370,1),2))</f>
        <v/>
      </c>
      <c r="H370" s="15">
        <f>IF($A370="","",MAX($G370,$E370))</f>
        <v/>
      </c>
      <c r="I370" s="15">
        <f>IF($A370="","",IFERROR(SUMIF(tblAnahtarB[NormB],$A370,tblVeriB[TarifTlDesi]),0))</f>
        <v/>
      </c>
      <c r="J370" s="15">
        <f>IF($A370="","",IFERROR(SUMIF(tblAnahtarA[Norm],$A370,tblVeriA[Adet]),1))</f>
        <v/>
      </c>
      <c r="K370" s="15">
        <f>IF($A370="","",ROUND($H370*$I370,2))</f>
        <v/>
      </c>
      <c r="L370" s="15">
        <f>IF($A370="","",ROUND($K370*$J370*(1+$Q370*kdo_iadeEtkiCarpani),2))</f>
        <v/>
      </c>
      <c r="M370" s="15">
        <f>IF($A370="","",IFERROR(SUMIF(tblAnahtarB[NormB],$A370,tblVeriB[AlternatifTarif]),0))</f>
        <v/>
      </c>
      <c r="N370" s="15">
        <f>IF($A370="","",ROUND($H370*$M370*$J370*(1+$Q370*kdo_iadeEtkiCarpani),2))</f>
        <v/>
      </c>
      <c r="O370" s="15">
        <f>IF($A370="","",ROUND($L370-$N370,2))</f>
        <v/>
      </c>
      <c r="P370" s="15">
        <f>IF($A370="","",IF($R370&gt;kdo_esikDesiOran,"DESİ DÜŞÜR",IF($O370&gt;kdo_esikTasarruf,"TAŞIYICI DEĞİŞTİR","UYGUN")))</f>
        <v/>
      </c>
      <c r="Q370" s="15">
        <f>IF($A370="","",IFERROR(SUMIF(tblAnahtarB[NormB],$A370,tblVeriB[IadeOran]),0))</f>
        <v/>
      </c>
      <c r="R370" s="15">
        <f>IF(OR($A370="",$E370=0),0,$G370/$E370)</f>
        <v/>
      </c>
      <c r="S370" s="15">
        <f>IF($A370="","",$G370-$E370)</f>
        <v/>
      </c>
      <c r="T370" s="15">
        <f>IF($A370="","",$L370-$N370)</f>
        <v/>
      </c>
    </row>
    <row r="371">
      <c r="A371" s="15">
        <f>IF('ANAHTAR'!$B371="","",'ANAHTAR'!$B371)</f>
        <v/>
      </c>
      <c r="B371" s="15">
        <f>IF($A371="","",IFERROR(SUMIF(tblAnahtarA[Norm],$A371,tblVeriA[EnCm]),0))</f>
        <v/>
      </c>
      <c r="C371" s="15">
        <f>IF($A371="","",IFERROR(SUMIF(tblAnahtarA[Norm],$A371,tblVeriA[BoyCm]),0))</f>
        <v/>
      </c>
      <c r="D371" s="15">
        <f>IF($A371="","",IFERROR(SUMIF(tblAnahtarA[Norm],$A371,tblVeriA[YukseklikCm]),0))</f>
        <v/>
      </c>
      <c r="E371" s="15">
        <f>IF($A371="","",IFERROR(SUMIF(tblAnahtarA[Norm],$A371,tblVeriA[AgirlikKg]),0))</f>
        <v/>
      </c>
      <c r="F371" s="15">
        <f>IF($A371="","",IFERROR(SUMIF(tblAnahtarA[Norm],$A371,tblVeriA[DesiCarpani]),kdo_varsayilanDesiCarpani))</f>
        <v/>
      </c>
      <c r="G371" s="15">
        <f>IF($A371="","",ROUND($B371*$C371*$D371/MAX($F371,1),2))</f>
        <v/>
      </c>
      <c r="H371" s="15">
        <f>IF($A371="","",MAX($G371,$E371))</f>
        <v/>
      </c>
      <c r="I371" s="15">
        <f>IF($A371="","",IFERROR(SUMIF(tblAnahtarB[NormB],$A371,tblVeriB[TarifTlDesi]),0))</f>
        <v/>
      </c>
      <c r="J371" s="15">
        <f>IF($A371="","",IFERROR(SUMIF(tblAnahtarA[Norm],$A371,tblVeriA[Adet]),1))</f>
        <v/>
      </c>
      <c r="K371" s="15">
        <f>IF($A371="","",ROUND($H371*$I371,2))</f>
        <v/>
      </c>
      <c r="L371" s="15">
        <f>IF($A371="","",ROUND($K371*$J371*(1+$Q371*kdo_iadeEtkiCarpani),2))</f>
        <v/>
      </c>
      <c r="M371" s="15">
        <f>IF($A371="","",IFERROR(SUMIF(tblAnahtarB[NormB],$A371,tblVeriB[AlternatifTarif]),0))</f>
        <v/>
      </c>
      <c r="N371" s="15">
        <f>IF($A371="","",ROUND($H371*$M371*$J371*(1+$Q371*kdo_iadeEtkiCarpani),2))</f>
        <v/>
      </c>
      <c r="O371" s="15">
        <f>IF($A371="","",ROUND($L371-$N371,2))</f>
        <v/>
      </c>
      <c r="P371" s="15">
        <f>IF($A371="","",IF($R371&gt;kdo_esikDesiOran,"DESİ DÜŞÜR",IF($O371&gt;kdo_esikTasarruf,"TAŞIYICI DEĞİŞTİR","UYGUN")))</f>
        <v/>
      </c>
      <c r="Q371" s="15">
        <f>IF($A371="","",IFERROR(SUMIF(tblAnahtarB[NormB],$A371,tblVeriB[IadeOran]),0))</f>
        <v/>
      </c>
      <c r="R371" s="15">
        <f>IF(OR($A371="",$E371=0),0,$G371/$E371)</f>
        <v/>
      </c>
      <c r="S371" s="15">
        <f>IF($A371="","",$G371-$E371)</f>
        <v/>
      </c>
      <c r="T371" s="15">
        <f>IF($A371="","",$L371-$N371)</f>
        <v/>
      </c>
    </row>
    <row r="372">
      <c r="A372" s="15">
        <f>IF('ANAHTAR'!$B372="","",'ANAHTAR'!$B372)</f>
        <v/>
      </c>
      <c r="B372" s="15">
        <f>IF($A372="","",IFERROR(SUMIF(tblAnahtarA[Norm],$A372,tblVeriA[EnCm]),0))</f>
        <v/>
      </c>
      <c r="C372" s="15">
        <f>IF($A372="","",IFERROR(SUMIF(tblAnahtarA[Norm],$A372,tblVeriA[BoyCm]),0))</f>
        <v/>
      </c>
      <c r="D372" s="15">
        <f>IF($A372="","",IFERROR(SUMIF(tblAnahtarA[Norm],$A372,tblVeriA[YukseklikCm]),0))</f>
        <v/>
      </c>
      <c r="E372" s="15">
        <f>IF($A372="","",IFERROR(SUMIF(tblAnahtarA[Norm],$A372,tblVeriA[AgirlikKg]),0))</f>
        <v/>
      </c>
      <c r="F372" s="15">
        <f>IF($A372="","",IFERROR(SUMIF(tblAnahtarA[Norm],$A372,tblVeriA[DesiCarpani]),kdo_varsayilanDesiCarpani))</f>
        <v/>
      </c>
      <c r="G372" s="15">
        <f>IF($A372="","",ROUND($B372*$C372*$D372/MAX($F372,1),2))</f>
        <v/>
      </c>
      <c r="H372" s="15">
        <f>IF($A372="","",MAX($G372,$E372))</f>
        <v/>
      </c>
      <c r="I372" s="15">
        <f>IF($A372="","",IFERROR(SUMIF(tblAnahtarB[NormB],$A372,tblVeriB[TarifTlDesi]),0))</f>
        <v/>
      </c>
      <c r="J372" s="15">
        <f>IF($A372="","",IFERROR(SUMIF(tblAnahtarA[Norm],$A372,tblVeriA[Adet]),1))</f>
        <v/>
      </c>
      <c r="K372" s="15">
        <f>IF($A372="","",ROUND($H372*$I372,2))</f>
        <v/>
      </c>
      <c r="L372" s="15">
        <f>IF($A372="","",ROUND($K372*$J372*(1+$Q372*kdo_iadeEtkiCarpani),2))</f>
        <v/>
      </c>
      <c r="M372" s="15">
        <f>IF($A372="","",IFERROR(SUMIF(tblAnahtarB[NormB],$A372,tblVeriB[AlternatifTarif]),0))</f>
        <v/>
      </c>
      <c r="N372" s="15">
        <f>IF($A372="","",ROUND($H372*$M372*$J372*(1+$Q372*kdo_iadeEtkiCarpani),2))</f>
        <v/>
      </c>
      <c r="O372" s="15">
        <f>IF($A372="","",ROUND($L372-$N372,2))</f>
        <v/>
      </c>
      <c r="P372" s="15">
        <f>IF($A372="","",IF($R372&gt;kdo_esikDesiOran,"DESİ DÜŞÜR",IF($O372&gt;kdo_esikTasarruf,"TAŞIYICI DEĞİŞTİR","UYGUN")))</f>
        <v/>
      </c>
      <c r="Q372" s="15">
        <f>IF($A372="","",IFERROR(SUMIF(tblAnahtarB[NormB],$A372,tblVeriB[IadeOran]),0))</f>
        <v/>
      </c>
      <c r="R372" s="15">
        <f>IF(OR($A372="",$E372=0),0,$G372/$E372)</f>
        <v/>
      </c>
      <c r="S372" s="15">
        <f>IF($A372="","",$G372-$E372)</f>
        <v/>
      </c>
      <c r="T372" s="15">
        <f>IF($A372="","",$L372-$N372)</f>
        <v/>
      </c>
    </row>
    <row r="373">
      <c r="A373" s="15">
        <f>IF('ANAHTAR'!$B373="","",'ANAHTAR'!$B373)</f>
        <v/>
      </c>
      <c r="B373" s="15">
        <f>IF($A373="","",IFERROR(SUMIF(tblAnahtarA[Norm],$A373,tblVeriA[EnCm]),0))</f>
        <v/>
      </c>
      <c r="C373" s="15">
        <f>IF($A373="","",IFERROR(SUMIF(tblAnahtarA[Norm],$A373,tblVeriA[BoyCm]),0))</f>
        <v/>
      </c>
      <c r="D373" s="15">
        <f>IF($A373="","",IFERROR(SUMIF(tblAnahtarA[Norm],$A373,tblVeriA[YukseklikCm]),0))</f>
        <v/>
      </c>
      <c r="E373" s="15">
        <f>IF($A373="","",IFERROR(SUMIF(tblAnahtarA[Norm],$A373,tblVeriA[AgirlikKg]),0))</f>
        <v/>
      </c>
      <c r="F373" s="15">
        <f>IF($A373="","",IFERROR(SUMIF(tblAnahtarA[Norm],$A373,tblVeriA[DesiCarpani]),kdo_varsayilanDesiCarpani))</f>
        <v/>
      </c>
      <c r="G373" s="15">
        <f>IF($A373="","",ROUND($B373*$C373*$D373/MAX($F373,1),2))</f>
        <v/>
      </c>
      <c r="H373" s="15">
        <f>IF($A373="","",MAX($G373,$E373))</f>
        <v/>
      </c>
      <c r="I373" s="15">
        <f>IF($A373="","",IFERROR(SUMIF(tblAnahtarB[NormB],$A373,tblVeriB[TarifTlDesi]),0))</f>
        <v/>
      </c>
      <c r="J373" s="15">
        <f>IF($A373="","",IFERROR(SUMIF(tblAnahtarA[Norm],$A373,tblVeriA[Adet]),1))</f>
        <v/>
      </c>
      <c r="K373" s="15">
        <f>IF($A373="","",ROUND($H373*$I373,2))</f>
        <v/>
      </c>
      <c r="L373" s="15">
        <f>IF($A373="","",ROUND($K373*$J373*(1+$Q373*kdo_iadeEtkiCarpani),2))</f>
        <v/>
      </c>
      <c r="M373" s="15">
        <f>IF($A373="","",IFERROR(SUMIF(tblAnahtarB[NormB],$A373,tblVeriB[AlternatifTarif]),0))</f>
        <v/>
      </c>
      <c r="N373" s="15">
        <f>IF($A373="","",ROUND($H373*$M373*$J373*(1+$Q373*kdo_iadeEtkiCarpani),2))</f>
        <v/>
      </c>
      <c r="O373" s="15">
        <f>IF($A373="","",ROUND($L373-$N373,2))</f>
        <v/>
      </c>
      <c r="P373" s="15">
        <f>IF($A373="","",IF($R373&gt;kdo_esikDesiOran,"DESİ DÜŞÜR",IF($O373&gt;kdo_esikTasarruf,"TAŞIYICI DEĞİŞTİR","UYGUN")))</f>
        <v/>
      </c>
      <c r="Q373" s="15">
        <f>IF($A373="","",IFERROR(SUMIF(tblAnahtarB[NormB],$A373,tblVeriB[IadeOran]),0))</f>
        <v/>
      </c>
      <c r="R373" s="15">
        <f>IF(OR($A373="",$E373=0),0,$G373/$E373)</f>
        <v/>
      </c>
      <c r="S373" s="15">
        <f>IF($A373="","",$G373-$E373)</f>
        <v/>
      </c>
      <c r="T373" s="15">
        <f>IF($A373="","",$L373-$N373)</f>
        <v/>
      </c>
    </row>
    <row r="374">
      <c r="A374" s="15">
        <f>IF('ANAHTAR'!$B374="","",'ANAHTAR'!$B374)</f>
        <v/>
      </c>
      <c r="B374" s="15">
        <f>IF($A374="","",IFERROR(SUMIF(tblAnahtarA[Norm],$A374,tblVeriA[EnCm]),0))</f>
        <v/>
      </c>
      <c r="C374" s="15">
        <f>IF($A374="","",IFERROR(SUMIF(tblAnahtarA[Norm],$A374,tblVeriA[BoyCm]),0))</f>
        <v/>
      </c>
      <c r="D374" s="15">
        <f>IF($A374="","",IFERROR(SUMIF(tblAnahtarA[Norm],$A374,tblVeriA[YukseklikCm]),0))</f>
        <v/>
      </c>
      <c r="E374" s="15">
        <f>IF($A374="","",IFERROR(SUMIF(tblAnahtarA[Norm],$A374,tblVeriA[AgirlikKg]),0))</f>
        <v/>
      </c>
      <c r="F374" s="15">
        <f>IF($A374="","",IFERROR(SUMIF(tblAnahtarA[Norm],$A374,tblVeriA[DesiCarpani]),kdo_varsayilanDesiCarpani))</f>
        <v/>
      </c>
      <c r="G374" s="15">
        <f>IF($A374="","",ROUND($B374*$C374*$D374/MAX($F374,1),2))</f>
        <v/>
      </c>
      <c r="H374" s="15">
        <f>IF($A374="","",MAX($G374,$E374))</f>
        <v/>
      </c>
      <c r="I374" s="15">
        <f>IF($A374="","",IFERROR(SUMIF(tblAnahtarB[NormB],$A374,tblVeriB[TarifTlDesi]),0))</f>
        <v/>
      </c>
      <c r="J374" s="15">
        <f>IF($A374="","",IFERROR(SUMIF(tblAnahtarA[Norm],$A374,tblVeriA[Adet]),1))</f>
        <v/>
      </c>
      <c r="K374" s="15">
        <f>IF($A374="","",ROUND($H374*$I374,2))</f>
        <v/>
      </c>
      <c r="L374" s="15">
        <f>IF($A374="","",ROUND($K374*$J374*(1+$Q374*kdo_iadeEtkiCarpani),2))</f>
        <v/>
      </c>
      <c r="M374" s="15">
        <f>IF($A374="","",IFERROR(SUMIF(tblAnahtarB[NormB],$A374,tblVeriB[AlternatifTarif]),0))</f>
        <v/>
      </c>
      <c r="N374" s="15">
        <f>IF($A374="","",ROUND($H374*$M374*$J374*(1+$Q374*kdo_iadeEtkiCarpani),2))</f>
        <v/>
      </c>
      <c r="O374" s="15">
        <f>IF($A374="","",ROUND($L374-$N374,2))</f>
        <v/>
      </c>
      <c r="P374" s="15">
        <f>IF($A374="","",IF($R374&gt;kdo_esikDesiOran,"DESİ DÜŞÜR",IF($O374&gt;kdo_esikTasarruf,"TAŞIYICI DEĞİŞTİR","UYGUN")))</f>
        <v/>
      </c>
      <c r="Q374" s="15">
        <f>IF($A374="","",IFERROR(SUMIF(tblAnahtarB[NormB],$A374,tblVeriB[IadeOran]),0))</f>
        <v/>
      </c>
      <c r="R374" s="15">
        <f>IF(OR($A374="",$E374=0),0,$G374/$E374)</f>
        <v/>
      </c>
      <c r="S374" s="15">
        <f>IF($A374="","",$G374-$E374)</f>
        <v/>
      </c>
      <c r="T374" s="15">
        <f>IF($A374="","",$L374-$N374)</f>
        <v/>
      </c>
    </row>
    <row r="375">
      <c r="A375" s="15">
        <f>IF('ANAHTAR'!$B375="","",'ANAHTAR'!$B375)</f>
        <v/>
      </c>
      <c r="B375" s="15">
        <f>IF($A375="","",IFERROR(SUMIF(tblAnahtarA[Norm],$A375,tblVeriA[EnCm]),0))</f>
        <v/>
      </c>
      <c r="C375" s="15">
        <f>IF($A375="","",IFERROR(SUMIF(tblAnahtarA[Norm],$A375,tblVeriA[BoyCm]),0))</f>
        <v/>
      </c>
      <c r="D375" s="15">
        <f>IF($A375="","",IFERROR(SUMIF(tblAnahtarA[Norm],$A375,tblVeriA[YukseklikCm]),0))</f>
        <v/>
      </c>
      <c r="E375" s="15">
        <f>IF($A375="","",IFERROR(SUMIF(tblAnahtarA[Norm],$A375,tblVeriA[AgirlikKg]),0))</f>
        <v/>
      </c>
      <c r="F375" s="15">
        <f>IF($A375="","",IFERROR(SUMIF(tblAnahtarA[Norm],$A375,tblVeriA[DesiCarpani]),kdo_varsayilanDesiCarpani))</f>
        <v/>
      </c>
      <c r="G375" s="15">
        <f>IF($A375="","",ROUND($B375*$C375*$D375/MAX($F375,1),2))</f>
        <v/>
      </c>
      <c r="H375" s="15">
        <f>IF($A375="","",MAX($G375,$E375))</f>
        <v/>
      </c>
      <c r="I375" s="15">
        <f>IF($A375="","",IFERROR(SUMIF(tblAnahtarB[NormB],$A375,tblVeriB[TarifTlDesi]),0))</f>
        <v/>
      </c>
      <c r="J375" s="15">
        <f>IF($A375="","",IFERROR(SUMIF(tblAnahtarA[Norm],$A375,tblVeriA[Adet]),1))</f>
        <v/>
      </c>
      <c r="K375" s="15">
        <f>IF($A375="","",ROUND($H375*$I375,2))</f>
        <v/>
      </c>
      <c r="L375" s="15">
        <f>IF($A375="","",ROUND($K375*$J375*(1+$Q375*kdo_iadeEtkiCarpani),2))</f>
        <v/>
      </c>
      <c r="M375" s="15">
        <f>IF($A375="","",IFERROR(SUMIF(tblAnahtarB[NormB],$A375,tblVeriB[AlternatifTarif]),0))</f>
        <v/>
      </c>
      <c r="N375" s="15">
        <f>IF($A375="","",ROUND($H375*$M375*$J375*(1+$Q375*kdo_iadeEtkiCarpani),2))</f>
        <v/>
      </c>
      <c r="O375" s="15">
        <f>IF($A375="","",ROUND($L375-$N375,2))</f>
        <v/>
      </c>
      <c r="P375" s="15">
        <f>IF($A375="","",IF($R375&gt;kdo_esikDesiOran,"DESİ DÜŞÜR",IF($O375&gt;kdo_esikTasarruf,"TAŞIYICI DEĞİŞTİR","UYGUN")))</f>
        <v/>
      </c>
      <c r="Q375" s="15">
        <f>IF($A375="","",IFERROR(SUMIF(tblAnahtarB[NormB],$A375,tblVeriB[IadeOran]),0))</f>
        <v/>
      </c>
      <c r="R375" s="15">
        <f>IF(OR($A375="",$E375=0),0,$G375/$E375)</f>
        <v/>
      </c>
      <c r="S375" s="15">
        <f>IF($A375="","",$G375-$E375)</f>
        <v/>
      </c>
      <c r="T375" s="15">
        <f>IF($A375="","",$L375-$N375)</f>
        <v/>
      </c>
    </row>
    <row r="376">
      <c r="A376" s="15">
        <f>IF('ANAHTAR'!$B376="","",'ANAHTAR'!$B376)</f>
        <v/>
      </c>
      <c r="B376" s="15">
        <f>IF($A376="","",IFERROR(SUMIF(tblAnahtarA[Norm],$A376,tblVeriA[EnCm]),0))</f>
        <v/>
      </c>
      <c r="C376" s="15">
        <f>IF($A376="","",IFERROR(SUMIF(tblAnahtarA[Norm],$A376,tblVeriA[BoyCm]),0))</f>
        <v/>
      </c>
      <c r="D376" s="15">
        <f>IF($A376="","",IFERROR(SUMIF(tblAnahtarA[Norm],$A376,tblVeriA[YukseklikCm]),0))</f>
        <v/>
      </c>
      <c r="E376" s="15">
        <f>IF($A376="","",IFERROR(SUMIF(tblAnahtarA[Norm],$A376,tblVeriA[AgirlikKg]),0))</f>
        <v/>
      </c>
      <c r="F376" s="15">
        <f>IF($A376="","",IFERROR(SUMIF(tblAnahtarA[Norm],$A376,tblVeriA[DesiCarpani]),kdo_varsayilanDesiCarpani))</f>
        <v/>
      </c>
      <c r="G376" s="15">
        <f>IF($A376="","",ROUND($B376*$C376*$D376/MAX($F376,1),2))</f>
        <v/>
      </c>
      <c r="H376" s="15">
        <f>IF($A376="","",MAX($G376,$E376))</f>
        <v/>
      </c>
      <c r="I376" s="15">
        <f>IF($A376="","",IFERROR(SUMIF(tblAnahtarB[NormB],$A376,tblVeriB[TarifTlDesi]),0))</f>
        <v/>
      </c>
      <c r="J376" s="15">
        <f>IF($A376="","",IFERROR(SUMIF(tblAnahtarA[Norm],$A376,tblVeriA[Adet]),1))</f>
        <v/>
      </c>
      <c r="K376" s="15">
        <f>IF($A376="","",ROUND($H376*$I376,2))</f>
        <v/>
      </c>
      <c r="L376" s="15">
        <f>IF($A376="","",ROUND($K376*$J376*(1+$Q376*kdo_iadeEtkiCarpani),2))</f>
        <v/>
      </c>
      <c r="M376" s="15">
        <f>IF($A376="","",IFERROR(SUMIF(tblAnahtarB[NormB],$A376,tblVeriB[AlternatifTarif]),0))</f>
        <v/>
      </c>
      <c r="N376" s="15">
        <f>IF($A376="","",ROUND($H376*$M376*$J376*(1+$Q376*kdo_iadeEtkiCarpani),2))</f>
        <v/>
      </c>
      <c r="O376" s="15">
        <f>IF($A376="","",ROUND($L376-$N376,2))</f>
        <v/>
      </c>
      <c r="P376" s="15">
        <f>IF($A376="","",IF($R376&gt;kdo_esikDesiOran,"DESİ DÜŞÜR",IF($O376&gt;kdo_esikTasarruf,"TAŞIYICI DEĞİŞTİR","UYGUN")))</f>
        <v/>
      </c>
      <c r="Q376" s="15">
        <f>IF($A376="","",IFERROR(SUMIF(tblAnahtarB[NormB],$A376,tblVeriB[IadeOran]),0))</f>
        <v/>
      </c>
      <c r="R376" s="15">
        <f>IF(OR($A376="",$E376=0),0,$G376/$E376)</f>
        <v/>
      </c>
      <c r="S376" s="15">
        <f>IF($A376="","",$G376-$E376)</f>
        <v/>
      </c>
      <c r="T376" s="15">
        <f>IF($A376="","",$L376-$N376)</f>
        <v/>
      </c>
    </row>
    <row r="377">
      <c r="A377" s="15">
        <f>IF('ANAHTAR'!$B377="","",'ANAHTAR'!$B377)</f>
        <v/>
      </c>
      <c r="B377" s="15">
        <f>IF($A377="","",IFERROR(SUMIF(tblAnahtarA[Norm],$A377,tblVeriA[EnCm]),0))</f>
        <v/>
      </c>
      <c r="C377" s="15">
        <f>IF($A377="","",IFERROR(SUMIF(tblAnahtarA[Norm],$A377,tblVeriA[BoyCm]),0))</f>
        <v/>
      </c>
      <c r="D377" s="15">
        <f>IF($A377="","",IFERROR(SUMIF(tblAnahtarA[Norm],$A377,tblVeriA[YukseklikCm]),0))</f>
        <v/>
      </c>
      <c r="E377" s="15">
        <f>IF($A377="","",IFERROR(SUMIF(tblAnahtarA[Norm],$A377,tblVeriA[AgirlikKg]),0))</f>
        <v/>
      </c>
      <c r="F377" s="15">
        <f>IF($A377="","",IFERROR(SUMIF(tblAnahtarA[Norm],$A377,tblVeriA[DesiCarpani]),kdo_varsayilanDesiCarpani))</f>
        <v/>
      </c>
      <c r="G377" s="15">
        <f>IF($A377="","",ROUND($B377*$C377*$D377/MAX($F377,1),2))</f>
        <v/>
      </c>
      <c r="H377" s="15">
        <f>IF($A377="","",MAX($G377,$E377))</f>
        <v/>
      </c>
      <c r="I377" s="15">
        <f>IF($A377="","",IFERROR(SUMIF(tblAnahtarB[NormB],$A377,tblVeriB[TarifTlDesi]),0))</f>
        <v/>
      </c>
      <c r="J377" s="15">
        <f>IF($A377="","",IFERROR(SUMIF(tblAnahtarA[Norm],$A377,tblVeriA[Adet]),1))</f>
        <v/>
      </c>
      <c r="K377" s="15">
        <f>IF($A377="","",ROUND($H377*$I377,2))</f>
        <v/>
      </c>
      <c r="L377" s="15">
        <f>IF($A377="","",ROUND($K377*$J377*(1+$Q377*kdo_iadeEtkiCarpani),2))</f>
        <v/>
      </c>
      <c r="M377" s="15">
        <f>IF($A377="","",IFERROR(SUMIF(tblAnahtarB[NormB],$A377,tblVeriB[AlternatifTarif]),0))</f>
        <v/>
      </c>
      <c r="N377" s="15">
        <f>IF($A377="","",ROUND($H377*$M377*$J377*(1+$Q377*kdo_iadeEtkiCarpani),2))</f>
        <v/>
      </c>
      <c r="O377" s="15">
        <f>IF($A377="","",ROUND($L377-$N377,2))</f>
        <v/>
      </c>
      <c r="P377" s="15">
        <f>IF($A377="","",IF($R377&gt;kdo_esikDesiOran,"DESİ DÜŞÜR",IF($O377&gt;kdo_esikTasarruf,"TAŞIYICI DEĞİŞTİR","UYGUN")))</f>
        <v/>
      </c>
      <c r="Q377" s="15">
        <f>IF($A377="","",IFERROR(SUMIF(tblAnahtarB[NormB],$A377,tblVeriB[IadeOran]),0))</f>
        <v/>
      </c>
      <c r="R377" s="15">
        <f>IF(OR($A377="",$E377=0),0,$G377/$E377)</f>
        <v/>
      </c>
      <c r="S377" s="15">
        <f>IF($A377="","",$G377-$E377)</f>
        <v/>
      </c>
      <c r="T377" s="15">
        <f>IF($A377="","",$L377-$N377)</f>
        <v/>
      </c>
    </row>
    <row r="378">
      <c r="A378" s="15">
        <f>IF('ANAHTAR'!$B378="","",'ANAHTAR'!$B378)</f>
        <v/>
      </c>
      <c r="B378" s="15">
        <f>IF($A378="","",IFERROR(SUMIF(tblAnahtarA[Norm],$A378,tblVeriA[EnCm]),0))</f>
        <v/>
      </c>
      <c r="C378" s="15">
        <f>IF($A378="","",IFERROR(SUMIF(tblAnahtarA[Norm],$A378,tblVeriA[BoyCm]),0))</f>
        <v/>
      </c>
      <c r="D378" s="15">
        <f>IF($A378="","",IFERROR(SUMIF(tblAnahtarA[Norm],$A378,tblVeriA[YukseklikCm]),0))</f>
        <v/>
      </c>
      <c r="E378" s="15">
        <f>IF($A378="","",IFERROR(SUMIF(tblAnahtarA[Norm],$A378,tblVeriA[AgirlikKg]),0))</f>
        <v/>
      </c>
      <c r="F378" s="15">
        <f>IF($A378="","",IFERROR(SUMIF(tblAnahtarA[Norm],$A378,tblVeriA[DesiCarpani]),kdo_varsayilanDesiCarpani))</f>
        <v/>
      </c>
      <c r="G378" s="15">
        <f>IF($A378="","",ROUND($B378*$C378*$D378/MAX($F378,1),2))</f>
        <v/>
      </c>
      <c r="H378" s="15">
        <f>IF($A378="","",MAX($G378,$E378))</f>
        <v/>
      </c>
      <c r="I378" s="15">
        <f>IF($A378="","",IFERROR(SUMIF(tblAnahtarB[NormB],$A378,tblVeriB[TarifTlDesi]),0))</f>
        <v/>
      </c>
      <c r="J378" s="15">
        <f>IF($A378="","",IFERROR(SUMIF(tblAnahtarA[Norm],$A378,tblVeriA[Adet]),1))</f>
        <v/>
      </c>
      <c r="K378" s="15">
        <f>IF($A378="","",ROUND($H378*$I378,2))</f>
        <v/>
      </c>
      <c r="L378" s="15">
        <f>IF($A378="","",ROUND($K378*$J378*(1+$Q378*kdo_iadeEtkiCarpani),2))</f>
        <v/>
      </c>
      <c r="M378" s="15">
        <f>IF($A378="","",IFERROR(SUMIF(tblAnahtarB[NormB],$A378,tblVeriB[AlternatifTarif]),0))</f>
        <v/>
      </c>
      <c r="N378" s="15">
        <f>IF($A378="","",ROUND($H378*$M378*$J378*(1+$Q378*kdo_iadeEtkiCarpani),2))</f>
        <v/>
      </c>
      <c r="O378" s="15">
        <f>IF($A378="","",ROUND($L378-$N378,2))</f>
        <v/>
      </c>
      <c r="P378" s="15">
        <f>IF($A378="","",IF($R378&gt;kdo_esikDesiOran,"DESİ DÜŞÜR",IF($O378&gt;kdo_esikTasarruf,"TAŞIYICI DEĞİŞTİR","UYGUN")))</f>
        <v/>
      </c>
      <c r="Q378" s="15">
        <f>IF($A378="","",IFERROR(SUMIF(tblAnahtarB[NormB],$A378,tblVeriB[IadeOran]),0))</f>
        <v/>
      </c>
      <c r="R378" s="15">
        <f>IF(OR($A378="",$E378=0),0,$G378/$E378)</f>
        <v/>
      </c>
      <c r="S378" s="15">
        <f>IF($A378="","",$G378-$E378)</f>
        <v/>
      </c>
      <c r="T378" s="15">
        <f>IF($A378="","",$L378-$N378)</f>
        <v/>
      </c>
    </row>
    <row r="379">
      <c r="A379" s="15">
        <f>IF('ANAHTAR'!$B379="","",'ANAHTAR'!$B379)</f>
        <v/>
      </c>
      <c r="B379" s="15">
        <f>IF($A379="","",IFERROR(SUMIF(tblAnahtarA[Norm],$A379,tblVeriA[EnCm]),0))</f>
        <v/>
      </c>
      <c r="C379" s="15">
        <f>IF($A379="","",IFERROR(SUMIF(tblAnahtarA[Norm],$A379,tblVeriA[BoyCm]),0))</f>
        <v/>
      </c>
      <c r="D379" s="15">
        <f>IF($A379="","",IFERROR(SUMIF(tblAnahtarA[Norm],$A379,tblVeriA[YukseklikCm]),0))</f>
        <v/>
      </c>
      <c r="E379" s="15">
        <f>IF($A379="","",IFERROR(SUMIF(tblAnahtarA[Norm],$A379,tblVeriA[AgirlikKg]),0))</f>
        <v/>
      </c>
      <c r="F379" s="15">
        <f>IF($A379="","",IFERROR(SUMIF(tblAnahtarA[Norm],$A379,tblVeriA[DesiCarpani]),kdo_varsayilanDesiCarpani))</f>
        <v/>
      </c>
      <c r="G379" s="15">
        <f>IF($A379="","",ROUND($B379*$C379*$D379/MAX($F379,1),2))</f>
        <v/>
      </c>
      <c r="H379" s="15">
        <f>IF($A379="","",MAX($G379,$E379))</f>
        <v/>
      </c>
      <c r="I379" s="15">
        <f>IF($A379="","",IFERROR(SUMIF(tblAnahtarB[NormB],$A379,tblVeriB[TarifTlDesi]),0))</f>
        <v/>
      </c>
      <c r="J379" s="15">
        <f>IF($A379="","",IFERROR(SUMIF(tblAnahtarA[Norm],$A379,tblVeriA[Adet]),1))</f>
        <v/>
      </c>
      <c r="K379" s="15">
        <f>IF($A379="","",ROUND($H379*$I379,2))</f>
        <v/>
      </c>
      <c r="L379" s="15">
        <f>IF($A379="","",ROUND($K379*$J379*(1+$Q379*kdo_iadeEtkiCarpani),2))</f>
        <v/>
      </c>
      <c r="M379" s="15">
        <f>IF($A379="","",IFERROR(SUMIF(tblAnahtarB[NormB],$A379,tblVeriB[AlternatifTarif]),0))</f>
        <v/>
      </c>
      <c r="N379" s="15">
        <f>IF($A379="","",ROUND($H379*$M379*$J379*(1+$Q379*kdo_iadeEtkiCarpani),2))</f>
        <v/>
      </c>
      <c r="O379" s="15">
        <f>IF($A379="","",ROUND($L379-$N379,2))</f>
        <v/>
      </c>
      <c r="P379" s="15">
        <f>IF($A379="","",IF($R379&gt;kdo_esikDesiOran,"DESİ DÜŞÜR",IF($O379&gt;kdo_esikTasarruf,"TAŞIYICI DEĞİŞTİR","UYGUN")))</f>
        <v/>
      </c>
      <c r="Q379" s="15">
        <f>IF($A379="","",IFERROR(SUMIF(tblAnahtarB[NormB],$A379,tblVeriB[IadeOran]),0))</f>
        <v/>
      </c>
      <c r="R379" s="15">
        <f>IF(OR($A379="",$E379=0),0,$G379/$E379)</f>
        <v/>
      </c>
      <c r="S379" s="15">
        <f>IF($A379="","",$G379-$E379)</f>
        <v/>
      </c>
      <c r="T379" s="15">
        <f>IF($A379="","",$L379-$N379)</f>
        <v/>
      </c>
    </row>
    <row r="380">
      <c r="A380" s="15">
        <f>IF('ANAHTAR'!$B380="","",'ANAHTAR'!$B380)</f>
        <v/>
      </c>
      <c r="B380" s="15">
        <f>IF($A380="","",IFERROR(SUMIF(tblAnahtarA[Norm],$A380,tblVeriA[EnCm]),0))</f>
        <v/>
      </c>
      <c r="C380" s="15">
        <f>IF($A380="","",IFERROR(SUMIF(tblAnahtarA[Norm],$A380,tblVeriA[BoyCm]),0))</f>
        <v/>
      </c>
      <c r="D380" s="15">
        <f>IF($A380="","",IFERROR(SUMIF(tblAnahtarA[Norm],$A380,tblVeriA[YukseklikCm]),0))</f>
        <v/>
      </c>
      <c r="E380" s="15">
        <f>IF($A380="","",IFERROR(SUMIF(tblAnahtarA[Norm],$A380,tblVeriA[AgirlikKg]),0))</f>
        <v/>
      </c>
      <c r="F380" s="15">
        <f>IF($A380="","",IFERROR(SUMIF(tblAnahtarA[Norm],$A380,tblVeriA[DesiCarpani]),kdo_varsayilanDesiCarpani))</f>
        <v/>
      </c>
      <c r="G380" s="15">
        <f>IF($A380="","",ROUND($B380*$C380*$D380/MAX($F380,1),2))</f>
        <v/>
      </c>
      <c r="H380" s="15">
        <f>IF($A380="","",MAX($G380,$E380))</f>
        <v/>
      </c>
      <c r="I380" s="15">
        <f>IF($A380="","",IFERROR(SUMIF(tblAnahtarB[NormB],$A380,tblVeriB[TarifTlDesi]),0))</f>
        <v/>
      </c>
      <c r="J380" s="15">
        <f>IF($A380="","",IFERROR(SUMIF(tblAnahtarA[Norm],$A380,tblVeriA[Adet]),1))</f>
        <v/>
      </c>
      <c r="K380" s="15">
        <f>IF($A380="","",ROUND($H380*$I380,2))</f>
        <v/>
      </c>
      <c r="L380" s="15">
        <f>IF($A380="","",ROUND($K380*$J380*(1+$Q380*kdo_iadeEtkiCarpani),2))</f>
        <v/>
      </c>
      <c r="M380" s="15">
        <f>IF($A380="","",IFERROR(SUMIF(tblAnahtarB[NormB],$A380,tblVeriB[AlternatifTarif]),0))</f>
        <v/>
      </c>
      <c r="N380" s="15">
        <f>IF($A380="","",ROUND($H380*$M380*$J380*(1+$Q380*kdo_iadeEtkiCarpani),2))</f>
        <v/>
      </c>
      <c r="O380" s="15">
        <f>IF($A380="","",ROUND($L380-$N380,2))</f>
        <v/>
      </c>
      <c r="P380" s="15">
        <f>IF($A380="","",IF($R380&gt;kdo_esikDesiOran,"DESİ DÜŞÜR",IF($O380&gt;kdo_esikTasarruf,"TAŞIYICI DEĞİŞTİR","UYGUN")))</f>
        <v/>
      </c>
      <c r="Q380" s="15">
        <f>IF($A380="","",IFERROR(SUMIF(tblAnahtarB[NormB],$A380,tblVeriB[IadeOran]),0))</f>
        <v/>
      </c>
      <c r="R380" s="15">
        <f>IF(OR($A380="",$E380=0),0,$G380/$E380)</f>
        <v/>
      </c>
      <c r="S380" s="15">
        <f>IF($A380="","",$G380-$E380)</f>
        <v/>
      </c>
      <c r="T380" s="15">
        <f>IF($A380="","",$L380-$N380)</f>
        <v/>
      </c>
    </row>
    <row r="381">
      <c r="A381" s="15">
        <f>IF('ANAHTAR'!$B381="","",'ANAHTAR'!$B381)</f>
        <v/>
      </c>
      <c r="B381" s="15">
        <f>IF($A381="","",IFERROR(SUMIF(tblAnahtarA[Norm],$A381,tblVeriA[EnCm]),0))</f>
        <v/>
      </c>
      <c r="C381" s="15">
        <f>IF($A381="","",IFERROR(SUMIF(tblAnahtarA[Norm],$A381,tblVeriA[BoyCm]),0))</f>
        <v/>
      </c>
      <c r="D381" s="15">
        <f>IF($A381="","",IFERROR(SUMIF(tblAnahtarA[Norm],$A381,tblVeriA[YukseklikCm]),0))</f>
        <v/>
      </c>
      <c r="E381" s="15">
        <f>IF($A381="","",IFERROR(SUMIF(tblAnahtarA[Norm],$A381,tblVeriA[AgirlikKg]),0))</f>
        <v/>
      </c>
      <c r="F381" s="15">
        <f>IF($A381="","",IFERROR(SUMIF(tblAnahtarA[Norm],$A381,tblVeriA[DesiCarpani]),kdo_varsayilanDesiCarpani))</f>
        <v/>
      </c>
      <c r="G381" s="15">
        <f>IF($A381="","",ROUND($B381*$C381*$D381/MAX($F381,1),2))</f>
        <v/>
      </c>
      <c r="H381" s="15">
        <f>IF($A381="","",MAX($G381,$E381))</f>
        <v/>
      </c>
      <c r="I381" s="15">
        <f>IF($A381="","",IFERROR(SUMIF(tblAnahtarB[NormB],$A381,tblVeriB[TarifTlDesi]),0))</f>
        <v/>
      </c>
      <c r="J381" s="15">
        <f>IF($A381="","",IFERROR(SUMIF(tblAnahtarA[Norm],$A381,tblVeriA[Adet]),1))</f>
        <v/>
      </c>
      <c r="K381" s="15">
        <f>IF($A381="","",ROUND($H381*$I381,2))</f>
        <v/>
      </c>
      <c r="L381" s="15">
        <f>IF($A381="","",ROUND($K381*$J381*(1+$Q381*kdo_iadeEtkiCarpani),2))</f>
        <v/>
      </c>
      <c r="M381" s="15">
        <f>IF($A381="","",IFERROR(SUMIF(tblAnahtarB[NormB],$A381,tblVeriB[AlternatifTarif]),0))</f>
        <v/>
      </c>
      <c r="N381" s="15">
        <f>IF($A381="","",ROUND($H381*$M381*$J381*(1+$Q381*kdo_iadeEtkiCarpani),2))</f>
        <v/>
      </c>
      <c r="O381" s="15">
        <f>IF($A381="","",ROUND($L381-$N381,2))</f>
        <v/>
      </c>
      <c r="P381" s="15">
        <f>IF($A381="","",IF($R381&gt;kdo_esikDesiOran,"DESİ DÜŞÜR",IF($O381&gt;kdo_esikTasarruf,"TAŞIYICI DEĞİŞTİR","UYGUN")))</f>
        <v/>
      </c>
      <c r="Q381" s="15">
        <f>IF($A381="","",IFERROR(SUMIF(tblAnahtarB[NormB],$A381,tblVeriB[IadeOran]),0))</f>
        <v/>
      </c>
      <c r="R381" s="15">
        <f>IF(OR($A381="",$E381=0),0,$G381/$E381)</f>
        <v/>
      </c>
      <c r="S381" s="15">
        <f>IF($A381="","",$G381-$E381)</f>
        <v/>
      </c>
      <c r="T381" s="15">
        <f>IF($A381="","",$L381-$N381)</f>
        <v/>
      </c>
    </row>
    <row r="382">
      <c r="A382" s="15">
        <f>IF('ANAHTAR'!$B382="","",'ANAHTAR'!$B382)</f>
        <v/>
      </c>
      <c r="B382" s="15">
        <f>IF($A382="","",IFERROR(SUMIF(tblAnahtarA[Norm],$A382,tblVeriA[EnCm]),0))</f>
        <v/>
      </c>
      <c r="C382" s="15">
        <f>IF($A382="","",IFERROR(SUMIF(tblAnahtarA[Norm],$A382,tblVeriA[BoyCm]),0))</f>
        <v/>
      </c>
      <c r="D382" s="15">
        <f>IF($A382="","",IFERROR(SUMIF(tblAnahtarA[Norm],$A382,tblVeriA[YukseklikCm]),0))</f>
        <v/>
      </c>
      <c r="E382" s="15">
        <f>IF($A382="","",IFERROR(SUMIF(tblAnahtarA[Norm],$A382,tblVeriA[AgirlikKg]),0))</f>
        <v/>
      </c>
      <c r="F382" s="15">
        <f>IF($A382="","",IFERROR(SUMIF(tblAnahtarA[Norm],$A382,tblVeriA[DesiCarpani]),kdo_varsayilanDesiCarpani))</f>
        <v/>
      </c>
      <c r="G382" s="15">
        <f>IF($A382="","",ROUND($B382*$C382*$D382/MAX($F382,1),2))</f>
        <v/>
      </c>
      <c r="H382" s="15">
        <f>IF($A382="","",MAX($G382,$E382))</f>
        <v/>
      </c>
      <c r="I382" s="15">
        <f>IF($A382="","",IFERROR(SUMIF(tblAnahtarB[NormB],$A382,tblVeriB[TarifTlDesi]),0))</f>
        <v/>
      </c>
      <c r="J382" s="15">
        <f>IF($A382="","",IFERROR(SUMIF(tblAnahtarA[Norm],$A382,tblVeriA[Adet]),1))</f>
        <v/>
      </c>
      <c r="K382" s="15">
        <f>IF($A382="","",ROUND($H382*$I382,2))</f>
        <v/>
      </c>
      <c r="L382" s="15">
        <f>IF($A382="","",ROUND($K382*$J382*(1+$Q382*kdo_iadeEtkiCarpani),2))</f>
        <v/>
      </c>
      <c r="M382" s="15">
        <f>IF($A382="","",IFERROR(SUMIF(tblAnahtarB[NormB],$A382,tblVeriB[AlternatifTarif]),0))</f>
        <v/>
      </c>
      <c r="N382" s="15">
        <f>IF($A382="","",ROUND($H382*$M382*$J382*(1+$Q382*kdo_iadeEtkiCarpani),2))</f>
        <v/>
      </c>
      <c r="O382" s="15">
        <f>IF($A382="","",ROUND($L382-$N382,2))</f>
        <v/>
      </c>
      <c r="P382" s="15">
        <f>IF($A382="","",IF($R382&gt;kdo_esikDesiOran,"DESİ DÜŞÜR",IF($O382&gt;kdo_esikTasarruf,"TAŞIYICI DEĞİŞTİR","UYGUN")))</f>
        <v/>
      </c>
      <c r="Q382" s="15">
        <f>IF($A382="","",IFERROR(SUMIF(tblAnahtarB[NormB],$A382,tblVeriB[IadeOran]),0))</f>
        <v/>
      </c>
      <c r="R382" s="15">
        <f>IF(OR($A382="",$E382=0),0,$G382/$E382)</f>
        <v/>
      </c>
      <c r="S382" s="15">
        <f>IF($A382="","",$G382-$E382)</f>
        <v/>
      </c>
      <c r="T382" s="15">
        <f>IF($A382="","",$L382-$N382)</f>
        <v/>
      </c>
    </row>
    <row r="383">
      <c r="A383" s="15">
        <f>IF('ANAHTAR'!$B383="","",'ANAHTAR'!$B383)</f>
        <v/>
      </c>
      <c r="B383" s="15">
        <f>IF($A383="","",IFERROR(SUMIF(tblAnahtarA[Norm],$A383,tblVeriA[EnCm]),0))</f>
        <v/>
      </c>
      <c r="C383" s="15">
        <f>IF($A383="","",IFERROR(SUMIF(tblAnahtarA[Norm],$A383,tblVeriA[BoyCm]),0))</f>
        <v/>
      </c>
      <c r="D383" s="15">
        <f>IF($A383="","",IFERROR(SUMIF(tblAnahtarA[Norm],$A383,tblVeriA[YukseklikCm]),0))</f>
        <v/>
      </c>
      <c r="E383" s="15">
        <f>IF($A383="","",IFERROR(SUMIF(tblAnahtarA[Norm],$A383,tblVeriA[AgirlikKg]),0))</f>
        <v/>
      </c>
      <c r="F383" s="15">
        <f>IF($A383="","",IFERROR(SUMIF(tblAnahtarA[Norm],$A383,tblVeriA[DesiCarpani]),kdo_varsayilanDesiCarpani))</f>
        <v/>
      </c>
      <c r="G383" s="15">
        <f>IF($A383="","",ROUND($B383*$C383*$D383/MAX($F383,1),2))</f>
        <v/>
      </c>
      <c r="H383" s="15">
        <f>IF($A383="","",MAX($G383,$E383))</f>
        <v/>
      </c>
      <c r="I383" s="15">
        <f>IF($A383="","",IFERROR(SUMIF(tblAnahtarB[NormB],$A383,tblVeriB[TarifTlDesi]),0))</f>
        <v/>
      </c>
      <c r="J383" s="15">
        <f>IF($A383="","",IFERROR(SUMIF(tblAnahtarA[Norm],$A383,tblVeriA[Adet]),1))</f>
        <v/>
      </c>
      <c r="K383" s="15">
        <f>IF($A383="","",ROUND($H383*$I383,2))</f>
        <v/>
      </c>
      <c r="L383" s="15">
        <f>IF($A383="","",ROUND($K383*$J383*(1+$Q383*kdo_iadeEtkiCarpani),2))</f>
        <v/>
      </c>
      <c r="M383" s="15">
        <f>IF($A383="","",IFERROR(SUMIF(tblAnahtarB[NormB],$A383,tblVeriB[AlternatifTarif]),0))</f>
        <v/>
      </c>
      <c r="N383" s="15">
        <f>IF($A383="","",ROUND($H383*$M383*$J383*(1+$Q383*kdo_iadeEtkiCarpani),2))</f>
        <v/>
      </c>
      <c r="O383" s="15">
        <f>IF($A383="","",ROUND($L383-$N383,2))</f>
        <v/>
      </c>
      <c r="P383" s="15">
        <f>IF($A383="","",IF($R383&gt;kdo_esikDesiOran,"DESİ DÜŞÜR",IF($O383&gt;kdo_esikTasarruf,"TAŞIYICI DEĞİŞTİR","UYGUN")))</f>
        <v/>
      </c>
      <c r="Q383" s="15">
        <f>IF($A383="","",IFERROR(SUMIF(tblAnahtarB[NormB],$A383,tblVeriB[IadeOran]),0))</f>
        <v/>
      </c>
      <c r="R383" s="15">
        <f>IF(OR($A383="",$E383=0),0,$G383/$E383)</f>
        <v/>
      </c>
      <c r="S383" s="15">
        <f>IF($A383="","",$G383-$E383)</f>
        <v/>
      </c>
      <c r="T383" s="15">
        <f>IF($A383="","",$L383-$N383)</f>
        <v/>
      </c>
    </row>
    <row r="384">
      <c r="A384" s="15">
        <f>IF('ANAHTAR'!$B384="","",'ANAHTAR'!$B384)</f>
        <v/>
      </c>
      <c r="B384" s="15">
        <f>IF($A384="","",IFERROR(SUMIF(tblAnahtarA[Norm],$A384,tblVeriA[EnCm]),0))</f>
        <v/>
      </c>
      <c r="C384" s="15">
        <f>IF($A384="","",IFERROR(SUMIF(tblAnahtarA[Norm],$A384,tblVeriA[BoyCm]),0))</f>
        <v/>
      </c>
      <c r="D384" s="15">
        <f>IF($A384="","",IFERROR(SUMIF(tblAnahtarA[Norm],$A384,tblVeriA[YukseklikCm]),0))</f>
        <v/>
      </c>
      <c r="E384" s="15">
        <f>IF($A384="","",IFERROR(SUMIF(tblAnahtarA[Norm],$A384,tblVeriA[AgirlikKg]),0))</f>
        <v/>
      </c>
      <c r="F384" s="15">
        <f>IF($A384="","",IFERROR(SUMIF(tblAnahtarA[Norm],$A384,tblVeriA[DesiCarpani]),kdo_varsayilanDesiCarpani))</f>
        <v/>
      </c>
      <c r="G384" s="15">
        <f>IF($A384="","",ROUND($B384*$C384*$D384/MAX($F384,1),2))</f>
        <v/>
      </c>
      <c r="H384" s="15">
        <f>IF($A384="","",MAX($G384,$E384))</f>
        <v/>
      </c>
      <c r="I384" s="15">
        <f>IF($A384="","",IFERROR(SUMIF(tblAnahtarB[NormB],$A384,tblVeriB[TarifTlDesi]),0))</f>
        <v/>
      </c>
      <c r="J384" s="15">
        <f>IF($A384="","",IFERROR(SUMIF(tblAnahtarA[Norm],$A384,tblVeriA[Adet]),1))</f>
        <v/>
      </c>
      <c r="K384" s="15">
        <f>IF($A384="","",ROUND($H384*$I384,2))</f>
        <v/>
      </c>
      <c r="L384" s="15">
        <f>IF($A384="","",ROUND($K384*$J384*(1+$Q384*kdo_iadeEtkiCarpani),2))</f>
        <v/>
      </c>
      <c r="M384" s="15">
        <f>IF($A384="","",IFERROR(SUMIF(tblAnahtarB[NormB],$A384,tblVeriB[AlternatifTarif]),0))</f>
        <v/>
      </c>
      <c r="N384" s="15">
        <f>IF($A384="","",ROUND($H384*$M384*$J384*(1+$Q384*kdo_iadeEtkiCarpani),2))</f>
        <v/>
      </c>
      <c r="O384" s="15">
        <f>IF($A384="","",ROUND($L384-$N384,2))</f>
        <v/>
      </c>
      <c r="P384" s="15">
        <f>IF($A384="","",IF($R384&gt;kdo_esikDesiOran,"DESİ DÜŞÜR",IF($O384&gt;kdo_esikTasarruf,"TAŞIYICI DEĞİŞTİR","UYGUN")))</f>
        <v/>
      </c>
      <c r="Q384" s="15">
        <f>IF($A384="","",IFERROR(SUMIF(tblAnahtarB[NormB],$A384,tblVeriB[IadeOran]),0))</f>
        <v/>
      </c>
      <c r="R384" s="15">
        <f>IF(OR($A384="",$E384=0),0,$G384/$E384)</f>
        <v/>
      </c>
      <c r="S384" s="15">
        <f>IF($A384="","",$G384-$E384)</f>
        <v/>
      </c>
      <c r="T384" s="15">
        <f>IF($A384="","",$L384-$N384)</f>
        <v/>
      </c>
    </row>
    <row r="385">
      <c r="A385" s="15">
        <f>IF('ANAHTAR'!$B385="","",'ANAHTAR'!$B385)</f>
        <v/>
      </c>
      <c r="B385" s="15">
        <f>IF($A385="","",IFERROR(SUMIF(tblAnahtarA[Norm],$A385,tblVeriA[EnCm]),0))</f>
        <v/>
      </c>
      <c r="C385" s="15">
        <f>IF($A385="","",IFERROR(SUMIF(tblAnahtarA[Norm],$A385,tblVeriA[BoyCm]),0))</f>
        <v/>
      </c>
      <c r="D385" s="15">
        <f>IF($A385="","",IFERROR(SUMIF(tblAnahtarA[Norm],$A385,tblVeriA[YukseklikCm]),0))</f>
        <v/>
      </c>
      <c r="E385" s="15">
        <f>IF($A385="","",IFERROR(SUMIF(tblAnahtarA[Norm],$A385,tblVeriA[AgirlikKg]),0))</f>
        <v/>
      </c>
      <c r="F385" s="15">
        <f>IF($A385="","",IFERROR(SUMIF(tblAnahtarA[Norm],$A385,tblVeriA[DesiCarpani]),kdo_varsayilanDesiCarpani))</f>
        <v/>
      </c>
      <c r="G385" s="15">
        <f>IF($A385="","",ROUND($B385*$C385*$D385/MAX($F385,1),2))</f>
        <v/>
      </c>
      <c r="H385" s="15">
        <f>IF($A385="","",MAX($G385,$E385))</f>
        <v/>
      </c>
      <c r="I385" s="15">
        <f>IF($A385="","",IFERROR(SUMIF(tblAnahtarB[NormB],$A385,tblVeriB[TarifTlDesi]),0))</f>
        <v/>
      </c>
      <c r="J385" s="15">
        <f>IF($A385="","",IFERROR(SUMIF(tblAnahtarA[Norm],$A385,tblVeriA[Adet]),1))</f>
        <v/>
      </c>
      <c r="K385" s="15">
        <f>IF($A385="","",ROUND($H385*$I385,2))</f>
        <v/>
      </c>
      <c r="L385" s="15">
        <f>IF($A385="","",ROUND($K385*$J385*(1+$Q385*kdo_iadeEtkiCarpani),2))</f>
        <v/>
      </c>
      <c r="M385" s="15">
        <f>IF($A385="","",IFERROR(SUMIF(tblAnahtarB[NormB],$A385,tblVeriB[AlternatifTarif]),0))</f>
        <v/>
      </c>
      <c r="N385" s="15">
        <f>IF($A385="","",ROUND($H385*$M385*$J385*(1+$Q385*kdo_iadeEtkiCarpani),2))</f>
        <v/>
      </c>
      <c r="O385" s="15">
        <f>IF($A385="","",ROUND($L385-$N385,2))</f>
        <v/>
      </c>
      <c r="P385" s="15">
        <f>IF($A385="","",IF($R385&gt;kdo_esikDesiOran,"DESİ DÜŞÜR",IF($O385&gt;kdo_esikTasarruf,"TAŞIYICI DEĞİŞTİR","UYGUN")))</f>
        <v/>
      </c>
      <c r="Q385" s="15">
        <f>IF($A385="","",IFERROR(SUMIF(tblAnahtarB[NormB],$A385,tblVeriB[IadeOran]),0))</f>
        <v/>
      </c>
      <c r="R385" s="15">
        <f>IF(OR($A385="",$E385=0),0,$G385/$E385)</f>
        <v/>
      </c>
      <c r="S385" s="15">
        <f>IF($A385="","",$G385-$E385)</f>
        <v/>
      </c>
      <c r="T385" s="15">
        <f>IF($A385="","",$L385-$N385)</f>
        <v/>
      </c>
    </row>
    <row r="386">
      <c r="A386" s="15">
        <f>IF('ANAHTAR'!$B386="","",'ANAHTAR'!$B386)</f>
        <v/>
      </c>
      <c r="B386" s="15">
        <f>IF($A386="","",IFERROR(SUMIF(tblAnahtarA[Norm],$A386,tblVeriA[EnCm]),0))</f>
        <v/>
      </c>
      <c r="C386" s="15">
        <f>IF($A386="","",IFERROR(SUMIF(tblAnahtarA[Norm],$A386,tblVeriA[BoyCm]),0))</f>
        <v/>
      </c>
      <c r="D386" s="15">
        <f>IF($A386="","",IFERROR(SUMIF(tblAnahtarA[Norm],$A386,tblVeriA[YukseklikCm]),0))</f>
        <v/>
      </c>
      <c r="E386" s="15">
        <f>IF($A386="","",IFERROR(SUMIF(tblAnahtarA[Norm],$A386,tblVeriA[AgirlikKg]),0))</f>
        <v/>
      </c>
      <c r="F386" s="15">
        <f>IF($A386="","",IFERROR(SUMIF(tblAnahtarA[Norm],$A386,tblVeriA[DesiCarpani]),kdo_varsayilanDesiCarpani))</f>
        <v/>
      </c>
      <c r="G386" s="15">
        <f>IF($A386="","",ROUND($B386*$C386*$D386/MAX($F386,1),2))</f>
        <v/>
      </c>
      <c r="H386" s="15">
        <f>IF($A386="","",MAX($G386,$E386))</f>
        <v/>
      </c>
      <c r="I386" s="15">
        <f>IF($A386="","",IFERROR(SUMIF(tblAnahtarB[NormB],$A386,tblVeriB[TarifTlDesi]),0))</f>
        <v/>
      </c>
      <c r="J386" s="15">
        <f>IF($A386="","",IFERROR(SUMIF(tblAnahtarA[Norm],$A386,tblVeriA[Adet]),1))</f>
        <v/>
      </c>
      <c r="K386" s="15">
        <f>IF($A386="","",ROUND($H386*$I386,2))</f>
        <v/>
      </c>
      <c r="L386" s="15">
        <f>IF($A386="","",ROUND($K386*$J386*(1+$Q386*kdo_iadeEtkiCarpani),2))</f>
        <v/>
      </c>
      <c r="M386" s="15">
        <f>IF($A386="","",IFERROR(SUMIF(tblAnahtarB[NormB],$A386,tblVeriB[AlternatifTarif]),0))</f>
        <v/>
      </c>
      <c r="N386" s="15">
        <f>IF($A386="","",ROUND($H386*$M386*$J386*(1+$Q386*kdo_iadeEtkiCarpani),2))</f>
        <v/>
      </c>
      <c r="O386" s="15">
        <f>IF($A386="","",ROUND($L386-$N386,2))</f>
        <v/>
      </c>
      <c r="P386" s="15">
        <f>IF($A386="","",IF($R386&gt;kdo_esikDesiOran,"DESİ DÜŞÜR",IF($O386&gt;kdo_esikTasarruf,"TAŞIYICI DEĞİŞTİR","UYGUN")))</f>
        <v/>
      </c>
      <c r="Q386" s="15">
        <f>IF($A386="","",IFERROR(SUMIF(tblAnahtarB[NormB],$A386,tblVeriB[IadeOran]),0))</f>
        <v/>
      </c>
      <c r="R386" s="15">
        <f>IF(OR($A386="",$E386=0),0,$G386/$E386)</f>
        <v/>
      </c>
      <c r="S386" s="15">
        <f>IF($A386="","",$G386-$E386)</f>
        <v/>
      </c>
      <c r="T386" s="15">
        <f>IF($A386="","",$L386-$N386)</f>
        <v/>
      </c>
    </row>
    <row r="387">
      <c r="A387" s="15">
        <f>IF('ANAHTAR'!$B387="","",'ANAHTAR'!$B387)</f>
        <v/>
      </c>
      <c r="B387" s="15">
        <f>IF($A387="","",IFERROR(SUMIF(tblAnahtarA[Norm],$A387,tblVeriA[EnCm]),0))</f>
        <v/>
      </c>
      <c r="C387" s="15">
        <f>IF($A387="","",IFERROR(SUMIF(tblAnahtarA[Norm],$A387,tblVeriA[BoyCm]),0))</f>
        <v/>
      </c>
      <c r="D387" s="15">
        <f>IF($A387="","",IFERROR(SUMIF(tblAnahtarA[Norm],$A387,tblVeriA[YukseklikCm]),0))</f>
        <v/>
      </c>
      <c r="E387" s="15">
        <f>IF($A387="","",IFERROR(SUMIF(tblAnahtarA[Norm],$A387,tblVeriA[AgirlikKg]),0))</f>
        <v/>
      </c>
      <c r="F387" s="15">
        <f>IF($A387="","",IFERROR(SUMIF(tblAnahtarA[Norm],$A387,tblVeriA[DesiCarpani]),kdo_varsayilanDesiCarpani))</f>
        <v/>
      </c>
      <c r="G387" s="15">
        <f>IF($A387="","",ROUND($B387*$C387*$D387/MAX($F387,1),2))</f>
        <v/>
      </c>
      <c r="H387" s="15">
        <f>IF($A387="","",MAX($G387,$E387))</f>
        <v/>
      </c>
      <c r="I387" s="15">
        <f>IF($A387="","",IFERROR(SUMIF(tblAnahtarB[NormB],$A387,tblVeriB[TarifTlDesi]),0))</f>
        <v/>
      </c>
      <c r="J387" s="15">
        <f>IF($A387="","",IFERROR(SUMIF(tblAnahtarA[Norm],$A387,tblVeriA[Adet]),1))</f>
        <v/>
      </c>
      <c r="K387" s="15">
        <f>IF($A387="","",ROUND($H387*$I387,2))</f>
        <v/>
      </c>
      <c r="L387" s="15">
        <f>IF($A387="","",ROUND($K387*$J387*(1+$Q387*kdo_iadeEtkiCarpani),2))</f>
        <v/>
      </c>
      <c r="M387" s="15">
        <f>IF($A387="","",IFERROR(SUMIF(tblAnahtarB[NormB],$A387,tblVeriB[AlternatifTarif]),0))</f>
        <v/>
      </c>
      <c r="N387" s="15">
        <f>IF($A387="","",ROUND($H387*$M387*$J387*(1+$Q387*kdo_iadeEtkiCarpani),2))</f>
        <v/>
      </c>
      <c r="O387" s="15">
        <f>IF($A387="","",ROUND($L387-$N387,2))</f>
        <v/>
      </c>
      <c r="P387" s="15">
        <f>IF($A387="","",IF($R387&gt;kdo_esikDesiOran,"DESİ DÜŞÜR",IF($O387&gt;kdo_esikTasarruf,"TAŞIYICI DEĞİŞTİR","UYGUN")))</f>
        <v/>
      </c>
      <c r="Q387" s="15">
        <f>IF($A387="","",IFERROR(SUMIF(tblAnahtarB[NormB],$A387,tblVeriB[IadeOran]),0))</f>
        <v/>
      </c>
      <c r="R387" s="15">
        <f>IF(OR($A387="",$E387=0),0,$G387/$E387)</f>
        <v/>
      </c>
      <c r="S387" s="15">
        <f>IF($A387="","",$G387-$E387)</f>
        <v/>
      </c>
      <c r="T387" s="15">
        <f>IF($A387="","",$L387-$N387)</f>
        <v/>
      </c>
    </row>
    <row r="388">
      <c r="A388" s="15">
        <f>IF('ANAHTAR'!$B388="","",'ANAHTAR'!$B388)</f>
        <v/>
      </c>
      <c r="B388" s="15">
        <f>IF($A388="","",IFERROR(SUMIF(tblAnahtarA[Norm],$A388,tblVeriA[EnCm]),0))</f>
        <v/>
      </c>
      <c r="C388" s="15">
        <f>IF($A388="","",IFERROR(SUMIF(tblAnahtarA[Norm],$A388,tblVeriA[BoyCm]),0))</f>
        <v/>
      </c>
      <c r="D388" s="15">
        <f>IF($A388="","",IFERROR(SUMIF(tblAnahtarA[Norm],$A388,tblVeriA[YukseklikCm]),0))</f>
        <v/>
      </c>
      <c r="E388" s="15">
        <f>IF($A388="","",IFERROR(SUMIF(tblAnahtarA[Norm],$A388,tblVeriA[AgirlikKg]),0))</f>
        <v/>
      </c>
      <c r="F388" s="15">
        <f>IF($A388="","",IFERROR(SUMIF(tblAnahtarA[Norm],$A388,tblVeriA[DesiCarpani]),kdo_varsayilanDesiCarpani))</f>
        <v/>
      </c>
      <c r="G388" s="15">
        <f>IF($A388="","",ROUND($B388*$C388*$D388/MAX($F388,1),2))</f>
        <v/>
      </c>
      <c r="H388" s="15">
        <f>IF($A388="","",MAX($G388,$E388))</f>
        <v/>
      </c>
      <c r="I388" s="15">
        <f>IF($A388="","",IFERROR(SUMIF(tblAnahtarB[NormB],$A388,tblVeriB[TarifTlDesi]),0))</f>
        <v/>
      </c>
      <c r="J388" s="15">
        <f>IF($A388="","",IFERROR(SUMIF(tblAnahtarA[Norm],$A388,tblVeriA[Adet]),1))</f>
        <v/>
      </c>
      <c r="K388" s="15">
        <f>IF($A388="","",ROUND($H388*$I388,2))</f>
        <v/>
      </c>
      <c r="L388" s="15">
        <f>IF($A388="","",ROUND($K388*$J388*(1+$Q388*kdo_iadeEtkiCarpani),2))</f>
        <v/>
      </c>
      <c r="M388" s="15">
        <f>IF($A388="","",IFERROR(SUMIF(tblAnahtarB[NormB],$A388,tblVeriB[AlternatifTarif]),0))</f>
        <v/>
      </c>
      <c r="N388" s="15">
        <f>IF($A388="","",ROUND($H388*$M388*$J388*(1+$Q388*kdo_iadeEtkiCarpani),2))</f>
        <v/>
      </c>
      <c r="O388" s="15">
        <f>IF($A388="","",ROUND($L388-$N388,2))</f>
        <v/>
      </c>
      <c r="P388" s="15">
        <f>IF($A388="","",IF($R388&gt;kdo_esikDesiOran,"DESİ DÜŞÜR",IF($O388&gt;kdo_esikTasarruf,"TAŞIYICI DEĞİŞTİR","UYGUN")))</f>
        <v/>
      </c>
      <c r="Q388" s="15">
        <f>IF($A388="","",IFERROR(SUMIF(tblAnahtarB[NormB],$A388,tblVeriB[IadeOran]),0))</f>
        <v/>
      </c>
      <c r="R388" s="15">
        <f>IF(OR($A388="",$E388=0),0,$G388/$E388)</f>
        <v/>
      </c>
      <c r="S388" s="15">
        <f>IF($A388="","",$G388-$E388)</f>
        <v/>
      </c>
      <c r="T388" s="15">
        <f>IF($A388="","",$L388-$N388)</f>
        <v/>
      </c>
    </row>
    <row r="389">
      <c r="A389" s="15">
        <f>IF('ANAHTAR'!$B389="","",'ANAHTAR'!$B389)</f>
        <v/>
      </c>
      <c r="B389" s="15">
        <f>IF($A389="","",IFERROR(SUMIF(tblAnahtarA[Norm],$A389,tblVeriA[EnCm]),0))</f>
        <v/>
      </c>
      <c r="C389" s="15">
        <f>IF($A389="","",IFERROR(SUMIF(tblAnahtarA[Norm],$A389,tblVeriA[BoyCm]),0))</f>
        <v/>
      </c>
      <c r="D389" s="15">
        <f>IF($A389="","",IFERROR(SUMIF(tblAnahtarA[Norm],$A389,tblVeriA[YukseklikCm]),0))</f>
        <v/>
      </c>
      <c r="E389" s="15">
        <f>IF($A389="","",IFERROR(SUMIF(tblAnahtarA[Norm],$A389,tblVeriA[AgirlikKg]),0))</f>
        <v/>
      </c>
      <c r="F389" s="15">
        <f>IF($A389="","",IFERROR(SUMIF(tblAnahtarA[Norm],$A389,tblVeriA[DesiCarpani]),kdo_varsayilanDesiCarpani))</f>
        <v/>
      </c>
      <c r="G389" s="15">
        <f>IF($A389="","",ROUND($B389*$C389*$D389/MAX($F389,1),2))</f>
        <v/>
      </c>
      <c r="H389" s="15">
        <f>IF($A389="","",MAX($G389,$E389))</f>
        <v/>
      </c>
      <c r="I389" s="15">
        <f>IF($A389="","",IFERROR(SUMIF(tblAnahtarB[NormB],$A389,tblVeriB[TarifTlDesi]),0))</f>
        <v/>
      </c>
      <c r="J389" s="15">
        <f>IF($A389="","",IFERROR(SUMIF(tblAnahtarA[Norm],$A389,tblVeriA[Adet]),1))</f>
        <v/>
      </c>
      <c r="K389" s="15">
        <f>IF($A389="","",ROUND($H389*$I389,2))</f>
        <v/>
      </c>
      <c r="L389" s="15">
        <f>IF($A389="","",ROUND($K389*$J389*(1+$Q389*kdo_iadeEtkiCarpani),2))</f>
        <v/>
      </c>
      <c r="M389" s="15">
        <f>IF($A389="","",IFERROR(SUMIF(tblAnahtarB[NormB],$A389,tblVeriB[AlternatifTarif]),0))</f>
        <v/>
      </c>
      <c r="N389" s="15">
        <f>IF($A389="","",ROUND($H389*$M389*$J389*(1+$Q389*kdo_iadeEtkiCarpani),2))</f>
        <v/>
      </c>
      <c r="O389" s="15">
        <f>IF($A389="","",ROUND($L389-$N389,2))</f>
        <v/>
      </c>
      <c r="P389" s="15">
        <f>IF($A389="","",IF($R389&gt;kdo_esikDesiOran,"DESİ DÜŞÜR",IF($O389&gt;kdo_esikTasarruf,"TAŞIYICI DEĞİŞTİR","UYGUN")))</f>
        <v/>
      </c>
      <c r="Q389" s="15">
        <f>IF($A389="","",IFERROR(SUMIF(tblAnahtarB[NormB],$A389,tblVeriB[IadeOran]),0))</f>
        <v/>
      </c>
      <c r="R389" s="15">
        <f>IF(OR($A389="",$E389=0),0,$G389/$E389)</f>
        <v/>
      </c>
      <c r="S389" s="15">
        <f>IF($A389="","",$G389-$E389)</f>
        <v/>
      </c>
      <c r="T389" s="15">
        <f>IF($A389="","",$L389-$N389)</f>
        <v/>
      </c>
    </row>
    <row r="390">
      <c r="A390" s="15">
        <f>IF('ANAHTAR'!$B390="","",'ANAHTAR'!$B390)</f>
        <v/>
      </c>
      <c r="B390" s="15">
        <f>IF($A390="","",IFERROR(SUMIF(tblAnahtarA[Norm],$A390,tblVeriA[EnCm]),0))</f>
        <v/>
      </c>
      <c r="C390" s="15">
        <f>IF($A390="","",IFERROR(SUMIF(tblAnahtarA[Norm],$A390,tblVeriA[BoyCm]),0))</f>
        <v/>
      </c>
      <c r="D390" s="15">
        <f>IF($A390="","",IFERROR(SUMIF(tblAnahtarA[Norm],$A390,tblVeriA[YukseklikCm]),0))</f>
        <v/>
      </c>
      <c r="E390" s="15">
        <f>IF($A390="","",IFERROR(SUMIF(tblAnahtarA[Norm],$A390,tblVeriA[AgirlikKg]),0))</f>
        <v/>
      </c>
      <c r="F390" s="15">
        <f>IF($A390="","",IFERROR(SUMIF(tblAnahtarA[Norm],$A390,tblVeriA[DesiCarpani]),kdo_varsayilanDesiCarpani))</f>
        <v/>
      </c>
      <c r="G390" s="15">
        <f>IF($A390="","",ROUND($B390*$C390*$D390/MAX($F390,1),2))</f>
        <v/>
      </c>
      <c r="H390" s="15">
        <f>IF($A390="","",MAX($G390,$E390))</f>
        <v/>
      </c>
      <c r="I390" s="15">
        <f>IF($A390="","",IFERROR(SUMIF(tblAnahtarB[NormB],$A390,tblVeriB[TarifTlDesi]),0))</f>
        <v/>
      </c>
      <c r="J390" s="15">
        <f>IF($A390="","",IFERROR(SUMIF(tblAnahtarA[Norm],$A390,tblVeriA[Adet]),1))</f>
        <v/>
      </c>
      <c r="K390" s="15">
        <f>IF($A390="","",ROUND($H390*$I390,2))</f>
        <v/>
      </c>
      <c r="L390" s="15">
        <f>IF($A390="","",ROUND($K390*$J390*(1+$Q390*kdo_iadeEtkiCarpani),2))</f>
        <v/>
      </c>
      <c r="M390" s="15">
        <f>IF($A390="","",IFERROR(SUMIF(tblAnahtarB[NormB],$A390,tblVeriB[AlternatifTarif]),0))</f>
        <v/>
      </c>
      <c r="N390" s="15">
        <f>IF($A390="","",ROUND($H390*$M390*$J390*(1+$Q390*kdo_iadeEtkiCarpani),2))</f>
        <v/>
      </c>
      <c r="O390" s="15">
        <f>IF($A390="","",ROUND($L390-$N390,2))</f>
        <v/>
      </c>
      <c r="P390" s="15">
        <f>IF($A390="","",IF($R390&gt;kdo_esikDesiOran,"DESİ DÜŞÜR",IF($O390&gt;kdo_esikTasarruf,"TAŞIYICI DEĞİŞTİR","UYGUN")))</f>
        <v/>
      </c>
      <c r="Q390" s="15">
        <f>IF($A390="","",IFERROR(SUMIF(tblAnahtarB[NormB],$A390,tblVeriB[IadeOran]),0))</f>
        <v/>
      </c>
      <c r="R390" s="15">
        <f>IF(OR($A390="",$E390=0),0,$G390/$E390)</f>
        <v/>
      </c>
      <c r="S390" s="15">
        <f>IF($A390="","",$G390-$E390)</f>
        <v/>
      </c>
      <c r="T390" s="15">
        <f>IF($A390="","",$L390-$N390)</f>
        <v/>
      </c>
    </row>
    <row r="391">
      <c r="A391" s="15">
        <f>IF('ANAHTAR'!$B391="","",'ANAHTAR'!$B391)</f>
        <v/>
      </c>
      <c r="B391" s="15">
        <f>IF($A391="","",IFERROR(SUMIF(tblAnahtarA[Norm],$A391,tblVeriA[EnCm]),0))</f>
        <v/>
      </c>
      <c r="C391" s="15">
        <f>IF($A391="","",IFERROR(SUMIF(tblAnahtarA[Norm],$A391,tblVeriA[BoyCm]),0))</f>
        <v/>
      </c>
      <c r="D391" s="15">
        <f>IF($A391="","",IFERROR(SUMIF(tblAnahtarA[Norm],$A391,tblVeriA[YukseklikCm]),0))</f>
        <v/>
      </c>
      <c r="E391" s="15">
        <f>IF($A391="","",IFERROR(SUMIF(tblAnahtarA[Norm],$A391,tblVeriA[AgirlikKg]),0))</f>
        <v/>
      </c>
      <c r="F391" s="15">
        <f>IF($A391="","",IFERROR(SUMIF(tblAnahtarA[Norm],$A391,tblVeriA[DesiCarpani]),kdo_varsayilanDesiCarpani))</f>
        <v/>
      </c>
      <c r="G391" s="15">
        <f>IF($A391="","",ROUND($B391*$C391*$D391/MAX($F391,1),2))</f>
        <v/>
      </c>
      <c r="H391" s="15">
        <f>IF($A391="","",MAX($G391,$E391))</f>
        <v/>
      </c>
      <c r="I391" s="15">
        <f>IF($A391="","",IFERROR(SUMIF(tblAnahtarB[NormB],$A391,tblVeriB[TarifTlDesi]),0))</f>
        <v/>
      </c>
      <c r="J391" s="15">
        <f>IF($A391="","",IFERROR(SUMIF(tblAnahtarA[Norm],$A391,tblVeriA[Adet]),1))</f>
        <v/>
      </c>
      <c r="K391" s="15">
        <f>IF($A391="","",ROUND($H391*$I391,2))</f>
        <v/>
      </c>
      <c r="L391" s="15">
        <f>IF($A391="","",ROUND($K391*$J391*(1+$Q391*kdo_iadeEtkiCarpani),2))</f>
        <v/>
      </c>
      <c r="M391" s="15">
        <f>IF($A391="","",IFERROR(SUMIF(tblAnahtarB[NormB],$A391,tblVeriB[AlternatifTarif]),0))</f>
        <v/>
      </c>
      <c r="N391" s="15">
        <f>IF($A391="","",ROUND($H391*$M391*$J391*(1+$Q391*kdo_iadeEtkiCarpani),2))</f>
        <v/>
      </c>
      <c r="O391" s="15">
        <f>IF($A391="","",ROUND($L391-$N391,2))</f>
        <v/>
      </c>
      <c r="P391" s="15">
        <f>IF($A391="","",IF($R391&gt;kdo_esikDesiOran,"DESİ DÜŞÜR",IF($O391&gt;kdo_esikTasarruf,"TAŞIYICI DEĞİŞTİR","UYGUN")))</f>
        <v/>
      </c>
      <c r="Q391" s="15">
        <f>IF($A391="","",IFERROR(SUMIF(tblAnahtarB[NormB],$A391,tblVeriB[IadeOran]),0))</f>
        <v/>
      </c>
      <c r="R391" s="15">
        <f>IF(OR($A391="",$E391=0),0,$G391/$E391)</f>
        <v/>
      </c>
      <c r="S391" s="15">
        <f>IF($A391="","",$G391-$E391)</f>
        <v/>
      </c>
      <c r="T391" s="15">
        <f>IF($A391="","",$L391-$N391)</f>
        <v/>
      </c>
    </row>
    <row r="392">
      <c r="A392" s="15">
        <f>IF('ANAHTAR'!$B392="","",'ANAHTAR'!$B392)</f>
        <v/>
      </c>
      <c r="B392" s="15">
        <f>IF($A392="","",IFERROR(SUMIF(tblAnahtarA[Norm],$A392,tblVeriA[EnCm]),0))</f>
        <v/>
      </c>
      <c r="C392" s="15">
        <f>IF($A392="","",IFERROR(SUMIF(tblAnahtarA[Norm],$A392,tblVeriA[BoyCm]),0))</f>
        <v/>
      </c>
      <c r="D392" s="15">
        <f>IF($A392="","",IFERROR(SUMIF(tblAnahtarA[Norm],$A392,tblVeriA[YukseklikCm]),0))</f>
        <v/>
      </c>
      <c r="E392" s="15">
        <f>IF($A392="","",IFERROR(SUMIF(tblAnahtarA[Norm],$A392,tblVeriA[AgirlikKg]),0))</f>
        <v/>
      </c>
      <c r="F392" s="15">
        <f>IF($A392="","",IFERROR(SUMIF(tblAnahtarA[Norm],$A392,tblVeriA[DesiCarpani]),kdo_varsayilanDesiCarpani))</f>
        <v/>
      </c>
      <c r="G392" s="15">
        <f>IF($A392="","",ROUND($B392*$C392*$D392/MAX($F392,1),2))</f>
        <v/>
      </c>
      <c r="H392" s="15">
        <f>IF($A392="","",MAX($G392,$E392))</f>
        <v/>
      </c>
      <c r="I392" s="15">
        <f>IF($A392="","",IFERROR(SUMIF(tblAnahtarB[NormB],$A392,tblVeriB[TarifTlDesi]),0))</f>
        <v/>
      </c>
      <c r="J392" s="15">
        <f>IF($A392="","",IFERROR(SUMIF(tblAnahtarA[Norm],$A392,tblVeriA[Adet]),1))</f>
        <v/>
      </c>
      <c r="K392" s="15">
        <f>IF($A392="","",ROUND($H392*$I392,2))</f>
        <v/>
      </c>
      <c r="L392" s="15">
        <f>IF($A392="","",ROUND($K392*$J392*(1+$Q392*kdo_iadeEtkiCarpani),2))</f>
        <v/>
      </c>
      <c r="M392" s="15">
        <f>IF($A392="","",IFERROR(SUMIF(tblAnahtarB[NormB],$A392,tblVeriB[AlternatifTarif]),0))</f>
        <v/>
      </c>
      <c r="N392" s="15">
        <f>IF($A392="","",ROUND($H392*$M392*$J392*(1+$Q392*kdo_iadeEtkiCarpani),2))</f>
        <v/>
      </c>
      <c r="O392" s="15">
        <f>IF($A392="","",ROUND($L392-$N392,2))</f>
        <v/>
      </c>
      <c r="P392" s="15">
        <f>IF($A392="","",IF($R392&gt;kdo_esikDesiOran,"DESİ DÜŞÜR",IF($O392&gt;kdo_esikTasarruf,"TAŞIYICI DEĞİŞTİR","UYGUN")))</f>
        <v/>
      </c>
      <c r="Q392" s="15">
        <f>IF($A392="","",IFERROR(SUMIF(tblAnahtarB[NormB],$A392,tblVeriB[IadeOran]),0))</f>
        <v/>
      </c>
      <c r="R392" s="15">
        <f>IF(OR($A392="",$E392=0),0,$G392/$E392)</f>
        <v/>
      </c>
      <c r="S392" s="15">
        <f>IF($A392="","",$G392-$E392)</f>
        <v/>
      </c>
      <c r="T392" s="15">
        <f>IF($A392="","",$L392-$N392)</f>
        <v/>
      </c>
    </row>
    <row r="393">
      <c r="A393" s="15">
        <f>IF('ANAHTAR'!$B393="","",'ANAHTAR'!$B393)</f>
        <v/>
      </c>
      <c r="B393" s="15">
        <f>IF($A393="","",IFERROR(SUMIF(tblAnahtarA[Norm],$A393,tblVeriA[EnCm]),0))</f>
        <v/>
      </c>
      <c r="C393" s="15">
        <f>IF($A393="","",IFERROR(SUMIF(tblAnahtarA[Norm],$A393,tblVeriA[BoyCm]),0))</f>
        <v/>
      </c>
      <c r="D393" s="15">
        <f>IF($A393="","",IFERROR(SUMIF(tblAnahtarA[Norm],$A393,tblVeriA[YukseklikCm]),0))</f>
        <v/>
      </c>
      <c r="E393" s="15">
        <f>IF($A393="","",IFERROR(SUMIF(tblAnahtarA[Norm],$A393,tblVeriA[AgirlikKg]),0))</f>
        <v/>
      </c>
      <c r="F393" s="15">
        <f>IF($A393="","",IFERROR(SUMIF(tblAnahtarA[Norm],$A393,tblVeriA[DesiCarpani]),kdo_varsayilanDesiCarpani))</f>
        <v/>
      </c>
      <c r="G393" s="15">
        <f>IF($A393="","",ROUND($B393*$C393*$D393/MAX($F393,1),2))</f>
        <v/>
      </c>
      <c r="H393" s="15">
        <f>IF($A393="","",MAX($G393,$E393))</f>
        <v/>
      </c>
      <c r="I393" s="15">
        <f>IF($A393="","",IFERROR(SUMIF(tblAnahtarB[NormB],$A393,tblVeriB[TarifTlDesi]),0))</f>
        <v/>
      </c>
      <c r="J393" s="15">
        <f>IF($A393="","",IFERROR(SUMIF(tblAnahtarA[Norm],$A393,tblVeriA[Adet]),1))</f>
        <v/>
      </c>
      <c r="K393" s="15">
        <f>IF($A393="","",ROUND($H393*$I393,2))</f>
        <v/>
      </c>
      <c r="L393" s="15">
        <f>IF($A393="","",ROUND($K393*$J393*(1+$Q393*kdo_iadeEtkiCarpani),2))</f>
        <v/>
      </c>
      <c r="M393" s="15">
        <f>IF($A393="","",IFERROR(SUMIF(tblAnahtarB[NormB],$A393,tblVeriB[AlternatifTarif]),0))</f>
        <v/>
      </c>
      <c r="N393" s="15">
        <f>IF($A393="","",ROUND($H393*$M393*$J393*(1+$Q393*kdo_iadeEtkiCarpani),2))</f>
        <v/>
      </c>
      <c r="O393" s="15">
        <f>IF($A393="","",ROUND($L393-$N393,2))</f>
        <v/>
      </c>
      <c r="P393" s="15">
        <f>IF($A393="","",IF($R393&gt;kdo_esikDesiOran,"DESİ DÜŞÜR",IF($O393&gt;kdo_esikTasarruf,"TAŞIYICI DEĞİŞTİR","UYGUN")))</f>
        <v/>
      </c>
      <c r="Q393" s="15">
        <f>IF($A393="","",IFERROR(SUMIF(tblAnahtarB[NormB],$A393,tblVeriB[IadeOran]),0))</f>
        <v/>
      </c>
      <c r="R393" s="15">
        <f>IF(OR($A393="",$E393=0),0,$G393/$E393)</f>
        <v/>
      </c>
      <c r="S393" s="15">
        <f>IF($A393="","",$G393-$E393)</f>
        <v/>
      </c>
      <c r="T393" s="15">
        <f>IF($A393="","",$L393-$N393)</f>
        <v/>
      </c>
    </row>
    <row r="394">
      <c r="A394" s="15">
        <f>IF('ANAHTAR'!$B394="","",'ANAHTAR'!$B394)</f>
        <v/>
      </c>
      <c r="B394" s="15">
        <f>IF($A394="","",IFERROR(SUMIF(tblAnahtarA[Norm],$A394,tblVeriA[EnCm]),0))</f>
        <v/>
      </c>
      <c r="C394" s="15">
        <f>IF($A394="","",IFERROR(SUMIF(tblAnahtarA[Norm],$A394,tblVeriA[BoyCm]),0))</f>
        <v/>
      </c>
      <c r="D394" s="15">
        <f>IF($A394="","",IFERROR(SUMIF(tblAnahtarA[Norm],$A394,tblVeriA[YukseklikCm]),0))</f>
        <v/>
      </c>
      <c r="E394" s="15">
        <f>IF($A394="","",IFERROR(SUMIF(tblAnahtarA[Norm],$A394,tblVeriA[AgirlikKg]),0))</f>
        <v/>
      </c>
      <c r="F394" s="15">
        <f>IF($A394="","",IFERROR(SUMIF(tblAnahtarA[Norm],$A394,tblVeriA[DesiCarpani]),kdo_varsayilanDesiCarpani))</f>
        <v/>
      </c>
      <c r="G394" s="15">
        <f>IF($A394="","",ROUND($B394*$C394*$D394/MAX($F394,1),2))</f>
        <v/>
      </c>
      <c r="H394" s="15">
        <f>IF($A394="","",MAX($G394,$E394))</f>
        <v/>
      </c>
      <c r="I394" s="15">
        <f>IF($A394="","",IFERROR(SUMIF(tblAnahtarB[NormB],$A394,tblVeriB[TarifTlDesi]),0))</f>
        <v/>
      </c>
      <c r="J394" s="15">
        <f>IF($A394="","",IFERROR(SUMIF(tblAnahtarA[Norm],$A394,tblVeriA[Adet]),1))</f>
        <v/>
      </c>
      <c r="K394" s="15">
        <f>IF($A394="","",ROUND($H394*$I394,2))</f>
        <v/>
      </c>
      <c r="L394" s="15">
        <f>IF($A394="","",ROUND($K394*$J394*(1+$Q394*kdo_iadeEtkiCarpani),2))</f>
        <v/>
      </c>
      <c r="M394" s="15">
        <f>IF($A394="","",IFERROR(SUMIF(tblAnahtarB[NormB],$A394,tblVeriB[AlternatifTarif]),0))</f>
        <v/>
      </c>
      <c r="N394" s="15">
        <f>IF($A394="","",ROUND($H394*$M394*$J394*(1+$Q394*kdo_iadeEtkiCarpani),2))</f>
        <v/>
      </c>
      <c r="O394" s="15">
        <f>IF($A394="","",ROUND($L394-$N394,2))</f>
        <v/>
      </c>
      <c r="P394" s="15">
        <f>IF($A394="","",IF($R394&gt;kdo_esikDesiOran,"DESİ DÜŞÜR",IF($O394&gt;kdo_esikTasarruf,"TAŞIYICI DEĞİŞTİR","UYGUN")))</f>
        <v/>
      </c>
      <c r="Q394" s="15">
        <f>IF($A394="","",IFERROR(SUMIF(tblAnahtarB[NormB],$A394,tblVeriB[IadeOran]),0))</f>
        <v/>
      </c>
      <c r="R394" s="15">
        <f>IF(OR($A394="",$E394=0),0,$G394/$E394)</f>
        <v/>
      </c>
      <c r="S394" s="15">
        <f>IF($A394="","",$G394-$E394)</f>
        <v/>
      </c>
      <c r="T394" s="15">
        <f>IF($A394="","",$L394-$N394)</f>
        <v/>
      </c>
    </row>
    <row r="395">
      <c r="A395" s="15">
        <f>IF('ANAHTAR'!$B395="","",'ANAHTAR'!$B395)</f>
        <v/>
      </c>
      <c r="B395" s="15">
        <f>IF($A395="","",IFERROR(SUMIF(tblAnahtarA[Norm],$A395,tblVeriA[EnCm]),0))</f>
        <v/>
      </c>
      <c r="C395" s="15">
        <f>IF($A395="","",IFERROR(SUMIF(tblAnahtarA[Norm],$A395,tblVeriA[BoyCm]),0))</f>
        <v/>
      </c>
      <c r="D395" s="15">
        <f>IF($A395="","",IFERROR(SUMIF(tblAnahtarA[Norm],$A395,tblVeriA[YukseklikCm]),0))</f>
        <v/>
      </c>
      <c r="E395" s="15">
        <f>IF($A395="","",IFERROR(SUMIF(tblAnahtarA[Norm],$A395,tblVeriA[AgirlikKg]),0))</f>
        <v/>
      </c>
      <c r="F395" s="15">
        <f>IF($A395="","",IFERROR(SUMIF(tblAnahtarA[Norm],$A395,tblVeriA[DesiCarpani]),kdo_varsayilanDesiCarpani))</f>
        <v/>
      </c>
      <c r="G395" s="15">
        <f>IF($A395="","",ROUND($B395*$C395*$D395/MAX($F395,1),2))</f>
        <v/>
      </c>
      <c r="H395" s="15">
        <f>IF($A395="","",MAX($G395,$E395))</f>
        <v/>
      </c>
      <c r="I395" s="15">
        <f>IF($A395="","",IFERROR(SUMIF(tblAnahtarB[NormB],$A395,tblVeriB[TarifTlDesi]),0))</f>
        <v/>
      </c>
      <c r="J395" s="15">
        <f>IF($A395="","",IFERROR(SUMIF(tblAnahtarA[Norm],$A395,tblVeriA[Adet]),1))</f>
        <v/>
      </c>
      <c r="K395" s="15">
        <f>IF($A395="","",ROUND($H395*$I395,2))</f>
        <v/>
      </c>
      <c r="L395" s="15">
        <f>IF($A395="","",ROUND($K395*$J395*(1+$Q395*kdo_iadeEtkiCarpani),2))</f>
        <v/>
      </c>
      <c r="M395" s="15">
        <f>IF($A395="","",IFERROR(SUMIF(tblAnahtarB[NormB],$A395,tblVeriB[AlternatifTarif]),0))</f>
        <v/>
      </c>
      <c r="N395" s="15">
        <f>IF($A395="","",ROUND($H395*$M395*$J395*(1+$Q395*kdo_iadeEtkiCarpani),2))</f>
        <v/>
      </c>
      <c r="O395" s="15">
        <f>IF($A395="","",ROUND($L395-$N395,2))</f>
        <v/>
      </c>
      <c r="P395" s="15">
        <f>IF($A395="","",IF($R395&gt;kdo_esikDesiOran,"DESİ DÜŞÜR",IF($O395&gt;kdo_esikTasarruf,"TAŞIYICI DEĞİŞTİR","UYGUN")))</f>
        <v/>
      </c>
      <c r="Q395" s="15">
        <f>IF($A395="","",IFERROR(SUMIF(tblAnahtarB[NormB],$A395,tblVeriB[IadeOran]),0))</f>
        <v/>
      </c>
      <c r="R395" s="15">
        <f>IF(OR($A395="",$E395=0),0,$G395/$E395)</f>
        <v/>
      </c>
      <c r="S395" s="15">
        <f>IF($A395="","",$G395-$E395)</f>
        <v/>
      </c>
      <c r="T395" s="15">
        <f>IF($A395="","",$L395-$N395)</f>
        <v/>
      </c>
    </row>
    <row r="396">
      <c r="A396" s="15">
        <f>IF('ANAHTAR'!$B396="","",'ANAHTAR'!$B396)</f>
        <v/>
      </c>
      <c r="B396" s="15">
        <f>IF($A396="","",IFERROR(SUMIF(tblAnahtarA[Norm],$A396,tblVeriA[EnCm]),0))</f>
        <v/>
      </c>
      <c r="C396" s="15">
        <f>IF($A396="","",IFERROR(SUMIF(tblAnahtarA[Norm],$A396,tblVeriA[BoyCm]),0))</f>
        <v/>
      </c>
      <c r="D396" s="15">
        <f>IF($A396="","",IFERROR(SUMIF(tblAnahtarA[Norm],$A396,tblVeriA[YukseklikCm]),0))</f>
        <v/>
      </c>
      <c r="E396" s="15">
        <f>IF($A396="","",IFERROR(SUMIF(tblAnahtarA[Norm],$A396,tblVeriA[AgirlikKg]),0))</f>
        <v/>
      </c>
      <c r="F396" s="15">
        <f>IF($A396="","",IFERROR(SUMIF(tblAnahtarA[Norm],$A396,tblVeriA[DesiCarpani]),kdo_varsayilanDesiCarpani))</f>
        <v/>
      </c>
      <c r="G396" s="15">
        <f>IF($A396="","",ROUND($B396*$C396*$D396/MAX($F396,1),2))</f>
        <v/>
      </c>
      <c r="H396" s="15">
        <f>IF($A396="","",MAX($G396,$E396))</f>
        <v/>
      </c>
      <c r="I396" s="15">
        <f>IF($A396="","",IFERROR(SUMIF(tblAnahtarB[NormB],$A396,tblVeriB[TarifTlDesi]),0))</f>
        <v/>
      </c>
      <c r="J396" s="15">
        <f>IF($A396="","",IFERROR(SUMIF(tblAnahtarA[Norm],$A396,tblVeriA[Adet]),1))</f>
        <v/>
      </c>
      <c r="K396" s="15">
        <f>IF($A396="","",ROUND($H396*$I396,2))</f>
        <v/>
      </c>
      <c r="L396" s="15">
        <f>IF($A396="","",ROUND($K396*$J396*(1+$Q396*kdo_iadeEtkiCarpani),2))</f>
        <v/>
      </c>
      <c r="M396" s="15">
        <f>IF($A396="","",IFERROR(SUMIF(tblAnahtarB[NormB],$A396,tblVeriB[AlternatifTarif]),0))</f>
        <v/>
      </c>
      <c r="N396" s="15">
        <f>IF($A396="","",ROUND($H396*$M396*$J396*(1+$Q396*kdo_iadeEtkiCarpani),2))</f>
        <v/>
      </c>
      <c r="O396" s="15">
        <f>IF($A396="","",ROUND($L396-$N396,2))</f>
        <v/>
      </c>
      <c r="P396" s="15">
        <f>IF($A396="","",IF($R396&gt;kdo_esikDesiOran,"DESİ DÜŞÜR",IF($O396&gt;kdo_esikTasarruf,"TAŞIYICI DEĞİŞTİR","UYGUN")))</f>
        <v/>
      </c>
      <c r="Q396" s="15">
        <f>IF($A396="","",IFERROR(SUMIF(tblAnahtarB[NormB],$A396,tblVeriB[IadeOran]),0))</f>
        <v/>
      </c>
      <c r="R396" s="15">
        <f>IF(OR($A396="",$E396=0),0,$G396/$E396)</f>
        <v/>
      </c>
      <c r="S396" s="15">
        <f>IF($A396="","",$G396-$E396)</f>
        <v/>
      </c>
      <c r="T396" s="15">
        <f>IF($A396="","",$L396-$N396)</f>
        <v/>
      </c>
    </row>
    <row r="397">
      <c r="A397" s="15">
        <f>IF('ANAHTAR'!$B397="","",'ANAHTAR'!$B397)</f>
        <v/>
      </c>
      <c r="B397" s="15">
        <f>IF($A397="","",IFERROR(SUMIF(tblAnahtarA[Norm],$A397,tblVeriA[EnCm]),0))</f>
        <v/>
      </c>
      <c r="C397" s="15">
        <f>IF($A397="","",IFERROR(SUMIF(tblAnahtarA[Norm],$A397,tblVeriA[BoyCm]),0))</f>
        <v/>
      </c>
      <c r="D397" s="15">
        <f>IF($A397="","",IFERROR(SUMIF(tblAnahtarA[Norm],$A397,tblVeriA[YukseklikCm]),0))</f>
        <v/>
      </c>
      <c r="E397" s="15">
        <f>IF($A397="","",IFERROR(SUMIF(tblAnahtarA[Norm],$A397,tblVeriA[AgirlikKg]),0))</f>
        <v/>
      </c>
      <c r="F397" s="15">
        <f>IF($A397="","",IFERROR(SUMIF(tblAnahtarA[Norm],$A397,tblVeriA[DesiCarpani]),kdo_varsayilanDesiCarpani))</f>
        <v/>
      </c>
      <c r="G397" s="15">
        <f>IF($A397="","",ROUND($B397*$C397*$D397/MAX($F397,1),2))</f>
        <v/>
      </c>
      <c r="H397" s="15">
        <f>IF($A397="","",MAX($G397,$E397))</f>
        <v/>
      </c>
      <c r="I397" s="15">
        <f>IF($A397="","",IFERROR(SUMIF(tblAnahtarB[NormB],$A397,tblVeriB[TarifTlDesi]),0))</f>
        <v/>
      </c>
      <c r="J397" s="15">
        <f>IF($A397="","",IFERROR(SUMIF(tblAnahtarA[Norm],$A397,tblVeriA[Adet]),1))</f>
        <v/>
      </c>
      <c r="K397" s="15">
        <f>IF($A397="","",ROUND($H397*$I397,2))</f>
        <v/>
      </c>
      <c r="L397" s="15">
        <f>IF($A397="","",ROUND($K397*$J397*(1+$Q397*kdo_iadeEtkiCarpani),2))</f>
        <v/>
      </c>
      <c r="M397" s="15">
        <f>IF($A397="","",IFERROR(SUMIF(tblAnahtarB[NormB],$A397,tblVeriB[AlternatifTarif]),0))</f>
        <v/>
      </c>
      <c r="N397" s="15">
        <f>IF($A397="","",ROUND($H397*$M397*$J397*(1+$Q397*kdo_iadeEtkiCarpani),2))</f>
        <v/>
      </c>
      <c r="O397" s="15">
        <f>IF($A397="","",ROUND($L397-$N397,2))</f>
        <v/>
      </c>
      <c r="P397" s="15">
        <f>IF($A397="","",IF($R397&gt;kdo_esikDesiOran,"DESİ DÜŞÜR",IF($O397&gt;kdo_esikTasarruf,"TAŞIYICI DEĞİŞTİR","UYGUN")))</f>
        <v/>
      </c>
      <c r="Q397" s="15">
        <f>IF($A397="","",IFERROR(SUMIF(tblAnahtarB[NormB],$A397,tblVeriB[IadeOran]),0))</f>
        <v/>
      </c>
      <c r="R397" s="15">
        <f>IF(OR($A397="",$E397=0),0,$G397/$E397)</f>
        <v/>
      </c>
      <c r="S397" s="15">
        <f>IF($A397="","",$G397-$E397)</f>
        <v/>
      </c>
      <c r="T397" s="15">
        <f>IF($A397="","",$L397-$N397)</f>
        <v/>
      </c>
    </row>
    <row r="398">
      <c r="A398" s="15">
        <f>IF('ANAHTAR'!$B398="","",'ANAHTAR'!$B398)</f>
        <v/>
      </c>
      <c r="B398" s="15">
        <f>IF($A398="","",IFERROR(SUMIF(tblAnahtarA[Norm],$A398,tblVeriA[EnCm]),0))</f>
        <v/>
      </c>
      <c r="C398" s="15">
        <f>IF($A398="","",IFERROR(SUMIF(tblAnahtarA[Norm],$A398,tblVeriA[BoyCm]),0))</f>
        <v/>
      </c>
      <c r="D398" s="15">
        <f>IF($A398="","",IFERROR(SUMIF(tblAnahtarA[Norm],$A398,tblVeriA[YukseklikCm]),0))</f>
        <v/>
      </c>
      <c r="E398" s="15">
        <f>IF($A398="","",IFERROR(SUMIF(tblAnahtarA[Norm],$A398,tblVeriA[AgirlikKg]),0))</f>
        <v/>
      </c>
      <c r="F398" s="15">
        <f>IF($A398="","",IFERROR(SUMIF(tblAnahtarA[Norm],$A398,tblVeriA[DesiCarpani]),kdo_varsayilanDesiCarpani))</f>
        <v/>
      </c>
      <c r="G398" s="15">
        <f>IF($A398="","",ROUND($B398*$C398*$D398/MAX($F398,1),2))</f>
        <v/>
      </c>
      <c r="H398" s="15">
        <f>IF($A398="","",MAX($G398,$E398))</f>
        <v/>
      </c>
      <c r="I398" s="15">
        <f>IF($A398="","",IFERROR(SUMIF(tblAnahtarB[NormB],$A398,tblVeriB[TarifTlDesi]),0))</f>
        <v/>
      </c>
      <c r="J398" s="15">
        <f>IF($A398="","",IFERROR(SUMIF(tblAnahtarA[Norm],$A398,tblVeriA[Adet]),1))</f>
        <v/>
      </c>
      <c r="K398" s="15">
        <f>IF($A398="","",ROUND($H398*$I398,2))</f>
        <v/>
      </c>
      <c r="L398" s="15">
        <f>IF($A398="","",ROUND($K398*$J398*(1+$Q398*kdo_iadeEtkiCarpani),2))</f>
        <v/>
      </c>
      <c r="M398" s="15">
        <f>IF($A398="","",IFERROR(SUMIF(tblAnahtarB[NormB],$A398,tblVeriB[AlternatifTarif]),0))</f>
        <v/>
      </c>
      <c r="N398" s="15">
        <f>IF($A398="","",ROUND($H398*$M398*$J398*(1+$Q398*kdo_iadeEtkiCarpani),2))</f>
        <v/>
      </c>
      <c r="O398" s="15">
        <f>IF($A398="","",ROUND($L398-$N398,2))</f>
        <v/>
      </c>
      <c r="P398" s="15">
        <f>IF($A398="","",IF($R398&gt;kdo_esikDesiOran,"DESİ DÜŞÜR",IF($O398&gt;kdo_esikTasarruf,"TAŞIYICI DEĞİŞTİR","UYGUN")))</f>
        <v/>
      </c>
      <c r="Q398" s="15">
        <f>IF($A398="","",IFERROR(SUMIF(tblAnahtarB[NormB],$A398,tblVeriB[IadeOran]),0))</f>
        <v/>
      </c>
      <c r="R398" s="15">
        <f>IF(OR($A398="",$E398=0),0,$G398/$E398)</f>
        <v/>
      </c>
      <c r="S398" s="15">
        <f>IF($A398="","",$G398-$E398)</f>
        <v/>
      </c>
      <c r="T398" s="15">
        <f>IF($A398="","",$L398-$N398)</f>
        <v/>
      </c>
    </row>
    <row r="399">
      <c r="A399" s="15">
        <f>IF('ANAHTAR'!$B399="","",'ANAHTAR'!$B399)</f>
        <v/>
      </c>
      <c r="B399" s="15">
        <f>IF($A399="","",IFERROR(SUMIF(tblAnahtarA[Norm],$A399,tblVeriA[EnCm]),0))</f>
        <v/>
      </c>
      <c r="C399" s="15">
        <f>IF($A399="","",IFERROR(SUMIF(tblAnahtarA[Norm],$A399,tblVeriA[BoyCm]),0))</f>
        <v/>
      </c>
      <c r="D399" s="15">
        <f>IF($A399="","",IFERROR(SUMIF(tblAnahtarA[Norm],$A399,tblVeriA[YukseklikCm]),0))</f>
        <v/>
      </c>
      <c r="E399" s="15">
        <f>IF($A399="","",IFERROR(SUMIF(tblAnahtarA[Norm],$A399,tblVeriA[AgirlikKg]),0))</f>
        <v/>
      </c>
      <c r="F399" s="15">
        <f>IF($A399="","",IFERROR(SUMIF(tblAnahtarA[Norm],$A399,tblVeriA[DesiCarpani]),kdo_varsayilanDesiCarpani))</f>
        <v/>
      </c>
      <c r="G399" s="15">
        <f>IF($A399="","",ROUND($B399*$C399*$D399/MAX($F399,1),2))</f>
        <v/>
      </c>
      <c r="H399" s="15">
        <f>IF($A399="","",MAX($G399,$E399))</f>
        <v/>
      </c>
      <c r="I399" s="15">
        <f>IF($A399="","",IFERROR(SUMIF(tblAnahtarB[NormB],$A399,tblVeriB[TarifTlDesi]),0))</f>
        <v/>
      </c>
      <c r="J399" s="15">
        <f>IF($A399="","",IFERROR(SUMIF(tblAnahtarA[Norm],$A399,tblVeriA[Adet]),1))</f>
        <v/>
      </c>
      <c r="K399" s="15">
        <f>IF($A399="","",ROUND($H399*$I399,2))</f>
        <v/>
      </c>
      <c r="L399" s="15">
        <f>IF($A399="","",ROUND($K399*$J399*(1+$Q399*kdo_iadeEtkiCarpani),2))</f>
        <v/>
      </c>
      <c r="M399" s="15">
        <f>IF($A399="","",IFERROR(SUMIF(tblAnahtarB[NormB],$A399,tblVeriB[AlternatifTarif]),0))</f>
        <v/>
      </c>
      <c r="N399" s="15">
        <f>IF($A399="","",ROUND($H399*$M399*$J399*(1+$Q399*kdo_iadeEtkiCarpani),2))</f>
        <v/>
      </c>
      <c r="O399" s="15">
        <f>IF($A399="","",ROUND($L399-$N399,2))</f>
        <v/>
      </c>
      <c r="P399" s="15">
        <f>IF($A399="","",IF($R399&gt;kdo_esikDesiOran,"DESİ DÜŞÜR",IF($O399&gt;kdo_esikTasarruf,"TAŞIYICI DEĞİŞTİR","UYGUN")))</f>
        <v/>
      </c>
      <c r="Q399" s="15">
        <f>IF($A399="","",IFERROR(SUMIF(tblAnahtarB[NormB],$A399,tblVeriB[IadeOran]),0))</f>
        <v/>
      </c>
      <c r="R399" s="15">
        <f>IF(OR($A399="",$E399=0),0,$G399/$E399)</f>
        <v/>
      </c>
      <c r="S399" s="15">
        <f>IF($A399="","",$G399-$E399)</f>
        <v/>
      </c>
      <c r="T399" s="15">
        <f>IF($A399="","",$L399-$N399)</f>
        <v/>
      </c>
    </row>
    <row r="400">
      <c r="A400" s="15">
        <f>IF('ANAHTAR'!$B400="","",'ANAHTAR'!$B400)</f>
        <v/>
      </c>
      <c r="B400" s="15">
        <f>IF($A400="","",IFERROR(SUMIF(tblAnahtarA[Norm],$A400,tblVeriA[EnCm]),0))</f>
        <v/>
      </c>
      <c r="C400" s="15">
        <f>IF($A400="","",IFERROR(SUMIF(tblAnahtarA[Norm],$A400,tblVeriA[BoyCm]),0))</f>
        <v/>
      </c>
      <c r="D400" s="15">
        <f>IF($A400="","",IFERROR(SUMIF(tblAnahtarA[Norm],$A400,tblVeriA[YukseklikCm]),0))</f>
        <v/>
      </c>
      <c r="E400" s="15">
        <f>IF($A400="","",IFERROR(SUMIF(tblAnahtarA[Norm],$A400,tblVeriA[AgirlikKg]),0))</f>
        <v/>
      </c>
      <c r="F400" s="15">
        <f>IF($A400="","",IFERROR(SUMIF(tblAnahtarA[Norm],$A400,tblVeriA[DesiCarpani]),kdo_varsayilanDesiCarpani))</f>
        <v/>
      </c>
      <c r="G400" s="15">
        <f>IF($A400="","",ROUND($B400*$C400*$D400/MAX($F400,1),2))</f>
        <v/>
      </c>
      <c r="H400" s="15">
        <f>IF($A400="","",MAX($G400,$E400))</f>
        <v/>
      </c>
      <c r="I400" s="15">
        <f>IF($A400="","",IFERROR(SUMIF(tblAnahtarB[NormB],$A400,tblVeriB[TarifTlDesi]),0))</f>
        <v/>
      </c>
      <c r="J400" s="15">
        <f>IF($A400="","",IFERROR(SUMIF(tblAnahtarA[Norm],$A400,tblVeriA[Adet]),1))</f>
        <v/>
      </c>
      <c r="K400" s="15">
        <f>IF($A400="","",ROUND($H400*$I400,2))</f>
        <v/>
      </c>
      <c r="L400" s="15">
        <f>IF($A400="","",ROUND($K400*$J400*(1+$Q400*kdo_iadeEtkiCarpani),2))</f>
        <v/>
      </c>
      <c r="M400" s="15">
        <f>IF($A400="","",IFERROR(SUMIF(tblAnahtarB[NormB],$A400,tblVeriB[AlternatifTarif]),0))</f>
        <v/>
      </c>
      <c r="N400" s="15">
        <f>IF($A400="","",ROUND($H400*$M400*$J400*(1+$Q400*kdo_iadeEtkiCarpani),2))</f>
        <v/>
      </c>
      <c r="O400" s="15">
        <f>IF($A400="","",ROUND($L400-$N400,2))</f>
        <v/>
      </c>
      <c r="P400" s="15">
        <f>IF($A400="","",IF($R400&gt;kdo_esikDesiOran,"DESİ DÜŞÜR",IF($O400&gt;kdo_esikTasarruf,"TAŞIYICI DEĞİŞTİR","UYGUN")))</f>
        <v/>
      </c>
      <c r="Q400" s="15">
        <f>IF($A400="","",IFERROR(SUMIF(tblAnahtarB[NormB],$A400,tblVeriB[IadeOran]),0))</f>
        <v/>
      </c>
      <c r="R400" s="15">
        <f>IF(OR($A400="",$E400=0),0,$G400/$E400)</f>
        <v/>
      </c>
      <c r="S400" s="15">
        <f>IF($A400="","",$G400-$E400)</f>
        <v/>
      </c>
      <c r="T400" s="15">
        <f>IF($A400="","",$L400-$N400)</f>
        <v/>
      </c>
    </row>
    <row r="401">
      <c r="A401" s="15">
        <f>IF('ANAHTAR'!$B401="","",'ANAHTAR'!$B401)</f>
        <v/>
      </c>
      <c r="B401" s="15">
        <f>IF($A401="","",IFERROR(SUMIF(tblAnahtarA[Norm],$A401,tblVeriA[EnCm]),0))</f>
        <v/>
      </c>
      <c r="C401" s="15">
        <f>IF($A401="","",IFERROR(SUMIF(tblAnahtarA[Norm],$A401,tblVeriA[BoyCm]),0))</f>
        <v/>
      </c>
      <c r="D401" s="15">
        <f>IF($A401="","",IFERROR(SUMIF(tblAnahtarA[Norm],$A401,tblVeriA[YukseklikCm]),0))</f>
        <v/>
      </c>
      <c r="E401" s="15">
        <f>IF($A401="","",IFERROR(SUMIF(tblAnahtarA[Norm],$A401,tblVeriA[AgirlikKg]),0))</f>
        <v/>
      </c>
      <c r="F401" s="15">
        <f>IF($A401="","",IFERROR(SUMIF(tblAnahtarA[Norm],$A401,tblVeriA[DesiCarpani]),kdo_varsayilanDesiCarpani))</f>
        <v/>
      </c>
      <c r="G401" s="15">
        <f>IF($A401="","",ROUND($B401*$C401*$D401/MAX($F401,1),2))</f>
        <v/>
      </c>
      <c r="H401" s="15">
        <f>IF($A401="","",MAX($G401,$E401))</f>
        <v/>
      </c>
      <c r="I401" s="15">
        <f>IF($A401="","",IFERROR(SUMIF(tblAnahtarB[NormB],$A401,tblVeriB[TarifTlDesi]),0))</f>
        <v/>
      </c>
      <c r="J401" s="15">
        <f>IF($A401="","",IFERROR(SUMIF(tblAnahtarA[Norm],$A401,tblVeriA[Adet]),1))</f>
        <v/>
      </c>
      <c r="K401" s="15">
        <f>IF($A401="","",ROUND($H401*$I401,2))</f>
        <v/>
      </c>
      <c r="L401" s="15">
        <f>IF($A401="","",ROUND($K401*$J401*(1+$Q401*kdo_iadeEtkiCarpani),2))</f>
        <v/>
      </c>
      <c r="M401" s="15">
        <f>IF($A401="","",IFERROR(SUMIF(tblAnahtarB[NormB],$A401,tblVeriB[AlternatifTarif]),0))</f>
        <v/>
      </c>
      <c r="N401" s="15">
        <f>IF($A401="","",ROUND($H401*$M401*$J401*(1+$Q401*kdo_iadeEtkiCarpani),2))</f>
        <v/>
      </c>
      <c r="O401" s="15">
        <f>IF($A401="","",ROUND($L401-$N401,2))</f>
        <v/>
      </c>
      <c r="P401" s="15">
        <f>IF($A401="","",IF($R401&gt;kdo_esikDesiOran,"DESİ DÜŞÜR",IF($O401&gt;kdo_esikTasarruf,"TAŞIYICI DEĞİŞTİR","UYGUN")))</f>
        <v/>
      </c>
      <c r="Q401" s="15">
        <f>IF($A401="","",IFERROR(SUMIF(tblAnahtarB[NormB],$A401,tblVeriB[IadeOran]),0))</f>
        <v/>
      </c>
      <c r="R401" s="15">
        <f>IF(OR($A401="",$E401=0),0,$G401/$E401)</f>
        <v/>
      </c>
      <c r="S401" s="15">
        <f>IF($A401="","",$G401-$E401)</f>
        <v/>
      </c>
      <c r="T401" s="15">
        <f>IF($A401="","",$L401-$N401)</f>
        <v/>
      </c>
    </row>
    <row r="402">
      <c r="A402" s="15">
        <f>IF('ANAHTAR'!$B402="","",'ANAHTAR'!$B402)</f>
        <v/>
      </c>
      <c r="B402" s="15">
        <f>IF($A402="","",IFERROR(SUMIF(tblAnahtarA[Norm],$A402,tblVeriA[EnCm]),0))</f>
        <v/>
      </c>
      <c r="C402" s="15">
        <f>IF($A402="","",IFERROR(SUMIF(tblAnahtarA[Norm],$A402,tblVeriA[BoyCm]),0))</f>
        <v/>
      </c>
      <c r="D402" s="15">
        <f>IF($A402="","",IFERROR(SUMIF(tblAnahtarA[Norm],$A402,tblVeriA[YukseklikCm]),0))</f>
        <v/>
      </c>
      <c r="E402" s="15">
        <f>IF($A402="","",IFERROR(SUMIF(tblAnahtarA[Norm],$A402,tblVeriA[AgirlikKg]),0))</f>
        <v/>
      </c>
      <c r="F402" s="15">
        <f>IF($A402="","",IFERROR(SUMIF(tblAnahtarA[Norm],$A402,tblVeriA[DesiCarpani]),kdo_varsayilanDesiCarpani))</f>
        <v/>
      </c>
      <c r="G402" s="15">
        <f>IF($A402="","",ROUND($B402*$C402*$D402/MAX($F402,1),2))</f>
        <v/>
      </c>
      <c r="H402" s="15">
        <f>IF($A402="","",MAX($G402,$E402))</f>
        <v/>
      </c>
      <c r="I402" s="15">
        <f>IF($A402="","",IFERROR(SUMIF(tblAnahtarB[NormB],$A402,tblVeriB[TarifTlDesi]),0))</f>
        <v/>
      </c>
      <c r="J402" s="15">
        <f>IF($A402="","",IFERROR(SUMIF(tblAnahtarA[Norm],$A402,tblVeriA[Adet]),1))</f>
        <v/>
      </c>
      <c r="K402" s="15">
        <f>IF($A402="","",ROUND($H402*$I402,2))</f>
        <v/>
      </c>
      <c r="L402" s="15">
        <f>IF($A402="","",ROUND($K402*$J402*(1+$Q402*kdo_iadeEtkiCarpani),2))</f>
        <v/>
      </c>
      <c r="M402" s="15">
        <f>IF($A402="","",IFERROR(SUMIF(tblAnahtarB[NormB],$A402,tblVeriB[AlternatifTarif]),0))</f>
        <v/>
      </c>
      <c r="N402" s="15">
        <f>IF($A402="","",ROUND($H402*$M402*$J402*(1+$Q402*kdo_iadeEtkiCarpani),2))</f>
        <v/>
      </c>
      <c r="O402" s="15">
        <f>IF($A402="","",ROUND($L402-$N402,2))</f>
        <v/>
      </c>
      <c r="P402" s="15">
        <f>IF($A402="","",IF($R402&gt;kdo_esikDesiOran,"DESİ DÜŞÜR",IF($O402&gt;kdo_esikTasarruf,"TAŞIYICI DEĞİŞTİR","UYGUN")))</f>
        <v/>
      </c>
      <c r="Q402" s="15">
        <f>IF($A402="","",IFERROR(SUMIF(tblAnahtarB[NormB],$A402,tblVeriB[IadeOran]),0))</f>
        <v/>
      </c>
      <c r="R402" s="15">
        <f>IF(OR($A402="",$E402=0),0,$G402/$E402)</f>
        <v/>
      </c>
      <c r="S402" s="15">
        <f>IF($A402="","",$G402-$E402)</f>
        <v/>
      </c>
      <c r="T402" s="15">
        <f>IF($A402="","",$L402-$N402)</f>
        <v/>
      </c>
    </row>
    <row r="403">
      <c r="A403" s="15">
        <f>IF('ANAHTAR'!$B403="","",'ANAHTAR'!$B403)</f>
        <v/>
      </c>
      <c r="B403" s="15">
        <f>IF($A403="","",IFERROR(SUMIF(tblAnahtarA[Norm],$A403,tblVeriA[EnCm]),0))</f>
        <v/>
      </c>
      <c r="C403" s="15">
        <f>IF($A403="","",IFERROR(SUMIF(tblAnahtarA[Norm],$A403,tblVeriA[BoyCm]),0))</f>
        <v/>
      </c>
      <c r="D403" s="15">
        <f>IF($A403="","",IFERROR(SUMIF(tblAnahtarA[Norm],$A403,tblVeriA[YukseklikCm]),0))</f>
        <v/>
      </c>
      <c r="E403" s="15">
        <f>IF($A403="","",IFERROR(SUMIF(tblAnahtarA[Norm],$A403,tblVeriA[AgirlikKg]),0))</f>
        <v/>
      </c>
      <c r="F403" s="15">
        <f>IF($A403="","",IFERROR(SUMIF(tblAnahtarA[Norm],$A403,tblVeriA[DesiCarpani]),kdo_varsayilanDesiCarpani))</f>
        <v/>
      </c>
      <c r="G403" s="15">
        <f>IF($A403="","",ROUND($B403*$C403*$D403/MAX($F403,1),2))</f>
        <v/>
      </c>
      <c r="H403" s="15">
        <f>IF($A403="","",MAX($G403,$E403))</f>
        <v/>
      </c>
      <c r="I403" s="15">
        <f>IF($A403="","",IFERROR(SUMIF(tblAnahtarB[NormB],$A403,tblVeriB[TarifTlDesi]),0))</f>
        <v/>
      </c>
      <c r="J403" s="15">
        <f>IF($A403="","",IFERROR(SUMIF(tblAnahtarA[Norm],$A403,tblVeriA[Adet]),1))</f>
        <v/>
      </c>
      <c r="K403" s="15">
        <f>IF($A403="","",ROUND($H403*$I403,2))</f>
        <v/>
      </c>
      <c r="L403" s="15">
        <f>IF($A403="","",ROUND($K403*$J403*(1+$Q403*kdo_iadeEtkiCarpani),2))</f>
        <v/>
      </c>
      <c r="M403" s="15">
        <f>IF($A403="","",IFERROR(SUMIF(tblAnahtarB[NormB],$A403,tblVeriB[AlternatifTarif]),0))</f>
        <v/>
      </c>
      <c r="N403" s="15">
        <f>IF($A403="","",ROUND($H403*$M403*$J403*(1+$Q403*kdo_iadeEtkiCarpani),2))</f>
        <v/>
      </c>
      <c r="O403" s="15">
        <f>IF($A403="","",ROUND($L403-$N403,2))</f>
        <v/>
      </c>
      <c r="P403" s="15">
        <f>IF($A403="","",IF($R403&gt;kdo_esikDesiOran,"DESİ DÜŞÜR",IF($O403&gt;kdo_esikTasarruf,"TAŞIYICI DEĞİŞTİR","UYGUN")))</f>
        <v/>
      </c>
      <c r="Q403" s="15">
        <f>IF($A403="","",IFERROR(SUMIF(tblAnahtarB[NormB],$A403,tblVeriB[IadeOran]),0))</f>
        <v/>
      </c>
      <c r="R403" s="15">
        <f>IF(OR($A403="",$E403=0),0,$G403/$E403)</f>
        <v/>
      </c>
      <c r="S403" s="15">
        <f>IF($A403="","",$G403-$E403)</f>
        <v/>
      </c>
      <c r="T403" s="15">
        <f>IF($A403="","",$L403-$N403)</f>
        <v/>
      </c>
    </row>
    <row r="404">
      <c r="A404" s="15">
        <f>IF('ANAHTAR'!$B404="","",'ANAHTAR'!$B404)</f>
        <v/>
      </c>
      <c r="B404" s="15">
        <f>IF($A404="","",IFERROR(SUMIF(tblAnahtarA[Norm],$A404,tblVeriA[EnCm]),0))</f>
        <v/>
      </c>
      <c r="C404" s="15">
        <f>IF($A404="","",IFERROR(SUMIF(tblAnahtarA[Norm],$A404,tblVeriA[BoyCm]),0))</f>
        <v/>
      </c>
      <c r="D404" s="15">
        <f>IF($A404="","",IFERROR(SUMIF(tblAnahtarA[Norm],$A404,tblVeriA[YukseklikCm]),0))</f>
        <v/>
      </c>
      <c r="E404" s="15">
        <f>IF($A404="","",IFERROR(SUMIF(tblAnahtarA[Norm],$A404,tblVeriA[AgirlikKg]),0))</f>
        <v/>
      </c>
      <c r="F404" s="15">
        <f>IF($A404="","",IFERROR(SUMIF(tblAnahtarA[Norm],$A404,tblVeriA[DesiCarpani]),kdo_varsayilanDesiCarpani))</f>
        <v/>
      </c>
      <c r="G404" s="15">
        <f>IF($A404="","",ROUND($B404*$C404*$D404/MAX($F404,1),2))</f>
        <v/>
      </c>
      <c r="H404" s="15">
        <f>IF($A404="","",MAX($G404,$E404))</f>
        <v/>
      </c>
      <c r="I404" s="15">
        <f>IF($A404="","",IFERROR(SUMIF(tblAnahtarB[NormB],$A404,tblVeriB[TarifTlDesi]),0))</f>
        <v/>
      </c>
      <c r="J404" s="15">
        <f>IF($A404="","",IFERROR(SUMIF(tblAnahtarA[Norm],$A404,tblVeriA[Adet]),1))</f>
        <v/>
      </c>
      <c r="K404" s="15">
        <f>IF($A404="","",ROUND($H404*$I404,2))</f>
        <v/>
      </c>
      <c r="L404" s="15">
        <f>IF($A404="","",ROUND($K404*$J404*(1+$Q404*kdo_iadeEtkiCarpani),2))</f>
        <v/>
      </c>
      <c r="M404" s="15">
        <f>IF($A404="","",IFERROR(SUMIF(tblAnahtarB[NormB],$A404,tblVeriB[AlternatifTarif]),0))</f>
        <v/>
      </c>
      <c r="N404" s="15">
        <f>IF($A404="","",ROUND($H404*$M404*$J404*(1+$Q404*kdo_iadeEtkiCarpani),2))</f>
        <v/>
      </c>
      <c r="O404" s="15">
        <f>IF($A404="","",ROUND($L404-$N404,2))</f>
        <v/>
      </c>
      <c r="P404" s="15">
        <f>IF($A404="","",IF($R404&gt;kdo_esikDesiOran,"DESİ DÜŞÜR",IF($O404&gt;kdo_esikTasarruf,"TAŞIYICI DEĞİŞTİR","UYGUN")))</f>
        <v/>
      </c>
      <c r="Q404" s="15">
        <f>IF($A404="","",IFERROR(SUMIF(tblAnahtarB[NormB],$A404,tblVeriB[IadeOran]),0))</f>
        <v/>
      </c>
      <c r="R404" s="15">
        <f>IF(OR($A404="",$E404=0),0,$G404/$E404)</f>
        <v/>
      </c>
      <c r="S404" s="15">
        <f>IF($A404="","",$G404-$E404)</f>
        <v/>
      </c>
      <c r="T404" s="15">
        <f>IF($A404="","",$L404-$N404)</f>
        <v/>
      </c>
    </row>
    <row r="405">
      <c r="A405" s="15">
        <f>IF('ANAHTAR'!$B405="","",'ANAHTAR'!$B405)</f>
        <v/>
      </c>
      <c r="B405" s="15">
        <f>IF($A405="","",IFERROR(SUMIF(tblAnahtarA[Norm],$A405,tblVeriA[EnCm]),0))</f>
        <v/>
      </c>
      <c r="C405" s="15">
        <f>IF($A405="","",IFERROR(SUMIF(tblAnahtarA[Norm],$A405,tblVeriA[BoyCm]),0))</f>
        <v/>
      </c>
      <c r="D405" s="15">
        <f>IF($A405="","",IFERROR(SUMIF(tblAnahtarA[Norm],$A405,tblVeriA[YukseklikCm]),0))</f>
        <v/>
      </c>
      <c r="E405" s="15">
        <f>IF($A405="","",IFERROR(SUMIF(tblAnahtarA[Norm],$A405,tblVeriA[AgirlikKg]),0))</f>
        <v/>
      </c>
      <c r="F405" s="15">
        <f>IF($A405="","",IFERROR(SUMIF(tblAnahtarA[Norm],$A405,tblVeriA[DesiCarpani]),kdo_varsayilanDesiCarpani))</f>
        <v/>
      </c>
      <c r="G405" s="15">
        <f>IF($A405="","",ROUND($B405*$C405*$D405/MAX($F405,1),2))</f>
        <v/>
      </c>
      <c r="H405" s="15">
        <f>IF($A405="","",MAX($G405,$E405))</f>
        <v/>
      </c>
      <c r="I405" s="15">
        <f>IF($A405="","",IFERROR(SUMIF(tblAnahtarB[NormB],$A405,tblVeriB[TarifTlDesi]),0))</f>
        <v/>
      </c>
      <c r="J405" s="15">
        <f>IF($A405="","",IFERROR(SUMIF(tblAnahtarA[Norm],$A405,tblVeriA[Adet]),1))</f>
        <v/>
      </c>
      <c r="K405" s="15">
        <f>IF($A405="","",ROUND($H405*$I405,2))</f>
        <v/>
      </c>
      <c r="L405" s="15">
        <f>IF($A405="","",ROUND($K405*$J405*(1+$Q405*kdo_iadeEtkiCarpani),2))</f>
        <v/>
      </c>
      <c r="M405" s="15">
        <f>IF($A405="","",IFERROR(SUMIF(tblAnahtarB[NormB],$A405,tblVeriB[AlternatifTarif]),0))</f>
        <v/>
      </c>
      <c r="N405" s="15">
        <f>IF($A405="","",ROUND($H405*$M405*$J405*(1+$Q405*kdo_iadeEtkiCarpani),2))</f>
        <v/>
      </c>
      <c r="O405" s="15">
        <f>IF($A405="","",ROUND($L405-$N405,2))</f>
        <v/>
      </c>
      <c r="P405" s="15">
        <f>IF($A405="","",IF($R405&gt;kdo_esikDesiOran,"DESİ DÜŞÜR",IF($O405&gt;kdo_esikTasarruf,"TAŞIYICI DEĞİŞTİR","UYGUN")))</f>
        <v/>
      </c>
      <c r="Q405" s="15">
        <f>IF($A405="","",IFERROR(SUMIF(tblAnahtarB[NormB],$A405,tblVeriB[IadeOran]),0))</f>
        <v/>
      </c>
      <c r="R405" s="15">
        <f>IF(OR($A405="",$E405=0),0,$G405/$E405)</f>
        <v/>
      </c>
      <c r="S405" s="15">
        <f>IF($A405="","",$G405-$E405)</f>
        <v/>
      </c>
      <c r="T405" s="15">
        <f>IF($A405="","",$L405-$N405)</f>
        <v/>
      </c>
    </row>
    <row r="406">
      <c r="A406" s="15">
        <f>IF('ANAHTAR'!$B406="","",'ANAHTAR'!$B406)</f>
        <v/>
      </c>
      <c r="B406" s="15">
        <f>IF($A406="","",IFERROR(SUMIF(tblAnahtarA[Norm],$A406,tblVeriA[EnCm]),0))</f>
        <v/>
      </c>
      <c r="C406" s="15">
        <f>IF($A406="","",IFERROR(SUMIF(tblAnahtarA[Norm],$A406,tblVeriA[BoyCm]),0))</f>
        <v/>
      </c>
      <c r="D406" s="15">
        <f>IF($A406="","",IFERROR(SUMIF(tblAnahtarA[Norm],$A406,tblVeriA[YukseklikCm]),0))</f>
        <v/>
      </c>
      <c r="E406" s="15">
        <f>IF($A406="","",IFERROR(SUMIF(tblAnahtarA[Norm],$A406,tblVeriA[AgirlikKg]),0))</f>
        <v/>
      </c>
      <c r="F406" s="15">
        <f>IF($A406="","",IFERROR(SUMIF(tblAnahtarA[Norm],$A406,tblVeriA[DesiCarpani]),kdo_varsayilanDesiCarpani))</f>
        <v/>
      </c>
      <c r="G406" s="15">
        <f>IF($A406="","",ROUND($B406*$C406*$D406/MAX($F406,1),2))</f>
        <v/>
      </c>
      <c r="H406" s="15">
        <f>IF($A406="","",MAX($G406,$E406))</f>
        <v/>
      </c>
      <c r="I406" s="15">
        <f>IF($A406="","",IFERROR(SUMIF(tblAnahtarB[NormB],$A406,tblVeriB[TarifTlDesi]),0))</f>
        <v/>
      </c>
      <c r="J406" s="15">
        <f>IF($A406="","",IFERROR(SUMIF(tblAnahtarA[Norm],$A406,tblVeriA[Adet]),1))</f>
        <v/>
      </c>
      <c r="K406" s="15">
        <f>IF($A406="","",ROUND($H406*$I406,2))</f>
        <v/>
      </c>
      <c r="L406" s="15">
        <f>IF($A406="","",ROUND($K406*$J406*(1+$Q406*kdo_iadeEtkiCarpani),2))</f>
        <v/>
      </c>
      <c r="M406" s="15">
        <f>IF($A406="","",IFERROR(SUMIF(tblAnahtarB[NormB],$A406,tblVeriB[AlternatifTarif]),0))</f>
        <v/>
      </c>
      <c r="N406" s="15">
        <f>IF($A406="","",ROUND($H406*$M406*$J406*(1+$Q406*kdo_iadeEtkiCarpani),2))</f>
        <v/>
      </c>
      <c r="O406" s="15">
        <f>IF($A406="","",ROUND($L406-$N406,2))</f>
        <v/>
      </c>
      <c r="P406" s="15">
        <f>IF($A406="","",IF($R406&gt;kdo_esikDesiOran,"DESİ DÜŞÜR",IF($O406&gt;kdo_esikTasarruf,"TAŞIYICI DEĞİŞTİR","UYGUN")))</f>
        <v/>
      </c>
      <c r="Q406" s="15">
        <f>IF($A406="","",IFERROR(SUMIF(tblAnahtarB[NormB],$A406,tblVeriB[IadeOran]),0))</f>
        <v/>
      </c>
      <c r="R406" s="15">
        <f>IF(OR($A406="",$E406=0),0,$G406/$E406)</f>
        <v/>
      </c>
      <c r="S406" s="15">
        <f>IF($A406="","",$G406-$E406)</f>
        <v/>
      </c>
      <c r="T406" s="15">
        <f>IF($A406="","",$L406-$N406)</f>
        <v/>
      </c>
    </row>
    <row r="407">
      <c r="A407" s="15">
        <f>IF('ANAHTAR'!$B407="","",'ANAHTAR'!$B407)</f>
        <v/>
      </c>
      <c r="B407" s="15">
        <f>IF($A407="","",IFERROR(SUMIF(tblAnahtarA[Norm],$A407,tblVeriA[EnCm]),0))</f>
        <v/>
      </c>
      <c r="C407" s="15">
        <f>IF($A407="","",IFERROR(SUMIF(tblAnahtarA[Norm],$A407,tblVeriA[BoyCm]),0))</f>
        <v/>
      </c>
      <c r="D407" s="15">
        <f>IF($A407="","",IFERROR(SUMIF(tblAnahtarA[Norm],$A407,tblVeriA[YukseklikCm]),0))</f>
        <v/>
      </c>
      <c r="E407" s="15">
        <f>IF($A407="","",IFERROR(SUMIF(tblAnahtarA[Norm],$A407,tblVeriA[AgirlikKg]),0))</f>
        <v/>
      </c>
      <c r="F407" s="15">
        <f>IF($A407="","",IFERROR(SUMIF(tblAnahtarA[Norm],$A407,tblVeriA[DesiCarpani]),kdo_varsayilanDesiCarpani))</f>
        <v/>
      </c>
      <c r="G407" s="15">
        <f>IF($A407="","",ROUND($B407*$C407*$D407/MAX($F407,1),2))</f>
        <v/>
      </c>
      <c r="H407" s="15">
        <f>IF($A407="","",MAX($G407,$E407))</f>
        <v/>
      </c>
      <c r="I407" s="15">
        <f>IF($A407="","",IFERROR(SUMIF(tblAnahtarB[NormB],$A407,tblVeriB[TarifTlDesi]),0))</f>
        <v/>
      </c>
      <c r="J407" s="15">
        <f>IF($A407="","",IFERROR(SUMIF(tblAnahtarA[Norm],$A407,tblVeriA[Adet]),1))</f>
        <v/>
      </c>
      <c r="K407" s="15">
        <f>IF($A407="","",ROUND($H407*$I407,2))</f>
        <v/>
      </c>
      <c r="L407" s="15">
        <f>IF($A407="","",ROUND($K407*$J407*(1+$Q407*kdo_iadeEtkiCarpani),2))</f>
        <v/>
      </c>
      <c r="M407" s="15">
        <f>IF($A407="","",IFERROR(SUMIF(tblAnahtarB[NormB],$A407,tblVeriB[AlternatifTarif]),0))</f>
        <v/>
      </c>
      <c r="N407" s="15">
        <f>IF($A407="","",ROUND($H407*$M407*$J407*(1+$Q407*kdo_iadeEtkiCarpani),2))</f>
        <v/>
      </c>
      <c r="O407" s="15">
        <f>IF($A407="","",ROUND($L407-$N407,2))</f>
        <v/>
      </c>
      <c r="P407" s="15">
        <f>IF($A407="","",IF($R407&gt;kdo_esikDesiOran,"DESİ DÜŞÜR",IF($O407&gt;kdo_esikTasarruf,"TAŞIYICI DEĞİŞTİR","UYGUN")))</f>
        <v/>
      </c>
      <c r="Q407" s="15">
        <f>IF($A407="","",IFERROR(SUMIF(tblAnahtarB[NormB],$A407,tblVeriB[IadeOran]),0))</f>
        <v/>
      </c>
      <c r="R407" s="15">
        <f>IF(OR($A407="",$E407=0),0,$G407/$E407)</f>
        <v/>
      </c>
      <c r="S407" s="15">
        <f>IF($A407="","",$G407-$E407)</f>
        <v/>
      </c>
      <c r="T407" s="15">
        <f>IF($A407="","",$L407-$N407)</f>
        <v/>
      </c>
    </row>
    <row r="408">
      <c r="A408" s="15">
        <f>IF('ANAHTAR'!$B408="","",'ANAHTAR'!$B408)</f>
        <v/>
      </c>
      <c r="B408" s="15">
        <f>IF($A408="","",IFERROR(SUMIF(tblAnahtarA[Norm],$A408,tblVeriA[EnCm]),0))</f>
        <v/>
      </c>
      <c r="C408" s="15">
        <f>IF($A408="","",IFERROR(SUMIF(tblAnahtarA[Norm],$A408,tblVeriA[BoyCm]),0))</f>
        <v/>
      </c>
      <c r="D408" s="15">
        <f>IF($A408="","",IFERROR(SUMIF(tblAnahtarA[Norm],$A408,tblVeriA[YukseklikCm]),0))</f>
        <v/>
      </c>
      <c r="E408" s="15">
        <f>IF($A408="","",IFERROR(SUMIF(tblAnahtarA[Norm],$A408,tblVeriA[AgirlikKg]),0))</f>
        <v/>
      </c>
      <c r="F408" s="15">
        <f>IF($A408="","",IFERROR(SUMIF(tblAnahtarA[Norm],$A408,tblVeriA[DesiCarpani]),kdo_varsayilanDesiCarpani))</f>
        <v/>
      </c>
      <c r="G408" s="15">
        <f>IF($A408="","",ROUND($B408*$C408*$D408/MAX($F408,1),2))</f>
        <v/>
      </c>
      <c r="H408" s="15">
        <f>IF($A408="","",MAX($G408,$E408))</f>
        <v/>
      </c>
      <c r="I408" s="15">
        <f>IF($A408="","",IFERROR(SUMIF(tblAnahtarB[NormB],$A408,tblVeriB[TarifTlDesi]),0))</f>
        <v/>
      </c>
      <c r="J408" s="15">
        <f>IF($A408="","",IFERROR(SUMIF(tblAnahtarA[Norm],$A408,tblVeriA[Adet]),1))</f>
        <v/>
      </c>
      <c r="K408" s="15">
        <f>IF($A408="","",ROUND($H408*$I408,2))</f>
        <v/>
      </c>
      <c r="L408" s="15">
        <f>IF($A408="","",ROUND($K408*$J408*(1+$Q408*kdo_iadeEtkiCarpani),2))</f>
        <v/>
      </c>
      <c r="M408" s="15">
        <f>IF($A408="","",IFERROR(SUMIF(tblAnahtarB[NormB],$A408,tblVeriB[AlternatifTarif]),0))</f>
        <v/>
      </c>
      <c r="N408" s="15">
        <f>IF($A408="","",ROUND($H408*$M408*$J408*(1+$Q408*kdo_iadeEtkiCarpani),2))</f>
        <v/>
      </c>
      <c r="O408" s="15">
        <f>IF($A408="","",ROUND($L408-$N408,2))</f>
        <v/>
      </c>
      <c r="P408" s="15">
        <f>IF($A408="","",IF($R408&gt;kdo_esikDesiOran,"DESİ DÜŞÜR",IF($O408&gt;kdo_esikTasarruf,"TAŞIYICI DEĞİŞTİR","UYGUN")))</f>
        <v/>
      </c>
      <c r="Q408" s="15">
        <f>IF($A408="","",IFERROR(SUMIF(tblAnahtarB[NormB],$A408,tblVeriB[IadeOran]),0))</f>
        <v/>
      </c>
      <c r="R408" s="15">
        <f>IF(OR($A408="",$E408=0),0,$G408/$E408)</f>
        <v/>
      </c>
      <c r="S408" s="15">
        <f>IF($A408="","",$G408-$E408)</f>
        <v/>
      </c>
      <c r="T408" s="15">
        <f>IF($A408="","",$L408-$N408)</f>
        <v/>
      </c>
    </row>
    <row r="409">
      <c r="A409" s="15">
        <f>IF('ANAHTAR'!$B409="","",'ANAHTAR'!$B409)</f>
        <v/>
      </c>
      <c r="B409" s="15">
        <f>IF($A409="","",IFERROR(SUMIF(tblAnahtarA[Norm],$A409,tblVeriA[EnCm]),0))</f>
        <v/>
      </c>
      <c r="C409" s="15">
        <f>IF($A409="","",IFERROR(SUMIF(tblAnahtarA[Norm],$A409,tblVeriA[BoyCm]),0))</f>
        <v/>
      </c>
      <c r="D409" s="15">
        <f>IF($A409="","",IFERROR(SUMIF(tblAnahtarA[Norm],$A409,tblVeriA[YukseklikCm]),0))</f>
        <v/>
      </c>
      <c r="E409" s="15">
        <f>IF($A409="","",IFERROR(SUMIF(tblAnahtarA[Norm],$A409,tblVeriA[AgirlikKg]),0))</f>
        <v/>
      </c>
      <c r="F409" s="15">
        <f>IF($A409="","",IFERROR(SUMIF(tblAnahtarA[Norm],$A409,tblVeriA[DesiCarpani]),kdo_varsayilanDesiCarpani))</f>
        <v/>
      </c>
      <c r="G409" s="15">
        <f>IF($A409="","",ROUND($B409*$C409*$D409/MAX($F409,1),2))</f>
        <v/>
      </c>
      <c r="H409" s="15">
        <f>IF($A409="","",MAX($G409,$E409))</f>
        <v/>
      </c>
      <c r="I409" s="15">
        <f>IF($A409="","",IFERROR(SUMIF(tblAnahtarB[NormB],$A409,tblVeriB[TarifTlDesi]),0))</f>
        <v/>
      </c>
      <c r="J409" s="15">
        <f>IF($A409="","",IFERROR(SUMIF(tblAnahtarA[Norm],$A409,tblVeriA[Adet]),1))</f>
        <v/>
      </c>
      <c r="K409" s="15">
        <f>IF($A409="","",ROUND($H409*$I409,2))</f>
        <v/>
      </c>
      <c r="L409" s="15">
        <f>IF($A409="","",ROUND($K409*$J409*(1+$Q409*kdo_iadeEtkiCarpani),2))</f>
        <v/>
      </c>
      <c r="M409" s="15">
        <f>IF($A409="","",IFERROR(SUMIF(tblAnahtarB[NormB],$A409,tblVeriB[AlternatifTarif]),0))</f>
        <v/>
      </c>
      <c r="N409" s="15">
        <f>IF($A409="","",ROUND($H409*$M409*$J409*(1+$Q409*kdo_iadeEtkiCarpani),2))</f>
        <v/>
      </c>
      <c r="O409" s="15">
        <f>IF($A409="","",ROUND($L409-$N409,2))</f>
        <v/>
      </c>
      <c r="P409" s="15">
        <f>IF($A409="","",IF($R409&gt;kdo_esikDesiOran,"DESİ DÜŞÜR",IF($O409&gt;kdo_esikTasarruf,"TAŞIYICI DEĞİŞTİR","UYGUN")))</f>
        <v/>
      </c>
      <c r="Q409" s="15">
        <f>IF($A409="","",IFERROR(SUMIF(tblAnahtarB[NormB],$A409,tblVeriB[IadeOran]),0))</f>
        <v/>
      </c>
      <c r="R409" s="15">
        <f>IF(OR($A409="",$E409=0),0,$G409/$E409)</f>
        <v/>
      </c>
      <c r="S409" s="15">
        <f>IF($A409="","",$G409-$E409)</f>
        <v/>
      </c>
      <c r="T409" s="15">
        <f>IF($A409="","",$L409-$N409)</f>
        <v/>
      </c>
    </row>
    <row r="410">
      <c r="A410" s="15">
        <f>IF('ANAHTAR'!$B410="","",'ANAHTAR'!$B410)</f>
        <v/>
      </c>
      <c r="B410" s="15">
        <f>IF($A410="","",IFERROR(SUMIF(tblAnahtarA[Norm],$A410,tblVeriA[EnCm]),0))</f>
        <v/>
      </c>
      <c r="C410" s="15">
        <f>IF($A410="","",IFERROR(SUMIF(tblAnahtarA[Norm],$A410,tblVeriA[BoyCm]),0))</f>
        <v/>
      </c>
      <c r="D410" s="15">
        <f>IF($A410="","",IFERROR(SUMIF(tblAnahtarA[Norm],$A410,tblVeriA[YukseklikCm]),0))</f>
        <v/>
      </c>
      <c r="E410" s="15">
        <f>IF($A410="","",IFERROR(SUMIF(tblAnahtarA[Norm],$A410,tblVeriA[AgirlikKg]),0))</f>
        <v/>
      </c>
      <c r="F410" s="15">
        <f>IF($A410="","",IFERROR(SUMIF(tblAnahtarA[Norm],$A410,tblVeriA[DesiCarpani]),kdo_varsayilanDesiCarpani))</f>
        <v/>
      </c>
      <c r="G410" s="15">
        <f>IF($A410="","",ROUND($B410*$C410*$D410/MAX($F410,1),2))</f>
        <v/>
      </c>
      <c r="H410" s="15">
        <f>IF($A410="","",MAX($G410,$E410))</f>
        <v/>
      </c>
      <c r="I410" s="15">
        <f>IF($A410="","",IFERROR(SUMIF(tblAnahtarB[NormB],$A410,tblVeriB[TarifTlDesi]),0))</f>
        <v/>
      </c>
      <c r="J410" s="15">
        <f>IF($A410="","",IFERROR(SUMIF(tblAnahtarA[Norm],$A410,tblVeriA[Adet]),1))</f>
        <v/>
      </c>
      <c r="K410" s="15">
        <f>IF($A410="","",ROUND($H410*$I410,2))</f>
        <v/>
      </c>
      <c r="L410" s="15">
        <f>IF($A410="","",ROUND($K410*$J410*(1+$Q410*kdo_iadeEtkiCarpani),2))</f>
        <v/>
      </c>
      <c r="M410" s="15">
        <f>IF($A410="","",IFERROR(SUMIF(tblAnahtarB[NormB],$A410,tblVeriB[AlternatifTarif]),0))</f>
        <v/>
      </c>
      <c r="N410" s="15">
        <f>IF($A410="","",ROUND($H410*$M410*$J410*(1+$Q410*kdo_iadeEtkiCarpani),2))</f>
        <v/>
      </c>
      <c r="O410" s="15">
        <f>IF($A410="","",ROUND($L410-$N410,2))</f>
        <v/>
      </c>
      <c r="P410" s="15">
        <f>IF($A410="","",IF($R410&gt;kdo_esikDesiOran,"DESİ DÜŞÜR",IF($O410&gt;kdo_esikTasarruf,"TAŞIYICI DEĞİŞTİR","UYGUN")))</f>
        <v/>
      </c>
      <c r="Q410" s="15">
        <f>IF($A410="","",IFERROR(SUMIF(tblAnahtarB[NormB],$A410,tblVeriB[IadeOran]),0))</f>
        <v/>
      </c>
      <c r="R410" s="15">
        <f>IF(OR($A410="",$E410=0),0,$G410/$E410)</f>
        <v/>
      </c>
      <c r="S410" s="15">
        <f>IF($A410="","",$G410-$E410)</f>
        <v/>
      </c>
      <c r="T410" s="15">
        <f>IF($A410="","",$L410-$N410)</f>
        <v/>
      </c>
    </row>
    <row r="411">
      <c r="A411" s="15">
        <f>IF('ANAHTAR'!$B411="","",'ANAHTAR'!$B411)</f>
        <v/>
      </c>
      <c r="B411" s="15">
        <f>IF($A411="","",IFERROR(SUMIF(tblAnahtarA[Norm],$A411,tblVeriA[EnCm]),0))</f>
        <v/>
      </c>
      <c r="C411" s="15">
        <f>IF($A411="","",IFERROR(SUMIF(tblAnahtarA[Norm],$A411,tblVeriA[BoyCm]),0))</f>
        <v/>
      </c>
      <c r="D411" s="15">
        <f>IF($A411="","",IFERROR(SUMIF(tblAnahtarA[Norm],$A411,tblVeriA[YukseklikCm]),0))</f>
        <v/>
      </c>
      <c r="E411" s="15">
        <f>IF($A411="","",IFERROR(SUMIF(tblAnahtarA[Norm],$A411,tblVeriA[AgirlikKg]),0))</f>
        <v/>
      </c>
      <c r="F411" s="15">
        <f>IF($A411="","",IFERROR(SUMIF(tblAnahtarA[Norm],$A411,tblVeriA[DesiCarpani]),kdo_varsayilanDesiCarpani))</f>
        <v/>
      </c>
      <c r="G411" s="15">
        <f>IF($A411="","",ROUND($B411*$C411*$D411/MAX($F411,1),2))</f>
        <v/>
      </c>
      <c r="H411" s="15">
        <f>IF($A411="","",MAX($G411,$E411))</f>
        <v/>
      </c>
      <c r="I411" s="15">
        <f>IF($A411="","",IFERROR(SUMIF(tblAnahtarB[NormB],$A411,tblVeriB[TarifTlDesi]),0))</f>
        <v/>
      </c>
      <c r="J411" s="15">
        <f>IF($A411="","",IFERROR(SUMIF(tblAnahtarA[Norm],$A411,tblVeriA[Adet]),1))</f>
        <v/>
      </c>
      <c r="K411" s="15">
        <f>IF($A411="","",ROUND($H411*$I411,2))</f>
        <v/>
      </c>
      <c r="L411" s="15">
        <f>IF($A411="","",ROUND($K411*$J411*(1+$Q411*kdo_iadeEtkiCarpani),2))</f>
        <v/>
      </c>
      <c r="M411" s="15">
        <f>IF($A411="","",IFERROR(SUMIF(tblAnahtarB[NormB],$A411,tblVeriB[AlternatifTarif]),0))</f>
        <v/>
      </c>
      <c r="N411" s="15">
        <f>IF($A411="","",ROUND($H411*$M411*$J411*(1+$Q411*kdo_iadeEtkiCarpani),2))</f>
        <v/>
      </c>
      <c r="O411" s="15">
        <f>IF($A411="","",ROUND($L411-$N411,2))</f>
        <v/>
      </c>
      <c r="P411" s="15">
        <f>IF($A411="","",IF($R411&gt;kdo_esikDesiOran,"DESİ DÜŞÜR",IF($O411&gt;kdo_esikTasarruf,"TAŞIYICI DEĞİŞTİR","UYGUN")))</f>
        <v/>
      </c>
      <c r="Q411" s="15">
        <f>IF($A411="","",IFERROR(SUMIF(tblAnahtarB[NormB],$A411,tblVeriB[IadeOran]),0))</f>
        <v/>
      </c>
      <c r="R411" s="15">
        <f>IF(OR($A411="",$E411=0),0,$G411/$E411)</f>
        <v/>
      </c>
      <c r="S411" s="15">
        <f>IF($A411="","",$G411-$E411)</f>
        <v/>
      </c>
      <c r="T411" s="15">
        <f>IF($A411="","",$L411-$N411)</f>
        <v/>
      </c>
    </row>
    <row r="412">
      <c r="A412" s="15">
        <f>IF('ANAHTAR'!$B412="","",'ANAHTAR'!$B412)</f>
        <v/>
      </c>
      <c r="B412" s="15">
        <f>IF($A412="","",IFERROR(SUMIF(tblAnahtarA[Norm],$A412,tblVeriA[EnCm]),0))</f>
        <v/>
      </c>
      <c r="C412" s="15">
        <f>IF($A412="","",IFERROR(SUMIF(tblAnahtarA[Norm],$A412,tblVeriA[BoyCm]),0))</f>
        <v/>
      </c>
      <c r="D412" s="15">
        <f>IF($A412="","",IFERROR(SUMIF(tblAnahtarA[Norm],$A412,tblVeriA[YukseklikCm]),0))</f>
        <v/>
      </c>
      <c r="E412" s="15">
        <f>IF($A412="","",IFERROR(SUMIF(tblAnahtarA[Norm],$A412,tblVeriA[AgirlikKg]),0))</f>
        <v/>
      </c>
      <c r="F412" s="15">
        <f>IF($A412="","",IFERROR(SUMIF(tblAnahtarA[Norm],$A412,tblVeriA[DesiCarpani]),kdo_varsayilanDesiCarpani))</f>
        <v/>
      </c>
      <c r="G412" s="15">
        <f>IF($A412="","",ROUND($B412*$C412*$D412/MAX($F412,1),2))</f>
        <v/>
      </c>
      <c r="H412" s="15">
        <f>IF($A412="","",MAX($G412,$E412))</f>
        <v/>
      </c>
      <c r="I412" s="15">
        <f>IF($A412="","",IFERROR(SUMIF(tblAnahtarB[NormB],$A412,tblVeriB[TarifTlDesi]),0))</f>
        <v/>
      </c>
      <c r="J412" s="15">
        <f>IF($A412="","",IFERROR(SUMIF(tblAnahtarA[Norm],$A412,tblVeriA[Adet]),1))</f>
        <v/>
      </c>
      <c r="K412" s="15">
        <f>IF($A412="","",ROUND($H412*$I412,2))</f>
        <v/>
      </c>
      <c r="L412" s="15">
        <f>IF($A412="","",ROUND($K412*$J412*(1+$Q412*kdo_iadeEtkiCarpani),2))</f>
        <v/>
      </c>
      <c r="M412" s="15">
        <f>IF($A412="","",IFERROR(SUMIF(tblAnahtarB[NormB],$A412,tblVeriB[AlternatifTarif]),0))</f>
        <v/>
      </c>
      <c r="N412" s="15">
        <f>IF($A412="","",ROUND($H412*$M412*$J412*(1+$Q412*kdo_iadeEtkiCarpani),2))</f>
        <v/>
      </c>
      <c r="O412" s="15">
        <f>IF($A412="","",ROUND($L412-$N412,2))</f>
        <v/>
      </c>
      <c r="P412" s="15">
        <f>IF($A412="","",IF($R412&gt;kdo_esikDesiOran,"DESİ DÜŞÜR",IF($O412&gt;kdo_esikTasarruf,"TAŞIYICI DEĞİŞTİR","UYGUN")))</f>
        <v/>
      </c>
      <c r="Q412" s="15">
        <f>IF($A412="","",IFERROR(SUMIF(tblAnahtarB[NormB],$A412,tblVeriB[IadeOran]),0))</f>
        <v/>
      </c>
      <c r="R412" s="15">
        <f>IF(OR($A412="",$E412=0),0,$G412/$E412)</f>
        <v/>
      </c>
      <c r="S412" s="15">
        <f>IF($A412="","",$G412-$E412)</f>
        <v/>
      </c>
      <c r="T412" s="15">
        <f>IF($A412="","",$L412-$N412)</f>
        <v/>
      </c>
    </row>
    <row r="413">
      <c r="A413" s="15">
        <f>IF('ANAHTAR'!$B413="","",'ANAHTAR'!$B413)</f>
        <v/>
      </c>
      <c r="B413" s="15">
        <f>IF($A413="","",IFERROR(SUMIF(tblAnahtarA[Norm],$A413,tblVeriA[EnCm]),0))</f>
        <v/>
      </c>
      <c r="C413" s="15">
        <f>IF($A413="","",IFERROR(SUMIF(tblAnahtarA[Norm],$A413,tblVeriA[BoyCm]),0))</f>
        <v/>
      </c>
      <c r="D413" s="15">
        <f>IF($A413="","",IFERROR(SUMIF(tblAnahtarA[Norm],$A413,tblVeriA[YukseklikCm]),0))</f>
        <v/>
      </c>
      <c r="E413" s="15">
        <f>IF($A413="","",IFERROR(SUMIF(tblAnahtarA[Norm],$A413,tblVeriA[AgirlikKg]),0))</f>
        <v/>
      </c>
      <c r="F413" s="15">
        <f>IF($A413="","",IFERROR(SUMIF(tblAnahtarA[Norm],$A413,tblVeriA[DesiCarpani]),kdo_varsayilanDesiCarpani))</f>
        <v/>
      </c>
      <c r="G413" s="15">
        <f>IF($A413="","",ROUND($B413*$C413*$D413/MAX($F413,1),2))</f>
        <v/>
      </c>
      <c r="H413" s="15">
        <f>IF($A413="","",MAX($G413,$E413))</f>
        <v/>
      </c>
      <c r="I413" s="15">
        <f>IF($A413="","",IFERROR(SUMIF(tblAnahtarB[NormB],$A413,tblVeriB[TarifTlDesi]),0))</f>
        <v/>
      </c>
      <c r="J413" s="15">
        <f>IF($A413="","",IFERROR(SUMIF(tblAnahtarA[Norm],$A413,tblVeriA[Adet]),1))</f>
        <v/>
      </c>
      <c r="K413" s="15">
        <f>IF($A413="","",ROUND($H413*$I413,2))</f>
        <v/>
      </c>
      <c r="L413" s="15">
        <f>IF($A413="","",ROUND($K413*$J413*(1+$Q413*kdo_iadeEtkiCarpani),2))</f>
        <v/>
      </c>
      <c r="M413" s="15">
        <f>IF($A413="","",IFERROR(SUMIF(tblAnahtarB[NormB],$A413,tblVeriB[AlternatifTarif]),0))</f>
        <v/>
      </c>
      <c r="N413" s="15">
        <f>IF($A413="","",ROUND($H413*$M413*$J413*(1+$Q413*kdo_iadeEtkiCarpani),2))</f>
        <v/>
      </c>
      <c r="O413" s="15">
        <f>IF($A413="","",ROUND($L413-$N413,2))</f>
        <v/>
      </c>
      <c r="P413" s="15">
        <f>IF($A413="","",IF($R413&gt;kdo_esikDesiOran,"DESİ DÜŞÜR",IF($O413&gt;kdo_esikTasarruf,"TAŞIYICI DEĞİŞTİR","UYGUN")))</f>
        <v/>
      </c>
      <c r="Q413" s="15">
        <f>IF($A413="","",IFERROR(SUMIF(tblAnahtarB[NormB],$A413,tblVeriB[IadeOran]),0))</f>
        <v/>
      </c>
      <c r="R413" s="15">
        <f>IF(OR($A413="",$E413=0),0,$G413/$E413)</f>
        <v/>
      </c>
      <c r="S413" s="15">
        <f>IF($A413="","",$G413-$E413)</f>
        <v/>
      </c>
      <c r="T413" s="15">
        <f>IF($A413="","",$L413-$N413)</f>
        <v/>
      </c>
    </row>
    <row r="414">
      <c r="A414" s="15">
        <f>IF('ANAHTAR'!$B414="","",'ANAHTAR'!$B414)</f>
        <v/>
      </c>
      <c r="B414" s="15">
        <f>IF($A414="","",IFERROR(SUMIF(tblAnahtarA[Norm],$A414,tblVeriA[EnCm]),0))</f>
        <v/>
      </c>
      <c r="C414" s="15">
        <f>IF($A414="","",IFERROR(SUMIF(tblAnahtarA[Norm],$A414,tblVeriA[BoyCm]),0))</f>
        <v/>
      </c>
      <c r="D414" s="15">
        <f>IF($A414="","",IFERROR(SUMIF(tblAnahtarA[Norm],$A414,tblVeriA[YukseklikCm]),0))</f>
        <v/>
      </c>
      <c r="E414" s="15">
        <f>IF($A414="","",IFERROR(SUMIF(tblAnahtarA[Norm],$A414,tblVeriA[AgirlikKg]),0))</f>
        <v/>
      </c>
      <c r="F414" s="15">
        <f>IF($A414="","",IFERROR(SUMIF(tblAnahtarA[Norm],$A414,tblVeriA[DesiCarpani]),kdo_varsayilanDesiCarpani))</f>
        <v/>
      </c>
      <c r="G414" s="15">
        <f>IF($A414="","",ROUND($B414*$C414*$D414/MAX($F414,1),2))</f>
        <v/>
      </c>
      <c r="H414" s="15">
        <f>IF($A414="","",MAX($G414,$E414))</f>
        <v/>
      </c>
      <c r="I414" s="15">
        <f>IF($A414="","",IFERROR(SUMIF(tblAnahtarB[NormB],$A414,tblVeriB[TarifTlDesi]),0))</f>
        <v/>
      </c>
      <c r="J414" s="15">
        <f>IF($A414="","",IFERROR(SUMIF(tblAnahtarA[Norm],$A414,tblVeriA[Adet]),1))</f>
        <v/>
      </c>
      <c r="K414" s="15">
        <f>IF($A414="","",ROUND($H414*$I414,2))</f>
        <v/>
      </c>
      <c r="L414" s="15">
        <f>IF($A414="","",ROUND($K414*$J414*(1+$Q414*kdo_iadeEtkiCarpani),2))</f>
        <v/>
      </c>
      <c r="M414" s="15">
        <f>IF($A414="","",IFERROR(SUMIF(tblAnahtarB[NormB],$A414,tblVeriB[AlternatifTarif]),0))</f>
        <v/>
      </c>
      <c r="N414" s="15">
        <f>IF($A414="","",ROUND($H414*$M414*$J414*(1+$Q414*kdo_iadeEtkiCarpani),2))</f>
        <v/>
      </c>
      <c r="O414" s="15">
        <f>IF($A414="","",ROUND($L414-$N414,2))</f>
        <v/>
      </c>
      <c r="P414" s="15">
        <f>IF($A414="","",IF($R414&gt;kdo_esikDesiOran,"DESİ DÜŞÜR",IF($O414&gt;kdo_esikTasarruf,"TAŞIYICI DEĞİŞTİR","UYGUN")))</f>
        <v/>
      </c>
      <c r="Q414" s="15">
        <f>IF($A414="","",IFERROR(SUMIF(tblAnahtarB[NormB],$A414,tblVeriB[IadeOran]),0))</f>
        <v/>
      </c>
      <c r="R414" s="15">
        <f>IF(OR($A414="",$E414=0),0,$G414/$E414)</f>
        <v/>
      </c>
      <c r="S414" s="15">
        <f>IF($A414="","",$G414-$E414)</f>
        <v/>
      </c>
      <c r="T414" s="15">
        <f>IF($A414="","",$L414-$N414)</f>
        <v/>
      </c>
    </row>
    <row r="415">
      <c r="A415" s="15">
        <f>IF('ANAHTAR'!$B415="","",'ANAHTAR'!$B415)</f>
        <v/>
      </c>
      <c r="B415" s="15">
        <f>IF($A415="","",IFERROR(SUMIF(tblAnahtarA[Norm],$A415,tblVeriA[EnCm]),0))</f>
        <v/>
      </c>
      <c r="C415" s="15">
        <f>IF($A415="","",IFERROR(SUMIF(tblAnahtarA[Norm],$A415,tblVeriA[BoyCm]),0))</f>
        <v/>
      </c>
      <c r="D415" s="15">
        <f>IF($A415="","",IFERROR(SUMIF(tblAnahtarA[Norm],$A415,tblVeriA[YukseklikCm]),0))</f>
        <v/>
      </c>
      <c r="E415" s="15">
        <f>IF($A415="","",IFERROR(SUMIF(tblAnahtarA[Norm],$A415,tblVeriA[AgirlikKg]),0))</f>
        <v/>
      </c>
      <c r="F415" s="15">
        <f>IF($A415="","",IFERROR(SUMIF(tblAnahtarA[Norm],$A415,tblVeriA[DesiCarpani]),kdo_varsayilanDesiCarpani))</f>
        <v/>
      </c>
      <c r="G415" s="15">
        <f>IF($A415="","",ROUND($B415*$C415*$D415/MAX($F415,1),2))</f>
        <v/>
      </c>
      <c r="H415" s="15">
        <f>IF($A415="","",MAX($G415,$E415))</f>
        <v/>
      </c>
      <c r="I415" s="15">
        <f>IF($A415="","",IFERROR(SUMIF(tblAnahtarB[NormB],$A415,tblVeriB[TarifTlDesi]),0))</f>
        <v/>
      </c>
      <c r="J415" s="15">
        <f>IF($A415="","",IFERROR(SUMIF(tblAnahtarA[Norm],$A415,tblVeriA[Adet]),1))</f>
        <v/>
      </c>
      <c r="K415" s="15">
        <f>IF($A415="","",ROUND($H415*$I415,2))</f>
        <v/>
      </c>
      <c r="L415" s="15">
        <f>IF($A415="","",ROUND($K415*$J415*(1+$Q415*kdo_iadeEtkiCarpani),2))</f>
        <v/>
      </c>
      <c r="M415" s="15">
        <f>IF($A415="","",IFERROR(SUMIF(tblAnahtarB[NormB],$A415,tblVeriB[AlternatifTarif]),0))</f>
        <v/>
      </c>
      <c r="N415" s="15">
        <f>IF($A415="","",ROUND($H415*$M415*$J415*(1+$Q415*kdo_iadeEtkiCarpani),2))</f>
        <v/>
      </c>
      <c r="O415" s="15">
        <f>IF($A415="","",ROUND($L415-$N415,2))</f>
        <v/>
      </c>
      <c r="P415" s="15">
        <f>IF($A415="","",IF($R415&gt;kdo_esikDesiOran,"DESİ DÜŞÜR",IF($O415&gt;kdo_esikTasarruf,"TAŞIYICI DEĞİŞTİR","UYGUN")))</f>
        <v/>
      </c>
      <c r="Q415" s="15">
        <f>IF($A415="","",IFERROR(SUMIF(tblAnahtarB[NormB],$A415,tblVeriB[IadeOran]),0))</f>
        <v/>
      </c>
      <c r="R415" s="15">
        <f>IF(OR($A415="",$E415=0),0,$G415/$E415)</f>
        <v/>
      </c>
      <c r="S415" s="15">
        <f>IF($A415="","",$G415-$E415)</f>
        <v/>
      </c>
      <c r="T415" s="15">
        <f>IF($A415="","",$L415-$N415)</f>
        <v/>
      </c>
    </row>
    <row r="416">
      <c r="A416" s="15">
        <f>IF('ANAHTAR'!$B416="","",'ANAHTAR'!$B416)</f>
        <v/>
      </c>
      <c r="B416" s="15">
        <f>IF($A416="","",IFERROR(SUMIF(tblAnahtarA[Norm],$A416,tblVeriA[EnCm]),0))</f>
        <v/>
      </c>
      <c r="C416" s="15">
        <f>IF($A416="","",IFERROR(SUMIF(tblAnahtarA[Norm],$A416,tblVeriA[BoyCm]),0))</f>
        <v/>
      </c>
      <c r="D416" s="15">
        <f>IF($A416="","",IFERROR(SUMIF(tblAnahtarA[Norm],$A416,tblVeriA[YukseklikCm]),0))</f>
        <v/>
      </c>
      <c r="E416" s="15">
        <f>IF($A416="","",IFERROR(SUMIF(tblAnahtarA[Norm],$A416,tblVeriA[AgirlikKg]),0))</f>
        <v/>
      </c>
      <c r="F416" s="15">
        <f>IF($A416="","",IFERROR(SUMIF(tblAnahtarA[Norm],$A416,tblVeriA[DesiCarpani]),kdo_varsayilanDesiCarpani))</f>
        <v/>
      </c>
      <c r="G416" s="15">
        <f>IF($A416="","",ROUND($B416*$C416*$D416/MAX($F416,1),2))</f>
        <v/>
      </c>
      <c r="H416" s="15">
        <f>IF($A416="","",MAX($G416,$E416))</f>
        <v/>
      </c>
      <c r="I416" s="15">
        <f>IF($A416="","",IFERROR(SUMIF(tblAnahtarB[NormB],$A416,tblVeriB[TarifTlDesi]),0))</f>
        <v/>
      </c>
      <c r="J416" s="15">
        <f>IF($A416="","",IFERROR(SUMIF(tblAnahtarA[Norm],$A416,tblVeriA[Adet]),1))</f>
        <v/>
      </c>
      <c r="K416" s="15">
        <f>IF($A416="","",ROUND($H416*$I416,2))</f>
        <v/>
      </c>
      <c r="L416" s="15">
        <f>IF($A416="","",ROUND($K416*$J416*(1+$Q416*kdo_iadeEtkiCarpani),2))</f>
        <v/>
      </c>
      <c r="M416" s="15">
        <f>IF($A416="","",IFERROR(SUMIF(tblAnahtarB[NormB],$A416,tblVeriB[AlternatifTarif]),0))</f>
        <v/>
      </c>
      <c r="N416" s="15">
        <f>IF($A416="","",ROUND($H416*$M416*$J416*(1+$Q416*kdo_iadeEtkiCarpani),2))</f>
        <v/>
      </c>
      <c r="O416" s="15">
        <f>IF($A416="","",ROUND($L416-$N416,2))</f>
        <v/>
      </c>
      <c r="P416" s="15">
        <f>IF($A416="","",IF($R416&gt;kdo_esikDesiOran,"DESİ DÜŞÜR",IF($O416&gt;kdo_esikTasarruf,"TAŞIYICI DEĞİŞTİR","UYGUN")))</f>
        <v/>
      </c>
      <c r="Q416" s="15">
        <f>IF($A416="","",IFERROR(SUMIF(tblAnahtarB[NormB],$A416,tblVeriB[IadeOran]),0))</f>
        <v/>
      </c>
      <c r="R416" s="15">
        <f>IF(OR($A416="",$E416=0),0,$G416/$E416)</f>
        <v/>
      </c>
      <c r="S416" s="15">
        <f>IF($A416="","",$G416-$E416)</f>
        <v/>
      </c>
      <c r="T416" s="15">
        <f>IF($A416="","",$L416-$N416)</f>
        <v/>
      </c>
    </row>
    <row r="417">
      <c r="A417" s="15">
        <f>IF('ANAHTAR'!$B417="","",'ANAHTAR'!$B417)</f>
        <v/>
      </c>
      <c r="B417" s="15">
        <f>IF($A417="","",IFERROR(SUMIF(tblAnahtarA[Norm],$A417,tblVeriA[EnCm]),0))</f>
        <v/>
      </c>
      <c r="C417" s="15">
        <f>IF($A417="","",IFERROR(SUMIF(tblAnahtarA[Norm],$A417,tblVeriA[BoyCm]),0))</f>
        <v/>
      </c>
      <c r="D417" s="15">
        <f>IF($A417="","",IFERROR(SUMIF(tblAnahtarA[Norm],$A417,tblVeriA[YukseklikCm]),0))</f>
        <v/>
      </c>
      <c r="E417" s="15">
        <f>IF($A417="","",IFERROR(SUMIF(tblAnahtarA[Norm],$A417,tblVeriA[AgirlikKg]),0))</f>
        <v/>
      </c>
      <c r="F417" s="15">
        <f>IF($A417="","",IFERROR(SUMIF(tblAnahtarA[Norm],$A417,tblVeriA[DesiCarpani]),kdo_varsayilanDesiCarpani))</f>
        <v/>
      </c>
      <c r="G417" s="15">
        <f>IF($A417="","",ROUND($B417*$C417*$D417/MAX($F417,1),2))</f>
        <v/>
      </c>
      <c r="H417" s="15">
        <f>IF($A417="","",MAX($G417,$E417))</f>
        <v/>
      </c>
      <c r="I417" s="15">
        <f>IF($A417="","",IFERROR(SUMIF(tblAnahtarB[NormB],$A417,tblVeriB[TarifTlDesi]),0))</f>
        <v/>
      </c>
      <c r="J417" s="15">
        <f>IF($A417="","",IFERROR(SUMIF(tblAnahtarA[Norm],$A417,tblVeriA[Adet]),1))</f>
        <v/>
      </c>
      <c r="K417" s="15">
        <f>IF($A417="","",ROUND($H417*$I417,2))</f>
        <v/>
      </c>
      <c r="L417" s="15">
        <f>IF($A417="","",ROUND($K417*$J417*(1+$Q417*kdo_iadeEtkiCarpani),2))</f>
        <v/>
      </c>
      <c r="M417" s="15">
        <f>IF($A417="","",IFERROR(SUMIF(tblAnahtarB[NormB],$A417,tblVeriB[AlternatifTarif]),0))</f>
        <v/>
      </c>
      <c r="N417" s="15">
        <f>IF($A417="","",ROUND($H417*$M417*$J417*(1+$Q417*kdo_iadeEtkiCarpani),2))</f>
        <v/>
      </c>
      <c r="O417" s="15">
        <f>IF($A417="","",ROUND($L417-$N417,2))</f>
        <v/>
      </c>
      <c r="P417" s="15">
        <f>IF($A417="","",IF($R417&gt;kdo_esikDesiOran,"DESİ DÜŞÜR",IF($O417&gt;kdo_esikTasarruf,"TAŞIYICI DEĞİŞTİR","UYGUN")))</f>
        <v/>
      </c>
      <c r="Q417" s="15">
        <f>IF($A417="","",IFERROR(SUMIF(tblAnahtarB[NormB],$A417,tblVeriB[IadeOran]),0))</f>
        <v/>
      </c>
      <c r="R417" s="15">
        <f>IF(OR($A417="",$E417=0),0,$G417/$E417)</f>
        <v/>
      </c>
      <c r="S417" s="15">
        <f>IF($A417="","",$G417-$E417)</f>
        <v/>
      </c>
      <c r="T417" s="15">
        <f>IF($A417="","",$L417-$N417)</f>
        <v/>
      </c>
    </row>
    <row r="418">
      <c r="A418" s="15">
        <f>IF('ANAHTAR'!$B418="","",'ANAHTAR'!$B418)</f>
        <v/>
      </c>
      <c r="B418" s="15">
        <f>IF($A418="","",IFERROR(SUMIF(tblAnahtarA[Norm],$A418,tblVeriA[EnCm]),0))</f>
        <v/>
      </c>
      <c r="C418" s="15">
        <f>IF($A418="","",IFERROR(SUMIF(tblAnahtarA[Norm],$A418,tblVeriA[BoyCm]),0))</f>
        <v/>
      </c>
      <c r="D418" s="15">
        <f>IF($A418="","",IFERROR(SUMIF(tblAnahtarA[Norm],$A418,tblVeriA[YukseklikCm]),0))</f>
        <v/>
      </c>
      <c r="E418" s="15">
        <f>IF($A418="","",IFERROR(SUMIF(tblAnahtarA[Norm],$A418,tblVeriA[AgirlikKg]),0))</f>
        <v/>
      </c>
      <c r="F418" s="15">
        <f>IF($A418="","",IFERROR(SUMIF(tblAnahtarA[Norm],$A418,tblVeriA[DesiCarpani]),kdo_varsayilanDesiCarpani))</f>
        <v/>
      </c>
      <c r="G418" s="15">
        <f>IF($A418="","",ROUND($B418*$C418*$D418/MAX($F418,1),2))</f>
        <v/>
      </c>
      <c r="H418" s="15">
        <f>IF($A418="","",MAX($G418,$E418))</f>
        <v/>
      </c>
      <c r="I418" s="15">
        <f>IF($A418="","",IFERROR(SUMIF(tblAnahtarB[NormB],$A418,tblVeriB[TarifTlDesi]),0))</f>
        <v/>
      </c>
      <c r="J418" s="15">
        <f>IF($A418="","",IFERROR(SUMIF(tblAnahtarA[Norm],$A418,tblVeriA[Adet]),1))</f>
        <v/>
      </c>
      <c r="K418" s="15">
        <f>IF($A418="","",ROUND($H418*$I418,2))</f>
        <v/>
      </c>
      <c r="L418" s="15">
        <f>IF($A418="","",ROUND($K418*$J418*(1+$Q418*kdo_iadeEtkiCarpani),2))</f>
        <v/>
      </c>
      <c r="M418" s="15">
        <f>IF($A418="","",IFERROR(SUMIF(tblAnahtarB[NormB],$A418,tblVeriB[AlternatifTarif]),0))</f>
        <v/>
      </c>
      <c r="N418" s="15">
        <f>IF($A418="","",ROUND($H418*$M418*$J418*(1+$Q418*kdo_iadeEtkiCarpani),2))</f>
        <v/>
      </c>
      <c r="O418" s="15">
        <f>IF($A418="","",ROUND($L418-$N418,2))</f>
        <v/>
      </c>
      <c r="P418" s="15">
        <f>IF($A418="","",IF($R418&gt;kdo_esikDesiOran,"DESİ DÜŞÜR",IF($O418&gt;kdo_esikTasarruf,"TAŞIYICI DEĞİŞTİR","UYGUN")))</f>
        <v/>
      </c>
      <c r="Q418" s="15">
        <f>IF($A418="","",IFERROR(SUMIF(tblAnahtarB[NormB],$A418,tblVeriB[IadeOran]),0))</f>
        <v/>
      </c>
      <c r="R418" s="15">
        <f>IF(OR($A418="",$E418=0),0,$G418/$E418)</f>
        <v/>
      </c>
      <c r="S418" s="15">
        <f>IF($A418="","",$G418-$E418)</f>
        <v/>
      </c>
      <c r="T418" s="15">
        <f>IF($A418="","",$L418-$N418)</f>
        <v/>
      </c>
    </row>
    <row r="419">
      <c r="A419" s="15">
        <f>IF('ANAHTAR'!$B419="","",'ANAHTAR'!$B419)</f>
        <v/>
      </c>
      <c r="B419" s="15">
        <f>IF($A419="","",IFERROR(SUMIF(tblAnahtarA[Norm],$A419,tblVeriA[EnCm]),0))</f>
        <v/>
      </c>
      <c r="C419" s="15">
        <f>IF($A419="","",IFERROR(SUMIF(tblAnahtarA[Norm],$A419,tblVeriA[BoyCm]),0))</f>
        <v/>
      </c>
      <c r="D419" s="15">
        <f>IF($A419="","",IFERROR(SUMIF(tblAnahtarA[Norm],$A419,tblVeriA[YukseklikCm]),0))</f>
        <v/>
      </c>
      <c r="E419" s="15">
        <f>IF($A419="","",IFERROR(SUMIF(tblAnahtarA[Norm],$A419,tblVeriA[AgirlikKg]),0))</f>
        <v/>
      </c>
      <c r="F419" s="15">
        <f>IF($A419="","",IFERROR(SUMIF(tblAnahtarA[Norm],$A419,tblVeriA[DesiCarpani]),kdo_varsayilanDesiCarpani))</f>
        <v/>
      </c>
      <c r="G419" s="15">
        <f>IF($A419="","",ROUND($B419*$C419*$D419/MAX($F419,1),2))</f>
        <v/>
      </c>
      <c r="H419" s="15">
        <f>IF($A419="","",MAX($G419,$E419))</f>
        <v/>
      </c>
      <c r="I419" s="15">
        <f>IF($A419="","",IFERROR(SUMIF(tblAnahtarB[NormB],$A419,tblVeriB[TarifTlDesi]),0))</f>
        <v/>
      </c>
      <c r="J419" s="15">
        <f>IF($A419="","",IFERROR(SUMIF(tblAnahtarA[Norm],$A419,tblVeriA[Adet]),1))</f>
        <v/>
      </c>
      <c r="K419" s="15">
        <f>IF($A419="","",ROUND($H419*$I419,2))</f>
        <v/>
      </c>
      <c r="L419" s="15">
        <f>IF($A419="","",ROUND($K419*$J419*(1+$Q419*kdo_iadeEtkiCarpani),2))</f>
        <v/>
      </c>
      <c r="M419" s="15">
        <f>IF($A419="","",IFERROR(SUMIF(tblAnahtarB[NormB],$A419,tblVeriB[AlternatifTarif]),0))</f>
        <v/>
      </c>
      <c r="N419" s="15">
        <f>IF($A419="","",ROUND($H419*$M419*$J419*(1+$Q419*kdo_iadeEtkiCarpani),2))</f>
        <v/>
      </c>
      <c r="O419" s="15">
        <f>IF($A419="","",ROUND($L419-$N419,2))</f>
        <v/>
      </c>
      <c r="P419" s="15">
        <f>IF($A419="","",IF($R419&gt;kdo_esikDesiOran,"DESİ DÜŞÜR",IF($O419&gt;kdo_esikTasarruf,"TAŞIYICI DEĞİŞTİR","UYGUN")))</f>
        <v/>
      </c>
      <c r="Q419" s="15">
        <f>IF($A419="","",IFERROR(SUMIF(tblAnahtarB[NormB],$A419,tblVeriB[IadeOran]),0))</f>
        <v/>
      </c>
      <c r="R419" s="15">
        <f>IF(OR($A419="",$E419=0),0,$G419/$E419)</f>
        <v/>
      </c>
      <c r="S419" s="15">
        <f>IF($A419="","",$G419-$E419)</f>
        <v/>
      </c>
      <c r="T419" s="15">
        <f>IF($A419="","",$L419-$N419)</f>
        <v/>
      </c>
    </row>
    <row r="420">
      <c r="A420" s="15">
        <f>IF('ANAHTAR'!$B420="","",'ANAHTAR'!$B420)</f>
        <v/>
      </c>
      <c r="B420" s="15">
        <f>IF($A420="","",IFERROR(SUMIF(tblAnahtarA[Norm],$A420,tblVeriA[EnCm]),0))</f>
        <v/>
      </c>
      <c r="C420" s="15">
        <f>IF($A420="","",IFERROR(SUMIF(tblAnahtarA[Norm],$A420,tblVeriA[BoyCm]),0))</f>
        <v/>
      </c>
      <c r="D420" s="15">
        <f>IF($A420="","",IFERROR(SUMIF(tblAnahtarA[Norm],$A420,tblVeriA[YukseklikCm]),0))</f>
        <v/>
      </c>
      <c r="E420" s="15">
        <f>IF($A420="","",IFERROR(SUMIF(tblAnahtarA[Norm],$A420,tblVeriA[AgirlikKg]),0))</f>
        <v/>
      </c>
      <c r="F420" s="15">
        <f>IF($A420="","",IFERROR(SUMIF(tblAnahtarA[Norm],$A420,tblVeriA[DesiCarpani]),kdo_varsayilanDesiCarpani))</f>
        <v/>
      </c>
      <c r="G420" s="15">
        <f>IF($A420="","",ROUND($B420*$C420*$D420/MAX($F420,1),2))</f>
        <v/>
      </c>
      <c r="H420" s="15">
        <f>IF($A420="","",MAX($G420,$E420))</f>
        <v/>
      </c>
      <c r="I420" s="15">
        <f>IF($A420="","",IFERROR(SUMIF(tblAnahtarB[NormB],$A420,tblVeriB[TarifTlDesi]),0))</f>
        <v/>
      </c>
      <c r="J420" s="15">
        <f>IF($A420="","",IFERROR(SUMIF(tblAnahtarA[Norm],$A420,tblVeriA[Adet]),1))</f>
        <v/>
      </c>
      <c r="K420" s="15">
        <f>IF($A420="","",ROUND($H420*$I420,2))</f>
        <v/>
      </c>
      <c r="L420" s="15">
        <f>IF($A420="","",ROUND($K420*$J420*(1+$Q420*kdo_iadeEtkiCarpani),2))</f>
        <v/>
      </c>
      <c r="M420" s="15">
        <f>IF($A420="","",IFERROR(SUMIF(tblAnahtarB[NormB],$A420,tblVeriB[AlternatifTarif]),0))</f>
        <v/>
      </c>
      <c r="N420" s="15">
        <f>IF($A420="","",ROUND($H420*$M420*$J420*(1+$Q420*kdo_iadeEtkiCarpani),2))</f>
        <v/>
      </c>
      <c r="O420" s="15">
        <f>IF($A420="","",ROUND($L420-$N420,2))</f>
        <v/>
      </c>
      <c r="P420" s="15">
        <f>IF($A420="","",IF($R420&gt;kdo_esikDesiOran,"DESİ DÜŞÜR",IF($O420&gt;kdo_esikTasarruf,"TAŞIYICI DEĞİŞTİR","UYGUN")))</f>
        <v/>
      </c>
      <c r="Q420" s="15">
        <f>IF($A420="","",IFERROR(SUMIF(tblAnahtarB[NormB],$A420,tblVeriB[IadeOran]),0))</f>
        <v/>
      </c>
      <c r="R420" s="15">
        <f>IF(OR($A420="",$E420=0),0,$G420/$E420)</f>
        <v/>
      </c>
      <c r="S420" s="15">
        <f>IF($A420="","",$G420-$E420)</f>
        <v/>
      </c>
      <c r="T420" s="15">
        <f>IF($A420="","",$L420-$N420)</f>
        <v/>
      </c>
    </row>
    <row r="421">
      <c r="A421" s="15">
        <f>IF('ANAHTAR'!$B421="","",'ANAHTAR'!$B421)</f>
        <v/>
      </c>
      <c r="B421" s="15">
        <f>IF($A421="","",IFERROR(SUMIF(tblAnahtarA[Norm],$A421,tblVeriA[EnCm]),0))</f>
        <v/>
      </c>
      <c r="C421" s="15">
        <f>IF($A421="","",IFERROR(SUMIF(tblAnahtarA[Norm],$A421,tblVeriA[BoyCm]),0))</f>
        <v/>
      </c>
      <c r="D421" s="15">
        <f>IF($A421="","",IFERROR(SUMIF(tblAnahtarA[Norm],$A421,tblVeriA[YukseklikCm]),0))</f>
        <v/>
      </c>
      <c r="E421" s="15">
        <f>IF($A421="","",IFERROR(SUMIF(tblAnahtarA[Norm],$A421,tblVeriA[AgirlikKg]),0))</f>
        <v/>
      </c>
      <c r="F421" s="15">
        <f>IF($A421="","",IFERROR(SUMIF(tblAnahtarA[Norm],$A421,tblVeriA[DesiCarpani]),kdo_varsayilanDesiCarpani))</f>
        <v/>
      </c>
      <c r="G421" s="15">
        <f>IF($A421="","",ROUND($B421*$C421*$D421/MAX($F421,1),2))</f>
        <v/>
      </c>
      <c r="H421" s="15">
        <f>IF($A421="","",MAX($G421,$E421))</f>
        <v/>
      </c>
      <c r="I421" s="15">
        <f>IF($A421="","",IFERROR(SUMIF(tblAnahtarB[NormB],$A421,tblVeriB[TarifTlDesi]),0))</f>
        <v/>
      </c>
      <c r="J421" s="15">
        <f>IF($A421="","",IFERROR(SUMIF(tblAnahtarA[Norm],$A421,tblVeriA[Adet]),1))</f>
        <v/>
      </c>
      <c r="K421" s="15">
        <f>IF($A421="","",ROUND($H421*$I421,2))</f>
        <v/>
      </c>
      <c r="L421" s="15">
        <f>IF($A421="","",ROUND($K421*$J421*(1+$Q421*kdo_iadeEtkiCarpani),2))</f>
        <v/>
      </c>
      <c r="M421" s="15">
        <f>IF($A421="","",IFERROR(SUMIF(tblAnahtarB[NormB],$A421,tblVeriB[AlternatifTarif]),0))</f>
        <v/>
      </c>
      <c r="N421" s="15">
        <f>IF($A421="","",ROUND($H421*$M421*$J421*(1+$Q421*kdo_iadeEtkiCarpani),2))</f>
        <v/>
      </c>
      <c r="O421" s="15">
        <f>IF($A421="","",ROUND($L421-$N421,2))</f>
        <v/>
      </c>
      <c r="P421" s="15">
        <f>IF($A421="","",IF($R421&gt;kdo_esikDesiOran,"DESİ DÜŞÜR",IF($O421&gt;kdo_esikTasarruf,"TAŞIYICI DEĞİŞTİR","UYGUN")))</f>
        <v/>
      </c>
      <c r="Q421" s="15">
        <f>IF($A421="","",IFERROR(SUMIF(tblAnahtarB[NormB],$A421,tblVeriB[IadeOran]),0))</f>
        <v/>
      </c>
      <c r="R421" s="15">
        <f>IF(OR($A421="",$E421=0),0,$G421/$E421)</f>
        <v/>
      </c>
      <c r="S421" s="15">
        <f>IF($A421="","",$G421-$E421)</f>
        <v/>
      </c>
      <c r="T421" s="15">
        <f>IF($A421="","",$L421-$N421)</f>
        <v/>
      </c>
    </row>
    <row r="422">
      <c r="A422" s="15">
        <f>IF('ANAHTAR'!$B422="","",'ANAHTAR'!$B422)</f>
        <v/>
      </c>
      <c r="B422" s="15">
        <f>IF($A422="","",IFERROR(SUMIF(tblAnahtarA[Norm],$A422,tblVeriA[EnCm]),0))</f>
        <v/>
      </c>
      <c r="C422" s="15">
        <f>IF($A422="","",IFERROR(SUMIF(tblAnahtarA[Norm],$A422,tblVeriA[BoyCm]),0))</f>
        <v/>
      </c>
      <c r="D422" s="15">
        <f>IF($A422="","",IFERROR(SUMIF(tblAnahtarA[Norm],$A422,tblVeriA[YukseklikCm]),0))</f>
        <v/>
      </c>
      <c r="E422" s="15">
        <f>IF($A422="","",IFERROR(SUMIF(tblAnahtarA[Norm],$A422,tblVeriA[AgirlikKg]),0))</f>
        <v/>
      </c>
      <c r="F422" s="15">
        <f>IF($A422="","",IFERROR(SUMIF(tblAnahtarA[Norm],$A422,tblVeriA[DesiCarpani]),kdo_varsayilanDesiCarpani))</f>
        <v/>
      </c>
      <c r="G422" s="15">
        <f>IF($A422="","",ROUND($B422*$C422*$D422/MAX($F422,1),2))</f>
        <v/>
      </c>
      <c r="H422" s="15">
        <f>IF($A422="","",MAX($G422,$E422))</f>
        <v/>
      </c>
      <c r="I422" s="15">
        <f>IF($A422="","",IFERROR(SUMIF(tblAnahtarB[NormB],$A422,tblVeriB[TarifTlDesi]),0))</f>
        <v/>
      </c>
      <c r="J422" s="15">
        <f>IF($A422="","",IFERROR(SUMIF(tblAnahtarA[Norm],$A422,tblVeriA[Adet]),1))</f>
        <v/>
      </c>
      <c r="K422" s="15">
        <f>IF($A422="","",ROUND($H422*$I422,2))</f>
        <v/>
      </c>
      <c r="L422" s="15">
        <f>IF($A422="","",ROUND($K422*$J422*(1+$Q422*kdo_iadeEtkiCarpani),2))</f>
        <v/>
      </c>
      <c r="M422" s="15">
        <f>IF($A422="","",IFERROR(SUMIF(tblAnahtarB[NormB],$A422,tblVeriB[AlternatifTarif]),0))</f>
        <v/>
      </c>
      <c r="N422" s="15">
        <f>IF($A422="","",ROUND($H422*$M422*$J422*(1+$Q422*kdo_iadeEtkiCarpani),2))</f>
        <v/>
      </c>
      <c r="O422" s="15">
        <f>IF($A422="","",ROUND($L422-$N422,2))</f>
        <v/>
      </c>
      <c r="P422" s="15">
        <f>IF($A422="","",IF($R422&gt;kdo_esikDesiOran,"DESİ DÜŞÜR",IF($O422&gt;kdo_esikTasarruf,"TAŞIYICI DEĞİŞTİR","UYGUN")))</f>
        <v/>
      </c>
      <c r="Q422" s="15">
        <f>IF($A422="","",IFERROR(SUMIF(tblAnahtarB[NormB],$A422,tblVeriB[IadeOran]),0))</f>
        <v/>
      </c>
      <c r="R422" s="15">
        <f>IF(OR($A422="",$E422=0),0,$G422/$E422)</f>
        <v/>
      </c>
      <c r="S422" s="15">
        <f>IF($A422="","",$G422-$E422)</f>
        <v/>
      </c>
      <c r="T422" s="15">
        <f>IF($A422="","",$L422-$N422)</f>
        <v/>
      </c>
    </row>
    <row r="423">
      <c r="A423" s="15">
        <f>IF('ANAHTAR'!$B423="","",'ANAHTAR'!$B423)</f>
        <v/>
      </c>
      <c r="B423" s="15">
        <f>IF($A423="","",IFERROR(SUMIF(tblAnahtarA[Norm],$A423,tblVeriA[EnCm]),0))</f>
        <v/>
      </c>
      <c r="C423" s="15">
        <f>IF($A423="","",IFERROR(SUMIF(tblAnahtarA[Norm],$A423,tblVeriA[BoyCm]),0))</f>
        <v/>
      </c>
      <c r="D423" s="15">
        <f>IF($A423="","",IFERROR(SUMIF(tblAnahtarA[Norm],$A423,tblVeriA[YukseklikCm]),0))</f>
        <v/>
      </c>
      <c r="E423" s="15">
        <f>IF($A423="","",IFERROR(SUMIF(tblAnahtarA[Norm],$A423,tblVeriA[AgirlikKg]),0))</f>
        <v/>
      </c>
      <c r="F423" s="15">
        <f>IF($A423="","",IFERROR(SUMIF(tblAnahtarA[Norm],$A423,tblVeriA[DesiCarpani]),kdo_varsayilanDesiCarpani))</f>
        <v/>
      </c>
      <c r="G423" s="15">
        <f>IF($A423="","",ROUND($B423*$C423*$D423/MAX($F423,1),2))</f>
        <v/>
      </c>
      <c r="H423" s="15">
        <f>IF($A423="","",MAX($G423,$E423))</f>
        <v/>
      </c>
      <c r="I423" s="15">
        <f>IF($A423="","",IFERROR(SUMIF(tblAnahtarB[NormB],$A423,tblVeriB[TarifTlDesi]),0))</f>
        <v/>
      </c>
      <c r="J423" s="15">
        <f>IF($A423="","",IFERROR(SUMIF(tblAnahtarA[Norm],$A423,tblVeriA[Adet]),1))</f>
        <v/>
      </c>
      <c r="K423" s="15">
        <f>IF($A423="","",ROUND($H423*$I423,2))</f>
        <v/>
      </c>
      <c r="L423" s="15">
        <f>IF($A423="","",ROUND($K423*$J423*(1+$Q423*kdo_iadeEtkiCarpani),2))</f>
        <v/>
      </c>
      <c r="M423" s="15">
        <f>IF($A423="","",IFERROR(SUMIF(tblAnahtarB[NormB],$A423,tblVeriB[AlternatifTarif]),0))</f>
        <v/>
      </c>
      <c r="N423" s="15">
        <f>IF($A423="","",ROUND($H423*$M423*$J423*(1+$Q423*kdo_iadeEtkiCarpani),2))</f>
        <v/>
      </c>
      <c r="O423" s="15">
        <f>IF($A423="","",ROUND($L423-$N423,2))</f>
        <v/>
      </c>
      <c r="P423" s="15">
        <f>IF($A423="","",IF($R423&gt;kdo_esikDesiOran,"DESİ DÜŞÜR",IF($O423&gt;kdo_esikTasarruf,"TAŞIYICI DEĞİŞTİR","UYGUN")))</f>
        <v/>
      </c>
      <c r="Q423" s="15">
        <f>IF($A423="","",IFERROR(SUMIF(tblAnahtarB[NormB],$A423,tblVeriB[IadeOran]),0))</f>
        <v/>
      </c>
      <c r="R423" s="15">
        <f>IF(OR($A423="",$E423=0),0,$G423/$E423)</f>
        <v/>
      </c>
      <c r="S423" s="15">
        <f>IF($A423="","",$G423-$E423)</f>
        <v/>
      </c>
      <c r="T423" s="15">
        <f>IF($A423="","",$L423-$N423)</f>
        <v/>
      </c>
    </row>
    <row r="424">
      <c r="A424" s="15">
        <f>IF('ANAHTAR'!$B424="","",'ANAHTAR'!$B424)</f>
        <v/>
      </c>
      <c r="B424" s="15">
        <f>IF($A424="","",IFERROR(SUMIF(tblAnahtarA[Norm],$A424,tblVeriA[EnCm]),0))</f>
        <v/>
      </c>
      <c r="C424" s="15">
        <f>IF($A424="","",IFERROR(SUMIF(tblAnahtarA[Norm],$A424,tblVeriA[BoyCm]),0))</f>
        <v/>
      </c>
      <c r="D424" s="15">
        <f>IF($A424="","",IFERROR(SUMIF(tblAnahtarA[Norm],$A424,tblVeriA[YukseklikCm]),0))</f>
        <v/>
      </c>
      <c r="E424" s="15">
        <f>IF($A424="","",IFERROR(SUMIF(tblAnahtarA[Norm],$A424,tblVeriA[AgirlikKg]),0))</f>
        <v/>
      </c>
      <c r="F424" s="15">
        <f>IF($A424="","",IFERROR(SUMIF(tblAnahtarA[Norm],$A424,tblVeriA[DesiCarpani]),kdo_varsayilanDesiCarpani))</f>
        <v/>
      </c>
      <c r="G424" s="15">
        <f>IF($A424="","",ROUND($B424*$C424*$D424/MAX($F424,1),2))</f>
        <v/>
      </c>
      <c r="H424" s="15">
        <f>IF($A424="","",MAX($G424,$E424))</f>
        <v/>
      </c>
      <c r="I424" s="15">
        <f>IF($A424="","",IFERROR(SUMIF(tblAnahtarB[NormB],$A424,tblVeriB[TarifTlDesi]),0))</f>
        <v/>
      </c>
      <c r="J424" s="15">
        <f>IF($A424="","",IFERROR(SUMIF(tblAnahtarA[Norm],$A424,tblVeriA[Adet]),1))</f>
        <v/>
      </c>
      <c r="K424" s="15">
        <f>IF($A424="","",ROUND($H424*$I424,2))</f>
        <v/>
      </c>
      <c r="L424" s="15">
        <f>IF($A424="","",ROUND($K424*$J424*(1+$Q424*kdo_iadeEtkiCarpani),2))</f>
        <v/>
      </c>
      <c r="M424" s="15">
        <f>IF($A424="","",IFERROR(SUMIF(tblAnahtarB[NormB],$A424,tblVeriB[AlternatifTarif]),0))</f>
        <v/>
      </c>
      <c r="N424" s="15">
        <f>IF($A424="","",ROUND($H424*$M424*$J424*(1+$Q424*kdo_iadeEtkiCarpani),2))</f>
        <v/>
      </c>
      <c r="O424" s="15">
        <f>IF($A424="","",ROUND($L424-$N424,2))</f>
        <v/>
      </c>
      <c r="P424" s="15">
        <f>IF($A424="","",IF($R424&gt;kdo_esikDesiOran,"DESİ DÜŞÜR",IF($O424&gt;kdo_esikTasarruf,"TAŞIYICI DEĞİŞTİR","UYGUN")))</f>
        <v/>
      </c>
      <c r="Q424" s="15">
        <f>IF($A424="","",IFERROR(SUMIF(tblAnahtarB[NormB],$A424,tblVeriB[IadeOran]),0))</f>
        <v/>
      </c>
      <c r="R424" s="15">
        <f>IF(OR($A424="",$E424=0),0,$G424/$E424)</f>
        <v/>
      </c>
      <c r="S424" s="15">
        <f>IF($A424="","",$G424-$E424)</f>
        <v/>
      </c>
      <c r="T424" s="15">
        <f>IF($A424="","",$L424-$N424)</f>
        <v/>
      </c>
    </row>
    <row r="425">
      <c r="A425" s="15">
        <f>IF('ANAHTAR'!$B425="","",'ANAHTAR'!$B425)</f>
        <v/>
      </c>
      <c r="B425" s="15">
        <f>IF($A425="","",IFERROR(SUMIF(tblAnahtarA[Norm],$A425,tblVeriA[EnCm]),0))</f>
        <v/>
      </c>
      <c r="C425" s="15">
        <f>IF($A425="","",IFERROR(SUMIF(tblAnahtarA[Norm],$A425,tblVeriA[BoyCm]),0))</f>
        <v/>
      </c>
      <c r="D425" s="15">
        <f>IF($A425="","",IFERROR(SUMIF(tblAnahtarA[Norm],$A425,tblVeriA[YukseklikCm]),0))</f>
        <v/>
      </c>
      <c r="E425" s="15">
        <f>IF($A425="","",IFERROR(SUMIF(tblAnahtarA[Norm],$A425,tblVeriA[AgirlikKg]),0))</f>
        <v/>
      </c>
      <c r="F425" s="15">
        <f>IF($A425="","",IFERROR(SUMIF(tblAnahtarA[Norm],$A425,tblVeriA[DesiCarpani]),kdo_varsayilanDesiCarpani))</f>
        <v/>
      </c>
      <c r="G425" s="15">
        <f>IF($A425="","",ROUND($B425*$C425*$D425/MAX($F425,1),2))</f>
        <v/>
      </c>
      <c r="H425" s="15">
        <f>IF($A425="","",MAX($G425,$E425))</f>
        <v/>
      </c>
      <c r="I425" s="15">
        <f>IF($A425="","",IFERROR(SUMIF(tblAnahtarB[NormB],$A425,tblVeriB[TarifTlDesi]),0))</f>
        <v/>
      </c>
      <c r="J425" s="15">
        <f>IF($A425="","",IFERROR(SUMIF(tblAnahtarA[Norm],$A425,tblVeriA[Adet]),1))</f>
        <v/>
      </c>
      <c r="K425" s="15">
        <f>IF($A425="","",ROUND($H425*$I425,2))</f>
        <v/>
      </c>
      <c r="L425" s="15">
        <f>IF($A425="","",ROUND($K425*$J425*(1+$Q425*kdo_iadeEtkiCarpani),2))</f>
        <v/>
      </c>
      <c r="M425" s="15">
        <f>IF($A425="","",IFERROR(SUMIF(tblAnahtarB[NormB],$A425,tblVeriB[AlternatifTarif]),0))</f>
        <v/>
      </c>
      <c r="N425" s="15">
        <f>IF($A425="","",ROUND($H425*$M425*$J425*(1+$Q425*kdo_iadeEtkiCarpani),2))</f>
        <v/>
      </c>
      <c r="O425" s="15">
        <f>IF($A425="","",ROUND($L425-$N425,2))</f>
        <v/>
      </c>
      <c r="P425" s="15">
        <f>IF($A425="","",IF($R425&gt;kdo_esikDesiOran,"DESİ DÜŞÜR",IF($O425&gt;kdo_esikTasarruf,"TAŞIYICI DEĞİŞTİR","UYGUN")))</f>
        <v/>
      </c>
      <c r="Q425" s="15">
        <f>IF($A425="","",IFERROR(SUMIF(tblAnahtarB[NormB],$A425,tblVeriB[IadeOran]),0))</f>
        <v/>
      </c>
      <c r="R425" s="15">
        <f>IF(OR($A425="",$E425=0),0,$G425/$E425)</f>
        <v/>
      </c>
      <c r="S425" s="15">
        <f>IF($A425="","",$G425-$E425)</f>
        <v/>
      </c>
      <c r="T425" s="15">
        <f>IF($A425="","",$L425-$N425)</f>
        <v/>
      </c>
    </row>
    <row r="426">
      <c r="A426" s="15">
        <f>IF('ANAHTAR'!$B426="","",'ANAHTAR'!$B426)</f>
        <v/>
      </c>
      <c r="B426" s="15">
        <f>IF($A426="","",IFERROR(SUMIF(tblAnahtarA[Norm],$A426,tblVeriA[EnCm]),0))</f>
        <v/>
      </c>
      <c r="C426" s="15">
        <f>IF($A426="","",IFERROR(SUMIF(tblAnahtarA[Norm],$A426,tblVeriA[BoyCm]),0))</f>
        <v/>
      </c>
      <c r="D426" s="15">
        <f>IF($A426="","",IFERROR(SUMIF(tblAnahtarA[Norm],$A426,tblVeriA[YukseklikCm]),0))</f>
        <v/>
      </c>
      <c r="E426" s="15">
        <f>IF($A426="","",IFERROR(SUMIF(tblAnahtarA[Norm],$A426,tblVeriA[AgirlikKg]),0))</f>
        <v/>
      </c>
      <c r="F426" s="15">
        <f>IF($A426="","",IFERROR(SUMIF(tblAnahtarA[Norm],$A426,tblVeriA[DesiCarpani]),kdo_varsayilanDesiCarpani))</f>
        <v/>
      </c>
      <c r="G426" s="15">
        <f>IF($A426="","",ROUND($B426*$C426*$D426/MAX($F426,1),2))</f>
        <v/>
      </c>
      <c r="H426" s="15">
        <f>IF($A426="","",MAX($G426,$E426))</f>
        <v/>
      </c>
      <c r="I426" s="15">
        <f>IF($A426="","",IFERROR(SUMIF(tblAnahtarB[NormB],$A426,tblVeriB[TarifTlDesi]),0))</f>
        <v/>
      </c>
      <c r="J426" s="15">
        <f>IF($A426="","",IFERROR(SUMIF(tblAnahtarA[Norm],$A426,tblVeriA[Adet]),1))</f>
        <v/>
      </c>
      <c r="K426" s="15">
        <f>IF($A426="","",ROUND($H426*$I426,2))</f>
        <v/>
      </c>
      <c r="L426" s="15">
        <f>IF($A426="","",ROUND($K426*$J426*(1+$Q426*kdo_iadeEtkiCarpani),2))</f>
        <v/>
      </c>
      <c r="M426" s="15">
        <f>IF($A426="","",IFERROR(SUMIF(tblAnahtarB[NormB],$A426,tblVeriB[AlternatifTarif]),0))</f>
        <v/>
      </c>
      <c r="N426" s="15">
        <f>IF($A426="","",ROUND($H426*$M426*$J426*(1+$Q426*kdo_iadeEtkiCarpani),2))</f>
        <v/>
      </c>
      <c r="O426" s="15">
        <f>IF($A426="","",ROUND($L426-$N426,2))</f>
        <v/>
      </c>
      <c r="P426" s="15">
        <f>IF($A426="","",IF($R426&gt;kdo_esikDesiOran,"DESİ DÜŞÜR",IF($O426&gt;kdo_esikTasarruf,"TAŞIYICI DEĞİŞTİR","UYGUN")))</f>
        <v/>
      </c>
      <c r="Q426" s="15">
        <f>IF($A426="","",IFERROR(SUMIF(tblAnahtarB[NormB],$A426,tblVeriB[IadeOran]),0))</f>
        <v/>
      </c>
      <c r="R426" s="15">
        <f>IF(OR($A426="",$E426=0),0,$G426/$E426)</f>
        <v/>
      </c>
      <c r="S426" s="15">
        <f>IF($A426="","",$G426-$E426)</f>
        <v/>
      </c>
      <c r="T426" s="15">
        <f>IF($A426="","",$L426-$N426)</f>
        <v/>
      </c>
    </row>
    <row r="427">
      <c r="A427" s="15">
        <f>IF('ANAHTAR'!$B427="","",'ANAHTAR'!$B427)</f>
        <v/>
      </c>
      <c r="B427" s="15">
        <f>IF($A427="","",IFERROR(SUMIF(tblAnahtarA[Norm],$A427,tblVeriA[EnCm]),0))</f>
        <v/>
      </c>
      <c r="C427" s="15">
        <f>IF($A427="","",IFERROR(SUMIF(tblAnahtarA[Norm],$A427,tblVeriA[BoyCm]),0))</f>
        <v/>
      </c>
      <c r="D427" s="15">
        <f>IF($A427="","",IFERROR(SUMIF(tblAnahtarA[Norm],$A427,tblVeriA[YukseklikCm]),0))</f>
        <v/>
      </c>
      <c r="E427" s="15">
        <f>IF($A427="","",IFERROR(SUMIF(tblAnahtarA[Norm],$A427,tblVeriA[AgirlikKg]),0))</f>
        <v/>
      </c>
      <c r="F427" s="15">
        <f>IF($A427="","",IFERROR(SUMIF(tblAnahtarA[Norm],$A427,tblVeriA[DesiCarpani]),kdo_varsayilanDesiCarpani))</f>
        <v/>
      </c>
      <c r="G427" s="15">
        <f>IF($A427="","",ROUND($B427*$C427*$D427/MAX($F427,1),2))</f>
        <v/>
      </c>
      <c r="H427" s="15">
        <f>IF($A427="","",MAX($G427,$E427))</f>
        <v/>
      </c>
      <c r="I427" s="15">
        <f>IF($A427="","",IFERROR(SUMIF(tblAnahtarB[NormB],$A427,tblVeriB[TarifTlDesi]),0))</f>
        <v/>
      </c>
      <c r="J427" s="15">
        <f>IF($A427="","",IFERROR(SUMIF(tblAnahtarA[Norm],$A427,tblVeriA[Adet]),1))</f>
        <v/>
      </c>
      <c r="K427" s="15">
        <f>IF($A427="","",ROUND($H427*$I427,2))</f>
        <v/>
      </c>
      <c r="L427" s="15">
        <f>IF($A427="","",ROUND($K427*$J427*(1+$Q427*kdo_iadeEtkiCarpani),2))</f>
        <v/>
      </c>
      <c r="M427" s="15">
        <f>IF($A427="","",IFERROR(SUMIF(tblAnahtarB[NormB],$A427,tblVeriB[AlternatifTarif]),0))</f>
        <v/>
      </c>
      <c r="N427" s="15">
        <f>IF($A427="","",ROUND($H427*$M427*$J427*(1+$Q427*kdo_iadeEtkiCarpani),2))</f>
        <v/>
      </c>
      <c r="O427" s="15">
        <f>IF($A427="","",ROUND($L427-$N427,2))</f>
        <v/>
      </c>
      <c r="P427" s="15">
        <f>IF($A427="","",IF($R427&gt;kdo_esikDesiOran,"DESİ DÜŞÜR",IF($O427&gt;kdo_esikTasarruf,"TAŞIYICI DEĞİŞTİR","UYGUN")))</f>
        <v/>
      </c>
      <c r="Q427" s="15">
        <f>IF($A427="","",IFERROR(SUMIF(tblAnahtarB[NormB],$A427,tblVeriB[IadeOran]),0))</f>
        <v/>
      </c>
      <c r="R427" s="15">
        <f>IF(OR($A427="",$E427=0),0,$G427/$E427)</f>
        <v/>
      </c>
      <c r="S427" s="15">
        <f>IF($A427="","",$G427-$E427)</f>
        <v/>
      </c>
      <c r="T427" s="15">
        <f>IF($A427="","",$L427-$N427)</f>
        <v/>
      </c>
    </row>
    <row r="428">
      <c r="A428" s="15">
        <f>IF('ANAHTAR'!$B428="","",'ANAHTAR'!$B428)</f>
        <v/>
      </c>
      <c r="B428" s="15">
        <f>IF($A428="","",IFERROR(SUMIF(tblAnahtarA[Norm],$A428,tblVeriA[EnCm]),0))</f>
        <v/>
      </c>
      <c r="C428" s="15">
        <f>IF($A428="","",IFERROR(SUMIF(tblAnahtarA[Norm],$A428,tblVeriA[BoyCm]),0))</f>
        <v/>
      </c>
      <c r="D428" s="15">
        <f>IF($A428="","",IFERROR(SUMIF(tblAnahtarA[Norm],$A428,tblVeriA[YukseklikCm]),0))</f>
        <v/>
      </c>
      <c r="E428" s="15">
        <f>IF($A428="","",IFERROR(SUMIF(tblAnahtarA[Norm],$A428,tblVeriA[AgirlikKg]),0))</f>
        <v/>
      </c>
      <c r="F428" s="15">
        <f>IF($A428="","",IFERROR(SUMIF(tblAnahtarA[Norm],$A428,tblVeriA[DesiCarpani]),kdo_varsayilanDesiCarpani))</f>
        <v/>
      </c>
      <c r="G428" s="15">
        <f>IF($A428="","",ROUND($B428*$C428*$D428/MAX($F428,1),2))</f>
        <v/>
      </c>
      <c r="H428" s="15">
        <f>IF($A428="","",MAX($G428,$E428))</f>
        <v/>
      </c>
      <c r="I428" s="15">
        <f>IF($A428="","",IFERROR(SUMIF(tblAnahtarB[NormB],$A428,tblVeriB[TarifTlDesi]),0))</f>
        <v/>
      </c>
      <c r="J428" s="15">
        <f>IF($A428="","",IFERROR(SUMIF(tblAnahtarA[Norm],$A428,tblVeriA[Adet]),1))</f>
        <v/>
      </c>
      <c r="K428" s="15">
        <f>IF($A428="","",ROUND($H428*$I428,2))</f>
        <v/>
      </c>
      <c r="L428" s="15">
        <f>IF($A428="","",ROUND($K428*$J428*(1+$Q428*kdo_iadeEtkiCarpani),2))</f>
        <v/>
      </c>
      <c r="M428" s="15">
        <f>IF($A428="","",IFERROR(SUMIF(tblAnahtarB[NormB],$A428,tblVeriB[AlternatifTarif]),0))</f>
        <v/>
      </c>
      <c r="N428" s="15">
        <f>IF($A428="","",ROUND($H428*$M428*$J428*(1+$Q428*kdo_iadeEtkiCarpani),2))</f>
        <v/>
      </c>
      <c r="O428" s="15">
        <f>IF($A428="","",ROUND($L428-$N428,2))</f>
        <v/>
      </c>
      <c r="P428" s="15">
        <f>IF($A428="","",IF($R428&gt;kdo_esikDesiOran,"DESİ DÜŞÜR",IF($O428&gt;kdo_esikTasarruf,"TAŞIYICI DEĞİŞTİR","UYGUN")))</f>
        <v/>
      </c>
      <c r="Q428" s="15">
        <f>IF($A428="","",IFERROR(SUMIF(tblAnahtarB[NormB],$A428,tblVeriB[IadeOran]),0))</f>
        <v/>
      </c>
      <c r="R428" s="15">
        <f>IF(OR($A428="",$E428=0),0,$G428/$E428)</f>
        <v/>
      </c>
      <c r="S428" s="15">
        <f>IF($A428="","",$G428-$E428)</f>
        <v/>
      </c>
      <c r="T428" s="15">
        <f>IF($A428="","",$L428-$N428)</f>
        <v/>
      </c>
    </row>
    <row r="429">
      <c r="A429" s="15">
        <f>IF('ANAHTAR'!$B429="","",'ANAHTAR'!$B429)</f>
        <v/>
      </c>
      <c r="B429" s="15">
        <f>IF($A429="","",IFERROR(SUMIF(tblAnahtarA[Norm],$A429,tblVeriA[EnCm]),0))</f>
        <v/>
      </c>
      <c r="C429" s="15">
        <f>IF($A429="","",IFERROR(SUMIF(tblAnahtarA[Norm],$A429,tblVeriA[BoyCm]),0))</f>
        <v/>
      </c>
      <c r="D429" s="15">
        <f>IF($A429="","",IFERROR(SUMIF(tblAnahtarA[Norm],$A429,tblVeriA[YukseklikCm]),0))</f>
        <v/>
      </c>
      <c r="E429" s="15">
        <f>IF($A429="","",IFERROR(SUMIF(tblAnahtarA[Norm],$A429,tblVeriA[AgirlikKg]),0))</f>
        <v/>
      </c>
      <c r="F429" s="15">
        <f>IF($A429="","",IFERROR(SUMIF(tblAnahtarA[Norm],$A429,tblVeriA[DesiCarpani]),kdo_varsayilanDesiCarpani))</f>
        <v/>
      </c>
      <c r="G429" s="15">
        <f>IF($A429="","",ROUND($B429*$C429*$D429/MAX($F429,1),2))</f>
        <v/>
      </c>
      <c r="H429" s="15">
        <f>IF($A429="","",MAX($G429,$E429))</f>
        <v/>
      </c>
      <c r="I429" s="15">
        <f>IF($A429="","",IFERROR(SUMIF(tblAnahtarB[NormB],$A429,tblVeriB[TarifTlDesi]),0))</f>
        <v/>
      </c>
      <c r="J429" s="15">
        <f>IF($A429="","",IFERROR(SUMIF(tblAnahtarA[Norm],$A429,tblVeriA[Adet]),1))</f>
        <v/>
      </c>
      <c r="K429" s="15">
        <f>IF($A429="","",ROUND($H429*$I429,2))</f>
        <v/>
      </c>
      <c r="L429" s="15">
        <f>IF($A429="","",ROUND($K429*$J429*(1+$Q429*kdo_iadeEtkiCarpani),2))</f>
        <v/>
      </c>
      <c r="M429" s="15">
        <f>IF($A429="","",IFERROR(SUMIF(tblAnahtarB[NormB],$A429,tblVeriB[AlternatifTarif]),0))</f>
        <v/>
      </c>
      <c r="N429" s="15">
        <f>IF($A429="","",ROUND($H429*$M429*$J429*(1+$Q429*kdo_iadeEtkiCarpani),2))</f>
        <v/>
      </c>
      <c r="O429" s="15">
        <f>IF($A429="","",ROUND($L429-$N429,2))</f>
        <v/>
      </c>
      <c r="P429" s="15">
        <f>IF($A429="","",IF($R429&gt;kdo_esikDesiOran,"DESİ DÜŞÜR",IF($O429&gt;kdo_esikTasarruf,"TAŞIYICI DEĞİŞTİR","UYGUN")))</f>
        <v/>
      </c>
      <c r="Q429" s="15">
        <f>IF($A429="","",IFERROR(SUMIF(tblAnahtarB[NormB],$A429,tblVeriB[IadeOran]),0))</f>
        <v/>
      </c>
      <c r="R429" s="15">
        <f>IF(OR($A429="",$E429=0),0,$G429/$E429)</f>
        <v/>
      </c>
      <c r="S429" s="15">
        <f>IF($A429="","",$G429-$E429)</f>
        <v/>
      </c>
      <c r="T429" s="15">
        <f>IF($A429="","",$L429-$N429)</f>
        <v/>
      </c>
    </row>
    <row r="430">
      <c r="A430" s="15">
        <f>IF('ANAHTAR'!$B430="","",'ANAHTAR'!$B430)</f>
        <v/>
      </c>
      <c r="B430" s="15">
        <f>IF($A430="","",IFERROR(SUMIF(tblAnahtarA[Norm],$A430,tblVeriA[EnCm]),0))</f>
        <v/>
      </c>
      <c r="C430" s="15">
        <f>IF($A430="","",IFERROR(SUMIF(tblAnahtarA[Norm],$A430,tblVeriA[BoyCm]),0))</f>
        <v/>
      </c>
      <c r="D430" s="15">
        <f>IF($A430="","",IFERROR(SUMIF(tblAnahtarA[Norm],$A430,tblVeriA[YukseklikCm]),0))</f>
        <v/>
      </c>
      <c r="E430" s="15">
        <f>IF($A430="","",IFERROR(SUMIF(tblAnahtarA[Norm],$A430,tblVeriA[AgirlikKg]),0))</f>
        <v/>
      </c>
      <c r="F430" s="15">
        <f>IF($A430="","",IFERROR(SUMIF(tblAnahtarA[Norm],$A430,tblVeriA[DesiCarpani]),kdo_varsayilanDesiCarpani))</f>
        <v/>
      </c>
      <c r="G430" s="15">
        <f>IF($A430="","",ROUND($B430*$C430*$D430/MAX($F430,1),2))</f>
        <v/>
      </c>
      <c r="H430" s="15">
        <f>IF($A430="","",MAX($G430,$E430))</f>
        <v/>
      </c>
      <c r="I430" s="15">
        <f>IF($A430="","",IFERROR(SUMIF(tblAnahtarB[NormB],$A430,tblVeriB[TarifTlDesi]),0))</f>
        <v/>
      </c>
      <c r="J430" s="15">
        <f>IF($A430="","",IFERROR(SUMIF(tblAnahtarA[Norm],$A430,tblVeriA[Adet]),1))</f>
        <v/>
      </c>
      <c r="K430" s="15">
        <f>IF($A430="","",ROUND($H430*$I430,2))</f>
        <v/>
      </c>
      <c r="L430" s="15">
        <f>IF($A430="","",ROUND($K430*$J430*(1+$Q430*kdo_iadeEtkiCarpani),2))</f>
        <v/>
      </c>
      <c r="M430" s="15">
        <f>IF($A430="","",IFERROR(SUMIF(tblAnahtarB[NormB],$A430,tblVeriB[AlternatifTarif]),0))</f>
        <v/>
      </c>
      <c r="N430" s="15">
        <f>IF($A430="","",ROUND($H430*$M430*$J430*(1+$Q430*kdo_iadeEtkiCarpani),2))</f>
        <v/>
      </c>
      <c r="O430" s="15">
        <f>IF($A430="","",ROUND($L430-$N430,2))</f>
        <v/>
      </c>
      <c r="P430" s="15">
        <f>IF($A430="","",IF($R430&gt;kdo_esikDesiOran,"DESİ DÜŞÜR",IF($O430&gt;kdo_esikTasarruf,"TAŞIYICI DEĞİŞTİR","UYGUN")))</f>
        <v/>
      </c>
      <c r="Q430" s="15">
        <f>IF($A430="","",IFERROR(SUMIF(tblAnahtarB[NormB],$A430,tblVeriB[IadeOran]),0))</f>
        <v/>
      </c>
      <c r="R430" s="15">
        <f>IF(OR($A430="",$E430=0),0,$G430/$E430)</f>
        <v/>
      </c>
      <c r="S430" s="15">
        <f>IF($A430="","",$G430-$E430)</f>
        <v/>
      </c>
      <c r="T430" s="15">
        <f>IF($A430="","",$L430-$N430)</f>
        <v/>
      </c>
    </row>
    <row r="431">
      <c r="A431" s="15">
        <f>IF('ANAHTAR'!$B431="","",'ANAHTAR'!$B431)</f>
        <v/>
      </c>
      <c r="B431" s="15">
        <f>IF($A431="","",IFERROR(SUMIF(tblAnahtarA[Norm],$A431,tblVeriA[EnCm]),0))</f>
        <v/>
      </c>
      <c r="C431" s="15">
        <f>IF($A431="","",IFERROR(SUMIF(tblAnahtarA[Norm],$A431,tblVeriA[BoyCm]),0))</f>
        <v/>
      </c>
      <c r="D431" s="15">
        <f>IF($A431="","",IFERROR(SUMIF(tblAnahtarA[Norm],$A431,tblVeriA[YukseklikCm]),0))</f>
        <v/>
      </c>
      <c r="E431" s="15">
        <f>IF($A431="","",IFERROR(SUMIF(tblAnahtarA[Norm],$A431,tblVeriA[AgirlikKg]),0))</f>
        <v/>
      </c>
      <c r="F431" s="15">
        <f>IF($A431="","",IFERROR(SUMIF(tblAnahtarA[Norm],$A431,tblVeriA[DesiCarpani]),kdo_varsayilanDesiCarpani))</f>
        <v/>
      </c>
      <c r="G431" s="15">
        <f>IF($A431="","",ROUND($B431*$C431*$D431/MAX($F431,1),2))</f>
        <v/>
      </c>
      <c r="H431" s="15">
        <f>IF($A431="","",MAX($G431,$E431))</f>
        <v/>
      </c>
      <c r="I431" s="15">
        <f>IF($A431="","",IFERROR(SUMIF(tblAnahtarB[NormB],$A431,tblVeriB[TarifTlDesi]),0))</f>
        <v/>
      </c>
      <c r="J431" s="15">
        <f>IF($A431="","",IFERROR(SUMIF(tblAnahtarA[Norm],$A431,tblVeriA[Adet]),1))</f>
        <v/>
      </c>
      <c r="K431" s="15">
        <f>IF($A431="","",ROUND($H431*$I431,2))</f>
        <v/>
      </c>
      <c r="L431" s="15">
        <f>IF($A431="","",ROUND($K431*$J431*(1+$Q431*kdo_iadeEtkiCarpani),2))</f>
        <v/>
      </c>
      <c r="M431" s="15">
        <f>IF($A431="","",IFERROR(SUMIF(tblAnahtarB[NormB],$A431,tblVeriB[AlternatifTarif]),0))</f>
        <v/>
      </c>
      <c r="N431" s="15">
        <f>IF($A431="","",ROUND($H431*$M431*$J431*(1+$Q431*kdo_iadeEtkiCarpani),2))</f>
        <v/>
      </c>
      <c r="O431" s="15">
        <f>IF($A431="","",ROUND($L431-$N431,2))</f>
        <v/>
      </c>
      <c r="P431" s="15">
        <f>IF($A431="","",IF($R431&gt;kdo_esikDesiOran,"DESİ DÜŞÜR",IF($O431&gt;kdo_esikTasarruf,"TAŞIYICI DEĞİŞTİR","UYGUN")))</f>
        <v/>
      </c>
      <c r="Q431" s="15">
        <f>IF($A431="","",IFERROR(SUMIF(tblAnahtarB[NormB],$A431,tblVeriB[IadeOran]),0))</f>
        <v/>
      </c>
      <c r="R431" s="15">
        <f>IF(OR($A431="",$E431=0),0,$G431/$E431)</f>
        <v/>
      </c>
      <c r="S431" s="15">
        <f>IF($A431="","",$G431-$E431)</f>
        <v/>
      </c>
      <c r="T431" s="15">
        <f>IF($A431="","",$L431-$N431)</f>
        <v/>
      </c>
    </row>
    <row r="432">
      <c r="A432" s="15">
        <f>IF('ANAHTAR'!$B432="","",'ANAHTAR'!$B432)</f>
        <v/>
      </c>
      <c r="B432" s="15">
        <f>IF($A432="","",IFERROR(SUMIF(tblAnahtarA[Norm],$A432,tblVeriA[EnCm]),0))</f>
        <v/>
      </c>
      <c r="C432" s="15">
        <f>IF($A432="","",IFERROR(SUMIF(tblAnahtarA[Norm],$A432,tblVeriA[BoyCm]),0))</f>
        <v/>
      </c>
      <c r="D432" s="15">
        <f>IF($A432="","",IFERROR(SUMIF(tblAnahtarA[Norm],$A432,tblVeriA[YukseklikCm]),0))</f>
        <v/>
      </c>
      <c r="E432" s="15">
        <f>IF($A432="","",IFERROR(SUMIF(tblAnahtarA[Norm],$A432,tblVeriA[AgirlikKg]),0))</f>
        <v/>
      </c>
      <c r="F432" s="15">
        <f>IF($A432="","",IFERROR(SUMIF(tblAnahtarA[Norm],$A432,tblVeriA[DesiCarpani]),kdo_varsayilanDesiCarpani))</f>
        <v/>
      </c>
      <c r="G432" s="15">
        <f>IF($A432="","",ROUND($B432*$C432*$D432/MAX($F432,1),2))</f>
        <v/>
      </c>
      <c r="H432" s="15">
        <f>IF($A432="","",MAX($G432,$E432))</f>
        <v/>
      </c>
      <c r="I432" s="15">
        <f>IF($A432="","",IFERROR(SUMIF(tblAnahtarB[NormB],$A432,tblVeriB[TarifTlDesi]),0))</f>
        <v/>
      </c>
      <c r="J432" s="15">
        <f>IF($A432="","",IFERROR(SUMIF(tblAnahtarA[Norm],$A432,tblVeriA[Adet]),1))</f>
        <v/>
      </c>
      <c r="K432" s="15">
        <f>IF($A432="","",ROUND($H432*$I432,2))</f>
        <v/>
      </c>
      <c r="L432" s="15">
        <f>IF($A432="","",ROUND($K432*$J432*(1+$Q432*kdo_iadeEtkiCarpani),2))</f>
        <v/>
      </c>
      <c r="M432" s="15">
        <f>IF($A432="","",IFERROR(SUMIF(tblAnahtarB[NormB],$A432,tblVeriB[AlternatifTarif]),0))</f>
        <v/>
      </c>
      <c r="N432" s="15">
        <f>IF($A432="","",ROUND($H432*$M432*$J432*(1+$Q432*kdo_iadeEtkiCarpani),2))</f>
        <v/>
      </c>
      <c r="O432" s="15">
        <f>IF($A432="","",ROUND($L432-$N432,2))</f>
        <v/>
      </c>
      <c r="P432" s="15">
        <f>IF($A432="","",IF($R432&gt;kdo_esikDesiOran,"DESİ DÜŞÜR",IF($O432&gt;kdo_esikTasarruf,"TAŞIYICI DEĞİŞTİR","UYGUN")))</f>
        <v/>
      </c>
      <c r="Q432" s="15">
        <f>IF($A432="","",IFERROR(SUMIF(tblAnahtarB[NormB],$A432,tblVeriB[IadeOran]),0))</f>
        <v/>
      </c>
      <c r="R432" s="15">
        <f>IF(OR($A432="",$E432=0),0,$G432/$E432)</f>
        <v/>
      </c>
      <c r="S432" s="15">
        <f>IF($A432="","",$G432-$E432)</f>
        <v/>
      </c>
      <c r="T432" s="15">
        <f>IF($A432="","",$L432-$N432)</f>
        <v/>
      </c>
    </row>
    <row r="433">
      <c r="A433" s="15">
        <f>IF('ANAHTAR'!$B433="","",'ANAHTAR'!$B433)</f>
        <v/>
      </c>
      <c r="B433" s="15">
        <f>IF($A433="","",IFERROR(SUMIF(tblAnahtarA[Norm],$A433,tblVeriA[EnCm]),0))</f>
        <v/>
      </c>
      <c r="C433" s="15">
        <f>IF($A433="","",IFERROR(SUMIF(tblAnahtarA[Norm],$A433,tblVeriA[BoyCm]),0))</f>
        <v/>
      </c>
      <c r="D433" s="15">
        <f>IF($A433="","",IFERROR(SUMIF(tblAnahtarA[Norm],$A433,tblVeriA[YukseklikCm]),0))</f>
        <v/>
      </c>
      <c r="E433" s="15">
        <f>IF($A433="","",IFERROR(SUMIF(tblAnahtarA[Norm],$A433,tblVeriA[AgirlikKg]),0))</f>
        <v/>
      </c>
      <c r="F433" s="15">
        <f>IF($A433="","",IFERROR(SUMIF(tblAnahtarA[Norm],$A433,tblVeriA[DesiCarpani]),kdo_varsayilanDesiCarpani))</f>
        <v/>
      </c>
      <c r="G433" s="15">
        <f>IF($A433="","",ROUND($B433*$C433*$D433/MAX($F433,1),2))</f>
        <v/>
      </c>
      <c r="H433" s="15">
        <f>IF($A433="","",MAX($G433,$E433))</f>
        <v/>
      </c>
      <c r="I433" s="15">
        <f>IF($A433="","",IFERROR(SUMIF(tblAnahtarB[NormB],$A433,tblVeriB[TarifTlDesi]),0))</f>
        <v/>
      </c>
      <c r="J433" s="15">
        <f>IF($A433="","",IFERROR(SUMIF(tblAnahtarA[Norm],$A433,tblVeriA[Adet]),1))</f>
        <v/>
      </c>
      <c r="K433" s="15">
        <f>IF($A433="","",ROUND($H433*$I433,2))</f>
        <v/>
      </c>
      <c r="L433" s="15">
        <f>IF($A433="","",ROUND($K433*$J433*(1+$Q433*kdo_iadeEtkiCarpani),2))</f>
        <v/>
      </c>
      <c r="M433" s="15">
        <f>IF($A433="","",IFERROR(SUMIF(tblAnahtarB[NormB],$A433,tblVeriB[AlternatifTarif]),0))</f>
        <v/>
      </c>
      <c r="N433" s="15">
        <f>IF($A433="","",ROUND($H433*$M433*$J433*(1+$Q433*kdo_iadeEtkiCarpani),2))</f>
        <v/>
      </c>
      <c r="O433" s="15">
        <f>IF($A433="","",ROUND($L433-$N433,2))</f>
        <v/>
      </c>
      <c r="P433" s="15">
        <f>IF($A433="","",IF($R433&gt;kdo_esikDesiOran,"DESİ DÜŞÜR",IF($O433&gt;kdo_esikTasarruf,"TAŞIYICI DEĞİŞTİR","UYGUN")))</f>
        <v/>
      </c>
      <c r="Q433" s="15">
        <f>IF($A433="","",IFERROR(SUMIF(tblAnahtarB[NormB],$A433,tblVeriB[IadeOran]),0))</f>
        <v/>
      </c>
      <c r="R433" s="15">
        <f>IF(OR($A433="",$E433=0),0,$G433/$E433)</f>
        <v/>
      </c>
      <c r="S433" s="15">
        <f>IF($A433="","",$G433-$E433)</f>
        <v/>
      </c>
      <c r="T433" s="15">
        <f>IF($A433="","",$L433-$N433)</f>
        <v/>
      </c>
    </row>
    <row r="434">
      <c r="A434" s="15">
        <f>IF('ANAHTAR'!$B434="","",'ANAHTAR'!$B434)</f>
        <v/>
      </c>
      <c r="B434" s="15">
        <f>IF($A434="","",IFERROR(SUMIF(tblAnahtarA[Norm],$A434,tblVeriA[EnCm]),0))</f>
        <v/>
      </c>
      <c r="C434" s="15">
        <f>IF($A434="","",IFERROR(SUMIF(tblAnahtarA[Norm],$A434,tblVeriA[BoyCm]),0))</f>
        <v/>
      </c>
      <c r="D434" s="15">
        <f>IF($A434="","",IFERROR(SUMIF(tblAnahtarA[Norm],$A434,tblVeriA[YukseklikCm]),0))</f>
        <v/>
      </c>
      <c r="E434" s="15">
        <f>IF($A434="","",IFERROR(SUMIF(tblAnahtarA[Norm],$A434,tblVeriA[AgirlikKg]),0))</f>
        <v/>
      </c>
      <c r="F434" s="15">
        <f>IF($A434="","",IFERROR(SUMIF(tblAnahtarA[Norm],$A434,tblVeriA[DesiCarpani]),kdo_varsayilanDesiCarpani))</f>
        <v/>
      </c>
      <c r="G434" s="15">
        <f>IF($A434="","",ROUND($B434*$C434*$D434/MAX($F434,1),2))</f>
        <v/>
      </c>
      <c r="H434" s="15">
        <f>IF($A434="","",MAX($G434,$E434))</f>
        <v/>
      </c>
      <c r="I434" s="15">
        <f>IF($A434="","",IFERROR(SUMIF(tblAnahtarB[NormB],$A434,tblVeriB[TarifTlDesi]),0))</f>
        <v/>
      </c>
      <c r="J434" s="15">
        <f>IF($A434="","",IFERROR(SUMIF(tblAnahtarA[Norm],$A434,tblVeriA[Adet]),1))</f>
        <v/>
      </c>
      <c r="K434" s="15">
        <f>IF($A434="","",ROUND($H434*$I434,2))</f>
        <v/>
      </c>
      <c r="L434" s="15">
        <f>IF($A434="","",ROUND($K434*$J434*(1+$Q434*kdo_iadeEtkiCarpani),2))</f>
        <v/>
      </c>
      <c r="M434" s="15">
        <f>IF($A434="","",IFERROR(SUMIF(tblAnahtarB[NormB],$A434,tblVeriB[AlternatifTarif]),0))</f>
        <v/>
      </c>
      <c r="N434" s="15">
        <f>IF($A434="","",ROUND($H434*$M434*$J434*(1+$Q434*kdo_iadeEtkiCarpani),2))</f>
        <v/>
      </c>
      <c r="O434" s="15">
        <f>IF($A434="","",ROUND($L434-$N434,2))</f>
        <v/>
      </c>
      <c r="P434" s="15">
        <f>IF($A434="","",IF($R434&gt;kdo_esikDesiOran,"DESİ DÜŞÜR",IF($O434&gt;kdo_esikTasarruf,"TAŞIYICI DEĞİŞTİR","UYGUN")))</f>
        <v/>
      </c>
      <c r="Q434" s="15">
        <f>IF($A434="","",IFERROR(SUMIF(tblAnahtarB[NormB],$A434,tblVeriB[IadeOran]),0))</f>
        <v/>
      </c>
      <c r="R434" s="15">
        <f>IF(OR($A434="",$E434=0),0,$G434/$E434)</f>
        <v/>
      </c>
      <c r="S434" s="15">
        <f>IF($A434="","",$G434-$E434)</f>
        <v/>
      </c>
      <c r="T434" s="15">
        <f>IF($A434="","",$L434-$N434)</f>
        <v/>
      </c>
    </row>
    <row r="435">
      <c r="A435" s="15">
        <f>IF('ANAHTAR'!$B435="","",'ANAHTAR'!$B435)</f>
        <v/>
      </c>
      <c r="B435" s="15">
        <f>IF($A435="","",IFERROR(SUMIF(tblAnahtarA[Norm],$A435,tblVeriA[EnCm]),0))</f>
        <v/>
      </c>
      <c r="C435" s="15">
        <f>IF($A435="","",IFERROR(SUMIF(tblAnahtarA[Norm],$A435,tblVeriA[BoyCm]),0))</f>
        <v/>
      </c>
      <c r="D435" s="15">
        <f>IF($A435="","",IFERROR(SUMIF(tblAnahtarA[Norm],$A435,tblVeriA[YukseklikCm]),0))</f>
        <v/>
      </c>
      <c r="E435" s="15">
        <f>IF($A435="","",IFERROR(SUMIF(tblAnahtarA[Norm],$A435,tblVeriA[AgirlikKg]),0))</f>
        <v/>
      </c>
      <c r="F435" s="15">
        <f>IF($A435="","",IFERROR(SUMIF(tblAnahtarA[Norm],$A435,tblVeriA[DesiCarpani]),kdo_varsayilanDesiCarpani))</f>
        <v/>
      </c>
      <c r="G435" s="15">
        <f>IF($A435="","",ROUND($B435*$C435*$D435/MAX($F435,1),2))</f>
        <v/>
      </c>
      <c r="H435" s="15">
        <f>IF($A435="","",MAX($G435,$E435))</f>
        <v/>
      </c>
      <c r="I435" s="15">
        <f>IF($A435="","",IFERROR(SUMIF(tblAnahtarB[NormB],$A435,tblVeriB[TarifTlDesi]),0))</f>
        <v/>
      </c>
      <c r="J435" s="15">
        <f>IF($A435="","",IFERROR(SUMIF(tblAnahtarA[Norm],$A435,tblVeriA[Adet]),1))</f>
        <v/>
      </c>
      <c r="K435" s="15">
        <f>IF($A435="","",ROUND($H435*$I435,2))</f>
        <v/>
      </c>
      <c r="L435" s="15">
        <f>IF($A435="","",ROUND($K435*$J435*(1+$Q435*kdo_iadeEtkiCarpani),2))</f>
        <v/>
      </c>
      <c r="M435" s="15">
        <f>IF($A435="","",IFERROR(SUMIF(tblAnahtarB[NormB],$A435,tblVeriB[AlternatifTarif]),0))</f>
        <v/>
      </c>
      <c r="N435" s="15">
        <f>IF($A435="","",ROUND($H435*$M435*$J435*(1+$Q435*kdo_iadeEtkiCarpani),2))</f>
        <v/>
      </c>
      <c r="O435" s="15">
        <f>IF($A435="","",ROUND($L435-$N435,2))</f>
        <v/>
      </c>
      <c r="P435" s="15">
        <f>IF($A435="","",IF($R435&gt;kdo_esikDesiOran,"DESİ DÜŞÜR",IF($O435&gt;kdo_esikTasarruf,"TAŞIYICI DEĞİŞTİR","UYGUN")))</f>
        <v/>
      </c>
      <c r="Q435" s="15">
        <f>IF($A435="","",IFERROR(SUMIF(tblAnahtarB[NormB],$A435,tblVeriB[IadeOran]),0))</f>
        <v/>
      </c>
      <c r="R435" s="15">
        <f>IF(OR($A435="",$E435=0),0,$G435/$E435)</f>
        <v/>
      </c>
      <c r="S435" s="15">
        <f>IF($A435="","",$G435-$E435)</f>
        <v/>
      </c>
      <c r="T435" s="15">
        <f>IF($A435="","",$L435-$N435)</f>
        <v/>
      </c>
    </row>
    <row r="436">
      <c r="A436" s="15">
        <f>IF('ANAHTAR'!$B436="","",'ANAHTAR'!$B436)</f>
        <v/>
      </c>
      <c r="B436" s="15">
        <f>IF($A436="","",IFERROR(SUMIF(tblAnahtarA[Norm],$A436,tblVeriA[EnCm]),0))</f>
        <v/>
      </c>
      <c r="C436" s="15">
        <f>IF($A436="","",IFERROR(SUMIF(tblAnahtarA[Norm],$A436,tblVeriA[BoyCm]),0))</f>
        <v/>
      </c>
      <c r="D436" s="15">
        <f>IF($A436="","",IFERROR(SUMIF(tblAnahtarA[Norm],$A436,tblVeriA[YukseklikCm]),0))</f>
        <v/>
      </c>
      <c r="E436" s="15">
        <f>IF($A436="","",IFERROR(SUMIF(tblAnahtarA[Norm],$A436,tblVeriA[AgirlikKg]),0))</f>
        <v/>
      </c>
      <c r="F436" s="15">
        <f>IF($A436="","",IFERROR(SUMIF(tblAnahtarA[Norm],$A436,tblVeriA[DesiCarpani]),kdo_varsayilanDesiCarpani))</f>
        <v/>
      </c>
      <c r="G436" s="15">
        <f>IF($A436="","",ROUND($B436*$C436*$D436/MAX($F436,1),2))</f>
        <v/>
      </c>
      <c r="H436" s="15">
        <f>IF($A436="","",MAX($G436,$E436))</f>
        <v/>
      </c>
      <c r="I436" s="15">
        <f>IF($A436="","",IFERROR(SUMIF(tblAnahtarB[NormB],$A436,tblVeriB[TarifTlDesi]),0))</f>
        <v/>
      </c>
      <c r="J436" s="15">
        <f>IF($A436="","",IFERROR(SUMIF(tblAnahtarA[Norm],$A436,tblVeriA[Adet]),1))</f>
        <v/>
      </c>
      <c r="K436" s="15">
        <f>IF($A436="","",ROUND($H436*$I436,2))</f>
        <v/>
      </c>
      <c r="L436" s="15">
        <f>IF($A436="","",ROUND($K436*$J436*(1+$Q436*kdo_iadeEtkiCarpani),2))</f>
        <v/>
      </c>
      <c r="M436" s="15">
        <f>IF($A436="","",IFERROR(SUMIF(tblAnahtarB[NormB],$A436,tblVeriB[AlternatifTarif]),0))</f>
        <v/>
      </c>
      <c r="N436" s="15">
        <f>IF($A436="","",ROUND($H436*$M436*$J436*(1+$Q436*kdo_iadeEtkiCarpani),2))</f>
        <v/>
      </c>
      <c r="O436" s="15">
        <f>IF($A436="","",ROUND($L436-$N436,2))</f>
        <v/>
      </c>
      <c r="P436" s="15">
        <f>IF($A436="","",IF($R436&gt;kdo_esikDesiOran,"DESİ DÜŞÜR",IF($O436&gt;kdo_esikTasarruf,"TAŞIYICI DEĞİŞTİR","UYGUN")))</f>
        <v/>
      </c>
      <c r="Q436" s="15">
        <f>IF($A436="","",IFERROR(SUMIF(tblAnahtarB[NormB],$A436,tblVeriB[IadeOran]),0))</f>
        <v/>
      </c>
      <c r="R436" s="15">
        <f>IF(OR($A436="",$E436=0),0,$G436/$E436)</f>
        <v/>
      </c>
      <c r="S436" s="15">
        <f>IF($A436="","",$G436-$E436)</f>
        <v/>
      </c>
      <c r="T436" s="15">
        <f>IF($A436="","",$L436-$N436)</f>
        <v/>
      </c>
    </row>
    <row r="437">
      <c r="A437" s="15">
        <f>IF('ANAHTAR'!$B437="","",'ANAHTAR'!$B437)</f>
        <v/>
      </c>
      <c r="B437" s="15">
        <f>IF($A437="","",IFERROR(SUMIF(tblAnahtarA[Norm],$A437,tblVeriA[EnCm]),0))</f>
        <v/>
      </c>
      <c r="C437" s="15">
        <f>IF($A437="","",IFERROR(SUMIF(tblAnahtarA[Norm],$A437,tblVeriA[BoyCm]),0))</f>
        <v/>
      </c>
      <c r="D437" s="15">
        <f>IF($A437="","",IFERROR(SUMIF(tblAnahtarA[Norm],$A437,tblVeriA[YukseklikCm]),0))</f>
        <v/>
      </c>
      <c r="E437" s="15">
        <f>IF($A437="","",IFERROR(SUMIF(tblAnahtarA[Norm],$A437,tblVeriA[AgirlikKg]),0))</f>
        <v/>
      </c>
      <c r="F437" s="15">
        <f>IF($A437="","",IFERROR(SUMIF(tblAnahtarA[Norm],$A437,tblVeriA[DesiCarpani]),kdo_varsayilanDesiCarpani))</f>
        <v/>
      </c>
      <c r="G437" s="15">
        <f>IF($A437="","",ROUND($B437*$C437*$D437/MAX($F437,1),2))</f>
        <v/>
      </c>
      <c r="H437" s="15">
        <f>IF($A437="","",MAX($G437,$E437))</f>
        <v/>
      </c>
      <c r="I437" s="15">
        <f>IF($A437="","",IFERROR(SUMIF(tblAnahtarB[NormB],$A437,tblVeriB[TarifTlDesi]),0))</f>
        <v/>
      </c>
      <c r="J437" s="15">
        <f>IF($A437="","",IFERROR(SUMIF(tblAnahtarA[Norm],$A437,tblVeriA[Adet]),1))</f>
        <v/>
      </c>
      <c r="K437" s="15">
        <f>IF($A437="","",ROUND($H437*$I437,2))</f>
        <v/>
      </c>
      <c r="L437" s="15">
        <f>IF($A437="","",ROUND($K437*$J437*(1+$Q437*kdo_iadeEtkiCarpani),2))</f>
        <v/>
      </c>
      <c r="M437" s="15">
        <f>IF($A437="","",IFERROR(SUMIF(tblAnahtarB[NormB],$A437,tblVeriB[AlternatifTarif]),0))</f>
        <v/>
      </c>
      <c r="N437" s="15">
        <f>IF($A437="","",ROUND($H437*$M437*$J437*(1+$Q437*kdo_iadeEtkiCarpani),2))</f>
        <v/>
      </c>
      <c r="O437" s="15">
        <f>IF($A437="","",ROUND($L437-$N437,2))</f>
        <v/>
      </c>
      <c r="P437" s="15">
        <f>IF($A437="","",IF($R437&gt;kdo_esikDesiOran,"DESİ DÜŞÜR",IF($O437&gt;kdo_esikTasarruf,"TAŞIYICI DEĞİŞTİR","UYGUN")))</f>
        <v/>
      </c>
      <c r="Q437" s="15">
        <f>IF($A437="","",IFERROR(SUMIF(tblAnahtarB[NormB],$A437,tblVeriB[IadeOran]),0))</f>
        <v/>
      </c>
      <c r="R437" s="15">
        <f>IF(OR($A437="",$E437=0),0,$G437/$E437)</f>
        <v/>
      </c>
      <c r="S437" s="15">
        <f>IF($A437="","",$G437-$E437)</f>
        <v/>
      </c>
      <c r="T437" s="15">
        <f>IF($A437="","",$L437-$N437)</f>
        <v/>
      </c>
    </row>
    <row r="438">
      <c r="A438" s="15">
        <f>IF('ANAHTAR'!$B438="","",'ANAHTAR'!$B438)</f>
        <v/>
      </c>
      <c r="B438" s="15">
        <f>IF($A438="","",IFERROR(SUMIF(tblAnahtarA[Norm],$A438,tblVeriA[EnCm]),0))</f>
        <v/>
      </c>
      <c r="C438" s="15">
        <f>IF($A438="","",IFERROR(SUMIF(tblAnahtarA[Norm],$A438,tblVeriA[BoyCm]),0))</f>
        <v/>
      </c>
      <c r="D438" s="15">
        <f>IF($A438="","",IFERROR(SUMIF(tblAnahtarA[Norm],$A438,tblVeriA[YukseklikCm]),0))</f>
        <v/>
      </c>
      <c r="E438" s="15">
        <f>IF($A438="","",IFERROR(SUMIF(tblAnahtarA[Norm],$A438,tblVeriA[AgirlikKg]),0))</f>
        <v/>
      </c>
      <c r="F438" s="15">
        <f>IF($A438="","",IFERROR(SUMIF(tblAnahtarA[Norm],$A438,tblVeriA[DesiCarpani]),kdo_varsayilanDesiCarpani))</f>
        <v/>
      </c>
      <c r="G438" s="15">
        <f>IF($A438="","",ROUND($B438*$C438*$D438/MAX($F438,1),2))</f>
        <v/>
      </c>
      <c r="H438" s="15">
        <f>IF($A438="","",MAX($G438,$E438))</f>
        <v/>
      </c>
      <c r="I438" s="15">
        <f>IF($A438="","",IFERROR(SUMIF(tblAnahtarB[NormB],$A438,tblVeriB[TarifTlDesi]),0))</f>
        <v/>
      </c>
      <c r="J438" s="15">
        <f>IF($A438="","",IFERROR(SUMIF(tblAnahtarA[Norm],$A438,tblVeriA[Adet]),1))</f>
        <v/>
      </c>
      <c r="K438" s="15">
        <f>IF($A438="","",ROUND($H438*$I438,2))</f>
        <v/>
      </c>
      <c r="L438" s="15">
        <f>IF($A438="","",ROUND($K438*$J438*(1+$Q438*kdo_iadeEtkiCarpani),2))</f>
        <v/>
      </c>
      <c r="M438" s="15">
        <f>IF($A438="","",IFERROR(SUMIF(tblAnahtarB[NormB],$A438,tblVeriB[AlternatifTarif]),0))</f>
        <v/>
      </c>
      <c r="N438" s="15">
        <f>IF($A438="","",ROUND($H438*$M438*$J438*(1+$Q438*kdo_iadeEtkiCarpani),2))</f>
        <v/>
      </c>
      <c r="O438" s="15">
        <f>IF($A438="","",ROUND($L438-$N438,2))</f>
        <v/>
      </c>
      <c r="P438" s="15">
        <f>IF($A438="","",IF($R438&gt;kdo_esikDesiOran,"DESİ DÜŞÜR",IF($O438&gt;kdo_esikTasarruf,"TAŞIYICI DEĞİŞTİR","UYGUN")))</f>
        <v/>
      </c>
      <c r="Q438" s="15">
        <f>IF($A438="","",IFERROR(SUMIF(tblAnahtarB[NormB],$A438,tblVeriB[IadeOran]),0))</f>
        <v/>
      </c>
      <c r="R438" s="15">
        <f>IF(OR($A438="",$E438=0),0,$G438/$E438)</f>
        <v/>
      </c>
      <c r="S438" s="15">
        <f>IF($A438="","",$G438-$E438)</f>
        <v/>
      </c>
      <c r="T438" s="15">
        <f>IF($A438="","",$L438-$N438)</f>
        <v/>
      </c>
    </row>
    <row r="439">
      <c r="A439" s="15">
        <f>IF('ANAHTAR'!$B439="","",'ANAHTAR'!$B439)</f>
        <v/>
      </c>
      <c r="B439" s="15">
        <f>IF($A439="","",IFERROR(SUMIF(tblAnahtarA[Norm],$A439,tblVeriA[EnCm]),0))</f>
        <v/>
      </c>
      <c r="C439" s="15">
        <f>IF($A439="","",IFERROR(SUMIF(tblAnahtarA[Norm],$A439,tblVeriA[BoyCm]),0))</f>
        <v/>
      </c>
      <c r="D439" s="15">
        <f>IF($A439="","",IFERROR(SUMIF(tblAnahtarA[Norm],$A439,tblVeriA[YukseklikCm]),0))</f>
        <v/>
      </c>
      <c r="E439" s="15">
        <f>IF($A439="","",IFERROR(SUMIF(tblAnahtarA[Norm],$A439,tblVeriA[AgirlikKg]),0))</f>
        <v/>
      </c>
      <c r="F439" s="15">
        <f>IF($A439="","",IFERROR(SUMIF(tblAnahtarA[Norm],$A439,tblVeriA[DesiCarpani]),kdo_varsayilanDesiCarpani))</f>
        <v/>
      </c>
      <c r="G439" s="15">
        <f>IF($A439="","",ROUND($B439*$C439*$D439/MAX($F439,1),2))</f>
        <v/>
      </c>
      <c r="H439" s="15">
        <f>IF($A439="","",MAX($G439,$E439))</f>
        <v/>
      </c>
      <c r="I439" s="15">
        <f>IF($A439="","",IFERROR(SUMIF(tblAnahtarB[NormB],$A439,tblVeriB[TarifTlDesi]),0))</f>
        <v/>
      </c>
      <c r="J439" s="15">
        <f>IF($A439="","",IFERROR(SUMIF(tblAnahtarA[Norm],$A439,tblVeriA[Adet]),1))</f>
        <v/>
      </c>
      <c r="K439" s="15">
        <f>IF($A439="","",ROUND($H439*$I439,2))</f>
        <v/>
      </c>
      <c r="L439" s="15">
        <f>IF($A439="","",ROUND($K439*$J439*(1+$Q439*kdo_iadeEtkiCarpani),2))</f>
        <v/>
      </c>
      <c r="M439" s="15">
        <f>IF($A439="","",IFERROR(SUMIF(tblAnahtarB[NormB],$A439,tblVeriB[AlternatifTarif]),0))</f>
        <v/>
      </c>
      <c r="N439" s="15">
        <f>IF($A439="","",ROUND($H439*$M439*$J439*(1+$Q439*kdo_iadeEtkiCarpani),2))</f>
        <v/>
      </c>
      <c r="O439" s="15">
        <f>IF($A439="","",ROUND($L439-$N439,2))</f>
        <v/>
      </c>
      <c r="P439" s="15">
        <f>IF($A439="","",IF($R439&gt;kdo_esikDesiOran,"DESİ DÜŞÜR",IF($O439&gt;kdo_esikTasarruf,"TAŞIYICI DEĞİŞTİR","UYGUN")))</f>
        <v/>
      </c>
      <c r="Q439" s="15">
        <f>IF($A439="","",IFERROR(SUMIF(tblAnahtarB[NormB],$A439,tblVeriB[IadeOran]),0))</f>
        <v/>
      </c>
      <c r="R439" s="15">
        <f>IF(OR($A439="",$E439=0),0,$G439/$E439)</f>
        <v/>
      </c>
      <c r="S439" s="15">
        <f>IF($A439="","",$G439-$E439)</f>
        <v/>
      </c>
      <c r="T439" s="15">
        <f>IF($A439="","",$L439-$N439)</f>
        <v/>
      </c>
    </row>
    <row r="440">
      <c r="A440" s="15">
        <f>IF('ANAHTAR'!$B440="","",'ANAHTAR'!$B440)</f>
        <v/>
      </c>
      <c r="B440" s="15">
        <f>IF($A440="","",IFERROR(SUMIF(tblAnahtarA[Norm],$A440,tblVeriA[EnCm]),0))</f>
        <v/>
      </c>
      <c r="C440" s="15">
        <f>IF($A440="","",IFERROR(SUMIF(tblAnahtarA[Norm],$A440,tblVeriA[BoyCm]),0))</f>
        <v/>
      </c>
      <c r="D440" s="15">
        <f>IF($A440="","",IFERROR(SUMIF(tblAnahtarA[Norm],$A440,tblVeriA[YukseklikCm]),0))</f>
        <v/>
      </c>
      <c r="E440" s="15">
        <f>IF($A440="","",IFERROR(SUMIF(tblAnahtarA[Norm],$A440,tblVeriA[AgirlikKg]),0))</f>
        <v/>
      </c>
      <c r="F440" s="15">
        <f>IF($A440="","",IFERROR(SUMIF(tblAnahtarA[Norm],$A440,tblVeriA[DesiCarpani]),kdo_varsayilanDesiCarpani))</f>
        <v/>
      </c>
      <c r="G440" s="15">
        <f>IF($A440="","",ROUND($B440*$C440*$D440/MAX($F440,1),2))</f>
        <v/>
      </c>
      <c r="H440" s="15">
        <f>IF($A440="","",MAX($G440,$E440))</f>
        <v/>
      </c>
      <c r="I440" s="15">
        <f>IF($A440="","",IFERROR(SUMIF(tblAnahtarB[NormB],$A440,tblVeriB[TarifTlDesi]),0))</f>
        <v/>
      </c>
      <c r="J440" s="15">
        <f>IF($A440="","",IFERROR(SUMIF(tblAnahtarA[Norm],$A440,tblVeriA[Adet]),1))</f>
        <v/>
      </c>
      <c r="K440" s="15">
        <f>IF($A440="","",ROUND($H440*$I440,2))</f>
        <v/>
      </c>
      <c r="L440" s="15">
        <f>IF($A440="","",ROUND($K440*$J440*(1+$Q440*kdo_iadeEtkiCarpani),2))</f>
        <v/>
      </c>
      <c r="M440" s="15">
        <f>IF($A440="","",IFERROR(SUMIF(tblAnahtarB[NormB],$A440,tblVeriB[AlternatifTarif]),0))</f>
        <v/>
      </c>
      <c r="N440" s="15">
        <f>IF($A440="","",ROUND($H440*$M440*$J440*(1+$Q440*kdo_iadeEtkiCarpani),2))</f>
        <v/>
      </c>
      <c r="O440" s="15">
        <f>IF($A440="","",ROUND($L440-$N440,2))</f>
        <v/>
      </c>
      <c r="P440" s="15">
        <f>IF($A440="","",IF($R440&gt;kdo_esikDesiOran,"DESİ DÜŞÜR",IF($O440&gt;kdo_esikTasarruf,"TAŞIYICI DEĞİŞTİR","UYGUN")))</f>
        <v/>
      </c>
      <c r="Q440" s="15">
        <f>IF($A440="","",IFERROR(SUMIF(tblAnahtarB[NormB],$A440,tblVeriB[IadeOran]),0))</f>
        <v/>
      </c>
      <c r="R440" s="15">
        <f>IF(OR($A440="",$E440=0),0,$G440/$E440)</f>
        <v/>
      </c>
      <c r="S440" s="15">
        <f>IF($A440="","",$G440-$E440)</f>
        <v/>
      </c>
      <c r="T440" s="15">
        <f>IF($A440="","",$L440-$N440)</f>
        <v/>
      </c>
    </row>
    <row r="441">
      <c r="A441" s="15">
        <f>IF('ANAHTAR'!$B441="","",'ANAHTAR'!$B441)</f>
        <v/>
      </c>
      <c r="B441" s="15">
        <f>IF($A441="","",IFERROR(SUMIF(tblAnahtarA[Norm],$A441,tblVeriA[EnCm]),0))</f>
        <v/>
      </c>
      <c r="C441" s="15">
        <f>IF($A441="","",IFERROR(SUMIF(tblAnahtarA[Norm],$A441,tblVeriA[BoyCm]),0))</f>
        <v/>
      </c>
      <c r="D441" s="15">
        <f>IF($A441="","",IFERROR(SUMIF(tblAnahtarA[Norm],$A441,tblVeriA[YukseklikCm]),0))</f>
        <v/>
      </c>
      <c r="E441" s="15">
        <f>IF($A441="","",IFERROR(SUMIF(tblAnahtarA[Norm],$A441,tblVeriA[AgirlikKg]),0))</f>
        <v/>
      </c>
      <c r="F441" s="15">
        <f>IF($A441="","",IFERROR(SUMIF(tblAnahtarA[Norm],$A441,tblVeriA[DesiCarpani]),kdo_varsayilanDesiCarpani))</f>
        <v/>
      </c>
      <c r="G441" s="15">
        <f>IF($A441="","",ROUND($B441*$C441*$D441/MAX($F441,1),2))</f>
        <v/>
      </c>
      <c r="H441" s="15">
        <f>IF($A441="","",MAX($G441,$E441))</f>
        <v/>
      </c>
      <c r="I441" s="15">
        <f>IF($A441="","",IFERROR(SUMIF(tblAnahtarB[NormB],$A441,tblVeriB[TarifTlDesi]),0))</f>
        <v/>
      </c>
      <c r="J441" s="15">
        <f>IF($A441="","",IFERROR(SUMIF(tblAnahtarA[Norm],$A441,tblVeriA[Adet]),1))</f>
        <v/>
      </c>
      <c r="K441" s="15">
        <f>IF($A441="","",ROUND($H441*$I441,2))</f>
        <v/>
      </c>
      <c r="L441" s="15">
        <f>IF($A441="","",ROUND($K441*$J441*(1+$Q441*kdo_iadeEtkiCarpani),2))</f>
        <v/>
      </c>
      <c r="M441" s="15">
        <f>IF($A441="","",IFERROR(SUMIF(tblAnahtarB[NormB],$A441,tblVeriB[AlternatifTarif]),0))</f>
        <v/>
      </c>
      <c r="N441" s="15">
        <f>IF($A441="","",ROUND($H441*$M441*$J441*(1+$Q441*kdo_iadeEtkiCarpani),2))</f>
        <v/>
      </c>
      <c r="O441" s="15">
        <f>IF($A441="","",ROUND($L441-$N441,2))</f>
        <v/>
      </c>
      <c r="P441" s="15">
        <f>IF($A441="","",IF($R441&gt;kdo_esikDesiOran,"DESİ DÜŞÜR",IF($O441&gt;kdo_esikTasarruf,"TAŞIYICI DEĞİŞTİR","UYGUN")))</f>
        <v/>
      </c>
      <c r="Q441" s="15">
        <f>IF($A441="","",IFERROR(SUMIF(tblAnahtarB[NormB],$A441,tblVeriB[IadeOran]),0))</f>
        <v/>
      </c>
      <c r="R441" s="15">
        <f>IF(OR($A441="",$E441=0),0,$G441/$E441)</f>
        <v/>
      </c>
      <c r="S441" s="15">
        <f>IF($A441="","",$G441-$E441)</f>
        <v/>
      </c>
      <c r="T441" s="15">
        <f>IF($A441="","",$L441-$N441)</f>
        <v/>
      </c>
    </row>
    <row r="442">
      <c r="A442" s="15">
        <f>IF('ANAHTAR'!$B442="","",'ANAHTAR'!$B442)</f>
        <v/>
      </c>
      <c r="B442" s="15">
        <f>IF($A442="","",IFERROR(SUMIF(tblAnahtarA[Norm],$A442,tblVeriA[EnCm]),0))</f>
        <v/>
      </c>
      <c r="C442" s="15">
        <f>IF($A442="","",IFERROR(SUMIF(tblAnahtarA[Norm],$A442,tblVeriA[BoyCm]),0))</f>
        <v/>
      </c>
      <c r="D442" s="15">
        <f>IF($A442="","",IFERROR(SUMIF(tblAnahtarA[Norm],$A442,tblVeriA[YukseklikCm]),0))</f>
        <v/>
      </c>
      <c r="E442" s="15">
        <f>IF($A442="","",IFERROR(SUMIF(tblAnahtarA[Norm],$A442,tblVeriA[AgirlikKg]),0))</f>
        <v/>
      </c>
      <c r="F442" s="15">
        <f>IF($A442="","",IFERROR(SUMIF(tblAnahtarA[Norm],$A442,tblVeriA[DesiCarpani]),kdo_varsayilanDesiCarpani))</f>
        <v/>
      </c>
      <c r="G442" s="15">
        <f>IF($A442="","",ROUND($B442*$C442*$D442/MAX($F442,1),2))</f>
        <v/>
      </c>
      <c r="H442" s="15">
        <f>IF($A442="","",MAX($G442,$E442))</f>
        <v/>
      </c>
      <c r="I442" s="15">
        <f>IF($A442="","",IFERROR(SUMIF(tblAnahtarB[NormB],$A442,tblVeriB[TarifTlDesi]),0))</f>
        <v/>
      </c>
      <c r="J442" s="15">
        <f>IF($A442="","",IFERROR(SUMIF(tblAnahtarA[Norm],$A442,tblVeriA[Adet]),1))</f>
        <v/>
      </c>
      <c r="K442" s="15">
        <f>IF($A442="","",ROUND($H442*$I442,2))</f>
        <v/>
      </c>
      <c r="L442" s="15">
        <f>IF($A442="","",ROUND($K442*$J442*(1+$Q442*kdo_iadeEtkiCarpani),2))</f>
        <v/>
      </c>
      <c r="M442" s="15">
        <f>IF($A442="","",IFERROR(SUMIF(tblAnahtarB[NormB],$A442,tblVeriB[AlternatifTarif]),0))</f>
        <v/>
      </c>
      <c r="N442" s="15">
        <f>IF($A442="","",ROUND($H442*$M442*$J442*(1+$Q442*kdo_iadeEtkiCarpani),2))</f>
        <v/>
      </c>
      <c r="O442" s="15">
        <f>IF($A442="","",ROUND($L442-$N442,2))</f>
        <v/>
      </c>
      <c r="P442" s="15">
        <f>IF($A442="","",IF($R442&gt;kdo_esikDesiOran,"DESİ DÜŞÜR",IF($O442&gt;kdo_esikTasarruf,"TAŞIYICI DEĞİŞTİR","UYGUN")))</f>
        <v/>
      </c>
      <c r="Q442" s="15">
        <f>IF($A442="","",IFERROR(SUMIF(tblAnahtarB[NormB],$A442,tblVeriB[IadeOran]),0))</f>
        <v/>
      </c>
      <c r="R442" s="15">
        <f>IF(OR($A442="",$E442=0),0,$G442/$E442)</f>
        <v/>
      </c>
      <c r="S442" s="15">
        <f>IF($A442="","",$G442-$E442)</f>
        <v/>
      </c>
      <c r="T442" s="15">
        <f>IF($A442="","",$L442-$N442)</f>
        <v/>
      </c>
    </row>
    <row r="443">
      <c r="A443" s="15">
        <f>IF('ANAHTAR'!$B443="","",'ANAHTAR'!$B443)</f>
        <v/>
      </c>
      <c r="B443" s="15">
        <f>IF($A443="","",IFERROR(SUMIF(tblAnahtarA[Norm],$A443,tblVeriA[EnCm]),0))</f>
        <v/>
      </c>
      <c r="C443" s="15">
        <f>IF($A443="","",IFERROR(SUMIF(tblAnahtarA[Norm],$A443,tblVeriA[BoyCm]),0))</f>
        <v/>
      </c>
      <c r="D443" s="15">
        <f>IF($A443="","",IFERROR(SUMIF(tblAnahtarA[Norm],$A443,tblVeriA[YukseklikCm]),0))</f>
        <v/>
      </c>
      <c r="E443" s="15">
        <f>IF($A443="","",IFERROR(SUMIF(tblAnahtarA[Norm],$A443,tblVeriA[AgirlikKg]),0))</f>
        <v/>
      </c>
      <c r="F443" s="15">
        <f>IF($A443="","",IFERROR(SUMIF(tblAnahtarA[Norm],$A443,tblVeriA[DesiCarpani]),kdo_varsayilanDesiCarpani))</f>
        <v/>
      </c>
      <c r="G443" s="15">
        <f>IF($A443="","",ROUND($B443*$C443*$D443/MAX($F443,1),2))</f>
        <v/>
      </c>
      <c r="H443" s="15">
        <f>IF($A443="","",MAX($G443,$E443))</f>
        <v/>
      </c>
      <c r="I443" s="15">
        <f>IF($A443="","",IFERROR(SUMIF(tblAnahtarB[NormB],$A443,tblVeriB[TarifTlDesi]),0))</f>
        <v/>
      </c>
      <c r="J443" s="15">
        <f>IF($A443="","",IFERROR(SUMIF(tblAnahtarA[Norm],$A443,tblVeriA[Adet]),1))</f>
        <v/>
      </c>
      <c r="K443" s="15">
        <f>IF($A443="","",ROUND($H443*$I443,2))</f>
        <v/>
      </c>
      <c r="L443" s="15">
        <f>IF($A443="","",ROUND($K443*$J443*(1+$Q443*kdo_iadeEtkiCarpani),2))</f>
        <v/>
      </c>
      <c r="M443" s="15">
        <f>IF($A443="","",IFERROR(SUMIF(tblAnahtarB[NormB],$A443,tblVeriB[AlternatifTarif]),0))</f>
        <v/>
      </c>
      <c r="N443" s="15">
        <f>IF($A443="","",ROUND($H443*$M443*$J443*(1+$Q443*kdo_iadeEtkiCarpani),2))</f>
        <v/>
      </c>
      <c r="O443" s="15">
        <f>IF($A443="","",ROUND($L443-$N443,2))</f>
        <v/>
      </c>
      <c r="P443" s="15">
        <f>IF($A443="","",IF($R443&gt;kdo_esikDesiOran,"DESİ DÜŞÜR",IF($O443&gt;kdo_esikTasarruf,"TAŞIYICI DEĞİŞTİR","UYGUN")))</f>
        <v/>
      </c>
      <c r="Q443" s="15">
        <f>IF($A443="","",IFERROR(SUMIF(tblAnahtarB[NormB],$A443,tblVeriB[IadeOran]),0))</f>
        <v/>
      </c>
      <c r="R443" s="15">
        <f>IF(OR($A443="",$E443=0),0,$G443/$E443)</f>
        <v/>
      </c>
      <c r="S443" s="15">
        <f>IF($A443="","",$G443-$E443)</f>
        <v/>
      </c>
      <c r="T443" s="15">
        <f>IF($A443="","",$L443-$N443)</f>
        <v/>
      </c>
    </row>
    <row r="444">
      <c r="A444" s="15">
        <f>IF('ANAHTAR'!$B444="","",'ANAHTAR'!$B444)</f>
        <v/>
      </c>
      <c r="B444" s="15">
        <f>IF($A444="","",IFERROR(SUMIF(tblAnahtarA[Norm],$A444,tblVeriA[EnCm]),0))</f>
        <v/>
      </c>
      <c r="C444" s="15">
        <f>IF($A444="","",IFERROR(SUMIF(tblAnahtarA[Norm],$A444,tblVeriA[BoyCm]),0))</f>
        <v/>
      </c>
      <c r="D444" s="15">
        <f>IF($A444="","",IFERROR(SUMIF(tblAnahtarA[Norm],$A444,tblVeriA[YukseklikCm]),0))</f>
        <v/>
      </c>
      <c r="E444" s="15">
        <f>IF($A444="","",IFERROR(SUMIF(tblAnahtarA[Norm],$A444,tblVeriA[AgirlikKg]),0))</f>
        <v/>
      </c>
      <c r="F444" s="15">
        <f>IF($A444="","",IFERROR(SUMIF(tblAnahtarA[Norm],$A444,tblVeriA[DesiCarpani]),kdo_varsayilanDesiCarpani))</f>
        <v/>
      </c>
      <c r="G444" s="15">
        <f>IF($A444="","",ROUND($B444*$C444*$D444/MAX($F444,1),2))</f>
        <v/>
      </c>
      <c r="H444" s="15">
        <f>IF($A444="","",MAX($G444,$E444))</f>
        <v/>
      </c>
      <c r="I444" s="15">
        <f>IF($A444="","",IFERROR(SUMIF(tblAnahtarB[NormB],$A444,tblVeriB[TarifTlDesi]),0))</f>
        <v/>
      </c>
      <c r="J444" s="15">
        <f>IF($A444="","",IFERROR(SUMIF(tblAnahtarA[Norm],$A444,tblVeriA[Adet]),1))</f>
        <v/>
      </c>
      <c r="K444" s="15">
        <f>IF($A444="","",ROUND($H444*$I444,2))</f>
        <v/>
      </c>
      <c r="L444" s="15">
        <f>IF($A444="","",ROUND($K444*$J444*(1+$Q444*kdo_iadeEtkiCarpani),2))</f>
        <v/>
      </c>
      <c r="M444" s="15">
        <f>IF($A444="","",IFERROR(SUMIF(tblAnahtarB[NormB],$A444,tblVeriB[AlternatifTarif]),0))</f>
        <v/>
      </c>
      <c r="N444" s="15">
        <f>IF($A444="","",ROUND($H444*$M444*$J444*(1+$Q444*kdo_iadeEtkiCarpani),2))</f>
        <v/>
      </c>
      <c r="O444" s="15">
        <f>IF($A444="","",ROUND($L444-$N444,2))</f>
        <v/>
      </c>
      <c r="P444" s="15">
        <f>IF($A444="","",IF($R444&gt;kdo_esikDesiOran,"DESİ DÜŞÜR",IF($O444&gt;kdo_esikTasarruf,"TAŞIYICI DEĞİŞTİR","UYGUN")))</f>
        <v/>
      </c>
      <c r="Q444" s="15">
        <f>IF($A444="","",IFERROR(SUMIF(tblAnahtarB[NormB],$A444,tblVeriB[IadeOran]),0))</f>
        <v/>
      </c>
      <c r="R444" s="15">
        <f>IF(OR($A444="",$E444=0),0,$G444/$E444)</f>
        <v/>
      </c>
      <c r="S444" s="15">
        <f>IF($A444="","",$G444-$E444)</f>
        <v/>
      </c>
      <c r="T444" s="15">
        <f>IF($A444="","",$L444-$N444)</f>
        <v/>
      </c>
    </row>
    <row r="445">
      <c r="A445" s="15">
        <f>IF('ANAHTAR'!$B445="","",'ANAHTAR'!$B445)</f>
        <v/>
      </c>
      <c r="B445" s="15">
        <f>IF($A445="","",IFERROR(SUMIF(tblAnahtarA[Norm],$A445,tblVeriA[EnCm]),0))</f>
        <v/>
      </c>
      <c r="C445" s="15">
        <f>IF($A445="","",IFERROR(SUMIF(tblAnahtarA[Norm],$A445,tblVeriA[BoyCm]),0))</f>
        <v/>
      </c>
      <c r="D445" s="15">
        <f>IF($A445="","",IFERROR(SUMIF(tblAnahtarA[Norm],$A445,tblVeriA[YukseklikCm]),0))</f>
        <v/>
      </c>
      <c r="E445" s="15">
        <f>IF($A445="","",IFERROR(SUMIF(tblAnahtarA[Norm],$A445,tblVeriA[AgirlikKg]),0))</f>
        <v/>
      </c>
      <c r="F445" s="15">
        <f>IF($A445="","",IFERROR(SUMIF(tblAnahtarA[Norm],$A445,tblVeriA[DesiCarpani]),kdo_varsayilanDesiCarpani))</f>
        <v/>
      </c>
      <c r="G445" s="15">
        <f>IF($A445="","",ROUND($B445*$C445*$D445/MAX($F445,1),2))</f>
        <v/>
      </c>
      <c r="H445" s="15">
        <f>IF($A445="","",MAX($G445,$E445))</f>
        <v/>
      </c>
      <c r="I445" s="15">
        <f>IF($A445="","",IFERROR(SUMIF(tblAnahtarB[NormB],$A445,tblVeriB[TarifTlDesi]),0))</f>
        <v/>
      </c>
      <c r="J445" s="15">
        <f>IF($A445="","",IFERROR(SUMIF(tblAnahtarA[Norm],$A445,tblVeriA[Adet]),1))</f>
        <v/>
      </c>
      <c r="K445" s="15">
        <f>IF($A445="","",ROUND($H445*$I445,2))</f>
        <v/>
      </c>
      <c r="L445" s="15">
        <f>IF($A445="","",ROUND($K445*$J445*(1+$Q445*kdo_iadeEtkiCarpani),2))</f>
        <v/>
      </c>
      <c r="M445" s="15">
        <f>IF($A445="","",IFERROR(SUMIF(tblAnahtarB[NormB],$A445,tblVeriB[AlternatifTarif]),0))</f>
        <v/>
      </c>
      <c r="N445" s="15">
        <f>IF($A445="","",ROUND($H445*$M445*$J445*(1+$Q445*kdo_iadeEtkiCarpani),2))</f>
        <v/>
      </c>
      <c r="O445" s="15">
        <f>IF($A445="","",ROUND($L445-$N445,2))</f>
        <v/>
      </c>
      <c r="P445" s="15">
        <f>IF($A445="","",IF($R445&gt;kdo_esikDesiOran,"DESİ DÜŞÜR",IF($O445&gt;kdo_esikTasarruf,"TAŞIYICI DEĞİŞTİR","UYGUN")))</f>
        <v/>
      </c>
      <c r="Q445" s="15">
        <f>IF($A445="","",IFERROR(SUMIF(tblAnahtarB[NormB],$A445,tblVeriB[IadeOran]),0))</f>
        <v/>
      </c>
      <c r="R445" s="15">
        <f>IF(OR($A445="",$E445=0),0,$G445/$E445)</f>
        <v/>
      </c>
      <c r="S445" s="15">
        <f>IF($A445="","",$G445-$E445)</f>
        <v/>
      </c>
      <c r="T445" s="15">
        <f>IF($A445="","",$L445-$N445)</f>
        <v/>
      </c>
    </row>
    <row r="446">
      <c r="A446" s="15">
        <f>IF('ANAHTAR'!$B446="","",'ANAHTAR'!$B446)</f>
        <v/>
      </c>
      <c r="B446" s="15">
        <f>IF($A446="","",IFERROR(SUMIF(tblAnahtarA[Norm],$A446,tblVeriA[EnCm]),0))</f>
        <v/>
      </c>
      <c r="C446" s="15">
        <f>IF($A446="","",IFERROR(SUMIF(tblAnahtarA[Norm],$A446,tblVeriA[BoyCm]),0))</f>
        <v/>
      </c>
      <c r="D446" s="15">
        <f>IF($A446="","",IFERROR(SUMIF(tblAnahtarA[Norm],$A446,tblVeriA[YukseklikCm]),0))</f>
        <v/>
      </c>
      <c r="E446" s="15">
        <f>IF($A446="","",IFERROR(SUMIF(tblAnahtarA[Norm],$A446,tblVeriA[AgirlikKg]),0))</f>
        <v/>
      </c>
      <c r="F446" s="15">
        <f>IF($A446="","",IFERROR(SUMIF(tblAnahtarA[Norm],$A446,tblVeriA[DesiCarpani]),kdo_varsayilanDesiCarpani))</f>
        <v/>
      </c>
      <c r="G446" s="15">
        <f>IF($A446="","",ROUND($B446*$C446*$D446/MAX($F446,1),2))</f>
        <v/>
      </c>
      <c r="H446" s="15">
        <f>IF($A446="","",MAX($G446,$E446))</f>
        <v/>
      </c>
      <c r="I446" s="15">
        <f>IF($A446="","",IFERROR(SUMIF(tblAnahtarB[NormB],$A446,tblVeriB[TarifTlDesi]),0))</f>
        <v/>
      </c>
      <c r="J446" s="15">
        <f>IF($A446="","",IFERROR(SUMIF(tblAnahtarA[Norm],$A446,tblVeriA[Adet]),1))</f>
        <v/>
      </c>
      <c r="K446" s="15">
        <f>IF($A446="","",ROUND($H446*$I446,2))</f>
        <v/>
      </c>
      <c r="L446" s="15">
        <f>IF($A446="","",ROUND($K446*$J446*(1+$Q446*kdo_iadeEtkiCarpani),2))</f>
        <v/>
      </c>
      <c r="M446" s="15">
        <f>IF($A446="","",IFERROR(SUMIF(tblAnahtarB[NormB],$A446,tblVeriB[AlternatifTarif]),0))</f>
        <v/>
      </c>
      <c r="N446" s="15">
        <f>IF($A446="","",ROUND($H446*$M446*$J446*(1+$Q446*kdo_iadeEtkiCarpani),2))</f>
        <v/>
      </c>
      <c r="O446" s="15">
        <f>IF($A446="","",ROUND($L446-$N446,2))</f>
        <v/>
      </c>
      <c r="P446" s="15">
        <f>IF($A446="","",IF($R446&gt;kdo_esikDesiOran,"DESİ DÜŞÜR",IF($O446&gt;kdo_esikTasarruf,"TAŞIYICI DEĞİŞTİR","UYGUN")))</f>
        <v/>
      </c>
      <c r="Q446" s="15">
        <f>IF($A446="","",IFERROR(SUMIF(tblAnahtarB[NormB],$A446,tblVeriB[IadeOran]),0))</f>
        <v/>
      </c>
      <c r="R446" s="15">
        <f>IF(OR($A446="",$E446=0),0,$G446/$E446)</f>
        <v/>
      </c>
      <c r="S446" s="15">
        <f>IF($A446="","",$G446-$E446)</f>
        <v/>
      </c>
      <c r="T446" s="15">
        <f>IF($A446="","",$L446-$N446)</f>
        <v/>
      </c>
    </row>
    <row r="447">
      <c r="A447" s="15">
        <f>IF('ANAHTAR'!$B447="","",'ANAHTAR'!$B447)</f>
        <v/>
      </c>
      <c r="B447" s="15">
        <f>IF($A447="","",IFERROR(SUMIF(tblAnahtarA[Norm],$A447,tblVeriA[EnCm]),0))</f>
        <v/>
      </c>
      <c r="C447" s="15">
        <f>IF($A447="","",IFERROR(SUMIF(tblAnahtarA[Norm],$A447,tblVeriA[BoyCm]),0))</f>
        <v/>
      </c>
      <c r="D447" s="15">
        <f>IF($A447="","",IFERROR(SUMIF(tblAnahtarA[Norm],$A447,tblVeriA[YukseklikCm]),0))</f>
        <v/>
      </c>
      <c r="E447" s="15">
        <f>IF($A447="","",IFERROR(SUMIF(tblAnahtarA[Norm],$A447,tblVeriA[AgirlikKg]),0))</f>
        <v/>
      </c>
      <c r="F447" s="15">
        <f>IF($A447="","",IFERROR(SUMIF(tblAnahtarA[Norm],$A447,tblVeriA[DesiCarpani]),kdo_varsayilanDesiCarpani))</f>
        <v/>
      </c>
      <c r="G447" s="15">
        <f>IF($A447="","",ROUND($B447*$C447*$D447/MAX($F447,1),2))</f>
        <v/>
      </c>
      <c r="H447" s="15">
        <f>IF($A447="","",MAX($G447,$E447))</f>
        <v/>
      </c>
      <c r="I447" s="15">
        <f>IF($A447="","",IFERROR(SUMIF(tblAnahtarB[NormB],$A447,tblVeriB[TarifTlDesi]),0))</f>
        <v/>
      </c>
      <c r="J447" s="15">
        <f>IF($A447="","",IFERROR(SUMIF(tblAnahtarA[Norm],$A447,tblVeriA[Adet]),1))</f>
        <v/>
      </c>
      <c r="K447" s="15">
        <f>IF($A447="","",ROUND($H447*$I447,2))</f>
        <v/>
      </c>
      <c r="L447" s="15">
        <f>IF($A447="","",ROUND($K447*$J447*(1+$Q447*kdo_iadeEtkiCarpani),2))</f>
        <v/>
      </c>
      <c r="M447" s="15">
        <f>IF($A447="","",IFERROR(SUMIF(tblAnahtarB[NormB],$A447,tblVeriB[AlternatifTarif]),0))</f>
        <v/>
      </c>
      <c r="N447" s="15">
        <f>IF($A447="","",ROUND($H447*$M447*$J447*(1+$Q447*kdo_iadeEtkiCarpani),2))</f>
        <v/>
      </c>
      <c r="O447" s="15">
        <f>IF($A447="","",ROUND($L447-$N447,2))</f>
        <v/>
      </c>
      <c r="P447" s="15">
        <f>IF($A447="","",IF($R447&gt;kdo_esikDesiOran,"DESİ DÜŞÜR",IF($O447&gt;kdo_esikTasarruf,"TAŞIYICI DEĞİŞTİR","UYGUN")))</f>
        <v/>
      </c>
      <c r="Q447" s="15">
        <f>IF($A447="","",IFERROR(SUMIF(tblAnahtarB[NormB],$A447,tblVeriB[IadeOran]),0))</f>
        <v/>
      </c>
      <c r="R447" s="15">
        <f>IF(OR($A447="",$E447=0),0,$G447/$E447)</f>
        <v/>
      </c>
      <c r="S447" s="15">
        <f>IF($A447="","",$G447-$E447)</f>
        <v/>
      </c>
      <c r="T447" s="15">
        <f>IF($A447="","",$L447-$N447)</f>
        <v/>
      </c>
    </row>
    <row r="448">
      <c r="A448" s="15">
        <f>IF('ANAHTAR'!$B448="","",'ANAHTAR'!$B448)</f>
        <v/>
      </c>
      <c r="B448" s="15">
        <f>IF($A448="","",IFERROR(SUMIF(tblAnahtarA[Norm],$A448,tblVeriA[EnCm]),0))</f>
        <v/>
      </c>
      <c r="C448" s="15">
        <f>IF($A448="","",IFERROR(SUMIF(tblAnahtarA[Norm],$A448,tblVeriA[BoyCm]),0))</f>
        <v/>
      </c>
      <c r="D448" s="15">
        <f>IF($A448="","",IFERROR(SUMIF(tblAnahtarA[Norm],$A448,tblVeriA[YukseklikCm]),0))</f>
        <v/>
      </c>
      <c r="E448" s="15">
        <f>IF($A448="","",IFERROR(SUMIF(tblAnahtarA[Norm],$A448,tblVeriA[AgirlikKg]),0))</f>
        <v/>
      </c>
      <c r="F448" s="15">
        <f>IF($A448="","",IFERROR(SUMIF(tblAnahtarA[Norm],$A448,tblVeriA[DesiCarpani]),kdo_varsayilanDesiCarpani))</f>
        <v/>
      </c>
      <c r="G448" s="15">
        <f>IF($A448="","",ROUND($B448*$C448*$D448/MAX($F448,1),2))</f>
        <v/>
      </c>
      <c r="H448" s="15">
        <f>IF($A448="","",MAX($G448,$E448))</f>
        <v/>
      </c>
      <c r="I448" s="15">
        <f>IF($A448="","",IFERROR(SUMIF(tblAnahtarB[NormB],$A448,tblVeriB[TarifTlDesi]),0))</f>
        <v/>
      </c>
      <c r="J448" s="15">
        <f>IF($A448="","",IFERROR(SUMIF(tblAnahtarA[Norm],$A448,tblVeriA[Adet]),1))</f>
        <v/>
      </c>
      <c r="K448" s="15">
        <f>IF($A448="","",ROUND($H448*$I448,2))</f>
        <v/>
      </c>
      <c r="L448" s="15">
        <f>IF($A448="","",ROUND($K448*$J448*(1+$Q448*kdo_iadeEtkiCarpani),2))</f>
        <v/>
      </c>
      <c r="M448" s="15">
        <f>IF($A448="","",IFERROR(SUMIF(tblAnahtarB[NormB],$A448,tblVeriB[AlternatifTarif]),0))</f>
        <v/>
      </c>
      <c r="N448" s="15">
        <f>IF($A448="","",ROUND($H448*$M448*$J448*(1+$Q448*kdo_iadeEtkiCarpani),2))</f>
        <v/>
      </c>
      <c r="O448" s="15">
        <f>IF($A448="","",ROUND($L448-$N448,2))</f>
        <v/>
      </c>
      <c r="P448" s="15">
        <f>IF($A448="","",IF($R448&gt;kdo_esikDesiOran,"DESİ DÜŞÜR",IF($O448&gt;kdo_esikTasarruf,"TAŞIYICI DEĞİŞTİR","UYGUN")))</f>
        <v/>
      </c>
      <c r="Q448" s="15">
        <f>IF($A448="","",IFERROR(SUMIF(tblAnahtarB[NormB],$A448,tblVeriB[IadeOran]),0))</f>
        <v/>
      </c>
      <c r="R448" s="15">
        <f>IF(OR($A448="",$E448=0),0,$G448/$E448)</f>
        <v/>
      </c>
      <c r="S448" s="15">
        <f>IF($A448="","",$G448-$E448)</f>
        <v/>
      </c>
      <c r="T448" s="15">
        <f>IF($A448="","",$L448-$N448)</f>
        <v/>
      </c>
    </row>
    <row r="449">
      <c r="A449" s="15">
        <f>IF('ANAHTAR'!$B449="","",'ANAHTAR'!$B449)</f>
        <v/>
      </c>
      <c r="B449" s="15">
        <f>IF($A449="","",IFERROR(SUMIF(tblAnahtarA[Norm],$A449,tblVeriA[EnCm]),0))</f>
        <v/>
      </c>
      <c r="C449" s="15">
        <f>IF($A449="","",IFERROR(SUMIF(tblAnahtarA[Norm],$A449,tblVeriA[BoyCm]),0))</f>
        <v/>
      </c>
      <c r="D449" s="15">
        <f>IF($A449="","",IFERROR(SUMIF(tblAnahtarA[Norm],$A449,tblVeriA[YukseklikCm]),0))</f>
        <v/>
      </c>
      <c r="E449" s="15">
        <f>IF($A449="","",IFERROR(SUMIF(tblAnahtarA[Norm],$A449,tblVeriA[AgirlikKg]),0))</f>
        <v/>
      </c>
      <c r="F449" s="15">
        <f>IF($A449="","",IFERROR(SUMIF(tblAnahtarA[Norm],$A449,tblVeriA[DesiCarpani]),kdo_varsayilanDesiCarpani))</f>
        <v/>
      </c>
      <c r="G449" s="15">
        <f>IF($A449="","",ROUND($B449*$C449*$D449/MAX($F449,1),2))</f>
        <v/>
      </c>
      <c r="H449" s="15">
        <f>IF($A449="","",MAX($G449,$E449))</f>
        <v/>
      </c>
      <c r="I449" s="15">
        <f>IF($A449="","",IFERROR(SUMIF(tblAnahtarB[NormB],$A449,tblVeriB[TarifTlDesi]),0))</f>
        <v/>
      </c>
      <c r="J449" s="15">
        <f>IF($A449="","",IFERROR(SUMIF(tblAnahtarA[Norm],$A449,tblVeriA[Adet]),1))</f>
        <v/>
      </c>
      <c r="K449" s="15">
        <f>IF($A449="","",ROUND($H449*$I449,2))</f>
        <v/>
      </c>
      <c r="L449" s="15">
        <f>IF($A449="","",ROUND($K449*$J449*(1+$Q449*kdo_iadeEtkiCarpani),2))</f>
        <v/>
      </c>
      <c r="M449" s="15">
        <f>IF($A449="","",IFERROR(SUMIF(tblAnahtarB[NormB],$A449,tblVeriB[AlternatifTarif]),0))</f>
        <v/>
      </c>
      <c r="N449" s="15">
        <f>IF($A449="","",ROUND($H449*$M449*$J449*(1+$Q449*kdo_iadeEtkiCarpani),2))</f>
        <v/>
      </c>
      <c r="O449" s="15">
        <f>IF($A449="","",ROUND($L449-$N449,2))</f>
        <v/>
      </c>
      <c r="P449" s="15">
        <f>IF($A449="","",IF($R449&gt;kdo_esikDesiOran,"DESİ DÜŞÜR",IF($O449&gt;kdo_esikTasarruf,"TAŞIYICI DEĞİŞTİR","UYGUN")))</f>
        <v/>
      </c>
      <c r="Q449" s="15">
        <f>IF($A449="","",IFERROR(SUMIF(tblAnahtarB[NormB],$A449,tblVeriB[IadeOran]),0))</f>
        <v/>
      </c>
      <c r="R449" s="15">
        <f>IF(OR($A449="",$E449=0),0,$G449/$E449)</f>
        <v/>
      </c>
      <c r="S449" s="15">
        <f>IF($A449="","",$G449-$E449)</f>
        <v/>
      </c>
      <c r="T449" s="15">
        <f>IF($A449="","",$L449-$N449)</f>
        <v/>
      </c>
    </row>
    <row r="450">
      <c r="A450" s="15">
        <f>IF('ANAHTAR'!$B450="","",'ANAHTAR'!$B450)</f>
        <v/>
      </c>
      <c r="B450" s="15">
        <f>IF($A450="","",IFERROR(SUMIF(tblAnahtarA[Norm],$A450,tblVeriA[EnCm]),0))</f>
        <v/>
      </c>
      <c r="C450" s="15">
        <f>IF($A450="","",IFERROR(SUMIF(tblAnahtarA[Norm],$A450,tblVeriA[BoyCm]),0))</f>
        <v/>
      </c>
      <c r="D450" s="15">
        <f>IF($A450="","",IFERROR(SUMIF(tblAnahtarA[Norm],$A450,tblVeriA[YukseklikCm]),0))</f>
        <v/>
      </c>
      <c r="E450" s="15">
        <f>IF($A450="","",IFERROR(SUMIF(tblAnahtarA[Norm],$A450,tblVeriA[AgirlikKg]),0))</f>
        <v/>
      </c>
      <c r="F450" s="15">
        <f>IF($A450="","",IFERROR(SUMIF(tblAnahtarA[Norm],$A450,tblVeriA[DesiCarpani]),kdo_varsayilanDesiCarpani))</f>
        <v/>
      </c>
      <c r="G450" s="15">
        <f>IF($A450="","",ROUND($B450*$C450*$D450/MAX($F450,1),2))</f>
        <v/>
      </c>
      <c r="H450" s="15">
        <f>IF($A450="","",MAX($G450,$E450))</f>
        <v/>
      </c>
      <c r="I450" s="15">
        <f>IF($A450="","",IFERROR(SUMIF(tblAnahtarB[NormB],$A450,tblVeriB[TarifTlDesi]),0))</f>
        <v/>
      </c>
      <c r="J450" s="15">
        <f>IF($A450="","",IFERROR(SUMIF(tblAnahtarA[Norm],$A450,tblVeriA[Adet]),1))</f>
        <v/>
      </c>
      <c r="K450" s="15">
        <f>IF($A450="","",ROUND($H450*$I450,2))</f>
        <v/>
      </c>
      <c r="L450" s="15">
        <f>IF($A450="","",ROUND($K450*$J450*(1+$Q450*kdo_iadeEtkiCarpani),2))</f>
        <v/>
      </c>
      <c r="M450" s="15">
        <f>IF($A450="","",IFERROR(SUMIF(tblAnahtarB[NormB],$A450,tblVeriB[AlternatifTarif]),0))</f>
        <v/>
      </c>
      <c r="N450" s="15">
        <f>IF($A450="","",ROUND($H450*$M450*$J450*(1+$Q450*kdo_iadeEtkiCarpani),2))</f>
        <v/>
      </c>
      <c r="O450" s="15">
        <f>IF($A450="","",ROUND($L450-$N450,2))</f>
        <v/>
      </c>
      <c r="P450" s="15">
        <f>IF($A450="","",IF($R450&gt;kdo_esikDesiOran,"DESİ DÜŞÜR",IF($O450&gt;kdo_esikTasarruf,"TAŞIYICI DEĞİŞTİR","UYGUN")))</f>
        <v/>
      </c>
      <c r="Q450" s="15">
        <f>IF($A450="","",IFERROR(SUMIF(tblAnahtarB[NormB],$A450,tblVeriB[IadeOran]),0))</f>
        <v/>
      </c>
      <c r="R450" s="15">
        <f>IF(OR($A450="",$E450=0),0,$G450/$E450)</f>
        <v/>
      </c>
      <c r="S450" s="15">
        <f>IF($A450="","",$G450-$E450)</f>
        <v/>
      </c>
      <c r="T450" s="15">
        <f>IF($A450="","",$L450-$N450)</f>
        <v/>
      </c>
    </row>
    <row r="451">
      <c r="A451" s="15">
        <f>IF('ANAHTAR'!$B451="","",'ANAHTAR'!$B451)</f>
        <v/>
      </c>
      <c r="B451" s="15">
        <f>IF($A451="","",IFERROR(SUMIF(tblAnahtarA[Norm],$A451,tblVeriA[EnCm]),0))</f>
        <v/>
      </c>
      <c r="C451" s="15">
        <f>IF($A451="","",IFERROR(SUMIF(tblAnahtarA[Norm],$A451,tblVeriA[BoyCm]),0))</f>
        <v/>
      </c>
      <c r="D451" s="15">
        <f>IF($A451="","",IFERROR(SUMIF(tblAnahtarA[Norm],$A451,tblVeriA[YukseklikCm]),0))</f>
        <v/>
      </c>
      <c r="E451" s="15">
        <f>IF($A451="","",IFERROR(SUMIF(tblAnahtarA[Norm],$A451,tblVeriA[AgirlikKg]),0))</f>
        <v/>
      </c>
      <c r="F451" s="15">
        <f>IF($A451="","",IFERROR(SUMIF(tblAnahtarA[Norm],$A451,tblVeriA[DesiCarpani]),kdo_varsayilanDesiCarpani))</f>
        <v/>
      </c>
      <c r="G451" s="15">
        <f>IF($A451="","",ROUND($B451*$C451*$D451/MAX($F451,1),2))</f>
        <v/>
      </c>
      <c r="H451" s="15">
        <f>IF($A451="","",MAX($G451,$E451))</f>
        <v/>
      </c>
      <c r="I451" s="15">
        <f>IF($A451="","",IFERROR(SUMIF(tblAnahtarB[NormB],$A451,tblVeriB[TarifTlDesi]),0))</f>
        <v/>
      </c>
      <c r="J451" s="15">
        <f>IF($A451="","",IFERROR(SUMIF(tblAnahtarA[Norm],$A451,tblVeriA[Adet]),1))</f>
        <v/>
      </c>
      <c r="K451" s="15">
        <f>IF($A451="","",ROUND($H451*$I451,2))</f>
        <v/>
      </c>
      <c r="L451" s="15">
        <f>IF($A451="","",ROUND($K451*$J451*(1+$Q451*kdo_iadeEtkiCarpani),2))</f>
        <v/>
      </c>
      <c r="M451" s="15">
        <f>IF($A451="","",IFERROR(SUMIF(tblAnahtarB[NormB],$A451,tblVeriB[AlternatifTarif]),0))</f>
        <v/>
      </c>
      <c r="N451" s="15">
        <f>IF($A451="","",ROUND($H451*$M451*$J451*(1+$Q451*kdo_iadeEtkiCarpani),2))</f>
        <v/>
      </c>
      <c r="O451" s="15">
        <f>IF($A451="","",ROUND($L451-$N451,2))</f>
        <v/>
      </c>
      <c r="P451" s="15">
        <f>IF($A451="","",IF($R451&gt;kdo_esikDesiOran,"DESİ DÜŞÜR",IF($O451&gt;kdo_esikTasarruf,"TAŞIYICI DEĞİŞTİR","UYGUN")))</f>
        <v/>
      </c>
      <c r="Q451" s="15">
        <f>IF($A451="","",IFERROR(SUMIF(tblAnahtarB[NormB],$A451,tblVeriB[IadeOran]),0))</f>
        <v/>
      </c>
      <c r="R451" s="15">
        <f>IF(OR($A451="",$E451=0),0,$G451/$E451)</f>
        <v/>
      </c>
      <c r="S451" s="15">
        <f>IF($A451="","",$G451-$E451)</f>
        <v/>
      </c>
      <c r="T451" s="15">
        <f>IF($A451="","",$L451-$N451)</f>
        <v/>
      </c>
    </row>
    <row r="452">
      <c r="A452" s="15">
        <f>IF('ANAHTAR'!$B452="","",'ANAHTAR'!$B452)</f>
        <v/>
      </c>
      <c r="B452" s="15">
        <f>IF($A452="","",IFERROR(SUMIF(tblAnahtarA[Norm],$A452,tblVeriA[EnCm]),0))</f>
        <v/>
      </c>
      <c r="C452" s="15">
        <f>IF($A452="","",IFERROR(SUMIF(tblAnahtarA[Norm],$A452,tblVeriA[BoyCm]),0))</f>
        <v/>
      </c>
      <c r="D452" s="15">
        <f>IF($A452="","",IFERROR(SUMIF(tblAnahtarA[Norm],$A452,tblVeriA[YukseklikCm]),0))</f>
        <v/>
      </c>
      <c r="E452" s="15">
        <f>IF($A452="","",IFERROR(SUMIF(tblAnahtarA[Norm],$A452,tblVeriA[AgirlikKg]),0))</f>
        <v/>
      </c>
      <c r="F452" s="15">
        <f>IF($A452="","",IFERROR(SUMIF(tblAnahtarA[Norm],$A452,tblVeriA[DesiCarpani]),kdo_varsayilanDesiCarpani))</f>
        <v/>
      </c>
      <c r="G452" s="15">
        <f>IF($A452="","",ROUND($B452*$C452*$D452/MAX($F452,1),2))</f>
        <v/>
      </c>
      <c r="H452" s="15">
        <f>IF($A452="","",MAX($G452,$E452))</f>
        <v/>
      </c>
      <c r="I452" s="15">
        <f>IF($A452="","",IFERROR(SUMIF(tblAnahtarB[NormB],$A452,tblVeriB[TarifTlDesi]),0))</f>
        <v/>
      </c>
      <c r="J452" s="15">
        <f>IF($A452="","",IFERROR(SUMIF(tblAnahtarA[Norm],$A452,tblVeriA[Adet]),1))</f>
        <v/>
      </c>
      <c r="K452" s="15">
        <f>IF($A452="","",ROUND($H452*$I452,2))</f>
        <v/>
      </c>
      <c r="L452" s="15">
        <f>IF($A452="","",ROUND($K452*$J452*(1+$Q452*kdo_iadeEtkiCarpani),2))</f>
        <v/>
      </c>
      <c r="M452" s="15">
        <f>IF($A452="","",IFERROR(SUMIF(tblAnahtarB[NormB],$A452,tblVeriB[AlternatifTarif]),0))</f>
        <v/>
      </c>
      <c r="N452" s="15">
        <f>IF($A452="","",ROUND($H452*$M452*$J452*(1+$Q452*kdo_iadeEtkiCarpani),2))</f>
        <v/>
      </c>
      <c r="O452" s="15">
        <f>IF($A452="","",ROUND($L452-$N452,2))</f>
        <v/>
      </c>
      <c r="P452" s="15">
        <f>IF($A452="","",IF($R452&gt;kdo_esikDesiOran,"DESİ DÜŞÜR",IF($O452&gt;kdo_esikTasarruf,"TAŞIYICI DEĞİŞTİR","UYGUN")))</f>
        <v/>
      </c>
      <c r="Q452" s="15">
        <f>IF($A452="","",IFERROR(SUMIF(tblAnahtarB[NormB],$A452,tblVeriB[IadeOran]),0))</f>
        <v/>
      </c>
      <c r="R452" s="15">
        <f>IF(OR($A452="",$E452=0),0,$G452/$E452)</f>
        <v/>
      </c>
      <c r="S452" s="15">
        <f>IF($A452="","",$G452-$E452)</f>
        <v/>
      </c>
      <c r="T452" s="15">
        <f>IF($A452="","",$L452-$N452)</f>
        <v/>
      </c>
    </row>
    <row r="453">
      <c r="A453" s="15">
        <f>IF('ANAHTAR'!$B453="","",'ANAHTAR'!$B453)</f>
        <v/>
      </c>
      <c r="B453" s="15">
        <f>IF($A453="","",IFERROR(SUMIF(tblAnahtarA[Norm],$A453,tblVeriA[EnCm]),0))</f>
        <v/>
      </c>
      <c r="C453" s="15">
        <f>IF($A453="","",IFERROR(SUMIF(tblAnahtarA[Norm],$A453,tblVeriA[BoyCm]),0))</f>
        <v/>
      </c>
      <c r="D453" s="15">
        <f>IF($A453="","",IFERROR(SUMIF(tblAnahtarA[Norm],$A453,tblVeriA[YukseklikCm]),0))</f>
        <v/>
      </c>
      <c r="E453" s="15">
        <f>IF($A453="","",IFERROR(SUMIF(tblAnahtarA[Norm],$A453,tblVeriA[AgirlikKg]),0))</f>
        <v/>
      </c>
      <c r="F453" s="15">
        <f>IF($A453="","",IFERROR(SUMIF(tblAnahtarA[Norm],$A453,tblVeriA[DesiCarpani]),kdo_varsayilanDesiCarpani))</f>
        <v/>
      </c>
      <c r="G453" s="15">
        <f>IF($A453="","",ROUND($B453*$C453*$D453/MAX($F453,1),2))</f>
        <v/>
      </c>
      <c r="H453" s="15">
        <f>IF($A453="","",MAX($G453,$E453))</f>
        <v/>
      </c>
      <c r="I453" s="15">
        <f>IF($A453="","",IFERROR(SUMIF(tblAnahtarB[NormB],$A453,tblVeriB[TarifTlDesi]),0))</f>
        <v/>
      </c>
      <c r="J453" s="15">
        <f>IF($A453="","",IFERROR(SUMIF(tblAnahtarA[Norm],$A453,tblVeriA[Adet]),1))</f>
        <v/>
      </c>
      <c r="K453" s="15">
        <f>IF($A453="","",ROUND($H453*$I453,2))</f>
        <v/>
      </c>
      <c r="L453" s="15">
        <f>IF($A453="","",ROUND($K453*$J453*(1+$Q453*kdo_iadeEtkiCarpani),2))</f>
        <v/>
      </c>
      <c r="M453" s="15">
        <f>IF($A453="","",IFERROR(SUMIF(tblAnahtarB[NormB],$A453,tblVeriB[AlternatifTarif]),0))</f>
        <v/>
      </c>
      <c r="N453" s="15">
        <f>IF($A453="","",ROUND($H453*$M453*$J453*(1+$Q453*kdo_iadeEtkiCarpani),2))</f>
        <v/>
      </c>
      <c r="O453" s="15">
        <f>IF($A453="","",ROUND($L453-$N453,2))</f>
        <v/>
      </c>
      <c r="P453" s="15">
        <f>IF($A453="","",IF($R453&gt;kdo_esikDesiOran,"DESİ DÜŞÜR",IF($O453&gt;kdo_esikTasarruf,"TAŞIYICI DEĞİŞTİR","UYGUN")))</f>
        <v/>
      </c>
      <c r="Q453" s="15">
        <f>IF($A453="","",IFERROR(SUMIF(tblAnahtarB[NormB],$A453,tblVeriB[IadeOran]),0))</f>
        <v/>
      </c>
      <c r="R453" s="15">
        <f>IF(OR($A453="",$E453=0),0,$G453/$E453)</f>
        <v/>
      </c>
      <c r="S453" s="15">
        <f>IF($A453="","",$G453-$E453)</f>
        <v/>
      </c>
      <c r="T453" s="15">
        <f>IF($A453="","",$L453-$N453)</f>
        <v/>
      </c>
    </row>
    <row r="454">
      <c r="A454" s="15">
        <f>IF('ANAHTAR'!$B454="","",'ANAHTAR'!$B454)</f>
        <v/>
      </c>
      <c r="B454" s="15">
        <f>IF($A454="","",IFERROR(SUMIF(tblAnahtarA[Norm],$A454,tblVeriA[EnCm]),0))</f>
        <v/>
      </c>
      <c r="C454" s="15">
        <f>IF($A454="","",IFERROR(SUMIF(tblAnahtarA[Norm],$A454,tblVeriA[BoyCm]),0))</f>
        <v/>
      </c>
      <c r="D454" s="15">
        <f>IF($A454="","",IFERROR(SUMIF(tblAnahtarA[Norm],$A454,tblVeriA[YukseklikCm]),0))</f>
        <v/>
      </c>
      <c r="E454" s="15">
        <f>IF($A454="","",IFERROR(SUMIF(tblAnahtarA[Norm],$A454,tblVeriA[AgirlikKg]),0))</f>
        <v/>
      </c>
      <c r="F454" s="15">
        <f>IF($A454="","",IFERROR(SUMIF(tblAnahtarA[Norm],$A454,tblVeriA[DesiCarpani]),kdo_varsayilanDesiCarpani))</f>
        <v/>
      </c>
      <c r="G454" s="15">
        <f>IF($A454="","",ROUND($B454*$C454*$D454/MAX($F454,1),2))</f>
        <v/>
      </c>
      <c r="H454" s="15">
        <f>IF($A454="","",MAX($G454,$E454))</f>
        <v/>
      </c>
      <c r="I454" s="15">
        <f>IF($A454="","",IFERROR(SUMIF(tblAnahtarB[NormB],$A454,tblVeriB[TarifTlDesi]),0))</f>
        <v/>
      </c>
      <c r="J454" s="15">
        <f>IF($A454="","",IFERROR(SUMIF(tblAnahtarA[Norm],$A454,tblVeriA[Adet]),1))</f>
        <v/>
      </c>
      <c r="K454" s="15">
        <f>IF($A454="","",ROUND($H454*$I454,2))</f>
        <v/>
      </c>
      <c r="L454" s="15">
        <f>IF($A454="","",ROUND($K454*$J454*(1+$Q454*kdo_iadeEtkiCarpani),2))</f>
        <v/>
      </c>
      <c r="M454" s="15">
        <f>IF($A454="","",IFERROR(SUMIF(tblAnahtarB[NormB],$A454,tblVeriB[AlternatifTarif]),0))</f>
        <v/>
      </c>
      <c r="N454" s="15">
        <f>IF($A454="","",ROUND($H454*$M454*$J454*(1+$Q454*kdo_iadeEtkiCarpani),2))</f>
        <v/>
      </c>
      <c r="O454" s="15">
        <f>IF($A454="","",ROUND($L454-$N454,2))</f>
        <v/>
      </c>
      <c r="P454" s="15">
        <f>IF($A454="","",IF($R454&gt;kdo_esikDesiOran,"DESİ DÜŞÜR",IF($O454&gt;kdo_esikTasarruf,"TAŞIYICI DEĞİŞTİR","UYGUN")))</f>
        <v/>
      </c>
      <c r="Q454" s="15">
        <f>IF($A454="","",IFERROR(SUMIF(tblAnahtarB[NormB],$A454,tblVeriB[IadeOran]),0))</f>
        <v/>
      </c>
      <c r="R454" s="15">
        <f>IF(OR($A454="",$E454=0),0,$G454/$E454)</f>
        <v/>
      </c>
      <c r="S454" s="15">
        <f>IF($A454="","",$G454-$E454)</f>
        <v/>
      </c>
      <c r="T454" s="15">
        <f>IF($A454="","",$L454-$N454)</f>
        <v/>
      </c>
    </row>
    <row r="455">
      <c r="A455" s="15">
        <f>IF('ANAHTAR'!$B455="","",'ANAHTAR'!$B455)</f>
        <v/>
      </c>
      <c r="B455" s="15">
        <f>IF($A455="","",IFERROR(SUMIF(tblAnahtarA[Norm],$A455,tblVeriA[EnCm]),0))</f>
        <v/>
      </c>
      <c r="C455" s="15">
        <f>IF($A455="","",IFERROR(SUMIF(tblAnahtarA[Norm],$A455,tblVeriA[BoyCm]),0))</f>
        <v/>
      </c>
      <c r="D455" s="15">
        <f>IF($A455="","",IFERROR(SUMIF(tblAnahtarA[Norm],$A455,tblVeriA[YukseklikCm]),0))</f>
        <v/>
      </c>
      <c r="E455" s="15">
        <f>IF($A455="","",IFERROR(SUMIF(tblAnahtarA[Norm],$A455,tblVeriA[AgirlikKg]),0))</f>
        <v/>
      </c>
      <c r="F455" s="15">
        <f>IF($A455="","",IFERROR(SUMIF(tblAnahtarA[Norm],$A455,tblVeriA[DesiCarpani]),kdo_varsayilanDesiCarpani))</f>
        <v/>
      </c>
      <c r="G455" s="15">
        <f>IF($A455="","",ROUND($B455*$C455*$D455/MAX($F455,1),2))</f>
        <v/>
      </c>
      <c r="H455" s="15">
        <f>IF($A455="","",MAX($G455,$E455))</f>
        <v/>
      </c>
      <c r="I455" s="15">
        <f>IF($A455="","",IFERROR(SUMIF(tblAnahtarB[NormB],$A455,tblVeriB[TarifTlDesi]),0))</f>
        <v/>
      </c>
      <c r="J455" s="15">
        <f>IF($A455="","",IFERROR(SUMIF(tblAnahtarA[Norm],$A455,tblVeriA[Adet]),1))</f>
        <v/>
      </c>
      <c r="K455" s="15">
        <f>IF($A455="","",ROUND($H455*$I455,2))</f>
        <v/>
      </c>
      <c r="L455" s="15">
        <f>IF($A455="","",ROUND($K455*$J455*(1+$Q455*kdo_iadeEtkiCarpani),2))</f>
        <v/>
      </c>
      <c r="M455" s="15">
        <f>IF($A455="","",IFERROR(SUMIF(tblAnahtarB[NormB],$A455,tblVeriB[AlternatifTarif]),0))</f>
        <v/>
      </c>
      <c r="N455" s="15">
        <f>IF($A455="","",ROUND($H455*$M455*$J455*(1+$Q455*kdo_iadeEtkiCarpani),2))</f>
        <v/>
      </c>
      <c r="O455" s="15">
        <f>IF($A455="","",ROUND($L455-$N455,2))</f>
        <v/>
      </c>
      <c r="P455" s="15">
        <f>IF($A455="","",IF($R455&gt;kdo_esikDesiOran,"DESİ DÜŞÜR",IF($O455&gt;kdo_esikTasarruf,"TAŞIYICI DEĞİŞTİR","UYGUN")))</f>
        <v/>
      </c>
      <c r="Q455" s="15">
        <f>IF($A455="","",IFERROR(SUMIF(tblAnahtarB[NormB],$A455,tblVeriB[IadeOran]),0))</f>
        <v/>
      </c>
      <c r="R455" s="15">
        <f>IF(OR($A455="",$E455=0),0,$G455/$E455)</f>
        <v/>
      </c>
      <c r="S455" s="15">
        <f>IF($A455="","",$G455-$E455)</f>
        <v/>
      </c>
      <c r="T455" s="15">
        <f>IF($A455="","",$L455-$N455)</f>
        <v/>
      </c>
    </row>
    <row r="456">
      <c r="A456" s="15">
        <f>IF('ANAHTAR'!$B456="","",'ANAHTAR'!$B456)</f>
        <v/>
      </c>
      <c r="B456" s="15">
        <f>IF($A456="","",IFERROR(SUMIF(tblAnahtarA[Norm],$A456,tblVeriA[EnCm]),0))</f>
        <v/>
      </c>
      <c r="C456" s="15">
        <f>IF($A456="","",IFERROR(SUMIF(tblAnahtarA[Norm],$A456,tblVeriA[BoyCm]),0))</f>
        <v/>
      </c>
      <c r="D456" s="15">
        <f>IF($A456="","",IFERROR(SUMIF(tblAnahtarA[Norm],$A456,tblVeriA[YukseklikCm]),0))</f>
        <v/>
      </c>
      <c r="E456" s="15">
        <f>IF($A456="","",IFERROR(SUMIF(tblAnahtarA[Norm],$A456,tblVeriA[AgirlikKg]),0))</f>
        <v/>
      </c>
      <c r="F456" s="15">
        <f>IF($A456="","",IFERROR(SUMIF(tblAnahtarA[Norm],$A456,tblVeriA[DesiCarpani]),kdo_varsayilanDesiCarpani))</f>
        <v/>
      </c>
      <c r="G456" s="15">
        <f>IF($A456="","",ROUND($B456*$C456*$D456/MAX($F456,1),2))</f>
        <v/>
      </c>
      <c r="H456" s="15">
        <f>IF($A456="","",MAX($G456,$E456))</f>
        <v/>
      </c>
      <c r="I456" s="15">
        <f>IF($A456="","",IFERROR(SUMIF(tblAnahtarB[NormB],$A456,tblVeriB[TarifTlDesi]),0))</f>
        <v/>
      </c>
      <c r="J456" s="15">
        <f>IF($A456="","",IFERROR(SUMIF(tblAnahtarA[Norm],$A456,tblVeriA[Adet]),1))</f>
        <v/>
      </c>
      <c r="K456" s="15">
        <f>IF($A456="","",ROUND($H456*$I456,2))</f>
        <v/>
      </c>
      <c r="L456" s="15">
        <f>IF($A456="","",ROUND($K456*$J456*(1+$Q456*kdo_iadeEtkiCarpani),2))</f>
        <v/>
      </c>
      <c r="M456" s="15">
        <f>IF($A456="","",IFERROR(SUMIF(tblAnahtarB[NormB],$A456,tblVeriB[AlternatifTarif]),0))</f>
        <v/>
      </c>
      <c r="N456" s="15">
        <f>IF($A456="","",ROUND($H456*$M456*$J456*(1+$Q456*kdo_iadeEtkiCarpani),2))</f>
        <v/>
      </c>
      <c r="O456" s="15">
        <f>IF($A456="","",ROUND($L456-$N456,2))</f>
        <v/>
      </c>
      <c r="P456" s="15">
        <f>IF($A456="","",IF($R456&gt;kdo_esikDesiOran,"DESİ DÜŞÜR",IF($O456&gt;kdo_esikTasarruf,"TAŞIYICI DEĞİŞTİR","UYGUN")))</f>
        <v/>
      </c>
      <c r="Q456" s="15">
        <f>IF($A456="","",IFERROR(SUMIF(tblAnahtarB[NormB],$A456,tblVeriB[IadeOran]),0))</f>
        <v/>
      </c>
      <c r="R456" s="15">
        <f>IF(OR($A456="",$E456=0),0,$G456/$E456)</f>
        <v/>
      </c>
      <c r="S456" s="15">
        <f>IF($A456="","",$G456-$E456)</f>
        <v/>
      </c>
      <c r="T456" s="15">
        <f>IF($A456="","",$L456-$N456)</f>
        <v/>
      </c>
    </row>
    <row r="457">
      <c r="A457" s="15">
        <f>IF('ANAHTAR'!$B457="","",'ANAHTAR'!$B457)</f>
        <v/>
      </c>
      <c r="B457" s="15">
        <f>IF($A457="","",IFERROR(SUMIF(tblAnahtarA[Norm],$A457,tblVeriA[EnCm]),0))</f>
        <v/>
      </c>
      <c r="C457" s="15">
        <f>IF($A457="","",IFERROR(SUMIF(tblAnahtarA[Norm],$A457,tblVeriA[BoyCm]),0))</f>
        <v/>
      </c>
      <c r="D457" s="15">
        <f>IF($A457="","",IFERROR(SUMIF(tblAnahtarA[Norm],$A457,tblVeriA[YukseklikCm]),0))</f>
        <v/>
      </c>
      <c r="E457" s="15">
        <f>IF($A457="","",IFERROR(SUMIF(tblAnahtarA[Norm],$A457,tblVeriA[AgirlikKg]),0))</f>
        <v/>
      </c>
      <c r="F457" s="15">
        <f>IF($A457="","",IFERROR(SUMIF(tblAnahtarA[Norm],$A457,tblVeriA[DesiCarpani]),kdo_varsayilanDesiCarpani))</f>
        <v/>
      </c>
      <c r="G457" s="15">
        <f>IF($A457="","",ROUND($B457*$C457*$D457/MAX($F457,1),2))</f>
        <v/>
      </c>
      <c r="H457" s="15">
        <f>IF($A457="","",MAX($G457,$E457))</f>
        <v/>
      </c>
      <c r="I457" s="15">
        <f>IF($A457="","",IFERROR(SUMIF(tblAnahtarB[NormB],$A457,tblVeriB[TarifTlDesi]),0))</f>
        <v/>
      </c>
      <c r="J457" s="15">
        <f>IF($A457="","",IFERROR(SUMIF(tblAnahtarA[Norm],$A457,tblVeriA[Adet]),1))</f>
        <v/>
      </c>
      <c r="K457" s="15">
        <f>IF($A457="","",ROUND($H457*$I457,2))</f>
        <v/>
      </c>
      <c r="L457" s="15">
        <f>IF($A457="","",ROUND($K457*$J457*(1+$Q457*kdo_iadeEtkiCarpani),2))</f>
        <v/>
      </c>
      <c r="M457" s="15">
        <f>IF($A457="","",IFERROR(SUMIF(tblAnahtarB[NormB],$A457,tblVeriB[AlternatifTarif]),0))</f>
        <v/>
      </c>
      <c r="N457" s="15">
        <f>IF($A457="","",ROUND($H457*$M457*$J457*(1+$Q457*kdo_iadeEtkiCarpani),2))</f>
        <v/>
      </c>
      <c r="O457" s="15">
        <f>IF($A457="","",ROUND($L457-$N457,2))</f>
        <v/>
      </c>
      <c r="P457" s="15">
        <f>IF($A457="","",IF($R457&gt;kdo_esikDesiOran,"DESİ DÜŞÜR",IF($O457&gt;kdo_esikTasarruf,"TAŞIYICI DEĞİŞTİR","UYGUN")))</f>
        <v/>
      </c>
      <c r="Q457" s="15">
        <f>IF($A457="","",IFERROR(SUMIF(tblAnahtarB[NormB],$A457,tblVeriB[IadeOran]),0))</f>
        <v/>
      </c>
      <c r="R457" s="15">
        <f>IF(OR($A457="",$E457=0),0,$G457/$E457)</f>
        <v/>
      </c>
      <c r="S457" s="15">
        <f>IF($A457="","",$G457-$E457)</f>
        <v/>
      </c>
      <c r="T457" s="15">
        <f>IF($A457="","",$L457-$N457)</f>
        <v/>
      </c>
    </row>
    <row r="458">
      <c r="A458" s="15">
        <f>IF('ANAHTAR'!$B458="","",'ANAHTAR'!$B458)</f>
        <v/>
      </c>
      <c r="B458" s="15">
        <f>IF($A458="","",IFERROR(SUMIF(tblAnahtarA[Norm],$A458,tblVeriA[EnCm]),0))</f>
        <v/>
      </c>
      <c r="C458" s="15">
        <f>IF($A458="","",IFERROR(SUMIF(tblAnahtarA[Norm],$A458,tblVeriA[BoyCm]),0))</f>
        <v/>
      </c>
      <c r="D458" s="15">
        <f>IF($A458="","",IFERROR(SUMIF(tblAnahtarA[Norm],$A458,tblVeriA[YukseklikCm]),0))</f>
        <v/>
      </c>
      <c r="E458" s="15">
        <f>IF($A458="","",IFERROR(SUMIF(tblAnahtarA[Norm],$A458,tblVeriA[AgirlikKg]),0))</f>
        <v/>
      </c>
      <c r="F458" s="15">
        <f>IF($A458="","",IFERROR(SUMIF(tblAnahtarA[Norm],$A458,tblVeriA[DesiCarpani]),kdo_varsayilanDesiCarpani))</f>
        <v/>
      </c>
      <c r="G458" s="15">
        <f>IF($A458="","",ROUND($B458*$C458*$D458/MAX($F458,1),2))</f>
        <v/>
      </c>
      <c r="H458" s="15">
        <f>IF($A458="","",MAX($G458,$E458))</f>
        <v/>
      </c>
      <c r="I458" s="15">
        <f>IF($A458="","",IFERROR(SUMIF(tblAnahtarB[NormB],$A458,tblVeriB[TarifTlDesi]),0))</f>
        <v/>
      </c>
      <c r="J458" s="15">
        <f>IF($A458="","",IFERROR(SUMIF(tblAnahtarA[Norm],$A458,tblVeriA[Adet]),1))</f>
        <v/>
      </c>
      <c r="K458" s="15">
        <f>IF($A458="","",ROUND($H458*$I458,2))</f>
        <v/>
      </c>
      <c r="L458" s="15">
        <f>IF($A458="","",ROUND($K458*$J458*(1+$Q458*kdo_iadeEtkiCarpani),2))</f>
        <v/>
      </c>
      <c r="M458" s="15">
        <f>IF($A458="","",IFERROR(SUMIF(tblAnahtarB[NormB],$A458,tblVeriB[AlternatifTarif]),0))</f>
        <v/>
      </c>
      <c r="N458" s="15">
        <f>IF($A458="","",ROUND($H458*$M458*$J458*(1+$Q458*kdo_iadeEtkiCarpani),2))</f>
        <v/>
      </c>
      <c r="O458" s="15">
        <f>IF($A458="","",ROUND($L458-$N458,2))</f>
        <v/>
      </c>
      <c r="P458" s="15">
        <f>IF($A458="","",IF($R458&gt;kdo_esikDesiOran,"DESİ DÜŞÜR",IF($O458&gt;kdo_esikTasarruf,"TAŞIYICI DEĞİŞTİR","UYGUN")))</f>
        <v/>
      </c>
      <c r="Q458" s="15">
        <f>IF($A458="","",IFERROR(SUMIF(tblAnahtarB[NormB],$A458,tblVeriB[IadeOran]),0))</f>
        <v/>
      </c>
      <c r="R458" s="15">
        <f>IF(OR($A458="",$E458=0),0,$G458/$E458)</f>
        <v/>
      </c>
      <c r="S458" s="15">
        <f>IF($A458="","",$G458-$E458)</f>
        <v/>
      </c>
      <c r="T458" s="15">
        <f>IF($A458="","",$L458-$N458)</f>
        <v/>
      </c>
    </row>
    <row r="459">
      <c r="A459" s="15">
        <f>IF('ANAHTAR'!$B459="","",'ANAHTAR'!$B459)</f>
        <v/>
      </c>
      <c r="B459" s="15">
        <f>IF($A459="","",IFERROR(SUMIF(tblAnahtarA[Norm],$A459,tblVeriA[EnCm]),0))</f>
        <v/>
      </c>
      <c r="C459" s="15">
        <f>IF($A459="","",IFERROR(SUMIF(tblAnahtarA[Norm],$A459,tblVeriA[BoyCm]),0))</f>
        <v/>
      </c>
      <c r="D459" s="15">
        <f>IF($A459="","",IFERROR(SUMIF(tblAnahtarA[Norm],$A459,tblVeriA[YukseklikCm]),0))</f>
        <v/>
      </c>
      <c r="E459" s="15">
        <f>IF($A459="","",IFERROR(SUMIF(tblAnahtarA[Norm],$A459,tblVeriA[AgirlikKg]),0))</f>
        <v/>
      </c>
      <c r="F459" s="15">
        <f>IF($A459="","",IFERROR(SUMIF(tblAnahtarA[Norm],$A459,tblVeriA[DesiCarpani]),kdo_varsayilanDesiCarpani))</f>
        <v/>
      </c>
      <c r="G459" s="15">
        <f>IF($A459="","",ROUND($B459*$C459*$D459/MAX($F459,1),2))</f>
        <v/>
      </c>
      <c r="H459" s="15">
        <f>IF($A459="","",MAX($G459,$E459))</f>
        <v/>
      </c>
      <c r="I459" s="15">
        <f>IF($A459="","",IFERROR(SUMIF(tblAnahtarB[NormB],$A459,tblVeriB[TarifTlDesi]),0))</f>
        <v/>
      </c>
      <c r="J459" s="15">
        <f>IF($A459="","",IFERROR(SUMIF(tblAnahtarA[Norm],$A459,tblVeriA[Adet]),1))</f>
        <v/>
      </c>
      <c r="K459" s="15">
        <f>IF($A459="","",ROUND($H459*$I459,2))</f>
        <v/>
      </c>
      <c r="L459" s="15">
        <f>IF($A459="","",ROUND($K459*$J459*(1+$Q459*kdo_iadeEtkiCarpani),2))</f>
        <v/>
      </c>
      <c r="M459" s="15">
        <f>IF($A459="","",IFERROR(SUMIF(tblAnahtarB[NormB],$A459,tblVeriB[AlternatifTarif]),0))</f>
        <v/>
      </c>
      <c r="N459" s="15">
        <f>IF($A459="","",ROUND($H459*$M459*$J459*(1+$Q459*kdo_iadeEtkiCarpani),2))</f>
        <v/>
      </c>
      <c r="O459" s="15">
        <f>IF($A459="","",ROUND($L459-$N459,2))</f>
        <v/>
      </c>
      <c r="P459" s="15">
        <f>IF($A459="","",IF($R459&gt;kdo_esikDesiOran,"DESİ DÜŞÜR",IF($O459&gt;kdo_esikTasarruf,"TAŞIYICI DEĞİŞTİR","UYGUN")))</f>
        <v/>
      </c>
      <c r="Q459" s="15">
        <f>IF($A459="","",IFERROR(SUMIF(tblAnahtarB[NormB],$A459,tblVeriB[IadeOran]),0))</f>
        <v/>
      </c>
      <c r="R459" s="15">
        <f>IF(OR($A459="",$E459=0),0,$G459/$E459)</f>
        <v/>
      </c>
      <c r="S459" s="15">
        <f>IF($A459="","",$G459-$E459)</f>
        <v/>
      </c>
      <c r="T459" s="15">
        <f>IF($A459="","",$L459-$N459)</f>
        <v/>
      </c>
    </row>
    <row r="460">
      <c r="A460" s="15">
        <f>IF('ANAHTAR'!$B460="","",'ANAHTAR'!$B460)</f>
        <v/>
      </c>
      <c r="B460" s="15">
        <f>IF($A460="","",IFERROR(SUMIF(tblAnahtarA[Norm],$A460,tblVeriA[EnCm]),0))</f>
        <v/>
      </c>
      <c r="C460" s="15">
        <f>IF($A460="","",IFERROR(SUMIF(tblAnahtarA[Norm],$A460,tblVeriA[BoyCm]),0))</f>
        <v/>
      </c>
      <c r="D460" s="15">
        <f>IF($A460="","",IFERROR(SUMIF(tblAnahtarA[Norm],$A460,tblVeriA[YukseklikCm]),0))</f>
        <v/>
      </c>
      <c r="E460" s="15">
        <f>IF($A460="","",IFERROR(SUMIF(tblAnahtarA[Norm],$A460,tblVeriA[AgirlikKg]),0))</f>
        <v/>
      </c>
      <c r="F460" s="15">
        <f>IF($A460="","",IFERROR(SUMIF(tblAnahtarA[Norm],$A460,tblVeriA[DesiCarpani]),kdo_varsayilanDesiCarpani))</f>
        <v/>
      </c>
      <c r="G460" s="15">
        <f>IF($A460="","",ROUND($B460*$C460*$D460/MAX($F460,1),2))</f>
        <v/>
      </c>
      <c r="H460" s="15">
        <f>IF($A460="","",MAX($G460,$E460))</f>
        <v/>
      </c>
      <c r="I460" s="15">
        <f>IF($A460="","",IFERROR(SUMIF(tblAnahtarB[NormB],$A460,tblVeriB[TarifTlDesi]),0))</f>
        <v/>
      </c>
      <c r="J460" s="15">
        <f>IF($A460="","",IFERROR(SUMIF(tblAnahtarA[Norm],$A460,tblVeriA[Adet]),1))</f>
        <v/>
      </c>
      <c r="K460" s="15">
        <f>IF($A460="","",ROUND($H460*$I460,2))</f>
        <v/>
      </c>
      <c r="L460" s="15">
        <f>IF($A460="","",ROUND($K460*$J460*(1+$Q460*kdo_iadeEtkiCarpani),2))</f>
        <v/>
      </c>
      <c r="M460" s="15">
        <f>IF($A460="","",IFERROR(SUMIF(tblAnahtarB[NormB],$A460,tblVeriB[AlternatifTarif]),0))</f>
        <v/>
      </c>
      <c r="N460" s="15">
        <f>IF($A460="","",ROUND($H460*$M460*$J460*(1+$Q460*kdo_iadeEtkiCarpani),2))</f>
        <v/>
      </c>
      <c r="O460" s="15">
        <f>IF($A460="","",ROUND($L460-$N460,2))</f>
        <v/>
      </c>
      <c r="P460" s="15">
        <f>IF($A460="","",IF($R460&gt;kdo_esikDesiOran,"DESİ DÜŞÜR",IF($O460&gt;kdo_esikTasarruf,"TAŞIYICI DEĞİŞTİR","UYGUN")))</f>
        <v/>
      </c>
      <c r="Q460" s="15">
        <f>IF($A460="","",IFERROR(SUMIF(tblAnahtarB[NormB],$A460,tblVeriB[IadeOran]),0))</f>
        <v/>
      </c>
      <c r="R460" s="15">
        <f>IF(OR($A460="",$E460=0),0,$G460/$E460)</f>
        <v/>
      </c>
      <c r="S460" s="15">
        <f>IF($A460="","",$G460-$E460)</f>
        <v/>
      </c>
      <c r="T460" s="15">
        <f>IF($A460="","",$L460-$N460)</f>
        <v/>
      </c>
    </row>
    <row r="461">
      <c r="A461" s="15">
        <f>IF('ANAHTAR'!$B461="","",'ANAHTAR'!$B461)</f>
        <v/>
      </c>
      <c r="B461" s="15">
        <f>IF($A461="","",IFERROR(SUMIF(tblAnahtarA[Norm],$A461,tblVeriA[EnCm]),0))</f>
        <v/>
      </c>
      <c r="C461" s="15">
        <f>IF($A461="","",IFERROR(SUMIF(tblAnahtarA[Norm],$A461,tblVeriA[BoyCm]),0))</f>
        <v/>
      </c>
      <c r="D461" s="15">
        <f>IF($A461="","",IFERROR(SUMIF(tblAnahtarA[Norm],$A461,tblVeriA[YukseklikCm]),0))</f>
        <v/>
      </c>
      <c r="E461" s="15">
        <f>IF($A461="","",IFERROR(SUMIF(tblAnahtarA[Norm],$A461,tblVeriA[AgirlikKg]),0))</f>
        <v/>
      </c>
      <c r="F461" s="15">
        <f>IF($A461="","",IFERROR(SUMIF(tblAnahtarA[Norm],$A461,tblVeriA[DesiCarpani]),kdo_varsayilanDesiCarpani))</f>
        <v/>
      </c>
      <c r="G461" s="15">
        <f>IF($A461="","",ROUND($B461*$C461*$D461/MAX($F461,1),2))</f>
        <v/>
      </c>
      <c r="H461" s="15">
        <f>IF($A461="","",MAX($G461,$E461))</f>
        <v/>
      </c>
      <c r="I461" s="15">
        <f>IF($A461="","",IFERROR(SUMIF(tblAnahtarB[NormB],$A461,tblVeriB[TarifTlDesi]),0))</f>
        <v/>
      </c>
      <c r="J461" s="15">
        <f>IF($A461="","",IFERROR(SUMIF(tblAnahtarA[Norm],$A461,tblVeriA[Adet]),1))</f>
        <v/>
      </c>
      <c r="K461" s="15">
        <f>IF($A461="","",ROUND($H461*$I461,2))</f>
        <v/>
      </c>
      <c r="L461" s="15">
        <f>IF($A461="","",ROUND($K461*$J461*(1+$Q461*kdo_iadeEtkiCarpani),2))</f>
        <v/>
      </c>
      <c r="M461" s="15">
        <f>IF($A461="","",IFERROR(SUMIF(tblAnahtarB[NormB],$A461,tblVeriB[AlternatifTarif]),0))</f>
        <v/>
      </c>
      <c r="N461" s="15">
        <f>IF($A461="","",ROUND($H461*$M461*$J461*(1+$Q461*kdo_iadeEtkiCarpani),2))</f>
        <v/>
      </c>
      <c r="O461" s="15">
        <f>IF($A461="","",ROUND($L461-$N461,2))</f>
        <v/>
      </c>
      <c r="P461" s="15">
        <f>IF($A461="","",IF($R461&gt;kdo_esikDesiOran,"DESİ DÜŞÜR",IF($O461&gt;kdo_esikTasarruf,"TAŞIYICI DEĞİŞTİR","UYGUN")))</f>
        <v/>
      </c>
      <c r="Q461" s="15">
        <f>IF($A461="","",IFERROR(SUMIF(tblAnahtarB[NormB],$A461,tblVeriB[IadeOran]),0))</f>
        <v/>
      </c>
      <c r="R461" s="15">
        <f>IF(OR($A461="",$E461=0),0,$G461/$E461)</f>
        <v/>
      </c>
      <c r="S461" s="15">
        <f>IF($A461="","",$G461-$E461)</f>
        <v/>
      </c>
      <c r="T461" s="15">
        <f>IF($A461="","",$L461-$N461)</f>
        <v/>
      </c>
    </row>
    <row r="462">
      <c r="A462" s="15">
        <f>IF('ANAHTAR'!$B462="","",'ANAHTAR'!$B462)</f>
        <v/>
      </c>
      <c r="B462" s="15">
        <f>IF($A462="","",IFERROR(SUMIF(tblAnahtarA[Norm],$A462,tblVeriA[EnCm]),0))</f>
        <v/>
      </c>
      <c r="C462" s="15">
        <f>IF($A462="","",IFERROR(SUMIF(tblAnahtarA[Norm],$A462,tblVeriA[BoyCm]),0))</f>
        <v/>
      </c>
      <c r="D462" s="15">
        <f>IF($A462="","",IFERROR(SUMIF(tblAnahtarA[Norm],$A462,tblVeriA[YukseklikCm]),0))</f>
        <v/>
      </c>
      <c r="E462" s="15">
        <f>IF($A462="","",IFERROR(SUMIF(tblAnahtarA[Norm],$A462,tblVeriA[AgirlikKg]),0))</f>
        <v/>
      </c>
      <c r="F462" s="15">
        <f>IF($A462="","",IFERROR(SUMIF(tblAnahtarA[Norm],$A462,tblVeriA[DesiCarpani]),kdo_varsayilanDesiCarpani))</f>
        <v/>
      </c>
      <c r="G462" s="15">
        <f>IF($A462="","",ROUND($B462*$C462*$D462/MAX($F462,1),2))</f>
        <v/>
      </c>
      <c r="H462" s="15">
        <f>IF($A462="","",MAX($G462,$E462))</f>
        <v/>
      </c>
      <c r="I462" s="15">
        <f>IF($A462="","",IFERROR(SUMIF(tblAnahtarB[NormB],$A462,tblVeriB[TarifTlDesi]),0))</f>
        <v/>
      </c>
      <c r="J462" s="15">
        <f>IF($A462="","",IFERROR(SUMIF(tblAnahtarA[Norm],$A462,tblVeriA[Adet]),1))</f>
        <v/>
      </c>
      <c r="K462" s="15">
        <f>IF($A462="","",ROUND($H462*$I462,2))</f>
        <v/>
      </c>
      <c r="L462" s="15">
        <f>IF($A462="","",ROUND($K462*$J462*(1+$Q462*kdo_iadeEtkiCarpani),2))</f>
        <v/>
      </c>
      <c r="M462" s="15">
        <f>IF($A462="","",IFERROR(SUMIF(tblAnahtarB[NormB],$A462,tblVeriB[AlternatifTarif]),0))</f>
        <v/>
      </c>
      <c r="N462" s="15">
        <f>IF($A462="","",ROUND($H462*$M462*$J462*(1+$Q462*kdo_iadeEtkiCarpani),2))</f>
        <v/>
      </c>
      <c r="O462" s="15">
        <f>IF($A462="","",ROUND($L462-$N462,2))</f>
        <v/>
      </c>
      <c r="P462" s="15">
        <f>IF($A462="","",IF($R462&gt;kdo_esikDesiOran,"DESİ DÜŞÜR",IF($O462&gt;kdo_esikTasarruf,"TAŞIYICI DEĞİŞTİR","UYGUN")))</f>
        <v/>
      </c>
      <c r="Q462" s="15">
        <f>IF($A462="","",IFERROR(SUMIF(tblAnahtarB[NormB],$A462,tblVeriB[IadeOran]),0))</f>
        <v/>
      </c>
      <c r="R462" s="15">
        <f>IF(OR($A462="",$E462=0),0,$G462/$E462)</f>
        <v/>
      </c>
      <c r="S462" s="15">
        <f>IF($A462="","",$G462-$E462)</f>
        <v/>
      </c>
      <c r="T462" s="15">
        <f>IF($A462="","",$L462-$N462)</f>
        <v/>
      </c>
    </row>
    <row r="463">
      <c r="A463" s="15">
        <f>IF('ANAHTAR'!$B463="","",'ANAHTAR'!$B463)</f>
        <v/>
      </c>
      <c r="B463" s="15">
        <f>IF($A463="","",IFERROR(SUMIF(tblAnahtarA[Norm],$A463,tblVeriA[EnCm]),0))</f>
        <v/>
      </c>
      <c r="C463" s="15">
        <f>IF($A463="","",IFERROR(SUMIF(tblAnahtarA[Norm],$A463,tblVeriA[BoyCm]),0))</f>
        <v/>
      </c>
      <c r="D463" s="15">
        <f>IF($A463="","",IFERROR(SUMIF(tblAnahtarA[Norm],$A463,tblVeriA[YukseklikCm]),0))</f>
        <v/>
      </c>
      <c r="E463" s="15">
        <f>IF($A463="","",IFERROR(SUMIF(tblAnahtarA[Norm],$A463,tblVeriA[AgirlikKg]),0))</f>
        <v/>
      </c>
      <c r="F463" s="15">
        <f>IF($A463="","",IFERROR(SUMIF(tblAnahtarA[Norm],$A463,tblVeriA[DesiCarpani]),kdo_varsayilanDesiCarpani))</f>
        <v/>
      </c>
      <c r="G463" s="15">
        <f>IF($A463="","",ROUND($B463*$C463*$D463/MAX($F463,1),2))</f>
        <v/>
      </c>
      <c r="H463" s="15">
        <f>IF($A463="","",MAX($G463,$E463))</f>
        <v/>
      </c>
      <c r="I463" s="15">
        <f>IF($A463="","",IFERROR(SUMIF(tblAnahtarB[NormB],$A463,tblVeriB[TarifTlDesi]),0))</f>
        <v/>
      </c>
      <c r="J463" s="15">
        <f>IF($A463="","",IFERROR(SUMIF(tblAnahtarA[Norm],$A463,tblVeriA[Adet]),1))</f>
        <v/>
      </c>
      <c r="K463" s="15">
        <f>IF($A463="","",ROUND($H463*$I463,2))</f>
        <v/>
      </c>
      <c r="L463" s="15">
        <f>IF($A463="","",ROUND($K463*$J463*(1+$Q463*kdo_iadeEtkiCarpani),2))</f>
        <v/>
      </c>
      <c r="M463" s="15">
        <f>IF($A463="","",IFERROR(SUMIF(tblAnahtarB[NormB],$A463,tblVeriB[AlternatifTarif]),0))</f>
        <v/>
      </c>
      <c r="N463" s="15">
        <f>IF($A463="","",ROUND($H463*$M463*$J463*(1+$Q463*kdo_iadeEtkiCarpani),2))</f>
        <v/>
      </c>
      <c r="O463" s="15">
        <f>IF($A463="","",ROUND($L463-$N463,2))</f>
        <v/>
      </c>
      <c r="P463" s="15">
        <f>IF($A463="","",IF($R463&gt;kdo_esikDesiOran,"DESİ DÜŞÜR",IF($O463&gt;kdo_esikTasarruf,"TAŞIYICI DEĞİŞTİR","UYGUN")))</f>
        <v/>
      </c>
      <c r="Q463" s="15">
        <f>IF($A463="","",IFERROR(SUMIF(tblAnahtarB[NormB],$A463,tblVeriB[IadeOran]),0))</f>
        <v/>
      </c>
      <c r="R463" s="15">
        <f>IF(OR($A463="",$E463=0),0,$G463/$E463)</f>
        <v/>
      </c>
      <c r="S463" s="15">
        <f>IF($A463="","",$G463-$E463)</f>
        <v/>
      </c>
      <c r="T463" s="15">
        <f>IF($A463="","",$L463-$N463)</f>
        <v/>
      </c>
    </row>
    <row r="464">
      <c r="A464" s="15">
        <f>IF('ANAHTAR'!$B464="","",'ANAHTAR'!$B464)</f>
        <v/>
      </c>
      <c r="B464" s="15">
        <f>IF($A464="","",IFERROR(SUMIF(tblAnahtarA[Norm],$A464,tblVeriA[EnCm]),0))</f>
        <v/>
      </c>
      <c r="C464" s="15">
        <f>IF($A464="","",IFERROR(SUMIF(tblAnahtarA[Norm],$A464,tblVeriA[BoyCm]),0))</f>
        <v/>
      </c>
      <c r="D464" s="15">
        <f>IF($A464="","",IFERROR(SUMIF(tblAnahtarA[Norm],$A464,tblVeriA[YukseklikCm]),0))</f>
        <v/>
      </c>
      <c r="E464" s="15">
        <f>IF($A464="","",IFERROR(SUMIF(tblAnahtarA[Norm],$A464,tblVeriA[AgirlikKg]),0))</f>
        <v/>
      </c>
      <c r="F464" s="15">
        <f>IF($A464="","",IFERROR(SUMIF(tblAnahtarA[Norm],$A464,tblVeriA[DesiCarpani]),kdo_varsayilanDesiCarpani))</f>
        <v/>
      </c>
      <c r="G464" s="15">
        <f>IF($A464="","",ROUND($B464*$C464*$D464/MAX($F464,1),2))</f>
        <v/>
      </c>
      <c r="H464" s="15">
        <f>IF($A464="","",MAX($G464,$E464))</f>
        <v/>
      </c>
      <c r="I464" s="15">
        <f>IF($A464="","",IFERROR(SUMIF(tblAnahtarB[NormB],$A464,tblVeriB[TarifTlDesi]),0))</f>
        <v/>
      </c>
      <c r="J464" s="15">
        <f>IF($A464="","",IFERROR(SUMIF(tblAnahtarA[Norm],$A464,tblVeriA[Adet]),1))</f>
        <v/>
      </c>
      <c r="K464" s="15">
        <f>IF($A464="","",ROUND($H464*$I464,2))</f>
        <v/>
      </c>
      <c r="L464" s="15">
        <f>IF($A464="","",ROUND($K464*$J464*(1+$Q464*kdo_iadeEtkiCarpani),2))</f>
        <v/>
      </c>
      <c r="M464" s="15">
        <f>IF($A464="","",IFERROR(SUMIF(tblAnahtarB[NormB],$A464,tblVeriB[AlternatifTarif]),0))</f>
        <v/>
      </c>
      <c r="N464" s="15">
        <f>IF($A464="","",ROUND($H464*$M464*$J464*(1+$Q464*kdo_iadeEtkiCarpani),2))</f>
        <v/>
      </c>
      <c r="O464" s="15">
        <f>IF($A464="","",ROUND($L464-$N464,2))</f>
        <v/>
      </c>
      <c r="P464" s="15">
        <f>IF($A464="","",IF($R464&gt;kdo_esikDesiOran,"DESİ DÜŞÜR",IF($O464&gt;kdo_esikTasarruf,"TAŞIYICI DEĞİŞTİR","UYGUN")))</f>
        <v/>
      </c>
      <c r="Q464" s="15">
        <f>IF($A464="","",IFERROR(SUMIF(tblAnahtarB[NormB],$A464,tblVeriB[IadeOran]),0))</f>
        <v/>
      </c>
      <c r="R464" s="15">
        <f>IF(OR($A464="",$E464=0),0,$G464/$E464)</f>
        <v/>
      </c>
      <c r="S464" s="15">
        <f>IF($A464="","",$G464-$E464)</f>
        <v/>
      </c>
      <c r="T464" s="15">
        <f>IF($A464="","",$L464-$N464)</f>
        <v/>
      </c>
    </row>
    <row r="465">
      <c r="A465" s="15">
        <f>IF('ANAHTAR'!$B465="","",'ANAHTAR'!$B465)</f>
        <v/>
      </c>
      <c r="B465" s="15">
        <f>IF($A465="","",IFERROR(SUMIF(tblAnahtarA[Norm],$A465,tblVeriA[EnCm]),0))</f>
        <v/>
      </c>
      <c r="C465" s="15">
        <f>IF($A465="","",IFERROR(SUMIF(tblAnahtarA[Norm],$A465,tblVeriA[BoyCm]),0))</f>
        <v/>
      </c>
      <c r="D465" s="15">
        <f>IF($A465="","",IFERROR(SUMIF(tblAnahtarA[Norm],$A465,tblVeriA[YukseklikCm]),0))</f>
        <v/>
      </c>
      <c r="E465" s="15">
        <f>IF($A465="","",IFERROR(SUMIF(tblAnahtarA[Norm],$A465,tblVeriA[AgirlikKg]),0))</f>
        <v/>
      </c>
      <c r="F465" s="15">
        <f>IF($A465="","",IFERROR(SUMIF(tblAnahtarA[Norm],$A465,tblVeriA[DesiCarpani]),kdo_varsayilanDesiCarpani))</f>
        <v/>
      </c>
      <c r="G465" s="15">
        <f>IF($A465="","",ROUND($B465*$C465*$D465/MAX($F465,1),2))</f>
        <v/>
      </c>
      <c r="H465" s="15">
        <f>IF($A465="","",MAX($G465,$E465))</f>
        <v/>
      </c>
      <c r="I465" s="15">
        <f>IF($A465="","",IFERROR(SUMIF(tblAnahtarB[NormB],$A465,tblVeriB[TarifTlDesi]),0))</f>
        <v/>
      </c>
      <c r="J465" s="15">
        <f>IF($A465="","",IFERROR(SUMIF(tblAnahtarA[Norm],$A465,tblVeriA[Adet]),1))</f>
        <v/>
      </c>
      <c r="K465" s="15">
        <f>IF($A465="","",ROUND($H465*$I465,2))</f>
        <v/>
      </c>
      <c r="L465" s="15">
        <f>IF($A465="","",ROUND($K465*$J465*(1+$Q465*kdo_iadeEtkiCarpani),2))</f>
        <v/>
      </c>
      <c r="M465" s="15">
        <f>IF($A465="","",IFERROR(SUMIF(tblAnahtarB[NormB],$A465,tblVeriB[AlternatifTarif]),0))</f>
        <v/>
      </c>
      <c r="N465" s="15">
        <f>IF($A465="","",ROUND($H465*$M465*$J465*(1+$Q465*kdo_iadeEtkiCarpani),2))</f>
        <v/>
      </c>
      <c r="O465" s="15">
        <f>IF($A465="","",ROUND($L465-$N465,2))</f>
        <v/>
      </c>
      <c r="P465" s="15">
        <f>IF($A465="","",IF($R465&gt;kdo_esikDesiOran,"DESİ DÜŞÜR",IF($O465&gt;kdo_esikTasarruf,"TAŞIYICI DEĞİŞTİR","UYGUN")))</f>
        <v/>
      </c>
      <c r="Q465" s="15">
        <f>IF($A465="","",IFERROR(SUMIF(tblAnahtarB[NormB],$A465,tblVeriB[IadeOran]),0))</f>
        <v/>
      </c>
      <c r="R465" s="15">
        <f>IF(OR($A465="",$E465=0),0,$G465/$E465)</f>
        <v/>
      </c>
      <c r="S465" s="15">
        <f>IF($A465="","",$G465-$E465)</f>
        <v/>
      </c>
      <c r="T465" s="15">
        <f>IF($A465="","",$L465-$N465)</f>
        <v/>
      </c>
    </row>
    <row r="466">
      <c r="A466" s="15">
        <f>IF('ANAHTAR'!$B466="","",'ANAHTAR'!$B466)</f>
        <v/>
      </c>
      <c r="B466" s="15">
        <f>IF($A466="","",IFERROR(SUMIF(tblAnahtarA[Norm],$A466,tblVeriA[EnCm]),0))</f>
        <v/>
      </c>
      <c r="C466" s="15">
        <f>IF($A466="","",IFERROR(SUMIF(tblAnahtarA[Norm],$A466,tblVeriA[BoyCm]),0))</f>
        <v/>
      </c>
      <c r="D466" s="15">
        <f>IF($A466="","",IFERROR(SUMIF(tblAnahtarA[Norm],$A466,tblVeriA[YukseklikCm]),0))</f>
        <v/>
      </c>
      <c r="E466" s="15">
        <f>IF($A466="","",IFERROR(SUMIF(tblAnahtarA[Norm],$A466,tblVeriA[AgirlikKg]),0))</f>
        <v/>
      </c>
      <c r="F466" s="15">
        <f>IF($A466="","",IFERROR(SUMIF(tblAnahtarA[Norm],$A466,tblVeriA[DesiCarpani]),kdo_varsayilanDesiCarpani))</f>
        <v/>
      </c>
      <c r="G466" s="15">
        <f>IF($A466="","",ROUND($B466*$C466*$D466/MAX($F466,1),2))</f>
        <v/>
      </c>
      <c r="H466" s="15">
        <f>IF($A466="","",MAX($G466,$E466))</f>
        <v/>
      </c>
      <c r="I466" s="15">
        <f>IF($A466="","",IFERROR(SUMIF(tblAnahtarB[NormB],$A466,tblVeriB[TarifTlDesi]),0))</f>
        <v/>
      </c>
      <c r="J466" s="15">
        <f>IF($A466="","",IFERROR(SUMIF(tblAnahtarA[Norm],$A466,tblVeriA[Adet]),1))</f>
        <v/>
      </c>
      <c r="K466" s="15">
        <f>IF($A466="","",ROUND($H466*$I466,2))</f>
        <v/>
      </c>
      <c r="L466" s="15">
        <f>IF($A466="","",ROUND($K466*$J466*(1+$Q466*kdo_iadeEtkiCarpani),2))</f>
        <v/>
      </c>
      <c r="M466" s="15">
        <f>IF($A466="","",IFERROR(SUMIF(tblAnahtarB[NormB],$A466,tblVeriB[AlternatifTarif]),0))</f>
        <v/>
      </c>
      <c r="N466" s="15">
        <f>IF($A466="","",ROUND($H466*$M466*$J466*(1+$Q466*kdo_iadeEtkiCarpani),2))</f>
        <v/>
      </c>
      <c r="O466" s="15">
        <f>IF($A466="","",ROUND($L466-$N466,2))</f>
        <v/>
      </c>
      <c r="P466" s="15">
        <f>IF($A466="","",IF($R466&gt;kdo_esikDesiOran,"DESİ DÜŞÜR",IF($O466&gt;kdo_esikTasarruf,"TAŞIYICI DEĞİŞTİR","UYGUN")))</f>
        <v/>
      </c>
      <c r="Q466" s="15">
        <f>IF($A466="","",IFERROR(SUMIF(tblAnahtarB[NormB],$A466,tblVeriB[IadeOran]),0))</f>
        <v/>
      </c>
      <c r="R466" s="15">
        <f>IF(OR($A466="",$E466=0),0,$G466/$E466)</f>
        <v/>
      </c>
      <c r="S466" s="15">
        <f>IF($A466="","",$G466-$E466)</f>
        <v/>
      </c>
      <c r="T466" s="15">
        <f>IF($A466="","",$L466-$N466)</f>
        <v/>
      </c>
    </row>
    <row r="467">
      <c r="A467" s="15">
        <f>IF('ANAHTAR'!$B467="","",'ANAHTAR'!$B467)</f>
        <v/>
      </c>
      <c r="B467" s="15">
        <f>IF($A467="","",IFERROR(SUMIF(tblAnahtarA[Norm],$A467,tblVeriA[EnCm]),0))</f>
        <v/>
      </c>
      <c r="C467" s="15">
        <f>IF($A467="","",IFERROR(SUMIF(tblAnahtarA[Norm],$A467,tblVeriA[BoyCm]),0))</f>
        <v/>
      </c>
      <c r="D467" s="15">
        <f>IF($A467="","",IFERROR(SUMIF(tblAnahtarA[Norm],$A467,tblVeriA[YukseklikCm]),0))</f>
        <v/>
      </c>
      <c r="E467" s="15">
        <f>IF($A467="","",IFERROR(SUMIF(tblAnahtarA[Norm],$A467,tblVeriA[AgirlikKg]),0))</f>
        <v/>
      </c>
      <c r="F467" s="15">
        <f>IF($A467="","",IFERROR(SUMIF(tblAnahtarA[Norm],$A467,tblVeriA[DesiCarpani]),kdo_varsayilanDesiCarpani))</f>
        <v/>
      </c>
      <c r="G467" s="15">
        <f>IF($A467="","",ROUND($B467*$C467*$D467/MAX($F467,1),2))</f>
        <v/>
      </c>
      <c r="H467" s="15">
        <f>IF($A467="","",MAX($G467,$E467))</f>
        <v/>
      </c>
      <c r="I467" s="15">
        <f>IF($A467="","",IFERROR(SUMIF(tblAnahtarB[NormB],$A467,tblVeriB[TarifTlDesi]),0))</f>
        <v/>
      </c>
      <c r="J467" s="15">
        <f>IF($A467="","",IFERROR(SUMIF(tblAnahtarA[Norm],$A467,tblVeriA[Adet]),1))</f>
        <v/>
      </c>
      <c r="K467" s="15">
        <f>IF($A467="","",ROUND($H467*$I467,2))</f>
        <v/>
      </c>
      <c r="L467" s="15">
        <f>IF($A467="","",ROUND($K467*$J467*(1+$Q467*kdo_iadeEtkiCarpani),2))</f>
        <v/>
      </c>
      <c r="M467" s="15">
        <f>IF($A467="","",IFERROR(SUMIF(tblAnahtarB[NormB],$A467,tblVeriB[AlternatifTarif]),0))</f>
        <v/>
      </c>
      <c r="N467" s="15">
        <f>IF($A467="","",ROUND($H467*$M467*$J467*(1+$Q467*kdo_iadeEtkiCarpani),2))</f>
        <v/>
      </c>
      <c r="O467" s="15">
        <f>IF($A467="","",ROUND($L467-$N467,2))</f>
        <v/>
      </c>
      <c r="P467" s="15">
        <f>IF($A467="","",IF($R467&gt;kdo_esikDesiOran,"DESİ DÜŞÜR",IF($O467&gt;kdo_esikTasarruf,"TAŞIYICI DEĞİŞTİR","UYGUN")))</f>
        <v/>
      </c>
      <c r="Q467" s="15">
        <f>IF($A467="","",IFERROR(SUMIF(tblAnahtarB[NormB],$A467,tblVeriB[IadeOran]),0))</f>
        <v/>
      </c>
      <c r="R467" s="15">
        <f>IF(OR($A467="",$E467=0),0,$G467/$E467)</f>
        <v/>
      </c>
      <c r="S467" s="15">
        <f>IF($A467="","",$G467-$E467)</f>
        <v/>
      </c>
      <c r="T467" s="15">
        <f>IF($A467="","",$L467-$N467)</f>
        <v/>
      </c>
    </row>
    <row r="468">
      <c r="A468" s="15">
        <f>IF('ANAHTAR'!$B468="","",'ANAHTAR'!$B468)</f>
        <v/>
      </c>
      <c r="B468" s="15">
        <f>IF($A468="","",IFERROR(SUMIF(tblAnahtarA[Norm],$A468,tblVeriA[EnCm]),0))</f>
        <v/>
      </c>
      <c r="C468" s="15">
        <f>IF($A468="","",IFERROR(SUMIF(tblAnahtarA[Norm],$A468,tblVeriA[BoyCm]),0))</f>
        <v/>
      </c>
      <c r="D468" s="15">
        <f>IF($A468="","",IFERROR(SUMIF(tblAnahtarA[Norm],$A468,tblVeriA[YukseklikCm]),0))</f>
        <v/>
      </c>
      <c r="E468" s="15">
        <f>IF($A468="","",IFERROR(SUMIF(tblAnahtarA[Norm],$A468,tblVeriA[AgirlikKg]),0))</f>
        <v/>
      </c>
      <c r="F468" s="15">
        <f>IF($A468="","",IFERROR(SUMIF(tblAnahtarA[Norm],$A468,tblVeriA[DesiCarpani]),kdo_varsayilanDesiCarpani))</f>
        <v/>
      </c>
      <c r="G468" s="15">
        <f>IF($A468="","",ROUND($B468*$C468*$D468/MAX($F468,1),2))</f>
        <v/>
      </c>
      <c r="H468" s="15">
        <f>IF($A468="","",MAX($G468,$E468))</f>
        <v/>
      </c>
      <c r="I468" s="15">
        <f>IF($A468="","",IFERROR(SUMIF(tblAnahtarB[NormB],$A468,tblVeriB[TarifTlDesi]),0))</f>
        <v/>
      </c>
      <c r="J468" s="15">
        <f>IF($A468="","",IFERROR(SUMIF(tblAnahtarA[Norm],$A468,tblVeriA[Adet]),1))</f>
        <v/>
      </c>
      <c r="K468" s="15">
        <f>IF($A468="","",ROUND($H468*$I468,2))</f>
        <v/>
      </c>
      <c r="L468" s="15">
        <f>IF($A468="","",ROUND($K468*$J468*(1+$Q468*kdo_iadeEtkiCarpani),2))</f>
        <v/>
      </c>
      <c r="M468" s="15">
        <f>IF($A468="","",IFERROR(SUMIF(tblAnahtarB[NormB],$A468,tblVeriB[AlternatifTarif]),0))</f>
        <v/>
      </c>
      <c r="N468" s="15">
        <f>IF($A468="","",ROUND($H468*$M468*$J468*(1+$Q468*kdo_iadeEtkiCarpani),2))</f>
        <v/>
      </c>
      <c r="O468" s="15">
        <f>IF($A468="","",ROUND($L468-$N468,2))</f>
        <v/>
      </c>
      <c r="P468" s="15">
        <f>IF($A468="","",IF($R468&gt;kdo_esikDesiOran,"DESİ DÜŞÜR",IF($O468&gt;kdo_esikTasarruf,"TAŞIYICI DEĞİŞTİR","UYGUN")))</f>
        <v/>
      </c>
      <c r="Q468" s="15">
        <f>IF($A468="","",IFERROR(SUMIF(tblAnahtarB[NormB],$A468,tblVeriB[IadeOran]),0))</f>
        <v/>
      </c>
      <c r="R468" s="15">
        <f>IF(OR($A468="",$E468=0),0,$G468/$E468)</f>
        <v/>
      </c>
      <c r="S468" s="15">
        <f>IF($A468="","",$G468-$E468)</f>
        <v/>
      </c>
      <c r="T468" s="15">
        <f>IF($A468="","",$L468-$N468)</f>
        <v/>
      </c>
    </row>
    <row r="469">
      <c r="A469" s="15">
        <f>IF('ANAHTAR'!$B469="","",'ANAHTAR'!$B469)</f>
        <v/>
      </c>
      <c r="B469" s="15">
        <f>IF($A469="","",IFERROR(SUMIF(tblAnahtarA[Norm],$A469,tblVeriA[EnCm]),0))</f>
        <v/>
      </c>
      <c r="C469" s="15">
        <f>IF($A469="","",IFERROR(SUMIF(tblAnahtarA[Norm],$A469,tblVeriA[BoyCm]),0))</f>
        <v/>
      </c>
      <c r="D469" s="15">
        <f>IF($A469="","",IFERROR(SUMIF(tblAnahtarA[Norm],$A469,tblVeriA[YukseklikCm]),0))</f>
        <v/>
      </c>
      <c r="E469" s="15">
        <f>IF($A469="","",IFERROR(SUMIF(tblAnahtarA[Norm],$A469,tblVeriA[AgirlikKg]),0))</f>
        <v/>
      </c>
      <c r="F469" s="15">
        <f>IF($A469="","",IFERROR(SUMIF(tblAnahtarA[Norm],$A469,tblVeriA[DesiCarpani]),kdo_varsayilanDesiCarpani))</f>
        <v/>
      </c>
      <c r="G469" s="15">
        <f>IF($A469="","",ROUND($B469*$C469*$D469/MAX($F469,1),2))</f>
        <v/>
      </c>
      <c r="H469" s="15">
        <f>IF($A469="","",MAX($G469,$E469))</f>
        <v/>
      </c>
      <c r="I469" s="15">
        <f>IF($A469="","",IFERROR(SUMIF(tblAnahtarB[NormB],$A469,tblVeriB[TarifTlDesi]),0))</f>
        <v/>
      </c>
      <c r="J469" s="15">
        <f>IF($A469="","",IFERROR(SUMIF(tblAnahtarA[Norm],$A469,tblVeriA[Adet]),1))</f>
        <v/>
      </c>
      <c r="K469" s="15">
        <f>IF($A469="","",ROUND($H469*$I469,2))</f>
        <v/>
      </c>
      <c r="L469" s="15">
        <f>IF($A469="","",ROUND($K469*$J469*(1+$Q469*kdo_iadeEtkiCarpani),2))</f>
        <v/>
      </c>
      <c r="M469" s="15">
        <f>IF($A469="","",IFERROR(SUMIF(tblAnahtarB[NormB],$A469,tblVeriB[AlternatifTarif]),0))</f>
        <v/>
      </c>
      <c r="N469" s="15">
        <f>IF($A469="","",ROUND($H469*$M469*$J469*(1+$Q469*kdo_iadeEtkiCarpani),2))</f>
        <v/>
      </c>
      <c r="O469" s="15">
        <f>IF($A469="","",ROUND($L469-$N469,2))</f>
        <v/>
      </c>
      <c r="P469" s="15">
        <f>IF($A469="","",IF($R469&gt;kdo_esikDesiOran,"DESİ DÜŞÜR",IF($O469&gt;kdo_esikTasarruf,"TAŞIYICI DEĞİŞTİR","UYGUN")))</f>
        <v/>
      </c>
      <c r="Q469" s="15">
        <f>IF($A469="","",IFERROR(SUMIF(tblAnahtarB[NormB],$A469,tblVeriB[IadeOran]),0))</f>
        <v/>
      </c>
      <c r="R469" s="15">
        <f>IF(OR($A469="",$E469=0),0,$G469/$E469)</f>
        <v/>
      </c>
      <c r="S469" s="15">
        <f>IF($A469="","",$G469-$E469)</f>
        <v/>
      </c>
      <c r="T469" s="15">
        <f>IF($A469="","",$L469-$N469)</f>
        <v/>
      </c>
    </row>
    <row r="470">
      <c r="A470" s="15">
        <f>IF('ANAHTAR'!$B470="","",'ANAHTAR'!$B470)</f>
        <v/>
      </c>
      <c r="B470" s="15">
        <f>IF($A470="","",IFERROR(SUMIF(tblAnahtarA[Norm],$A470,tblVeriA[EnCm]),0))</f>
        <v/>
      </c>
      <c r="C470" s="15">
        <f>IF($A470="","",IFERROR(SUMIF(tblAnahtarA[Norm],$A470,tblVeriA[BoyCm]),0))</f>
        <v/>
      </c>
      <c r="D470" s="15">
        <f>IF($A470="","",IFERROR(SUMIF(tblAnahtarA[Norm],$A470,tblVeriA[YukseklikCm]),0))</f>
        <v/>
      </c>
      <c r="E470" s="15">
        <f>IF($A470="","",IFERROR(SUMIF(tblAnahtarA[Norm],$A470,tblVeriA[AgirlikKg]),0))</f>
        <v/>
      </c>
      <c r="F470" s="15">
        <f>IF($A470="","",IFERROR(SUMIF(tblAnahtarA[Norm],$A470,tblVeriA[DesiCarpani]),kdo_varsayilanDesiCarpani))</f>
        <v/>
      </c>
      <c r="G470" s="15">
        <f>IF($A470="","",ROUND($B470*$C470*$D470/MAX($F470,1),2))</f>
        <v/>
      </c>
      <c r="H470" s="15">
        <f>IF($A470="","",MAX($G470,$E470))</f>
        <v/>
      </c>
      <c r="I470" s="15">
        <f>IF($A470="","",IFERROR(SUMIF(tblAnahtarB[NormB],$A470,tblVeriB[TarifTlDesi]),0))</f>
        <v/>
      </c>
      <c r="J470" s="15">
        <f>IF($A470="","",IFERROR(SUMIF(tblAnahtarA[Norm],$A470,tblVeriA[Adet]),1))</f>
        <v/>
      </c>
      <c r="K470" s="15">
        <f>IF($A470="","",ROUND($H470*$I470,2))</f>
        <v/>
      </c>
      <c r="L470" s="15">
        <f>IF($A470="","",ROUND($K470*$J470*(1+$Q470*kdo_iadeEtkiCarpani),2))</f>
        <v/>
      </c>
      <c r="M470" s="15">
        <f>IF($A470="","",IFERROR(SUMIF(tblAnahtarB[NormB],$A470,tblVeriB[AlternatifTarif]),0))</f>
        <v/>
      </c>
      <c r="N470" s="15">
        <f>IF($A470="","",ROUND($H470*$M470*$J470*(1+$Q470*kdo_iadeEtkiCarpani),2))</f>
        <v/>
      </c>
      <c r="O470" s="15">
        <f>IF($A470="","",ROUND($L470-$N470,2))</f>
        <v/>
      </c>
      <c r="P470" s="15">
        <f>IF($A470="","",IF($R470&gt;kdo_esikDesiOran,"DESİ DÜŞÜR",IF($O470&gt;kdo_esikTasarruf,"TAŞIYICI DEĞİŞTİR","UYGUN")))</f>
        <v/>
      </c>
      <c r="Q470" s="15">
        <f>IF($A470="","",IFERROR(SUMIF(tblAnahtarB[NormB],$A470,tblVeriB[IadeOran]),0))</f>
        <v/>
      </c>
      <c r="R470" s="15">
        <f>IF(OR($A470="",$E470=0),0,$G470/$E470)</f>
        <v/>
      </c>
      <c r="S470" s="15">
        <f>IF($A470="","",$G470-$E470)</f>
        <v/>
      </c>
      <c r="T470" s="15">
        <f>IF($A470="","",$L470-$N470)</f>
        <v/>
      </c>
    </row>
    <row r="471">
      <c r="A471" s="15">
        <f>IF('ANAHTAR'!$B471="","",'ANAHTAR'!$B471)</f>
        <v/>
      </c>
      <c r="B471" s="15">
        <f>IF($A471="","",IFERROR(SUMIF(tblAnahtarA[Norm],$A471,tblVeriA[EnCm]),0))</f>
        <v/>
      </c>
      <c r="C471" s="15">
        <f>IF($A471="","",IFERROR(SUMIF(tblAnahtarA[Norm],$A471,tblVeriA[BoyCm]),0))</f>
        <v/>
      </c>
      <c r="D471" s="15">
        <f>IF($A471="","",IFERROR(SUMIF(tblAnahtarA[Norm],$A471,tblVeriA[YukseklikCm]),0))</f>
        <v/>
      </c>
      <c r="E471" s="15">
        <f>IF($A471="","",IFERROR(SUMIF(tblAnahtarA[Norm],$A471,tblVeriA[AgirlikKg]),0))</f>
        <v/>
      </c>
      <c r="F471" s="15">
        <f>IF($A471="","",IFERROR(SUMIF(tblAnahtarA[Norm],$A471,tblVeriA[DesiCarpani]),kdo_varsayilanDesiCarpani))</f>
        <v/>
      </c>
      <c r="G471" s="15">
        <f>IF($A471="","",ROUND($B471*$C471*$D471/MAX($F471,1),2))</f>
        <v/>
      </c>
      <c r="H471" s="15">
        <f>IF($A471="","",MAX($G471,$E471))</f>
        <v/>
      </c>
      <c r="I471" s="15">
        <f>IF($A471="","",IFERROR(SUMIF(tblAnahtarB[NormB],$A471,tblVeriB[TarifTlDesi]),0))</f>
        <v/>
      </c>
      <c r="J471" s="15">
        <f>IF($A471="","",IFERROR(SUMIF(tblAnahtarA[Norm],$A471,tblVeriA[Adet]),1))</f>
        <v/>
      </c>
      <c r="K471" s="15">
        <f>IF($A471="","",ROUND($H471*$I471,2))</f>
        <v/>
      </c>
      <c r="L471" s="15">
        <f>IF($A471="","",ROUND($K471*$J471*(1+$Q471*kdo_iadeEtkiCarpani),2))</f>
        <v/>
      </c>
      <c r="M471" s="15">
        <f>IF($A471="","",IFERROR(SUMIF(tblAnahtarB[NormB],$A471,tblVeriB[AlternatifTarif]),0))</f>
        <v/>
      </c>
      <c r="N471" s="15">
        <f>IF($A471="","",ROUND($H471*$M471*$J471*(1+$Q471*kdo_iadeEtkiCarpani),2))</f>
        <v/>
      </c>
      <c r="O471" s="15">
        <f>IF($A471="","",ROUND($L471-$N471,2))</f>
        <v/>
      </c>
      <c r="P471" s="15">
        <f>IF($A471="","",IF($R471&gt;kdo_esikDesiOran,"DESİ DÜŞÜR",IF($O471&gt;kdo_esikTasarruf,"TAŞIYICI DEĞİŞTİR","UYGUN")))</f>
        <v/>
      </c>
      <c r="Q471" s="15">
        <f>IF($A471="","",IFERROR(SUMIF(tblAnahtarB[NormB],$A471,tblVeriB[IadeOran]),0))</f>
        <v/>
      </c>
      <c r="R471" s="15">
        <f>IF(OR($A471="",$E471=0),0,$G471/$E471)</f>
        <v/>
      </c>
      <c r="S471" s="15">
        <f>IF($A471="","",$G471-$E471)</f>
        <v/>
      </c>
      <c r="T471" s="15">
        <f>IF($A471="","",$L471-$N471)</f>
        <v/>
      </c>
    </row>
    <row r="472">
      <c r="A472" s="15">
        <f>IF('ANAHTAR'!$B472="","",'ANAHTAR'!$B472)</f>
        <v/>
      </c>
      <c r="B472" s="15">
        <f>IF($A472="","",IFERROR(SUMIF(tblAnahtarA[Norm],$A472,tblVeriA[EnCm]),0))</f>
        <v/>
      </c>
      <c r="C472" s="15">
        <f>IF($A472="","",IFERROR(SUMIF(tblAnahtarA[Norm],$A472,tblVeriA[BoyCm]),0))</f>
        <v/>
      </c>
      <c r="D472" s="15">
        <f>IF($A472="","",IFERROR(SUMIF(tblAnahtarA[Norm],$A472,tblVeriA[YukseklikCm]),0))</f>
        <v/>
      </c>
      <c r="E472" s="15">
        <f>IF($A472="","",IFERROR(SUMIF(tblAnahtarA[Norm],$A472,tblVeriA[AgirlikKg]),0))</f>
        <v/>
      </c>
      <c r="F472" s="15">
        <f>IF($A472="","",IFERROR(SUMIF(tblAnahtarA[Norm],$A472,tblVeriA[DesiCarpani]),kdo_varsayilanDesiCarpani))</f>
        <v/>
      </c>
      <c r="G472" s="15">
        <f>IF($A472="","",ROUND($B472*$C472*$D472/MAX($F472,1),2))</f>
        <v/>
      </c>
      <c r="H472" s="15">
        <f>IF($A472="","",MAX($G472,$E472))</f>
        <v/>
      </c>
      <c r="I472" s="15">
        <f>IF($A472="","",IFERROR(SUMIF(tblAnahtarB[NormB],$A472,tblVeriB[TarifTlDesi]),0))</f>
        <v/>
      </c>
      <c r="J472" s="15">
        <f>IF($A472="","",IFERROR(SUMIF(tblAnahtarA[Norm],$A472,tblVeriA[Adet]),1))</f>
        <v/>
      </c>
      <c r="K472" s="15">
        <f>IF($A472="","",ROUND($H472*$I472,2))</f>
        <v/>
      </c>
      <c r="L472" s="15">
        <f>IF($A472="","",ROUND($K472*$J472*(1+$Q472*kdo_iadeEtkiCarpani),2))</f>
        <v/>
      </c>
      <c r="M472" s="15">
        <f>IF($A472="","",IFERROR(SUMIF(tblAnahtarB[NormB],$A472,tblVeriB[AlternatifTarif]),0))</f>
        <v/>
      </c>
      <c r="N472" s="15">
        <f>IF($A472="","",ROUND($H472*$M472*$J472*(1+$Q472*kdo_iadeEtkiCarpani),2))</f>
        <v/>
      </c>
      <c r="O472" s="15">
        <f>IF($A472="","",ROUND($L472-$N472,2))</f>
        <v/>
      </c>
      <c r="P472" s="15">
        <f>IF($A472="","",IF($R472&gt;kdo_esikDesiOran,"DESİ DÜŞÜR",IF($O472&gt;kdo_esikTasarruf,"TAŞIYICI DEĞİŞTİR","UYGUN")))</f>
        <v/>
      </c>
      <c r="Q472" s="15">
        <f>IF($A472="","",IFERROR(SUMIF(tblAnahtarB[NormB],$A472,tblVeriB[IadeOran]),0))</f>
        <v/>
      </c>
      <c r="R472" s="15">
        <f>IF(OR($A472="",$E472=0),0,$G472/$E472)</f>
        <v/>
      </c>
      <c r="S472" s="15">
        <f>IF($A472="","",$G472-$E472)</f>
        <v/>
      </c>
      <c r="T472" s="15">
        <f>IF($A472="","",$L472-$N472)</f>
        <v/>
      </c>
    </row>
    <row r="473">
      <c r="A473" s="15">
        <f>IF('ANAHTAR'!$B473="","",'ANAHTAR'!$B473)</f>
        <v/>
      </c>
      <c r="B473" s="15">
        <f>IF($A473="","",IFERROR(SUMIF(tblAnahtarA[Norm],$A473,tblVeriA[EnCm]),0))</f>
        <v/>
      </c>
      <c r="C473" s="15">
        <f>IF($A473="","",IFERROR(SUMIF(tblAnahtarA[Norm],$A473,tblVeriA[BoyCm]),0))</f>
        <v/>
      </c>
      <c r="D473" s="15">
        <f>IF($A473="","",IFERROR(SUMIF(tblAnahtarA[Norm],$A473,tblVeriA[YukseklikCm]),0))</f>
        <v/>
      </c>
      <c r="E473" s="15">
        <f>IF($A473="","",IFERROR(SUMIF(tblAnahtarA[Norm],$A473,tblVeriA[AgirlikKg]),0))</f>
        <v/>
      </c>
      <c r="F473" s="15">
        <f>IF($A473="","",IFERROR(SUMIF(tblAnahtarA[Norm],$A473,tblVeriA[DesiCarpani]),kdo_varsayilanDesiCarpani))</f>
        <v/>
      </c>
      <c r="G473" s="15">
        <f>IF($A473="","",ROUND($B473*$C473*$D473/MAX($F473,1),2))</f>
        <v/>
      </c>
      <c r="H473" s="15">
        <f>IF($A473="","",MAX($G473,$E473))</f>
        <v/>
      </c>
      <c r="I473" s="15">
        <f>IF($A473="","",IFERROR(SUMIF(tblAnahtarB[NormB],$A473,tblVeriB[TarifTlDesi]),0))</f>
        <v/>
      </c>
      <c r="J473" s="15">
        <f>IF($A473="","",IFERROR(SUMIF(tblAnahtarA[Norm],$A473,tblVeriA[Adet]),1))</f>
        <v/>
      </c>
      <c r="K473" s="15">
        <f>IF($A473="","",ROUND($H473*$I473,2))</f>
        <v/>
      </c>
      <c r="L473" s="15">
        <f>IF($A473="","",ROUND($K473*$J473*(1+$Q473*kdo_iadeEtkiCarpani),2))</f>
        <v/>
      </c>
      <c r="M473" s="15">
        <f>IF($A473="","",IFERROR(SUMIF(tblAnahtarB[NormB],$A473,tblVeriB[AlternatifTarif]),0))</f>
        <v/>
      </c>
      <c r="N473" s="15">
        <f>IF($A473="","",ROUND($H473*$M473*$J473*(1+$Q473*kdo_iadeEtkiCarpani),2))</f>
        <v/>
      </c>
      <c r="O473" s="15">
        <f>IF($A473="","",ROUND($L473-$N473,2))</f>
        <v/>
      </c>
      <c r="P473" s="15">
        <f>IF($A473="","",IF($R473&gt;kdo_esikDesiOran,"DESİ DÜŞÜR",IF($O473&gt;kdo_esikTasarruf,"TAŞIYICI DEĞİŞTİR","UYGUN")))</f>
        <v/>
      </c>
      <c r="Q473" s="15">
        <f>IF($A473="","",IFERROR(SUMIF(tblAnahtarB[NormB],$A473,tblVeriB[IadeOran]),0))</f>
        <v/>
      </c>
      <c r="R473" s="15">
        <f>IF(OR($A473="",$E473=0),0,$G473/$E473)</f>
        <v/>
      </c>
      <c r="S473" s="15">
        <f>IF($A473="","",$G473-$E473)</f>
        <v/>
      </c>
      <c r="T473" s="15">
        <f>IF($A473="","",$L473-$N473)</f>
        <v/>
      </c>
    </row>
    <row r="474">
      <c r="A474" s="15">
        <f>IF('ANAHTAR'!$B474="","",'ANAHTAR'!$B474)</f>
        <v/>
      </c>
      <c r="B474" s="15">
        <f>IF($A474="","",IFERROR(SUMIF(tblAnahtarA[Norm],$A474,tblVeriA[EnCm]),0))</f>
        <v/>
      </c>
      <c r="C474" s="15">
        <f>IF($A474="","",IFERROR(SUMIF(tblAnahtarA[Norm],$A474,tblVeriA[BoyCm]),0))</f>
        <v/>
      </c>
      <c r="D474" s="15">
        <f>IF($A474="","",IFERROR(SUMIF(tblAnahtarA[Norm],$A474,tblVeriA[YukseklikCm]),0))</f>
        <v/>
      </c>
      <c r="E474" s="15">
        <f>IF($A474="","",IFERROR(SUMIF(tblAnahtarA[Norm],$A474,tblVeriA[AgirlikKg]),0))</f>
        <v/>
      </c>
      <c r="F474" s="15">
        <f>IF($A474="","",IFERROR(SUMIF(tblAnahtarA[Norm],$A474,tblVeriA[DesiCarpani]),kdo_varsayilanDesiCarpani))</f>
        <v/>
      </c>
      <c r="G474" s="15">
        <f>IF($A474="","",ROUND($B474*$C474*$D474/MAX($F474,1),2))</f>
        <v/>
      </c>
      <c r="H474" s="15">
        <f>IF($A474="","",MAX($G474,$E474))</f>
        <v/>
      </c>
      <c r="I474" s="15">
        <f>IF($A474="","",IFERROR(SUMIF(tblAnahtarB[NormB],$A474,tblVeriB[TarifTlDesi]),0))</f>
        <v/>
      </c>
      <c r="J474" s="15">
        <f>IF($A474="","",IFERROR(SUMIF(tblAnahtarA[Norm],$A474,tblVeriA[Adet]),1))</f>
        <v/>
      </c>
      <c r="K474" s="15">
        <f>IF($A474="","",ROUND($H474*$I474,2))</f>
        <v/>
      </c>
      <c r="L474" s="15">
        <f>IF($A474="","",ROUND($K474*$J474*(1+$Q474*kdo_iadeEtkiCarpani),2))</f>
        <v/>
      </c>
      <c r="M474" s="15">
        <f>IF($A474="","",IFERROR(SUMIF(tblAnahtarB[NormB],$A474,tblVeriB[AlternatifTarif]),0))</f>
        <v/>
      </c>
      <c r="N474" s="15">
        <f>IF($A474="","",ROUND($H474*$M474*$J474*(1+$Q474*kdo_iadeEtkiCarpani),2))</f>
        <v/>
      </c>
      <c r="O474" s="15">
        <f>IF($A474="","",ROUND($L474-$N474,2))</f>
        <v/>
      </c>
      <c r="P474" s="15">
        <f>IF($A474="","",IF($R474&gt;kdo_esikDesiOran,"DESİ DÜŞÜR",IF($O474&gt;kdo_esikTasarruf,"TAŞIYICI DEĞİŞTİR","UYGUN")))</f>
        <v/>
      </c>
      <c r="Q474" s="15">
        <f>IF($A474="","",IFERROR(SUMIF(tblAnahtarB[NormB],$A474,tblVeriB[IadeOran]),0))</f>
        <v/>
      </c>
      <c r="R474" s="15">
        <f>IF(OR($A474="",$E474=0),0,$G474/$E474)</f>
        <v/>
      </c>
      <c r="S474" s="15">
        <f>IF($A474="","",$G474-$E474)</f>
        <v/>
      </c>
      <c r="T474" s="15">
        <f>IF($A474="","",$L474-$N474)</f>
        <v/>
      </c>
    </row>
    <row r="475">
      <c r="A475" s="15">
        <f>IF('ANAHTAR'!$B475="","",'ANAHTAR'!$B475)</f>
        <v/>
      </c>
      <c r="B475" s="15">
        <f>IF($A475="","",IFERROR(SUMIF(tblAnahtarA[Norm],$A475,tblVeriA[EnCm]),0))</f>
        <v/>
      </c>
      <c r="C475" s="15">
        <f>IF($A475="","",IFERROR(SUMIF(tblAnahtarA[Norm],$A475,tblVeriA[BoyCm]),0))</f>
        <v/>
      </c>
      <c r="D475" s="15">
        <f>IF($A475="","",IFERROR(SUMIF(tblAnahtarA[Norm],$A475,tblVeriA[YukseklikCm]),0))</f>
        <v/>
      </c>
      <c r="E475" s="15">
        <f>IF($A475="","",IFERROR(SUMIF(tblAnahtarA[Norm],$A475,tblVeriA[AgirlikKg]),0))</f>
        <v/>
      </c>
      <c r="F475" s="15">
        <f>IF($A475="","",IFERROR(SUMIF(tblAnahtarA[Norm],$A475,tblVeriA[DesiCarpani]),kdo_varsayilanDesiCarpani))</f>
        <v/>
      </c>
      <c r="G475" s="15">
        <f>IF($A475="","",ROUND($B475*$C475*$D475/MAX($F475,1),2))</f>
        <v/>
      </c>
      <c r="H475" s="15">
        <f>IF($A475="","",MAX($G475,$E475))</f>
        <v/>
      </c>
      <c r="I475" s="15">
        <f>IF($A475="","",IFERROR(SUMIF(tblAnahtarB[NormB],$A475,tblVeriB[TarifTlDesi]),0))</f>
        <v/>
      </c>
      <c r="J475" s="15">
        <f>IF($A475="","",IFERROR(SUMIF(tblAnahtarA[Norm],$A475,tblVeriA[Adet]),1))</f>
        <v/>
      </c>
      <c r="K475" s="15">
        <f>IF($A475="","",ROUND($H475*$I475,2))</f>
        <v/>
      </c>
      <c r="L475" s="15">
        <f>IF($A475="","",ROUND($K475*$J475*(1+$Q475*kdo_iadeEtkiCarpani),2))</f>
        <v/>
      </c>
      <c r="M475" s="15">
        <f>IF($A475="","",IFERROR(SUMIF(tblAnahtarB[NormB],$A475,tblVeriB[AlternatifTarif]),0))</f>
        <v/>
      </c>
      <c r="N475" s="15">
        <f>IF($A475="","",ROUND($H475*$M475*$J475*(1+$Q475*kdo_iadeEtkiCarpani),2))</f>
        <v/>
      </c>
      <c r="O475" s="15">
        <f>IF($A475="","",ROUND($L475-$N475,2))</f>
        <v/>
      </c>
      <c r="P475" s="15">
        <f>IF($A475="","",IF($R475&gt;kdo_esikDesiOran,"DESİ DÜŞÜR",IF($O475&gt;kdo_esikTasarruf,"TAŞIYICI DEĞİŞTİR","UYGUN")))</f>
        <v/>
      </c>
      <c r="Q475" s="15">
        <f>IF($A475="","",IFERROR(SUMIF(tblAnahtarB[NormB],$A475,tblVeriB[IadeOran]),0))</f>
        <v/>
      </c>
      <c r="R475" s="15">
        <f>IF(OR($A475="",$E475=0),0,$G475/$E475)</f>
        <v/>
      </c>
      <c r="S475" s="15">
        <f>IF($A475="","",$G475-$E475)</f>
        <v/>
      </c>
      <c r="T475" s="15">
        <f>IF($A475="","",$L475-$N475)</f>
        <v/>
      </c>
    </row>
    <row r="476">
      <c r="A476" s="15">
        <f>IF('ANAHTAR'!$B476="","",'ANAHTAR'!$B476)</f>
        <v/>
      </c>
      <c r="B476" s="15">
        <f>IF($A476="","",IFERROR(SUMIF(tblAnahtarA[Norm],$A476,tblVeriA[EnCm]),0))</f>
        <v/>
      </c>
      <c r="C476" s="15">
        <f>IF($A476="","",IFERROR(SUMIF(tblAnahtarA[Norm],$A476,tblVeriA[BoyCm]),0))</f>
        <v/>
      </c>
      <c r="D476" s="15">
        <f>IF($A476="","",IFERROR(SUMIF(tblAnahtarA[Norm],$A476,tblVeriA[YukseklikCm]),0))</f>
        <v/>
      </c>
      <c r="E476" s="15">
        <f>IF($A476="","",IFERROR(SUMIF(tblAnahtarA[Norm],$A476,tblVeriA[AgirlikKg]),0))</f>
        <v/>
      </c>
      <c r="F476" s="15">
        <f>IF($A476="","",IFERROR(SUMIF(tblAnahtarA[Norm],$A476,tblVeriA[DesiCarpani]),kdo_varsayilanDesiCarpani))</f>
        <v/>
      </c>
      <c r="G476" s="15">
        <f>IF($A476="","",ROUND($B476*$C476*$D476/MAX($F476,1),2))</f>
        <v/>
      </c>
      <c r="H476" s="15">
        <f>IF($A476="","",MAX($G476,$E476))</f>
        <v/>
      </c>
      <c r="I476" s="15">
        <f>IF($A476="","",IFERROR(SUMIF(tblAnahtarB[NormB],$A476,tblVeriB[TarifTlDesi]),0))</f>
        <v/>
      </c>
      <c r="J476" s="15">
        <f>IF($A476="","",IFERROR(SUMIF(tblAnahtarA[Norm],$A476,tblVeriA[Adet]),1))</f>
        <v/>
      </c>
      <c r="K476" s="15">
        <f>IF($A476="","",ROUND($H476*$I476,2))</f>
        <v/>
      </c>
      <c r="L476" s="15">
        <f>IF($A476="","",ROUND($K476*$J476*(1+$Q476*kdo_iadeEtkiCarpani),2))</f>
        <v/>
      </c>
      <c r="M476" s="15">
        <f>IF($A476="","",IFERROR(SUMIF(tblAnahtarB[NormB],$A476,tblVeriB[AlternatifTarif]),0))</f>
        <v/>
      </c>
      <c r="N476" s="15">
        <f>IF($A476="","",ROUND($H476*$M476*$J476*(1+$Q476*kdo_iadeEtkiCarpani),2))</f>
        <v/>
      </c>
      <c r="O476" s="15">
        <f>IF($A476="","",ROUND($L476-$N476,2))</f>
        <v/>
      </c>
      <c r="P476" s="15">
        <f>IF($A476="","",IF($R476&gt;kdo_esikDesiOran,"DESİ DÜŞÜR",IF($O476&gt;kdo_esikTasarruf,"TAŞIYICI DEĞİŞTİR","UYGUN")))</f>
        <v/>
      </c>
      <c r="Q476" s="15">
        <f>IF($A476="","",IFERROR(SUMIF(tblAnahtarB[NormB],$A476,tblVeriB[IadeOran]),0))</f>
        <v/>
      </c>
      <c r="R476" s="15">
        <f>IF(OR($A476="",$E476=0),0,$G476/$E476)</f>
        <v/>
      </c>
      <c r="S476" s="15">
        <f>IF($A476="","",$G476-$E476)</f>
        <v/>
      </c>
      <c r="T476" s="15">
        <f>IF($A476="","",$L476-$N476)</f>
        <v/>
      </c>
    </row>
    <row r="477">
      <c r="A477" s="15">
        <f>IF('ANAHTAR'!$B477="","",'ANAHTAR'!$B477)</f>
        <v/>
      </c>
      <c r="B477" s="15">
        <f>IF($A477="","",IFERROR(SUMIF(tblAnahtarA[Norm],$A477,tblVeriA[EnCm]),0))</f>
        <v/>
      </c>
      <c r="C477" s="15">
        <f>IF($A477="","",IFERROR(SUMIF(tblAnahtarA[Norm],$A477,tblVeriA[BoyCm]),0))</f>
        <v/>
      </c>
      <c r="D477" s="15">
        <f>IF($A477="","",IFERROR(SUMIF(tblAnahtarA[Norm],$A477,tblVeriA[YukseklikCm]),0))</f>
        <v/>
      </c>
      <c r="E477" s="15">
        <f>IF($A477="","",IFERROR(SUMIF(tblAnahtarA[Norm],$A477,tblVeriA[AgirlikKg]),0))</f>
        <v/>
      </c>
      <c r="F477" s="15">
        <f>IF($A477="","",IFERROR(SUMIF(tblAnahtarA[Norm],$A477,tblVeriA[DesiCarpani]),kdo_varsayilanDesiCarpani))</f>
        <v/>
      </c>
      <c r="G477" s="15">
        <f>IF($A477="","",ROUND($B477*$C477*$D477/MAX($F477,1),2))</f>
        <v/>
      </c>
      <c r="H477" s="15">
        <f>IF($A477="","",MAX($G477,$E477))</f>
        <v/>
      </c>
      <c r="I477" s="15">
        <f>IF($A477="","",IFERROR(SUMIF(tblAnahtarB[NormB],$A477,tblVeriB[TarifTlDesi]),0))</f>
        <v/>
      </c>
      <c r="J477" s="15">
        <f>IF($A477="","",IFERROR(SUMIF(tblAnahtarA[Norm],$A477,tblVeriA[Adet]),1))</f>
        <v/>
      </c>
      <c r="K477" s="15">
        <f>IF($A477="","",ROUND($H477*$I477,2))</f>
        <v/>
      </c>
      <c r="L477" s="15">
        <f>IF($A477="","",ROUND($K477*$J477*(1+$Q477*kdo_iadeEtkiCarpani),2))</f>
        <v/>
      </c>
      <c r="M477" s="15">
        <f>IF($A477="","",IFERROR(SUMIF(tblAnahtarB[NormB],$A477,tblVeriB[AlternatifTarif]),0))</f>
        <v/>
      </c>
      <c r="N477" s="15">
        <f>IF($A477="","",ROUND($H477*$M477*$J477*(1+$Q477*kdo_iadeEtkiCarpani),2))</f>
        <v/>
      </c>
      <c r="O477" s="15">
        <f>IF($A477="","",ROUND($L477-$N477,2))</f>
        <v/>
      </c>
      <c r="P477" s="15">
        <f>IF($A477="","",IF($R477&gt;kdo_esikDesiOran,"DESİ DÜŞÜR",IF($O477&gt;kdo_esikTasarruf,"TAŞIYICI DEĞİŞTİR","UYGUN")))</f>
        <v/>
      </c>
      <c r="Q477" s="15">
        <f>IF($A477="","",IFERROR(SUMIF(tblAnahtarB[NormB],$A477,tblVeriB[IadeOran]),0))</f>
        <v/>
      </c>
      <c r="R477" s="15">
        <f>IF(OR($A477="",$E477=0),0,$G477/$E477)</f>
        <v/>
      </c>
      <c r="S477" s="15">
        <f>IF($A477="","",$G477-$E477)</f>
        <v/>
      </c>
      <c r="T477" s="15">
        <f>IF($A477="","",$L477-$N477)</f>
        <v/>
      </c>
    </row>
    <row r="478">
      <c r="A478" s="15">
        <f>IF('ANAHTAR'!$B478="","",'ANAHTAR'!$B478)</f>
        <v/>
      </c>
      <c r="B478" s="15">
        <f>IF($A478="","",IFERROR(SUMIF(tblAnahtarA[Norm],$A478,tblVeriA[EnCm]),0))</f>
        <v/>
      </c>
      <c r="C478" s="15">
        <f>IF($A478="","",IFERROR(SUMIF(tblAnahtarA[Norm],$A478,tblVeriA[BoyCm]),0))</f>
        <v/>
      </c>
      <c r="D478" s="15">
        <f>IF($A478="","",IFERROR(SUMIF(tblAnahtarA[Norm],$A478,tblVeriA[YukseklikCm]),0))</f>
        <v/>
      </c>
      <c r="E478" s="15">
        <f>IF($A478="","",IFERROR(SUMIF(tblAnahtarA[Norm],$A478,tblVeriA[AgirlikKg]),0))</f>
        <v/>
      </c>
      <c r="F478" s="15">
        <f>IF($A478="","",IFERROR(SUMIF(tblAnahtarA[Norm],$A478,tblVeriA[DesiCarpani]),kdo_varsayilanDesiCarpani))</f>
        <v/>
      </c>
      <c r="G478" s="15">
        <f>IF($A478="","",ROUND($B478*$C478*$D478/MAX($F478,1),2))</f>
        <v/>
      </c>
      <c r="H478" s="15">
        <f>IF($A478="","",MAX($G478,$E478))</f>
        <v/>
      </c>
      <c r="I478" s="15">
        <f>IF($A478="","",IFERROR(SUMIF(tblAnahtarB[NormB],$A478,tblVeriB[TarifTlDesi]),0))</f>
        <v/>
      </c>
      <c r="J478" s="15">
        <f>IF($A478="","",IFERROR(SUMIF(tblAnahtarA[Norm],$A478,tblVeriA[Adet]),1))</f>
        <v/>
      </c>
      <c r="K478" s="15">
        <f>IF($A478="","",ROUND($H478*$I478,2))</f>
        <v/>
      </c>
      <c r="L478" s="15">
        <f>IF($A478="","",ROUND($K478*$J478*(1+$Q478*kdo_iadeEtkiCarpani),2))</f>
        <v/>
      </c>
      <c r="M478" s="15">
        <f>IF($A478="","",IFERROR(SUMIF(tblAnahtarB[NormB],$A478,tblVeriB[AlternatifTarif]),0))</f>
        <v/>
      </c>
      <c r="N478" s="15">
        <f>IF($A478="","",ROUND($H478*$M478*$J478*(1+$Q478*kdo_iadeEtkiCarpani),2))</f>
        <v/>
      </c>
      <c r="O478" s="15">
        <f>IF($A478="","",ROUND($L478-$N478,2))</f>
        <v/>
      </c>
      <c r="P478" s="15">
        <f>IF($A478="","",IF($R478&gt;kdo_esikDesiOran,"DESİ DÜŞÜR",IF($O478&gt;kdo_esikTasarruf,"TAŞIYICI DEĞİŞTİR","UYGUN")))</f>
        <v/>
      </c>
      <c r="Q478" s="15">
        <f>IF($A478="","",IFERROR(SUMIF(tblAnahtarB[NormB],$A478,tblVeriB[IadeOran]),0))</f>
        <v/>
      </c>
      <c r="R478" s="15">
        <f>IF(OR($A478="",$E478=0),0,$G478/$E478)</f>
        <v/>
      </c>
      <c r="S478" s="15">
        <f>IF($A478="","",$G478-$E478)</f>
        <v/>
      </c>
      <c r="T478" s="15">
        <f>IF($A478="","",$L478-$N478)</f>
        <v/>
      </c>
    </row>
    <row r="479">
      <c r="A479" s="15">
        <f>IF('ANAHTAR'!$B479="","",'ANAHTAR'!$B479)</f>
        <v/>
      </c>
      <c r="B479" s="15">
        <f>IF($A479="","",IFERROR(SUMIF(tblAnahtarA[Norm],$A479,tblVeriA[EnCm]),0))</f>
        <v/>
      </c>
      <c r="C479" s="15">
        <f>IF($A479="","",IFERROR(SUMIF(tblAnahtarA[Norm],$A479,tblVeriA[BoyCm]),0))</f>
        <v/>
      </c>
      <c r="D479" s="15">
        <f>IF($A479="","",IFERROR(SUMIF(tblAnahtarA[Norm],$A479,tblVeriA[YukseklikCm]),0))</f>
        <v/>
      </c>
      <c r="E479" s="15">
        <f>IF($A479="","",IFERROR(SUMIF(tblAnahtarA[Norm],$A479,tblVeriA[AgirlikKg]),0))</f>
        <v/>
      </c>
      <c r="F479" s="15">
        <f>IF($A479="","",IFERROR(SUMIF(tblAnahtarA[Norm],$A479,tblVeriA[DesiCarpani]),kdo_varsayilanDesiCarpani))</f>
        <v/>
      </c>
      <c r="G479" s="15">
        <f>IF($A479="","",ROUND($B479*$C479*$D479/MAX($F479,1),2))</f>
        <v/>
      </c>
      <c r="H479" s="15">
        <f>IF($A479="","",MAX($G479,$E479))</f>
        <v/>
      </c>
      <c r="I479" s="15">
        <f>IF($A479="","",IFERROR(SUMIF(tblAnahtarB[NormB],$A479,tblVeriB[TarifTlDesi]),0))</f>
        <v/>
      </c>
      <c r="J479" s="15">
        <f>IF($A479="","",IFERROR(SUMIF(tblAnahtarA[Norm],$A479,tblVeriA[Adet]),1))</f>
        <v/>
      </c>
      <c r="K479" s="15">
        <f>IF($A479="","",ROUND($H479*$I479,2))</f>
        <v/>
      </c>
      <c r="L479" s="15">
        <f>IF($A479="","",ROUND($K479*$J479*(1+$Q479*kdo_iadeEtkiCarpani),2))</f>
        <v/>
      </c>
      <c r="M479" s="15">
        <f>IF($A479="","",IFERROR(SUMIF(tblAnahtarB[NormB],$A479,tblVeriB[AlternatifTarif]),0))</f>
        <v/>
      </c>
      <c r="N479" s="15">
        <f>IF($A479="","",ROUND($H479*$M479*$J479*(1+$Q479*kdo_iadeEtkiCarpani),2))</f>
        <v/>
      </c>
      <c r="O479" s="15">
        <f>IF($A479="","",ROUND($L479-$N479,2))</f>
        <v/>
      </c>
      <c r="P479" s="15">
        <f>IF($A479="","",IF($R479&gt;kdo_esikDesiOran,"DESİ DÜŞÜR",IF($O479&gt;kdo_esikTasarruf,"TAŞIYICI DEĞİŞTİR","UYGUN")))</f>
        <v/>
      </c>
      <c r="Q479" s="15">
        <f>IF($A479="","",IFERROR(SUMIF(tblAnahtarB[NormB],$A479,tblVeriB[IadeOran]),0))</f>
        <v/>
      </c>
      <c r="R479" s="15">
        <f>IF(OR($A479="",$E479=0),0,$G479/$E479)</f>
        <v/>
      </c>
      <c r="S479" s="15">
        <f>IF($A479="","",$G479-$E479)</f>
        <v/>
      </c>
      <c r="T479" s="15">
        <f>IF($A479="","",$L479-$N479)</f>
        <v/>
      </c>
    </row>
    <row r="480">
      <c r="A480" s="15">
        <f>IF('ANAHTAR'!$B480="","",'ANAHTAR'!$B480)</f>
        <v/>
      </c>
      <c r="B480" s="15">
        <f>IF($A480="","",IFERROR(SUMIF(tblAnahtarA[Norm],$A480,tblVeriA[EnCm]),0))</f>
        <v/>
      </c>
      <c r="C480" s="15">
        <f>IF($A480="","",IFERROR(SUMIF(tblAnahtarA[Norm],$A480,tblVeriA[BoyCm]),0))</f>
        <v/>
      </c>
      <c r="D480" s="15">
        <f>IF($A480="","",IFERROR(SUMIF(tblAnahtarA[Norm],$A480,tblVeriA[YukseklikCm]),0))</f>
        <v/>
      </c>
      <c r="E480" s="15">
        <f>IF($A480="","",IFERROR(SUMIF(tblAnahtarA[Norm],$A480,tblVeriA[AgirlikKg]),0))</f>
        <v/>
      </c>
      <c r="F480" s="15">
        <f>IF($A480="","",IFERROR(SUMIF(tblAnahtarA[Norm],$A480,tblVeriA[DesiCarpani]),kdo_varsayilanDesiCarpani))</f>
        <v/>
      </c>
      <c r="G480" s="15">
        <f>IF($A480="","",ROUND($B480*$C480*$D480/MAX($F480,1),2))</f>
        <v/>
      </c>
      <c r="H480" s="15">
        <f>IF($A480="","",MAX($G480,$E480))</f>
        <v/>
      </c>
      <c r="I480" s="15">
        <f>IF($A480="","",IFERROR(SUMIF(tblAnahtarB[NormB],$A480,tblVeriB[TarifTlDesi]),0))</f>
        <v/>
      </c>
      <c r="J480" s="15">
        <f>IF($A480="","",IFERROR(SUMIF(tblAnahtarA[Norm],$A480,tblVeriA[Adet]),1))</f>
        <v/>
      </c>
      <c r="K480" s="15">
        <f>IF($A480="","",ROUND($H480*$I480,2))</f>
        <v/>
      </c>
      <c r="L480" s="15">
        <f>IF($A480="","",ROUND($K480*$J480*(1+$Q480*kdo_iadeEtkiCarpani),2))</f>
        <v/>
      </c>
      <c r="M480" s="15">
        <f>IF($A480="","",IFERROR(SUMIF(tblAnahtarB[NormB],$A480,tblVeriB[AlternatifTarif]),0))</f>
        <v/>
      </c>
      <c r="N480" s="15">
        <f>IF($A480="","",ROUND($H480*$M480*$J480*(1+$Q480*kdo_iadeEtkiCarpani),2))</f>
        <v/>
      </c>
      <c r="O480" s="15">
        <f>IF($A480="","",ROUND($L480-$N480,2))</f>
        <v/>
      </c>
      <c r="P480" s="15">
        <f>IF($A480="","",IF($R480&gt;kdo_esikDesiOran,"DESİ DÜŞÜR",IF($O480&gt;kdo_esikTasarruf,"TAŞIYICI DEĞİŞTİR","UYGUN")))</f>
        <v/>
      </c>
      <c r="Q480" s="15">
        <f>IF($A480="","",IFERROR(SUMIF(tblAnahtarB[NormB],$A480,tblVeriB[IadeOran]),0))</f>
        <v/>
      </c>
      <c r="R480" s="15">
        <f>IF(OR($A480="",$E480=0),0,$G480/$E480)</f>
        <v/>
      </c>
      <c r="S480" s="15">
        <f>IF($A480="","",$G480-$E480)</f>
        <v/>
      </c>
      <c r="T480" s="15">
        <f>IF($A480="","",$L480-$N480)</f>
        <v/>
      </c>
    </row>
    <row r="481">
      <c r="A481" s="15">
        <f>IF('ANAHTAR'!$B481="","",'ANAHTAR'!$B481)</f>
        <v/>
      </c>
      <c r="B481" s="15">
        <f>IF($A481="","",IFERROR(SUMIF(tblAnahtarA[Norm],$A481,tblVeriA[EnCm]),0))</f>
        <v/>
      </c>
      <c r="C481" s="15">
        <f>IF($A481="","",IFERROR(SUMIF(tblAnahtarA[Norm],$A481,tblVeriA[BoyCm]),0))</f>
        <v/>
      </c>
      <c r="D481" s="15">
        <f>IF($A481="","",IFERROR(SUMIF(tblAnahtarA[Norm],$A481,tblVeriA[YukseklikCm]),0))</f>
        <v/>
      </c>
      <c r="E481" s="15">
        <f>IF($A481="","",IFERROR(SUMIF(tblAnahtarA[Norm],$A481,tblVeriA[AgirlikKg]),0))</f>
        <v/>
      </c>
      <c r="F481" s="15">
        <f>IF($A481="","",IFERROR(SUMIF(tblAnahtarA[Norm],$A481,tblVeriA[DesiCarpani]),kdo_varsayilanDesiCarpani))</f>
        <v/>
      </c>
      <c r="G481" s="15">
        <f>IF($A481="","",ROUND($B481*$C481*$D481/MAX($F481,1),2))</f>
        <v/>
      </c>
      <c r="H481" s="15">
        <f>IF($A481="","",MAX($G481,$E481))</f>
        <v/>
      </c>
      <c r="I481" s="15">
        <f>IF($A481="","",IFERROR(SUMIF(tblAnahtarB[NormB],$A481,tblVeriB[TarifTlDesi]),0))</f>
        <v/>
      </c>
      <c r="J481" s="15">
        <f>IF($A481="","",IFERROR(SUMIF(tblAnahtarA[Norm],$A481,tblVeriA[Adet]),1))</f>
        <v/>
      </c>
      <c r="K481" s="15">
        <f>IF($A481="","",ROUND($H481*$I481,2))</f>
        <v/>
      </c>
      <c r="L481" s="15">
        <f>IF($A481="","",ROUND($K481*$J481*(1+$Q481*kdo_iadeEtkiCarpani),2))</f>
        <v/>
      </c>
      <c r="M481" s="15">
        <f>IF($A481="","",IFERROR(SUMIF(tblAnahtarB[NormB],$A481,tblVeriB[AlternatifTarif]),0))</f>
        <v/>
      </c>
      <c r="N481" s="15">
        <f>IF($A481="","",ROUND($H481*$M481*$J481*(1+$Q481*kdo_iadeEtkiCarpani),2))</f>
        <v/>
      </c>
      <c r="O481" s="15">
        <f>IF($A481="","",ROUND($L481-$N481,2))</f>
        <v/>
      </c>
      <c r="P481" s="15">
        <f>IF($A481="","",IF($R481&gt;kdo_esikDesiOran,"DESİ DÜŞÜR",IF($O481&gt;kdo_esikTasarruf,"TAŞIYICI DEĞİŞTİR","UYGUN")))</f>
        <v/>
      </c>
      <c r="Q481" s="15">
        <f>IF($A481="","",IFERROR(SUMIF(tblAnahtarB[NormB],$A481,tblVeriB[IadeOran]),0))</f>
        <v/>
      </c>
      <c r="R481" s="15">
        <f>IF(OR($A481="",$E481=0),0,$G481/$E481)</f>
        <v/>
      </c>
      <c r="S481" s="15">
        <f>IF($A481="","",$G481-$E481)</f>
        <v/>
      </c>
      <c r="T481" s="15">
        <f>IF($A481="","",$L481-$N481)</f>
        <v/>
      </c>
    </row>
    <row r="482">
      <c r="A482" s="15">
        <f>IF('ANAHTAR'!$B482="","",'ANAHTAR'!$B482)</f>
        <v/>
      </c>
      <c r="B482" s="15">
        <f>IF($A482="","",IFERROR(SUMIF(tblAnahtarA[Norm],$A482,tblVeriA[EnCm]),0))</f>
        <v/>
      </c>
      <c r="C482" s="15">
        <f>IF($A482="","",IFERROR(SUMIF(tblAnahtarA[Norm],$A482,tblVeriA[BoyCm]),0))</f>
        <v/>
      </c>
      <c r="D482" s="15">
        <f>IF($A482="","",IFERROR(SUMIF(tblAnahtarA[Norm],$A482,tblVeriA[YukseklikCm]),0))</f>
        <v/>
      </c>
      <c r="E482" s="15">
        <f>IF($A482="","",IFERROR(SUMIF(tblAnahtarA[Norm],$A482,tblVeriA[AgirlikKg]),0))</f>
        <v/>
      </c>
      <c r="F482" s="15">
        <f>IF($A482="","",IFERROR(SUMIF(tblAnahtarA[Norm],$A482,tblVeriA[DesiCarpani]),kdo_varsayilanDesiCarpani))</f>
        <v/>
      </c>
      <c r="G482" s="15">
        <f>IF($A482="","",ROUND($B482*$C482*$D482/MAX($F482,1),2))</f>
        <v/>
      </c>
      <c r="H482" s="15">
        <f>IF($A482="","",MAX($G482,$E482))</f>
        <v/>
      </c>
      <c r="I482" s="15">
        <f>IF($A482="","",IFERROR(SUMIF(tblAnahtarB[NormB],$A482,tblVeriB[TarifTlDesi]),0))</f>
        <v/>
      </c>
      <c r="J482" s="15">
        <f>IF($A482="","",IFERROR(SUMIF(tblAnahtarA[Norm],$A482,tblVeriA[Adet]),1))</f>
        <v/>
      </c>
      <c r="K482" s="15">
        <f>IF($A482="","",ROUND($H482*$I482,2))</f>
        <v/>
      </c>
      <c r="L482" s="15">
        <f>IF($A482="","",ROUND($K482*$J482*(1+$Q482*kdo_iadeEtkiCarpani),2))</f>
        <v/>
      </c>
      <c r="M482" s="15">
        <f>IF($A482="","",IFERROR(SUMIF(tblAnahtarB[NormB],$A482,tblVeriB[AlternatifTarif]),0))</f>
        <v/>
      </c>
      <c r="N482" s="15">
        <f>IF($A482="","",ROUND($H482*$M482*$J482*(1+$Q482*kdo_iadeEtkiCarpani),2))</f>
        <v/>
      </c>
      <c r="O482" s="15">
        <f>IF($A482="","",ROUND($L482-$N482,2))</f>
        <v/>
      </c>
      <c r="P482" s="15">
        <f>IF($A482="","",IF($R482&gt;kdo_esikDesiOran,"DESİ DÜŞÜR",IF($O482&gt;kdo_esikTasarruf,"TAŞIYICI DEĞİŞTİR","UYGUN")))</f>
        <v/>
      </c>
      <c r="Q482" s="15">
        <f>IF($A482="","",IFERROR(SUMIF(tblAnahtarB[NormB],$A482,tblVeriB[IadeOran]),0))</f>
        <v/>
      </c>
      <c r="R482" s="15">
        <f>IF(OR($A482="",$E482=0),0,$G482/$E482)</f>
        <v/>
      </c>
      <c r="S482" s="15">
        <f>IF($A482="","",$G482-$E482)</f>
        <v/>
      </c>
      <c r="T482" s="15">
        <f>IF($A482="","",$L482-$N482)</f>
        <v/>
      </c>
    </row>
    <row r="483">
      <c r="A483" s="15">
        <f>IF('ANAHTAR'!$B483="","",'ANAHTAR'!$B483)</f>
        <v/>
      </c>
      <c r="B483" s="15">
        <f>IF($A483="","",IFERROR(SUMIF(tblAnahtarA[Norm],$A483,tblVeriA[EnCm]),0))</f>
        <v/>
      </c>
      <c r="C483" s="15">
        <f>IF($A483="","",IFERROR(SUMIF(tblAnahtarA[Norm],$A483,tblVeriA[BoyCm]),0))</f>
        <v/>
      </c>
      <c r="D483" s="15">
        <f>IF($A483="","",IFERROR(SUMIF(tblAnahtarA[Norm],$A483,tblVeriA[YukseklikCm]),0))</f>
        <v/>
      </c>
      <c r="E483" s="15">
        <f>IF($A483="","",IFERROR(SUMIF(tblAnahtarA[Norm],$A483,tblVeriA[AgirlikKg]),0))</f>
        <v/>
      </c>
      <c r="F483" s="15">
        <f>IF($A483="","",IFERROR(SUMIF(tblAnahtarA[Norm],$A483,tblVeriA[DesiCarpani]),kdo_varsayilanDesiCarpani))</f>
        <v/>
      </c>
      <c r="G483" s="15">
        <f>IF($A483="","",ROUND($B483*$C483*$D483/MAX($F483,1),2))</f>
        <v/>
      </c>
      <c r="H483" s="15">
        <f>IF($A483="","",MAX($G483,$E483))</f>
        <v/>
      </c>
      <c r="I483" s="15">
        <f>IF($A483="","",IFERROR(SUMIF(tblAnahtarB[NormB],$A483,tblVeriB[TarifTlDesi]),0))</f>
        <v/>
      </c>
      <c r="J483" s="15">
        <f>IF($A483="","",IFERROR(SUMIF(tblAnahtarA[Norm],$A483,tblVeriA[Adet]),1))</f>
        <v/>
      </c>
      <c r="K483" s="15">
        <f>IF($A483="","",ROUND($H483*$I483,2))</f>
        <v/>
      </c>
      <c r="L483" s="15">
        <f>IF($A483="","",ROUND($K483*$J483*(1+$Q483*kdo_iadeEtkiCarpani),2))</f>
        <v/>
      </c>
      <c r="M483" s="15">
        <f>IF($A483="","",IFERROR(SUMIF(tblAnahtarB[NormB],$A483,tblVeriB[AlternatifTarif]),0))</f>
        <v/>
      </c>
      <c r="N483" s="15">
        <f>IF($A483="","",ROUND($H483*$M483*$J483*(1+$Q483*kdo_iadeEtkiCarpani),2))</f>
        <v/>
      </c>
      <c r="O483" s="15">
        <f>IF($A483="","",ROUND($L483-$N483,2))</f>
        <v/>
      </c>
      <c r="P483" s="15">
        <f>IF($A483="","",IF($R483&gt;kdo_esikDesiOran,"DESİ DÜŞÜR",IF($O483&gt;kdo_esikTasarruf,"TAŞIYICI DEĞİŞTİR","UYGUN")))</f>
        <v/>
      </c>
      <c r="Q483" s="15">
        <f>IF($A483="","",IFERROR(SUMIF(tblAnahtarB[NormB],$A483,tblVeriB[IadeOran]),0))</f>
        <v/>
      </c>
      <c r="R483" s="15">
        <f>IF(OR($A483="",$E483=0),0,$G483/$E483)</f>
        <v/>
      </c>
      <c r="S483" s="15">
        <f>IF($A483="","",$G483-$E483)</f>
        <v/>
      </c>
      <c r="T483" s="15">
        <f>IF($A483="","",$L483-$N483)</f>
        <v/>
      </c>
    </row>
    <row r="484">
      <c r="A484" s="15">
        <f>IF('ANAHTAR'!$B484="","",'ANAHTAR'!$B484)</f>
        <v/>
      </c>
      <c r="B484" s="15">
        <f>IF($A484="","",IFERROR(SUMIF(tblAnahtarA[Norm],$A484,tblVeriA[EnCm]),0))</f>
        <v/>
      </c>
      <c r="C484" s="15">
        <f>IF($A484="","",IFERROR(SUMIF(tblAnahtarA[Norm],$A484,tblVeriA[BoyCm]),0))</f>
        <v/>
      </c>
      <c r="D484" s="15">
        <f>IF($A484="","",IFERROR(SUMIF(tblAnahtarA[Norm],$A484,tblVeriA[YukseklikCm]),0))</f>
        <v/>
      </c>
      <c r="E484" s="15">
        <f>IF($A484="","",IFERROR(SUMIF(tblAnahtarA[Norm],$A484,tblVeriA[AgirlikKg]),0))</f>
        <v/>
      </c>
      <c r="F484" s="15">
        <f>IF($A484="","",IFERROR(SUMIF(tblAnahtarA[Norm],$A484,tblVeriA[DesiCarpani]),kdo_varsayilanDesiCarpani))</f>
        <v/>
      </c>
      <c r="G484" s="15">
        <f>IF($A484="","",ROUND($B484*$C484*$D484/MAX($F484,1),2))</f>
        <v/>
      </c>
      <c r="H484" s="15">
        <f>IF($A484="","",MAX($G484,$E484))</f>
        <v/>
      </c>
      <c r="I484" s="15">
        <f>IF($A484="","",IFERROR(SUMIF(tblAnahtarB[NormB],$A484,tblVeriB[TarifTlDesi]),0))</f>
        <v/>
      </c>
      <c r="J484" s="15">
        <f>IF($A484="","",IFERROR(SUMIF(tblAnahtarA[Norm],$A484,tblVeriA[Adet]),1))</f>
        <v/>
      </c>
      <c r="K484" s="15">
        <f>IF($A484="","",ROUND($H484*$I484,2))</f>
        <v/>
      </c>
      <c r="L484" s="15">
        <f>IF($A484="","",ROUND($K484*$J484*(1+$Q484*kdo_iadeEtkiCarpani),2))</f>
        <v/>
      </c>
      <c r="M484" s="15">
        <f>IF($A484="","",IFERROR(SUMIF(tblAnahtarB[NormB],$A484,tblVeriB[AlternatifTarif]),0))</f>
        <v/>
      </c>
      <c r="N484" s="15">
        <f>IF($A484="","",ROUND($H484*$M484*$J484*(1+$Q484*kdo_iadeEtkiCarpani),2))</f>
        <v/>
      </c>
      <c r="O484" s="15">
        <f>IF($A484="","",ROUND($L484-$N484,2))</f>
        <v/>
      </c>
      <c r="P484" s="15">
        <f>IF($A484="","",IF($R484&gt;kdo_esikDesiOran,"DESİ DÜŞÜR",IF($O484&gt;kdo_esikTasarruf,"TAŞIYICI DEĞİŞTİR","UYGUN")))</f>
        <v/>
      </c>
      <c r="Q484" s="15">
        <f>IF($A484="","",IFERROR(SUMIF(tblAnahtarB[NormB],$A484,tblVeriB[IadeOran]),0))</f>
        <v/>
      </c>
      <c r="R484" s="15">
        <f>IF(OR($A484="",$E484=0),0,$G484/$E484)</f>
        <v/>
      </c>
      <c r="S484" s="15">
        <f>IF($A484="","",$G484-$E484)</f>
        <v/>
      </c>
      <c r="T484" s="15">
        <f>IF($A484="","",$L484-$N484)</f>
        <v/>
      </c>
    </row>
    <row r="485">
      <c r="A485" s="15">
        <f>IF('ANAHTAR'!$B485="","",'ANAHTAR'!$B485)</f>
        <v/>
      </c>
      <c r="B485" s="15">
        <f>IF($A485="","",IFERROR(SUMIF(tblAnahtarA[Norm],$A485,tblVeriA[EnCm]),0))</f>
        <v/>
      </c>
      <c r="C485" s="15">
        <f>IF($A485="","",IFERROR(SUMIF(tblAnahtarA[Norm],$A485,tblVeriA[BoyCm]),0))</f>
        <v/>
      </c>
      <c r="D485" s="15">
        <f>IF($A485="","",IFERROR(SUMIF(tblAnahtarA[Norm],$A485,tblVeriA[YukseklikCm]),0))</f>
        <v/>
      </c>
      <c r="E485" s="15">
        <f>IF($A485="","",IFERROR(SUMIF(tblAnahtarA[Norm],$A485,tblVeriA[AgirlikKg]),0))</f>
        <v/>
      </c>
      <c r="F485" s="15">
        <f>IF($A485="","",IFERROR(SUMIF(tblAnahtarA[Norm],$A485,tblVeriA[DesiCarpani]),kdo_varsayilanDesiCarpani))</f>
        <v/>
      </c>
      <c r="G485" s="15">
        <f>IF($A485="","",ROUND($B485*$C485*$D485/MAX($F485,1),2))</f>
        <v/>
      </c>
      <c r="H485" s="15">
        <f>IF($A485="","",MAX($G485,$E485))</f>
        <v/>
      </c>
      <c r="I485" s="15">
        <f>IF($A485="","",IFERROR(SUMIF(tblAnahtarB[NormB],$A485,tblVeriB[TarifTlDesi]),0))</f>
        <v/>
      </c>
      <c r="J485" s="15">
        <f>IF($A485="","",IFERROR(SUMIF(tblAnahtarA[Norm],$A485,tblVeriA[Adet]),1))</f>
        <v/>
      </c>
      <c r="K485" s="15">
        <f>IF($A485="","",ROUND($H485*$I485,2))</f>
        <v/>
      </c>
      <c r="L485" s="15">
        <f>IF($A485="","",ROUND($K485*$J485*(1+$Q485*kdo_iadeEtkiCarpani),2))</f>
        <v/>
      </c>
      <c r="M485" s="15">
        <f>IF($A485="","",IFERROR(SUMIF(tblAnahtarB[NormB],$A485,tblVeriB[AlternatifTarif]),0))</f>
        <v/>
      </c>
      <c r="N485" s="15">
        <f>IF($A485="","",ROUND($H485*$M485*$J485*(1+$Q485*kdo_iadeEtkiCarpani),2))</f>
        <v/>
      </c>
      <c r="O485" s="15">
        <f>IF($A485="","",ROUND($L485-$N485,2))</f>
        <v/>
      </c>
      <c r="P485" s="15">
        <f>IF($A485="","",IF($R485&gt;kdo_esikDesiOran,"DESİ DÜŞÜR",IF($O485&gt;kdo_esikTasarruf,"TAŞIYICI DEĞİŞTİR","UYGUN")))</f>
        <v/>
      </c>
      <c r="Q485" s="15">
        <f>IF($A485="","",IFERROR(SUMIF(tblAnahtarB[NormB],$A485,tblVeriB[IadeOran]),0))</f>
        <v/>
      </c>
      <c r="R485" s="15">
        <f>IF(OR($A485="",$E485=0),0,$G485/$E485)</f>
        <v/>
      </c>
      <c r="S485" s="15">
        <f>IF($A485="","",$G485-$E485)</f>
        <v/>
      </c>
      <c r="T485" s="15">
        <f>IF($A485="","",$L485-$N485)</f>
        <v/>
      </c>
    </row>
    <row r="486">
      <c r="A486" s="15">
        <f>IF('ANAHTAR'!$B486="","",'ANAHTAR'!$B486)</f>
        <v/>
      </c>
      <c r="B486" s="15">
        <f>IF($A486="","",IFERROR(SUMIF(tblAnahtarA[Norm],$A486,tblVeriA[EnCm]),0))</f>
        <v/>
      </c>
      <c r="C486" s="15">
        <f>IF($A486="","",IFERROR(SUMIF(tblAnahtarA[Norm],$A486,tblVeriA[BoyCm]),0))</f>
        <v/>
      </c>
      <c r="D486" s="15">
        <f>IF($A486="","",IFERROR(SUMIF(tblAnahtarA[Norm],$A486,tblVeriA[YukseklikCm]),0))</f>
        <v/>
      </c>
      <c r="E486" s="15">
        <f>IF($A486="","",IFERROR(SUMIF(tblAnahtarA[Norm],$A486,tblVeriA[AgirlikKg]),0))</f>
        <v/>
      </c>
      <c r="F486" s="15">
        <f>IF($A486="","",IFERROR(SUMIF(tblAnahtarA[Norm],$A486,tblVeriA[DesiCarpani]),kdo_varsayilanDesiCarpani))</f>
        <v/>
      </c>
      <c r="G486" s="15">
        <f>IF($A486="","",ROUND($B486*$C486*$D486/MAX($F486,1),2))</f>
        <v/>
      </c>
      <c r="H486" s="15">
        <f>IF($A486="","",MAX($G486,$E486))</f>
        <v/>
      </c>
      <c r="I486" s="15">
        <f>IF($A486="","",IFERROR(SUMIF(tblAnahtarB[NormB],$A486,tblVeriB[TarifTlDesi]),0))</f>
        <v/>
      </c>
      <c r="J486" s="15">
        <f>IF($A486="","",IFERROR(SUMIF(tblAnahtarA[Norm],$A486,tblVeriA[Adet]),1))</f>
        <v/>
      </c>
      <c r="K486" s="15">
        <f>IF($A486="","",ROUND($H486*$I486,2))</f>
        <v/>
      </c>
      <c r="L486" s="15">
        <f>IF($A486="","",ROUND($K486*$J486*(1+$Q486*kdo_iadeEtkiCarpani),2))</f>
        <v/>
      </c>
      <c r="M486" s="15">
        <f>IF($A486="","",IFERROR(SUMIF(tblAnahtarB[NormB],$A486,tblVeriB[AlternatifTarif]),0))</f>
        <v/>
      </c>
      <c r="N486" s="15">
        <f>IF($A486="","",ROUND($H486*$M486*$J486*(1+$Q486*kdo_iadeEtkiCarpani),2))</f>
        <v/>
      </c>
      <c r="O486" s="15">
        <f>IF($A486="","",ROUND($L486-$N486,2))</f>
        <v/>
      </c>
      <c r="P486" s="15">
        <f>IF($A486="","",IF($R486&gt;kdo_esikDesiOran,"DESİ DÜŞÜR",IF($O486&gt;kdo_esikTasarruf,"TAŞIYICI DEĞİŞTİR","UYGUN")))</f>
        <v/>
      </c>
      <c r="Q486" s="15">
        <f>IF($A486="","",IFERROR(SUMIF(tblAnahtarB[NormB],$A486,tblVeriB[IadeOran]),0))</f>
        <v/>
      </c>
      <c r="R486" s="15">
        <f>IF(OR($A486="",$E486=0),0,$G486/$E486)</f>
        <v/>
      </c>
      <c r="S486" s="15">
        <f>IF($A486="","",$G486-$E486)</f>
        <v/>
      </c>
      <c r="T486" s="15">
        <f>IF($A486="","",$L486-$N486)</f>
        <v/>
      </c>
    </row>
    <row r="487">
      <c r="A487" s="15">
        <f>IF('ANAHTAR'!$B487="","",'ANAHTAR'!$B487)</f>
        <v/>
      </c>
      <c r="B487" s="15">
        <f>IF($A487="","",IFERROR(SUMIF(tblAnahtarA[Norm],$A487,tblVeriA[EnCm]),0))</f>
        <v/>
      </c>
      <c r="C487" s="15">
        <f>IF($A487="","",IFERROR(SUMIF(tblAnahtarA[Norm],$A487,tblVeriA[BoyCm]),0))</f>
        <v/>
      </c>
      <c r="D487" s="15">
        <f>IF($A487="","",IFERROR(SUMIF(tblAnahtarA[Norm],$A487,tblVeriA[YukseklikCm]),0))</f>
        <v/>
      </c>
      <c r="E487" s="15">
        <f>IF($A487="","",IFERROR(SUMIF(tblAnahtarA[Norm],$A487,tblVeriA[AgirlikKg]),0))</f>
        <v/>
      </c>
      <c r="F487" s="15">
        <f>IF($A487="","",IFERROR(SUMIF(tblAnahtarA[Norm],$A487,tblVeriA[DesiCarpani]),kdo_varsayilanDesiCarpani))</f>
        <v/>
      </c>
      <c r="G487" s="15">
        <f>IF($A487="","",ROUND($B487*$C487*$D487/MAX($F487,1),2))</f>
        <v/>
      </c>
      <c r="H487" s="15">
        <f>IF($A487="","",MAX($G487,$E487))</f>
        <v/>
      </c>
      <c r="I487" s="15">
        <f>IF($A487="","",IFERROR(SUMIF(tblAnahtarB[NormB],$A487,tblVeriB[TarifTlDesi]),0))</f>
        <v/>
      </c>
      <c r="J487" s="15">
        <f>IF($A487="","",IFERROR(SUMIF(tblAnahtarA[Norm],$A487,tblVeriA[Adet]),1))</f>
        <v/>
      </c>
      <c r="K487" s="15">
        <f>IF($A487="","",ROUND($H487*$I487,2))</f>
        <v/>
      </c>
      <c r="L487" s="15">
        <f>IF($A487="","",ROUND($K487*$J487*(1+$Q487*kdo_iadeEtkiCarpani),2))</f>
        <v/>
      </c>
      <c r="M487" s="15">
        <f>IF($A487="","",IFERROR(SUMIF(tblAnahtarB[NormB],$A487,tblVeriB[AlternatifTarif]),0))</f>
        <v/>
      </c>
      <c r="N487" s="15">
        <f>IF($A487="","",ROUND($H487*$M487*$J487*(1+$Q487*kdo_iadeEtkiCarpani),2))</f>
        <v/>
      </c>
      <c r="O487" s="15">
        <f>IF($A487="","",ROUND($L487-$N487,2))</f>
        <v/>
      </c>
      <c r="P487" s="15">
        <f>IF($A487="","",IF($R487&gt;kdo_esikDesiOran,"DESİ DÜŞÜR",IF($O487&gt;kdo_esikTasarruf,"TAŞIYICI DEĞİŞTİR","UYGUN")))</f>
        <v/>
      </c>
      <c r="Q487" s="15">
        <f>IF($A487="","",IFERROR(SUMIF(tblAnahtarB[NormB],$A487,tblVeriB[IadeOran]),0))</f>
        <v/>
      </c>
      <c r="R487" s="15">
        <f>IF(OR($A487="",$E487=0),0,$G487/$E487)</f>
        <v/>
      </c>
      <c r="S487" s="15">
        <f>IF($A487="","",$G487-$E487)</f>
        <v/>
      </c>
      <c r="T487" s="15">
        <f>IF($A487="","",$L487-$N487)</f>
        <v/>
      </c>
    </row>
    <row r="488">
      <c r="A488" s="15">
        <f>IF('ANAHTAR'!$B488="","",'ANAHTAR'!$B488)</f>
        <v/>
      </c>
      <c r="B488" s="15">
        <f>IF($A488="","",IFERROR(SUMIF(tblAnahtarA[Norm],$A488,tblVeriA[EnCm]),0))</f>
        <v/>
      </c>
      <c r="C488" s="15">
        <f>IF($A488="","",IFERROR(SUMIF(tblAnahtarA[Norm],$A488,tblVeriA[BoyCm]),0))</f>
        <v/>
      </c>
      <c r="D488" s="15">
        <f>IF($A488="","",IFERROR(SUMIF(tblAnahtarA[Norm],$A488,tblVeriA[YukseklikCm]),0))</f>
        <v/>
      </c>
      <c r="E488" s="15">
        <f>IF($A488="","",IFERROR(SUMIF(tblAnahtarA[Norm],$A488,tblVeriA[AgirlikKg]),0))</f>
        <v/>
      </c>
      <c r="F488" s="15">
        <f>IF($A488="","",IFERROR(SUMIF(tblAnahtarA[Norm],$A488,tblVeriA[DesiCarpani]),kdo_varsayilanDesiCarpani))</f>
        <v/>
      </c>
      <c r="G488" s="15">
        <f>IF($A488="","",ROUND($B488*$C488*$D488/MAX($F488,1),2))</f>
        <v/>
      </c>
      <c r="H488" s="15">
        <f>IF($A488="","",MAX($G488,$E488))</f>
        <v/>
      </c>
      <c r="I488" s="15">
        <f>IF($A488="","",IFERROR(SUMIF(tblAnahtarB[NormB],$A488,tblVeriB[TarifTlDesi]),0))</f>
        <v/>
      </c>
      <c r="J488" s="15">
        <f>IF($A488="","",IFERROR(SUMIF(tblAnahtarA[Norm],$A488,tblVeriA[Adet]),1))</f>
        <v/>
      </c>
      <c r="K488" s="15">
        <f>IF($A488="","",ROUND($H488*$I488,2))</f>
        <v/>
      </c>
      <c r="L488" s="15">
        <f>IF($A488="","",ROUND($K488*$J488*(1+$Q488*kdo_iadeEtkiCarpani),2))</f>
        <v/>
      </c>
      <c r="M488" s="15">
        <f>IF($A488="","",IFERROR(SUMIF(tblAnahtarB[NormB],$A488,tblVeriB[AlternatifTarif]),0))</f>
        <v/>
      </c>
      <c r="N488" s="15">
        <f>IF($A488="","",ROUND($H488*$M488*$J488*(1+$Q488*kdo_iadeEtkiCarpani),2))</f>
        <v/>
      </c>
      <c r="O488" s="15">
        <f>IF($A488="","",ROUND($L488-$N488,2))</f>
        <v/>
      </c>
      <c r="P488" s="15">
        <f>IF($A488="","",IF($R488&gt;kdo_esikDesiOran,"DESİ DÜŞÜR",IF($O488&gt;kdo_esikTasarruf,"TAŞIYICI DEĞİŞTİR","UYGUN")))</f>
        <v/>
      </c>
      <c r="Q488" s="15">
        <f>IF($A488="","",IFERROR(SUMIF(tblAnahtarB[NormB],$A488,tblVeriB[IadeOran]),0))</f>
        <v/>
      </c>
      <c r="R488" s="15">
        <f>IF(OR($A488="",$E488=0),0,$G488/$E488)</f>
        <v/>
      </c>
      <c r="S488" s="15">
        <f>IF($A488="","",$G488-$E488)</f>
        <v/>
      </c>
      <c r="T488" s="15">
        <f>IF($A488="","",$L488-$N488)</f>
        <v/>
      </c>
    </row>
    <row r="489">
      <c r="A489" s="15">
        <f>IF('ANAHTAR'!$B489="","",'ANAHTAR'!$B489)</f>
        <v/>
      </c>
      <c r="B489" s="15">
        <f>IF($A489="","",IFERROR(SUMIF(tblAnahtarA[Norm],$A489,tblVeriA[EnCm]),0))</f>
        <v/>
      </c>
      <c r="C489" s="15">
        <f>IF($A489="","",IFERROR(SUMIF(tblAnahtarA[Norm],$A489,tblVeriA[BoyCm]),0))</f>
        <v/>
      </c>
      <c r="D489" s="15">
        <f>IF($A489="","",IFERROR(SUMIF(tblAnahtarA[Norm],$A489,tblVeriA[YukseklikCm]),0))</f>
        <v/>
      </c>
      <c r="E489" s="15">
        <f>IF($A489="","",IFERROR(SUMIF(tblAnahtarA[Norm],$A489,tblVeriA[AgirlikKg]),0))</f>
        <v/>
      </c>
      <c r="F489" s="15">
        <f>IF($A489="","",IFERROR(SUMIF(tblAnahtarA[Norm],$A489,tblVeriA[DesiCarpani]),kdo_varsayilanDesiCarpani))</f>
        <v/>
      </c>
      <c r="G489" s="15">
        <f>IF($A489="","",ROUND($B489*$C489*$D489/MAX($F489,1),2))</f>
        <v/>
      </c>
      <c r="H489" s="15">
        <f>IF($A489="","",MAX($G489,$E489))</f>
        <v/>
      </c>
      <c r="I489" s="15">
        <f>IF($A489="","",IFERROR(SUMIF(tblAnahtarB[NormB],$A489,tblVeriB[TarifTlDesi]),0))</f>
        <v/>
      </c>
      <c r="J489" s="15">
        <f>IF($A489="","",IFERROR(SUMIF(tblAnahtarA[Norm],$A489,tblVeriA[Adet]),1))</f>
        <v/>
      </c>
      <c r="K489" s="15">
        <f>IF($A489="","",ROUND($H489*$I489,2))</f>
        <v/>
      </c>
      <c r="L489" s="15">
        <f>IF($A489="","",ROUND($K489*$J489*(1+$Q489*kdo_iadeEtkiCarpani),2))</f>
        <v/>
      </c>
      <c r="M489" s="15">
        <f>IF($A489="","",IFERROR(SUMIF(tblAnahtarB[NormB],$A489,tblVeriB[AlternatifTarif]),0))</f>
        <v/>
      </c>
      <c r="N489" s="15">
        <f>IF($A489="","",ROUND($H489*$M489*$J489*(1+$Q489*kdo_iadeEtkiCarpani),2))</f>
        <v/>
      </c>
      <c r="O489" s="15">
        <f>IF($A489="","",ROUND($L489-$N489,2))</f>
        <v/>
      </c>
      <c r="P489" s="15">
        <f>IF($A489="","",IF($R489&gt;kdo_esikDesiOran,"DESİ DÜŞÜR",IF($O489&gt;kdo_esikTasarruf,"TAŞIYICI DEĞİŞTİR","UYGUN")))</f>
        <v/>
      </c>
      <c r="Q489" s="15">
        <f>IF($A489="","",IFERROR(SUMIF(tblAnahtarB[NormB],$A489,tblVeriB[IadeOran]),0))</f>
        <v/>
      </c>
      <c r="R489" s="15">
        <f>IF(OR($A489="",$E489=0),0,$G489/$E489)</f>
        <v/>
      </c>
      <c r="S489" s="15">
        <f>IF($A489="","",$G489-$E489)</f>
        <v/>
      </c>
      <c r="T489" s="15">
        <f>IF($A489="","",$L489-$N489)</f>
        <v/>
      </c>
    </row>
    <row r="490">
      <c r="A490" s="15">
        <f>IF('ANAHTAR'!$B490="","",'ANAHTAR'!$B490)</f>
        <v/>
      </c>
      <c r="B490" s="15">
        <f>IF($A490="","",IFERROR(SUMIF(tblAnahtarA[Norm],$A490,tblVeriA[EnCm]),0))</f>
        <v/>
      </c>
      <c r="C490" s="15">
        <f>IF($A490="","",IFERROR(SUMIF(tblAnahtarA[Norm],$A490,tblVeriA[BoyCm]),0))</f>
        <v/>
      </c>
      <c r="D490" s="15">
        <f>IF($A490="","",IFERROR(SUMIF(tblAnahtarA[Norm],$A490,tblVeriA[YukseklikCm]),0))</f>
        <v/>
      </c>
      <c r="E490" s="15">
        <f>IF($A490="","",IFERROR(SUMIF(tblAnahtarA[Norm],$A490,tblVeriA[AgirlikKg]),0))</f>
        <v/>
      </c>
      <c r="F490" s="15">
        <f>IF($A490="","",IFERROR(SUMIF(tblAnahtarA[Norm],$A490,tblVeriA[DesiCarpani]),kdo_varsayilanDesiCarpani))</f>
        <v/>
      </c>
      <c r="G490" s="15">
        <f>IF($A490="","",ROUND($B490*$C490*$D490/MAX($F490,1),2))</f>
        <v/>
      </c>
      <c r="H490" s="15">
        <f>IF($A490="","",MAX($G490,$E490))</f>
        <v/>
      </c>
      <c r="I490" s="15">
        <f>IF($A490="","",IFERROR(SUMIF(tblAnahtarB[NormB],$A490,tblVeriB[TarifTlDesi]),0))</f>
        <v/>
      </c>
      <c r="J490" s="15">
        <f>IF($A490="","",IFERROR(SUMIF(tblAnahtarA[Norm],$A490,tblVeriA[Adet]),1))</f>
        <v/>
      </c>
      <c r="K490" s="15">
        <f>IF($A490="","",ROUND($H490*$I490,2))</f>
        <v/>
      </c>
      <c r="L490" s="15">
        <f>IF($A490="","",ROUND($K490*$J490*(1+$Q490*kdo_iadeEtkiCarpani),2))</f>
        <v/>
      </c>
      <c r="M490" s="15">
        <f>IF($A490="","",IFERROR(SUMIF(tblAnahtarB[NormB],$A490,tblVeriB[AlternatifTarif]),0))</f>
        <v/>
      </c>
      <c r="N490" s="15">
        <f>IF($A490="","",ROUND($H490*$M490*$J490*(1+$Q490*kdo_iadeEtkiCarpani),2))</f>
        <v/>
      </c>
      <c r="O490" s="15">
        <f>IF($A490="","",ROUND($L490-$N490,2))</f>
        <v/>
      </c>
      <c r="P490" s="15">
        <f>IF($A490="","",IF($R490&gt;kdo_esikDesiOran,"DESİ DÜŞÜR",IF($O490&gt;kdo_esikTasarruf,"TAŞIYICI DEĞİŞTİR","UYGUN")))</f>
        <v/>
      </c>
      <c r="Q490" s="15">
        <f>IF($A490="","",IFERROR(SUMIF(tblAnahtarB[NormB],$A490,tblVeriB[IadeOran]),0))</f>
        <v/>
      </c>
      <c r="R490" s="15">
        <f>IF(OR($A490="",$E490=0),0,$G490/$E490)</f>
        <v/>
      </c>
      <c r="S490" s="15">
        <f>IF($A490="","",$G490-$E490)</f>
        <v/>
      </c>
      <c r="T490" s="15">
        <f>IF($A490="","",$L490-$N490)</f>
        <v/>
      </c>
    </row>
    <row r="491">
      <c r="A491" s="15">
        <f>IF('ANAHTAR'!$B491="","",'ANAHTAR'!$B491)</f>
        <v/>
      </c>
      <c r="B491" s="15">
        <f>IF($A491="","",IFERROR(SUMIF(tblAnahtarA[Norm],$A491,tblVeriA[EnCm]),0))</f>
        <v/>
      </c>
      <c r="C491" s="15">
        <f>IF($A491="","",IFERROR(SUMIF(tblAnahtarA[Norm],$A491,tblVeriA[BoyCm]),0))</f>
        <v/>
      </c>
      <c r="D491" s="15">
        <f>IF($A491="","",IFERROR(SUMIF(tblAnahtarA[Norm],$A491,tblVeriA[YukseklikCm]),0))</f>
        <v/>
      </c>
      <c r="E491" s="15">
        <f>IF($A491="","",IFERROR(SUMIF(tblAnahtarA[Norm],$A491,tblVeriA[AgirlikKg]),0))</f>
        <v/>
      </c>
      <c r="F491" s="15">
        <f>IF($A491="","",IFERROR(SUMIF(tblAnahtarA[Norm],$A491,tblVeriA[DesiCarpani]),kdo_varsayilanDesiCarpani))</f>
        <v/>
      </c>
      <c r="G491" s="15">
        <f>IF($A491="","",ROUND($B491*$C491*$D491/MAX($F491,1),2))</f>
        <v/>
      </c>
      <c r="H491" s="15">
        <f>IF($A491="","",MAX($G491,$E491))</f>
        <v/>
      </c>
      <c r="I491" s="15">
        <f>IF($A491="","",IFERROR(SUMIF(tblAnahtarB[NormB],$A491,tblVeriB[TarifTlDesi]),0))</f>
        <v/>
      </c>
      <c r="J491" s="15">
        <f>IF($A491="","",IFERROR(SUMIF(tblAnahtarA[Norm],$A491,tblVeriA[Adet]),1))</f>
        <v/>
      </c>
      <c r="K491" s="15">
        <f>IF($A491="","",ROUND($H491*$I491,2))</f>
        <v/>
      </c>
      <c r="L491" s="15">
        <f>IF($A491="","",ROUND($K491*$J491*(1+$Q491*kdo_iadeEtkiCarpani),2))</f>
        <v/>
      </c>
      <c r="M491" s="15">
        <f>IF($A491="","",IFERROR(SUMIF(tblAnahtarB[NormB],$A491,tblVeriB[AlternatifTarif]),0))</f>
        <v/>
      </c>
      <c r="N491" s="15">
        <f>IF($A491="","",ROUND($H491*$M491*$J491*(1+$Q491*kdo_iadeEtkiCarpani),2))</f>
        <v/>
      </c>
      <c r="O491" s="15">
        <f>IF($A491="","",ROUND($L491-$N491,2))</f>
        <v/>
      </c>
      <c r="P491" s="15">
        <f>IF($A491="","",IF($R491&gt;kdo_esikDesiOran,"DESİ DÜŞÜR",IF($O491&gt;kdo_esikTasarruf,"TAŞIYICI DEĞİŞTİR","UYGUN")))</f>
        <v/>
      </c>
      <c r="Q491" s="15">
        <f>IF($A491="","",IFERROR(SUMIF(tblAnahtarB[NormB],$A491,tblVeriB[IadeOran]),0))</f>
        <v/>
      </c>
      <c r="R491" s="15">
        <f>IF(OR($A491="",$E491=0),0,$G491/$E491)</f>
        <v/>
      </c>
      <c r="S491" s="15">
        <f>IF($A491="","",$G491-$E491)</f>
        <v/>
      </c>
      <c r="T491" s="15">
        <f>IF($A491="","",$L491-$N491)</f>
        <v/>
      </c>
    </row>
    <row r="492">
      <c r="A492" s="15">
        <f>IF('ANAHTAR'!$B492="","",'ANAHTAR'!$B492)</f>
        <v/>
      </c>
      <c r="B492" s="15">
        <f>IF($A492="","",IFERROR(SUMIF(tblAnahtarA[Norm],$A492,tblVeriA[EnCm]),0))</f>
        <v/>
      </c>
      <c r="C492" s="15">
        <f>IF($A492="","",IFERROR(SUMIF(tblAnahtarA[Norm],$A492,tblVeriA[BoyCm]),0))</f>
        <v/>
      </c>
      <c r="D492" s="15">
        <f>IF($A492="","",IFERROR(SUMIF(tblAnahtarA[Norm],$A492,tblVeriA[YukseklikCm]),0))</f>
        <v/>
      </c>
      <c r="E492" s="15">
        <f>IF($A492="","",IFERROR(SUMIF(tblAnahtarA[Norm],$A492,tblVeriA[AgirlikKg]),0))</f>
        <v/>
      </c>
      <c r="F492" s="15">
        <f>IF($A492="","",IFERROR(SUMIF(tblAnahtarA[Norm],$A492,tblVeriA[DesiCarpani]),kdo_varsayilanDesiCarpani))</f>
        <v/>
      </c>
      <c r="G492" s="15">
        <f>IF($A492="","",ROUND($B492*$C492*$D492/MAX($F492,1),2))</f>
        <v/>
      </c>
      <c r="H492" s="15">
        <f>IF($A492="","",MAX($G492,$E492))</f>
        <v/>
      </c>
      <c r="I492" s="15">
        <f>IF($A492="","",IFERROR(SUMIF(tblAnahtarB[NormB],$A492,tblVeriB[TarifTlDesi]),0))</f>
        <v/>
      </c>
      <c r="J492" s="15">
        <f>IF($A492="","",IFERROR(SUMIF(tblAnahtarA[Norm],$A492,tblVeriA[Adet]),1))</f>
        <v/>
      </c>
      <c r="K492" s="15">
        <f>IF($A492="","",ROUND($H492*$I492,2))</f>
        <v/>
      </c>
      <c r="L492" s="15">
        <f>IF($A492="","",ROUND($K492*$J492*(1+$Q492*kdo_iadeEtkiCarpani),2))</f>
        <v/>
      </c>
      <c r="M492" s="15">
        <f>IF($A492="","",IFERROR(SUMIF(tblAnahtarB[NormB],$A492,tblVeriB[AlternatifTarif]),0))</f>
        <v/>
      </c>
      <c r="N492" s="15">
        <f>IF($A492="","",ROUND($H492*$M492*$J492*(1+$Q492*kdo_iadeEtkiCarpani),2))</f>
        <v/>
      </c>
      <c r="O492" s="15">
        <f>IF($A492="","",ROUND($L492-$N492,2))</f>
        <v/>
      </c>
      <c r="P492" s="15">
        <f>IF($A492="","",IF($R492&gt;kdo_esikDesiOran,"DESİ DÜŞÜR",IF($O492&gt;kdo_esikTasarruf,"TAŞIYICI DEĞİŞTİR","UYGUN")))</f>
        <v/>
      </c>
      <c r="Q492" s="15">
        <f>IF($A492="","",IFERROR(SUMIF(tblAnahtarB[NormB],$A492,tblVeriB[IadeOran]),0))</f>
        <v/>
      </c>
      <c r="R492" s="15">
        <f>IF(OR($A492="",$E492=0),0,$G492/$E492)</f>
        <v/>
      </c>
      <c r="S492" s="15">
        <f>IF($A492="","",$G492-$E492)</f>
        <v/>
      </c>
      <c r="T492" s="15">
        <f>IF($A492="","",$L492-$N492)</f>
        <v/>
      </c>
    </row>
    <row r="493">
      <c r="A493" s="15">
        <f>IF('ANAHTAR'!$B493="","",'ANAHTAR'!$B493)</f>
        <v/>
      </c>
      <c r="B493" s="15">
        <f>IF($A493="","",IFERROR(SUMIF(tblAnahtarA[Norm],$A493,tblVeriA[EnCm]),0))</f>
        <v/>
      </c>
      <c r="C493" s="15">
        <f>IF($A493="","",IFERROR(SUMIF(tblAnahtarA[Norm],$A493,tblVeriA[BoyCm]),0))</f>
        <v/>
      </c>
      <c r="D493" s="15">
        <f>IF($A493="","",IFERROR(SUMIF(tblAnahtarA[Norm],$A493,tblVeriA[YukseklikCm]),0))</f>
        <v/>
      </c>
      <c r="E493" s="15">
        <f>IF($A493="","",IFERROR(SUMIF(tblAnahtarA[Norm],$A493,tblVeriA[AgirlikKg]),0))</f>
        <v/>
      </c>
      <c r="F493" s="15">
        <f>IF($A493="","",IFERROR(SUMIF(tblAnahtarA[Norm],$A493,tblVeriA[DesiCarpani]),kdo_varsayilanDesiCarpani))</f>
        <v/>
      </c>
      <c r="G493" s="15">
        <f>IF($A493="","",ROUND($B493*$C493*$D493/MAX($F493,1),2))</f>
        <v/>
      </c>
      <c r="H493" s="15">
        <f>IF($A493="","",MAX($G493,$E493))</f>
        <v/>
      </c>
      <c r="I493" s="15">
        <f>IF($A493="","",IFERROR(SUMIF(tblAnahtarB[NormB],$A493,tblVeriB[TarifTlDesi]),0))</f>
        <v/>
      </c>
      <c r="J493" s="15">
        <f>IF($A493="","",IFERROR(SUMIF(tblAnahtarA[Norm],$A493,tblVeriA[Adet]),1))</f>
        <v/>
      </c>
      <c r="K493" s="15">
        <f>IF($A493="","",ROUND($H493*$I493,2))</f>
        <v/>
      </c>
      <c r="L493" s="15">
        <f>IF($A493="","",ROUND($K493*$J493*(1+$Q493*kdo_iadeEtkiCarpani),2))</f>
        <v/>
      </c>
      <c r="M493" s="15">
        <f>IF($A493="","",IFERROR(SUMIF(tblAnahtarB[NormB],$A493,tblVeriB[AlternatifTarif]),0))</f>
        <v/>
      </c>
      <c r="N493" s="15">
        <f>IF($A493="","",ROUND($H493*$M493*$J493*(1+$Q493*kdo_iadeEtkiCarpani),2))</f>
        <v/>
      </c>
      <c r="O493" s="15">
        <f>IF($A493="","",ROUND($L493-$N493,2))</f>
        <v/>
      </c>
      <c r="P493" s="15">
        <f>IF($A493="","",IF($R493&gt;kdo_esikDesiOran,"DESİ DÜŞÜR",IF($O493&gt;kdo_esikTasarruf,"TAŞIYICI DEĞİŞTİR","UYGUN")))</f>
        <v/>
      </c>
      <c r="Q493" s="15">
        <f>IF($A493="","",IFERROR(SUMIF(tblAnahtarB[NormB],$A493,tblVeriB[IadeOran]),0))</f>
        <v/>
      </c>
      <c r="R493" s="15">
        <f>IF(OR($A493="",$E493=0),0,$G493/$E493)</f>
        <v/>
      </c>
      <c r="S493" s="15">
        <f>IF($A493="","",$G493-$E493)</f>
        <v/>
      </c>
      <c r="T493" s="15">
        <f>IF($A493="","",$L493-$N493)</f>
        <v/>
      </c>
    </row>
    <row r="494">
      <c r="A494" s="15">
        <f>IF('ANAHTAR'!$B494="","",'ANAHTAR'!$B494)</f>
        <v/>
      </c>
      <c r="B494" s="15">
        <f>IF($A494="","",IFERROR(SUMIF(tblAnahtarA[Norm],$A494,tblVeriA[EnCm]),0))</f>
        <v/>
      </c>
      <c r="C494" s="15">
        <f>IF($A494="","",IFERROR(SUMIF(tblAnahtarA[Norm],$A494,tblVeriA[BoyCm]),0))</f>
        <v/>
      </c>
      <c r="D494" s="15">
        <f>IF($A494="","",IFERROR(SUMIF(tblAnahtarA[Norm],$A494,tblVeriA[YukseklikCm]),0))</f>
        <v/>
      </c>
      <c r="E494" s="15">
        <f>IF($A494="","",IFERROR(SUMIF(tblAnahtarA[Norm],$A494,tblVeriA[AgirlikKg]),0))</f>
        <v/>
      </c>
      <c r="F494" s="15">
        <f>IF($A494="","",IFERROR(SUMIF(tblAnahtarA[Norm],$A494,tblVeriA[DesiCarpani]),kdo_varsayilanDesiCarpani))</f>
        <v/>
      </c>
      <c r="G494" s="15">
        <f>IF($A494="","",ROUND($B494*$C494*$D494/MAX($F494,1),2))</f>
        <v/>
      </c>
      <c r="H494" s="15">
        <f>IF($A494="","",MAX($G494,$E494))</f>
        <v/>
      </c>
      <c r="I494" s="15">
        <f>IF($A494="","",IFERROR(SUMIF(tblAnahtarB[NormB],$A494,tblVeriB[TarifTlDesi]),0))</f>
        <v/>
      </c>
      <c r="J494" s="15">
        <f>IF($A494="","",IFERROR(SUMIF(tblAnahtarA[Norm],$A494,tblVeriA[Adet]),1))</f>
        <v/>
      </c>
      <c r="K494" s="15">
        <f>IF($A494="","",ROUND($H494*$I494,2))</f>
        <v/>
      </c>
      <c r="L494" s="15">
        <f>IF($A494="","",ROUND($K494*$J494*(1+$Q494*kdo_iadeEtkiCarpani),2))</f>
        <v/>
      </c>
      <c r="M494" s="15">
        <f>IF($A494="","",IFERROR(SUMIF(tblAnahtarB[NormB],$A494,tblVeriB[AlternatifTarif]),0))</f>
        <v/>
      </c>
      <c r="N494" s="15">
        <f>IF($A494="","",ROUND($H494*$M494*$J494*(1+$Q494*kdo_iadeEtkiCarpani),2))</f>
        <v/>
      </c>
      <c r="O494" s="15">
        <f>IF($A494="","",ROUND($L494-$N494,2))</f>
        <v/>
      </c>
      <c r="P494" s="15">
        <f>IF($A494="","",IF($R494&gt;kdo_esikDesiOran,"DESİ DÜŞÜR",IF($O494&gt;kdo_esikTasarruf,"TAŞIYICI DEĞİŞTİR","UYGUN")))</f>
        <v/>
      </c>
      <c r="Q494" s="15">
        <f>IF($A494="","",IFERROR(SUMIF(tblAnahtarB[NormB],$A494,tblVeriB[IadeOran]),0))</f>
        <v/>
      </c>
      <c r="R494" s="15">
        <f>IF(OR($A494="",$E494=0),0,$G494/$E494)</f>
        <v/>
      </c>
      <c r="S494" s="15">
        <f>IF($A494="","",$G494-$E494)</f>
        <v/>
      </c>
      <c r="T494" s="15">
        <f>IF($A494="","",$L494-$N494)</f>
        <v/>
      </c>
    </row>
    <row r="495">
      <c r="A495" s="15">
        <f>IF('ANAHTAR'!$B495="","",'ANAHTAR'!$B495)</f>
        <v/>
      </c>
      <c r="B495" s="15">
        <f>IF($A495="","",IFERROR(SUMIF(tblAnahtarA[Norm],$A495,tblVeriA[EnCm]),0))</f>
        <v/>
      </c>
      <c r="C495" s="15">
        <f>IF($A495="","",IFERROR(SUMIF(tblAnahtarA[Norm],$A495,tblVeriA[BoyCm]),0))</f>
        <v/>
      </c>
      <c r="D495" s="15">
        <f>IF($A495="","",IFERROR(SUMIF(tblAnahtarA[Norm],$A495,tblVeriA[YukseklikCm]),0))</f>
        <v/>
      </c>
      <c r="E495" s="15">
        <f>IF($A495="","",IFERROR(SUMIF(tblAnahtarA[Norm],$A495,tblVeriA[AgirlikKg]),0))</f>
        <v/>
      </c>
      <c r="F495" s="15">
        <f>IF($A495="","",IFERROR(SUMIF(tblAnahtarA[Norm],$A495,tblVeriA[DesiCarpani]),kdo_varsayilanDesiCarpani))</f>
        <v/>
      </c>
      <c r="G495" s="15">
        <f>IF($A495="","",ROUND($B495*$C495*$D495/MAX($F495,1),2))</f>
        <v/>
      </c>
      <c r="H495" s="15">
        <f>IF($A495="","",MAX($G495,$E495))</f>
        <v/>
      </c>
      <c r="I495" s="15">
        <f>IF($A495="","",IFERROR(SUMIF(tblAnahtarB[NormB],$A495,tblVeriB[TarifTlDesi]),0))</f>
        <v/>
      </c>
      <c r="J495" s="15">
        <f>IF($A495="","",IFERROR(SUMIF(tblAnahtarA[Norm],$A495,tblVeriA[Adet]),1))</f>
        <v/>
      </c>
      <c r="K495" s="15">
        <f>IF($A495="","",ROUND($H495*$I495,2))</f>
        <v/>
      </c>
      <c r="L495" s="15">
        <f>IF($A495="","",ROUND($K495*$J495*(1+$Q495*kdo_iadeEtkiCarpani),2))</f>
        <v/>
      </c>
      <c r="M495" s="15">
        <f>IF($A495="","",IFERROR(SUMIF(tblAnahtarB[NormB],$A495,tblVeriB[AlternatifTarif]),0))</f>
        <v/>
      </c>
      <c r="N495" s="15">
        <f>IF($A495="","",ROUND($H495*$M495*$J495*(1+$Q495*kdo_iadeEtkiCarpani),2))</f>
        <v/>
      </c>
      <c r="O495" s="15">
        <f>IF($A495="","",ROUND($L495-$N495,2))</f>
        <v/>
      </c>
      <c r="P495" s="15">
        <f>IF($A495="","",IF($R495&gt;kdo_esikDesiOran,"DESİ DÜŞÜR",IF($O495&gt;kdo_esikTasarruf,"TAŞIYICI DEĞİŞTİR","UYGUN")))</f>
        <v/>
      </c>
      <c r="Q495" s="15">
        <f>IF($A495="","",IFERROR(SUMIF(tblAnahtarB[NormB],$A495,tblVeriB[IadeOran]),0))</f>
        <v/>
      </c>
      <c r="R495" s="15">
        <f>IF(OR($A495="",$E495=0),0,$G495/$E495)</f>
        <v/>
      </c>
      <c r="S495" s="15">
        <f>IF($A495="","",$G495-$E495)</f>
        <v/>
      </c>
      <c r="T495" s="15">
        <f>IF($A495="","",$L495-$N495)</f>
        <v/>
      </c>
    </row>
    <row r="496">
      <c r="A496" s="15">
        <f>IF('ANAHTAR'!$B496="","",'ANAHTAR'!$B496)</f>
        <v/>
      </c>
      <c r="B496" s="15">
        <f>IF($A496="","",IFERROR(SUMIF(tblAnahtarA[Norm],$A496,tblVeriA[EnCm]),0))</f>
        <v/>
      </c>
      <c r="C496" s="15">
        <f>IF($A496="","",IFERROR(SUMIF(tblAnahtarA[Norm],$A496,tblVeriA[BoyCm]),0))</f>
        <v/>
      </c>
      <c r="D496" s="15">
        <f>IF($A496="","",IFERROR(SUMIF(tblAnahtarA[Norm],$A496,tblVeriA[YukseklikCm]),0))</f>
        <v/>
      </c>
      <c r="E496" s="15">
        <f>IF($A496="","",IFERROR(SUMIF(tblAnahtarA[Norm],$A496,tblVeriA[AgirlikKg]),0))</f>
        <v/>
      </c>
      <c r="F496" s="15">
        <f>IF($A496="","",IFERROR(SUMIF(tblAnahtarA[Norm],$A496,tblVeriA[DesiCarpani]),kdo_varsayilanDesiCarpani))</f>
        <v/>
      </c>
      <c r="G496" s="15">
        <f>IF($A496="","",ROUND($B496*$C496*$D496/MAX($F496,1),2))</f>
        <v/>
      </c>
      <c r="H496" s="15">
        <f>IF($A496="","",MAX($G496,$E496))</f>
        <v/>
      </c>
      <c r="I496" s="15">
        <f>IF($A496="","",IFERROR(SUMIF(tblAnahtarB[NormB],$A496,tblVeriB[TarifTlDesi]),0))</f>
        <v/>
      </c>
      <c r="J496" s="15">
        <f>IF($A496="","",IFERROR(SUMIF(tblAnahtarA[Norm],$A496,tblVeriA[Adet]),1))</f>
        <v/>
      </c>
      <c r="K496" s="15">
        <f>IF($A496="","",ROUND($H496*$I496,2))</f>
        <v/>
      </c>
      <c r="L496" s="15">
        <f>IF($A496="","",ROUND($K496*$J496*(1+$Q496*kdo_iadeEtkiCarpani),2))</f>
        <v/>
      </c>
      <c r="M496" s="15">
        <f>IF($A496="","",IFERROR(SUMIF(tblAnahtarB[NormB],$A496,tblVeriB[AlternatifTarif]),0))</f>
        <v/>
      </c>
      <c r="N496" s="15">
        <f>IF($A496="","",ROUND($H496*$M496*$J496*(1+$Q496*kdo_iadeEtkiCarpani),2))</f>
        <v/>
      </c>
      <c r="O496" s="15">
        <f>IF($A496="","",ROUND($L496-$N496,2))</f>
        <v/>
      </c>
      <c r="P496" s="15">
        <f>IF($A496="","",IF($R496&gt;kdo_esikDesiOran,"DESİ DÜŞÜR",IF($O496&gt;kdo_esikTasarruf,"TAŞIYICI DEĞİŞTİR","UYGUN")))</f>
        <v/>
      </c>
      <c r="Q496" s="15">
        <f>IF($A496="","",IFERROR(SUMIF(tblAnahtarB[NormB],$A496,tblVeriB[IadeOran]),0))</f>
        <v/>
      </c>
      <c r="R496" s="15">
        <f>IF(OR($A496="",$E496=0),0,$G496/$E496)</f>
        <v/>
      </c>
      <c r="S496" s="15">
        <f>IF($A496="","",$G496-$E496)</f>
        <v/>
      </c>
      <c r="T496" s="15">
        <f>IF($A496="","",$L496-$N496)</f>
        <v/>
      </c>
    </row>
    <row r="497">
      <c r="A497" s="15">
        <f>IF('ANAHTAR'!$B497="","",'ANAHTAR'!$B497)</f>
        <v/>
      </c>
      <c r="B497" s="15">
        <f>IF($A497="","",IFERROR(SUMIF(tblAnahtarA[Norm],$A497,tblVeriA[EnCm]),0))</f>
        <v/>
      </c>
      <c r="C497" s="15">
        <f>IF($A497="","",IFERROR(SUMIF(tblAnahtarA[Norm],$A497,tblVeriA[BoyCm]),0))</f>
        <v/>
      </c>
      <c r="D497" s="15">
        <f>IF($A497="","",IFERROR(SUMIF(tblAnahtarA[Norm],$A497,tblVeriA[YukseklikCm]),0))</f>
        <v/>
      </c>
      <c r="E497" s="15">
        <f>IF($A497="","",IFERROR(SUMIF(tblAnahtarA[Norm],$A497,tblVeriA[AgirlikKg]),0))</f>
        <v/>
      </c>
      <c r="F497" s="15">
        <f>IF($A497="","",IFERROR(SUMIF(tblAnahtarA[Norm],$A497,tblVeriA[DesiCarpani]),kdo_varsayilanDesiCarpani))</f>
        <v/>
      </c>
      <c r="G497" s="15">
        <f>IF($A497="","",ROUND($B497*$C497*$D497/MAX($F497,1),2))</f>
        <v/>
      </c>
      <c r="H497" s="15">
        <f>IF($A497="","",MAX($G497,$E497))</f>
        <v/>
      </c>
      <c r="I497" s="15">
        <f>IF($A497="","",IFERROR(SUMIF(tblAnahtarB[NormB],$A497,tblVeriB[TarifTlDesi]),0))</f>
        <v/>
      </c>
      <c r="J497" s="15">
        <f>IF($A497="","",IFERROR(SUMIF(tblAnahtarA[Norm],$A497,tblVeriA[Adet]),1))</f>
        <v/>
      </c>
      <c r="K497" s="15">
        <f>IF($A497="","",ROUND($H497*$I497,2))</f>
        <v/>
      </c>
      <c r="L497" s="15">
        <f>IF($A497="","",ROUND($K497*$J497*(1+$Q497*kdo_iadeEtkiCarpani),2))</f>
        <v/>
      </c>
      <c r="M497" s="15">
        <f>IF($A497="","",IFERROR(SUMIF(tblAnahtarB[NormB],$A497,tblVeriB[AlternatifTarif]),0))</f>
        <v/>
      </c>
      <c r="N497" s="15">
        <f>IF($A497="","",ROUND($H497*$M497*$J497*(1+$Q497*kdo_iadeEtkiCarpani),2))</f>
        <v/>
      </c>
      <c r="O497" s="15">
        <f>IF($A497="","",ROUND($L497-$N497,2))</f>
        <v/>
      </c>
      <c r="P497" s="15">
        <f>IF($A497="","",IF($R497&gt;kdo_esikDesiOran,"DESİ DÜŞÜR",IF($O497&gt;kdo_esikTasarruf,"TAŞIYICI DEĞİŞTİR","UYGUN")))</f>
        <v/>
      </c>
      <c r="Q497" s="15">
        <f>IF($A497="","",IFERROR(SUMIF(tblAnahtarB[NormB],$A497,tblVeriB[IadeOran]),0))</f>
        <v/>
      </c>
      <c r="R497" s="15">
        <f>IF(OR($A497="",$E497=0),0,$G497/$E497)</f>
        <v/>
      </c>
      <c r="S497" s="15">
        <f>IF($A497="","",$G497-$E497)</f>
        <v/>
      </c>
      <c r="T497" s="15">
        <f>IF($A497="","",$L497-$N497)</f>
        <v/>
      </c>
    </row>
    <row r="498">
      <c r="A498" s="15">
        <f>IF('ANAHTAR'!$B498="","",'ANAHTAR'!$B498)</f>
        <v/>
      </c>
      <c r="B498" s="15">
        <f>IF($A498="","",IFERROR(SUMIF(tblAnahtarA[Norm],$A498,tblVeriA[EnCm]),0))</f>
        <v/>
      </c>
      <c r="C498" s="15">
        <f>IF($A498="","",IFERROR(SUMIF(tblAnahtarA[Norm],$A498,tblVeriA[BoyCm]),0))</f>
        <v/>
      </c>
      <c r="D498" s="15">
        <f>IF($A498="","",IFERROR(SUMIF(tblAnahtarA[Norm],$A498,tblVeriA[YukseklikCm]),0))</f>
        <v/>
      </c>
      <c r="E498" s="15">
        <f>IF($A498="","",IFERROR(SUMIF(tblAnahtarA[Norm],$A498,tblVeriA[AgirlikKg]),0))</f>
        <v/>
      </c>
      <c r="F498" s="15">
        <f>IF($A498="","",IFERROR(SUMIF(tblAnahtarA[Norm],$A498,tblVeriA[DesiCarpani]),kdo_varsayilanDesiCarpani))</f>
        <v/>
      </c>
      <c r="G498" s="15">
        <f>IF($A498="","",ROUND($B498*$C498*$D498/MAX($F498,1),2))</f>
        <v/>
      </c>
      <c r="H498" s="15">
        <f>IF($A498="","",MAX($G498,$E498))</f>
        <v/>
      </c>
      <c r="I498" s="15">
        <f>IF($A498="","",IFERROR(SUMIF(tblAnahtarB[NormB],$A498,tblVeriB[TarifTlDesi]),0))</f>
        <v/>
      </c>
      <c r="J498" s="15">
        <f>IF($A498="","",IFERROR(SUMIF(tblAnahtarA[Norm],$A498,tblVeriA[Adet]),1))</f>
        <v/>
      </c>
      <c r="K498" s="15">
        <f>IF($A498="","",ROUND($H498*$I498,2))</f>
        <v/>
      </c>
      <c r="L498" s="15">
        <f>IF($A498="","",ROUND($K498*$J498*(1+$Q498*kdo_iadeEtkiCarpani),2))</f>
        <v/>
      </c>
      <c r="M498" s="15">
        <f>IF($A498="","",IFERROR(SUMIF(tblAnahtarB[NormB],$A498,tblVeriB[AlternatifTarif]),0))</f>
        <v/>
      </c>
      <c r="N498" s="15">
        <f>IF($A498="","",ROUND($H498*$M498*$J498*(1+$Q498*kdo_iadeEtkiCarpani),2))</f>
        <v/>
      </c>
      <c r="O498" s="15">
        <f>IF($A498="","",ROUND($L498-$N498,2))</f>
        <v/>
      </c>
      <c r="P498" s="15">
        <f>IF($A498="","",IF($R498&gt;kdo_esikDesiOran,"DESİ DÜŞÜR",IF($O498&gt;kdo_esikTasarruf,"TAŞIYICI DEĞİŞTİR","UYGUN")))</f>
        <v/>
      </c>
      <c r="Q498" s="15">
        <f>IF($A498="","",IFERROR(SUMIF(tblAnahtarB[NormB],$A498,tblVeriB[IadeOran]),0))</f>
        <v/>
      </c>
      <c r="R498" s="15">
        <f>IF(OR($A498="",$E498=0),0,$G498/$E498)</f>
        <v/>
      </c>
      <c r="S498" s="15">
        <f>IF($A498="","",$G498-$E498)</f>
        <v/>
      </c>
      <c r="T498" s="15">
        <f>IF($A498="","",$L498-$N498)</f>
        <v/>
      </c>
    </row>
    <row r="499">
      <c r="A499" s="15">
        <f>IF('ANAHTAR'!$B499="","",'ANAHTAR'!$B499)</f>
        <v/>
      </c>
      <c r="B499" s="15">
        <f>IF($A499="","",IFERROR(SUMIF(tblAnahtarA[Norm],$A499,tblVeriA[EnCm]),0))</f>
        <v/>
      </c>
      <c r="C499" s="15">
        <f>IF($A499="","",IFERROR(SUMIF(tblAnahtarA[Norm],$A499,tblVeriA[BoyCm]),0))</f>
        <v/>
      </c>
      <c r="D499" s="15">
        <f>IF($A499="","",IFERROR(SUMIF(tblAnahtarA[Norm],$A499,tblVeriA[YukseklikCm]),0))</f>
        <v/>
      </c>
      <c r="E499" s="15">
        <f>IF($A499="","",IFERROR(SUMIF(tblAnahtarA[Norm],$A499,tblVeriA[AgirlikKg]),0))</f>
        <v/>
      </c>
      <c r="F499" s="15">
        <f>IF($A499="","",IFERROR(SUMIF(tblAnahtarA[Norm],$A499,tblVeriA[DesiCarpani]),kdo_varsayilanDesiCarpani))</f>
        <v/>
      </c>
      <c r="G499" s="15">
        <f>IF($A499="","",ROUND($B499*$C499*$D499/MAX($F499,1),2))</f>
        <v/>
      </c>
      <c r="H499" s="15">
        <f>IF($A499="","",MAX($G499,$E499))</f>
        <v/>
      </c>
      <c r="I499" s="15">
        <f>IF($A499="","",IFERROR(SUMIF(tblAnahtarB[NormB],$A499,tblVeriB[TarifTlDesi]),0))</f>
        <v/>
      </c>
      <c r="J499" s="15">
        <f>IF($A499="","",IFERROR(SUMIF(tblAnahtarA[Norm],$A499,tblVeriA[Adet]),1))</f>
        <v/>
      </c>
      <c r="K499" s="15">
        <f>IF($A499="","",ROUND($H499*$I499,2))</f>
        <v/>
      </c>
      <c r="L499" s="15">
        <f>IF($A499="","",ROUND($K499*$J499*(1+$Q499*kdo_iadeEtkiCarpani),2))</f>
        <v/>
      </c>
      <c r="M499" s="15">
        <f>IF($A499="","",IFERROR(SUMIF(tblAnahtarB[NormB],$A499,tblVeriB[AlternatifTarif]),0))</f>
        <v/>
      </c>
      <c r="N499" s="15">
        <f>IF($A499="","",ROUND($H499*$M499*$J499*(1+$Q499*kdo_iadeEtkiCarpani),2))</f>
        <v/>
      </c>
      <c r="O499" s="15">
        <f>IF($A499="","",ROUND($L499-$N499,2))</f>
        <v/>
      </c>
      <c r="P499" s="15">
        <f>IF($A499="","",IF($R499&gt;kdo_esikDesiOran,"DESİ DÜŞÜR",IF($O499&gt;kdo_esikTasarruf,"TAŞIYICI DEĞİŞTİR","UYGUN")))</f>
        <v/>
      </c>
      <c r="Q499" s="15">
        <f>IF($A499="","",IFERROR(SUMIF(tblAnahtarB[NormB],$A499,tblVeriB[IadeOran]),0))</f>
        <v/>
      </c>
      <c r="R499" s="15">
        <f>IF(OR($A499="",$E499=0),0,$G499/$E499)</f>
        <v/>
      </c>
      <c r="S499" s="15">
        <f>IF($A499="","",$G499-$E499)</f>
        <v/>
      </c>
      <c r="T499" s="15">
        <f>IF($A499="","",$L499-$N499)</f>
        <v/>
      </c>
    </row>
    <row r="500">
      <c r="A500" s="15">
        <f>IF('ANAHTAR'!$B500="","",'ANAHTAR'!$B500)</f>
        <v/>
      </c>
      <c r="B500" s="15">
        <f>IF($A500="","",IFERROR(SUMIF(tblAnahtarA[Norm],$A500,tblVeriA[EnCm]),0))</f>
        <v/>
      </c>
      <c r="C500" s="15">
        <f>IF($A500="","",IFERROR(SUMIF(tblAnahtarA[Norm],$A500,tblVeriA[BoyCm]),0))</f>
        <v/>
      </c>
      <c r="D500" s="15">
        <f>IF($A500="","",IFERROR(SUMIF(tblAnahtarA[Norm],$A500,tblVeriA[YukseklikCm]),0))</f>
        <v/>
      </c>
      <c r="E500" s="15">
        <f>IF($A500="","",IFERROR(SUMIF(tblAnahtarA[Norm],$A500,tblVeriA[AgirlikKg]),0))</f>
        <v/>
      </c>
      <c r="F500" s="15">
        <f>IF($A500="","",IFERROR(SUMIF(tblAnahtarA[Norm],$A500,tblVeriA[DesiCarpani]),kdo_varsayilanDesiCarpani))</f>
        <v/>
      </c>
      <c r="G500" s="15">
        <f>IF($A500="","",ROUND($B500*$C500*$D500/MAX($F500,1),2))</f>
        <v/>
      </c>
      <c r="H500" s="15">
        <f>IF($A500="","",MAX($G500,$E500))</f>
        <v/>
      </c>
      <c r="I500" s="15">
        <f>IF($A500="","",IFERROR(SUMIF(tblAnahtarB[NormB],$A500,tblVeriB[TarifTlDesi]),0))</f>
        <v/>
      </c>
      <c r="J500" s="15">
        <f>IF($A500="","",IFERROR(SUMIF(tblAnahtarA[Norm],$A500,tblVeriA[Adet]),1))</f>
        <v/>
      </c>
      <c r="K500" s="15">
        <f>IF($A500="","",ROUND($H500*$I500,2))</f>
        <v/>
      </c>
      <c r="L500" s="15">
        <f>IF($A500="","",ROUND($K500*$J500*(1+$Q500*kdo_iadeEtkiCarpani),2))</f>
        <v/>
      </c>
      <c r="M500" s="15">
        <f>IF($A500="","",IFERROR(SUMIF(tblAnahtarB[NormB],$A500,tblVeriB[AlternatifTarif]),0))</f>
        <v/>
      </c>
      <c r="N500" s="15">
        <f>IF($A500="","",ROUND($H500*$M500*$J500*(1+$Q500*kdo_iadeEtkiCarpani),2))</f>
        <v/>
      </c>
      <c r="O500" s="15">
        <f>IF($A500="","",ROUND($L500-$N500,2))</f>
        <v/>
      </c>
      <c r="P500" s="15">
        <f>IF($A500="","",IF($R500&gt;kdo_esikDesiOran,"DESİ DÜŞÜR",IF($O500&gt;kdo_esikTasarruf,"TAŞIYICI DEĞİŞTİR","UYGUN")))</f>
        <v/>
      </c>
      <c r="Q500" s="15">
        <f>IF($A500="","",IFERROR(SUMIF(tblAnahtarB[NormB],$A500,tblVeriB[IadeOran]),0))</f>
        <v/>
      </c>
      <c r="R500" s="15">
        <f>IF(OR($A500="",$E500=0),0,$G500/$E500)</f>
        <v/>
      </c>
      <c r="S500" s="15">
        <f>IF($A500="","",$G500-$E500)</f>
        <v/>
      </c>
      <c r="T500" s="15">
        <f>IF($A500="","",$L500-$N500)</f>
        <v/>
      </c>
    </row>
    <row r="501">
      <c r="A501" s="15">
        <f>IF('ANAHTAR'!$B501="","",'ANAHTAR'!$B501)</f>
        <v/>
      </c>
      <c r="B501" s="15">
        <f>IF($A501="","",IFERROR(SUMIF(tblAnahtarA[Norm],$A501,tblVeriA[EnCm]),0))</f>
        <v/>
      </c>
      <c r="C501" s="15">
        <f>IF($A501="","",IFERROR(SUMIF(tblAnahtarA[Norm],$A501,tblVeriA[BoyCm]),0))</f>
        <v/>
      </c>
      <c r="D501" s="15">
        <f>IF($A501="","",IFERROR(SUMIF(tblAnahtarA[Norm],$A501,tblVeriA[YukseklikCm]),0))</f>
        <v/>
      </c>
      <c r="E501" s="15">
        <f>IF($A501="","",IFERROR(SUMIF(tblAnahtarA[Norm],$A501,tblVeriA[AgirlikKg]),0))</f>
        <v/>
      </c>
      <c r="F501" s="15">
        <f>IF($A501="","",IFERROR(SUMIF(tblAnahtarA[Norm],$A501,tblVeriA[DesiCarpani]),kdo_varsayilanDesiCarpani))</f>
        <v/>
      </c>
      <c r="G501" s="15">
        <f>IF($A501="","",ROUND($B501*$C501*$D501/MAX($F501,1),2))</f>
        <v/>
      </c>
      <c r="H501" s="15">
        <f>IF($A501="","",MAX($G501,$E501))</f>
        <v/>
      </c>
      <c r="I501" s="15">
        <f>IF($A501="","",IFERROR(SUMIF(tblAnahtarB[NormB],$A501,tblVeriB[TarifTlDesi]),0))</f>
        <v/>
      </c>
      <c r="J501" s="15">
        <f>IF($A501="","",IFERROR(SUMIF(tblAnahtarA[Norm],$A501,tblVeriA[Adet]),1))</f>
        <v/>
      </c>
      <c r="K501" s="15">
        <f>IF($A501="","",ROUND($H501*$I501,2))</f>
        <v/>
      </c>
      <c r="L501" s="15">
        <f>IF($A501="","",ROUND($K501*$J501*(1+$Q501*kdo_iadeEtkiCarpani),2))</f>
        <v/>
      </c>
      <c r="M501" s="15">
        <f>IF($A501="","",IFERROR(SUMIF(tblAnahtarB[NormB],$A501,tblVeriB[AlternatifTarif]),0))</f>
        <v/>
      </c>
      <c r="N501" s="15">
        <f>IF($A501="","",ROUND($H501*$M501*$J501*(1+$Q501*kdo_iadeEtkiCarpani),2))</f>
        <v/>
      </c>
      <c r="O501" s="15">
        <f>IF($A501="","",ROUND($L501-$N501,2))</f>
        <v/>
      </c>
      <c r="P501" s="15">
        <f>IF($A501="","",IF($R501&gt;kdo_esikDesiOran,"DESİ DÜŞÜR",IF($O501&gt;kdo_esikTasarruf,"TAŞIYICI DEĞİŞTİR","UYGUN")))</f>
        <v/>
      </c>
      <c r="Q501" s="15">
        <f>IF($A501="","",IFERROR(SUMIF(tblAnahtarB[NormB],$A501,tblVeriB[IadeOran]),0))</f>
        <v/>
      </c>
      <c r="R501" s="15">
        <f>IF(OR($A501="",$E501=0),0,$G501/$E501)</f>
        <v/>
      </c>
      <c r="S501" s="15">
        <f>IF($A501="","",$G501-$E501)</f>
        <v/>
      </c>
      <c r="T501" s="15">
        <f>IF($A501="","",$L501-$N501)</f>
        <v/>
      </c>
    </row>
    <row r="502">
      <c r="A502" s="15">
        <f>IF('ANAHTAR'!$B502="","",'ANAHTAR'!$B502)</f>
        <v/>
      </c>
      <c r="B502" s="15">
        <f>IF($A502="","",IFERROR(SUMIF(tblAnahtarA[Norm],$A502,tblVeriA[EnCm]),0))</f>
        <v/>
      </c>
      <c r="C502" s="15">
        <f>IF($A502="","",IFERROR(SUMIF(tblAnahtarA[Norm],$A502,tblVeriA[BoyCm]),0))</f>
        <v/>
      </c>
      <c r="D502" s="15">
        <f>IF($A502="","",IFERROR(SUMIF(tblAnahtarA[Norm],$A502,tblVeriA[YukseklikCm]),0))</f>
        <v/>
      </c>
      <c r="E502" s="15">
        <f>IF($A502="","",IFERROR(SUMIF(tblAnahtarA[Norm],$A502,tblVeriA[AgirlikKg]),0))</f>
        <v/>
      </c>
      <c r="F502" s="15">
        <f>IF($A502="","",IFERROR(SUMIF(tblAnahtarA[Norm],$A502,tblVeriA[DesiCarpani]),kdo_varsayilanDesiCarpani))</f>
        <v/>
      </c>
      <c r="G502" s="15">
        <f>IF($A502="","",ROUND($B502*$C502*$D502/MAX($F502,1),2))</f>
        <v/>
      </c>
      <c r="H502" s="15">
        <f>IF($A502="","",MAX($G502,$E502))</f>
        <v/>
      </c>
      <c r="I502" s="15">
        <f>IF($A502="","",IFERROR(SUMIF(tblAnahtarB[NormB],$A502,tblVeriB[TarifTlDesi]),0))</f>
        <v/>
      </c>
      <c r="J502" s="15">
        <f>IF($A502="","",IFERROR(SUMIF(tblAnahtarA[Norm],$A502,tblVeriA[Adet]),1))</f>
        <v/>
      </c>
      <c r="K502" s="15">
        <f>IF($A502="","",ROUND($H502*$I502,2))</f>
        <v/>
      </c>
      <c r="L502" s="15">
        <f>IF($A502="","",ROUND($K502*$J502*(1+$Q502*kdo_iadeEtkiCarpani),2))</f>
        <v/>
      </c>
      <c r="M502" s="15">
        <f>IF($A502="","",IFERROR(SUMIF(tblAnahtarB[NormB],$A502,tblVeriB[AlternatifTarif]),0))</f>
        <v/>
      </c>
      <c r="N502" s="15">
        <f>IF($A502="","",ROUND($H502*$M502*$J502*(1+$Q502*kdo_iadeEtkiCarpani),2))</f>
        <v/>
      </c>
      <c r="O502" s="15">
        <f>IF($A502="","",ROUND($L502-$N502,2))</f>
        <v/>
      </c>
      <c r="P502" s="15">
        <f>IF($A502="","",IF($R502&gt;kdo_esikDesiOran,"DESİ DÜŞÜR",IF($O502&gt;kdo_esikTasarruf,"TAŞIYICI DEĞİŞTİR","UYGUN")))</f>
        <v/>
      </c>
      <c r="Q502" s="15">
        <f>IF($A502="","",IFERROR(SUMIF(tblAnahtarB[NormB],$A502,tblVeriB[IadeOran]),0))</f>
        <v/>
      </c>
      <c r="R502" s="15">
        <f>IF(OR($A502="",$E502=0),0,$G502/$E502)</f>
        <v/>
      </c>
      <c r="S502" s="15">
        <f>IF($A502="","",$G502-$E502)</f>
        <v/>
      </c>
      <c r="T502" s="15">
        <f>IF($A502="","",$L502-$N502)</f>
        <v/>
      </c>
    </row>
    <row r="503">
      <c r="A503" s="15">
        <f>IF('ANAHTAR'!$B503="","",'ANAHTAR'!$B503)</f>
        <v/>
      </c>
      <c r="B503" s="15">
        <f>IF($A503="","",IFERROR(SUMIF(tblAnahtarA[Norm],$A503,tblVeriA[EnCm]),0))</f>
        <v/>
      </c>
      <c r="C503" s="15">
        <f>IF($A503="","",IFERROR(SUMIF(tblAnahtarA[Norm],$A503,tblVeriA[BoyCm]),0))</f>
        <v/>
      </c>
      <c r="D503" s="15">
        <f>IF($A503="","",IFERROR(SUMIF(tblAnahtarA[Norm],$A503,tblVeriA[YukseklikCm]),0))</f>
        <v/>
      </c>
      <c r="E503" s="15">
        <f>IF($A503="","",IFERROR(SUMIF(tblAnahtarA[Norm],$A503,tblVeriA[AgirlikKg]),0))</f>
        <v/>
      </c>
      <c r="F503" s="15">
        <f>IF($A503="","",IFERROR(SUMIF(tblAnahtarA[Norm],$A503,tblVeriA[DesiCarpani]),kdo_varsayilanDesiCarpani))</f>
        <v/>
      </c>
      <c r="G503" s="15">
        <f>IF($A503="","",ROUND($B503*$C503*$D503/MAX($F503,1),2))</f>
        <v/>
      </c>
      <c r="H503" s="15">
        <f>IF($A503="","",MAX($G503,$E503))</f>
        <v/>
      </c>
      <c r="I503" s="15">
        <f>IF($A503="","",IFERROR(SUMIF(tblAnahtarB[NormB],$A503,tblVeriB[TarifTlDesi]),0))</f>
        <v/>
      </c>
      <c r="J503" s="15">
        <f>IF($A503="","",IFERROR(SUMIF(tblAnahtarA[Norm],$A503,tblVeriA[Adet]),1))</f>
        <v/>
      </c>
      <c r="K503" s="15">
        <f>IF($A503="","",ROUND($H503*$I503,2))</f>
        <v/>
      </c>
      <c r="L503" s="15">
        <f>IF($A503="","",ROUND($K503*$J503*(1+$Q503*kdo_iadeEtkiCarpani),2))</f>
        <v/>
      </c>
      <c r="M503" s="15">
        <f>IF($A503="","",IFERROR(SUMIF(tblAnahtarB[NormB],$A503,tblVeriB[AlternatifTarif]),0))</f>
        <v/>
      </c>
      <c r="N503" s="15">
        <f>IF($A503="","",ROUND($H503*$M503*$J503*(1+$Q503*kdo_iadeEtkiCarpani),2))</f>
        <v/>
      </c>
      <c r="O503" s="15">
        <f>IF($A503="","",ROUND($L503-$N503,2))</f>
        <v/>
      </c>
      <c r="P503" s="15">
        <f>IF($A503="","",IF($R503&gt;kdo_esikDesiOran,"DESİ DÜŞÜR",IF($O503&gt;kdo_esikTasarruf,"TAŞIYICI DEĞİŞTİR","UYGUN")))</f>
        <v/>
      </c>
      <c r="Q503" s="15">
        <f>IF($A503="","",IFERROR(SUMIF(tblAnahtarB[NormB],$A503,tblVeriB[IadeOran]),0))</f>
        <v/>
      </c>
      <c r="R503" s="15">
        <f>IF(OR($A503="",$E503=0),0,$G503/$E503)</f>
        <v/>
      </c>
      <c r="S503" s="15">
        <f>IF($A503="","",$G503-$E503)</f>
        <v/>
      </c>
      <c r="T503" s="15">
        <f>IF($A503="","",$L503-$N503)</f>
        <v/>
      </c>
    </row>
    <row r="504">
      <c r="A504" s="15">
        <f>IF('ANAHTAR'!$B504="","",'ANAHTAR'!$B504)</f>
        <v/>
      </c>
      <c r="B504" s="15">
        <f>IF($A504="","",IFERROR(SUMIF(tblAnahtarA[Norm],$A504,tblVeriA[EnCm]),0))</f>
        <v/>
      </c>
      <c r="C504" s="15">
        <f>IF($A504="","",IFERROR(SUMIF(tblAnahtarA[Norm],$A504,tblVeriA[BoyCm]),0))</f>
        <v/>
      </c>
      <c r="D504" s="15">
        <f>IF($A504="","",IFERROR(SUMIF(tblAnahtarA[Norm],$A504,tblVeriA[YukseklikCm]),0))</f>
        <v/>
      </c>
      <c r="E504" s="15">
        <f>IF($A504="","",IFERROR(SUMIF(tblAnahtarA[Norm],$A504,tblVeriA[AgirlikKg]),0))</f>
        <v/>
      </c>
      <c r="F504" s="15">
        <f>IF($A504="","",IFERROR(SUMIF(tblAnahtarA[Norm],$A504,tblVeriA[DesiCarpani]),kdo_varsayilanDesiCarpani))</f>
        <v/>
      </c>
      <c r="G504" s="15">
        <f>IF($A504="","",ROUND($B504*$C504*$D504/MAX($F504,1),2))</f>
        <v/>
      </c>
      <c r="H504" s="15">
        <f>IF($A504="","",MAX($G504,$E504))</f>
        <v/>
      </c>
      <c r="I504" s="15">
        <f>IF($A504="","",IFERROR(SUMIF(tblAnahtarB[NormB],$A504,tblVeriB[TarifTlDesi]),0))</f>
        <v/>
      </c>
      <c r="J504" s="15">
        <f>IF($A504="","",IFERROR(SUMIF(tblAnahtarA[Norm],$A504,tblVeriA[Adet]),1))</f>
        <v/>
      </c>
      <c r="K504" s="15">
        <f>IF($A504="","",ROUND($H504*$I504,2))</f>
        <v/>
      </c>
      <c r="L504" s="15">
        <f>IF($A504="","",ROUND($K504*$J504*(1+$Q504*kdo_iadeEtkiCarpani),2))</f>
        <v/>
      </c>
      <c r="M504" s="15">
        <f>IF($A504="","",IFERROR(SUMIF(tblAnahtarB[NormB],$A504,tblVeriB[AlternatifTarif]),0))</f>
        <v/>
      </c>
      <c r="N504" s="15">
        <f>IF($A504="","",ROUND($H504*$M504*$J504*(1+$Q504*kdo_iadeEtkiCarpani),2))</f>
        <v/>
      </c>
      <c r="O504" s="15">
        <f>IF($A504="","",ROUND($L504-$N504,2))</f>
        <v/>
      </c>
      <c r="P504" s="15">
        <f>IF($A504="","",IF($R504&gt;kdo_esikDesiOran,"DESİ DÜŞÜR",IF($O504&gt;kdo_esikTasarruf,"TAŞIYICI DEĞİŞTİR","UYGUN")))</f>
        <v/>
      </c>
      <c r="Q504" s="15">
        <f>IF($A504="","",IFERROR(SUMIF(tblAnahtarB[NormB],$A504,tblVeriB[IadeOran]),0))</f>
        <v/>
      </c>
      <c r="R504" s="15">
        <f>IF(OR($A504="",$E504=0),0,$G504/$E504)</f>
        <v/>
      </c>
      <c r="S504" s="15">
        <f>IF($A504="","",$G504-$E504)</f>
        <v/>
      </c>
      <c r="T504" s="15">
        <f>IF($A504="","",$L504-$N504)</f>
        <v/>
      </c>
    </row>
    <row r="505">
      <c r="A505" s="15">
        <f>IF('ANAHTAR'!$B505="","",'ANAHTAR'!$B505)</f>
        <v/>
      </c>
      <c r="B505" s="15">
        <f>IF($A505="","",IFERROR(SUMIF(tblAnahtarA[Norm],$A505,tblVeriA[EnCm]),0))</f>
        <v/>
      </c>
      <c r="C505" s="15">
        <f>IF($A505="","",IFERROR(SUMIF(tblAnahtarA[Norm],$A505,tblVeriA[BoyCm]),0))</f>
        <v/>
      </c>
      <c r="D505" s="15">
        <f>IF($A505="","",IFERROR(SUMIF(tblAnahtarA[Norm],$A505,tblVeriA[YukseklikCm]),0))</f>
        <v/>
      </c>
      <c r="E505" s="15">
        <f>IF($A505="","",IFERROR(SUMIF(tblAnahtarA[Norm],$A505,tblVeriA[AgirlikKg]),0))</f>
        <v/>
      </c>
      <c r="F505" s="15">
        <f>IF($A505="","",IFERROR(SUMIF(tblAnahtarA[Norm],$A505,tblVeriA[DesiCarpani]),kdo_varsayilanDesiCarpani))</f>
        <v/>
      </c>
      <c r="G505" s="15">
        <f>IF($A505="","",ROUND($B505*$C505*$D505/MAX($F505,1),2))</f>
        <v/>
      </c>
      <c r="H505" s="15">
        <f>IF($A505="","",MAX($G505,$E505))</f>
        <v/>
      </c>
      <c r="I505" s="15">
        <f>IF($A505="","",IFERROR(SUMIF(tblAnahtarB[NormB],$A505,tblVeriB[TarifTlDesi]),0))</f>
        <v/>
      </c>
      <c r="J505" s="15">
        <f>IF($A505="","",IFERROR(SUMIF(tblAnahtarA[Norm],$A505,tblVeriA[Adet]),1))</f>
        <v/>
      </c>
      <c r="K505" s="15">
        <f>IF($A505="","",ROUND($H505*$I505,2))</f>
        <v/>
      </c>
      <c r="L505" s="15">
        <f>IF($A505="","",ROUND($K505*$J505*(1+$Q505*kdo_iadeEtkiCarpani),2))</f>
        <v/>
      </c>
      <c r="M505" s="15">
        <f>IF($A505="","",IFERROR(SUMIF(tblAnahtarB[NormB],$A505,tblVeriB[AlternatifTarif]),0))</f>
        <v/>
      </c>
      <c r="N505" s="15">
        <f>IF($A505="","",ROUND($H505*$M505*$J505*(1+$Q505*kdo_iadeEtkiCarpani),2))</f>
        <v/>
      </c>
      <c r="O505" s="15">
        <f>IF($A505="","",ROUND($L505-$N505,2))</f>
        <v/>
      </c>
      <c r="P505" s="15">
        <f>IF($A505="","",IF($R505&gt;kdo_esikDesiOran,"DESİ DÜŞÜR",IF($O505&gt;kdo_esikTasarruf,"TAŞIYICI DEĞİŞTİR","UYGUN")))</f>
        <v/>
      </c>
      <c r="Q505" s="15">
        <f>IF($A505="","",IFERROR(SUMIF(tblAnahtarB[NormB],$A505,tblVeriB[IadeOran]),0))</f>
        <v/>
      </c>
      <c r="R505" s="15">
        <f>IF(OR($A505="",$E505=0),0,$G505/$E505)</f>
        <v/>
      </c>
      <c r="S505" s="15">
        <f>IF($A505="","",$G505-$E505)</f>
        <v/>
      </c>
      <c r="T505" s="15">
        <f>IF($A505="","",$L505-$N505)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T1"/>
    <mergeCell ref="A3:P3"/>
  </mergeCells>
  <conditionalFormatting sqref="P6:P505">
    <cfRule type="cellIs" priority="1" operator="equal" dxfId="0">
      <formula>"DESİ DÜŞÜR"</formula>
    </cfRule>
    <cfRule type="cellIs" priority="2" operator="equal" dxfId="1">
      <formula>"TAŞIYICI DEĞİŞTİR"</formula>
    </cfRule>
    <cfRule type="cellIs" priority="3" operator="equal" dxfId="2">
      <formula>"UYGUN"</formula>
    </cfRule>
  </conditionalFormatting>
  <conditionalFormatting sqref="O6:O505">
    <cfRule type="cellIs" priority="4" operator="greaterThan" dxfId="0">
      <formula>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B3A4B"/>
    <outlinePr summaryBelow="1" summaryRight="1"/>
    <pageSetUpPr/>
  </sheetPr>
  <dimension ref="A1:R50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6" customHeight="1">
      <c r="A1" s="1" t="inlineStr">
        <is>
          <t>ESLESTIRME — Kargo/Desi Maliyet Optimizasyonu</t>
        </is>
      </c>
    </row>
    <row r="2">
      <c r="A2" s="18" t="inlineStr">
        <is>
          <t>Kova Bütünlük Denetimi</t>
        </is>
      </c>
      <c r="C2" s="7">
        <f>IF(COUNTIF(tblEslesme[Kova],"eslesti")+COUNTIF(tblEslesme[Kova],"tolerans_icinde")+COUNTIF(tblEslesme[Kova],"tutar_farki")+COUNTIF(tblEslesme[Kova],"eslesmedi")=COUNTA(tblEslesme[A_Norm]),"BUTUN","KAYIP")</f>
        <v/>
      </c>
    </row>
    <row r="3" ht="20" customHeight="1">
      <c r="A3" s="10" t="inlineStr">
        <is>
          <t>Hedef maliyet ↔ gerçek maliyet dört kova — her A kaydı tek kovaya (E02)</t>
        </is>
      </c>
    </row>
    <row r="5" ht="30" customHeight="1">
      <c r="A5" s="12" t="inlineStr">
        <is>
          <t>A_Norm</t>
        </is>
      </c>
      <c r="B5" s="12" t="inlineStr">
        <is>
          <t>B_Sayim</t>
        </is>
      </c>
      <c r="C5" s="12" t="inlineStr">
        <is>
          <t>B_Tutar</t>
        </is>
      </c>
      <c r="D5" s="12" t="inlineStr">
        <is>
          <t>A_Tutar</t>
        </is>
      </c>
      <c r="E5" s="12" t="inlineStr">
        <is>
          <t>Fark</t>
        </is>
      </c>
      <c r="F5" s="12" t="inlineStr">
        <is>
          <t>AbsFark</t>
        </is>
      </c>
      <c r="G5" s="12" t="inlineStr">
        <is>
          <t>Kova</t>
        </is>
      </c>
      <c r="H5" s="12" t="inlineStr">
        <is>
          <t>IkincilEslesme</t>
        </is>
      </c>
      <c r="I5" s="12" t="inlineStr">
        <is>
          <t>DuplikeBayrak</t>
        </is>
      </c>
      <c r="J5" s="12" t="inlineStr">
        <is>
          <t>FarkOran</t>
        </is>
      </c>
      <c r="K5" s="12" t="inlineStr">
        <is>
          <t>YuvarlakA</t>
        </is>
      </c>
      <c r="L5" s="12" t="inlineStr">
        <is>
          <t>YuvarlakB</t>
        </is>
      </c>
      <c r="M5" s="12" t="inlineStr">
        <is>
          <t>ToleransTest</t>
        </is>
      </c>
      <c r="N5" s="12" t="inlineStr">
        <is>
          <t>EsikUstu</t>
        </is>
      </c>
      <c r="O5" s="12" t="inlineStr">
        <is>
          <t>SiparisToplam</t>
        </is>
      </c>
      <c r="P5" s="12" t="inlineStr">
        <is>
          <t>MotorAdim</t>
        </is>
      </c>
    </row>
    <row r="6">
      <c r="A6" s="15">
        <f>IF('ANAHTAR'!$B6="","",'ANAHTAR'!$B6)</f>
        <v/>
      </c>
      <c r="B6" s="15">
        <f>IF($A6="","",COUNTIF(tblAnahtarB[NormB],$A6))</f>
        <v/>
      </c>
      <c r="C6" s="15">
        <f>IF($A6="","",IFERROR(SUMIF(tblMotor[A_Norm],$A6,tblMotor[SiparisToplam]),0))</f>
        <v/>
      </c>
      <c r="D6" s="15">
        <f>IF($A6="","",IFERROR(SUMIF(tblAnahtarA[Norm],$A6,tblVeriA[HedefMaliyet]),0))</f>
        <v/>
      </c>
      <c r="E6" s="15">
        <f>IF($A6="","",ROUND($D6,2)-ROUND($C6,2))</f>
        <v/>
      </c>
      <c r="F6" s="15">
        <f>IF($A6="","",ABS($E6))</f>
        <v/>
      </c>
      <c r="G6" s="15">
        <f>IF($A6="","",IF($B6=0,"eslesmedi",IF(ROUND($D6,2)=ROUND($C6,2),"eslesti",IF(ABS(ROUND($D6,2)-ROUND($C6,2))&lt;=toleransKurus,"tolerans_icinde","tutar_farki"))))</f>
        <v/>
      </c>
      <c r="H6" s="15">
        <f>IF($A6="","",IF($B6&gt;0,"BIRINCIL",IF(COUNTIF(tblAnahtarB[IkincilB],'ANAHTAR'!$D6)&gt;0,"IKINCIL","YOK")))</f>
        <v/>
      </c>
      <c r="I6" s="15">
        <f>IF($A6="","",'ANAHTAR'!$F6)</f>
        <v/>
      </c>
      <c r="J6" s="15">
        <f>IF(OR($A6="",$D6=0),0,$F6/ABS($D6))</f>
        <v/>
      </c>
      <c r="K6" s="15">
        <f>IF($A6="","",ROUND($D6,2))</f>
        <v/>
      </c>
      <c r="L6" s="15">
        <f>IF($A6="","",ROUND($C6,2))</f>
        <v/>
      </c>
      <c r="M6" s="15">
        <f>IF($A6="","",IF($F6&lt;=toleransKurus,1,0))</f>
        <v/>
      </c>
      <c r="N6" s="15">
        <f>IF($A6="","",IF($F6&gt;kdo_esikFark,1,0))</f>
        <v/>
      </c>
      <c r="O6" s="15">
        <f>IF($A6="","",IFERROR(SUMIF(tblMotor[A_Norm],$A6,tblMotor[SiparisToplam]),0))</f>
        <v/>
      </c>
      <c r="P6" s="15">
        <f>IF($A6="","",$B6+$M6+$N6)</f>
        <v/>
      </c>
    </row>
    <row r="7">
      <c r="A7" s="15">
        <f>IF('ANAHTAR'!$B7="","",'ANAHTAR'!$B7)</f>
        <v/>
      </c>
      <c r="B7" s="15">
        <f>IF($A7="","",COUNTIF(tblAnahtarB[NormB],$A7))</f>
        <v/>
      </c>
      <c r="C7" s="15">
        <f>IF($A7="","",IFERROR(SUMIF(tblMotor[A_Norm],$A7,tblMotor[SiparisToplam]),0))</f>
        <v/>
      </c>
      <c r="D7" s="15">
        <f>IF($A7="","",IFERROR(SUMIF(tblAnahtarA[Norm],$A7,tblVeriA[HedefMaliyet]),0))</f>
        <v/>
      </c>
      <c r="E7" s="15">
        <f>IF($A7="","",ROUND($D7,2)-ROUND($C7,2))</f>
        <v/>
      </c>
      <c r="F7" s="15">
        <f>IF($A7="","",ABS($E7))</f>
        <v/>
      </c>
      <c r="G7" s="15">
        <f>IF($A7="","",IF($B7=0,"eslesmedi",IF(ROUND($D7,2)=ROUND($C7,2),"eslesti",IF(ABS(ROUND($D7,2)-ROUND($C7,2))&lt;=toleransKurus,"tolerans_icinde","tutar_farki"))))</f>
        <v/>
      </c>
      <c r="H7" s="15">
        <f>IF($A7="","",IF($B7&gt;0,"BIRINCIL",IF(COUNTIF(tblAnahtarB[IkincilB],'ANAHTAR'!$D7)&gt;0,"IKINCIL","YOK")))</f>
        <v/>
      </c>
      <c r="I7" s="15">
        <f>IF($A7="","",'ANAHTAR'!$F7)</f>
        <v/>
      </c>
      <c r="J7" s="15">
        <f>IF(OR($A7="",$D7=0),0,$F7/ABS($D7))</f>
        <v/>
      </c>
      <c r="K7" s="15">
        <f>IF($A7="","",ROUND($D7,2))</f>
        <v/>
      </c>
      <c r="L7" s="15">
        <f>IF($A7="","",ROUND($C7,2))</f>
        <v/>
      </c>
      <c r="M7" s="15">
        <f>IF($A7="","",IF($F7&lt;=toleransKurus,1,0))</f>
        <v/>
      </c>
      <c r="N7" s="15">
        <f>IF($A7="","",IF($F7&gt;kdo_esikFark,1,0))</f>
        <v/>
      </c>
      <c r="O7" s="15">
        <f>IF($A7="","",IFERROR(SUMIF(tblMotor[A_Norm],$A7,tblMotor[SiparisToplam]),0))</f>
        <v/>
      </c>
      <c r="P7" s="15">
        <f>IF($A7="","",$B7+$M7+$N7)</f>
        <v/>
      </c>
    </row>
    <row r="8">
      <c r="A8" s="15">
        <f>IF('ANAHTAR'!$B8="","",'ANAHTAR'!$B8)</f>
        <v/>
      </c>
      <c r="B8" s="15">
        <f>IF($A8="","",COUNTIF(tblAnahtarB[NormB],$A8))</f>
        <v/>
      </c>
      <c r="C8" s="15">
        <f>IF($A8="","",IFERROR(SUMIF(tblMotor[A_Norm],$A8,tblMotor[SiparisToplam]),0))</f>
        <v/>
      </c>
      <c r="D8" s="15">
        <f>IF($A8="","",IFERROR(SUMIF(tblAnahtarA[Norm],$A8,tblVeriA[HedefMaliyet]),0))</f>
        <v/>
      </c>
      <c r="E8" s="15">
        <f>IF($A8="","",ROUND($D8,2)-ROUND($C8,2))</f>
        <v/>
      </c>
      <c r="F8" s="15">
        <f>IF($A8="","",ABS($E8))</f>
        <v/>
      </c>
      <c r="G8" s="15">
        <f>IF($A8="","",IF($B8=0,"eslesmedi",IF(ROUND($D8,2)=ROUND($C8,2),"eslesti",IF(ABS(ROUND($D8,2)-ROUND($C8,2))&lt;=toleransKurus,"tolerans_icinde","tutar_farki"))))</f>
        <v/>
      </c>
      <c r="H8" s="15">
        <f>IF($A8="","",IF($B8&gt;0,"BIRINCIL",IF(COUNTIF(tblAnahtarB[IkincilB],'ANAHTAR'!$D8)&gt;0,"IKINCIL","YOK")))</f>
        <v/>
      </c>
      <c r="I8" s="15">
        <f>IF($A8="","",'ANAHTAR'!$F8)</f>
        <v/>
      </c>
      <c r="J8" s="15">
        <f>IF(OR($A8="",$D8=0),0,$F8/ABS($D8))</f>
        <v/>
      </c>
      <c r="K8" s="15">
        <f>IF($A8="","",ROUND($D8,2))</f>
        <v/>
      </c>
      <c r="L8" s="15">
        <f>IF($A8="","",ROUND($C8,2))</f>
        <v/>
      </c>
      <c r="M8" s="15">
        <f>IF($A8="","",IF($F8&lt;=toleransKurus,1,0))</f>
        <v/>
      </c>
      <c r="N8" s="15">
        <f>IF($A8="","",IF($F8&gt;kdo_esikFark,1,0))</f>
        <v/>
      </c>
      <c r="O8" s="15">
        <f>IF($A8="","",IFERROR(SUMIF(tblMotor[A_Norm],$A8,tblMotor[SiparisToplam]),0))</f>
        <v/>
      </c>
      <c r="P8" s="15">
        <f>IF($A8="","",$B8+$M8+$N8)</f>
        <v/>
      </c>
    </row>
    <row r="9">
      <c r="A9" s="15">
        <f>IF('ANAHTAR'!$B9="","",'ANAHTAR'!$B9)</f>
        <v/>
      </c>
      <c r="B9" s="15">
        <f>IF($A9="","",COUNTIF(tblAnahtarB[NormB],$A9))</f>
        <v/>
      </c>
      <c r="C9" s="15">
        <f>IF($A9="","",IFERROR(SUMIF(tblMotor[A_Norm],$A9,tblMotor[SiparisToplam]),0))</f>
        <v/>
      </c>
      <c r="D9" s="15">
        <f>IF($A9="","",IFERROR(SUMIF(tblAnahtarA[Norm],$A9,tblVeriA[HedefMaliyet]),0))</f>
        <v/>
      </c>
      <c r="E9" s="15">
        <f>IF($A9="","",ROUND($D9,2)-ROUND($C9,2))</f>
        <v/>
      </c>
      <c r="F9" s="15">
        <f>IF($A9="","",ABS($E9))</f>
        <v/>
      </c>
      <c r="G9" s="15">
        <f>IF($A9="","",IF($B9=0,"eslesmedi",IF(ROUND($D9,2)=ROUND($C9,2),"eslesti",IF(ABS(ROUND($D9,2)-ROUND($C9,2))&lt;=toleransKurus,"tolerans_icinde","tutar_farki"))))</f>
        <v/>
      </c>
      <c r="H9" s="15">
        <f>IF($A9="","",IF($B9&gt;0,"BIRINCIL",IF(COUNTIF(tblAnahtarB[IkincilB],'ANAHTAR'!$D9)&gt;0,"IKINCIL","YOK")))</f>
        <v/>
      </c>
      <c r="I9" s="15">
        <f>IF($A9="","",'ANAHTAR'!$F9)</f>
        <v/>
      </c>
      <c r="J9" s="15">
        <f>IF(OR($A9="",$D9=0),0,$F9/ABS($D9))</f>
        <v/>
      </c>
      <c r="K9" s="15">
        <f>IF($A9="","",ROUND($D9,2))</f>
        <v/>
      </c>
      <c r="L9" s="15">
        <f>IF($A9="","",ROUND($C9,2))</f>
        <v/>
      </c>
      <c r="M9" s="15">
        <f>IF($A9="","",IF($F9&lt;=toleransKurus,1,0))</f>
        <v/>
      </c>
      <c r="N9" s="15">
        <f>IF($A9="","",IF($F9&gt;kdo_esikFark,1,0))</f>
        <v/>
      </c>
      <c r="O9" s="15">
        <f>IF($A9="","",IFERROR(SUMIF(tblMotor[A_Norm],$A9,tblMotor[SiparisToplam]),0))</f>
        <v/>
      </c>
      <c r="P9" s="15">
        <f>IF($A9="","",$B9+$M9+$N9)</f>
        <v/>
      </c>
    </row>
    <row r="10">
      <c r="A10" s="15">
        <f>IF('ANAHTAR'!$B10="","",'ANAHTAR'!$B10)</f>
        <v/>
      </c>
      <c r="B10" s="15">
        <f>IF($A10="","",COUNTIF(tblAnahtarB[NormB],$A10))</f>
        <v/>
      </c>
      <c r="C10" s="15">
        <f>IF($A10="","",IFERROR(SUMIF(tblMotor[A_Norm],$A10,tblMotor[SiparisToplam]),0))</f>
        <v/>
      </c>
      <c r="D10" s="15">
        <f>IF($A10="","",IFERROR(SUMIF(tblAnahtarA[Norm],$A10,tblVeriA[HedefMaliyet]),0))</f>
        <v/>
      </c>
      <c r="E10" s="15">
        <f>IF($A10="","",ROUND($D10,2)-ROUND($C10,2))</f>
        <v/>
      </c>
      <c r="F10" s="15">
        <f>IF($A10="","",ABS($E10))</f>
        <v/>
      </c>
      <c r="G10" s="15">
        <f>IF($A10="","",IF($B10=0,"eslesmedi",IF(ROUND($D10,2)=ROUND($C10,2),"eslesti",IF(ABS(ROUND($D10,2)-ROUND($C10,2))&lt;=toleransKurus,"tolerans_icinde","tutar_farki"))))</f>
        <v/>
      </c>
      <c r="H10" s="15">
        <f>IF($A10="","",IF($B10&gt;0,"BIRINCIL",IF(COUNTIF(tblAnahtarB[IkincilB],'ANAHTAR'!$D10)&gt;0,"IKINCIL","YOK")))</f>
        <v/>
      </c>
      <c r="I10" s="15">
        <f>IF($A10="","",'ANAHTAR'!$F10)</f>
        <v/>
      </c>
      <c r="J10" s="15">
        <f>IF(OR($A10="",$D10=0),0,$F10/ABS($D10))</f>
        <v/>
      </c>
      <c r="K10" s="15">
        <f>IF($A10="","",ROUND($D10,2))</f>
        <v/>
      </c>
      <c r="L10" s="15">
        <f>IF($A10="","",ROUND($C10,2))</f>
        <v/>
      </c>
      <c r="M10" s="15">
        <f>IF($A10="","",IF($F10&lt;=toleransKurus,1,0))</f>
        <v/>
      </c>
      <c r="N10" s="15">
        <f>IF($A10="","",IF($F10&gt;kdo_esikFark,1,0))</f>
        <v/>
      </c>
      <c r="O10" s="15">
        <f>IF($A10="","",IFERROR(SUMIF(tblMotor[A_Norm],$A10,tblMotor[SiparisToplam]),0))</f>
        <v/>
      </c>
      <c r="P10" s="15">
        <f>IF($A10="","",$B10+$M10+$N10)</f>
        <v/>
      </c>
    </row>
    <row r="11">
      <c r="A11" s="15">
        <f>IF('ANAHTAR'!$B11="","",'ANAHTAR'!$B11)</f>
        <v/>
      </c>
      <c r="B11" s="15">
        <f>IF($A11="","",COUNTIF(tblAnahtarB[NormB],$A11))</f>
        <v/>
      </c>
      <c r="C11" s="15">
        <f>IF($A11="","",IFERROR(SUMIF(tblMotor[A_Norm],$A11,tblMotor[SiparisToplam]),0))</f>
        <v/>
      </c>
      <c r="D11" s="15">
        <f>IF($A11="","",IFERROR(SUMIF(tblAnahtarA[Norm],$A11,tblVeriA[HedefMaliyet]),0))</f>
        <v/>
      </c>
      <c r="E11" s="15">
        <f>IF($A11="","",ROUND($D11,2)-ROUND($C11,2))</f>
        <v/>
      </c>
      <c r="F11" s="15">
        <f>IF($A11="","",ABS($E11))</f>
        <v/>
      </c>
      <c r="G11" s="15">
        <f>IF($A11="","",IF($B11=0,"eslesmedi",IF(ROUND($D11,2)=ROUND($C11,2),"eslesti",IF(ABS(ROUND($D11,2)-ROUND($C11,2))&lt;=toleransKurus,"tolerans_icinde","tutar_farki"))))</f>
        <v/>
      </c>
      <c r="H11" s="15">
        <f>IF($A11="","",IF($B11&gt;0,"BIRINCIL",IF(COUNTIF(tblAnahtarB[IkincilB],'ANAHTAR'!$D11)&gt;0,"IKINCIL","YOK")))</f>
        <v/>
      </c>
      <c r="I11" s="15">
        <f>IF($A11="","",'ANAHTAR'!$F11)</f>
        <v/>
      </c>
      <c r="J11" s="15">
        <f>IF(OR($A11="",$D11=0),0,$F11/ABS($D11))</f>
        <v/>
      </c>
      <c r="K11" s="15">
        <f>IF($A11="","",ROUND($D11,2))</f>
        <v/>
      </c>
      <c r="L11" s="15">
        <f>IF($A11="","",ROUND($C11,2))</f>
        <v/>
      </c>
      <c r="M11" s="15">
        <f>IF($A11="","",IF($F11&lt;=toleransKurus,1,0))</f>
        <v/>
      </c>
      <c r="N11" s="15">
        <f>IF($A11="","",IF($F11&gt;kdo_esikFark,1,0))</f>
        <v/>
      </c>
      <c r="O11" s="15">
        <f>IF($A11="","",IFERROR(SUMIF(tblMotor[A_Norm],$A11,tblMotor[SiparisToplam]),0))</f>
        <v/>
      </c>
      <c r="P11" s="15">
        <f>IF($A11="","",$B11+$M11+$N11)</f>
        <v/>
      </c>
    </row>
    <row r="12">
      <c r="A12" s="15">
        <f>IF('ANAHTAR'!$B12="","",'ANAHTAR'!$B12)</f>
        <v/>
      </c>
      <c r="B12" s="15">
        <f>IF($A12="","",COUNTIF(tblAnahtarB[NormB],$A12))</f>
        <v/>
      </c>
      <c r="C12" s="15">
        <f>IF($A12="","",IFERROR(SUMIF(tblMotor[A_Norm],$A12,tblMotor[SiparisToplam]),0))</f>
        <v/>
      </c>
      <c r="D12" s="15">
        <f>IF($A12="","",IFERROR(SUMIF(tblAnahtarA[Norm],$A12,tblVeriA[HedefMaliyet]),0))</f>
        <v/>
      </c>
      <c r="E12" s="15">
        <f>IF($A12="","",ROUND($D12,2)-ROUND($C12,2))</f>
        <v/>
      </c>
      <c r="F12" s="15">
        <f>IF($A12="","",ABS($E12))</f>
        <v/>
      </c>
      <c r="G12" s="15">
        <f>IF($A12="","",IF($B12=0,"eslesmedi",IF(ROUND($D12,2)=ROUND($C12,2),"eslesti",IF(ABS(ROUND($D12,2)-ROUND($C12,2))&lt;=toleransKurus,"tolerans_icinde","tutar_farki"))))</f>
        <v/>
      </c>
      <c r="H12" s="15">
        <f>IF($A12="","",IF($B12&gt;0,"BIRINCIL",IF(COUNTIF(tblAnahtarB[IkincilB],'ANAHTAR'!$D12)&gt;0,"IKINCIL","YOK")))</f>
        <v/>
      </c>
      <c r="I12" s="15">
        <f>IF($A12="","",'ANAHTAR'!$F12)</f>
        <v/>
      </c>
      <c r="J12" s="15">
        <f>IF(OR($A12="",$D12=0),0,$F12/ABS($D12))</f>
        <v/>
      </c>
      <c r="K12" s="15">
        <f>IF($A12="","",ROUND($D12,2))</f>
        <v/>
      </c>
      <c r="L12" s="15">
        <f>IF($A12="","",ROUND($C12,2))</f>
        <v/>
      </c>
      <c r="M12" s="15">
        <f>IF($A12="","",IF($F12&lt;=toleransKurus,1,0))</f>
        <v/>
      </c>
      <c r="N12" s="15">
        <f>IF($A12="","",IF($F12&gt;kdo_esikFark,1,0))</f>
        <v/>
      </c>
      <c r="O12" s="15">
        <f>IF($A12="","",IFERROR(SUMIF(tblMotor[A_Norm],$A12,tblMotor[SiparisToplam]),0))</f>
        <v/>
      </c>
      <c r="P12" s="15">
        <f>IF($A12="","",$B12+$M12+$N12)</f>
        <v/>
      </c>
    </row>
    <row r="13">
      <c r="A13" s="15">
        <f>IF('ANAHTAR'!$B13="","",'ANAHTAR'!$B13)</f>
        <v/>
      </c>
      <c r="B13" s="15">
        <f>IF($A13="","",COUNTIF(tblAnahtarB[NormB],$A13))</f>
        <v/>
      </c>
      <c r="C13" s="15">
        <f>IF($A13="","",IFERROR(SUMIF(tblMotor[A_Norm],$A13,tblMotor[SiparisToplam]),0))</f>
        <v/>
      </c>
      <c r="D13" s="15">
        <f>IF($A13="","",IFERROR(SUMIF(tblAnahtarA[Norm],$A13,tblVeriA[HedefMaliyet]),0))</f>
        <v/>
      </c>
      <c r="E13" s="15">
        <f>IF($A13="","",ROUND($D13,2)-ROUND($C13,2))</f>
        <v/>
      </c>
      <c r="F13" s="15">
        <f>IF($A13="","",ABS($E13))</f>
        <v/>
      </c>
      <c r="G13" s="15">
        <f>IF($A13="","",IF($B13=0,"eslesmedi",IF(ROUND($D13,2)=ROUND($C13,2),"eslesti",IF(ABS(ROUND($D13,2)-ROUND($C13,2))&lt;=toleransKurus,"tolerans_icinde","tutar_farki"))))</f>
        <v/>
      </c>
      <c r="H13" s="15">
        <f>IF($A13="","",IF($B13&gt;0,"BIRINCIL",IF(COUNTIF(tblAnahtarB[IkincilB],'ANAHTAR'!$D13)&gt;0,"IKINCIL","YOK")))</f>
        <v/>
      </c>
      <c r="I13" s="15">
        <f>IF($A13="","",'ANAHTAR'!$F13)</f>
        <v/>
      </c>
      <c r="J13" s="15">
        <f>IF(OR($A13="",$D13=0),0,$F13/ABS($D13))</f>
        <v/>
      </c>
      <c r="K13" s="15">
        <f>IF($A13="","",ROUND($D13,2))</f>
        <v/>
      </c>
      <c r="L13" s="15">
        <f>IF($A13="","",ROUND($C13,2))</f>
        <v/>
      </c>
      <c r="M13" s="15">
        <f>IF($A13="","",IF($F13&lt;=toleransKurus,1,0))</f>
        <v/>
      </c>
      <c r="N13" s="15">
        <f>IF($A13="","",IF($F13&gt;kdo_esikFark,1,0))</f>
        <v/>
      </c>
      <c r="O13" s="15">
        <f>IF($A13="","",IFERROR(SUMIF(tblMotor[A_Norm],$A13,tblMotor[SiparisToplam]),0))</f>
        <v/>
      </c>
      <c r="P13" s="15">
        <f>IF($A13="","",$B13+$M13+$N13)</f>
        <v/>
      </c>
    </row>
    <row r="14">
      <c r="A14" s="15">
        <f>IF('ANAHTAR'!$B14="","",'ANAHTAR'!$B14)</f>
        <v/>
      </c>
      <c r="B14" s="15">
        <f>IF($A14="","",COUNTIF(tblAnahtarB[NormB],$A14))</f>
        <v/>
      </c>
      <c r="C14" s="15">
        <f>IF($A14="","",IFERROR(SUMIF(tblMotor[A_Norm],$A14,tblMotor[SiparisToplam]),0))</f>
        <v/>
      </c>
      <c r="D14" s="15">
        <f>IF($A14="","",IFERROR(SUMIF(tblAnahtarA[Norm],$A14,tblVeriA[HedefMaliyet]),0))</f>
        <v/>
      </c>
      <c r="E14" s="15">
        <f>IF($A14="","",ROUND($D14,2)-ROUND($C14,2))</f>
        <v/>
      </c>
      <c r="F14" s="15">
        <f>IF($A14="","",ABS($E14))</f>
        <v/>
      </c>
      <c r="G14" s="15">
        <f>IF($A14="","",IF($B14=0,"eslesmedi",IF(ROUND($D14,2)=ROUND($C14,2),"eslesti",IF(ABS(ROUND($D14,2)-ROUND($C14,2))&lt;=toleransKurus,"tolerans_icinde","tutar_farki"))))</f>
        <v/>
      </c>
      <c r="H14" s="15">
        <f>IF($A14="","",IF($B14&gt;0,"BIRINCIL",IF(COUNTIF(tblAnahtarB[IkincilB],'ANAHTAR'!$D14)&gt;0,"IKINCIL","YOK")))</f>
        <v/>
      </c>
      <c r="I14" s="15">
        <f>IF($A14="","",'ANAHTAR'!$F14)</f>
        <v/>
      </c>
      <c r="J14" s="15">
        <f>IF(OR($A14="",$D14=0),0,$F14/ABS($D14))</f>
        <v/>
      </c>
      <c r="K14" s="15">
        <f>IF($A14="","",ROUND($D14,2))</f>
        <v/>
      </c>
      <c r="L14" s="15">
        <f>IF($A14="","",ROUND($C14,2))</f>
        <v/>
      </c>
      <c r="M14" s="15">
        <f>IF($A14="","",IF($F14&lt;=toleransKurus,1,0))</f>
        <v/>
      </c>
      <c r="N14" s="15">
        <f>IF($A14="","",IF($F14&gt;kdo_esikFark,1,0))</f>
        <v/>
      </c>
      <c r="O14" s="15">
        <f>IF($A14="","",IFERROR(SUMIF(tblMotor[A_Norm],$A14,tblMotor[SiparisToplam]),0))</f>
        <v/>
      </c>
      <c r="P14" s="15">
        <f>IF($A14="","",$B14+$M14+$N14)</f>
        <v/>
      </c>
    </row>
    <row r="15">
      <c r="A15" s="15">
        <f>IF('ANAHTAR'!$B15="","",'ANAHTAR'!$B15)</f>
        <v/>
      </c>
      <c r="B15" s="15">
        <f>IF($A15="","",COUNTIF(tblAnahtarB[NormB],$A15))</f>
        <v/>
      </c>
      <c r="C15" s="15">
        <f>IF($A15="","",IFERROR(SUMIF(tblMotor[A_Norm],$A15,tblMotor[SiparisToplam]),0))</f>
        <v/>
      </c>
      <c r="D15" s="15">
        <f>IF($A15="","",IFERROR(SUMIF(tblAnahtarA[Norm],$A15,tblVeriA[HedefMaliyet]),0))</f>
        <v/>
      </c>
      <c r="E15" s="15">
        <f>IF($A15="","",ROUND($D15,2)-ROUND($C15,2))</f>
        <v/>
      </c>
      <c r="F15" s="15">
        <f>IF($A15="","",ABS($E15))</f>
        <v/>
      </c>
      <c r="G15" s="15">
        <f>IF($A15="","",IF($B15=0,"eslesmedi",IF(ROUND($D15,2)=ROUND($C15,2),"eslesti",IF(ABS(ROUND($D15,2)-ROUND($C15,2))&lt;=toleransKurus,"tolerans_icinde","tutar_farki"))))</f>
        <v/>
      </c>
      <c r="H15" s="15">
        <f>IF($A15="","",IF($B15&gt;0,"BIRINCIL",IF(COUNTIF(tblAnahtarB[IkincilB],'ANAHTAR'!$D15)&gt;0,"IKINCIL","YOK")))</f>
        <v/>
      </c>
      <c r="I15" s="15">
        <f>IF($A15="","",'ANAHTAR'!$F15)</f>
        <v/>
      </c>
      <c r="J15" s="15">
        <f>IF(OR($A15="",$D15=0),0,$F15/ABS($D15))</f>
        <v/>
      </c>
      <c r="K15" s="15">
        <f>IF($A15="","",ROUND($D15,2))</f>
        <v/>
      </c>
      <c r="L15" s="15">
        <f>IF($A15="","",ROUND($C15,2))</f>
        <v/>
      </c>
      <c r="M15" s="15">
        <f>IF($A15="","",IF($F15&lt;=toleransKurus,1,0))</f>
        <v/>
      </c>
      <c r="N15" s="15">
        <f>IF($A15="","",IF($F15&gt;kdo_esikFark,1,0))</f>
        <v/>
      </c>
      <c r="O15" s="15">
        <f>IF($A15="","",IFERROR(SUMIF(tblMotor[A_Norm],$A15,tblMotor[SiparisToplam]),0))</f>
        <v/>
      </c>
      <c r="P15" s="15">
        <f>IF($A15="","",$B15+$M15+$N15)</f>
        <v/>
      </c>
    </row>
    <row r="16">
      <c r="A16" s="15">
        <f>IF('ANAHTAR'!$B16="","",'ANAHTAR'!$B16)</f>
        <v/>
      </c>
      <c r="B16" s="15">
        <f>IF($A16="","",COUNTIF(tblAnahtarB[NormB],$A16))</f>
        <v/>
      </c>
      <c r="C16" s="15">
        <f>IF($A16="","",IFERROR(SUMIF(tblMotor[A_Norm],$A16,tblMotor[SiparisToplam]),0))</f>
        <v/>
      </c>
      <c r="D16" s="15">
        <f>IF($A16="","",IFERROR(SUMIF(tblAnahtarA[Norm],$A16,tblVeriA[HedefMaliyet]),0))</f>
        <v/>
      </c>
      <c r="E16" s="15">
        <f>IF($A16="","",ROUND($D16,2)-ROUND($C16,2))</f>
        <v/>
      </c>
      <c r="F16" s="15">
        <f>IF($A16="","",ABS($E16))</f>
        <v/>
      </c>
      <c r="G16" s="15">
        <f>IF($A16="","",IF($B16=0,"eslesmedi",IF(ROUND($D16,2)=ROUND($C16,2),"eslesti",IF(ABS(ROUND($D16,2)-ROUND($C16,2))&lt;=toleransKurus,"tolerans_icinde","tutar_farki"))))</f>
        <v/>
      </c>
      <c r="H16" s="15">
        <f>IF($A16="","",IF($B16&gt;0,"BIRINCIL",IF(COUNTIF(tblAnahtarB[IkincilB],'ANAHTAR'!$D16)&gt;0,"IKINCIL","YOK")))</f>
        <v/>
      </c>
      <c r="I16" s="15">
        <f>IF($A16="","",'ANAHTAR'!$F16)</f>
        <v/>
      </c>
      <c r="J16" s="15">
        <f>IF(OR($A16="",$D16=0),0,$F16/ABS($D16))</f>
        <v/>
      </c>
      <c r="K16" s="15">
        <f>IF($A16="","",ROUND($D16,2))</f>
        <v/>
      </c>
      <c r="L16" s="15">
        <f>IF($A16="","",ROUND($C16,2))</f>
        <v/>
      </c>
      <c r="M16" s="15">
        <f>IF($A16="","",IF($F16&lt;=toleransKurus,1,0))</f>
        <v/>
      </c>
      <c r="N16" s="15">
        <f>IF($A16="","",IF($F16&gt;kdo_esikFark,1,0))</f>
        <v/>
      </c>
      <c r="O16" s="15">
        <f>IF($A16="","",IFERROR(SUMIF(tblMotor[A_Norm],$A16,tblMotor[SiparisToplam]),0))</f>
        <v/>
      </c>
      <c r="P16" s="15">
        <f>IF($A16="","",$B16+$M16+$N16)</f>
        <v/>
      </c>
    </row>
    <row r="17">
      <c r="A17" s="15">
        <f>IF('ANAHTAR'!$B17="","",'ANAHTAR'!$B17)</f>
        <v/>
      </c>
      <c r="B17" s="15">
        <f>IF($A17="","",COUNTIF(tblAnahtarB[NormB],$A17))</f>
        <v/>
      </c>
      <c r="C17" s="15">
        <f>IF($A17="","",IFERROR(SUMIF(tblMotor[A_Norm],$A17,tblMotor[SiparisToplam]),0))</f>
        <v/>
      </c>
      <c r="D17" s="15">
        <f>IF($A17="","",IFERROR(SUMIF(tblAnahtarA[Norm],$A17,tblVeriA[HedefMaliyet]),0))</f>
        <v/>
      </c>
      <c r="E17" s="15">
        <f>IF($A17="","",ROUND($D17,2)-ROUND($C17,2))</f>
        <v/>
      </c>
      <c r="F17" s="15">
        <f>IF($A17="","",ABS($E17))</f>
        <v/>
      </c>
      <c r="G17" s="15">
        <f>IF($A17="","",IF($B17=0,"eslesmedi",IF(ROUND($D17,2)=ROUND($C17,2),"eslesti",IF(ABS(ROUND($D17,2)-ROUND($C17,2))&lt;=toleransKurus,"tolerans_icinde","tutar_farki"))))</f>
        <v/>
      </c>
      <c r="H17" s="15">
        <f>IF($A17="","",IF($B17&gt;0,"BIRINCIL",IF(COUNTIF(tblAnahtarB[IkincilB],'ANAHTAR'!$D17)&gt;0,"IKINCIL","YOK")))</f>
        <v/>
      </c>
      <c r="I17" s="15">
        <f>IF($A17="","",'ANAHTAR'!$F17)</f>
        <v/>
      </c>
      <c r="J17" s="15">
        <f>IF(OR($A17="",$D17=0),0,$F17/ABS($D17))</f>
        <v/>
      </c>
      <c r="K17" s="15">
        <f>IF($A17="","",ROUND($D17,2))</f>
        <v/>
      </c>
      <c r="L17" s="15">
        <f>IF($A17="","",ROUND($C17,2))</f>
        <v/>
      </c>
      <c r="M17" s="15">
        <f>IF($A17="","",IF($F17&lt;=toleransKurus,1,0))</f>
        <v/>
      </c>
      <c r="N17" s="15">
        <f>IF($A17="","",IF($F17&gt;kdo_esikFark,1,0))</f>
        <v/>
      </c>
      <c r="O17" s="15">
        <f>IF($A17="","",IFERROR(SUMIF(tblMotor[A_Norm],$A17,tblMotor[SiparisToplam]),0))</f>
        <v/>
      </c>
      <c r="P17" s="15">
        <f>IF($A17="","",$B17+$M17+$N17)</f>
        <v/>
      </c>
    </row>
    <row r="18">
      <c r="A18" s="15">
        <f>IF('ANAHTAR'!$B18="","",'ANAHTAR'!$B18)</f>
        <v/>
      </c>
      <c r="B18" s="15">
        <f>IF($A18="","",COUNTIF(tblAnahtarB[NormB],$A18))</f>
        <v/>
      </c>
      <c r="C18" s="15">
        <f>IF($A18="","",IFERROR(SUMIF(tblMotor[A_Norm],$A18,tblMotor[SiparisToplam]),0))</f>
        <v/>
      </c>
      <c r="D18" s="15">
        <f>IF($A18="","",IFERROR(SUMIF(tblAnahtarA[Norm],$A18,tblVeriA[HedefMaliyet]),0))</f>
        <v/>
      </c>
      <c r="E18" s="15">
        <f>IF($A18="","",ROUND($D18,2)-ROUND($C18,2))</f>
        <v/>
      </c>
      <c r="F18" s="15">
        <f>IF($A18="","",ABS($E18))</f>
        <v/>
      </c>
      <c r="G18" s="15">
        <f>IF($A18="","",IF($B18=0,"eslesmedi",IF(ROUND($D18,2)=ROUND($C18,2),"eslesti",IF(ABS(ROUND($D18,2)-ROUND($C18,2))&lt;=toleransKurus,"tolerans_icinde","tutar_farki"))))</f>
        <v/>
      </c>
      <c r="H18" s="15">
        <f>IF($A18="","",IF($B18&gt;0,"BIRINCIL",IF(COUNTIF(tblAnahtarB[IkincilB],'ANAHTAR'!$D18)&gt;0,"IKINCIL","YOK")))</f>
        <v/>
      </c>
      <c r="I18" s="15">
        <f>IF($A18="","",'ANAHTAR'!$F18)</f>
        <v/>
      </c>
      <c r="J18" s="15">
        <f>IF(OR($A18="",$D18=0),0,$F18/ABS($D18))</f>
        <v/>
      </c>
      <c r="K18" s="15">
        <f>IF($A18="","",ROUND($D18,2))</f>
        <v/>
      </c>
      <c r="L18" s="15">
        <f>IF($A18="","",ROUND($C18,2))</f>
        <v/>
      </c>
      <c r="M18" s="15">
        <f>IF($A18="","",IF($F18&lt;=toleransKurus,1,0))</f>
        <v/>
      </c>
      <c r="N18" s="15">
        <f>IF($A18="","",IF($F18&gt;kdo_esikFark,1,0))</f>
        <v/>
      </c>
      <c r="O18" s="15">
        <f>IF($A18="","",IFERROR(SUMIF(tblMotor[A_Norm],$A18,tblMotor[SiparisToplam]),0))</f>
        <v/>
      </c>
      <c r="P18" s="15">
        <f>IF($A18="","",$B18+$M18+$N18)</f>
        <v/>
      </c>
    </row>
    <row r="19">
      <c r="A19" s="15">
        <f>IF('ANAHTAR'!$B19="","",'ANAHTAR'!$B19)</f>
        <v/>
      </c>
      <c r="B19" s="15">
        <f>IF($A19="","",COUNTIF(tblAnahtarB[NormB],$A19))</f>
        <v/>
      </c>
      <c r="C19" s="15">
        <f>IF($A19="","",IFERROR(SUMIF(tblMotor[A_Norm],$A19,tblMotor[SiparisToplam]),0))</f>
        <v/>
      </c>
      <c r="D19" s="15">
        <f>IF($A19="","",IFERROR(SUMIF(tblAnahtarA[Norm],$A19,tblVeriA[HedefMaliyet]),0))</f>
        <v/>
      </c>
      <c r="E19" s="15">
        <f>IF($A19="","",ROUND($D19,2)-ROUND($C19,2))</f>
        <v/>
      </c>
      <c r="F19" s="15">
        <f>IF($A19="","",ABS($E19))</f>
        <v/>
      </c>
      <c r="G19" s="15">
        <f>IF($A19="","",IF($B19=0,"eslesmedi",IF(ROUND($D19,2)=ROUND($C19,2),"eslesti",IF(ABS(ROUND($D19,2)-ROUND($C19,2))&lt;=toleransKurus,"tolerans_icinde","tutar_farki"))))</f>
        <v/>
      </c>
      <c r="H19" s="15">
        <f>IF($A19="","",IF($B19&gt;0,"BIRINCIL",IF(COUNTIF(tblAnahtarB[IkincilB],'ANAHTAR'!$D19)&gt;0,"IKINCIL","YOK")))</f>
        <v/>
      </c>
      <c r="I19" s="15">
        <f>IF($A19="","",'ANAHTAR'!$F19)</f>
        <v/>
      </c>
      <c r="J19" s="15">
        <f>IF(OR($A19="",$D19=0),0,$F19/ABS($D19))</f>
        <v/>
      </c>
      <c r="K19" s="15">
        <f>IF($A19="","",ROUND($D19,2))</f>
        <v/>
      </c>
      <c r="L19" s="15">
        <f>IF($A19="","",ROUND($C19,2))</f>
        <v/>
      </c>
      <c r="M19" s="15">
        <f>IF($A19="","",IF($F19&lt;=toleransKurus,1,0))</f>
        <v/>
      </c>
      <c r="N19" s="15">
        <f>IF($A19="","",IF($F19&gt;kdo_esikFark,1,0))</f>
        <v/>
      </c>
      <c r="O19" s="15">
        <f>IF($A19="","",IFERROR(SUMIF(tblMotor[A_Norm],$A19,tblMotor[SiparisToplam]),0))</f>
        <v/>
      </c>
      <c r="P19" s="15">
        <f>IF($A19="","",$B19+$M19+$N19)</f>
        <v/>
      </c>
    </row>
    <row r="20">
      <c r="A20" s="15">
        <f>IF('ANAHTAR'!$B20="","",'ANAHTAR'!$B20)</f>
        <v/>
      </c>
      <c r="B20" s="15">
        <f>IF($A20="","",COUNTIF(tblAnahtarB[NormB],$A20))</f>
        <v/>
      </c>
      <c r="C20" s="15">
        <f>IF($A20="","",IFERROR(SUMIF(tblMotor[A_Norm],$A20,tblMotor[SiparisToplam]),0))</f>
        <v/>
      </c>
      <c r="D20" s="15">
        <f>IF($A20="","",IFERROR(SUMIF(tblAnahtarA[Norm],$A20,tblVeriA[HedefMaliyet]),0))</f>
        <v/>
      </c>
      <c r="E20" s="15">
        <f>IF($A20="","",ROUND($D20,2)-ROUND($C20,2))</f>
        <v/>
      </c>
      <c r="F20" s="15">
        <f>IF($A20="","",ABS($E20))</f>
        <v/>
      </c>
      <c r="G20" s="15">
        <f>IF($A20="","",IF($B20=0,"eslesmedi",IF(ROUND($D20,2)=ROUND($C20,2),"eslesti",IF(ABS(ROUND($D20,2)-ROUND($C20,2))&lt;=toleransKurus,"tolerans_icinde","tutar_farki"))))</f>
        <v/>
      </c>
      <c r="H20" s="15">
        <f>IF($A20="","",IF($B20&gt;0,"BIRINCIL",IF(COUNTIF(tblAnahtarB[IkincilB],'ANAHTAR'!$D20)&gt;0,"IKINCIL","YOK")))</f>
        <v/>
      </c>
      <c r="I20" s="15">
        <f>IF($A20="","",'ANAHTAR'!$F20)</f>
        <v/>
      </c>
      <c r="J20" s="15">
        <f>IF(OR($A20="",$D20=0),0,$F20/ABS($D20))</f>
        <v/>
      </c>
      <c r="K20" s="15">
        <f>IF($A20="","",ROUND($D20,2))</f>
        <v/>
      </c>
      <c r="L20" s="15">
        <f>IF($A20="","",ROUND($C20,2))</f>
        <v/>
      </c>
      <c r="M20" s="15">
        <f>IF($A20="","",IF($F20&lt;=toleransKurus,1,0))</f>
        <v/>
      </c>
      <c r="N20" s="15">
        <f>IF($A20="","",IF($F20&gt;kdo_esikFark,1,0))</f>
        <v/>
      </c>
      <c r="O20" s="15">
        <f>IF($A20="","",IFERROR(SUMIF(tblMotor[A_Norm],$A20,tblMotor[SiparisToplam]),0))</f>
        <v/>
      </c>
      <c r="P20" s="15">
        <f>IF($A20="","",$B20+$M20+$N20)</f>
        <v/>
      </c>
    </row>
    <row r="21">
      <c r="A21" s="15">
        <f>IF('ANAHTAR'!$B21="","",'ANAHTAR'!$B21)</f>
        <v/>
      </c>
      <c r="B21" s="15">
        <f>IF($A21="","",COUNTIF(tblAnahtarB[NormB],$A21))</f>
        <v/>
      </c>
      <c r="C21" s="15">
        <f>IF($A21="","",IFERROR(SUMIF(tblMotor[A_Norm],$A21,tblMotor[SiparisToplam]),0))</f>
        <v/>
      </c>
      <c r="D21" s="15">
        <f>IF($A21="","",IFERROR(SUMIF(tblAnahtarA[Norm],$A21,tblVeriA[HedefMaliyet]),0))</f>
        <v/>
      </c>
      <c r="E21" s="15">
        <f>IF($A21="","",ROUND($D21,2)-ROUND($C21,2))</f>
        <v/>
      </c>
      <c r="F21" s="15">
        <f>IF($A21="","",ABS($E21))</f>
        <v/>
      </c>
      <c r="G21" s="15">
        <f>IF($A21="","",IF($B21=0,"eslesmedi",IF(ROUND($D21,2)=ROUND($C21,2),"eslesti",IF(ABS(ROUND($D21,2)-ROUND($C21,2))&lt;=toleransKurus,"tolerans_icinde","tutar_farki"))))</f>
        <v/>
      </c>
      <c r="H21" s="15">
        <f>IF($A21="","",IF($B21&gt;0,"BIRINCIL",IF(COUNTIF(tblAnahtarB[IkincilB],'ANAHTAR'!$D21)&gt;0,"IKINCIL","YOK")))</f>
        <v/>
      </c>
      <c r="I21" s="15">
        <f>IF($A21="","",'ANAHTAR'!$F21)</f>
        <v/>
      </c>
      <c r="J21" s="15">
        <f>IF(OR($A21="",$D21=0),0,$F21/ABS($D21))</f>
        <v/>
      </c>
      <c r="K21" s="15">
        <f>IF($A21="","",ROUND($D21,2))</f>
        <v/>
      </c>
      <c r="L21" s="15">
        <f>IF($A21="","",ROUND($C21,2))</f>
        <v/>
      </c>
      <c r="M21" s="15">
        <f>IF($A21="","",IF($F21&lt;=toleransKurus,1,0))</f>
        <v/>
      </c>
      <c r="N21" s="15">
        <f>IF($A21="","",IF($F21&gt;kdo_esikFark,1,0))</f>
        <v/>
      </c>
      <c r="O21" s="15">
        <f>IF($A21="","",IFERROR(SUMIF(tblMotor[A_Norm],$A21,tblMotor[SiparisToplam]),0))</f>
        <v/>
      </c>
      <c r="P21" s="15">
        <f>IF($A21="","",$B21+$M21+$N21)</f>
        <v/>
      </c>
    </row>
    <row r="22">
      <c r="A22" s="15">
        <f>IF('ANAHTAR'!$B22="","",'ANAHTAR'!$B22)</f>
        <v/>
      </c>
      <c r="B22" s="15">
        <f>IF($A22="","",COUNTIF(tblAnahtarB[NormB],$A22))</f>
        <v/>
      </c>
      <c r="C22" s="15">
        <f>IF($A22="","",IFERROR(SUMIF(tblMotor[A_Norm],$A22,tblMotor[SiparisToplam]),0))</f>
        <v/>
      </c>
      <c r="D22" s="15">
        <f>IF($A22="","",IFERROR(SUMIF(tblAnahtarA[Norm],$A22,tblVeriA[HedefMaliyet]),0))</f>
        <v/>
      </c>
      <c r="E22" s="15">
        <f>IF($A22="","",ROUND($D22,2)-ROUND($C22,2))</f>
        <v/>
      </c>
      <c r="F22" s="15">
        <f>IF($A22="","",ABS($E22))</f>
        <v/>
      </c>
      <c r="G22" s="15">
        <f>IF($A22="","",IF($B22=0,"eslesmedi",IF(ROUND($D22,2)=ROUND($C22,2),"eslesti",IF(ABS(ROUND($D22,2)-ROUND($C22,2))&lt;=toleransKurus,"tolerans_icinde","tutar_farki"))))</f>
        <v/>
      </c>
      <c r="H22" s="15">
        <f>IF($A22="","",IF($B22&gt;0,"BIRINCIL",IF(COUNTIF(tblAnahtarB[IkincilB],'ANAHTAR'!$D22)&gt;0,"IKINCIL","YOK")))</f>
        <v/>
      </c>
      <c r="I22" s="15">
        <f>IF($A22="","",'ANAHTAR'!$F22)</f>
        <v/>
      </c>
      <c r="J22" s="15">
        <f>IF(OR($A22="",$D22=0),0,$F22/ABS($D22))</f>
        <v/>
      </c>
      <c r="K22" s="15">
        <f>IF($A22="","",ROUND($D22,2))</f>
        <v/>
      </c>
      <c r="L22" s="15">
        <f>IF($A22="","",ROUND($C22,2))</f>
        <v/>
      </c>
      <c r="M22" s="15">
        <f>IF($A22="","",IF($F22&lt;=toleransKurus,1,0))</f>
        <v/>
      </c>
      <c r="N22" s="15">
        <f>IF($A22="","",IF($F22&gt;kdo_esikFark,1,0))</f>
        <v/>
      </c>
      <c r="O22" s="15">
        <f>IF($A22="","",IFERROR(SUMIF(tblMotor[A_Norm],$A22,tblMotor[SiparisToplam]),0))</f>
        <v/>
      </c>
      <c r="P22" s="15">
        <f>IF($A22="","",$B22+$M22+$N22)</f>
        <v/>
      </c>
    </row>
    <row r="23">
      <c r="A23" s="15">
        <f>IF('ANAHTAR'!$B23="","",'ANAHTAR'!$B23)</f>
        <v/>
      </c>
      <c r="B23" s="15">
        <f>IF($A23="","",COUNTIF(tblAnahtarB[NormB],$A23))</f>
        <v/>
      </c>
      <c r="C23" s="15">
        <f>IF($A23="","",IFERROR(SUMIF(tblMotor[A_Norm],$A23,tblMotor[SiparisToplam]),0))</f>
        <v/>
      </c>
      <c r="D23" s="15">
        <f>IF($A23="","",IFERROR(SUMIF(tblAnahtarA[Norm],$A23,tblVeriA[HedefMaliyet]),0))</f>
        <v/>
      </c>
      <c r="E23" s="15">
        <f>IF($A23="","",ROUND($D23,2)-ROUND($C23,2))</f>
        <v/>
      </c>
      <c r="F23" s="15">
        <f>IF($A23="","",ABS($E23))</f>
        <v/>
      </c>
      <c r="G23" s="15">
        <f>IF($A23="","",IF($B23=0,"eslesmedi",IF(ROUND($D23,2)=ROUND($C23,2),"eslesti",IF(ABS(ROUND($D23,2)-ROUND($C23,2))&lt;=toleransKurus,"tolerans_icinde","tutar_farki"))))</f>
        <v/>
      </c>
      <c r="H23" s="15">
        <f>IF($A23="","",IF($B23&gt;0,"BIRINCIL",IF(COUNTIF(tblAnahtarB[IkincilB],'ANAHTAR'!$D23)&gt;0,"IKINCIL","YOK")))</f>
        <v/>
      </c>
      <c r="I23" s="15">
        <f>IF($A23="","",'ANAHTAR'!$F23)</f>
        <v/>
      </c>
      <c r="J23" s="15">
        <f>IF(OR($A23="",$D23=0),0,$F23/ABS($D23))</f>
        <v/>
      </c>
      <c r="K23" s="15">
        <f>IF($A23="","",ROUND($D23,2))</f>
        <v/>
      </c>
      <c r="L23" s="15">
        <f>IF($A23="","",ROUND($C23,2))</f>
        <v/>
      </c>
      <c r="M23" s="15">
        <f>IF($A23="","",IF($F23&lt;=toleransKurus,1,0))</f>
        <v/>
      </c>
      <c r="N23" s="15">
        <f>IF($A23="","",IF($F23&gt;kdo_esikFark,1,0))</f>
        <v/>
      </c>
      <c r="O23" s="15">
        <f>IF($A23="","",IFERROR(SUMIF(tblMotor[A_Norm],$A23,tblMotor[SiparisToplam]),0))</f>
        <v/>
      </c>
      <c r="P23" s="15">
        <f>IF($A23="","",$B23+$M23+$N23)</f>
        <v/>
      </c>
    </row>
    <row r="24">
      <c r="A24" s="15">
        <f>IF('ANAHTAR'!$B24="","",'ANAHTAR'!$B24)</f>
        <v/>
      </c>
      <c r="B24" s="15">
        <f>IF($A24="","",COUNTIF(tblAnahtarB[NormB],$A24))</f>
        <v/>
      </c>
      <c r="C24" s="15">
        <f>IF($A24="","",IFERROR(SUMIF(tblMotor[A_Norm],$A24,tblMotor[SiparisToplam]),0))</f>
        <v/>
      </c>
      <c r="D24" s="15">
        <f>IF($A24="","",IFERROR(SUMIF(tblAnahtarA[Norm],$A24,tblVeriA[HedefMaliyet]),0))</f>
        <v/>
      </c>
      <c r="E24" s="15">
        <f>IF($A24="","",ROUND($D24,2)-ROUND($C24,2))</f>
        <v/>
      </c>
      <c r="F24" s="15">
        <f>IF($A24="","",ABS($E24))</f>
        <v/>
      </c>
      <c r="G24" s="15">
        <f>IF($A24="","",IF($B24=0,"eslesmedi",IF(ROUND($D24,2)=ROUND($C24,2),"eslesti",IF(ABS(ROUND($D24,2)-ROUND($C24,2))&lt;=toleransKurus,"tolerans_icinde","tutar_farki"))))</f>
        <v/>
      </c>
      <c r="H24" s="15">
        <f>IF($A24="","",IF($B24&gt;0,"BIRINCIL",IF(COUNTIF(tblAnahtarB[IkincilB],'ANAHTAR'!$D24)&gt;0,"IKINCIL","YOK")))</f>
        <v/>
      </c>
      <c r="I24" s="15">
        <f>IF($A24="","",'ANAHTAR'!$F24)</f>
        <v/>
      </c>
      <c r="J24" s="15">
        <f>IF(OR($A24="",$D24=0),0,$F24/ABS($D24))</f>
        <v/>
      </c>
      <c r="K24" s="15">
        <f>IF($A24="","",ROUND($D24,2))</f>
        <v/>
      </c>
      <c r="L24" s="15">
        <f>IF($A24="","",ROUND($C24,2))</f>
        <v/>
      </c>
      <c r="M24" s="15">
        <f>IF($A24="","",IF($F24&lt;=toleransKurus,1,0))</f>
        <v/>
      </c>
      <c r="N24" s="15">
        <f>IF($A24="","",IF($F24&gt;kdo_esikFark,1,0))</f>
        <v/>
      </c>
      <c r="O24" s="15">
        <f>IF($A24="","",IFERROR(SUMIF(tblMotor[A_Norm],$A24,tblMotor[SiparisToplam]),0))</f>
        <v/>
      </c>
      <c r="P24" s="15">
        <f>IF($A24="","",$B24+$M24+$N24)</f>
        <v/>
      </c>
    </row>
    <row r="25">
      <c r="A25" s="15">
        <f>IF('ANAHTAR'!$B25="","",'ANAHTAR'!$B25)</f>
        <v/>
      </c>
      <c r="B25" s="15">
        <f>IF($A25="","",COUNTIF(tblAnahtarB[NormB],$A25))</f>
        <v/>
      </c>
      <c r="C25" s="15">
        <f>IF($A25="","",IFERROR(SUMIF(tblMotor[A_Norm],$A25,tblMotor[SiparisToplam]),0))</f>
        <v/>
      </c>
      <c r="D25" s="15">
        <f>IF($A25="","",IFERROR(SUMIF(tblAnahtarA[Norm],$A25,tblVeriA[HedefMaliyet]),0))</f>
        <v/>
      </c>
      <c r="E25" s="15">
        <f>IF($A25="","",ROUND($D25,2)-ROUND($C25,2))</f>
        <v/>
      </c>
      <c r="F25" s="15">
        <f>IF($A25="","",ABS($E25))</f>
        <v/>
      </c>
      <c r="G25" s="15">
        <f>IF($A25="","",IF($B25=0,"eslesmedi",IF(ROUND($D25,2)=ROUND($C25,2),"eslesti",IF(ABS(ROUND($D25,2)-ROUND($C25,2))&lt;=toleransKurus,"tolerans_icinde","tutar_farki"))))</f>
        <v/>
      </c>
      <c r="H25" s="15">
        <f>IF($A25="","",IF($B25&gt;0,"BIRINCIL",IF(COUNTIF(tblAnahtarB[IkincilB],'ANAHTAR'!$D25)&gt;0,"IKINCIL","YOK")))</f>
        <v/>
      </c>
      <c r="I25" s="15">
        <f>IF($A25="","",'ANAHTAR'!$F25)</f>
        <v/>
      </c>
      <c r="J25" s="15">
        <f>IF(OR($A25="",$D25=0),0,$F25/ABS($D25))</f>
        <v/>
      </c>
      <c r="K25" s="15">
        <f>IF($A25="","",ROUND($D25,2))</f>
        <v/>
      </c>
      <c r="L25" s="15">
        <f>IF($A25="","",ROUND($C25,2))</f>
        <v/>
      </c>
      <c r="M25" s="15">
        <f>IF($A25="","",IF($F25&lt;=toleransKurus,1,0))</f>
        <v/>
      </c>
      <c r="N25" s="15">
        <f>IF($A25="","",IF($F25&gt;kdo_esikFark,1,0))</f>
        <v/>
      </c>
      <c r="O25" s="15">
        <f>IF($A25="","",IFERROR(SUMIF(tblMotor[A_Norm],$A25,tblMotor[SiparisToplam]),0))</f>
        <v/>
      </c>
      <c r="P25" s="15">
        <f>IF($A25="","",$B25+$M25+$N25)</f>
        <v/>
      </c>
    </row>
    <row r="26">
      <c r="A26" s="15">
        <f>IF('ANAHTAR'!$B26="","",'ANAHTAR'!$B26)</f>
        <v/>
      </c>
      <c r="B26" s="15">
        <f>IF($A26="","",COUNTIF(tblAnahtarB[NormB],$A26))</f>
        <v/>
      </c>
      <c r="C26" s="15">
        <f>IF($A26="","",IFERROR(SUMIF(tblMotor[A_Norm],$A26,tblMotor[SiparisToplam]),0))</f>
        <v/>
      </c>
      <c r="D26" s="15">
        <f>IF($A26="","",IFERROR(SUMIF(tblAnahtarA[Norm],$A26,tblVeriA[HedefMaliyet]),0))</f>
        <v/>
      </c>
      <c r="E26" s="15">
        <f>IF($A26="","",ROUND($D26,2)-ROUND($C26,2))</f>
        <v/>
      </c>
      <c r="F26" s="15">
        <f>IF($A26="","",ABS($E26))</f>
        <v/>
      </c>
      <c r="G26" s="15">
        <f>IF($A26="","",IF($B26=0,"eslesmedi",IF(ROUND($D26,2)=ROUND($C26,2),"eslesti",IF(ABS(ROUND($D26,2)-ROUND($C26,2))&lt;=toleransKurus,"tolerans_icinde","tutar_farki"))))</f>
        <v/>
      </c>
      <c r="H26" s="15">
        <f>IF($A26="","",IF($B26&gt;0,"BIRINCIL",IF(COUNTIF(tblAnahtarB[IkincilB],'ANAHTAR'!$D26)&gt;0,"IKINCIL","YOK")))</f>
        <v/>
      </c>
      <c r="I26" s="15">
        <f>IF($A26="","",'ANAHTAR'!$F26)</f>
        <v/>
      </c>
      <c r="J26" s="15">
        <f>IF(OR($A26="",$D26=0),0,$F26/ABS($D26))</f>
        <v/>
      </c>
      <c r="K26" s="15">
        <f>IF($A26="","",ROUND($D26,2))</f>
        <v/>
      </c>
      <c r="L26" s="15">
        <f>IF($A26="","",ROUND($C26,2))</f>
        <v/>
      </c>
      <c r="M26" s="15">
        <f>IF($A26="","",IF($F26&lt;=toleransKurus,1,0))</f>
        <v/>
      </c>
      <c r="N26" s="15">
        <f>IF($A26="","",IF($F26&gt;kdo_esikFark,1,0))</f>
        <v/>
      </c>
      <c r="O26" s="15">
        <f>IF($A26="","",IFERROR(SUMIF(tblMotor[A_Norm],$A26,tblMotor[SiparisToplam]),0))</f>
        <v/>
      </c>
      <c r="P26" s="15">
        <f>IF($A26="","",$B26+$M26+$N26)</f>
        <v/>
      </c>
    </row>
    <row r="27">
      <c r="A27" s="15">
        <f>IF('ANAHTAR'!$B27="","",'ANAHTAR'!$B27)</f>
        <v/>
      </c>
      <c r="B27" s="15">
        <f>IF($A27="","",COUNTIF(tblAnahtarB[NormB],$A27))</f>
        <v/>
      </c>
      <c r="C27" s="15">
        <f>IF($A27="","",IFERROR(SUMIF(tblMotor[A_Norm],$A27,tblMotor[SiparisToplam]),0))</f>
        <v/>
      </c>
      <c r="D27" s="15">
        <f>IF($A27="","",IFERROR(SUMIF(tblAnahtarA[Norm],$A27,tblVeriA[HedefMaliyet]),0))</f>
        <v/>
      </c>
      <c r="E27" s="15">
        <f>IF($A27="","",ROUND($D27,2)-ROUND($C27,2))</f>
        <v/>
      </c>
      <c r="F27" s="15">
        <f>IF($A27="","",ABS($E27))</f>
        <v/>
      </c>
      <c r="G27" s="15">
        <f>IF($A27="","",IF($B27=0,"eslesmedi",IF(ROUND($D27,2)=ROUND($C27,2),"eslesti",IF(ABS(ROUND($D27,2)-ROUND($C27,2))&lt;=toleransKurus,"tolerans_icinde","tutar_farki"))))</f>
        <v/>
      </c>
      <c r="H27" s="15">
        <f>IF($A27="","",IF($B27&gt;0,"BIRINCIL",IF(COUNTIF(tblAnahtarB[IkincilB],'ANAHTAR'!$D27)&gt;0,"IKINCIL","YOK")))</f>
        <v/>
      </c>
      <c r="I27" s="15">
        <f>IF($A27="","",'ANAHTAR'!$F27)</f>
        <v/>
      </c>
      <c r="J27" s="15">
        <f>IF(OR($A27="",$D27=0),0,$F27/ABS($D27))</f>
        <v/>
      </c>
      <c r="K27" s="15">
        <f>IF($A27="","",ROUND($D27,2))</f>
        <v/>
      </c>
      <c r="L27" s="15">
        <f>IF($A27="","",ROUND($C27,2))</f>
        <v/>
      </c>
      <c r="M27" s="15">
        <f>IF($A27="","",IF($F27&lt;=toleransKurus,1,0))</f>
        <v/>
      </c>
      <c r="N27" s="15">
        <f>IF($A27="","",IF($F27&gt;kdo_esikFark,1,0))</f>
        <v/>
      </c>
      <c r="O27" s="15">
        <f>IF($A27="","",IFERROR(SUMIF(tblMotor[A_Norm],$A27,tblMotor[SiparisToplam]),0))</f>
        <v/>
      </c>
      <c r="P27" s="15">
        <f>IF($A27="","",$B27+$M27+$N27)</f>
        <v/>
      </c>
    </row>
    <row r="28">
      <c r="A28" s="15">
        <f>IF('ANAHTAR'!$B28="","",'ANAHTAR'!$B28)</f>
        <v/>
      </c>
      <c r="B28" s="15">
        <f>IF($A28="","",COUNTIF(tblAnahtarB[NormB],$A28))</f>
        <v/>
      </c>
      <c r="C28" s="15">
        <f>IF($A28="","",IFERROR(SUMIF(tblMotor[A_Norm],$A28,tblMotor[SiparisToplam]),0))</f>
        <v/>
      </c>
      <c r="D28" s="15">
        <f>IF($A28="","",IFERROR(SUMIF(tblAnahtarA[Norm],$A28,tblVeriA[HedefMaliyet]),0))</f>
        <v/>
      </c>
      <c r="E28" s="15">
        <f>IF($A28="","",ROUND($D28,2)-ROUND($C28,2))</f>
        <v/>
      </c>
      <c r="F28" s="15">
        <f>IF($A28="","",ABS($E28))</f>
        <v/>
      </c>
      <c r="G28" s="15">
        <f>IF($A28="","",IF($B28=0,"eslesmedi",IF(ROUND($D28,2)=ROUND($C28,2),"eslesti",IF(ABS(ROUND($D28,2)-ROUND($C28,2))&lt;=toleransKurus,"tolerans_icinde","tutar_farki"))))</f>
        <v/>
      </c>
      <c r="H28" s="15">
        <f>IF($A28="","",IF($B28&gt;0,"BIRINCIL",IF(COUNTIF(tblAnahtarB[IkincilB],'ANAHTAR'!$D28)&gt;0,"IKINCIL","YOK")))</f>
        <v/>
      </c>
      <c r="I28" s="15">
        <f>IF($A28="","",'ANAHTAR'!$F28)</f>
        <v/>
      </c>
      <c r="J28" s="15">
        <f>IF(OR($A28="",$D28=0),0,$F28/ABS($D28))</f>
        <v/>
      </c>
      <c r="K28" s="15">
        <f>IF($A28="","",ROUND($D28,2))</f>
        <v/>
      </c>
      <c r="L28" s="15">
        <f>IF($A28="","",ROUND($C28,2))</f>
        <v/>
      </c>
      <c r="M28" s="15">
        <f>IF($A28="","",IF($F28&lt;=toleransKurus,1,0))</f>
        <v/>
      </c>
      <c r="N28" s="15">
        <f>IF($A28="","",IF($F28&gt;kdo_esikFark,1,0))</f>
        <v/>
      </c>
      <c r="O28" s="15">
        <f>IF($A28="","",IFERROR(SUMIF(tblMotor[A_Norm],$A28,tblMotor[SiparisToplam]),0))</f>
        <v/>
      </c>
      <c r="P28" s="15">
        <f>IF($A28="","",$B28+$M28+$N28)</f>
        <v/>
      </c>
    </row>
    <row r="29">
      <c r="A29" s="15">
        <f>IF('ANAHTAR'!$B29="","",'ANAHTAR'!$B29)</f>
        <v/>
      </c>
      <c r="B29" s="15">
        <f>IF($A29="","",COUNTIF(tblAnahtarB[NormB],$A29))</f>
        <v/>
      </c>
      <c r="C29" s="15">
        <f>IF($A29="","",IFERROR(SUMIF(tblMotor[A_Norm],$A29,tblMotor[SiparisToplam]),0))</f>
        <v/>
      </c>
      <c r="D29" s="15">
        <f>IF($A29="","",IFERROR(SUMIF(tblAnahtarA[Norm],$A29,tblVeriA[HedefMaliyet]),0))</f>
        <v/>
      </c>
      <c r="E29" s="15">
        <f>IF($A29="","",ROUND($D29,2)-ROUND($C29,2))</f>
        <v/>
      </c>
      <c r="F29" s="15">
        <f>IF($A29="","",ABS($E29))</f>
        <v/>
      </c>
      <c r="G29" s="15">
        <f>IF($A29="","",IF($B29=0,"eslesmedi",IF(ROUND($D29,2)=ROUND($C29,2),"eslesti",IF(ABS(ROUND($D29,2)-ROUND($C29,2))&lt;=toleransKurus,"tolerans_icinde","tutar_farki"))))</f>
        <v/>
      </c>
      <c r="H29" s="15">
        <f>IF($A29="","",IF($B29&gt;0,"BIRINCIL",IF(COUNTIF(tblAnahtarB[IkincilB],'ANAHTAR'!$D29)&gt;0,"IKINCIL","YOK")))</f>
        <v/>
      </c>
      <c r="I29" s="15">
        <f>IF($A29="","",'ANAHTAR'!$F29)</f>
        <v/>
      </c>
      <c r="J29" s="15">
        <f>IF(OR($A29="",$D29=0),0,$F29/ABS($D29))</f>
        <v/>
      </c>
      <c r="K29" s="15">
        <f>IF($A29="","",ROUND($D29,2))</f>
        <v/>
      </c>
      <c r="L29" s="15">
        <f>IF($A29="","",ROUND($C29,2))</f>
        <v/>
      </c>
      <c r="M29" s="15">
        <f>IF($A29="","",IF($F29&lt;=toleransKurus,1,0))</f>
        <v/>
      </c>
      <c r="N29" s="15">
        <f>IF($A29="","",IF($F29&gt;kdo_esikFark,1,0))</f>
        <v/>
      </c>
      <c r="O29" s="15">
        <f>IF($A29="","",IFERROR(SUMIF(tblMotor[A_Norm],$A29,tblMotor[SiparisToplam]),0))</f>
        <v/>
      </c>
      <c r="P29" s="15">
        <f>IF($A29="","",$B29+$M29+$N29)</f>
        <v/>
      </c>
    </row>
    <row r="30">
      <c r="A30" s="15">
        <f>IF('ANAHTAR'!$B30="","",'ANAHTAR'!$B30)</f>
        <v/>
      </c>
      <c r="B30" s="15">
        <f>IF($A30="","",COUNTIF(tblAnahtarB[NormB],$A30))</f>
        <v/>
      </c>
      <c r="C30" s="15">
        <f>IF($A30="","",IFERROR(SUMIF(tblMotor[A_Norm],$A30,tblMotor[SiparisToplam]),0))</f>
        <v/>
      </c>
      <c r="D30" s="15">
        <f>IF($A30="","",IFERROR(SUMIF(tblAnahtarA[Norm],$A30,tblVeriA[HedefMaliyet]),0))</f>
        <v/>
      </c>
      <c r="E30" s="15">
        <f>IF($A30="","",ROUND($D30,2)-ROUND($C30,2))</f>
        <v/>
      </c>
      <c r="F30" s="15">
        <f>IF($A30="","",ABS($E30))</f>
        <v/>
      </c>
      <c r="G30" s="15">
        <f>IF($A30="","",IF($B30=0,"eslesmedi",IF(ROUND($D30,2)=ROUND($C30,2),"eslesti",IF(ABS(ROUND($D30,2)-ROUND($C30,2))&lt;=toleransKurus,"tolerans_icinde","tutar_farki"))))</f>
        <v/>
      </c>
      <c r="H30" s="15">
        <f>IF($A30="","",IF($B30&gt;0,"BIRINCIL",IF(COUNTIF(tblAnahtarB[IkincilB],'ANAHTAR'!$D30)&gt;0,"IKINCIL","YOK")))</f>
        <v/>
      </c>
      <c r="I30" s="15">
        <f>IF($A30="","",'ANAHTAR'!$F30)</f>
        <v/>
      </c>
      <c r="J30" s="15">
        <f>IF(OR($A30="",$D30=0),0,$F30/ABS($D30))</f>
        <v/>
      </c>
      <c r="K30" s="15">
        <f>IF($A30="","",ROUND($D30,2))</f>
        <v/>
      </c>
      <c r="L30" s="15">
        <f>IF($A30="","",ROUND($C30,2))</f>
        <v/>
      </c>
      <c r="M30" s="15">
        <f>IF($A30="","",IF($F30&lt;=toleransKurus,1,0))</f>
        <v/>
      </c>
      <c r="N30" s="15">
        <f>IF($A30="","",IF($F30&gt;kdo_esikFark,1,0))</f>
        <v/>
      </c>
      <c r="O30" s="15">
        <f>IF($A30="","",IFERROR(SUMIF(tblMotor[A_Norm],$A30,tblMotor[SiparisToplam]),0))</f>
        <v/>
      </c>
      <c r="P30" s="15">
        <f>IF($A30="","",$B30+$M30+$N30)</f>
        <v/>
      </c>
    </row>
    <row r="31">
      <c r="A31" s="15">
        <f>IF('ANAHTAR'!$B31="","",'ANAHTAR'!$B31)</f>
        <v/>
      </c>
      <c r="B31" s="15">
        <f>IF($A31="","",COUNTIF(tblAnahtarB[NormB],$A31))</f>
        <v/>
      </c>
      <c r="C31" s="15">
        <f>IF($A31="","",IFERROR(SUMIF(tblMotor[A_Norm],$A31,tblMotor[SiparisToplam]),0))</f>
        <v/>
      </c>
      <c r="D31" s="15">
        <f>IF($A31="","",IFERROR(SUMIF(tblAnahtarA[Norm],$A31,tblVeriA[HedefMaliyet]),0))</f>
        <v/>
      </c>
      <c r="E31" s="15">
        <f>IF($A31="","",ROUND($D31,2)-ROUND($C31,2))</f>
        <v/>
      </c>
      <c r="F31" s="15">
        <f>IF($A31="","",ABS($E31))</f>
        <v/>
      </c>
      <c r="G31" s="15">
        <f>IF($A31="","",IF($B31=0,"eslesmedi",IF(ROUND($D31,2)=ROUND($C31,2),"eslesti",IF(ABS(ROUND($D31,2)-ROUND($C31,2))&lt;=toleransKurus,"tolerans_icinde","tutar_farki"))))</f>
        <v/>
      </c>
      <c r="H31" s="15">
        <f>IF($A31="","",IF($B31&gt;0,"BIRINCIL",IF(COUNTIF(tblAnahtarB[IkincilB],'ANAHTAR'!$D31)&gt;0,"IKINCIL","YOK")))</f>
        <v/>
      </c>
      <c r="I31" s="15">
        <f>IF($A31="","",'ANAHTAR'!$F31)</f>
        <v/>
      </c>
      <c r="J31" s="15">
        <f>IF(OR($A31="",$D31=0),0,$F31/ABS($D31))</f>
        <v/>
      </c>
      <c r="K31" s="15">
        <f>IF($A31="","",ROUND($D31,2))</f>
        <v/>
      </c>
      <c r="L31" s="15">
        <f>IF($A31="","",ROUND($C31,2))</f>
        <v/>
      </c>
      <c r="M31" s="15">
        <f>IF($A31="","",IF($F31&lt;=toleransKurus,1,0))</f>
        <v/>
      </c>
      <c r="N31" s="15">
        <f>IF($A31="","",IF($F31&gt;kdo_esikFark,1,0))</f>
        <v/>
      </c>
      <c r="O31" s="15">
        <f>IF($A31="","",IFERROR(SUMIF(tblMotor[A_Norm],$A31,tblMotor[SiparisToplam]),0))</f>
        <v/>
      </c>
      <c r="P31" s="15">
        <f>IF($A31="","",$B31+$M31+$N31)</f>
        <v/>
      </c>
    </row>
    <row r="32">
      <c r="A32" s="15">
        <f>IF('ANAHTAR'!$B32="","",'ANAHTAR'!$B32)</f>
        <v/>
      </c>
      <c r="B32" s="15">
        <f>IF($A32="","",COUNTIF(tblAnahtarB[NormB],$A32))</f>
        <v/>
      </c>
      <c r="C32" s="15">
        <f>IF($A32="","",IFERROR(SUMIF(tblMotor[A_Norm],$A32,tblMotor[SiparisToplam]),0))</f>
        <v/>
      </c>
      <c r="D32" s="15">
        <f>IF($A32="","",IFERROR(SUMIF(tblAnahtarA[Norm],$A32,tblVeriA[HedefMaliyet]),0))</f>
        <v/>
      </c>
      <c r="E32" s="15">
        <f>IF($A32="","",ROUND($D32,2)-ROUND($C32,2))</f>
        <v/>
      </c>
      <c r="F32" s="15">
        <f>IF($A32="","",ABS($E32))</f>
        <v/>
      </c>
      <c r="G32" s="15">
        <f>IF($A32="","",IF($B32=0,"eslesmedi",IF(ROUND($D32,2)=ROUND($C32,2),"eslesti",IF(ABS(ROUND($D32,2)-ROUND($C32,2))&lt;=toleransKurus,"tolerans_icinde","tutar_farki"))))</f>
        <v/>
      </c>
      <c r="H32" s="15">
        <f>IF($A32="","",IF($B32&gt;0,"BIRINCIL",IF(COUNTIF(tblAnahtarB[IkincilB],'ANAHTAR'!$D32)&gt;0,"IKINCIL","YOK")))</f>
        <v/>
      </c>
      <c r="I32" s="15">
        <f>IF($A32="","",'ANAHTAR'!$F32)</f>
        <v/>
      </c>
      <c r="J32" s="15">
        <f>IF(OR($A32="",$D32=0),0,$F32/ABS($D32))</f>
        <v/>
      </c>
      <c r="K32" s="15">
        <f>IF($A32="","",ROUND($D32,2))</f>
        <v/>
      </c>
      <c r="L32" s="15">
        <f>IF($A32="","",ROUND($C32,2))</f>
        <v/>
      </c>
      <c r="M32" s="15">
        <f>IF($A32="","",IF($F32&lt;=toleransKurus,1,0))</f>
        <v/>
      </c>
      <c r="N32" s="15">
        <f>IF($A32="","",IF($F32&gt;kdo_esikFark,1,0))</f>
        <v/>
      </c>
      <c r="O32" s="15">
        <f>IF($A32="","",IFERROR(SUMIF(tblMotor[A_Norm],$A32,tblMotor[SiparisToplam]),0))</f>
        <v/>
      </c>
      <c r="P32" s="15">
        <f>IF($A32="","",$B32+$M32+$N32)</f>
        <v/>
      </c>
    </row>
    <row r="33">
      <c r="A33" s="15">
        <f>IF('ANAHTAR'!$B33="","",'ANAHTAR'!$B33)</f>
        <v/>
      </c>
      <c r="B33" s="15">
        <f>IF($A33="","",COUNTIF(tblAnahtarB[NormB],$A33))</f>
        <v/>
      </c>
      <c r="C33" s="15">
        <f>IF($A33="","",IFERROR(SUMIF(tblMotor[A_Norm],$A33,tblMotor[SiparisToplam]),0))</f>
        <v/>
      </c>
      <c r="D33" s="15">
        <f>IF($A33="","",IFERROR(SUMIF(tblAnahtarA[Norm],$A33,tblVeriA[HedefMaliyet]),0))</f>
        <v/>
      </c>
      <c r="E33" s="15">
        <f>IF($A33="","",ROUND($D33,2)-ROUND($C33,2))</f>
        <v/>
      </c>
      <c r="F33" s="15">
        <f>IF($A33="","",ABS($E33))</f>
        <v/>
      </c>
      <c r="G33" s="15">
        <f>IF($A33="","",IF($B33=0,"eslesmedi",IF(ROUND($D33,2)=ROUND($C33,2),"eslesti",IF(ABS(ROUND($D33,2)-ROUND($C33,2))&lt;=toleransKurus,"tolerans_icinde","tutar_farki"))))</f>
        <v/>
      </c>
      <c r="H33" s="15">
        <f>IF($A33="","",IF($B33&gt;0,"BIRINCIL",IF(COUNTIF(tblAnahtarB[IkincilB],'ANAHTAR'!$D33)&gt;0,"IKINCIL","YOK")))</f>
        <v/>
      </c>
      <c r="I33" s="15">
        <f>IF($A33="","",'ANAHTAR'!$F33)</f>
        <v/>
      </c>
      <c r="J33" s="15">
        <f>IF(OR($A33="",$D33=0),0,$F33/ABS($D33))</f>
        <v/>
      </c>
      <c r="K33" s="15">
        <f>IF($A33="","",ROUND($D33,2))</f>
        <v/>
      </c>
      <c r="L33" s="15">
        <f>IF($A33="","",ROUND($C33,2))</f>
        <v/>
      </c>
      <c r="M33" s="15">
        <f>IF($A33="","",IF($F33&lt;=toleransKurus,1,0))</f>
        <v/>
      </c>
      <c r="N33" s="15">
        <f>IF($A33="","",IF($F33&gt;kdo_esikFark,1,0))</f>
        <v/>
      </c>
      <c r="O33" s="15">
        <f>IF($A33="","",IFERROR(SUMIF(tblMotor[A_Norm],$A33,tblMotor[SiparisToplam]),0))</f>
        <v/>
      </c>
      <c r="P33" s="15">
        <f>IF($A33="","",$B33+$M33+$N33)</f>
        <v/>
      </c>
    </row>
    <row r="34">
      <c r="A34" s="15">
        <f>IF('ANAHTAR'!$B34="","",'ANAHTAR'!$B34)</f>
        <v/>
      </c>
      <c r="B34" s="15">
        <f>IF($A34="","",COUNTIF(tblAnahtarB[NormB],$A34))</f>
        <v/>
      </c>
      <c r="C34" s="15">
        <f>IF($A34="","",IFERROR(SUMIF(tblMotor[A_Norm],$A34,tblMotor[SiparisToplam]),0))</f>
        <v/>
      </c>
      <c r="D34" s="15">
        <f>IF($A34="","",IFERROR(SUMIF(tblAnahtarA[Norm],$A34,tblVeriA[HedefMaliyet]),0))</f>
        <v/>
      </c>
      <c r="E34" s="15">
        <f>IF($A34="","",ROUND($D34,2)-ROUND($C34,2))</f>
        <v/>
      </c>
      <c r="F34" s="15">
        <f>IF($A34="","",ABS($E34))</f>
        <v/>
      </c>
      <c r="G34" s="15">
        <f>IF($A34="","",IF($B34=0,"eslesmedi",IF(ROUND($D34,2)=ROUND($C34,2),"eslesti",IF(ABS(ROUND($D34,2)-ROUND($C34,2))&lt;=toleransKurus,"tolerans_icinde","tutar_farki"))))</f>
        <v/>
      </c>
      <c r="H34" s="15">
        <f>IF($A34="","",IF($B34&gt;0,"BIRINCIL",IF(COUNTIF(tblAnahtarB[IkincilB],'ANAHTAR'!$D34)&gt;0,"IKINCIL","YOK")))</f>
        <v/>
      </c>
      <c r="I34" s="15">
        <f>IF($A34="","",'ANAHTAR'!$F34)</f>
        <v/>
      </c>
      <c r="J34" s="15">
        <f>IF(OR($A34="",$D34=0),0,$F34/ABS($D34))</f>
        <v/>
      </c>
      <c r="K34" s="15">
        <f>IF($A34="","",ROUND($D34,2))</f>
        <v/>
      </c>
      <c r="L34" s="15">
        <f>IF($A34="","",ROUND($C34,2))</f>
        <v/>
      </c>
      <c r="M34" s="15">
        <f>IF($A34="","",IF($F34&lt;=toleransKurus,1,0))</f>
        <v/>
      </c>
      <c r="N34" s="15">
        <f>IF($A34="","",IF($F34&gt;kdo_esikFark,1,0))</f>
        <v/>
      </c>
      <c r="O34" s="15">
        <f>IF($A34="","",IFERROR(SUMIF(tblMotor[A_Norm],$A34,tblMotor[SiparisToplam]),0))</f>
        <v/>
      </c>
      <c r="P34" s="15">
        <f>IF($A34="","",$B34+$M34+$N34)</f>
        <v/>
      </c>
    </row>
    <row r="35">
      <c r="A35" s="15">
        <f>IF('ANAHTAR'!$B35="","",'ANAHTAR'!$B35)</f>
        <v/>
      </c>
      <c r="B35" s="15">
        <f>IF($A35="","",COUNTIF(tblAnahtarB[NormB],$A35))</f>
        <v/>
      </c>
      <c r="C35" s="15">
        <f>IF($A35="","",IFERROR(SUMIF(tblMotor[A_Norm],$A35,tblMotor[SiparisToplam]),0))</f>
        <v/>
      </c>
      <c r="D35" s="15">
        <f>IF($A35="","",IFERROR(SUMIF(tblAnahtarA[Norm],$A35,tblVeriA[HedefMaliyet]),0))</f>
        <v/>
      </c>
      <c r="E35" s="15">
        <f>IF($A35="","",ROUND($D35,2)-ROUND($C35,2))</f>
        <v/>
      </c>
      <c r="F35" s="15">
        <f>IF($A35="","",ABS($E35))</f>
        <v/>
      </c>
      <c r="G35" s="15">
        <f>IF($A35="","",IF($B35=0,"eslesmedi",IF(ROUND($D35,2)=ROUND($C35,2),"eslesti",IF(ABS(ROUND($D35,2)-ROUND($C35,2))&lt;=toleransKurus,"tolerans_icinde","tutar_farki"))))</f>
        <v/>
      </c>
      <c r="H35" s="15">
        <f>IF($A35="","",IF($B35&gt;0,"BIRINCIL",IF(COUNTIF(tblAnahtarB[IkincilB],'ANAHTAR'!$D35)&gt;0,"IKINCIL","YOK")))</f>
        <v/>
      </c>
      <c r="I35" s="15">
        <f>IF($A35="","",'ANAHTAR'!$F35)</f>
        <v/>
      </c>
      <c r="J35" s="15">
        <f>IF(OR($A35="",$D35=0),0,$F35/ABS($D35))</f>
        <v/>
      </c>
      <c r="K35" s="15">
        <f>IF($A35="","",ROUND($D35,2))</f>
        <v/>
      </c>
      <c r="L35" s="15">
        <f>IF($A35="","",ROUND($C35,2))</f>
        <v/>
      </c>
      <c r="M35" s="15">
        <f>IF($A35="","",IF($F35&lt;=toleransKurus,1,0))</f>
        <v/>
      </c>
      <c r="N35" s="15">
        <f>IF($A35="","",IF($F35&gt;kdo_esikFark,1,0))</f>
        <v/>
      </c>
      <c r="O35" s="15">
        <f>IF($A35="","",IFERROR(SUMIF(tblMotor[A_Norm],$A35,tblMotor[SiparisToplam]),0))</f>
        <v/>
      </c>
      <c r="P35" s="15">
        <f>IF($A35="","",$B35+$M35+$N35)</f>
        <v/>
      </c>
    </row>
    <row r="36">
      <c r="A36" s="15">
        <f>IF('ANAHTAR'!$B36="","",'ANAHTAR'!$B36)</f>
        <v/>
      </c>
      <c r="B36" s="15">
        <f>IF($A36="","",COUNTIF(tblAnahtarB[NormB],$A36))</f>
        <v/>
      </c>
      <c r="C36" s="15">
        <f>IF($A36="","",IFERROR(SUMIF(tblMotor[A_Norm],$A36,tblMotor[SiparisToplam]),0))</f>
        <v/>
      </c>
      <c r="D36" s="15">
        <f>IF($A36="","",IFERROR(SUMIF(tblAnahtarA[Norm],$A36,tblVeriA[HedefMaliyet]),0))</f>
        <v/>
      </c>
      <c r="E36" s="15">
        <f>IF($A36="","",ROUND($D36,2)-ROUND($C36,2))</f>
        <v/>
      </c>
      <c r="F36" s="15">
        <f>IF($A36="","",ABS($E36))</f>
        <v/>
      </c>
      <c r="G36" s="15">
        <f>IF($A36="","",IF($B36=0,"eslesmedi",IF(ROUND($D36,2)=ROUND($C36,2),"eslesti",IF(ABS(ROUND($D36,2)-ROUND($C36,2))&lt;=toleransKurus,"tolerans_icinde","tutar_farki"))))</f>
        <v/>
      </c>
      <c r="H36" s="15">
        <f>IF($A36="","",IF($B36&gt;0,"BIRINCIL",IF(COUNTIF(tblAnahtarB[IkincilB],'ANAHTAR'!$D36)&gt;0,"IKINCIL","YOK")))</f>
        <v/>
      </c>
      <c r="I36" s="15">
        <f>IF($A36="","",'ANAHTAR'!$F36)</f>
        <v/>
      </c>
      <c r="J36" s="15">
        <f>IF(OR($A36="",$D36=0),0,$F36/ABS($D36))</f>
        <v/>
      </c>
      <c r="K36" s="15">
        <f>IF($A36="","",ROUND($D36,2))</f>
        <v/>
      </c>
      <c r="L36" s="15">
        <f>IF($A36="","",ROUND($C36,2))</f>
        <v/>
      </c>
      <c r="M36" s="15">
        <f>IF($A36="","",IF($F36&lt;=toleransKurus,1,0))</f>
        <v/>
      </c>
      <c r="N36" s="15">
        <f>IF($A36="","",IF($F36&gt;kdo_esikFark,1,0))</f>
        <v/>
      </c>
      <c r="O36" s="15">
        <f>IF($A36="","",IFERROR(SUMIF(tblMotor[A_Norm],$A36,tblMotor[SiparisToplam]),0))</f>
        <v/>
      </c>
      <c r="P36" s="15">
        <f>IF($A36="","",$B36+$M36+$N36)</f>
        <v/>
      </c>
    </row>
    <row r="37">
      <c r="A37" s="15">
        <f>IF('ANAHTAR'!$B37="","",'ANAHTAR'!$B37)</f>
        <v/>
      </c>
      <c r="B37" s="15">
        <f>IF($A37="","",COUNTIF(tblAnahtarB[NormB],$A37))</f>
        <v/>
      </c>
      <c r="C37" s="15">
        <f>IF($A37="","",IFERROR(SUMIF(tblMotor[A_Norm],$A37,tblMotor[SiparisToplam]),0))</f>
        <v/>
      </c>
      <c r="D37" s="15">
        <f>IF($A37="","",IFERROR(SUMIF(tblAnahtarA[Norm],$A37,tblVeriA[HedefMaliyet]),0))</f>
        <v/>
      </c>
      <c r="E37" s="15">
        <f>IF($A37="","",ROUND($D37,2)-ROUND($C37,2))</f>
        <v/>
      </c>
      <c r="F37" s="15">
        <f>IF($A37="","",ABS($E37))</f>
        <v/>
      </c>
      <c r="G37" s="15">
        <f>IF($A37="","",IF($B37=0,"eslesmedi",IF(ROUND($D37,2)=ROUND($C37,2),"eslesti",IF(ABS(ROUND($D37,2)-ROUND($C37,2))&lt;=toleransKurus,"tolerans_icinde","tutar_farki"))))</f>
        <v/>
      </c>
      <c r="H37" s="15">
        <f>IF($A37="","",IF($B37&gt;0,"BIRINCIL",IF(COUNTIF(tblAnahtarB[IkincilB],'ANAHTAR'!$D37)&gt;0,"IKINCIL","YOK")))</f>
        <v/>
      </c>
      <c r="I37" s="15">
        <f>IF($A37="","",'ANAHTAR'!$F37)</f>
        <v/>
      </c>
      <c r="J37" s="15">
        <f>IF(OR($A37="",$D37=0),0,$F37/ABS($D37))</f>
        <v/>
      </c>
      <c r="K37" s="15">
        <f>IF($A37="","",ROUND($D37,2))</f>
        <v/>
      </c>
      <c r="L37" s="15">
        <f>IF($A37="","",ROUND($C37,2))</f>
        <v/>
      </c>
      <c r="M37" s="15">
        <f>IF($A37="","",IF($F37&lt;=toleransKurus,1,0))</f>
        <v/>
      </c>
      <c r="N37" s="15">
        <f>IF($A37="","",IF($F37&gt;kdo_esikFark,1,0))</f>
        <v/>
      </c>
      <c r="O37" s="15">
        <f>IF($A37="","",IFERROR(SUMIF(tblMotor[A_Norm],$A37,tblMotor[SiparisToplam]),0))</f>
        <v/>
      </c>
      <c r="P37" s="15">
        <f>IF($A37="","",$B37+$M37+$N37)</f>
        <v/>
      </c>
    </row>
    <row r="38">
      <c r="A38" s="15">
        <f>IF('ANAHTAR'!$B38="","",'ANAHTAR'!$B38)</f>
        <v/>
      </c>
      <c r="B38" s="15">
        <f>IF($A38="","",COUNTIF(tblAnahtarB[NormB],$A38))</f>
        <v/>
      </c>
      <c r="C38" s="15">
        <f>IF($A38="","",IFERROR(SUMIF(tblMotor[A_Norm],$A38,tblMotor[SiparisToplam]),0))</f>
        <v/>
      </c>
      <c r="D38" s="15">
        <f>IF($A38="","",IFERROR(SUMIF(tblAnahtarA[Norm],$A38,tblVeriA[HedefMaliyet]),0))</f>
        <v/>
      </c>
      <c r="E38" s="15">
        <f>IF($A38="","",ROUND($D38,2)-ROUND($C38,2))</f>
        <v/>
      </c>
      <c r="F38" s="15">
        <f>IF($A38="","",ABS($E38))</f>
        <v/>
      </c>
      <c r="G38" s="15">
        <f>IF($A38="","",IF($B38=0,"eslesmedi",IF(ROUND($D38,2)=ROUND($C38,2),"eslesti",IF(ABS(ROUND($D38,2)-ROUND($C38,2))&lt;=toleransKurus,"tolerans_icinde","tutar_farki"))))</f>
        <v/>
      </c>
      <c r="H38" s="15">
        <f>IF($A38="","",IF($B38&gt;0,"BIRINCIL",IF(COUNTIF(tblAnahtarB[IkincilB],'ANAHTAR'!$D38)&gt;0,"IKINCIL","YOK")))</f>
        <v/>
      </c>
      <c r="I38" s="15">
        <f>IF($A38="","",'ANAHTAR'!$F38)</f>
        <v/>
      </c>
      <c r="J38" s="15">
        <f>IF(OR($A38="",$D38=0),0,$F38/ABS($D38))</f>
        <v/>
      </c>
      <c r="K38" s="15">
        <f>IF($A38="","",ROUND($D38,2))</f>
        <v/>
      </c>
      <c r="L38" s="15">
        <f>IF($A38="","",ROUND($C38,2))</f>
        <v/>
      </c>
      <c r="M38" s="15">
        <f>IF($A38="","",IF($F38&lt;=toleransKurus,1,0))</f>
        <v/>
      </c>
      <c r="N38" s="15">
        <f>IF($A38="","",IF($F38&gt;kdo_esikFark,1,0))</f>
        <v/>
      </c>
      <c r="O38" s="15">
        <f>IF($A38="","",IFERROR(SUMIF(tblMotor[A_Norm],$A38,tblMotor[SiparisToplam]),0))</f>
        <v/>
      </c>
      <c r="P38" s="15">
        <f>IF($A38="","",$B38+$M38+$N38)</f>
        <v/>
      </c>
    </row>
    <row r="39">
      <c r="A39" s="15">
        <f>IF('ANAHTAR'!$B39="","",'ANAHTAR'!$B39)</f>
        <v/>
      </c>
      <c r="B39" s="15">
        <f>IF($A39="","",COUNTIF(tblAnahtarB[NormB],$A39))</f>
        <v/>
      </c>
      <c r="C39" s="15">
        <f>IF($A39="","",IFERROR(SUMIF(tblMotor[A_Norm],$A39,tblMotor[SiparisToplam]),0))</f>
        <v/>
      </c>
      <c r="D39" s="15">
        <f>IF($A39="","",IFERROR(SUMIF(tblAnahtarA[Norm],$A39,tblVeriA[HedefMaliyet]),0))</f>
        <v/>
      </c>
      <c r="E39" s="15">
        <f>IF($A39="","",ROUND($D39,2)-ROUND($C39,2))</f>
        <v/>
      </c>
      <c r="F39" s="15">
        <f>IF($A39="","",ABS($E39))</f>
        <v/>
      </c>
      <c r="G39" s="15">
        <f>IF($A39="","",IF($B39=0,"eslesmedi",IF(ROUND($D39,2)=ROUND($C39,2),"eslesti",IF(ABS(ROUND($D39,2)-ROUND($C39,2))&lt;=toleransKurus,"tolerans_icinde","tutar_farki"))))</f>
        <v/>
      </c>
      <c r="H39" s="15">
        <f>IF($A39="","",IF($B39&gt;0,"BIRINCIL",IF(COUNTIF(tblAnahtarB[IkincilB],'ANAHTAR'!$D39)&gt;0,"IKINCIL","YOK")))</f>
        <v/>
      </c>
      <c r="I39" s="15">
        <f>IF($A39="","",'ANAHTAR'!$F39)</f>
        <v/>
      </c>
      <c r="J39" s="15">
        <f>IF(OR($A39="",$D39=0),0,$F39/ABS($D39))</f>
        <v/>
      </c>
      <c r="K39" s="15">
        <f>IF($A39="","",ROUND($D39,2))</f>
        <v/>
      </c>
      <c r="L39" s="15">
        <f>IF($A39="","",ROUND($C39,2))</f>
        <v/>
      </c>
      <c r="M39" s="15">
        <f>IF($A39="","",IF($F39&lt;=toleransKurus,1,0))</f>
        <v/>
      </c>
      <c r="N39" s="15">
        <f>IF($A39="","",IF($F39&gt;kdo_esikFark,1,0))</f>
        <v/>
      </c>
      <c r="O39" s="15">
        <f>IF($A39="","",IFERROR(SUMIF(tblMotor[A_Norm],$A39,tblMotor[SiparisToplam]),0))</f>
        <v/>
      </c>
      <c r="P39" s="15">
        <f>IF($A39="","",$B39+$M39+$N39)</f>
        <v/>
      </c>
    </row>
    <row r="40">
      <c r="A40" s="15">
        <f>IF('ANAHTAR'!$B40="","",'ANAHTAR'!$B40)</f>
        <v/>
      </c>
      <c r="B40" s="15">
        <f>IF($A40="","",COUNTIF(tblAnahtarB[NormB],$A40))</f>
        <v/>
      </c>
      <c r="C40" s="15">
        <f>IF($A40="","",IFERROR(SUMIF(tblMotor[A_Norm],$A40,tblMotor[SiparisToplam]),0))</f>
        <v/>
      </c>
      <c r="D40" s="15">
        <f>IF($A40="","",IFERROR(SUMIF(tblAnahtarA[Norm],$A40,tblVeriA[HedefMaliyet]),0))</f>
        <v/>
      </c>
      <c r="E40" s="15">
        <f>IF($A40="","",ROUND($D40,2)-ROUND($C40,2))</f>
        <v/>
      </c>
      <c r="F40" s="15">
        <f>IF($A40="","",ABS($E40))</f>
        <v/>
      </c>
      <c r="G40" s="15">
        <f>IF($A40="","",IF($B40=0,"eslesmedi",IF(ROUND($D40,2)=ROUND($C40,2),"eslesti",IF(ABS(ROUND($D40,2)-ROUND($C40,2))&lt;=toleransKurus,"tolerans_icinde","tutar_farki"))))</f>
        <v/>
      </c>
      <c r="H40" s="15">
        <f>IF($A40="","",IF($B40&gt;0,"BIRINCIL",IF(COUNTIF(tblAnahtarB[IkincilB],'ANAHTAR'!$D40)&gt;0,"IKINCIL","YOK")))</f>
        <v/>
      </c>
      <c r="I40" s="15">
        <f>IF($A40="","",'ANAHTAR'!$F40)</f>
        <v/>
      </c>
      <c r="J40" s="15">
        <f>IF(OR($A40="",$D40=0),0,$F40/ABS($D40))</f>
        <v/>
      </c>
      <c r="K40" s="15">
        <f>IF($A40="","",ROUND($D40,2))</f>
        <v/>
      </c>
      <c r="L40" s="15">
        <f>IF($A40="","",ROUND($C40,2))</f>
        <v/>
      </c>
      <c r="M40" s="15">
        <f>IF($A40="","",IF($F40&lt;=toleransKurus,1,0))</f>
        <v/>
      </c>
      <c r="N40" s="15">
        <f>IF($A40="","",IF($F40&gt;kdo_esikFark,1,0))</f>
        <v/>
      </c>
      <c r="O40" s="15">
        <f>IF($A40="","",IFERROR(SUMIF(tblMotor[A_Norm],$A40,tblMotor[SiparisToplam]),0))</f>
        <v/>
      </c>
      <c r="P40" s="15">
        <f>IF($A40="","",$B40+$M40+$N40)</f>
        <v/>
      </c>
    </row>
    <row r="41">
      <c r="A41" s="15">
        <f>IF('ANAHTAR'!$B41="","",'ANAHTAR'!$B41)</f>
        <v/>
      </c>
      <c r="B41" s="15">
        <f>IF($A41="","",COUNTIF(tblAnahtarB[NormB],$A41))</f>
        <v/>
      </c>
      <c r="C41" s="15">
        <f>IF($A41="","",IFERROR(SUMIF(tblMotor[A_Norm],$A41,tblMotor[SiparisToplam]),0))</f>
        <v/>
      </c>
      <c r="D41" s="15">
        <f>IF($A41="","",IFERROR(SUMIF(tblAnahtarA[Norm],$A41,tblVeriA[HedefMaliyet]),0))</f>
        <v/>
      </c>
      <c r="E41" s="15">
        <f>IF($A41="","",ROUND($D41,2)-ROUND($C41,2))</f>
        <v/>
      </c>
      <c r="F41" s="15">
        <f>IF($A41="","",ABS($E41))</f>
        <v/>
      </c>
      <c r="G41" s="15">
        <f>IF($A41="","",IF($B41=0,"eslesmedi",IF(ROUND($D41,2)=ROUND($C41,2),"eslesti",IF(ABS(ROUND($D41,2)-ROUND($C41,2))&lt;=toleransKurus,"tolerans_icinde","tutar_farki"))))</f>
        <v/>
      </c>
      <c r="H41" s="15">
        <f>IF($A41="","",IF($B41&gt;0,"BIRINCIL",IF(COUNTIF(tblAnahtarB[IkincilB],'ANAHTAR'!$D41)&gt;0,"IKINCIL","YOK")))</f>
        <v/>
      </c>
      <c r="I41" s="15">
        <f>IF($A41="","",'ANAHTAR'!$F41)</f>
        <v/>
      </c>
      <c r="J41" s="15">
        <f>IF(OR($A41="",$D41=0),0,$F41/ABS($D41))</f>
        <v/>
      </c>
      <c r="K41" s="15">
        <f>IF($A41="","",ROUND($D41,2))</f>
        <v/>
      </c>
      <c r="L41" s="15">
        <f>IF($A41="","",ROUND($C41,2))</f>
        <v/>
      </c>
      <c r="M41" s="15">
        <f>IF($A41="","",IF($F41&lt;=toleransKurus,1,0))</f>
        <v/>
      </c>
      <c r="N41" s="15">
        <f>IF($A41="","",IF($F41&gt;kdo_esikFark,1,0))</f>
        <v/>
      </c>
      <c r="O41" s="15">
        <f>IF($A41="","",IFERROR(SUMIF(tblMotor[A_Norm],$A41,tblMotor[SiparisToplam]),0))</f>
        <v/>
      </c>
      <c r="P41" s="15">
        <f>IF($A41="","",$B41+$M41+$N41)</f>
        <v/>
      </c>
    </row>
    <row r="42">
      <c r="A42" s="15">
        <f>IF('ANAHTAR'!$B42="","",'ANAHTAR'!$B42)</f>
        <v/>
      </c>
      <c r="B42" s="15">
        <f>IF($A42="","",COUNTIF(tblAnahtarB[NormB],$A42))</f>
        <v/>
      </c>
      <c r="C42" s="15">
        <f>IF($A42="","",IFERROR(SUMIF(tblMotor[A_Norm],$A42,tblMotor[SiparisToplam]),0))</f>
        <v/>
      </c>
      <c r="D42" s="15">
        <f>IF($A42="","",IFERROR(SUMIF(tblAnahtarA[Norm],$A42,tblVeriA[HedefMaliyet]),0))</f>
        <v/>
      </c>
      <c r="E42" s="15">
        <f>IF($A42="","",ROUND($D42,2)-ROUND($C42,2))</f>
        <v/>
      </c>
      <c r="F42" s="15">
        <f>IF($A42="","",ABS($E42))</f>
        <v/>
      </c>
      <c r="G42" s="15">
        <f>IF($A42="","",IF($B42=0,"eslesmedi",IF(ROUND($D42,2)=ROUND($C42,2),"eslesti",IF(ABS(ROUND($D42,2)-ROUND($C42,2))&lt;=toleransKurus,"tolerans_icinde","tutar_farki"))))</f>
        <v/>
      </c>
      <c r="H42" s="15">
        <f>IF($A42="","",IF($B42&gt;0,"BIRINCIL",IF(COUNTIF(tblAnahtarB[IkincilB],'ANAHTAR'!$D42)&gt;0,"IKINCIL","YOK")))</f>
        <v/>
      </c>
      <c r="I42" s="15">
        <f>IF($A42="","",'ANAHTAR'!$F42)</f>
        <v/>
      </c>
      <c r="J42" s="15">
        <f>IF(OR($A42="",$D42=0),0,$F42/ABS($D42))</f>
        <v/>
      </c>
      <c r="K42" s="15">
        <f>IF($A42="","",ROUND($D42,2))</f>
        <v/>
      </c>
      <c r="L42" s="15">
        <f>IF($A42="","",ROUND($C42,2))</f>
        <v/>
      </c>
      <c r="M42" s="15">
        <f>IF($A42="","",IF($F42&lt;=toleransKurus,1,0))</f>
        <v/>
      </c>
      <c r="N42" s="15">
        <f>IF($A42="","",IF($F42&gt;kdo_esikFark,1,0))</f>
        <v/>
      </c>
      <c r="O42" s="15">
        <f>IF($A42="","",IFERROR(SUMIF(tblMotor[A_Norm],$A42,tblMotor[SiparisToplam]),0))</f>
        <v/>
      </c>
      <c r="P42" s="15">
        <f>IF($A42="","",$B42+$M42+$N42)</f>
        <v/>
      </c>
    </row>
    <row r="43">
      <c r="A43" s="15">
        <f>IF('ANAHTAR'!$B43="","",'ANAHTAR'!$B43)</f>
        <v/>
      </c>
      <c r="B43" s="15">
        <f>IF($A43="","",COUNTIF(tblAnahtarB[NormB],$A43))</f>
        <v/>
      </c>
      <c r="C43" s="15">
        <f>IF($A43="","",IFERROR(SUMIF(tblMotor[A_Norm],$A43,tblMotor[SiparisToplam]),0))</f>
        <v/>
      </c>
      <c r="D43" s="15">
        <f>IF($A43="","",IFERROR(SUMIF(tblAnahtarA[Norm],$A43,tblVeriA[HedefMaliyet]),0))</f>
        <v/>
      </c>
      <c r="E43" s="15">
        <f>IF($A43="","",ROUND($D43,2)-ROUND($C43,2))</f>
        <v/>
      </c>
      <c r="F43" s="15">
        <f>IF($A43="","",ABS($E43))</f>
        <v/>
      </c>
      <c r="G43" s="15">
        <f>IF($A43="","",IF($B43=0,"eslesmedi",IF(ROUND($D43,2)=ROUND($C43,2),"eslesti",IF(ABS(ROUND($D43,2)-ROUND($C43,2))&lt;=toleransKurus,"tolerans_icinde","tutar_farki"))))</f>
        <v/>
      </c>
      <c r="H43" s="15">
        <f>IF($A43="","",IF($B43&gt;0,"BIRINCIL",IF(COUNTIF(tblAnahtarB[IkincilB],'ANAHTAR'!$D43)&gt;0,"IKINCIL","YOK")))</f>
        <v/>
      </c>
      <c r="I43" s="15">
        <f>IF($A43="","",'ANAHTAR'!$F43)</f>
        <v/>
      </c>
      <c r="J43" s="15">
        <f>IF(OR($A43="",$D43=0),0,$F43/ABS($D43))</f>
        <v/>
      </c>
      <c r="K43" s="15">
        <f>IF($A43="","",ROUND($D43,2))</f>
        <v/>
      </c>
      <c r="L43" s="15">
        <f>IF($A43="","",ROUND($C43,2))</f>
        <v/>
      </c>
      <c r="M43" s="15">
        <f>IF($A43="","",IF($F43&lt;=toleransKurus,1,0))</f>
        <v/>
      </c>
      <c r="N43" s="15">
        <f>IF($A43="","",IF($F43&gt;kdo_esikFark,1,0))</f>
        <v/>
      </c>
      <c r="O43" s="15">
        <f>IF($A43="","",IFERROR(SUMIF(tblMotor[A_Norm],$A43,tblMotor[SiparisToplam]),0))</f>
        <v/>
      </c>
      <c r="P43" s="15">
        <f>IF($A43="","",$B43+$M43+$N43)</f>
        <v/>
      </c>
    </row>
    <row r="44">
      <c r="A44" s="15">
        <f>IF('ANAHTAR'!$B44="","",'ANAHTAR'!$B44)</f>
        <v/>
      </c>
      <c r="B44" s="15">
        <f>IF($A44="","",COUNTIF(tblAnahtarB[NormB],$A44))</f>
        <v/>
      </c>
      <c r="C44" s="15">
        <f>IF($A44="","",IFERROR(SUMIF(tblMotor[A_Norm],$A44,tblMotor[SiparisToplam]),0))</f>
        <v/>
      </c>
      <c r="D44" s="15">
        <f>IF($A44="","",IFERROR(SUMIF(tblAnahtarA[Norm],$A44,tblVeriA[HedefMaliyet]),0))</f>
        <v/>
      </c>
      <c r="E44" s="15">
        <f>IF($A44="","",ROUND($D44,2)-ROUND($C44,2))</f>
        <v/>
      </c>
      <c r="F44" s="15">
        <f>IF($A44="","",ABS($E44))</f>
        <v/>
      </c>
      <c r="G44" s="15">
        <f>IF($A44="","",IF($B44=0,"eslesmedi",IF(ROUND($D44,2)=ROUND($C44,2),"eslesti",IF(ABS(ROUND($D44,2)-ROUND($C44,2))&lt;=toleransKurus,"tolerans_icinde","tutar_farki"))))</f>
        <v/>
      </c>
      <c r="H44" s="15">
        <f>IF($A44="","",IF($B44&gt;0,"BIRINCIL",IF(COUNTIF(tblAnahtarB[IkincilB],'ANAHTAR'!$D44)&gt;0,"IKINCIL","YOK")))</f>
        <v/>
      </c>
      <c r="I44" s="15">
        <f>IF($A44="","",'ANAHTAR'!$F44)</f>
        <v/>
      </c>
      <c r="J44" s="15">
        <f>IF(OR($A44="",$D44=0),0,$F44/ABS($D44))</f>
        <v/>
      </c>
      <c r="K44" s="15">
        <f>IF($A44="","",ROUND($D44,2))</f>
        <v/>
      </c>
      <c r="L44" s="15">
        <f>IF($A44="","",ROUND($C44,2))</f>
        <v/>
      </c>
      <c r="M44" s="15">
        <f>IF($A44="","",IF($F44&lt;=toleransKurus,1,0))</f>
        <v/>
      </c>
      <c r="N44" s="15">
        <f>IF($A44="","",IF($F44&gt;kdo_esikFark,1,0))</f>
        <v/>
      </c>
      <c r="O44" s="15">
        <f>IF($A44="","",IFERROR(SUMIF(tblMotor[A_Norm],$A44,tblMotor[SiparisToplam]),0))</f>
        <v/>
      </c>
      <c r="P44" s="15">
        <f>IF($A44="","",$B44+$M44+$N44)</f>
        <v/>
      </c>
    </row>
    <row r="45">
      <c r="A45" s="15">
        <f>IF('ANAHTAR'!$B45="","",'ANAHTAR'!$B45)</f>
        <v/>
      </c>
      <c r="B45" s="15">
        <f>IF($A45="","",COUNTIF(tblAnahtarB[NormB],$A45))</f>
        <v/>
      </c>
      <c r="C45" s="15">
        <f>IF($A45="","",IFERROR(SUMIF(tblMotor[A_Norm],$A45,tblMotor[SiparisToplam]),0))</f>
        <v/>
      </c>
      <c r="D45" s="15">
        <f>IF($A45="","",IFERROR(SUMIF(tblAnahtarA[Norm],$A45,tblVeriA[HedefMaliyet]),0))</f>
        <v/>
      </c>
      <c r="E45" s="15">
        <f>IF($A45="","",ROUND($D45,2)-ROUND($C45,2))</f>
        <v/>
      </c>
      <c r="F45" s="15">
        <f>IF($A45="","",ABS($E45))</f>
        <v/>
      </c>
      <c r="G45" s="15">
        <f>IF($A45="","",IF($B45=0,"eslesmedi",IF(ROUND($D45,2)=ROUND($C45,2),"eslesti",IF(ABS(ROUND($D45,2)-ROUND($C45,2))&lt;=toleransKurus,"tolerans_icinde","tutar_farki"))))</f>
        <v/>
      </c>
      <c r="H45" s="15">
        <f>IF($A45="","",IF($B45&gt;0,"BIRINCIL",IF(COUNTIF(tblAnahtarB[IkincilB],'ANAHTAR'!$D45)&gt;0,"IKINCIL","YOK")))</f>
        <v/>
      </c>
      <c r="I45" s="15">
        <f>IF($A45="","",'ANAHTAR'!$F45)</f>
        <v/>
      </c>
      <c r="J45" s="15">
        <f>IF(OR($A45="",$D45=0),0,$F45/ABS($D45))</f>
        <v/>
      </c>
      <c r="K45" s="15">
        <f>IF($A45="","",ROUND($D45,2))</f>
        <v/>
      </c>
      <c r="L45" s="15">
        <f>IF($A45="","",ROUND($C45,2))</f>
        <v/>
      </c>
      <c r="M45" s="15">
        <f>IF($A45="","",IF($F45&lt;=toleransKurus,1,0))</f>
        <v/>
      </c>
      <c r="N45" s="15">
        <f>IF($A45="","",IF($F45&gt;kdo_esikFark,1,0))</f>
        <v/>
      </c>
      <c r="O45" s="15">
        <f>IF($A45="","",IFERROR(SUMIF(tblMotor[A_Norm],$A45,tblMotor[SiparisToplam]),0))</f>
        <v/>
      </c>
      <c r="P45" s="15">
        <f>IF($A45="","",$B45+$M45+$N45)</f>
        <v/>
      </c>
    </row>
    <row r="46">
      <c r="A46" s="15">
        <f>IF('ANAHTAR'!$B46="","",'ANAHTAR'!$B46)</f>
        <v/>
      </c>
      <c r="B46" s="15">
        <f>IF($A46="","",COUNTIF(tblAnahtarB[NormB],$A46))</f>
        <v/>
      </c>
      <c r="C46" s="15">
        <f>IF($A46="","",IFERROR(SUMIF(tblMotor[A_Norm],$A46,tblMotor[SiparisToplam]),0))</f>
        <v/>
      </c>
      <c r="D46" s="15">
        <f>IF($A46="","",IFERROR(SUMIF(tblAnahtarA[Norm],$A46,tblVeriA[HedefMaliyet]),0))</f>
        <v/>
      </c>
      <c r="E46" s="15">
        <f>IF($A46="","",ROUND($D46,2)-ROUND($C46,2))</f>
        <v/>
      </c>
      <c r="F46" s="15">
        <f>IF($A46="","",ABS($E46))</f>
        <v/>
      </c>
      <c r="G46" s="15">
        <f>IF($A46="","",IF($B46=0,"eslesmedi",IF(ROUND($D46,2)=ROUND($C46,2),"eslesti",IF(ABS(ROUND($D46,2)-ROUND($C46,2))&lt;=toleransKurus,"tolerans_icinde","tutar_farki"))))</f>
        <v/>
      </c>
      <c r="H46" s="15">
        <f>IF($A46="","",IF($B46&gt;0,"BIRINCIL",IF(COUNTIF(tblAnahtarB[IkincilB],'ANAHTAR'!$D46)&gt;0,"IKINCIL","YOK")))</f>
        <v/>
      </c>
      <c r="I46" s="15">
        <f>IF($A46="","",'ANAHTAR'!$F46)</f>
        <v/>
      </c>
      <c r="J46" s="15">
        <f>IF(OR($A46="",$D46=0),0,$F46/ABS($D46))</f>
        <v/>
      </c>
      <c r="K46" s="15">
        <f>IF($A46="","",ROUND($D46,2))</f>
        <v/>
      </c>
      <c r="L46" s="15">
        <f>IF($A46="","",ROUND($C46,2))</f>
        <v/>
      </c>
      <c r="M46" s="15">
        <f>IF($A46="","",IF($F46&lt;=toleransKurus,1,0))</f>
        <v/>
      </c>
      <c r="N46" s="15">
        <f>IF($A46="","",IF($F46&gt;kdo_esikFark,1,0))</f>
        <v/>
      </c>
      <c r="O46" s="15">
        <f>IF($A46="","",IFERROR(SUMIF(tblMotor[A_Norm],$A46,tblMotor[SiparisToplam]),0))</f>
        <v/>
      </c>
      <c r="P46" s="15">
        <f>IF($A46="","",$B46+$M46+$N46)</f>
        <v/>
      </c>
    </row>
    <row r="47">
      <c r="A47" s="15">
        <f>IF('ANAHTAR'!$B47="","",'ANAHTAR'!$B47)</f>
        <v/>
      </c>
      <c r="B47" s="15">
        <f>IF($A47="","",COUNTIF(tblAnahtarB[NormB],$A47))</f>
        <v/>
      </c>
      <c r="C47" s="15">
        <f>IF($A47="","",IFERROR(SUMIF(tblMotor[A_Norm],$A47,tblMotor[SiparisToplam]),0))</f>
        <v/>
      </c>
      <c r="D47" s="15">
        <f>IF($A47="","",IFERROR(SUMIF(tblAnahtarA[Norm],$A47,tblVeriA[HedefMaliyet]),0))</f>
        <v/>
      </c>
      <c r="E47" s="15">
        <f>IF($A47="","",ROUND($D47,2)-ROUND($C47,2))</f>
        <v/>
      </c>
      <c r="F47" s="15">
        <f>IF($A47="","",ABS($E47))</f>
        <v/>
      </c>
      <c r="G47" s="15">
        <f>IF($A47="","",IF($B47=0,"eslesmedi",IF(ROUND($D47,2)=ROUND($C47,2),"eslesti",IF(ABS(ROUND($D47,2)-ROUND($C47,2))&lt;=toleransKurus,"tolerans_icinde","tutar_farki"))))</f>
        <v/>
      </c>
      <c r="H47" s="15">
        <f>IF($A47="","",IF($B47&gt;0,"BIRINCIL",IF(COUNTIF(tblAnahtarB[IkincilB],'ANAHTAR'!$D47)&gt;0,"IKINCIL","YOK")))</f>
        <v/>
      </c>
      <c r="I47" s="15">
        <f>IF($A47="","",'ANAHTAR'!$F47)</f>
        <v/>
      </c>
      <c r="J47" s="15">
        <f>IF(OR($A47="",$D47=0),0,$F47/ABS($D47))</f>
        <v/>
      </c>
      <c r="K47" s="15">
        <f>IF($A47="","",ROUND($D47,2))</f>
        <v/>
      </c>
      <c r="L47" s="15">
        <f>IF($A47="","",ROUND($C47,2))</f>
        <v/>
      </c>
      <c r="M47" s="15">
        <f>IF($A47="","",IF($F47&lt;=toleransKurus,1,0))</f>
        <v/>
      </c>
      <c r="N47" s="15">
        <f>IF($A47="","",IF($F47&gt;kdo_esikFark,1,0))</f>
        <v/>
      </c>
      <c r="O47" s="15">
        <f>IF($A47="","",IFERROR(SUMIF(tblMotor[A_Norm],$A47,tblMotor[SiparisToplam]),0))</f>
        <v/>
      </c>
      <c r="P47" s="15">
        <f>IF($A47="","",$B47+$M47+$N47)</f>
        <v/>
      </c>
    </row>
    <row r="48">
      <c r="A48" s="15">
        <f>IF('ANAHTAR'!$B48="","",'ANAHTAR'!$B48)</f>
        <v/>
      </c>
      <c r="B48" s="15">
        <f>IF($A48="","",COUNTIF(tblAnahtarB[NormB],$A48))</f>
        <v/>
      </c>
      <c r="C48" s="15">
        <f>IF($A48="","",IFERROR(SUMIF(tblMotor[A_Norm],$A48,tblMotor[SiparisToplam]),0))</f>
        <v/>
      </c>
      <c r="D48" s="15">
        <f>IF($A48="","",IFERROR(SUMIF(tblAnahtarA[Norm],$A48,tblVeriA[HedefMaliyet]),0))</f>
        <v/>
      </c>
      <c r="E48" s="15">
        <f>IF($A48="","",ROUND($D48,2)-ROUND($C48,2))</f>
        <v/>
      </c>
      <c r="F48" s="15">
        <f>IF($A48="","",ABS($E48))</f>
        <v/>
      </c>
      <c r="G48" s="15">
        <f>IF($A48="","",IF($B48=0,"eslesmedi",IF(ROUND($D48,2)=ROUND($C48,2),"eslesti",IF(ABS(ROUND($D48,2)-ROUND($C48,2))&lt;=toleransKurus,"tolerans_icinde","tutar_farki"))))</f>
        <v/>
      </c>
      <c r="H48" s="15">
        <f>IF($A48="","",IF($B48&gt;0,"BIRINCIL",IF(COUNTIF(tblAnahtarB[IkincilB],'ANAHTAR'!$D48)&gt;0,"IKINCIL","YOK")))</f>
        <v/>
      </c>
      <c r="I48" s="15">
        <f>IF($A48="","",'ANAHTAR'!$F48)</f>
        <v/>
      </c>
      <c r="J48" s="15">
        <f>IF(OR($A48="",$D48=0),0,$F48/ABS($D48))</f>
        <v/>
      </c>
      <c r="K48" s="15">
        <f>IF($A48="","",ROUND($D48,2))</f>
        <v/>
      </c>
      <c r="L48" s="15">
        <f>IF($A48="","",ROUND($C48,2))</f>
        <v/>
      </c>
      <c r="M48" s="15">
        <f>IF($A48="","",IF($F48&lt;=toleransKurus,1,0))</f>
        <v/>
      </c>
      <c r="N48" s="15">
        <f>IF($A48="","",IF($F48&gt;kdo_esikFark,1,0))</f>
        <v/>
      </c>
      <c r="O48" s="15">
        <f>IF($A48="","",IFERROR(SUMIF(tblMotor[A_Norm],$A48,tblMotor[SiparisToplam]),0))</f>
        <v/>
      </c>
      <c r="P48" s="15">
        <f>IF($A48="","",$B48+$M48+$N48)</f>
        <v/>
      </c>
    </row>
    <row r="49">
      <c r="A49" s="15">
        <f>IF('ANAHTAR'!$B49="","",'ANAHTAR'!$B49)</f>
        <v/>
      </c>
      <c r="B49" s="15">
        <f>IF($A49="","",COUNTIF(tblAnahtarB[NormB],$A49))</f>
        <v/>
      </c>
      <c r="C49" s="15">
        <f>IF($A49="","",IFERROR(SUMIF(tblMotor[A_Norm],$A49,tblMotor[SiparisToplam]),0))</f>
        <v/>
      </c>
      <c r="D49" s="15">
        <f>IF($A49="","",IFERROR(SUMIF(tblAnahtarA[Norm],$A49,tblVeriA[HedefMaliyet]),0))</f>
        <v/>
      </c>
      <c r="E49" s="15">
        <f>IF($A49="","",ROUND($D49,2)-ROUND($C49,2))</f>
        <v/>
      </c>
      <c r="F49" s="15">
        <f>IF($A49="","",ABS($E49))</f>
        <v/>
      </c>
      <c r="G49" s="15">
        <f>IF($A49="","",IF($B49=0,"eslesmedi",IF(ROUND($D49,2)=ROUND($C49,2),"eslesti",IF(ABS(ROUND($D49,2)-ROUND($C49,2))&lt;=toleransKurus,"tolerans_icinde","tutar_farki"))))</f>
        <v/>
      </c>
      <c r="H49" s="15">
        <f>IF($A49="","",IF($B49&gt;0,"BIRINCIL",IF(COUNTIF(tblAnahtarB[IkincilB],'ANAHTAR'!$D49)&gt;0,"IKINCIL","YOK")))</f>
        <v/>
      </c>
      <c r="I49" s="15">
        <f>IF($A49="","",'ANAHTAR'!$F49)</f>
        <v/>
      </c>
      <c r="J49" s="15">
        <f>IF(OR($A49="",$D49=0),0,$F49/ABS($D49))</f>
        <v/>
      </c>
      <c r="K49" s="15">
        <f>IF($A49="","",ROUND($D49,2))</f>
        <v/>
      </c>
      <c r="L49" s="15">
        <f>IF($A49="","",ROUND($C49,2))</f>
        <v/>
      </c>
      <c r="M49" s="15">
        <f>IF($A49="","",IF($F49&lt;=toleransKurus,1,0))</f>
        <v/>
      </c>
      <c r="N49" s="15">
        <f>IF($A49="","",IF($F49&gt;kdo_esikFark,1,0))</f>
        <v/>
      </c>
      <c r="O49" s="15">
        <f>IF($A49="","",IFERROR(SUMIF(tblMotor[A_Norm],$A49,tblMotor[SiparisToplam]),0))</f>
        <v/>
      </c>
      <c r="P49" s="15">
        <f>IF($A49="","",$B49+$M49+$N49)</f>
        <v/>
      </c>
    </row>
    <row r="50">
      <c r="A50" s="15">
        <f>IF('ANAHTAR'!$B50="","",'ANAHTAR'!$B50)</f>
        <v/>
      </c>
      <c r="B50" s="15">
        <f>IF($A50="","",COUNTIF(tblAnahtarB[NormB],$A50))</f>
        <v/>
      </c>
      <c r="C50" s="15">
        <f>IF($A50="","",IFERROR(SUMIF(tblMotor[A_Norm],$A50,tblMotor[SiparisToplam]),0))</f>
        <v/>
      </c>
      <c r="D50" s="15">
        <f>IF($A50="","",IFERROR(SUMIF(tblAnahtarA[Norm],$A50,tblVeriA[HedefMaliyet]),0))</f>
        <v/>
      </c>
      <c r="E50" s="15">
        <f>IF($A50="","",ROUND($D50,2)-ROUND($C50,2))</f>
        <v/>
      </c>
      <c r="F50" s="15">
        <f>IF($A50="","",ABS($E50))</f>
        <v/>
      </c>
      <c r="G50" s="15">
        <f>IF($A50="","",IF($B50=0,"eslesmedi",IF(ROUND($D50,2)=ROUND($C50,2),"eslesti",IF(ABS(ROUND($D50,2)-ROUND($C50,2))&lt;=toleransKurus,"tolerans_icinde","tutar_farki"))))</f>
        <v/>
      </c>
      <c r="H50" s="15">
        <f>IF($A50="","",IF($B50&gt;0,"BIRINCIL",IF(COUNTIF(tblAnahtarB[IkincilB],'ANAHTAR'!$D50)&gt;0,"IKINCIL","YOK")))</f>
        <v/>
      </c>
      <c r="I50" s="15">
        <f>IF($A50="","",'ANAHTAR'!$F50)</f>
        <v/>
      </c>
      <c r="J50" s="15">
        <f>IF(OR($A50="",$D50=0),0,$F50/ABS($D50))</f>
        <v/>
      </c>
      <c r="K50" s="15">
        <f>IF($A50="","",ROUND($D50,2))</f>
        <v/>
      </c>
      <c r="L50" s="15">
        <f>IF($A50="","",ROUND($C50,2))</f>
        <v/>
      </c>
      <c r="M50" s="15">
        <f>IF($A50="","",IF($F50&lt;=toleransKurus,1,0))</f>
        <v/>
      </c>
      <c r="N50" s="15">
        <f>IF($A50="","",IF($F50&gt;kdo_esikFark,1,0))</f>
        <v/>
      </c>
      <c r="O50" s="15">
        <f>IF($A50="","",IFERROR(SUMIF(tblMotor[A_Norm],$A50,tblMotor[SiparisToplam]),0))</f>
        <v/>
      </c>
      <c r="P50" s="15">
        <f>IF($A50="","",$B50+$M50+$N50)</f>
        <v/>
      </c>
    </row>
    <row r="51">
      <c r="A51" s="15">
        <f>IF('ANAHTAR'!$B51="","",'ANAHTAR'!$B51)</f>
        <v/>
      </c>
      <c r="B51" s="15">
        <f>IF($A51="","",COUNTIF(tblAnahtarB[NormB],$A51))</f>
        <v/>
      </c>
      <c r="C51" s="15">
        <f>IF($A51="","",IFERROR(SUMIF(tblMotor[A_Norm],$A51,tblMotor[SiparisToplam]),0))</f>
        <v/>
      </c>
      <c r="D51" s="15">
        <f>IF($A51="","",IFERROR(SUMIF(tblAnahtarA[Norm],$A51,tblVeriA[HedefMaliyet]),0))</f>
        <v/>
      </c>
      <c r="E51" s="15">
        <f>IF($A51="","",ROUND($D51,2)-ROUND($C51,2))</f>
        <v/>
      </c>
      <c r="F51" s="15">
        <f>IF($A51="","",ABS($E51))</f>
        <v/>
      </c>
      <c r="G51" s="15">
        <f>IF($A51="","",IF($B51=0,"eslesmedi",IF(ROUND($D51,2)=ROUND($C51,2),"eslesti",IF(ABS(ROUND($D51,2)-ROUND($C51,2))&lt;=toleransKurus,"tolerans_icinde","tutar_farki"))))</f>
        <v/>
      </c>
      <c r="H51" s="15">
        <f>IF($A51="","",IF($B51&gt;0,"BIRINCIL",IF(COUNTIF(tblAnahtarB[IkincilB],'ANAHTAR'!$D51)&gt;0,"IKINCIL","YOK")))</f>
        <v/>
      </c>
      <c r="I51" s="15">
        <f>IF($A51="","",'ANAHTAR'!$F51)</f>
        <v/>
      </c>
      <c r="J51" s="15">
        <f>IF(OR($A51="",$D51=0),0,$F51/ABS($D51))</f>
        <v/>
      </c>
      <c r="K51" s="15">
        <f>IF($A51="","",ROUND($D51,2))</f>
        <v/>
      </c>
      <c r="L51" s="15">
        <f>IF($A51="","",ROUND($C51,2))</f>
        <v/>
      </c>
      <c r="M51" s="15">
        <f>IF($A51="","",IF($F51&lt;=toleransKurus,1,0))</f>
        <v/>
      </c>
      <c r="N51" s="15">
        <f>IF($A51="","",IF($F51&gt;kdo_esikFark,1,0))</f>
        <v/>
      </c>
      <c r="O51" s="15">
        <f>IF($A51="","",IFERROR(SUMIF(tblMotor[A_Norm],$A51,tblMotor[SiparisToplam]),0))</f>
        <v/>
      </c>
      <c r="P51" s="15">
        <f>IF($A51="","",$B51+$M51+$N51)</f>
        <v/>
      </c>
    </row>
    <row r="52">
      <c r="A52" s="15">
        <f>IF('ANAHTAR'!$B52="","",'ANAHTAR'!$B52)</f>
        <v/>
      </c>
      <c r="B52" s="15">
        <f>IF($A52="","",COUNTIF(tblAnahtarB[NormB],$A52))</f>
        <v/>
      </c>
      <c r="C52" s="15">
        <f>IF($A52="","",IFERROR(SUMIF(tblMotor[A_Norm],$A52,tblMotor[SiparisToplam]),0))</f>
        <v/>
      </c>
      <c r="D52" s="15">
        <f>IF($A52="","",IFERROR(SUMIF(tblAnahtarA[Norm],$A52,tblVeriA[HedefMaliyet]),0))</f>
        <v/>
      </c>
      <c r="E52" s="15">
        <f>IF($A52="","",ROUND($D52,2)-ROUND($C52,2))</f>
        <v/>
      </c>
      <c r="F52" s="15">
        <f>IF($A52="","",ABS($E52))</f>
        <v/>
      </c>
      <c r="G52" s="15">
        <f>IF($A52="","",IF($B52=0,"eslesmedi",IF(ROUND($D52,2)=ROUND($C52,2),"eslesti",IF(ABS(ROUND($D52,2)-ROUND($C52,2))&lt;=toleransKurus,"tolerans_icinde","tutar_farki"))))</f>
        <v/>
      </c>
      <c r="H52" s="15">
        <f>IF($A52="","",IF($B52&gt;0,"BIRINCIL",IF(COUNTIF(tblAnahtarB[IkincilB],'ANAHTAR'!$D52)&gt;0,"IKINCIL","YOK")))</f>
        <v/>
      </c>
      <c r="I52" s="15">
        <f>IF($A52="","",'ANAHTAR'!$F52)</f>
        <v/>
      </c>
      <c r="J52" s="15">
        <f>IF(OR($A52="",$D52=0),0,$F52/ABS($D52))</f>
        <v/>
      </c>
      <c r="K52" s="15">
        <f>IF($A52="","",ROUND($D52,2))</f>
        <v/>
      </c>
      <c r="L52" s="15">
        <f>IF($A52="","",ROUND($C52,2))</f>
        <v/>
      </c>
      <c r="M52" s="15">
        <f>IF($A52="","",IF($F52&lt;=toleransKurus,1,0))</f>
        <v/>
      </c>
      <c r="N52" s="15">
        <f>IF($A52="","",IF($F52&gt;kdo_esikFark,1,0))</f>
        <v/>
      </c>
      <c r="O52" s="15">
        <f>IF($A52="","",IFERROR(SUMIF(tblMotor[A_Norm],$A52,tblMotor[SiparisToplam]),0))</f>
        <v/>
      </c>
      <c r="P52" s="15">
        <f>IF($A52="","",$B52+$M52+$N52)</f>
        <v/>
      </c>
    </row>
    <row r="53">
      <c r="A53" s="15">
        <f>IF('ANAHTAR'!$B53="","",'ANAHTAR'!$B53)</f>
        <v/>
      </c>
      <c r="B53" s="15">
        <f>IF($A53="","",COUNTIF(tblAnahtarB[NormB],$A53))</f>
        <v/>
      </c>
      <c r="C53" s="15">
        <f>IF($A53="","",IFERROR(SUMIF(tblMotor[A_Norm],$A53,tblMotor[SiparisToplam]),0))</f>
        <v/>
      </c>
      <c r="D53" s="15">
        <f>IF($A53="","",IFERROR(SUMIF(tblAnahtarA[Norm],$A53,tblVeriA[HedefMaliyet]),0))</f>
        <v/>
      </c>
      <c r="E53" s="15">
        <f>IF($A53="","",ROUND($D53,2)-ROUND($C53,2))</f>
        <v/>
      </c>
      <c r="F53" s="15">
        <f>IF($A53="","",ABS($E53))</f>
        <v/>
      </c>
      <c r="G53" s="15">
        <f>IF($A53="","",IF($B53=0,"eslesmedi",IF(ROUND($D53,2)=ROUND($C53,2),"eslesti",IF(ABS(ROUND($D53,2)-ROUND($C53,2))&lt;=toleransKurus,"tolerans_icinde","tutar_farki"))))</f>
        <v/>
      </c>
      <c r="H53" s="15">
        <f>IF($A53="","",IF($B53&gt;0,"BIRINCIL",IF(COUNTIF(tblAnahtarB[IkincilB],'ANAHTAR'!$D53)&gt;0,"IKINCIL","YOK")))</f>
        <v/>
      </c>
      <c r="I53" s="15">
        <f>IF($A53="","",'ANAHTAR'!$F53)</f>
        <v/>
      </c>
      <c r="J53" s="15">
        <f>IF(OR($A53="",$D53=0),0,$F53/ABS($D53))</f>
        <v/>
      </c>
      <c r="K53" s="15">
        <f>IF($A53="","",ROUND($D53,2))</f>
        <v/>
      </c>
      <c r="L53" s="15">
        <f>IF($A53="","",ROUND($C53,2))</f>
        <v/>
      </c>
      <c r="M53" s="15">
        <f>IF($A53="","",IF($F53&lt;=toleransKurus,1,0))</f>
        <v/>
      </c>
      <c r="N53" s="15">
        <f>IF($A53="","",IF($F53&gt;kdo_esikFark,1,0))</f>
        <v/>
      </c>
      <c r="O53" s="15">
        <f>IF($A53="","",IFERROR(SUMIF(tblMotor[A_Norm],$A53,tblMotor[SiparisToplam]),0))</f>
        <v/>
      </c>
      <c r="P53" s="15">
        <f>IF($A53="","",$B53+$M53+$N53)</f>
        <v/>
      </c>
    </row>
    <row r="54">
      <c r="A54" s="15">
        <f>IF('ANAHTAR'!$B54="","",'ANAHTAR'!$B54)</f>
        <v/>
      </c>
      <c r="B54" s="15">
        <f>IF($A54="","",COUNTIF(tblAnahtarB[NormB],$A54))</f>
        <v/>
      </c>
      <c r="C54" s="15">
        <f>IF($A54="","",IFERROR(SUMIF(tblMotor[A_Norm],$A54,tblMotor[SiparisToplam]),0))</f>
        <v/>
      </c>
      <c r="D54" s="15">
        <f>IF($A54="","",IFERROR(SUMIF(tblAnahtarA[Norm],$A54,tblVeriA[HedefMaliyet]),0))</f>
        <v/>
      </c>
      <c r="E54" s="15">
        <f>IF($A54="","",ROUND($D54,2)-ROUND($C54,2))</f>
        <v/>
      </c>
      <c r="F54" s="15">
        <f>IF($A54="","",ABS($E54))</f>
        <v/>
      </c>
      <c r="G54" s="15">
        <f>IF($A54="","",IF($B54=0,"eslesmedi",IF(ROUND($D54,2)=ROUND($C54,2),"eslesti",IF(ABS(ROUND($D54,2)-ROUND($C54,2))&lt;=toleransKurus,"tolerans_icinde","tutar_farki"))))</f>
        <v/>
      </c>
      <c r="H54" s="15">
        <f>IF($A54="","",IF($B54&gt;0,"BIRINCIL",IF(COUNTIF(tblAnahtarB[IkincilB],'ANAHTAR'!$D54)&gt;0,"IKINCIL","YOK")))</f>
        <v/>
      </c>
      <c r="I54" s="15">
        <f>IF($A54="","",'ANAHTAR'!$F54)</f>
        <v/>
      </c>
      <c r="J54" s="15">
        <f>IF(OR($A54="",$D54=0),0,$F54/ABS($D54))</f>
        <v/>
      </c>
      <c r="K54" s="15">
        <f>IF($A54="","",ROUND($D54,2))</f>
        <v/>
      </c>
      <c r="L54" s="15">
        <f>IF($A54="","",ROUND($C54,2))</f>
        <v/>
      </c>
      <c r="M54" s="15">
        <f>IF($A54="","",IF($F54&lt;=toleransKurus,1,0))</f>
        <v/>
      </c>
      <c r="N54" s="15">
        <f>IF($A54="","",IF($F54&gt;kdo_esikFark,1,0))</f>
        <v/>
      </c>
      <c r="O54" s="15">
        <f>IF($A54="","",IFERROR(SUMIF(tblMotor[A_Norm],$A54,tblMotor[SiparisToplam]),0))</f>
        <v/>
      </c>
      <c r="P54" s="15">
        <f>IF($A54="","",$B54+$M54+$N54)</f>
        <v/>
      </c>
    </row>
    <row r="55">
      <c r="A55" s="15">
        <f>IF('ANAHTAR'!$B55="","",'ANAHTAR'!$B55)</f>
        <v/>
      </c>
      <c r="B55" s="15">
        <f>IF($A55="","",COUNTIF(tblAnahtarB[NormB],$A55))</f>
        <v/>
      </c>
      <c r="C55" s="15">
        <f>IF($A55="","",IFERROR(SUMIF(tblMotor[A_Norm],$A55,tblMotor[SiparisToplam]),0))</f>
        <v/>
      </c>
      <c r="D55" s="15">
        <f>IF($A55="","",IFERROR(SUMIF(tblAnahtarA[Norm],$A55,tblVeriA[HedefMaliyet]),0))</f>
        <v/>
      </c>
      <c r="E55" s="15">
        <f>IF($A55="","",ROUND($D55,2)-ROUND($C55,2))</f>
        <v/>
      </c>
      <c r="F55" s="15">
        <f>IF($A55="","",ABS($E55))</f>
        <v/>
      </c>
      <c r="G55" s="15">
        <f>IF($A55="","",IF($B55=0,"eslesmedi",IF(ROUND($D55,2)=ROUND($C55,2),"eslesti",IF(ABS(ROUND($D55,2)-ROUND($C55,2))&lt;=toleransKurus,"tolerans_icinde","tutar_farki"))))</f>
        <v/>
      </c>
      <c r="H55" s="15">
        <f>IF($A55="","",IF($B55&gt;0,"BIRINCIL",IF(COUNTIF(tblAnahtarB[IkincilB],'ANAHTAR'!$D55)&gt;0,"IKINCIL","YOK")))</f>
        <v/>
      </c>
      <c r="I55" s="15">
        <f>IF($A55="","",'ANAHTAR'!$F55)</f>
        <v/>
      </c>
      <c r="J55" s="15">
        <f>IF(OR($A55="",$D55=0),0,$F55/ABS($D55))</f>
        <v/>
      </c>
      <c r="K55" s="15">
        <f>IF($A55="","",ROUND($D55,2))</f>
        <v/>
      </c>
      <c r="L55" s="15">
        <f>IF($A55="","",ROUND($C55,2))</f>
        <v/>
      </c>
      <c r="M55" s="15">
        <f>IF($A55="","",IF($F55&lt;=toleransKurus,1,0))</f>
        <v/>
      </c>
      <c r="N55" s="15">
        <f>IF($A55="","",IF($F55&gt;kdo_esikFark,1,0))</f>
        <v/>
      </c>
      <c r="O55" s="15">
        <f>IF($A55="","",IFERROR(SUMIF(tblMotor[A_Norm],$A55,tblMotor[SiparisToplam]),0))</f>
        <v/>
      </c>
      <c r="P55" s="15">
        <f>IF($A55="","",$B55+$M55+$N55)</f>
        <v/>
      </c>
    </row>
    <row r="56">
      <c r="A56" s="15">
        <f>IF('ANAHTAR'!$B56="","",'ANAHTAR'!$B56)</f>
        <v/>
      </c>
      <c r="B56" s="15">
        <f>IF($A56="","",COUNTIF(tblAnahtarB[NormB],$A56))</f>
        <v/>
      </c>
      <c r="C56" s="15">
        <f>IF($A56="","",IFERROR(SUMIF(tblMotor[A_Norm],$A56,tblMotor[SiparisToplam]),0))</f>
        <v/>
      </c>
      <c r="D56" s="15">
        <f>IF($A56="","",IFERROR(SUMIF(tblAnahtarA[Norm],$A56,tblVeriA[HedefMaliyet]),0))</f>
        <v/>
      </c>
      <c r="E56" s="15">
        <f>IF($A56="","",ROUND($D56,2)-ROUND($C56,2))</f>
        <v/>
      </c>
      <c r="F56" s="15">
        <f>IF($A56="","",ABS($E56))</f>
        <v/>
      </c>
      <c r="G56" s="15">
        <f>IF($A56="","",IF($B56=0,"eslesmedi",IF(ROUND($D56,2)=ROUND($C56,2),"eslesti",IF(ABS(ROUND($D56,2)-ROUND($C56,2))&lt;=toleransKurus,"tolerans_icinde","tutar_farki"))))</f>
        <v/>
      </c>
      <c r="H56" s="15">
        <f>IF($A56="","",IF($B56&gt;0,"BIRINCIL",IF(COUNTIF(tblAnahtarB[IkincilB],'ANAHTAR'!$D56)&gt;0,"IKINCIL","YOK")))</f>
        <v/>
      </c>
      <c r="I56" s="15">
        <f>IF($A56="","",'ANAHTAR'!$F56)</f>
        <v/>
      </c>
      <c r="J56" s="15">
        <f>IF(OR($A56="",$D56=0),0,$F56/ABS($D56))</f>
        <v/>
      </c>
      <c r="K56" s="15">
        <f>IF($A56="","",ROUND($D56,2))</f>
        <v/>
      </c>
      <c r="L56" s="15">
        <f>IF($A56="","",ROUND($C56,2))</f>
        <v/>
      </c>
      <c r="M56" s="15">
        <f>IF($A56="","",IF($F56&lt;=toleransKurus,1,0))</f>
        <v/>
      </c>
      <c r="N56" s="15">
        <f>IF($A56="","",IF($F56&gt;kdo_esikFark,1,0))</f>
        <v/>
      </c>
      <c r="O56" s="15">
        <f>IF($A56="","",IFERROR(SUMIF(tblMotor[A_Norm],$A56,tblMotor[SiparisToplam]),0))</f>
        <v/>
      </c>
      <c r="P56" s="15">
        <f>IF($A56="","",$B56+$M56+$N56)</f>
        <v/>
      </c>
    </row>
    <row r="57">
      <c r="A57" s="15">
        <f>IF('ANAHTAR'!$B57="","",'ANAHTAR'!$B57)</f>
        <v/>
      </c>
      <c r="B57" s="15">
        <f>IF($A57="","",COUNTIF(tblAnahtarB[NormB],$A57))</f>
        <v/>
      </c>
      <c r="C57" s="15">
        <f>IF($A57="","",IFERROR(SUMIF(tblMotor[A_Norm],$A57,tblMotor[SiparisToplam]),0))</f>
        <v/>
      </c>
      <c r="D57" s="15">
        <f>IF($A57="","",IFERROR(SUMIF(tblAnahtarA[Norm],$A57,tblVeriA[HedefMaliyet]),0))</f>
        <v/>
      </c>
      <c r="E57" s="15">
        <f>IF($A57="","",ROUND($D57,2)-ROUND($C57,2))</f>
        <v/>
      </c>
      <c r="F57" s="15">
        <f>IF($A57="","",ABS($E57))</f>
        <v/>
      </c>
      <c r="G57" s="15">
        <f>IF($A57="","",IF($B57=0,"eslesmedi",IF(ROUND($D57,2)=ROUND($C57,2),"eslesti",IF(ABS(ROUND($D57,2)-ROUND($C57,2))&lt;=toleransKurus,"tolerans_icinde","tutar_farki"))))</f>
        <v/>
      </c>
      <c r="H57" s="15">
        <f>IF($A57="","",IF($B57&gt;0,"BIRINCIL",IF(COUNTIF(tblAnahtarB[IkincilB],'ANAHTAR'!$D57)&gt;0,"IKINCIL","YOK")))</f>
        <v/>
      </c>
      <c r="I57" s="15">
        <f>IF($A57="","",'ANAHTAR'!$F57)</f>
        <v/>
      </c>
      <c r="J57" s="15">
        <f>IF(OR($A57="",$D57=0),0,$F57/ABS($D57))</f>
        <v/>
      </c>
      <c r="K57" s="15">
        <f>IF($A57="","",ROUND($D57,2))</f>
        <v/>
      </c>
      <c r="L57" s="15">
        <f>IF($A57="","",ROUND($C57,2))</f>
        <v/>
      </c>
      <c r="M57" s="15">
        <f>IF($A57="","",IF($F57&lt;=toleransKurus,1,0))</f>
        <v/>
      </c>
      <c r="N57" s="15">
        <f>IF($A57="","",IF($F57&gt;kdo_esikFark,1,0))</f>
        <v/>
      </c>
      <c r="O57" s="15">
        <f>IF($A57="","",IFERROR(SUMIF(tblMotor[A_Norm],$A57,tblMotor[SiparisToplam]),0))</f>
        <v/>
      </c>
      <c r="P57" s="15">
        <f>IF($A57="","",$B57+$M57+$N57)</f>
        <v/>
      </c>
    </row>
    <row r="58">
      <c r="A58" s="15">
        <f>IF('ANAHTAR'!$B58="","",'ANAHTAR'!$B58)</f>
        <v/>
      </c>
      <c r="B58" s="15">
        <f>IF($A58="","",COUNTIF(tblAnahtarB[NormB],$A58))</f>
        <v/>
      </c>
      <c r="C58" s="15">
        <f>IF($A58="","",IFERROR(SUMIF(tblMotor[A_Norm],$A58,tblMotor[SiparisToplam]),0))</f>
        <v/>
      </c>
      <c r="D58" s="15">
        <f>IF($A58="","",IFERROR(SUMIF(tblAnahtarA[Norm],$A58,tblVeriA[HedefMaliyet]),0))</f>
        <v/>
      </c>
      <c r="E58" s="15">
        <f>IF($A58="","",ROUND($D58,2)-ROUND($C58,2))</f>
        <v/>
      </c>
      <c r="F58" s="15">
        <f>IF($A58="","",ABS($E58))</f>
        <v/>
      </c>
      <c r="G58" s="15">
        <f>IF($A58="","",IF($B58=0,"eslesmedi",IF(ROUND($D58,2)=ROUND($C58,2),"eslesti",IF(ABS(ROUND($D58,2)-ROUND($C58,2))&lt;=toleransKurus,"tolerans_icinde","tutar_farki"))))</f>
        <v/>
      </c>
      <c r="H58" s="15">
        <f>IF($A58="","",IF($B58&gt;0,"BIRINCIL",IF(COUNTIF(tblAnahtarB[IkincilB],'ANAHTAR'!$D58)&gt;0,"IKINCIL","YOK")))</f>
        <v/>
      </c>
      <c r="I58" s="15">
        <f>IF($A58="","",'ANAHTAR'!$F58)</f>
        <v/>
      </c>
      <c r="J58" s="15">
        <f>IF(OR($A58="",$D58=0),0,$F58/ABS($D58))</f>
        <v/>
      </c>
      <c r="K58" s="15">
        <f>IF($A58="","",ROUND($D58,2))</f>
        <v/>
      </c>
      <c r="L58" s="15">
        <f>IF($A58="","",ROUND($C58,2))</f>
        <v/>
      </c>
      <c r="M58" s="15">
        <f>IF($A58="","",IF($F58&lt;=toleransKurus,1,0))</f>
        <v/>
      </c>
      <c r="N58" s="15">
        <f>IF($A58="","",IF($F58&gt;kdo_esikFark,1,0))</f>
        <v/>
      </c>
      <c r="O58" s="15">
        <f>IF($A58="","",IFERROR(SUMIF(tblMotor[A_Norm],$A58,tblMotor[SiparisToplam]),0))</f>
        <v/>
      </c>
      <c r="P58" s="15">
        <f>IF($A58="","",$B58+$M58+$N58)</f>
        <v/>
      </c>
    </row>
    <row r="59">
      <c r="A59" s="15">
        <f>IF('ANAHTAR'!$B59="","",'ANAHTAR'!$B59)</f>
        <v/>
      </c>
      <c r="B59" s="15">
        <f>IF($A59="","",COUNTIF(tblAnahtarB[NormB],$A59))</f>
        <v/>
      </c>
      <c r="C59" s="15">
        <f>IF($A59="","",IFERROR(SUMIF(tblMotor[A_Norm],$A59,tblMotor[SiparisToplam]),0))</f>
        <v/>
      </c>
      <c r="D59" s="15">
        <f>IF($A59="","",IFERROR(SUMIF(tblAnahtarA[Norm],$A59,tblVeriA[HedefMaliyet]),0))</f>
        <v/>
      </c>
      <c r="E59" s="15">
        <f>IF($A59="","",ROUND($D59,2)-ROUND($C59,2))</f>
        <v/>
      </c>
      <c r="F59" s="15">
        <f>IF($A59="","",ABS($E59))</f>
        <v/>
      </c>
      <c r="G59" s="15">
        <f>IF($A59="","",IF($B59=0,"eslesmedi",IF(ROUND($D59,2)=ROUND($C59,2),"eslesti",IF(ABS(ROUND($D59,2)-ROUND($C59,2))&lt;=toleransKurus,"tolerans_icinde","tutar_farki"))))</f>
        <v/>
      </c>
      <c r="H59" s="15">
        <f>IF($A59="","",IF($B59&gt;0,"BIRINCIL",IF(COUNTIF(tblAnahtarB[IkincilB],'ANAHTAR'!$D59)&gt;0,"IKINCIL","YOK")))</f>
        <v/>
      </c>
      <c r="I59" s="15">
        <f>IF($A59="","",'ANAHTAR'!$F59)</f>
        <v/>
      </c>
      <c r="J59" s="15">
        <f>IF(OR($A59="",$D59=0),0,$F59/ABS($D59))</f>
        <v/>
      </c>
      <c r="K59" s="15">
        <f>IF($A59="","",ROUND($D59,2))</f>
        <v/>
      </c>
      <c r="L59" s="15">
        <f>IF($A59="","",ROUND($C59,2))</f>
        <v/>
      </c>
      <c r="M59" s="15">
        <f>IF($A59="","",IF($F59&lt;=toleransKurus,1,0))</f>
        <v/>
      </c>
      <c r="N59" s="15">
        <f>IF($A59="","",IF($F59&gt;kdo_esikFark,1,0))</f>
        <v/>
      </c>
      <c r="O59" s="15">
        <f>IF($A59="","",IFERROR(SUMIF(tblMotor[A_Norm],$A59,tblMotor[SiparisToplam]),0))</f>
        <v/>
      </c>
      <c r="P59" s="15">
        <f>IF($A59="","",$B59+$M59+$N59)</f>
        <v/>
      </c>
    </row>
    <row r="60">
      <c r="A60" s="15">
        <f>IF('ANAHTAR'!$B60="","",'ANAHTAR'!$B60)</f>
        <v/>
      </c>
      <c r="B60" s="15">
        <f>IF($A60="","",COUNTIF(tblAnahtarB[NormB],$A60))</f>
        <v/>
      </c>
      <c r="C60" s="15">
        <f>IF($A60="","",IFERROR(SUMIF(tblMotor[A_Norm],$A60,tblMotor[SiparisToplam]),0))</f>
        <v/>
      </c>
      <c r="D60" s="15">
        <f>IF($A60="","",IFERROR(SUMIF(tblAnahtarA[Norm],$A60,tblVeriA[HedefMaliyet]),0))</f>
        <v/>
      </c>
      <c r="E60" s="15">
        <f>IF($A60="","",ROUND($D60,2)-ROUND($C60,2))</f>
        <v/>
      </c>
      <c r="F60" s="15">
        <f>IF($A60="","",ABS($E60))</f>
        <v/>
      </c>
      <c r="G60" s="15">
        <f>IF($A60="","",IF($B60=0,"eslesmedi",IF(ROUND($D60,2)=ROUND($C60,2),"eslesti",IF(ABS(ROUND($D60,2)-ROUND($C60,2))&lt;=toleransKurus,"tolerans_icinde","tutar_farki"))))</f>
        <v/>
      </c>
      <c r="H60" s="15">
        <f>IF($A60="","",IF($B60&gt;0,"BIRINCIL",IF(COUNTIF(tblAnahtarB[IkincilB],'ANAHTAR'!$D60)&gt;0,"IKINCIL","YOK")))</f>
        <v/>
      </c>
      <c r="I60" s="15">
        <f>IF($A60="","",'ANAHTAR'!$F60)</f>
        <v/>
      </c>
      <c r="J60" s="15">
        <f>IF(OR($A60="",$D60=0),0,$F60/ABS($D60))</f>
        <v/>
      </c>
      <c r="K60" s="15">
        <f>IF($A60="","",ROUND($D60,2))</f>
        <v/>
      </c>
      <c r="L60" s="15">
        <f>IF($A60="","",ROUND($C60,2))</f>
        <v/>
      </c>
      <c r="M60" s="15">
        <f>IF($A60="","",IF($F60&lt;=toleransKurus,1,0))</f>
        <v/>
      </c>
      <c r="N60" s="15">
        <f>IF($A60="","",IF($F60&gt;kdo_esikFark,1,0))</f>
        <v/>
      </c>
      <c r="O60" s="15">
        <f>IF($A60="","",IFERROR(SUMIF(tblMotor[A_Norm],$A60,tblMotor[SiparisToplam]),0))</f>
        <v/>
      </c>
      <c r="P60" s="15">
        <f>IF($A60="","",$B60+$M60+$N60)</f>
        <v/>
      </c>
    </row>
    <row r="61">
      <c r="A61" s="15">
        <f>IF('ANAHTAR'!$B61="","",'ANAHTAR'!$B61)</f>
        <v/>
      </c>
      <c r="B61" s="15">
        <f>IF($A61="","",COUNTIF(tblAnahtarB[NormB],$A61))</f>
        <v/>
      </c>
      <c r="C61" s="15">
        <f>IF($A61="","",IFERROR(SUMIF(tblMotor[A_Norm],$A61,tblMotor[SiparisToplam]),0))</f>
        <v/>
      </c>
      <c r="D61" s="15">
        <f>IF($A61="","",IFERROR(SUMIF(tblAnahtarA[Norm],$A61,tblVeriA[HedefMaliyet]),0))</f>
        <v/>
      </c>
      <c r="E61" s="15">
        <f>IF($A61="","",ROUND($D61,2)-ROUND($C61,2))</f>
        <v/>
      </c>
      <c r="F61" s="15">
        <f>IF($A61="","",ABS($E61))</f>
        <v/>
      </c>
      <c r="G61" s="15">
        <f>IF($A61="","",IF($B61=0,"eslesmedi",IF(ROUND($D61,2)=ROUND($C61,2),"eslesti",IF(ABS(ROUND($D61,2)-ROUND($C61,2))&lt;=toleransKurus,"tolerans_icinde","tutar_farki"))))</f>
        <v/>
      </c>
      <c r="H61" s="15">
        <f>IF($A61="","",IF($B61&gt;0,"BIRINCIL",IF(COUNTIF(tblAnahtarB[IkincilB],'ANAHTAR'!$D61)&gt;0,"IKINCIL","YOK")))</f>
        <v/>
      </c>
      <c r="I61" s="15">
        <f>IF($A61="","",'ANAHTAR'!$F61)</f>
        <v/>
      </c>
      <c r="J61" s="15">
        <f>IF(OR($A61="",$D61=0),0,$F61/ABS($D61))</f>
        <v/>
      </c>
      <c r="K61" s="15">
        <f>IF($A61="","",ROUND($D61,2))</f>
        <v/>
      </c>
      <c r="L61" s="15">
        <f>IF($A61="","",ROUND($C61,2))</f>
        <v/>
      </c>
      <c r="M61" s="15">
        <f>IF($A61="","",IF($F61&lt;=toleransKurus,1,0))</f>
        <v/>
      </c>
      <c r="N61" s="15">
        <f>IF($A61="","",IF($F61&gt;kdo_esikFark,1,0))</f>
        <v/>
      </c>
      <c r="O61" s="15">
        <f>IF($A61="","",IFERROR(SUMIF(tblMotor[A_Norm],$A61,tblMotor[SiparisToplam]),0))</f>
        <v/>
      </c>
      <c r="P61" s="15">
        <f>IF($A61="","",$B61+$M61+$N61)</f>
        <v/>
      </c>
    </row>
    <row r="62">
      <c r="A62" s="15">
        <f>IF('ANAHTAR'!$B62="","",'ANAHTAR'!$B62)</f>
        <v/>
      </c>
      <c r="B62" s="15">
        <f>IF($A62="","",COUNTIF(tblAnahtarB[NormB],$A62))</f>
        <v/>
      </c>
      <c r="C62" s="15">
        <f>IF($A62="","",IFERROR(SUMIF(tblMotor[A_Norm],$A62,tblMotor[SiparisToplam]),0))</f>
        <v/>
      </c>
      <c r="D62" s="15">
        <f>IF($A62="","",IFERROR(SUMIF(tblAnahtarA[Norm],$A62,tblVeriA[HedefMaliyet]),0))</f>
        <v/>
      </c>
      <c r="E62" s="15">
        <f>IF($A62="","",ROUND($D62,2)-ROUND($C62,2))</f>
        <v/>
      </c>
      <c r="F62" s="15">
        <f>IF($A62="","",ABS($E62))</f>
        <v/>
      </c>
      <c r="G62" s="15">
        <f>IF($A62="","",IF($B62=0,"eslesmedi",IF(ROUND($D62,2)=ROUND($C62,2),"eslesti",IF(ABS(ROUND($D62,2)-ROUND($C62,2))&lt;=toleransKurus,"tolerans_icinde","tutar_farki"))))</f>
        <v/>
      </c>
      <c r="H62" s="15">
        <f>IF($A62="","",IF($B62&gt;0,"BIRINCIL",IF(COUNTIF(tblAnahtarB[IkincilB],'ANAHTAR'!$D62)&gt;0,"IKINCIL","YOK")))</f>
        <v/>
      </c>
      <c r="I62" s="15">
        <f>IF($A62="","",'ANAHTAR'!$F62)</f>
        <v/>
      </c>
      <c r="J62" s="15">
        <f>IF(OR($A62="",$D62=0),0,$F62/ABS($D62))</f>
        <v/>
      </c>
      <c r="K62" s="15">
        <f>IF($A62="","",ROUND($D62,2))</f>
        <v/>
      </c>
      <c r="L62" s="15">
        <f>IF($A62="","",ROUND($C62,2))</f>
        <v/>
      </c>
      <c r="M62" s="15">
        <f>IF($A62="","",IF($F62&lt;=toleransKurus,1,0))</f>
        <v/>
      </c>
      <c r="N62" s="15">
        <f>IF($A62="","",IF($F62&gt;kdo_esikFark,1,0))</f>
        <v/>
      </c>
      <c r="O62" s="15">
        <f>IF($A62="","",IFERROR(SUMIF(tblMotor[A_Norm],$A62,tblMotor[SiparisToplam]),0))</f>
        <v/>
      </c>
      <c r="P62" s="15">
        <f>IF($A62="","",$B62+$M62+$N62)</f>
        <v/>
      </c>
    </row>
    <row r="63">
      <c r="A63" s="15">
        <f>IF('ANAHTAR'!$B63="","",'ANAHTAR'!$B63)</f>
        <v/>
      </c>
      <c r="B63" s="15">
        <f>IF($A63="","",COUNTIF(tblAnahtarB[NormB],$A63))</f>
        <v/>
      </c>
      <c r="C63" s="15">
        <f>IF($A63="","",IFERROR(SUMIF(tblMotor[A_Norm],$A63,tblMotor[SiparisToplam]),0))</f>
        <v/>
      </c>
      <c r="D63" s="15">
        <f>IF($A63="","",IFERROR(SUMIF(tblAnahtarA[Norm],$A63,tblVeriA[HedefMaliyet]),0))</f>
        <v/>
      </c>
      <c r="E63" s="15">
        <f>IF($A63="","",ROUND($D63,2)-ROUND($C63,2))</f>
        <v/>
      </c>
      <c r="F63" s="15">
        <f>IF($A63="","",ABS($E63))</f>
        <v/>
      </c>
      <c r="G63" s="15">
        <f>IF($A63="","",IF($B63=0,"eslesmedi",IF(ROUND($D63,2)=ROUND($C63,2),"eslesti",IF(ABS(ROUND($D63,2)-ROUND($C63,2))&lt;=toleransKurus,"tolerans_icinde","tutar_farki"))))</f>
        <v/>
      </c>
      <c r="H63" s="15">
        <f>IF($A63="","",IF($B63&gt;0,"BIRINCIL",IF(COUNTIF(tblAnahtarB[IkincilB],'ANAHTAR'!$D63)&gt;0,"IKINCIL","YOK")))</f>
        <v/>
      </c>
      <c r="I63" s="15">
        <f>IF($A63="","",'ANAHTAR'!$F63)</f>
        <v/>
      </c>
      <c r="J63" s="15">
        <f>IF(OR($A63="",$D63=0),0,$F63/ABS($D63))</f>
        <v/>
      </c>
      <c r="K63" s="15">
        <f>IF($A63="","",ROUND($D63,2))</f>
        <v/>
      </c>
      <c r="L63" s="15">
        <f>IF($A63="","",ROUND($C63,2))</f>
        <v/>
      </c>
      <c r="M63" s="15">
        <f>IF($A63="","",IF($F63&lt;=toleransKurus,1,0))</f>
        <v/>
      </c>
      <c r="N63" s="15">
        <f>IF($A63="","",IF($F63&gt;kdo_esikFark,1,0))</f>
        <v/>
      </c>
      <c r="O63" s="15">
        <f>IF($A63="","",IFERROR(SUMIF(tblMotor[A_Norm],$A63,tblMotor[SiparisToplam]),0))</f>
        <v/>
      </c>
      <c r="P63" s="15">
        <f>IF($A63="","",$B63+$M63+$N63)</f>
        <v/>
      </c>
    </row>
    <row r="64">
      <c r="A64" s="15">
        <f>IF('ANAHTAR'!$B64="","",'ANAHTAR'!$B64)</f>
        <v/>
      </c>
      <c r="B64" s="15">
        <f>IF($A64="","",COUNTIF(tblAnahtarB[NormB],$A64))</f>
        <v/>
      </c>
      <c r="C64" s="15">
        <f>IF($A64="","",IFERROR(SUMIF(tblMotor[A_Norm],$A64,tblMotor[SiparisToplam]),0))</f>
        <v/>
      </c>
      <c r="D64" s="15">
        <f>IF($A64="","",IFERROR(SUMIF(tblAnahtarA[Norm],$A64,tblVeriA[HedefMaliyet]),0))</f>
        <v/>
      </c>
      <c r="E64" s="15">
        <f>IF($A64="","",ROUND($D64,2)-ROUND($C64,2))</f>
        <v/>
      </c>
      <c r="F64" s="15">
        <f>IF($A64="","",ABS($E64))</f>
        <v/>
      </c>
      <c r="G64" s="15">
        <f>IF($A64="","",IF($B64=0,"eslesmedi",IF(ROUND($D64,2)=ROUND($C64,2),"eslesti",IF(ABS(ROUND($D64,2)-ROUND($C64,2))&lt;=toleransKurus,"tolerans_icinde","tutar_farki"))))</f>
        <v/>
      </c>
      <c r="H64" s="15">
        <f>IF($A64="","",IF($B64&gt;0,"BIRINCIL",IF(COUNTIF(tblAnahtarB[IkincilB],'ANAHTAR'!$D64)&gt;0,"IKINCIL","YOK")))</f>
        <v/>
      </c>
      <c r="I64" s="15">
        <f>IF($A64="","",'ANAHTAR'!$F64)</f>
        <v/>
      </c>
      <c r="J64" s="15">
        <f>IF(OR($A64="",$D64=0),0,$F64/ABS($D64))</f>
        <v/>
      </c>
      <c r="K64" s="15">
        <f>IF($A64="","",ROUND($D64,2))</f>
        <v/>
      </c>
      <c r="L64" s="15">
        <f>IF($A64="","",ROUND($C64,2))</f>
        <v/>
      </c>
      <c r="M64" s="15">
        <f>IF($A64="","",IF($F64&lt;=toleransKurus,1,0))</f>
        <v/>
      </c>
      <c r="N64" s="15">
        <f>IF($A64="","",IF($F64&gt;kdo_esikFark,1,0))</f>
        <v/>
      </c>
      <c r="O64" s="15">
        <f>IF($A64="","",IFERROR(SUMIF(tblMotor[A_Norm],$A64,tblMotor[SiparisToplam]),0))</f>
        <v/>
      </c>
      <c r="P64" s="15">
        <f>IF($A64="","",$B64+$M64+$N64)</f>
        <v/>
      </c>
    </row>
    <row r="65">
      <c r="A65" s="15">
        <f>IF('ANAHTAR'!$B65="","",'ANAHTAR'!$B65)</f>
        <v/>
      </c>
      <c r="B65" s="15">
        <f>IF($A65="","",COUNTIF(tblAnahtarB[NormB],$A65))</f>
        <v/>
      </c>
      <c r="C65" s="15">
        <f>IF($A65="","",IFERROR(SUMIF(tblMotor[A_Norm],$A65,tblMotor[SiparisToplam]),0))</f>
        <v/>
      </c>
      <c r="D65" s="15">
        <f>IF($A65="","",IFERROR(SUMIF(tblAnahtarA[Norm],$A65,tblVeriA[HedefMaliyet]),0))</f>
        <v/>
      </c>
      <c r="E65" s="15">
        <f>IF($A65="","",ROUND($D65,2)-ROUND($C65,2))</f>
        <v/>
      </c>
      <c r="F65" s="15">
        <f>IF($A65="","",ABS($E65))</f>
        <v/>
      </c>
      <c r="G65" s="15">
        <f>IF($A65="","",IF($B65=0,"eslesmedi",IF(ROUND($D65,2)=ROUND($C65,2),"eslesti",IF(ABS(ROUND($D65,2)-ROUND($C65,2))&lt;=toleransKurus,"tolerans_icinde","tutar_farki"))))</f>
        <v/>
      </c>
      <c r="H65" s="15">
        <f>IF($A65="","",IF($B65&gt;0,"BIRINCIL",IF(COUNTIF(tblAnahtarB[IkincilB],'ANAHTAR'!$D65)&gt;0,"IKINCIL","YOK")))</f>
        <v/>
      </c>
      <c r="I65" s="15">
        <f>IF($A65="","",'ANAHTAR'!$F65)</f>
        <v/>
      </c>
      <c r="J65" s="15">
        <f>IF(OR($A65="",$D65=0),0,$F65/ABS($D65))</f>
        <v/>
      </c>
      <c r="K65" s="15">
        <f>IF($A65="","",ROUND($D65,2))</f>
        <v/>
      </c>
      <c r="L65" s="15">
        <f>IF($A65="","",ROUND($C65,2))</f>
        <v/>
      </c>
      <c r="M65" s="15">
        <f>IF($A65="","",IF($F65&lt;=toleransKurus,1,0))</f>
        <v/>
      </c>
      <c r="N65" s="15">
        <f>IF($A65="","",IF($F65&gt;kdo_esikFark,1,0))</f>
        <v/>
      </c>
      <c r="O65" s="15">
        <f>IF($A65="","",IFERROR(SUMIF(tblMotor[A_Norm],$A65,tblMotor[SiparisToplam]),0))</f>
        <v/>
      </c>
      <c r="P65" s="15">
        <f>IF($A65="","",$B65+$M65+$N65)</f>
        <v/>
      </c>
    </row>
    <row r="66">
      <c r="A66" s="15">
        <f>IF('ANAHTAR'!$B66="","",'ANAHTAR'!$B66)</f>
        <v/>
      </c>
      <c r="B66" s="15">
        <f>IF($A66="","",COUNTIF(tblAnahtarB[NormB],$A66))</f>
        <v/>
      </c>
      <c r="C66" s="15">
        <f>IF($A66="","",IFERROR(SUMIF(tblMotor[A_Norm],$A66,tblMotor[SiparisToplam]),0))</f>
        <v/>
      </c>
      <c r="D66" s="15">
        <f>IF($A66="","",IFERROR(SUMIF(tblAnahtarA[Norm],$A66,tblVeriA[HedefMaliyet]),0))</f>
        <v/>
      </c>
      <c r="E66" s="15">
        <f>IF($A66="","",ROUND($D66,2)-ROUND($C66,2))</f>
        <v/>
      </c>
      <c r="F66" s="15">
        <f>IF($A66="","",ABS($E66))</f>
        <v/>
      </c>
      <c r="G66" s="15">
        <f>IF($A66="","",IF($B66=0,"eslesmedi",IF(ROUND($D66,2)=ROUND($C66,2),"eslesti",IF(ABS(ROUND($D66,2)-ROUND($C66,2))&lt;=toleransKurus,"tolerans_icinde","tutar_farki"))))</f>
        <v/>
      </c>
      <c r="H66" s="15">
        <f>IF($A66="","",IF($B66&gt;0,"BIRINCIL",IF(COUNTIF(tblAnahtarB[IkincilB],'ANAHTAR'!$D66)&gt;0,"IKINCIL","YOK")))</f>
        <v/>
      </c>
      <c r="I66" s="15">
        <f>IF($A66="","",'ANAHTAR'!$F66)</f>
        <v/>
      </c>
      <c r="J66" s="15">
        <f>IF(OR($A66="",$D66=0),0,$F66/ABS($D66))</f>
        <v/>
      </c>
      <c r="K66" s="15">
        <f>IF($A66="","",ROUND($D66,2))</f>
        <v/>
      </c>
      <c r="L66" s="15">
        <f>IF($A66="","",ROUND($C66,2))</f>
        <v/>
      </c>
      <c r="M66" s="15">
        <f>IF($A66="","",IF($F66&lt;=toleransKurus,1,0))</f>
        <v/>
      </c>
      <c r="N66" s="15">
        <f>IF($A66="","",IF($F66&gt;kdo_esikFark,1,0))</f>
        <v/>
      </c>
      <c r="O66" s="15">
        <f>IF($A66="","",IFERROR(SUMIF(tblMotor[A_Norm],$A66,tblMotor[SiparisToplam]),0))</f>
        <v/>
      </c>
      <c r="P66" s="15">
        <f>IF($A66="","",$B66+$M66+$N66)</f>
        <v/>
      </c>
    </row>
    <row r="67">
      <c r="A67" s="15">
        <f>IF('ANAHTAR'!$B67="","",'ANAHTAR'!$B67)</f>
        <v/>
      </c>
      <c r="B67" s="15">
        <f>IF($A67="","",COUNTIF(tblAnahtarB[NormB],$A67))</f>
        <v/>
      </c>
      <c r="C67" s="15">
        <f>IF($A67="","",IFERROR(SUMIF(tblMotor[A_Norm],$A67,tblMotor[SiparisToplam]),0))</f>
        <v/>
      </c>
      <c r="D67" s="15">
        <f>IF($A67="","",IFERROR(SUMIF(tblAnahtarA[Norm],$A67,tblVeriA[HedefMaliyet]),0))</f>
        <v/>
      </c>
      <c r="E67" s="15">
        <f>IF($A67="","",ROUND($D67,2)-ROUND($C67,2))</f>
        <v/>
      </c>
      <c r="F67" s="15">
        <f>IF($A67="","",ABS($E67))</f>
        <v/>
      </c>
      <c r="G67" s="15">
        <f>IF($A67="","",IF($B67=0,"eslesmedi",IF(ROUND($D67,2)=ROUND($C67,2),"eslesti",IF(ABS(ROUND($D67,2)-ROUND($C67,2))&lt;=toleransKurus,"tolerans_icinde","tutar_farki"))))</f>
        <v/>
      </c>
      <c r="H67" s="15">
        <f>IF($A67="","",IF($B67&gt;0,"BIRINCIL",IF(COUNTIF(tblAnahtarB[IkincilB],'ANAHTAR'!$D67)&gt;0,"IKINCIL","YOK")))</f>
        <v/>
      </c>
      <c r="I67" s="15">
        <f>IF($A67="","",'ANAHTAR'!$F67)</f>
        <v/>
      </c>
      <c r="J67" s="15">
        <f>IF(OR($A67="",$D67=0),0,$F67/ABS($D67))</f>
        <v/>
      </c>
      <c r="K67" s="15">
        <f>IF($A67="","",ROUND($D67,2))</f>
        <v/>
      </c>
      <c r="L67" s="15">
        <f>IF($A67="","",ROUND($C67,2))</f>
        <v/>
      </c>
      <c r="M67" s="15">
        <f>IF($A67="","",IF($F67&lt;=toleransKurus,1,0))</f>
        <v/>
      </c>
      <c r="N67" s="15">
        <f>IF($A67="","",IF($F67&gt;kdo_esikFark,1,0))</f>
        <v/>
      </c>
      <c r="O67" s="15">
        <f>IF($A67="","",IFERROR(SUMIF(tblMotor[A_Norm],$A67,tblMotor[SiparisToplam]),0))</f>
        <v/>
      </c>
      <c r="P67" s="15">
        <f>IF($A67="","",$B67+$M67+$N67)</f>
        <v/>
      </c>
    </row>
    <row r="68">
      <c r="A68" s="15">
        <f>IF('ANAHTAR'!$B68="","",'ANAHTAR'!$B68)</f>
        <v/>
      </c>
      <c r="B68" s="15">
        <f>IF($A68="","",COUNTIF(tblAnahtarB[NormB],$A68))</f>
        <v/>
      </c>
      <c r="C68" s="15">
        <f>IF($A68="","",IFERROR(SUMIF(tblMotor[A_Norm],$A68,tblMotor[SiparisToplam]),0))</f>
        <v/>
      </c>
      <c r="D68" s="15">
        <f>IF($A68="","",IFERROR(SUMIF(tblAnahtarA[Norm],$A68,tblVeriA[HedefMaliyet]),0))</f>
        <v/>
      </c>
      <c r="E68" s="15">
        <f>IF($A68="","",ROUND($D68,2)-ROUND($C68,2))</f>
        <v/>
      </c>
      <c r="F68" s="15">
        <f>IF($A68="","",ABS($E68))</f>
        <v/>
      </c>
      <c r="G68" s="15">
        <f>IF($A68="","",IF($B68=0,"eslesmedi",IF(ROUND($D68,2)=ROUND($C68,2),"eslesti",IF(ABS(ROUND($D68,2)-ROUND($C68,2))&lt;=toleransKurus,"tolerans_icinde","tutar_farki"))))</f>
        <v/>
      </c>
      <c r="H68" s="15">
        <f>IF($A68="","",IF($B68&gt;0,"BIRINCIL",IF(COUNTIF(tblAnahtarB[IkincilB],'ANAHTAR'!$D68)&gt;0,"IKINCIL","YOK")))</f>
        <v/>
      </c>
      <c r="I68" s="15">
        <f>IF($A68="","",'ANAHTAR'!$F68)</f>
        <v/>
      </c>
      <c r="J68" s="15">
        <f>IF(OR($A68="",$D68=0),0,$F68/ABS($D68))</f>
        <v/>
      </c>
      <c r="K68" s="15">
        <f>IF($A68="","",ROUND($D68,2))</f>
        <v/>
      </c>
      <c r="L68" s="15">
        <f>IF($A68="","",ROUND($C68,2))</f>
        <v/>
      </c>
      <c r="M68" s="15">
        <f>IF($A68="","",IF($F68&lt;=toleransKurus,1,0))</f>
        <v/>
      </c>
      <c r="N68" s="15">
        <f>IF($A68="","",IF($F68&gt;kdo_esikFark,1,0))</f>
        <v/>
      </c>
      <c r="O68" s="15">
        <f>IF($A68="","",IFERROR(SUMIF(tblMotor[A_Norm],$A68,tblMotor[SiparisToplam]),0))</f>
        <v/>
      </c>
      <c r="P68" s="15">
        <f>IF($A68="","",$B68+$M68+$N68)</f>
        <v/>
      </c>
    </row>
    <row r="69">
      <c r="A69" s="15">
        <f>IF('ANAHTAR'!$B69="","",'ANAHTAR'!$B69)</f>
        <v/>
      </c>
      <c r="B69" s="15">
        <f>IF($A69="","",COUNTIF(tblAnahtarB[NormB],$A69))</f>
        <v/>
      </c>
      <c r="C69" s="15">
        <f>IF($A69="","",IFERROR(SUMIF(tblMotor[A_Norm],$A69,tblMotor[SiparisToplam]),0))</f>
        <v/>
      </c>
      <c r="D69" s="15">
        <f>IF($A69="","",IFERROR(SUMIF(tblAnahtarA[Norm],$A69,tblVeriA[HedefMaliyet]),0))</f>
        <v/>
      </c>
      <c r="E69" s="15">
        <f>IF($A69="","",ROUND($D69,2)-ROUND($C69,2))</f>
        <v/>
      </c>
      <c r="F69" s="15">
        <f>IF($A69="","",ABS($E69))</f>
        <v/>
      </c>
      <c r="G69" s="15">
        <f>IF($A69="","",IF($B69=0,"eslesmedi",IF(ROUND($D69,2)=ROUND($C69,2),"eslesti",IF(ABS(ROUND($D69,2)-ROUND($C69,2))&lt;=toleransKurus,"tolerans_icinde","tutar_farki"))))</f>
        <v/>
      </c>
      <c r="H69" s="15">
        <f>IF($A69="","",IF($B69&gt;0,"BIRINCIL",IF(COUNTIF(tblAnahtarB[IkincilB],'ANAHTAR'!$D69)&gt;0,"IKINCIL","YOK")))</f>
        <v/>
      </c>
      <c r="I69" s="15">
        <f>IF($A69="","",'ANAHTAR'!$F69)</f>
        <v/>
      </c>
      <c r="J69" s="15">
        <f>IF(OR($A69="",$D69=0),0,$F69/ABS($D69))</f>
        <v/>
      </c>
      <c r="K69" s="15">
        <f>IF($A69="","",ROUND($D69,2))</f>
        <v/>
      </c>
      <c r="L69" s="15">
        <f>IF($A69="","",ROUND($C69,2))</f>
        <v/>
      </c>
      <c r="M69" s="15">
        <f>IF($A69="","",IF($F69&lt;=toleransKurus,1,0))</f>
        <v/>
      </c>
      <c r="N69" s="15">
        <f>IF($A69="","",IF($F69&gt;kdo_esikFark,1,0))</f>
        <v/>
      </c>
      <c r="O69" s="15">
        <f>IF($A69="","",IFERROR(SUMIF(tblMotor[A_Norm],$A69,tblMotor[SiparisToplam]),0))</f>
        <v/>
      </c>
      <c r="P69" s="15">
        <f>IF($A69="","",$B69+$M69+$N69)</f>
        <v/>
      </c>
    </row>
    <row r="70">
      <c r="A70" s="15">
        <f>IF('ANAHTAR'!$B70="","",'ANAHTAR'!$B70)</f>
        <v/>
      </c>
      <c r="B70" s="15">
        <f>IF($A70="","",COUNTIF(tblAnahtarB[NormB],$A70))</f>
        <v/>
      </c>
      <c r="C70" s="15">
        <f>IF($A70="","",IFERROR(SUMIF(tblMotor[A_Norm],$A70,tblMotor[SiparisToplam]),0))</f>
        <v/>
      </c>
      <c r="D70" s="15">
        <f>IF($A70="","",IFERROR(SUMIF(tblAnahtarA[Norm],$A70,tblVeriA[HedefMaliyet]),0))</f>
        <v/>
      </c>
      <c r="E70" s="15">
        <f>IF($A70="","",ROUND($D70,2)-ROUND($C70,2))</f>
        <v/>
      </c>
      <c r="F70" s="15">
        <f>IF($A70="","",ABS($E70))</f>
        <v/>
      </c>
      <c r="G70" s="15">
        <f>IF($A70="","",IF($B70=0,"eslesmedi",IF(ROUND($D70,2)=ROUND($C70,2),"eslesti",IF(ABS(ROUND($D70,2)-ROUND($C70,2))&lt;=toleransKurus,"tolerans_icinde","tutar_farki"))))</f>
        <v/>
      </c>
      <c r="H70" s="15">
        <f>IF($A70="","",IF($B70&gt;0,"BIRINCIL",IF(COUNTIF(tblAnahtarB[IkincilB],'ANAHTAR'!$D70)&gt;0,"IKINCIL","YOK")))</f>
        <v/>
      </c>
      <c r="I70" s="15">
        <f>IF($A70="","",'ANAHTAR'!$F70)</f>
        <v/>
      </c>
      <c r="J70" s="15">
        <f>IF(OR($A70="",$D70=0),0,$F70/ABS($D70))</f>
        <v/>
      </c>
      <c r="K70" s="15">
        <f>IF($A70="","",ROUND($D70,2))</f>
        <v/>
      </c>
      <c r="L70" s="15">
        <f>IF($A70="","",ROUND($C70,2))</f>
        <v/>
      </c>
      <c r="M70" s="15">
        <f>IF($A70="","",IF($F70&lt;=toleransKurus,1,0))</f>
        <v/>
      </c>
      <c r="N70" s="15">
        <f>IF($A70="","",IF($F70&gt;kdo_esikFark,1,0))</f>
        <v/>
      </c>
      <c r="O70" s="15">
        <f>IF($A70="","",IFERROR(SUMIF(tblMotor[A_Norm],$A70,tblMotor[SiparisToplam]),0))</f>
        <v/>
      </c>
      <c r="P70" s="15">
        <f>IF($A70="","",$B70+$M70+$N70)</f>
        <v/>
      </c>
    </row>
    <row r="71">
      <c r="A71" s="15">
        <f>IF('ANAHTAR'!$B71="","",'ANAHTAR'!$B71)</f>
        <v/>
      </c>
      <c r="B71" s="15">
        <f>IF($A71="","",COUNTIF(tblAnahtarB[NormB],$A71))</f>
        <v/>
      </c>
      <c r="C71" s="15">
        <f>IF($A71="","",IFERROR(SUMIF(tblMotor[A_Norm],$A71,tblMotor[SiparisToplam]),0))</f>
        <v/>
      </c>
      <c r="D71" s="15">
        <f>IF($A71="","",IFERROR(SUMIF(tblAnahtarA[Norm],$A71,tblVeriA[HedefMaliyet]),0))</f>
        <v/>
      </c>
      <c r="E71" s="15">
        <f>IF($A71="","",ROUND($D71,2)-ROUND($C71,2))</f>
        <v/>
      </c>
      <c r="F71" s="15">
        <f>IF($A71="","",ABS($E71))</f>
        <v/>
      </c>
      <c r="G71" s="15">
        <f>IF($A71="","",IF($B71=0,"eslesmedi",IF(ROUND($D71,2)=ROUND($C71,2),"eslesti",IF(ABS(ROUND($D71,2)-ROUND($C71,2))&lt;=toleransKurus,"tolerans_icinde","tutar_farki"))))</f>
        <v/>
      </c>
      <c r="H71" s="15">
        <f>IF($A71="","",IF($B71&gt;0,"BIRINCIL",IF(COUNTIF(tblAnahtarB[IkincilB],'ANAHTAR'!$D71)&gt;0,"IKINCIL","YOK")))</f>
        <v/>
      </c>
      <c r="I71" s="15">
        <f>IF($A71="","",'ANAHTAR'!$F71)</f>
        <v/>
      </c>
      <c r="J71" s="15">
        <f>IF(OR($A71="",$D71=0),0,$F71/ABS($D71))</f>
        <v/>
      </c>
      <c r="K71" s="15">
        <f>IF($A71="","",ROUND($D71,2))</f>
        <v/>
      </c>
      <c r="L71" s="15">
        <f>IF($A71="","",ROUND($C71,2))</f>
        <v/>
      </c>
      <c r="M71" s="15">
        <f>IF($A71="","",IF($F71&lt;=toleransKurus,1,0))</f>
        <v/>
      </c>
      <c r="N71" s="15">
        <f>IF($A71="","",IF($F71&gt;kdo_esikFark,1,0))</f>
        <v/>
      </c>
      <c r="O71" s="15">
        <f>IF($A71="","",IFERROR(SUMIF(tblMotor[A_Norm],$A71,tblMotor[SiparisToplam]),0))</f>
        <v/>
      </c>
      <c r="P71" s="15">
        <f>IF($A71="","",$B71+$M71+$N71)</f>
        <v/>
      </c>
    </row>
    <row r="72">
      <c r="A72" s="15">
        <f>IF('ANAHTAR'!$B72="","",'ANAHTAR'!$B72)</f>
        <v/>
      </c>
      <c r="B72" s="15">
        <f>IF($A72="","",COUNTIF(tblAnahtarB[NormB],$A72))</f>
        <v/>
      </c>
      <c r="C72" s="15">
        <f>IF($A72="","",IFERROR(SUMIF(tblMotor[A_Norm],$A72,tblMotor[SiparisToplam]),0))</f>
        <v/>
      </c>
      <c r="D72" s="15">
        <f>IF($A72="","",IFERROR(SUMIF(tblAnahtarA[Norm],$A72,tblVeriA[HedefMaliyet]),0))</f>
        <v/>
      </c>
      <c r="E72" s="15">
        <f>IF($A72="","",ROUND($D72,2)-ROUND($C72,2))</f>
        <v/>
      </c>
      <c r="F72" s="15">
        <f>IF($A72="","",ABS($E72))</f>
        <v/>
      </c>
      <c r="G72" s="15">
        <f>IF($A72="","",IF($B72=0,"eslesmedi",IF(ROUND($D72,2)=ROUND($C72,2),"eslesti",IF(ABS(ROUND($D72,2)-ROUND($C72,2))&lt;=toleransKurus,"tolerans_icinde","tutar_farki"))))</f>
        <v/>
      </c>
      <c r="H72" s="15">
        <f>IF($A72="","",IF($B72&gt;0,"BIRINCIL",IF(COUNTIF(tblAnahtarB[IkincilB],'ANAHTAR'!$D72)&gt;0,"IKINCIL","YOK")))</f>
        <v/>
      </c>
      <c r="I72" s="15">
        <f>IF($A72="","",'ANAHTAR'!$F72)</f>
        <v/>
      </c>
      <c r="J72" s="15">
        <f>IF(OR($A72="",$D72=0),0,$F72/ABS($D72))</f>
        <v/>
      </c>
      <c r="K72" s="15">
        <f>IF($A72="","",ROUND($D72,2))</f>
        <v/>
      </c>
      <c r="L72" s="15">
        <f>IF($A72="","",ROUND($C72,2))</f>
        <v/>
      </c>
      <c r="M72" s="15">
        <f>IF($A72="","",IF($F72&lt;=toleransKurus,1,0))</f>
        <v/>
      </c>
      <c r="N72" s="15">
        <f>IF($A72="","",IF($F72&gt;kdo_esikFark,1,0))</f>
        <v/>
      </c>
      <c r="O72" s="15">
        <f>IF($A72="","",IFERROR(SUMIF(tblMotor[A_Norm],$A72,tblMotor[SiparisToplam]),0))</f>
        <v/>
      </c>
      <c r="P72" s="15">
        <f>IF($A72="","",$B72+$M72+$N72)</f>
        <v/>
      </c>
    </row>
    <row r="73">
      <c r="A73" s="15">
        <f>IF('ANAHTAR'!$B73="","",'ANAHTAR'!$B73)</f>
        <v/>
      </c>
      <c r="B73" s="15">
        <f>IF($A73="","",COUNTIF(tblAnahtarB[NormB],$A73))</f>
        <v/>
      </c>
      <c r="C73" s="15">
        <f>IF($A73="","",IFERROR(SUMIF(tblMotor[A_Norm],$A73,tblMotor[SiparisToplam]),0))</f>
        <v/>
      </c>
      <c r="D73" s="15">
        <f>IF($A73="","",IFERROR(SUMIF(tblAnahtarA[Norm],$A73,tblVeriA[HedefMaliyet]),0))</f>
        <v/>
      </c>
      <c r="E73" s="15">
        <f>IF($A73="","",ROUND($D73,2)-ROUND($C73,2))</f>
        <v/>
      </c>
      <c r="F73" s="15">
        <f>IF($A73="","",ABS($E73))</f>
        <v/>
      </c>
      <c r="G73" s="15">
        <f>IF($A73="","",IF($B73=0,"eslesmedi",IF(ROUND($D73,2)=ROUND($C73,2),"eslesti",IF(ABS(ROUND($D73,2)-ROUND($C73,2))&lt;=toleransKurus,"tolerans_icinde","tutar_farki"))))</f>
        <v/>
      </c>
      <c r="H73" s="15">
        <f>IF($A73="","",IF($B73&gt;0,"BIRINCIL",IF(COUNTIF(tblAnahtarB[IkincilB],'ANAHTAR'!$D73)&gt;0,"IKINCIL","YOK")))</f>
        <v/>
      </c>
      <c r="I73" s="15">
        <f>IF($A73="","",'ANAHTAR'!$F73)</f>
        <v/>
      </c>
      <c r="J73" s="15">
        <f>IF(OR($A73="",$D73=0),0,$F73/ABS($D73))</f>
        <v/>
      </c>
      <c r="K73" s="15">
        <f>IF($A73="","",ROUND($D73,2))</f>
        <v/>
      </c>
      <c r="L73" s="15">
        <f>IF($A73="","",ROUND($C73,2))</f>
        <v/>
      </c>
      <c r="M73" s="15">
        <f>IF($A73="","",IF($F73&lt;=toleransKurus,1,0))</f>
        <v/>
      </c>
      <c r="N73" s="15">
        <f>IF($A73="","",IF($F73&gt;kdo_esikFark,1,0))</f>
        <v/>
      </c>
      <c r="O73" s="15">
        <f>IF($A73="","",IFERROR(SUMIF(tblMotor[A_Norm],$A73,tblMotor[SiparisToplam]),0))</f>
        <v/>
      </c>
      <c r="P73" s="15">
        <f>IF($A73="","",$B73+$M73+$N73)</f>
        <v/>
      </c>
    </row>
    <row r="74">
      <c r="A74" s="15">
        <f>IF('ANAHTAR'!$B74="","",'ANAHTAR'!$B74)</f>
        <v/>
      </c>
      <c r="B74" s="15">
        <f>IF($A74="","",COUNTIF(tblAnahtarB[NormB],$A74))</f>
        <v/>
      </c>
      <c r="C74" s="15">
        <f>IF($A74="","",IFERROR(SUMIF(tblMotor[A_Norm],$A74,tblMotor[SiparisToplam]),0))</f>
        <v/>
      </c>
      <c r="D74" s="15">
        <f>IF($A74="","",IFERROR(SUMIF(tblAnahtarA[Norm],$A74,tblVeriA[HedefMaliyet]),0))</f>
        <v/>
      </c>
      <c r="E74" s="15">
        <f>IF($A74="","",ROUND($D74,2)-ROUND($C74,2))</f>
        <v/>
      </c>
      <c r="F74" s="15">
        <f>IF($A74="","",ABS($E74))</f>
        <v/>
      </c>
      <c r="G74" s="15">
        <f>IF($A74="","",IF($B74=0,"eslesmedi",IF(ROUND($D74,2)=ROUND($C74,2),"eslesti",IF(ABS(ROUND($D74,2)-ROUND($C74,2))&lt;=toleransKurus,"tolerans_icinde","tutar_farki"))))</f>
        <v/>
      </c>
      <c r="H74" s="15">
        <f>IF($A74="","",IF($B74&gt;0,"BIRINCIL",IF(COUNTIF(tblAnahtarB[IkincilB],'ANAHTAR'!$D74)&gt;0,"IKINCIL","YOK")))</f>
        <v/>
      </c>
      <c r="I74" s="15">
        <f>IF($A74="","",'ANAHTAR'!$F74)</f>
        <v/>
      </c>
      <c r="J74" s="15">
        <f>IF(OR($A74="",$D74=0),0,$F74/ABS($D74))</f>
        <v/>
      </c>
      <c r="K74" s="15">
        <f>IF($A74="","",ROUND($D74,2))</f>
        <v/>
      </c>
      <c r="L74" s="15">
        <f>IF($A74="","",ROUND($C74,2))</f>
        <v/>
      </c>
      <c r="M74" s="15">
        <f>IF($A74="","",IF($F74&lt;=toleransKurus,1,0))</f>
        <v/>
      </c>
      <c r="N74" s="15">
        <f>IF($A74="","",IF($F74&gt;kdo_esikFark,1,0))</f>
        <v/>
      </c>
      <c r="O74" s="15">
        <f>IF($A74="","",IFERROR(SUMIF(tblMotor[A_Norm],$A74,tblMotor[SiparisToplam]),0))</f>
        <v/>
      </c>
      <c r="P74" s="15">
        <f>IF($A74="","",$B74+$M74+$N74)</f>
        <v/>
      </c>
    </row>
    <row r="75">
      <c r="A75" s="15">
        <f>IF('ANAHTAR'!$B75="","",'ANAHTAR'!$B75)</f>
        <v/>
      </c>
      <c r="B75" s="15">
        <f>IF($A75="","",COUNTIF(tblAnahtarB[NormB],$A75))</f>
        <v/>
      </c>
      <c r="C75" s="15">
        <f>IF($A75="","",IFERROR(SUMIF(tblMotor[A_Norm],$A75,tblMotor[SiparisToplam]),0))</f>
        <v/>
      </c>
      <c r="D75" s="15">
        <f>IF($A75="","",IFERROR(SUMIF(tblAnahtarA[Norm],$A75,tblVeriA[HedefMaliyet]),0))</f>
        <v/>
      </c>
      <c r="E75" s="15">
        <f>IF($A75="","",ROUND($D75,2)-ROUND($C75,2))</f>
        <v/>
      </c>
      <c r="F75" s="15">
        <f>IF($A75="","",ABS($E75))</f>
        <v/>
      </c>
      <c r="G75" s="15">
        <f>IF($A75="","",IF($B75=0,"eslesmedi",IF(ROUND($D75,2)=ROUND($C75,2),"eslesti",IF(ABS(ROUND($D75,2)-ROUND($C75,2))&lt;=toleransKurus,"tolerans_icinde","tutar_farki"))))</f>
        <v/>
      </c>
      <c r="H75" s="15">
        <f>IF($A75="","",IF($B75&gt;0,"BIRINCIL",IF(COUNTIF(tblAnahtarB[IkincilB],'ANAHTAR'!$D75)&gt;0,"IKINCIL","YOK")))</f>
        <v/>
      </c>
      <c r="I75" s="15">
        <f>IF($A75="","",'ANAHTAR'!$F75)</f>
        <v/>
      </c>
      <c r="J75" s="15">
        <f>IF(OR($A75="",$D75=0),0,$F75/ABS($D75))</f>
        <v/>
      </c>
      <c r="K75" s="15">
        <f>IF($A75="","",ROUND($D75,2))</f>
        <v/>
      </c>
      <c r="L75" s="15">
        <f>IF($A75="","",ROUND($C75,2))</f>
        <v/>
      </c>
      <c r="M75" s="15">
        <f>IF($A75="","",IF($F75&lt;=toleransKurus,1,0))</f>
        <v/>
      </c>
      <c r="N75" s="15">
        <f>IF($A75="","",IF($F75&gt;kdo_esikFark,1,0))</f>
        <v/>
      </c>
      <c r="O75" s="15">
        <f>IF($A75="","",IFERROR(SUMIF(tblMotor[A_Norm],$A75,tblMotor[SiparisToplam]),0))</f>
        <v/>
      </c>
      <c r="P75" s="15">
        <f>IF($A75="","",$B75+$M75+$N75)</f>
        <v/>
      </c>
    </row>
    <row r="76">
      <c r="A76" s="15">
        <f>IF('ANAHTAR'!$B76="","",'ANAHTAR'!$B76)</f>
        <v/>
      </c>
      <c r="B76" s="15">
        <f>IF($A76="","",COUNTIF(tblAnahtarB[NormB],$A76))</f>
        <v/>
      </c>
      <c r="C76" s="15">
        <f>IF($A76="","",IFERROR(SUMIF(tblMotor[A_Norm],$A76,tblMotor[SiparisToplam]),0))</f>
        <v/>
      </c>
      <c r="D76" s="15">
        <f>IF($A76="","",IFERROR(SUMIF(tblAnahtarA[Norm],$A76,tblVeriA[HedefMaliyet]),0))</f>
        <v/>
      </c>
      <c r="E76" s="15">
        <f>IF($A76="","",ROUND($D76,2)-ROUND($C76,2))</f>
        <v/>
      </c>
      <c r="F76" s="15">
        <f>IF($A76="","",ABS($E76))</f>
        <v/>
      </c>
      <c r="G76" s="15">
        <f>IF($A76="","",IF($B76=0,"eslesmedi",IF(ROUND($D76,2)=ROUND($C76,2),"eslesti",IF(ABS(ROUND($D76,2)-ROUND($C76,2))&lt;=toleransKurus,"tolerans_icinde","tutar_farki"))))</f>
        <v/>
      </c>
      <c r="H76" s="15">
        <f>IF($A76="","",IF($B76&gt;0,"BIRINCIL",IF(COUNTIF(tblAnahtarB[IkincilB],'ANAHTAR'!$D76)&gt;0,"IKINCIL","YOK")))</f>
        <v/>
      </c>
      <c r="I76" s="15">
        <f>IF($A76="","",'ANAHTAR'!$F76)</f>
        <v/>
      </c>
      <c r="J76" s="15">
        <f>IF(OR($A76="",$D76=0),0,$F76/ABS($D76))</f>
        <v/>
      </c>
      <c r="K76" s="15">
        <f>IF($A76="","",ROUND($D76,2))</f>
        <v/>
      </c>
      <c r="L76" s="15">
        <f>IF($A76="","",ROUND($C76,2))</f>
        <v/>
      </c>
      <c r="M76" s="15">
        <f>IF($A76="","",IF($F76&lt;=toleransKurus,1,0))</f>
        <v/>
      </c>
      <c r="N76" s="15">
        <f>IF($A76="","",IF($F76&gt;kdo_esikFark,1,0))</f>
        <v/>
      </c>
      <c r="O76" s="15">
        <f>IF($A76="","",IFERROR(SUMIF(tblMotor[A_Norm],$A76,tblMotor[SiparisToplam]),0))</f>
        <v/>
      </c>
      <c r="P76" s="15">
        <f>IF($A76="","",$B76+$M76+$N76)</f>
        <v/>
      </c>
    </row>
    <row r="77">
      <c r="A77" s="15">
        <f>IF('ANAHTAR'!$B77="","",'ANAHTAR'!$B77)</f>
        <v/>
      </c>
      <c r="B77" s="15">
        <f>IF($A77="","",COUNTIF(tblAnahtarB[NormB],$A77))</f>
        <v/>
      </c>
      <c r="C77" s="15">
        <f>IF($A77="","",IFERROR(SUMIF(tblMotor[A_Norm],$A77,tblMotor[SiparisToplam]),0))</f>
        <v/>
      </c>
      <c r="D77" s="15">
        <f>IF($A77="","",IFERROR(SUMIF(tblAnahtarA[Norm],$A77,tblVeriA[HedefMaliyet]),0))</f>
        <v/>
      </c>
      <c r="E77" s="15">
        <f>IF($A77="","",ROUND($D77,2)-ROUND($C77,2))</f>
        <v/>
      </c>
      <c r="F77" s="15">
        <f>IF($A77="","",ABS($E77))</f>
        <v/>
      </c>
      <c r="G77" s="15">
        <f>IF($A77="","",IF($B77=0,"eslesmedi",IF(ROUND($D77,2)=ROUND($C77,2),"eslesti",IF(ABS(ROUND($D77,2)-ROUND($C77,2))&lt;=toleransKurus,"tolerans_icinde","tutar_farki"))))</f>
        <v/>
      </c>
      <c r="H77" s="15">
        <f>IF($A77="","",IF($B77&gt;0,"BIRINCIL",IF(COUNTIF(tblAnahtarB[IkincilB],'ANAHTAR'!$D77)&gt;0,"IKINCIL","YOK")))</f>
        <v/>
      </c>
      <c r="I77" s="15">
        <f>IF($A77="","",'ANAHTAR'!$F77)</f>
        <v/>
      </c>
      <c r="J77" s="15">
        <f>IF(OR($A77="",$D77=0),0,$F77/ABS($D77))</f>
        <v/>
      </c>
      <c r="K77" s="15">
        <f>IF($A77="","",ROUND($D77,2))</f>
        <v/>
      </c>
      <c r="L77" s="15">
        <f>IF($A77="","",ROUND($C77,2))</f>
        <v/>
      </c>
      <c r="M77" s="15">
        <f>IF($A77="","",IF($F77&lt;=toleransKurus,1,0))</f>
        <v/>
      </c>
      <c r="N77" s="15">
        <f>IF($A77="","",IF($F77&gt;kdo_esikFark,1,0))</f>
        <v/>
      </c>
      <c r="O77" s="15">
        <f>IF($A77="","",IFERROR(SUMIF(tblMotor[A_Norm],$A77,tblMotor[SiparisToplam]),0))</f>
        <v/>
      </c>
      <c r="P77" s="15">
        <f>IF($A77="","",$B77+$M77+$N77)</f>
        <v/>
      </c>
    </row>
    <row r="78">
      <c r="A78" s="15">
        <f>IF('ANAHTAR'!$B78="","",'ANAHTAR'!$B78)</f>
        <v/>
      </c>
      <c r="B78" s="15">
        <f>IF($A78="","",COUNTIF(tblAnahtarB[NormB],$A78))</f>
        <v/>
      </c>
      <c r="C78" s="15">
        <f>IF($A78="","",IFERROR(SUMIF(tblMotor[A_Norm],$A78,tblMotor[SiparisToplam]),0))</f>
        <v/>
      </c>
      <c r="D78" s="15">
        <f>IF($A78="","",IFERROR(SUMIF(tblAnahtarA[Norm],$A78,tblVeriA[HedefMaliyet]),0))</f>
        <v/>
      </c>
      <c r="E78" s="15">
        <f>IF($A78="","",ROUND($D78,2)-ROUND($C78,2))</f>
        <v/>
      </c>
      <c r="F78" s="15">
        <f>IF($A78="","",ABS($E78))</f>
        <v/>
      </c>
      <c r="G78" s="15">
        <f>IF($A78="","",IF($B78=0,"eslesmedi",IF(ROUND($D78,2)=ROUND($C78,2),"eslesti",IF(ABS(ROUND($D78,2)-ROUND($C78,2))&lt;=toleransKurus,"tolerans_icinde","tutar_farki"))))</f>
        <v/>
      </c>
      <c r="H78" s="15">
        <f>IF($A78="","",IF($B78&gt;0,"BIRINCIL",IF(COUNTIF(tblAnahtarB[IkincilB],'ANAHTAR'!$D78)&gt;0,"IKINCIL","YOK")))</f>
        <v/>
      </c>
      <c r="I78" s="15">
        <f>IF($A78="","",'ANAHTAR'!$F78)</f>
        <v/>
      </c>
      <c r="J78" s="15">
        <f>IF(OR($A78="",$D78=0),0,$F78/ABS($D78))</f>
        <v/>
      </c>
      <c r="K78" s="15">
        <f>IF($A78="","",ROUND($D78,2))</f>
        <v/>
      </c>
      <c r="L78" s="15">
        <f>IF($A78="","",ROUND($C78,2))</f>
        <v/>
      </c>
      <c r="M78" s="15">
        <f>IF($A78="","",IF($F78&lt;=toleransKurus,1,0))</f>
        <v/>
      </c>
      <c r="N78" s="15">
        <f>IF($A78="","",IF($F78&gt;kdo_esikFark,1,0))</f>
        <v/>
      </c>
      <c r="O78" s="15">
        <f>IF($A78="","",IFERROR(SUMIF(tblMotor[A_Norm],$A78,tblMotor[SiparisToplam]),0))</f>
        <v/>
      </c>
      <c r="P78" s="15">
        <f>IF($A78="","",$B78+$M78+$N78)</f>
        <v/>
      </c>
    </row>
    <row r="79">
      <c r="A79" s="15">
        <f>IF('ANAHTAR'!$B79="","",'ANAHTAR'!$B79)</f>
        <v/>
      </c>
      <c r="B79" s="15">
        <f>IF($A79="","",COUNTIF(tblAnahtarB[NormB],$A79))</f>
        <v/>
      </c>
      <c r="C79" s="15">
        <f>IF($A79="","",IFERROR(SUMIF(tblMotor[A_Norm],$A79,tblMotor[SiparisToplam]),0))</f>
        <v/>
      </c>
      <c r="D79" s="15">
        <f>IF($A79="","",IFERROR(SUMIF(tblAnahtarA[Norm],$A79,tblVeriA[HedefMaliyet]),0))</f>
        <v/>
      </c>
      <c r="E79" s="15">
        <f>IF($A79="","",ROUND($D79,2)-ROUND($C79,2))</f>
        <v/>
      </c>
      <c r="F79" s="15">
        <f>IF($A79="","",ABS($E79))</f>
        <v/>
      </c>
      <c r="G79" s="15">
        <f>IF($A79="","",IF($B79=0,"eslesmedi",IF(ROUND($D79,2)=ROUND($C79,2),"eslesti",IF(ABS(ROUND($D79,2)-ROUND($C79,2))&lt;=toleransKurus,"tolerans_icinde","tutar_farki"))))</f>
        <v/>
      </c>
      <c r="H79" s="15">
        <f>IF($A79="","",IF($B79&gt;0,"BIRINCIL",IF(COUNTIF(tblAnahtarB[IkincilB],'ANAHTAR'!$D79)&gt;0,"IKINCIL","YOK")))</f>
        <v/>
      </c>
      <c r="I79" s="15">
        <f>IF($A79="","",'ANAHTAR'!$F79)</f>
        <v/>
      </c>
      <c r="J79" s="15">
        <f>IF(OR($A79="",$D79=0),0,$F79/ABS($D79))</f>
        <v/>
      </c>
      <c r="K79" s="15">
        <f>IF($A79="","",ROUND($D79,2))</f>
        <v/>
      </c>
      <c r="L79" s="15">
        <f>IF($A79="","",ROUND($C79,2))</f>
        <v/>
      </c>
      <c r="M79" s="15">
        <f>IF($A79="","",IF($F79&lt;=toleransKurus,1,0))</f>
        <v/>
      </c>
      <c r="N79" s="15">
        <f>IF($A79="","",IF($F79&gt;kdo_esikFark,1,0))</f>
        <v/>
      </c>
      <c r="O79" s="15">
        <f>IF($A79="","",IFERROR(SUMIF(tblMotor[A_Norm],$A79,tblMotor[SiparisToplam]),0))</f>
        <v/>
      </c>
      <c r="P79" s="15">
        <f>IF($A79="","",$B79+$M79+$N79)</f>
        <v/>
      </c>
    </row>
    <row r="80">
      <c r="A80" s="15">
        <f>IF('ANAHTAR'!$B80="","",'ANAHTAR'!$B80)</f>
        <v/>
      </c>
      <c r="B80" s="15">
        <f>IF($A80="","",COUNTIF(tblAnahtarB[NormB],$A80))</f>
        <v/>
      </c>
      <c r="C80" s="15">
        <f>IF($A80="","",IFERROR(SUMIF(tblMotor[A_Norm],$A80,tblMotor[SiparisToplam]),0))</f>
        <v/>
      </c>
      <c r="D80" s="15">
        <f>IF($A80="","",IFERROR(SUMIF(tblAnahtarA[Norm],$A80,tblVeriA[HedefMaliyet]),0))</f>
        <v/>
      </c>
      <c r="E80" s="15">
        <f>IF($A80="","",ROUND($D80,2)-ROUND($C80,2))</f>
        <v/>
      </c>
      <c r="F80" s="15">
        <f>IF($A80="","",ABS($E80))</f>
        <v/>
      </c>
      <c r="G80" s="15">
        <f>IF($A80="","",IF($B80=0,"eslesmedi",IF(ROUND($D80,2)=ROUND($C80,2),"eslesti",IF(ABS(ROUND($D80,2)-ROUND($C80,2))&lt;=toleransKurus,"tolerans_icinde","tutar_farki"))))</f>
        <v/>
      </c>
      <c r="H80" s="15">
        <f>IF($A80="","",IF($B80&gt;0,"BIRINCIL",IF(COUNTIF(tblAnahtarB[IkincilB],'ANAHTAR'!$D80)&gt;0,"IKINCIL","YOK")))</f>
        <v/>
      </c>
      <c r="I80" s="15">
        <f>IF($A80="","",'ANAHTAR'!$F80)</f>
        <v/>
      </c>
      <c r="J80" s="15">
        <f>IF(OR($A80="",$D80=0),0,$F80/ABS($D80))</f>
        <v/>
      </c>
      <c r="K80" s="15">
        <f>IF($A80="","",ROUND($D80,2))</f>
        <v/>
      </c>
      <c r="L80" s="15">
        <f>IF($A80="","",ROUND($C80,2))</f>
        <v/>
      </c>
      <c r="M80" s="15">
        <f>IF($A80="","",IF($F80&lt;=toleransKurus,1,0))</f>
        <v/>
      </c>
      <c r="N80" s="15">
        <f>IF($A80="","",IF($F80&gt;kdo_esikFark,1,0))</f>
        <v/>
      </c>
      <c r="O80" s="15">
        <f>IF($A80="","",IFERROR(SUMIF(tblMotor[A_Norm],$A80,tblMotor[SiparisToplam]),0))</f>
        <v/>
      </c>
      <c r="P80" s="15">
        <f>IF($A80="","",$B80+$M80+$N80)</f>
        <v/>
      </c>
    </row>
    <row r="81">
      <c r="A81" s="15">
        <f>IF('ANAHTAR'!$B81="","",'ANAHTAR'!$B81)</f>
        <v/>
      </c>
      <c r="B81" s="15">
        <f>IF($A81="","",COUNTIF(tblAnahtarB[NormB],$A81))</f>
        <v/>
      </c>
      <c r="C81" s="15">
        <f>IF($A81="","",IFERROR(SUMIF(tblMotor[A_Norm],$A81,tblMotor[SiparisToplam]),0))</f>
        <v/>
      </c>
      <c r="D81" s="15">
        <f>IF($A81="","",IFERROR(SUMIF(tblAnahtarA[Norm],$A81,tblVeriA[HedefMaliyet]),0))</f>
        <v/>
      </c>
      <c r="E81" s="15">
        <f>IF($A81="","",ROUND($D81,2)-ROUND($C81,2))</f>
        <v/>
      </c>
      <c r="F81" s="15">
        <f>IF($A81="","",ABS($E81))</f>
        <v/>
      </c>
      <c r="G81" s="15">
        <f>IF($A81="","",IF($B81=0,"eslesmedi",IF(ROUND($D81,2)=ROUND($C81,2),"eslesti",IF(ABS(ROUND($D81,2)-ROUND($C81,2))&lt;=toleransKurus,"tolerans_icinde","tutar_farki"))))</f>
        <v/>
      </c>
      <c r="H81" s="15">
        <f>IF($A81="","",IF($B81&gt;0,"BIRINCIL",IF(COUNTIF(tblAnahtarB[IkincilB],'ANAHTAR'!$D81)&gt;0,"IKINCIL","YOK")))</f>
        <v/>
      </c>
      <c r="I81" s="15">
        <f>IF($A81="","",'ANAHTAR'!$F81)</f>
        <v/>
      </c>
      <c r="J81" s="15">
        <f>IF(OR($A81="",$D81=0),0,$F81/ABS($D81))</f>
        <v/>
      </c>
      <c r="K81" s="15">
        <f>IF($A81="","",ROUND($D81,2))</f>
        <v/>
      </c>
      <c r="L81" s="15">
        <f>IF($A81="","",ROUND($C81,2))</f>
        <v/>
      </c>
      <c r="M81" s="15">
        <f>IF($A81="","",IF($F81&lt;=toleransKurus,1,0))</f>
        <v/>
      </c>
      <c r="N81" s="15">
        <f>IF($A81="","",IF($F81&gt;kdo_esikFark,1,0))</f>
        <v/>
      </c>
      <c r="O81" s="15">
        <f>IF($A81="","",IFERROR(SUMIF(tblMotor[A_Norm],$A81,tblMotor[SiparisToplam]),0))</f>
        <v/>
      </c>
      <c r="P81" s="15">
        <f>IF($A81="","",$B81+$M81+$N81)</f>
        <v/>
      </c>
    </row>
    <row r="82">
      <c r="A82" s="15">
        <f>IF('ANAHTAR'!$B82="","",'ANAHTAR'!$B82)</f>
        <v/>
      </c>
      <c r="B82" s="15">
        <f>IF($A82="","",COUNTIF(tblAnahtarB[NormB],$A82))</f>
        <v/>
      </c>
      <c r="C82" s="15">
        <f>IF($A82="","",IFERROR(SUMIF(tblMotor[A_Norm],$A82,tblMotor[SiparisToplam]),0))</f>
        <v/>
      </c>
      <c r="D82" s="15">
        <f>IF($A82="","",IFERROR(SUMIF(tblAnahtarA[Norm],$A82,tblVeriA[HedefMaliyet]),0))</f>
        <v/>
      </c>
      <c r="E82" s="15">
        <f>IF($A82="","",ROUND($D82,2)-ROUND($C82,2))</f>
        <v/>
      </c>
      <c r="F82" s="15">
        <f>IF($A82="","",ABS($E82))</f>
        <v/>
      </c>
      <c r="G82" s="15">
        <f>IF($A82="","",IF($B82=0,"eslesmedi",IF(ROUND($D82,2)=ROUND($C82,2),"eslesti",IF(ABS(ROUND($D82,2)-ROUND($C82,2))&lt;=toleransKurus,"tolerans_icinde","tutar_farki"))))</f>
        <v/>
      </c>
      <c r="H82" s="15">
        <f>IF($A82="","",IF($B82&gt;0,"BIRINCIL",IF(COUNTIF(tblAnahtarB[IkincilB],'ANAHTAR'!$D82)&gt;0,"IKINCIL","YOK")))</f>
        <v/>
      </c>
      <c r="I82" s="15">
        <f>IF($A82="","",'ANAHTAR'!$F82)</f>
        <v/>
      </c>
      <c r="J82" s="15">
        <f>IF(OR($A82="",$D82=0),0,$F82/ABS($D82))</f>
        <v/>
      </c>
      <c r="K82" s="15">
        <f>IF($A82="","",ROUND($D82,2))</f>
        <v/>
      </c>
      <c r="L82" s="15">
        <f>IF($A82="","",ROUND($C82,2))</f>
        <v/>
      </c>
      <c r="M82" s="15">
        <f>IF($A82="","",IF($F82&lt;=toleransKurus,1,0))</f>
        <v/>
      </c>
      <c r="N82" s="15">
        <f>IF($A82="","",IF($F82&gt;kdo_esikFark,1,0))</f>
        <v/>
      </c>
      <c r="O82" s="15">
        <f>IF($A82="","",IFERROR(SUMIF(tblMotor[A_Norm],$A82,tblMotor[SiparisToplam]),0))</f>
        <v/>
      </c>
      <c r="P82" s="15">
        <f>IF($A82="","",$B82+$M82+$N82)</f>
        <v/>
      </c>
    </row>
    <row r="83">
      <c r="A83" s="15">
        <f>IF('ANAHTAR'!$B83="","",'ANAHTAR'!$B83)</f>
        <v/>
      </c>
      <c r="B83" s="15">
        <f>IF($A83="","",COUNTIF(tblAnahtarB[NormB],$A83))</f>
        <v/>
      </c>
      <c r="C83" s="15">
        <f>IF($A83="","",IFERROR(SUMIF(tblMotor[A_Norm],$A83,tblMotor[SiparisToplam]),0))</f>
        <v/>
      </c>
      <c r="D83" s="15">
        <f>IF($A83="","",IFERROR(SUMIF(tblAnahtarA[Norm],$A83,tblVeriA[HedefMaliyet]),0))</f>
        <v/>
      </c>
      <c r="E83" s="15">
        <f>IF($A83="","",ROUND($D83,2)-ROUND($C83,2))</f>
        <v/>
      </c>
      <c r="F83" s="15">
        <f>IF($A83="","",ABS($E83))</f>
        <v/>
      </c>
      <c r="G83" s="15">
        <f>IF($A83="","",IF($B83=0,"eslesmedi",IF(ROUND($D83,2)=ROUND($C83,2),"eslesti",IF(ABS(ROUND($D83,2)-ROUND($C83,2))&lt;=toleransKurus,"tolerans_icinde","tutar_farki"))))</f>
        <v/>
      </c>
      <c r="H83" s="15">
        <f>IF($A83="","",IF($B83&gt;0,"BIRINCIL",IF(COUNTIF(tblAnahtarB[IkincilB],'ANAHTAR'!$D83)&gt;0,"IKINCIL","YOK")))</f>
        <v/>
      </c>
      <c r="I83" s="15">
        <f>IF($A83="","",'ANAHTAR'!$F83)</f>
        <v/>
      </c>
      <c r="J83" s="15">
        <f>IF(OR($A83="",$D83=0),0,$F83/ABS($D83))</f>
        <v/>
      </c>
      <c r="K83" s="15">
        <f>IF($A83="","",ROUND($D83,2))</f>
        <v/>
      </c>
      <c r="L83" s="15">
        <f>IF($A83="","",ROUND($C83,2))</f>
        <v/>
      </c>
      <c r="M83" s="15">
        <f>IF($A83="","",IF($F83&lt;=toleransKurus,1,0))</f>
        <v/>
      </c>
      <c r="N83" s="15">
        <f>IF($A83="","",IF($F83&gt;kdo_esikFark,1,0))</f>
        <v/>
      </c>
      <c r="O83" s="15">
        <f>IF($A83="","",IFERROR(SUMIF(tblMotor[A_Norm],$A83,tblMotor[SiparisToplam]),0))</f>
        <v/>
      </c>
      <c r="P83" s="15">
        <f>IF($A83="","",$B83+$M83+$N83)</f>
        <v/>
      </c>
    </row>
    <row r="84">
      <c r="A84" s="15">
        <f>IF('ANAHTAR'!$B84="","",'ANAHTAR'!$B84)</f>
        <v/>
      </c>
      <c r="B84" s="15">
        <f>IF($A84="","",COUNTIF(tblAnahtarB[NormB],$A84))</f>
        <v/>
      </c>
      <c r="C84" s="15">
        <f>IF($A84="","",IFERROR(SUMIF(tblMotor[A_Norm],$A84,tblMotor[SiparisToplam]),0))</f>
        <v/>
      </c>
      <c r="D84" s="15">
        <f>IF($A84="","",IFERROR(SUMIF(tblAnahtarA[Norm],$A84,tblVeriA[HedefMaliyet]),0))</f>
        <v/>
      </c>
      <c r="E84" s="15">
        <f>IF($A84="","",ROUND($D84,2)-ROUND($C84,2))</f>
        <v/>
      </c>
      <c r="F84" s="15">
        <f>IF($A84="","",ABS($E84))</f>
        <v/>
      </c>
      <c r="G84" s="15">
        <f>IF($A84="","",IF($B84=0,"eslesmedi",IF(ROUND($D84,2)=ROUND($C84,2),"eslesti",IF(ABS(ROUND($D84,2)-ROUND($C84,2))&lt;=toleransKurus,"tolerans_icinde","tutar_farki"))))</f>
        <v/>
      </c>
      <c r="H84" s="15">
        <f>IF($A84="","",IF($B84&gt;0,"BIRINCIL",IF(COUNTIF(tblAnahtarB[IkincilB],'ANAHTAR'!$D84)&gt;0,"IKINCIL","YOK")))</f>
        <v/>
      </c>
      <c r="I84" s="15">
        <f>IF($A84="","",'ANAHTAR'!$F84)</f>
        <v/>
      </c>
      <c r="J84" s="15">
        <f>IF(OR($A84="",$D84=0),0,$F84/ABS($D84))</f>
        <v/>
      </c>
      <c r="K84" s="15">
        <f>IF($A84="","",ROUND($D84,2))</f>
        <v/>
      </c>
      <c r="L84" s="15">
        <f>IF($A84="","",ROUND($C84,2))</f>
        <v/>
      </c>
      <c r="M84" s="15">
        <f>IF($A84="","",IF($F84&lt;=toleransKurus,1,0))</f>
        <v/>
      </c>
      <c r="N84" s="15">
        <f>IF($A84="","",IF($F84&gt;kdo_esikFark,1,0))</f>
        <v/>
      </c>
      <c r="O84" s="15">
        <f>IF($A84="","",IFERROR(SUMIF(tblMotor[A_Norm],$A84,tblMotor[SiparisToplam]),0))</f>
        <v/>
      </c>
      <c r="P84" s="15">
        <f>IF($A84="","",$B84+$M84+$N84)</f>
        <v/>
      </c>
    </row>
    <row r="85">
      <c r="A85" s="15">
        <f>IF('ANAHTAR'!$B85="","",'ANAHTAR'!$B85)</f>
        <v/>
      </c>
      <c r="B85" s="15">
        <f>IF($A85="","",COUNTIF(tblAnahtarB[NormB],$A85))</f>
        <v/>
      </c>
      <c r="C85" s="15">
        <f>IF($A85="","",IFERROR(SUMIF(tblMotor[A_Norm],$A85,tblMotor[SiparisToplam]),0))</f>
        <v/>
      </c>
      <c r="D85" s="15">
        <f>IF($A85="","",IFERROR(SUMIF(tblAnahtarA[Norm],$A85,tblVeriA[HedefMaliyet]),0))</f>
        <v/>
      </c>
      <c r="E85" s="15">
        <f>IF($A85="","",ROUND($D85,2)-ROUND($C85,2))</f>
        <v/>
      </c>
      <c r="F85" s="15">
        <f>IF($A85="","",ABS($E85))</f>
        <v/>
      </c>
      <c r="G85" s="15">
        <f>IF($A85="","",IF($B85=0,"eslesmedi",IF(ROUND($D85,2)=ROUND($C85,2),"eslesti",IF(ABS(ROUND($D85,2)-ROUND($C85,2))&lt;=toleransKurus,"tolerans_icinde","tutar_farki"))))</f>
        <v/>
      </c>
      <c r="H85" s="15">
        <f>IF($A85="","",IF($B85&gt;0,"BIRINCIL",IF(COUNTIF(tblAnahtarB[IkincilB],'ANAHTAR'!$D85)&gt;0,"IKINCIL","YOK")))</f>
        <v/>
      </c>
      <c r="I85" s="15">
        <f>IF($A85="","",'ANAHTAR'!$F85)</f>
        <v/>
      </c>
      <c r="J85" s="15">
        <f>IF(OR($A85="",$D85=0),0,$F85/ABS($D85))</f>
        <v/>
      </c>
      <c r="K85" s="15">
        <f>IF($A85="","",ROUND($D85,2))</f>
        <v/>
      </c>
      <c r="L85" s="15">
        <f>IF($A85="","",ROUND($C85,2))</f>
        <v/>
      </c>
      <c r="M85" s="15">
        <f>IF($A85="","",IF($F85&lt;=toleransKurus,1,0))</f>
        <v/>
      </c>
      <c r="N85" s="15">
        <f>IF($A85="","",IF($F85&gt;kdo_esikFark,1,0))</f>
        <v/>
      </c>
      <c r="O85" s="15">
        <f>IF($A85="","",IFERROR(SUMIF(tblMotor[A_Norm],$A85,tblMotor[SiparisToplam]),0))</f>
        <v/>
      </c>
      <c r="P85" s="15">
        <f>IF($A85="","",$B85+$M85+$N85)</f>
        <v/>
      </c>
    </row>
    <row r="86">
      <c r="A86" s="15">
        <f>IF('ANAHTAR'!$B86="","",'ANAHTAR'!$B86)</f>
        <v/>
      </c>
      <c r="B86" s="15">
        <f>IF($A86="","",COUNTIF(tblAnahtarB[NormB],$A86))</f>
        <v/>
      </c>
      <c r="C86" s="15">
        <f>IF($A86="","",IFERROR(SUMIF(tblMotor[A_Norm],$A86,tblMotor[SiparisToplam]),0))</f>
        <v/>
      </c>
      <c r="D86" s="15">
        <f>IF($A86="","",IFERROR(SUMIF(tblAnahtarA[Norm],$A86,tblVeriA[HedefMaliyet]),0))</f>
        <v/>
      </c>
      <c r="E86" s="15">
        <f>IF($A86="","",ROUND($D86,2)-ROUND($C86,2))</f>
        <v/>
      </c>
      <c r="F86" s="15">
        <f>IF($A86="","",ABS($E86))</f>
        <v/>
      </c>
      <c r="G86" s="15">
        <f>IF($A86="","",IF($B86=0,"eslesmedi",IF(ROUND($D86,2)=ROUND($C86,2),"eslesti",IF(ABS(ROUND($D86,2)-ROUND($C86,2))&lt;=toleransKurus,"tolerans_icinde","tutar_farki"))))</f>
        <v/>
      </c>
      <c r="H86" s="15">
        <f>IF($A86="","",IF($B86&gt;0,"BIRINCIL",IF(COUNTIF(tblAnahtarB[IkincilB],'ANAHTAR'!$D86)&gt;0,"IKINCIL","YOK")))</f>
        <v/>
      </c>
      <c r="I86" s="15">
        <f>IF($A86="","",'ANAHTAR'!$F86)</f>
        <v/>
      </c>
      <c r="J86" s="15">
        <f>IF(OR($A86="",$D86=0),0,$F86/ABS($D86))</f>
        <v/>
      </c>
      <c r="K86" s="15">
        <f>IF($A86="","",ROUND($D86,2))</f>
        <v/>
      </c>
      <c r="L86" s="15">
        <f>IF($A86="","",ROUND($C86,2))</f>
        <v/>
      </c>
      <c r="M86" s="15">
        <f>IF($A86="","",IF($F86&lt;=toleransKurus,1,0))</f>
        <v/>
      </c>
      <c r="N86" s="15">
        <f>IF($A86="","",IF($F86&gt;kdo_esikFark,1,0))</f>
        <v/>
      </c>
      <c r="O86" s="15">
        <f>IF($A86="","",IFERROR(SUMIF(tblMotor[A_Norm],$A86,tblMotor[SiparisToplam]),0))</f>
        <v/>
      </c>
      <c r="P86" s="15">
        <f>IF($A86="","",$B86+$M86+$N86)</f>
        <v/>
      </c>
    </row>
    <row r="87">
      <c r="A87" s="15">
        <f>IF('ANAHTAR'!$B87="","",'ANAHTAR'!$B87)</f>
        <v/>
      </c>
      <c r="B87" s="15">
        <f>IF($A87="","",COUNTIF(tblAnahtarB[NormB],$A87))</f>
        <v/>
      </c>
      <c r="C87" s="15">
        <f>IF($A87="","",IFERROR(SUMIF(tblMotor[A_Norm],$A87,tblMotor[SiparisToplam]),0))</f>
        <v/>
      </c>
      <c r="D87" s="15">
        <f>IF($A87="","",IFERROR(SUMIF(tblAnahtarA[Norm],$A87,tblVeriA[HedefMaliyet]),0))</f>
        <v/>
      </c>
      <c r="E87" s="15">
        <f>IF($A87="","",ROUND($D87,2)-ROUND($C87,2))</f>
        <v/>
      </c>
      <c r="F87" s="15">
        <f>IF($A87="","",ABS($E87))</f>
        <v/>
      </c>
      <c r="G87" s="15">
        <f>IF($A87="","",IF($B87=0,"eslesmedi",IF(ROUND($D87,2)=ROUND($C87,2),"eslesti",IF(ABS(ROUND($D87,2)-ROUND($C87,2))&lt;=toleransKurus,"tolerans_icinde","tutar_farki"))))</f>
        <v/>
      </c>
      <c r="H87" s="15">
        <f>IF($A87="","",IF($B87&gt;0,"BIRINCIL",IF(COUNTIF(tblAnahtarB[IkincilB],'ANAHTAR'!$D87)&gt;0,"IKINCIL","YOK")))</f>
        <v/>
      </c>
      <c r="I87" s="15">
        <f>IF($A87="","",'ANAHTAR'!$F87)</f>
        <v/>
      </c>
      <c r="J87" s="15">
        <f>IF(OR($A87="",$D87=0),0,$F87/ABS($D87))</f>
        <v/>
      </c>
      <c r="K87" s="15">
        <f>IF($A87="","",ROUND($D87,2))</f>
        <v/>
      </c>
      <c r="L87" s="15">
        <f>IF($A87="","",ROUND($C87,2))</f>
        <v/>
      </c>
      <c r="M87" s="15">
        <f>IF($A87="","",IF($F87&lt;=toleransKurus,1,0))</f>
        <v/>
      </c>
      <c r="N87" s="15">
        <f>IF($A87="","",IF($F87&gt;kdo_esikFark,1,0))</f>
        <v/>
      </c>
      <c r="O87" s="15">
        <f>IF($A87="","",IFERROR(SUMIF(tblMotor[A_Norm],$A87,tblMotor[SiparisToplam]),0))</f>
        <v/>
      </c>
      <c r="P87" s="15">
        <f>IF($A87="","",$B87+$M87+$N87)</f>
        <v/>
      </c>
    </row>
    <row r="88">
      <c r="A88" s="15">
        <f>IF('ANAHTAR'!$B88="","",'ANAHTAR'!$B88)</f>
        <v/>
      </c>
      <c r="B88" s="15">
        <f>IF($A88="","",COUNTIF(tblAnahtarB[NormB],$A88))</f>
        <v/>
      </c>
      <c r="C88" s="15">
        <f>IF($A88="","",IFERROR(SUMIF(tblMotor[A_Norm],$A88,tblMotor[SiparisToplam]),0))</f>
        <v/>
      </c>
      <c r="D88" s="15">
        <f>IF($A88="","",IFERROR(SUMIF(tblAnahtarA[Norm],$A88,tblVeriA[HedefMaliyet]),0))</f>
        <v/>
      </c>
      <c r="E88" s="15">
        <f>IF($A88="","",ROUND($D88,2)-ROUND($C88,2))</f>
        <v/>
      </c>
      <c r="F88" s="15">
        <f>IF($A88="","",ABS($E88))</f>
        <v/>
      </c>
      <c r="G88" s="15">
        <f>IF($A88="","",IF($B88=0,"eslesmedi",IF(ROUND($D88,2)=ROUND($C88,2),"eslesti",IF(ABS(ROUND($D88,2)-ROUND($C88,2))&lt;=toleransKurus,"tolerans_icinde","tutar_farki"))))</f>
        <v/>
      </c>
      <c r="H88" s="15">
        <f>IF($A88="","",IF($B88&gt;0,"BIRINCIL",IF(COUNTIF(tblAnahtarB[IkincilB],'ANAHTAR'!$D88)&gt;0,"IKINCIL","YOK")))</f>
        <v/>
      </c>
      <c r="I88" s="15">
        <f>IF($A88="","",'ANAHTAR'!$F88)</f>
        <v/>
      </c>
      <c r="J88" s="15">
        <f>IF(OR($A88="",$D88=0),0,$F88/ABS($D88))</f>
        <v/>
      </c>
      <c r="K88" s="15">
        <f>IF($A88="","",ROUND($D88,2))</f>
        <v/>
      </c>
      <c r="L88" s="15">
        <f>IF($A88="","",ROUND($C88,2))</f>
        <v/>
      </c>
      <c r="M88" s="15">
        <f>IF($A88="","",IF($F88&lt;=toleransKurus,1,0))</f>
        <v/>
      </c>
      <c r="N88" s="15">
        <f>IF($A88="","",IF($F88&gt;kdo_esikFark,1,0))</f>
        <v/>
      </c>
      <c r="O88" s="15">
        <f>IF($A88="","",IFERROR(SUMIF(tblMotor[A_Norm],$A88,tblMotor[SiparisToplam]),0))</f>
        <v/>
      </c>
      <c r="P88" s="15">
        <f>IF($A88="","",$B88+$M88+$N88)</f>
        <v/>
      </c>
    </row>
    <row r="89">
      <c r="A89" s="15">
        <f>IF('ANAHTAR'!$B89="","",'ANAHTAR'!$B89)</f>
        <v/>
      </c>
      <c r="B89" s="15">
        <f>IF($A89="","",COUNTIF(tblAnahtarB[NormB],$A89))</f>
        <v/>
      </c>
      <c r="C89" s="15">
        <f>IF($A89="","",IFERROR(SUMIF(tblMotor[A_Norm],$A89,tblMotor[SiparisToplam]),0))</f>
        <v/>
      </c>
      <c r="D89" s="15">
        <f>IF($A89="","",IFERROR(SUMIF(tblAnahtarA[Norm],$A89,tblVeriA[HedefMaliyet]),0))</f>
        <v/>
      </c>
      <c r="E89" s="15">
        <f>IF($A89="","",ROUND($D89,2)-ROUND($C89,2))</f>
        <v/>
      </c>
      <c r="F89" s="15">
        <f>IF($A89="","",ABS($E89))</f>
        <v/>
      </c>
      <c r="G89" s="15">
        <f>IF($A89="","",IF($B89=0,"eslesmedi",IF(ROUND($D89,2)=ROUND($C89,2),"eslesti",IF(ABS(ROUND($D89,2)-ROUND($C89,2))&lt;=toleransKurus,"tolerans_icinde","tutar_farki"))))</f>
        <v/>
      </c>
      <c r="H89" s="15">
        <f>IF($A89="","",IF($B89&gt;0,"BIRINCIL",IF(COUNTIF(tblAnahtarB[IkincilB],'ANAHTAR'!$D89)&gt;0,"IKINCIL","YOK")))</f>
        <v/>
      </c>
      <c r="I89" s="15">
        <f>IF($A89="","",'ANAHTAR'!$F89)</f>
        <v/>
      </c>
      <c r="J89" s="15">
        <f>IF(OR($A89="",$D89=0),0,$F89/ABS($D89))</f>
        <v/>
      </c>
      <c r="K89" s="15">
        <f>IF($A89="","",ROUND($D89,2))</f>
        <v/>
      </c>
      <c r="L89" s="15">
        <f>IF($A89="","",ROUND($C89,2))</f>
        <v/>
      </c>
      <c r="M89" s="15">
        <f>IF($A89="","",IF($F89&lt;=toleransKurus,1,0))</f>
        <v/>
      </c>
      <c r="N89" s="15">
        <f>IF($A89="","",IF($F89&gt;kdo_esikFark,1,0))</f>
        <v/>
      </c>
      <c r="O89" s="15">
        <f>IF($A89="","",IFERROR(SUMIF(tblMotor[A_Norm],$A89,tblMotor[SiparisToplam]),0))</f>
        <v/>
      </c>
      <c r="P89" s="15">
        <f>IF($A89="","",$B89+$M89+$N89)</f>
        <v/>
      </c>
    </row>
    <row r="90">
      <c r="A90" s="15">
        <f>IF('ANAHTAR'!$B90="","",'ANAHTAR'!$B90)</f>
        <v/>
      </c>
      <c r="B90" s="15">
        <f>IF($A90="","",COUNTIF(tblAnahtarB[NormB],$A90))</f>
        <v/>
      </c>
      <c r="C90" s="15">
        <f>IF($A90="","",IFERROR(SUMIF(tblMotor[A_Norm],$A90,tblMotor[SiparisToplam]),0))</f>
        <v/>
      </c>
      <c r="D90" s="15">
        <f>IF($A90="","",IFERROR(SUMIF(tblAnahtarA[Norm],$A90,tblVeriA[HedefMaliyet]),0))</f>
        <v/>
      </c>
      <c r="E90" s="15">
        <f>IF($A90="","",ROUND($D90,2)-ROUND($C90,2))</f>
        <v/>
      </c>
      <c r="F90" s="15">
        <f>IF($A90="","",ABS($E90))</f>
        <v/>
      </c>
      <c r="G90" s="15">
        <f>IF($A90="","",IF($B90=0,"eslesmedi",IF(ROUND($D90,2)=ROUND($C90,2),"eslesti",IF(ABS(ROUND($D90,2)-ROUND($C90,2))&lt;=toleransKurus,"tolerans_icinde","tutar_farki"))))</f>
        <v/>
      </c>
      <c r="H90" s="15">
        <f>IF($A90="","",IF($B90&gt;0,"BIRINCIL",IF(COUNTIF(tblAnahtarB[IkincilB],'ANAHTAR'!$D90)&gt;0,"IKINCIL","YOK")))</f>
        <v/>
      </c>
      <c r="I90" s="15">
        <f>IF($A90="","",'ANAHTAR'!$F90)</f>
        <v/>
      </c>
      <c r="J90" s="15">
        <f>IF(OR($A90="",$D90=0),0,$F90/ABS($D90))</f>
        <v/>
      </c>
      <c r="K90" s="15">
        <f>IF($A90="","",ROUND($D90,2))</f>
        <v/>
      </c>
      <c r="L90" s="15">
        <f>IF($A90="","",ROUND($C90,2))</f>
        <v/>
      </c>
      <c r="M90" s="15">
        <f>IF($A90="","",IF($F90&lt;=toleransKurus,1,0))</f>
        <v/>
      </c>
      <c r="N90" s="15">
        <f>IF($A90="","",IF($F90&gt;kdo_esikFark,1,0))</f>
        <v/>
      </c>
      <c r="O90" s="15">
        <f>IF($A90="","",IFERROR(SUMIF(tblMotor[A_Norm],$A90,tblMotor[SiparisToplam]),0))</f>
        <v/>
      </c>
      <c r="P90" s="15">
        <f>IF($A90="","",$B90+$M90+$N90)</f>
        <v/>
      </c>
    </row>
    <row r="91">
      <c r="A91" s="15">
        <f>IF('ANAHTAR'!$B91="","",'ANAHTAR'!$B91)</f>
        <v/>
      </c>
      <c r="B91" s="15">
        <f>IF($A91="","",COUNTIF(tblAnahtarB[NormB],$A91))</f>
        <v/>
      </c>
      <c r="C91" s="15">
        <f>IF($A91="","",IFERROR(SUMIF(tblMotor[A_Norm],$A91,tblMotor[SiparisToplam]),0))</f>
        <v/>
      </c>
      <c r="D91" s="15">
        <f>IF($A91="","",IFERROR(SUMIF(tblAnahtarA[Norm],$A91,tblVeriA[HedefMaliyet]),0))</f>
        <v/>
      </c>
      <c r="E91" s="15">
        <f>IF($A91="","",ROUND($D91,2)-ROUND($C91,2))</f>
        <v/>
      </c>
      <c r="F91" s="15">
        <f>IF($A91="","",ABS($E91))</f>
        <v/>
      </c>
      <c r="G91" s="15">
        <f>IF($A91="","",IF($B91=0,"eslesmedi",IF(ROUND($D91,2)=ROUND($C91,2),"eslesti",IF(ABS(ROUND($D91,2)-ROUND($C91,2))&lt;=toleransKurus,"tolerans_icinde","tutar_farki"))))</f>
        <v/>
      </c>
      <c r="H91" s="15">
        <f>IF($A91="","",IF($B91&gt;0,"BIRINCIL",IF(COUNTIF(tblAnahtarB[IkincilB],'ANAHTAR'!$D91)&gt;0,"IKINCIL","YOK")))</f>
        <v/>
      </c>
      <c r="I91" s="15">
        <f>IF($A91="","",'ANAHTAR'!$F91)</f>
        <v/>
      </c>
      <c r="J91" s="15">
        <f>IF(OR($A91="",$D91=0),0,$F91/ABS($D91))</f>
        <v/>
      </c>
      <c r="K91" s="15">
        <f>IF($A91="","",ROUND($D91,2))</f>
        <v/>
      </c>
      <c r="L91" s="15">
        <f>IF($A91="","",ROUND($C91,2))</f>
        <v/>
      </c>
      <c r="M91" s="15">
        <f>IF($A91="","",IF($F91&lt;=toleransKurus,1,0))</f>
        <v/>
      </c>
      <c r="N91" s="15">
        <f>IF($A91="","",IF($F91&gt;kdo_esikFark,1,0))</f>
        <v/>
      </c>
      <c r="O91" s="15">
        <f>IF($A91="","",IFERROR(SUMIF(tblMotor[A_Norm],$A91,tblMotor[SiparisToplam]),0))</f>
        <v/>
      </c>
      <c r="P91" s="15">
        <f>IF($A91="","",$B91+$M91+$N91)</f>
        <v/>
      </c>
    </row>
    <row r="92">
      <c r="A92" s="15">
        <f>IF('ANAHTAR'!$B92="","",'ANAHTAR'!$B92)</f>
        <v/>
      </c>
      <c r="B92" s="15">
        <f>IF($A92="","",COUNTIF(tblAnahtarB[NormB],$A92))</f>
        <v/>
      </c>
      <c r="C92" s="15">
        <f>IF($A92="","",IFERROR(SUMIF(tblMotor[A_Norm],$A92,tblMotor[SiparisToplam]),0))</f>
        <v/>
      </c>
      <c r="D92" s="15">
        <f>IF($A92="","",IFERROR(SUMIF(tblAnahtarA[Norm],$A92,tblVeriA[HedefMaliyet]),0))</f>
        <v/>
      </c>
      <c r="E92" s="15">
        <f>IF($A92="","",ROUND($D92,2)-ROUND($C92,2))</f>
        <v/>
      </c>
      <c r="F92" s="15">
        <f>IF($A92="","",ABS($E92))</f>
        <v/>
      </c>
      <c r="G92" s="15">
        <f>IF($A92="","",IF($B92=0,"eslesmedi",IF(ROUND($D92,2)=ROUND($C92,2),"eslesti",IF(ABS(ROUND($D92,2)-ROUND($C92,2))&lt;=toleransKurus,"tolerans_icinde","tutar_farki"))))</f>
        <v/>
      </c>
      <c r="H92" s="15">
        <f>IF($A92="","",IF($B92&gt;0,"BIRINCIL",IF(COUNTIF(tblAnahtarB[IkincilB],'ANAHTAR'!$D92)&gt;0,"IKINCIL","YOK")))</f>
        <v/>
      </c>
      <c r="I92" s="15">
        <f>IF($A92="","",'ANAHTAR'!$F92)</f>
        <v/>
      </c>
      <c r="J92" s="15">
        <f>IF(OR($A92="",$D92=0),0,$F92/ABS($D92))</f>
        <v/>
      </c>
      <c r="K92" s="15">
        <f>IF($A92="","",ROUND($D92,2))</f>
        <v/>
      </c>
      <c r="L92" s="15">
        <f>IF($A92="","",ROUND($C92,2))</f>
        <v/>
      </c>
      <c r="M92" s="15">
        <f>IF($A92="","",IF($F92&lt;=toleransKurus,1,0))</f>
        <v/>
      </c>
      <c r="N92" s="15">
        <f>IF($A92="","",IF($F92&gt;kdo_esikFark,1,0))</f>
        <v/>
      </c>
      <c r="O92" s="15">
        <f>IF($A92="","",IFERROR(SUMIF(tblMotor[A_Norm],$A92,tblMotor[SiparisToplam]),0))</f>
        <v/>
      </c>
      <c r="P92" s="15">
        <f>IF($A92="","",$B92+$M92+$N92)</f>
        <v/>
      </c>
    </row>
    <row r="93">
      <c r="A93" s="15">
        <f>IF('ANAHTAR'!$B93="","",'ANAHTAR'!$B93)</f>
        <v/>
      </c>
      <c r="B93" s="15">
        <f>IF($A93="","",COUNTIF(tblAnahtarB[NormB],$A93))</f>
        <v/>
      </c>
      <c r="C93" s="15">
        <f>IF($A93="","",IFERROR(SUMIF(tblMotor[A_Norm],$A93,tblMotor[SiparisToplam]),0))</f>
        <v/>
      </c>
      <c r="D93" s="15">
        <f>IF($A93="","",IFERROR(SUMIF(tblAnahtarA[Norm],$A93,tblVeriA[HedefMaliyet]),0))</f>
        <v/>
      </c>
      <c r="E93" s="15">
        <f>IF($A93="","",ROUND($D93,2)-ROUND($C93,2))</f>
        <v/>
      </c>
      <c r="F93" s="15">
        <f>IF($A93="","",ABS($E93))</f>
        <v/>
      </c>
      <c r="G93" s="15">
        <f>IF($A93="","",IF($B93=0,"eslesmedi",IF(ROUND($D93,2)=ROUND($C93,2),"eslesti",IF(ABS(ROUND($D93,2)-ROUND($C93,2))&lt;=toleransKurus,"tolerans_icinde","tutar_farki"))))</f>
        <v/>
      </c>
      <c r="H93" s="15">
        <f>IF($A93="","",IF($B93&gt;0,"BIRINCIL",IF(COUNTIF(tblAnahtarB[IkincilB],'ANAHTAR'!$D93)&gt;0,"IKINCIL","YOK")))</f>
        <v/>
      </c>
      <c r="I93" s="15">
        <f>IF($A93="","",'ANAHTAR'!$F93)</f>
        <v/>
      </c>
      <c r="J93" s="15">
        <f>IF(OR($A93="",$D93=0),0,$F93/ABS($D93))</f>
        <v/>
      </c>
      <c r="K93" s="15">
        <f>IF($A93="","",ROUND($D93,2))</f>
        <v/>
      </c>
      <c r="L93" s="15">
        <f>IF($A93="","",ROUND($C93,2))</f>
        <v/>
      </c>
      <c r="M93" s="15">
        <f>IF($A93="","",IF($F93&lt;=toleransKurus,1,0))</f>
        <v/>
      </c>
      <c r="N93" s="15">
        <f>IF($A93="","",IF($F93&gt;kdo_esikFark,1,0))</f>
        <v/>
      </c>
      <c r="O93" s="15">
        <f>IF($A93="","",IFERROR(SUMIF(tblMotor[A_Norm],$A93,tblMotor[SiparisToplam]),0))</f>
        <v/>
      </c>
      <c r="P93" s="15">
        <f>IF($A93="","",$B93+$M93+$N93)</f>
        <v/>
      </c>
    </row>
    <row r="94">
      <c r="A94" s="15">
        <f>IF('ANAHTAR'!$B94="","",'ANAHTAR'!$B94)</f>
        <v/>
      </c>
      <c r="B94" s="15">
        <f>IF($A94="","",COUNTIF(tblAnahtarB[NormB],$A94))</f>
        <v/>
      </c>
      <c r="C94" s="15">
        <f>IF($A94="","",IFERROR(SUMIF(tblMotor[A_Norm],$A94,tblMotor[SiparisToplam]),0))</f>
        <v/>
      </c>
      <c r="D94" s="15">
        <f>IF($A94="","",IFERROR(SUMIF(tblAnahtarA[Norm],$A94,tblVeriA[HedefMaliyet]),0))</f>
        <v/>
      </c>
      <c r="E94" s="15">
        <f>IF($A94="","",ROUND($D94,2)-ROUND($C94,2))</f>
        <v/>
      </c>
      <c r="F94" s="15">
        <f>IF($A94="","",ABS($E94))</f>
        <v/>
      </c>
      <c r="G94" s="15">
        <f>IF($A94="","",IF($B94=0,"eslesmedi",IF(ROUND($D94,2)=ROUND($C94,2),"eslesti",IF(ABS(ROUND($D94,2)-ROUND($C94,2))&lt;=toleransKurus,"tolerans_icinde","tutar_farki"))))</f>
        <v/>
      </c>
      <c r="H94" s="15">
        <f>IF($A94="","",IF($B94&gt;0,"BIRINCIL",IF(COUNTIF(tblAnahtarB[IkincilB],'ANAHTAR'!$D94)&gt;0,"IKINCIL","YOK")))</f>
        <v/>
      </c>
      <c r="I94" s="15">
        <f>IF($A94="","",'ANAHTAR'!$F94)</f>
        <v/>
      </c>
      <c r="J94" s="15">
        <f>IF(OR($A94="",$D94=0),0,$F94/ABS($D94))</f>
        <v/>
      </c>
      <c r="K94" s="15">
        <f>IF($A94="","",ROUND($D94,2))</f>
        <v/>
      </c>
      <c r="L94" s="15">
        <f>IF($A94="","",ROUND($C94,2))</f>
        <v/>
      </c>
      <c r="M94" s="15">
        <f>IF($A94="","",IF($F94&lt;=toleransKurus,1,0))</f>
        <v/>
      </c>
      <c r="N94" s="15">
        <f>IF($A94="","",IF($F94&gt;kdo_esikFark,1,0))</f>
        <v/>
      </c>
      <c r="O94" s="15">
        <f>IF($A94="","",IFERROR(SUMIF(tblMotor[A_Norm],$A94,tblMotor[SiparisToplam]),0))</f>
        <v/>
      </c>
      <c r="P94" s="15">
        <f>IF($A94="","",$B94+$M94+$N94)</f>
        <v/>
      </c>
    </row>
    <row r="95">
      <c r="A95" s="15">
        <f>IF('ANAHTAR'!$B95="","",'ANAHTAR'!$B95)</f>
        <v/>
      </c>
      <c r="B95" s="15">
        <f>IF($A95="","",COUNTIF(tblAnahtarB[NormB],$A95))</f>
        <v/>
      </c>
      <c r="C95" s="15">
        <f>IF($A95="","",IFERROR(SUMIF(tblMotor[A_Norm],$A95,tblMotor[SiparisToplam]),0))</f>
        <v/>
      </c>
      <c r="D95" s="15">
        <f>IF($A95="","",IFERROR(SUMIF(tblAnahtarA[Norm],$A95,tblVeriA[HedefMaliyet]),0))</f>
        <v/>
      </c>
      <c r="E95" s="15">
        <f>IF($A95="","",ROUND($D95,2)-ROUND($C95,2))</f>
        <v/>
      </c>
      <c r="F95" s="15">
        <f>IF($A95="","",ABS($E95))</f>
        <v/>
      </c>
      <c r="G95" s="15">
        <f>IF($A95="","",IF($B95=0,"eslesmedi",IF(ROUND($D95,2)=ROUND($C95,2),"eslesti",IF(ABS(ROUND($D95,2)-ROUND($C95,2))&lt;=toleransKurus,"tolerans_icinde","tutar_farki"))))</f>
        <v/>
      </c>
      <c r="H95" s="15">
        <f>IF($A95="","",IF($B95&gt;0,"BIRINCIL",IF(COUNTIF(tblAnahtarB[IkincilB],'ANAHTAR'!$D95)&gt;0,"IKINCIL","YOK")))</f>
        <v/>
      </c>
      <c r="I95" s="15">
        <f>IF($A95="","",'ANAHTAR'!$F95)</f>
        <v/>
      </c>
      <c r="J95" s="15">
        <f>IF(OR($A95="",$D95=0),0,$F95/ABS($D95))</f>
        <v/>
      </c>
      <c r="K95" s="15">
        <f>IF($A95="","",ROUND($D95,2))</f>
        <v/>
      </c>
      <c r="L95" s="15">
        <f>IF($A95="","",ROUND($C95,2))</f>
        <v/>
      </c>
      <c r="M95" s="15">
        <f>IF($A95="","",IF($F95&lt;=toleransKurus,1,0))</f>
        <v/>
      </c>
      <c r="N95" s="15">
        <f>IF($A95="","",IF($F95&gt;kdo_esikFark,1,0))</f>
        <v/>
      </c>
      <c r="O95" s="15">
        <f>IF($A95="","",IFERROR(SUMIF(tblMotor[A_Norm],$A95,tblMotor[SiparisToplam]),0))</f>
        <v/>
      </c>
      <c r="P95" s="15">
        <f>IF($A95="","",$B95+$M95+$N95)</f>
        <v/>
      </c>
    </row>
    <row r="96">
      <c r="A96" s="15">
        <f>IF('ANAHTAR'!$B96="","",'ANAHTAR'!$B96)</f>
        <v/>
      </c>
      <c r="B96" s="15">
        <f>IF($A96="","",COUNTIF(tblAnahtarB[NormB],$A96))</f>
        <v/>
      </c>
      <c r="C96" s="15">
        <f>IF($A96="","",IFERROR(SUMIF(tblMotor[A_Norm],$A96,tblMotor[SiparisToplam]),0))</f>
        <v/>
      </c>
      <c r="D96" s="15">
        <f>IF($A96="","",IFERROR(SUMIF(tblAnahtarA[Norm],$A96,tblVeriA[HedefMaliyet]),0))</f>
        <v/>
      </c>
      <c r="E96" s="15">
        <f>IF($A96="","",ROUND($D96,2)-ROUND($C96,2))</f>
        <v/>
      </c>
      <c r="F96" s="15">
        <f>IF($A96="","",ABS($E96))</f>
        <v/>
      </c>
      <c r="G96" s="15">
        <f>IF($A96="","",IF($B96=0,"eslesmedi",IF(ROUND($D96,2)=ROUND($C96,2),"eslesti",IF(ABS(ROUND($D96,2)-ROUND($C96,2))&lt;=toleransKurus,"tolerans_icinde","tutar_farki"))))</f>
        <v/>
      </c>
      <c r="H96" s="15">
        <f>IF($A96="","",IF($B96&gt;0,"BIRINCIL",IF(COUNTIF(tblAnahtarB[IkincilB],'ANAHTAR'!$D96)&gt;0,"IKINCIL","YOK")))</f>
        <v/>
      </c>
      <c r="I96" s="15">
        <f>IF($A96="","",'ANAHTAR'!$F96)</f>
        <v/>
      </c>
      <c r="J96" s="15">
        <f>IF(OR($A96="",$D96=0),0,$F96/ABS($D96))</f>
        <v/>
      </c>
      <c r="K96" s="15">
        <f>IF($A96="","",ROUND($D96,2))</f>
        <v/>
      </c>
      <c r="L96" s="15">
        <f>IF($A96="","",ROUND($C96,2))</f>
        <v/>
      </c>
      <c r="M96" s="15">
        <f>IF($A96="","",IF($F96&lt;=toleransKurus,1,0))</f>
        <v/>
      </c>
      <c r="N96" s="15">
        <f>IF($A96="","",IF($F96&gt;kdo_esikFark,1,0))</f>
        <v/>
      </c>
      <c r="O96" s="15">
        <f>IF($A96="","",IFERROR(SUMIF(tblMotor[A_Norm],$A96,tblMotor[SiparisToplam]),0))</f>
        <v/>
      </c>
      <c r="P96" s="15">
        <f>IF($A96="","",$B96+$M96+$N96)</f>
        <v/>
      </c>
    </row>
    <row r="97">
      <c r="A97" s="15">
        <f>IF('ANAHTAR'!$B97="","",'ANAHTAR'!$B97)</f>
        <v/>
      </c>
      <c r="B97" s="15">
        <f>IF($A97="","",COUNTIF(tblAnahtarB[NormB],$A97))</f>
        <v/>
      </c>
      <c r="C97" s="15">
        <f>IF($A97="","",IFERROR(SUMIF(tblMotor[A_Norm],$A97,tblMotor[SiparisToplam]),0))</f>
        <v/>
      </c>
      <c r="D97" s="15">
        <f>IF($A97="","",IFERROR(SUMIF(tblAnahtarA[Norm],$A97,tblVeriA[HedefMaliyet]),0))</f>
        <v/>
      </c>
      <c r="E97" s="15">
        <f>IF($A97="","",ROUND($D97,2)-ROUND($C97,2))</f>
        <v/>
      </c>
      <c r="F97" s="15">
        <f>IF($A97="","",ABS($E97))</f>
        <v/>
      </c>
      <c r="G97" s="15">
        <f>IF($A97="","",IF($B97=0,"eslesmedi",IF(ROUND($D97,2)=ROUND($C97,2),"eslesti",IF(ABS(ROUND($D97,2)-ROUND($C97,2))&lt;=toleransKurus,"tolerans_icinde","tutar_farki"))))</f>
        <v/>
      </c>
      <c r="H97" s="15">
        <f>IF($A97="","",IF($B97&gt;0,"BIRINCIL",IF(COUNTIF(tblAnahtarB[IkincilB],'ANAHTAR'!$D97)&gt;0,"IKINCIL","YOK")))</f>
        <v/>
      </c>
      <c r="I97" s="15">
        <f>IF($A97="","",'ANAHTAR'!$F97)</f>
        <v/>
      </c>
      <c r="J97" s="15">
        <f>IF(OR($A97="",$D97=0),0,$F97/ABS($D97))</f>
        <v/>
      </c>
      <c r="K97" s="15">
        <f>IF($A97="","",ROUND($D97,2))</f>
        <v/>
      </c>
      <c r="L97" s="15">
        <f>IF($A97="","",ROUND($C97,2))</f>
        <v/>
      </c>
      <c r="M97" s="15">
        <f>IF($A97="","",IF($F97&lt;=toleransKurus,1,0))</f>
        <v/>
      </c>
      <c r="N97" s="15">
        <f>IF($A97="","",IF($F97&gt;kdo_esikFark,1,0))</f>
        <v/>
      </c>
      <c r="O97" s="15">
        <f>IF($A97="","",IFERROR(SUMIF(tblMotor[A_Norm],$A97,tblMotor[SiparisToplam]),0))</f>
        <v/>
      </c>
      <c r="P97" s="15">
        <f>IF($A97="","",$B97+$M97+$N97)</f>
        <v/>
      </c>
    </row>
    <row r="98">
      <c r="A98" s="15">
        <f>IF('ANAHTAR'!$B98="","",'ANAHTAR'!$B98)</f>
        <v/>
      </c>
      <c r="B98" s="15">
        <f>IF($A98="","",COUNTIF(tblAnahtarB[NormB],$A98))</f>
        <v/>
      </c>
      <c r="C98" s="15">
        <f>IF($A98="","",IFERROR(SUMIF(tblMotor[A_Norm],$A98,tblMotor[SiparisToplam]),0))</f>
        <v/>
      </c>
      <c r="D98" s="15">
        <f>IF($A98="","",IFERROR(SUMIF(tblAnahtarA[Norm],$A98,tblVeriA[HedefMaliyet]),0))</f>
        <v/>
      </c>
      <c r="E98" s="15">
        <f>IF($A98="","",ROUND($D98,2)-ROUND($C98,2))</f>
        <v/>
      </c>
      <c r="F98" s="15">
        <f>IF($A98="","",ABS($E98))</f>
        <v/>
      </c>
      <c r="G98" s="15">
        <f>IF($A98="","",IF($B98=0,"eslesmedi",IF(ROUND($D98,2)=ROUND($C98,2),"eslesti",IF(ABS(ROUND($D98,2)-ROUND($C98,2))&lt;=toleransKurus,"tolerans_icinde","tutar_farki"))))</f>
        <v/>
      </c>
      <c r="H98" s="15">
        <f>IF($A98="","",IF($B98&gt;0,"BIRINCIL",IF(COUNTIF(tblAnahtarB[IkincilB],'ANAHTAR'!$D98)&gt;0,"IKINCIL","YOK")))</f>
        <v/>
      </c>
      <c r="I98" s="15">
        <f>IF($A98="","",'ANAHTAR'!$F98)</f>
        <v/>
      </c>
      <c r="J98" s="15">
        <f>IF(OR($A98="",$D98=0),0,$F98/ABS($D98))</f>
        <v/>
      </c>
      <c r="K98" s="15">
        <f>IF($A98="","",ROUND($D98,2))</f>
        <v/>
      </c>
      <c r="L98" s="15">
        <f>IF($A98="","",ROUND($C98,2))</f>
        <v/>
      </c>
      <c r="M98" s="15">
        <f>IF($A98="","",IF($F98&lt;=toleransKurus,1,0))</f>
        <v/>
      </c>
      <c r="N98" s="15">
        <f>IF($A98="","",IF($F98&gt;kdo_esikFark,1,0))</f>
        <v/>
      </c>
      <c r="O98" s="15">
        <f>IF($A98="","",IFERROR(SUMIF(tblMotor[A_Norm],$A98,tblMotor[SiparisToplam]),0))</f>
        <v/>
      </c>
      <c r="P98" s="15">
        <f>IF($A98="","",$B98+$M98+$N98)</f>
        <v/>
      </c>
    </row>
    <row r="99">
      <c r="A99" s="15">
        <f>IF('ANAHTAR'!$B99="","",'ANAHTAR'!$B99)</f>
        <v/>
      </c>
      <c r="B99" s="15">
        <f>IF($A99="","",COUNTIF(tblAnahtarB[NormB],$A99))</f>
        <v/>
      </c>
      <c r="C99" s="15">
        <f>IF($A99="","",IFERROR(SUMIF(tblMotor[A_Norm],$A99,tblMotor[SiparisToplam]),0))</f>
        <v/>
      </c>
      <c r="D99" s="15">
        <f>IF($A99="","",IFERROR(SUMIF(tblAnahtarA[Norm],$A99,tblVeriA[HedefMaliyet]),0))</f>
        <v/>
      </c>
      <c r="E99" s="15">
        <f>IF($A99="","",ROUND($D99,2)-ROUND($C99,2))</f>
        <v/>
      </c>
      <c r="F99" s="15">
        <f>IF($A99="","",ABS($E99))</f>
        <v/>
      </c>
      <c r="G99" s="15">
        <f>IF($A99="","",IF($B99=0,"eslesmedi",IF(ROUND($D99,2)=ROUND($C99,2),"eslesti",IF(ABS(ROUND($D99,2)-ROUND($C99,2))&lt;=toleransKurus,"tolerans_icinde","tutar_farki"))))</f>
        <v/>
      </c>
      <c r="H99" s="15">
        <f>IF($A99="","",IF($B99&gt;0,"BIRINCIL",IF(COUNTIF(tblAnahtarB[IkincilB],'ANAHTAR'!$D99)&gt;0,"IKINCIL","YOK")))</f>
        <v/>
      </c>
      <c r="I99" s="15">
        <f>IF($A99="","",'ANAHTAR'!$F99)</f>
        <v/>
      </c>
      <c r="J99" s="15">
        <f>IF(OR($A99="",$D99=0),0,$F99/ABS($D99))</f>
        <v/>
      </c>
      <c r="K99" s="15">
        <f>IF($A99="","",ROUND($D99,2))</f>
        <v/>
      </c>
      <c r="L99" s="15">
        <f>IF($A99="","",ROUND($C99,2))</f>
        <v/>
      </c>
      <c r="M99" s="15">
        <f>IF($A99="","",IF($F99&lt;=toleransKurus,1,0))</f>
        <v/>
      </c>
      <c r="N99" s="15">
        <f>IF($A99="","",IF($F99&gt;kdo_esikFark,1,0))</f>
        <v/>
      </c>
      <c r="O99" s="15">
        <f>IF($A99="","",IFERROR(SUMIF(tblMotor[A_Norm],$A99,tblMotor[SiparisToplam]),0))</f>
        <v/>
      </c>
      <c r="P99" s="15">
        <f>IF($A99="","",$B99+$M99+$N99)</f>
        <v/>
      </c>
    </row>
    <row r="100">
      <c r="A100" s="15">
        <f>IF('ANAHTAR'!$B100="","",'ANAHTAR'!$B100)</f>
        <v/>
      </c>
      <c r="B100" s="15">
        <f>IF($A100="","",COUNTIF(tblAnahtarB[NormB],$A100))</f>
        <v/>
      </c>
      <c r="C100" s="15">
        <f>IF($A100="","",IFERROR(SUMIF(tblMotor[A_Norm],$A100,tblMotor[SiparisToplam]),0))</f>
        <v/>
      </c>
      <c r="D100" s="15">
        <f>IF($A100="","",IFERROR(SUMIF(tblAnahtarA[Norm],$A100,tblVeriA[HedefMaliyet]),0))</f>
        <v/>
      </c>
      <c r="E100" s="15">
        <f>IF($A100="","",ROUND($D100,2)-ROUND($C100,2))</f>
        <v/>
      </c>
      <c r="F100" s="15">
        <f>IF($A100="","",ABS($E100))</f>
        <v/>
      </c>
      <c r="G100" s="15">
        <f>IF($A100="","",IF($B100=0,"eslesmedi",IF(ROUND($D100,2)=ROUND($C100,2),"eslesti",IF(ABS(ROUND($D100,2)-ROUND($C100,2))&lt;=toleransKurus,"tolerans_icinde","tutar_farki"))))</f>
        <v/>
      </c>
      <c r="H100" s="15">
        <f>IF($A100="","",IF($B100&gt;0,"BIRINCIL",IF(COUNTIF(tblAnahtarB[IkincilB],'ANAHTAR'!$D100)&gt;0,"IKINCIL","YOK")))</f>
        <v/>
      </c>
      <c r="I100" s="15">
        <f>IF($A100="","",'ANAHTAR'!$F100)</f>
        <v/>
      </c>
      <c r="J100" s="15">
        <f>IF(OR($A100="",$D100=0),0,$F100/ABS($D100))</f>
        <v/>
      </c>
      <c r="K100" s="15">
        <f>IF($A100="","",ROUND($D100,2))</f>
        <v/>
      </c>
      <c r="L100" s="15">
        <f>IF($A100="","",ROUND($C100,2))</f>
        <v/>
      </c>
      <c r="M100" s="15">
        <f>IF($A100="","",IF($F100&lt;=toleransKurus,1,0))</f>
        <v/>
      </c>
      <c r="N100" s="15">
        <f>IF($A100="","",IF($F100&gt;kdo_esikFark,1,0))</f>
        <v/>
      </c>
      <c r="O100" s="15">
        <f>IF($A100="","",IFERROR(SUMIF(tblMotor[A_Norm],$A100,tblMotor[SiparisToplam]),0))</f>
        <v/>
      </c>
      <c r="P100" s="15">
        <f>IF($A100="","",$B100+$M100+$N100)</f>
        <v/>
      </c>
    </row>
    <row r="101">
      <c r="A101" s="15">
        <f>IF('ANAHTAR'!$B101="","",'ANAHTAR'!$B101)</f>
        <v/>
      </c>
      <c r="B101" s="15">
        <f>IF($A101="","",COUNTIF(tblAnahtarB[NormB],$A101))</f>
        <v/>
      </c>
      <c r="C101" s="15">
        <f>IF($A101="","",IFERROR(SUMIF(tblMotor[A_Norm],$A101,tblMotor[SiparisToplam]),0))</f>
        <v/>
      </c>
      <c r="D101" s="15">
        <f>IF($A101="","",IFERROR(SUMIF(tblAnahtarA[Norm],$A101,tblVeriA[HedefMaliyet]),0))</f>
        <v/>
      </c>
      <c r="E101" s="15">
        <f>IF($A101="","",ROUND($D101,2)-ROUND($C101,2))</f>
        <v/>
      </c>
      <c r="F101" s="15">
        <f>IF($A101="","",ABS($E101))</f>
        <v/>
      </c>
      <c r="G101" s="15">
        <f>IF($A101="","",IF($B101=0,"eslesmedi",IF(ROUND($D101,2)=ROUND($C101,2),"eslesti",IF(ABS(ROUND($D101,2)-ROUND($C101,2))&lt;=toleransKurus,"tolerans_icinde","tutar_farki"))))</f>
        <v/>
      </c>
      <c r="H101" s="15">
        <f>IF($A101="","",IF($B101&gt;0,"BIRINCIL",IF(COUNTIF(tblAnahtarB[IkincilB],'ANAHTAR'!$D101)&gt;0,"IKINCIL","YOK")))</f>
        <v/>
      </c>
      <c r="I101" s="15">
        <f>IF($A101="","",'ANAHTAR'!$F101)</f>
        <v/>
      </c>
      <c r="J101" s="15">
        <f>IF(OR($A101="",$D101=0),0,$F101/ABS($D101))</f>
        <v/>
      </c>
      <c r="K101" s="15">
        <f>IF($A101="","",ROUND($D101,2))</f>
        <v/>
      </c>
      <c r="L101" s="15">
        <f>IF($A101="","",ROUND($C101,2))</f>
        <v/>
      </c>
      <c r="M101" s="15">
        <f>IF($A101="","",IF($F101&lt;=toleransKurus,1,0))</f>
        <v/>
      </c>
      <c r="N101" s="15">
        <f>IF($A101="","",IF($F101&gt;kdo_esikFark,1,0))</f>
        <v/>
      </c>
      <c r="O101" s="15">
        <f>IF($A101="","",IFERROR(SUMIF(tblMotor[A_Norm],$A101,tblMotor[SiparisToplam]),0))</f>
        <v/>
      </c>
      <c r="P101" s="15">
        <f>IF($A101="","",$B101+$M101+$N101)</f>
        <v/>
      </c>
    </row>
    <row r="102">
      <c r="A102" s="15">
        <f>IF('ANAHTAR'!$B102="","",'ANAHTAR'!$B102)</f>
        <v/>
      </c>
      <c r="B102" s="15">
        <f>IF($A102="","",COUNTIF(tblAnahtarB[NormB],$A102))</f>
        <v/>
      </c>
      <c r="C102" s="15">
        <f>IF($A102="","",IFERROR(SUMIF(tblMotor[A_Norm],$A102,tblMotor[SiparisToplam]),0))</f>
        <v/>
      </c>
      <c r="D102" s="15">
        <f>IF($A102="","",IFERROR(SUMIF(tblAnahtarA[Norm],$A102,tblVeriA[HedefMaliyet]),0))</f>
        <v/>
      </c>
      <c r="E102" s="15">
        <f>IF($A102="","",ROUND($D102,2)-ROUND($C102,2))</f>
        <v/>
      </c>
      <c r="F102" s="15">
        <f>IF($A102="","",ABS($E102))</f>
        <v/>
      </c>
      <c r="G102" s="15">
        <f>IF($A102="","",IF($B102=0,"eslesmedi",IF(ROUND($D102,2)=ROUND($C102,2),"eslesti",IF(ABS(ROUND($D102,2)-ROUND($C102,2))&lt;=toleransKurus,"tolerans_icinde","tutar_farki"))))</f>
        <v/>
      </c>
      <c r="H102" s="15">
        <f>IF($A102="","",IF($B102&gt;0,"BIRINCIL",IF(COUNTIF(tblAnahtarB[IkincilB],'ANAHTAR'!$D102)&gt;0,"IKINCIL","YOK")))</f>
        <v/>
      </c>
      <c r="I102" s="15">
        <f>IF($A102="","",'ANAHTAR'!$F102)</f>
        <v/>
      </c>
      <c r="J102" s="15">
        <f>IF(OR($A102="",$D102=0),0,$F102/ABS($D102))</f>
        <v/>
      </c>
      <c r="K102" s="15">
        <f>IF($A102="","",ROUND($D102,2))</f>
        <v/>
      </c>
      <c r="L102" s="15">
        <f>IF($A102="","",ROUND($C102,2))</f>
        <v/>
      </c>
      <c r="M102" s="15">
        <f>IF($A102="","",IF($F102&lt;=toleransKurus,1,0))</f>
        <v/>
      </c>
      <c r="N102" s="15">
        <f>IF($A102="","",IF($F102&gt;kdo_esikFark,1,0))</f>
        <v/>
      </c>
      <c r="O102" s="15">
        <f>IF($A102="","",IFERROR(SUMIF(tblMotor[A_Norm],$A102,tblMotor[SiparisToplam]),0))</f>
        <v/>
      </c>
      <c r="P102" s="15">
        <f>IF($A102="","",$B102+$M102+$N102)</f>
        <v/>
      </c>
    </row>
    <row r="103">
      <c r="A103" s="15">
        <f>IF('ANAHTAR'!$B103="","",'ANAHTAR'!$B103)</f>
        <v/>
      </c>
      <c r="B103" s="15">
        <f>IF($A103="","",COUNTIF(tblAnahtarB[NormB],$A103))</f>
        <v/>
      </c>
      <c r="C103" s="15">
        <f>IF($A103="","",IFERROR(SUMIF(tblMotor[A_Norm],$A103,tblMotor[SiparisToplam]),0))</f>
        <v/>
      </c>
      <c r="D103" s="15">
        <f>IF($A103="","",IFERROR(SUMIF(tblAnahtarA[Norm],$A103,tblVeriA[HedefMaliyet]),0))</f>
        <v/>
      </c>
      <c r="E103" s="15">
        <f>IF($A103="","",ROUND($D103,2)-ROUND($C103,2))</f>
        <v/>
      </c>
      <c r="F103" s="15">
        <f>IF($A103="","",ABS($E103))</f>
        <v/>
      </c>
      <c r="G103" s="15">
        <f>IF($A103="","",IF($B103=0,"eslesmedi",IF(ROUND($D103,2)=ROUND($C103,2),"eslesti",IF(ABS(ROUND($D103,2)-ROUND($C103,2))&lt;=toleransKurus,"tolerans_icinde","tutar_farki"))))</f>
        <v/>
      </c>
      <c r="H103" s="15">
        <f>IF($A103="","",IF($B103&gt;0,"BIRINCIL",IF(COUNTIF(tblAnahtarB[IkincilB],'ANAHTAR'!$D103)&gt;0,"IKINCIL","YOK")))</f>
        <v/>
      </c>
      <c r="I103" s="15">
        <f>IF($A103="","",'ANAHTAR'!$F103)</f>
        <v/>
      </c>
      <c r="J103" s="15">
        <f>IF(OR($A103="",$D103=0),0,$F103/ABS($D103))</f>
        <v/>
      </c>
      <c r="K103" s="15">
        <f>IF($A103="","",ROUND($D103,2))</f>
        <v/>
      </c>
      <c r="L103" s="15">
        <f>IF($A103="","",ROUND($C103,2))</f>
        <v/>
      </c>
      <c r="M103" s="15">
        <f>IF($A103="","",IF($F103&lt;=toleransKurus,1,0))</f>
        <v/>
      </c>
      <c r="N103" s="15">
        <f>IF($A103="","",IF($F103&gt;kdo_esikFark,1,0))</f>
        <v/>
      </c>
      <c r="O103" s="15">
        <f>IF($A103="","",IFERROR(SUMIF(tblMotor[A_Norm],$A103,tblMotor[SiparisToplam]),0))</f>
        <v/>
      </c>
      <c r="P103" s="15">
        <f>IF($A103="","",$B103+$M103+$N103)</f>
        <v/>
      </c>
    </row>
    <row r="104">
      <c r="A104" s="15">
        <f>IF('ANAHTAR'!$B104="","",'ANAHTAR'!$B104)</f>
        <v/>
      </c>
      <c r="B104" s="15">
        <f>IF($A104="","",COUNTIF(tblAnahtarB[NormB],$A104))</f>
        <v/>
      </c>
      <c r="C104" s="15">
        <f>IF($A104="","",IFERROR(SUMIF(tblMotor[A_Norm],$A104,tblMotor[SiparisToplam]),0))</f>
        <v/>
      </c>
      <c r="D104" s="15">
        <f>IF($A104="","",IFERROR(SUMIF(tblAnahtarA[Norm],$A104,tblVeriA[HedefMaliyet]),0))</f>
        <v/>
      </c>
      <c r="E104" s="15">
        <f>IF($A104="","",ROUND($D104,2)-ROUND($C104,2))</f>
        <v/>
      </c>
      <c r="F104" s="15">
        <f>IF($A104="","",ABS($E104))</f>
        <v/>
      </c>
      <c r="G104" s="15">
        <f>IF($A104="","",IF($B104=0,"eslesmedi",IF(ROUND($D104,2)=ROUND($C104,2),"eslesti",IF(ABS(ROUND($D104,2)-ROUND($C104,2))&lt;=toleransKurus,"tolerans_icinde","tutar_farki"))))</f>
        <v/>
      </c>
      <c r="H104" s="15">
        <f>IF($A104="","",IF($B104&gt;0,"BIRINCIL",IF(COUNTIF(tblAnahtarB[IkincilB],'ANAHTAR'!$D104)&gt;0,"IKINCIL","YOK")))</f>
        <v/>
      </c>
      <c r="I104" s="15">
        <f>IF($A104="","",'ANAHTAR'!$F104)</f>
        <v/>
      </c>
      <c r="J104" s="15">
        <f>IF(OR($A104="",$D104=0),0,$F104/ABS($D104))</f>
        <v/>
      </c>
      <c r="K104" s="15">
        <f>IF($A104="","",ROUND($D104,2))</f>
        <v/>
      </c>
      <c r="L104" s="15">
        <f>IF($A104="","",ROUND($C104,2))</f>
        <v/>
      </c>
      <c r="M104" s="15">
        <f>IF($A104="","",IF($F104&lt;=toleransKurus,1,0))</f>
        <v/>
      </c>
      <c r="N104" s="15">
        <f>IF($A104="","",IF($F104&gt;kdo_esikFark,1,0))</f>
        <v/>
      </c>
      <c r="O104" s="15">
        <f>IF($A104="","",IFERROR(SUMIF(tblMotor[A_Norm],$A104,tblMotor[SiparisToplam]),0))</f>
        <v/>
      </c>
      <c r="P104" s="15">
        <f>IF($A104="","",$B104+$M104+$N104)</f>
        <v/>
      </c>
    </row>
    <row r="105">
      <c r="A105" s="15">
        <f>IF('ANAHTAR'!$B105="","",'ANAHTAR'!$B105)</f>
        <v/>
      </c>
      <c r="B105" s="15">
        <f>IF($A105="","",COUNTIF(tblAnahtarB[NormB],$A105))</f>
        <v/>
      </c>
      <c r="C105" s="15">
        <f>IF($A105="","",IFERROR(SUMIF(tblMotor[A_Norm],$A105,tblMotor[SiparisToplam]),0))</f>
        <v/>
      </c>
      <c r="D105" s="15">
        <f>IF($A105="","",IFERROR(SUMIF(tblAnahtarA[Norm],$A105,tblVeriA[HedefMaliyet]),0))</f>
        <v/>
      </c>
      <c r="E105" s="15">
        <f>IF($A105="","",ROUND($D105,2)-ROUND($C105,2))</f>
        <v/>
      </c>
      <c r="F105" s="15">
        <f>IF($A105="","",ABS($E105))</f>
        <v/>
      </c>
      <c r="G105" s="15">
        <f>IF($A105="","",IF($B105=0,"eslesmedi",IF(ROUND($D105,2)=ROUND($C105,2),"eslesti",IF(ABS(ROUND($D105,2)-ROUND($C105,2))&lt;=toleransKurus,"tolerans_icinde","tutar_farki"))))</f>
        <v/>
      </c>
      <c r="H105" s="15">
        <f>IF($A105="","",IF($B105&gt;0,"BIRINCIL",IF(COUNTIF(tblAnahtarB[IkincilB],'ANAHTAR'!$D105)&gt;0,"IKINCIL","YOK")))</f>
        <v/>
      </c>
      <c r="I105" s="15">
        <f>IF($A105="","",'ANAHTAR'!$F105)</f>
        <v/>
      </c>
      <c r="J105" s="15">
        <f>IF(OR($A105="",$D105=0),0,$F105/ABS($D105))</f>
        <v/>
      </c>
      <c r="K105" s="15">
        <f>IF($A105="","",ROUND($D105,2))</f>
        <v/>
      </c>
      <c r="L105" s="15">
        <f>IF($A105="","",ROUND($C105,2))</f>
        <v/>
      </c>
      <c r="M105" s="15">
        <f>IF($A105="","",IF($F105&lt;=toleransKurus,1,0))</f>
        <v/>
      </c>
      <c r="N105" s="15">
        <f>IF($A105="","",IF($F105&gt;kdo_esikFark,1,0))</f>
        <v/>
      </c>
      <c r="O105" s="15">
        <f>IF($A105="","",IFERROR(SUMIF(tblMotor[A_Norm],$A105,tblMotor[SiparisToplam]),0))</f>
        <v/>
      </c>
      <c r="P105" s="15">
        <f>IF($A105="","",$B105+$M105+$N105)</f>
        <v/>
      </c>
    </row>
    <row r="106">
      <c r="A106" s="15">
        <f>IF('ANAHTAR'!$B106="","",'ANAHTAR'!$B106)</f>
        <v/>
      </c>
      <c r="B106" s="15">
        <f>IF($A106="","",COUNTIF(tblAnahtarB[NormB],$A106))</f>
        <v/>
      </c>
      <c r="C106" s="15">
        <f>IF($A106="","",IFERROR(SUMIF(tblMotor[A_Norm],$A106,tblMotor[SiparisToplam]),0))</f>
        <v/>
      </c>
      <c r="D106" s="15">
        <f>IF($A106="","",IFERROR(SUMIF(tblAnahtarA[Norm],$A106,tblVeriA[HedefMaliyet]),0))</f>
        <v/>
      </c>
      <c r="E106" s="15">
        <f>IF($A106="","",ROUND($D106,2)-ROUND($C106,2))</f>
        <v/>
      </c>
      <c r="F106" s="15">
        <f>IF($A106="","",ABS($E106))</f>
        <v/>
      </c>
      <c r="G106" s="15">
        <f>IF($A106="","",IF($B106=0,"eslesmedi",IF(ROUND($D106,2)=ROUND($C106,2),"eslesti",IF(ABS(ROUND($D106,2)-ROUND($C106,2))&lt;=toleransKurus,"tolerans_icinde","tutar_farki"))))</f>
        <v/>
      </c>
      <c r="H106" s="15">
        <f>IF($A106="","",IF($B106&gt;0,"BIRINCIL",IF(COUNTIF(tblAnahtarB[IkincilB],'ANAHTAR'!$D106)&gt;0,"IKINCIL","YOK")))</f>
        <v/>
      </c>
      <c r="I106" s="15">
        <f>IF($A106="","",'ANAHTAR'!$F106)</f>
        <v/>
      </c>
      <c r="J106" s="15">
        <f>IF(OR($A106="",$D106=0),0,$F106/ABS($D106))</f>
        <v/>
      </c>
      <c r="K106" s="15">
        <f>IF($A106="","",ROUND($D106,2))</f>
        <v/>
      </c>
      <c r="L106" s="15">
        <f>IF($A106="","",ROUND($C106,2))</f>
        <v/>
      </c>
      <c r="M106" s="15">
        <f>IF($A106="","",IF($F106&lt;=toleransKurus,1,0))</f>
        <v/>
      </c>
      <c r="N106" s="15">
        <f>IF($A106="","",IF($F106&gt;kdo_esikFark,1,0))</f>
        <v/>
      </c>
      <c r="O106" s="15">
        <f>IF($A106="","",IFERROR(SUMIF(tblMotor[A_Norm],$A106,tblMotor[SiparisToplam]),0))</f>
        <v/>
      </c>
      <c r="P106" s="15">
        <f>IF($A106="","",$B106+$M106+$N106)</f>
        <v/>
      </c>
    </row>
    <row r="107">
      <c r="A107" s="15">
        <f>IF('ANAHTAR'!$B107="","",'ANAHTAR'!$B107)</f>
        <v/>
      </c>
      <c r="B107" s="15">
        <f>IF($A107="","",COUNTIF(tblAnahtarB[NormB],$A107))</f>
        <v/>
      </c>
      <c r="C107" s="15">
        <f>IF($A107="","",IFERROR(SUMIF(tblMotor[A_Norm],$A107,tblMotor[SiparisToplam]),0))</f>
        <v/>
      </c>
      <c r="D107" s="15">
        <f>IF($A107="","",IFERROR(SUMIF(tblAnahtarA[Norm],$A107,tblVeriA[HedefMaliyet]),0))</f>
        <v/>
      </c>
      <c r="E107" s="15">
        <f>IF($A107="","",ROUND($D107,2)-ROUND($C107,2))</f>
        <v/>
      </c>
      <c r="F107" s="15">
        <f>IF($A107="","",ABS($E107))</f>
        <v/>
      </c>
      <c r="G107" s="15">
        <f>IF($A107="","",IF($B107=0,"eslesmedi",IF(ROUND($D107,2)=ROUND($C107,2),"eslesti",IF(ABS(ROUND($D107,2)-ROUND($C107,2))&lt;=toleransKurus,"tolerans_icinde","tutar_farki"))))</f>
        <v/>
      </c>
      <c r="H107" s="15">
        <f>IF($A107="","",IF($B107&gt;0,"BIRINCIL",IF(COUNTIF(tblAnahtarB[IkincilB],'ANAHTAR'!$D107)&gt;0,"IKINCIL","YOK")))</f>
        <v/>
      </c>
      <c r="I107" s="15">
        <f>IF($A107="","",'ANAHTAR'!$F107)</f>
        <v/>
      </c>
      <c r="J107" s="15">
        <f>IF(OR($A107="",$D107=0),0,$F107/ABS($D107))</f>
        <v/>
      </c>
      <c r="K107" s="15">
        <f>IF($A107="","",ROUND($D107,2))</f>
        <v/>
      </c>
      <c r="L107" s="15">
        <f>IF($A107="","",ROUND($C107,2))</f>
        <v/>
      </c>
      <c r="M107" s="15">
        <f>IF($A107="","",IF($F107&lt;=toleransKurus,1,0))</f>
        <v/>
      </c>
      <c r="N107" s="15">
        <f>IF($A107="","",IF($F107&gt;kdo_esikFark,1,0))</f>
        <v/>
      </c>
      <c r="O107" s="15">
        <f>IF($A107="","",IFERROR(SUMIF(tblMotor[A_Norm],$A107,tblMotor[SiparisToplam]),0))</f>
        <v/>
      </c>
      <c r="P107" s="15">
        <f>IF($A107="","",$B107+$M107+$N107)</f>
        <v/>
      </c>
    </row>
    <row r="108">
      <c r="A108" s="15">
        <f>IF('ANAHTAR'!$B108="","",'ANAHTAR'!$B108)</f>
        <v/>
      </c>
      <c r="B108" s="15">
        <f>IF($A108="","",COUNTIF(tblAnahtarB[NormB],$A108))</f>
        <v/>
      </c>
      <c r="C108" s="15">
        <f>IF($A108="","",IFERROR(SUMIF(tblMotor[A_Norm],$A108,tblMotor[SiparisToplam]),0))</f>
        <v/>
      </c>
      <c r="D108" s="15">
        <f>IF($A108="","",IFERROR(SUMIF(tblAnahtarA[Norm],$A108,tblVeriA[HedefMaliyet]),0))</f>
        <v/>
      </c>
      <c r="E108" s="15">
        <f>IF($A108="","",ROUND($D108,2)-ROUND($C108,2))</f>
        <v/>
      </c>
      <c r="F108" s="15">
        <f>IF($A108="","",ABS($E108))</f>
        <v/>
      </c>
      <c r="G108" s="15">
        <f>IF($A108="","",IF($B108=0,"eslesmedi",IF(ROUND($D108,2)=ROUND($C108,2),"eslesti",IF(ABS(ROUND($D108,2)-ROUND($C108,2))&lt;=toleransKurus,"tolerans_icinde","tutar_farki"))))</f>
        <v/>
      </c>
      <c r="H108" s="15">
        <f>IF($A108="","",IF($B108&gt;0,"BIRINCIL",IF(COUNTIF(tblAnahtarB[IkincilB],'ANAHTAR'!$D108)&gt;0,"IKINCIL","YOK")))</f>
        <v/>
      </c>
      <c r="I108" s="15">
        <f>IF($A108="","",'ANAHTAR'!$F108)</f>
        <v/>
      </c>
      <c r="J108" s="15">
        <f>IF(OR($A108="",$D108=0),0,$F108/ABS($D108))</f>
        <v/>
      </c>
      <c r="K108" s="15">
        <f>IF($A108="","",ROUND($D108,2))</f>
        <v/>
      </c>
      <c r="L108" s="15">
        <f>IF($A108="","",ROUND($C108,2))</f>
        <v/>
      </c>
      <c r="M108" s="15">
        <f>IF($A108="","",IF($F108&lt;=toleransKurus,1,0))</f>
        <v/>
      </c>
      <c r="N108" s="15">
        <f>IF($A108="","",IF($F108&gt;kdo_esikFark,1,0))</f>
        <v/>
      </c>
      <c r="O108" s="15">
        <f>IF($A108="","",IFERROR(SUMIF(tblMotor[A_Norm],$A108,tblMotor[SiparisToplam]),0))</f>
        <v/>
      </c>
      <c r="P108" s="15">
        <f>IF($A108="","",$B108+$M108+$N108)</f>
        <v/>
      </c>
    </row>
    <row r="109">
      <c r="A109" s="15">
        <f>IF('ANAHTAR'!$B109="","",'ANAHTAR'!$B109)</f>
        <v/>
      </c>
      <c r="B109" s="15">
        <f>IF($A109="","",COUNTIF(tblAnahtarB[NormB],$A109))</f>
        <v/>
      </c>
      <c r="C109" s="15">
        <f>IF($A109="","",IFERROR(SUMIF(tblMotor[A_Norm],$A109,tblMotor[SiparisToplam]),0))</f>
        <v/>
      </c>
      <c r="D109" s="15">
        <f>IF($A109="","",IFERROR(SUMIF(tblAnahtarA[Norm],$A109,tblVeriA[HedefMaliyet]),0))</f>
        <v/>
      </c>
      <c r="E109" s="15">
        <f>IF($A109="","",ROUND($D109,2)-ROUND($C109,2))</f>
        <v/>
      </c>
      <c r="F109" s="15">
        <f>IF($A109="","",ABS($E109))</f>
        <v/>
      </c>
      <c r="G109" s="15">
        <f>IF($A109="","",IF($B109=0,"eslesmedi",IF(ROUND($D109,2)=ROUND($C109,2),"eslesti",IF(ABS(ROUND($D109,2)-ROUND($C109,2))&lt;=toleransKurus,"tolerans_icinde","tutar_farki"))))</f>
        <v/>
      </c>
      <c r="H109" s="15">
        <f>IF($A109="","",IF($B109&gt;0,"BIRINCIL",IF(COUNTIF(tblAnahtarB[IkincilB],'ANAHTAR'!$D109)&gt;0,"IKINCIL","YOK")))</f>
        <v/>
      </c>
      <c r="I109" s="15">
        <f>IF($A109="","",'ANAHTAR'!$F109)</f>
        <v/>
      </c>
      <c r="J109" s="15">
        <f>IF(OR($A109="",$D109=0),0,$F109/ABS($D109))</f>
        <v/>
      </c>
      <c r="K109" s="15">
        <f>IF($A109="","",ROUND($D109,2))</f>
        <v/>
      </c>
      <c r="L109" s="15">
        <f>IF($A109="","",ROUND($C109,2))</f>
        <v/>
      </c>
      <c r="M109" s="15">
        <f>IF($A109="","",IF($F109&lt;=toleransKurus,1,0))</f>
        <v/>
      </c>
      <c r="N109" s="15">
        <f>IF($A109="","",IF($F109&gt;kdo_esikFark,1,0))</f>
        <v/>
      </c>
      <c r="O109" s="15">
        <f>IF($A109="","",IFERROR(SUMIF(tblMotor[A_Norm],$A109,tblMotor[SiparisToplam]),0))</f>
        <v/>
      </c>
      <c r="P109" s="15">
        <f>IF($A109="","",$B109+$M109+$N109)</f>
        <v/>
      </c>
    </row>
    <row r="110">
      <c r="A110" s="15">
        <f>IF('ANAHTAR'!$B110="","",'ANAHTAR'!$B110)</f>
        <v/>
      </c>
      <c r="B110" s="15">
        <f>IF($A110="","",COUNTIF(tblAnahtarB[NormB],$A110))</f>
        <v/>
      </c>
      <c r="C110" s="15">
        <f>IF($A110="","",IFERROR(SUMIF(tblMotor[A_Norm],$A110,tblMotor[SiparisToplam]),0))</f>
        <v/>
      </c>
      <c r="D110" s="15">
        <f>IF($A110="","",IFERROR(SUMIF(tblAnahtarA[Norm],$A110,tblVeriA[HedefMaliyet]),0))</f>
        <v/>
      </c>
      <c r="E110" s="15">
        <f>IF($A110="","",ROUND($D110,2)-ROUND($C110,2))</f>
        <v/>
      </c>
      <c r="F110" s="15">
        <f>IF($A110="","",ABS($E110))</f>
        <v/>
      </c>
      <c r="G110" s="15">
        <f>IF($A110="","",IF($B110=0,"eslesmedi",IF(ROUND($D110,2)=ROUND($C110,2),"eslesti",IF(ABS(ROUND($D110,2)-ROUND($C110,2))&lt;=toleransKurus,"tolerans_icinde","tutar_farki"))))</f>
        <v/>
      </c>
      <c r="H110" s="15">
        <f>IF($A110="","",IF($B110&gt;0,"BIRINCIL",IF(COUNTIF(tblAnahtarB[IkincilB],'ANAHTAR'!$D110)&gt;0,"IKINCIL","YOK")))</f>
        <v/>
      </c>
      <c r="I110" s="15">
        <f>IF($A110="","",'ANAHTAR'!$F110)</f>
        <v/>
      </c>
      <c r="J110" s="15">
        <f>IF(OR($A110="",$D110=0),0,$F110/ABS($D110))</f>
        <v/>
      </c>
      <c r="K110" s="15">
        <f>IF($A110="","",ROUND($D110,2))</f>
        <v/>
      </c>
      <c r="L110" s="15">
        <f>IF($A110="","",ROUND($C110,2))</f>
        <v/>
      </c>
      <c r="M110" s="15">
        <f>IF($A110="","",IF($F110&lt;=toleransKurus,1,0))</f>
        <v/>
      </c>
      <c r="N110" s="15">
        <f>IF($A110="","",IF($F110&gt;kdo_esikFark,1,0))</f>
        <v/>
      </c>
      <c r="O110" s="15">
        <f>IF($A110="","",IFERROR(SUMIF(tblMotor[A_Norm],$A110,tblMotor[SiparisToplam]),0))</f>
        <v/>
      </c>
      <c r="P110" s="15">
        <f>IF($A110="","",$B110+$M110+$N110)</f>
        <v/>
      </c>
    </row>
    <row r="111">
      <c r="A111" s="15">
        <f>IF('ANAHTAR'!$B111="","",'ANAHTAR'!$B111)</f>
        <v/>
      </c>
      <c r="B111" s="15">
        <f>IF($A111="","",COUNTIF(tblAnahtarB[NormB],$A111))</f>
        <v/>
      </c>
      <c r="C111" s="15">
        <f>IF($A111="","",IFERROR(SUMIF(tblMotor[A_Norm],$A111,tblMotor[SiparisToplam]),0))</f>
        <v/>
      </c>
      <c r="D111" s="15">
        <f>IF($A111="","",IFERROR(SUMIF(tblAnahtarA[Norm],$A111,tblVeriA[HedefMaliyet]),0))</f>
        <v/>
      </c>
      <c r="E111" s="15">
        <f>IF($A111="","",ROUND($D111,2)-ROUND($C111,2))</f>
        <v/>
      </c>
      <c r="F111" s="15">
        <f>IF($A111="","",ABS($E111))</f>
        <v/>
      </c>
      <c r="G111" s="15">
        <f>IF($A111="","",IF($B111=0,"eslesmedi",IF(ROUND($D111,2)=ROUND($C111,2),"eslesti",IF(ABS(ROUND($D111,2)-ROUND($C111,2))&lt;=toleransKurus,"tolerans_icinde","tutar_farki"))))</f>
        <v/>
      </c>
      <c r="H111" s="15">
        <f>IF($A111="","",IF($B111&gt;0,"BIRINCIL",IF(COUNTIF(tblAnahtarB[IkincilB],'ANAHTAR'!$D111)&gt;0,"IKINCIL","YOK")))</f>
        <v/>
      </c>
      <c r="I111" s="15">
        <f>IF($A111="","",'ANAHTAR'!$F111)</f>
        <v/>
      </c>
      <c r="J111" s="15">
        <f>IF(OR($A111="",$D111=0),0,$F111/ABS($D111))</f>
        <v/>
      </c>
      <c r="K111" s="15">
        <f>IF($A111="","",ROUND($D111,2))</f>
        <v/>
      </c>
      <c r="L111" s="15">
        <f>IF($A111="","",ROUND($C111,2))</f>
        <v/>
      </c>
      <c r="M111" s="15">
        <f>IF($A111="","",IF($F111&lt;=toleransKurus,1,0))</f>
        <v/>
      </c>
      <c r="N111" s="15">
        <f>IF($A111="","",IF($F111&gt;kdo_esikFark,1,0))</f>
        <v/>
      </c>
      <c r="O111" s="15">
        <f>IF($A111="","",IFERROR(SUMIF(tblMotor[A_Norm],$A111,tblMotor[SiparisToplam]),0))</f>
        <v/>
      </c>
      <c r="P111" s="15">
        <f>IF($A111="","",$B111+$M111+$N111)</f>
        <v/>
      </c>
    </row>
    <row r="112">
      <c r="A112" s="15">
        <f>IF('ANAHTAR'!$B112="","",'ANAHTAR'!$B112)</f>
        <v/>
      </c>
      <c r="B112" s="15">
        <f>IF($A112="","",COUNTIF(tblAnahtarB[NormB],$A112))</f>
        <v/>
      </c>
      <c r="C112" s="15">
        <f>IF($A112="","",IFERROR(SUMIF(tblMotor[A_Norm],$A112,tblMotor[SiparisToplam]),0))</f>
        <v/>
      </c>
      <c r="D112" s="15">
        <f>IF($A112="","",IFERROR(SUMIF(tblAnahtarA[Norm],$A112,tblVeriA[HedefMaliyet]),0))</f>
        <v/>
      </c>
      <c r="E112" s="15">
        <f>IF($A112="","",ROUND($D112,2)-ROUND($C112,2))</f>
        <v/>
      </c>
      <c r="F112" s="15">
        <f>IF($A112="","",ABS($E112))</f>
        <v/>
      </c>
      <c r="G112" s="15">
        <f>IF($A112="","",IF($B112=0,"eslesmedi",IF(ROUND($D112,2)=ROUND($C112,2),"eslesti",IF(ABS(ROUND($D112,2)-ROUND($C112,2))&lt;=toleransKurus,"tolerans_icinde","tutar_farki"))))</f>
        <v/>
      </c>
      <c r="H112" s="15">
        <f>IF($A112="","",IF($B112&gt;0,"BIRINCIL",IF(COUNTIF(tblAnahtarB[IkincilB],'ANAHTAR'!$D112)&gt;0,"IKINCIL","YOK")))</f>
        <v/>
      </c>
      <c r="I112" s="15">
        <f>IF($A112="","",'ANAHTAR'!$F112)</f>
        <v/>
      </c>
      <c r="J112" s="15">
        <f>IF(OR($A112="",$D112=0),0,$F112/ABS($D112))</f>
        <v/>
      </c>
      <c r="K112" s="15">
        <f>IF($A112="","",ROUND($D112,2))</f>
        <v/>
      </c>
      <c r="L112" s="15">
        <f>IF($A112="","",ROUND($C112,2))</f>
        <v/>
      </c>
      <c r="M112" s="15">
        <f>IF($A112="","",IF($F112&lt;=toleransKurus,1,0))</f>
        <v/>
      </c>
      <c r="N112" s="15">
        <f>IF($A112="","",IF($F112&gt;kdo_esikFark,1,0))</f>
        <v/>
      </c>
      <c r="O112" s="15">
        <f>IF($A112="","",IFERROR(SUMIF(tblMotor[A_Norm],$A112,tblMotor[SiparisToplam]),0))</f>
        <v/>
      </c>
      <c r="P112" s="15">
        <f>IF($A112="","",$B112+$M112+$N112)</f>
        <v/>
      </c>
    </row>
    <row r="113">
      <c r="A113" s="15">
        <f>IF('ANAHTAR'!$B113="","",'ANAHTAR'!$B113)</f>
        <v/>
      </c>
      <c r="B113" s="15">
        <f>IF($A113="","",COUNTIF(tblAnahtarB[NormB],$A113))</f>
        <v/>
      </c>
      <c r="C113" s="15">
        <f>IF($A113="","",IFERROR(SUMIF(tblMotor[A_Norm],$A113,tblMotor[SiparisToplam]),0))</f>
        <v/>
      </c>
      <c r="D113" s="15">
        <f>IF($A113="","",IFERROR(SUMIF(tblAnahtarA[Norm],$A113,tblVeriA[HedefMaliyet]),0))</f>
        <v/>
      </c>
      <c r="E113" s="15">
        <f>IF($A113="","",ROUND($D113,2)-ROUND($C113,2))</f>
        <v/>
      </c>
      <c r="F113" s="15">
        <f>IF($A113="","",ABS($E113))</f>
        <v/>
      </c>
      <c r="G113" s="15">
        <f>IF($A113="","",IF($B113=0,"eslesmedi",IF(ROUND($D113,2)=ROUND($C113,2),"eslesti",IF(ABS(ROUND($D113,2)-ROUND($C113,2))&lt;=toleransKurus,"tolerans_icinde","tutar_farki"))))</f>
        <v/>
      </c>
      <c r="H113" s="15">
        <f>IF($A113="","",IF($B113&gt;0,"BIRINCIL",IF(COUNTIF(tblAnahtarB[IkincilB],'ANAHTAR'!$D113)&gt;0,"IKINCIL","YOK")))</f>
        <v/>
      </c>
      <c r="I113" s="15">
        <f>IF($A113="","",'ANAHTAR'!$F113)</f>
        <v/>
      </c>
      <c r="J113" s="15">
        <f>IF(OR($A113="",$D113=0),0,$F113/ABS($D113))</f>
        <v/>
      </c>
      <c r="K113" s="15">
        <f>IF($A113="","",ROUND($D113,2))</f>
        <v/>
      </c>
      <c r="L113" s="15">
        <f>IF($A113="","",ROUND($C113,2))</f>
        <v/>
      </c>
      <c r="M113" s="15">
        <f>IF($A113="","",IF($F113&lt;=toleransKurus,1,0))</f>
        <v/>
      </c>
      <c r="N113" s="15">
        <f>IF($A113="","",IF($F113&gt;kdo_esikFark,1,0))</f>
        <v/>
      </c>
      <c r="O113" s="15">
        <f>IF($A113="","",IFERROR(SUMIF(tblMotor[A_Norm],$A113,tblMotor[SiparisToplam]),0))</f>
        <v/>
      </c>
      <c r="P113" s="15">
        <f>IF($A113="","",$B113+$M113+$N113)</f>
        <v/>
      </c>
    </row>
    <row r="114">
      <c r="A114" s="15">
        <f>IF('ANAHTAR'!$B114="","",'ANAHTAR'!$B114)</f>
        <v/>
      </c>
      <c r="B114" s="15">
        <f>IF($A114="","",COUNTIF(tblAnahtarB[NormB],$A114))</f>
        <v/>
      </c>
      <c r="C114" s="15">
        <f>IF($A114="","",IFERROR(SUMIF(tblMotor[A_Norm],$A114,tblMotor[SiparisToplam]),0))</f>
        <v/>
      </c>
      <c r="D114" s="15">
        <f>IF($A114="","",IFERROR(SUMIF(tblAnahtarA[Norm],$A114,tblVeriA[HedefMaliyet]),0))</f>
        <v/>
      </c>
      <c r="E114" s="15">
        <f>IF($A114="","",ROUND($D114,2)-ROUND($C114,2))</f>
        <v/>
      </c>
      <c r="F114" s="15">
        <f>IF($A114="","",ABS($E114))</f>
        <v/>
      </c>
      <c r="G114" s="15">
        <f>IF($A114="","",IF($B114=0,"eslesmedi",IF(ROUND($D114,2)=ROUND($C114,2),"eslesti",IF(ABS(ROUND($D114,2)-ROUND($C114,2))&lt;=toleransKurus,"tolerans_icinde","tutar_farki"))))</f>
        <v/>
      </c>
      <c r="H114" s="15">
        <f>IF($A114="","",IF($B114&gt;0,"BIRINCIL",IF(COUNTIF(tblAnahtarB[IkincilB],'ANAHTAR'!$D114)&gt;0,"IKINCIL","YOK")))</f>
        <v/>
      </c>
      <c r="I114" s="15">
        <f>IF($A114="","",'ANAHTAR'!$F114)</f>
        <v/>
      </c>
      <c r="J114" s="15">
        <f>IF(OR($A114="",$D114=0),0,$F114/ABS($D114))</f>
        <v/>
      </c>
      <c r="K114" s="15">
        <f>IF($A114="","",ROUND($D114,2))</f>
        <v/>
      </c>
      <c r="L114" s="15">
        <f>IF($A114="","",ROUND($C114,2))</f>
        <v/>
      </c>
      <c r="M114" s="15">
        <f>IF($A114="","",IF($F114&lt;=toleransKurus,1,0))</f>
        <v/>
      </c>
      <c r="N114" s="15">
        <f>IF($A114="","",IF($F114&gt;kdo_esikFark,1,0))</f>
        <v/>
      </c>
      <c r="O114" s="15">
        <f>IF($A114="","",IFERROR(SUMIF(tblMotor[A_Norm],$A114,tblMotor[SiparisToplam]),0))</f>
        <v/>
      </c>
      <c r="P114" s="15">
        <f>IF($A114="","",$B114+$M114+$N114)</f>
        <v/>
      </c>
    </row>
    <row r="115">
      <c r="A115" s="15">
        <f>IF('ANAHTAR'!$B115="","",'ANAHTAR'!$B115)</f>
        <v/>
      </c>
      <c r="B115" s="15">
        <f>IF($A115="","",COUNTIF(tblAnahtarB[NormB],$A115))</f>
        <v/>
      </c>
      <c r="C115" s="15">
        <f>IF($A115="","",IFERROR(SUMIF(tblMotor[A_Norm],$A115,tblMotor[SiparisToplam]),0))</f>
        <v/>
      </c>
      <c r="D115" s="15">
        <f>IF($A115="","",IFERROR(SUMIF(tblAnahtarA[Norm],$A115,tblVeriA[HedefMaliyet]),0))</f>
        <v/>
      </c>
      <c r="E115" s="15">
        <f>IF($A115="","",ROUND($D115,2)-ROUND($C115,2))</f>
        <v/>
      </c>
      <c r="F115" s="15">
        <f>IF($A115="","",ABS($E115))</f>
        <v/>
      </c>
      <c r="G115" s="15">
        <f>IF($A115="","",IF($B115=0,"eslesmedi",IF(ROUND($D115,2)=ROUND($C115,2),"eslesti",IF(ABS(ROUND($D115,2)-ROUND($C115,2))&lt;=toleransKurus,"tolerans_icinde","tutar_farki"))))</f>
        <v/>
      </c>
      <c r="H115" s="15">
        <f>IF($A115="","",IF($B115&gt;0,"BIRINCIL",IF(COUNTIF(tblAnahtarB[IkincilB],'ANAHTAR'!$D115)&gt;0,"IKINCIL","YOK")))</f>
        <v/>
      </c>
      <c r="I115" s="15">
        <f>IF($A115="","",'ANAHTAR'!$F115)</f>
        <v/>
      </c>
      <c r="J115" s="15">
        <f>IF(OR($A115="",$D115=0),0,$F115/ABS($D115))</f>
        <v/>
      </c>
      <c r="K115" s="15">
        <f>IF($A115="","",ROUND($D115,2))</f>
        <v/>
      </c>
      <c r="L115" s="15">
        <f>IF($A115="","",ROUND($C115,2))</f>
        <v/>
      </c>
      <c r="M115" s="15">
        <f>IF($A115="","",IF($F115&lt;=toleransKurus,1,0))</f>
        <v/>
      </c>
      <c r="N115" s="15">
        <f>IF($A115="","",IF($F115&gt;kdo_esikFark,1,0))</f>
        <v/>
      </c>
      <c r="O115" s="15">
        <f>IF($A115="","",IFERROR(SUMIF(tblMotor[A_Norm],$A115,tblMotor[SiparisToplam]),0))</f>
        <v/>
      </c>
      <c r="P115" s="15">
        <f>IF($A115="","",$B115+$M115+$N115)</f>
        <v/>
      </c>
    </row>
    <row r="116">
      <c r="A116" s="15">
        <f>IF('ANAHTAR'!$B116="","",'ANAHTAR'!$B116)</f>
        <v/>
      </c>
      <c r="B116" s="15">
        <f>IF($A116="","",COUNTIF(tblAnahtarB[NormB],$A116))</f>
        <v/>
      </c>
      <c r="C116" s="15">
        <f>IF($A116="","",IFERROR(SUMIF(tblMotor[A_Norm],$A116,tblMotor[SiparisToplam]),0))</f>
        <v/>
      </c>
      <c r="D116" s="15">
        <f>IF($A116="","",IFERROR(SUMIF(tblAnahtarA[Norm],$A116,tblVeriA[HedefMaliyet]),0))</f>
        <v/>
      </c>
      <c r="E116" s="15">
        <f>IF($A116="","",ROUND($D116,2)-ROUND($C116,2))</f>
        <v/>
      </c>
      <c r="F116" s="15">
        <f>IF($A116="","",ABS($E116))</f>
        <v/>
      </c>
      <c r="G116" s="15">
        <f>IF($A116="","",IF($B116=0,"eslesmedi",IF(ROUND($D116,2)=ROUND($C116,2),"eslesti",IF(ABS(ROUND($D116,2)-ROUND($C116,2))&lt;=toleransKurus,"tolerans_icinde","tutar_farki"))))</f>
        <v/>
      </c>
      <c r="H116" s="15">
        <f>IF($A116="","",IF($B116&gt;0,"BIRINCIL",IF(COUNTIF(tblAnahtarB[IkincilB],'ANAHTAR'!$D116)&gt;0,"IKINCIL","YOK")))</f>
        <v/>
      </c>
      <c r="I116" s="15">
        <f>IF($A116="","",'ANAHTAR'!$F116)</f>
        <v/>
      </c>
      <c r="J116" s="15">
        <f>IF(OR($A116="",$D116=0),0,$F116/ABS($D116))</f>
        <v/>
      </c>
      <c r="K116" s="15">
        <f>IF($A116="","",ROUND($D116,2))</f>
        <v/>
      </c>
      <c r="L116" s="15">
        <f>IF($A116="","",ROUND($C116,2))</f>
        <v/>
      </c>
      <c r="M116" s="15">
        <f>IF($A116="","",IF($F116&lt;=toleransKurus,1,0))</f>
        <v/>
      </c>
      <c r="N116" s="15">
        <f>IF($A116="","",IF($F116&gt;kdo_esikFark,1,0))</f>
        <v/>
      </c>
      <c r="O116" s="15">
        <f>IF($A116="","",IFERROR(SUMIF(tblMotor[A_Norm],$A116,tblMotor[SiparisToplam]),0))</f>
        <v/>
      </c>
      <c r="P116" s="15">
        <f>IF($A116="","",$B116+$M116+$N116)</f>
        <v/>
      </c>
    </row>
    <row r="117">
      <c r="A117" s="15">
        <f>IF('ANAHTAR'!$B117="","",'ANAHTAR'!$B117)</f>
        <v/>
      </c>
      <c r="B117" s="15">
        <f>IF($A117="","",COUNTIF(tblAnahtarB[NormB],$A117))</f>
        <v/>
      </c>
      <c r="C117" s="15">
        <f>IF($A117="","",IFERROR(SUMIF(tblMotor[A_Norm],$A117,tblMotor[SiparisToplam]),0))</f>
        <v/>
      </c>
      <c r="D117" s="15">
        <f>IF($A117="","",IFERROR(SUMIF(tblAnahtarA[Norm],$A117,tblVeriA[HedefMaliyet]),0))</f>
        <v/>
      </c>
      <c r="E117" s="15">
        <f>IF($A117="","",ROUND($D117,2)-ROUND($C117,2))</f>
        <v/>
      </c>
      <c r="F117" s="15">
        <f>IF($A117="","",ABS($E117))</f>
        <v/>
      </c>
      <c r="G117" s="15">
        <f>IF($A117="","",IF($B117=0,"eslesmedi",IF(ROUND($D117,2)=ROUND($C117,2),"eslesti",IF(ABS(ROUND($D117,2)-ROUND($C117,2))&lt;=toleransKurus,"tolerans_icinde","tutar_farki"))))</f>
        <v/>
      </c>
      <c r="H117" s="15">
        <f>IF($A117="","",IF($B117&gt;0,"BIRINCIL",IF(COUNTIF(tblAnahtarB[IkincilB],'ANAHTAR'!$D117)&gt;0,"IKINCIL","YOK")))</f>
        <v/>
      </c>
      <c r="I117" s="15">
        <f>IF($A117="","",'ANAHTAR'!$F117)</f>
        <v/>
      </c>
      <c r="J117" s="15">
        <f>IF(OR($A117="",$D117=0),0,$F117/ABS($D117))</f>
        <v/>
      </c>
      <c r="K117" s="15">
        <f>IF($A117="","",ROUND($D117,2))</f>
        <v/>
      </c>
      <c r="L117" s="15">
        <f>IF($A117="","",ROUND($C117,2))</f>
        <v/>
      </c>
      <c r="M117" s="15">
        <f>IF($A117="","",IF($F117&lt;=toleransKurus,1,0))</f>
        <v/>
      </c>
      <c r="N117" s="15">
        <f>IF($A117="","",IF($F117&gt;kdo_esikFark,1,0))</f>
        <v/>
      </c>
      <c r="O117" s="15">
        <f>IF($A117="","",IFERROR(SUMIF(tblMotor[A_Norm],$A117,tblMotor[SiparisToplam]),0))</f>
        <v/>
      </c>
      <c r="P117" s="15">
        <f>IF($A117="","",$B117+$M117+$N117)</f>
        <v/>
      </c>
    </row>
    <row r="118">
      <c r="A118" s="15">
        <f>IF('ANAHTAR'!$B118="","",'ANAHTAR'!$B118)</f>
        <v/>
      </c>
      <c r="B118" s="15">
        <f>IF($A118="","",COUNTIF(tblAnahtarB[NormB],$A118))</f>
        <v/>
      </c>
      <c r="C118" s="15">
        <f>IF($A118="","",IFERROR(SUMIF(tblMotor[A_Norm],$A118,tblMotor[SiparisToplam]),0))</f>
        <v/>
      </c>
      <c r="D118" s="15">
        <f>IF($A118="","",IFERROR(SUMIF(tblAnahtarA[Norm],$A118,tblVeriA[HedefMaliyet]),0))</f>
        <v/>
      </c>
      <c r="E118" s="15">
        <f>IF($A118="","",ROUND($D118,2)-ROUND($C118,2))</f>
        <v/>
      </c>
      <c r="F118" s="15">
        <f>IF($A118="","",ABS($E118))</f>
        <v/>
      </c>
      <c r="G118" s="15">
        <f>IF($A118="","",IF($B118=0,"eslesmedi",IF(ROUND($D118,2)=ROUND($C118,2),"eslesti",IF(ABS(ROUND($D118,2)-ROUND($C118,2))&lt;=toleransKurus,"tolerans_icinde","tutar_farki"))))</f>
        <v/>
      </c>
      <c r="H118" s="15">
        <f>IF($A118="","",IF($B118&gt;0,"BIRINCIL",IF(COUNTIF(tblAnahtarB[IkincilB],'ANAHTAR'!$D118)&gt;0,"IKINCIL","YOK")))</f>
        <v/>
      </c>
      <c r="I118" s="15">
        <f>IF($A118="","",'ANAHTAR'!$F118)</f>
        <v/>
      </c>
      <c r="J118" s="15">
        <f>IF(OR($A118="",$D118=0),0,$F118/ABS($D118))</f>
        <v/>
      </c>
      <c r="K118" s="15">
        <f>IF($A118="","",ROUND($D118,2))</f>
        <v/>
      </c>
      <c r="L118" s="15">
        <f>IF($A118="","",ROUND($C118,2))</f>
        <v/>
      </c>
      <c r="M118" s="15">
        <f>IF($A118="","",IF($F118&lt;=toleransKurus,1,0))</f>
        <v/>
      </c>
      <c r="N118" s="15">
        <f>IF($A118="","",IF($F118&gt;kdo_esikFark,1,0))</f>
        <v/>
      </c>
      <c r="O118" s="15">
        <f>IF($A118="","",IFERROR(SUMIF(tblMotor[A_Norm],$A118,tblMotor[SiparisToplam]),0))</f>
        <v/>
      </c>
      <c r="P118" s="15">
        <f>IF($A118="","",$B118+$M118+$N118)</f>
        <v/>
      </c>
    </row>
    <row r="119">
      <c r="A119" s="15">
        <f>IF('ANAHTAR'!$B119="","",'ANAHTAR'!$B119)</f>
        <v/>
      </c>
      <c r="B119" s="15">
        <f>IF($A119="","",COUNTIF(tblAnahtarB[NormB],$A119))</f>
        <v/>
      </c>
      <c r="C119" s="15">
        <f>IF($A119="","",IFERROR(SUMIF(tblMotor[A_Norm],$A119,tblMotor[SiparisToplam]),0))</f>
        <v/>
      </c>
      <c r="D119" s="15">
        <f>IF($A119="","",IFERROR(SUMIF(tblAnahtarA[Norm],$A119,tblVeriA[HedefMaliyet]),0))</f>
        <v/>
      </c>
      <c r="E119" s="15">
        <f>IF($A119="","",ROUND($D119,2)-ROUND($C119,2))</f>
        <v/>
      </c>
      <c r="F119" s="15">
        <f>IF($A119="","",ABS($E119))</f>
        <v/>
      </c>
      <c r="G119" s="15">
        <f>IF($A119="","",IF($B119=0,"eslesmedi",IF(ROUND($D119,2)=ROUND($C119,2),"eslesti",IF(ABS(ROUND($D119,2)-ROUND($C119,2))&lt;=toleransKurus,"tolerans_icinde","tutar_farki"))))</f>
        <v/>
      </c>
      <c r="H119" s="15">
        <f>IF($A119="","",IF($B119&gt;0,"BIRINCIL",IF(COUNTIF(tblAnahtarB[IkincilB],'ANAHTAR'!$D119)&gt;0,"IKINCIL","YOK")))</f>
        <v/>
      </c>
      <c r="I119" s="15">
        <f>IF($A119="","",'ANAHTAR'!$F119)</f>
        <v/>
      </c>
      <c r="J119" s="15">
        <f>IF(OR($A119="",$D119=0),0,$F119/ABS($D119))</f>
        <v/>
      </c>
      <c r="K119" s="15">
        <f>IF($A119="","",ROUND($D119,2))</f>
        <v/>
      </c>
      <c r="L119" s="15">
        <f>IF($A119="","",ROUND($C119,2))</f>
        <v/>
      </c>
      <c r="M119" s="15">
        <f>IF($A119="","",IF($F119&lt;=toleransKurus,1,0))</f>
        <v/>
      </c>
      <c r="N119" s="15">
        <f>IF($A119="","",IF($F119&gt;kdo_esikFark,1,0))</f>
        <v/>
      </c>
      <c r="O119" s="15">
        <f>IF($A119="","",IFERROR(SUMIF(tblMotor[A_Norm],$A119,tblMotor[SiparisToplam]),0))</f>
        <v/>
      </c>
      <c r="P119" s="15">
        <f>IF($A119="","",$B119+$M119+$N119)</f>
        <v/>
      </c>
    </row>
    <row r="120">
      <c r="A120" s="15">
        <f>IF('ANAHTAR'!$B120="","",'ANAHTAR'!$B120)</f>
        <v/>
      </c>
      <c r="B120" s="15">
        <f>IF($A120="","",COUNTIF(tblAnahtarB[NormB],$A120))</f>
        <v/>
      </c>
      <c r="C120" s="15">
        <f>IF($A120="","",IFERROR(SUMIF(tblMotor[A_Norm],$A120,tblMotor[SiparisToplam]),0))</f>
        <v/>
      </c>
      <c r="D120" s="15">
        <f>IF($A120="","",IFERROR(SUMIF(tblAnahtarA[Norm],$A120,tblVeriA[HedefMaliyet]),0))</f>
        <v/>
      </c>
      <c r="E120" s="15">
        <f>IF($A120="","",ROUND($D120,2)-ROUND($C120,2))</f>
        <v/>
      </c>
      <c r="F120" s="15">
        <f>IF($A120="","",ABS($E120))</f>
        <v/>
      </c>
      <c r="G120" s="15">
        <f>IF($A120="","",IF($B120=0,"eslesmedi",IF(ROUND($D120,2)=ROUND($C120,2),"eslesti",IF(ABS(ROUND($D120,2)-ROUND($C120,2))&lt;=toleransKurus,"tolerans_icinde","tutar_farki"))))</f>
        <v/>
      </c>
      <c r="H120" s="15">
        <f>IF($A120="","",IF($B120&gt;0,"BIRINCIL",IF(COUNTIF(tblAnahtarB[IkincilB],'ANAHTAR'!$D120)&gt;0,"IKINCIL","YOK")))</f>
        <v/>
      </c>
      <c r="I120" s="15">
        <f>IF($A120="","",'ANAHTAR'!$F120)</f>
        <v/>
      </c>
      <c r="J120" s="15">
        <f>IF(OR($A120="",$D120=0),0,$F120/ABS($D120))</f>
        <v/>
      </c>
      <c r="K120" s="15">
        <f>IF($A120="","",ROUND($D120,2))</f>
        <v/>
      </c>
      <c r="L120" s="15">
        <f>IF($A120="","",ROUND($C120,2))</f>
        <v/>
      </c>
      <c r="M120" s="15">
        <f>IF($A120="","",IF($F120&lt;=toleransKurus,1,0))</f>
        <v/>
      </c>
      <c r="N120" s="15">
        <f>IF($A120="","",IF($F120&gt;kdo_esikFark,1,0))</f>
        <v/>
      </c>
      <c r="O120" s="15">
        <f>IF($A120="","",IFERROR(SUMIF(tblMotor[A_Norm],$A120,tblMotor[SiparisToplam]),0))</f>
        <v/>
      </c>
      <c r="P120" s="15">
        <f>IF($A120="","",$B120+$M120+$N120)</f>
        <v/>
      </c>
    </row>
    <row r="121">
      <c r="A121" s="15">
        <f>IF('ANAHTAR'!$B121="","",'ANAHTAR'!$B121)</f>
        <v/>
      </c>
      <c r="B121" s="15">
        <f>IF($A121="","",COUNTIF(tblAnahtarB[NormB],$A121))</f>
        <v/>
      </c>
      <c r="C121" s="15">
        <f>IF($A121="","",IFERROR(SUMIF(tblMotor[A_Norm],$A121,tblMotor[SiparisToplam]),0))</f>
        <v/>
      </c>
      <c r="D121" s="15">
        <f>IF($A121="","",IFERROR(SUMIF(tblAnahtarA[Norm],$A121,tblVeriA[HedefMaliyet]),0))</f>
        <v/>
      </c>
      <c r="E121" s="15">
        <f>IF($A121="","",ROUND($D121,2)-ROUND($C121,2))</f>
        <v/>
      </c>
      <c r="F121" s="15">
        <f>IF($A121="","",ABS($E121))</f>
        <v/>
      </c>
      <c r="G121" s="15">
        <f>IF($A121="","",IF($B121=0,"eslesmedi",IF(ROUND($D121,2)=ROUND($C121,2),"eslesti",IF(ABS(ROUND($D121,2)-ROUND($C121,2))&lt;=toleransKurus,"tolerans_icinde","tutar_farki"))))</f>
        <v/>
      </c>
      <c r="H121" s="15">
        <f>IF($A121="","",IF($B121&gt;0,"BIRINCIL",IF(COUNTIF(tblAnahtarB[IkincilB],'ANAHTAR'!$D121)&gt;0,"IKINCIL","YOK")))</f>
        <v/>
      </c>
      <c r="I121" s="15">
        <f>IF($A121="","",'ANAHTAR'!$F121)</f>
        <v/>
      </c>
      <c r="J121" s="15">
        <f>IF(OR($A121="",$D121=0),0,$F121/ABS($D121))</f>
        <v/>
      </c>
      <c r="K121" s="15">
        <f>IF($A121="","",ROUND($D121,2))</f>
        <v/>
      </c>
      <c r="L121" s="15">
        <f>IF($A121="","",ROUND($C121,2))</f>
        <v/>
      </c>
      <c r="M121" s="15">
        <f>IF($A121="","",IF($F121&lt;=toleransKurus,1,0))</f>
        <v/>
      </c>
      <c r="N121" s="15">
        <f>IF($A121="","",IF($F121&gt;kdo_esikFark,1,0))</f>
        <v/>
      </c>
      <c r="O121" s="15">
        <f>IF($A121="","",IFERROR(SUMIF(tblMotor[A_Norm],$A121,tblMotor[SiparisToplam]),0))</f>
        <v/>
      </c>
      <c r="P121" s="15">
        <f>IF($A121="","",$B121+$M121+$N121)</f>
        <v/>
      </c>
    </row>
    <row r="122">
      <c r="A122" s="15">
        <f>IF('ANAHTAR'!$B122="","",'ANAHTAR'!$B122)</f>
        <v/>
      </c>
      <c r="B122" s="15">
        <f>IF($A122="","",COUNTIF(tblAnahtarB[NormB],$A122))</f>
        <v/>
      </c>
      <c r="C122" s="15">
        <f>IF($A122="","",IFERROR(SUMIF(tblMotor[A_Norm],$A122,tblMotor[SiparisToplam]),0))</f>
        <v/>
      </c>
      <c r="D122" s="15">
        <f>IF($A122="","",IFERROR(SUMIF(tblAnahtarA[Norm],$A122,tblVeriA[HedefMaliyet]),0))</f>
        <v/>
      </c>
      <c r="E122" s="15">
        <f>IF($A122="","",ROUND($D122,2)-ROUND($C122,2))</f>
        <v/>
      </c>
      <c r="F122" s="15">
        <f>IF($A122="","",ABS($E122))</f>
        <v/>
      </c>
      <c r="G122" s="15">
        <f>IF($A122="","",IF($B122=0,"eslesmedi",IF(ROUND($D122,2)=ROUND($C122,2),"eslesti",IF(ABS(ROUND($D122,2)-ROUND($C122,2))&lt;=toleransKurus,"tolerans_icinde","tutar_farki"))))</f>
        <v/>
      </c>
      <c r="H122" s="15">
        <f>IF($A122="","",IF($B122&gt;0,"BIRINCIL",IF(COUNTIF(tblAnahtarB[IkincilB],'ANAHTAR'!$D122)&gt;0,"IKINCIL","YOK")))</f>
        <v/>
      </c>
      <c r="I122" s="15">
        <f>IF($A122="","",'ANAHTAR'!$F122)</f>
        <v/>
      </c>
      <c r="J122" s="15">
        <f>IF(OR($A122="",$D122=0),0,$F122/ABS($D122))</f>
        <v/>
      </c>
      <c r="K122" s="15">
        <f>IF($A122="","",ROUND($D122,2))</f>
        <v/>
      </c>
      <c r="L122" s="15">
        <f>IF($A122="","",ROUND($C122,2))</f>
        <v/>
      </c>
      <c r="M122" s="15">
        <f>IF($A122="","",IF($F122&lt;=toleransKurus,1,0))</f>
        <v/>
      </c>
      <c r="N122" s="15">
        <f>IF($A122="","",IF($F122&gt;kdo_esikFark,1,0))</f>
        <v/>
      </c>
      <c r="O122" s="15">
        <f>IF($A122="","",IFERROR(SUMIF(tblMotor[A_Norm],$A122,tblMotor[SiparisToplam]),0))</f>
        <v/>
      </c>
      <c r="P122" s="15">
        <f>IF($A122="","",$B122+$M122+$N122)</f>
        <v/>
      </c>
    </row>
    <row r="123">
      <c r="A123" s="15">
        <f>IF('ANAHTAR'!$B123="","",'ANAHTAR'!$B123)</f>
        <v/>
      </c>
      <c r="B123" s="15">
        <f>IF($A123="","",COUNTIF(tblAnahtarB[NormB],$A123))</f>
        <v/>
      </c>
      <c r="C123" s="15">
        <f>IF($A123="","",IFERROR(SUMIF(tblMotor[A_Norm],$A123,tblMotor[SiparisToplam]),0))</f>
        <v/>
      </c>
      <c r="D123" s="15">
        <f>IF($A123="","",IFERROR(SUMIF(tblAnahtarA[Norm],$A123,tblVeriA[HedefMaliyet]),0))</f>
        <v/>
      </c>
      <c r="E123" s="15">
        <f>IF($A123="","",ROUND($D123,2)-ROUND($C123,2))</f>
        <v/>
      </c>
      <c r="F123" s="15">
        <f>IF($A123="","",ABS($E123))</f>
        <v/>
      </c>
      <c r="G123" s="15">
        <f>IF($A123="","",IF($B123=0,"eslesmedi",IF(ROUND($D123,2)=ROUND($C123,2),"eslesti",IF(ABS(ROUND($D123,2)-ROUND($C123,2))&lt;=toleransKurus,"tolerans_icinde","tutar_farki"))))</f>
        <v/>
      </c>
      <c r="H123" s="15">
        <f>IF($A123="","",IF($B123&gt;0,"BIRINCIL",IF(COUNTIF(tblAnahtarB[IkincilB],'ANAHTAR'!$D123)&gt;0,"IKINCIL","YOK")))</f>
        <v/>
      </c>
      <c r="I123" s="15">
        <f>IF($A123="","",'ANAHTAR'!$F123)</f>
        <v/>
      </c>
      <c r="J123" s="15">
        <f>IF(OR($A123="",$D123=0),0,$F123/ABS($D123))</f>
        <v/>
      </c>
      <c r="K123" s="15">
        <f>IF($A123="","",ROUND($D123,2))</f>
        <v/>
      </c>
      <c r="L123" s="15">
        <f>IF($A123="","",ROUND($C123,2))</f>
        <v/>
      </c>
      <c r="M123" s="15">
        <f>IF($A123="","",IF($F123&lt;=toleransKurus,1,0))</f>
        <v/>
      </c>
      <c r="N123" s="15">
        <f>IF($A123="","",IF($F123&gt;kdo_esikFark,1,0))</f>
        <v/>
      </c>
      <c r="O123" s="15">
        <f>IF($A123="","",IFERROR(SUMIF(tblMotor[A_Norm],$A123,tblMotor[SiparisToplam]),0))</f>
        <v/>
      </c>
      <c r="P123" s="15">
        <f>IF($A123="","",$B123+$M123+$N123)</f>
        <v/>
      </c>
    </row>
    <row r="124">
      <c r="A124" s="15">
        <f>IF('ANAHTAR'!$B124="","",'ANAHTAR'!$B124)</f>
        <v/>
      </c>
      <c r="B124" s="15">
        <f>IF($A124="","",COUNTIF(tblAnahtarB[NormB],$A124))</f>
        <v/>
      </c>
      <c r="C124" s="15">
        <f>IF($A124="","",IFERROR(SUMIF(tblMotor[A_Norm],$A124,tblMotor[SiparisToplam]),0))</f>
        <v/>
      </c>
      <c r="D124" s="15">
        <f>IF($A124="","",IFERROR(SUMIF(tblAnahtarA[Norm],$A124,tblVeriA[HedefMaliyet]),0))</f>
        <v/>
      </c>
      <c r="E124" s="15">
        <f>IF($A124="","",ROUND($D124,2)-ROUND($C124,2))</f>
        <v/>
      </c>
      <c r="F124" s="15">
        <f>IF($A124="","",ABS($E124))</f>
        <v/>
      </c>
      <c r="G124" s="15">
        <f>IF($A124="","",IF($B124=0,"eslesmedi",IF(ROUND($D124,2)=ROUND($C124,2),"eslesti",IF(ABS(ROUND($D124,2)-ROUND($C124,2))&lt;=toleransKurus,"tolerans_icinde","tutar_farki"))))</f>
        <v/>
      </c>
      <c r="H124" s="15">
        <f>IF($A124="","",IF($B124&gt;0,"BIRINCIL",IF(COUNTIF(tblAnahtarB[IkincilB],'ANAHTAR'!$D124)&gt;0,"IKINCIL","YOK")))</f>
        <v/>
      </c>
      <c r="I124" s="15">
        <f>IF($A124="","",'ANAHTAR'!$F124)</f>
        <v/>
      </c>
      <c r="J124" s="15">
        <f>IF(OR($A124="",$D124=0),0,$F124/ABS($D124))</f>
        <v/>
      </c>
      <c r="K124" s="15">
        <f>IF($A124="","",ROUND($D124,2))</f>
        <v/>
      </c>
      <c r="L124" s="15">
        <f>IF($A124="","",ROUND($C124,2))</f>
        <v/>
      </c>
      <c r="M124" s="15">
        <f>IF($A124="","",IF($F124&lt;=toleransKurus,1,0))</f>
        <v/>
      </c>
      <c r="N124" s="15">
        <f>IF($A124="","",IF($F124&gt;kdo_esikFark,1,0))</f>
        <v/>
      </c>
      <c r="O124" s="15">
        <f>IF($A124="","",IFERROR(SUMIF(tblMotor[A_Norm],$A124,tblMotor[SiparisToplam]),0))</f>
        <v/>
      </c>
      <c r="P124" s="15">
        <f>IF($A124="","",$B124+$M124+$N124)</f>
        <v/>
      </c>
    </row>
    <row r="125">
      <c r="A125" s="15">
        <f>IF('ANAHTAR'!$B125="","",'ANAHTAR'!$B125)</f>
        <v/>
      </c>
      <c r="B125" s="15">
        <f>IF($A125="","",COUNTIF(tblAnahtarB[NormB],$A125))</f>
        <v/>
      </c>
      <c r="C125" s="15">
        <f>IF($A125="","",IFERROR(SUMIF(tblMotor[A_Norm],$A125,tblMotor[SiparisToplam]),0))</f>
        <v/>
      </c>
      <c r="D125" s="15">
        <f>IF($A125="","",IFERROR(SUMIF(tblAnahtarA[Norm],$A125,tblVeriA[HedefMaliyet]),0))</f>
        <v/>
      </c>
      <c r="E125" s="15">
        <f>IF($A125="","",ROUND($D125,2)-ROUND($C125,2))</f>
        <v/>
      </c>
      <c r="F125" s="15">
        <f>IF($A125="","",ABS($E125))</f>
        <v/>
      </c>
      <c r="G125" s="15">
        <f>IF($A125="","",IF($B125=0,"eslesmedi",IF(ROUND($D125,2)=ROUND($C125,2),"eslesti",IF(ABS(ROUND($D125,2)-ROUND($C125,2))&lt;=toleransKurus,"tolerans_icinde","tutar_farki"))))</f>
        <v/>
      </c>
      <c r="H125" s="15">
        <f>IF($A125="","",IF($B125&gt;0,"BIRINCIL",IF(COUNTIF(tblAnahtarB[IkincilB],'ANAHTAR'!$D125)&gt;0,"IKINCIL","YOK")))</f>
        <v/>
      </c>
      <c r="I125" s="15">
        <f>IF($A125="","",'ANAHTAR'!$F125)</f>
        <v/>
      </c>
      <c r="J125" s="15">
        <f>IF(OR($A125="",$D125=0),0,$F125/ABS($D125))</f>
        <v/>
      </c>
      <c r="K125" s="15">
        <f>IF($A125="","",ROUND($D125,2))</f>
        <v/>
      </c>
      <c r="L125" s="15">
        <f>IF($A125="","",ROUND($C125,2))</f>
        <v/>
      </c>
      <c r="M125" s="15">
        <f>IF($A125="","",IF($F125&lt;=toleransKurus,1,0))</f>
        <v/>
      </c>
      <c r="N125" s="15">
        <f>IF($A125="","",IF($F125&gt;kdo_esikFark,1,0))</f>
        <v/>
      </c>
      <c r="O125" s="15">
        <f>IF($A125="","",IFERROR(SUMIF(tblMotor[A_Norm],$A125,tblMotor[SiparisToplam]),0))</f>
        <v/>
      </c>
      <c r="P125" s="15">
        <f>IF($A125="","",$B125+$M125+$N125)</f>
        <v/>
      </c>
    </row>
    <row r="126">
      <c r="A126" s="15">
        <f>IF('ANAHTAR'!$B126="","",'ANAHTAR'!$B126)</f>
        <v/>
      </c>
      <c r="B126" s="15">
        <f>IF($A126="","",COUNTIF(tblAnahtarB[NormB],$A126))</f>
        <v/>
      </c>
      <c r="C126" s="15">
        <f>IF($A126="","",IFERROR(SUMIF(tblMotor[A_Norm],$A126,tblMotor[SiparisToplam]),0))</f>
        <v/>
      </c>
      <c r="D126" s="15">
        <f>IF($A126="","",IFERROR(SUMIF(tblAnahtarA[Norm],$A126,tblVeriA[HedefMaliyet]),0))</f>
        <v/>
      </c>
      <c r="E126" s="15">
        <f>IF($A126="","",ROUND($D126,2)-ROUND($C126,2))</f>
        <v/>
      </c>
      <c r="F126" s="15">
        <f>IF($A126="","",ABS($E126))</f>
        <v/>
      </c>
      <c r="G126" s="15">
        <f>IF($A126="","",IF($B126=0,"eslesmedi",IF(ROUND($D126,2)=ROUND($C126,2),"eslesti",IF(ABS(ROUND($D126,2)-ROUND($C126,2))&lt;=toleransKurus,"tolerans_icinde","tutar_farki"))))</f>
        <v/>
      </c>
      <c r="H126" s="15">
        <f>IF($A126="","",IF($B126&gt;0,"BIRINCIL",IF(COUNTIF(tblAnahtarB[IkincilB],'ANAHTAR'!$D126)&gt;0,"IKINCIL","YOK")))</f>
        <v/>
      </c>
      <c r="I126" s="15">
        <f>IF($A126="","",'ANAHTAR'!$F126)</f>
        <v/>
      </c>
      <c r="J126" s="15">
        <f>IF(OR($A126="",$D126=0),0,$F126/ABS($D126))</f>
        <v/>
      </c>
      <c r="K126" s="15">
        <f>IF($A126="","",ROUND($D126,2))</f>
        <v/>
      </c>
      <c r="L126" s="15">
        <f>IF($A126="","",ROUND($C126,2))</f>
        <v/>
      </c>
      <c r="M126" s="15">
        <f>IF($A126="","",IF($F126&lt;=toleransKurus,1,0))</f>
        <v/>
      </c>
      <c r="N126" s="15">
        <f>IF($A126="","",IF($F126&gt;kdo_esikFark,1,0))</f>
        <v/>
      </c>
      <c r="O126" s="15">
        <f>IF($A126="","",IFERROR(SUMIF(tblMotor[A_Norm],$A126,tblMotor[SiparisToplam]),0))</f>
        <v/>
      </c>
      <c r="P126" s="15">
        <f>IF($A126="","",$B126+$M126+$N126)</f>
        <v/>
      </c>
    </row>
    <row r="127">
      <c r="A127" s="15">
        <f>IF('ANAHTAR'!$B127="","",'ANAHTAR'!$B127)</f>
        <v/>
      </c>
      <c r="B127" s="15">
        <f>IF($A127="","",COUNTIF(tblAnahtarB[NormB],$A127))</f>
        <v/>
      </c>
      <c r="C127" s="15">
        <f>IF($A127="","",IFERROR(SUMIF(tblMotor[A_Norm],$A127,tblMotor[SiparisToplam]),0))</f>
        <v/>
      </c>
      <c r="D127" s="15">
        <f>IF($A127="","",IFERROR(SUMIF(tblAnahtarA[Norm],$A127,tblVeriA[HedefMaliyet]),0))</f>
        <v/>
      </c>
      <c r="E127" s="15">
        <f>IF($A127="","",ROUND($D127,2)-ROUND($C127,2))</f>
        <v/>
      </c>
      <c r="F127" s="15">
        <f>IF($A127="","",ABS($E127))</f>
        <v/>
      </c>
      <c r="G127" s="15">
        <f>IF($A127="","",IF($B127=0,"eslesmedi",IF(ROUND($D127,2)=ROUND($C127,2),"eslesti",IF(ABS(ROUND($D127,2)-ROUND($C127,2))&lt;=toleransKurus,"tolerans_icinde","tutar_farki"))))</f>
        <v/>
      </c>
      <c r="H127" s="15">
        <f>IF($A127="","",IF($B127&gt;0,"BIRINCIL",IF(COUNTIF(tblAnahtarB[IkincilB],'ANAHTAR'!$D127)&gt;0,"IKINCIL","YOK")))</f>
        <v/>
      </c>
      <c r="I127" s="15">
        <f>IF($A127="","",'ANAHTAR'!$F127)</f>
        <v/>
      </c>
      <c r="J127" s="15">
        <f>IF(OR($A127="",$D127=0),0,$F127/ABS($D127))</f>
        <v/>
      </c>
      <c r="K127" s="15">
        <f>IF($A127="","",ROUND($D127,2))</f>
        <v/>
      </c>
      <c r="L127" s="15">
        <f>IF($A127="","",ROUND($C127,2))</f>
        <v/>
      </c>
      <c r="M127" s="15">
        <f>IF($A127="","",IF($F127&lt;=toleransKurus,1,0))</f>
        <v/>
      </c>
      <c r="N127" s="15">
        <f>IF($A127="","",IF($F127&gt;kdo_esikFark,1,0))</f>
        <v/>
      </c>
      <c r="O127" s="15">
        <f>IF($A127="","",IFERROR(SUMIF(tblMotor[A_Norm],$A127,tblMotor[SiparisToplam]),0))</f>
        <v/>
      </c>
      <c r="P127" s="15">
        <f>IF($A127="","",$B127+$M127+$N127)</f>
        <v/>
      </c>
    </row>
    <row r="128">
      <c r="A128" s="15">
        <f>IF('ANAHTAR'!$B128="","",'ANAHTAR'!$B128)</f>
        <v/>
      </c>
      <c r="B128" s="15">
        <f>IF($A128="","",COUNTIF(tblAnahtarB[NormB],$A128))</f>
        <v/>
      </c>
      <c r="C128" s="15">
        <f>IF($A128="","",IFERROR(SUMIF(tblMotor[A_Norm],$A128,tblMotor[SiparisToplam]),0))</f>
        <v/>
      </c>
      <c r="D128" s="15">
        <f>IF($A128="","",IFERROR(SUMIF(tblAnahtarA[Norm],$A128,tblVeriA[HedefMaliyet]),0))</f>
        <v/>
      </c>
      <c r="E128" s="15">
        <f>IF($A128="","",ROUND($D128,2)-ROUND($C128,2))</f>
        <v/>
      </c>
      <c r="F128" s="15">
        <f>IF($A128="","",ABS($E128))</f>
        <v/>
      </c>
      <c r="G128" s="15">
        <f>IF($A128="","",IF($B128=0,"eslesmedi",IF(ROUND($D128,2)=ROUND($C128,2),"eslesti",IF(ABS(ROUND($D128,2)-ROUND($C128,2))&lt;=toleransKurus,"tolerans_icinde","tutar_farki"))))</f>
        <v/>
      </c>
      <c r="H128" s="15">
        <f>IF($A128="","",IF($B128&gt;0,"BIRINCIL",IF(COUNTIF(tblAnahtarB[IkincilB],'ANAHTAR'!$D128)&gt;0,"IKINCIL","YOK")))</f>
        <v/>
      </c>
      <c r="I128" s="15">
        <f>IF($A128="","",'ANAHTAR'!$F128)</f>
        <v/>
      </c>
      <c r="J128" s="15">
        <f>IF(OR($A128="",$D128=0),0,$F128/ABS($D128))</f>
        <v/>
      </c>
      <c r="K128" s="15">
        <f>IF($A128="","",ROUND($D128,2))</f>
        <v/>
      </c>
      <c r="L128" s="15">
        <f>IF($A128="","",ROUND($C128,2))</f>
        <v/>
      </c>
      <c r="M128" s="15">
        <f>IF($A128="","",IF($F128&lt;=toleransKurus,1,0))</f>
        <v/>
      </c>
      <c r="N128" s="15">
        <f>IF($A128="","",IF($F128&gt;kdo_esikFark,1,0))</f>
        <v/>
      </c>
      <c r="O128" s="15">
        <f>IF($A128="","",IFERROR(SUMIF(tblMotor[A_Norm],$A128,tblMotor[SiparisToplam]),0))</f>
        <v/>
      </c>
      <c r="P128" s="15">
        <f>IF($A128="","",$B128+$M128+$N128)</f>
        <v/>
      </c>
    </row>
    <row r="129">
      <c r="A129" s="15">
        <f>IF('ANAHTAR'!$B129="","",'ANAHTAR'!$B129)</f>
        <v/>
      </c>
      <c r="B129" s="15">
        <f>IF($A129="","",COUNTIF(tblAnahtarB[NormB],$A129))</f>
        <v/>
      </c>
      <c r="C129" s="15">
        <f>IF($A129="","",IFERROR(SUMIF(tblMotor[A_Norm],$A129,tblMotor[SiparisToplam]),0))</f>
        <v/>
      </c>
      <c r="D129" s="15">
        <f>IF($A129="","",IFERROR(SUMIF(tblAnahtarA[Norm],$A129,tblVeriA[HedefMaliyet]),0))</f>
        <v/>
      </c>
      <c r="E129" s="15">
        <f>IF($A129="","",ROUND($D129,2)-ROUND($C129,2))</f>
        <v/>
      </c>
      <c r="F129" s="15">
        <f>IF($A129="","",ABS($E129))</f>
        <v/>
      </c>
      <c r="G129" s="15">
        <f>IF($A129="","",IF($B129=0,"eslesmedi",IF(ROUND($D129,2)=ROUND($C129,2),"eslesti",IF(ABS(ROUND($D129,2)-ROUND($C129,2))&lt;=toleransKurus,"tolerans_icinde","tutar_farki"))))</f>
        <v/>
      </c>
      <c r="H129" s="15">
        <f>IF($A129="","",IF($B129&gt;0,"BIRINCIL",IF(COUNTIF(tblAnahtarB[IkincilB],'ANAHTAR'!$D129)&gt;0,"IKINCIL","YOK")))</f>
        <v/>
      </c>
      <c r="I129" s="15">
        <f>IF($A129="","",'ANAHTAR'!$F129)</f>
        <v/>
      </c>
      <c r="J129" s="15">
        <f>IF(OR($A129="",$D129=0),0,$F129/ABS($D129))</f>
        <v/>
      </c>
      <c r="K129" s="15">
        <f>IF($A129="","",ROUND($D129,2))</f>
        <v/>
      </c>
      <c r="L129" s="15">
        <f>IF($A129="","",ROUND($C129,2))</f>
        <v/>
      </c>
      <c r="M129" s="15">
        <f>IF($A129="","",IF($F129&lt;=toleransKurus,1,0))</f>
        <v/>
      </c>
      <c r="N129" s="15">
        <f>IF($A129="","",IF($F129&gt;kdo_esikFark,1,0))</f>
        <v/>
      </c>
      <c r="O129" s="15">
        <f>IF($A129="","",IFERROR(SUMIF(tblMotor[A_Norm],$A129,tblMotor[SiparisToplam]),0))</f>
        <v/>
      </c>
      <c r="P129" s="15">
        <f>IF($A129="","",$B129+$M129+$N129)</f>
        <v/>
      </c>
    </row>
    <row r="130">
      <c r="A130" s="15">
        <f>IF('ANAHTAR'!$B130="","",'ANAHTAR'!$B130)</f>
        <v/>
      </c>
      <c r="B130" s="15">
        <f>IF($A130="","",COUNTIF(tblAnahtarB[NormB],$A130))</f>
        <v/>
      </c>
      <c r="C130" s="15">
        <f>IF($A130="","",IFERROR(SUMIF(tblMotor[A_Norm],$A130,tblMotor[SiparisToplam]),0))</f>
        <v/>
      </c>
      <c r="D130" s="15">
        <f>IF($A130="","",IFERROR(SUMIF(tblAnahtarA[Norm],$A130,tblVeriA[HedefMaliyet]),0))</f>
        <v/>
      </c>
      <c r="E130" s="15">
        <f>IF($A130="","",ROUND($D130,2)-ROUND($C130,2))</f>
        <v/>
      </c>
      <c r="F130" s="15">
        <f>IF($A130="","",ABS($E130))</f>
        <v/>
      </c>
      <c r="G130" s="15">
        <f>IF($A130="","",IF($B130=0,"eslesmedi",IF(ROUND($D130,2)=ROUND($C130,2),"eslesti",IF(ABS(ROUND($D130,2)-ROUND($C130,2))&lt;=toleransKurus,"tolerans_icinde","tutar_farki"))))</f>
        <v/>
      </c>
      <c r="H130" s="15">
        <f>IF($A130="","",IF($B130&gt;0,"BIRINCIL",IF(COUNTIF(tblAnahtarB[IkincilB],'ANAHTAR'!$D130)&gt;0,"IKINCIL","YOK")))</f>
        <v/>
      </c>
      <c r="I130" s="15">
        <f>IF($A130="","",'ANAHTAR'!$F130)</f>
        <v/>
      </c>
      <c r="J130" s="15">
        <f>IF(OR($A130="",$D130=0),0,$F130/ABS($D130))</f>
        <v/>
      </c>
      <c r="K130" s="15">
        <f>IF($A130="","",ROUND($D130,2))</f>
        <v/>
      </c>
      <c r="L130" s="15">
        <f>IF($A130="","",ROUND($C130,2))</f>
        <v/>
      </c>
      <c r="M130" s="15">
        <f>IF($A130="","",IF($F130&lt;=toleransKurus,1,0))</f>
        <v/>
      </c>
      <c r="N130" s="15">
        <f>IF($A130="","",IF($F130&gt;kdo_esikFark,1,0))</f>
        <v/>
      </c>
      <c r="O130" s="15">
        <f>IF($A130="","",IFERROR(SUMIF(tblMotor[A_Norm],$A130,tblMotor[SiparisToplam]),0))</f>
        <v/>
      </c>
      <c r="P130" s="15">
        <f>IF($A130="","",$B130+$M130+$N130)</f>
        <v/>
      </c>
    </row>
    <row r="131">
      <c r="A131" s="15">
        <f>IF('ANAHTAR'!$B131="","",'ANAHTAR'!$B131)</f>
        <v/>
      </c>
      <c r="B131" s="15">
        <f>IF($A131="","",COUNTIF(tblAnahtarB[NormB],$A131))</f>
        <v/>
      </c>
      <c r="C131" s="15">
        <f>IF($A131="","",IFERROR(SUMIF(tblMotor[A_Norm],$A131,tblMotor[SiparisToplam]),0))</f>
        <v/>
      </c>
      <c r="D131" s="15">
        <f>IF($A131="","",IFERROR(SUMIF(tblAnahtarA[Norm],$A131,tblVeriA[HedefMaliyet]),0))</f>
        <v/>
      </c>
      <c r="E131" s="15">
        <f>IF($A131="","",ROUND($D131,2)-ROUND($C131,2))</f>
        <v/>
      </c>
      <c r="F131" s="15">
        <f>IF($A131="","",ABS($E131))</f>
        <v/>
      </c>
      <c r="G131" s="15">
        <f>IF($A131="","",IF($B131=0,"eslesmedi",IF(ROUND($D131,2)=ROUND($C131,2),"eslesti",IF(ABS(ROUND($D131,2)-ROUND($C131,2))&lt;=toleransKurus,"tolerans_icinde","tutar_farki"))))</f>
        <v/>
      </c>
      <c r="H131" s="15">
        <f>IF($A131="","",IF($B131&gt;0,"BIRINCIL",IF(COUNTIF(tblAnahtarB[IkincilB],'ANAHTAR'!$D131)&gt;0,"IKINCIL","YOK")))</f>
        <v/>
      </c>
      <c r="I131" s="15">
        <f>IF($A131="","",'ANAHTAR'!$F131)</f>
        <v/>
      </c>
      <c r="J131" s="15">
        <f>IF(OR($A131="",$D131=0),0,$F131/ABS($D131))</f>
        <v/>
      </c>
      <c r="K131" s="15">
        <f>IF($A131="","",ROUND($D131,2))</f>
        <v/>
      </c>
      <c r="L131" s="15">
        <f>IF($A131="","",ROUND($C131,2))</f>
        <v/>
      </c>
      <c r="M131" s="15">
        <f>IF($A131="","",IF($F131&lt;=toleransKurus,1,0))</f>
        <v/>
      </c>
      <c r="N131" s="15">
        <f>IF($A131="","",IF($F131&gt;kdo_esikFark,1,0))</f>
        <v/>
      </c>
      <c r="O131" s="15">
        <f>IF($A131="","",IFERROR(SUMIF(tblMotor[A_Norm],$A131,tblMotor[SiparisToplam]),0))</f>
        <v/>
      </c>
      <c r="P131" s="15">
        <f>IF($A131="","",$B131+$M131+$N131)</f>
        <v/>
      </c>
    </row>
    <row r="132">
      <c r="A132" s="15">
        <f>IF('ANAHTAR'!$B132="","",'ANAHTAR'!$B132)</f>
        <v/>
      </c>
      <c r="B132" s="15">
        <f>IF($A132="","",COUNTIF(tblAnahtarB[NormB],$A132))</f>
        <v/>
      </c>
      <c r="C132" s="15">
        <f>IF($A132="","",IFERROR(SUMIF(tblMotor[A_Norm],$A132,tblMotor[SiparisToplam]),0))</f>
        <v/>
      </c>
      <c r="D132" s="15">
        <f>IF($A132="","",IFERROR(SUMIF(tblAnahtarA[Norm],$A132,tblVeriA[HedefMaliyet]),0))</f>
        <v/>
      </c>
      <c r="E132" s="15">
        <f>IF($A132="","",ROUND($D132,2)-ROUND($C132,2))</f>
        <v/>
      </c>
      <c r="F132" s="15">
        <f>IF($A132="","",ABS($E132))</f>
        <v/>
      </c>
      <c r="G132" s="15">
        <f>IF($A132="","",IF($B132=0,"eslesmedi",IF(ROUND($D132,2)=ROUND($C132,2),"eslesti",IF(ABS(ROUND($D132,2)-ROUND($C132,2))&lt;=toleransKurus,"tolerans_icinde","tutar_farki"))))</f>
        <v/>
      </c>
      <c r="H132" s="15">
        <f>IF($A132="","",IF($B132&gt;0,"BIRINCIL",IF(COUNTIF(tblAnahtarB[IkincilB],'ANAHTAR'!$D132)&gt;0,"IKINCIL","YOK")))</f>
        <v/>
      </c>
      <c r="I132" s="15">
        <f>IF($A132="","",'ANAHTAR'!$F132)</f>
        <v/>
      </c>
      <c r="J132" s="15">
        <f>IF(OR($A132="",$D132=0),0,$F132/ABS($D132))</f>
        <v/>
      </c>
      <c r="K132" s="15">
        <f>IF($A132="","",ROUND($D132,2))</f>
        <v/>
      </c>
      <c r="L132" s="15">
        <f>IF($A132="","",ROUND($C132,2))</f>
        <v/>
      </c>
      <c r="M132" s="15">
        <f>IF($A132="","",IF($F132&lt;=toleransKurus,1,0))</f>
        <v/>
      </c>
      <c r="N132" s="15">
        <f>IF($A132="","",IF($F132&gt;kdo_esikFark,1,0))</f>
        <v/>
      </c>
      <c r="O132" s="15">
        <f>IF($A132="","",IFERROR(SUMIF(tblMotor[A_Norm],$A132,tblMotor[SiparisToplam]),0))</f>
        <v/>
      </c>
      <c r="P132" s="15">
        <f>IF($A132="","",$B132+$M132+$N132)</f>
        <v/>
      </c>
    </row>
    <row r="133">
      <c r="A133" s="15">
        <f>IF('ANAHTAR'!$B133="","",'ANAHTAR'!$B133)</f>
        <v/>
      </c>
      <c r="B133" s="15">
        <f>IF($A133="","",COUNTIF(tblAnahtarB[NormB],$A133))</f>
        <v/>
      </c>
      <c r="C133" s="15">
        <f>IF($A133="","",IFERROR(SUMIF(tblMotor[A_Norm],$A133,tblMotor[SiparisToplam]),0))</f>
        <v/>
      </c>
      <c r="D133" s="15">
        <f>IF($A133="","",IFERROR(SUMIF(tblAnahtarA[Norm],$A133,tblVeriA[HedefMaliyet]),0))</f>
        <v/>
      </c>
      <c r="E133" s="15">
        <f>IF($A133="","",ROUND($D133,2)-ROUND($C133,2))</f>
        <v/>
      </c>
      <c r="F133" s="15">
        <f>IF($A133="","",ABS($E133))</f>
        <v/>
      </c>
      <c r="G133" s="15">
        <f>IF($A133="","",IF($B133=0,"eslesmedi",IF(ROUND($D133,2)=ROUND($C133,2),"eslesti",IF(ABS(ROUND($D133,2)-ROUND($C133,2))&lt;=toleransKurus,"tolerans_icinde","tutar_farki"))))</f>
        <v/>
      </c>
      <c r="H133" s="15">
        <f>IF($A133="","",IF($B133&gt;0,"BIRINCIL",IF(COUNTIF(tblAnahtarB[IkincilB],'ANAHTAR'!$D133)&gt;0,"IKINCIL","YOK")))</f>
        <v/>
      </c>
      <c r="I133" s="15">
        <f>IF($A133="","",'ANAHTAR'!$F133)</f>
        <v/>
      </c>
      <c r="J133" s="15">
        <f>IF(OR($A133="",$D133=0),0,$F133/ABS($D133))</f>
        <v/>
      </c>
      <c r="K133" s="15">
        <f>IF($A133="","",ROUND($D133,2))</f>
        <v/>
      </c>
      <c r="L133" s="15">
        <f>IF($A133="","",ROUND($C133,2))</f>
        <v/>
      </c>
      <c r="M133" s="15">
        <f>IF($A133="","",IF($F133&lt;=toleransKurus,1,0))</f>
        <v/>
      </c>
      <c r="N133" s="15">
        <f>IF($A133="","",IF($F133&gt;kdo_esikFark,1,0))</f>
        <v/>
      </c>
      <c r="O133" s="15">
        <f>IF($A133="","",IFERROR(SUMIF(tblMotor[A_Norm],$A133,tblMotor[SiparisToplam]),0))</f>
        <v/>
      </c>
      <c r="P133" s="15">
        <f>IF($A133="","",$B133+$M133+$N133)</f>
        <v/>
      </c>
    </row>
    <row r="134">
      <c r="A134" s="15">
        <f>IF('ANAHTAR'!$B134="","",'ANAHTAR'!$B134)</f>
        <v/>
      </c>
      <c r="B134" s="15">
        <f>IF($A134="","",COUNTIF(tblAnahtarB[NormB],$A134))</f>
        <v/>
      </c>
      <c r="C134" s="15">
        <f>IF($A134="","",IFERROR(SUMIF(tblMotor[A_Norm],$A134,tblMotor[SiparisToplam]),0))</f>
        <v/>
      </c>
      <c r="D134" s="15">
        <f>IF($A134="","",IFERROR(SUMIF(tblAnahtarA[Norm],$A134,tblVeriA[HedefMaliyet]),0))</f>
        <v/>
      </c>
      <c r="E134" s="15">
        <f>IF($A134="","",ROUND($D134,2)-ROUND($C134,2))</f>
        <v/>
      </c>
      <c r="F134" s="15">
        <f>IF($A134="","",ABS($E134))</f>
        <v/>
      </c>
      <c r="G134" s="15">
        <f>IF($A134="","",IF($B134=0,"eslesmedi",IF(ROUND($D134,2)=ROUND($C134,2),"eslesti",IF(ABS(ROUND($D134,2)-ROUND($C134,2))&lt;=toleransKurus,"tolerans_icinde","tutar_farki"))))</f>
        <v/>
      </c>
      <c r="H134" s="15">
        <f>IF($A134="","",IF($B134&gt;0,"BIRINCIL",IF(COUNTIF(tblAnahtarB[IkincilB],'ANAHTAR'!$D134)&gt;0,"IKINCIL","YOK")))</f>
        <v/>
      </c>
      <c r="I134" s="15">
        <f>IF($A134="","",'ANAHTAR'!$F134)</f>
        <v/>
      </c>
      <c r="J134" s="15">
        <f>IF(OR($A134="",$D134=0),0,$F134/ABS($D134))</f>
        <v/>
      </c>
      <c r="K134" s="15">
        <f>IF($A134="","",ROUND($D134,2))</f>
        <v/>
      </c>
      <c r="L134" s="15">
        <f>IF($A134="","",ROUND($C134,2))</f>
        <v/>
      </c>
      <c r="M134" s="15">
        <f>IF($A134="","",IF($F134&lt;=toleransKurus,1,0))</f>
        <v/>
      </c>
      <c r="N134" s="15">
        <f>IF($A134="","",IF($F134&gt;kdo_esikFark,1,0))</f>
        <v/>
      </c>
      <c r="O134" s="15">
        <f>IF($A134="","",IFERROR(SUMIF(tblMotor[A_Norm],$A134,tblMotor[SiparisToplam]),0))</f>
        <v/>
      </c>
      <c r="P134" s="15">
        <f>IF($A134="","",$B134+$M134+$N134)</f>
        <v/>
      </c>
    </row>
    <row r="135">
      <c r="A135" s="15">
        <f>IF('ANAHTAR'!$B135="","",'ANAHTAR'!$B135)</f>
        <v/>
      </c>
      <c r="B135" s="15">
        <f>IF($A135="","",COUNTIF(tblAnahtarB[NormB],$A135))</f>
        <v/>
      </c>
      <c r="C135" s="15">
        <f>IF($A135="","",IFERROR(SUMIF(tblMotor[A_Norm],$A135,tblMotor[SiparisToplam]),0))</f>
        <v/>
      </c>
      <c r="D135" s="15">
        <f>IF($A135="","",IFERROR(SUMIF(tblAnahtarA[Norm],$A135,tblVeriA[HedefMaliyet]),0))</f>
        <v/>
      </c>
      <c r="E135" s="15">
        <f>IF($A135="","",ROUND($D135,2)-ROUND($C135,2))</f>
        <v/>
      </c>
      <c r="F135" s="15">
        <f>IF($A135="","",ABS($E135))</f>
        <v/>
      </c>
      <c r="G135" s="15">
        <f>IF($A135="","",IF($B135=0,"eslesmedi",IF(ROUND($D135,2)=ROUND($C135,2),"eslesti",IF(ABS(ROUND($D135,2)-ROUND($C135,2))&lt;=toleransKurus,"tolerans_icinde","tutar_farki"))))</f>
        <v/>
      </c>
      <c r="H135" s="15">
        <f>IF($A135="","",IF($B135&gt;0,"BIRINCIL",IF(COUNTIF(tblAnahtarB[IkincilB],'ANAHTAR'!$D135)&gt;0,"IKINCIL","YOK")))</f>
        <v/>
      </c>
      <c r="I135" s="15">
        <f>IF($A135="","",'ANAHTAR'!$F135)</f>
        <v/>
      </c>
      <c r="J135" s="15">
        <f>IF(OR($A135="",$D135=0),0,$F135/ABS($D135))</f>
        <v/>
      </c>
      <c r="K135" s="15">
        <f>IF($A135="","",ROUND($D135,2))</f>
        <v/>
      </c>
      <c r="L135" s="15">
        <f>IF($A135="","",ROUND($C135,2))</f>
        <v/>
      </c>
      <c r="M135" s="15">
        <f>IF($A135="","",IF($F135&lt;=toleransKurus,1,0))</f>
        <v/>
      </c>
      <c r="N135" s="15">
        <f>IF($A135="","",IF($F135&gt;kdo_esikFark,1,0))</f>
        <v/>
      </c>
      <c r="O135" s="15">
        <f>IF($A135="","",IFERROR(SUMIF(tblMotor[A_Norm],$A135,tblMotor[SiparisToplam]),0))</f>
        <v/>
      </c>
      <c r="P135" s="15">
        <f>IF($A135="","",$B135+$M135+$N135)</f>
        <v/>
      </c>
    </row>
    <row r="136">
      <c r="A136" s="15">
        <f>IF('ANAHTAR'!$B136="","",'ANAHTAR'!$B136)</f>
        <v/>
      </c>
      <c r="B136" s="15">
        <f>IF($A136="","",COUNTIF(tblAnahtarB[NormB],$A136))</f>
        <v/>
      </c>
      <c r="C136" s="15">
        <f>IF($A136="","",IFERROR(SUMIF(tblMotor[A_Norm],$A136,tblMotor[SiparisToplam]),0))</f>
        <v/>
      </c>
      <c r="D136" s="15">
        <f>IF($A136="","",IFERROR(SUMIF(tblAnahtarA[Norm],$A136,tblVeriA[HedefMaliyet]),0))</f>
        <v/>
      </c>
      <c r="E136" s="15">
        <f>IF($A136="","",ROUND($D136,2)-ROUND($C136,2))</f>
        <v/>
      </c>
      <c r="F136" s="15">
        <f>IF($A136="","",ABS($E136))</f>
        <v/>
      </c>
      <c r="G136" s="15">
        <f>IF($A136="","",IF($B136=0,"eslesmedi",IF(ROUND($D136,2)=ROUND($C136,2),"eslesti",IF(ABS(ROUND($D136,2)-ROUND($C136,2))&lt;=toleransKurus,"tolerans_icinde","tutar_farki"))))</f>
        <v/>
      </c>
      <c r="H136" s="15">
        <f>IF($A136="","",IF($B136&gt;0,"BIRINCIL",IF(COUNTIF(tblAnahtarB[IkincilB],'ANAHTAR'!$D136)&gt;0,"IKINCIL","YOK")))</f>
        <v/>
      </c>
      <c r="I136" s="15">
        <f>IF($A136="","",'ANAHTAR'!$F136)</f>
        <v/>
      </c>
      <c r="J136" s="15">
        <f>IF(OR($A136="",$D136=0),0,$F136/ABS($D136))</f>
        <v/>
      </c>
      <c r="K136" s="15">
        <f>IF($A136="","",ROUND($D136,2))</f>
        <v/>
      </c>
      <c r="L136" s="15">
        <f>IF($A136="","",ROUND($C136,2))</f>
        <v/>
      </c>
      <c r="M136" s="15">
        <f>IF($A136="","",IF($F136&lt;=toleransKurus,1,0))</f>
        <v/>
      </c>
      <c r="N136" s="15">
        <f>IF($A136="","",IF($F136&gt;kdo_esikFark,1,0))</f>
        <v/>
      </c>
      <c r="O136" s="15">
        <f>IF($A136="","",IFERROR(SUMIF(tblMotor[A_Norm],$A136,tblMotor[SiparisToplam]),0))</f>
        <v/>
      </c>
      <c r="P136" s="15">
        <f>IF($A136="","",$B136+$M136+$N136)</f>
        <v/>
      </c>
    </row>
    <row r="137">
      <c r="A137" s="15">
        <f>IF('ANAHTAR'!$B137="","",'ANAHTAR'!$B137)</f>
        <v/>
      </c>
      <c r="B137" s="15">
        <f>IF($A137="","",COUNTIF(tblAnahtarB[NormB],$A137))</f>
        <v/>
      </c>
      <c r="C137" s="15">
        <f>IF($A137="","",IFERROR(SUMIF(tblMotor[A_Norm],$A137,tblMotor[SiparisToplam]),0))</f>
        <v/>
      </c>
      <c r="D137" s="15">
        <f>IF($A137="","",IFERROR(SUMIF(tblAnahtarA[Norm],$A137,tblVeriA[HedefMaliyet]),0))</f>
        <v/>
      </c>
      <c r="E137" s="15">
        <f>IF($A137="","",ROUND($D137,2)-ROUND($C137,2))</f>
        <v/>
      </c>
      <c r="F137" s="15">
        <f>IF($A137="","",ABS($E137))</f>
        <v/>
      </c>
      <c r="G137" s="15">
        <f>IF($A137="","",IF($B137=0,"eslesmedi",IF(ROUND($D137,2)=ROUND($C137,2),"eslesti",IF(ABS(ROUND($D137,2)-ROUND($C137,2))&lt;=toleransKurus,"tolerans_icinde","tutar_farki"))))</f>
        <v/>
      </c>
      <c r="H137" s="15">
        <f>IF($A137="","",IF($B137&gt;0,"BIRINCIL",IF(COUNTIF(tblAnahtarB[IkincilB],'ANAHTAR'!$D137)&gt;0,"IKINCIL","YOK")))</f>
        <v/>
      </c>
      <c r="I137" s="15">
        <f>IF($A137="","",'ANAHTAR'!$F137)</f>
        <v/>
      </c>
      <c r="J137" s="15">
        <f>IF(OR($A137="",$D137=0),0,$F137/ABS($D137))</f>
        <v/>
      </c>
      <c r="K137" s="15">
        <f>IF($A137="","",ROUND($D137,2))</f>
        <v/>
      </c>
      <c r="L137" s="15">
        <f>IF($A137="","",ROUND($C137,2))</f>
        <v/>
      </c>
      <c r="M137" s="15">
        <f>IF($A137="","",IF($F137&lt;=toleransKurus,1,0))</f>
        <v/>
      </c>
      <c r="N137" s="15">
        <f>IF($A137="","",IF($F137&gt;kdo_esikFark,1,0))</f>
        <v/>
      </c>
      <c r="O137" s="15">
        <f>IF($A137="","",IFERROR(SUMIF(tblMotor[A_Norm],$A137,tblMotor[SiparisToplam]),0))</f>
        <v/>
      </c>
      <c r="P137" s="15">
        <f>IF($A137="","",$B137+$M137+$N137)</f>
        <v/>
      </c>
    </row>
    <row r="138">
      <c r="A138" s="15">
        <f>IF('ANAHTAR'!$B138="","",'ANAHTAR'!$B138)</f>
        <v/>
      </c>
      <c r="B138" s="15">
        <f>IF($A138="","",COUNTIF(tblAnahtarB[NormB],$A138))</f>
        <v/>
      </c>
      <c r="C138" s="15">
        <f>IF($A138="","",IFERROR(SUMIF(tblMotor[A_Norm],$A138,tblMotor[SiparisToplam]),0))</f>
        <v/>
      </c>
      <c r="D138" s="15">
        <f>IF($A138="","",IFERROR(SUMIF(tblAnahtarA[Norm],$A138,tblVeriA[HedefMaliyet]),0))</f>
        <v/>
      </c>
      <c r="E138" s="15">
        <f>IF($A138="","",ROUND($D138,2)-ROUND($C138,2))</f>
        <v/>
      </c>
      <c r="F138" s="15">
        <f>IF($A138="","",ABS($E138))</f>
        <v/>
      </c>
      <c r="G138" s="15">
        <f>IF($A138="","",IF($B138=0,"eslesmedi",IF(ROUND($D138,2)=ROUND($C138,2),"eslesti",IF(ABS(ROUND($D138,2)-ROUND($C138,2))&lt;=toleransKurus,"tolerans_icinde","tutar_farki"))))</f>
        <v/>
      </c>
      <c r="H138" s="15">
        <f>IF($A138="","",IF($B138&gt;0,"BIRINCIL",IF(COUNTIF(tblAnahtarB[IkincilB],'ANAHTAR'!$D138)&gt;0,"IKINCIL","YOK")))</f>
        <v/>
      </c>
      <c r="I138" s="15">
        <f>IF($A138="","",'ANAHTAR'!$F138)</f>
        <v/>
      </c>
      <c r="J138" s="15">
        <f>IF(OR($A138="",$D138=0),0,$F138/ABS($D138))</f>
        <v/>
      </c>
      <c r="K138" s="15">
        <f>IF($A138="","",ROUND($D138,2))</f>
        <v/>
      </c>
      <c r="L138" s="15">
        <f>IF($A138="","",ROUND($C138,2))</f>
        <v/>
      </c>
      <c r="M138" s="15">
        <f>IF($A138="","",IF($F138&lt;=toleransKurus,1,0))</f>
        <v/>
      </c>
      <c r="N138" s="15">
        <f>IF($A138="","",IF($F138&gt;kdo_esikFark,1,0))</f>
        <v/>
      </c>
      <c r="O138" s="15">
        <f>IF($A138="","",IFERROR(SUMIF(tblMotor[A_Norm],$A138,tblMotor[SiparisToplam]),0))</f>
        <v/>
      </c>
      <c r="P138" s="15">
        <f>IF($A138="","",$B138+$M138+$N138)</f>
        <v/>
      </c>
    </row>
    <row r="139">
      <c r="A139" s="15">
        <f>IF('ANAHTAR'!$B139="","",'ANAHTAR'!$B139)</f>
        <v/>
      </c>
      <c r="B139" s="15">
        <f>IF($A139="","",COUNTIF(tblAnahtarB[NormB],$A139))</f>
        <v/>
      </c>
      <c r="C139" s="15">
        <f>IF($A139="","",IFERROR(SUMIF(tblMotor[A_Norm],$A139,tblMotor[SiparisToplam]),0))</f>
        <v/>
      </c>
      <c r="D139" s="15">
        <f>IF($A139="","",IFERROR(SUMIF(tblAnahtarA[Norm],$A139,tblVeriA[HedefMaliyet]),0))</f>
        <v/>
      </c>
      <c r="E139" s="15">
        <f>IF($A139="","",ROUND($D139,2)-ROUND($C139,2))</f>
        <v/>
      </c>
      <c r="F139" s="15">
        <f>IF($A139="","",ABS($E139))</f>
        <v/>
      </c>
      <c r="G139" s="15">
        <f>IF($A139="","",IF($B139=0,"eslesmedi",IF(ROUND($D139,2)=ROUND($C139,2),"eslesti",IF(ABS(ROUND($D139,2)-ROUND($C139,2))&lt;=toleransKurus,"tolerans_icinde","tutar_farki"))))</f>
        <v/>
      </c>
      <c r="H139" s="15">
        <f>IF($A139="","",IF($B139&gt;0,"BIRINCIL",IF(COUNTIF(tblAnahtarB[IkincilB],'ANAHTAR'!$D139)&gt;0,"IKINCIL","YOK")))</f>
        <v/>
      </c>
      <c r="I139" s="15">
        <f>IF($A139="","",'ANAHTAR'!$F139)</f>
        <v/>
      </c>
      <c r="J139" s="15">
        <f>IF(OR($A139="",$D139=0),0,$F139/ABS($D139))</f>
        <v/>
      </c>
      <c r="K139" s="15">
        <f>IF($A139="","",ROUND($D139,2))</f>
        <v/>
      </c>
      <c r="L139" s="15">
        <f>IF($A139="","",ROUND($C139,2))</f>
        <v/>
      </c>
      <c r="M139" s="15">
        <f>IF($A139="","",IF($F139&lt;=toleransKurus,1,0))</f>
        <v/>
      </c>
      <c r="N139" s="15">
        <f>IF($A139="","",IF($F139&gt;kdo_esikFark,1,0))</f>
        <v/>
      </c>
      <c r="O139" s="15">
        <f>IF($A139="","",IFERROR(SUMIF(tblMotor[A_Norm],$A139,tblMotor[SiparisToplam]),0))</f>
        <v/>
      </c>
      <c r="P139" s="15">
        <f>IF($A139="","",$B139+$M139+$N139)</f>
        <v/>
      </c>
    </row>
    <row r="140">
      <c r="A140" s="15">
        <f>IF('ANAHTAR'!$B140="","",'ANAHTAR'!$B140)</f>
        <v/>
      </c>
      <c r="B140" s="15">
        <f>IF($A140="","",COUNTIF(tblAnahtarB[NormB],$A140))</f>
        <v/>
      </c>
      <c r="C140" s="15">
        <f>IF($A140="","",IFERROR(SUMIF(tblMotor[A_Norm],$A140,tblMotor[SiparisToplam]),0))</f>
        <v/>
      </c>
      <c r="D140" s="15">
        <f>IF($A140="","",IFERROR(SUMIF(tblAnahtarA[Norm],$A140,tblVeriA[HedefMaliyet]),0))</f>
        <v/>
      </c>
      <c r="E140" s="15">
        <f>IF($A140="","",ROUND($D140,2)-ROUND($C140,2))</f>
        <v/>
      </c>
      <c r="F140" s="15">
        <f>IF($A140="","",ABS($E140))</f>
        <v/>
      </c>
      <c r="G140" s="15">
        <f>IF($A140="","",IF($B140=0,"eslesmedi",IF(ROUND($D140,2)=ROUND($C140,2),"eslesti",IF(ABS(ROUND($D140,2)-ROUND($C140,2))&lt;=toleransKurus,"tolerans_icinde","tutar_farki"))))</f>
        <v/>
      </c>
      <c r="H140" s="15">
        <f>IF($A140="","",IF($B140&gt;0,"BIRINCIL",IF(COUNTIF(tblAnahtarB[IkincilB],'ANAHTAR'!$D140)&gt;0,"IKINCIL","YOK")))</f>
        <v/>
      </c>
      <c r="I140" s="15">
        <f>IF($A140="","",'ANAHTAR'!$F140)</f>
        <v/>
      </c>
      <c r="J140" s="15">
        <f>IF(OR($A140="",$D140=0),0,$F140/ABS($D140))</f>
        <v/>
      </c>
      <c r="K140" s="15">
        <f>IF($A140="","",ROUND($D140,2))</f>
        <v/>
      </c>
      <c r="L140" s="15">
        <f>IF($A140="","",ROUND($C140,2))</f>
        <v/>
      </c>
      <c r="M140" s="15">
        <f>IF($A140="","",IF($F140&lt;=toleransKurus,1,0))</f>
        <v/>
      </c>
      <c r="N140" s="15">
        <f>IF($A140="","",IF($F140&gt;kdo_esikFark,1,0))</f>
        <v/>
      </c>
      <c r="O140" s="15">
        <f>IF($A140="","",IFERROR(SUMIF(tblMotor[A_Norm],$A140,tblMotor[SiparisToplam]),0))</f>
        <v/>
      </c>
      <c r="P140" s="15">
        <f>IF($A140="","",$B140+$M140+$N140)</f>
        <v/>
      </c>
    </row>
    <row r="141">
      <c r="A141" s="15">
        <f>IF('ANAHTAR'!$B141="","",'ANAHTAR'!$B141)</f>
        <v/>
      </c>
      <c r="B141" s="15">
        <f>IF($A141="","",COUNTIF(tblAnahtarB[NormB],$A141))</f>
        <v/>
      </c>
      <c r="C141" s="15">
        <f>IF($A141="","",IFERROR(SUMIF(tblMotor[A_Norm],$A141,tblMotor[SiparisToplam]),0))</f>
        <v/>
      </c>
      <c r="D141" s="15">
        <f>IF($A141="","",IFERROR(SUMIF(tblAnahtarA[Norm],$A141,tblVeriA[HedefMaliyet]),0))</f>
        <v/>
      </c>
      <c r="E141" s="15">
        <f>IF($A141="","",ROUND($D141,2)-ROUND($C141,2))</f>
        <v/>
      </c>
      <c r="F141" s="15">
        <f>IF($A141="","",ABS($E141))</f>
        <v/>
      </c>
      <c r="G141" s="15">
        <f>IF($A141="","",IF($B141=0,"eslesmedi",IF(ROUND($D141,2)=ROUND($C141,2),"eslesti",IF(ABS(ROUND($D141,2)-ROUND($C141,2))&lt;=toleransKurus,"tolerans_icinde","tutar_farki"))))</f>
        <v/>
      </c>
      <c r="H141" s="15">
        <f>IF($A141="","",IF($B141&gt;0,"BIRINCIL",IF(COUNTIF(tblAnahtarB[IkincilB],'ANAHTAR'!$D141)&gt;0,"IKINCIL","YOK")))</f>
        <v/>
      </c>
      <c r="I141" s="15">
        <f>IF($A141="","",'ANAHTAR'!$F141)</f>
        <v/>
      </c>
      <c r="J141" s="15">
        <f>IF(OR($A141="",$D141=0),0,$F141/ABS($D141))</f>
        <v/>
      </c>
      <c r="K141" s="15">
        <f>IF($A141="","",ROUND($D141,2))</f>
        <v/>
      </c>
      <c r="L141" s="15">
        <f>IF($A141="","",ROUND($C141,2))</f>
        <v/>
      </c>
      <c r="M141" s="15">
        <f>IF($A141="","",IF($F141&lt;=toleransKurus,1,0))</f>
        <v/>
      </c>
      <c r="N141" s="15">
        <f>IF($A141="","",IF($F141&gt;kdo_esikFark,1,0))</f>
        <v/>
      </c>
      <c r="O141" s="15">
        <f>IF($A141="","",IFERROR(SUMIF(tblMotor[A_Norm],$A141,tblMotor[SiparisToplam]),0))</f>
        <v/>
      </c>
      <c r="P141" s="15">
        <f>IF($A141="","",$B141+$M141+$N141)</f>
        <v/>
      </c>
    </row>
    <row r="142">
      <c r="A142" s="15">
        <f>IF('ANAHTAR'!$B142="","",'ANAHTAR'!$B142)</f>
        <v/>
      </c>
      <c r="B142" s="15">
        <f>IF($A142="","",COUNTIF(tblAnahtarB[NormB],$A142))</f>
        <v/>
      </c>
      <c r="C142" s="15">
        <f>IF($A142="","",IFERROR(SUMIF(tblMotor[A_Norm],$A142,tblMotor[SiparisToplam]),0))</f>
        <v/>
      </c>
      <c r="D142" s="15">
        <f>IF($A142="","",IFERROR(SUMIF(tblAnahtarA[Norm],$A142,tblVeriA[HedefMaliyet]),0))</f>
        <v/>
      </c>
      <c r="E142" s="15">
        <f>IF($A142="","",ROUND($D142,2)-ROUND($C142,2))</f>
        <v/>
      </c>
      <c r="F142" s="15">
        <f>IF($A142="","",ABS($E142))</f>
        <v/>
      </c>
      <c r="G142" s="15">
        <f>IF($A142="","",IF($B142=0,"eslesmedi",IF(ROUND($D142,2)=ROUND($C142,2),"eslesti",IF(ABS(ROUND($D142,2)-ROUND($C142,2))&lt;=toleransKurus,"tolerans_icinde","tutar_farki"))))</f>
        <v/>
      </c>
      <c r="H142" s="15">
        <f>IF($A142="","",IF($B142&gt;0,"BIRINCIL",IF(COUNTIF(tblAnahtarB[IkincilB],'ANAHTAR'!$D142)&gt;0,"IKINCIL","YOK")))</f>
        <v/>
      </c>
      <c r="I142" s="15">
        <f>IF($A142="","",'ANAHTAR'!$F142)</f>
        <v/>
      </c>
      <c r="J142" s="15">
        <f>IF(OR($A142="",$D142=0),0,$F142/ABS($D142))</f>
        <v/>
      </c>
      <c r="K142" s="15">
        <f>IF($A142="","",ROUND($D142,2))</f>
        <v/>
      </c>
      <c r="L142" s="15">
        <f>IF($A142="","",ROUND($C142,2))</f>
        <v/>
      </c>
      <c r="M142" s="15">
        <f>IF($A142="","",IF($F142&lt;=toleransKurus,1,0))</f>
        <v/>
      </c>
      <c r="N142" s="15">
        <f>IF($A142="","",IF($F142&gt;kdo_esikFark,1,0))</f>
        <v/>
      </c>
      <c r="O142" s="15">
        <f>IF($A142="","",IFERROR(SUMIF(tblMotor[A_Norm],$A142,tblMotor[SiparisToplam]),0))</f>
        <v/>
      </c>
      <c r="P142" s="15">
        <f>IF($A142="","",$B142+$M142+$N142)</f>
        <v/>
      </c>
    </row>
    <row r="143">
      <c r="A143" s="15">
        <f>IF('ANAHTAR'!$B143="","",'ANAHTAR'!$B143)</f>
        <v/>
      </c>
      <c r="B143" s="15">
        <f>IF($A143="","",COUNTIF(tblAnahtarB[NormB],$A143))</f>
        <v/>
      </c>
      <c r="C143" s="15">
        <f>IF($A143="","",IFERROR(SUMIF(tblMotor[A_Norm],$A143,tblMotor[SiparisToplam]),0))</f>
        <v/>
      </c>
      <c r="D143" s="15">
        <f>IF($A143="","",IFERROR(SUMIF(tblAnahtarA[Norm],$A143,tblVeriA[HedefMaliyet]),0))</f>
        <v/>
      </c>
      <c r="E143" s="15">
        <f>IF($A143="","",ROUND($D143,2)-ROUND($C143,2))</f>
        <v/>
      </c>
      <c r="F143" s="15">
        <f>IF($A143="","",ABS($E143))</f>
        <v/>
      </c>
      <c r="G143" s="15">
        <f>IF($A143="","",IF($B143=0,"eslesmedi",IF(ROUND($D143,2)=ROUND($C143,2),"eslesti",IF(ABS(ROUND($D143,2)-ROUND($C143,2))&lt;=toleransKurus,"tolerans_icinde","tutar_farki"))))</f>
        <v/>
      </c>
      <c r="H143" s="15">
        <f>IF($A143="","",IF($B143&gt;0,"BIRINCIL",IF(COUNTIF(tblAnahtarB[IkincilB],'ANAHTAR'!$D143)&gt;0,"IKINCIL","YOK")))</f>
        <v/>
      </c>
      <c r="I143" s="15">
        <f>IF($A143="","",'ANAHTAR'!$F143)</f>
        <v/>
      </c>
      <c r="J143" s="15">
        <f>IF(OR($A143="",$D143=0),0,$F143/ABS($D143))</f>
        <v/>
      </c>
      <c r="K143" s="15">
        <f>IF($A143="","",ROUND($D143,2))</f>
        <v/>
      </c>
      <c r="L143" s="15">
        <f>IF($A143="","",ROUND($C143,2))</f>
        <v/>
      </c>
      <c r="M143" s="15">
        <f>IF($A143="","",IF($F143&lt;=toleransKurus,1,0))</f>
        <v/>
      </c>
      <c r="N143" s="15">
        <f>IF($A143="","",IF($F143&gt;kdo_esikFark,1,0))</f>
        <v/>
      </c>
      <c r="O143" s="15">
        <f>IF($A143="","",IFERROR(SUMIF(tblMotor[A_Norm],$A143,tblMotor[SiparisToplam]),0))</f>
        <v/>
      </c>
      <c r="P143" s="15">
        <f>IF($A143="","",$B143+$M143+$N143)</f>
        <v/>
      </c>
    </row>
    <row r="144">
      <c r="A144" s="15">
        <f>IF('ANAHTAR'!$B144="","",'ANAHTAR'!$B144)</f>
        <v/>
      </c>
      <c r="B144" s="15">
        <f>IF($A144="","",COUNTIF(tblAnahtarB[NormB],$A144))</f>
        <v/>
      </c>
      <c r="C144" s="15">
        <f>IF($A144="","",IFERROR(SUMIF(tblMotor[A_Norm],$A144,tblMotor[SiparisToplam]),0))</f>
        <v/>
      </c>
      <c r="D144" s="15">
        <f>IF($A144="","",IFERROR(SUMIF(tblAnahtarA[Norm],$A144,tblVeriA[HedefMaliyet]),0))</f>
        <v/>
      </c>
      <c r="E144" s="15">
        <f>IF($A144="","",ROUND($D144,2)-ROUND($C144,2))</f>
        <v/>
      </c>
      <c r="F144" s="15">
        <f>IF($A144="","",ABS($E144))</f>
        <v/>
      </c>
      <c r="G144" s="15">
        <f>IF($A144="","",IF($B144=0,"eslesmedi",IF(ROUND($D144,2)=ROUND($C144,2),"eslesti",IF(ABS(ROUND($D144,2)-ROUND($C144,2))&lt;=toleransKurus,"tolerans_icinde","tutar_farki"))))</f>
        <v/>
      </c>
      <c r="H144" s="15">
        <f>IF($A144="","",IF($B144&gt;0,"BIRINCIL",IF(COUNTIF(tblAnahtarB[IkincilB],'ANAHTAR'!$D144)&gt;0,"IKINCIL","YOK")))</f>
        <v/>
      </c>
      <c r="I144" s="15">
        <f>IF($A144="","",'ANAHTAR'!$F144)</f>
        <v/>
      </c>
      <c r="J144" s="15">
        <f>IF(OR($A144="",$D144=0),0,$F144/ABS($D144))</f>
        <v/>
      </c>
      <c r="K144" s="15">
        <f>IF($A144="","",ROUND($D144,2))</f>
        <v/>
      </c>
      <c r="L144" s="15">
        <f>IF($A144="","",ROUND($C144,2))</f>
        <v/>
      </c>
      <c r="M144" s="15">
        <f>IF($A144="","",IF($F144&lt;=toleransKurus,1,0))</f>
        <v/>
      </c>
      <c r="N144" s="15">
        <f>IF($A144="","",IF($F144&gt;kdo_esikFark,1,0))</f>
        <v/>
      </c>
      <c r="O144" s="15">
        <f>IF($A144="","",IFERROR(SUMIF(tblMotor[A_Norm],$A144,tblMotor[SiparisToplam]),0))</f>
        <v/>
      </c>
      <c r="P144" s="15">
        <f>IF($A144="","",$B144+$M144+$N144)</f>
        <v/>
      </c>
    </row>
    <row r="145">
      <c r="A145" s="15">
        <f>IF('ANAHTAR'!$B145="","",'ANAHTAR'!$B145)</f>
        <v/>
      </c>
      <c r="B145" s="15">
        <f>IF($A145="","",COUNTIF(tblAnahtarB[NormB],$A145))</f>
        <v/>
      </c>
      <c r="C145" s="15">
        <f>IF($A145="","",IFERROR(SUMIF(tblMotor[A_Norm],$A145,tblMotor[SiparisToplam]),0))</f>
        <v/>
      </c>
      <c r="D145" s="15">
        <f>IF($A145="","",IFERROR(SUMIF(tblAnahtarA[Norm],$A145,tblVeriA[HedefMaliyet]),0))</f>
        <v/>
      </c>
      <c r="E145" s="15">
        <f>IF($A145="","",ROUND($D145,2)-ROUND($C145,2))</f>
        <v/>
      </c>
      <c r="F145" s="15">
        <f>IF($A145="","",ABS($E145))</f>
        <v/>
      </c>
      <c r="G145" s="15">
        <f>IF($A145="","",IF($B145=0,"eslesmedi",IF(ROUND($D145,2)=ROUND($C145,2),"eslesti",IF(ABS(ROUND($D145,2)-ROUND($C145,2))&lt;=toleransKurus,"tolerans_icinde","tutar_farki"))))</f>
        <v/>
      </c>
      <c r="H145" s="15">
        <f>IF($A145="","",IF($B145&gt;0,"BIRINCIL",IF(COUNTIF(tblAnahtarB[IkincilB],'ANAHTAR'!$D145)&gt;0,"IKINCIL","YOK")))</f>
        <v/>
      </c>
      <c r="I145" s="15">
        <f>IF($A145="","",'ANAHTAR'!$F145)</f>
        <v/>
      </c>
      <c r="J145" s="15">
        <f>IF(OR($A145="",$D145=0),0,$F145/ABS($D145))</f>
        <v/>
      </c>
      <c r="K145" s="15">
        <f>IF($A145="","",ROUND($D145,2))</f>
        <v/>
      </c>
      <c r="L145" s="15">
        <f>IF($A145="","",ROUND($C145,2))</f>
        <v/>
      </c>
      <c r="M145" s="15">
        <f>IF($A145="","",IF($F145&lt;=toleransKurus,1,0))</f>
        <v/>
      </c>
      <c r="N145" s="15">
        <f>IF($A145="","",IF($F145&gt;kdo_esikFark,1,0))</f>
        <v/>
      </c>
      <c r="O145" s="15">
        <f>IF($A145="","",IFERROR(SUMIF(tblMotor[A_Norm],$A145,tblMotor[SiparisToplam]),0))</f>
        <v/>
      </c>
      <c r="P145" s="15">
        <f>IF($A145="","",$B145+$M145+$N145)</f>
        <v/>
      </c>
    </row>
    <row r="146">
      <c r="A146" s="15">
        <f>IF('ANAHTAR'!$B146="","",'ANAHTAR'!$B146)</f>
        <v/>
      </c>
      <c r="B146" s="15">
        <f>IF($A146="","",COUNTIF(tblAnahtarB[NormB],$A146))</f>
        <v/>
      </c>
      <c r="C146" s="15">
        <f>IF($A146="","",IFERROR(SUMIF(tblMotor[A_Norm],$A146,tblMotor[SiparisToplam]),0))</f>
        <v/>
      </c>
      <c r="D146" s="15">
        <f>IF($A146="","",IFERROR(SUMIF(tblAnahtarA[Norm],$A146,tblVeriA[HedefMaliyet]),0))</f>
        <v/>
      </c>
      <c r="E146" s="15">
        <f>IF($A146="","",ROUND($D146,2)-ROUND($C146,2))</f>
        <v/>
      </c>
      <c r="F146" s="15">
        <f>IF($A146="","",ABS($E146))</f>
        <v/>
      </c>
      <c r="G146" s="15">
        <f>IF($A146="","",IF($B146=0,"eslesmedi",IF(ROUND($D146,2)=ROUND($C146,2),"eslesti",IF(ABS(ROUND($D146,2)-ROUND($C146,2))&lt;=toleransKurus,"tolerans_icinde","tutar_farki"))))</f>
        <v/>
      </c>
      <c r="H146" s="15">
        <f>IF($A146="","",IF($B146&gt;0,"BIRINCIL",IF(COUNTIF(tblAnahtarB[IkincilB],'ANAHTAR'!$D146)&gt;0,"IKINCIL","YOK")))</f>
        <v/>
      </c>
      <c r="I146" s="15">
        <f>IF($A146="","",'ANAHTAR'!$F146)</f>
        <v/>
      </c>
      <c r="J146" s="15">
        <f>IF(OR($A146="",$D146=0),0,$F146/ABS($D146))</f>
        <v/>
      </c>
      <c r="K146" s="15">
        <f>IF($A146="","",ROUND($D146,2))</f>
        <v/>
      </c>
      <c r="L146" s="15">
        <f>IF($A146="","",ROUND($C146,2))</f>
        <v/>
      </c>
      <c r="M146" s="15">
        <f>IF($A146="","",IF($F146&lt;=toleransKurus,1,0))</f>
        <v/>
      </c>
      <c r="N146" s="15">
        <f>IF($A146="","",IF($F146&gt;kdo_esikFark,1,0))</f>
        <v/>
      </c>
      <c r="O146" s="15">
        <f>IF($A146="","",IFERROR(SUMIF(tblMotor[A_Norm],$A146,tblMotor[SiparisToplam]),0))</f>
        <v/>
      </c>
      <c r="P146" s="15">
        <f>IF($A146="","",$B146+$M146+$N146)</f>
        <v/>
      </c>
    </row>
    <row r="147">
      <c r="A147" s="15">
        <f>IF('ANAHTAR'!$B147="","",'ANAHTAR'!$B147)</f>
        <v/>
      </c>
      <c r="B147" s="15">
        <f>IF($A147="","",COUNTIF(tblAnahtarB[NormB],$A147))</f>
        <v/>
      </c>
      <c r="C147" s="15">
        <f>IF($A147="","",IFERROR(SUMIF(tblMotor[A_Norm],$A147,tblMotor[SiparisToplam]),0))</f>
        <v/>
      </c>
      <c r="D147" s="15">
        <f>IF($A147="","",IFERROR(SUMIF(tblAnahtarA[Norm],$A147,tblVeriA[HedefMaliyet]),0))</f>
        <v/>
      </c>
      <c r="E147" s="15">
        <f>IF($A147="","",ROUND($D147,2)-ROUND($C147,2))</f>
        <v/>
      </c>
      <c r="F147" s="15">
        <f>IF($A147="","",ABS($E147))</f>
        <v/>
      </c>
      <c r="G147" s="15">
        <f>IF($A147="","",IF($B147=0,"eslesmedi",IF(ROUND($D147,2)=ROUND($C147,2),"eslesti",IF(ABS(ROUND($D147,2)-ROUND($C147,2))&lt;=toleransKurus,"tolerans_icinde","tutar_farki"))))</f>
        <v/>
      </c>
      <c r="H147" s="15">
        <f>IF($A147="","",IF($B147&gt;0,"BIRINCIL",IF(COUNTIF(tblAnahtarB[IkincilB],'ANAHTAR'!$D147)&gt;0,"IKINCIL","YOK")))</f>
        <v/>
      </c>
      <c r="I147" s="15">
        <f>IF($A147="","",'ANAHTAR'!$F147)</f>
        <v/>
      </c>
      <c r="J147" s="15">
        <f>IF(OR($A147="",$D147=0),0,$F147/ABS($D147))</f>
        <v/>
      </c>
      <c r="K147" s="15">
        <f>IF($A147="","",ROUND($D147,2))</f>
        <v/>
      </c>
      <c r="L147" s="15">
        <f>IF($A147="","",ROUND($C147,2))</f>
        <v/>
      </c>
      <c r="M147" s="15">
        <f>IF($A147="","",IF($F147&lt;=toleransKurus,1,0))</f>
        <v/>
      </c>
      <c r="N147" s="15">
        <f>IF($A147="","",IF($F147&gt;kdo_esikFark,1,0))</f>
        <v/>
      </c>
      <c r="O147" s="15">
        <f>IF($A147="","",IFERROR(SUMIF(tblMotor[A_Norm],$A147,tblMotor[SiparisToplam]),0))</f>
        <v/>
      </c>
      <c r="P147" s="15">
        <f>IF($A147="","",$B147+$M147+$N147)</f>
        <v/>
      </c>
    </row>
    <row r="148">
      <c r="A148" s="15">
        <f>IF('ANAHTAR'!$B148="","",'ANAHTAR'!$B148)</f>
        <v/>
      </c>
      <c r="B148" s="15">
        <f>IF($A148="","",COUNTIF(tblAnahtarB[NormB],$A148))</f>
        <v/>
      </c>
      <c r="C148" s="15">
        <f>IF($A148="","",IFERROR(SUMIF(tblMotor[A_Norm],$A148,tblMotor[SiparisToplam]),0))</f>
        <v/>
      </c>
      <c r="D148" s="15">
        <f>IF($A148="","",IFERROR(SUMIF(tblAnahtarA[Norm],$A148,tblVeriA[HedefMaliyet]),0))</f>
        <v/>
      </c>
      <c r="E148" s="15">
        <f>IF($A148="","",ROUND($D148,2)-ROUND($C148,2))</f>
        <v/>
      </c>
      <c r="F148" s="15">
        <f>IF($A148="","",ABS($E148))</f>
        <v/>
      </c>
      <c r="G148" s="15">
        <f>IF($A148="","",IF($B148=0,"eslesmedi",IF(ROUND($D148,2)=ROUND($C148,2),"eslesti",IF(ABS(ROUND($D148,2)-ROUND($C148,2))&lt;=toleransKurus,"tolerans_icinde","tutar_farki"))))</f>
        <v/>
      </c>
      <c r="H148" s="15">
        <f>IF($A148="","",IF($B148&gt;0,"BIRINCIL",IF(COUNTIF(tblAnahtarB[IkincilB],'ANAHTAR'!$D148)&gt;0,"IKINCIL","YOK")))</f>
        <v/>
      </c>
      <c r="I148" s="15">
        <f>IF($A148="","",'ANAHTAR'!$F148)</f>
        <v/>
      </c>
      <c r="J148" s="15">
        <f>IF(OR($A148="",$D148=0),0,$F148/ABS($D148))</f>
        <v/>
      </c>
      <c r="K148" s="15">
        <f>IF($A148="","",ROUND($D148,2))</f>
        <v/>
      </c>
      <c r="L148" s="15">
        <f>IF($A148="","",ROUND($C148,2))</f>
        <v/>
      </c>
      <c r="M148" s="15">
        <f>IF($A148="","",IF($F148&lt;=toleransKurus,1,0))</f>
        <v/>
      </c>
      <c r="N148" s="15">
        <f>IF($A148="","",IF($F148&gt;kdo_esikFark,1,0))</f>
        <v/>
      </c>
      <c r="O148" s="15">
        <f>IF($A148="","",IFERROR(SUMIF(tblMotor[A_Norm],$A148,tblMotor[SiparisToplam]),0))</f>
        <v/>
      </c>
      <c r="P148" s="15">
        <f>IF($A148="","",$B148+$M148+$N148)</f>
        <v/>
      </c>
    </row>
    <row r="149">
      <c r="A149" s="15">
        <f>IF('ANAHTAR'!$B149="","",'ANAHTAR'!$B149)</f>
        <v/>
      </c>
      <c r="B149" s="15">
        <f>IF($A149="","",COUNTIF(tblAnahtarB[NormB],$A149))</f>
        <v/>
      </c>
      <c r="C149" s="15">
        <f>IF($A149="","",IFERROR(SUMIF(tblMotor[A_Norm],$A149,tblMotor[SiparisToplam]),0))</f>
        <v/>
      </c>
      <c r="D149" s="15">
        <f>IF($A149="","",IFERROR(SUMIF(tblAnahtarA[Norm],$A149,tblVeriA[HedefMaliyet]),0))</f>
        <v/>
      </c>
      <c r="E149" s="15">
        <f>IF($A149="","",ROUND($D149,2)-ROUND($C149,2))</f>
        <v/>
      </c>
      <c r="F149" s="15">
        <f>IF($A149="","",ABS($E149))</f>
        <v/>
      </c>
      <c r="G149" s="15">
        <f>IF($A149="","",IF($B149=0,"eslesmedi",IF(ROUND($D149,2)=ROUND($C149,2),"eslesti",IF(ABS(ROUND($D149,2)-ROUND($C149,2))&lt;=toleransKurus,"tolerans_icinde","tutar_farki"))))</f>
        <v/>
      </c>
      <c r="H149" s="15">
        <f>IF($A149="","",IF($B149&gt;0,"BIRINCIL",IF(COUNTIF(tblAnahtarB[IkincilB],'ANAHTAR'!$D149)&gt;0,"IKINCIL","YOK")))</f>
        <v/>
      </c>
      <c r="I149" s="15">
        <f>IF($A149="","",'ANAHTAR'!$F149)</f>
        <v/>
      </c>
      <c r="J149" s="15">
        <f>IF(OR($A149="",$D149=0),0,$F149/ABS($D149))</f>
        <v/>
      </c>
      <c r="K149" s="15">
        <f>IF($A149="","",ROUND($D149,2))</f>
        <v/>
      </c>
      <c r="L149" s="15">
        <f>IF($A149="","",ROUND($C149,2))</f>
        <v/>
      </c>
      <c r="M149" s="15">
        <f>IF($A149="","",IF($F149&lt;=toleransKurus,1,0))</f>
        <v/>
      </c>
      <c r="N149" s="15">
        <f>IF($A149="","",IF($F149&gt;kdo_esikFark,1,0))</f>
        <v/>
      </c>
      <c r="O149" s="15">
        <f>IF($A149="","",IFERROR(SUMIF(tblMotor[A_Norm],$A149,tblMotor[SiparisToplam]),0))</f>
        <v/>
      </c>
      <c r="P149" s="15">
        <f>IF($A149="","",$B149+$M149+$N149)</f>
        <v/>
      </c>
    </row>
    <row r="150">
      <c r="A150" s="15">
        <f>IF('ANAHTAR'!$B150="","",'ANAHTAR'!$B150)</f>
        <v/>
      </c>
      <c r="B150" s="15">
        <f>IF($A150="","",COUNTIF(tblAnahtarB[NormB],$A150))</f>
        <v/>
      </c>
      <c r="C150" s="15">
        <f>IF($A150="","",IFERROR(SUMIF(tblMotor[A_Norm],$A150,tblMotor[SiparisToplam]),0))</f>
        <v/>
      </c>
      <c r="D150" s="15">
        <f>IF($A150="","",IFERROR(SUMIF(tblAnahtarA[Norm],$A150,tblVeriA[HedefMaliyet]),0))</f>
        <v/>
      </c>
      <c r="E150" s="15">
        <f>IF($A150="","",ROUND($D150,2)-ROUND($C150,2))</f>
        <v/>
      </c>
      <c r="F150" s="15">
        <f>IF($A150="","",ABS($E150))</f>
        <v/>
      </c>
      <c r="G150" s="15">
        <f>IF($A150="","",IF($B150=0,"eslesmedi",IF(ROUND($D150,2)=ROUND($C150,2),"eslesti",IF(ABS(ROUND($D150,2)-ROUND($C150,2))&lt;=toleransKurus,"tolerans_icinde","tutar_farki"))))</f>
        <v/>
      </c>
      <c r="H150" s="15">
        <f>IF($A150="","",IF($B150&gt;0,"BIRINCIL",IF(COUNTIF(tblAnahtarB[IkincilB],'ANAHTAR'!$D150)&gt;0,"IKINCIL","YOK")))</f>
        <v/>
      </c>
      <c r="I150" s="15">
        <f>IF($A150="","",'ANAHTAR'!$F150)</f>
        <v/>
      </c>
      <c r="J150" s="15">
        <f>IF(OR($A150="",$D150=0),0,$F150/ABS($D150))</f>
        <v/>
      </c>
      <c r="K150" s="15">
        <f>IF($A150="","",ROUND($D150,2))</f>
        <v/>
      </c>
      <c r="L150" s="15">
        <f>IF($A150="","",ROUND($C150,2))</f>
        <v/>
      </c>
      <c r="M150" s="15">
        <f>IF($A150="","",IF($F150&lt;=toleransKurus,1,0))</f>
        <v/>
      </c>
      <c r="N150" s="15">
        <f>IF($A150="","",IF($F150&gt;kdo_esikFark,1,0))</f>
        <v/>
      </c>
      <c r="O150" s="15">
        <f>IF($A150="","",IFERROR(SUMIF(tblMotor[A_Norm],$A150,tblMotor[SiparisToplam]),0))</f>
        <v/>
      </c>
      <c r="P150" s="15">
        <f>IF($A150="","",$B150+$M150+$N150)</f>
        <v/>
      </c>
    </row>
    <row r="151">
      <c r="A151" s="15">
        <f>IF('ANAHTAR'!$B151="","",'ANAHTAR'!$B151)</f>
        <v/>
      </c>
      <c r="B151" s="15">
        <f>IF($A151="","",COUNTIF(tblAnahtarB[NormB],$A151))</f>
        <v/>
      </c>
      <c r="C151" s="15">
        <f>IF($A151="","",IFERROR(SUMIF(tblMotor[A_Norm],$A151,tblMotor[SiparisToplam]),0))</f>
        <v/>
      </c>
      <c r="D151" s="15">
        <f>IF($A151="","",IFERROR(SUMIF(tblAnahtarA[Norm],$A151,tblVeriA[HedefMaliyet]),0))</f>
        <v/>
      </c>
      <c r="E151" s="15">
        <f>IF($A151="","",ROUND($D151,2)-ROUND($C151,2))</f>
        <v/>
      </c>
      <c r="F151" s="15">
        <f>IF($A151="","",ABS($E151))</f>
        <v/>
      </c>
      <c r="G151" s="15">
        <f>IF($A151="","",IF($B151=0,"eslesmedi",IF(ROUND($D151,2)=ROUND($C151,2),"eslesti",IF(ABS(ROUND($D151,2)-ROUND($C151,2))&lt;=toleransKurus,"tolerans_icinde","tutar_farki"))))</f>
        <v/>
      </c>
      <c r="H151" s="15">
        <f>IF($A151="","",IF($B151&gt;0,"BIRINCIL",IF(COUNTIF(tblAnahtarB[IkincilB],'ANAHTAR'!$D151)&gt;0,"IKINCIL","YOK")))</f>
        <v/>
      </c>
      <c r="I151" s="15">
        <f>IF($A151="","",'ANAHTAR'!$F151)</f>
        <v/>
      </c>
      <c r="J151" s="15">
        <f>IF(OR($A151="",$D151=0),0,$F151/ABS($D151))</f>
        <v/>
      </c>
      <c r="K151" s="15">
        <f>IF($A151="","",ROUND($D151,2))</f>
        <v/>
      </c>
      <c r="L151" s="15">
        <f>IF($A151="","",ROUND($C151,2))</f>
        <v/>
      </c>
      <c r="M151" s="15">
        <f>IF($A151="","",IF($F151&lt;=toleransKurus,1,0))</f>
        <v/>
      </c>
      <c r="N151" s="15">
        <f>IF($A151="","",IF($F151&gt;kdo_esikFark,1,0))</f>
        <v/>
      </c>
      <c r="O151" s="15">
        <f>IF($A151="","",IFERROR(SUMIF(tblMotor[A_Norm],$A151,tblMotor[SiparisToplam]),0))</f>
        <v/>
      </c>
      <c r="P151" s="15">
        <f>IF($A151="","",$B151+$M151+$N151)</f>
        <v/>
      </c>
    </row>
    <row r="152">
      <c r="A152" s="15">
        <f>IF('ANAHTAR'!$B152="","",'ANAHTAR'!$B152)</f>
        <v/>
      </c>
      <c r="B152" s="15">
        <f>IF($A152="","",COUNTIF(tblAnahtarB[NormB],$A152))</f>
        <v/>
      </c>
      <c r="C152" s="15">
        <f>IF($A152="","",IFERROR(SUMIF(tblMotor[A_Norm],$A152,tblMotor[SiparisToplam]),0))</f>
        <v/>
      </c>
      <c r="D152" s="15">
        <f>IF($A152="","",IFERROR(SUMIF(tblAnahtarA[Norm],$A152,tblVeriA[HedefMaliyet]),0))</f>
        <v/>
      </c>
      <c r="E152" s="15">
        <f>IF($A152="","",ROUND($D152,2)-ROUND($C152,2))</f>
        <v/>
      </c>
      <c r="F152" s="15">
        <f>IF($A152="","",ABS($E152))</f>
        <v/>
      </c>
      <c r="G152" s="15">
        <f>IF($A152="","",IF($B152=0,"eslesmedi",IF(ROUND($D152,2)=ROUND($C152,2),"eslesti",IF(ABS(ROUND($D152,2)-ROUND($C152,2))&lt;=toleransKurus,"tolerans_icinde","tutar_farki"))))</f>
        <v/>
      </c>
      <c r="H152" s="15">
        <f>IF($A152="","",IF($B152&gt;0,"BIRINCIL",IF(COUNTIF(tblAnahtarB[IkincilB],'ANAHTAR'!$D152)&gt;0,"IKINCIL","YOK")))</f>
        <v/>
      </c>
      <c r="I152" s="15">
        <f>IF($A152="","",'ANAHTAR'!$F152)</f>
        <v/>
      </c>
      <c r="J152" s="15">
        <f>IF(OR($A152="",$D152=0),0,$F152/ABS($D152))</f>
        <v/>
      </c>
      <c r="K152" s="15">
        <f>IF($A152="","",ROUND($D152,2))</f>
        <v/>
      </c>
      <c r="L152" s="15">
        <f>IF($A152="","",ROUND($C152,2))</f>
        <v/>
      </c>
      <c r="M152" s="15">
        <f>IF($A152="","",IF($F152&lt;=toleransKurus,1,0))</f>
        <v/>
      </c>
      <c r="N152" s="15">
        <f>IF($A152="","",IF($F152&gt;kdo_esikFark,1,0))</f>
        <v/>
      </c>
      <c r="O152" s="15">
        <f>IF($A152="","",IFERROR(SUMIF(tblMotor[A_Norm],$A152,tblMotor[SiparisToplam]),0))</f>
        <v/>
      </c>
      <c r="P152" s="15">
        <f>IF($A152="","",$B152+$M152+$N152)</f>
        <v/>
      </c>
    </row>
    <row r="153">
      <c r="A153" s="15">
        <f>IF('ANAHTAR'!$B153="","",'ANAHTAR'!$B153)</f>
        <v/>
      </c>
      <c r="B153" s="15">
        <f>IF($A153="","",COUNTIF(tblAnahtarB[NormB],$A153))</f>
        <v/>
      </c>
      <c r="C153" s="15">
        <f>IF($A153="","",IFERROR(SUMIF(tblMotor[A_Norm],$A153,tblMotor[SiparisToplam]),0))</f>
        <v/>
      </c>
      <c r="D153" s="15">
        <f>IF($A153="","",IFERROR(SUMIF(tblAnahtarA[Norm],$A153,tblVeriA[HedefMaliyet]),0))</f>
        <v/>
      </c>
      <c r="E153" s="15">
        <f>IF($A153="","",ROUND($D153,2)-ROUND($C153,2))</f>
        <v/>
      </c>
      <c r="F153" s="15">
        <f>IF($A153="","",ABS($E153))</f>
        <v/>
      </c>
      <c r="G153" s="15">
        <f>IF($A153="","",IF($B153=0,"eslesmedi",IF(ROUND($D153,2)=ROUND($C153,2),"eslesti",IF(ABS(ROUND($D153,2)-ROUND($C153,2))&lt;=toleransKurus,"tolerans_icinde","tutar_farki"))))</f>
        <v/>
      </c>
      <c r="H153" s="15">
        <f>IF($A153="","",IF($B153&gt;0,"BIRINCIL",IF(COUNTIF(tblAnahtarB[IkincilB],'ANAHTAR'!$D153)&gt;0,"IKINCIL","YOK")))</f>
        <v/>
      </c>
      <c r="I153" s="15">
        <f>IF($A153="","",'ANAHTAR'!$F153)</f>
        <v/>
      </c>
      <c r="J153" s="15">
        <f>IF(OR($A153="",$D153=0),0,$F153/ABS($D153))</f>
        <v/>
      </c>
      <c r="K153" s="15">
        <f>IF($A153="","",ROUND($D153,2))</f>
        <v/>
      </c>
      <c r="L153" s="15">
        <f>IF($A153="","",ROUND($C153,2))</f>
        <v/>
      </c>
      <c r="M153" s="15">
        <f>IF($A153="","",IF($F153&lt;=toleransKurus,1,0))</f>
        <v/>
      </c>
      <c r="N153" s="15">
        <f>IF($A153="","",IF($F153&gt;kdo_esikFark,1,0))</f>
        <v/>
      </c>
      <c r="O153" s="15">
        <f>IF($A153="","",IFERROR(SUMIF(tblMotor[A_Norm],$A153,tblMotor[SiparisToplam]),0))</f>
        <v/>
      </c>
      <c r="P153" s="15">
        <f>IF($A153="","",$B153+$M153+$N153)</f>
        <v/>
      </c>
    </row>
    <row r="154">
      <c r="A154" s="15">
        <f>IF('ANAHTAR'!$B154="","",'ANAHTAR'!$B154)</f>
        <v/>
      </c>
      <c r="B154" s="15">
        <f>IF($A154="","",COUNTIF(tblAnahtarB[NormB],$A154))</f>
        <v/>
      </c>
      <c r="C154" s="15">
        <f>IF($A154="","",IFERROR(SUMIF(tblMotor[A_Norm],$A154,tblMotor[SiparisToplam]),0))</f>
        <v/>
      </c>
      <c r="D154" s="15">
        <f>IF($A154="","",IFERROR(SUMIF(tblAnahtarA[Norm],$A154,tblVeriA[HedefMaliyet]),0))</f>
        <v/>
      </c>
      <c r="E154" s="15">
        <f>IF($A154="","",ROUND($D154,2)-ROUND($C154,2))</f>
        <v/>
      </c>
      <c r="F154" s="15">
        <f>IF($A154="","",ABS($E154))</f>
        <v/>
      </c>
      <c r="G154" s="15">
        <f>IF($A154="","",IF($B154=0,"eslesmedi",IF(ROUND($D154,2)=ROUND($C154,2),"eslesti",IF(ABS(ROUND($D154,2)-ROUND($C154,2))&lt;=toleransKurus,"tolerans_icinde","tutar_farki"))))</f>
        <v/>
      </c>
      <c r="H154" s="15">
        <f>IF($A154="","",IF($B154&gt;0,"BIRINCIL",IF(COUNTIF(tblAnahtarB[IkincilB],'ANAHTAR'!$D154)&gt;0,"IKINCIL","YOK")))</f>
        <v/>
      </c>
      <c r="I154" s="15">
        <f>IF($A154="","",'ANAHTAR'!$F154)</f>
        <v/>
      </c>
      <c r="J154" s="15">
        <f>IF(OR($A154="",$D154=0),0,$F154/ABS($D154))</f>
        <v/>
      </c>
      <c r="K154" s="15">
        <f>IF($A154="","",ROUND($D154,2))</f>
        <v/>
      </c>
      <c r="L154" s="15">
        <f>IF($A154="","",ROUND($C154,2))</f>
        <v/>
      </c>
      <c r="M154" s="15">
        <f>IF($A154="","",IF($F154&lt;=toleransKurus,1,0))</f>
        <v/>
      </c>
      <c r="N154" s="15">
        <f>IF($A154="","",IF($F154&gt;kdo_esikFark,1,0))</f>
        <v/>
      </c>
      <c r="O154" s="15">
        <f>IF($A154="","",IFERROR(SUMIF(tblMotor[A_Norm],$A154,tblMotor[SiparisToplam]),0))</f>
        <v/>
      </c>
      <c r="P154" s="15">
        <f>IF($A154="","",$B154+$M154+$N154)</f>
        <v/>
      </c>
    </row>
    <row r="155">
      <c r="A155" s="15">
        <f>IF('ANAHTAR'!$B155="","",'ANAHTAR'!$B155)</f>
        <v/>
      </c>
      <c r="B155" s="15">
        <f>IF($A155="","",COUNTIF(tblAnahtarB[NormB],$A155))</f>
        <v/>
      </c>
      <c r="C155" s="15">
        <f>IF($A155="","",IFERROR(SUMIF(tblMotor[A_Norm],$A155,tblMotor[SiparisToplam]),0))</f>
        <v/>
      </c>
      <c r="D155" s="15">
        <f>IF($A155="","",IFERROR(SUMIF(tblAnahtarA[Norm],$A155,tblVeriA[HedefMaliyet]),0))</f>
        <v/>
      </c>
      <c r="E155" s="15">
        <f>IF($A155="","",ROUND($D155,2)-ROUND($C155,2))</f>
        <v/>
      </c>
      <c r="F155" s="15">
        <f>IF($A155="","",ABS($E155))</f>
        <v/>
      </c>
      <c r="G155" s="15">
        <f>IF($A155="","",IF($B155=0,"eslesmedi",IF(ROUND($D155,2)=ROUND($C155,2),"eslesti",IF(ABS(ROUND($D155,2)-ROUND($C155,2))&lt;=toleransKurus,"tolerans_icinde","tutar_farki"))))</f>
        <v/>
      </c>
      <c r="H155" s="15">
        <f>IF($A155="","",IF($B155&gt;0,"BIRINCIL",IF(COUNTIF(tblAnahtarB[IkincilB],'ANAHTAR'!$D155)&gt;0,"IKINCIL","YOK")))</f>
        <v/>
      </c>
      <c r="I155" s="15">
        <f>IF($A155="","",'ANAHTAR'!$F155)</f>
        <v/>
      </c>
      <c r="J155" s="15">
        <f>IF(OR($A155="",$D155=0),0,$F155/ABS($D155))</f>
        <v/>
      </c>
      <c r="K155" s="15">
        <f>IF($A155="","",ROUND($D155,2))</f>
        <v/>
      </c>
      <c r="L155" s="15">
        <f>IF($A155="","",ROUND($C155,2))</f>
        <v/>
      </c>
      <c r="M155" s="15">
        <f>IF($A155="","",IF($F155&lt;=toleransKurus,1,0))</f>
        <v/>
      </c>
      <c r="N155" s="15">
        <f>IF($A155="","",IF($F155&gt;kdo_esikFark,1,0))</f>
        <v/>
      </c>
      <c r="O155" s="15">
        <f>IF($A155="","",IFERROR(SUMIF(tblMotor[A_Norm],$A155,tblMotor[SiparisToplam]),0))</f>
        <v/>
      </c>
      <c r="P155" s="15">
        <f>IF($A155="","",$B155+$M155+$N155)</f>
        <v/>
      </c>
    </row>
    <row r="156">
      <c r="A156" s="15">
        <f>IF('ANAHTAR'!$B156="","",'ANAHTAR'!$B156)</f>
        <v/>
      </c>
      <c r="B156" s="15">
        <f>IF($A156="","",COUNTIF(tblAnahtarB[NormB],$A156))</f>
        <v/>
      </c>
      <c r="C156" s="15">
        <f>IF($A156="","",IFERROR(SUMIF(tblMotor[A_Norm],$A156,tblMotor[SiparisToplam]),0))</f>
        <v/>
      </c>
      <c r="D156" s="15">
        <f>IF($A156="","",IFERROR(SUMIF(tblAnahtarA[Norm],$A156,tblVeriA[HedefMaliyet]),0))</f>
        <v/>
      </c>
      <c r="E156" s="15">
        <f>IF($A156="","",ROUND($D156,2)-ROUND($C156,2))</f>
        <v/>
      </c>
      <c r="F156" s="15">
        <f>IF($A156="","",ABS($E156))</f>
        <v/>
      </c>
      <c r="G156" s="15">
        <f>IF($A156="","",IF($B156=0,"eslesmedi",IF(ROUND($D156,2)=ROUND($C156,2),"eslesti",IF(ABS(ROUND($D156,2)-ROUND($C156,2))&lt;=toleransKurus,"tolerans_icinde","tutar_farki"))))</f>
        <v/>
      </c>
      <c r="H156" s="15">
        <f>IF($A156="","",IF($B156&gt;0,"BIRINCIL",IF(COUNTIF(tblAnahtarB[IkincilB],'ANAHTAR'!$D156)&gt;0,"IKINCIL","YOK")))</f>
        <v/>
      </c>
      <c r="I156" s="15">
        <f>IF($A156="","",'ANAHTAR'!$F156)</f>
        <v/>
      </c>
      <c r="J156" s="15">
        <f>IF(OR($A156="",$D156=0),0,$F156/ABS($D156))</f>
        <v/>
      </c>
      <c r="K156" s="15">
        <f>IF($A156="","",ROUND($D156,2))</f>
        <v/>
      </c>
      <c r="L156" s="15">
        <f>IF($A156="","",ROUND($C156,2))</f>
        <v/>
      </c>
      <c r="M156" s="15">
        <f>IF($A156="","",IF($F156&lt;=toleransKurus,1,0))</f>
        <v/>
      </c>
      <c r="N156" s="15">
        <f>IF($A156="","",IF($F156&gt;kdo_esikFark,1,0))</f>
        <v/>
      </c>
      <c r="O156" s="15">
        <f>IF($A156="","",IFERROR(SUMIF(tblMotor[A_Norm],$A156,tblMotor[SiparisToplam]),0))</f>
        <v/>
      </c>
      <c r="P156" s="15">
        <f>IF($A156="","",$B156+$M156+$N156)</f>
        <v/>
      </c>
    </row>
    <row r="157">
      <c r="A157" s="15">
        <f>IF('ANAHTAR'!$B157="","",'ANAHTAR'!$B157)</f>
        <v/>
      </c>
      <c r="B157" s="15">
        <f>IF($A157="","",COUNTIF(tblAnahtarB[NormB],$A157))</f>
        <v/>
      </c>
      <c r="C157" s="15">
        <f>IF($A157="","",IFERROR(SUMIF(tblMotor[A_Norm],$A157,tblMotor[SiparisToplam]),0))</f>
        <v/>
      </c>
      <c r="D157" s="15">
        <f>IF($A157="","",IFERROR(SUMIF(tblAnahtarA[Norm],$A157,tblVeriA[HedefMaliyet]),0))</f>
        <v/>
      </c>
      <c r="E157" s="15">
        <f>IF($A157="","",ROUND($D157,2)-ROUND($C157,2))</f>
        <v/>
      </c>
      <c r="F157" s="15">
        <f>IF($A157="","",ABS($E157))</f>
        <v/>
      </c>
      <c r="G157" s="15">
        <f>IF($A157="","",IF($B157=0,"eslesmedi",IF(ROUND($D157,2)=ROUND($C157,2),"eslesti",IF(ABS(ROUND($D157,2)-ROUND($C157,2))&lt;=toleransKurus,"tolerans_icinde","tutar_farki"))))</f>
        <v/>
      </c>
      <c r="H157" s="15">
        <f>IF($A157="","",IF($B157&gt;0,"BIRINCIL",IF(COUNTIF(tblAnahtarB[IkincilB],'ANAHTAR'!$D157)&gt;0,"IKINCIL","YOK")))</f>
        <v/>
      </c>
      <c r="I157" s="15">
        <f>IF($A157="","",'ANAHTAR'!$F157)</f>
        <v/>
      </c>
      <c r="J157" s="15">
        <f>IF(OR($A157="",$D157=0),0,$F157/ABS($D157))</f>
        <v/>
      </c>
      <c r="K157" s="15">
        <f>IF($A157="","",ROUND($D157,2))</f>
        <v/>
      </c>
      <c r="L157" s="15">
        <f>IF($A157="","",ROUND($C157,2))</f>
        <v/>
      </c>
      <c r="M157" s="15">
        <f>IF($A157="","",IF($F157&lt;=toleransKurus,1,0))</f>
        <v/>
      </c>
      <c r="N157" s="15">
        <f>IF($A157="","",IF($F157&gt;kdo_esikFark,1,0))</f>
        <v/>
      </c>
      <c r="O157" s="15">
        <f>IF($A157="","",IFERROR(SUMIF(tblMotor[A_Norm],$A157,tblMotor[SiparisToplam]),0))</f>
        <v/>
      </c>
      <c r="P157" s="15">
        <f>IF($A157="","",$B157+$M157+$N157)</f>
        <v/>
      </c>
    </row>
    <row r="158">
      <c r="A158" s="15">
        <f>IF('ANAHTAR'!$B158="","",'ANAHTAR'!$B158)</f>
        <v/>
      </c>
      <c r="B158" s="15">
        <f>IF($A158="","",COUNTIF(tblAnahtarB[NormB],$A158))</f>
        <v/>
      </c>
      <c r="C158" s="15">
        <f>IF($A158="","",IFERROR(SUMIF(tblMotor[A_Norm],$A158,tblMotor[SiparisToplam]),0))</f>
        <v/>
      </c>
      <c r="D158" s="15">
        <f>IF($A158="","",IFERROR(SUMIF(tblAnahtarA[Norm],$A158,tblVeriA[HedefMaliyet]),0))</f>
        <v/>
      </c>
      <c r="E158" s="15">
        <f>IF($A158="","",ROUND($D158,2)-ROUND($C158,2))</f>
        <v/>
      </c>
      <c r="F158" s="15">
        <f>IF($A158="","",ABS($E158))</f>
        <v/>
      </c>
      <c r="G158" s="15">
        <f>IF($A158="","",IF($B158=0,"eslesmedi",IF(ROUND($D158,2)=ROUND($C158,2),"eslesti",IF(ABS(ROUND($D158,2)-ROUND($C158,2))&lt;=toleransKurus,"tolerans_icinde","tutar_farki"))))</f>
        <v/>
      </c>
      <c r="H158" s="15">
        <f>IF($A158="","",IF($B158&gt;0,"BIRINCIL",IF(COUNTIF(tblAnahtarB[IkincilB],'ANAHTAR'!$D158)&gt;0,"IKINCIL","YOK")))</f>
        <v/>
      </c>
      <c r="I158" s="15">
        <f>IF($A158="","",'ANAHTAR'!$F158)</f>
        <v/>
      </c>
      <c r="J158" s="15">
        <f>IF(OR($A158="",$D158=0),0,$F158/ABS($D158))</f>
        <v/>
      </c>
      <c r="K158" s="15">
        <f>IF($A158="","",ROUND($D158,2))</f>
        <v/>
      </c>
      <c r="L158" s="15">
        <f>IF($A158="","",ROUND($C158,2))</f>
        <v/>
      </c>
      <c r="M158" s="15">
        <f>IF($A158="","",IF($F158&lt;=toleransKurus,1,0))</f>
        <v/>
      </c>
      <c r="N158" s="15">
        <f>IF($A158="","",IF($F158&gt;kdo_esikFark,1,0))</f>
        <v/>
      </c>
      <c r="O158" s="15">
        <f>IF($A158="","",IFERROR(SUMIF(tblMotor[A_Norm],$A158,tblMotor[SiparisToplam]),0))</f>
        <v/>
      </c>
      <c r="P158" s="15">
        <f>IF($A158="","",$B158+$M158+$N158)</f>
        <v/>
      </c>
    </row>
    <row r="159">
      <c r="A159" s="15">
        <f>IF('ANAHTAR'!$B159="","",'ANAHTAR'!$B159)</f>
        <v/>
      </c>
      <c r="B159" s="15">
        <f>IF($A159="","",COUNTIF(tblAnahtarB[NormB],$A159))</f>
        <v/>
      </c>
      <c r="C159" s="15">
        <f>IF($A159="","",IFERROR(SUMIF(tblMotor[A_Norm],$A159,tblMotor[SiparisToplam]),0))</f>
        <v/>
      </c>
      <c r="D159" s="15">
        <f>IF($A159="","",IFERROR(SUMIF(tblAnahtarA[Norm],$A159,tblVeriA[HedefMaliyet]),0))</f>
        <v/>
      </c>
      <c r="E159" s="15">
        <f>IF($A159="","",ROUND($D159,2)-ROUND($C159,2))</f>
        <v/>
      </c>
      <c r="F159" s="15">
        <f>IF($A159="","",ABS($E159))</f>
        <v/>
      </c>
      <c r="G159" s="15">
        <f>IF($A159="","",IF($B159=0,"eslesmedi",IF(ROUND($D159,2)=ROUND($C159,2),"eslesti",IF(ABS(ROUND($D159,2)-ROUND($C159,2))&lt;=toleransKurus,"tolerans_icinde","tutar_farki"))))</f>
        <v/>
      </c>
      <c r="H159" s="15">
        <f>IF($A159="","",IF($B159&gt;0,"BIRINCIL",IF(COUNTIF(tblAnahtarB[IkincilB],'ANAHTAR'!$D159)&gt;0,"IKINCIL","YOK")))</f>
        <v/>
      </c>
      <c r="I159" s="15">
        <f>IF($A159="","",'ANAHTAR'!$F159)</f>
        <v/>
      </c>
      <c r="J159" s="15">
        <f>IF(OR($A159="",$D159=0),0,$F159/ABS($D159))</f>
        <v/>
      </c>
      <c r="K159" s="15">
        <f>IF($A159="","",ROUND($D159,2))</f>
        <v/>
      </c>
      <c r="L159" s="15">
        <f>IF($A159="","",ROUND($C159,2))</f>
        <v/>
      </c>
      <c r="M159" s="15">
        <f>IF($A159="","",IF($F159&lt;=toleransKurus,1,0))</f>
        <v/>
      </c>
      <c r="N159" s="15">
        <f>IF($A159="","",IF($F159&gt;kdo_esikFark,1,0))</f>
        <v/>
      </c>
      <c r="O159" s="15">
        <f>IF($A159="","",IFERROR(SUMIF(tblMotor[A_Norm],$A159,tblMotor[SiparisToplam]),0))</f>
        <v/>
      </c>
      <c r="P159" s="15">
        <f>IF($A159="","",$B159+$M159+$N159)</f>
        <v/>
      </c>
    </row>
    <row r="160">
      <c r="A160" s="15">
        <f>IF('ANAHTAR'!$B160="","",'ANAHTAR'!$B160)</f>
        <v/>
      </c>
      <c r="B160" s="15">
        <f>IF($A160="","",COUNTIF(tblAnahtarB[NormB],$A160))</f>
        <v/>
      </c>
      <c r="C160" s="15">
        <f>IF($A160="","",IFERROR(SUMIF(tblMotor[A_Norm],$A160,tblMotor[SiparisToplam]),0))</f>
        <v/>
      </c>
      <c r="D160" s="15">
        <f>IF($A160="","",IFERROR(SUMIF(tblAnahtarA[Norm],$A160,tblVeriA[HedefMaliyet]),0))</f>
        <v/>
      </c>
      <c r="E160" s="15">
        <f>IF($A160="","",ROUND($D160,2)-ROUND($C160,2))</f>
        <v/>
      </c>
      <c r="F160" s="15">
        <f>IF($A160="","",ABS($E160))</f>
        <v/>
      </c>
      <c r="G160" s="15">
        <f>IF($A160="","",IF($B160=0,"eslesmedi",IF(ROUND($D160,2)=ROUND($C160,2),"eslesti",IF(ABS(ROUND($D160,2)-ROUND($C160,2))&lt;=toleransKurus,"tolerans_icinde","tutar_farki"))))</f>
        <v/>
      </c>
      <c r="H160" s="15">
        <f>IF($A160="","",IF($B160&gt;0,"BIRINCIL",IF(COUNTIF(tblAnahtarB[IkincilB],'ANAHTAR'!$D160)&gt;0,"IKINCIL","YOK")))</f>
        <v/>
      </c>
      <c r="I160" s="15">
        <f>IF($A160="","",'ANAHTAR'!$F160)</f>
        <v/>
      </c>
      <c r="J160" s="15">
        <f>IF(OR($A160="",$D160=0),0,$F160/ABS($D160))</f>
        <v/>
      </c>
      <c r="K160" s="15">
        <f>IF($A160="","",ROUND($D160,2))</f>
        <v/>
      </c>
      <c r="L160" s="15">
        <f>IF($A160="","",ROUND($C160,2))</f>
        <v/>
      </c>
      <c r="M160" s="15">
        <f>IF($A160="","",IF($F160&lt;=toleransKurus,1,0))</f>
        <v/>
      </c>
      <c r="N160" s="15">
        <f>IF($A160="","",IF($F160&gt;kdo_esikFark,1,0))</f>
        <v/>
      </c>
      <c r="O160" s="15">
        <f>IF($A160="","",IFERROR(SUMIF(tblMotor[A_Norm],$A160,tblMotor[SiparisToplam]),0))</f>
        <v/>
      </c>
      <c r="P160" s="15">
        <f>IF($A160="","",$B160+$M160+$N160)</f>
        <v/>
      </c>
    </row>
    <row r="161">
      <c r="A161" s="15">
        <f>IF('ANAHTAR'!$B161="","",'ANAHTAR'!$B161)</f>
        <v/>
      </c>
      <c r="B161" s="15">
        <f>IF($A161="","",COUNTIF(tblAnahtarB[NormB],$A161))</f>
        <v/>
      </c>
      <c r="C161" s="15">
        <f>IF($A161="","",IFERROR(SUMIF(tblMotor[A_Norm],$A161,tblMotor[SiparisToplam]),0))</f>
        <v/>
      </c>
      <c r="D161" s="15">
        <f>IF($A161="","",IFERROR(SUMIF(tblAnahtarA[Norm],$A161,tblVeriA[HedefMaliyet]),0))</f>
        <v/>
      </c>
      <c r="E161" s="15">
        <f>IF($A161="","",ROUND($D161,2)-ROUND($C161,2))</f>
        <v/>
      </c>
      <c r="F161" s="15">
        <f>IF($A161="","",ABS($E161))</f>
        <v/>
      </c>
      <c r="G161" s="15">
        <f>IF($A161="","",IF($B161=0,"eslesmedi",IF(ROUND($D161,2)=ROUND($C161,2),"eslesti",IF(ABS(ROUND($D161,2)-ROUND($C161,2))&lt;=toleransKurus,"tolerans_icinde","tutar_farki"))))</f>
        <v/>
      </c>
      <c r="H161" s="15">
        <f>IF($A161="","",IF($B161&gt;0,"BIRINCIL",IF(COUNTIF(tblAnahtarB[IkincilB],'ANAHTAR'!$D161)&gt;0,"IKINCIL","YOK")))</f>
        <v/>
      </c>
      <c r="I161" s="15">
        <f>IF($A161="","",'ANAHTAR'!$F161)</f>
        <v/>
      </c>
      <c r="J161" s="15">
        <f>IF(OR($A161="",$D161=0),0,$F161/ABS($D161))</f>
        <v/>
      </c>
      <c r="K161" s="15">
        <f>IF($A161="","",ROUND($D161,2))</f>
        <v/>
      </c>
      <c r="L161" s="15">
        <f>IF($A161="","",ROUND($C161,2))</f>
        <v/>
      </c>
      <c r="M161" s="15">
        <f>IF($A161="","",IF($F161&lt;=toleransKurus,1,0))</f>
        <v/>
      </c>
      <c r="N161" s="15">
        <f>IF($A161="","",IF($F161&gt;kdo_esikFark,1,0))</f>
        <v/>
      </c>
      <c r="O161" s="15">
        <f>IF($A161="","",IFERROR(SUMIF(tblMotor[A_Norm],$A161,tblMotor[SiparisToplam]),0))</f>
        <v/>
      </c>
      <c r="P161" s="15">
        <f>IF($A161="","",$B161+$M161+$N161)</f>
        <v/>
      </c>
    </row>
    <row r="162">
      <c r="A162" s="15">
        <f>IF('ANAHTAR'!$B162="","",'ANAHTAR'!$B162)</f>
        <v/>
      </c>
      <c r="B162" s="15">
        <f>IF($A162="","",COUNTIF(tblAnahtarB[NormB],$A162))</f>
        <v/>
      </c>
      <c r="C162" s="15">
        <f>IF($A162="","",IFERROR(SUMIF(tblMotor[A_Norm],$A162,tblMotor[SiparisToplam]),0))</f>
        <v/>
      </c>
      <c r="D162" s="15">
        <f>IF($A162="","",IFERROR(SUMIF(tblAnahtarA[Norm],$A162,tblVeriA[HedefMaliyet]),0))</f>
        <v/>
      </c>
      <c r="E162" s="15">
        <f>IF($A162="","",ROUND($D162,2)-ROUND($C162,2))</f>
        <v/>
      </c>
      <c r="F162" s="15">
        <f>IF($A162="","",ABS($E162))</f>
        <v/>
      </c>
      <c r="G162" s="15">
        <f>IF($A162="","",IF($B162=0,"eslesmedi",IF(ROUND($D162,2)=ROUND($C162,2),"eslesti",IF(ABS(ROUND($D162,2)-ROUND($C162,2))&lt;=toleransKurus,"tolerans_icinde","tutar_farki"))))</f>
        <v/>
      </c>
      <c r="H162" s="15">
        <f>IF($A162="","",IF($B162&gt;0,"BIRINCIL",IF(COUNTIF(tblAnahtarB[IkincilB],'ANAHTAR'!$D162)&gt;0,"IKINCIL","YOK")))</f>
        <v/>
      </c>
      <c r="I162" s="15">
        <f>IF($A162="","",'ANAHTAR'!$F162)</f>
        <v/>
      </c>
      <c r="J162" s="15">
        <f>IF(OR($A162="",$D162=0),0,$F162/ABS($D162))</f>
        <v/>
      </c>
      <c r="K162" s="15">
        <f>IF($A162="","",ROUND($D162,2))</f>
        <v/>
      </c>
      <c r="L162" s="15">
        <f>IF($A162="","",ROUND($C162,2))</f>
        <v/>
      </c>
      <c r="M162" s="15">
        <f>IF($A162="","",IF($F162&lt;=toleransKurus,1,0))</f>
        <v/>
      </c>
      <c r="N162" s="15">
        <f>IF($A162="","",IF($F162&gt;kdo_esikFark,1,0))</f>
        <v/>
      </c>
      <c r="O162" s="15">
        <f>IF($A162="","",IFERROR(SUMIF(tblMotor[A_Norm],$A162,tblMotor[SiparisToplam]),0))</f>
        <v/>
      </c>
      <c r="P162" s="15">
        <f>IF($A162="","",$B162+$M162+$N162)</f>
        <v/>
      </c>
    </row>
    <row r="163">
      <c r="A163" s="15">
        <f>IF('ANAHTAR'!$B163="","",'ANAHTAR'!$B163)</f>
        <v/>
      </c>
      <c r="B163" s="15">
        <f>IF($A163="","",COUNTIF(tblAnahtarB[NormB],$A163))</f>
        <v/>
      </c>
      <c r="C163" s="15">
        <f>IF($A163="","",IFERROR(SUMIF(tblMotor[A_Norm],$A163,tblMotor[SiparisToplam]),0))</f>
        <v/>
      </c>
      <c r="D163" s="15">
        <f>IF($A163="","",IFERROR(SUMIF(tblAnahtarA[Norm],$A163,tblVeriA[HedefMaliyet]),0))</f>
        <v/>
      </c>
      <c r="E163" s="15">
        <f>IF($A163="","",ROUND($D163,2)-ROUND($C163,2))</f>
        <v/>
      </c>
      <c r="F163" s="15">
        <f>IF($A163="","",ABS($E163))</f>
        <v/>
      </c>
      <c r="G163" s="15">
        <f>IF($A163="","",IF($B163=0,"eslesmedi",IF(ROUND($D163,2)=ROUND($C163,2),"eslesti",IF(ABS(ROUND($D163,2)-ROUND($C163,2))&lt;=toleransKurus,"tolerans_icinde","tutar_farki"))))</f>
        <v/>
      </c>
      <c r="H163" s="15">
        <f>IF($A163="","",IF($B163&gt;0,"BIRINCIL",IF(COUNTIF(tblAnahtarB[IkincilB],'ANAHTAR'!$D163)&gt;0,"IKINCIL","YOK")))</f>
        <v/>
      </c>
      <c r="I163" s="15">
        <f>IF($A163="","",'ANAHTAR'!$F163)</f>
        <v/>
      </c>
      <c r="J163" s="15">
        <f>IF(OR($A163="",$D163=0),0,$F163/ABS($D163))</f>
        <v/>
      </c>
      <c r="K163" s="15">
        <f>IF($A163="","",ROUND($D163,2))</f>
        <v/>
      </c>
      <c r="L163" s="15">
        <f>IF($A163="","",ROUND($C163,2))</f>
        <v/>
      </c>
      <c r="M163" s="15">
        <f>IF($A163="","",IF($F163&lt;=toleransKurus,1,0))</f>
        <v/>
      </c>
      <c r="N163" s="15">
        <f>IF($A163="","",IF($F163&gt;kdo_esikFark,1,0))</f>
        <v/>
      </c>
      <c r="O163" s="15">
        <f>IF($A163="","",IFERROR(SUMIF(tblMotor[A_Norm],$A163,tblMotor[SiparisToplam]),0))</f>
        <v/>
      </c>
      <c r="P163" s="15">
        <f>IF($A163="","",$B163+$M163+$N163)</f>
        <v/>
      </c>
    </row>
    <row r="164">
      <c r="A164" s="15">
        <f>IF('ANAHTAR'!$B164="","",'ANAHTAR'!$B164)</f>
        <v/>
      </c>
      <c r="B164" s="15">
        <f>IF($A164="","",COUNTIF(tblAnahtarB[NormB],$A164))</f>
        <v/>
      </c>
      <c r="C164" s="15">
        <f>IF($A164="","",IFERROR(SUMIF(tblMotor[A_Norm],$A164,tblMotor[SiparisToplam]),0))</f>
        <v/>
      </c>
      <c r="D164" s="15">
        <f>IF($A164="","",IFERROR(SUMIF(tblAnahtarA[Norm],$A164,tblVeriA[HedefMaliyet]),0))</f>
        <v/>
      </c>
      <c r="E164" s="15">
        <f>IF($A164="","",ROUND($D164,2)-ROUND($C164,2))</f>
        <v/>
      </c>
      <c r="F164" s="15">
        <f>IF($A164="","",ABS($E164))</f>
        <v/>
      </c>
      <c r="G164" s="15">
        <f>IF($A164="","",IF($B164=0,"eslesmedi",IF(ROUND($D164,2)=ROUND($C164,2),"eslesti",IF(ABS(ROUND($D164,2)-ROUND($C164,2))&lt;=toleransKurus,"tolerans_icinde","tutar_farki"))))</f>
        <v/>
      </c>
      <c r="H164" s="15">
        <f>IF($A164="","",IF($B164&gt;0,"BIRINCIL",IF(COUNTIF(tblAnahtarB[IkincilB],'ANAHTAR'!$D164)&gt;0,"IKINCIL","YOK")))</f>
        <v/>
      </c>
      <c r="I164" s="15">
        <f>IF($A164="","",'ANAHTAR'!$F164)</f>
        <v/>
      </c>
      <c r="J164" s="15">
        <f>IF(OR($A164="",$D164=0),0,$F164/ABS($D164))</f>
        <v/>
      </c>
      <c r="K164" s="15">
        <f>IF($A164="","",ROUND($D164,2))</f>
        <v/>
      </c>
      <c r="L164" s="15">
        <f>IF($A164="","",ROUND($C164,2))</f>
        <v/>
      </c>
      <c r="M164" s="15">
        <f>IF($A164="","",IF($F164&lt;=toleransKurus,1,0))</f>
        <v/>
      </c>
      <c r="N164" s="15">
        <f>IF($A164="","",IF($F164&gt;kdo_esikFark,1,0))</f>
        <v/>
      </c>
      <c r="O164" s="15">
        <f>IF($A164="","",IFERROR(SUMIF(tblMotor[A_Norm],$A164,tblMotor[SiparisToplam]),0))</f>
        <v/>
      </c>
      <c r="P164" s="15">
        <f>IF($A164="","",$B164+$M164+$N164)</f>
        <v/>
      </c>
    </row>
    <row r="165">
      <c r="A165" s="15">
        <f>IF('ANAHTAR'!$B165="","",'ANAHTAR'!$B165)</f>
        <v/>
      </c>
      <c r="B165" s="15">
        <f>IF($A165="","",COUNTIF(tblAnahtarB[NormB],$A165))</f>
        <v/>
      </c>
      <c r="C165" s="15">
        <f>IF($A165="","",IFERROR(SUMIF(tblMotor[A_Norm],$A165,tblMotor[SiparisToplam]),0))</f>
        <v/>
      </c>
      <c r="D165" s="15">
        <f>IF($A165="","",IFERROR(SUMIF(tblAnahtarA[Norm],$A165,tblVeriA[HedefMaliyet]),0))</f>
        <v/>
      </c>
      <c r="E165" s="15">
        <f>IF($A165="","",ROUND($D165,2)-ROUND($C165,2))</f>
        <v/>
      </c>
      <c r="F165" s="15">
        <f>IF($A165="","",ABS($E165))</f>
        <v/>
      </c>
      <c r="G165" s="15">
        <f>IF($A165="","",IF($B165=0,"eslesmedi",IF(ROUND($D165,2)=ROUND($C165,2),"eslesti",IF(ABS(ROUND($D165,2)-ROUND($C165,2))&lt;=toleransKurus,"tolerans_icinde","tutar_farki"))))</f>
        <v/>
      </c>
      <c r="H165" s="15">
        <f>IF($A165="","",IF($B165&gt;0,"BIRINCIL",IF(COUNTIF(tblAnahtarB[IkincilB],'ANAHTAR'!$D165)&gt;0,"IKINCIL","YOK")))</f>
        <v/>
      </c>
      <c r="I165" s="15">
        <f>IF($A165="","",'ANAHTAR'!$F165)</f>
        <v/>
      </c>
      <c r="J165" s="15">
        <f>IF(OR($A165="",$D165=0),0,$F165/ABS($D165))</f>
        <v/>
      </c>
      <c r="K165" s="15">
        <f>IF($A165="","",ROUND($D165,2))</f>
        <v/>
      </c>
      <c r="L165" s="15">
        <f>IF($A165="","",ROUND($C165,2))</f>
        <v/>
      </c>
      <c r="M165" s="15">
        <f>IF($A165="","",IF($F165&lt;=toleransKurus,1,0))</f>
        <v/>
      </c>
      <c r="N165" s="15">
        <f>IF($A165="","",IF($F165&gt;kdo_esikFark,1,0))</f>
        <v/>
      </c>
      <c r="O165" s="15">
        <f>IF($A165="","",IFERROR(SUMIF(tblMotor[A_Norm],$A165,tblMotor[SiparisToplam]),0))</f>
        <v/>
      </c>
      <c r="P165" s="15">
        <f>IF($A165="","",$B165+$M165+$N165)</f>
        <v/>
      </c>
    </row>
    <row r="166">
      <c r="A166" s="15">
        <f>IF('ANAHTAR'!$B166="","",'ANAHTAR'!$B166)</f>
        <v/>
      </c>
      <c r="B166" s="15">
        <f>IF($A166="","",COUNTIF(tblAnahtarB[NormB],$A166))</f>
        <v/>
      </c>
      <c r="C166" s="15">
        <f>IF($A166="","",IFERROR(SUMIF(tblMotor[A_Norm],$A166,tblMotor[SiparisToplam]),0))</f>
        <v/>
      </c>
      <c r="D166" s="15">
        <f>IF($A166="","",IFERROR(SUMIF(tblAnahtarA[Norm],$A166,tblVeriA[HedefMaliyet]),0))</f>
        <v/>
      </c>
      <c r="E166" s="15">
        <f>IF($A166="","",ROUND($D166,2)-ROUND($C166,2))</f>
        <v/>
      </c>
      <c r="F166" s="15">
        <f>IF($A166="","",ABS($E166))</f>
        <v/>
      </c>
      <c r="G166" s="15">
        <f>IF($A166="","",IF($B166=0,"eslesmedi",IF(ROUND($D166,2)=ROUND($C166,2),"eslesti",IF(ABS(ROUND($D166,2)-ROUND($C166,2))&lt;=toleransKurus,"tolerans_icinde","tutar_farki"))))</f>
        <v/>
      </c>
      <c r="H166" s="15">
        <f>IF($A166="","",IF($B166&gt;0,"BIRINCIL",IF(COUNTIF(tblAnahtarB[IkincilB],'ANAHTAR'!$D166)&gt;0,"IKINCIL","YOK")))</f>
        <v/>
      </c>
      <c r="I166" s="15">
        <f>IF($A166="","",'ANAHTAR'!$F166)</f>
        <v/>
      </c>
      <c r="J166" s="15">
        <f>IF(OR($A166="",$D166=0),0,$F166/ABS($D166))</f>
        <v/>
      </c>
      <c r="K166" s="15">
        <f>IF($A166="","",ROUND($D166,2))</f>
        <v/>
      </c>
      <c r="L166" s="15">
        <f>IF($A166="","",ROUND($C166,2))</f>
        <v/>
      </c>
      <c r="M166" s="15">
        <f>IF($A166="","",IF($F166&lt;=toleransKurus,1,0))</f>
        <v/>
      </c>
      <c r="N166" s="15">
        <f>IF($A166="","",IF($F166&gt;kdo_esikFark,1,0))</f>
        <v/>
      </c>
      <c r="O166" s="15">
        <f>IF($A166="","",IFERROR(SUMIF(tblMotor[A_Norm],$A166,tblMotor[SiparisToplam]),0))</f>
        <v/>
      </c>
      <c r="P166" s="15">
        <f>IF($A166="","",$B166+$M166+$N166)</f>
        <v/>
      </c>
    </row>
    <row r="167">
      <c r="A167" s="15">
        <f>IF('ANAHTAR'!$B167="","",'ANAHTAR'!$B167)</f>
        <v/>
      </c>
      <c r="B167" s="15">
        <f>IF($A167="","",COUNTIF(tblAnahtarB[NormB],$A167))</f>
        <v/>
      </c>
      <c r="C167" s="15">
        <f>IF($A167="","",IFERROR(SUMIF(tblMotor[A_Norm],$A167,tblMotor[SiparisToplam]),0))</f>
        <v/>
      </c>
      <c r="D167" s="15">
        <f>IF($A167="","",IFERROR(SUMIF(tblAnahtarA[Norm],$A167,tblVeriA[HedefMaliyet]),0))</f>
        <v/>
      </c>
      <c r="E167" s="15">
        <f>IF($A167="","",ROUND($D167,2)-ROUND($C167,2))</f>
        <v/>
      </c>
      <c r="F167" s="15">
        <f>IF($A167="","",ABS($E167))</f>
        <v/>
      </c>
      <c r="G167" s="15">
        <f>IF($A167="","",IF($B167=0,"eslesmedi",IF(ROUND($D167,2)=ROUND($C167,2),"eslesti",IF(ABS(ROUND($D167,2)-ROUND($C167,2))&lt;=toleransKurus,"tolerans_icinde","tutar_farki"))))</f>
        <v/>
      </c>
      <c r="H167" s="15">
        <f>IF($A167="","",IF($B167&gt;0,"BIRINCIL",IF(COUNTIF(tblAnahtarB[IkincilB],'ANAHTAR'!$D167)&gt;0,"IKINCIL","YOK")))</f>
        <v/>
      </c>
      <c r="I167" s="15">
        <f>IF($A167="","",'ANAHTAR'!$F167)</f>
        <v/>
      </c>
      <c r="J167" s="15">
        <f>IF(OR($A167="",$D167=0),0,$F167/ABS($D167))</f>
        <v/>
      </c>
      <c r="K167" s="15">
        <f>IF($A167="","",ROUND($D167,2))</f>
        <v/>
      </c>
      <c r="L167" s="15">
        <f>IF($A167="","",ROUND($C167,2))</f>
        <v/>
      </c>
      <c r="M167" s="15">
        <f>IF($A167="","",IF($F167&lt;=toleransKurus,1,0))</f>
        <v/>
      </c>
      <c r="N167" s="15">
        <f>IF($A167="","",IF($F167&gt;kdo_esikFark,1,0))</f>
        <v/>
      </c>
      <c r="O167" s="15">
        <f>IF($A167="","",IFERROR(SUMIF(tblMotor[A_Norm],$A167,tblMotor[SiparisToplam]),0))</f>
        <v/>
      </c>
      <c r="P167" s="15">
        <f>IF($A167="","",$B167+$M167+$N167)</f>
        <v/>
      </c>
    </row>
    <row r="168">
      <c r="A168" s="15">
        <f>IF('ANAHTAR'!$B168="","",'ANAHTAR'!$B168)</f>
        <v/>
      </c>
      <c r="B168" s="15">
        <f>IF($A168="","",COUNTIF(tblAnahtarB[NormB],$A168))</f>
        <v/>
      </c>
      <c r="C168" s="15">
        <f>IF($A168="","",IFERROR(SUMIF(tblMotor[A_Norm],$A168,tblMotor[SiparisToplam]),0))</f>
        <v/>
      </c>
      <c r="D168" s="15">
        <f>IF($A168="","",IFERROR(SUMIF(tblAnahtarA[Norm],$A168,tblVeriA[HedefMaliyet]),0))</f>
        <v/>
      </c>
      <c r="E168" s="15">
        <f>IF($A168="","",ROUND($D168,2)-ROUND($C168,2))</f>
        <v/>
      </c>
      <c r="F168" s="15">
        <f>IF($A168="","",ABS($E168))</f>
        <v/>
      </c>
      <c r="G168" s="15">
        <f>IF($A168="","",IF($B168=0,"eslesmedi",IF(ROUND($D168,2)=ROUND($C168,2),"eslesti",IF(ABS(ROUND($D168,2)-ROUND($C168,2))&lt;=toleransKurus,"tolerans_icinde","tutar_farki"))))</f>
        <v/>
      </c>
      <c r="H168" s="15">
        <f>IF($A168="","",IF($B168&gt;0,"BIRINCIL",IF(COUNTIF(tblAnahtarB[IkincilB],'ANAHTAR'!$D168)&gt;0,"IKINCIL","YOK")))</f>
        <v/>
      </c>
      <c r="I168" s="15">
        <f>IF($A168="","",'ANAHTAR'!$F168)</f>
        <v/>
      </c>
      <c r="J168" s="15">
        <f>IF(OR($A168="",$D168=0),0,$F168/ABS($D168))</f>
        <v/>
      </c>
      <c r="K168" s="15">
        <f>IF($A168="","",ROUND($D168,2))</f>
        <v/>
      </c>
      <c r="L168" s="15">
        <f>IF($A168="","",ROUND($C168,2))</f>
        <v/>
      </c>
      <c r="M168" s="15">
        <f>IF($A168="","",IF($F168&lt;=toleransKurus,1,0))</f>
        <v/>
      </c>
      <c r="N168" s="15">
        <f>IF($A168="","",IF($F168&gt;kdo_esikFark,1,0))</f>
        <v/>
      </c>
      <c r="O168" s="15">
        <f>IF($A168="","",IFERROR(SUMIF(tblMotor[A_Norm],$A168,tblMotor[SiparisToplam]),0))</f>
        <v/>
      </c>
      <c r="P168" s="15">
        <f>IF($A168="","",$B168+$M168+$N168)</f>
        <v/>
      </c>
    </row>
    <row r="169">
      <c r="A169" s="15">
        <f>IF('ANAHTAR'!$B169="","",'ANAHTAR'!$B169)</f>
        <v/>
      </c>
      <c r="B169" s="15">
        <f>IF($A169="","",COUNTIF(tblAnahtarB[NormB],$A169))</f>
        <v/>
      </c>
      <c r="C169" s="15">
        <f>IF($A169="","",IFERROR(SUMIF(tblMotor[A_Norm],$A169,tblMotor[SiparisToplam]),0))</f>
        <v/>
      </c>
      <c r="D169" s="15">
        <f>IF($A169="","",IFERROR(SUMIF(tblAnahtarA[Norm],$A169,tblVeriA[HedefMaliyet]),0))</f>
        <v/>
      </c>
      <c r="E169" s="15">
        <f>IF($A169="","",ROUND($D169,2)-ROUND($C169,2))</f>
        <v/>
      </c>
      <c r="F169" s="15">
        <f>IF($A169="","",ABS($E169))</f>
        <v/>
      </c>
      <c r="G169" s="15">
        <f>IF($A169="","",IF($B169=0,"eslesmedi",IF(ROUND($D169,2)=ROUND($C169,2),"eslesti",IF(ABS(ROUND($D169,2)-ROUND($C169,2))&lt;=toleransKurus,"tolerans_icinde","tutar_farki"))))</f>
        <v/>
      </c>
      <c r="H169" s="15">
        <f>IF($A169="","",IF($B169&gt;0,"BIRINCIL",IF(COUNTIF(tblAnahtarB[IkincilB],'ANAHTAR'!$D169)&gt;0,"IKINCIL","YOK")))</f>
        <v/>
      </c>
      <c r="I169" s="15">
        <f>IF($A169="","",'ANAHTAR'!$F169)</f>
        <v/>
      </c>
      <c r="J169" s="15">
        <f>IF(OR($A169="",$D169=0),0,$F169/ABS($D169))</f>
        <v/>
      </c>
      <c r="K169" s="15">
        <f>IF($A169="","",ROUND($D169,2))</f>
        <v/>
      </c>
      <c r="L169" s="15">
        <f>IF($A169="","",ROUND($C169,2))</f>
        <v/>
      </c>
      <c r="M169" s="15">
        <f>IF($A169="","",IF($F169&lt;=toleransKurus,1,0))</f>
        <v/>
      </c>
      <c r="N169" s="15">
        <f>IF($A169="","",IF($F169&gt;kdo_esikFark,1,0))</f>
        <v/>
      </c>
      <c r="O169" s="15">
        <f>IF($A169="","",IFERROR(SUMIF(tblMotor[A_Norm],$A169,tblMotor[SiparisToplam]),0))</f>
        <v/>
      </c>
      <c r="P169" s="15">
        <f>IF($A169="","",$B169+$M169+$N169)</f>
        <v/>
      </c>
    </row>
    <row r="170">
      <c r="A170" s="15">
        <f>IF('ANAHTAR'!$B170="","",'ANAHTAR'!$B170)</f>
        <v/>
      </c>
      <c r="B170" s="15">
        <f>IF($A170="","",COUNTIF(tblAnahtarB[NormB],$A170))</f>
        <v/>
      </c>
      <c r="C170" s="15">
        <f>IF($A170="","",IFERROR(SUMIF(tblMotor[A_Norm],$A170,tblMotor[SiparisToplam]),0))</f>
        <v/>
      </c>
      <c r="D170" s="15">
        <f>IF($A170="","",IFERROR(SUMIF(tblAnahtarA[Norm],$A170,tblVeriA[HedefMaliyet]),0))</f>
        <v/>
      </c>
      <c r="E170" s="15">
        <f>IF($A170="","",ROUND($D170,2)-ROUND($C170,2))</f>
        <v/>
      </c>
      <c r="F170" s="15">
        <f>IF($A170="","",ABS($E170))</f>
        <v/>
      </c>
      <c r="G170" s="15">
        <f>IF($A170="","",IF($B170=0,"eslesmedi",IF(ROUND($D170,2)=ROUND($C170,2),"eslesti",IF(ABS(ROUND($D170,2)-ROUND($C170,2))&lt;=toleransKurus,"tolerans_icinde","tutar_farki"))))</f>
        <v/>
      </c>
      <c r="H170" s="15">
        <f>IF($A170="","",IF($B170&gt;0,"BIRINCIL",IF(COUNTIF(tblAnahtarB[IkincilB],'ANAHTAR'!$D170)&gt;0,"IKINCIL","YOK")))</f>
        <v/>
      </c>
      <c r="I170" s="15">
        <f>IF($A170="","",'ANAHTAR'!$F170)</f>
        <v/>
      </c>
      <c r="J170" s="15">
        <f>IF(OR($A170="",$D170=0),0,$F170/ABS($D170))</f>
        <v/>
      </c>
      <c r="K170" s="15">
        <f>IF($A170="","",ROUND($D170,2))</f>
        <v/>
      </c>
      <c r="L170" s="15">
        <f>IF($A170="","",ROUND($C170,2))</f>
        <v/>
      </c>
      <c r="M170" s="15">
        <f>IF($A170="","",IF($F170&lt;=toleransKurus,1,0))</f>
        <v/>
      </c>
      <c r="N170" s="15">
        <f>IF($A170="","",IF($F170&gt;kdo_esikFark,1,0))</f>
        <v/>
      </c>
      <c r="O170" s="15">
        <f>IF($A170="","",IFERROR(SUMIF(tblMotor[A_Norm],$A170,tblMotor[SiparisToplam]),0))</f>
        <v/>
      </c>
      <c r="P170" s="15">
        <f>IF($A170="","",$B170+$M170+$N170)</f>
        <v/>
      </c>
    </row>
    <row r="171">
      <c r="A171" s="15">
        <f>IF('ANAHTAR'!$B171="","",'ANAHTAR'!$B171)</f>
        <v/>
      </c>
      <c r="B171" s="15">
        <f>IF($A171="","",COUNTIF(tblAnahtarB[NormB],$A171))</f>
        <v/>
      </c>
      <c r="C171" s="15">
        <f>IF($A171="","",IFERROR(SUMIF(tblMotor[A_Norm],$A171,tblMotor[SiparisToplam]),0))</f>
        <v/>
      </c>
      <c r="D171" s="15">
        <f>IF($A171="","",IFERROR(SUMIF(tblAnahtarA[Norm],$A171,tblVeriA[HedefMaliyet]),0))</f>
        <v/>
      </c>
      <c r="E171" s="15">
        <f>IF($A171="","",ROUND($D171,2)-ROUND($C171,2))</f>
        <v/>
      </c>
      <c r="F171" s="15">
        <f>IF($A171="","",ABS($E171))</f>
        <v/>
      </c>
      <c r="G171" s="15">
        <f>IF($A171="","",IF($B171=0,"eslesmedi",IF(ROUND($D171,2)=ROUND($C171,2),"eslesti",IF(ABS(ROUND($D171,2)-ROUND($C171,2))&lt;=toleransKurus,"tolerans_icinde","tutar_farki"))))</f>
        <v/>
      </c>
      <c r="H171" s="15">
        <f>IF($A171="","",IF($B171&gt;0,"BIRINCIL",IF(COUNTIF(tblAnahtarB[IkincilB],'ANAHTAR'!$D171)&gt;0,"IKINCIL","YOK")))</f>
        <v/>
      </c>
      <c r="I171" s="15">
        <f>IF($A171="","",'ANAHTAR'!$F171)</f>
        <v/>
      </c>
      <c r="J171" s="15">
        <f>IF(OR($A171="",$D171=0),0,$F171/ABS($D171))</f>
        <v/>
      </c>
      <c r="K171" s="15">
        <f>IF($A171="","",ROUND($D171,2))</f>
        <v/>
      </c>
      <c r="L171" s="15">
        <f>IF($A171="","",ROUND($C171,2))</f>
        <v/>
      </c>
      <c r="M171" s="15">
        <f>IF($A171="","",IF($F171&lt;=toleransKurus,1,0))</f>
        <v/>
      </c>
      <c r="N171" s="15">
        <f>IF($A171="","",IF($F171&gt;kdo_esikFark,1,0))</f>
        <v/>
      </c>
      <c r="O171" s="15">
        <f>IF($A171="","",IFERROR(SUMIF(tblMotor[A_Norm],$A171,tblMotor[SiparisToplam]),0))</f>
        <v/>
      </c>
      <c r="P171" s="15">
        <f>IF($A171="","",$B171+$M171+$N171)</f>
        <v/>
      </c>
    </row>
    <row r="172">
      <c r="A172" s="15">
        <f>IF('ANAHTAR'!$B172="","",'ANAHTAR'!$B172)</f>
        <v/>
      </c>
      <c r="B172" s="15">
        <f>IF($A172="","",COUNTIF(tblAnahtarB[NormB],$A172))</f>
        <v/>
      </c>
      <c r="C172" s="15">
        <f>IF($A172="","",IFERROR(SUMIF(tblMotor[A_Norm],$A172,tblMotor[SiparisToplam]),0))</f>
        <v/>
      </c>
      <c r="D172" s="15">
        <f>IF($A172="","",IFERROR(SUMIF(tblAnahtarA[Norm],$A172,tblVeriA[HedefMaliyet]),0))</f>
        <v/>
      </c>
      <c r="E172" s="15">
        <f>IF($A172="","",ROUND($D172,2)-ROUND($C172,2))</f>
        <v/>
      </c>
      <c r="F172" s="15">
        <f>IF($A172="","",ABS($E172))</f>
        <v/>
      </c>
      <c r="G172" s="15">
        <f>IF($A172="","",IF($B172=0,"eslesmedi",IF(ROUND($D172,2)=ROUND($C172,2),"eslesti",IF(ABS(ROUND($D172,2)-ROUND($C172,2))&lt;=toleransKurus,"tolerans_icinde","tutar_farki"))))</f>
        <v/>
      </c>
      <c r="H172" s="15">
        <f>IF($A172="","",IF($B172&gt;0,"BIRINCIL",IF(COUNTIF(tblAnahtarB[IkincilB],'ANAHTAR'!$D172)&gt;0,"IKINCIL","YOK")))</f>
        <v/>
      </c>
      <c r="I172" s="15">
        <f>IF($A172="","",'ANAHTAR'!$F172)</f>
        <v/>
      </c>
      <c r="J172" s="15">
        <f>IF(OR($A172="",$D172=0),0,$F172/ABS($D172))</f>
        <v/>
      </c>
      <c r="K172" s="15">
        <f>IF($A172="","",ROUND($D172,2))</f>
        <v/>
      </c>
      <c r="L172" s="15">
        <f>IF($A172="","",ROUND($C172,2))</f>
        <v/>
      </c>
      <c r="M172" s="15">
        <f>IF($A172="","",IF($F172&lt;=toleransKurus,1,0))</f>
        <v/>
      </c>
      <c r="N172" s="15">
        <f>IF($A172="","",IF($F172&gt;kdo_esikFark,1,0))</f>
        <v/>
      </c>
      <c r="O172" s="15">
        <f>IF($A172="","",IFERROR(SUMIF(tblMotor[A_Norm],$A172,tblMotor[SiparisToplam]),0))</f>
        <v/>
      </c>
      <c r="P172" s="15">
        <f>IF($A172="","",$B172+$M172+$N172)</f>
        <v/>
      </c>
    </row>
    <row r="173">
      <c r="A173" s="15">
        <f>IF('ANAHTAR'!$B173="","",'ANAHTAR'!$B173)</f>
        <v/>
      </c>
      <c r="B173" s="15">
        <f>IF($A173="","",COUNTIF(tblAnahtarB[NormB],$A173))</f>
        <v/>
      </c>
      <c r="C173" s="15">
        <f>IF($A173="","",IFERROR(SUMIF(tblMotor[A_Norm],$A173,tblMotor[SiparisToplam]),0))</f>
        <v/>
      </c>
      <c r="D173" s="15">
        <f>IF($A173="","",IFERROR(SUMIF(tblAnahtarA[Norm],$A173,tblVeriA[HedefMaliyet]),0))</f>
        <v/>
      </c>
      <c r="E173" s="15">
        <f>IF($A173="","",ROUND($D173,2)-ROUND($C173,2))</f>
        <v/>
      </c>
      <c r="F173" s="15">
        <f>IF($A173="","",ABS($E173))</f>
        <v/>
      </c>
      <c r="G173" s="15">
        <f>IF($A173="","",IF($B173=0,"eslesmedi",IF(ROUND($D173,2)=ROUND($C173,2),"eslesti",IF(ABS(ROUND($D173,2)-ROUND($C173,2))&lt;=toleransKurus,"tolerans_icinde","tutar_farki"))))</f>
        <v/>
      </c>
      <c r="H173" s="15">
        <f>IF($A173="","",IF($B173&gt;0,"BIRINCIL",IF(COUNTIF(tblAnahtarB[IkincilB],'ANAHTAR'!$D173)&gt;0,"IKINCIL","YOK")))</f>
        <v/>
      </c>
      <c r="I173" s="15">
        <f>IF($A173="","",'ANAHTAR'!$F173)</f>
        <v/>
      </c>
      <c r="J173" s="15">
        <f>IF(OR($A173="",$D173=0),0,$F173/ABS($D173))</f>
        <v/>
      </c>
      <c r="K173" s="15">
        <f>IF($A173="","",ROUND($D173,2))</f>
        <v/>
      </c>
      <c r="L173" s="15">
        <f>IF($A173="","",ROUND($C173,2))</f>
        <v/>
      </c>
      <c r="M173" s="15">
        <f>IF($A173="","",IF($F173&lt;=toleransKurus,1,0))</f>
        <v/>
      </c>
      <c r="N173" s="15">
        <f>IF($A173="","",IF($F173&gt;kdo_esikFark,1,0))</f>
        <v/>
      </c>
      <c r="O173" s="15">
        <f>IF($A173="","",IFERROR(SUMIF(tblMotor[A_Norm],$A173,tblMotor[SiparisToplam]),0))</f>
        <v/>
      </c>
      <c r="P173" s="15">
        <f>IF($A173="","",$B173+$M173+$N173)</f>
        <v/>
      </c>
    </row>
    <row r="174">
      <c r="A174" s="15">
        <f>IF('ANAHTAR'!$B174="","",'ANAHTAR'!$B174)</f>
        <v/>
      </c>
      <c r="B174" s="15">
        <f>IF($A174="","",COUNTIF(tblAnahtarB[NormB],$A174))</f>
        <v/>
      </c>
      <c r="C174" s="15">
        <f>IF($A174="","",IFERROR(SUMIF(tblMotor[A_Norm],$A174,tblMotor[SiparisToplam]),0))</f>
        <v/>
      </c>
      <c r="D174" s="15">
        <f>IF($A174="","",IFERROR(SUMIF(tblAnahtarA[Norm],$A174,tblVeriA[HedefMaliyet]),0))</f>
        <v/>
      </c>
      <c r="E174" s="15">
        <f>IF($A174="","",ROUND($D174,2)-ROUND($C174,2))</f>
        <v/>
      </c>
      <c r="F174" s="15">
        <f>IF($A174="","",ABS($E174))</f>
        <v/>
      </c>
      <c r="G174" s="15">
        <f>IF($A174="","",IF($B174=0,"eslesmedi",IF(ROUND($D174,2)=ROUND($C174,2),"eslesti",IF(ABS(ROUND($D174,2)-ROUND($C174,2))&lt;=toleransKurus,"tolerans_icinde","tutar_farki"))))</f>
        <v/>
      </c>
      <c r="H174" s="15">
        <f>IF($A174="","",IF($B174&gt;0,"BIRINCIL",IF(COUNTIF(tblAnahtarB[IkincilB],'ANAHTAR'!$D174)&gt;0,"IKINCIL","YOK")))</f>
        <v/>
      </c>
      <c r="I174" s="15">
        <f>IF($A174="","",'ANAHTAR'!$F174)</f>
        <v/>
      </c>
      <c r="J174" s="15">
        <f>IF(OR($A174="",$D174=0),0,$F174/ABS($D174))</f>
        <v/>
      </c>
      <c r="K174" s="15">
        <f>IF($A174="","",ROUND($D174,2))</f>
        <v/>
      </c>
      <c r="L174" s="15">
        <f>IF($A174="","",ROUND($C174,2))</f>
        <v/>
      </c>
      <c r="M174" s="15">
        <f>IF($A174="","",IF($F174&lt;=toleransKurus,1,0))</f>
        <v/>
      </c>
      <c r="N174" s="15">
        <f>IF($A174="","",IF($F174&gt;kdo_esikFark,1,0))</f>
        <v/>
      </c>
      <c r="O174" s="15">
        <f>IF($A174="","",IFERROR(SUMIF(tblMotor[A_Norm],$A174,tblMotor[SiparisToplam]),0))</f>
        <v/>
      </c>
      <c r="P174" s="15">
        <f>IF($A174="","",$B174+$M174+$N174)</f>
        <v/>
      </c>
    </row>
    <row r="175">
      <c r="A175" s="15">
        <f>IF('ANAHTAR'!$B175="","",'ANAHTAR'!$B175)</f>
        <v/>
      </c>
      <c r="B175" s="15">
        <f>IF($A175="","",COUNTIF(tblAnahtarB[NormB],$A175))</f>
        <v/>
      </c>
      <c r="C175" s="15">
        <f>IF($A175="","",IFERROR(SUMIF(tblMotor[A_Norm],$A175,tblMotor[SiparisToplam]),0))</f>
        <v/>
      </c>
      <c r="D175" s="15">
        <f>IF($A175="","",IFERROR(SUMIF(tblAnahtarA[Norm],$A175,tblVeriA[HedefMaliyet]),0))</f>
        <v/>
      </c>
      <c r="E175" s="15">
        <f>IF($A175="","",ROUND($D175,2)-ROUND($C175,2))</f>
        <v/>
      </c>
      <c r="F175" s="15">
        <f>IF($A175="","",ABS($E175))</f>
        <v/>
      </c>
      <c r="G175" s="15">
        <f>IF($A175="","",IF($B175=0,"eslesmedi",IF(ROUND($D175,2)=ROUND($C175,2),"eslesti",IF(ABS(ROUND($D175,2)-ROUND($C175,2))&lt;=toleransKurus,"tolerans_icinde","tutar_farki"))))</f>
        <v/>
      </c>
      <c r="H175" s="15">
        <f>IF($A175="","",IF($B175&gt;0,"BIRINCIL",IF(COUNTIF(tblAnahtarB[IkincilB],'ANAHTAR'!$D175)&gt;0,"IKINCIL","YOK")))</f>
        <v/>
      </c>
      <c r="I175" s="15">
        <f>IF($A175="","",'ANAHTAR'!$F175)</f>
        <v/>
      </c>
      <c r="J175" s="15">
        <f>IF(OR($A175="",$D175=0),0,$F175/ABS($D175))</f>
        <v/>
      </c>
      <c r="K175" s="15">
        <f>IF($A175="","",ROUND($D175,2))</f>
        <v/>
      </c>
      <c r="L175" s="15">
        <f>IF($A175="","",ROUND($C175,2))</f>
        <v/>
      </c>
      <c r="M175" s="15">
        <f>IF($A175="","",IF($F175&lt;=toleransKurus,1,0))</f>
        <v/>
      </c>
      <c r="N175" s="15">
        <f>IF($A175="","",IF($F175&gt;kdo_esikFark,1,0))</f>
        <v/>
      </c>
      <c r="O175" s="15">
        <f>IF($A175="","",IFERROR(SUMIF(tblMotor[A_Norm],$A175,tblMotor[SiparisToplam]),0))</f>
        <v/>
      </c>
      <c r="P175" s="15">
        <f>IF($A175="","",$B175+$M175+$N175)</f>
        <v/>
      </c>
    </row>
    <row r="176">
      <c r="A176" s="15">
        <f>IF('ANAHTAR'!$B176="","",'ANAHTAR'!$B176)</f>
        <v/>
      </c>
      <c r="B176" s="15">
        <f>IF($A176="","",COUNTIF(tblAnahtarB[NormB],$A176))</f>
        <v/>
      </c>
      <c r="C176" s="15">
        <f>IF($A176="","",IFERROR(SUMIF(tblMotor[A_Norm],$A176,tblMotor[SiparisToplam]),0))</f>
        <v/>
      </c>
      <c r="D176" s="15">
        <f>IF($A176="","",IFERROR(SUMIF(tblAnahtarA[Norm],$A176,tblVeriA[HedefMaliyet]),0))</f>
        <v/>
      </c>
      <c r="E176" s="15">
        <f>IF($A176="","",ROUND($D176,2)-ROUND($C176,2))</f>
        <v/>
      </c>
      <c r="F176" s="15">
        <f>IF($A176="","",ABS($E176))</f>
        <v/>
      </c>
      <c r="G176" s="15">
        <f>IF($A176="","",IF($B176=0,"eslesmedi",IF(ROUND($D176,2)=ROUND($C176,2),"eslesti",IF(ABS(ROUND($D176,2)-ROUND($C176,2))&lt;=toleransKurus,"tolerans_icinde","tutar_farki"))))</f>
        <v/>
      </c>
      <c r="H176" s="15">
        <f>IF($A176="","",IF($B176&gt;0,"BIRINCIL",IF(COUNTIF(tblAnahtarB[IkincilB],'ANAHTAR'!$D176)&gt;0,"IKINCIL","YOK")))</f>
        <v/>
      </c>
      <c r="I176" s="15">
        <f>IF($A176="","",'ANAHTAR'!$F176)</f>
        <v/>
      </c>
      <c r="J176" s="15">
        <f>IF(OR($A176="",$D176=0),0,$F176/ABS($D176))</f>
        <v/>
      </c>
      <c r="K176" s="15">
        <f>IF($A176="","",ROUND($D176,2))</f>
        <v/>
      </c>
      <c r="L176" s="15">
        <f>IF($A176="","",ROUND($C176,2))</f>
        <v/>
      </c>
      <c r="M176" s="15">
        <f>IF($A176="","",IF($F176&lt;=toleransKurus,1,0))</f>
        <v/>
      </c>
      <c r="N176" s="15">
        <f>IF($A176="","",IF($F176&gt;kdo_esikFark,1,0))</f>
        <v/>
      </c>
      <c r="O176" s="15">
        <f>IF($A176="","",IFERROR(SUMIF(tblMotor[A_Norm],$A176,tblMotor[SiparisToplam]),0))</f>
        <v/>
      </c>
      <c r="P176" s="15">
        <f>IF($A176="","",$B176+$M176+$N176)</f>
        <v/>
      </c>
    </row>
    <row r="177">
      <c r="A177" s="15">
        <f>IF('ANAHTAR'!$B177="","",'ANAHTAR'!$B177)</f>
        <v/>
      </c>
      <c r="B177" s="15">
        <f>IF($A177="","",COUNTIF(tblAnahtarB[NormB],$A177))</f>
        <v/>
      </c>
      <c r="C177" s="15">
        <f>IF($A177="","",IFERROR(SUMIF(tblMotor[A_Norm],$A177,tblMotor[SiparisToplam]),0))</f>
        <v/>
      </c>
      <c r="D177" s="15">
        <f>IF($A177="","",IFERROR(SUMIF(tblAnahtarA[Norm],$A177,tblVeriA[HedefMaliyet]),0))</f>
        <v/>
      </c>
      <c r="E177" s="15">
        <f>IF($A177="","",ROUND($D177,2)-ROUND($C177,2))</f>
        <v/>
      </c>
      <c r="F177" s="15">
        <f>IF($A177="","",ABS($E177))</f>
        <v/>
      </c>
      <c r="G177" s="15">
        <f>IF($A177="","",IF($B177=0,"eslesmedi",IF(ROUND($D177,2)=ROUND($C177,2),"eslesti",IF(ABS(ROUND($D177,2)-ROUND($C177,2))&lt;=toleransKurus,"tolerans_icinde","tutar_farki"))))</f>
        <v/>
      </c>
      <c r="H177" s="15">
        <f>IF($A177="","",IF($B177&gt;0,"BIRINCIL",IF(COUNTIF(tblAnahtarB[IkincilB],'ANAHTAR'!$D177)&gt;0,"IKINCIL","YOK")))</f>
        <v/>
      </c>
      <c r="I177" s="15">
        <f>IF($A177="","",'ANAHTAR'!$F177)</f>
        <v/>
      </c>
      <c r="J177" s="15">
        <f>IF(OR($A177="",$D177=0),0,$F177/ABS($D177))</f>
        <v/>
      </c>
      <c r="K177" s="15">
        <f>IF($A177="","",ROUND($D177,2))</f>
        <v/>
      </c>
      <c r="L177" s="15">
        <f>IF($A177="","",ROUND($C177,2))</f>
        <v/>
      </c>
      <c r="M177" s="15">
        <f>IF($A177="","",IF($F177&lt;=toleransKurus,1,0))</f>
        <v/>
      </c>
      <c r="N177" s="15">
        <f>IF($A177="","",IF($F177&gt;kdo_esikFark,1,0))</f>
        <v/>
      </c>
      <c r="O177" s="15">
        <f>IF($A177="","",IFERROR(SUMIF(tblMotor[A_Norm],$A177,tblMotor[SiparisToplam]),0))</f>
        <v/>
      </c>
      <c r="P177" s="15">
        <f>IF($A177="","",$B177+$M177+$N177)</f>
        <v/>
      </c>
    </row>
    <row r="178">
      <c r="A178" s="15">
        <f>IF('ANAHTAR'!$B178="","",'ANAHTAR'!$B178)</f>
        <v/>
      </c>
      <c r="B178" s="15">
        <f>IF($A178="","",COUNTIF(tblAnahtarB[NormB],$A178))</f>
        <v/>
      </c>
      <c r="C178" s="15">
        <f>IF($A178="","",IFERROR(SUMIF(tblMotor[A_Norm],$A178,tblMotor[SiparisToplam]),0))</f>
        <v/>
      </c>
      <c r="D178" s="15">
        <f>IF($A178="","",IFERROR(SUMIF(tblAnahtarA[Norm],$A178,tblVeriA[HedefMaliyet]),0))</f>
        <v/>
      </c>
      <c r="E178" s="15">
        <f>IF($A178="","",ROUND($D178,2)-ROUND($C178,2))</f>
        <v/>
      </c>
      <c r="F178" s="15">
        <f>IF($A178="","",ABS($E178))</f>
        <v/>
      </c>
      <c r="G178" s="15">
        <f>IF($A178="","",IF($B178=0,"eslesmedi",IF(ROUND($D178,2)=ROUND($C178,2),"eslesti",IF(ABS(ROUND($D178,2)-ROUND($C178,2))&lt;=toleransKurus,"tolerans_icinde","tutar_farki"))))</f>
        <v/>
      </c>
      <c r="H178" s="15">
        <f>IF($A178="","",IF($B178&gt;0,"BIRINCIL",IF(COUNTIF(tblAnahtarB[IkincilB],'ANAHTAR'!$D178)&gt;0,"IKINCIL","YOK")))</f>
        <v/>
      </c>
      <c r="I178" s="15">
        <f>IF($A178="","",'ANAHTAR'!$F178)</f>
        <v/>
      </c>
      <c r="J178" s="15">
        <f>IF(OR($A178="",$D178=0),0,$F178/ABS($D178))</f>
        <v/>
      </c>
      <c r="K178" s="15">
        <f>IF($A178="","",ROUND($D178,2))</f>
        <v/>
      </c>
      <c r="L178" s="15">
        <f>IF($A178="","",ROUND($C178,2))</f>
        <v/>
      </c>
      <c r="M178" s="15">
        <f>IF($A178="","",IF($F178&lt;=toleransKurus,1,0))</f>
        <v/>
      </c>
      <c r="N178" s="15">
        <f>IF($A178="","",IF($F178&gt;kdo_esikFark,1,0))</f>
        <v/>
      </c>
      <c r="O178" s="15">
        <f>IF($A178="","",IFERROR(SUMIF(tblMotor[A_Norm],$A178,tblMotor[SiparisToplam]),0))</f>
        <v/>
      </c>
      <c r="P178" s="15">
        <f>IF($A178="","",$B178+$M178+$N178)</f>
        <v/>
      </c>
    </row>
    <row r="179">
      <c r="A179" s="15">
        <f>IF('ANAHTAR'!$B179="","",'ANAHTAR'!$B179)</f>
        <v/>
      </c>
      <c r="B179" s="15">
        <f>IF($A179="","",COUNTIF(tblAnahtarB[NormB],$A179))</f>
        <v/>
      </c>
      <c r="C179" s="15">
        <f>IF($A179="","",IFERROR(SUMIF(tblMotor[A_Norm],$A179,tblMotor[SiparisToplam]),0))</f>
        <v/>
      </c>
      <c r="D179" s="15">
        <f>IF($A179="","",IFERROR(SUMIF(tblAnahtarA[Norm],$A179,tblVeriA[HedefMaliyet]),0))</f>
        <v/>
      </c>
      <c r="E179" s="15">
        <f>IF($A179="","",ROUND($D179,2)-ROUND($C179,2))</f>
        <v/>
      </c>
      <c r="F179" s="15">
        <f>IF($A179="","",ABS($E179))</f>
        <v/>
      </c>
      <c r="G179" s="15">
        <f>IF($A179="","",IF($B179=0,"eslesmedi",IF(ROUND($D179,2)=ROUND($C179,2),"eslesti",IF(ABS(ROUND($D179,2)-ROUND($C179,2))&lt;=toleransKurus,"tolerans_icinde","tutar_farki"))))</f>
        <v/>
      </c>
      <c r="H179" s="15">
        <f>IF($A179="","",IF($B179&gt;0,"BIRINCIL",IF(COUNTIF(tblAnahtarB[IkincilB],'ANAHTAR'!$D179)&gt;0,"IKINCIL","YOK")))</f>
        <v/>
      </c>
      <c r="I179" s="15">
        <f>IF($A179="","",'ANAHTAR'!$F179)</f>
        <v/>
      </c>
      <c r="J179" s="15">
        <f>IF(OR($A179="",$D179=0),0,$F179/ABS($D179))</f>
        <v/>
      </c>
      <c r="K179" s="15">
        <f>IF($A179="","",ROUND($D179,2))</f>
        <v/>
      </c>
      <c r="L179" s="15">
        <f>IF($A179="","",ROUND($C179,2))</f>
        <v/>
      </c>
      <c r="M179" s="15">
        <f>IF($A179="","",IF($F179&lt;=toleransKurus,1,0))</f>
        <v/>
      </c>
      <c r="N179" s="15">
        <f>IF($A179="","",IF($F179&gt;kdo_esikFark,1,0))</f>
        <v/>
      </c>
      <c r="O179" s="15">
        <f>IF($A179="","",IFERROR(SUMIF(tblMotor[A_Norm],$A179,tblMotor[SiparisToplam]),0))</f>
        <v/>
      </c>
      <c r="P179" s="15">
        <f>IF($A179="","",$B179+$M179+$N179)</f>
        <v/>
      </c>
    </row>
    <row r="180">
      <c r="A180" s="15">
        <f>IF('ANAHTAR'!$B180="","",'ANAHTAR'!$B180)</f>
        <v/>
      </c>
      <c r="B180" s="15">
        <f>IF($A180="","",COUNTIF(tblAnahtarB[NormB],$A180))</f>
        <v/>
      </c>
      <c r="C180" s="15">
        <f>IF($A180="","",IFERROR(SUMIF(tblMotor[A_Norm],$A180,tblMotor[SiparisToplam]),0))</f>
        <v/>
      </c>
      <c r="D180" s="15">
        <f>IF($A180="","",IFERROR(SUMIF(tblAnahtarA[Norm],$A180,tblVeriA[HedefMaliyet]),0))</f>
        <v/>
      </c>
      <c r="E180" s="15">
        <f>IF($A180="","",ROUND($D180,2)-ROUND($C180,2))</f>
        <v/>
      </c>
      <c r="F180" s="15">
        <f>IF($A180="","",ABS($E180))</f>
        <v/>
      </c>
      <c r="G180" s="15">
        <f>IF($A180="","",IF($B180=0,"eslesmedi",IF(ROUND($D180,2)=ROUND($C180,2),"eslesti",IF(ABS(ROUND($D180,2)-ROUND($C180,2))&lt;=toleransKurus,"tolerans_icinde","tutar_farki"))))</f>
        <v/>
      </c>
      <c r="H180" s="15">
        <f>IF($A180="","",IF($B180&gt;0,"BIRINCIL",IF(COUNTIF(tblAnahtarB[IkincilB],'ANAHTAR'!$D180)&gt;0,"IKINCIL","YOK")))</f>
        <v/>
      </c>
      <c r="I180" s="15">
        <f>IF($A180="","",'ANAHTAR'!$F180)</f>
        <v/>
      </c>
      <c r="J180" s="15">
        <f>IF(OR($A180="",$D180=0),0,$F180/ABS($D180))</f>
        <v/>
      </c>
      <c r="K180" s="15">
        <f>IF($A180="","",ROUND($D180,2))</f>
        <v/>
      </c>
      <c r="L180" s="15">
        <f>IF($A180="","",ROUND($C180,2))</f>
        <v/>
      </c>
      <c r="M180" s="15">
        <f>IF($A180="","",IF($F180&lt;=toleransKurus,1,0))</f>
        <v/>
      </c>
      <c r="N180" s="15">
        <f>IF($A180="","",IF($F180&gt;kdo_esikFark,1,0))</f>
        <v/>
      </c>
      <c r="O180" s="15">
        <f>IF($A180="","",IFERROR(SUMIF(tblMotor[A_Norm],$A180,tblMotor[SiparisToplam]),0))</f>
        <v/>
      </c>
      <c r="P180" s="15">
        <f>IF($A180="","",$B180+$M180+$N180)</f>
        <v/>
      </c>
    </row>
    <row r="181">
      <c r="A181" s="15">
        <f>IF('ANAHTAR'!$B181="","",'ANAHTAR'!$B181)</f>
        <v/>
      </c>
      <c r="B181" s="15">
        <f>IF($A181="","",COUNTIF(tblAnahtarB[NormB],$A181))</f>
        <v/>
      </c>
      <c r="C181" s="15">
        <f>IF($A181="","",IFERROR(SUMIF(tblMotor[A_Norm],$A181,tblMotor[SiparisToplam]),0))</f>
        <v/>
      </c>
      <c r="D181" s="15">
        <f>IF($A181="","",IFERROR(SUMIF(tblAnahtarA[Norm],$A181,tblVeriA[HedefMaliyet]),0))</f>
        <v/>
      </c>
      <c r="E181" s="15">
        <f>IF($A181="","",ROUND($D181,2)-ROUND($C181,2))</f>
        <v/>
      </c>
      <c r="F181" s="15">
        <f>IF($A181="","",ABS($E181))</f>
        <v/>
      </c>
      <c r="G181" s="15">
        <f>IF($A181="","",IF($B181=0,"eslesmedi",IF(ROUND($D181,2)=ROUND($C181,2),"eslesti",IF(ABS(ROUND($D181,2)-ROUND($C181,2))&lt;=toleransKurus,"tolerans_icinde","tutar_farki"))))</f>
        <v/>
      </c>
      <c r="H181" s="15">
        <f>IF($A181="","",IF($B181&gt;0,"BIRINCIL",IF(COUNTIF(tblAnahtarB[IkincilB],'ANAHTAR'!$D181)&gt;0,"IKINCIL","YOK")))</f>
        <v/>
      </c>
      <c r="I181" s="15">
        <f>IF($A181="","",'ANAHTAR'!$F181)</f>
        <v/>
      </c>
      <c r="J181" s="15">
        <f>IF(OR($A181="",$D181=0),0,$F181/ABS($D181))</f>
        <v/>
      </c>
      <c r="K181" s="15">
        <f>IF($A181="","",ROUND($D181,2))</f>
        <v/>
      </c>
      <c r="L181" s="15">
        <f>IF($A181="","",ROUND($C181,2))</f>
        <v/>
      </c>
      <c r="M181" s="15">
        <f>IF($A181="","",IF($F181&lt;=toleransKurus,1,0))</f>
        <v/>
      </c>
      <c r="N181" s="15">
        <f>IF($A181="","",IF($F181&gt;kdo_esikFark,1,0))</f>
        <v/>
      </c>
      <c r="O181" s="15">
        <f>IF($A181="","",IFERROR(SUMIF(tblMotor[A_Norm],$A181,tblMotor[SiparisToplam]),0))</f>
        <v/>
      </c>
      <c r="P181" s="15">
        <f>IF($A181="","",$B181+$M181+$N181)</f>
        <v/>
      </c>
    </row>
    <row r="182">
      <c r="A182" s="15">
        <f>IF('ANAHTAR'!$B182="","",'ANAHTAR'!$B182)</f>
        <v/>
      </c>
      <c r="B182" s="15">
        <f>IF($A182="","",COUNTIF(tblAnahtarB[NormB],$A182))</f>
        <v/>
      </c>
      <c r="C182" s="15">
        <f>IF($A182="","",IFERROR(SUMIF(tblMotor[A_Norm],$A182,tblMotor[SiparisToplam]),0))</f>
        <v/>
      </c>
      <c r="D182" s="15">
        <f>IF($A182="","",IFERROR(SUMIF(tblAnahtarA[Norm],$A182,tblVeriA[HedefMaliyet]),0))</f>
        <v/>
      </c>
      <c r="E182" s="15">
        <f>IF($A182="","",ROUND($D182,2)-ROUND($C182,2))</f>
        <v/>
      </c>
      <c r="F182" s="15">
        <f>IF($A182="","",ABS($E182))</f>
        <v/>
      </c>
      <c r="G182" s="15">
        <f>IF($A182="","",IF($B182=0,"eslesmedi",IF(ROUND($D182,2)=ROUND($C182,2),"eslesti",IF(ABS(ROUND($D182,2)-ROUND($C182,2))&lt;=toleransKurus,"tolerans_icinde","tutar_farki"))))</f>
        <v/>
      </c>
      <c r="H182" s="15">
        <f>IF($A182="","",IF($B182&gt;0,"BIRINCIL",IF(COUNTIF(tblAnahtarB[IkincilB],'ANAHTAR'!$D182)&gt;0,"IKINCIL","YOK")))</f>
        <v/>
      </c>
      <c r="I182" s="15">
        <f>IF($A182="","",'ANAHTAR'!$F182)</f>
        <v/>
      </c>
      <c r="J182" s="15">
        <f>IF(OR($A182="",$D182=0),0,$F182/ABS($D182))</f>
        <v/>
      </c>
      <c r="K182" s="15">
        <f>IF($A182="","",ROUND($D182,2))</f>
        <v/>
      </c>
      <c r="L182" s="15">
        <f>IF($A182="","",ROUND($C182,2))</f>
        <v/>
      </c>
      <c r="M182" s="15">
        <f>IF($A182="","",IF($F182&lt;=toleransKurus,1,0))</f>
        <v/>
      </c>
      <c r="N182" s="15">
        <f>IF($A182="","",IF($F182&gt;kdo_esikFark,1,0))</f>
        <v/>
      </c>
      <c r="O182" s="15">
        <f>IF($A182="","",IFERROR(SUMIF(tblMotor[A_Norm],$A182,tblMotor[SiparisToplam]),0))</f>
        <v/>
      </c>
      <c r="P182" s="15">
        <f>IF($A182="","",$B182+$M182+$N182)</f>
        <v/>
      </c>
    </row>
    <row r="183">
      <c r="A183" s="15">
        <f>IF('ANAHTAR'!$B183="","",'ANAHTAR'!$B183)</f>
        <v/>
      </c>
      <c r="B183" s="15">
        <f>IF($A183="","",COUNTIF(tblAnahtarB[NormB],$A183))</f>
        <v/>
      </c>
      <c r="C183" s="15">
        <f>IF($A183="","",IFERROR(SUMIF(tblMotor[A_Norm],$A183,tblMotor[SiparisToplam]),0))</f>
        <v/>
      </c>
      <c r="D183" s="15">
        <f>IF($A183="","",IFERROR(SUMIF(tblAnahtarA[Norm],$A183,tblVeriA[HedefMaliyet]),0))</f>
        <v/>
      </c>
      <c r="E183" s="15">
        <f>IF($A183="","",ROUND($D183,2)-ROUND($C183,2))</f>
        <v/>
      </c>
      <c r="F183" s="15">
        <f>IF($A183="","",ABS($E183))</f>
        <v/>
      </c>
      <c r="G183" s="15">
        <f>IF($A183="","",IF($B183=0,"eslesmedi",IF(ROUND($D183,2)=ROUND($C183,2),"eslesti",IF(ABS(ROUND($D183,2)-ROUND($C183,2))&lt;=toleransKurus,"tolerans_icinde","tutar_farki"))))</f>
        <v/>
      </c>
      <c r="H183" s="15">
        <f>IF($A183="","",IF($B183&gt;0,"BIRINCIL",IF(COUNTIF(tblAnahtarB[IkincilB],'ANAHTAR'!$D183)&gt;0,"IKINCIL","YOK")))</f>
        <v/>
      </c>
      <c r="I183" s="15">
        <f>IF($A183="","",'ANAHTAR'!$F183)</f>
        <v/>
      </c>
      <c r="J183" s="15">
        <f>IF(OR($A183="",$D183=0),0,$F183/ABS($D183))</f>
        <v/>
      </c>
      <c r="K183" s="15">
        <f>IF($A183="","",ROUND($D183,2))</f>
        <v/>
      </c>
      <c r="L183" s="15">
        <f>IF($A183="","",ROUND($C183,2))</f>
        <v/>
      </c>
      <c r="M183" s="15">
        <f>IF($A183="","",IF($F183&lt;=toleransKurus,1,0))</f>
        <v/>
      </c>
      <c r="N183" s="15">
        <f>IF($A183="","",IF($F183&gt;kdo_esikFark,1,0))</f>
        <v/>
      </c>
      <c r="O183" s="15">
        <f>IF($A183="","",IFERROR(SUMIF(tblMotor[A_Norm],$A183,tblMotor[SiparisToplam]),0))</f>
        <v/>
      </c>
      <c r="P183" s="15">
        <f>IF($A183="","",$B183+$M183+$N183)</f>
        <v/>
      </c>
    </row>
    <row r="184">
      <c r="A184" s="15">
        <f>IF('ANAHTAR'!$B184="","",'ANAHTAR'!$B184)</f>
        <v/>
      </c>
      <c r="B184" s="15">
        <f>IF($A184="","",COUNTIF(tblAnahtarB[NormB],$A184))</f>
        <v/>
      </c>
      <c r="C184" s="15">
        <f>IF($A184="","",IFERROR(SUMIF(tblMotor[A_Norm],$A184,tblMotor[SiparisToplam]),0))</f>
        <v/>
      </c>
      <c r="D184" s="15">
        <f>IF($A184="","",IFERROR(SUMIF(tblAnahtarA[Norm],$A184,tblVeriA[HedefMaliyet]),0))</f>
        <v/>
      </c>
      <c r="E184" s="15">
        <f>IF($A184="","",ROUND($D184,2)-ROUND($C184,2))</f>
        <v/>
      </c>
      <c r="F184" s="15">
        <f>IF($A184="","",ABS($E184))</f>
        <v/>
      </c>
      <c r="G184" s="15">
        <f>IF($A184="","",IF($B184=0,"eslesmedi",IF(ROUND($D184,2)=ROUND($C184,2),"eslesti",IF(ABS(ROUND($D184,2)-ROUND($C184,2))&lt;=toleransKurus,"tolerans_icinde","tutar_farki"))))</f>
        <v/>
      </c>
      <c r="H184" s="15">
        <f>IF($A184="","",IF($B184&gt;0,"BIRINCIL",IF(COUNTIF(tblAnahtarB[IkincilB],'ANAHTAR'!$D184)&gt;0,"IKINCIL","YOK")))</f>
        <v/>
      </c>
      <c r="I184" s="15">
        <f>IF($A184="","",'ANAHTAR'!$F184)</f>
        <v/>
      </c>
      <c r="J184" s="15">
        <f>IF(OR($A184="",$D184=0),0,$F184/ABS($D184))</f>
        <v/>
      </c>
      <c r="K184" s="15">
        <f>IF($A184="","",ROUND($D184,2))</f>
        <v/>
      </c>
      <c r="L184" s="15">
        <f>IF($A184="","",ROUND($C184,2))</f>
        <v/>
      </c>
      <c r="M184" s="15">
        <f>IF($A184="","",IF($F184&lt;=toleransKurus,1,0))</f>
        <v/>
      </c>
      <c r="N184" s="15">
        <f>IF($A184="","",IF($F184&gt;kdo_esikFark,1,0))</f>
        <v/>
      </c>
      <c r="O184" s="15">
        <f>IF($A184="","",IFERROR(SUMIF(tblMotor[A_Norm],$A184,tblMotor[SiparisToplam]),0))</f>
        <v/>
      </c>
      <c r="P184" s="15">
        <f>IF($A184="","",$B184+$M184+$N184)</f>
        <v/>
      </c>
    </row>
    <row r="185">
      <c r="A185" s="15">
        <f>IF('ANAHTAR'!$B185="","",'ANAHTAR'!$B185)</f>
        <v/>
      </c>
      <c r="B185" s="15">
        <f>IF($A185="","",COUNTIF(tblAnahtarB[NormB],$A185))</f>
        <v/>
      </c>
      <c r="C185" s="15">
        <f>IF($A185="","",IFERROR(SUMIF(tblMotor[A_Norm],$A185,tblMotor[SiparisToplam]),0))</f>
        <v/>
      </c>
      <c r="D185" s="15">
        <f>IF($A185="","",IFERROR(SUMIF(tblAnahtarA[Norm],$A185,tblVeriA[HedefMaliyet]),0))</f>
        <v/>
      </c>
      <c r="E185" s="15">
        <f>IF($A185="","",ROUND($D185,2)-ROUND($C185,2))</f>
        <v/>
      </c>
      <c r="F185" s="15">
        <f>IF($A185="","",ABS($E185))</f>
        <v/>
      </c>
      <c r="G185" s="15">
        <f>IF($A185="","",IF($B185=0,"eslesmedi",IF(ROUND($D185,2)=ROUND($C185,2),"eslesti",IF(ABS(ROUND($D185,2)-ROUND($C185,2))&lt;=toleransKurus,"tolerans_icinde","tutar_farki"))))</f>
        <v/>
      </c>
      <c r="H185" s="15">
        <f>IF($A185="","",IF($B185&gt;0,"BIRINCIL",IF(COUNTIF(tblAnahtarB[IkincilB],'ANAHTAR'!$D185)&gt;0,"IKINCIL","YOK")))</f>
        <v/>
      </c>
      <c r="I185" s="15">
        <f>IF($A185="","",'ANAHTAR'!$F185)</f>
        <v/>
      </c>
      <c r="J185" s="15">
        <f>IF(OR($A185="",$D185=0),0,$F185/ABS($D185))</f>
        <v/>
      </c>
      <c r="K185" s="15">
        <f>IF($A185="","",ROUND($D185,2))</f>
        <v/>
      </c>
      <c r="L185" s="15">
        <f>IF($A185="","",ROUND($C185,2))</f>
        <v/>
      </c>
      <c r="M185" s="15">
        <f>IF($A185="","",IF($F185&lt;=toleransKurus,1,0))</f>
        <v/>
      </c>
      <c r="N185" s="15">
        <f>IF($A185="","",IF($F185&gt;kdo_esikFark,1,0))</f>
        <v/>
      </c>
      <c r="O185" s="15">
        <f>IF($A185="","",IFERROR(SUMIF(tblMotor[A_Norm],$A185,tblMotor[SiparisToplam]),0))</f>
        <v/>
      </c>
      <c r="P185" s="15">
        <f>IF($A185="","",$B185+$M185+$N185)</f>
        <v/>
      </c>
    </row>
    <row r="186">
      <c r="A186" s="15">
        <f>IF('ANAHTAR'!$B186="","",'ANAHTAR'!$B186)</f>
        <v/>
      </c>
      <c r="B186" s="15">
        <f>IF($A186="","",COUNTIF(tblAnahtarB[NormB],$A186))</f>
        <v/>
      </c>
      <c r="C186" s="15">
        <f>IF($A186="","",IFERROR(SUMIF(tblMotor[A_Norm],$A186,tblMotor[SiparisToplam]),0))</f>
        <v/>
      </c>
      <c r="D186" s="15">
        <f>IF($A186="","",IFERROR(SUMIF(tblAnahtarA[Norm],$A186,tblVeriA[HedefMaliyet]),0))</f>
        <v/>
      </c>
      <c r="E186" s="15">
        <f>IF($A186="","",ROUND($D186,2)-ROUND($C186,2))</f>
        <v/>
      </c>
      <c r="F186" s="15">
        <f>IF($A186="","",ABS($E186))</f>
        <v/>
      </c>
      <c r="G186" s="15">
        <f>IF($A186="","",IF($B186=0,"eslesmedi",IF(ROUND($D186,2)=ROUND($C186,2),"eslesti",IF(ABS(ROUND($D186,2)-ROUND($C186,2))&lt;=toleransKurus,"tolerans_icinde","tutar_farki"))))</f>
        <v/>
      </c>
      <c r="H186" s="15">
        <f>IF($A186="","",IF($B186&gt;0,"BIRINCIL",IF(COUNTIF(tblAnahtarB[IkincilB],'ANAHTAR'!$D186)&gt;0,"IKINCIL","YOK")))</f>
        <v/>
      </c>
      <c r="I186" s="15">
        <f>IF($A186="","",'ANAHTAR'!$F186)</f>
        <v/>
      </c>
      <c r="J186" s="15">
        <f>IF(OR($A186="",$D186=0),0,$F186/ABS($D186))</f>
        <v/>
      </c>
      <c r="K186" s="15">
        <f>IF($A186="","",ROUND($D186,2))</f>
        <v/>
      </c>
      <c r="L186" s="15">
        <f>IF($A186="","",ROUND($C186,2))</f>
        <v/>
      </c>
      <c r="M186" s="15">
        <f>IF($A186="","",IF($F186&lt;=toleransKurus,1,0))</f>
        <v/>
      </c>
      <c r="N186" s="15">
        <f>IF($A186="","",IF($F186&gt;kdo_esikFark,1,0))</f>
        <v/>
      </c>
      <c r="O186" s="15">
        <f>IF($A186="","",IFERROR(SUMIF(tblMotor[A_Norm],$A186,tblMotor[SiparisToplam]),0))</f>
        <v/>
      </c>
      <c r="P186" s="15">
        <f>IF($A186="","",$B186+$M186+$N186)</f>
        <v/>
      </c>
    </row>
    <row r="187">
      <c r="A187" s="15">
        <f>IF('ANAHTAR'!$B187="","",'ANAHTAR'!$B187)</f>
        <v/>
      </c>
      <c r="B187" s="15">
        <f>IF($A187="","",COUNTIF(tblAnahtarB[NormB],$A187))</f>
        <v/>
      </c>
      <c r="C187" s="15">
        <f>IF($A187="","",IFERROR(SUMIF(tblMotor[A_Norm],$A187,tblMotor[SiparisToplam]),0))</f>
        <v/>
      </c>
      <c r="D187" s="15">
        <f>IF($A187="","",IFERROR(SUMIF(tblAnahtarA[Norm],$A187,tblVeriA[HedefMaliyet]),0))</f>
        <v/>
      </c>
      <c r="E187" s="15">
        <f>IF($A187="","",ROUND($D187,2)-ROUND($C187,2))</f>
        <v/>
      </c>
      <c r="F187" s="15">
        <f>IF($A187="","",ABS($E187))</f>
        <v/>
      </c>
      <c r="G187" s="15">
        <f>IF($A187="","",IF($B187=0,"eslesmedi",IF(ROUND($D187,2)=ROUND($C187,2),"eslesti",IF(ABS(ROUND($D187,2)-ROUND($C187,2))&lt;=toleransKurus,"tolerans_icinde","tutar_farki"))))</f>
        <v/>
      </c>
      <c r="H187" s="15">
        <f>IF($A187="","",IF($B187&gt;0,"BIRINCIL",IF(COUNTIF(tblAnahtarB[IkincilB],'ANAHTAR'!$D187)&gt;0,"IKINCIL","YOK")))</f>
        <v/>
      </c>
      <c r="I187" s="15">
        <f>IF($A187="","",'ANAHTAR'!$F187)</f>
        <v/>
      </c>
      <c r="J187" s="15">
        <f>IF(OR($A187="",$D187=0),0,$F187/ABS($D187))</f>
        <v/>
      </c>
      <c r="K187" s="15">
        <f>IF($A187="","",ROUND($D187,2))</f>
        <v/>
      </c>
      <c r="L187" s="15">
        <f>IF($A187="","",ROUND($C187,2))</f>
        <v/>
      </c>
      <c r="M187" s="15">
        <f>IF($A187="","",IF($F187&lt;=toleransKurus,1,0))</f>
        <v/>
      </c>
      <c r="N187" s="15">
        <f>IF($A187="","",IF($F187&gt;kdo_esikFark,1,0))</f>
        <v/>
      </c>
      <c r="O187" s="15">
        <f>IF($A187="","",IFERROR(SUMIF(tblMotor[A_Norm],$A187,tblMotor[SiparisToplam]),0))</f>
        <v/>
      </c>
      <c r="P187" s="15">
        <f>IF($A187="","",$B187+$M187+$N187)</f>
        <v/>
      </c>
    </row>
    <row r="188">
      <c r="A188" s="15">
        <f>IF('ANAHTAR'!$B188="","",'ANAHTAR'!$B188)</f>
        <v/>
      </c>
      <c r="B188" s="15">
        <f>IF($A188="","",COUNTIF(tblAnahtarB[NormB],$A188))</f>
        <v/>
      </c>
      <c r="C188" s="15">
        <f>IF($A188="","",IFERROR(SUMIF(tblMotor[A_Norm],$A188,tblMotor[SiparisToplam]),0))</f>
        <v/>
      </c>
      <c r="D188" s="15">
        <f>IF($A188="","",IFERROR(SUMIF(tblAnahtarA[Norm],$A188,tblVeriA[HedefMaliyet]),0))</f>
        <v/>
      </c>
      <c r="E188" s="15">
        <f>IF($A188="","",ROUND($D188,2)-ROUND($C188,2))</f>
        <v/>
      </c>
      <c r="F188" s="15">
        <f>IF($A188="","",ABS($E188))</f>
        <v/>
      </c>
      <c r="G188" s="15">
        <f>IF($A188="","",IF($B188=0,"eslesmedi",IF(ROUND($D188,2)=ROUND($C188,2),"eslesti",IF(ABS(ROUND($D188,2)-ROUND($C188,2))&lt;=toleransKurus,"tolerans_icinde","tutar_farki"))))</f>
        <v/>
      </c>
      <c r="H188" s="15">
        <f>IF($A188="","",IF($B188&gt;0,"BIRINCIL",IF(COUNTIF(tblAnahtarB[IkincilB],'ANAHTAR'!$D188)&gt;0,"IKINCIL","YOK")))</f>
        <v/>
      </c>
      <c r="I188" s="15">
        <f>IF($A188="","",'ANAHTAR'!$F188)</f>
        <v/>
      </c>
      <c r="J188" s="15">
        <f>IF(OR($A188="",$D188=0),0,$F188/ABS($D188))</f>
        <v/>
      </c>
      <c r="K188" s="15">
        <f>IF($A188="","",ROUND($D188,2))</f>
        <v/>
      </c>
      <c r="L188" s="15">
        <f>IF($A188="","",ROUND($C188,2))</f>
        <v/>
      </c>
      <c r="M188" s="15">
        <f>IF($A188="","",IF($F188&lt;=toleransKurus,1,0))</f>
        <v/>
      </c>
      <c r="N188" s="15">
        <f>IF($A188="","",IF($F188&gt;kdo_esikFark,1,0))</f>
        <v/>
      </c>
      <c r="O188" s="15">
        <f>IF($A188="","",IFERROR(SUMIF(tblMotor[A_Norm],$A188,tblMotor[SiparisToplam]),0))</f>
        <v/>
      </c>
      <c r="P188" s="15">
        <f>IF($A188="","",$B188+$M188+$N188)</f>
        <v/>
      </c>
    </row>
    <row r="189">
      <c r="A189" s="15">
        <f>IF('ANAHTAR'!$B189="","",'ANAHTAR'!$B189)</f>
        <v/>
      </c>
      <c r="B189" s="15">
        <f>IF($A189="","",COUNTIF(tblAnahtarB[NormB],$A189))</f>
        <v/>
      </c>
      <c r="C189" s="15">
        <f>IF($A189="","",IFERROR(SUMIF(tblMotor[A_Norm],$A189,tblMotor[SiparisToplam]),0))</f>
        <v/>
      </c>
      <c r="D189" s="15">
        <f>IF($A189="","",IFERROR(SUMIF(tblAnahtarA[Norm],$A189,tblVeriA[HedefMaliyet]),0))</f>
        <v/>
      </c>
      <c r="E189" s="15">
        <f>IF($A189="","",ROUND($D189,2)-ROUND($C189,2))</f>
        <v/>
      </c>
      <c r="F189" s="15">
        <f>IF($A189="","",ABS($E189))</f>
        <v/>
      </c>
      <c r="G189" s="15">
        <f>IF($A189="","",IF($B189=0,"eslesmedi",IF(ROUND($D189,2)=ROUND($C189,2),"eslesti",IF(ABS(ROUND($D189,2)-ROUND($C189,2))&lt;=toleransKurus,"tolerans_icinde","tutar_farki"))))</f>
        <v/>
      </c>
      <c r="H189" s="15">
        <f>IF($A189="","",IF($B189&gt;0,"BIRINCIL",IF(COUNTIF(tblAnahtarB[IkincilB],'ANAHTAR'!$D189)&gt;0,"IKINCIL","YOK")))</f>
        <v/>
      </c>
      <c r="I189" s="15">
        <f>IF($A189="","",'ANAHTAR'!$F189)</f>
        <v/>
      </c>
      <c r="J189" s="15">
        <f>IF(OR($A189="",$D189=0),0,$F189/ABS($D189))</f>
        <v/>
      </c>
      <c r="K189" s="15">
        <f>IF($A189="","",ROUND($D189,2))</f>
        <v/>
      </c>
      <c r="L189" s="15">
        <f>IF($A189="","",ROUND($C189,2))</f>
        <v/>
      </c>
      <c r="M189" s="15">
        <f>IF($A189="","",IF($F189&lt;=toleransKurus,1,0))</f>
        <v/>
      </c>
      <c r="N189" s="15">
        <f>IF($A189="","",IF($F189&gt;kdo_esikFark,1,0))</f>
        <v/>
      </c>
      <c r="O189" s="15">
        <f>IF($A189="","",IFERROR(SUMIF(tblMotor[A_Norm],$A189,tblMotor[SiparisToplam]),0))</f>
        <v/>
      </c>
      <c r="P189" s="15">
        <f>IF($A189="","",$B189+$M189+$N189)</f>
        <v/>
      </c>
    </row>
    <row r="190">
      <c r="A190" s="15">
        <f>IF('ANAHTAR'!$B190="","",'ANAHTAR'!$B190)</f>
        <v/>
      </c>
      <c r="B190" s="15">
        <f>IF($A190="","",COUNTIF(tblAnahtarB[NormB],$A190))</f>
        <v/>
      </c>
      <c r="C190" s="15">
        <f>IF($A190="","",IFERROR(SUMIF(tblMotor[A_Norm],$A190,tblMotor[SiparisToplam]),0))</f>
        <v/>
      </c>
      <c r="D190" s="15">
        <f>IF($A190="","",IFERROR(SUMIF(tblAnahtarA[Norm],$A190,tblVeriA[HedefMaliyet]),0))</f>
        <v/>
      </c>
      <c r="E190" s="15">
        <f>IF($A190="","",ROUND($D190,2)-ROUND($C190,2))</f>
        <v/>
      </c>
      <c r="F190" s="15">
        <f>IF($A190="","",ABS($E190))</f>
        <v/>
      </c>
      <c r="G190" s="15">
        <f>IF($A190="","",IF($B190=0,"eslesmedi",IF(ROUND($D190,2)=ROUND($C190,2),"eslesti",IF(ABS(ROUND($D190,2)-ROUND($C190,2))&lt;=toleransKurus,"tolerans_icinde","tutar_farki"))))</f>
        <v/>
      </c>
      <c r="H190" s="15">
        <f>IF($A190="","",IF($B190&gt;0,"BIRINCIL",IF(COUNTIF(tblAnahtarB[IkincilB],'ANAHTAR'!$D190)&gt;0,"IKINCIL","YOK")))</f>
        <v/>
      </c>
      <c r="I190" s="15">
        <f>IF($A190="","",'ANAHTAR'!$F190)</f>
        <v/>
      </c>
      <c r="J190" s="15">
        <f>IF(OR($A190="",$D190=0),0,$F190/ABS($D190))</f>
        <v/>
      </c>
      <c r="K190" s="15">
        <f>IF($A190="","",ROUND($D190,2))</f>
        <v/>
      </c>
      <c r="L190" s="15">
        <f>IF($A190="","",ROUND($C190,2))</f>
        <v/>
      </c>
      <c r="M190" s="15">
        <f>IF($A190="","",IF($F190&lt;=toleransKurus,1,0))</f>
        <v/>
      </c>
      <c r="N190" s="15">
        <f>IF($A190="","",IF($F190&gt;kdo_esikFark,1,0))</f>
        <v/>
      </c>
      <c r="O190" s="15">
        <f>IF($A190="","",IFERROR(SUMIF(tblMotor[A_Norm],$A190,tblMotor[SiparisToplam]),0))</f>
        <v/>
      </c>
      <c r="P190" s="15">
        <f>IF($A190="","",$B190+$M190+$N190)</f>
        <v/>
      </c>
    </row>
    <row r="191">
      <c r="A191" s="15">
        <f>IF('ANAHTAR'!$B191="","",'ANAHTAR'!$B191)</f>
        <v/>
      </c>
      <c r="B191" s="15">
        <f>IF($A191="","",COUNTIF(tblAnahtarB[NormB],$A191))</f>
        <v/>
      </c>
      <c r="C191" s="15">
        <f>IF($A191="","",IFERROR(SUMIF(tblMotor[A_Norm],$A191,tblMotor[SiparisToplam]),0))</f>
        <v/>
      </c>
      <c r="D191" s="15">
        <f>IF($A191="","",IFERROR(SUMIF(tblAnahtarA[Norm],$A191,tblVeriA[HedefMaliyet]),0))</f>
        <v/>
      </c>
      <c r="E191" s="15">
        <f>IF($A191="","",ROUND($D191,2)-ROUND($C191,2))</f>
        <v/>
      </c>
      <c r="F191" s="15">
        <f>IF($A191="","",ABS($E191))</f>
        <v/>
      </c>
      <c r="G191" s="15">
        <f>IF($A191="","",IF($B191=0,"eslesmedi",IF(ROUND($D191,2)=ROUND($C191,2),"eslesti",IF(ABS(ROUND($D191,2)-ROUND($C191,2))&lt;=toleransKurus,"tolerans_icinde","tutar_farki"))))</f>
        <v/>
      </c>
      <c r="H191" s="15">
        <f>IF($A191="","",IF($B191&gt;0,"BIRINCIL",IF(COUNTIF(tblAnahtarB[IkincilB],'ANAHTAR'!$D191)&gt;0,"IKINCIL","YOK")))</f>
        <v/>
      </c>
      <c r="I191" s="15">
        <f>IF($A191="","",'ANAHTAR'!$F191)</f>
        <v/>
      </c>
      <c r="J191" s="15">
        <f>IF(OR($A191="",$D191=0),0,$F191/ABS($D191))</f>
        <v/>
      </c>
      <c r="K191" s="15">
        <f>IF($A191="","",ROUND($D191,2))</f>
        <v/>
      </c>
      <c r="L191" s="15">
        <f>IF($A191="","",ROUND($C191,2))</f>
        <v/>
      </c>
      <c r="M191" s="15">
        <f>IF($A191="","",IF($F191&lt;=toleransKurus,1,0))</f>
        <v/>
      </c>
      <c r="N191" s="15">
        <f>IF($A191="","",IF($F191&gt;kdo_esikFark,1,0))</f>
        <v/>
      </c>
      <c r="O191" s="15">
        <f>IF($A191="","",IFERROR(SUMIF(tblMotor[A_Norm],$A191,tblMotor[SiparisToplam]),0))</f>
        <v/>
      </c>
      <c r="P191" s="15">
        <f>IF($A191="","",$B191+$M191+$N191)</f>
        <v/>
      </c>
    </row>
    <row r="192">
      <c r="A192" s="15">
        <f>IF('ANAHTAR'!$B192="","",'ANAHTAR'!$B192)</f>
        <v/>
      </c>
      <c r="B192" s="15">
        <f>IF($A192="","",COUNTIF(tblAnahtarB[NormB],$A192))</f>
        <v/>
      </c>
      <c r="C192" s="15">
        <f>IF($A192="","",IFERROR(SUMIF(tblMotor[A_Norm],$A192,tblMotor[SiparisToplam]),0))</f>
        <v/>
      </c>
      <c r="D192" s="15">
        <f>IF($A192="","",IFERROR(SUMIF(tblAnahtarA[Norm],$A192,tblVeriA[HedefMaliyet]),0))</f>
        <v/>
      </c>
      <c r="E192" s="15">
        <f>IF($A192="","",ROUND($D192,2)-ROUND($C192,2))</f>
        <v/>
      </c>
      <c r="F192" s="15">
        <f>IF($A192="","",ABS($E192))</f>
        <v/>
      </c>
      <c r="G192" s="15">
        <f>IF($A192="","",IF($B192=0,"eslesmedi",IF(ROUND($D192,2)=ROUND($C192,2),"eslesti",IF(ABS(ROUND($D192,2)-ROUND($C192,2))&lt;=toleransKurus,"tolerans_icinde","tutar_farki"))))</f>
        <v/>
      </c>
      <c r="H192" s="15">
        <f>IF($A192="","",IF($B192&gt;0,"BIRINCIL",IF(COUNTIF(tblAnahtarB[IkincilB],'ANAHTAR'!$D192)&gt;0,"IKINCIL","YOK")))</f>
        <v/>
      </c>
      <c r="I192" s="15">
        <f>IF($A192="","",'ANAHTAR'!$F192)</f>
        <v/>
      </c>
      <c r="J192" s="15">
        <f>IF(OR($A192="",$D192=0),0,$F192/ABS($D192))</f>
        <v/>
      </c>
      <c r="K192" s="15">
        <f>IF($A192="","",ROUND($D192,2))</f>
        <v/>
      </c>
      <c r="L192" s="15">
        <f>IF($A192="","",ROUND($C192,2))</f>
        <v/>
      </c>
      <c r="M192" s="15">
        <f>IF($A192="","",IF($F192&lt;=toleransKurus,1,0))</f>
        <v/>
      </c>
      <c r="N192" s="15">
        <f>IF($A192="","",IF($F192&gt;kdo_esikFark,1,0))</f>
        <v/>
      </c>
      <c r="O192" s="15">
        <f>IF($A192="","",IFERROR(SUMIF(tblMotor[A_Norm],$A192,tblMotor[SiparisToplam]),0))</f>
        <v/>
      </c>
      <c r="P192" s="15">
        <f>IF($A192="","",$B192+$M192+$N192)</f>
        <v/>
      </c>
    </row>
    <row r="193">
      <c r="A193" s="15">
        <f>IF('ANAHTAR'!$B193="","",'ANAHTAR'!$B193)</f>
        <v/>
      </c>
      <c r="B193" s="15">
        <f>IF($A193="","",COUNTIF(tblAnahtarB[NormB],$A193))</f>
        <v/>
      </c>
      <c r="C193" s="15">
        <f>IF($A193="","",IFERROR(SUMIF(tblMotor[A_Norm],$A193,tblMotor[SiparisToplam]),0))</f>
        <v/>
      </c>
      <c r="D193" s="15">
        <f>IF($A193="","",IFERROR(SUMIF(tblAnahtarA[Norm],$A193,tblVeriA[HedefMaliyet]),0))</f>
        <v/>
      </c>
      <c r="E193" s="15">
        <f>IF($A193="","",ROUND($D193,2)-ROUND($C193,2))</f>
        <v/>
      </c>
      <c r="F193" s="15">
        <f>IF($A193="","",ABS($E193))</f>
        <v/>
      </c>
      <c r="G193" s="15">
        <f>IF($A193="","",IF($B193=0,"eslesmedi",IF(ROUND($D193,2)=ROUND($C193,2),"eslesti",IF(ABS(ROUND($D193,2)-ROUND($C193,2))&lt;=toleransKurus,"tolerans_icinde","tutar_farki"))))</f>
        <v/>
      </c>
      <c r="H193" s="15">
        <f>IF($A193="","",IF($B193&gt;0,"BIRINCIL",IF(COUNTIF(tblAnahtarB[IkincilB],'ANAHTAR'!$D193)&gt;0,"IKINCIL","YOK")))</f>
        <v/>
      </c>
      <c r="I193" s="15">
        <f>IF($A193="","",'ANAHTAR'!$F193)</f>
        <v/>
      </c>
      <c r="J193" s="15">
        <f>IF(OR($A193="",$D193=0),0,$F193/ABS($D193))</f>
        <v/>
      </c>
      <c r="K193" s="15">
        <f>IF($A193="","",ROUND($D193,2))</f>
        <v/>
      </c>
      <c r="L193" s="15">
        <f>IF($A193="","",ROUND($C193,2))</f>
        <v/>
      </c>
      <c r="M193" s="15">
        <f>IF($A193="","",IF($F193&lt;=toleransKurus,1,0))</f>
        <v/>
      </c>
      <c r="N193" s="15">
        <f>IF($A193="","",IF($F193&gt;kdo_esikFark,1,0))</f>
        <v/>
      </c>
      <c r="O193" s="15">
        <f>IF($A193="","",IFERROR(SUMIF(tblMotor[A_Norm],$A193,tblMotor[SiparisToplam]),0))</f>
        <v/>
      </c>
      <c r="P193" s="15">
        <f>IF($A193="","",$B193+$M193+$N193)</f>
        <v/>
      </c>
    </row>
    <row r="194">
      <c r="A194" s="15">
        <f>IF('ANAHTAR'!$B194="","",'ANAHTAR'!$B194)</f>
        <v/>
      </c>
      <c r="B194" s="15">
        <f>IF($A194="","",COUNTIF(tblAnahtarB[NormB],$A194))</f>
        <v/>
      </c>
      <c r="C194" s="15">
        <f>IF($A194="","",IFERROR(SUMIF(tblMotor[A_Norm],$A194,tblMotor[SiparisToplam]),0))</f>
        <v/>
      </c>
      <c r="D194" s="15">
        <f>IF($A194="","",IFERROR(SUMIF(tblAnahtarA[Norm],$A194,tblVeriA[HedefMaliyet]),0))</f>
        <v/>
      </c>
      <c r="E194" s="15">
        <f>IF($A194="","",ROUND($D194,2)-ROUND($C194,2))</f>
        <v/>
      </c>
      <c r="F194" s="15">
        <f>IF($A194="","",ABS($E194))</f>
        <v/>
      </c>
      <c r="G194" s="15">
        <f>IF($A194="","",IF($B194=0,"eslesmedi",IF(ROUND($D194,2)=ROUND($C194,2),"eslesti",IF(ABS(ROUND($D194,2)-ROUND($C194,2))&lt;=toleransKurus,"tolerans_icinde","tutar_farki"))))</f>
        <v/>
      </c>
      <c r="H194" s="15">
        <f>IF($A194="","",IF($B194&gt;0,"BIRINCIL",IF(COUNTIF(tblAnahtarB[IkincilB],'ANAHTAR'!$D194)&gt;0,"IKINCIL","YOK")))</f>
        <v/>
      </c>
      <c r="I194" s="15">
        <f>IF($A194="","",'ANAHTAR'!$F194)</f>
        <v/>
      </c>
      <c r="J194" s="15">
        <f>IF(OR($A194="",$D194=0),0,$F194/ABS($D194))</f>
        <v/>
      </c>
      <c r="K194" s="15">
        <f>IF($A194="","",ROUND($D194,2))</f>
        <v/>
      </c>
      <c r="L194" s="15">
        <f>IF($A194="","",ROUND($C194,2))</f>
        <v/>
      </c>
      <c r="M194" s="15">
        <f>IF($A194="","",IF($F194&lt;=toleransKurus,1,0))</f>
        <v/>
      </c>
      <c r="N194" s="15">
        <f>IF($A194="","",IF($F194&gt;kdo_esikFark,1,0))</f>
        <v/>
      </c>
      <c r="O194" s="15">
        <f>IF($A194="","",IFERROR(SUMIF(tblMotor[A_Norm],$A194,tblMotor[SiparisToplam]),0))</f>
        <v/>
      </c>
      <c r="P194" s="15">
        <f>IF($A194="","",$B194+$M194+$N194)</f>
        <v/>
      </c>
    </row>
    <row r="195">
      <c r="A195" s="15">
        <f>IF('ANAHTAR'!$B195="","",'ANAHTAR'!$B195)</f>
        <v/>
      </c>
      <c r="B195" s="15">
        <f>IF($A195="","",COUNTIF(tblAnahtarB[NormB],$A195))</f>
        <v/>
      </c>
      <c r="C195" s="15">
        <f>IF($A195="","",IFERROR(SUMIF(tblMotor[A_Norm],$A195,tblMotor[SiparisToplam]),0))</f>
        <v/>
      </c>
      <c r="D195" s="15">
        <f>IF($A195="","",IFERROR(SUMIF(tblAnahtarA[Norm],$A195,tblVeriA[HedefMaliyet]),0))</f>
        <v/>
      </c>
      <c r="E195" s="15">
        <f>IF($A195="","",ROUND($D195,2)-ROUND($C195,2))</f>
        <v/>
      </c>
      <c r="F195" s="15">
        <f>IF($A195="","",ABS($E195))</f>
        <v/>
      </c>
      <c r="G195" s="15">
        <f>IF($A195="","",IF($B195=0,"eslesmedi",IF(ROUND($D195,2)=ROUND($C195,2),"eslesti",IF(ABS(ROUND($D195,2)-ROUND($C195,2))&lt;=toleransKurus,"tolerans_icinde","tutar_farki"))))</f>
        <v/>
      </c>
      <c r="H195" s="15">
        <f>IF($A195="","",IF($B195&gt;0,"BIRINCIL",IF(COUNTIF(tblAnahtarB[IkincilB],'ANAHTAR'!$D195)&gt;0,"IKINCIL","YOK")))</f>
        <v/>
      </c>
      <c r="I195" s="15">
        <f>IF($A195="","",'ANAHTAR'!$F195)</f>
        <v/>
      </c>
      <c r="J195" s="15">
        <f>IF(OR($A195="",$D195=0),0,$F195/ABS($D195))</f>
        <v/>
      </c>
      <c r="K195" s="15">
        <f>IF($A195="","",ROUND($D195,2))</f>
        <v/>
      </c>
      <c r="L195" s="15">
        <f>IF($A195="","",ROUND($C195,2))</f>
        <v/>
      </c>
      <c r="M195" s="15">
        <f>IF($A195="","",IF($F195&lt;=toleransKurus,1,0))</f>
        <v/>
      </c>
      <c r="N195" s="15">
        <f>IF($A195="","",IF($F195&gt;kdo_esikFark,1,0))</f>
        <v/>
      </c>
      <c r="O195" s="15">
        <f>IF($A195="","",IFERROR(SUMIF(tblMotor[A_Norm],$A195,tblMotor[SiparisToplam]),0))</f>
        <v/>
      </c>
      <c r="P195" s="15">
        <f>IF($A195="","",$B195+$M195+$N195)</f>
        <v/>
      </c>
    </row>
    <row r="196">
      <c r="A196" s="15">
        <f>IF('ANAHTAR'!$B196="","",'ANAHTAR'!$B196)</f>
        <v/>
      </c>
      <c r="B196" s="15">
        <f>IF($A196="","",COUNTIF(tblAnahtarB[NormB],$A196))</f>
        <v/>
      </c>
      <c r="C196" s="15">
        <f>IF($A196="","",IFERROR(SUMIF(tblMotor[A_Norm],$A196,tblMotor[SiparisToplam]),0))</f>
        <v/>
      </c>
      <c r="D196" s="15">
        <f>IF($A196="","",IFERROR(SUMIF(tblAnahtarA[Norm],$A196,tblVeriA[HedefMaliyet]),0))</f>
        <v/>
      </c>
      <c r="E196" s="15">
        <f>IF($A196="","",ROUND($D196,2)-ROUND($C196,2))</f>
        <v/>
      </c>
      <c r="F196" s="15">
        <f>IF($A196="","",ABS($E196))</f>
        <v/>
      </c>
      <c r="G196" s="15">
        <f>IF($A196="","",IF($B196=0,"eslesmedi",IF(ROUND($D196,2)=ROUND($C196,2),"eslesti",IF(ABS(ROUND($D196,2)-ROUND($C196,2))&lt;=toleransKurus,"tolerans_icinde","tutar_farki"))))</f>
        <v/>
      </c>
      <c r="H196" s="15">
        <f>IF($A196="","",IF($B196&gt;0,"BIRINCIL",IF(COUNTIF(tblAnahtarB[IkincilB],'ANAHTAR'!$D196)&gt;0,"IKINCIL","YOK")))</f>
        <v/>
      </c>
      <c r="I196" s="15">
        <f>IF($A196="","",'ANAHTAR'!$F196)</f>
        <v/>
      </c>
      <c r="J196" s="15">
        <f>IF(OR($A196="",$D196=0),0,$F196/ABS($D196))</f>
        <v/>
      </c>
      <c r="K196" s="15">
        <f>IF($A196="","",ROUND($D196,2))</f>
        <v/>
      </c>
      <c r="L196" s="15">
        <f>IF($A196="","",ROUND($C196,2))</f>
        <v/>
      </c>
      <c r="M196" s="15">
        <f>IF($A196="","",IF($F196&lt;=toleransKurus,1,0))</f>
        <v/>
      </c>
      <c r="N196" s="15">
        <f>IF($A196="","",IF($F196&gt;kdo_esikFark,1,0))</f>
        <v/>
      </c>
      <c r="O196" s="15">
        <f>IF($A196="","",IFERROR(SUMIF(tblMotor[A_Norm],$A196,tblMotor[SiparisToplam]),0))</f>
        <v/>
      </c>
      <c r="P196" s="15">
        <f>IF($A196="","",$B196+$M196+$N196)</f>
        <v/>
      </c>
    </row>
    <row r="197">
      <c r="A197" s="15">
        <f>IF('ANAHTAR'!$B197="","",'ANAHTAR'!$B197)</f>
        <v/>
      </c>
      <c r="B197" s="15">
        <f>IF($A197="","",COUNTIF(tblAnahtarB[NormB],$A197))</f>
        <v/>
      </c>
      <c r="C197" s="15">
        <f>IF($A197="","",IFERROR(SUMIF(tblMotor[A_Norm],$A197,tblMotor[SiparisToplam]),0))</f>
        <v/>
      </c>
      <c r="D197" s="15">
        <f>IF($A197="","",IFERROR(SUMIF(tblAnahtarA[Norm],$A197,tblVeriA[HedefMaliyet]),0))</f>
        <v/>
      </c>
      <c r="E197" s="15">
        <f>IF($A197="","",ROUND($D197,2)-ROUND($C197,2))</f>
        <v/>
      </c>
      <c r="F197" s="15">
        <f>IF($A197="","",ABS($E197))</f>
        <v/>
      </c>
      <c r="G197" s="15">
        <f>IF($A197="","",IF($B197=0,"eslesmedi",IF(ROUND($D197,2)=ROUND($C197,2),"eslesti",IF(ABS(ROUND($D197,2)-ROUND($C197,2))&lt;=toleransKurus,"tolerans_icinde","tutar_farki"))))</f>
        <v/>
      </c>
      <c r="H197" s="15">
        <f>IF($A197="","",IF($B197&gt;0,"BIRINCIL",IF(COUNTIF(tblAnahtarB[IkincilB],'ANAHTAR'!$D197)&gt;0,"IKINCIL","YOK")))</f>
        <v/>
      </c>
      <c r="I197" s="15">
        <f>IF($A197="","",'ANAHTAR'!$F197)</f>
        <v/>
      </c>
      <c r="J197" s="15">
        <f>IF(OR($A197="",$D197=0),0,$F197/ABS($D197))</f>
        <v/>
      </c>
      <c r="K197" s="15">
        <f>IF($A197="","",ROUND($D197,2))</f>
        <v/>
      </c>
      <c r="L197" s="15">
        <f>IF($A197="","",ROUND($C197,2))</f>
        <v/>
      </c>
      <c r="M197" s="15">
        <f>IF($A197="","",IF($F197&lt;=toleransKurus,1,0))</f>
        <v/>
      </c>
      <c r="N197" s="15">
        <f>IF($A197="","",IF($F197&gt;kdo_esikFark,1,0))</f>
        <v/>
      </c>
      <c r="O197" s="15">
        <f>IF($A197="","",IFERROR(SUMIF(tblMotor[A_Norm],$A197,tblMotor[SiparisToplam]),0))</f>
        <v/>
      </c>
      <c r="P197" s="15">
        <f>IF($A197="","",$B197+$M197+$N197)</f>
        <v/>
      </c>
    </row>
    <row r="198">
      <c r="A198" s="15">
        <f>IF('ANAHTAR'!$B198="","",'ANAHTAR'!$B198)</f>
        <v/>
      </c>
      <c r="B198" s="15">
        <f>IF($A198="","",COUNTIF(tblAnahtarB[NormB],$A198))</f>
        <v/>
      </c>
      <c r="C198" s="15">
        <f>IF($A198="","",IFERROR(SUMIF(tblMotor[A_Norm],$A198,tblMotor[SiparisToplam]),0))</f>
        <v/>
      </c>
      <c r="D198" s="15">
        <f>IF($A198="","",IFERROR(SUMIF(tblAnahtarA[Norm],$A198,tblVeriA[HedefMaliyet]),0))</f>
        <v/>
      </c>
      <c r="E198" s="15">
        <f>IF($A198="","",ROUND($D198,2)-ROUND($C198,2))</f>
        <v/>
      </c>
      <c r="F198" s="15">
        <f>IF($A198="","",ABS($E198))</f>
        <v/>
      </c>
      <c r="G198" s="15">
        <f>IF($A198="","",IF($B198=0,"eslesmedi",IF(ROUND($D198,2)=ROUND($C198,2),"eslesti",IF(ABS(ROUND($D198,2)-ROUND($C198,2))&lt;=toleransKurus,"tolerans_icinde","tutar_farki"))))</f>
        <v/>
      </c>
      <c r="H198" s="15">
        <f>IF($A198="","",IF($B198&gt;0,"BIRINCIL",IF(COUNTIF(tblAnahtarB[IkincilB],'ANAHTAR'!$D198)&gt;0,"IKINCIL","YOK")))</f>
        <v/>
      </c>
      <c r="I198" s="15">
        <f>IF($A198="","",'ANAHTAR'!$F198)</f>
        <v/>
      </c>
      <c r="J198" s="15">
        <f>IF(OR($A198="",$D198=0),0,$F198/ABS($D198))</f>
        <v/>
      </c>
      <c r="K198" s="15">
        <f>IF($A198="","",ROUND($D198,2))</f>
        <v/>
      </c>
      <c r="L198" s="15">
        <f>IF($A198="","",ROUND($C198,2))</f>
        <v/>
      </c>
      <c r="M198" s="15">
        <f>IF($A198="","",IF($F198&lt;=toleransKurus,1,0))</f>
        <v/>
      </c>
      <c r="N198" s="15">
        <f>IF($A198="","",IF($F198&gt;kdo_esikFark,1,0))</f>
        <v/>
      </c>
      <c r="O198" s="15">
        <f>IF($A198="","",IFERROR(SUMIF(tblMotor[A_Norm],$A198,tblMotor[SiparisToplam]),0))</f>
        <v/>
      </c>
      <c r="P198" s="15">
        <f>IF($A198="","",$B198+$M198+$N198)</f>
        <v/>
      </c>
    </row>
    <row r="199">
      <c r="A199" s="15">
        <f>IF('ANAHTAR'!$B199="","",'ANAHTAR'!$B199)</f>
        <v/>
      </c>
      <c r="B199" s="15">
        <f>IF($A199="","",COUNTIF(tblAnahtarB[NormB],$A199))</f>
        <v/>
      </c>
      <c r="C199" s="15">
        <f>IF($A199="","",IFERROR(SUMIF(tblMotor[A_Norm],$A199,tblMotor[SiparisToplam]),0))</f>
        <v/>
      </c>
      <c r="D199" s="15">
        <f>IF($A199="","",IFERROR(SUMIF(tblAnahtarA[Norm],$A199,tblVeriA[HedefMaliyet]),0))</f>
        <v/>
      </c>
      <c r="E199" s="15">
        <f>IF($A199="","",ROUND($D199,2)-ROUND($C199,2))</f>
        <v/>
      </c>
      <c r="F199" s="15">
        <f>IF($A199="","",ABS($E199))</f>
        <v/>
      </c>
      <c r="G199" s="15">
        <f>IF($A199="","",IF($B199=0,"eslesmedi",IF(ROUND($D199,2)=ROUND($C199,2),"eslesti",IF(ABS(ROUND($D199,2)-ROUND($C199,2))&lt;=toleransKurus,"tolerans_icinde","tutar_farki"))))</f>
        <v/>
      </c>
      <c r="H199" s="15">
        <f>IF($A199="","",IF($B199&gt;0,"BIRINCIL",IF(COUNTIF(tblAnahtarB[IkincilB],'ANAHTAR'!$D199)&gt;0,"IKINCIL","YOK")))</f>
        <v/>
      </c>
      <c r="I199" s="15">
        <f>IF($A199="","",'ANAHTAR'!$F199)</f>
        <v/>
      </c>
      <c r="J199" s="15">
        <f>IF(OR($A199="",$D199=0),0,$F199/ABS($D199))</f>
        <v/>
      </c>
      <c r="K199" s="15">
        <f>IF($A199="","",ROUND($D199,2))</f>
        <v/>
      </c>
      <c r="L199" s="15">
        <f>IF($A199="","",ROUND($C199,2))</f>
        <v/>
      </c>
      <c r="M199" s="15">
        <f>IF($A199="","",IF($F199&lt;=toleransKurus,1,0))</f>
        <v/>
      </c>
      <c r="N199" s="15">
        <f>IF($A199="","",IF($F199&gt;kdo_esikFark,1,0))</f>
        <v/>
      </c>
      <c r="O199" s="15">
        <f>IF($A199="","",IFERROR(SUMIF(tblMotor[A_Norm],$A199,tblMotor[SiparisToplam]),0))</f>
        <v/>
      </c>
      <c r="P199" s="15">
        <f>IF($A199="","",$B199+$M199+$N199)</f>
        <v/>
      </c>
    </row>
    <row r="200">
      <c r="A200" s="15">
        <f>IF('ANAHTAR'!$B200="","",'ANAHTAR'!$B200)</f>
        <v/>
      </c>
      <c r="B200" s="15">
        <f>IF($A200="","",COUNTIF(tblAnahtarB[NormB],$A200))</f>
        <v/>
      </c>
      <c r="C200" s="15">
        <f>IF($A200="","",IFERROR(SUMIF(tblMotor[A_Norm],$A200,tblMotor[SiparisToplam]),0))</f>
        <v/>
      </c>
      <c r="D200" s="15">
        <f>IF($A200="","",IFERROR(SUMIF(tblAnahtarA[Norm],$A200,tblVeriA[HedefMaliyet]),0))</f>
        <v/>
      </c>
      <c r="E200" s="15">
        <f>IF($A200="","",ROUND($D200,2)-ROUND($C200,2))</f>
        <v/>
      </c>
      <c r="F200" s="15">
        <f>IF($A200="","",ABS($E200))</f>
        <v/>
      </c>
      <c r="G200" s="15">
        <f>IF($A200="","",IF($B200=0,"eslesmedi",IF(ROUND($D200,2)=ROUND($C200,2),"eslesti",IF(ABS(ROUND($D200,2)-ROUND($C200,2))&lt;=toleransKurus,"tolerans_icinde","tutar_farki"))))</f>
        <v/>
      </c>
      <c r="H200" s="15">
        <f>IF($A200="","",IF($B200&gt;0,"BIRINCIL",IF(COUNTIF(tblAnahtarB[IkincilB],'ANAHTAR'!$D200)&gt;0,"IKINCIL","YOK")))</f>
        <v/>
      </c>
      <c r="I200" s="15">
        <f>IF($A200="","",'ANAHTAR'!$F200)</f>
        <v/>
      </c>
      <c r="J200" s="15">
        <f>IF(OR($A200="",$D200=0),0,$F200/ABS($D200))</f>
        <v/>
      </c>
      <c r="K200" s="15">
        <f>IF($A200="","",ROUND($D200,2))</f>
        <v/>
      </c>
      <c r="L200" s="15">
        <f>IF($A200="","",ROUND($C200,2))</f>
        <v/>
      </c>
      <c r="M200" s="15">
        <f>IF($A200="","",IF($F200&lt;=toleransKurus,1,0))</f>
        <v/>
      </c>
      <c r="N200" s="15">
        <f>IF($A200="","",IF($F200&gt;kdo_esikFark,1,0))</f>
        <v/>
      </c>
      <c r="O200" s="15">
        <f>IF($A200="","",IFERROR(SUMIF(tblMotor[A_Norm],$A200,tblMotor[SiparisToplam]),0))</f>
        <v/>
      </c>
      <c r="P200" s="15">
        <f>IF($A200="","",$B200+$M200+$N200)</f>
        <v/>
      </c>
    </row>
    <row r="201">
      <c r="A201" s="15">
        <f>IF('ANAHTAR'!$B201="","",'ANAHTAR'!$B201)</f>
        <v/>
      </c>
      <c r="B201" s="15">
        <f>IF($A201="","",COUNTIF(tblAnahtarB[NormB],$A201))</f>
        <v/>
      </c>
      <c r="C201" s="15">
        <f>IF($A201="","",IFERROR(SUMIF(tblMotor[A_Norm],$A201,tblMotor[SiparisToplam]),0))</f>
        <v/>
      </c>
      <c r="D201" s="15">
        <f>IF($A201="","",IFERROR(SUMIF(tblAnahtarA[Norm],$A201,tblVeriA[HedefMaliyet]),0))</f>
        <v/>
      </c>
      <c r="E201" s="15">
        <f>IF($A201="","",ROUND($D201,2)-ROUND($C201,2))</f>
        <v/>
      </c>
      <c r="F201" s="15">
        <f>IF($A201="","",ABS($E201))</f>
        <v/>
      </c>
      <c r="G201" s="15">
        <f>IF($A201="","",IF($B201=0,"eslesmedi",IF(ROUND($D201,2)=ROUND($C201,2),"eslesti",IF(ABS(ROUND($D201,2)-ROUND($C201,2))&lt;=toleransKurus,"tolerans_icinde","tutar_farki"))))</f>
        <v/>
      </c>
      <c r="H201" s="15">
        <f>IF($A201="","",IF($B201&gt;0,"BIRINCIL",IF(COUNTIF(tblAnahtarB[IkincilB],'ANAHTAR'!$D201)&gt;0,"IKINCIL","YOK")))</f>
        <v/>
      </c>
      <c r="I201" s="15">
        <f>IF($A201="","",'ANAHTAR'!$F201)</f>
        <v/>
      </c>
      <c r="J201" s="15">
        <f>IF(OR($A201="",$D201=0),0,$F201/ABS($D201))</f>
        <v/>
      </c>
      <c r="K201" s="15">
        <f>IF($A201="","",ROUND($D201,2))</f>
        <v/>
      </c>
      <c r="L201" s="15">
        <f>IF($A201="","",ROUND($C201,2))</f>
        <v/>
      </c>
      <c r="M201" s="15">
        <f>IF($A201="","",IF($F201&lt;=toleransKurus,1,0))</f>
        <v/>
      </c>
      <c r="N201" s="15">
        <f>IF($A201="","",IF($F201&gt;kdo_esikFark,1,0))</f>
        <v/>
      </c>
      <c r="O201" s="15">
        <f>IF($A201="","",IFERROR(SUMIF(tblMotor[A_Norm],$A201,tblMotor[SiparisToplam]),0))</f>
        <v/>
      </c>
      <c r="P201" s="15">
        <f>IF($A201="","",$B201+$M201+$N201)</f>
        <v/>
      </c>
    </row>
    <row r="202">
      <c r="A202" s="15">
        <f>IF('ANAHTAR'!$B202="","",'ANAHTAR'!$B202)</f>
        <v/>
      </c>
      <c r="B202" s="15">
        <f>IF($A202="","",COUNTIF(tblAnahtarB[NormB],$A202))</f>
        <v/>
      </c>
      <c r="C202" s="15">
        <f>IF($A202="","",IFERROR(SUMIF(tblMotor[A_Norm],$A202,tblMotor[SiparisToplam]),0))</f>
        <v/>
      </c>
      <c r="D202" s="15">
        <f>IF($A202="","",IFERROR(SUMIF(tblAnahtarA[Norm],$A202,tblVeriA[HedefMaliyet]),0))</f>
        <v/>
      </c>
      <c r="E202" s="15">
        <f>IF($A202="","",ROUND($D202,2)-ROUND($C202,2))</f>
        <v/>
      </c>
      <c r="F202" s="15">
        <f>IF($A202="","",ABS($E202))</f>
        <v/>
      </c>
      <c r="G202" s="15">
        <f>IF($A202="","",IF($B202=0,"eslesmedi",IF(ROUND($D202,2)=ROUND($C202,2),"eslesti",IF(ABS(ROUND($D202,2)-ROUND($C202,2))&lt;=toleransKurus,"tolerans_icinde","tutar_farki"))))</f>
        <v/>
      </c>
      <c r="H202" s="15">
        <f>IF($A202="","",IF($B202&gt;0,"BIRINCIL",IF(COUNTIF(tblAnahtarB[IkincilB],'ANAHTAR'!$D202)&gt;0,"IKINCIL","YOK")))</f>
        <v/>
      </c>
      <c r="I202" s="15">
        <f>IF($A202="","",'ANAHTAR'!$F202)</f>
        <v/>
      </c>
      <c r="J202" s="15">
        <f>IF(OR($A202="",$D202=0),0,$F202/ABS($D202))</f>
        <v/>
      </c>
      <c r="K202" s="15">
        <f>IF($A202="","",ROUND($D202,2))</f>
        <v/>
      </c>
      <c r="L202" s="15">
        <f>IF($A202="","",ROUND($C202,2))</f>
        <v/>
      </c>
      <c r="M202" s="15">
        <f>IF($A202="","",IF($F202&lt;=toleransKurus,1,0))</f>
        <v/>
      </c>
      <c r="N202" s="15">
        <f>IF($A202="","",IF($F202&gt;kdo_esikFark,1,0))</f>
        <v/>
      </c>
      <c r="O202" s="15">
        <f>IF($A202="","",IFERROR(SUMIF(tblMotor[A_Norm],$A202,tblMotor[SiparisToplam]),0))</f>
        <v/>
      </c>
      <c r="P202" s="15">
        <f>IF($A202="","",$B202+$M202+$N202)</f>
        <v/>
      </c>
    </row>
    <row r="203">
      <c r="A203" s="15">
        <f>IF('ANAHTAR'!$B203="","",'ANAHTAR'!$B203)</f>
        <v/>
      </c>
      <c r="B203" s="15">
        <f>IF($A203="","",COUNTIF(tblAnahtarB[NormB],$A203))</f>
        <v/>
      </c>
      <c r="C203" s="15">
        <f>IF($A203="","",IFERROR(SUMIF(tblMotor[A_Norm],$A203,tblMotor[SiparisToplam]),0))</f>
        <v/>
      </c>
      <c r="D203" s="15">
        <f>IF($A203="","",IFERROR(SUMIF(tblAnahtarA[Norm],$A203,tblVeriA[HedefMaliyet]),0))</f>
        <v/>
      </c>
      <c r="E203" s="15">
        <f>IF($A203="","",ROUND($D203,2)-ROUND($C203,2))</f>
        <v/>
      </c>
      <c r="F203" s="15">
        <f>IF($A203="","",ABS($E203))</f>
        <v/>
      </c>
      <c r="G203" s="15">
        <f>IF($A203="","",IF($B203=0,"eslesmedi",IF(ROUND($D203,2)=ROUND($C203,2),"eslesti",IF(ABS(ROUND($D203,2)-ROUND($C203,2))&lt;=toleransKurus,"tolerans_icinde","tutar_farki"))))</f>
        <v/>
      </c>
      <c r="H203" s="15">
        <f>IF($A203="","",IF($B203&gt;0,"BIRINCIL",IF(COUNTIF(tblAnahtarB[IkincilB],'ANAHTAR'!$D203)&gt;0,"IKINCIL","YOK")))</f>
        <v/>
      </c>
      <c r="I203" s="15">
        <f>IF($A203="","",'ANAHTAR'!$F203)</f>
        <v/>
      </c>
      <c r="J203" s="15">
        <f>IF(OR($A203="",$D203=0),0,$F203/ABS($D203))</f>
        <v/>
      </c>
      <c r="K203" s="15">
        <f>IF($A203="","",ROUND($D203,2))</f>
        <v/>
      </c>
      <c r="L203" s="15">
        <f>IF($A203="","",ROUND($C203,2))</f>
        <v/>
      </c>
      <c r="M203" s="15">
        <f>IF($A203="","",IF($F203&lt;=toleransKurus,1,0))</f>
        <v/>
      </c>
      <c r="N203" s="15">
        <f>IF($A203="","",IF($F203&gt;kdo_esikFark,1,0))</f>
        <v/>
      </c>
      <c r="O203" s="15">
        <f>IF($A203="","",IFERROR(SUMIF(tblMotor[A_Norm],$A203,tblMotor[SiparisToplam]),0))</f>
        <v/>
      </c>
      <c r="P203" s="15">
        <f>IF($A203="","",$B203+$M203+$N203)</f>
        <v/>
      </c>
    </row>
    <row r="204">
      <c r="A204" s="15">
        <f>IF('ANAHTAR'!$B204="","",'ANAHTAR'!$B204)</f>
        <v/>
      </c>
      <c r="B204" s="15">
        <f>IF($A204="","",COUNTIF(tblAnahtarB[NormB],$A204))</f>
        <v/>
      </c>
      <c r="C204" s="15">
        <f>IF($A204="","",IFERROR(SUMIF(tblMotor[A_Norm],$A204,tblMotor[SiparisToplam]),0))</f>
        <v/>
      </c>
      <c r="D204" s="15">
        <f>IF($A204="","",IFERROR(SUMIF(tblAnahtarA[Norm],$A204,tblVeriA[HedefMaliyet]),0))</f>
        <v/>
      </c>
      <c r="E204" s="15">
        <f>IF($A204="","",ROUND($D204,2)-ROUND($C204,2))</f>
        <v/>
      </c>
      <c r="F204" s="15">
        <f>IF($A204="","",ABS($E204))</f>
        <v/>
      </c>
      <c r="G204" s="15">
        <f>IF($A204="","",IF($B204=0,"eslesmedi",IF(ROUND($D204,2)=ROUND($C204,2),"eslesti",IF(ABS(ROUND($D204,2)-ROUND($C204,2))&lt;=toleransKurus,"tolerans_icinde","tutar_farki"))))</f>
        <v/>
      </c>
      <c r="H204" s="15">
        <f>IF($A204="","",IF($B204&gt;0,"BIRINCIL",IF(COUNTIF(tblAnahtarB[IkincilB],'ANAHTAR'!$D204)&gt;0,"IKINCIL","YOK")))</f>
        <v/>
      </c>
      <c r="I204" s="15">
        <f>IF($A204="","",'ANAHTAR'!$F204)</f>
        <v/>
      </c>
      <c r="J204" s="15">
        <f>IF(OR($A204="",$D204=0),0,$F204/ABS($D204))</f>
        <v/>
      </c>
      <c r="K204" s="15">
        <f>IF($A204="","",ROUND($D204,2))</f>
        <v/>
      </c>
      <c r="L204" s="15">
        <f>IF($A204="","",ROUND($C204,2))</f>
        <v/>
      </c>
      <c r="M204" s="15">
        <f>IF($A204="","",IF($F204&lt;=toleransKurus,1,0))</f>
        <v/>
      </c>
      <c r="N204" s="15">
        <f>IF($A204="","",IF($F204&gt;kdo_esikFark,1,0))</f>
        <v/>
      </c>
      <c r="O204" s="15">
        <f>IF($A204="","",IFERROR(SUMIF(tblMotor[A_Norm],$A204,tblMotor[SiparisToplam]),0))</f>
        <v/>
      </c>
      <c r="P204" s="15">
        <f>IF($A204="","",$B204+$M204+$N204)</f>
        <v/>
      </c>
    </row>
    <row r="205">
      <c r="A205" s="15">
        <f>IF('ANAHTAR'!$B205="","",'ANAHTAR'!$B205)</f>
        <v/>
      </c>
      <c r="B205" s="15">
        <f>IF($A205="","",COUNTIF(tblAnahtarB[NormB],$A205))</f>
        <v/>
      </c>
      <c r="C205" s="15">
        <f>IF($A205="","",IFERROR(SUMIF(tblMotor[A_Norm],$A205,tblMotor[SiparisToplam]),0))</f>
        <v/>
      </c>
      <c r="D205" s="15">
        <f>IF($A205="","",IFERROR(SUMIF(tblAnahtarA[Norm],$A205,tblVeriA[HedefMaliyet]),0))</f>
        <v/>
      </c>
      <c r="E205" s="15">
        <f>IF($A205="","",ROUND($D205,2)-ROUND($C205,2))</f>
        <v/>
      </c>
      <c r="F205" s="15">
        <f>IF($A205="","",ABS($E205))</f>
        <v/>
      </c>
      <c r="G205" s="15">
        <f>IF($A205="","",IF($B205=0,"eslesmedi",IF(ROUND($D205,2)=ROUND($C205,2),"eslesti",IF(ABS(ROUND($D205,2)-ROUND($C205,2))&lt;=toleransKurus,"tolerans_icinde","tutar_farki"))))</f>
        <v/>
      </c>
      <c r="H205" s="15">
        <f>IF($A205="","",IF($B205&gt;0,"BIRINCIL",IF(COUNTIF(tblAnahtarB[IkincilB],'ANAHTAR'!$D205)&gt;0,"IKINCIL","YOK")))</f>
        <v/>
      </c>
      <c r="I205" s="15">
        <f>IF($A205="","",'ANAHTAR'!$F205)</f>
        <v/>
      </c>
      <c r="J205" s="15">
        <f>IF(OR($A205="",$D205=0),0,$F205/ABS($D205))</f>
        <v/>
      </c>
      <c r="K205" s="15">
        <f>IF($A205="","",ROUND($D205,2))</f>
        <v/>
      </c>
      <c r="L205" s="15">
        <f>IF($A205="","",ROUND($C205,2))</f>
        <v/>
      </c>
      <c r="M205" s="15">
        <f>IF($A205="","",IF($F205&lt;=toleransKurus,1,0))</f>
        <v/>
      </c>
      <c r="N205" s="15">
        <f>IF($A205="","",IF($F205&gt;kdo_esikFark,1,0))</f>
        <v/>
      </c>
      <c r="O205" s="15">
        <f>IF($A205="","",IFERROR(SUMIF(tblMotor[A_Norm],$A205,tblMotor[SiparisToplam]),0))</f>
        <v/>
      </c>
      <c r="P205" s="15">
        <f>IF($A205="","",$B205+$M205+$N205)</f>
        <v/>
      </c>
    </row>
    <row r="206">
      <c r="A206" s="15">
        <f>IF('ANAHTAR'!$B206="","",'ANAHTAR'!$B206)</f>
        <v/>
      </c>
      <c r="B206" s="15">
        <f>IF($A206="","",COUNTIF(tblAnahtarB[NormB],$A206))</f>
        <v/>
      </c>
      <c r="C206" s="15">
        <f>IF($A206="","",IFERROR(SUMIF(tblMotor[A_Norm],$A206,tblMotor[SiparisToplam]),0))</f>
        <v/>
      </c>
      <c r="D206" s="15">
        <f>IF($A206="","",IFERROR(SUMIF(tblAnahtarA[Norm],$A206,tblVeriA[HedefMaliyet]),0))</f>
        <v/>
      </c>
      <c r="E206" s="15">
        <f>IF($A206="","",ROUND($D206,2)-ROUND($C206,2))</f>
        <v/>
      </c>
      <c r="F206" s="15">
        <f>IF($A206="","",ABS($E206))</f>
        <v/>
      </c>
      <c r="G206" s="15">
        <f>IF($A206="","",IF($B206=0,"eslesmedi",IF(ROUND($D206,2)=ROUND($C206,2),"eslesti",IF(ABS(ROUND($D206,2)-ROUND($C206,2))&lt;=toleransKurus,"tolerans_icinde","tutar_farki"))))</f>
        <v/>
      </c>
      <c r="H206" s="15">
        <f>IF($A206="","",IF($B206&gt;0,"BIRINCIL",IF(COUNTIF(tblAnahtarB[IkincilB],'ANAHTAR'!$D206)&gt;0,"IKINCIL","YOK")))</f>
        <v/>
      </c>
      <c r="I206" s="15">
        <f>IF($A206="","",'ANAHTAR'!$F206)</f>
        <v/>
      </c>
      <c r="J206" s="15">
        <f>IF(OR($A206="",$D206=0),0,$F206/ABS($D206))</f>
        <v/>
      </c>
      <c r="K206" s="15">
        <f>IF($A206="","",ROUND($D206,2))</f>
        <v/>
      </c>
      <c r="L206" s="15">
        <f>IF($A206="","",ROUND($C206,2))</f>
        <v/>
      </c>
      <c r="M206" s="15">
        <f>IF($A206="","",IF($F206&lt;=toleransKurus,1,0))</f>
        <v/>
      </c>
      <c r="N206" s="15">
        <f>IF($A206="","",IF($F206&gt;kdo_esikFark,1,0))</f>
        <v/>
      </c>
      <c r="O206" s="15">
        <f>IF($A206="","",IFERROR(SUMIF(tblMotor[A_Norm],$A206,tblMotor[SiparisToplam]),0))</f>
        <v/>
      </c>
      <c r="P206" s="15">
        <f>IF($A206="","",$B206+$M206+$N206)</f>
        <v/>
      </c>
    </row>
    <row r="207">
      <c r="A207" s="15">
        <f>IF('ANAHTAR'!$B207="","",'ANAHTAR'!$B207)</f>
        <v/>
      </c>
      <c r="B207" s="15">
        <f>IF($A207="","",COUNTIF(tblAnahtarB[NormB],$A207))</f>
        <v/>
      </c>
      <c r="C207" s="15">
        <f>IF($A207="","",IFERROR(SUMIF(tblMotor[A_Norm],$A207,tblMotor[SiparisToplam]),0))</f>
        <v/>
      </c>
      <c r="D207" s="15">
        <f>IF($A207="","",IFERROR(SUMIF(tblAnahtarA[Norm],$A207,tblVeriA[HedefMaliyet]),0))</f>
        <v/>
      </c>
      <c r="E207" s="15">
        <f>IF($A207="","",ROUND($D207,2)-ROUND($C207,2))</f>
        <v/>
      </c>
      <c r="F207" s="15">
        <f>IF($A207="","",ABS($E207))</f>
        <v/>
      </c>
      <c r="G207" s="15">
        <f>IF($A207="","",IF($B207=0,"eslesmedi",IF(ROUND($D207,2)=ROUND($C207,2),"eslesti",IF(ABS(ROUND($D207,2)-ROUND($C207,2))&lt;=toleransKurus,"tolerans_icinde","tutar_farki"))))</f>
        <v/>
      </c>
      <c r="H207" s="15">
        <f>IF($A207="","",IF($B207&gt;0,"BIRINCIL",IF(COUNTIF(tblAnahtarB[IkincilB],'ANAHTAR'!$D207)&gt;0,"IKINCIL","YOK")))</f>
        <v/>
      </c>
      <c r="I207" s="15">
        <f>IF($A207="","",'ANAHTAR'!$F207)</f>
        <v/>
      </c>
      <c r="J207" s="15">
        <f>IF(OR($A207="",$D207=0),0,$F207/ABS($D207))</f>
        <v/>
      </c>
      <c r="K207" s="15">
        <f>IF($A207="","",ROUND($D207,2))</f>
        <v/>
      </c>
      <c r="L207" s="15">
        <f>IF($A207="","",ROUND($C207,2))</f>
        <v/>
      </c>
      <c r="M207" s="15">
        <f>IF($A207="","",IF($F207&lt;=toleransKurus,1,0))</f>
        <v/>
      </c>
      <c r="N207" s="15">
        <f>IF($A207="","",IF($F207&gt;kdo_esikFark,1,0))</f>
        <v/>
      </c>
      <c r="O207" s="15">
        <f>IF($A207="","",IFERROR(SUMIF(tblMotor[A_Norm],$A207,tblMotor[SiparisToplam]),0))</f>
        <v/>
      </c>
      <c r="P207" s="15">
        <f>IF($A207="","",$B207+$M207+$N207)</f>
        <v/>
      </c>
    </row>
    <row r="208">
      <c r="A208" s="15">
        <f>IF('ANAHTAR'!$B208="","",'ANAHTAR'!$B208)</f>
        <v/>
      </c>
      <c r="B208" s="15">
        <f>IF($A208="","",COUNTIF(tblAnahtarB[NormB],$A208))</f>
        <v/>
      </c>
      <c r="C208" s="15">
        <f>IF($A208="","",IFERROR(SUMIF(tblMotor[A_Norm],$A208,tblMotor[SiparisToplam]),0))</f>
        <v/>
      </c>
      <c r="D208" s="15">
        <f>IF($A208="","",IFERROR(SUMIF(tblAnahtarA[Norm],$A208,tblVeriA[HedefMaliyet]),0))</f>
        <v/>
      </c>
      <c r="E208" s="15">
        <f>IF($A208="","",ROUND($D208,2)-ROUND($C208,2))</f>
        <v/>
      </c>
      <c r="F208" s="15">
        <f>IF($A208="","",ABS($E208))</f>
        <v/>
      </c>
      <c r="G208" s="15">
        <f>IF($A208="","",IF($B208=0,"eslesmedi",IF(ROUND($D208,2)=ROUND($C208,2),"eslesti",IF(ABS(ROUND($D208,2)-ROUND($C208,2))&lt;=toleransKurus,"tolerans_icinde","tutar_farki"))))</f>
        <v/>
      </c>
      <c r="H208" s="15">
        <f>IF($A208="","",IF($B208&gt;0,"BIRINCIL",IF(COUNTIF(tblAnahtarB[IkincilB],'ANAHTAR'!$D208)&gt;0,"IKINCIL","YOK")))</f>
        <v/>
      </c>
      <c r="I208" s="15">
        <f>IF($A208="","",'ANAHTAR'!$F208)</f>
        <v/>
      </c>
      <c r="J208" s="15">
        <f>IF(OR($A208="",$D208=0),0,$F208/ABS($D208))</f>
        <v/>
      </c>
      <c r="K208" s="15">
        <f>IF($A208="","",ROUND($D208,2))</f>
        <v/>
      </c>
      <c r="L208" s="15">
        <f>IF($A208="","",ROUND($C208,2))</f>
        <v/>
      </c>
      <c r="M208" s="15">
        <f>IF($A208="","",IF($F208&lt;=toleransKurus,1,0))</f>
        <v/>
      </c>
      <c r="N208" s="15">
        <f>IF($A208="","",IF($F208&gt;kdo_esikFark,1,0))</f>
        <v/>
      </c>
      <c r="O208" s="15">
        <f>IF($A208="","",IFERROR(SUMIF(tblMotor[A_Norm],$A208,tblMotor[SiparisToplam]),0))</f>
        <v/>
      </c>
      <c r="P208" s="15">
        <f>IF($A208="","",$B208+$M208+$N208)</f>
        <v/>
      </c>
    </row>
    <row r="209">
      <c r="A209" s="15">
        <f>IF('ANAHTAR'!$B209="","",'ANAHTAR'!$B209)</f>
        <v/>
      </c>
      <c r="B209" s="15">
        <f>IF($A209="","",COUNTIF(tblAnahtarB[NormB],$A209))</f>
        <v/>
      </c>
      <c r="C209" s="15">
        <f>IF($A209="","",IFERROR(SUMIF(tblMotor[A_Norm],$A209,tblMotor[SiparisToplam]),0))</f>
        <v/>
      </c>
      <c r="D209" s="15">
        <f>IF($A209="","",IFERROR(SUMIF(tblAnahtarA[Norm],$A209,tblVeriA[HedefMaliyet]),0))</f>
        <v/>
      </c>
      <c r="E209" s="15">
        <f>IF($A209="","",ROUND($D209,2)-ROUND($C209,2))</f>
        <v/>
      </c>
      <c r="F209" s="15">
        <f>IF($A209="","",ABS($E209))</f>
        <v/>
      </c>
      <c r="G209" s="15">
        <f>IF($A209="","",IF($B209=0,"eslesmedi",IF(ROUND($D209,2)=ROUND($C209,2),"eslesti",IF(ABS(ROUND($D209,2)-ROUND($C209,2))&lt;=toleransKurus,"tolerans_icinde","tutar_farki"))))</f>
        <v/>
      </c>
      <c r="H209" s="15">
        <f>IF($A209="","",IF($B209&gt;0,"BIRINCIL",IF(COUNTIF(tblAnahtarB[IkincilB],'ANAHTAR'!$D209)&gt;0,"IKINCIL","YOK")))</f>
        <v/>
      </c>
      <c r="I209" s="15">
        <f>IF($A209="","",'ANAHTAR'!$F209)</f>
        <v/>
      </c>
      <c r="J209" s="15">
        <f>IF(OR($A209="",$D209=0),0,$F209/ABS($D209))</f>
        <v/>
      </c>
      <c r="K209" s="15">
        <f>IF($A209="","",ROUND($D209,2))</f>
        <v/>
      </c>
      <c r="L209" s="15">
        <f>IF($A209="","",ROUND($C209,2))</f>
        <v/>
      </c>
      <c r="M209" s="15">
        <f>IF($A209="","",IF($F209&lt;=toleransKurus,1,0))</f>
        <v/>
      </c>
      <c r="N209" s="15">
        <f>IF($A209="","",IF($F209&gt;kdo_esikFark,1,0))</f>
        <v/>
      </c>
      <c r="O209" s="15">
        <f>IF($A209="","",IFERROR(SUMIF(tblMotor[A_Norm],$A209,tblMotor[SiparisToplam]),0))</f>
        <v/>
      </c>
      <c r="P209" s="15">
        <f>IF($A209="","",$B209+$M209+$N209)</f>
        <v/>
      </c>
    </row>
    <row r="210">
      <c r="A210" s="15">
        <f>IF('ANAHTAR'!$B210="","",'ANAHTAR'!$B210)</f>
        <v/>
      </c>
      <c r="B210" s="15">
        <f>IF($A210="","",COUNTIF(tblAnahtarB[NormB],$A210))</f>
        <v/>
      </c>
      <c r="C210" s="15">
        <f>IF($A210="","",IFERROR(SUMIF(tblMotor[A_Norm],$A210,tblMotor[SiparisToplam]),0))</f>
        <v/>
      </c>
      <c r="D210" s="15">
        <f>IF($A210="","",IFERROR(SUMIF(tblAnahtarA[Norm],$A210,tblVeriA[HedefMaliyet]),0))</f>
        <v/>
      </c>
      <c r="E210" s="15">
        <f>IF($A210="","",ROUND($D210,2)-ROUND($C210,2))</f>
        <v/>
      </c>
      <c r="F210" s="15">
        <f>IF($A210="","",ABS($E210))</f>
        <v/>
      </c>
      <c r="G210" s="15">
        <f>IF($A210="","",IF($B210=0,"eslesmedi",IF(ROUND($D210,2)=ROUND($C210,2),"eslesti",IF(ABS(ROUND($D210,2)-ROUND($C210,2))&lt;=toleransKurus,"tolerans_icinde","tutar_farki"))))</f>
        <v/>
      </c>
      <c r="H210" s="15">
        <f>IF($A210="","",IF($B210&gt;0,"BIRINCIL",IF(COUNTIF(tblAnahtarB[IkincilB],'ANAHTAR'!$D210)&gt;0,"IKINCIL","YOK")))</f>
        <v/>
      </c>
      <c r="I210" s="15">
        <f>IF($A210="","",'ANAHTAR'!$F210)</f>
        <v/>
      </c>
      <c r="J210" s="15">
        <f>IF(OR($A210="",$D210=0),0,$F210/ABS($D210))</f>
        <v/>
      </c>
      <c r="K210" s="15">
        <f>IF($A210="","",ROUND($D210,2))</f>
        <v/>
      </c>
      <c r="L210" s="15">
        <f>IF($A210="","",ROUND($C210,2))</f>
        <v/>
      </c>
      <c r="M210" s="15">
        <f>IF($A210="","",IF($F210&lt;=toleransKurus,1,0))</f>
        <v/>
      </c>
      <c r="N210" s="15">
        <f>IF($A210="","",IF($F210&gt;kdo_esikFark,1,0))</f>
        <v/>
      </c>
      <c r="O210" s="15">
        <f>IF($A210="","",IFERROR(SUMIF(tblMotor[A_Norm],$A210,tblMotor[SiparisToplam]),0))</f>
        <v/>
      </c>
      <c r="P210" s="15">
        <f>IF($A210="","",$B210+$M210+$N210)</f>
        <v/>
      </c>
    </row>
    <row r="211">
      <c r="A211" s="15">
        <f>IF('ANAHTAR'!$B211="","",'ANAHTAR'!$B211)</f>
        <v/>
      </c>
      <c r="B211" s="15">
        <f>IF($A211="","",COUNTIF(tblAnahtarB[NormB],$A211))</f>
        <v/>
      </c>
      <c r="C211" s="15">
        <f>IF($A211="","",IFERROR(SUMIF(tblMotor[A_Norm],$A211,tblMotor[SiparisToplam]),0))</f>
        <v/>
      </c>
      <c r="D211" s="15">
        <f>IF($A211="","",IFERROR(SUMIF(tblAnahtarA[Norm],$A211,tblVeriA[HedefMaliyet]),0))</f>
        <v/>
      </c>
      <c r="E211" s="15">
        <f>IF($A211="","",ROUND($D211,2)-ROUND($C211,2))</f>
        <v/>
      </c>
      <c r="F211" s="15">
        <f>IF($A211="","",ABS($E211))</f>
        <v/>
      </c>
      <c r="G211" s="15">
        <f>IF($A211="","",IF($B211=0,"eslesmedi",IF(ROUND($D211,2)=ROUND($C211,2),"eslesti",IF(ABS(ROUND($D211,2)-ROUND($C211,2))&lt;=toleransKurus,"tolerans_icinde","tutar_farki"))))</f>
        <v/>
      </c>
      <c r="H211" s="15">
        <f>IF($A211="","",IF($B211&gt;0,"BIRINCIL",IF(COUNTIF(tblAnahtarB[IkincilB],'ANAHTAR'!$D211)&gt;0,"IKINCIL","YOK")))</f>
        <v/>
      </c>
      <c r="I211" s="15">
        <f>IF($A211="","",'ANAHTAR'!$F211)</f>
        <v/>
      </c>
      <c r="J211" s="15">
        <f>IF(OR($A211="",$D211=0),0,$F211/ABS($D211))</f>
        <v/>
      </c>
      <c r="K211" s="15">
        <f>IF($A211="","",ROUND($D211,2))</f>
        <v/>
      </c>
      <c r="L211" s="15">
        <f>IF($A211="","",ROUND($C211,2))</f>
        <v/>
      </c>
      <c r="M211" s="15">
        <f>IF($A211="","",IF($F211&lt;=toleransKurus,1,0))</f>
        <v/>
      </c>
      <c r="N211" s="15">
        <f>IF($A211="","",IF($F211&gt;kdo_esikFark,1,0))</f>
        <v/>
      </c>
      <c r="O211" s="15">
        <f>IF($A211="","",IFERROR(SUMIF(tblMotor[A_Norm],$A211,tblMotor[SiparisToplam]),0))</f>
        <v/>
      </c>
      <c r="P211" s="15">
        <f>IF($A211="","",$B211+$M211+$N211)</f>
        <v/>
      </c>
    </row>
    <row r="212">
      <c r="A212" s="15">
        <f>IF('ANAHTAR'!$B212="","",'ANAHTAR'!$B212)</f>
        <v/>
      </c>
      <c r="B212" s="15">
        <f>IF($A212="","",COUNTIF(tblAnahtarB[NormB],$A212))</f>
        <v/>
      </c>
      <c r="C212" s="15">
        <f>IF($A212="","",IFERROR(SUMIF(tblMotor[A_Norm],$A212,tblMotor[SiparisToplam]),0))</f>
        <v/>
      </c>
      <c r="D212" s="15">
        <f>IF($A212="","",IFERROR(SUMIF(tblAnahtarA[Norm],$A212,tblVeriA[HedefMaliyet]),0))</f>
        <v/>
      </c>
      <c r="E212" s="15">
        <f>IF($A212="","",ROUND($D212,2)-ROUND($C212,2))</f>
        <v/>
      </c>
      <c r="F212" s="15">
        <f>IF($A212="","",ABS($E212))</f>
        <v/>
      </c>
      <c r="G212" s="15">
        <f>IF($A212="","",IF($B212=0,"eslesmedi",IF(ROUND($D212,2)=ROUND($C212,2),"eslesti",IF(ABS(ROUND($D212,2)-ROUND($C212,2))&lt;=toleransKurus,"tolerans_icinde","tutar_farki"))))</f>
        <v/>
      </c>
      <c r="H212" s="15">
        <f>IF($A212="","",IF($B212&gt;0,"BIRINCIL",IF(COUNTIF(tblAnahtarB[IkincilB],'ANAHTAR'!$D212)&gt;0,"IKINCIL","YOK")))</f>
        <v/>
      </c>
      <c r="I212" s="15">
        <f>IF($A212="","",'ANAHTAR'!$F212)</f>
        <v/>
      </c>
      <c r="J212" s="15">
        <f>IF(OR($A212="",$D212=0),0,$F212/ABS($D212))</f>
        <v/>
      </c>
      <c r="K212" s="15">
        <f>IF($A212="","",ROUND($D212,2))</f>
        <v/>
      </c>
      <c r="L212" s="15">
        <f>IF($A212="","",ROUND($C212,2))</f>
        <v/>
      </c>
      <c r="M212" s="15">
        <f>IF($A212="","",IF($F212&lt;=toleransKurus,1,0))</f>
        <v/>
      </c>
      <c r="N212" s="15">
        <f>IF($A212="","",IF($F212&gt;kdo_esikFark,1,0))</f>
        <v/>
      </c>
      <c r="O212" s="15">
        <f>IF($A212="","",IFERROR(SUMIF(tblMotor[A_Norm],$A212,tblMotor[SiparisToplam]),0))</f>
        <v/>
      </c>
      <c r="P212" s="15">
        <f>IF($A212="","",$B212+$M212+$N212)</f>
        <v/>
      </c>
    </row>
    <row r="213">
      <c r="A213" s="15">
        <f>IF('ANAHTAR'!$B213="","",'ANAHTAR'!$B213)</f>
        <v/>
      </c>
      <c r="B213" s="15">
        <f>IF($A213="","",COUNTIF(tblAnahtarB[NormB],$A213))</f>
        <v/>
      </c>
      <c r="C213" s="15">
        <f>IF($A213="","",IFERROR(SUMIF(tblMotor[A_Norm],$A213,tblMotor[SiparisToplam]),0))</f>
        <v/>
      </c>
      <c r="D213" s="15">
        <f>IF($A213="","",IFERROR(SUMIF(tblAnahtarA[Norm],$A213,tblVeriA[HedefMaliyet]),0))</f>
        <v/>
      </c>
      <c r="E213" s="15">
        <f>IF($A213="","",ROUND($D213,2)-ROUND($C213,2))</f>
        <v/>
      </c>
      <c r="F213" s="15">
        <f>IF($A213="","",ABS($E213))</f>
        <v/>
      </c>
      <c r="G213" s="15">
        <f>IF($A213="","",IF($B213=0,"eslesmedi",IF(ROUND($D213,2)=ROUND($C213,2),"eslesti",IF(ABS(ROUND($D213,2)-ROUND($C213,2))&lt;=toleransKurus,"tolerans_icinde","tutar_farki"))))</f>
        <v/>
      </c>
      <c r="H213" s="15">
        <f>IF($A213="","",IF($B213&gt;0,"BIRINCIL",IF(COUNTIF(tblAnahtarB[IkincilB],'ANAHTAR'!$D213)&gt;0,"IKINCIL","YOK")))</f>
        <v/>
      </c>
      <c r="I213" s="15">
        <f>IF($A213="","",'ANAHTAR'!$F213)</f>
        <v/>
      </c>
      <c r="J213" s="15">
        <f>IF(OR($A213="",$D213=0),0,$F213/ABS($D213))</f>
        <v/>
      </c>
      <c r="K213" s="15">
        <f>IF($A213="","",ROUND($D213,2))</f>
        <v/>
      </c>
      <c r="L213" s="15">
        <f>IF($A213="","",ROUND($C213,2))</f>
        <v/>
      </c>
      <c r="M213" s="15">
        <f>IF($A213="","",IF($F213&lt;=toleransKurus,1,0))</f>
        <v/>
      </c>
      <c r="N213" s="15">
        <f>IF($A213="","",IF($F213&gt;kdo_esikFark,1,0))</f>
        <v/>
      </c>
      <c r="O213" s="15">
        <f>IF($A213="","",IFERROR(SUMIF(tblMotor[A_Norm],$A213,tblMotor[SiparisToplam]),0))</f>
        <v/>
      </c>
      <c r="P213" s="15">
        <f>IF($A213="","",$B213+$M213+$N213)</f>
        <v/>
      </c>
    </row>
    <row r="214">
      <c r="A214" s="15">
        <f>IF('ANAHTAR'!$B214="","",'ANAHTAR'!$B214)</f>
        <v/>
      </c>
      <c r="B214" s="15">
        <f>IF($A214="","",COUNTIF(tblAnahtarB[NormB],$A214))</f>
        <v/>
      </c>
      <c r="C214" s="15">
        <f>IF($A214="","",IFERROR(SUMIF(tblMotor[A_Norm],$A214,tblMotor[SiparisToplam]),0))</f>
        <v/>
      </c>
      <c r="D214" s="15">
        <f>IF($A214="","",IFERROR(SUMIF(tblAnahtarA[Norm],$A214,tblVeriA[HedefMaliyet]),0))</f>
        <v/>
      </c>
      <c r="E214" s="15">
        <f>IF($A214="","",ROUND($D214,2)-ROUND($C214,2))</f>
        <v/>
      </c>
      <c r="F214" s="15">
        <f>IF($A214="","",ABS($E214))</f>
        <v/>
      </c>
      <c r="G214" s="15">
        <f>IF($A214="","",IF($B214=0,"eslesmedi",IF(ROUND($D214,2)=ROUND($C214,2),"eslesti",IF(ABS(ROUND($D214,2)-ROUND($C214,2))&lt;=toleransKurus,"tolerans_icinde","tutar_farki"))))</f>
        <v/>
      </c>
      <c r="H214" s="15">
        <f>IF($A214="","",IF($B214&gt;0,"BIRINCIL",IF(COUNTIF(tblAnahtarB[IkincilB],'ANAHTAR'!$D214)&gt;0,"IKINCIL","YOK")))</f>
        <v/>
      </c>
      <c r="I214" s="15">
        <f>IF($A214="","",'ANAHTAR'!$F214)</f>
        <v/>
      </c>
      <c r="J214" s="15">
        <f>IF(OR($A214="",$D214=0),0,$F214/ABS($D214))</f>
        <v/>
      </c>
      <c r="K214" s="15">
        <f>IF($A214="","",ROUND($D214,2))</f>
        <v/>
      </c>
      <c r="L214" s="15">
        <f>IF($A214="","",ROUND($C214,2))</f>
        <v/>
      </c>
      <c r="M214" s="15">
        <f>IF($A214="","",IF($F214&lt;=toleransKurus,1,0))</f>
        <v/>
      </c>
      <c r="N214" s="15">
        <f>IF($A214="","",IF($F214&gt;kdo_esikFark,1,0))</f>
        <v/>
      </c>
      <c r="O214" s="15">
        <f>IF($A214="","",IFERROR(SUMIF(tblMotor[A_Norm],$A214,tblMotor[SiparisToplam]),0))</f>
        <v/>
      </c>
      <c r="P214" s="15">
        <f>IF($A214="","",$B214+$M214+$N214)</f>
        <v/>
      </c>
    </row>
    <row r="215">
      <c r="A215" s="15">
        <f>IF('ANAHTAR'!$B215="","",'ANAHTAR'!$B215)</f>
        <v/>
      </c>
      <c r="B215" s="15">
        <f>IF($A215="","",COUNTIF(tblAnahtarB[NormB],$A215))</f>
        <v/>
      </c>
      <c r="C215" s="15">
        <f>IF($A215="","",IFERROR(SUMIF(tblMotor[A_Norm],$A215,tblMotor[SiparisToplam]),0))</f>
        <v/>
      </c>
      <c r="D215" s="15">
        <f>IF($A215="","",IFERROR(SUMIF(tblAnahtarA[Norm],$A215,tblVeriA[HedefMaliyet]),0))</f>
        <v/>
      </c>
      <c r="E215" s="15">
        <f>IF($A215="","",ROUND($D215,2)-ROUND($C215,2))</f>
        <v/>
      </c>
      <c r="F215" s="15">
        <f>IF($A215="","",ABS($E215))</f>
        <v/>
      </c>
      <c r="G215" s="15">
        <f>IF($A215="","",IF($B215=0,"eslesmedi",IF(ROUND($D215,2)=ROUND($C215,2),"eslesti",IF(ABS(ROUND($D215,2)-ROUND($C215,2))&lt;=toleransKurus,"tolerans_icinde","tutar_farki"))))</f>
        <v/>
      </c>
      <c r="H215" s="15">
        <f>IF($A215="","",IF($B215&gt;0,"BIRINCIL",IF(COUNTIF(tblAnahtarB[IkincilB],'ANAHTAR'!$D215)&gt;0,"IKINCIL","YOK")))</f>
        <v/>
      </c>
      <c r="I215" s="15">
        <f>IF($A215="","",'ANAHTAR'!$F215)</f>
        <v/>
      </c>
      <c r="J215" s="15">
        <f>IF(OR($A215="",$D215=0),0,$F215/ABS($D215))</f>
        <v/>
      </c>
      <c r="K215" s="15">
        <f>IF($A215="","",ROUND($D215,2))</f>
        <v/>
      </c>
      <c r="L215" s="15">
        <f>IF($A215="","",ROUND($C215,2))</f>
        <v/>
      </c>
      <c r="M215" s="15">
        <f>IF($A215="","",IF($F215&lt;=toleransKurus,1,0))</f>
        <v/>
      </c>
      <c r="N215" s="15">
        <f>IF($A215="","",IF($F215&gt;kdo_esikFark,1,0))</f>
        <v/>
      </c>
      <c r="O215" s="15">
        <f>IF($A215="","",IFERROR(SUMIF(tblMotor[A_Norm],$A215,tblMotor[SiparisToplam]),0))</f>
        <v/>
      </c>
      <c r="P215" s="15">
        <f>IF($A215="","",$B215+$M215+$N215)</f>
        <v/>
      </c>
    </row>
    <row r="216">
      <c r="A216" s="15">
        <f>IF('ANAHTAR'!$B216="","",'ANAHTAR'!$B216)</f>
        <v/>
      </c>
      <c r="B216" s="15">
        <f>IF($A216="","",COUNTIF(tblAnahtarB[NormB],$A216))</f>
        <v/>
      </c>
      <c r="C216" s="15">
        <f>IF($A216="","",IFERROR(SUMIF(tblMotor[A_Norm],$A216,tblMotor[SiparisToplam]),0))</f>
        <v/>
      </c>
      <c r="D216" s="15">
        <f>IF($A216="","",IFERROR(SUMIF(tblAnahtarA[Norm],$A216,tblVeriA[HedefMaliyet]),0))</f>
        <v/>
      </c>
      <c r="E216" s="15">
        <f>IF($A216="","",ROUND($D216,2)-ROUND($C216,2))</f>
        <v/>
      </c>
      <c r="F216" s="15">
        <f>IF($A216="","",ABS($E216))</f>
        <v/>
      </c>
      <c r="G216" s="15">
        <f>IF($A216="","",IF($B216=0,"eslesmedi",IF(ROUND($D216,2)=ROUND($C216,2),"eslesti",IF(ABS(ROUND($D216,2)-ROUND($C216,2))&lt;=toleransKurus,"tolerans_icinde","tutar_farki"))))</f>
        <v/>
      </c>
      <c r="H216" s="15">
        <f>IF($A216="","",IF($B216&gt;0,"BIRINCIL",IF(COUNTIF(tblAnahtarB[IkincilB],'ANAHTAR'!$D216)&gt;0,"IKINCIL","YOK")))</f>
        <v/>
      </c>
      <c r="I216" s="15">
        <f>IF($A216="","",'ANAHTAR'!$F216)</f>
        <v/>
      </c>
      <c r="J216" s="15">
        <f>IF(OR($A216="",$D216=0),0,$F216/ABS($D216))</f>
        <v/>
      </c>
      <c r="K216" s="15">
        <f>IF($A216="","",ROUND($D216,2))</f>
        <v/>
      </c>
      <c r="L216" s="15">
        <f>IF($A216="","",ROUND($C216,2))</f>
        <v/>
      </c>
      <c r="M216" s="15">
        <f>IF($A216="","",IF($F216&lt;=toleransKurus,1,0))</f>
        <v/>
      </c>
      <c r="N216" s="15">
        <f>IF($A216="","",IF($F216&gt;kdo_esikFark,1,0))</f>
        <v/>
      </c>
      <c r="O216" s="15">
        <f>IF($A216="","",IFERROR(SUMIF(tblMotor[A_Norm],$A216,tblMotor[SiparisToplam]),0))</f>
        <v/>
      </c>
      <c r="P216" s="15">
        <f>IF($A216="","",$B216+$M216+$N216)</f>
        <v/>
      </c>
    </row>
    <row r="217">
      <c r="A217" s="15">
        <f>IF('ANAHTAR'!$B217="","",'ANAHTAR'!$B217)</f>
        <v/>
      </c>
      <c r="B217" s="15">
        <f>IF($A217="","",COUNTIF(tblAnahtarB[NormB],$A217))</f>
        <v/>
      </c>
      <c r="C217" s="15">
        <f>IF($A217="","",IFERROR(SUMIF(tblMotor[A_Norm],$A217,tblMotor[SiparisToplam]),0))</f>
        <v/>
      </c>
      <c r="D217" s="15">
        <f>IF($A217="","",IFERROR(SUMIF(tblAnahtarA[Norm],$A217,tblVeriA[HedefMaliyet]),0))</f>
        <v/>
      </c>
      <c r="E217" s="15">
        <f>IF($A217="","",ROUND($D217,2)-ROUND($C217,2))</f>
        <v/>
      </c>
      <c r="F217" s="15">
        <f>IF($A217="","",ABS($E217))</f>
        <v/>
      </c>
      <c r="G217" s="15">
        <f>IF($A217="","",IF($B217=0,"eslesmedi",IF(ROUND($D217,2)=ROUND($C217,2),"eslesti",IF(ABS(ROUND($D217,2)-ROUND($C217,2))&lt;=toleransKurus,"tolerans_icinde","tutar_farki"))))</f>
        <v/>
      </c>
      <c r="H217" s="15">
        <f>IF($A217="","",IF($B217&gt;0,"BIRINCIL",IF(COUNTIF(tblAnahtarB[IkincilB],'ANAHTAR'!$D217)&gt;0,"IKINCIL","YOK")))</f>
        <v/>
      </c>
      <c r="I217" s="15">
        <f>IF($A217="","",'ANAHTAR'!$F217)</f>
        <v/>
      </c>
      <c r="J217" s="15">
        <f>IF(OR($A217="",$D217=0),0,$F217/ABS($D217))</f>
        <v/>
      </c>
      <c r="K217" s="15">
        <f>IF($A217="","",ROUND($D217,2))</f>
        <v/>
      </c>
      <c r="L217" s="15">
        <f>IF($A217="","",ROUND($C217,2))</f>
        <v/>
      </c>
      <c r="M217" s="15">
        <f>IF($A217="","",IF($F217&lt;=toleransKurus,1,0))</f>
        <v/>
      </c>
      <c r="N217" s="15">
        <f>IF($A217="","",IF($F217&gt;kdo_esikFark,1,0))</f>
        <v/>
      </c>
      <c r="O217" s="15">
        <f>IF($A217="","",IFERROR(SUMIF(tblMotor[A_Norm],$A217,tblMotor[SiparisToplam]),0))</f>
        <v/>
      </c>
      <c r="P217" s="15">
        <f>IF($A217="","",$B217+$M217+$N217)</f>
        <v/>
      </c>
    </row>
    <row r="218">
      <c r="A218" s="15">
        <f>IF('ANAHTAR'!$B218="","",'ANAHTAR'!$B218)</f>
        <v/>
      </c>
      <c r="B218" s="15">
        <f>IF($A218="","",COUNTIF(tblAnahtarB[NormB],$A218))</f>
        <v/>
      </c>
      <c r="C218" s="15">
        <f>IF($A218="","",IFERROR(SUMIF(tblMotor[A_Norm],$A218,tblMotor[SiparisToplam]),0))</f>
        <v/>
      </c>
      <c r="D218" s="15">
        <f>IF($A218="","",IFERROR(SUMIF(tblAnahtarA[Norm],$A218,tblVeriA[HedefMaliyet]),0))</f>
        <v/>
      </c>
      <c r="E218" s="15">
        <f>IF($A218="","",ROUND($D218,2)-ROUND($C218,2))</f>
        <v/>
      </c>
      <c r="F218" s="15">
        <f>IF($A218="","",ABS($E218))</f>
        <v/>
      </c>
      <c r="G218" s="15">
        <f>IF($A218="","",IF($B218=0,"eslesmedi",IF(ROUND($D218,2)=ROUND($C218,2),"eslesti",IF(ABS(ROUND($D218,2)-ROUND($C218,2))&lt;=toleransKurus,"tolerans_icinde","tutar_farki"))))</f>
        <v/>
      </c>
      <c r="H218" s="15">
        <f>IF($A218="","",IF($B218&gt;0,"BIRINCIL",IF(COUNTIF(tblAnahtarB[IkincilB],'ANAHTAR'!$D218)&gt;0,"IKINCIL","YOK")))</f>
        <v/>
      </c>
      <c r="I218" s="15">
        <f>IF($A218="","",'ANAHTAR'!$F218)</f>
        <v/>
      </c>
      <c r="J218" s="15">
        <f>IF(OR($A218="",$D218=0),0,$F218/ABS($D218))</f>
        <v/>
      </c>
      <c r="K218" s="15">
        <f>IF($A218="","",ROUND($D218,2))</f>
        <v/>
      </c>
      <c r="L218" s="15">
        <f>IF($A218="","",ROUND($C218,2))</f>
        <v/>
      </c>
      <c r="M218" s="15">
        <f>IF($A218="","",IF($F218&lt;=toleransKurus,1,0))</f>
        <v/>
      </c>
      <c r="N218" s="15">
        <f>IF($A218="","",IF($F218&gt;kdo_esikFark,1,0))</f>
        <v/>
      </c>
      <c r="O218" s="15">
        <f>IF($A218="","",IFERROR(SUMIF(tblMotor[A_Norm],$A218,tblMotor[SiparisToplam]),0))</f>
        <v/>
      </c>
      <c r="P218" s="15">
        <f>IF($A218="","",$B218+$M218+$N218)</f>
        <v/>
      </c>
    </row>
    <row r="219">
      <c r="A219" s="15">
        <f>IF('ANAHTAR'!$B219="","",'ANAHTAR'!$B219)</f>
        <v/>
      </c>
      <c r="B219" s="15">
        <f>IF($A219="","",COUNTIF(tblAnahtarB[NormB],$A219))</f>
        <v/>
      </c>
      <c r="C219" s="15">
        <f>IF($A219="","",IFERROR(SUMIF(tblMotor[A_Norm],$A219,tblMotor[SiparisToplam]),0))</f>
        <v/>
      </c>
      <c r="D219" s="15">
        <f>IF($A219="","",IFERROR(SUMIF(tblAnahtarA[Norm],$A219,tblVeriA[HedefMaliyet]),0))</f>
        <v/>
      </c>
      <c r="E219" s="15">
        <f>IF($A219="","",ROUND($D219,2)-ROUND($C219,2))</f>
        <v/>
      </c>
      <c r="F219" s="15">
        <f>IF($A219="","",ABS($E219))</f>
        <v/>
      </c>
      <c r="G219" s="15">
        <f>IF($A219="","",IF($B219=0,"eslesmedi",IF(ROUND($D219,2)=ROUND($C219,2),"eslesti",IF(ABS(ROUND($D219,2)-ROUND($C219,2))&lt;=toleransKurus,"tolerans_icinde","tutar_farki"))))</f>
        <v/>
      </c>
      <c r="H219" s="15">
        <f>IF($A219="","",IF($B219&gt;0,"BIRINCIL",IF(COUNTIF(tblAnahtarB[IkincilB],'ANAHTAR'!$D219)&gt;0,"IKINCIL","YOK")))</f>
        <v/>
      </c>
      <c r="I219" s="15">
        <f>IF($A219="","",'ANAHTAR'!$F219)</f>
        <v/>
      </c>
      <c r="J219" s="15">
        <f>IF(OR($A219="",$D219=0),0,$F219/ABS($D219))</f>
        <v/>
      </c>
      <c r="K219" s="15">
        <f>IF($A219="","",ROUND($D219,2))</f>
        <v/>
      </c>
      <c r="L219" s="15">
        <f>IF($A219="","",ROUND($C219,2))</f>
        <v/>
      </c>
      <c r="M219" s="15">
        <f>IF($A219="","",IF($F219&lt;=toleransKurus,1,0))</f>
        <v/>
      </c>
      <c r="N219" s="15">
        <f>IF($A219="","",IF($F219&gt;kdo_esikFark,1,0))</f>
        <v/>
      </c>
      <c r="O219" s="15">
        <f>IF($A219="","",IFERROR(SUMIF(tblMotor[A_Norm],$A219,tblMotor[SiparisToplam]),0))</f>
        <v/>
      </c>
      <c r="P219" s="15">
        <f>IF($A219="","",$B219+$M219+$N219)</f>
        <v/>
      </c>
    </row>
    <row r="220">
      <c r="A220" s="15">
        <f>IF('ANAHTAR'!$B220="","",'ANAHTAR'!$B220)</f>
        <v/>
      </c>
      <c r="B220" s="15">
        <f>IF($A220="","",COUNTIF(tblAnahtarB[NormB],$A220))</f>
        <v/>
      </c>
      <c r="C220" s="15">
        <f>IF($A220="","",IFERROR(SUMIF(tblMotor[A_Norm],$A220,tblMotor[SiparisToplam]),0))</f>
        <v/>
      </c>
      <c r="D220" s="15">
        <f>IF($A220="","",IFERROR(SUMIF(tblAnahtarA[Norm],$A220,tblVeriA[HedefMaliyet]),0))</f>
        <v/>
      </c>
      <c r="E220" s="15">
        <f>IF($A220="","",ROUND($D220,2)-ROUND($C220,2))</f>
        <v/>
      </c>
      <c r="F220" s="15">
        <f>IF($A220="","",ABS($E220))</f>
        <v/>
      </c>
      <c r="G220" s="15">
        <f>IF($A220="","",IF($B220=0,"eslesmedi",IF(ROUND($D220,2)=ROUND($C220,2),"eslesti",IF(ABS(ROUND($D220,2)-ROUND($C220,2))&lt;=toleransKurus,"tolerans_icinde","tutar_farki"))))</f>
        <v/>
      </c>
      <c r="H220" s="15">
        <f>IF($A220="","",IF($B220&gt;0,"BIRINCIL",IF(COUNTIF(tblAnahtarB[IkincilB],'ANAHTAR'!$D220)&gt;0,"IKINCIL","YOK")))</f>
        <v/>
      </c>
      <c r="I220" s="15">
        <f>IF($A220="","",'ANAHTAR'!$F220)</f>
        <v/>
      </c>
      <c r="J220" s="15">
        <f>IF(OR($A220="",$D220=0),0,$F220/ABS($D220))</f>
        <v/>
      </c>
      <c r="K220" s="15">
        <f>IF($A220="","",ROUND($D220,2))</f>
        <v/>
      </c>
      <c r="L220" s="15">
        <f>IF($A220="","",ROUND($C220,2))</f>
        <v/>
      </c>
      <c r="M220" s="15">
        <f>IF($A220="","",IF($F220&lt;=toleransKurus,1,0))</f>
        <v/>
      </c>
      <c r="N220" s="15">
        <f>IF($A220="","",IF($F220&gt;kdo_esikFark,1,0))</f>
        <v/>
      </c>
      <c r="O220" s="15">
        <f>IF($A220="","",IFERROR(SUMIF(tblMotor[A_Norm],$A220,tblMotor[SiparisToplam]),0))</f>
        <v/>
      </c>
      <c r="P220" s="15">
        <f>IF($A220="","",$B220+$M220+$N220)</f>
        <v/>
      </c>
    </row>
    <row r="221">
      <c r="A221" s="15">
        <f>IF('ANAHTAR'!$B221="","",'ANAHTAR'!$B221)</f>
        <v/>
      </c>
      <c r="B221" s="15">
        <f>IF($A221="","",COUNTIF(tblAnahtarB[NormB],$A221))</f>
        <v/>
      </c>
      <c r="C221" s="15">
        <f>IF($A221="","",IFERROR(SUMIF(tblMotor[A_Norm],$A221,tblMotor[SiparisToplam]),0))</f>
        <v/>
      </c>
      <c r="D221" s="15">
        <f>IF($A221="","",IFERROR(SUMIF(tblAnahtarA[Norm],$A221,tblVeriA[HedefMaliyet]),0))</f>
        <v/>
      </c>
      <c r="E221" s="15">
        <f>IF($A221="","",ROUND($D221,2)-ROUND($C221,2))</f>
        <v/>
      </c>
      <c r="F221" s="15">
        <f>IF($A221="","",ABS($E221))</f>
        <v/>
      </c>
      <c r="G221" s="15">
        <f>IF($A221="","",IF($B221=0,"eslesmedi",IF(ROUND($D221,2)=ROUND($C221,2),"eslesti",IF(ABS(ROUND($D221,2)-ROUND($C221,2))&lt;=toleransKurus,"tolerans_icinde","tutar_farki"))))</f>
        <v/>
      </c>
      <c r="H221" s="15">
        <f>IF($A221="","",IF($B221&gt;0,"BIRINCIL",IF(COUNTIF(tblAnahtarB[IkincilB],'ANAHTAR'!$D221)&gt;0,"IKINCIL","YOK")))</f>
        <v/>
      </c>
      <c r="I221" s="15">
        <f>IF($A221="","",'ANAHTAR'!$F221)</f>
        <v/>
      </c>
      <c r="J221" s="15">
        <f>IF(OR($A221="",$D221=0),0,$F221/ABS($D221))</f>
        <v/>
      </c>
      <c r="K221" s="15">
        <f>IF($A221="","",ROUND($D221,2))</f>
        <v/>
      </c>
      <c r="L221" s="15">
        <f>IF($A221="","",ROUND($C221,2))</f>
        <v/>
      </c>
      <c r="M221" s="15">
        <f>IF($A221="","",IF($F221&lt;=toleransKurus,1,0))</f>
        <v/>
      </c>
      <c r="N221" s="15">
        <f>IF($A221="","",IF($F221&gt;kdo_esikFark,1,0))</f>
        <v/>
      </c>
      <c r="O221" s="15">
        <f>IF($A221="","",IFERROR(SUMIF(tblMotor[A_Norm],$A221,tblMotor[SiparisToplam]),0))</f>
        <v/>
      </c>
      <c r="P221" s="15">
        <f>IF($A221="","",$B221+$M221+$N221)</f>
        <v/>
      </c>
    </row>
    <row r="222">
      <c r="A222" s="15">
        <f>IF('ANAHTAR'!$B222="","",'ANAHTAR'!$B222)</f>
        <v/>
      </c>
      <c r="B222" s="15">
        <f>IF($A222="","",COUNTIF(tblAnahtarB[NormB],$A222))</f>
        <v/>
      </c>
      <c r="C222" s="15">
        <f>IF($A222="","",IFERROR(SUMIF(tblMotor[A_Norm],$A222,tblMotor[SiparisToplam]),0))</f>
        <v/>
      </c>
      <c r="D222" s="15">
        <f>IF($A222="","",IFERROR(SUMIF(tblAnahtarA[Norm],$A222,tblVeriA[HedefMaliyet]),0))</f>
        <v/>
      </c>
      <c r="E222" s="15">
        <f>IF($A222="","",ROUND($D222,2)-ROUND($C222,2))</f>
        <v/>
      </c>
      <c r="F222" s="15">
        <f>IF($A222="","",ABS($E222))</f>
        <v/>
      </c>
      <c r="G222" s="15">
        <f>IF($A222="","",IF($B222=0,"eslesmedi",IF(ROUND($D222,2)=ROUND($C222,2),"eslesti",IF(ABS(ROUND($D222,2)-ROUND($C222,2))&lt;=toleransKurus,"tolerans_icinde","tutar_farki"))))</f>
        <v/>
      </c>
      <c r="H222" s="15">
        <f>IF($A222="","",IF($B222&gt;0,"BIRINCIL",IF(COUNTIF(tblAnahtarB[IkincilB],'ANAHTAR'!$D222)&gt;0,"IKINCIL","YOK")))</f>
        <v/>
      </c>
      <c r="I222" s="15">
        <f>IF($A222="","",'ANAHTAR'!$F222)</f>
        <v/>
      </c>
      <c r="J222" s="15">
        <f>IF(OR($A222="",$D222=0),0,$F222/ABS($D222))</f>
        <v/>
      </c>
      <c r="K222" s="15">
        <f>IF($A222="","",ROUND($D222,2))</f>
        <v/>
      </c>
      <c r="L222" s="15">
        <f>IF($A222="","",ROUND($C222,2))</f>
        <v/>
      </c>
      <c r="M222" s="15">
        <f>IF($A222="","",IF($F222&lt;=toleransKurus,1,0))</f>
        <v/>
      </c>
      <c r="N222" s="15">
        <f>IF($A222="","",IF($F222&gt;kdo_esikFark,1,0))</f>
        <v/>
      </c>
      <c r="O222" s="15">
        <f>IF($A222="","",IFERROR(SUMIF(tblMotor[A_Norm],$A222,tblMotor[SiparisToplam]),0))</f>
        <v/>
      </c>
      <c r="P222" s="15">
        <f>IF($A222="","",$B222+$M222+$N222)</f>
        <v/>
      </c>
    </row>
    <row r="223">
      <c r="A223" s="15">
        <f>IF('ANAHTAR'!$B223="","",'ANAHTAR'!$B223)</f>
        <v/>
      </c>
      <c r="B223" s="15">
        <f>IF($A223="","",COUNTIF(tblAnahtarB[NormB],$A223))</f>
        <v/>
      </c>
      <c r="C223" s="15">
        <f>IF($A223="","",IFERROR(SUMIF(tblMotor[A_Norm],$A223,tblMotor[SiparisToplam]),0))</f>
        <v/>
      </c>
      <c r="D223" s="15">
        <f>IF($A223="","",IFERROR(SUMIF(tblAnahtarA[Norm],$A223,tblVeriA[HedefMaliyet]),0))</f>
        <v/>
      </c>
      <c r="E223" s="15">
        <f>IF($A223="","",ROUND($D223,2)-ROUND($C223,2))</f>
        <v/>
      </c>
      <c r="F223" s="15">
        <f>IF($A223="","",ABS($E223))</f>
        <v/>
      </c>
      <c r="G223" s="15">
        <f>IF($A223="","",IF($B223=0,"eslesmedi",IF(ROUND($D223,2)=ROUND($C223,2),"eslesti",IF(ABS(ROUND($D223,2)-ROUND($C223,2))&lt;=toleransKurus,"tolerans_icinde","tutar_farki"))))</f>
        <v/>
      </c>
      <c r="H223" s="15">
        <f>IF($A223="","",IF($B223&gt;0,"BIRINCIL",IF(COUNTIF(tblAnahtarB[IkincilB],'ANAHTAR'!$D223)&gt;0,"IKINCIL","YOK")))</f>
        <v/>
      </c>
      <c r="I223" s="15">
        <f>IF($A223="","",'ANAHTAR'!$F223)</f>
        <v/>
      </c>
      <c r="J223" s="15">
        <f>IF(OR($A223="",$D223=0),0,$F223/ABS($D223))</f>
        <v/>
      </c>
      <c r="K223" s="15">
        <f>IF($A223="","",ROUND($D223,2))</f>
        <v/>
      </c>
      <c r="L223" s="15">
        <f>IF($A223="","",ROUND($C223,2))</f>
        <v/>
      </c>
      <c r="M223" s="15">
        <f>IF($A223="","",IF($F223&lt;=toleransKurus,1,0))</f>
        <v/>
      </c>
      <c r="N223" s="15">
        <f>IF($A223="","",IF($F223&gt;kdo_esikFark,1,0))</f>
        <v/>
      </c>
      <c r="O223" s="15">
        <f>IF($A223="","",IFERROR(SUMIF(tblMotor[A_Norm],$A223,tblMotor[SiparisToplam]),0))</f>
        <v/>
      </c>
      <c r="P223" s="15">
        <f>IF($A223="","",$B223+$M223+$N223)</f>
        <v/>
      </c>
    </row>
    <row r="224">
      <c r="A224" s="15">
        <f>IF('ANAHTAR'!$B224="","",'ANAHTAR'!$B224)</f>
        <v/>
      </c>
      <c r="B224" s="15">
        <f>IF($A224="","",COUNTIF(tblAnahtarB[NormB],$A224))</f>
        <v/>
      </c>
      <c r="C224" s="15">
        <f>IF($A224="","",IFERROR(SUMIF(tblMotor[A_Norm],$A224,tblMotor[SiparisToplam]),0))</f>
        <v/>
      </c>
      <c r="D224" s="15">
        <f>IF($A224="","",IFERROR(SUMIF(tblAnahtarA[Norm],$A224,tblVeriA[HedefMaliyet]),0))</f>
        <v/>
      </c>
      <c r="E224" s="15">
        <f>IF($A224="","",ROUND($D224,2)-ROUND($C224,2))</f>
        <v/>
      </c>
      <c r="F224" s="15">
        <f>IF($A224="","",ABS($E224))</f>
        <v/>
      </c>
      <c r="G224" s="15">
        <f>IF($A224="","",IF($B224=0,"eslesmedi",IF(ROUND($D224,2)=ROUND($C224,2),"eslesti",IF(ABS(ROUND($D224,2)-ROUND($C224,2))&lt;=toleransKurus,"tolerans_icinde","tutar_farki"))))</f>
        <v/>
      </c>
      <c r="H224" s="15">
        <f>IF($A224="","",IF($B224&gt;0,"BIRINCIL",IF(COUNTIF(tblAnahtarB[IkincilB],'ANAHTAR'!$D224)&gt;0,"IKINCIL","YOK")))</f>
        <v/>
      </c>
      <c r="I224" s="15">
        <f>IF($A224="","",'ANAHTAR'!$F224)</f>
        <v/>
      </c>
      <c r="J224" s="15">
        <f>IF(OR($A224="",$D224=0),0,$F224/ABS($D224))</f>
        <v/>
      </c>
      <c r="K224" s="15">
        <f>IF($A224="","",ROUND($D224,2))</f>
        <v/>
      </c>
      <c r="L224" s="15">
        <f>IF($A224="","",ROUND($C224,2))</f>
        <v/>
      </c>
      <c r="M224" s="15">
        <f>IF($A224="","",IF($F224&lt;=toleransKurus,1,0))</f>
        <v/>
      </c>
      <c r="N224" s="15">
        <f>IF($A224="","",IF($F224&gt;kdo_esikFark,1,0))</f>
        <v/>
      </c>
      <c r="O224" s="15">
        <f>IF($A224="","",IFERROR(SUMIF(tblMotor[A_Norm],$A224,tblMotor[SiparisToplam]),0))</f>
        <v/>
      </c>
      <c r="P224" s="15">
        <f>IF($A224="","",$B224+$M224+$N224)</f>
        <v/>
      </c>
    </row>
    <row r="225">
      <c r="A225" s="15">
        <f>IF('ANAHTAR'!$B225="","",'ANAHTAR'!$B225)</f>
        <v/>
      </c>
      <c r="B225" s="15">
        <f>IF($A225="","",COUNTIF(tblAnahtarB[NormB],$A225))</f>
        <v/>
      </c>
      <c r="C225" s="15">
        <f>IF($A225="","",IFERROR(SUMIF(tblMotor[A_Norm],$A225,tblMotor[SiparisToplam]),0))</f>
        <v/>
      </c>
      <c r="D225" s="15">
        <f>IF($A225="","",IFERROR(SUMIF(tblAnahtarA[Norm],$A225,tblVeriA[HedefMaliyet]),0))</f>
        <v/>
      </c>
      <c r="E225" s="15">
        <f>IF($A225="","",ROUND($D225,2)-ROUND($C225,2))</f>
        <v/>
      </c>
      <c r="F225" s="15">
        <f>IF($A225="","",ABS($E225))</f>
        <v/>
      </c>
      <c r="G225" s="15">
        <f>IF($A225="","",IF($B225=0,"eslesmedi",IF(ROUND($D225,2)=ROUND($C225,2),"eslesti",IF(ABS(ROUND($D225,2)-ROUND($C225,2))&lt;=toleransKurus,"tolerans_icinde","tutar_farki"))))</f>
        <v/>
      </c>
      <c r="H225" s="15">
        <f>IF($A225="","",IF($B225&gt;0,"BIRINCIL",IF(COUNTIF(tblAnahtarB[IkincilB],'ANAHTAR'!$D225)&gt;0,"IKINCIL","YOK")))</f>
        <v/>
      </c>
      <c r="I225" s="15">
        <f>IF($A225="","",'ANAHTAR'!$F225)</f>
        <v/>
      </c>
      <c r="J225" s="15">
        <f>IF(OR($A225="",$D225=0),0,$F225/ABS($D225))</f>
        <v/>
      </c>
      <c r="K225" s="15">
        <f>IF($A225="","",ROUND($D225,2))</f>
        <v/>
      </c>
      <c r="L225" s="15">
        <f>IF($A225="","",ROUND($C225,2))</f>
        <v/>
      </c>
      <c r="M225" s="15">
        <f>IF($A225="","",IF($F225&lt;=toleransKurus,1,0))</f>
        <v/>
      </c>
      <c r="N225" s="15">
        <f>IF($A225="","",IF($F225&gt;kdo_esikFark,1,0))</f>
        <v/>
      </c>
      <c r="O225" s="15">
        <f>IF($A225="","",IFERROR(SUMIF(tblMotor[A_Norm],$A225,tblMotor[SiparisToplam]),0))</f>
        <v/>
      </c>
      <c r="P225" s="15">
        <f>IF($A225="","",$B225+$M225+$N225)</f>
        <v/>
      </c>
    </row>
    <row r="226">
      <c r="A226" s="15">
        <f>IF('ANAHTAR'!$B226="","",'ANAHTAR'!$B226)</f>
        <v/>
      </c>
      <c r="B226" s="15">
        <f>IF($A226="","",COUNTIF(tblAnahtarB[NormB],$A226))</f>
        <v/>
      </c>
      <c r="C226" s="15">
        <f>IF($A226="","",IFERROR(SUMIF(tblMotor[A_Norm],$A226,tblMotor[SiparisToplam]),0))</f>
        <v/>
      </c>
      <c r="D226" s="15">
        <f>IF($A226="","",IFERROR(SUMIF(tblAnahtarA[Norm],$A226,tblVeriA[HedefMaliyet]),0))</f>
        <v/>
      </c>
      <c r="E226" s="15">
        <f>IF($A226="","",ROUND($D226,2)-ROUND($C226,2))</f>
        <v/>
      </c>
      <c r="F226" s="15">
        <f>IF($A226="","",ABS($E226))</f>
        <v/>
      </c>
      <c r="G226" s="15">
        <f>IF($A226="","",IF($B226=0,"eslesmedi",IF(ROUND($D226,2)=ROUND($C226,2),"eslesti",IF(ABS(ROUND($D226,2)-ROUND($C226,2))&lt;=toleransKurus,"tolerans_icinde","tutar_farki"))))</f>
        <v/>
      </c>
      <c r="H226" s="15">
        <f>IF($A226="","",IF($B226&gt;0,"BIRINCIL",IF(COUNTIF(tblAnahtarB[IkincilB],'ANAHTAR'!$D226)&gt;0,"IKINCIL","YOK")))</f>
        <v/>
      </c>
      <c r="I226" s="15">
        <f>IF($A226="","",'ANAHTAR'!$F226)</f>
        <v/>
      </c>
      <c r="J226" s="15">
        <f>IF(OR($A226="",$D226=0),0,$F226/ABS($D226))</f>
        <v/>
      </c>
      <c r="K226" s="15">
        <f>IF($A226="","",ROUND($D226,2))</f>
        <v/>
      </c>
      <c r="L226" s="15">
        <f>IF($A226="","",ROUND($C226,2))</f>
        <v/>
      </c>
      <c r="M226" s="15">
        <f>IF($A226="","",IF($F226&lt;=toleransKurus,1,0))</f>
        <v/>
      </c>
      <c r="N226" s="15">
        <f>IF($A226="","",IF($F226&gt;kdo_esikFark,1,0))</f>
        <v/>
      </c>
      <c r="O226" s="15">
        <f>IF($A226="","",IFERROR(SUMIF(tblMotor[A_Norm],$A226,tblMotor[SiparisToplam]),0))</f>
        <v/>
      </c>
      <c r="P226" s="15">
        <f>IF($A226="","",$B226+$M226+$N226)</f>
        <v/>
      </c>
    </row>
    <row r="227">
      <c r="A227" s="15">
        <f>IF('ANAHTAR'!$B227="","",'ANAHTAR'!$B227)</f>
        <v/>
      </c>
      <c r="B227" s="15">
        <f>IF($A227="","",COUNTIF(tblAnahtarB[NormB],$A227))</f>
        <v/>
      </c>
      <c r="C227" s="15">
        <f>IF($A227="","",IFERROR(SUMIF(tblMotor[A_Norm],$A227,tblMotor[SiparisToplam]),0))</f>
        <v/>
      </c>
      <c r="D227" s="15">
        <f>IF($A227="","",IFERROR(SUMIF(tblAnahtarA[Norm],$A227,tblVeriA[HedefMaliyet]),0))</f>
        <v/>
      </c>
      <c r="E227" s="15">
        <f>IF($A227="","",ROUND($D227,2)-ROUND($C227,2))</f>
        <v/>
      </c>
      <c r="F227" s="15">
        <f>IF($A227="","",ABS($E227))</f>
        <v/>
      </c>
      <c r="G227" s="15">
        <f>IF($A227="","",IF($B227=0,"eslesmedi",IF(ROUND($D227,2)=ROUND($C227,2),"eslesti",IF(ABS(ROUND($D227,2)-ROUND($C227,2))&lt;=toleransKurus,"tolerans_icinde","tutar_farki"))))</f>
        <v/>
      </c>
      <c r="H227" s="15">
        <f>IF($A227="","",IF($B227&gt;0,"BIRINCIL",IF(COUNTIF(tblAnahtarB[IkincilB],'ANAHTAR'!$D227)&gt;0,"IKINCIL","YOK")))</f>
        <v/>
      </c>
      <c r="I227" s="15">
        <f>IF($A227="","",'ANAHTAR'!$F227)</f>
        <v/>
      </c>
      <c r="J227" s="15">
        <f>IF(OR($A227="",$D227=0),0,$F227/ABS($D227))</f>
        <v/>
      </c>
      <c r="K227" s="15">
        <f>IF($A227="","",ROUND($D227,2))</f>
        <v/>
      </c>
      <c r="L227" s="15">
        <f>IF($A227="","",ROUND($C227,2))</f>
        <v/>
      </c>
      <c r="M227" s="15">
        <f>IF($A227="","",IF($F227&lt;=toleransKurus,1,0))</f>
        <v/>
      </c>
      <c r="N227" s="15">
        <f>IF($A227="","",IF($F227&gt;kdo_esikFark,1,0))</f>
        <v/>
      </c>
      <c r="O227" s="15">
        <f>IF($A227="","",IFERROR(SUMIF(tblMotor[A_Norm],$A227,tblMotor[SiparisToplam]),0))</f>
        <v/>
      </c>
      <c r="P227" s="15">
        <f>IF($A227="","",$B227+$M227+$N227)</f>
        <v/>
      </c>
    </row>
    <row r="228">
      <c r="A228" s="15">
        <f>IF('ANAHTAR'!$B228="","",'ANAHTAR'!$B228)</f>
        <v/>
      </c>
      <c r="B228" s="15">
        <f>IF($A228="","",COUNTIF(tblAnahtarB[NormB],$A228))</f>
        <v/>
      </c>
      <c r="C228" s="15">
        <f>IF($A228="","",IFERROR(SUMIF(tblMotor[A_Norm],$A228,tblMotor[SiparisToplam]),0))</f>
        <v/>
      </c>
      <c r="D228" s="15">
        <f>IF($A228="","",IFERROR(SUMIF(tblAnahtarA[Norm],$A228,tblVeriA[HedefMaliyet]),0))</f>
        <v/>
      </c>
      <c r="E228" s="15">
        <f>IF($A228="","",ROUND($D228,2)-ROUND($C228,2))</f>
        <v/>
      </c>
      <c r="F228" s="15">
        <f>IF($A228="","",ABS($E228))</f>
        <v/>
      </c>
      <c r="G228" s="15">
        <f>IF($A228="","",IF($B228=0,"eslesmedi",IF(ROUND($D228,2)=ROUND($C228,2),"eslesti",IF(ABS(ROUND($D228,2)-ROUND($C228,2))&lt;=toleransKurus,"tolerans_icinde","tutar_farki"))))</f>
        <v/>
      </c>
      <c r="H228" s="15">
        <f>IF($A228="","",IF($B228&gt;0,"BIRINCIL",IF(COUNTIF(tblAnahtarB[IkincilB],'ANAHTAR'!$D228)&gt;0,"IKINCIL","YOK")))</f>
        <v/>
      </c>
      <c r="I228" s="15">
        <f>IF($A228="","",'ANAHTAR'!$F228)</f>
        <v/>
      </c>
      <c r="J228" s="15">
        <f>IF(OR($A228="",$D228=0),0,$F228/ABS($D228))</f>
        <v/>
      </c>
      <c r="K228" s="15">
        <f>IF($A228="","",ROUND($D228,2))</f>
        <v/>
      </c>
      <c r="L228" s="15">
        <f>IF($A228="","",ROUND($C228,2))</f>
        <v/>
      </c>
      <c r="M228" s="15">
        <f>IF($A228="","",IF($F228&lt;=toleransKurus,1,0))</f>
        <v/>
      </c>
      <c r="N228" s="15">
        <f>IF($A228="","",IF($F228&gt;kdo_esikFark,1,0))</f>
        <v/>
      </c>
      <c r="O228" s="15">
        <f>IF($A228="","",IFERROR(SUMIF(tblMotor[A_Norm],$A228,tblMotor[SiparisToplam]),0))</f>
        <v/>
      </c>
      <c r="P228" s="15">
        <f>IF($A228="","",$B228+$M228+$N228)</f>
        <v/>
      </c>
    </row>
    <row r="229">
      <c r="A229" s="15">
        <f>IF('ANAHTAR'!$B229="","",'ANAHTAR'!$B229)</f>
        <v/>
      </c>
      <c r="B229" s="15">
        <f>IF($A229="","",COUNTIF(tblAnahtarB[NormB],$A229))</f>
        <v/>
      </c>
      <c r="C229" s="15">
        <f>IF($A229="","",IFERROR(SUMIF(tblMotor[A_Norm],$A229,tblMotor[SiparisToplam]),0))</f>
        <v/>
      </c>
      <c r="D229" s="15">
        <f>IF($A229="","",IFERROR(SUMIF(tblAnahtarA[Norm],$A229,tblVeriA[HedefMaliyet]),0))</f>
        <v/>
      </c>
      <c r="E229" s="15">
        <f>IF($A229="","",ROUND($D229,2)-ROUND($C229,2))</f>
        <v/>
      </c>
      <c r="F229" s="15">
        <f>IF($A229="","",ABS($E229))</f>
        <v/>
      </c>
      <c r="G229" s="15">
        <f>IF($A229="","",IF($B229=0,"eslesmedi",IF(ROUND($D229,2)=ROUND($C229,2),"eslesti",IF(ABS(ROUND($D229,2)-ROUND($C229,2))&lt;=toleransKurus,"tolerans_icinde","tutar_farki"))))</f>
        <v/>
      </c>
      <c r="H229" s="15">
        <f>IF($A229="","",IF($B229&gt;0,"BIRINCIL",IF(COUNTIF(tblAnahtarB[IkincilB],'ANAHTAR'!$D229)&gt;0,"IKINCIL","YOK")))</f>
        <v/>
      </c>
      <c r="I229" s="15">
        <f>IF($A229="","",'ANAHTAR'!$F229)</f>
        <v/>
      </c>
      <c r="J229" s="15">
        <f>IF(OR($A229="",$D229=0),0,$F229/ABS($D229))</f>
        <v/>
      </c>
      <c r="K229" s="15">
        <f>IF($A229="","",ROUND($D229,2))</f>
        <v/>
      </c>
      <c r="L229" s="15">
        <f>IF($A229="","",ROUND($C229,2))</f>
        <v/>
      </c>
      <c r="M229" s="15">
        <f>IF($A229="","",IF($F229&lt;=toleransKurus,1,0))</f>
        <v/>
      </c>
      <c r="N229" s="15">
        <f>IF($A229="","",IF($F229&gt;kdo_esikFark,1,0))</f>
        <v/>
      </c>
      <c r="O229" s="15">
        <f>IF($A229="","",IFERROR(SUMIF(tblMotor[A_Norm],$A229,tblMotor[SiparisToplam]),0))</f>
        <v/>
      </c>
      <c r="P229" s="15">
        <f>IF($A229="","",$B229+$M229+$N229)</f>
        <v/>
      </c>
    </row>
    <row r="230">
      <c r="A230" s="15">
        <f>IF('ANAHTAR'!$B230="","",'ANAHTAR'!$B230)</f>
        <v/>
      </c>
      <c r="B230" s="15">
        <f>IF($A230="","",COUNTIF(tblAnahtarB[NormB],$A230))</f>
        <v/>
      </c>
      <c r="C230" s="15">
        <f>IF($A230="","",IFERROR(SUMIF(tblMotor[A_Norm],$A230,tblMotor[SiparisToplam]),0))</f>
        <v/>
      </c>
      <c r="D230" s="15">
        <f>IF($A230="","",IFERROR(SUMIF(tblAnahtarA[Norm],$A230,tblVeriA[HedefMaliyet]),0))</f>
        <v/>
      </c>
      <c r="E230" s="15">
        <f>IF($A230="","",ROUND($D230,2)-ROUND($C230,2))</f>
        <v/>
      </c>
      <c r="F230" s="15">
        <f>IF($A230="","",ABS($E230))</f>
        <v/>
      </c>
      <c r="G230" s="15">
        <f>IF($A230="","",IF($B230=0,"eslesmedi",IF(ROUND($D230,2)=ROUND($C230,2),"eslesti",IF(ABS(ROUND($D230,2)-ROUND($C230,2))&lt;=toleransKurus,"tolerans_icinde","tutar_farki"))))</f>
        <v/>
      </c>
      <c r="H230" s="15">
        <f>IF($A230="","",IF($B230&gt;0,"BIRINCIL",IF(COUNTIF(tblAnahtarB[IkincilB],'ANAHTAR'!$D230)&gt;0,"IKINCIL","YOK")))</f>
        <v/>
      </c>
      <c r="I230" s="15">
        <f>IF($A230="","",'ANAHTAR'!$F230)</f>
        <v/>
      </c>
      <c r="J230" s="15">
        <f>IF(OR($A230="",$D230=0),0,$F230/ABS($D230))</f>
        <v/>
      </c>
      <c r="K230" s="15">
        <f>IF($A230="","",ROUND($D230,2))</f>
        <v/>
      </c>
      <c r="L230" s="15">
        <f>IF($A230="","",ROUND($C230,2))</f>
        <v/>
      </c>
      <c r="M230" s="15">
        <f>IF($A230="","",IF($F230&lt;=toleransKurus,1,0))</f>
        <v/>
      </c>
      <c r="N230" s="15">
        <f>IF($A230="","",IF($F230&gt;kdo_esikFark,1,0))</f>
        <v/>
      </c>
      <c r="O230" s="15">
        <f>IF($A230="","",IFERROR(SUMIF(tblMotor[A_Norm],$A230,tblMotor[SiparisToplam]),0))</f>
        <v/>
      </c>
      <c r="P230" s="15">
        <f>IF($A230="","",$B230+$M230+$N230)</f>
        <v/>
      </c>
    </row>
    <row r="231">
      <c r="A231" s="15">
        <f>IF('ANAHTAR'!$B231="","",'ANAHTAR'!$B231)</f>
        <v/>
      </c>
      <c r="B231" s="15">
        <f>IF($A231="","",COUNTIF(tblAnahtarB[NormB],$A231))</f>
        <v/>
      </c>
      <c r="C231" s="15">
        <f>IF($A231="","",IFERROR(SUMIF(tblMotor[A_Norm],$A231,tblMotor[SiparisToplam]),0))</f>
        <v/>
      </c>
      <c r="D231" s="15">
        <f>IF($A231="","",IFERROR(SUMIF(tblAnahtarA[Norm],$A231,tblVeriA[HedefMaliyet]),0))</f>
        <v/>
      </c>
      <c r="E231" s="15">
        <f>IF($A231="","",ROUND($D231,2)-ROUND($C231,2))</f>
        <v/>
      </c>
      <c r="F231" s="15">
        <f>IF($A231="","",ABS($E231))</f>
        <v/>
      </c>
      <c r="G231" s="15">
        <f>IF($A231="","",IF($B231=0,"eslesmedi",IF(ROUND($D231,2)=ROUND($C231,2),"eslesti",IF(ABS(ROUND($D231,2)-ROUND($C231,2))&lt;=toleransKurus,"tolerans_icinde","tutar_farki"))))</f>
        <v/>
      </c>
      <c r="H231" s="15">
        <f>IF($A231="","",IF($B231&gt;0,"BIRINCIL",IF(COUNTIF(tblAnahtarB[IkincilB],'ANAHTAR'!$D231)&gt;0,"IKINCIL","YOK")))</f>
        <v/>
      </c>
      <c r="I231" s="15">
        <f>IF($A231="","",'ANAHTAR'!$F231)</f>
        <v/>
      </c>
      <c r="J231" s="15">
        <f>IF(OR($A231="",$D231=0),0,$F231/ABS($D231))</f>
        <v/>
      </c>
      <c r="K231" s="15">
        <f>IF($A231="","",ROUND($D231,2))</f>
        <v/>
      </c>
      <c r="L231" s="15">
        <f>IF($A231="","",ROUND($C231,2))</f>
        <v/>
      </c>
      <c r="M231" s="15">
        <f>IF($A231="","",IF($F231&lt;=toleransKurus,1,0))</f>
        <v/>
      </c>
      <c r="N231" s="15">
        <f>IF($A231="","",IF($F231&gt;kdo_esikFark,1,0))</f>
        <v/>
      </c>
      <c r="O231" s="15">
        <f>IF($A231="","",IFERROR(SUMIF(tblMotor[A_Norm],$A231,tblMotor[SiparisToplam]),0))</f>
        <v/>
      </c>
      <c r="P231" s="15">
        <f>IF($A231="","",$B231+$M231+$N231)</f>
        <v/>
      </c>
    </row>
    <row r="232">
      <c r="A232" s="15">
        <f>IF('ANAHTAR'!$B232="","",'ANAHTAR'!$B232)</f>
        <v/>
      </c>
      <c r="B232" s="15">
        <f>IF($A232="","",COUNTIF(tblAnahtarB[NormB],$A232))</f>
        <v/>
      </c>
      <c r="C232" s="15">
        <f>IF($A232="","",IFERROR(SUMIF(tblMotor[A_Norm],$A232,tblMotor[SiparisToplam]),0))</f>
        <v/>
      </c>
      <c r="D232" s="15">
        <f>IF($A232="","",IFERROR(SUMIF(tblAnahtarA[Norm],$A232,tblVeriA[HedefMaliyet]),0))</f>
        <v/>
      </c>
      <c r="E232" s="15">
        <f>IF($A232="","",ROUND($D232,2)-ROUND($C232,2))</f>
        <v/>
      </c>
      <c r="F232" s="15">
        <f>IF($A232="","",ABS($E232))</f>
        <v/>
      </c>
      <c r="G232" s="15">
        <f>IF($A232="","",IF($B232=0,"eslesmedi",IF(ROUND($D232,2)=ROUND($C232,2),"eslesti",IF(ABS(ROUND($D232,2)-ROUND($C232,2))&lt;=toleransKurus,"tolerans_icinde","tutar_farki"))))</f>
        <v/>
      </c>
      <c r="H232" s="15">
        <f>IF($A232="","",IF($B232&gt;0,"BIRINCIL",IF(COUNTIF(tblAnahtarB[IkincilB],'ANAHTAR'!$D232)&gt;0,"IKINCIL","YOK")))</f>
        <v/>
      </c>
      <c r="I232" s="15">
        <f>IF($A232="","",'ANAHTAR'!$F232)</f>
        <v/>
      </c>
      <c r="J232" s="15">
        <f>IF(OR($A232="",$D232=0),0,$F232/ABS($D232))</f>
        <v/>
      </c>
      <c r="K232" s="15">
        <f>IF($A232="","",ROUND($D232,2))</f>
        <v/>
      </c>
      <c r="L232" s="15">
        <f>IF($A232="","",ROUND($C232,2))</f>
        <v/>
      </c>
      <c r="M232" s="15">
        <f>IF($A232="","",IF($F232&lt;=toleransKurus,1,0))</f>
        <v/>
      </c>
      <c r="N232" s="15">
        <f>IF($A232="","",IF($F232&gt;kdo_esikFark,1,0))</f>
        <v/>
      </c>
      <c r="O232" s="15">
        <f>IF($A232="","",IFERROR(SUMIF(tblMotor[A_Norm],$A232,tblMotor[SiparisToplam]),0))</f>
        <v/>
      </c>
      <c r="P232" s="15">
        <f>IF($A232="","",$B232+$M232+$N232)</f>
        <v/>
      </c>
    </row>
    <row r="233">
      <c r="A233" s="15">
        <f>IF('ANAHTAR'!$B233="","",'ANAHTAR'!$B233)</f>
        <v/>
      </c>
      <c r="B233" s="15">
        <f>IF($A233="","",COUNTIF(tblAnahtarB[NormB],$A233))</f>
        <v/>
      </c>
      <c r="C233" s="15">
        <f>IF($A233="","",IFERROR(SUMIF(tblMotor[A_Norm],$A233,tblMotor[SiparisToplam]),0))</f>
        <v/>
      </c>
      <c r="D233" s="15">
        <f>IF($A233="","",IFERROR(SUMIF(tblAnahtarA[Norm],$A233,tblVeriA[HedefMaliyet]),0))</f>
        <v/>
      </c>
      <c r="E233" s="15">
        <f>IF($A233="","",ROUND($D233,2)-ROUND($C233,2))</f>
        <v/>
      </c>
      <c r="F233" s="15">
        <f>IF($A233="","",ABS($E233))</f>
        <v/>
      </c>
      <c r="G233" s="15">
        <f>IF($A233="","",IF($B233=0,"eslesmedi",IF(ROUND($D233,2)=ROUND($C233,2),"eslesti",IF(ABS(ROUND($D233,2)-ROUND($C233,2))&lt;=toleransKurus,"tolerans_icinde","tutar_farki"))))</f>
        <v/>
      </c>
      <c r="H233" s="15">
        <f>IF($A233="","",IF($B233&gt;0,"BIRINCIL",IF(COUNTIF(tblAnahtarB[IkincilB],'ANAHTAR'!$D233)&gt;0,"IKINCIL","YOK")))</f>
        <v/>
      </c>
      <c r="I233" s="15">
        <f>IF($A233="","",'ANAHTAR'!$F233)</f>
        <v/>
      </c>
      <c r="J233" s="15">
        <f>IF(OR($A233="",$D233=0),0,$F233/ABS($D233))</f>
        <v/>
      </c>
      <c r="K233" s="15">
        <f>IF($A233="","",ROUND($D233,2))</f>
        <v/>
      </c>
      <c r="L233" s="15">
        <f>IF($A233="","",ROUND($C233,2))</f>
        <v/>
      </c>
      <c r="M233" s="15">
        <f>IF($A233="","",IF($F233&lt;=toleransKurus,1,0))</f>
        <v/>
      </c>
      <c r="N233" s="15">
        <f>IF($A233="","",IF($F233&gt;kdo_esikFark,1,0))</f>
        <v/>
      </c>
      <c r="O233" s="15">
        <f>IF($A233="","",IFERROR(SUMIF(tblMotor[A_Norm],$A233,tblMotor[SiparisToplam]),0))</f>
        <v/>
      </c>
      <c r="P233" s="15">
        <f>IF($A233="","",$B233+$M233+$N233)</f>
        <v/>
      </c>
    </row>
    <row r="234">
      <c r="A234" s="15">
        <f>IF('ANAHTAR'!$B234="","",'ANAHTAR'!$B234)</f>
        <v/>
      </c>
      <c r="B234" s="15">
        <f>IF($A234="","",COUNTIF(tblAnahtarB[NormB],$A234))</f>
        <v/>
      </c>
      <c r="C234" s="15">
        <f>IF($A234="","",IFERROR(SUMIF(tblMotor[A_Norm],$A234,tblMotor[SiparisToplam]),0))</f>
        <v/>
      </c>
      <c r="D234" s="15">
        <f>IF($A234="","",IFERROR(SUMIF(tblAnahtarA[Norm],$A234,tblVeriA[HedefMaliyet]),0))</f>
        <v/>
      </c>
      <c r="E234" s="15">
        <f>IF($A234="","",ROUND($D234,2)-ROUND($C234,2))</f>
        <v/>
      </c>
      <c r="F234" s="15">
        <f>IF($A234="","",ABS($E234))</f>
        <v/>
      </c>
      <c r="G234" s="15">
        <f>IF($A234="","",IF($B234=0,"eslesmedi",IF(ROUND($D234,2)=ROUND($C234,2),"eslesti",IF(ABS(ROUND($D234,2)-ROUND($C234,2))&lt;=toleransKurus,"tolerans_icinde","tutar_farki"))))</f>
        <v/>
      </c>
      <c r="H234" s="15">
        <f>IF($A234="","",IF($B234&gt;0,"BIRINCIL",IF(COUNTIF(tblAnahtarB[IkincilB],'ANAHTAR'!$D234)&gt;0,"IKINCIL","YOK")))</f>
        <v/>
      </c>
      <c r="I234" s="15">
        <f>IF($A234="","",'ANAHTAR'!$F234)</f>
        <v/>
      </c>
      <c r="J234" s="15">
        <f>IF(OR($A234="",$D234=0),0,$F234/ABS($D234))</f>
        <v/>
      </c>
      <c r="K234" s="15">
        <f>IF($A234="","",ROUND($D234,2))</f>
        <v/>
      </c>
      <c r="L234" s="15">
        <f>IF($A234="","",ROUND($C234,2))</f>
        <v/>
      </c>
      <c r="M234" s="15">
        <f>IF($A234="","",IF($F234&lt;=toleransKurus,1,0))</f>
        <v/>
      </c>
      <c r="N234" s="15">
        <f>IF($A234="","",IF($F234&gt;kdo_esikFark,1,0))</f>
        <v/>
      </c>
      <c r="O234" s="15">
        <f>IF($A234="","",IFERROR(SUMIF(tblMotor[A_Norm],$A234,tblMotor[SiparisToplam]),0))</f>
        <v/>
      </c>
      <c r="P234" s="15">
        <f>IF($A234="","",$B234+$M234+$N234)</f>
        <v/>
      </c>
    </row>
    <row r="235">
      <c r="A235" s="15">
        <f>IF('ANAHTAR'!$B235="","",'ANAHTAR'!$B235)</f>
        <v/>
      </c>
      <c r="B235" s="15">
        <f>IF($A235="","",COUNTIF(tblAnahtarB[NormB],$A235))</f>
        <v/>
      </c>
      <c r="C235" s="15">
        <f>IF($A235="","",IFERROR(SUMIF(tblMotor[A_Norm],$A235,tblMotor[SiparisToplam]),0))</f>
        <v/>
      </c>
      <c r="D235" s="15">
        <f>IF($A235="","",IFERROR(SUMIF(tblAnahtarA[Norm],$A235,tblVeriA[HedefMaliyet]),0))</f>
        <v/>
      </c>
      <c r="E235" s="15">
        <f>IF($A235="","",ROUND($D235,2)-ROUND($C235,2))</f>
        <v/>
      </c>
      <c r="F235" s="15">
        <f>IF($A235="","",ABS($E235))</f>
        <v/>
      </c>
      <c r="G235" s="15">
        <f>IF($A235="","",IF($B235=0,"eslesmedi",IF(ROUND($D235,2)=ROUND($C235,2),"eslesti",IF(ABS(ROUND($D235,2)-ROUND($C235,2))&lt;=toleransKurus,"tolerans_icinde","tutar_farki"))))</f>
        <v/>
      </c>
      <c r="H235" s="15">
        <f>IF($A235="","",IF($B235&gt;0,"BIRINCIL",IF(COUNTIF(tblAnahtarB[IkincilB],'ANAHTAR'!$D235)&gt;0,"IKINCIL","YOK")))</f>
        <v/>
      </c>
      <c r="I235" s="15">
        <f>IF($A235="","",'ANAHTAR'!$F235)</f>
        <v/>
      </c>
      <c r="J235" s="15">
        <f>IF(OR($A235="",$D235=0),0,$F235/ABS($D235))</f>
        <v/>
      </c>
      <c r="K235" s="15">
        <f>IF($A235="","",ROUND($D235,2))</f>
        <v/>
      </c>
      <c r="L235" s="15">
        <f>IF($A235="","",ROUND($C235,2))</f>
        <v/>
      </c>
      <c r="M235" s="15">
        <f>IF($A235="","",IF($F235&lt;=toleransKurus,1,0))</f>
        <v/>
      </c>
      <c r="N235" s="15">
        <f>IF($A235="","",IF($F235&gt;kdo_esikFark,1,0))</f>
        <v/>
      </c>
      <c r="O235" s="15">
        <f>IF($A235="","",IFERROR(SUMIF(tblMotor[A_Norm],$A235,tblMotor[SiparisToplam]),0))</f>
        <v/>
      </c>
      <c r="P235" s="15">
        <f>IF($A235="","",$B235+$M235+$N235)</f>
        <v/>
      </c>
    </row>
    <row r="236">
      <c r="A236" s="15">
        <f>IF('ANAHTAR'!$B236="","",'ANAHTAR'!$B236)</f>
        <v/>
      </c>
      <c r="B236" s="15">
        <f>IF($A236="","",COUNTIF(tblAnahtarB[NormB],$A236))</f>
        <v/>
      </c>
      <c r="C236" s="15">
        <f>IF($A236="","",IFERROR(SUMIF(tblMotor[A_Norm],$A236,tblMotor[SiparisToplam]),0))</f>
        <v/>
      </c>
      <c r="D236" s="15">
        <f>IF($A236="","",IFERROR(SUMIF(tblAnahtarA[Norm],$A236,tblVeriA[HedefMaliyet]),0))</f>
        <v/>
      </c>
      <c r="E236" s="15">
        <f>IF($A236="","",ROUND($D236,2)-ROUND($C236,2))</f>
        <v/>
      </c>
      <c r="F236" s="15">
        <f>IF($A236="","",ABS($E236))</f>
        <v/>
      </c>
      <c r="G236" s="15">
        <f>IF($A236="","",IF($B236=0,"eslesmedi",IF(ROUND($D236,2)=ROUND($C236,2),"eslesti",IF(ABS(ROUND($D236,2)-ROUND($C236,2))&lt;=toleransKurus,"tolerans_icinde","tutar_farki"))))</f>
        <v/>
      </c>
      <c r="H236" s="15">
        <f>IF($A236="","",IF($B236&gt;0,"BIRINCIL",IF(COUNTIF(tblAnahtarB[IkincilB],'ANAHTAR'!$D236)&gt;0,"IKINCIL","YOK")))</f>
        <v/>
      </c>
      <c r="I236" s="15">
        <f>IF($A236="","",'ANAHTAR'!$F236)</f>
        <v/>
      </c>
      <c r="J236" s="15">
        <f>IF(OR($A236="",$D236=0),0,$F236/ABS($D236))</f>
        <v/>
      </c>
      <c r="K236" s="15">
        <f>IF($A236="","",ROUND($D236,2))</f>
        <v/>
      </c>
      <c r="L236" s="15">
        <f>IF($A236="","",ROUND($C236,2))</f>
        <v/>
      </c>
      <c r="M236" s="15">
        <f>IF($A236="","",IF($F236&lt;=toleransKurus,1,0))</f>
        <v/>
      </c>
      <c r="N236" s="15">
        <f>IF($A236="","",IF($F236&gt;kdo_esikFark,1,0))</f>
        <v/>
      </c>
      <c r="O236" s="15">
        <f>IF($A236="","",IFERROR(SUMIF(tblMotor[A_Norm],$A236,tblMotor[SiparisToplam]),0))</f>
        <v/>
      </c>
      <c r="P236" s="15">
        <f>IF($A236="","",$B236+$M236+$N236)</f>
        <v/>
      </c>
    </row>
    <row r="237">
      <c r="A237" s="15">
        <f>IF('ANAHTAR'!$B237="","",'ANAHTAR'!$B237)</f>
        <v/>
      </c>
      <c r="B237" s="15">
        <f>IF($A237="","",COUNTIF(tblAnahtarB[NormB],$A237))</f>
        <v/>
      </c>
      <c r="C237" s="15">
        <f>IF($A237="","",IFERROR(SUMIF(tblMotor[A_Norm],$A237,tblMotor[SiparisToplam]),0))</f>
        <v/>
      </c>
      <c r="D237" s="15">
        <f>IF($A237="","",IFERROR(SUMIF(tblAnahtarA[Norm],$A237,tblVeriA[HedefMaliyet]),0))</f>
        <v/>
      </c>
      <c r="E237" s="15">
        <f>IF($A237="","",ROUND($D237,2)-ROUND($C237,2))</f>
        <v/>
      </c>
      <c r="F237" s="15">
        <f>IF($A237="","",ABS($E237))</f>
        <v/>
      </c>
      <c r="G237" s="15">
        <f>IF($A237="","",IF($B237=0,"eslesmedi",IF(ROUND($D237,2)=ROUND($C237,2),"eslesti",IF(ABS(ROUND($D237,2)-ROUND($C237,2))&lt;=toleransKurus,"tolerans_icinde","tutar_farki"))))</f>
        <v/>
      </c>
      <c r="H237" s="15">
        <f>IF($A237="","",IF($B237&gt;0,"BIRINCIL",IF(COUNTIF(tblAnahtarB[IkincilB],'ANAHTAR'!$D237)&gt;0,"IKINCIL","YOK")))</f>
        <v/>
      </c>
      <c r="I237" s="15">
        <f>IF($A237="","",'ANAHTAR'!$F237)</f>
        <v/>
      </c>
      <c r="J237" s="15">
        <f>IF(OR($A237="",$D237=0),0,$F237/ABS($D237))</f>
        <v/>
      </c>
      <c r="K237" s="15">
        <f>IF($A237="","",ROUND($D237,2))</f>
        <v/>
      </c>
      <c r="L237" s="15">
        <f>IF($A237="","",ROUND($C237,2))</f>
        <v/>
      </c>
      <c r="M237" s="15">
        <f>IF($A237="","",IF($F237&lt;=toleransKurus,1,0))</f>
        <v/>
      </c>
      <c r="N237" s="15">
        <f>IF($A237="","",IF($F237&gt;kdo_esikFark,1,0))</f>
        <v/>
      </c>
      <c r="O237" s="15">
        <f>IF($A237="","",IFERROR(SUMIF(tblMotor[A_Norm],$A237,tblMotor[SiparisToplam]),0))</f>
        <v/>
      </c>
      <c r="P237" s="15">
        <f>IF($A237="","",$B237+$M237+$N237)</f>
        <v/>
      </c>
    </row>
    <row r="238">
      <c r="A238" s="15">
        <f>IF('ANAHTAR'!$B238="","",'ANAHTAR'!$B238)</f>
        <v/>
      </c>
      <c r="B238" s="15">
        <f>IF($A238="","",COUNTIF(tblAnahtarB[NormB],$A238))</f>
        <v/>
      </c>
      <c r="C238" s="15">
        <f>IF($A238="","",IFERROR(SUMIF(tblMotor[A_Norm],$A238,tblMotor[SiparisToplam]),0))</f>
        <v/>
      </c>
      <c r="D238" s="15">
        <f>IF($A238="","",IFERROR(SUMIF(tblAnahtarA[Norm],$A238,tblVeriA[HedefMaliyet]),0))</f>
        <v/>
      </c>
      <c r="E238" s="15">
        <f>IF($A238="","",ROUND($D238,2)-ROUND($C238,2))</f>
        <v/>
      </c>
      <c r="F238" s="15">
        <f>IF($A238="","",ABS($E238))</f>
        <v/>
      </c>
      <c r="G238" s="15">
        <f>IF($A238="","",IF($B238=0,"eslesmedi",IF(ROUND($D238,2)=ROUND($C238,2),"eslesti",IF(ABS(ROUND($D238,2)-ROUND($C238,2))&lt;=toleransKurus,"tolerans_icinde","tutar_farki"))))</f>
        <v/>
      </c>
      <c r="H238" s="15">
        <f>IF($A238="","",IF($B238&gt;0,"BIRINCIL",IF(COUNTIF(tblAnahtarB[IkincilB],'ANAHTAR'!$D238)&gt;0,"IKINCIL","YOK")))</f>
        <v/>
      </c>
      <c r="I238" s="15">
        <f>IF($A238="","",'ANAHTAR'!$F238)</f>
        <v/>
      </c>
      <c r="J238" s="15">
        <f>IF(OR($A238="",$D238=0),0,$F238/ABS($D238))</f>
        <v/>
      </c>
      <c r="K238" s="15">
        <f>IF($A238="","",ROUND($D238,2))</f>
        <v/>
      </c>
      <c r="L238" s="15">
        <f>IF($A238="","",ROUND($C238,2))</f>
        <v/>
      </c>
      <c r="M238" s="15">
        <f>IF($A238="","",IF($F238&lt;=toleransKurus,1,0))</f>
        <v/>
      </c>
      <c r="N238" s="15">
        <f>IF($A238="","",IF($F238&gt;kdo_esikFark,1,0))</f>
        <v/>
      </c>
      <c r="O238" s="15">
        <f>IF($A238="","",IFERROR(SUMIF(tblMotor[A_Norm],$A238,tblMotor[SiparisToplam]),0))</f>
        <v/>
      </c>
      <c r="P238" s="15">
        <f>IF($A238="","",$B238+$M238+$N238)</f>
        <v/>
      </c>
    </row>
    <row r="239">
      <c r="A239" s="15">
        <f>IF('ANAHTAR'!$B239="","",'ANAHTAR'!$B239)</f>
        <v/>
      </c>
      <c r="B239" s="15">
        <f>IF($A239="","",COUNTIF(tblAnahtarB[NormB],$A239))</f>
        <v/>
      </c>
      <c r="C239" s="15">
        <f>IF($A239="","",IFERROR(SUMIF(tblMotor[A_Norm],$A239,tblMotor[SiparisToplam]),0))</f>
        <v/>
      </c>
      <c r="D239" s="15">
        <f>IF($A239="","",IFERROR(SUMIF(tblAnahtarA[Norm],$A239,tblVeriA[HedefMaliyet]),0))</f>
        <v/>
      </c>
      <c r="E239" s="15">
        <f>IF($A239="","",ROUND($D239,2)-ROUND($C239,2))</f>
        <v/>
      </c>
      <c r="F239" s="15">
        <f>IF($A239="","",ABS($E239))</f>
        <v/>
      </c>
      <c r="G239" s="15">
        <f>IF($A239="","",IF($B239=0,"eslesmedi",IF(ROUND($D239,2)=ROUND($C239,2),"eslesti",IF(ABS(ROUND($D239,2)-ROUND($C239,2))&lt;=toleransKurus,"tolerans_icinde","tutar_farki"))))</f>
        <v/>
      </c>
      <c r="H239" s="15">
        <f>IF($A239="","",IF($B239&gt;0,"BIRINCIL",IF(COUNTIF(tblAnahtarB[IkincilB],'ANAHTAR'!$D239)&gt;0,"IKINCIL","YOK")))</f>
        <v/>
      </c>
      <c r="I239" s="15">
        <f>IF($A239="","",'ANAHTAR'!$F239)</f>
        <v/>
      </c>
      <c r="J239" s="15">
        <f>IF(OR($A239="",$D239=0),0,$F239/ABS($D239))</f>
        <v/>
      </c>
      <c r="K239" s="15">
        <f>IF($A239="","",ROUND($D239,2))</f>
        <v/>
      </c>
      <c r="L239" s="15">
        <f>IF($A239="","",ROUND($C239,2))</f>
        <v/>
      </c>
      <c r="M239" s="15">
        <f>IF($A239="","",IF($F239&lt;=toleransKurus,1,0))</f>
        <v/>
      </c>
      <c r="N239" s="15">
        <f>IF($A239="","",IF($F239&gt;kdo_esikFark,1,0))</f>
        <v/>
      </c>
      <c r="O239" s="15">
        <f>IF($A239="","",IFERROR(SUMIF(tblMotor[A_Norm],$A239,tblMotor[SiparisToplam]),0))</f>
        <v/>
      </c>
      <c r="P239" s="15">
        <f>IF($A239="","",$B239+$M239+$N239)</f>
        <v/>
      </c>
    </row>
    <row r="240">
      <c r="A240" s="15">
        <f>IF('ANAHTAR'!$B240="","",'ANAHTAR'!$B240)</f>
        <v/>
      </c>
      <c r="B240" s="15">
        <f>IF($A240="","",COUNTIF(tblAnahtarB[NormB],$A240))</f>
        <v/>
      </c>
      <c r="C240" s="15">
        <f>IF($A240="","",IFERROR(SUMIF(tblMotor[A_Norm],$A240,tblMotor[SiparisToplam]),0))</f>
        <v/>
      </c>
      <c r="D240" s="15">
        <f>IF($A240="","",IFERROR(SUMIF(tblAnahtarA[Norm],$A240,tblVeriA[HedefMaliyet]),0))</f>
        <v/>
      </c>
      <c r="E240" s="15">
        <f>IF($A240="","",ROUND($D240,2)-ROUND($C240,2))</f>
        <v/>
      </c>
      <c r="F240" s="15">
        <f>IF($A240="","",ABS($E240))</f>
        <v/>
      </c>
      <c r="G240" s="15">
        <f>IF($A240="","",IF($B240=0,"eslesmedi",IF(ROUND($D240,2)=ROUND($C240,2),"eslesti",IF(ABS(ROUND($D240,2)-ROUND($C240,2))&lt;=toleransKurus,"tolerans_icinde","tutar_farki"))))</f>
        <v/>
      </c>
      <c r="H240" s="15">
        <f>IF($A240="","",IF($B240&gt;0,"BIRINCIL",IF(COUNTIF(tblAnahtarB[IkincilB],'ANAHTAR'!$D240)&gt;0,"IKINCIL","YOK")))</f>
        <v/>
      </c>
      <c r="I240" s="15">
        <f>IF($A240="","",'ANAHTAR'!$F240)</f>
        <v/>
      </c>
      <c r="J240" s="15">
        <f>IF(OR($A240="",$D240=0),0,$F240/ABS($D240))</f>
        <v/>
      </c>
      <c r="K240" s="15">
        <f>IF($A240="","",ROUND($D240,2))</f>
        <v/>
      </c>
      <c r="L240" s="15">
        <f>IF($A240="","",ROUND($C240,2))</f>
        <v/>
      </c>
      <c r="M240" s="15">
        <f>IF($A240="","",IF($F240&lt;=toleransKurus,1,0))</f>
        <v/>
      </c>
      <c r="N240" s="15">
        <f>IF($A240="","",IF($F240&gt;kdo_esikFark,1,0))</f>
        <v/>
      </c>
      <c r="O240" s="15">
        <f>IF($A240="","",IFERROR(SUMIF(tblMotor[A_Norm],$A240,tblMotor[SiparisToplam]),0))</f>
        <v/>
      </c>
      <c r="P240" s="15">
        <f>IF($A240="","",$B240+$M240+$N240)</f>
        <v/>
      </c>
    </row>
    <row r="241">
      <c r="A241" s="15">
        <f>IF('ANAHTAR'!$B241="","",'ANAHTAR'!$B241)</f>
        <v/>
      </c>
      <c r="B241" s="15">
        <f>IF($A241="","",COUNTIF(tblAnahtarB[NormB],$A241))</f>
        <v/>
      </c>
      <c r="C241" s="15">
        <f>IF($A241="","",IFERROR(SUMIF(tblMotor[A_Norm],$A241,tblMotor[SiparisToplam]),0))</f>
        <v/>
      </c>
      <c r="D241" s="15">
        <f>IF($A241="","",IFERROR(SUMIF(tblAnahtarA[Norm],$A241,tblVeriA[HedefMaliyet]),0))</f>
        <v/>
      </c>
      <c r="E241" s="15">
        <f>IF($A241="","",ROUND($D241,2)-ROUND($C241,2))</f>
        <v/>
      </c>
      <c r="F241" s="15">
        <f>IF($A241="","",ABS($E241))</f>
        <v/>
      </c>
      <c r="G241" s="15">
        <f>IF($A241="","",IF($B241=0,"eslesmedi",IF(ROUND($D241,2)=ROUND($C241,2),"eslesti",IF(ABS(ROUND($D241,2)-ROUND($C241,2))&lt;=toleransKurus,"tolerans_icinde","tutar_farki"))))</f>
        <v/>
      </c>
      <c r="H241" s="15">
        <f>IF($A241="","",IF($B241&gt;0,"BIRINCIL",IF(COUNTIF(tblAnahtarB[IkincilB],'ANAHTAR'!$D241)&gt;0,"IKINCIL","YOK")))</f>
        <v/>
      </c>
      <c r="I241" s="15">
        <f>IF($A241="","",'ANAHTAR'!$F241)</f>
        <v/>
      </c>
      <c r="J241" s="15">
        <f>IF(OR($A241="",$D241=0),0,$F241/ABS($D241))</f>
        <v/>
      </c>
      <c r="K241" s="15">
        <f>IF($A241="","",ROUND($D241,2))</f>
        <v/>
      </c>
      <c r="L241" s="15">
        <f>IF($A241="","",ROUND($C241,2))</f>
        <v/>
      </c>
      <c r="M241" s="15">
        <f>IF($A241="","",IF($F241&lt;=toleransKurus,1,0))</f>
        <v/>
      </c>
      <c r="N241" s="15">
        <f>IF($A241="","",IF($F241&gt;kdo_esikFark,1,0))</f>
        <v/>
      </c>
      <c r="O241" s="15">
        <f>IF($A241="","",IFERROR(SUMIF(tblMotor[A_Norm],$A241,tblMotor[SiparisToplam]),0))</f>
        <v/>
      </c>
      <c r="P241" s="15">
        <f>IF($A241="","",$B241+$M241+$N241)</f>
        <v/>
      </c>
    </row>
    <row r="242">
      <c r="A242" s="15">
        <f>IF('ANAHTAR'!$B242="","",'ANAHTAR'!$B242)</f>
        <v/>
      </c>
      <c r="B242" s="15">
        <f>IF($A242="","",COUNTIF(tblAnahtarB[NormB],$A242))</f>
        <v/>
      </c>
      <c r="C242" s="15">
        <f>IF($A242="","",IFERROR(SUMIF(tblMotor[A_Norm],$A242,tblMotor[SiparisToplam]),0))</f>
        <v/>
      </c>
      <c r="D242" s="15">
        <f>IF($A242="","",IFERROR(SUMIF(tblAnahtarA[Norm],$A242,tblVeriA[HedefMaliyet]),0))</f>
        <v/>
      </c>
      <c r="E242" s="15">
        <f>IF($A242="","",ROUND($D242,2)-ROUND($C242,2))</f>
        <v/>
      </c>
      <c r="F242" s="15">
        <f>IF($A242="","",ABS($E242))</f>
        <v/>
      </c>
      <c r="G242" s="15">
        <f>IF($A242="","",IF($B242=0,"eslesmedi",IF(ROUND($D242,2)=ROUND($C242,2),"eslesti",IF(ABS(ROUND($D242,2)-ROUND($C242,2))&lt;=toleransKurus,"tolerans_icinde","tutar_farki"))))</f>
        <v/>
      </c>
      <c r="H242" s="15">
        <f>IF($A242="","",IF($B242&gt;0,"BIRINCIL",IF(COUNTIF(tblAnahtarB[IkincilB],'ANAHTAR'!$D242)&gt;0,"IKINCIL","YOK")))</f>
        <v/>
      </c>
      <c r="I242" s="15">
        <f>IF($A242="","",'ANAHTAR'!$F242)</f>
        <v/>
      </c>
      <c r="J242" s="15">
        <f>IF(OR($A242="",$D242=0),0,$F242/ABS($D242))</f>
        <v/>
      </c>
      <c r="K242" s="15">
        <f>IF($A242="","",ROUND($D242,2))</f>
        <v/>
      </c>
      <c r="L242" s="15">
        <f>IF($A242="","",ROUND($C242,2))</f>
        <v/>
      </c>
      <c r="M242" s="15">
        <f>IF($A242="","",IF($F242&lt;=toleransKurus,1,0))</f>
        <v/>
      </c>
      <c r="N242" s="15">
        <f>IF($A242="","",IF($F242&gt;kdo_esikFark,1,0))</f>
        <v/>
      </c>
      <c r="O242" s="15">
        <f>IF($A242="","",IFERROR(SUMIF(tblMotor[A_Norm],$A242,tblMotor[SiparisToplam]),0))</f>
        <v/>
      </c>
      <c r="P242" s="15">
        <f>IF($A242="","",$B242+$M242+$N242)</f>
        <v/>
      </c>
    </row>
    <row r="243">
      <c r="A243" s="15">
        <f>IF('ANAHTAR'!$B243="","",'ANAHTAR'!$B243)</f>
        <v/>
      </c>
      <c r="B243" s="15">
        <f>IF($A243="","",COUNTIF(tblAnahtarB[NormB],$A243))</f>
        <v/>
      </c>
      <c r="C243" s="15">
        <f>IF($A243="","",IFERROR(SUMIF(tblMotor[A_Norm],$A243,tblMotor[SiparisToplam]),0))</f>
        <v/>
      </c>
      <c r="D243" s="15">
        <f>IF($A243="","",IFERROR(SUMIF(tblAnahtarA[Norm],$A243,tblVeriA[HedefMaliyet]),0))</f>
        <v/>
      </c>
      <c r="E243" s="15">
        <f>IF($A243="","",ROUND($D243,2)-ROUND($C243,2))</f>
        <v/>
      </c>
      <c r="F243" s="15">
        <f>IF($A243="","",ABS($E243))</f>
        <v/>
      </c>
      <c r="G243" s="15">
        <f>IF($A243="","",IF($B243=0,"eslesmedi",IF(ROUND($D243,2)=ROUND($C243,2),"eslesti",IF(ABS(ROUND($D243,2)-ROUND($C243,2))&lt;=toleransKurus,"tolerans_icinde","tutar_farki"))))</f>
        <v/>
      </c>
      <c r="H243" s="15">
        <f>IF($A243="","",IF($B243&gt;0,"BIRINCIL",IF(COUNTIF(tblAnahtarB[IkincilB],'ANAHTAR'!$D243)&gt;0,"IKINCIL","YOK")))</f>
        <v/>
      </c>
      <c r="I243" s="15">
        <f>IF($A243="","",'ANAHTAR'!$F243)</f>
        <v/>
      </c>
      <c r="J243" s="15">
        <f>IF(OR($A243="",$D243=0),0,$F243/ABS($D243))</f>
        <v/>
      </c>
      <c r="K243" s="15">
        <f>IF($A243="","",ROUND($D243,2))</f>
        <v/>
      </c>
      <c r="L243" s="15">
        <f>IF($A243="","",ROUND($C243,2))</f>
        <v/>
      </c>
      <c r="M243" s="15">
        <f>IF($A243="","",IF($F243&lt;=toleransKurus,1,0))</f>
        <v/>
      </c>
      <c r="N243" s="15">
        <f>IF($A243="","",IF($F243&gt;kdo_esikFark,1,0))</f>
        <v/>
      </c>
      <c r="O243" s="15">
        <f>IF($A243="","",IFERROR(SUMIF(tblMotor[A_Norm],$A243,tblMotor[SiparisToplam]),0))</f>
        <v/>
      </c>
      <c r="P243" s="15">
        <f>IF($A243="","",$B243+$M243+$N243)</f>
        <v/>
      </c>
    </row>
    <row r="244">
      <c r="A244" s="15">
        <f>IF('ANAHTAR'!$B244="","",'ANAHTAR'!$B244)</f>
        <v/>
      </c>
      <c r="B244" s="15">
        <f>IF($A244="","",COUNTIF(tblAnahtarB[NormB],$A244))</f>
        <v/>
      </c>
      <c r="C244" s="15">
        <f>IF($A244="","",IFERROR(SUMIF(tblMotor[A_Norm],$A244,tblMotor[SiparisToplam]),0))</f>
        <v/>
      </c>
      <c r="D244" s="15">
        <f>IF($A244="","",IFERROR(SUMIF(tblAnahtarA[Norm],$A244,tblVeriA[HedefMaliyet]),0))</f>
        <v/>
      </c>
      <c r="E244" s="15">
        <f>IF($A244="","",ROUND($D244,2)-ROUND($C244,2))</f>
        <v/>
      </c>
      <c r="F244" s="15">
        <f>IF($A244="","",ABS($E244))</f>
        <v/>
      </c>
      <c r="G244" s="15">
        <f>IF($A244="","",IF($B244=0,"eslesmedi",IF(ROUND($D244,2)=ROUND($C244,2),"eslesti",IF(ABS(ROUND($D244,2)-ROUND($C244,2))&lt;=toleransKurus,"tolerans_icinde","tutar_farki"))))</f>
        <v/>
      </c>
      <c r="H244" s="15">
        <f>IF($A244="","",IF($B244&gt;0,"BIRINCIL",IF(COUNTIF(tblAnahtarB[IkincilB],'ANAHTAR'!$D244)&gt;0,"IKINCIL","YOK")))</f>
        <v/>
      </c>
      <c r="I244" s="15">
        <f>IF($A244="","",'ANAHTAR'!$F244)</f>
        <v/>
      </c>
      <c r="J244" s="15">
        <f>IF(OR($A244="",$D244=0),0,$F244/ABS($D244))</f>
        <v/>
      </c>
      <c r="K244" s="15">
        <f>IF($A244="","",ROUND($D244,2))</f>
        <v/>
      </c>
      <c r="L244" s="15">
        <f>IF($A244="","",ROUND($C244,2))</f>
        <v/>
      </c>
      <c r="M244" s="15">
        <f>IF($A244="","",IF($F244&lt;=toleransKurus,1,0))</f>
        <v/>
      </c>
      <c r="N244" s="15">
        <f>IF($A244="","",IF($F244&gt;kdo_esikFark,1,0))</f>
        <v/>
      </c>
      <c r="O244" s="15">
        <f>IF($A244="","",IFERROR(SUMIF(tblMotor[A_Norm],$A244,tblMotor[SiparisToplam]),0))</f>
        <v/>
      </c>
      <c r="P244" s="15">
        <f>IF($A244="","",$B244+$M244+$N244)</f>
        <v/>
      </c>
    </row>
    <row r="245">
      <c r="A245" s="15">
        <f>IF('ANAHTAR'!$B245="","",'ANAHTAR'!$B245)</f>
        <v/>
      </c>
      <c r="B245" s="15">
        <f>IF($A245="","",COUNTIF(tblAnahtarB[NormB],$A245))</f>
        <v/>
      </c>
      <c r="C245" s="15">
        <f>IF($A245="","",IFERROR(SUMIF(tblMotor[A_Norm],$A245,tblMotor[SiparisToplam]),0))</f>
        <v/>
      </c>
      <c r="D245" s="15">
        <f>IF($A245="","",IFERROR(SUMIF(tblAnahtarA[Norm],$A245,tblVeriA[HedefMaliyet]),0))</f>
        <v/>
      </c>
      <c r="E245" s="15">
        <f>IF($A245="","",ROUND($D245,2)-ROUND($C245,2))</f>
        <v/>
      </c>
      <c r="F245" s="15">
        <f>IF($A245="","",ABS($E245))</f>
        <v/>
      </c>
      <c r="G245" s="15">
        <f>IF($A245="","",IF($B245=0,"eslesmedi",IF(ROUND($D245,2)=ROUND($C245,2),"eslesti",IF(ABS(ROUND($D245,2)-ROUND($C245,2))&lt;=toleransKurus,"tolerans_icinde","tutar_farki"))))</f>
        <v/>
      </c>
      <c r="H245" s="15">
        <f>IF($A245="","",IF($B245&gt;0,"BIRINCIL",IF(COUNTIF(tblAnahtarB[IkincilB],'ANAHTAR'!$D245)&gt;0,"IKINCIL","YOK")))</f>
        <v/>
      </c>
      <c r="I245" s="15">
        <f>IF($A245="","",'ANAHTAR'!$F245)</f>
        <v/>
      </c>
      <c r="J245" s="15">
        <f>IF(OR($A245="",$D245=0),0,$F245/ABS($D245))</f>
        <v/>
      </c>
      <c r="K245" s="15">
        <f>IF($A245="","",ROUND($D245,2))</f>
        <v/>
      </c>
      <c r="L245" s="15">
        <f>IF($A245="","",ROUND($C245,2))</f>
        <v/>
      </c>
      <c r="M245" s="15">
        <f>IF($A245="","",IF($F245&lt;=toleransKurus,1,0))</f>
        <v/>
      </c>
      <c r="N245" s="15">
        <f>IF($A245="","",IF($F245&gt;kdo_esikFark,1,0))</f>
        <v/>
      </c>
      <c r="O245" s="15">
        <f>IF($A245="","",IFERROR(SUMIF(tblMotor[A_Norm],$A245,tblMotor[SiparisToplam]),0))</f>
        <v/>
      </c>
      <c r="P245" s="15">
        <f>IF($A245="","",$B245+$M245+$N245)</f>
        <v/>
      </c>
    </row>
    <row r="246">
      <c r="A246" s="15">
        <f>IF('ANAHTAR'!$B246="","",'ANAHTAR'!$B246)</f>
        <v/>
      </c>
      <c r="B246" s="15">
        <f>IF($A246="","",COUNTIF(tblAnahtarB[NormB],$A246))</f>
        <v/>
      </c>
      <c r="C246" s="15">
        <f>IF($A246="","",IFERROR(SUMIF(tblMotor[A_Norm],$A246,tblMotor[SiparisToplam]),0))</f>
        <v/>
      </c>
      <c r="D246" s="15">
        <f>IF($A246="","",IFERROR(SUMIF(tblAnahtarA[Norm],$A246,tblVeriA[HedefMaliyet]),0))</f>
        <v/>
      </c>
      <c r="E246" s="15">
        <f>IF($A246="","",ROUND($D246,2)-ROUND($C246,2))</f>
        <v/>
      </c>
      <c r="F246" s="15">
        <f>IF($A246="","",ABS($E246))</f>
        <v/>
      </c>
      <c r="G246" s="15">
        <f>IF($A246="","",IF($B246=0,"eslesmedi",IF(ROUND($D246,2)=ROUND($C246,2),"eslesti",IF(ABS(ROUND($D246,2)-ROUND($C246,2))&lt;=toleransKurus,"tolerans_icinde","tutar_farki"))))</f>
        <v/>
      </c>
      <c r="H246" s="15">
        <f>IF($A246="","",IF($B246&gt;0,"BIRINCIL",IF(COUNTIF(tblAnahtarB[IkincilB],'ANAHTAR'!$D246)&gt;0,"IKINCIL","YOK")))</f>
        <v/>
      </c>
      <c r="I246" s="15">
        <f>IF($A246="","",'ANAHTAR'!$F246)</f>
        <v/>
      </c>
      <c r="J246" s="15">
        <f>IF(OR($A246="",$D246=0),0,$F246/ABS($D246))</f>
        <v/>
      </c>
      <c r="K246" s="15">
        <f>IF($A246="","",ROUND($D246,2))</f>
        <v/>
      </c>
      <c r="L246" s="15">
        <f>IF($A246="","",ROUND($C246,2))</f>
        <v/>
      </c>
      <c r="M246" s="15">
        <f>IF($A246="","",IF($F246&lt;=toleransKurus,1,0))</f>
        <v/>
      </c>
      <c r="N246" s="15">
        <f>IF($A246="","",IF($F246&gt;kdo_esikFark,1,0))</f>
        <v/>
      </c>
      <c r="O246" s="15">
        <f>IF($A246="","",IFERROR(SUMIF(tblMotor[A_Norm],$A246,tblMotor[SiparisToplam]),0))</f>
        <v/>
      </c>
      <c r="P246" s="15">
        <f>IF($A246="","",$B246+$M246+$N246)</f>
        <v/>
      </c>
    </row>
    <row r="247">
      <c r="A247" s="15">
        <f>IF('ANAHTAR'!$B247="","",'ANAHTAR'!$B247)</f>
        <v/>
      </c>
      <c r="B247" s="15">
        <f>IF($A247="","",COUNTIF(tblAnahtarB[NormB],$A247))</f>
        <v/>
      </c>
      <c r="C247" s="15">
        <f>IF($A247="","",IFERROR(SUMIF(tblMotor[A_Norm],$A247,tblMotor[SiparisToplam]),0))</f>
        <v/>
      </c>
      <c r="D247" s="15">
        <f>IF($A247="","",IFERROR(SUMIF(tblAnahtarA[Norm],$A247,tblVeriA[HedefMaliyet]),0))</f>
        <v/>
      </c>
      <c r="E247" s="15">
        <f>IF($A247="","",ROUND($D247,2)-ROUND($C247,2))</f>
        <v/>
      </c>
      <c r="F247" s="15">
        <f>IF($A247="","",ABS($E247))</f>
        <v/>
      </c>
      <c r="G247" s="15">
        <f>IF($A247="","",IF($B247=0,"eslesmedi",IF(ROUND($D247,2)=ROUND($C247,2),"eslesti",IF(ABS(ROUND($D247,2)-ROUND($C247,2))&lt;=toleransKurus,"tolerans_icinde","tutar_farki"))))</f>
        <v/>
      </c>
      <c r="H247" s="15">
        <f>IF($A247="","",IF($B247&gt;0,"BIRINCIL",IF(COUNTIF(tblAnahtarB[IkincilB],'ANAHTAR'!$D247)&gt;0,"IKINCIL","YOK")))</f>
        <v/>
      </c>
      <c r="I247" s="15">
        <f>IF($A247="","",'ANAHTAR'!$F247)</f>
        <v/>
      </c>
      <c r="J247" s="15">
        <f>IF(OR($A247="",$D247=0),0,$F247/ABS($D247))</f>
        <v/>
      </c>
      <c r="K247" s="15">
        <f>IF($A247="","",ROUND($D247,2))</f>
        <v/>
      </c>
      <c r="L247" s="15">
        <f>IF($A247="","",ROUND($C247,2))</f>
        <v/>
      </c>
      <c r="M247" s="15">
        <f>IF($A247="","",IF($F247&lt;=toleransKurus,1,0))</f>
        <v/>
      </c>
      <c r="N247" s="15">
        <f>IF($A247="","",IF($F247&gt;kdo_esikFark,1,0))</f>
        <v/>
      </c>
      <c r="O247" s="15">
        <f>IF($A247="","",IFERROR(SUMIF(tblMotor[A_Norm],$A247,tblMotor[SiparisToplam]),0))</f>
        <v/>
      </c>
      <c r="P247" s="15">
        <f>IF($A247="","",$B247+$M247+$N247)</f>
        <v/>
      </c>
    </row>
    <row r="248">
      <c r="A248" s="15">
        <f>IF('ANAHTAR'!$B248="","",'ANAHTAR'!$B248)</f>
        <v/>
      </c>
      <c r="B248" s="15">
        <f>IF($A248="","",COUNTIF(tblAnahtarB[NormB],$A248))</f>
        <v/>
      </c>
      <c r="C248" s="15">
        <f>IF($A248="","",IFERROR(SUMIF(tblMotor[A_Norm],$A248,tblMotor[SiparisToplam]),0))</f>
        <v/>
      </c>
      <c r="D248" s="15">
        <f>IF($A248="","",IFERROR(SUMIF(tblAnahtarA[Norm],$A248,tblVeriA[HedefMaliyet]),0))</f>
        <v/>
      </c>
      <c r="E248" s="15">
        <f>IF($A248="","",ROUND($D248,2)-ROUND($C248,2))</f>
        <v/>
      </c>
      <c r="F248" s="15">
        <f>IF($A248="","",ABS($E248))</f>
        <v/>
      </c>
      <c r="G248" s="15">
        <f>IF($A248="","",IF($B248=0,"eslesmedi",IF(ROUND($D248,2)=ROUND($C248,2),"eslesti",IF(ABS(ROUND($D248,2)-ROUND($C248,2))&lt;=toleransKurus,"tolerans_icinde","tutar_farki"))))</f>
        <v/>
      </c>
      <c r="H248" s="15">
        <f>IF($A248="","",IF($B248&gt;0,"BIRINCIL",IF(COUNTIF(tblAnahtarB[IkincilB],'ANAHTAR'!$D248)&gt;0,"IKINCIL","YOK")))</f>
        <v/>
      </c>
      <c r="I248" s="15">
        <f>IF($A248="","",'ANAHTAR'!$F248)</f>
        <v/>
      </c>
      <c r="J248" s="15">
        <f>IF(OR($A248="",$D248=0),0,$F248/ABS($D248))</f>
        <v/>
      </c>
      <c r="K248" s="15">
        <f>IF($A248="","",ROUND($D248,2))</f>
        <v/>
      </c>
      <c r="L248" s="15">
        <f>IF($A248="","",ROUND($C248,2))</f>
        <v/>
      </c>
      <c r="M248" s="15">
        <f>IF($A248="","",IF($F248&lt;=toleransKurus,1,0))</f>
        <v/>
      </c>
      <c r="N248" s="15">
        <f>IF($A248="","",IF($F248&gt;kdo_esikFark,1,0))</f>
        <v/>
      </c>
      <c r="O248" s="15">
        <f>IF($A248="","",IFERROR(SUMIF(tblMotor[A_Norm],$A248,tblMotor[SiparisToplam]),0))</f>
        <v/>
      </c>
      <c r="P248" s="15">
        <f>IF($A248="","",$B248+$M248+$N248)</f>
        <v/>
      </c>
    </row>
    <row r="249">
      <c r="A249" s="15">
        <f>IF('ANAHTAR'!$B249="","",'ANAHTAR'!$B249)</f>
        <v/>
      </c>
      <c r="B249" s="15">
        <f>IF($A249="","",COUNTIF(tblAnahtarB[NormB],$A249))</f>
        <v/>
      </c>
      <c r="C249" s="15">
        <f>IF($A249="","",IFERROR(SUMIF(tblMotor[A_Norm],$A249,tblMotor[SiparisToplam]),0))</f>
        <v/>
      </c>
      <c r="D249" s="15">
        <f>IF($A249="","",IFERROR(SUMIF(tblAnahtarA[Norm],$A249,tblVeriA[HedefMaliyet]),0))</f>
        <v/>
      </c>
      <c r="E249" s="15">
        <f>IF($A249="","",ROUND($D249,2)-ROUND($C249,2))</f>
        <v/>
      </c>
      <c r="F249" s="15">
        <f>IF($A249="","",ABS($E249))</f>
        <v/>
      </c>
      <c r="G249" s="15">
        <f>IF($A249="","",IF($B249=0,"eslesmedi",IF(ROUND($D249,2)=ROUND($C249,2),"eslesti",IF(ABS(ROUND($D249,2)-ROUND($C249,2))&lt;=toleransKurus,"tolerans_icinde","tutar_farki"))))</f>
        <v/>
      </c>
      <c r="H249" s="15">
        <f>IF($A249="","",IF($B249&gt;0,"BIRINCIL",IF(COUNTIF(tblAnahtarB[IkincilB],'ANAHTAR'!$D249)&gt;0,"IKINCIL","YOK")))</f>
        <v/>
      </c>
      <c r="I249" s="15">
        <f>IF($A249="","",'ANAHTAR'!$F249)</f>
        <v/>
      </c>
      <c r="J249" s="15">
        <f>IF(OR($A249="",$D249=0),0,$F249/ABS($D249))</f>
        <v/>
      </c>
      <c r="K249" s="15">
        <f>IF($A249="","",ROUND($D249,2))</f>
        <v/>
      </c>
      <c r="L249" s="15">
        <f>IF($A249="","",ROUND($C249,2))</f>
        <v/>
      </c>
      <c r="M249" s="15">
        <f>IF($A249="","",IF($F249&lt;=toleransKurus,1,0))</f>
        <v/>
      </c>
      <c r="N249" s="15">
        <f>IF($A249="","",IF($F249&gt;kdo_esikFark,1,0))</f>
        <v/>
      </c>
      <c r="O249" s="15">
        <f>IF($A249="","",IFERROR(SUMIF(tblMotor[A_Norm],$A249,tblMotor[SiparisToplam]),0))</f>
        <v/>
      </c>
      <c r="P249" s="15">
        <f>IF($A249="","",$B249+$M249+$N249)</f>
        <v/>
      </c>
    </row>
    <row r="250">
      <c r="A250" s="15">
        <f>IF('ANAHTAR'!$B250="","",'ANAHTAR'!$B250)</f>
        <v/>
      </c>
      <c r="B250" s="15">
        <f>IF($A250="","",COUNTIF(tblAnahtarB[NormB],$A250))</f>
        <v/>
      </c>
      <c r="C250" s="15">
        <f>IF($A250="","",IFERROR(SUMIF(tblMotor[A_Norm],$A250,tblMotor[SiparisToplam]),0))</f>
        <v/>
      </c>
      <c r="D250" s="15">
        <f>IF($A250="","",IFERROR(SUMIF(tblAnahtarA[Norm],$A250,tblVeriA[HedefMaliyet]),0))</f>
        <v/>
      </c>
      <c r="E250" s="15">
        <f>IF($A250="","",ROUND($D250,2)-ROUND($C250,2))</f>
        <v/>
      </c>
      <c r="F250" s="15">
        <f>IF($A250="","",ABS($E250))</f>
        <v/>
      </c>
      <c r="G250" s="15">
        <f>IF($A250="","",IF($B250=0,"eslesmedi",IF(ROUND($D250,2)=ROUND($C250,2),"eslesti",IF(ABS(ROUND($D250,2)-ROUND($C250,2))&lt;=toleransKurus,"tolerans_icinde","tutar_farki"))))</f>
        <v/>
      </c>
      <c r="H250" s="15">
        <f>IF($A250="","",IF($B250&gt;0,"BIRINCIL",IF(COUNTIF(tblAnahtarB[IkincilB],'ANAHTAR'!$D250)&gt;0,"IKINCIL","YOK")))</f>
        <v/>
      </c>
      <c r="I250" s="15">
        <f>IF($A250="","",'ANAHTAR'!$F250)</f>
        <v/>
      </c>
      <c r="J250" s="15">
        <f>IF(OR($A250="",$D250=0),0,$F250/ABS($D250))</f>
        <v/>
      </c>
      <c r="K250" s="15">
        <f>IF($A250="","",ROUND($D250,2))</f>
        <v/>
      </c>
      <c r="L250" s="15">
        <f>IF($A250="","",ROUND($C250,2))</f>
        <v/>
      </c>
      <c r="M250" s="15">
        <f>IF($A250="","",IF($F250&lt;=toleransKurus,1,0))</f>
        <v/>
      </c>
      <c r="N250" s="15">
        <f>IF($A250="","",IF($F250&gt;kdo_esikFark,1,0))</f>
        <v/>
      </c>
      <c r="O250" s="15">
        <f>IF($A250="","",IFERROR(SUMIF(tblMotor[A_Norm],$A250,tblMotor[SiparisToplam]),0))</f>
        <v/>
      </c>
      <c r="P250" s="15">
        <f>IF($A250="","",$B250+$M250+$N250)</f>
        <v/>
      </c>
    </row>
    <row r="251">
      <c r="A251" s="15">
        <f>IF('ANAHTAR'!$B251="","",'ANAHTAR'!$B251)</f>
        <v/>
      </c>
      <c r="B251" s="15">
        <f>IF($A251="","",COUNTIF(tblAnahtarB[NormB],$A251))</f>
        <v/>
      </c>
      <c r="C251" s="15">
        <f>IF($A251="","",IFERROR(SUMIF(tblMotor[A_Norm],$A251,tblMotor[SiparisToplam]),0))</f>
        <v/>
      </c>
      <c r="D251" s="15">
        <f>IF($A251="","",IFERROR(SUMIF(tblAnahtarA[Norm],$A251,tblVeriA[HedefMaliyet]),0))</f>
        <v/>
      </c>
      <c r="E251" s="15">
        <f>IF($A251="","",ROUND($D251,2)-ROUND($C251,2))</f>
        <v/>
      </c>
      <c r="F251" s="15">
        <f>IF($A251="","",ABS($E251))</f>
        <v/>
      </c>
      <c r="G251" s="15">
        <f>IF($A251="","",IF($B251=0,"eslesmedi",IF(ROUND($D251,2)=ROUND($C251,2),"eslesti",IF(ABS(ROUND($D251,2)-ROUND($C251,2))&lt;=toleransKurus,"tolerans_icinde","tutar_farki"))))</f>
        <v/>
      </c>
      <c r="H251" s="15">
        <f>IF($A251="","",IF($B251&gt;0,"BIRINCIL",IF(COUNTIF(tblAnahtarB[IkincilB],'ANAHTAR'!$D251)&gt;0,"IKINCIL","YOK")))</f>
        <v/>
      </c>
      <c r="I251" s="15">
        <f>IF($A251="","",'ANAHTAR'!$F251)</f>
        <v/>
      </c>
      <c r="J251" s="15">
        <f>IF(OR($A251="",$D251=0),0,$F251/ABS($D251))</f>
        <v/>
      </c>
      <c r="K251" s="15">
        <f>IF($A251="","",ROUND($D251,2))</f>
        <v/>
      </c>
      <c r="L251" s="15">
        <f>IF($A251="","",ROUND($C251,2))</f>
        <v/>
      </c>
      <c r="M251" s="15">
        <f>IF($A251="","",IF($F251&lt;=toleransKurus,1,0))</f>
        <v/>
      </c>
      <c r="N251" s="15">
        <f>IF($A251="","",IF($F251&gt;kdo_esikFark,1,0))</f>
        <v/>
      </c>
      <c r="O251" s="15">
        <f>IF($A251="","",IFERROR(SUMIF(tblMotor[A_Norm],$A251,tblMotor[SiparisToplam]),0))</f>
        <v/>
      </c>
      <c r="P251" s="15">
        <f>IF($A251="","",$B251+$M251+$N251)</f>
        <v/>
      </c>
    </row>
    <row r="252">
      <c r="A252" s="15">
        <f>IF('ANAHTAR'!$B252="","",'ANAHTAR'!$B252)</f>
        <v/>
      </c>
      <c r="B252" s="15">
        <f>IF($A252="","",COUNTIF(tblAnahtarB[NormB],$A252))</f>
        <v/>
      </c>
      <c r="C252" s="15">
        <f>IF($A252="","",IFERROR(SUMIF(tblMotor[A_Norm],$A252,tblMotor[SiparisToplam]),0))</f>
        <v/>
      </c>
      <c r="D252" s="15">
        <f>IF($A252="","",IFERROR(SUMIF(tblAnahtarA[Norm],$A252,tblVeriA[HedefMaliyet]),0))</f>
        <v/>
      </c>
      <c r="E252" s="15">
        <f>IF($A252="","",ROUND($D252,2)-ROUND($C252,2))</f>
        <v/>
      </c>
      <c r="F252" s="15">
        <f>IF($A252="","",ABS($E252))</f>
        <v/>
      </c>
      <c r="G252" s="15">
        <f>IF($A252="","",IF($B252=0,"eslesmedi",IF(ROUND($D252,2)=ROUND($C252,2),"eslesti",IF(ABS(ROUND($D252,2)-ROUND($C252,2))&lt;=toleransKurus,"tolerans_icinde","tutar_farki"))))</f>
        <v/>
      </c>
      <c r="H252" s="15">
        <f>IF($A252="","",IF($B252&gt;0,"BIRINCIL",IF(COUNTIF(tblAnahtarB[IkincilB],'ANAHTAR'!$D252)&gt;0,"IKINCIL","YOK")))</f>
        <v/>
      </c>
      <c r="I252" s="15">
        <f>IF($A252="","",'ANAHTAR'!$F252)</f>
        <v/>
      </c>
      <c r="J252" s="15">
        <f>IF(OR($A252="",$D252=0),0,$F252/ABS($D252))</f>
        <v/>
      </c>
      <c r="K252" s="15">
        <f>IF($A252="","",ROUND($D252,2))</f>
        <v/>
      </c>
      <c r="L252" s="15">
        <f>IF($A252="","",ROUND($C252,2))</f>
        <v/>
      </c>
      <c r="M252" s="15">
        <f>IF($A252="","",IF($F252&lt;=toleransKurus,1,0))</f>
        <v/>
      </c>
      <c r="N252" s="15">
        <f>IF($A252="","",IF($F252&gt;kdo_esikFark,1,0))</f>
        <v/>
      </c>
      <c r="O252" s="15">
        <f>IF($A252="","",IFERROR(SUMIF(tblMotor[A_Norm],$A252,tblMotor[SiparisToplam]),0))</f>
        <v/>
      </c>
      <c r="P252" s="15">
        <f>IF($A252="","",$B252+$M252+$N252)</f>
        <v/>
      </c>
    </row>
    <row r="253">
      <c r="A253" s="15">
        <f>IF('ANAHTAR'!$B253="","",'ANAHTAR'!$B253)</f>
        <v/>
      </c>
      <c r="B253" s="15">
        <f>IF($A253="","",COUNTIF(tblAnahtarB[NormB],$A253))</f>
        <v/>
      </c>
      <c r="C253" s="15">
        <f>IF($A253="","",IFERROR(SUMIF(tblMotor[A_Norm],$A253,tblMotor[SiparisToplam]),0))</f>
        <v/>
      </c>
      <c r="D253" s="15">
        <f>IF($A253="","",IFERROR(SUMIF(tblAnahtarA[Norm],$A253,tblVeriA[HedefMaliyet]),0))</f>
        <v/>
      </c>
      <c r="E253" s="15">
        <f>IF($A253="","",ROUND($D253,2)-ROUND($C253,2))</f>
        <v/>
      </c>
      <c r="F253" s="15">
        <f>IF($A253="","",ABS($E253))</f>
        <v/>
      </c>
      <c r="G253" s="15">
        <f>IF($A253="","",IF($B253=0,"eslesmedi",IF(ROUND($D253,2)=ROUND($C253,2),"eslesti",IF(ABS(ROUND($D253,2)-ROUND($C253,2))&lt;=toleransKurus,"tolerans_icinde","tutar_farki"))))</f>
        <v/>
      </c>
      <c r="H253" s="15">
        <f>IF($A253="","",IF($B253&gt;0,"BIRINCIL",IF(COUNTIF(tblAnahtarB[IkincilB],'ANAHTAR'!$D253)&gt;0,"IKINCIL","YOK")))</f>
        <v/>
      </c>
      <c r="I253" s="15">
        <f>IF($A253="","",'ANAHTAR'!$F253)</f>
        <v/>
      </c>
      <c r="J253" s="15">
        <f>IF(OR($A253="",$D253=0),0,$F253/ABS($D253))</f>
        <v/>
      </c>
      <c r="K253" s="15">
        <f>IF($A253="","",ROUND($D253,2))</f>
        <v/>
      </c>
      <c r="L253" s="15">
        <f>IF($A253="","",ROUND($C253,2))</f>
        <v/>
      </c>
      <c r="M253" s="15">
        <f>IF($A253="","",IF($F253&lt;=toleransKurus,1,0))</f>
        <v/>
      </c>
      <c r="N253" s="15">
        <f>IF($A253="","",IF($F253&gt;kdo_esikFark,1,0))</f>
        <v/>
      </c>
      <c r="O253" s="15">
        <f>IF($A253="","",IFERROR(SUMIF(tblMotor[A_Norm],$A253,tblMotor[SiparisToplam]),0))</f>
        <v/>
      </c>
      <c r="P253" s="15">
        <f>IF($A253="","",$B253+$M253+$N253)</f>
        <v/>
      </c>
    </row>
    <row r="254">
      <c r="A254" s="15">
        <f>IF('ANAHTAR'!$B254="","",'ANAHTAR'!$B254)</f>
        <v/>
      </c>
      <c r="B254" s="15">
        <f>IF($A254="","",COUNTIF(tblAnahtarB[NormB],$A254))</f>
        <v/>
      </c>
      <c r="C254" s="15">
        <f>IF($A254="","",IFERROR(SUMIF(tblMotor[A_Norm],$A254,tblMotor[SiparisToplam]),0))</f>
        <v/>
      </c>
      <c r="D254" s="15">
        <f>IF($A254="","",IFERROR(SUMIF(tblAnahtarA[Norm],$A254,tblVeriA[HedefMaliyet]),0))</f>
        <v/>
      </c>
      <c r="E254" s="15">
        <f>IF($A254="","",ROUND($D254,2)-ROUND($C254,2))</f>
        <v/>
      </c>
      <c r="F254" s="15">
        <f>IF($A254="","",ABS($E254))</f>
        <v/>
      </c>
      <c r="G254" s="15">
        <f>IF($A254="","",IF($B254=0,"eslesmedi",IF(ROUND($D254,2)=ROUND($C254,2),"eslesti",IF(ABS(ROUND($D254,2)-ROUND($C254,2))&lt;=toleransKurus,"tolerans_icinde","tutar_farki"))))</f>
        <v/>
      </c>
      <c r="H254" s="15">
        <f>IF($A254="","",IF($B254&gt;0,"BIRINCIL",IF(COUNTIF(tblAnahtarB[IkincilB],'ANAHTAR'!$D254)&gt;0,"IKINCIL","YOK")))</f>
        <v/>
      </c>
      <c r="I254" s="15">
        <f>IF($A254="","",'ANAHTAR'!$F254)</f>
        <v/>
      </c>
      <c r="J254" s="15">
        <f>IF(OR($A254="",$D254=0),0,$F254/ABS($D254))</f>
        <v/>
      </c>
      <c r="K254" s="15">
        <f>IF($A254="","",ROUND($D254,2))</f>
        <v/>
      </c>
      <c r="L254" s="15">
        <f>IF($A254="","",ROUND($C254,2))</f>
        <v/>
      </c>
      <c r="M254" s="15">
        <f>IF($A254="","",IF($F254&lt;=toleransKurus,1,0))</f>
        <v/>
      </c>
      <c r="N254" s="15">
        <f>IF($A254="","",IF($F254&gt;kdo_esikFark,1,0))</f>
        <v/>
      </c>
      <c r="O254" s="15">
        <f>IF($A254="","",IFERROR(SUMIF(tblMotor[A_Norm],$A254,tblMotor[SiparisToplam]),0))</f>
        <v/>
      </c>
      <c r="P254" s="15">
        <f>IF($A254="","",$B254+$M254+$N254)</f>
        <v/>
      </c>
    </row>
    <row r="255">
      <c r="A255" s="15">
        <f>IF('ANAHTAR'!$B255="","",'ANAHTAR'!$B255)</f>
        <v/>
      </c>
      <c r="B255" s="15">
        <f>IF($A255="","",COUNTIF(tblAnahtarB[NormB],$A255))</f>
        <v/>
      </c>
      <c r="C255" s="15">
        <f>IF($A255="","",IFERROR(SUMIF(tblMotor[A_Norm],$A255,tblMotor[SiparisToplam]),0))</f>
        <v/>
      </c>
      <c r="D255" s="15">
        <f>IF($A255="","",IFERROR(SUMIF(tblAnahtarA[Norm],$A255,tblVeriA[HedefMaliyet]),0))</f>
        <v/>
      </c>
      <c r="E255" s="15">
        <f>IF($A255="","",ROUND($D255,2)-ROUND($C255,2))</f>
        <v/>
      </c>
      <c r="F255" s="15">
        <f>IF($A255="","",ABS($E255))</f>
        <v/>
      </c>
      <c r="G255" s="15">
        <f>IF($A255="","",IF($B255=0,"eslesmedi",IF(ROUND($D255,2)=ROUND($C255,2),"eslesti",IF(ABS(ROUND($D255,2)-ROUND($C255,2))&lt;=toleransKurus,"tolerans_icinde","tutar_farki"))))</f>
        <v/>
      </c>
      <c r="H255" s="15">
        <f>IF($A255="","",IF($B255&gt;0,"BIRINCIL",IF(COUNTIF(tblAnahtarB[IkincilB],'ANAHTAR'!$D255)&gt;0,"IKINCIL","YOK")))</f>
        <v/>
      </c>
      <c r="I255" s="15">
        <f>IF($A255="","",'ANAHTAR'!$F255)</f>
        <v/>
      </c>
      <c r="J255" s="15">
        <f>IF(OR($A255="",$D255=0),0,$F255/ABS($D255))</f>
        <v/>
      </c>
      <c r="K255" s="15">
        <f>IF($A255="","",ROUND($D255,2))</f>
        <v/>
      </c>
      <c r="L255" s="15">
        <f>IF($A255="","",ROUND($C255,2))</f>
        <v/>
      </c>
      <c r="M255" s="15">
        <f>IF($A255="","",IF($F255&lt;=toleransKurus,1,0))</f>
        <v/>
      </c>
      <c r="N255" s="15">
        <f>IF($A255="","",IF($F255&gt;kdo_esikFark,1,0))</f>
        <v/>
      </c>
      <c r="O255" s="15">
        <f>IF($A255="","",IFERROR(SUMIF(tblMotor[A_Norm],$A255,tblMotor[SiparisToplam]),0))</f>
        <v/>
      </c>
      <c r="P255" s="15">
        <f>IF($A255="","",$B255+$M255+$N255)</f>
        <v/>
      </c>
    </row>
    <row r="256">
      <c r="A256" s="15">
        <f>IF('ANAHTAR'!$B256="","",'ANAHTAR'!$B256)</f>
        <v/>
      </c>
      <c r="B256" s="15">
        <f>IF($A256="","",COUNTIF(tblAnahtarB[NormB],$A256))</f>
        <v/>
      </c>
      <c r="C256" s="15">
        <f>IF($A256="","",IFERROR(SUMIF(tblMotor[A_Norm],$A256,tblMotor[SiparisToplam]),0))</f>
        <v/>
      </c>
      <c r="D256" s="15">
        <f>IF($A256="","",IFERROR(SUMIF(tblAnahtarA[Norm],$A256,tblVeriA[HedefMaliyet]),0))</f>
        <v/>
      </c>
      <c r="E256" s="15">
        <f>IF($A256="","",ROUND($D256,2)-ROUND($C256,2))</f>
        <v/>
      </c>
      <c r="F256" s="15">
        <f>IF($A256="","",ABS($E256))</f>
        <v/>
      </c>
      <c r="G256" s="15">
        <f>IF($A256="","",IF($B256=0,"eslesmedi",IF(ROUND($D256,2)=ROUND($C256,2),"eslesti",IF(ABS(ROUND($D256,2)-ROUND($C256,2))&lt;=toleransKurus,"tolerans_icinde","tutar_farki"))))</f>
        <v/>
      </c>
      <c r="H256" s="15">
        <f>IF($A256="","",IF($B256&gt;0,"BIRINCIL",IF(COUNTIF(tblAnahtarB[IkincilB],'ANAHTAR'!$D256)&gt;0,"IKINCIL","YOK")))</f>
        <v/>
      </c>
      <c r="I256" s="15">
        <f>IF($A256="","",'ANAHTAR'!$F256)</f>
        <v/>
      </c>
      <c r="J256" s="15">
        <f>IF(OR($A256="",$D256=0),0,$F256/ABS($D256))</f>
        <v/>
      </c>
      <c r="K256" s="15">
        <f>IF($A256="","",ROUND($D256,2))</f>
        <v/>
      </c>
      <c r="L256" s="15">
        <f>IF($A256="","",ROUND($C256,2))</f>
        <v/>
      </c>
      <c r="M256" s="15">
        <f>IF($A256="","",IF($F256&lt;=toleransKurus,1,0))</f>
        <v/>
      </c>
      <c r="N256" s="15">
        <f>IF($A256="","",IF($F256&gt;kdo_esikFark,1,0))</f>
        <v/>
      </c>
      <c r="O256" s="15">
        <f>IF($A256="","",IFERROR(SUMIF(tblMotor[A_Norm],$A256,tblMotor[SiparisToplam]),0))</f>
        <v/>
      </c>
      <c r="P256" s="15">
        <f>IF($A256="","",$B256+$M256+$N256)</f>
        <v/>
      </c>
    </row>
    <row r="257">
      <c r="A257" s="15">
        <f>IF('ANAHTAR'!$B257="","",'ANAHTAR'!$B257)</f>
        <v/>
      </c>
      <c r="B257" s="15">
        <f>IF($A257="","",COUNTIF(tblAnahtarB[NormB],$A257))</f>
        <v/>
      </c>
      <c r="C257" s="15">
        <f>IF($A257="","",IFERROR(SUMIF(tblMotor[A_Norm],$A257,tblMotor[SiparisToplam]),0))</f>
        <v/>
      </c>
      <c r="D257" s="15">
        <f>IF($A257="","",IFERROR(SUMIF(tblAnahtarA[Norm],$A257,tblVeriA[HedefMaliyet]),0))</f>
        <v/>
      </c>
      <c r="E257" s="15">
        <f>IF($A257="","",ROUND($D257,2)-ROUND($C257,2))</f>
        <v/>
      </c>
      <c r="F257" s="15">
        <f>IF($A257="","",ABS($E257))</f>
        <v/>
      </c>
      <c r="G257" s="15">
        <f>IF($A257="","",IF($B257=0,"eslesmedi",IF(ROUND($D257,2)=ROUND($C257,2),"eslesti",IF(ABS(ROUND($D257,2)-ROUND($C257,2))&lt;=toleransKurus,"tolerans_icinde","tutar_farki"))))</f>
        <v/>
      </c>
      <c r="H257" s="15">
        <f>IF($A257="","",IF($B257&gt;0,"BIRINCIL",IF(COUNTIF(tblAnahtarB[IkincilB],'ANAHTAR'!$D257)&gt;0,"IKINCIL","YOK")))</f>
        <v/>
      </c>
      <c r="I257" s="15">
        <f>IF($A257="","",'ANAHTAR'!$F257)</f>
        <v/>
      </c>
      <c r="J257" s="15">
        <f>IF(OR($A257="",$D257=0),0,$F257/ABS($D257))</f>
        <v/>
      </c>
      <c r="K257" s="15">
        <f>IF($A257="","",ROUND($D257,2))</f>
        <v/>
      </c>
      <c r="L257" s="15">
        <f>IF($A257="","",ROUND($C257,2))</f>
        <v/>
      </c>
      <c r="M257" s="15">
        <f>IF($A257="","",IF($F257&lt;=toleransKurus,1,0))</f>
        <v/>
      </c>
      <c r="N257" s="15">
        <f>IF($A257="","",IF($F257&gt;kdo_esikFark,1,0))</f>
        <v/>
      </c>
      <c r="O257" s="15">
        <f>IF($A257="","",IFERROR(SUMIF(tblMotor[A_Norm],$A257,tblMotor[SiparisToplam]),0))</f>
        <v/>
      </c>
      <c r="P257" s="15">
        <f>IF($A257="","",$B257+$M257+$N257)</f>
        <v/>
      </c>
    </row>
    <row r="258">
      <c r="A258" s="15">
        <f>IF('ANAHTAR'!$B258="","",'ANAHTAR'!$B258)</f>
        <v/>
      </c>
      <c r="B258" s="15">
        <f>IF($A258="","",COUNTIF(tblAnahtarB[NormB],$A258))</f>
        <v/>
      </c>
      <c r="C258" s="15">
        <f>IF($A258="","",IFERROR(SUMIF(tblMotor[A_Norm],$A258,tblMotor[SiparisToplam]),0))</f>
        <v/>
      </c>
      <c r="D258" s="15">
        <f>IF($A258="","",IFERROR(SUMIF(tblAnahtarA[Norm],$A258,tblVeriA[HedefMaliyet]),0))</f>
        <v/>
      </c>
      <c r="E258" s="15">
        <f>IF($A258="","",ROUND($D258,2)-ROUND($C258,2))</f>
        <v/>
      </c>
      <c r="F258" s="15">
        <f>IF($A258="","",ABS($E258))</f>
        <v/>
      </c>
      <c r="G258" s="15">
        <f>IF($A258="","",IF($B258=0,"eslesmedi",IF(ROUND($D258,2)=ROUND($C258,2),"eslesti",IF(ABS(ROUND($D258,2)-ROUND($C258,2))&lt;=toleransKurus,"tolerans_icinde","tutar_farki"))))</f>
        <v/>
      </c>
      <c r="H258" s="15">
        <f>IF($A258="","",IF($B258&gt;0,"BIRINCIL",IF(COUNTIF(tblAnahtarB[IkincilB],'ANAHTAR'!$D258)&gt;0,"IKINCIL","YOK")))</f>
        <v/>
      </c>
      <c r="I258" s="15">
        <f>IF($A258="","",'ANAHTAR'!$F258)</f>
        <v/>
      </c>
      <c r="J258" s="15">
        <f>IF(OR($A258="",$D258=0),0,$F258/ABS($D258))</f>
        <v/>
      </c>
      <c r="K258" s="15">
        <f>IF($A258="","",ROUND($D258,2))</f>
        <v/>
      </c>
      <c r="L258" s="15">
        <f>IF($A258="","",ROUND($C258,2))</f>
        <v/>
      </c>
      <c r="M258" s="15">
        <f>IF($A258="","",IF($F258&lt;=toleransKurus,1,0))</f>
        <v/>
      </c>
      <c r="N258" s="15">
        <f>IF($A258="","",IF($F258&gt;kdo_esikFark,1,0))</f>
        <v/>
      </c>
      <c r="O258" s="15">
        <f>IF($A258="","",IFERROR(SUMIF(tblMotor[A_Norm],$A258,tblMotor[SiparisToplam]),0))</f>
        <v/>
      </c>
      <c r="P258" s="15">
        <f>IF($A258="","",$B258+$M258+$N258)</f>
        <v/>
      </c>
    </row>
    <row r="259">
      <c r="A259" s="15">
        <f>IF('ANAHTAR'!$B259="","",'ANAHTAR'!$B259)</f>
        <v/>
      </c>
      <c r="B259" s="15">
        <f>IF($A259="","",COUNTIF(tblAnahtarB[NormB],$A259))</f>
        <v/>
      </c>
      <c r="C259" s="15">
        <f>IF($A259="","",IFERROR(SUMIF(tblMotor[A_Norm],$A259,tblMotor[SiparisToplam]),0))</f>
        <v/>
      </c>
      <c r="D259" s="15">
        <f>IF($A259="","",IFERROR(SUMIF(tblAnahtarA[Norm],$A259,tblVeriA[HedefMaliyet]),0))</f>
        <v/>
      </c>
      <c r="E259" s="15">
        <f>IF($A259="","",ROUND($D259,2)-ROUND($C259,2))</f>
        <v/>
      </c>
      <c r="F259" s="15">
        <f>IF($A259="","",ABS($E259))</f>
        <v/>
      </c>
      <c r="G259" s="15">
        <f>IF($A259="","",IF($B259=0,"eslesmedi",IF(ROUND($D259,2)=ROUND($C259,2),"eslesti",IF(ABS(ROUND($D259,2)-ROUND($C259,2))&lt;=toleransKurus,"tolerans_icinde","tutar_farki"))))</f>
        <v/>
      </c>
      <c r="H259" s="15">
        <f>IF($A259="","",IF($B259&gt;0,"BIRINCIL",IF(COUNTIF(tblAnahtarB[IkincilB],'ANAHTAR'!$D259)&gt;0,"IKINCIL","YOK")))</f>
        <v/>
      </c>
      <c r="I259" s="15">
        <f>IF($A259="","",'ANAHTAR'!$F259)</f>
        <v/>
      </c>
      <c r="J259" s="15">
        <f>IF(OR($A259="",$D259=0),0,$F259/ABS($D259))</f>
        <v/>
      </c>
      <c r="K259" s="15">
        <f>IF($A259="","",ROUND($D259,2))</f>
        <v/>
      </c>
      <c r="L259" s="15">
        <f>IF($A259="","",ROUND($C259,2))</f>
        <v/>
      </c>
      <c r="M259" s="15">
        <f>IF($A259="","",IF($F259&lt;=toleransKurus,1,0))</f>
        <v/>
      </c>
      <c r="N259" s="15">
        <f>IF($A259="","",IF($F259&gt;kdo_esikFark,1,0))</f>
        <v/>
      </c>
      <c r="O259" s="15">
        <f>IF($A259="","",IFERROR(SUMIF(tblMotor[A_Norm],$A259,tblMotor[SiparisToplam]),0))</f>
        <v/>
      </c>
      <c r="P259" s="15">
        <f>IF($A259="","",$B259+$M259+$N259)</f>
        <v/>
      </c>
    </row>
    <row r="260">
      <c r="A260" s="15">
        <f>IF('ANAHTAR'!$B260="","",'ANAHTAR'!$B260)</f>
        <v/>
      </c>
      <c r="B260" s="15">
        <f>IF($A260="","",COUNTIF(tblAnahtarB[NormB],$A260))</f>
        <v/>
      </c>
      <c r="C260" s="15">
        <f>IF($A260="","",IFERROR(SUMIF(tblMotor[A_Norm],$A260,tblMotor[SiparisToplam]),0))</f>
        <v/>
      </c>
      <c r="D260" s="15">
        <f>IF($A260="","",IFERROR(SUMIF(tblAnahtarA[Norm],$A260,tblVeriA[HedefMaliyet]),0))</f>
        <v/>
      </c>
      <c r="E260" s="15">
        <f>IF($A260="","",ROUND($D260,2)-ROUND($C260,2))</f>
        <v/>
      </c>
      <c r="F260" s="15">
        <f>IF($A260="","",ABS($E260))</f>
        <v/>
      </c>
      <c r="G260" s="15">
        <f>IF($A260="","",IF($B260=0,"eslesmedi",IF(ROUND($D260,2)=ROUND($C260,2),"eslesti",IF(ABS(ROUND($D260,2)-ROUND($C260,2))&lt;=toleransKurus,"tolerans_icinde","tutar_farki"))))</f>
        <v/>
      </c>
      <c r="H260" s="15">
        <f>IF($A260="","",IF($B260&gt;0,"BIRINCIL",IF(COUNTIF(tblAnahtarB[IkincilB],'ANAHTAR'!$D260)&gt;0,"IKINCIL","YOK")))</f>
        <v/>
      </c>
      <c r="I260" s="15">
        <f>IF($A260="","",'ANAHTAR'!$F260)</f>
        <v/>
      </c>
      <c r="J260" s="15">
        <f>IF(OR($A260="",$D260=0),0,$F260/ABS($D260))</f>
        <v/>
      </c>
      <c r="K260" s="15">
        <f>IF($A260="","",ROUND($D260,2))</f>
        <v/>
      </c>
      <c r="L260" s="15">
        <f>IF($A260="","",ROUND($C260,2))</f>
        <v/>
      </c>
      <c r="M260" s="15">
        <f>IF($A260="","",IF($F260&lt;=toleransKurus,1,0))</f>
        <v/>
      </c>
      <c r="N260" s="15">
        <f>IF($A260="","",IF($F260&gt;kdo_esikFark,1,0))</f>
        <v/>
      </c>
      <c r="O260" s="15">
        <f>IF($A260="","",IFERROR(SUMIF(tblMotor[A_Norm],$A260,tblMotor[SiparisToplam]),0))</f>
        <v/>
      </c>
      <c r="P260" s="15">
        <f>IF($A260="","",$B260+$M260+$N260)</f>
        <v/>
      </c>
    </row>
    <row r="261">
      <c r="A261" s="15">
        <f>IF('ANAHTAR'!$B261="","",'ANAHTAR'!$B261)</f>
        <v/>
      </c>
      <c r="B261" s="15">
        <f>IF($A261="","",COUNTIF(tblAnahtarB[NormB],$A261))</f>
        <v/>
      </c>
      <c r="C261" s="15">
        <f>IF($A261="","",IFERROR(SUMIF(tblMotor[A_Norm],$A261,tblMotor[SiparisToplam]),0))</f>
        <v/>
      </c>
      <c r="D261" s="15">
        <f>IF($A261="","",IFERROR(SUMIF(tblAnahtarA[Norm],$A261,tblVeriA[HedefMaliyet]),0))</f>
        <v/>
      </c>
      <c r="E261" s="15">
        <f>IF($A261="","",ROUND($D261,2)-ROUND($C261,2))</f>
        <v/>
      </c>
      <c r="F261" s="15">
        <f>IF($A261="","",ABS($E261))</f>
        <v/>
      </c>
      <c r="G261" s="15">
        <f>IF($A261="","",IF($B261=0,"eslesmedi",IF(ROUND($D261,2)=ROUND($C261,2),"eslesti",IF(ABS(ROUND($D261,2)-ROUND($C261,2))&lt;=toleransKurus,"tolerans_icinde","tutar_farki"))))</f>
        <v/>
      </c>
      <c r="H261" s="15">
        <f>IF($A261="","",IF($B261&gt;0,"BIRINCIL",IF(COUNTIF(tblAnahtarB[IkincilB],'ANAHTAR'!$D261)&gt;0,"IKINCIL","YOK")))</f>
        <v/>
      </c>
      <c r="I261" s="15">
        <f>IF($A261="","",'ANAHTAR'!$F261)</f>
        <v/>
      </c>
      <c r="J261" s="15">
        <f>IF(OR($A261="",$D261=0),0,$F261/ABS($D261))</f>
        <v/>
      </c>
      <c r="K261" s="15">
        <f>IF($A261="","",ROUND($D261,2))</f>
        <v/>
      </c>
      <c r="L261" s="15">
        <f>IF($A261="","",ROUND($C261,2))</f>
        <v/>
      </c>
      <c r="M261" s="15">
        <f>IF($A261="","",IF($F261&lt;=toleransKurus,1,0))</f>
        <v/>
      </c>
      <c r="N261" s="15">
        <f>IF($A261="","",IF($F261&gt;kdo_esikFark,1,0))</f>
        <v/>
      </c>
      <c r="O261" s="15">
        <f>IF($A261="","",IFERROR(SUMIF(tblMotor[A_Norm],$A261,tblMotor[SiparisToplam]),0))</f>
        <v/>
      </c>
      <c r="P261" s="15">
        <f>IF($A261="","",$B261+$M261+$N261)</f>
        <v/>
      </c>
    </row>
    <row r="262">
      <c r="A262" s="15">
        <f>IF('ANAHTAR'!$B262="","",'ANAHTAR'!$B262)</f>
        <v/>
      </c>
      <c r="B262" s="15">
        <f>IF($A262="","",COUNTIF(tblAnahtarB[NormB],$A262))</f>
        <v/>
      </c>
      <c r="C262" s="15">
        <f>IF($A262="","",IFERROR(SUMIF(tblMotor[A_Norm],$A262,tblMotor[SiparisToplam]),0))</f>
        <v/>
      </c>
      <c r="D262" s="15">
        <f>IF($A262="","",IFERROR(SUMIF(tblAnahtarA[Norm],$A262,tblVeriA[HedefMaliyet]),0))</f>
        <v/>
      </c>
      <c r="E262" s="15">
        <f>IF($A262="","",ROUND($D262,2)-ROUND($C262,2))</f>
        <v/>
      </c>
      <c r="F262" s="15">
        <f>IF($A262="","",ABS($E262))</f>
        <v/>
      </c>
      <c r="G262" s="15">
        <f>IF($A262="","",IF($B262=0,"eslesmedi",IF(ROUND($D262,2)=ROUND($C262,2),"eslesti",IF(ABS(ROUND($D262,2)-ROUND($C262,2))&lt;=toleransKurus,"tolerans_icinde","tutar_farki"))))</f>
        <v/>
      </c>
      <c r="H262" s="15">
        <f>IF($A262="","",IF($B262&gt;0,"BIRINCIL",IF(COUNTIF(tblAnahtarB[IkincilB],'ANAHTAR'!$D262)&gt;0,"IKINCIL","YOK")))</f>
        <v/>
      </c>
      <c r="I262" s="15">
        <f>IF($A262="","",'ANAHTAR'!$F262)</f>
        <v/>
      </c>
      <c r="J262" s="15">
        <f>IF(OR($A262="",$D262=0),0,$F262/ABS($D262))</f>
        <v/>
      </c>
      <c r="K262" s="15">
        <f>IF($A262="","",ROUND($D262,2))</f>
        <v/>
      </c>
      <c r="L262" s="15">
        <f>IF($A262="","",ROUND($C262,2))</f>
        <v/>
      </c>
      <c r="M262" s="15">
        <f>IF($A262="","",IF($F262&lt;=toleransKurus,1,0))</f>
        <v/>
      </c>
      <c r="N262" s="15">
        <f>IF($A262="","",IF($F262&gt;kdo_esikFark,1,0))</f>
        <v/>
      </c>
      <c r="O262" s="15">
        <f>IF($A262="","",IFERROR(SUMIF(tblMotor[A_Norm],$A262,tblMotor[SiparisToplam]),0))</f>
        <v/>
      </c>
      <c r="P262" s="15">
        <f>IF($A262="","",$B262+$M262+$N262)</f>
        <v/>
      </c>
    </row>
    <row r="263">
      <c r="A263" s="15">
        <f>IF('ANAHTAR'!$B263="","",'ANAHTAR'!$B263)</f>
        <v/>
      </c>
      <c r="B263" s="15">
        <f>IF($A263="","",COUNTIF(tblAnahtarB[NormB],$A263))</f>
        <v/>
      </c>
      <c r="C263" s="15">
        <f>IF($A263="","",IFERROR(SUMIF(tblMotor[A_Norm],$A263,tblMotor[SiparisToplam]),0))</f>
        <v/>
      </c>
      <c r="D263" s="15">
        <f>IF($A263="","",IFERROR(SUMIF(tblAnahtarA[Norm],$A263,tblVeriA[HedefMaliyet]),0))</f>
        <v/>
      </c>
      <c r="E263" s="15">
        <f>IF($A263="","",ROUND($D263,2)-ROUND($C263,2))</f>
        <v/>
      </c>
      <c r="F263" s="15">
        <f>IF($A263="","",ABS($E263))</f>
        <v/>
      </c>
      <c r="G263" s="15">
        <f>IF($A263="","",IF($B263=0,"eslesmedi",IF(ROUND($D263,2)=ROUND($C263,2),"eslesti",IF(ABS(ROUND($D263,2)-ROUND($C263,2))&lt;=toleransKurus,"tolerans_icinde","tutar_farki"))))</f>
        <v/>
      </c>
      <c r="H263" s="15">
        <f>IF($A263="","",IF($B263&gt;0,"BIRINCIL",IF(COUNTIF(tblAnahtarB[IkincilB],'ANAHTAR'!$D263)&gt;0,"IKINCIL","YOK")))</f>
        <v/>
      </c>
      <c r="I263" s="15">
        <f>IF($A263="","",'ANAHTAR'!$F263)</f>
        <v/>
      </c>
      <c r="J263" s="15">
        <f>IF(OR($A263="",$D263=0),0,$F263/ABS($D263))</f>
        <v/>
      </c>
      <c r="K263" s="15">
        <f>IF($A263="","",ROUND($D263,2))</f>
        <v/>
      </c>
      <c r="L263" s="15">
        <f>IF($A263="","",ROUND($C263,2))</f>
        <v/>
      </c>
      <c r="M263" s="15">
        <f>IF($A263="","",IF($F263&lt;=toleransKurus,1,0))</f>
        <v/>
      </c>
      <c r="N263" s="15">
        <f>IF($A263="","",IF($F263&gt;kdo_esikFark,1,0))</f>
        <v/>
      </c>
      <c r="O263" s="15">
        <f>IF($A263="","",IFERROR(SUMIF(tblMotor[A_Norm],$A263,tblMotor[SiparisToplam]),0))</f>
        <v/>
      </c>
      <c r="P263" s="15">
        <f>IF($A263="","",$B263+$M263+$N263)</f>
        <v/>
      </c>
    </row>
    <row r="264">
      <c r="A264" s="15">
        <f>IF('ANAHTAR'!$B264="","",'ANAHTAR'!$B264)</f>
        <v/>
      </c>
      <c r="B264" s="15">
        <f>IF($A264="","",COUNTIF(tblAnahtarB[NormB],$A264))</f>
        <v/>
      </c>
      <c r="C264" s="15">
        <f>IF($A264="","",IFERROR(SUMIF(tblMotor[A_Norm],$A264,tblMotor[SiparisToplam]),0))</f>
        <v/>
      </c>
      <c r="D264" s="15">
        <f>IF($A264="","",IFERROR(SUMIF(tblAnahtarA[Norm],$A264,tblVeriA[HedefMaliyet]),0))</f>
        <v/>
      </c>
      <c r="E264" s="15">
        <f>IF($A264="","",ROUND($D264,2)-ROUND($C264,2))</f>
        <v/>
      </c>
      <c r="F264" s="15">
        <f>IF($A264="","",ABS($E264))</f>
        <v/>
      </c>
      <c r="G264" s="15">
        <f>IF($A264="","",IF($B264=0,"eslesmedi",IF(ROUND($D264,2)=ROUND($C264,2),"eslesti",IF(ABS(ROUND($D264,2)-ROUND($C264,2))&lt;=toleransKurus,"tolerans_icinde","tutar_farki"))))</f>
        <v/>
      </c>
      <c r="H264" s="15">
        <f>IF($A264="","",IF($B264&gt;0,"BIRINCIL",IF(COUNTIF(tblAnahtarB[IkincilB],'ANAHTAR'!$D264)&gt;0,"IKINCIL","YOK")))</f>
        <v/>
      </c>
      <c r="I264" s="15">
        <f>IF($A264="","",'ANAHTAR'!$F264)</f>
        <v/>
      </c>
      <c r="J264" s="15">
        <f>IF(OR($A264="",$D264=0),0,$F264/ABS($D264))</f>
        <v/>
      </c>
      <c r="K264" s="15">
        <f>IF($A264="","",ROUND($D264,2))</f>
        <v/>
      </c>
      <c r="L264" s="15">
        <f>IF($A264="","",ROUND($C264,2))</f>
        <v/>
      </c>
      <c r="M264" s="15">
        <f>IF($A264="","",IF($F264&lt;=toleransKurus,1,0))</f>
        <v/>
      </c>
      <c r="N264" s="15">
        <f>IF($A264="","",IF($F264&gt;kdo_esikFark,1,0))</f>
        <v/>
      </c>
      <c r="O264" s="15">
        <f>IF($A264="","",IFERROR(SUMIF(tblMotor[A_Norm],$A264,tblMotor[SiparisToplam]),0))</f>
        <v/>
      </c>
      <c r="P264" s="15">
        <f>IF($A264="","",$B264+$M264+$N264)</f>
        <v/>
      </c>
    </row>
    <row r="265">
      <c r="A265" s="15">
        <f>IF('ANAHTAR'!$B265="","",'ANAHTAR'!$B265)</f>
        <v/>
      </c>
      <c r="B265" s="15">
        <f>IF($A265="","",COUNTIF(tblAnahtarB[NormB],$A265))</f>
        <v/>
      </c>
      <c r="C265" s="15">
        <f>IF($A265="","",IFERROR(SUMIF(tblMotor[A_Norm],$A265,tblMotor[SiparisToplam]),0))</f>
        <v/>
      </c>
      <c r="D265" s="15">
        <f>IF($A265="","",IFERROR(SUMIF(tblAnahtarA[Norm],$A265,tblVeriA[HedefMaliyet]),0))</f>
        <v/>
      </c>
      <c r="E265" s="15">
        <f>IF($A265="","",ROUND($D265,2)-ROUND($C265,2))</f>
        <v/>
      </c>
      <c r="F265" s="15">
        <f>IF($A265="","",ABS($E265))</f>
        <v/>
      </c>
      <c r="G265" s="15">
        <f>IF($A265="","",IF($B265=0,"eslesmedi",IF(ROUND($D265,2)=ROUND($C265,2),"eslesti",IF(ABS(ROUND($D265,2)-ROUND($C265,2))&lt;=toleransKurus,"tolerans_icinde","tutar_farki"))))</f>
        <v/>
      </c>
      <c r="H265" s="15">
        <f>IF($A265="","",IF($B265&gt;0,"BIRINCIL",IF(COUNTIF(tblAnahtarB[IkincilB],'ANAHTAR'!$D265)&gt;0,"IKINCIL","YOK")))</f>
        <v/>
      </c>
      <c r="I265" s="15">
        <f>IF($A265="","",'ANAHTAR'!$F265)</f>
        <v/>
      </c>
      <c r="J265" s="15">
        <f>IF(OR($A265="",$D265=0),0,$F265/ABS($D265))</f>
        <v/>
      </c>
      <c r="K265" s="15">
        <f>IF($A265="","",ROUND($D265,2))</f>
        <v/>
      </c>
      <c r="L265" s="15">
        <f>IF($A265="","",ROUND($C265,2))</f>
        <v/>
      </c>
      <c r="M265" s="15">
        <f>IF($A265="","",IF($F265&lt;=toleransKurus,1,0))</f>
        <v/>
      </c>
      <c r="N265" s="15">
        <f>IF($A265="","",IF($F265&gt;kdo_esikFark,1,0))</f>
        <v/>
      </c>
      <c r="O265" s="15">
        <f>IF($A265="","",IFERROR(SUMIF(tblMotor[A_Norm],$A265,tblMotor[SiparisToplam]),0))</f>
        <v/>
      </c>
      <c r="P265" s="15">
        <f>IF($A265="","",$B265+$M265+$N265)</f>
        <v/>
      </c>
    </row>
    <row r="266">
      <c r="A266" s="15">
        <f>IF('ANAHTAR'!$B266="","",'ANAHTAR'!$B266)</f>
        <v/>
      </c>
      <c r="B266" s="15">
        <f>IF($A266="","",COUNTIF(tblAnahtarB[NormB],$A266))</f>
        <v/>
      </c>
      <c r="C266" s="15">
        <f>IF($A266="","",IFERROR(SUMIF(tblMotor[A_Norm],$A266,tblMotor[SiparisToplam]),0))</f>
        <v/>
      </c>
      <c r="D266" s="15">
        <f>IF($A266="","",IFERROR(SUMIF(tblAnahtarA[Norm],$A266,tblVeriA[HedefMaliyet]),0))</f>
        <v/>
      </c>
      <c r="E266" s="15">
        <f>IF($A266="","",ROUND($D266,2)-ROUND($C266,2))</f>
        <v/>
      </c>
      <c r="F266" s="15">
        <f>IF($A266="","",ABS($E266))</f>
        <v/>
      </c>
      <c r="G266" s="15">
        <f>IF($A266="","",IF($B266=0,"eslesmedi",IF(ROUND($D266,2)=ROUND($C266,2),"eslesti",IF(ABS(ROUND($D266,2)-ROUND($C266,2))&lt;=toleransKurus,"tolerans_icinde","tutar_farki"))))</f>
        <v/>
      </c>
      <c r="H266" s="15">
        <f>IF($A266="","",IF($B266&gt;0,"BIRINCIL",IF(COUNTIF(tblAnahtarB[IkincilB],'ANAHTAR'!$D266)&gt;0,"IKINCIL","YOK")))</f>
        <v/>
      </c>
      <c r="I266" s="15">
        <f>IF($A266="","",'ANAHTAR'!$F266)</f>
        <v/>
      </c>
      <c r="J266" s="15">
        <f>IF(OR($A266="",$D266=0),0,$F266/ABS($D266))</f>
        <v/>
      </c>
      <c r="K266" s="15">
        <f>IF($A266="","",ROUND($D266,2))</f>
        <v/>
      </c>
      <c r="L266" s="15">
        <f>IF($A266="","",ROUND($C266,2))</f>
        <v/>
      </c>
      <c r="M266" s="15">
        <f>IF($A266="","",IF($F266&lt;=toleransKurus,1,0))</f>
        <v/>
      </c>
      <c r="N266" s="15">
        <f>IF($A266="","",IF($F266&gt;kdo_esikFark,1,0))</f>
        <v/>
      </c>
      <c r="O266" s="15">
        <f>IF($A266="","",IFERROR(SUMIF(tblMotor[A_Norm],$A266,tblMotor[SiparisToplam]),0))</f>
        <v/>
      </c>
      <c r="P266" s="15">
        <f>IF($A266="","",$B266+$M266+$N266)</f>
        <v/>
      </c>
    </row>
    <row r="267">
      <c r="A267" s="15">
        <f>IF('ANAHTAR'!$B267="","",'ANAHTAR'!$B267)</f>
        <v/>
      </c>
      <c r="B267" s="15">
        <f>IF($A267="","",COUNTIF(tblAnahtarB[NormB],$A267))</f>
        <v/>
      </c>
      <c r="C267" s="15">
        <f>IF($A267="","",IFERROR(SUMIF(tblMotor[A_Norm],$A267,tblMotor[SiparisToplam]),0))</f>
        <v/>
      </c>
      <c r="D267" s="15">
        <f>IF($A267="","",IFERROR(SUMIF(tblAnahtarA[Norm],$A267,tblVeriA[HedefMaliyet]),0))</f>
        <v/>
      </c>
      <c r="E267" s="15">
        <f>IF($A267="","",ROUND($D267,2)-ROUND($C267,2))</f>
        <v/>
      </c>
      <c r="F267" s="15">
        <f>IF($A267="","",ABS($E267))</f>
        <v/>
      </c>
      <c r="G267" s="15">
        <f>IF($A267="","",IF($B267=0,"eslesmedi",IF(ROUND($D267,2)=ROUND($C267,2),"eslesti",IF(ABS(ROUND($D267,2)-ROUND($C267,2))&lt;=toleransKurus,"tolerans_icinde","tutar_farki"))))</f>
        <v/>
      </c>
      <c r="H267" s="15">
        <f>IF($A267="","",IF($B267&gt;0,"BIRINCIL",IF(COUNTIF(tblAnahtarB[IkincilB],'ANAHTAR'!$D267)&gt;0,"IKINCIL","YOK")))</f>
        <v/>
      </c>
      <c r="I267" s="15">
        <f>IF($A267="","",'ANAHTAR'!$F267)</f>
        <v/>
      </c>
      <c r="J267" s="15">
        <f>IF(OR($A267="",$D267=0),0,$F267/ABS($D267))</f>
        <v/>
      </c>
      <c r="K267" s="15">
        <f>IF($A267="","",ROUND($D267,2))</f>
        <v/>
      </c>
      <c r="L267" s="15">
        <f>IF($A267="","",ROUND($C267,2))</f>
        <v/>
      </c>
      <c r="M267" s="15">
        <f>IF($A267="","",IF($F267&lt;=toleransKurus,1,0))</f>
        <v/>
      </c>
      <c r="N267" s="15">
        <f>IF($A267="","",IF($F267&gt;kdo_esikFark,1,0))</f>
        <v/>
      </c>
      <c r="O267" s="15">
        <f>IF($A267="","",IFERROR(SUMIF(tblMotor[A_Norm],$A267,tblMotor[SiparisToplam]),0))</f>
        <v/>
      </c>
      <c r="P267" s="15">
        <f>IF($A267="","",$B267+$M267+$N267)</f>
        <v/>
      </c>
    </row>
    <row r="268">
      <c r="A268" s="15">
        <f>IF('ANAHTAR'!$B268="","",'ANAHTAR'!$B268)</f>
        <v/>
      </c>
      <c r="B268" s="15">
        <f>IF($A268="","",COUNTIF(tblAnahtarB[NormB],$A268))</f>
        <v/>
      </c>
      <c r="C268" s="15">
        <f>IF($A268="","",IFERROR(SUMIF(tblMotor[A_Norm],$A268,tblMotor[SiparisToplam]),0))</f>
        <v/>
      </c>
      <c r="D268" s="15">
        <f>IF($A268="","",IFERROR(SUMIF(tblAnahtarA[Norm],$A268,tblVeriA[HedefMaliyet]),0))</f>
        <v/>
      </c>
      <c r="E268" s="15">
        <f>IF($A268="","",ROUND($D268,2)-ROUND($C268,2))</f>
        <v/>
      </c>
      <c r="F268" s="15">
        <f>IF($A268="","",ABS($E268))</f>
        <v/>
      </c>
      <c r="G268" s="15">
        <f>IF($A268="","",IF($B268=0,"eslesmedi",IF(ROUND($D268,2)=ROUND($C268,2),"eslesti",IF(ABS(ROUND($D268,2)-ROUND($C268,2))&lt;=toleransKurus,"tolerans_icinde","tutar_farki"))))</f>
        <v/>
      </c>
      <c r="H268" s="15">
        <f>IF($A268="","",IF($B268&gt;0,"BIRINCIL",IF(COUNTIF(tblAnahtarB[IkincilB],'ANAHTAR'!$D268)&gt;0,"IKINCIL","YOK")))</f>
        <v/>
      </c>
      <c r="I268" s="15">
        <f>IF($A268="","",'ANAHTAR'!$F268)</f>
        <v/>
      </c>
      <c r="J268" s="15">
        <f>IF(OR($A268="",$D268=0),0,$F268/ABS($D268))</f>
        <v/>
      </c>
      <c r="K268" s="15">
        <f>IF($A268="","",ROUND($D268,2))</f>
        <v/>
      </c>
      <c r="L268" s="15">
        <f>IF($A268="","",ROUND($C268,2))</f>
        <v/>
      </c>
      <c r="M268" s="15">
        <f>IF($A268="","",IF($F268&lt;=toleransKurus,1,0))</f>
        <v/>
      </c>
      <c r="N268" s="15">
        <f>IF($A268="","",IF($F268&gt;kdo_esikFark,1,0))</f>
        <v/>
      </c>
      <c r="O268" s="15">
        <f>IF($A268="","",IFERROR(SUMIF(tblMotor[A_Norm],$A268,tblMotor[SiparisToplam]),0))</f>
        <v/>
      </c>
      <c r="P268" s="15">
        <f>IF($A268="","",$B268+$M268+$N268)</f>
        <v/>
      </c>
    </row>
    <row r="269">
      <c r="A269" s="15">
        <f>IF('ANAHTAR'!$B269="","",'ANAHTAR'!$B269)</f>
        <v/>
      </c>
      <c r="B269" s="15">
        <f>IF($A269="","",COUNTIF(tblAnahtarB[NormB],$A269))</f>
        <v/>
      </c>
      <c r="C269" s="15">
        <f>IF($A269="","",IFERROR(SUMIF(tblMotor[A_Norm],$A269,tblMotor[SiparisToplam]),0))</f>
        <v/>
      </c>
      <c r="D269" s="15">
        <f>IF($A269="","",IFERROR(SUMIF(tblAnahtarA[Norm],$A269,tblVeriA[HedefMaliyet]),0))</f>
        <v/>
      </c>
      <c r="E269" s="15">
        <f>IF($A269="","",ROUND($D269,2)-ROUND($C269,2))</f>
        <v/>
      </c>
      <c r="F269" s="15">
        <f>IF($A269="","",ABS($E269))</f>
        <v/>
      </c>
      <c r="G269" s="15">
        <f>IF($A269="","",IF($B269=0,"eslesmedi",IF(ROUND($D269,2)=ROUND($C269,2),"eslesti",IF(ABS(ROUND($D269,2)-ROUND($C269,2))&lt;=toleransKurus,"tolerans_icinde","tutar_farki"))))</f>
        <v/>
      </c>
      <c r="H269" s="15">
        <f>IF($A269="","",IF($B269&gt;0,"BIRINCIL",IF(COUNTIF(tblAnahtarB[IkincilB],'ANAHTAR'!$D269)&gt;0,"IKINCIL","YOK")))</f>
        <v/>
      </c>
      <c r="I269" s="15">
        <f>IF($A269="","",'ANAHTAR'!$F269)</f>
        <v/>
      </c>
      <c r="J269" s="15">
        <f>IF(OR($A269="",$D269=0),0,$F269/ABS($D269))</f>
        <v/>
      </c>
      <c r="K269" s="15">
        <f>IF($A269="","",ROUND($D269,2))</f>
        <v/>
      </c>
      <c r="L269" s="15">
        <f>IF($A269="","",ROUND($C269,2))</f>
        <v/>
      </c>
      <c r="M269" s="15">
        <f>IF($A269="","",IF($F269&lt;=toleransKurus,1,0))</f>
        <v/>
      </c>
      <c r="N269" s="15">
        <f>IF($A269="","",IF($F269&gt;kdo_esikFark,1,0))</f>
        <v/>
      </c>
      <c r="O269" s="15">
        <f>IF($A269="","",IFERROR(SUMIF(tblMotor[A_Norm],$A269,tblMotor[SiparisToplam]),0))</f>
        <v/>
      </c>
      <c r="P269" s="15">
        <f>IF($A269="","",$B269+$M269+$N269)</f>
        <v/>
      </c>
    </row>
    <row r="270">
      <c r="A270" s="15">
        <f>IF('ANAHTAR'!$B270="","",'ANAHTAR'!$B270)</f>
        <v/>
      </c>
      <c r="B270" s="15">
        <f>IF($A270="","",COUNTIF(tblAnahtarB[NormB],$A270))</f>
        <v/>
      </c>
      <c r="C270" s="15">
        <f>IF($A270="","",IFERROR(SUMIF(tblMotor[A_Norm],$A270,tblMotor[SiparisToplam]),0))</f>
        <v/>
      </c>
      <c r="D270" s="15">
        <f>IF($A270="","",IFERROR(SUMIF(tblAnahtarA[Norm],$A270,tblVeriA[HedefMaliyet]),0))</f>
        <v/>
      </c>
      <c r="E270" s="15">
        <f>IF($A270="","",ROUND($D270,2)-ROUND($C270,2))</f>
        <v/>
      </c>
      <c r="F270" s="15">
        <f>IF($A270="","",ABS($E270))</f>
        <v/>
      </c>
      <c r="G270" s="15">
        <f>IF($A270="","",IF($B270=0,"eslesmedi",IF(ROUND($D270,2)=ROUND($C270,2),"eslesti",IF(ABS(ROUND($D270,2)-ROUND($C270,2))&lt;=toleransKurus,"tolerans_icinde","tutar_farki"))))</f>
        <v/>
      </c>
      <c r="H270" s="15">
        <f>IF($A270="","",IF($B270&gt;0,"BIRINCIL",IF(COUNTIF(tblAnahtarB[IkincilB],'ANAHTAR'!$D270)&gt;0,"IKINCIL","YOK")))</f>
        <v/>
      </c>
      <c r="I270" s="15">
        <f>IF($A270="","",'ANAHTAR'!$F270)</f>
        <v/>
      </c>
      <c r="J270" s="15">
        <f>IF(OR($A270="",$D270=0),0,$F270/ABS($D270))</f>
        <v/>
      </c>
      <c r="K270" s="15">
        <f>IF($A270="","",ROUND($D270,2))</f>
        <v/>
      </c>
      <c r="L270" s="15">
        <f>IF($A270="","",ROUND($C270,2))</f>
        <v/>
      </c>
      <c r="M270" s="15">
        <f>IF($A270="","",IF($F270&lt;=toleransKurus,1,0))</f>
        <v/>
      </c>
      <c r="N270" s="15">
        <f>IF($A270="","",IF($F270&gt;kdo_esikFark,1,0))</f>
        <v/>
      </c>
      <c r="O270" s="15">
        <f>IF($A270="","",IFERROR(SUMIF(tblMotor[A_Norm],$A270,tblMotor[SiparisToplam]),0))</f>
        <v/>
      </c>
      <c r="P270" s="15">
        <f>IF($A270="","",$B270+$M270+$N270)</f>
        <v/>
      </c>
    </row>
    <row r="271">
      <c r="A271" s="15">
        <f>IF('ANAHTAR'!$B271="","",'ANAHTAR'!$B271)</f>
        <v/>
      </c>
      <c r="B271" s="15">
        <f>IF($A271="","",COUNTIF(tblAnahtarB[NormB],$A271))</f>
        <v/>
      </c>
      <c r="C271" s="15">
        <f>IF($A271="","",IFERROR(SUMIF(tblMotor[A_Norm],$A271,tblMotor[SiparisToplam]),0))</f>
        <v/>
      </c>
      <c r="D271" s="15">
        <f>IF($A271="","",IFERROR(SUMIF(tblAnahtarA[Norm],$A271,tblVeriA[HedefMaliyet]),0))</f>
        <v/>
      </c>
      <c r="E271" s="15">
        <f>IF($A271="","",ROUND($D271,2)-ROUND($C271,2))</f>
        <v/>
      </c>
      <c r="F271" s="15">
        <f>IF($A271="","",ABS($E271))</f>
        <v/>
      </c>
      <c r="G271" s="15">
        <f>IF($A271="","",IF($B271=0,"eslesmedi",IF(ROUND($D271,2)=ROUND($C271,2),"eslesti",IF(ABS(ROUND($D271,2)-ROUND($C271,2))&lt;=toleransKurus,"tolerans_icinde","tutar_farki"))))</f>
        <v/>
      </c>
      <c r="H271" s="15">
        <f>IF($A271="","",IF($B271&gt;0,"BIRINCIL",IF(COUNTIF(tblAnahtarB[IkincilB],'ANAHTAR'!$D271)&gt;0,"IKINCIL","YOK")))</f>
        <v/>
      </c>
      <c r="I271" s="15">
        <f>IF($A271="","",'ANAHTAR'!$F271)</f>
        <v/>
      </c>
      <c r="J271" s="15">
        <f>IF(OR($A271="",$D271=0),0,$F271/ABS($D271))</f>
        <v/>
      </c>
      <c r="K271" s="15">
        <f>IF($A271="","",ROUND($D271,2))</f>
        <v/>
      </c>
      <c r="L271" s="15">
        <f>IF($A271="","",ROUND($C271,2))</f>
        <v/>
      </c>
      <c r="M271" s="15">
        <f>IF($A271="","",IF($F271&lt;=toleransKurus,1,0))</f>
        <v/>
      </c>
      <c r="N271" s="15">
        <f>IF($A271="","",IF($F271&gt;kdo_esikFark,1,0))</f>
        <v/>
      </c>
      <c r="O271" s="15">
        <f>IF($A271="","",IFERROR(SUMIF(tblMotor[A_Norm],$A271,tblMotor[SiparisToplam]),0))</f>
        <v/>
      </c>
      <c r="P271" s="15">
        <f>IF($A271="","",$B271+$M271+$N271)</f>
        <v/>
      </c>
    </row>
    <row r="272">
      <c r="A272" s="15">
        <f>IF('ANAHTAR'!$B272="","",'ANAHTAR'!$B272)</f>
        <v/>
      </c>
      <c r="B272" s="15">
        <f>IF($A272="","",COUNTIF(tblAnahtarB[NormB],$A272))</f>
        <v/>
      </c>
      <c r="C272" s="15">
        <f>IF($A272="","",IFERROR(SUMIF(tblMotor[A_Norm],$A272,tblMotor[SiparisToplam]),0))</f>
        <v/>
      </c>
      <c r="D272" s="15">
        <f>IF($A272="","",IFERROR(SUMIF(tblAnahtarA[Norm],$A272,tblVeriA[HedefMaliyet]),0))</f>
        <v/>
      </c>
      <c r="E272" s="15">
        <f>IF($A272="","",ROUND($D272,2)-ROUND($C272,2))</f>
        <v/>
      </c>
      <c r="F272" s="15">
        <f>IF($A272="","",ABS($E272))</f>
        <v/>
      </c>
      <c r="G272" s="15">
        <f>IF($A272="","",IF($B272=0,"eslesmedi",IF(ROUND($D272,2)=ROUND($C272,2),"eslesti",IF(ABS(ROUND($D272,2)-ROUND($C272,2))&lt;=toleransKurus,"tolerans_icinde","tutar_farki"))))</f>
        <v/>
      </c>
      <c r="H272" s="15">
        <f>IF($A272="","",IF($B272&gt;0,"BIRINCIL",IF(COUNTIF(tblAnahtarB[IkincilB],'ANAHTAR'!$D272)&gt;0,"IKINCIL","YOK")))</f>
        <v/>
      </c>
      <c r="I272" s="15">
        <f>IF($A272="","",'ANAHTAR'!$F272)</f>
        <v/>
      </c>
      <c r="J272" s="15">
        <f>IF(OR($A272="",$D272=0),0,$F272/ABS($D272))</f>
        <v/>
      </c>
      <c r="K272" s="15">
        <f>IF($A272="","",ROUND($D272,2))</f>
        <v/>
      </c>
      <c r="L272" s="15">
        <f>IF($A272="","",ROUND($C272,2))</f>
        <v/>
      </c>
      <c r="M272" s="15">
        <f>IF($A272="","",IF($F272&lt;=toleransKurus,1,0))</f>
        <v/>
      </c>
      <c r="N272" s="15">
        <f>IF($A272="","",IF($F272&gt;kdo_esikFark,1,0))</f>
        <v/>
      </c>
      <c r="O272" s="15">
        <f>IF($A272="","",IFERROR(SUMIF(tblMotor[A_Norm],$A272,tblMotor[SiparisToplam]),0))</f>
        <v/>
      </c>
      <c r="P272" s="15">
        <f>IF($A272="","",$B272+$M272+$N272)</f>
        <v/>
      </c>
    </row>
    <row r="273">
      <c r="A273" s="15">
        <f>IF('ANAHTAR'!$B273="","",'ANAHTAR'!$B273)</f>
        <v/>
      </c>
      <c r="B273" s="15">
        <f>IF($A273="","",COUNTIF(tblAnahtarB[NormB],$A273))</f>
        <v/>
      </c>
      <c r="C273" s="15">
        <f>IF($A273="","",IFERROR(SUMIF(tblMotor[A_Norm],$A273,tblMotor[SiparisToplam]),0))</f>
        <v/>
      </c>
      <c r="D273" s="15">
        <f>IF($A273="","",IFERROR(SUMIF(tblAnahtarA[Norm],$A273,tblVeriA[HedefMaliyet]),0))</f>
        <v/>
      </c>
      <c r="E273" s="15">
        <f>IF($A273="","",ROUND($D273,2)-ROUND($C273,2))</f>
        <v/>
      </c>
      <c r="F273" s="15">
        <f>IF($A273="","",ABS($E273))</f>
        <v/>
      </c>
      <c r="G273" s="15">
        <f>IF($A273="","",IF($B273=0,"eslesmedi",IF(ROUND($D273,2)=ROUND($C273,2),"eslesti",IF(ABS(ROUND($D273,2)-ROUND($C273,2))&lt;=toleransKurus,"tolerans_icinde","tutar_farki"))))</f>
        <v/>
      </c>
      <c r="H273" s="15">
        <f>IF($A273="","",IF($B273&gt;0,"BIRINCIL",IF(COUNTIF(tblAnahtarB[IkincilB],'ANAHTAR'!$D273)&gt;0,"IKINCIL","YOK")))</f>
        <v/>
      </c>
      <c r="I273" s="15">
        <f>IF($A273="","",'ANAHTAR'!$F273)</f>
        <v/>
      </c>
      <c r="J273" s="15">
        <f>IF(OR($A273="",$D273=0),0,$F273/ABS($D273))</f>
        <v/>
      </c>
      <c r="K273" s="15">
        <f>IF($A273="","",ROUND($D273,2))</f>
        <v/>
      </c>
      <c r="L273" s="15">
        <f>IF($A273="","",ROUND($C273,2))</f>
        <v/>
      </c>
      <c r="M273" s="15">
        <f>IF($A273="","",IF($F273&lt;=toleransKurus,1,0))</f>
        <v/>
      </c>
      <c r="N273" s="15">
        <f>IF($A273="","",IF($F273&gt;kdo_esikFark,1,0))</f>
        <v/>
      </c>
      <c r="O273" s="15">
        <f>IF($A273="","",IFERROR(SUMIF(tblMotor[A_Norm],$A273,tblMotor[SiparisToplam]),0))</f>
        <v/>
      </c>
      <c r="P273" s="15">
        <f>IF($A273="","",$B273+$M273+$N273)</f>
        <v/>
      </c>
    </row>
    <row r="274">
      <c r="A274" s="15">
        <f>IF('ANAHTAR'!$B274="","",'ANAHTAR'!$B274)</f>
        <v/>
      </c>
      <c r="B274" s="15">
        <f>IF($A274="","",COUNTIF(tblAnahtarB[NormB],$A274))</f>
        <v/>
      </c>
      <c r="C274" s="15">
        <f>IF($A274="","",IFERROR(SUMIF(tblMotor[A_Norm],$A274,tblMotor[SiparisToplam]),0))</f>
        <v/>
      </c>
      <c r="D274" s="15">
        <f>IF($A274="","",IFERROR(SUMIF(tblAnahtarA[Norm],$A274,tblVeriA[HedefMaliyet]),0))</f>
        <v/>
      </c>
      <c r="E274" s="15">
        <f>IF($A274="","",ROUND($D274,2)-ROUND($C274,2))</f>
        <v/>
      </c>
      <c r="F274" s="15">
        <f>IF($A274="","",ABS($E274))</f>
        <v/>
      </c>
      <c r="G274" s="15">
        <f>IF($A274="","",IF($B274=0,"eslesmedi",IF(ROUND($D274,2)=ROUND($C274,2),"eslesti",IF(ABS(ROUND($D274,2)-ROUND($C274,2))&lt;=toleransKurus,"tolerans_icinde","tutar_farki"))))</f>
        <v/>
      </c>
      <c r="H274" s="15">
        <f>IF($A274="","",IF($B274&gt;0,"BIRINCIL",IF(COUNTIF(tblAnahtarB[IkincilB],'ANAHTAR'!$D274)&gt;0,"IKINCIL","YOK")))</f>
        <v/>
      </c>
      <c r="I274" s="15">
        <f>IF($A274="","",'ANAHTAR'!$F274)</f>
        <v/>
      </c>
      <c r="J274" s="15">
        <f>IF(OR($A274="",$D274=0),0,$F274/ABS($D274))</f>
        <v/>
      </c>
      <c r="K274" s="15">
        <f>IF($A274="","",ROUND($D274,2))</f>
        <v/>
      </c>
      <c r="L274" s="15">
        <f>IF($A274="","",ROUND($C274,2))</f>
        <v/>
      </c>
      <c r="M274" s="15">
        <f>IF($A274="","",IF($F274&lt;=toleransKurus,1,0))</f>
        <v/>
      </c>
      <c r="N274" s="15">
        <f>IF($A274="","",IF($F274&gt;kdo_esikFark,1,0))</f>
        <v/>
      </c>
      <c r="O274" s="15">
        <f>IF($A274="","",IFERROR(SUMIF(tblMotor[A_Norm],$A274,tblMotor[SiparisToplam]),0))</f>
        <v/>
      </c>
      <c r="P274" s="15">
        <f>IF($A274="","",$B274+$M274+$N274)</f>
        <v/>
      </c>
    </row>
    <row r="275">
      <c r="A275" s="15">
        <f>IF('ANAHTAR'!$B275="","",'ANAHTAR'!$B275)</f>
        <v/>
      </c>
      <c r="B275" s="15">
        <f>IF($A275="","",COUNTIF(tblAnahtarB[NormB],$A275))</f>
        <v/>
      </c>
      <c r="C275" s="15">
        <f>IF($A275="","",IFERROR(SUMIF(tblMotor[A_Norm],$A275,tblMotor[SiparisToplam]),0))</f>
        <v/>
      </c>
      <c r="D275" s="15">
        <f>IF($A275="","",IFERROR(SUMIF(tblAnahtarA[Norm],$A275,tblVeriA[HedefMaliyet]),0))</f>
        <v/>
      </c>
      <c r="E275" s="15">
        <f>IF($A275="","",ROUND($D275,2)-ROUND($C275,2))</f>
        <v/>
      </c>
      <c r="F275" s="15">
        <f>IF($A275="","",ABS($E275))</f>
        <v/>
      </c>
      <c r="G275" s="15">
        <f>IF($A275="","",IF($B275=0,"eslesmedi",IF(ROUND($D275,2)=ROUND($C275,2),"eslesti",IF(ABS(ROUND($D275,2)-ROUND($C275,2))&lt;=toleransKurus,"tolerans_icinde","tutar_farki"))))</f>
        <v/>
      </c>
      <c r="H275" s="15">
        <f>IF($A275="","",IF($B275&gt;0,"BIRINCIL",IF(COUNTIF(tblAnahtarB[IkincilB],'ANAHTAR'!$D275)&gt;0,"IKINCIL","YOK")))</f>
        <v/>
      </c>
      <c r="I275" s="15">
        <f>IF($A275="","",'ANAHTAR'!$F275)</f>
        <v/>
      </c>
      <c r="J275" s="15">
        <f>IF(OR($A275="",$D275=0),0,$F275/ABS($D275))</f>
        <v/>
      </c>
      <c r="K275" s="15">
        <f>IF($A275="","",ROUND($D275,2))</f>
        <v/>
      </c>
      <c r="L275" s="15">
        <f>IF($A275="","",ROUND($C275,2))</f>
        <v/>
      </c>
      <c r="M275" s="15">
        <f>IF($A275="","",IF($F275&lt;=toleransKurus,1,0))</f>
        <v/>
      </c>
      <c r="N275" s="15">
        <f>IF($A275="","",IF($F275&gt;kdo_esikFark,1,0))</f>
        <v/>
      </c>
      <c r="O275" s="15">
        <f>IF($A275="","",IFERROR(SUMIF(tblMotor[A_Norm],$A275,tblMotor[SiparisToplam]),0))</f>
        <v/>
      </c>
      <c r="P275" s="15">
        <f>IF($A275="","",$B275+$M275+$N275)</f>
        <v/>
      </c>
    </row>
    <row r="276">
      <c r="A276" s="15">
        <f>IF('ANAHTAR'!$B276="","",'ANAHTAR'!$B276)</f>
        <v/>
      </c>
      <c r="B276" s="15">
        <f>IF($A276="","",COUNTIF(tblAnahtarB[NormB],$A276))</f>
        <v/>
      </c>
      <c r="C276" s="15">
        <f>IF($A276="","",IFERROR(SUMIF(tblMotor[A_Norm],$A276,tblMotor[SiparisToplam]),0))</f>
        <v/>
      </c>
      <c r="D276" s="15">
        <f>IF($A276="","",IFERROR(SUMIF(tblAnahtarA[Norm],$A276,tblVeriA[HedefMaliyet]),0))</f>
        <v/>
      </c>
      <c r="E276" s="15">
        <f>IF($A276="","",ROUND($D276,2)-ROUND($C276,2))</f>
        <v/>
      </c>
      <c r="F276" s="15">
        <f>IF($A276="","",ABS($E276))</f>
        <v/>
      </c>
      <c r="G276" s="15">
        <f>IF($A276="","",IF($B276=0,"eslesmedi",IF(ROUND($D276,2)=ROUND($C276,2),"eslesti",IF(ABS(ROUND($D276,2)-ROUND($C276,2))&lt;=toleransKurus,"tolerans_icinde","tutar_farki"))))</f>
        <v/>
      </c>
      <c r="H276" s="15">
        <f>IF($A276="","",IF($B276&gt;0,"BIRINCIL",IF(COUNTIF(tblAnahtarB[IkincilB],'ANAHTAR'!$D276)&gt;0,"IKINCIL","YOK")))</f>
        <v/>
      </c>
      <c r="I276" s="15">
        <f>IF($A276="","",'ANAHTAR'!$F276)</f>
        <v/>
      </c>
      <c r="J276" s="15">
        <f>IF(OR($A276="",$D276=0),0,$F276/ABS($D276))</f>
        <v/>
      </c>
      <c r="K276" s="15">
        <f>IF($A276="","",ROUND($D276,2))</f>
        <v/>
      </c>
      <c r="L276" s="15">
        <f>IF($A276="","",ROUND($C276,2))</f>
        <v/>
      </c>
      <c r="M276" s="15">
        <f>IF($A276="","",IF($F276&lt;=toleransKurus,1,0))</f>
        <v/>
      </c>
      <c r="N276" s="15">
        <f>IF($A276="","",IF($F276&gt;kdo_esikFark,1,0))</f>
        <v/>
      </c>
      <c r="O276" s="15">
        <f>IF($A276="","",IFERROR(SUMIF(tblMotor[A_Norm],$A276,tblMotor[SiparisToplam]),0))</f>
        <v/>
      </c>
      <c r="P276" s="15">
        <f>IF($A276="","",$B276+$M276+$N276)</f>
        <v/>
      </c>
    </row>
    <row r="277">
      <c r="A277" s="15">
        <f>IF('ANAHTAR'!$B277="","",'ANAHTAR'!$B277)</f>
        <v/>
      </c>
      <c r="B277" s="15">
        <f>IF($A277="","",COUNTIF(tblAnahtarB[NormB],$A277))</f>
        <v/>
      </c>
      <c r="C277" s="15">
        <f>IF($A277="","",IFERROR(SUMIF(tblMotor[A_Norm],$A277,tblMotor[SiparisToplam]),0))</f>
        <v/>
      </c>
      <c r="D277" s="15">
        <f>IF($A277="","",IFERROR(SUMIF(tblAnahtarA[Norm],$A277,tblVeriA[HedefMaliyet]),0))</f>
        <v/>
      </c>
      <c r="E277" s="15">
        <f>IF($A277="","",ROUND($D277,2)-ROUND($C277,2))</f>
        <v/>
      </c>
      <c r="F277" s="15">
        <f>IF($A277="","",ABS($E277))</f>
        <v/>
      </c>
      <c r="G277" s="15">
        <f>IF($A277="","",IF($B277=0,"eslesmedi",IF(ROUND($D277,2)=ROUND($C277,2),"eslesti",IF(ABS(ROUND($D277,2)-ROUND($C277,2))&lt;=toleransKurus,"tolerans_icinde","tutar_farki"))))</f>
        <v/>
      </c>
      <c r="H277" s="15">
        <f>IF($A277="","",IF($B277&gt;0,"BIRINCIL",IF(COUNTIF(tblAnahtarB[IkincilB],'ANAHTAR'!$D277)&gt;0,"IKINCIL","YOK")))</f>
        <v/>
      </c>
      <c r="I277" s="15">
        <f>IF($A277="","",'ANAHTAR'!$F277)</f>
        <v/>
      </c>
      <c r="J277" s="15">
        <f>IF(OR($A277="",$D277=0),0,$F277/ABS($D277))</f>
        <v/>
      </c>
      <c r="K277" s="15">
        <f>IF($A277="","",ROUND($D277,2))</f>
        <v/>
      </c>
      <c r="L277" s="15">
        <f>IF($A277="","",ROUND($C277,2))</f>
        <v/>
      </c>
      <c r="M277" s="15">
        <f>IF($A277="","",IF($F277&lt;=toleransKurus,1,0))</f>
        <v/>
      </c>
      <c r="N277" s="15">
        <f>IF($A277="","",IF($F277&gt;kdo_esikFark,1,0))</f>
        <v/>
      </c>
      <c r="O277" s="15">
        <f>IF($A277="","",IFERROR(SUMIF(tblMotor[A_Norm],$A277,tblMotor[SiparisToplam]),0))</f>
        <v/>
      </c>
      <c r="P277" s="15">
        <f>IF($A277="","",$B277+$M277+$N277)</f>
        <v/>
      </c>
    </row>
    <row r="278">
      <c r="A278" s="15">
        <f>IF('ANAHTAR'!$B278="","",'ANAHTAR'!$B278)</f>
        <v/>
      </c>
      <c r="B278" s="15">
        <f>IF($A278="","",COUNTIF(tblAnahtarB[NormB],$A278))</f>
        <v/>
      </c>
      <c r="C278" s="15">
        <f>IF($A278="","",IFERROR(SUMIF(tblMotor[A_Norm],$A278,tblMotor[SiparisToplam]),0))</f>
        <v/>
      </c>
      <c r="D278" s="15">
        <f>IF($A278="","",IFERROR(SUMIF(tblAnahtarA[Norm],$A278,tblVeriA[HedefMaliyet]),0))</f>
        <v/>
      </c>
      <c r="E278" s="15">
        <f>IF($A278="","",ROUND($D278,2)-ROUND($C278,2))</f>
        <v/>
      </c>
      <c r="F278" s="15">
        <f>IF($A278="","",ABS($E278))</f>
        <v/>
      </c>
      <c r="G278" s="15">
        <f>IF($A278="","",IF($B278=0,"eslesmedi",IF(ROUND($D278,2)=ROUND($C278,2),"eslesti",IF(ABS(ROUND($D278,2)-ROUND($C278,2))&lt;=toleransKurus,"tolerans_icinde","tutar_farki"))))</f>
        <v/>
      </c>
      <c r="H278" s="15">
        <f>IF($A278="","",IF($B278&gt;0,"BIRINCIL",IF(COUNTIF(tblAnahtarB[IkincilB],'ANAHTAR'!$D278)&gt;0,"IKINCIL","YOK")))</f>
        <v/>
      </c>
      <c r="I278" s="15">
        <f>IF($A278="","",'ANAHTAR'!$F278)</f>
        <v/>
      </c>
      <c r="J278" s="15">
        <f>IF(OR($A278="",$D278=0),0,$F278/ABS($D278))</f>
        <v/>
      </c>
      <c r="K278" s="15">
        <f>IF($A278="","",ROUND($D278,2))</f>
        <v/>
      </c>
      <c r="L278" s="15">
        <f>IF($A278="","",ROUND($C278,2))</f>
        <v/>
      </c>
      <c r="M278" s="15">
        <f>IF($A278="","",IF($F278&lt;=toleransKurus,1,0))</f>
        <v/>
      </c>
      <c r="N278" s="15">
        <f>IF($A278="","",IF($F278&gt;kdo_esikFark,1,0))</f>
        <v/>
      </c>
      <c r="O278" s="15">
        <f>IF($A278="","",IFERROR(SUMIF(tblMotor[A_Norm],$A278,tblMotor[SiparisToplam]),0))</f>
        <v/>
      </c>
      <c r="P278" s="15">
        <f>IF($A278="","",$B278+$M278+$N278)</f>
        <v/>
      </c>
    </row>
    <row r="279">
      <c r="A279" s="15">
        <f>IF('ANAHTAR'!$B279="","",'ANAHTAR'!$B279)</f>
        <v/>
      </c>
      <c r="B279" s="15">
        <f>IF($A279="","",COUNTIF(tblAnahtarB[NormB],$A279))</f>
        <v/>
      </c>
      <c r="C279" s="15">
        <f>IF($A279="","",IFERROR(SUMIF(tblMotor[A_Norm],$A279,tblMotor[SiparisToplam]),0))</f>
        <v/>
      </c>
      <c r="D279" s="15">
        <f>IF($A279="","",IFERROR(SUMIF(tblAnahtarA[Norm],$A279,tblVeriA[HedefMaliyet]),0))</f>
        <v/>
      </c>
      <c r="E279" s="15">
        <f>IF($A279="","",ROUND($D279,2)-ROUND($C279,2))</f>
        <v/>
      </c>
      <c r="F279" s="15">
        <f>IF($A279="","",ABS($E279))</f>
        <v/>
      </c>
      <c r="G279" s="15">
        <f>IF($A279="","",IF($B279=0,"eslesmedi",IF(ROUND($D279,2)=ROUND($C279,2),"eslesti",IF(ABS(ROUND($D279,2)-ROUND($C279,2))&lt;=toleransKurus,"tolerans_icinde","tutar_farki"))))</f>
        <v/>
      </c>
      <c r="H279" s="15">
        <f>IF($A279="","",IF($B279&gt;0,"BIRINCIL",IF(COUNTIF(tblAnahtarB[IkincilB],'ANAHTAR'!$D279)&gt;0,"IKINCIL","YOK")))</f>
        <v/>
      </c>
      <c r="I279" s="15">
        <f>IF($A279="","",'ANAHTAR'!$F279)</f>
        <v/>
      </c>
      <c r="J279" s="15">
        <f>IF(OR($A279="",$D279=0),0,$F279/ABS($D279))</f>
        <v/>
      </c>
      <c r="K279" s="15">
        <f>IF($A279="","",ROUND($D279,2))</f>
        <v/>
      </c>
      <c r="L279" s="15">
        <f>IF($A279="","",ROUND($C279,2))</f>
        <v/>
      </c>
      <c r="M279" s="15">
        <f>IF($A279="","",IF($F279&lt;=toleransKurus,1,0))</f>
        <v/>
      </c>
      <c r="N279" s="15">
        <f>IF($A279="","",IF($F279&gt;kdo_esikFark,1,0))</f>
        <v/>
      </c>
      <c r="O279" s="15">
        <f>IF($A279="","",IFERROR(SUMIF(tblMotor[A_Norm],$A279,tblMotor[SiparisToplam]),0))</f>
        <v/>
      </c>
      <c r="P279" s="15">
        <f>IF($A279="","",$B279+$M279+$N279)</f>
        <v/>
      </c>
    </row>
    <row r="280">
      <c r="A280" s="15">
        <f>IF('ANAHTAR'!$B280="","",'ANAHTAR'!$B280)</f>
        <v/>
      </c>
      <c r="B280" s="15">
        <f>IF($A280="","",COUNTIF(tblAnahtarB[NormB],$A280))</f>
        <v/>
      </c>
      <c r="C280" s="15">
        <f>IF($A280="","",IFERROR(SUMIF(tblMotor[A_Norm],$A280,tblMotor[SiparisToplam]),0))</f>
        <v/>
      </c>
      <c r="D280" s="15">
        <f>IF($A280="","",IFERROR(SUMIF(tblAnahtarA[Norm],$A280,tblVeriA[HedefMaliyet]),0))</f>
        <v/>
      </c>
      <c r="E280" s="15">
        <f>IF($A280="","",ROUND($D280,2)-ROUND($C280,2))</f>
        <v/>
      </c>
      <c r="F280" s="15">
        <f>IF($A280="","",ABS($E280))</f>
        <v/>
      </c>
      <c r="G280" s="15">
        <f>IF($A280="","",IF($B280=0,"eslesmedi",IF(ROUND($D280,2)=ROUND($C280,2),"eslesti",IF(ABS(ROUND($D280,2)-ROUND($C280,2))&lt;=toleransKurus,"tolerans_icinde","tutar_farki"))))</f>
        <v/>
      </c>
      <c r="H280" s="15">
        <f>IF($A280="","",IF($B280&gt;0,"BIRINCIL",IF(COUNTIF(tblAnahtarB[IkincilB],'ANAHTAR'!$D280)&gt;0,"IKINCIL","YOK")))</f>
        <v/>
      </c>
      <c r="I280" s="15">
        <f>IF($A280="","",'ANAHTAR'!$F280)</f>
        <v/>
      </c>
      <c r="J280" s="15">
        <f>IF(OR($A280="",$D280=0),0,$F280/ABS($D280))</f>
        <v/>
      </c>
      <c r="K280" s="15">
        <f>IF($A280="","",ROUND($D280,2))</f>
        <v/>
      </c>
      <c r="L280" s="15">
        <f>IF($A280="","",ROUND($C280,2))</f>
        <v/>
      </c>
      <c r="M280" s="15">
        <f>IF($A280="","",IF($F280&lt;=toleransKurus,1,0))</f>
        <v/>
      </c>
      <c r="N280" s="15">
        <f>IF($A280="","",IF($F280&gt;kdo_esikFark,1,0))</f>
        <v/>
      </c>
      <c r="O280" s="15">
        <f>IF($A280="","",IFERROR(SUMIF(tblMotor[A_Norm],$A280,tblMotor[SiparisToplam]),0))</f>
        <v/>
      </c>
      <c r="P280" s="15">
        <f>IF($A280="","",$B280+$M280+$N280)</f>
        <v/>
      </c>
    </row>
    <row r="281">
      <c r="A281" s="15">
        <f>IF('ANAHTAR'!$B281="","",'ANAHTAR'!$B281)</f>
        <v/>
      </c>
      <c r="B281" s="15">
        <f>IF($A281="","",COUNTIF(tblAnahtarB[NormB],$A281))</f>
        <v/>
      </c>
      <c r="C281" s="15">
        <f>IF($A281="","",IFERROR(SUMIF(tblMotor[A_Norm],$A281,tblMotor[SiparisToplam]),0))</f>
        <v/>
      </c>
      <c r="D281" s="15">
        <f>IF($A281="","",IFERROR(SUMIF(tblAnahtarA[Norm],$A281,tblVeriA[HedefMaliyet]),0))</f>
        <v/>
      </c>
      <c r="E281" s="15">
        <f>IF($A281="","",ROUND($D281,2)-ROUND($C281,2))</f>
        <v/>
      </c>
      <c r="F281" s="15">
        <f>IF($A281="","",ABS($E281))</f>
        <v/>
      </c>
      <c r="G281" s="15">
        <f>IF($A281="","",IF($B281=0,"eslesmedi",IF(ROUND($D281,2)=ROUND($C281,2),"eslesti",IF(ABS(ROUND($D281,2)-ROUND($C281,2))&lt;=toleransKurus,"tolerans_icinde","tutar_farki"))))</f>
        <v/>
      </c>
      <c r="H281" s="15">
        <f>IF($A281="","",IF($B281&gt;0,"BIRINCIL",IF(COUNTIF(tblAnahtarB[IkincilB],'ANAHTAR'!$D281)&gt;0,"IKINCIL","YOK")))</f>
        <v/>
      </c>
      <c r="I281" s="15">
        <f>IF($A281="","",'ANAHTAR'!$F281)</f>
        <v/>
      </c>
      <c r="J281" s="15">
        <f>IF(OR($A281="",$D281=0),0,$F281/ABS($D281))</f>
        <v/>
      </c>
      <c r="K281" s="15">
        <f>IF($A281="","",ROUND($D281,2))</f>
        <v/>
      </c>
      <c r="L281" s="15">
        <f>IF($A281="","",ROUND($C281,2))</f>
        <v/>
      </c>
      <c r="M281" s="15">
        <f>IF($A281="","",IF($F281&lt;=toleransKurus,1,0))</f>
        <v/>
      </c>
      <c r="N281" s="15">
        <f>IF($A281="","",IF($F281&gt;kdo_esikFark,1,0))</f>
        <v/>
      </c>
      <c r="O281" s="15">
        <f>IF($A281="","",IFERROR(SUMIF(tblMotor[A_Norm],$A281,tblMotor[SiparisToplam]),0))</f>
        <v/>
      </c>
      <c r="P281" s="15">
        <f>IF($A281="","",$B281+$M281+$N281)</f>
        <v/>
      </c>
    </row>
    <row r="282">
      <c r="A282" s="15">
        <f>IF('ANAHTAR'!$B282="","",'ANAHTAR'!$B282)</f>
        <v/>
      </c>
      <c r="B282" s="15">
        <f>IF($A282="","",COUNTIF(tblAnahtarB[NormB],$A282))</f>
        <v/>
      </c>
      <c r="C282" s="15">
        <f>IF($A282="","",IFERROR(SUMIF(tblMotor[A_Norm],$A282,tblMotor[SiparisToplam]),0))</f>
        <v/>
      </c>
      <c r="D282" s="15">
        <f>IF($A282="","",IFERROR(SUMIF(tblAnahtarA[Norm],$A282,tblVeriA[HedefMaliyet]),0))</f>
        <v/>
      </c>
      <c r="E282" s="15">
        <f>IF($A282="","",ROUND($D282,2)-ROUND($C282,2))</f>
        <v/>
      </c>
      <c r="F282" s="15">
        <f>IF($A282="","",ABS($E282))</f>
        <v/>
      </c>
      <c r="G282" s="15">
        <f>IF($A282="","",IF($B282=0,"eslesmedi",IF(ROUND($D282,2)=ROUND($C282,2),"eslesti",IF(ABS(ROUND($D282,2)-ROUND($C282,2))&lt;=toleransKurus,"tolerans_icinde","tutar_farki"))))</f>
        <v/>
      </c>
      <c r="H282" s="15">
        <f>IF($A282="","",IF($B282&gt;0,"BIRINCIL",IF(COUNTIF(tblAnahtarB[IkincilB],'ANAHTAR'!$D282)&gt;0,"IKINCIL","YOK")))</f>
        <v/>
      </c>
      <c r="I282" s="15">
        <f>IF($A282="","",'ANAHTAR'!$F282)</f>
        <v/>
      </c>
      <c r="J282" s="15">
        <f>IF(OR($A282="",$D282=0),0,$F282/ABS($D282))</f>
        <v/>
      </c>
      <c r="K282" s="15">
        <f>IF($A282="","",ROUND($D282,2))</f>
        <v/>
      </c>
      <c r="L282" s="15">
        <f>IF($A282="","",ROUND($C282,2))</f>
        <v/>
      </c>
      <c r="M282" s="15">
        <f>IF($A282="","",IF($F282&lt;=toleransKurus,1,0))</f>
        <v/>
      </c>
      <c r="N282" s="15">
        <f>IF($A282="","",IF($F282&gt;kdo_esikFark,1,0))</f>
        <v/>
      </c>
      <c r="O282" s="15">
        <f>IF($A282="","",IFERROR(SUMIF(tblMotor[A_Norm],$A282,tblMotor[SiparisToplam]),0))</f>
        <v/>
      </c>
      <c r="P282" s="15">
        <f>IF($A282="","",$B282+$M282+$N282)</f>
        <v/>
      </c>
    </row>
    <row r="283">
      <c r="A283" s="15">
        <f>IF('ANAHTAR'!$B283="","",'ANAHTAR'!$B283)</f>
        <v/>
      </c>
      <c r="B283" s="15">
        <f>IF($A283="","",COUNTIF(tblAnahtarB[NormB],$A283))</f>
        <v/>
      </c>
      <c r="C283" s="15">
        <f>IF($A283="","",IFERROR(SUMIF(tblMotor[A_Norm],$A283,tblMotor[SiparisToplam]),0))</f>
        <v/>
      </c>
      <c r="D283" s="15">
        <f>IF($A283="","",IFERROR(SUMIF(tblAnahtarA[Norm],$A283,tblVeriA[HedefMaliyet]),0))</f>
        <v/>
      </c>
      <c r="E283" s="15">
        <f>IF($A283="","",ROUND($D283,2)-ROUND($C283,2))</f>
        <v/>
      </c>
      <c r="F283" s="15">
        <f>IF($A283="","",ABS($E283))</f>
        <v/>
      </c>
      <c r="G283" s="15">
        <f>IF($A283="","",IF($B283=0,"eslesmedi",IF(ROUND($D283,2)=ROUND($C283,2),"eslesti",IF(ABS(ROUND($D283,2)-ROUND($C283,2))&lt;=toleransKurus,"tolerans_icinde","tutar_farki"))))</f>
        <v/>
      </c>
      <c r="H283" s="15">
        <f>IF($A283="","",IF($B283&gt;0,"BIRINCIL",IF(COUNTIF(tblAnahtarB[IkincilB],'ANAHTAR'!$D283)&gt;0,"IKINCIL","YOK")))</f>
        <v/>
      </c>
      <c r="I283" s="15">
        <f>IF($A283="","",'ANAHTAR'!$F283)</f>
        <v/>
      </c>
      <c r="J283" s="15">
        <f>IF(OR($A283="",$D283=0),0,$F283/ABS($D283))</f>
        <v/>
      </c>
      <c r="K283" s="15">
        <f>IF($A283="","",ROUND($D283,2))</f>
        <v/>
      </c>
      <c r="L283" s="15">
        <f>IF($A283="","",ROUND($C283,2))</f>
        <v/>
      </c>
      <c r="M283" s="15">
        <f>IF($A283="","",IF($F283&lt;=toleransKurus,1,0))</f>
        <v/>
      </c>
      <c r="N283" s="15">
        <f>IF($A283="","",IF($F283&gt;kdo_esikFark,1,0))</f>
        <v/>
      </c>
      <c r="O283" s="15">
        <f>IF($A283="","",IFERROR(SUMIF(tblMotor[A_Norm],$A283,tblMotor[SiparisToplam]),0))</f>
        <v/>
      </c>
      <c r="P283" s="15">
        <f>IF($A283="","",$B283+$M283+$N283)</f>
        <v/>
      </c>
    </row>
    <row r="284">
      <c r="A284" s="15">
        <f>IF('ANAHTAR'!$B284="","",'ANAHTAR'!$B284)</f>
        <v/>
      </c>
      <c r="B284" s="15">
        <f>IF($A284="","",COUNTIF(tblAnahtarB[NormB],$A284))</f>
        <v/>
      </c>
      <c r="C284" s="15">
        <f>IF($A284="","",IFERROR(SUMIF(tblMotor[A_Norm],$A284,tblMotor[SiparisToplam]),0))</f>
        <v/>
      </c>
      <c r="D284" s="15">
        <f>IF($A284="","",IFERROR(SUMIF(tblAnahtarA[Norm],$A284,tblVeriA[HedefMaliyet]),0))</f>
        <v/>
      </c>
      <c r="E284" s="15">
        <f>IF($A284="","",ROUND($D284,2)-ROUND($C284,2))</f>
        <v/>
      </c>
      <c r="F284" s="15">
        <f>IF($A284="","",ABS($E284))</f>
        <v/>
      </c>
      <c r="G284" s="15">
        <f>IF($A284="","",IF($B284=0,"eslesmedi",IF(ROUND($D284,2)=ROUND($C284,2),"eslesti",IF(ABS(ROUND($D284,2)-ROUND($C284,2))&lt;=toleransKurus,"tolerans_icinde","tutar_farki"))))</f>
        <v/>
      </c>
      <c r="H284" s="15">
        <f>IF($A284="","",IF($B284&gt;0,"BIRINCIL",IF(COUNTIF(tblAnahtarB[IkincilB],'ANAHTAR'!$D284)&gt;0,"IKINCIL","YOK")))</f>
        <v/>
      </c>
      <c r="I284" s="15">
        <f>IF($A284="","",'ANAHTAR'!$F284)</f>
        <v/>
      </c>
      <c r="J284" s="15">
        <f>IF(OR($A284="",$D284=0),0,$F284/ABS($D284))</f>
        <v/>
      </c>
      <c r="K284" s="15">
        <f>IF($A284="","",ROUND($D284,2))</f>
        <v/>
      </c>
      <c r="L284" s="15">
        <f>IF($A284="","",ROUND($C284,2))</f>
        <v/>
      </c>
      <c r="M284" s="15">
        <f>IF($A284="","",IF($F284&lt;=toleransKurus,1,0))</f>
        <v/>
      </c>
      <c r="N284" s="15">
        <f>IF($A284="","",IF($F284&gt;kdo_esikFark,1,0))</f>
        <v/>
      </c>
      <c r="O284" s="15">
        <f>IF($A284="","",IFERROR(SUMIF(tblMotor[A_Norm],$A284,tblMotor[SiparisToplam]),0))</f>
        <v/>
      </c>
      <c r="P284" s="15">
        <f>IF($A284="","",$B284+$M284+$N284)</f>
        <v/>
      </c>
    </row>
    <row r="285">
      <c r="A285" s="15">
        <f>IF('ANAHTAR'!$B285="","",'ANAHTAR'!$B285)</f>
        <v/>
      </c>
      <c r="B285" s="15">
        <f>IF($A285="","",COUNTIF(tblAnahtarB[NormB],$A285))</f>
        <v/>
      </c>
      <c r="C285" s="15">
        <f>IF($A285="","",IFERROR(SUMIF(tblMotor[A_Norm],$A285,tblMotor[SiparisToplam]),0))</f>
        <v/>
      </c>
      <c r="D285" s="15">
        <f>IF($A285="","",IFERROR(SUMIF(tblAnahtarA[Norm],$A285,tblVeriA[HedefMaliyet]),0))</f>
        <v/>
      </c>
      <c r="E285" s="15">
        <f>IF($A285="","",ROUND($D285,2)-ROUND($C285,2))</f>
        <v/>
      </c>
      <c r="F285" s="15">
        <f>IF($A285="","",ABS($E285))</f>
        <v/>
      </c>
      <c r="G285" s="15">
        <f>IF($A285="","",IF($B285=0,"eslesmedi",IF(ROUND($D285,2)=ROUND($C285,2),"eslesti",IF(ABS(ROUND($D285,2)-ROUND($C285,2))&lt;=toleransKurus,"tolerans_icinde","tutar_farki"))))</f>
        <v/>
      </c>
      <c r="H285" s="15">
        <f>IF($A285="","",IF($B285&gt;0,"BIRINCIL",IF(COUNTIF(tblAnahtarB[IkincilB],'ANAHTAR'!$D285)&gt;0,"IKINCIL","YOK")))</f>
        <v/>
      </c>
      <c r="I285" s="15">
        <f>IF($A285="","",'ANAHTAR'!$F285)</f>
        <v/>
      </c>
      <c r="J285" s="15">
        <f>IF(OR($A285="",$D285=0),0,$F285/ABS($D285))</f>
        <v/>
      </c>
      <c r="K285" s="15">
        <f>IF($A285="","",ROUND($D285,2))</f>
        <v/>
      </c>
      <c r="L285" s="15">
        <f>IF($A285="","",ROUND($C285,2))</f>
        <v/>
      </c>
      <c r="M285" s="15">
        <f>IF($A285="","",IF($F285&lt;=toleransKurus,1,0))</f>
        <v/>
      </c>
      <c r="N285" s="15">
        <f>IF($A285="","",IF($F285&gt;kdo_esikFark,1,0))</f>
        <v/>
      </c>
      <c r="O285" s="15">
        <f>IF($A285="","",IFERROR(SUMIF(tblMotor[A_Norm],$A285,tblMotor[SiparisToplam]),0))</f>
        <v/>
      </c>
      <c r="P285" s="15">
        <f>IF($A285="","",$B285+$M285+$N285)</f>
        <v/>
      </c>
    </row>
    <row r="286">
      <c r="A286" s="15">
        <f>IF('ANAHTAR'!$B286="","",'ANAHTAR'!$B286)</f>
        <v/>
      </c>
      <c r="B286" s="15">
        <f>IF($A286="","",COUNTIF(tblAnahtarB[NormB],$A286))</f>
        <v/>
      </c>
      <c r="C286" s="15">
        <f>IF($A286="","",IFERROR(SUMIF(tblMotor[A_Norm],$A286,tblMotor[SiparisToplam]),0))</f>
        <v/>
      </c>
      <c r="D286" s="15">
        <f>IF($A286="","",IFERROR(SUMIF(tblAnahtarA[Norm],$A286,tblVeriA[HedefMaliyet]),0))</f>
        <v/>
      </c>
      <c r="E286" s="15">
        <f>IF($A286="","",ROUND($D286,2)-ROUND($C286,2))</f>
        <v/>
      </c>
      <c r="F286" s="15">
        <f>IF($A286="","",ABS($E286))</f>
        <v/>
      </c>
      <c r="G286" s="15">
        <f>IF($A286="","",IF($B286=0,"eslesmedi",IF(ROUND($D286,2)=ROUND($C286,2),"eslesti",IF(ABS(ROUND($D286,2)-ROUND($C286,2))&lt;=toleransKurus,"tolerans_icinde","tutar_farki"))))</f>
        <v/>
      </c>
      <c r="H286" s="15">
        <f>IF($A286="","",IF($B286&gt;0,"BIRINCIL",IF(COUNTIF(tblAnahtarB[IkincilB],'ANAHTAR'!$D286)&gt;0,"IKINCIL","YOK")))</f>
        <v/>
      </c>
      <c r="I286" s="15">
        <f>IF($A286="","",'ANAHTAR'!$F286)</f>
        <v/>
      </c>
      <c r="J286" s="15">
        <f>IF(OR($A286="",$D286=0),0,$F286/ABS($D286))</f>
        <v/>
      </c>
      <c r="K286" s="15">
        <f>IF($A286="","",ROUND($D286,2))</f>
        <v/>
      </c>
      <c r="L286" s="15">
        <f>IF($A286="","",ROUND($C286,2))</f>
        <v/>
      </c>
      <c r="M286" s="15">
        <f>IF($A286="","",IF($F286&lt;=toleransKurus,1,0))</f>
        <v/>
      </c>
      <c r="N286" s="15">
        <f>IF($A286="","",IF($F286&gt;kdo_esikFark,1,0))</f>
        <v/>
      </c>
      <c r="O286" s="15">
        <f>IF($A286="","",IFERROR(SUMIF(tblMotor[A_Norm],$A286,tblMotor[SiparisToplam]),0))</f>
        <v/>
      </c>
      <c r="P286" s="15">
        <f>IF($A286="","",$B286+$M286+$N286)</f>
        <v/>
      </c>
    </row>
    <row r="287">
      <c r="A287" s="15">
        <f>IF('ANAHTAR'!$B287="","",'ANAHTAR'!$B287)</f>
        <v/>
      </c>
      <c r="B287" s="15">
        <f>IF($A287="","",COUNTIF(tblAnahtarB[NormB],$A287))</f>
        <v/>
      </c>
      <c r="C287" s="15">
        <f>IF($A287="","",IFERROR(SUMIF(tblMotor[A_Norm],$A287,tblMotor[SiparisToplam]),0))</f>
        <v/>
      </c>
      <c r="D287" s="15">
        <f>IF($A287="","",IFERROR(SUMIF(tblAnahtarA[Norm],$A287,tblVeriA[HedefMaliyet]),0))</f>
        <v/>
      </c>
      <c r="E287" s="15">
        <f>IF($A287="","",ROUND($D287,2)-ROUND($C287,2))</f>
        <v/>
      </c>
      <c r="F287" s="15">
        <f>IF($A287="","",ABS($E287))</f>
        <v/>
      </c>
      <c r="G287" s="15">
        <f>IF($A287="","",IF($B287=0,"eslesmedi",IF(ROUND($D287,2)=ROUND($C287,2),"eslesti",IF(ABS(ROUND($D287,2)-ROUND($C287,2))&lt;=toleransKurus,"tolerans_icinde","tutar_farki"))))</f>
        <v/>
      </c>
      <c r="H287" s="15">
        <f>IF($A287="","",IF($B287&gt;0,"BIRINCIL",IF(COUNTIF(tblAnahtarB[IkincilB],'ANAHTAR'!$D287)&gt;0,"IKINCIL","YOK")))</f>
        <v/>
      </c>
      <c r="I287" s="15">
        <f>IF($A287="","",'ANAHTAR'!$F287)</f>
        <v/>
      </c>
      <c r="J287" s="15">
        <f>IF(OR($A287="",$D287=0),0,$F287/ABS($D287))</f>
        <v/>
      </c>
      <c r="K287" s="15">
        <f>IF($A287="","",ROUND($D287,2))</f>
        <v/>
      </c>
      <c r="L287" s="15">
        <f>IF($A287="","",ROUND($C287,2))</f>
        <v/>
      </c>
      <c r="M287" s="15">
        <f>IF($A287="","",IF($F287&lt;=toleransKurus,1,0))</f>
        <v/>
      </c>
      <c r="N287" s="15">
        <f>IF($A287="","",IF($F287&gt;kdo_esikFark,1,0))</f>
        <v/>
      </c>
      <c r="O287" s="15">
        <f>IF($A287="","",IFERROR(SUMIF(tblMotor[A_Norm],$A287,tblMotor[SiparisToplam]),0))</f>
        <v/>
      </c>
      <c r="P287" s="15">
        <f>IF($A287="","",$B287+$M287+$N287)</f>
        <v/>
      </c>
    </row>
    <row r="288">
      <c r="A288" s="15">
        <f>IF('ANAHTAR'!$B288="","",'ANAHTAR'!$B288)</f>
        <v/>
      </c>
      <c r="B288" s="15">
        <f>IF($A288="","",COUNTIF(tblAnahtarB[NormB],$A288))</f>
        <v/>
      </c>
      <c r="C288" s="15">
        <f>IF($A288="","",IFERROR(SUMIF(tblMotor[A_Norm],$A288,tblMotor[SiparisToplam]),0))</f>
        <v/>
      </c>
      <c r="D288" s="15">
        <f>IF($A288="","",IFERROR(SUMIF(tblAnahtarA[Norm],$A288,tblVeriA[HedefMaliyet]),0))</f>
        <v/>
      </c>
      <c r="E288" s="15">
        <f>IF($A288="","",ROUND($D288,2)-ROUND($C288,2))</f>
        <v/>
      </c>
      <c r="F288" s="15">
        <f>IF($A288="","",ABS($E288))</f>
        <v/>
      </c>
      <c r="G288" s="15">
        <f>IF($A288="","",IF($B288=0,"eslesmedi",IF(ROUND($D288,2)=ROUND($C288,2),"eslesti",IF(ABS(ROUND($D288,2)-ROUND($C288,2))&lt;=toleransKurus,"tolerans_icinde","tutar_farki"))))</f>
        <v/>
      </c>
      <c r="H288" s="15">
        <f>IF($A288="","",IF($B288&gt;0,"BIRINCIL",IF(COUNTIF(tblAnahtarB[IkincilB],'ANAHTAR'!$D288)&gt;0,"IKINCIL","YOK")))</f>
        <v/>
      </c>
      <c r="I288" s="15">
        <f>IF($A288="","",'ANAHTAR'!$F288)</f>
        <v/>
      </c>
      <c r="J288" s="15">
        <f>IF(OR($A288="",$D288=0),0,$F288/ABS($D288))</f>
        <v/>
      </c>
      <c r="K288" s="15">
        <f>IF($A288="","",ROUND($D288,2))</f>
        <v/>
      </c>
      <c r="L288" s="15">
        <f>IF($A288="","",ROUND($C288,2))</f>
        <v/>
      </c>
      <c r="M288" s="15">
        <f>IF($A288="","",IF($F288&lt;=toleransKurus,1,0))</f>
        <v/>
      </c>
      <c r="N288" s="15">
        <f>IF($A288="","",IF($F288&gt;kdo_esikFark,1,0))</f>
        <v/>
      </c>
      <c r="O288" s="15">
        <f>IF($A288="","",IFERROR(SUMIF(tblMotor[A_Norm],$A288,tblMotor[SiparisToplam]),0))</f>
        <v/>
      </c>
      <c r="P288" s="15">
        <f>IF($A288="","",$B288+$M288+$N288)</f>
        <v/>
      </c>
    </row>
    <row r="289">
      <c r="A289" s="15">
        <f>IF('ANAHTAR'!$B289="","",'ANAHTAR'!$B289)</f>
        <v/>
      </c>
      <c r="B289" s="15">
        <f>IF($A289="","",COUNTIF(tblAnahtarB[NormB],$A289))</f>
        <v/>
      </c>
      <c r="C289" s="15">
        <f>IF($A289="","",IFERROR(SUMIF(tblMotor[A_Norm],$A289,tblMotor[SiparisToplam]),0))</f>
        <v/>
      </c>
      <c r="D289" s="15">
        <f>IF($A289="","",IFERROR(SUMIF(tblAnahtarA[Norm],$A289,tblVeriA[HedefMaliyet]),0))</f>
        <v/>
      </c>
      <c r="E289" s="15">
        <f>IF($A289="","",ROUND($D289,2)-ROUND($C289,2))</f>
        <v/>
      </c>
      <c r="F289" s="15">
        <f>IF($A289="","",ABS($E289))</f>
        <v/>
      </c>
      <c r="G289" s="15">
        <f>IF($A289="","",IF($B289=0,"eslesmedi",IF(ROUND($D289,2)=ROUND($C289,2),"eslesti",IF(ABS(ROUND($D289,2)-ROUND($C289,2))&lt;=toleransKurus,"tolerans_icinde","tutar_farki"))))</f>
        <v/>
      </c>
      <c r="H289" s="15">
        <f>IF($A289="","",IF($B289&gt;0,"BIRINCIL",IF(COUNTIF(tblAnahtarB[IkincilB],'ANAHTAR'!$D289)&gt;0,"IKINCIL","YOK")))</f>
        <v/>
      </c>
      <c r="I289" s="15">
        <f>IF($A289="","",'ANAHTAR'!$F289)</f>
        <v/>
      </c>
      <c r="J289" s="15">
        <f>IF(OR($A289="",$D289=0),0,$F289/ABS($D289))</f>
        <v/>
      </c>
      <c r="K289" s="15">
        <f>IF($A289="","",ROUND($D289,2))</f>
        <v/>
      </c>
      <c r="L289" s="15">
        <f>IF($A289="","",ROUND($C289,2))</f>
        <v/>
      </c>
      <c r="M289" s="15">
        <f>IF($A289="","",IF($F289&lt;=toleransKurus,1,0))</f>
        <v/>
      </c>
      <c r="N289" s="15">
        <f>IF($A289="","",IF($F289&gt;kdo_esikFark,1,0))</f>
        <v/>
      </c>
      <c r="O289" s="15">
        <f>IF($A289="","",IFERROR(SUMIF(tblMotor[A_Norm],$A289,tblMotor[SiparisToplam]),0))</f>
        <v/>
      </c>
      <c r="P289" s="15">
        <f>IF($A289="","",$B289+$M289+$N289)</f>
        <v/>
      </c>
    </row>
    <row r="290">
      <c r="A290" s="15">
        <f>IF('ANAHTAR'!$B290="","",'ANAHTAR'!$B290)</f>
        <v/>
      </c>
      <c r="B290" s="15">
        <f>IF($A290="","",COUNTIF(tblAnahtarB[NormB],$A290))</f>
        <v/>
      </c>
      <c r="C290" s="15">
        <f>IF($A290="","",IFERROR(SUMIF(tblMotor[A_Norm],$A290,tblMotor[SiparisToplam]),0))</f>
        <v/>
      </c>
      <c r="D290" s="15">
        <f>IF($A290="","",IFERROR(SUMIF(tblAnahtarA[Norm],$A290,tblVeriA[HedefMaliyet]),0))</f>
        <v/>
      </c>
      <c r="E290" s="15">
        <f>IF($A290="","",ROUND($D290,2)-ROUND($C290,2))</f>
        <v/>
      </c>
      <c r="F290" s="15">
        <f>IF($A290="","",ABS($E290))</f>
        <v/>
      </c>
      <c r="G290" s="15">
        <f>IF($A290="","",IF($B290=0,"eslesmedi",IF(ROUND($D290,2)=ROUND($C290,2),"eslesti",IF(ABS(ROUND($D290,2)-ROUND($C290,2))&lt;=toleransKurus,"tolerans_icinde","tutar_farki"))))</f>
        <v/>
      </c>
      <c r="H290" s="15">
        <f>IF($A290="","",IF($B290&gt;0,"BIRINCIL",IF(COUNTIF(tblAnahtarB[IkincilB],'ANAHTAR'!$D290)&gt;0,"IKINCIL","YOK")))</f>
        <v/>
      </c>
      <c r="I290" s="15">
        <f>IF($A290="","",'ANAHTAR'!$F290)</f>
        <v/>
      </c>
      <c r="J290" s="15">
        <f>IF(OR($A290="",$D290=0),0,$F290/ABS($D290))</f>
        <v/>
      </c>
      <c r="K290" s="15">
        <f>IF($A290="","",ROUND($D290,2))</f>
        <v/>
      </c>
      <c r="L290" s="15">
        <f>IF($A290="","",ROUND($C290,2))</f>
        <v/>
      </c>
      <c r="M290" s="15">
        <f>IF($A290="","",IF($F290&lt;=toleransKurus,1,0))</f>
        <v/>
      </c>
      <c r="N290" s="15">
        <f>IF($A290="","",IF($F290&gt;kdo_esikFark,1,0))</f>
        <v/>
      </c>
      <c r="O290" s="15">
        <f>IF($A290="","",IFERROR(SUMIF(tblMotor[A_Norm],$A290,tblMotor[SiparisToplam]),0))</f>
        <v/>
      </c>
      <c r="P290" s="15">
        <f>IF($A290="","",$B290+$M290+$N290)</f>
        <v/>
      </c>
    </row>
    <row r="291">
      <c r="A291" s="15">
        <f>IF('ANAHTAR'!$B291="","",'ANAHTAR'!$B291)</f>
        <v/>
      </c>
      <c r="B291" s="15">
        <f>IF($A291="","",COUNTIF(tblAnahtarB[NormB],$A291))</f>
        <v/>
      </c>
      <c r="C291" s="15">
        <f>IF($A291="","",IFERROR(SUMIF(tblMotor[A_Norm],$A291,tblMotor[SiparisToplam]),0))</f>
        <v/>
      </c>
      <c r="D291" s="15">
        <f>IF($A291="","",IFERROR(SUMIF(tblAnahtarA[Norm],$A291,tblVeriA[HedefMaliyet]),0))</f>
        <v/>
      </c>
      <c r="E291" s="15">
        <f>IF($A291="","",ROUND($D291,2)-ROUND($C291,2))</f>
        <v/>
      </c>
      <c r="F291" s="15">
        <f>IF($A291="","",ABS($E291))</f>
        <v/>
      </c>
      <c r="G291" s="15">
        <f>IF($A291="","",IF($B291=0,"eslesmedi",IF(ROUND($D291,2)=ROUND($C291,2),"eslesti",IF(ABS(ROUND($D291,2)-ROUND($C291,2))&lt;=toleransKurus,"tolerans_icinde","tutar_farki"))))</f>
        <v/>
      </c>
      <c r="H291" s="15">
        <f>IF($A291="","",IF($B291&gt;0,"BIRINCIL",IF(COUNTIF(tblAnahtarB[IkincilB],'ANAHTAR'!$D291)&gt;0,"IKINCIL","YOK")))</f>
        <v/>
      </c>
      <c r="I291" s="15">
        <f>IF($A291="","",'ANAHTAR'!$F291)</f>
        <v/>
      </c>
      <c r="J291" s="15">
        <f>IF(OR($A291="",$D291=0),0,$F291/ABS($D291))</f>
        <v/>
      </c>
      <c r="K291" s="15">
        <f>IF($A291="","",ROUND($D291,2))</f>
        <v/>
      </c>
      <c r="L291" s="15">
        <f>IF($A291="","",ROUND($C291,2))</f>
        <v/>
      </c>
      <c r="M291" s="15">
        <f>IF($A291="","",IF($F291&lt;=toleransKurus,1,0))</f>
        <v/>
      </c>
      <c r="N291" s="15">
        <f>IF($A291="","",IF($F291&gt;kdo_esikFark,1,0))</f>
        <v/>
      </c>
      <c r="O291" s="15">
        <f>IF($A291="","",IFERROR(SUMIF(tblMotor[A_Norm],$A291,tblMotor[SiparisToplam]),0))</f>
        <v/>
      </c>
      <c r="P291" s="15">
        <f>IF($A291="","",$B291+$M291+$N291)</f>
        <v/>
      </c>
    </row>
    <row r="292">
      <c r="A292" s="15">
        <f>IF('ANAHTAR'!$B292="","",'ANAHTAR'!$B292)</f>
        <v/>
      </c>
      <c r="B292" s="15">
        <f>IF($A292="","",COUNTIF(tblAnahtarB[NormB],$A292))</f>
        <v/>
      </c>
      <c r="C292" s="15">
        <f>IF($A292="","",IFERROR(SUMIF(tblMotor[A_Norm],$A292,tblMotor[SiparisToplam]),0))</f>
        <v/>
      </c>
      <c r="D292" s="15">
        <f>IF($A292="","",IFERROR(SUMIF(tblAnahtarA[Norm],$A292,tblVeriA[HedefMaliyet]),0))</f>
        <v/>
      </c>
      <c r="E292" s="15">
        <f>IF($A292="","",ROUND($D292,2)-ROUND($C292,2))</f>
        <v/>
      </c>
      <c r="F292" s="15">
        <f>IF($A292="","",ABS($E292))</f>
        <v/>
      </c>
      <c r="G292" s="15">
        <f>IF($A292="","",IF($B292=0,"eslesmedi",IF(ROUND($D292,2)=ROUND($C292,2),"eslesti",IF(ABS(ROUND($D292,2)-ROUND($C292,2))&lt;=toleransKurus,"tolerans_icinde","tutar_farki"))))</f>
        <v/>
      </c>
      <c r="H292" s="15">
        <f>IF($A292="","",IF($B292&gt;0,"BIRINCIL",IF(COUNTIF(tblAnahtarB[IkincilB],'ANAHTAR'!$D292)&gt;0,"IKINCIL","YOK")))</f>
        <v/>
      </c>
      <c r="I292" s="15">
        <f>IF($A292="","",'ANAHTAR'!$F292)</f>
        <v/>
      </c>
      <c r="J292" s="15">
        <f>IF(OR($A292="",$D292=0),0,$F292/ABS($D292))</f>
        <v/>
      </c>
      <c r="K292" s="15">
        <f>IF($A292="","",ROUND($D292,2))</f>
        <v/>
      </c>
      <c r="L292" s="15">
        <f>IF($A292="","",ROUND($C292,2))</f>
        <v/>
      </c>
      <c r="M292" s="15">
        <f>IF($A292="","",IF($F292&lt;=toleransKurus,1,0))</f>
        <v/>
      </c>
      <c r="N292" s="15">
        <f>IF($A292="","",IF($F292&gt;kdo_esikFark,1,0))</f>
        <v/>
      </c>
      <c r="O292" s="15">
        <f>IF($A292="","",IFERROR(SUMIF(tblMotor[A_Norm],$A292,tblMotor[SiparisToplam]),0))</f>
        <v/>
      </c>
      <c r="P292" s="15">
        <f>IF($A292="","",$B292+$M292+$N292)</f>
        <v/>
      </c>
    </row>
    <row r="293">
      <c r="A293" s="15">
        <f>IF('ANAHTAR'!$B293="","",'ANAHTAR'!$B293)</f>
        <v/>
      </c>
      <c r="B293" s="15">
        <f>IF($A293="","",COUNTIF(tblAnahtarB[NormB],$A293))</f>
        <v/>
      </c>
      <c r="C293" s="15">
        <f>IF($A293="","",IFERROR(SUMIF(tblMotor[A_Norm],$A293,tblMotor[SiparisToplam]),0))</f>
        <v/>
      </c>
      <c r="D293" s="15">
        <f>IF($A293="","",IFERROR(SUMIF(tblAnahtarA[Norm],$A293,tblVeriA[HedefMaliyet]),0))</f>
        <v/>
      </c>
      <c r="E293" s="15">
        <f>IF($A293="","",ROUND($D293,2)-ROUND($C293,2))</f>
        <v/>
      </c>
      <c r="F293" s="15">
        <f>IF($A293="","",ABS($E293))</f>
        <v/>
      </c>
      <c r="G293" s="15">
        <f>IF($A293="","",IF($B293=0,"eslesmedi",IF(ROUND($D293,2)=ROUND($C293,2),"eslesti",IF(ABS(ROUND($D293,2)-ROUND($C293,2))&lt;=toleransKurus,"tolerans_icinde","tutar_farki"))))</f>
        <v/>
      </c>
      <c r="H293" s="15">
        <f>IF($A293="","",IF($B293&gt;0,"BIRINCIL",IF(COUNTIF(tblAnahtarB[IkincilB],'ANAHTAR'!$D293)&gt;0,"IKINCIL","YOK")))</f>
        <v/>
      </c>
      <c r="I293" s="15">
        <f>IF($A293="","",'ANAHTAR'!$F293)</f>
        <v/>
      </c>
      <c r="J293" s="15">
        <f>IF(OR($A293="",$D293=0),0,$F293/ABS($D293))</f>
        <v/>
      </c>
      <c r="K293" s="15">
        <f>IF($A293="","",ROUND($D293,2))</f>
        <v/>
      </c>
      <c r="L293" s="15">
        <f>IF($A293="","",ROUND($C293,2))</f>
        <v/>
      </c>
      <c r="M293" s="15">
        <f>IF($A293="","",IF($F293&lt;=toleransKurus,1,0))</f>
        <v/>
      </c>
      <c r="N293" s="15">
        <f>IF($A293="","",IF($F293&gt;kdo_esikFark,1,0))</f>
        <v/>
      </c>
      <c r="O293" s="15">
        <f>IF($A293="","",IFERROR(SUMIF(tblMotor[A_Norm],$A293,tblMotor[SiparisToplam]),0))</f>
        <v/>
      </c>
      <c r="P293" s="15">
        <f>IF($A293="","",$B293+$M293+$N293)</f>
        <v/>
      </c>
    </row>
    <row r="294">
      <c r="A294" s="15">
        <f>IF('ANAHTAR'!$B294="","",'ANAHTAR'!$B294)</f>
        <v/>
      </c>
      <c r="B294" s="15">
        <f>IF($A294="","",COUNTIF(tblAnahtarB[NormB],$A294))</f>
        <v/>
      </c>
      <c r="C294" s="15">
        <f>IF($A294="","",IFERROR(SUMIF(tblMotor[A_Norm],$A294,tblMotor[SiparisToplam]),0))</f>
        <v/>
      </c>
      <c r="D294" s="15">
        <f>IF($A294="","",IFERROR(SUMIF(tblAnahtarA[Norm],$A294,tblVeriA[HedefMaliyet]),0))</f>
        <v/>
      </c>
      <c r="E294" s="15">
        <f>IF($A294="","",ROUND($D294,2)-ROUND($C294,2))</f>
        <v/>
      </c>
      <c r="F294" s="15">
        <f>IF($A294="","",ABS($E294))</f>
        <v/>
      </c>
      <c r="G294" s="15">
        <f>IF($A294="","",IF($B294=0,"eslesmedi",IF(ROUND($D294,2)=ROUND($C294,2),"eslesti",IF(ABS(ROUND($D294,2)-ROUND($C294,2))&lt;=toleransKurus,"tolerans_icinde","tutar_farki"))))</f>
        <v/>
      </c>
      <c r="H294" s="15">
        <f>IF($A294="","",IF($B294&gt;0,"BIRINCIL",IF(COUNTIF(tblAnahtarB[IkincilB],'ANAHTAR'!$D294)&gt;0,"IKINCIL","YOK")))</f>
        <v/>
      </c>
      <c r="I294" s="15">
        <f>IF($A294="","",'ANAHTAR'!$F294)</f>
        <v/>
      </c>
      <c r="J294" s="15">
        <f>IF(OR($A294="",$D294=0),0,$F294/ABS($D294))</f>
        <v/>
      </c>
      <c r="K294" s="15">
        <f>IF($A294="","",ROUND($D294,2))</f>
        <v/>
      </c>
      <c r="L294" s="15">
        <f>IF($A294="","",ROUND($C294,2))</f>
        <v/>
      </c>
      <c r="M294" s="15">
        <f>IF($A294="","",IF($F294&lt;=toleransKurus,1,0))</f>
        <v/>
      </c>
      <c r="N294" s="15">
        <f>IF($A294="","",IF($F294&gt;kdo_esikFark,1,0))</f>
        <v/>
      </c>
      <c r="O294" s="15">
        <f>IF($A294="","",IFERROR(SUMIF(tblMotor[A_Norm],$A294,tblMotor[SiparisToplam]),0))</f>
        <v/>
      </c>
      <c r="P294" s="15">
        <f>IF($A294="","",$B294+$M294+$N294)</f>
        <v/>
      </c>
    </row>
    <row r="295">
      <c r="A295" s="15">
        <f>IF('ANAHTAR'!$B295="","",'ANAHTAR'!$B295)</f>
        <v/>
      </c>
      <c r="B295" s="15">
        <f>IF($A295="","",COUNTIF(tblAnahtarB[NormB],$A295))</f>
        <v/>
      </c>
      <c r="C295" s="15">
        <f>IF($A295="","",IFERROR(SUMIF(tblMotor[A_Norm],$A295,tblMotor[SiparisToplam]),0))</f>
        <v/>
      </c>
      <c r="D295" s="15">
        <f>IF($A295="","",IFERROR(SUMIF(tblAnahtarA[Norm],$A295,tblVeriA[HedefMaliyet]),0))</f>
        <v/>
      </c>
      <c r="E295" s="15">
        <f>IF($A295="","",ROUND($D295,2)-ROUND($C295,2))</f>
        <v/>
      </c>
      <c r="F295" s="15">
        <f>IF($A295="","",ABS($E295))</f>
        <v/>
      </c>
      <c r="G295" s="15">
        <f>IF($A295="","",IF($B295=0,"eslesmedi",IF(ROUND($D295,2)=ROUND($C295,2),"eslesti",IF(ABS(ROUND($D295,2)-ROUND($C295,2))&lt;=toleransKurus,"tolerans_icinde","tutar_farki"))))</f>
        <v/>
      </c>
      <c r="H295" s="15">
        <f>IF($A295="","",IF($B295&gt;0,"BIRINCIL",IF(COUNTIF(tblAnahtarB[IkincilB],'ANAHTAR'!$D295)&gt;0,"IKINCIL","YOK")))</f>
        <v/>
      </c>
      <c r="I295" s="15">
        <f>IF($A295="","",'ANAHTAR'!$F295)</f>
        <v/>
      </c>
      <c r="J295" s="15">
        <f>IF(OR($A295="",$D295=0),0,$F295/ABS($D295))</f>
        <v/>
      </c>
      <c r="K295" s="15">
        <f>IF($A295="","",ROUND($D295,2))</f>
        <v/>
      </c>
      <c r="L295" s="15">
        <f>IF($A295="","",ROUND($C295,2))</f>
        <v/>
      </c>
      <c r="M295" s="15">
        <f>IF($A295="","",IF($F295&lt;=toleransKurus,1,0))</f>
        <v/>
      </c>
      <c r="N295" s="15">
        <f>IF($A295="","",IF($F295&gt;kdo_esikFark,1,0))</f>
        <v/>
      </c>
      <c r="O295" s="15">
        <f>IF($A295="","",IFERROR(SUMIF(tblMotor[A_Norm],$A295,tblMotor[SiparisToplam]),0))</f>
        <v/>
      </c>
      <c r="P295" s="15">
        <f>IF($A295="","",$B295+$M295+$N295)</f>
        <v/>
      </c>
    </row>
    <row r="296">
      <c r="A296" s="15">
        <f>IF('ANAHTAR'!$B296="","",'ANAHTAR'!$B296)</f>
        <v/>
      </c>
      <c r="B296" s="15">
        <f>IF($A296="","",COUNTIF(tblAnahtarB[NormB],$A296))</f>
        <v/>
      </c>
      <c r="C296" s="15">
        <f>IF($A296="","",IFERROR(SUMIF(tblMotor[A_Norm],$A296,tblMotor[SiparisToplam]),0))</f>
        <v/>
      </c>
      <c r="D296" s="15">
        <f>IF($A296="","",IFERROR(SUMIF(tblAnahtarA[Norm],$A296,tblVeriA[HedefMaliyet]),0))</f>
        <v/>
      </c>
      <c r="E296" s="15">
        <f>IF($A296="","",ROUND($D296,2)-ROUND($C296,2))</f>
        <v/>
      </c>
      <c r="F296" s="15">
        <f>IF($A296="","",ABS($E296))</f>
        <v/>
      </c>
      <c r="G296" s="15">
        <f>IF($A296="","",IF($B296=0,"eslesmedi",IF(ROUND($D296,2)=ROUND($C296,2),"eslesti",IF(ABS(ROUND($D296,2)-ROUND($C296,2))&lt;=toleransKurus,"tolerans_icinde","tutar_farki"))))</f>
        <v/>
      </c>
      <c r="H296" s="15">
        <f>IF($A296="","",IF($B296&gt;0,"BIRINCIL",IF(COUNTIF(tblAnahtarB[IkincilB],'ANAHTAR'!$D296)&gt;0,"IKINCIL","YOK")))</f>
        <v/>
      </c>
      <c r="I296" s="15">
        <f>IF($A296="","",'ANAHTAR'!$F296)</f>
        <v/>
      </c>
      <c r="J296" s="15">
        <f>IF(OR($A296="",$D296=0),0,$F296/ABS($D296))</f>
        <v/>
      </c>
      <c r="K296" s="15">
        <f>IF($A296="","",ROUND($D296,2))</f>
        <v/>
      </c>
      <c r="L296" s="15">
        <f>IF($A296="","",ROUND($C296,2))</f>
        <v/>
      </c>
      <c r="M296" s="15">
        <f>IF($A296="","",IF($F296&lt;=toleransKurus,1,0))</f>
        <v/>
      </c>
      <c r="N296" s="15">
        <f>IF($A296="","",IF($F296&gt;kdo_esikFark,1,0))</f>
        <v/>
      </c>
      <c r="O296" s="15">
        <f>IF($A296="","",IFERROR(SUMIF(tblMotor[A_Norm],$A296,tblMotor[SiparisToplam]),0))</f>
        <v/>
      </c>
      <c r="P296" s="15">
        <f>IF($A296="","",$B296+$M296+$N296)</f>
        <v/>
      </c>
    </row>
    <row r="297">
      <c r="A297" s="15">
        <f>IF('ANAHTAR'!$B297="","",'ANAHTAR'!$B297)</f>
        <v/>
      </c>
      <c r="B297" s="15">
        <f>IF($A297="","",COUNTIF(tblAnahtarB[NormB],$A297))</f>
        <v/>
      </c>
      <c r="C297" s="15">
        <f>IF($A297="","",IFERROR(SUMIF(tblMotor[A_Norm],$A297,tblMotor[SiparisToplam]),0))</f>
        <v/>
      </c>
      <c r="D297" s="15">
        <f>IF($A297="","",IFERROR(SUMIF(tblAnahtarA[Norm],$A297,tblVeriA[HedefMaliyet]),0))</f>
        <v/>
      </c>
      <c r="E297" s="15">
        <f>IF($A297="","",ROUND($D297,2)-ROUND($C297,2))</f>
        <v/>
      </c>
      <c r="F297" s="15">
        <f>IF($A297="","",ABS($E297))</f>
        <v/>
      </c>
      <c r="G297" s="15">
        <f>IF($A297="","",IF($B297=0,"eslesmedi",IF(ROUND($D297,2)=ROUND($C297,2),"eslesti",IF(ABS(ROUND($D297,2)-ROUND($C297,2))&lt;=toleransKurus,"tolerans_icinde","tutar_farki"))))</f>
        <v/>
      </c>
      <c r="H297" s="15">
        <f>IF($A297="","",IF($B297&gt;0,"BIRINCIL",IF(COUNTIF(tblAnahtarB[IkincilB],'ANAHTAR'!$D297)&gt;0,"IKINCIL","YOK")))</f>
        <v/>
      </c>
      <c r="I297" s="15">
        <f>IF($A297="","",'ANAHTAR'!$F297)</f>
        <v/>
      </c>
      <c r="J297" s="15">
        <f>IF(OR($A297="",$D297=0),0,$F297/ABS($D297))</f>
        <v/>
      </c>
      <c r="K297" s="15">
        <f>IF($A297="","",ROUND($D297,2))</f>
        <v/>
      </c>
      <c r="L297" s="15">
        <f>IF($A297="","",ROUND($C297,2))</f>
        <v/>
      </c>
      <c r="M297" s="15">
        <f>IF($A297="","",IF($F297&lt;=toleransKurus,1,0))</f>
        <v/>
      </c>
      <c r="N297" s="15">
        <f>IF($A297="","",IF($F297&gt;kdo_esikFark,1,0))</f>
        <v/>
      </c>
      <c r="O297" s="15">
        <f>IF($A297="","",IFERROR(SUMIF(tblMotor[A_Norm],$A297,tblMotor[SiparisToplam]),0))</f>
        <v/>
      </c>
      <c r="P297" s="15">
        <f>IF($A297="","",$B297+$M297+$N297)</f>
        <v/>
      </c>
    </row>
    <row r="298">
      <c r="A298" s="15">
        <f>IF('ANAHTAR'!$B298="","",'ANAHTAR'!$B298)</f>
        <v/>
      </c>
      <c r="B298" s="15">
        <f>IF($A298="","",COUNTIF(tblAnahtarB[NormB],$A298))</f>
        <v/>
      </c>
      <c r="C298" s="15">
        <f>IF($A298="","",IFERROR(SUMIF(tblMotor[A_Norm],$A298,tblMotor[SiparisToplam]),0))</f>
        <v/>
      </c>
      <c r="D298" s="15">
        <f>IF($A298="","",IFERROR(SUMIF(tblAnahtarA[Norm],$A298,tblVeriA[HedefMaliyet]),0))</f>
        <v/>
      </c>
      <c r="E298" s="15">
        <f>IF($A298="","",ROUND($D298,2)-ROUND($C298,2))</f>
        <v/>
      </c>
      <c r="F298" s="15">
        <f>IF($A298="","",ABS($E298))</f>
        <v/>
      </c>
      <c r="G298" s="15">
        <f>IF($A298="","",IF($B298=0,"eslesmedi",IF(ROUND($D298,2)=ROUND($C298,2),"eslesti",IF(ABS(ROUND($D298,2)-ROUND($C298,2))&lt;=toleransKurus,"tolerans_icinde","tutar_farki"))))</f>
        <v/>
      </c>
      <c r="H298" s="15">
        <f>IF($A298="","",IF($B298&gt;0,"BIRINCIL",IF(COUNTIF(tblAnahtarB[IkincilB],'ANAHTAR'!$D298)&gt;0,"IKINCIL","YOK")))</f>
        <v/>
      </c>
      <c r="I298" s="15">
        <f>IF($A298="","",'ANAHTAR'!$F298)</f>
        <v/>
      </c>
      <c r="J298" s="15">
        <f>IF(OR($A298="",$D298=0),0,$F298/ABS($D298))</f>
        <v/>
      </c>
      <c r="K298" s="15">
        <f>IF($A298="","",ROUND($D298,2))</f>
        <v/>
      </c>
      <c r="L298" s="15">
        <f>IF($A298="","",ROUND($C298,2))</f>
        <v/>
      </c>
      <c r="M298" s="15">
        <f>IF($A298="","",IF($F298&lt;=toleransKurus,1,0))</f>
        <v/>
      </c>
      <c r="N298" s="15">
        <f>IF($A298="","",IF($F298&gt;kdo_esikFark,1,0))</f>
        <v/>
      </c>
      <c r="O298" s="15">
        <f>IF($A298="","",IFERROR(SUMIF(tblMotor[A_Norm],$A298,tblMotor[SiparisToplam]),0))</f>
        <v/>
      </c>
      <c r="P298" s="15">
        <f>IF($A298="","",$B298+$M298+$N298)</f>
        <v/>
      </c>
    </row>
    <row r="299">
      <c r="A299" s="15">
        <f>IF('ANAHTAR'!$B299="","",'ANAHTAR'!$B299)</f>
        <v/>
      </c>
      <c r="B299" s="15">
        <f>IF($A299="","",COUNTIF(tblAnahtarB[NormB],$A299))</f>
        <v/>
      </c>
      <c r="C299" s="15">
        <f>IF($A299="","",IFERROR(SUMIF(tblMotor[A_Norm],$A299,tblMotor[SiparisToplam]),0))</f>
        <v/>
      </c>
      <c r="D299" s="15">
        <f>IF($A299="","",IFERROR(SUMIF(tblAnahtarA[Norm],$A299,tblVeriA[HedefMaliyet]),0))</f>
        <v/>
      </c>
      <c r="E299" s="15">
        <f>IF($A299="","",ROUND($D299,2)-ROUND($C299,2))</f>
        <v/>
      </c>
      <c r="F299" s="15">
        <f>IF($A299="","",ABS($E299))</f>
        <v/>
      </c>
      <c r="G299" s="15">
        <f>IF($A299="","",IF($B299=0,"eslesmedi",IF(ROUND($D299,2)=ROUND($C299,2),"eslesti",IF(ABS(ROUND($D299,2)-ROUND($C299,2))&lt;=toleransKurus,"tolerans_icinde","tutar_farki"))))</f>
        <v/>
      </c>
      <c r="H299" s="15">
        <f>IF($A299="","",IF($B299&gt;0,"BIRINCIL",IF(COUNTIF(tblAnahtarB[IkincilB],'ANAHTAR'!$D299)&gt;0,"IKINCIL","YOK")))</f>
        <v/>
      </c>
      <c r="I299" s="15">
        <f>IF($A299="","",'ANAHTAR'!$F299)</f>
        <v/>
      </c>
      <c r="J299" s="15">
        <f>IF(OR($A299="",$D299=0),0,$F299/ABS($D299))</f>
        <v/>
      </c>
      <c r="K299" s="15">
        <f>IF($A299="","",ROUND($D299,2))</f>
        <v/>
      </c>
      <c r="L299" s="15">
        <f>IF($A299="","",ROUND($C299,2))</f>
        <v/>
      </c>
      <c r="M299" s="15">
        <f>IF($A299="","",IF($F299&lt;=toleransKurus,1,0))</f>
        <v/>
      </c>
      <c r="N299" s="15">
        <f>IF($A299="","",IF($F299&gt;kdo_esikFark,1,0))</f>
        <v/>
      </c>
      <c r="O299" s="15">
        <f>IF($A299="","",IFERROR(SUMIF(tblMotor[A_Norm],$A299,tblMotor[SiparisToplam]),0))</f>
        <v/>
      </c>
      <c r="P299" s="15">
        <f>IF($A299="","",$B299+$M299+$N299)</f>
        <v/>
      </c>
    </row>
    <row r="300">
      <c r="A300" s="15">
        <f>IF('ANAHTAR'!$B300="","",'ANAHTAR'!$B300)</f>
        <v/>
      </c>
      <c r="B300" s="15">
        <f>IF($A300="","",COUNTIF(tblAnahtarB[NormB],$A300))</f>
        <v/>
      </c>
      <c r="C300" s="15">
        <f>IF($A300="","",IFERROR(SUMIF(tblMotor[A_Norm],$A300,tblMotor[SiparisToplam]),0))</f>
        <v/>
      </c>
      <c r="D300" s="15">
        <f>IF($A300="","",IFERROR(SUMIF(tblAnahtarA[Norm],$A300,tblVeriA[HedefMaliyet]),0))</f>
        <v/>
      </c>
      <c r="E300" s="15">
        <f>IF($A300="","",ROUND($D300,2)-ROUND($C300,2))</f>
        <v/>
      </c>
      <c r="F300" s="15">
        <f>IF($A300="","",ABS($E300))</f>
        <v/>
      </c>
      <c r="G300" s="15">
        <f>IF($A300="","",IF($B300=0,"eslesmedi",IF(ROUND($D300,2)=ROUND($C300,2),"eslesti",IF(ABS(ROUND($D300,2)-ROUND($C300,2))&lt;=toleransKurus,"tolerans_icinde","tutar_farki"))))</f>
        <v/>
      </c>
      <c r="H300" s="15">
        <f>IF($A300="","",IF($B300&gt;0,"BIRINCIL",IF(COUNTIF(tblAnahtarB[IkincilB],'ANAHTAR'!$D300)&gt;0,"IKINCIL","YOK")))</f>
        <v/>
      </c>
      <c r="I300" s="15">
        <f>IF($A300="","",'ANAHTAR'!$F300)</f>
        <v/>
      </c>
      <c r="J300" s="15">
        <f>IF(OR($A300="",$D300=0),0,$F300/ABS($D300))</f>
        <v/>
      </c>
      <c r="K300" s="15">
        <f>IF($A300="","",ROUND($D300,2))</f>
        <v/>
      </c>
      <c r="L300" s="15">
        <f>IF($A300="","",ROUND($C300,2))</f>
        <v/>
      </c>
      <c r="M300" s="15">
        <f>IF($A300="","",IF($F300&lt;=toleransKurus,1,0))</f>
        <v/>
      </c>
      <c r="N300" s="15">
        <f>IF($A300="","",IF($F300&gt;kdo_esikFark,1,0))</f>
        <v/>
      </c>
      <c r="O300" s="15">
        <f>IF($A300="","",IFERROR(SUMIF(tblMotor[A_Norm],$A300,tblMotor[SiparisToplam]),0))</f>
        <v/>
      </c>
      <c r="P300" s="15">
        <f>IF($A300="","",$B300+$M300+$N300)</f>
        <v/>
      </c>
    </row>
    <row r="301">
      <c r="A301" s="15">
        <f>IF('ANAHTAR'!$B301="","",'ANAHTAR'!$B301)</f>
        <v/>
      </c>
      <c r="B301" s="15">
        <f>IF($A301="","",COUNTIF(tblAnahtarB[NormB],$A301))</f>
        <v/>
      </c>
      <c r="C301" s="15">
        <f>IF($A301="","",IFERROR(SUMIF(tblMotor[A_Norm],$A301,tblMotor[SiparisToplam]),0))</f>
        <v/>
      </c>
      <c r="D301" s="15">
        <f>IF($A301="","",IFERROR(SUMIF(tblAnahtarA[Norm],$A301,tblVeriA[HedefMaliyet]),0))</f>
        <v/>
      </c>
      <c r="E301" s="15">
        <f>IF($A301="","",ROUND($D301,2)-ROUND($C301,2))</f>
        <v/>
      </c>
      <c r="F301" s="15">
        <f>IF($A301="","",ABS($E301))</f>
        <v/>
      </c>
      <c r="G301" s="15">
        <f>IF($A301="","",IF($B301=0,"eslesmedi",IF(ROUND($D301,2)=ROUND($C301,2),"eslesti",IF(ABS(ROUND($D301,2)-ROUND($C301,2))&lt;=toleransKurus,"tolerans_icinde","tutar_farki"))))</f>
        <v/>
      </c>
      <c r="H301" s="15">
        <f>IF($A301="","",IF($B301&gt;0,"BIRINCIL",IF(COUNTIF(tblAnahtarB[IkincilB],'ANAHTAR'!$D301)&gt;0,"IKINCIL","YOK")))</f>
        <v/>
      </c>
      <c r="I301" s="15">
        <f>IF($A301="","",'ANAHTAR'!$F301)</f>
        <v/>
      </c>
      <c r="J301" s="15">
        <f>IF(OR($A301="",$D301=0),0,$F301/ABS($D301))</f>
        <v/>
      </c>
      <c r="K301" s="15">
        <f>IF($A301="","",ROUND($D301,2))</f>
        <v/>
      </c>
      <c r="L301" s="15">
        <f>IF($A301="","",ROUND($C301,2))</f>
        <v/>
      </c>
      <c r="M301" s="15">
        <f>IF($A301="","",IF($F301&lt;=toleransKurus,1,0))</f>
        <v/>
      </c>
      <c r="N301" s="15">
        <f>IF($A301="","",IF($F301&gt;kdo_esikFark,1,0))</f>
        <v/>
      </c>
      <c r="O301" s="15">
        <f>IF($A301="","",IFERROR(SUMIF(tblMotor[A_Norm],$A301,tblMotor[SiparisToplam]),0))</f>
        <v/>
      </c>
      <c r="P301" s="15">
        <f>IF($A301="","",$B301+$M301+$N301)</f>
        <v/>
      </c>
    </row>
    <row r="302">
      <c r="A302" s="15">
        <f>IF('ANAHTAR'!$B302="","",'ANAHTAR'!$B302)</f>
        <v/>
      </c>
      <c r="B302" s="15">
        <f>IF($A302="","",COUNTIF(tblAnahtarB[NormB],$A302))</f>
        <v/>
      </c>
      <c r="C302" s="15">
        <f>IF($A302="","",IFERROR(SUMIF(tblMotor[A_Norm],$A302,tblMotor[SiparisToplam]),0))</f>
        <v/>
      </c>
      <c r="D302" s="15">
        <f>IF($A302="","",IFERROR(SUMIF(tblAnahtarA[Norm],$A302,tblVeriA[HedefMaliyet]),0))</f>
        <v/>
      </c>
      <c r="E302" s="15">
        <f>IF($A302="","",ROUND($D302,2)-ROUND($C302,2))</f>
        <v/>
      </c>
      <c r="F302" s="15">
        <f>IF($A302="","",ABS($E302))</f>
        <v/>
      </c>
      <c r="G302" s="15">
        <f>IF($A302="","",IF($B302=0,"eslesmedi",IF(ROUND($D302,2)=ROUND($C302,2),"eslesti",IF(ABS(ROUND($D302,2)-ROUND($C302,2))&lt;=toleransKurus,"tolerans_icinde","tutar_farki"))))</f>
        <v/>
      </c>
      <c r="H302" s="15">
        <f>IF($A302="","",IF($B302&gt;0,"BIRINCIL",IF(COUNTIF(tblAnahtarB[IkincilB],'ANAHTAR'!$D302)&gt;0,"IKINCIL","YOK")))</f>
        <v/>
      </c>
      <c r="I302" s="15">
        <f>IF($A302="","",'ANAHTAR'!$F302)</f>
        <v/>
      </c>
      <c r="J302" s="15">
        <f>IF(OR($A302="",$D302=0),0,$F302/ABS($D302))</f>
        <v/>
      </c>
      <c r="K302" s="15">
        <f>IF($A302="","",ROUND($D302,2))</f>
        <v/>
      </c>
      <c r="L302" s="15">
        <f>IF($A302="","",ROUND($C302,2))</f>
        <v/>
      </c>
      <c r="M302" s="15">
        <f>IF($A302="","",IF($F302&lt;=toleransKurus,1,0))</f>
        <v/>
      </c>
      <c r="N302" s="15">
        <f>IF($A302="","",IF($F302&gt;kdo_esikFark,1,0))</f>
        <v/>
      </c>
      <c r="O302" s="15">
        <f>IF($A302="","",IFERROR(SUMIF(tblMotor[A_Norm],$A302,tblMotor[SiparisToplam]),0))</f>
        <v/>
      </c>
      <c r="P302" s="15">
        <f>IF($A302="","",$B302+$M302+$N302)</f>
        <v/>
      </c>
    </row>
    <row r="303">
      <c r="A303" s="15">
        <f>IF('ANAHTAR'!$B303="","",'ANAHTAR'!$B303)</f>
        <v/>
      </c>
      <c r="B303" s="15">
        <f>IF($A303="","",COUNTIF(tblAnahtarB[NormB],$A303))</f>
        <v/>
      </c>
      <c r="C303" s="15">
        <f>IF($A303="","",IFERROR(SUMIF(tblMotor[A_Norm],$A303,tblMotor[SiparisToplam]),0))</f>
        <v/>
      </c>
      <c r="D303" s="15">
        <f>IF($A303="","",IFERROR(SUMIF(tblAnahtarA[Norm],$A303,tblVeriA[HedefMaliyet]),0))</f>
        <v/>
      </c>
      <c r="E303" s="15">
        <f>IF($A303="","",ROUND($D303,2)-ROUND($C303,2))</f>
        <v/>
      </c>
      <c r="F303" s="15">
        <f>IF($A303="","",ABS($E303))</f>
        <v/>
      </c>
      <c r="G303" s="15">
        <f>IF($A303="","",IF($B303=0,"eslesmedi",IF(ROUND($D303,2)=ROUND($C303,2),"eslesti",IF(ABS(ROUND($D303,2)-ROUND($C303,2))&lt;=toleransKurus,"tolerans_icinde","tutar_farki"))))</f>
        <v/>
      </c>
      <c r="H303" s="15">
        <f>IF($A303="","",IF($B303&gt;0,"BIRINCIL",IF(COUNTIF(tblAnahtarB[IkincilB],'ANAHTAR'!$D303)&gt;0,"IKINCIL","YOK")))</f>
        <v/>
      </c>
      <c r="I303" s="15">
        <f>IF($A303="","",'ANAHTAR'!$F303)</f>
        <v/>
      </c>
      <c r="J303" s="15">
        <f>IF(OR($A303="",$D303=0),0,$F303/ABS($D303))</f>
        <v/>
      </c>
      <c r="K303" s="15">
        <f>IF($A303="","",ROUND($D303,2))</f>
        <v/>
      </c>
      <c r="L303" s="15">
        <f>IF($A303="","",ROUND($C303,2))</f>
        <v/>
      </c>
      <c r="M303" s="15">
        <f>IF($A303="","",IF($F303&lt;=toleransKurus,1,0))</f>
        <v/>
      </c>
      <c r="N303" s="15">
        <f>IF($A303="","",IF($F303&gt;kdo_esikFark,1,0))</f>
        <v/>
      </c>
      <c r="O303" s="15">
        <f>IF($A303="","",IFERROR(SUMIF(tblMotor[A_Norm],$A303,tblMotor[SiparisToplam]),0))</f>
        <v/>
      </c>
      <c r="P303" s="15">
        <f>IF($A303="","",$B303+$M303+$N303)</f>
        <v/>
      </c>
    </row>
    <row r="304">
      <c r="A304" s="15">
        <f>IF('ANAHTAR'!$B304="","",'ANAHTAR'!$B304)</f>
        <v/>
      </c>
      <c r="B304" s="15">
        <f>IF($A304="","",COUNTIF(tblAnahtarB[NormB],$A304))</f>
        <v/>
      </c>
      <c r="C304" s="15">
        <f>IF($A304="","",IFERROR(SUMIF(tblMotor[A_Norm],$A304,tblMotor[SiparisToplam]),0))</f>
        <v/>
      </c>
      <c r="D304" s="15">
        <f>IF($A304="","",IFERROR(SUMIF(tblAnahtarA[Norm],$A304,tblVeriA[HedefMaliyet]),0))</f>
        <v/>
      </c>
      <c r="E304" s="15">
        <f>IF($A304="","",ROUND($D304,2)-ROUND($C304,2))</f>
        <v/>
      </c>
      <c r="F304" s="15">
        <f>IF($A304="","",ABS($E304))</f>
        <v/>
      </c>
      <c r="G304" s="15">
        <f>IF($A304="","",IF($B304=0,"eslesmedi",IF(ROUND($D304,2)=ROUND($C304,2),"eslesti",IF(ABS(ROUND($D304,2)-ROUND($C304,2))&lt;=toleransKurus,"tolerans_icinde","tutar_farki"))))</f>
        <v/>
      </c>
      <c r="H304" s="15">
        <f>IF($A304="","",IF($B304&gt;0,"BIRINCIL",IF(COUNTIF(tblAnahtarB[IkincilB],'ANAHTAR'!$D304)&gt;0,"IKINCIL","YOK")))</f>
        <v/>
      </c>
      <c r="I304" s="15">
        <f>IF($A304="","",'ANAHTAR'!$F304)</f>
        <v/>
      </c>
      <c r="J304" s="15">
        <f>IF(OR($A304="",$D304=0),0,$F304/ABS($D304))</f>
        <v/>
      </c>
      <c r="K304" s="15">
        <f>IF($A304="","",ROUND($D304,2))</f>
        <v/>
      </c>
      <c r="L304" s="15">
        <f>IF($A304="","",ROUND($C304,2))</f>
        <v/>
      </c>
      <c r="M304" s="15">
        <f>IF($A304="","",IF($F304&lt;=toleransKurus,1,0))</f>
        <v/>
      </c>
      <c r="N304" s="15">
        <f>IF($A304="","",IF($F304&gt;kdo_esikFark,1,0))</f>
        <v/>
      </c>
      <c r="O304" s="15">
        <f>IF($A304="","",IFERROR(SUMIF(tblMotor[A_Norm],$A304,tblMotor[SiparisToplam]),0))</f>
        <v/>
      </c>
      <c r="P304" s="15">
        <f>IF($A304="","",$B304+$M304+$N304)</f>
        <v/>
      </c>
    </row>
    <row r="305">
      <c r="A305" s="15">
        <f>IF('ANAHTAR'!$B305="","",'ANAHTAR'!$B305)</f>
        <v/>
      </c>
      <c r="B305" s="15">
        <f>IF($A305="","",COUNTIF(tblAnahtarB[NormB],$A305))</f>
        <v/>
      </c>
      <c r="C305" s="15">
        <f>IF($A305="","",IFERROR(SUMIF(tblMotor[A_Norm],$A305,tblMotor[SiparisToplam]),0))</f>
        <v/>
      </c>
      <c r="D305" s="15">
        <f>IF($A305="","",IFERROR(SUMIF(tblAnahtarA[Norm],$A305,tblVeriA[HedefMaliyet]),0))</f>
        <v/>
      </c>
      <c r="E305" s="15">
        <f>IF($A305="","",ROUND($D305,2)-ROUND($C305,2))</f>
        <v/>
      </c>
      <c r="F305" s="15">
        <f>IF($A305="","",ABS($E305))</f>
        <v/>
      </c>
      <c r="G305" s="15">
        <f>IF($A305="","",IF($B305=0,"eslesmedi",IF(ROUND($D305,2)=ROUND($C305,2),"eslesti",IF(ABS(ROUND($D305,2)-ROUND($C305,2))&lt;=toleransKurus,"tolerans_icinde","tutar_farki"))))</f>
        <v/>
      </c>
      <c r="H305" s="15">
        <f>IF($A305="","",IF($B305&gt;0,"BIRINCIL",IF(COUNTIF(tblAnahtarB[IkincilB],'ANAHTAR'!$D305)&gt;0,"IKINCIL","YOK")))</f>
        <v/>
      </c>
      <c r="I305" s="15">
        <f>IF($A305="","",'ANAHTAR'!$F305)</f>
        <v/>
      </c>
      <c r="J305" s="15">
        <f>IF(OR($A305="",$D305=0),0,$F305/ABS($D305))</f>
        <v/>
      </c>
      <c r="K305" s="15">
        <f>IF($A305="","",ROUND($D305,2))</f>
        <v/>
      </c>
      <c r="L305" s="15">
        <f>IF($A305="","",ROUND($C305,2))</f>
        <v/>
      </c>
      <c r="M305" s="15">
        <f>IF($A305="","",IF($F305&lt;=toleransKurus,1,0))</f>
        <v/>
      </c>
      <c r="N305" s="15">
        <f>IF($A305="","",IF($F305&gt;kdo_esikFark,1,0))</f>
        <v/>
      </c>
      <c r="O305" s="15">
        <f>IF($A305="","",IFERROR(SUMIF(tblMotor[A_Norm],$A305,tblMotor[SiparisToplam]),0))</f>
        <v/>
      </c>
      <c r="P305" s="15">
        <f>IF($A305="","",$B305+$M305+$N305)</f>
        <v/>
      </c>
    </row>
    <row r="306">
      <c r="A306" s="15">
        <f>IF('ANAHTAR'!$B306="","",'ANAHTAR'!$B306)</f>
        <v/>
      </c>
      <c r="B306" s="15">
        <f>IF($A306="","",COUNTIF(tblAnahtarB[NormB],$A306))</f>
        <v/>
      </c>
      <c r="C306" s="15">
        <f>IF($A306="","",IFERROR(SUMIF(tblMotor[A_Norm],$A306,tblMotor[SiparisToplam]),0))</f>
        <v/>
      </c>
      <c r="D306" s="15">
        <f>IF($A306="","",IFERROR(SUMIF(tblAnahtarA[Norm],$A306,tblVeriA[HedefMaliyet]),0))</f>
        <v/>
      </c>
      <c r="E306" s="15">
        <f>IF($A306="","",ROUND($D306,2)-ROUND($C306,2))</f>
        <v/>
      </c>
      <c r="F306" s="15">
        <f>IF($A306="","",ABS($E306))</f>
        <v/>
      </c>
      <c r="G306" s="15">
        <f>IF($A306="","",IF($B306=0,"eslesmedi",IF(ROUND($D306,2)=ROUND($C306,2),"eslesti",IF(ABS(ROUND($D306,2)-ROUND($C306,2))&lt;=toleransKurus,"tolerans_icinde","tutar_farki"))))</f>
        <v/>
      </c>
      <c r="H306" s="15">
        <f>IF($A306="","",IF($B306&gt;0,"BIRINCIL",IF(COUNTIF(tblAnahtarB[IkincilB],'ANAHTAR'!$D306)&gt;0,"IKINCIL","YOK")))</f>
        <v/>
      </c>
      <c r="I306" s="15">
        <f>IF($A306="","",'ANAHTAR'!$F306)</f>
        <v/>
      </c>
      <c r="J306" s="15">
        <f>IF(OR($A306="",$D306=0),0,$F306/ABS($D306))</f>
        <v/>
      </c>
      <c r="K306" s="15">
        <f>IF($A306="","",ROUND($D306,2))</f>
        <v/>
      </c>
      <c r="L306" s="15">
        <f>IF($A306="","",ROUND($C306,2))</f>
        <v/>
      </c>
      <c r="M306" s="15">
        <f>IF($A306="","",IF($F306&lt;=toleransKurus,1,0))</f>
        <v/>
      </c>
      <c r="N306" s="15">
        <f>IF($A306="","",IF($F306&gt;kdo_esikFark,1,0))</f>
        <v/>
      </c>
      <c r="O306" s="15">
        <f>IF($A306="","",IFERROR(SUMIF(tblMotor[A_Norm],$A306,tblMotor[SiparisToplam]),0))</f>
        <v/>
      </c>
      <c r="P306" s="15">
        <f>IF($A306="","",$B306+$M306+$N306)</f>
        <v/>
      </c>
    </row>
    <row r="307">
      <c r="A307" s="15">
        <f>IF('ANAHTAR'!$B307="","",'ANAHTAR'!$B307)</f>
        <v/>
      </c>
      <c r="B307" s="15">
        <f>IF($A307="","",COUNTIF(tblAnahtarB[NormB],$A307))</f>
        <v/>
      </c>
      <c r="C307" s="15">
        <f>IF($A307="","",IFERROR(SUMIF(tblMotor[A_Norm],$A307,tblMotor[SiparisToplam]),0))</f>
        <v/>
      </c>
      <c r="D307" s="15">
        <f>IF($A307="","",IFERROR(SUMIF(tblAnahtarA[Norm],$A307,tblVeriA[HedefMaliyet]),0))</f>
        <v/>
      </c>
      <c r="E307" s="15">
        <f>IF($A307="","",ROUND($D307,2)-ROUND($C307,2))</f>
        <v/>
      </c>
      <c r="F307" s="15">
        <f>IF($A307="","",ABS($E307))</f>
        <v/>
      </c>
      <c r="G307" s="15">
        <f>IF($A307="","",IF($B307=0,"eslesmedi",IF(ROUND($D307,2)=ROUND($C307,2),"eslesti",IF(ABS(ROUND($D307,2)-ROUND($C307,2))&lt;=toleransKurus,"tolerans_icinde","tutar_farki"))))</f>
        <v/>
      </c>
      <c r="H307" s="15">
        <f>IF($A307="","",IF($B307&gt;0,"BIRINCIL",IF(COUNTIF(tblAnahtarB[IkincilB],'ANAHTAR'!$D307)&gt;0,"IKINCIL","YOK")))</f>
        <v/>
      </c>
      <c r="I307" s="15">
        <f>IF($A307="","",'ANAHTAR'!$F307)</f>
        <v/>
      </c>
      <c r="J307" s="15">
        <f>IF(OR($A307="",$D307=0),0,$F307/ABS($D307))</f>
        <v/>
      </c>
      <c r="K307" s="15">
        <f>IF($A307="","",ROUND($D307,2))</f>
        <v/>
      </c>
      <c r="L307" s="15">
        <f>IF($A307="","",ROUND($C307,2))</f>
        <v/>
      </c>
      <c r="M307" s="15">
        <f>IF($A307="","",IF($F307&lt;=toleransKurus,1,0))</f>
        <v/>
      </c>
      <c r="N307" s="15">
        <f>IF($A307="","",IF($F307&gt;kdo_esikFark,1,0))</f>
        <v/>
      </c>
      <c r="O307" s="15">
        <f>IF($A307="","",IFERROR(SUMIF(tblMotor[A_Norm],$A307,tblMotor[SiparisToplam]),0))</f>
        <v/>
      </c>
      <c r="P307" s="15">
        <f>IF($A307="","",$B307+$M307+$N307)</f>
        <v/>
      </c>
    </row>
    <row r="308">
      <c r="A308" s="15">
        <f>IF('ANAHTAR'!$B308="","",'ANAHTAR'!$B308)</f>
        <v/>
      </c>
      <c r="B308" s="15">
        <f>IF($A308="","",COUNTIF(tblAnahtarB[NormB],$A308))</f>
        <v/>
      </c>
      <c r="C308" s="15">
        <f>IF($A308="","",IFERROR(SUMIF(tblMotor[A_Norm],$A308,tblMotor[SiparisToplam]),0))</f>
        <v/>
      </c>
      <c r="D308" s="15">
        <f>IF($A308="","",IFERROR(SUMIF(tblAnahtarA[Norm],$A308,tblVeriA[HedefMaliyet]),0))</f>
        <v/>
      </c>
      <c r="E308" s="15">
        <f>IF($A308="","",ROUND($D308,2)-ROUND($C308,2))</f>
        <v/>
      </c>
      <c r="F308" s="15">
        <f>IF($A308="","",ABS($E308))</f>
        <v/>
      </c>
      <c r="G308" s="15">
        <f>IF($A308="","",IF($B308=0,"eslesmedi",IF(ROUND($D308,2)=ROUND($C308,2),"eslesti",IF(ABS(ROUND($D308,2)-ROUND($C308,2))&lt;=toleransKurus,"tolerans_icinde","tutar_farki"))))</f>
        <v/>
      </c>
      <c r="H308" s="15">
        <f>IF($A308="","",IF($B308&gt;0,"BIRINCIL",IF(COUNTIF(tblAnahtarB[IkincilB],'ANAHTAR'!$D308)&gt;0,"IKINCIL","YOK")))</f>
        <v/>
      </c>
      <c r="I308" s="15">
        <f>IF($A308="","",'ANAHTAR'!$F308)</f>
        <v/>
      </c>
      <c r="J308" s="15">
        <f>IF(OR($A308="",$D308=0),0,$F308/ABS($D308))</f>
        <v/>
      </c>
      <c r="K308" s="15">
        <f>IF($A308="","",ROUND($D308,2))</f>
        <v/>
      </c>
      <c r="L308" s="15">
        <f>IF($A308="","",ROUND($C308,2))</f>
        <v/>
      </c>
      <c r="M308" s="15">
        <f>IF($A308="","",IF($F308&lt;=toleransKurus,1,0))</f>
        <v/>
      </c>
      <c r="N308" s="15">
        <f>IF($A308="","",IF($F308&gt;kdo_esikFark,1,0))</f>
        <v/>
      </c>
      <c r="O308" s="15">
        <f>IF($A308="","",IFERROR(SUMIF(tblMotor[A_Norm],$A308,tblMotor[SiparisToplam]),0))</f>
        <v/>
      </c>
      <c r="P308" s="15">
        <f>IF($A308="","",$B308+$M308+$N308)</f>
        <v/>
      </c>
    </row>
    <row r="309">
      <c r="A309" s="15">
        <f>IF('ANAHTAR'!$B309="","",'ANAHTAR'!$B309)</f>
        <v/>
      </c>
      <c r="B309" s="15">
        <f>IF($A309="","",COUNTIF(tblAnahtarB[NormB],$A309))</f>
        <v/>
      </c>
      <c r="C309" s="15">
        <f>IF($A309="","",IFERROR(SUMIF(tblMotor[A_Norm],$A309,tblMotor[SiparisToplam]),0))</f>
        <v/>
      </c>
      <c r="D309" s="15">
        <f>IF($A309="","",IFERROR(SUMIF(tblAnahtarA[Norm],$A309,tblVeriA[HedefMaliyet]),0))</f>
        <v/>
      </c>
      <c r="E309" s="15">
        <f>IF($A309="","",ROUND($D309,2)-ROUND($C309,2))</f>
        <v/>
      </c>
      <c r="F309" s="15">
        <f>IF($A309="","",ABS($E309))</f>
        <v/>
      </c>
      <c r="G309" s="15">
        <f>IF($A309="","",IF($B309=0,"eslesmedi",IF(ROUND($D309,2)=ROUND($C309,2),"eslesti",IF(ABS(ROUND($D309,2)-ROUND($C309,2))&lt;=toleransKurus,"tolerans_icinde","tutar_farki"))))</f>
        <v/>
      </c>
      <c r="H309" s="15">
        <f>IF($A309="","",IF($B309&gt;0,"BIRINCIL",IF(COUNTIF(tblAnahtarB[IkincilB],'ANAHTAR'!$D309)&gt;0,"IKINCIL","YOK")))</f>
        <v/>
      </c>
      <c r="I309" s="15">
        <f>IF($A309="","",'ANAHTAR'!$F309)</f>
        <v/>
      </c>
      <c r="J309" s="15">
        <f>IF(OR($A309="",$D309=0),0,$F309/ABS($D309))</f>
        <v/>
      </c>
      <c r="K309" s="15">
        <f>IF($A309="","",ROUND($D309,2))</f>
        <v/>
      </c>
      <c r="L309" s="15">
        <f>IF($A309="","",ROUND($C309,2))</f>
        <v/>
      </c>
      <c r="M309" s="15">
        <f>IF($A309="","",IF($F309&lt;=toleransKurus,1,0))</f>
        <v/>
      </c>
      <c r="N309" s="15">
        <f>IF($A309="","",IF($F309&gt;kdo_esikFark,1,0))</f>
        <v/>
      </c>
      <c r="O309" s="15">
        <f>IF($A309="","",IFERROR(SUMIF(tblMotor[A_Norm],$A309,tblMotor[SiparisToplam]),0))</f>
        <v/>
      </c>
      <c r="P309" s="15">
        <f>IF($A309="","",$B309+$M309+$N309)</f>
        <v/>
      </c>
    </row>
    <row r="310">
      <c r="A310" s="15">
        <f>IF('ANAHTAR'!$B310="","",'ANAHTAR'!$B310)</f>
        <v/>
      </c>
      <c r="B310" s="15">
        <f>IF($A310="","",COUNTIF(tblAnahtarB[NormB],$A310))</f>
        <v/>
      </c>
      <c r="C310" s="15">
        <f>IF($A310="","",IFERROR(SUMIF(tblMotor[A_Norm],$A310,tblMotor[SiparisToplam]),0))</f>
        <v/>
      </c>
      <c r="D310" s="15">
        <f>IF($A310="","",IFERROR(SUMIF(tblAnahtarA[Norm],$A310,tblVeriA[HedefMaliyet]),0))</f>
        <v/>
      </c>
      <c r="E310" s="15">
        <f>IF($A310="","",ROUND($D310,2)-ROUND($C310,2))</f>
        <v/>
      </c>
      <c r="F310" s="15">
        <f>IF($A310="","",ABS($E310))</f>
        <v/>
      </c>
      <c r="G310" s="15">
        <f>IF($A310="","",IF($B310=0,"eslesmedi",IF(ROUND($D310,2)=ROUND($C310,2),"eslesti",IF(ABS(ROUND($D310,2)-ROUND($C310,2))&lt;=toleransKurus,"tolerans_icinde","tutar_farki"))))</f>
        <v/>
      </c>
      <c r="H310" s="15">
        <f>IF($A310="","",IF($B310&gt;0,"BIRINCIL",IF(COUNTIF(tblAnahtarB[IkincilB],'ANAHTAR'!$D310)&gt;0,"IKINCIL","YOK")))</f>
        <v/>
      </c>
      <c r="I310" s="15">
        <f>IF($A310="","",'ANAHTAR'!$F310)</f>
        <v/>
      </c>
      <c r="J310" s="15">
        <f>IF(OR($A310="",$D310=0),0,$F310/ABS($D310))</f>
        <v/>
      </c>
      <c r="K310" s="15">
        <f>IF($A310="","",ROUND($D310,2))</f>
        <v/>
      </c>
      <c r="L310" s="15">
        <f>IF($A310="","",ROUND($C310,2))</f>
        <v/>
      </c>
      <c r="M310" s="15">
        <f>IF($A310="","",IF($F310&lt;=toleransKurus,1,0))</f>
        <v/>
      </c>
      <c r="N310" s="15">
        <f>IF($A310="","",IF($F310&gt;kdo_esikFark,1,0))</f>
        <v/>
      </c>
      <c r="O310" s="15">
        <f>IF($A310="","",IFERROR(SUMIF(tblMotor[A_Norm],$A310,tblMotor[SiparisToplam]),0))</f>
        <v/>
      </c>
      <c r="P310" s="15">
        <f>IF($A310="","",$B310+$M310+$N310)</f>
        <v/>
      </c>
    </row>
    <row r="311">
      <c r="A311" s="15">
        <f>IF('ANAHTAR'!$B311="","",'ANAHTAR'!$B311)</f>
        <v/>
      </c>
      <c r="B311" s="15">
        <f>IF($A311="","",COUNTIF(tblAnahtarB[NormB],$A311))</f>
        <v/>
      </c>
      <c r="C311" s="15">
        <f>IF($A311="","",IFERROR(SUMIF(tblMotor[A_Norm],$A311,tblMotor[SiparisToplam]),0))</f>
        <v/>
      </c>
      <c r="D311" s="15">
        <f>IF($A311="","",IFERROR(SUMIF(tblAnahtarA[Norm],$A311,tblVeriA[HedefMaliyet]),0))</f>
        <v/>
      </c>
      <c r="E311" s="15">
        <f>IF($A311="","",ROUND($D311,2)-ROUND($C311,2))</f>
        <v/>
      </c>
      <c r="F311" s="15">
        <f>IF($A311="","",ABS($E311))</f>
        <v/>
      </c>
      <c r="G311" s="15">
        <f>IF($A311="","",IF($B311=0,"eslesmedi",IF(ROUND($D311,2)=ROUND($C311,2),"eslesti",IF(ABS(ROUND($D311,2)-ROUND($C311,2))&lt;=toleransKurus,"tolerans_icinde","tutar_farki"))))</f>
        <v/>
      </c>
      <c r="H311" s="15">
        <f>IF($A311="","",IF($B311&gt;0,"BIRINCIL",IF(COUNTIF(tblAnahtarB[IkincilB],'ANAHTAR'!$D311)&gt;0,"IKINCIL","YOK")))</f>
        <v/>
      </c>
      <c r="I311" s="15">
        <f>IF($A311="","",'ANAHTAR'!$F311)</f>
        <v/>
      </c>
      <c r="J311" s="15">
        <f>IF(OR($A311="",$D311=0),0,$F311/ABS($D311))</f>
        <v/>
      </c>
      <c r="K311" s="15">
        <f>IF($A311="","",ROUND($D311,2))</f>
        <v/>
      </c>
      <c r="L311" s="15">
        <f>IF($A311="","",ROUND($C311,2))</f>
        <v/>
      </c>
      <c r="M311" s="15">
        <f>IF($A311="","",IF($F311&lt;=toleransKurus,1,0))</f>
        <v/>
      </c>
      <c r="N311" s="15">
        <f>IF($A311="","",IF($F311&gt;kdo_esikFark,1,0))</f>
        <v/>
      </c>
      <c r="O311" s="15">
        <f>IF($A311="","",IFERROR(SUMIF(tblMotor[A_Norm],$A311,tblMotor[SiparisToplam]),0))</f>
        <v/>
      </c>
      <c r="P311" s="15">
        <f>IF($A311="","",$B311+$M311+$N311)</f>
        <v/>
      </c>
    </row>
    <row r="312">
      <c r="A312" s="15">
        <f>IF('ANAHTAR'!$B312="","",'ANAHTAR'!$B312)</f>
        <v/>
      </c>
      <c r="B312" s="15">
        <f>IF($A312="","",COUNTIF(tblAnahtarB[NormB],$A312))</f>
        <v/>
      </c>
      <c r="C312" s="15">
        <f>IF($A312="","",IFERROR(SUMIF(tblMotor[A_Norm],$A312,tblMotor[SiparisToplam]),0))</f>
        <v/>
      </c>
      <c r="D312" s="15">
        <f>IF($A312="","",IFERROR(SUMIF(tblAnahtarA[Norm],$A312,tblVeriA[HedefMaliyet]),0))</f>
        <v/>
      </c>
      <c r="E312" s="15">
        <f>IF($A312="","",ROUND($D312,2)-ROUND($C312,2))</f>
        <v/>
      </c>
      <c r="F312" s="15">
        <f>IF($A312="","",ABS($E312))</f>
        <v/>
      </c>
      <c r="G312" s="15">
        <f>IF($A312="","",IF($B312=0,"eslesmedi",IF(ROUND($D312,2)=ROUND($C312,2),"eslesti",IF(ABS(ROUND($D312,2)-ROUND($C312,2))&lt;=toleransKurus,"tolerans_icinde","tutar_farki"))))</f>
        <v/>
      </c>
      <c r="H312" s="15">
        <f>IF($A312="","",IF($B312&gt;0,"BIRINCIL",IF(COUNTIF(tblAnahtarB[IkincilB],'ANAHTAR'!$D312)&gt;0,"IKINCIL","YOK")))</f>
        <v/>
      </c>
      <c r="I312" s="15">
        <f>IF($A312="","",'ANAHTAR'!$F312)</f>
        <v/>
      </c>
      <c r="J312" s="15">
        <f>IF(OR($A312="",$D312=0),0,$F312/ABS($D312))</f>
        <v/>
      </c>
      <c r="K312" s="15">
        <f>IF($A312="","",ROUND($D312,2))</f>
        <v/>
      </c>
      <c r="L312" s="15">
        <f>IF($A312="","",ROUND($C312,2))</f>
        <v/>
      </c>
      <c r="M312" s="15">
        <f>IF($A312="","",IF($F312&lt;=toleransKurus,1,0))</f>
        <v/>
      </c>
      <c r="N312" s="15">
        <f>IF($A312="","",IF($F312&gt;kdo_esikFark,1,0))</f>
        <v/>
      </c>
      <c r="O312" s="15">
        <f>IF($A312="","",IFERROR(SUMIF(tblMotor[A_Norm],$A312,tblMotor[SiparisToplam]),0))</f>
        <v/>
      </c>
      <c r="P312" s="15">
        <f>IF($A312="","",$B312+$M312+$N312)</f>
        <v/>
      </c>
    </row>
    <row r="313">
      <c r="A313" s="15">
        <f>IF('ANAHTAR'!$B313="","",'ANAHTAR'!$B313)</f>
        <v/>
      </c>
      <c r="B313" s="15">
        <f>IF($A313="","",COUNTIF(tblAnahtarB[NormB],$A313))</f>
        <v/>
      </c>
      <c r="C313" s="15">
        <f>IF($A313="","",IFERROR(SUMIF(tblMotor[A_Norm],$A313,tblMotor[SiparisToplam]),0))</f>
        <v/>
      </c>
      <c r="D313" s="15">
        <f>IF($A313="","",IFERROR(SUMIF(tblAnahtarA[Norm],$A313,tblVeriA[HedefMaliyet]),0))</f>
        <v/>
      </c>
      <c r="E313" s="15">
        <f>IF($A313="","",ROUND($D313,2)-ROUND($C313,2))</f>
        <v/>
      </c>
      <c r="F313" s="15">
        <f>IF($A313="","",ABS($E313))</f>
        <v/>
      </c>
      <c r="G313" s="15">
        <f>IF($A313="","",IF($B313=0,"eslesmedi",IF(ROUND($D313,2)=ROUND($C313,2),"eslesti",IF(ABS(ROUND($D313,2)-ROUND($C313,2))&lt;=toleransKurus,"tolerans_icinde","tutar_farki"))))</f>
        <v/>
      </c>
      <c r="H313" s="15">
        <f>IF($A313="","",IF($B313&gt;0,"BIRINCIL",IF(COUNTIF(tblAnahtarB[IkincilB],'ANAHTAR'!$D313)&gt;0,"IKINCIL","YOK")))</f>
        <v/>
      </c>
      <c r="I313" s="15">
        <f>IF($A313="","",'ANAHTAR'!$F313)</f>
        <v/>
      </c>
      <c r="J313" s="15">
        <f>IF(OR($A313="",$D313=0),0,$F313/ABS($D313))</f>
        <v/>
      </c>
      <c r="K313" s="15">
        <f>IF($A313="","",ROUND($D313,2))</f>
        <v/>
      </c>
      <c r="L313" s="15">
        <f>IF($A313="","",ROUND($C313,2))</f>
        <v/>
      </c>
      <c r="M313" s="15">
        <f>IF($A313="","",IF($F313&lt;=toleransKurus,1,0))</f>
        <v/>
      </c>
      <c r="N313" s="15">
        <f>IF($A313="","",IF($F313&gt;kdo_esikFark,1,0))</f>
        <v/>
      </c>
      <c r="O313" s="15">
        <f>IF($A313="","",IFERROR(SUMIF(tblMotor[A_Norm],$A313,tblMotor[SiparisToplam]),0))</f>
        <v/>
      </c>
      <c r="P313" s="15">
        <f>IF($A313="","",$B313+$M313+$N313)</f>
        <v/>
      </c>
    </row>
    <row r="314">
      <c r="A314" s="15">
        <f>IF('ANAHTAR'!$B314="","",'ANAHTAR'!$B314)</f>
        <v/>
      </c>
      <c r="B314" s="15">
        <f>IF($A314="","",COUNTIF(tblAnahtarB[NormB],$A314))</f>
        <v/>
      </c>
      <c r="C314" s="15">
        <f>IF($A314="","",IFERROR(SUMIF(tblMotor[A_Norm],$A314,tblMotor[SiparisToplam]),0))</f>
        <v/>
      </c>
      <c r="D314" s="15">
        <f>IF($A314="","",IFERROR(SUMIF(tblAnahtarA[Norm],$A314,tblVeriA[HedefMaliyet]),0))</f>
        <v/>
      </c>
      <c r="E314" s="15">
        <f>IF($A314="","",ROUND($D314,2)-ROUND($C314,2))</f>
        <v/>
      </c>
      <c r="F314" s="15">
        <f>IF($A314="","",ABS($E314))</f>
        <v/>
      </c>
      <c r="G314" s="15">
        <f>IF($A314="","",IF($B314=0,"eslesmedi",IF(ROUND($D314,2)=ROUND($C314,2),"eslesti",IF(ABS(ROUND($D314,2)-ROUND($C314,2))&lt;=toleransKurus,"tolerans_icinde","tutar_farki"))))</f>
        <v/>
      </c>
      <c r="H314" s="15">
        <f>IF($A314="","",IF($B314&gt;0,"BIRINCIL",IF(COUNTIF(tblAnahtarB[IkincilB],'ANAHTAR'!$D314)&gt;0,"IKINCIL","YOK")))</f>
        <v/>
      </c>
      <c r="I314" s="15">
        <f>IF($A314="","",'ANAHTAR'!$F314)</f>
        <v/>
      </c>
      <c r="J314" s="15">
        <f>IF(OR($A314="",$D314=0),0,$F314/ABS($D314))</f>
        <v/>
      </c>
      <c r="K314" s="15">
        <f>IF($A314="","",ROUND($D314,2))</f>
        <v/>
      </c>
      <c r="L314" s="15">
        <f>IF($A314="","",ROUND($C314,2))</f>
        <v/>
      </c>
      <c r="M314" s="15">
        <f>IF($A314="","",IF($F314&lt;=toleransKurus,1,0))</f>
        <v/>
      </c>
      <c r="N314" s="15">
        <f>IF($A314="","",IF($F314&gt;kdo_esikFark,1,0))</f>
        <v/>
      </c>
      <c r="O314" s="15">
        <f>IF($A314="","",IFERROR(SUMIF(tblMotor[A_Norm],$A314,tblMotor[SiparisToplam]),0))</f>
        <v/>
      </c>
      <c r="P314" s="15">
        <f>IF($A314="","",$B314+$M314+$N314)</f>
        <v/>
      </c>
    </row>
    <row r="315">
      <c r="A315" s="15">
        <f>IF('ANAHTAR'!$B315="","",'ANAHTAR'!$B315)</f>
        <v/>
      </c>
      <c r="B315" s="15">
        <f>IF($A315="","",COUNTIF(tblAnahtarB[NormB],$A315))</f>
        <v/>
      </c>
      <c r="C315" s="15">
        <f>IF($A315="","",IFERROR(SUMIF(tblMotor[A_Norm],$A315,tblMotor[SiparisToplam]),0))</f>
        <v/>
      </c>
      <c r="D315" s="15">
        <f>IF($A315="","",IFERROR(SUMIF(tblAnahtarA[Norm],$A315,tblVeriA[HedefMaliyet]),0))</f>
        <v/>
      </c>
      <c r="E315" s="15">
        <f>IF($A315="","",ROUND($D315,2)-ROUND($C315,2))</f>
        <v/>
      </c>
      <c r="F315" s="15">
        <f>IF($A315="","",ABS($E315))</f>
        <v/>
      </c>
      <c r="G315" s="15">
        <f>IF($A315="","",IF($B315=0,"eslesmedi",IF(ROUND($D315,2)=ROUND($C315,2),"eslesti",IF(ABS(ROUND($D315,2)-ROUND($C315,2))&lt;=toleransKurus,"tolerans_icinde","tutar_farki"))))</f>
        <v/>
      </c>
      <c r="H315" s="15">
        <f>IF($A315="","",IF($B315&gt;0,"BIRINCIL",IF(COUNTIF(tblAnahtarB[IkincilB],'ANAHTAR'!$D315)&gt;0,"IKINCIL","YOK")))</f>
        <v/>
      </c>
      <c r="I315" s="15">
        <f>IF($A315="","",'ANAHTAR'!$F315)</f>
        <v/>
      </c>
      <c r="J315" s="15">
        <f>IF(OR($A315="",$D315=0),0,$F315/ABS($D315))</f>
        <v/>
      </c>
      <c r="K315" s="15">
        <f>IF($A315="","",ROUND($D315,2))</f>
        <v/>
      </c>
      <c r="L315" s="15">
        <f>IF($A315="","",ROUND($C315,2))</f>
        <v/>
      </c>
      <c r="M315" s="15">
        <f>IF($A315="","",IF($F315&lt;=toleransKurus,1,0))</f>
        <v/>
      </c>
      <c r="N315" s="15">
        <f>IF($A315="","",IF($F315&gt;kdo_esikFark,1,0))</f>
        <v/>
      </c>
      <c r="O315" s="15">
        <f>IF($A315="","",IFERROR(SUMIF(tblMotor[A_Norm],$A315,tblMotor[SiparisToplam]),0))</f>
        <v/>
      </c>
      <c r="P315" s="15">
        <f>IF($A315="","",$B315+$M315+$N315)</f>
        <v/>
      </c>
    </row>
    <row r="316">
      <c r="A316" s="15">
        <f>IF('ANAHTAR'!$B316="","",'ANAHTAR'!$B316)</f>
        <v/>
      </c>
      <c r="B316" s="15">
        <f>IF($A316="","",COUNTIF(tblAnahtarB[NormB],$A316))</f>
        <v/>
      </c>
      <c r="C316" s="15">
        <f>IF($A316="","",IFERROR(SUMIF(tblMotor[A_Norm],$A316,tblMotor[SiparisToplam]),0))</f>
        <v/>
      </c>
      <c r="D316" s="15">
        <f>IF($A316="","",IFERROR(SUMIF(tblAnahtarA[Norm],$A316,tblVeriA[HedefMaliyet]),0))</f>
        <v/>
      </c>
      <c r="E316" s="15">
        <f>IF($A316="","",ROUND($D316,2)-ROUND($C316,2))</f>
        <v/>
      </c>
      <c r="F316" s="15">
        <f>IF($A316="","",ABS($E316))</f>
        <v/>
      </c>
      <c r="G316" s="15">
        <f>IF($A316="","",IF($B316=0,"eslesmedi",IF(ROUND($D316,2)=ROUND($C316,2),"eslesti",IF(ABS(ROUND($D316,2)-ROUND($C316,2))&lt;=toleransKurus,"tolerans_icinde","tutar_farki"))))</f>
        <v/>
      </c>
      <c r="H316" s="15">
        <f>IF($A316="","",IF($B316&gt;0,"BIRINCIL",IF(COUNTIF(tblAnahtarB[IkincilB],'ANAHTAR'!$D316)&gt;0,"IKINCIL","YOK")))</f>
        <v/>
      </c>
      <c r="I316" s="15">
        <f>IF($A316="","",'ANAHTAR'!$F316)</f>
        <v/>
      </c>
      <c r="J316" s="15">
        <f>IF(OR($A316="",$D316=0),0,$F316/ABS($D316))</f>
        <v/>
      </c>
      <c r="K316" s="15">
        <f>IF($A316="","",ROUND($D316,2))</f>
        <v/>
      </c>
      <c r="L316" s="15">
        <f>IF($A316="","",ROUND($C316,2))</f>
        <v/>
      </c>
      <c r="M316" s="15">
        <f>IF($A316="","",IF($F316&lt;=toleransKurus,1,0))</f>
        <v/>
      </c>
      <c r="N316" s="15">
        <f>IF($A316="","",IF($F316&gt;kdo_esikFark,1,0))</f>
        <v/>
      </c>
      <c r="O316" s="15">
        <f>IF($A316="","",IFERROR(SUMIF(tblMotor[A_Norm],$A316,tblMotor[SiparisToplam]),0))</f>
        <v/>
      </c>
      <c r="P316" s="15">
        <f>IF($A316="","",$B316+$M316+$N316)</f>
        <v/>
      </c>
    </row>
    <row r="317">
      <c r="A317" s="15">
        <f>IF('ANAHTAR'!$B317="","",'ANAHTAR'!$B317)</f>
        <v/>
      </c>
      <c r="B317" s="15">
        <f>IF($A317="","",COUNTIF(tblAnahtarB[NormB],$A317))</f>
        <v/>
      </c>
      <c r="C317" s="15">
        <f>IF($A317="","",IFERROR(SUMIF(tblMotor[A_Norm],$A317,tblMotor[SiparisToplam]),0))</f>
        <v/>
      </c>
      <c r="D317" s="15">
        <f>IF($A317="","",IFERROR(SUMIF(tblAnahtarA[Norm],$A317,tblVeriA[HedefMaliyet]),0))</f>
        <v/>
      </c>
      <c r="E317" s="15">
        <f>IF($A317="","",ROUND($D317,2)-ROUND($C317,2))</f>
        <v/>
      </c>
      <c r="F317" s="15">
        <f>IF($A317="","",ABS($E317))</f>
        <v/>
      </c>
      <c r="G317" s="15">
        <f>IF($A317="","",IF($B317=0,"eslesmedi",IF(ROUND($D317,2)=ROUND($C317,2),"eslesti",IF(ABS(ROUND($D317,2)-ROUND($C317,2))&lt;=toleransKurus,"tolerans_icinde","tutar_farki"))))</f>
        <v/>
      </c>
      <c r="H317" s="15">
        <f>IF($A317="","",IF($B317&gt;0,"BIRINCIL",IF(COUNTIF(tblAnahtarB[IkincilB],'ANAHTAR'!$D317)&gt;0,"IKINCIL","YOK")))</f>
        <v/>
      </c>
      <c r="I317" s="15">
        <f>IF($A317="","",'ANAHTAR'!$F317)</f>
        <v/>
      </c>
      <c r="J317" s="15">
        <f>IF(OR($A317="",$D317=0),0,$F317/ABS($D317))</f>
        <v/>
      </c>
      <c r="K317" s="15">
        <f>IF($A317="","",ROUND($D317,2))</f>
        <v/>
      </c>
      <c r="L317" s="15">
        <f>IF($A317="","",ROUND($C317,2))</f>
        <v/>
      </c>
      <c r="M317" s="15">
        <f>IF($A317="","",IF($F317&lt;=toleransKurus,1,0))</f>
        <v/>
      </c>
      <c r="N317" s="15">
        <f>IF($A317="","",IF($F317&gt;kdo_esikFark,1,0))</f>
        <v/>
      </c>
      <c r="O317" s="15">
        <f>IF($A317="","",IFERROR(SUMIF(tblMotor[A_Norm],$A317,tblMotor[SiparisToplam]),0))</f>
        <v/>
      </c>
      <c r="P317" s="15">
        <f>IF($A317="","",$B317+$M317+$N317)</f>
        <v/>
      </c>
    </row>
    <row r="318">
      <c r="A318" s="15">
        <f>IF('ANAHTAR'!$B318="","",'ANAHTAR'!$B318)</f>
        <v/>
      </c>
      <c r="B318" s="15">
        <f>IF($A318="","",COUNTIF(tblAnahtarB[NormB],$A318))</f>
        <v/>
      </c>
      <c r="C318" s="15">
        <f>IF($A318="","",IFERROR(SUMIF(tblMotor[A_Norm],$A318,tblMotor[SiparisToplam]),0))</f>
        <v/>
      </c>
      <c r="D318" s="15">
        <f>IF($A318="","",IFERROR(SUMIF(tblAnahtarA[Norm],$A318,tblVeriA[HedefMaliyet]),0))</f>
        <v/>
      </c>
      <c r="E318" s="15">
        <f>IF($A318="","",ROUND($D318,2)-ROUND($C318,2))</f>
        <v/>
      </c>
      <c r="F318" s="15">
        <f>IF($A318="","",ABS($E318))</f>
        <v/>
      </c>
      <c r="G318" s="15">
        <f>IF($A318="","",IF($B318=0,"eslesmedi",IF(ROUND($D318,2)=ROUND($C318,2),"eslesti",IF(ABS(ROUND($D318,2)-ROUND($C318,2))&lt;=toleransKurus,"tolerans_icinde","tutar_farki"))))</f>
        <v/>
      </c>
      <c r="H318" s="15">
        <f>IF($A318="","",IF($B318&gt;0,"BIRINCIL",IF(COUNTIF(tblAnahtarB[IkincilB],'ANAHTAR'!$D318)&gt;0,"IKINCIL","YOK")))</f>
        <v/>
      </c>
      <c r="I318" s="15">
        <f>IF($A318="","",'ANAHTAR'!$F318)</f>
        <v/>
      </c>
      <c r="J318" s="15">
        <f>IF(OR($A318="",$D318=0),0,$F318/ABS($D318))</f>
        <v/>
      </c>
      <c r="K318" s="15">
        <f>IF($A318="","",ROUND($D318,2))</f>
        <v/>
      </c>
      <c r="L318" s="15">
        <f>IF($A318="","",ROUND($C318,2))</f>
        <v/>
      </c>
      <c r="M318" s="15">
        <f>IF($A318="","",IF($F318&lt;=toleransKurus,1,0))</f>
        <v/>
      </c>
      <c r="N318" s="15">
        <f>IF($A318="","",IF($F318&gt;kdo_esikFark,1,0))</f>
        <v/>
      </c>
      <c r="O318" s="15">
        <f>IF($A318="","",IFERROR(SUMIF(tblMotor[A_Norm],$A318,tblMotor[SiparisToplam]),0))</f>
        <v/>
      </c>
      <c r="P318" s="15">
        <f>IF($A318="","",$B318+$M318+$N318)</f>
        <v/>
      </c>
    </row>
    <row r="319">
      <c r="A319" s="15">
        <f>IF('ANAHTAR'!$B319="","",'ANAHTAR'!$B319)</f>
        <v/>
      </c>
      <c r="B319" s="15">
        <f>IF($A319="","",COUNTIF(tblAnahtarB[NormB],$A319))</f>
        <v/>
      </c>
      <c r="C319" s="15">
        <f>IF($A319="","",IFERROR(SUMIF(tblMotor[A_Norm],$A319,tblMotor[SiparisToplam]),0))</f>
        <v/>
      </c>
      <c r="D319" s="15">
        <f>IF($A319="","",IFERROR(SUMIF(tblAnahtarA[Norm],$A319,tblVeriA[HedefMaliyet]),0))</f>
        <v/>
      </c>
      <c r="E319" s="15">
        <f>IF($A319="","",ROUND($D319,2)-ROUND($C319,2))</f>
        <v/>
      </c>
      <c r="F319" s="15">
        <f>IF($A319="","",ABS($E319))</f>
        <v/>
      </c>
      <c r="G319" s="15">
        <f>IF($A319="","",IF($B319=0,"eslesmedi",IF(ROUND($D319,2)=ROUND($C319,2),"eslesti",IF(ABS(ROUND($D319,2)-ROUND($C319,2))&lt;=toleransKurus,"tolerans_icinde","tutar_farki"))))</f>
        <v/>
      </c>
      <c r="H319" s="15">
        <f>IF($A319="","",IF($B319&gt;0,"BIRINCIL",IF(COUNTIF(tblAnahtarB[IkincilB],'ANAHTAR'!$D319)&gt;0,"IKINCIL","YOK")))</f>
        <v/>
      </c>
      <c r="I319" s="15">
        <f>IF($A319="","",'ANAHTAR'!$F319)</f>
        <v/>
      </c>
      <c r="J319" s="15">
        <f>IF(OR($A319="",$D319=0),0,$F319/ABS($D319))</f>
        <v/>
      </c>
      <c r="K319" s="15">
        <f>IF($A319="","",ROUND($D319,2))</f>
        <v/>
      </c>
      <c r="L319" s="15">
        <f>IF($A319="","",ROUND($C319,2))</f>
        <v/>
      </c>
      <c r="M319" s="15">
        <f>IF($A319="","",IF($F319&lt;=toleransKurus,1,0))</f>
        <v/>
      </c>
      <c r="N319" s="15">
        <f>IF($A319="","",IF($F319&gt;kdo_esikFark,1,0))</f>
        <v/>
      </c>
      <c r="O319" s="15">
        <f>IF($A319="","",IFERROR(SUMIF(tblMotor[A_Norm],$A319,tblMotor[SiparisToplam]),0))</f>
        <v/>
      </c>
      <c r="P319" s="15">
        <f>IF($A319="","",$B319+$M319+$N319)</f>
        <v/>
      </c>
    </row>
    <row r="320">
      <c r="A320" s="15">
        <f>IF('ANAHTAR'!$B320="","",'ANAHTAR'!$B320)</f>
        <v/>
      </c>
      <c r="B320" s="15">
        <f>IF($A320="","",COUNTIF(tblAnahtarB[NormB],$A320))</f>
        <v/>
      </c>
      <c r="C320" s="15">
        <f>IF($A320="","",IFERROR(SUMIF(tblMotor[A_Norm],$A320,tblMotor[SiparisToplam]),0))</f>
        <v/>
      </c>
      <c r="D320" s="15">
        <f>IF($A320="","",IFERROR(SUMIF(tblAnahtarA[Norm],$A320,tblVeriA[HedefMaliyet]),0))</f>
        <v/>
      </c>
      <c r="E320" s="15">
        <f>IF($A320="","",ROUND($D320,2)-ROUND($C320,2))</f>
        <v/>
      </c>
      <c r="F320" s="15">
        <f>IF($A320="","",ABS($E320))</f>
        <v/>
      </c>
      <c r="G320" s="15">
        <f>IF($A320="","",IF($B320=0,"eslesmedi",IF(ROUND($D320,2)=ROUND($C320,2),"eslesti",IF(ABS(ROUND($D320,2)-ROUND($C320,2))&lt;=toleransKurus,"tolerans_icinde","tutar_farki"))))</f>
        <v/>
      </c>
      <c r="H320" s="15">
        <f>IF($A320="","",IF($B320&gt;0,"BIRINCIL",IF(COUNTIF(tblAnahtarB[IkincilB],'ANAHTAR'!$D320)&gt;0,"IKINCIL","YOK")))</f>
        <v/>
      </c>
      <c r="I320" s="15">
        <f>IF($A320="","",'ANAHTAR'!$F320)</f>
        <v/>
      </c>
      <c r="J320" s="15">
        <f>IF(OR($A320="",$D320=0),0,$F320/ABS($D320))</f>
        <v/>
      </c>
      <c r="K320" s="15">
        <f>IF($A320="","",ROUND($D320,2))</f>
        <v/>
      </c>
      <c r="L320" s="15">
        <f>IF($A320="","",ROUND($C320,2))</f>
        <v/>
      </c>
      <c r="M320" s="15">
        <f>IF($A320="","",IF($F320&lt;=toleransKurus,1,0))</f>
        <v/>
      </c>
      <c r="N320" s="15">
        <f>IF($A320="","",IF($F320&gt;kdo_esikFark,1,0))</f>
        <v/>
      </c>
      <c r="O320" s="15">
        <f>IF($A320="","",IFERROR(SUMIF(tblMotor[A_Norm],$A320,tblMotor[SiparisToplam]),0))</f>
        <v/>
      </c>
      <c r="P320" s="15">
        <f>IF($A320="","",$B320+$M320+$N320)</f>
        <v/>
      </c>
    </row>
    <row r="321">
      <c r="A321" s="15">
        <f>IF('ANAHTAR'!$B321="","",'ANAHTAR'!$B321)</f>
        <v/>
      </c>
      <c r="B321" s="15">
        <f>IF($A321="","",COUNTIF(tblAnahtarB[NormB],$A321))</f>
        <v/>
      </c>
      <c r="C321" s="15">
        <f>IF($A321="","",IFERROR(SUMIF(tblMotor[A_Norm],$A321,tblMotor[SiparisToplam]),0))</f>
        <v/>
      </c>
      <c r="D321" s="15">
        <f>IF($A321="","",IFERROR(SUMIF(tblAnahtarA[Norm],$A321,tblVeriA[HedefMaliyet]),0))</f>
        <v/>
      </c>
      <c r="E321" s="15">
        <f>IF($A321="","",ROUND($D321,2)-ROUND($C321,2))</f>
        <v/>
      </c>
      <c r="F321" s="15">
        <f>IF($A321="","",ABS($E321))</f>
        <v/>
      </c>
      <c r="G321" s="15">
        <f>IF($A321="","",IF($B321=0,"eslesmedi",IF(ROUND($D321,2)=ROUND($C321,2),"eslesti",IF(ABS(ROUND($D321,2)-ROUND($C321,2))&lt;=toleransKurus,"tolerans_icinde","tutar_farki"))))</f>
        <v/>
      </c>
      <c r="H321" s="15">
        <f>IF($A321="","",IF($B321&gt;0,"BIRINCIL",IF(COUNTIF(tblAnahtarB[IkincilB],'ANAHTAR'!$D321)&gt;0,"IKINCIL","YOK")))</f>
        <v/>
      </c>
      <c r="I321" s="15">
        <f>IF($A321="","",'ANAHTAR'!$F321)</f>
        <v/>
      </c>
      <c r="J321" s="15">
        <f>IF(OR($A321="",$D321=0),0,$F321/ABS($D321))</f>
        <v/>
      </c>
      <c r="K321" s="15">
        <f>IF($A321="","",ROUND($D321,2))</f>
        <v/>
      </c>
      <c r="L321" s="15">
        <f>IF($A321="","",ROUND($C321,2))</f>
        <v/>
      </c>
      <c r="M321" s="15">
        <f>IF($A321="","",IF($F321&lt;=toleransKurus,1,0))</f>
        <v/>
      </c>
      <c r="N321" s="15">
        <f>IF($A321="","",IF($F321&gt;kdo_esikFark,1,0))</f>
        <v/>
      </c>
      <c r="O321" s="15">
        <f>IF($A321="","",IFERROR(SUMIF(tblMotor[A_Norm],$A321,tblMotor[SiparisToplam]),0))</f>
        <v/>
      </c>
      <c r="P321" s="15">
        <f>IF($A321="","",$B321+$M321+$N321)</f>
        <v/>
      </c>
    </row>
    <row r="322">
      <c r="A322" s="15">
        <f>IF('ANAHTAR'!$B322="","",'ANAHTAR'!$B322)</f>
        <v/>
      </c>
      <c r="B322" s="15">
        <f>IF($A322="","",COUNTIF(tblAnahtarB[NormB],$A322))</f>
        <v/>
      </c>
      <c r="C322" s="15">
        <f>IF($A322="","",IFERROR(SUMIF(tblMotor[A_Norm],$A322,tblMotor[SiparisToplam]),0))</f>
        <v/>
      </c>
      <c r="D322" s="15">
        <f>IF($A322="","",IFERROR(SUMIF(tblAnahtarA[Norm],$A322,tblVeriA[HedefMaliyet]),0))</f>
        <v/>
      </c>
      <c r="E322" s="15">
        <f>IF($A322="","",ROUND($D322,2)-ROUND($C322,2))</f>
        <v/>
      </c>
      <c r="F322" s="15">
        <f>IF($A322="","",ABS($E322))</f>
        <v/>
      </c>
      <c r="G322" s="15">
        <f>IF($A322="","",IF($B322=0,"eslesmedi",IF(ROUND($D322,2)=ROUND($C322,2),"eslesti",IF(ABS(ROUND($D322,2)-ROUND($C322,2))&lt;=toleransKurus,"tolerans_icinde","tutar_farki"))))</f>
        <v/>
      </c>
      <c r="H322" s="15">
        <f>IF($A322="","",IF($B322&gt;0,"BIRINCIL",IF(COUNTIF(tblAnahtarB[IkincilB],'ANAHTAR'!$D322)&gt;0,"IKINCIL","YOK")))</f>
        <v/>
      </c>
      <c r="I322" s="15">
        <f>IF($A322="","",'ANAHTAR'!$F322)</f>
        <v/>
      </c>
      <c r="J322" s="15">
        <f>IF(OR($A322="",$D322=0),0,$F322/ABS($D322))</f>
        <v/>
      </c>
      <c r="K322" s="15">
        <f>IF($A322="","",ROUND($D322,2))</f>
        <v/>
      </c>
      <c r="L322" s="15">
        <f>IF($A322="","",ROUND($C322,2))</f>
        <v/>
      </c>
      <c r="M322" s="15">
        <f>IF($A322="","",IF($F322&lt;=toleransKurus,1,0))</f>
        <v/>
      </c>
      <c r="N322" s="15">
        <f>IF($A322="","",IF($F322&gt;kdo_esikFark,1,0))</f>
        <v/>
      </c>
      <c r="O322" s="15">
        <f>IF($A322="","",IFERROR(SUMIF(tblMotor[A_Norm],$A322,tblMotor[SiparisToplam]),0))</f>
        <v/>
      </c>
      <c r="P322" s="15">
        <f>IF($A322="","",$B322+$M322+$N322)</f>
        <v/>
      </c>
    </row>
    <row r="323">
      <c r="A323" s="15">
        <f>IF('ANAHTAR'!$B323="","",'ANAHTAR'!$B323)</f>
        <v/>
      </c>
      <c r="B323" s="15">
        <f>IF($A323="","",COUNTIF(tblAnahtarB[NormB],$A323))</f>
        <v/>
      </c>
      <c r="C323" s="15">
        <f>IF($A323="","",IFERROR(SUMIF(tblMotor[A_Norm],$A323,tblMotor[SiparisToplam]),0))</f>
        <v/>
      </c>
      <c r="D323" s="15">
        <f>IF($A323="","",IFERROR(SUMIF(tblAnahtarA[Norm],$A323,tblVeriA[HedefMaliyet]),0))</f>
        <v/>
      </c>
      <c r="E323" s="15">
        <f>IF($A323="","",ROUND($D323,2)-ROUND($C323,2))</f>
        <v/>
      </c>
      <c r="F323" s="15">
        <f>IF($A323="","",ABS($E323))</f>
        <v/>
      </c>
      <c r="G323" s="15">
        <f>IF($A323="","",IF($B323=0,"eslesmedi",IF(ROUND($D323,2)=ROUND($C323,2),"eslesti",IF(ABS(ROUND($D323,2)-ROUND($C323,2))&lt;=toleransKurus,"tolerans_icinde","tutar_farki"))))</f>
        <v/>
      </c>
      <c r="H323" s="15">
        <f>IF($A323="","",IF($B323&gt;0,"BIRINCIL",IF(COUNTIF(tblAnahtarB[IkincilB],'ANAHTAR'!$D323)&gt;0,"IKINCIL","YOK")))</f>
        <v/>
      </c>
      <c r="I323" s="15">
        <f>IF($A323="","",'ANAHTAR'!$F323)</f>
        <v/>
      </c>
      <c r="J323" s="15">
        <f>IF(OR($A323="",$D323=0),0,$F323/ABS($D323))</f>
        <v/>
      </c>
      <c r="K323" s="15">
        <f>IF($A323="","",ROUND($D323,2))</f>
        <v/>
      </c>
      <c r="L323" s="15">
        <f>IF($A323="","",ROUND($C323,2))</f>
        <v/>
      </c>
      <c r="M323" s="15">
        <f>IF($A323="","",IF($F323&lt;=toleransKurus,1,0))</f>
        <v/>
      </c>
      <c r="N323" s="15">
        <f>IF($A323="","",IF($F323&gt;kdo_esikFark,1,0))</f>
        <v/>
      </c>
      <c r="O323" s="15">
        <f>IF($A323="","",IFERROR(SUMIF(tblMotor[A_Norm],$A323,tblMotor[SiparisToplam]),0))</f>
        <v/>
      </c>
      <c r="P323" s="15">
        <f>IF($A323="","",$B323+$M323+$N323)</f>
        <v/>
      </c>
    </row>
    <row r="324">
      <c r="A324" s="15">
        <f>IF('ANAHTAR'!$B324="","",'ANAHTAR'!$B324)</f>
        <v/>
      </c>
      <c r="B324" s="15">
        <f>IF($A324="","",COUNTIF(tblAnahtarB[NormB],$A324))</f>
        <v/>
      </c>
      <c r="C324" s="15">
        <f>IF($A324="","",IFERROR(SUMIF(tblMotor[A_Norm],$A324,tblMotor[SiparisToplam]),0))</f>
        <v/>
      </c>
      <c r="D324" s="15">
        <f>IF($A324="","",IFERROR(SUMIF(tblAnahtarA[Norm],$A324,tblVeriA[HedefMaliyet]),0))</f>
        <v/>
      </c>
      <c r="E324" s="15">
        <f>IF($A324="","",ROUND($D324,2)-ROUND($C324,2))</f>
        <v/>
      </c>
      <c r="F324" s="15">
        <f>IF($A324="","",ABS($E324))</f>
        <v/>
      </c>
      <c r="G324" s="15">
        <f>IF($A324="","",IF($B324=0,"eslesmedi",IF(ROUND($D324,2)=ROUND($C324,2),"eslesti",IF(ABS(ROUND($D324,2)-ROUND($C324,2))&lt;=toleransKurus,"tolerans_icinde","tutar_farki"))))</f>
        <v/>
      </c>
      <c r="H324" s="15">
        <f>IF($A324="","",IF($B324&gt;0,"BIRINCIL",IF(COUNTIF(tblAnahtarB[IkincilB],'ANAHTAR'!$D324)&gt;0,"IKINCIL","YOK")))</f>
        <v/>
      </c>
      <c r="I324" s="15">
        <f>IF($A324="","",'ANAHTAR'!$F324)</f>
        <v/>
      </c>
      <c r="J324" s="15">
        <f>IF(OR($A324="",$D324=0),0,$F324/ABS($D324))</f>
        <v/>
      </c>
      <c r="K324" s="15">
        <f>IF($A324="","",ROUND($D324,2))</f>
        <v/>
      </c>
      <c r="L324" s="15">
        <f>IF($A324="","",ROUND($C324,2))</f>
        <v/>
      </c>
      <c r="M324" s="15">
        <f>IF($A324="","",IF($F324&lt;=toleransKurus,1,0))</f>
        <v/>
      </c>
      <c r="N324" s="15">
        <f>IF($A324="","",IF($F324&gt;kdo_esikFark,1,0))</f>
        <v/>
      </c>
      <c r="O324" s="15">
        <f>IF($A324="","",IFERROR(SUMIF(tblMotor[A_Norm],$A324,tblMotor[SiparisToplam]),0))</f>
        <v/>
      </c>
      <c r="P324" s="15">
        <f>IF($A324="","",$B324+$M324+$N324)</f>
        <v/>
      </c>
    </row>
    <row r="325">
      <c r="A325" s="15">
        <f>IF('ANAHTAR'!$B325="","",'ANAHTAR'!$B325)</f>
        <v/>
      </c>
      <c r="B325" s="15">
        <f>IF($A325="","",COUNTIF(tblAnahtarB[NormB],$A325))</f>
        <v/>
      </c>
      <c r="C325" s="15">
        <f>IF($A325="","",IFERROR(SUMIF(tblMotor[A_Norm],$A325,tblMotor[SiparisToplam]),0))</f>
        <v/>
      </c>
      <c r="D325" s="15">
        <f>IF($A325="","",IFERROR(SUMIF(tblAnahtarA[Norm],$A325,tblVeriA[HedefMaliyet]),0))</f>
        <v/>
      </c>
      <c r="E325" s="15">
        <f>IF($A325="","",ROUND($D325,2)-ROUND($C325,2))</f>
        <v/>
      </c>
      <c r="F325" s="15">
        <f>IF($A325="","",ABS($E325))</f>
        <v/>
      </c>
      <c r="G325" s="15">
        <f>IF($A325="","",IF($B325=0,"eslesmedi",IF(ROUND($D325,2)=ROUND($C325,2),"eslesti",IF(ABS(ROUND($D325,2)-ROUND($C325,2))&lt;=toleransKurus,"tolerans_icinde","tutar_farki"))))</f>
        <v/>
      </c>
      <c r="H325" s="15">
        <f>IF($A325="","",IF($B325&gt;0,"BIRINCIL",IF(COUNTIF(tblAnahtarB[IkincilB],'ANAHTAR'!$D325)&gt;0,"IKINCIL","YOK")))</f>
        <v/>
      </c>
      <c r="I325" s="15">
        <f>IF($A325="","",'ANAHTAR'!$F325)</f>
        <v/>
      </c>
      <c r="J325" s="15">
        <f>IF(OR($A325="",$D325=0),0,$F325/ABS($D325))</f>
        <v/>
      </c>
      <c r="K325" s="15">
        <f>IF($A325="","",ROUND($D325,2))</f>
        <v/>
      </c>
      <c r="L325" s="15">
        <f>IF($A325="","",ROUND($C325,2))</f>
        <v/>
      </c>
      <c r="M325" s="15">
        <f>IF($A325="","",IF($F325&lt;=toleransKurus,1,0))</f>
        <v/>
      </c>
      <c r="N325" s="15">
        <f>IF($A325="","",IF($F325&gt;kdo_esikFark,1,0))</f>
        <v/>
      </c>
      <c r="O325" s="15">
        <f>IF($A325="","",IFERROR(SUMIF(tblMotor[A_Norm],$A325,tblMotor[SiparisToplam]),0))</f>
        <v/>
      </c>
      <c r="P325" s="15">
        <f>IF($A325="","",$B325+$M325+$N325)</f>
        <v/>
      </c>
    </row>
    <row r="326">
      <c r="A326" s="15">
        <f>IF('ANAHTAR'!$B326="","",'ANAHTAR'!$B326)</f>
        <v/>
      </c>
      <c r="B326" s="15">
        <f>IF($A326="","",COUNTIF(tblAnahtarB[NormB],$A326))</f>
        <v/>
      </c>
      <c r="C326" s="15">
        <f>IF($A326="","",IFERROR(SUMIF(tblMotor[A_Norm],$A326,tblMotor[SiparisToplam]),0))</f>
        <v/>
      </c>
      <c r="D326" s="15">
        <f>IF($A326="","",IFERROR(SUMIF(tblAnahtarA[Norm],$A326,tblVeriA[HedefMaliyet]),0))</f>
        <v/>
      </c>
      <c r="E326" s="15">
        <f>IF($A326="","",ROUND($D326,2)-ROUND($C326,2))</f>
        <v/>
      </c>
      <c r="F326" s="15">
        <f>IF($A326="","",ABS($E326))</f>
        <v/>
      </c>
      <c r="G326" s="15">
        <f>IF($A326="","",IF($B326=0,"eslesmedi",IF(ROUND($D326,2)=ROUND($C326,2),"eslesti",IF(ABS(ROUND($D326,2)-ROUND($C326,2))&lt;=toleransKurus,"tolerans_icinde","tutar_farki"))))</f>
        <v/>
      </c>
      <c r="H326" s="15">
        <f>IF($A326="","",IF($B326&gt;0,"BIRINCIL",IF(COUNTIF(tblAnahtarB[IkincilB],'ANAHTAR'!$D326)&gt;0,"IKINCIL","YOK")))</f>
        <v/>
      </c>
      <c r="I326" s="15">
        <f>IF($A326="","",'ANAHTAR'!$F326)</f>
        <v/>
      </c>
      <c r="J326" s="15">
        <f>IF(OR($A326="",$D326=0),0,$F326/ABS($D326))</f>
        <v/>
      </c>
      <c r="K326" s="15">
        <f>IF($A326="","",ROUND($D326,2))</f>
        <v/>
      </c>
      <c r="L326" s="15">
        <f>IF($A326="","",ROUND($C326,2))</f>
        <v/>
      </c>
      <c r="M326" s="15">
        <f>IF($A326="","",IF($F326&lt;=toleransKurus,1,0))</f>
        <v/>
      </c>
      <c r="N326" s="15">
        <f>IF($A326="","",IF($F326&gt;kdo_esikFark,1,0))</f>
        <v/>
      </c>
      <c r="O326" s="15">
        <f>IF($A326="","",IFERROR(SUMIF(tblMotor[A_Norm],$A326,tblMotor[SiparisToplam]),0))</f>
        <v/>
      </c>
      <c r="P326" s="15">
        <f>IF($A326="","",$B326+$M326+$N326)</f>
        <v/>
      </c>
    </row>
    <row r="327">
      <c r="A327" s="15">
        <f>IF('ANAHTAR'!$B327="","",'ANAHTAR'!$B327)</f>
        <v/>
      </c>
      <c r="B327" s="15">
        <f>IF($A327="","",COUNTIF(tblAnahtarB[NormB],$A327))</f>
        <v/>
      </c>
      <c r="C327" s="15">
        <f>IF($A327="","",IFERROR(SUMIF(tblMotor[A_Norm],$A327,tblMotor[SiparisToplam]),0))</f>
        <v/>
      </c>
      <c r="D327" s="15">
        <f>IF($A327="","",IFERROR(SUMIF(tblAnahtarA[Norm],$A327,tblVeriA[HedefMaliyet]),0))</f>
        <v/>
      </c>
      <c r="E327" s="15">
        <f>IF($A327="","",ROUND($D327,2)-ROUND($C327,2))</f>
        <v/>
      </c>
      <c r="F327" s="15">
        <f>IF($A327="","",ABS($E327))</f>
        <v/>
      </c>
      <c r="G327" s="15">
        <f>IF($A327="","",IF($B327=0,"eslesmedi",IF(ROUND($D327,2)=ROUND($C327,2),"eslesti",IF(ABS(ROUND($D327,2)-ROUND($C327,2))&lt;=toleransKurus,"tolerans_icinde","tutar_farki"))))</f>
        <v/>
      </c>
      <c r="H327" s="15">
        <f>IF($A327="","",IF($B327&gt;0,"BIRINCIL",IF(COUNTIF(tblAnahtarB[IkincilB],'ANAHTAR'!$D327)&gt;0,"IKINCIL","YOK")))</f>
        <v/>
      </c>
      <c r="I327" s="15">
        <f>IF($A327="","",'ANAHTAR'!$F327)</f>
        <v/>
      </c>
      <c r="J327" s="15">
        <f>IF(OR($A327="",$D327=0),0,$F327/ABS($D327))</f>
        <v/>
      </c>
      <c r="K327" s="15">
        <f>IF($A327="","",ROUND($D327,2))</f>
        <v/>
      </c>
      <c r="L327" s="15">
        <f>IF($A327="","",ROUND($C327,2))</f>
        <v/>
      </c>
      <c r="M327" s="15">
        <f>IF($A327="","",IF($F327&lt;=toleransKurus,1,0))</f>
        <v/>
      </c>
      <c r="N327" s="15">
        <f>IF($A327="","",IF($F327&gt;kdo_esikFark,1,0))</f>
        <v/>
      </c>
      <c r="O327" s="15">
        <f>IF($A327="","",IFERROR(SUMIF(tblMotor[A_Norm],$A327,tblMotor[SiparisToplam]),0))</f>
        <v/>
      </c>
      <c r="P327" s="15">
        <f>IF($A327="","",$B327+$M327+$N327)</f>
        <v/>
      </c>
    </row>
    <row r="328">
      <c r="A328" s="15">
        <f>IF('ANAHTAR'!$B328="","",'ANAHTAR'!$B328)</f>
        <v/>
      </c>
      <c r="B328" s="15">
        <f>IF($A328="","",COUNTIF(tblAnahtarB[NormB],$A328))</f>
        <v/>
      </c>
      <c r="C328" s="15">
        <f>IF($A328="","",IFERROR(SUMIF(tblMotor[A_Norm],$A328,tblMotor[SiparisToplam]),0))</f>
        <v/>
      </c>
      <c r="D328" s="15">
        <f>IF($A328="","",IFERROR(SUMIF(tblAnahtarA[Norm],$A328,tblVeriA[HedefMaliyet]),0))</f>
        <v/>
      </c>
      <c r="E328" s="15">
        <f>IF($A328="","",ROUND($D328,2)-ROUND($C328,2))</f>
        <v/>
      </c>
      <c r="F328" s="15">
        <f>IF($A328="","",ABS($E328))</f>
        <v/>
      </c>
      <c r="G328" s="15">
        <f>IF($A328="","",IF($B328=0,"eslesmedi",IF(ROUND($D328,2)=ROUND($C328,2),"eslesti",IF(ABS(ROUND($D328,2)-ROUND($C328,2))&lt;=toleransKurus,"tolerans_icinde","tutar_farki"))))</f>
        <v/>
      </c>
      <c r="H328" s="15">
        <f>IF($A328="","",IF($B328&gt;0,"BIRINCIL",IF(COUNTIF(tblAnahtarB[IkincilB],'ANAHTAR'!$D328)&gt;0,"IKINCIL","YOK")))</f>
        <v/>
      </c>
      <c r="I328" s="15">
        <f>IF($A328="","",'ANAHTAR'!$F328)</f>
        <v/>
      </c>
      <c r="J328" s="15">
        <f>IF(OR($A328="",$D328=0),0,$F328/ABS($D328))</f>
        <v/>
      </c>
      <c r="K328" s="15">
        <f>IF($A328="","",ROUND($D328,2))</f>
        <v/>
      </c>
      <c r="L328" s="15">
        <f>IF($A328="","",ROUND($C328,2))</f>
        <v/>
      </c>
      <c r="M328" s="15">
        <f>IF($A328="","",IF($F328&lt;=toleransKurus,1,0))</f>
        <v/>
      </c>
      <c r="N328" s="15">
        <f>IF($A328="","",IF($F328&gt;kdo_esikFark,1,0))</f>
        <v/>
      </c>
      <c r="O328" s="15">
        <f>IF($A328="","",IFERROR(SUMIF(tblMotor[A_Norm],$A328,tblMotor[SiparisToplam]),0))</f>
        <v/>
      </c>
      <c r="P328" s="15">
        <f>IF($A328="","",$B328+$M328+$N328)</f>
        <v/>
      </c>
    </row>
    <row r="329">
      <c r="A329" s="15">
        <f>IF('ANAHTAR'!$B329="","",'ANAHTAR'!$B329)</f>
        <v/>
      </c>
      <c r="B329" s="15">
        <f>IF($A329="","",COUNTIF(tblAnahtarB[NormB],$A329))</f>
        <v/>
      </c>
      <c r="C329" s="15">
        <f>IF($A329="","",IFERROR(SUMIF(tblMotor[A_Norm],$A329,tblMotor[SiparisToplam]),0))</f>
        <v/>
      </c>
      <c r="D329" s="15">
        <f>IF($A329="","",IFERROR(SUMIF(tblAnahtarA[Norm],$A329,tblVeriA[HedefMaliyet]),0))</f>
        <v/>
      </c>
      <c r="E329" s="15">
        <f>IF($A329="","",ROUND($D329,2)-ROUND($C329,2))</f>
        <v/>
      </c>
      <c r="F329" s="15">
        <f>IF($A329="","",ABS($E329))</f>
        <v/>
      </c>
      <c r="G329" s="15">
        <f>IF($A329="","",IF($B329=0,"eslesmedi",IF(ROUND($D329,2)=ROUND($C329,2),"eslesti",IF(ABS(ROUND($D329,2)-ROUND($C329,2))&lt;=toleransKurus,"tolerans_icinde","tutar_farki"))))</f>
        <v/>
      </c>
      <c r="H329" s="15">
        <f>IF($A329="","",IF($B329&gt;0,"BIRINCIL",IF(COUNTIF(tblAnahtarB[IkincilB],'ANAHTAR'!$D329)&gt;0,"IKINCIL","YOK")))</f>
        <v/>
      </c>
      <c r="I329" s="15">
        <f>IF($A329="","",'ANAHTAR'!$F329)</f>
        <v/>
      </c>
      <c r="J329" s="15">
        <f>IF(OR($A329="",$D329=0),0,$F329/ABS($D329))</f>
        <v/>
      </c>
      <c r="K329" s="15">
        <f>IF($A329="","",ROUND($D329,2))</f>
        <v/>
      </c>
      <c r="L329" s="15">
        <f>IF($A329="","",ROUND($C329,2))</f>
        <v/>
      </c>
      <c r="M329" s="15">
        <f>IF($A329="","",IF($F329&lt;=toleransKurus,1,0))</f>
        <v/>
      </c>
      <c r="N329" s="15">
        <f>IF($A329="","",IF($F329&gt;kdo_esikFark,1,0))</f>
        <v/>
      </c>
      <c r="O329" s="15">
        <f>IF($A329="","",IFERROR(SUMIF(tblMotor[A_Norm],$A329,tblMotor[SiparisToplam]),0))</f>
        <v/>
      </c>
      <c r="P329" s="15">
        <f>IF($A329="","",$B329+$M329+$N329)</f>
        <v/>
      </c>
    </row>
    <row r="330">
      <c r="A330" s="15">
        <f>IF('ANAHTAR'!$B330="","",'ANAHTAR'!$B330)</f>
        <v/>
      </c>
      <c r="B330" s="15">
        <f>IF($A330="","",COUNTIF(tblAnahtarB[NormB],$A330))</f>
        <v/>
      </c>
      <c r="C330" s="15">
        <f>IF($A330="","",IFERROR(SUMIF(tblMotor[A_Norm],$A330,tblMotor[SiparisToplam]),0))</f>
        <v/>
      </c>
      <c r="D330" s="15">
        <f>IF($A330="","",IFERROR(SUMIF(tblAnahtarA[Norm],$A330,tblVeriA[HedefMaliyet]),0))</f>
        <v/>
      </c>
      <c r="E330" s="15">
        <f>IF($A330="","",ROUND($D330,2)-ROUND($C330,2))</f>
        <v/>
      </c>
      <c r="F330" s="15">
        <f>IF($A330="","",ABS($E330))</f>
        <v/>
      </c>
      <c r="G330" s="15">
        <f>IF($A330="","",IF($B330=0,"eslesmedi",IF(ROUND($D330,2)=ROUND($C330,2),"eslesti",IF(ABS(ROUND($D330,2)-ROUND($C330,2))&lt;=toleransKurus,"tolerans_icinde","tutar_farki"))))</f>
        <v/>
      </c>
      <c r="H330" s="15">
        <f>IF($A330="","",IF($B330&gt;0,"BIRINCIL",IF(COUNTIF(tblAnahtarB[IkincilB],'ANAHTAR'!$D330)&gt;0,"IKINCIL","YOK")))</f>
        <v/>
      </c>
      <c r="I330" s="15">
        <f>IF($A330="","",'ANAHTAR'!$F330)</f>
        <v/>
      </c>
      <c r="J330" s="15">
        <f>IF(OR($A330="",$D330=0),0,$F330/ABS($D330))</f>
        <v/>
      </c>
      <c r="K330" s="15">
        <f>IF($A330="","",ROUND($D330,2))</f>
        <v/>
      </c>
      <c r="L330" s="15">
        <f>IF($A330="","",ROUND($C330,2))</f>
        <v/>
      </c>
      <c r="M330" s="15">
        <f>IF($A330="","",IF($F330&lt;=toleransKurus,1,0))</f>
        <v/>
      </c>
      <c r="N330" s="15">
        <f>IF($A330="","",IF($F330&gt;kdo_esikFark,1,0))</f>
        <v/>
      </c>
      <c r="O330" s="15">
        <f>IF($A330="","",IFERROR(SUMIF(tblMotor[A_Norm],$A330,tblMotor[SiparisToplam]),0))</f>
        <v/>
      </c>
      <c r="P330" s="15">
        <f>IF($A330="","",$B330+$M330+$N330)</f>
        <v/>
      </c>
    </row>
    <row r="331">
      <c r="A331" s="15">
        <f>IF('ANAHTAR'!$B331="","",'ANAHTAR'!$B331)</f>
        <v/>
      </c>
      <c r="B331" s="15">
        <f>IF($A331="","",COUNTIF(tblAnahtarB[NormB],$A331))</f>
        <v/>
      </c>
      <c r="C331" s="15">
        <f>IF($A331="","",IFERROR(SUMIF(tblMotor[A_Norm],$A331,tblMotor[SiparisToplam]),0))</f>
        <v/>
      </c>
      <c r="D331" s="15">
        <f>IF($A331="","",IFERROR(SUMIF(tblAnahtarA[Norm],$A331,tblVeriA[HedefMaliyet]),0))</f>
        <v/>
      </c>
      <c r="E331" s="15">
        <f>IF($A331="","",ROUND($D331,2)-ROUND($C331,2))</f>
        <v/>
      </c>
      <c r="F331" s="15">
        <f>IF($A331="","",ABS($E331))</f>
        <v/>
      </c>
      <c r="G331" s="15">
        <f>IF($A331="","",IF($B331=0,"eslesmedi",IF(ROUND($D331,2)=ROUND($C331,2),"eslesti",IF(ABS(ROUND($D331,2)-ROUND($C331,2))&lt;=toleransKurus,"tolerans_icinde","tutar_farki"))))</f>
        <v/>
      </c>
      <c r="H331" s="15">
        <f>IF($A331="","",IF($B331&gt;0,"BIRINCIL",IF(COUNTIF(tblAnahtarB[IkincilB],'ANAHTAR'!$D331)&gt;0,"IKINCIL","YOK")))</f>
        <v/>
      </c>
      <c r="I331" s="15">
        <f>IF($A331="","",'ANAHTAR'!$F331)</f>
        <v/>
      </c>
      <c r="J331" s="15">
        <f>IF(OR($A331="",$D331=0),0,$F331/ABS($D331))</f>
        <v/>
      </c>
      <c r="K331" s="15">
        <f>IF($A331="","",ROUND($D331,2))</f>
        <v/>
      </c>
      <c r="L331" s="15">
        <f>IF($A331="","",ROUND($C331,2))</f>
        <v/>
      </c>
      <c r="M331" s="15">
        <f>IF($A331="","",IF($F331&lt;=toleransKurus,1,0))</f>
        <v/>
      </c>
      <c r="N331" s="15">
        <f>IF($A331="","",IF($F331&gt;kdo_esikFark,1,0))</f>
        <v/>
      </c>
      <c r="O331" s="15">
        <f>IF($A331="","",IFERROR(SUMIF(tblMotor[A_Norm],$A331,tblMotor[SiparisToplam]),0))</f>
        <v/>
      </c>
      <c r="P331" s="15">
        <f>IF($A331="","",$B331+$M331+$N331)</f>
        <v/>
      </c>
    </row>
    <row r="332">
      <c r="A332" s="15">
        <f>IF('ANAHTAR'!$B332="","",'ANAHTAR'!$B332)</f>
        <v/>
      </c>
      <c r="B332" s="15">
        <f>IF($A332="","",COUNTIF(tblAnahtarB[NormB],$A332))</f>
        <v/>
      </c>
      <c r="C332" s="15">
        <f>IF($A332="","",IFERROR(SUMIF(tblMotor[A_Norm],$A332,tblMotor[SiparisToplam]),0))</f>
        <v/>
      </c>
      <c r="D332" s="15">
        <f>IF($A332="","",IFERROR(SUMIF(tblAnahtarA[Norm],$A332,tblVeriA[HedefMaliyet]),0))</f>
        <v/>
      </c>
      <c r="E332" s="15">
        <f>IF($A332="","",ROUND($D332,2)-ROUND($C332,2))</f>
        <v/>
      </c>
      <c r="F332" s="15">
        <f>IF($A332="","",ABS($E332))</f>
        <v/>
      </c>
      <c r="G332" s="15">
        <f>IF($A332="","",IF($B332=0,"eslesmedi",IF(ROUND($D332,2)=ROUND($C332,2),"eslesti",IF(ABS(ROUND($D332,2)-ROUND($C332,2))&lt;=toleransKurus,"tolerans_icinde","tutar_farki"))))</f>
        <v/>
      </c>
      <c r="H332" s="15">
        <f>IF($A332="","",IF($B332&gt;0,"BIRINCIL",IF(COUNTIF(tblAnahtarB[IkincilB],'ANAHTAR'!$D332)&gt;0,"IKINCIL","YOK")))</f>
        <v/>
      </c>
      <c r="I332" s="15">
        <f>IF($A332="","",'ANAHTAR'!$F332)</f>
        <v/>
      </c>
      <c r="J332" s="15">
        <f>IF(OR($A332="",$D332=0),0,$F332/ABS($D332))</f>
        <v/>
      </c>
      <c r="K332" s="15">
        <f>IF($A332="","",ROUND($D332,2))</f>
        <v/>
      </c>
      <c r="L332" s="15">
        <f>IF($A332="","",ROUND($C332,2))</f>
        <v/>
      </c>
      <c r="M332" s="15">
        <f>IF($A332="","",IF($F332&lt;=toleransKurus,1,0))</f>
        <v/>
      </c>
      <c r="N332" s="15">
        <f>IF($A332="","",IF($F332&gt;kdo_esikFark,1,0))</f>
        <v/>
      </c>
      <c r="O332" s="15">
        <f>IF($A332="","",IFERROR(SUMIF(tblMotor[A_Norm],$A332,tblMotor[SiparisToplam]),0))</f>
        <v/>
      </c>
      <c r="P332" s="15">
        <f>IF($A332="","",$B332+$M332+$N332)</f>
        <v/>
      </c>
    </row>
    <row r="333">
      <c r="A333" s="15">
        <f>IF('ANAHTAR'!$B333="","",'ANAHTAR'!$B333)</f>
        <v/>
      </c>
      <c r="B333" s="15">
        <f>IF($A333="","",COUNTIF(tblAnahtarB[NormB],$A333))</f>
        <v/>
      </c>
      <c r="C333" s="15">
        <f>IF($A333="","",IFERROR(SUMIF(tblMotor[A_Norm],$A333,tblMotor[SiparisToplam]),0))</f>
        <v/>
      </c>
      <c r="D333" s="15">
        <f>IF($A333="","",IFERROR(SUMIF(tblAnahtarA[Norm],$A333,tblVeriA[HedefMaliyet]),0))</f>
        <v/>
      </c>
      <c r="E333" s="15">
        <f>IF($A333="","",ROUND($D333,2)-ROUND($C333,2))</f>
        <v/>
      </c>
      <c r="F333" s="15">
        <f>IF($A333="","",ABS($E333))</f>
        <v/>
      </c>
      <c r="G333" s="15">
        <f>IF($A333="","",IF($B333=0,"eslesmedi",IF(ROUND($D333,2)=ROUND($C333,2),"eslesti",IF(ABS(ROUND($D333,2)-ROUND($C333,2))&lt;=toleransKurus,"tolerans_icinde","tutar_farki"))))</f>
        <v/>
      </c>
      <c r="H333" s="15">
        <f>IF($A333="","",IF($B333&gt;0,"BIRINCIL",IF(COUNTIF(tblAnahtarB[IkincilB],'ANAHTAR'!$D333)&gt;0,"IKINCIL","YOK")))</f>
        <v/>
      </c>
      <c r="I333" s="15">
        <f>IF($A333="","",'ANAHTAR'!$F333)</f>
        <v/>
      </c>
      <c r="J333" s="15">
        <f>IF(OR($A333="",$D333=0),0,$F333/ABS($D333))</f>
        <v/>
      </c>
      <c r="K333" s="15">
        <f>IF($A333="","",ROUND($D333,2))</f>
        <v/>
      </c>
      <c r="L333" s="15">
        <f>IF($A333="","",ROUND($C333,2))</f>
        <v/>
      </c>
      <c r="M333" s="15">
        <f>IF($A333="","",IF($F333&lt;=toleransKurus,1,0))</f>
        <v/>
      </c>
      <c r="N333" s="15">
        <f>IF($A333="","",IF($F333&gt;kdo_esikFark,1,0))</f>
        <v/>
      </c>
      <c r="O333" s="15">
        <f>IF($A333="","",IFERROR(SUMIF(tblMotor[A_Norm],$A333,tblMotor[SiparisToplam]),0))</f>
        <v/>
      </c>
      <c r="P333" s="15">
        <f>IF($A333="","",$B333+$M333+$N333)</f>
        <v/>
      </c>
    </row>
    <row r="334">
      <c r="A334" s="15">
        <f>IF('ANAHTAR'!$B334="","",'ANAHTAR'!$B334)</f>
        <v/>
      </c>
      <c r="B334" s="15">
        <f>IF($A334="","",COUNTIF(tblAnahtarB[NormB],$A334))</f>
        <v/>
      </c>
      <c r="C334" s="15">
        <f>IF($A334="","",IFERROR(SUMIF(tblMotor[A_Norm],$A334,tblMotor[SiparisToplam]),0))</f>
        <v/>
      </c>
      <c r="D334" s="15">
        <f>IF($A334="","",IFERROR(SUMIF(tblAnahtarA[Norm],$A334,tblVeriA[HedefMaliyet]),0))</f>
        <v/>
      </c>
      <c r="E334" s="15">
        <f>IF($A334="","",ROUND($D334,2)-ROUND($C334,2))</f>
        <v/>
      </c>
      <c r="F334" s="15">
        <f>IF($A334="","",ABS($E334))</f>
        <v/>
      </c>
      <c r="G334" s="15">
        <f>IF($A334="","",IF($B334=0,"eslesmedi",IF(ROUND($D334,2)=ROUND($C334,2),"eslesti",IF(ABS(ROUND($D334,2)-ROUND($C334,2))&lt;=toleransKurus,"tolerans_icinde","tutar_farki"))))</f>
        <v/>
      </c>
      <c r="H334" s="15">
        <f>IF($A334="","",IF($B334&gt;0,"BIRINCIL",IF(COUNTIF(tblAnahtarB[IkincilB],'ANAHTAR'!$D334)&gt;0,"IKINCIL","YOK")))</f>
        <v/>
      </c>
      <c r="I334" s="15">
        <f>IF($A334="","",'ANAHTAR'!$F334)</f>
        <v/>
      </c>
      <c r="J334" s="15">
        <f>IF(OR($A334="",$D334=0),0,$F334/ABS($D334))</f>
        <v/>
      </c>
      <c r="K334" s="15">
        <f>IF($A334="","",ROUND($D334,2))</f>
        <v/>
      </c>
      <c r="L334" s="15">
        <f>IF($A334="","",ROUND($C334,2))</f>
        <v/>
      </c>
      <c r="M334" s="15">
        <f>IF($A334="","",IF($F334&lt;=toleransKurus,1,0))</f>
        <v/>
      </c>
      <c r="N334" s="15">
        <f>IF($A334="","",IF($F334&gt;kdo_esikFark,1,0))</f>
        <v/>
      </c>
      <c r="O334" s="15">
        <f>IF($A334="","",IFERROR(SUMIF(tblMotor[A_Norm],$A334,tblMotor[SiparisToplam]),0))</f>
        <v/>
      </c>
      <c r="P334" s="15">
        <f>IF($A334="","",$B334+$M334+$N334)</f>
        <v/>
      </c>
    </row>
    <row r="335">
      <c r="A335" s="15">
        <f>IF('ANAHTAR'!$B335="","",'ANAHTAR'!$B335)</f>
        <v/>
      </c>
      <c r="B335" s="15">
        <f>IF($A335="","",COUNTIF(tblAnahtarB[NormB],$A335))</f>
        <v/>
      </c>
      <c r="C335" s="15">
        <f>IF($A335="","",IFERROR(SUMIF(tblMotor[A_Norm],$A335,tblMotor[SiparisToplam]),0))</f>
        <v/>
      </c>
      <c r="D335" s="15">
        <f>IF($A335="","",IFERROR(SUMIF(tblAnahtarA[Norm],$A335,tblVeriA[HedefMaliyet]),0))</f>
        <v/>
      </c>
      <c r="E335" s="15">
        <f>IF($A335="","",ROUND($D335,2)-ROUND($C335,2))</f>
        <v/>
      </c>
      <c r="F335" s="15">
        <f>IF($A335="","",ABS($E335))</f>
        <v/>
      </c>
      <c r="G335" s="15">
        <f>IF($A335="","",IF($B335=0,"eslesmedi",IF(ROUND($D335,2)=ROUND($C335,2),"eslesti",IF(ABS(ROUND($D335,2)-ROUND($C335,2))&lt;=toleransKurus,"tolerans_icinde","tutar_farki"))))</f>
        <v/>
      </c>
      <c r="H335" s="15">
        <f>IF($A335="","",IF($B335&gt;0,"BIRINCIL",IF(COUNTIF(tblAnahtarB[IkincilB],'ANAHTAR'!$D335)&gt;0,"IKINCIL","YOK")))</f>
        <v/>
      </c>
      <c r="I335" s="15">
        <f>IF($A335="","",'ANAHTAR'!$F335)</f>
        <v/>
      </c>
      <c r="J335" s="15">
        <f>IF(OR($A335="",$D335=0),0,$F335/ABS($D335))</f>
        <v/>
      </c>
      <c r="K335" s="15">
        <f>IF($A335="","",ROUND($D335,2))</f>
        <v/>
      </c>
      <c r="L335" s="15">
        <f>IF($A335="","",ROUND($C335,2))</f>
        <v/>
      </c>
      <c r="M335" s="15">
        <f>IF($A335="","",IF($F335&lt;=toleransKurus,1,0))</f>
        <v/>
      </c>
      <c r="N335" s="15">
        <f>IF($A335="","",IF($F335&gt;kdo_esikFark,1,0))</f>
        <v/>
      </c>
      <c r="O335" s="15">
        <f>IF($A335="","",IFERROR(SUMIF(tblMotor[A_Norm],$A335,tblMotor[SiparisToplam]),0))</f>
        <v/>
      </c>
      <c r="P335" s="15">
        <f>IF($A335="","",$B335+$M335+$N335)</f>
        <v/>
      </c>
    </row>
    <row r="336">
      <c r="A336" s="15">
        <f>IF('ANAHTAR'!$B336="","",'ANAHTAR'!$B336)</f>
        <v/>
      </c>
      <c r="B336" s="15">
        <f>IF($A336="","",COUNTIF(tblAnahtarB[NormB],$A336))</f>
        <v/>
      </c>
      <c r="C336" s="15">
        <f>IF($A336="","",IFERROR(SUMIF(tblMotor[A_Norm],$A336,tblMotor[SiparisToplam]),0))</f>
        <v/>
      </c>
      <c r="D336" s="15">
        <f>IF($A336="","",IFERROR(SUMIF(tblAnahtarA[Norm],$A336,tblVeriA[HedefMaliyet]),0))</f>
        <v/>
      </c>
      <c r="E336" s="15">
        <f>IF($A336="","",ROUND($D336,2)-ROUND($C336,2))</f>
        <v/>
      </c>
      <c r="F336" s="15">
        <f>IF($A336="","",ABS($E336))</f>
        <v/>
      </c>
      <c r="G336" s="15">
        <f>IF($A336="","",IF($B336=0,"eslesmedi",IF(ROUND($D336,2)=ROUND($C336,2),"eslesti",IF(ABS(ROUND($D336,2)-ROUND($C336,2))&lt;=toleransKurus,"tolerans_icinde","tutar_farki"))))</f>
        <v/>
      </c>
      <c r="H336" s="15">
        <f>IF($A336="","",IF($B336&gt;0,"BIRINCIL",IF(COUNTIF(tblAnahtarB[IkincilB],'ANAHTAR'!$D336)&gt;0,"IKINCIL","YOK")))</f>
        <v/>
      </c>
      <c r="I336" s="15">
        <f>IF($A336="","",'ANAHTAR'!$F336)</f>
        <v/>
      </c>
      <c r="J336" s="15">
        <f>IF(OR($A336="",$D336=0),0,$F336/ABS($D336))</f>
        <v/>
      </c>
      <c r="K336" s="15">
        <f>IF($A336="","",ROUND($D336,2))</f>
        <v/>
      </c>
      <c r="L336" s="15">
        <f>IF($A336="","",ROUND($C336,2))</f>
        <v/>
      </c>
      <c r="M336" s="15">
        <f>IF($A336="","",IF($F336&lt;=toleransKurus,1,0))</f>
        <v/>
      </c>
      <c r="N336" s="15">
        <f>IF($A336="","",IF($F336&gt;kdo_esikFark,1,0))</f>
        <v/>
      </c>
      <c r="O336" s="15">
        <f>IF($A336="","",IFERROR(SUMIF(tblMotor[A_Norm],$A336,tblMotor[SiparisToplam]),0))</f>
        <v/>
      </c>
      <c r="P336" s="15">
        <f>IF($A336="","",$B336+$M336+$N336)</f>
        <v/>
      </c>
    </row>
    <row r="337">
      <c r="A337" s="15">
        <f>IF('ANAHTAR'!$B337="","",'ANAHTAR'!$B337)</f>
        <v/>
      </c>
      <c r="B337" s="15">
        <f>IF($A337="","",COUNTIF(tblAnahtarB[NormB],$A337))</f>
        <v/>
      </c>
      <c r="C337" s="15">
        <f>IF($A337="","",IFERROR(SUMIF(tblMotor[A_Norm],$A337,tblMotor[SiparisToplam]),0))</f>
        <v/>
      </c>
      <c r="D337" s="15">
        <f>IF($A337="","",IFERROR(SUMIF(tblAnahtarA[Norm],$A337,tblVeriA[HedefMaliyet]),0))</f>
        <v/>
      </c>
      <c r="E337" s="15">
        <f>IF($A337="","",ROUND($D337,2)-ROUND($C337,2))</f>
        <v/>
      </c>
      <c r="F337" s="15">
        <f>IF($A337="","",ABS($E337))</f>
        <v/>
      </c>
      <c r="G337" s="15">
        <f>IF($A337="","",IF($B337=0,"eslesmedi",IF(ROUND($D337,2)=ROUND($C337,2),"eslesti",IF(ABS(ROUND($D337,2)-ROUND($C337,2))&lt;=toleransKurus,"tolerans_icinde","tutar_farki"))))</f>
        <v/>
      </c>
      <c r="H337" s="15">
        <f>IF($A337="","",IF($B337&gt;0,"BIRINCIL",IF(COUNTIF(tblAnahtarB[IkincilB],'ANAHTAR'!$D337)&gt;0,"IKINCIL","YOK")))</f>
        <v/>
      </c>
      <c r="I337" s="15">
        <f>IF($A337="","",'ANAHTAR'!$F337)</f>
        <v/>
      </c>
      <c r="J337" s="15">
        <f>IF(OR($A337="",$D337=0),0,$F337/ABS($D337))</f>
        <v/>
      </c>
      <c r="K337" s="15">
        <f>IF($A337="","",ROUND($D337,2))</f>
        <v/>
      </c>
      <c r="L337" s="15">
        <f>IF($A337="","",ROUND($C337,2))</f>
        <v/>
      </c>
      <c r="M337" s="15">
        <f>IF($A337="","",IF($F337&lt;=toleransKurus,1,0))</f>
        <v/>
      </c>
      <c r="N337" s="15">
        <f>IF($A337="","",IF($F337&gt;kdo_esikFark,1,0))</f>
        <v/>
      </c>
      <c r="O337" s="15">
        <f>IF($A337="","",IFERROR(SUMIF(tblMotor[A_Norm],$A337,tblMotor[SiparisToplam]),0))</f>
        <v/>
      </c>
      <c r="P337" s="15">
        <f>IF($A337="","",$B337+$M337+$N337)</f>
        <v/>
      </c>
    </row>
    <row r="338">
      <c r="A338" s="15">
        <f>IF('ANAHTAR'!$B338="","",'ANAHTAR'!$B338)</f>
        <v/>
      </c>
      <c r="B338" s="15">
        <f>IF($A338="","",COUNTIF(tblAnahtarB[NormB],$A338))</f>
        <v/>
      </c>
      <c r="C338" s="15">
        <f>IF($A338="","",IFERROR(SUMIF(tblMotor[A_Norm],$A338,tblMotor[SiparisToplam]),0))</f>
        <v/>
      </c>
      <c r="D338" s="15">
        <f>IF($A338="","",IFERROR(SUMIF(tblAnahtarA[Norm],$A338,tblVeriA[HedefMaliyet]),0))</f>
        <v/>
      </c>
      <c r="E338" s="15">
        <f>IF($A338="","",ROUND($D338,2)-ROUND($C338,2))</f>
        <v/>
      </c>
      <c r="F338" s="15">
        <f>IF($A338="","",ABS($E338))</f>
        <v/>
      </c>
      <c r="G338" s="15">
        <f>IF($A338="","",IF($B338=0,"eslesmedi",IF(ROUND($D338,2)=ROUND($C338,2),"eslesti",IF(ABS(ROUND($D338,2)-ROUND($C338,2))&lt;=toleransKurus,"tolerans_icinde","tutar_farki"))))</f>
        <v/>
      </c>
      <c r="H338" s="15">
        <f>IF($A338="","",IF($B338&gt;0,"BIRINCIL",IF(COUNTIF(tblAnahtarB[IkincilB],'ANAHTAR'!$D338)&gt;0,"IKINCIL","YOK")))</f>
        <v/>
      </c>
      <c r="I338" s="15">
        <f>IF($A338="","",'ANAHTAR'!$F338)</f>
        <v/>
      </c>
      <c r="J338" s="15">
        <f>IF(OR($A338="",$D338=0),0,$F338/ABS($D338))</f>
        <v/>
      </c>
      <c r="K338" s="15">
        <f>IF($A338="","",ROUND($D338,2))</f>
        <v/>
      </c>
      <c r="L338" s="15">
        <f>IF($A338="","",ROUND($C338,2))</f>
        <v/>
      </c>
      <c r="M338" s="15">
        <f>IF($A338="","",IF($F338&lt;=toleransKurus,1,0))</f>
        <v/>
      </c>
      <c r="N338" s="15">
        <f>IF($A338="","",IF($F338&gt;kdo_esikFark,1,0))</f>
        <v/>
      </c>
      <c r="O338" s="15">
        <f>IF($A338="","",IFERROR(SUMIF(tblMotor[A_Norm],$A338,tblMotor[SiparisToplam]),0))</f>
        <v/>
      </c>
      <c r="P338" s="15">
        <f>IF($A338="","",$B338+$M338+$N338)</f>
        <v/>
      </c>
    </row>
    <row r="339">
      <c r="A339" s="15">
        <f>IF('ANAHTAR'!$B339="","",'ANAHTAR'!$B339)</f>
        <v/>
      </c>
      <c r="B339" s="15">
        <f>IF($A339="","",COUNTIF(tblAnahtarB[NormB],$A339))</f>
        <v/>
      </c>
      <c r="C339" s="15">
        <f>IF($A339="","",IFERROR(SUMIF(tblMotor[A_Norm],$A339,tblMotor[SiparisToplam]),0))</f>
        <v/>
      </c>
      <c r="D339" s="15">
        <f>IF($A339="","",IFERROR(SUMIF(tblAnahtarA[Norm],$A339,tblVeriA[HedefMaliyet]),0))</f>
        <v/>
      </c>
      <c r="E339" s="15">
        <f>IF($A339="","",ROUND($D339,2)-ROUND($C339,2))</f>
        <v/>
      </c>
      <c r="F339" s="15">
        <f>IF($A339="","",ABS($E339))</f>
        <v/>
      </c>
      <c r="G339" s="15">
        <f>IF($A339="","",IF($B339=0,"eslesmedi",IF(ROUND($D339,2)=ROUND($C339,2),"eslesti",IF(ABS(ROUND($D339,2)-ROUND($C339,2))&lt;=toleransKurus,"tolerans_icinde","tutar_farki"))))</f>
        <v/>
      </c>
      <c r="H339" s="15">
        <f>IF($A339="","",IF($B339&gt;0,"BIRINCIL",IF(COUNTIF(tblAnahtarB[IkincilB],'ANAHTAR'!$D339)&gt;0,"IKINCIL","YOK")))</f>
        <v/>
      </c>
      <c r="I339" s="15">
        <f>IF($A339="","",'ANAHTAR'!$F339)</f>
        <v/>
      </c>
      <c r="J339" s="15">
        <f>IF(OR($A339="",$D339=0),0,$F339/ABS($D339))</f>
        <v/>
      </c>
      <c r="K339" s="15">
        <f>IF($A339="","",ROUND($D339,2))</f>
        <v/>
      </c>
      <c r="L339" s="15">
        <f>IF($A339="","",ROUND($C339,2))</f>
        <v/>
      </c>
      <c r="M339" s="15">
        <f>IF($A339="","",IF($F339&lt;=toleransKurus,1,0))</f>
        <v/>
      </c>
      <c r="N339" s="15">
        <f>IF($A339="","",IF($F339&gt;kdo_esikFark,1,0))</f>
        <v/>
      </c>
      <c r="O339" s="15">
        <f>IF($A339="","",IFERROR(SUMIF(tblMotor[A_Norm],$A339,tblMotor[SiparisToplam]),0))</f>
        <v/>
      </c>
      <c r="P339" s="15">
        <f>IF($A339="","",$B339+$M339+$N339)</f>
        <v/>
      </c>
    </row>
    <row r="340">
      <c r="A340" s="15">
        <f>IF('ANAHTAR'!$B340="","",'ANAHTAR'!$B340)</f>
        <v/>
      </c>
      <c r="B340" s="15">
        <f>IF($A340="","",COUNTIF(tblAnahtarB[NormB],$A340))</f>
        <v/>
      </c>
      <c r="C340" s="15">
        <f>IF($A340="","",IFERROR(SUMIF(tblMotor[A_Norm],$A340,tblMotor[SiparisToplam]),0))</f>
        <v/>
      </c>
      <c r="D340" s="15">
        <f>IF($A340="","",IFERROR(SUMIF(tblAnahtarA[Norm],$A340,tblVeriA[HedefMaliyet]),0))</f>
        <v/>
      </c>
      <c r="E340" s="15">
        <f>IF($A340="","",ROUND($D340,2)-ROUND($C340,2))</f>
        <v/>
      </c>
      <c r="F340" s="15">
        <f>IF($A340="","",ABS($E340))</f>
        <v/>
      </c>
      <c r="G340" s="15">
        <f>IF($A340="","",IF($B340=0,"eslesmedi",IF(ROUND($D340,2)=ROUND($C340,2),"eslesti",IF(ABS(ROUND($D340,2)-ROUND($C340,2))&lt;=toleransKurus,"tolerans_icinde","tutar_farki"))))</f>
        <v/>
      </c>
      <c r="H340" s="15">
        <f>IF($A340="","",IF($B340&gt;0,"BIRINCIL",IF(COUNTIF(tblAnahtarB[IkincilB],'ANAHTAR'!$D340)&gt;0,"IKINCIL","YOK")))</f>
        <v/>
      </c>
      <c r="I340" s="15">
        <f>IF($A340="","",'ANAHTAR'!$F340)</f>
        <v/>
      </c>
      <c r="J340" s="15">
        <f>IF(OR($A340="",$D340=0),0,$F340/ABS($D340))</f>
        <v/>
      </c>
      <c r="K340" s="15">
        <f>IF($A340="","",ROUND($D340,2))</f>
        <v/>
      </c>
      <c r="L340" s="15">
        <f>IF($A340="","",ROUND($C340,2))</f>
        <v/>
      </c>
      <c r="M340" s="15">
        <f>IF($A340="","",IF($F340&lt;=toleransKurus,1,0))</f>
        <v/>
      </c>
      <c r="N340" s="15">
        <f>IF($A340="","",IF($F340&gt;kdo_esikFark,1,0))</f>
        <v/>
      </c>
      <c r="O340" s="15">
        <f>IF($A340="","",IFERROR(SUMIF(tblMotor[A_Norm],$A340,tblMotor[SiparisToplam]),0))</f>
        <v/>
      </c>
      <c r="P340" s="15">
        <f>IF($A340="","",$B340+$M340+$N340)</f>
        <v/>
      </c>
    </row>
    <row r="341">
      <c r="A341" s="15">
        <f>IF('ANAHTAR'!$B341="","",'ANAHTAR'!$B341)</f>
        <v/>
      </c>
      <c r="B341" s="15">
        <f>IF($A341="","",COUNTIF(tblAnahtarB[NormB],$A341))</f>
        <v/>
      </c>
      <c r="C341" s="15">
        <f>IF($A341="","",IFERROR(SUMIF(tblMotor[A_Norm],$A341,tblMotor[SiparisToplam]),0))</f>
        <v/>
      </c>
      <c r="D341" s="15">
        <f>IF($A341="","",IFERROR(SUMIF(tblAnahtarA[Norm],$A341,tblVeriA[HedefMaliyet]),0))</f>
        <v/>
      </c>
      <c r="E341" s="15">
        <f>IF($A341="","",ROUND($D341,2)-ROUND($C341,2))</f>
        <v/>
      </c>
      <c r="F341" s="15">
        <f>IF($A341="","",ABS($E341))</f>
        <v/>
      </c>
      <c r="G341" s="15">
        <f>IF($A341="","",IF($B341=0,"eslesmedi",IF(ROUND($D341,2)=ROUND($C341,2),"eslesti",IF(ABS(ROUND($D341,2)-ROUND($C341,2))&lt;=toleransKurus,"tolerans_icinde","tutar_farki"))))</f>
        <v/>
      </c>
      <c r="H341" s="15">
        <f>IF($A341="","",IF($B341&gt;0,"BIRINCIL",IF(COUNTIF(tblAnahtarB[IkincilB],'ANAHTAR'!$D341)&gt;0,"IKINCIL","YOK")))</f>
        <v/>
      </c>
      <c r="I341" s="15">
        <f>IF($A341="","",'ANAHTAR'!$F341)</f>
        <v/>
      </c>
      <c r="J341" s="15">
        <f>IF(OR($A341="",$D341=0),0,$F341/ABS($D341))</f>
        <v/>
      </c>
      <c r="K341" s="15">
        <f>IF($A341="","",ROUND($D341,2))</f>
        <v/>
      </c>
      <c r="L341" s="15">
        <f>IF($A341="","",ROUND($C341,2))</f>
        <v/>
      </c>
      <c r="M341" s="15">
        <f>IF($A341="","",IF($F341&lt;=toleransKurus,1,0))</f>
        <v/>
      </c>
      <c r="N341" s="15">
        <f>IF($A341="","",IF($F341&gt;kdo_esikFark,1,0))</f>
        <v/>
      </c>
      <c r="O341" s="15">
        <f>IF($A341="","",IFERROR(SUMIF(tblMotor[A_Norm],$A341,tblMotor[SiparisToplam]),0))</f>
        <v/>
      </c>
      <c r="P341" s="15">
        <f>IF($A341="","",$B341+$M341+$N341)</f>
        <v/>
      </c>
    </row>
    <row r="342">
      <c r="A342" s="15">
        <f>IF('ANAHTAR'!$B342="","",'ANAHTAR'!$B342)</f>
        <v/>
      </c>
      <c r="B342" s="15">
        <f>IF($A342="","",COUNTIF(tblAnahtarB[NormB],$A342))</f>
        <v/>
      </c>
      <c r="C342" s="15">
        <f>IF($A342="","",IFERROR(SUMIF(tblMotor[A_Norm],$A342,tblMotor[SiparisToplam]),0))</f>
        <v/>
      </c>
      <c r="D342" s="15">
        <f>IF($A342="","",IFERROR(SUMIF(tblAnahtarA[Norm],$A342,tblVeriA[HedefMaliyet]),0))</f>
        <v/>
      </c>
      <c r="E342" s="15">
        <f>IF($A342="","",ROUND($D342,2)-ROUND($C342,2))</f>
        <v/>
      </c>
      <c r="F342" s="15">
        <f>IF($A342="","",ABS($E342))</f>
        <v/>
      </c>
      <c r="G342" s="15">
        <f>IF($A342="","",IF($B342=0,"eslesmedi",IF(ROUND($D342,2)=ROUND($C342,2),"eslesti",IF(ABS(ROUND($D342,2)-ROUND($C342,2))&lt;=toleransKurus,"tolerans_icinde","tutar_farki"))))</f>
        <v/>
      </c>
      <c r="H342" s="15">
        <f>IF($A342="","",IF($B342&gt;0,"BIRINCIL",IF(COUNTIF(tblAnahtarB[IkincilB],'ANAHTAR'!$D342)&gt;0,"IKINCIL","YOK")))</f>
        <v/>
      </c>
      <c r="I342" s="15">
        <f>IF($A342="","",'ANAHTAR'!$F342)</f>
        <v/>
      </c>
      <c r="J342" s="15">
        <f>IF(OR($A342="",$D342=0),0,$F342/ABS($D342))</f>
        <v/>
      </c>
      <c r="K342" s="15">
        <f>IF($A342="","",ROUND($D342,2))</f>
        <v/>
      </c>
      <c r="L342" s="15">
        <f>IF($A342="","",ROUND($C342,2))</f>
        <v/>
      </c>
      <c r="M342" s="15">
        <f>IF($A342="","",IF($F342&lt;=toleransKurus,1,0))</f>
        <v/>
      </c>
      <c r="N342" s="15">
        <f>IF($A342="","",IF($F342&gt;kdo_esikFark,1,0))</f>
        <v/>
      </c>
      <c r="O342" s="15">
        <f>IF($A342="","",IFERROR(SUMIF(tblMotor[A_Norm],$A342,tblMotor[SiparisToplam]),0))</f>
        <v/>
      </c>
      <c r="P342" s="15">
        <f>IF($A342="","",$B342+$M342+$N342)</f>
        <v/>
      </c>
    </row>
    <row r="343">
      <c r="A343" s="15">
        <f>IF('ANAHTAR'!$B343="","",'ANAHTAR'!$B343)</f>
        <v/>
      </c>
      <c r="B343" s="15">
        <f>IF($A343="","",COUNTIF(tblAnahtarB[NormB],$A343))</f>
        <v/>
      </c>
      <c r="C343" s="15">
        <f>IF($A343="","",IFERROR(SUMIF(tblMotor[A_Norm],$A343,tblMotor[SiparisToplam]),0))</f>
        <v/>
      </c>
      <c r="D343" s="15">
        <f>IF($A343="","",IFERROR(SUMIF(tblAnahtarA[Norm],$A343,tblVeriA[HedefMaliyet]),0))</f>
        <v/>
      </c>
      <c r="E343" s="15">
        <f>IF($A343="","",ROUND($D343,2)-ROUND($C343,2))</f>
        <v/>
      </c>
      <c r="F343" s="15">
        <f>IF($A343="","",ABS($E343))</f>
        <v/>
      </c>
      <c r="G343" s="15">
        <f>IF($A343="","",IF($B343=0,"eslesmedi",IF(ROUND($D343,2)=ROUND($C343,2),"eslesti",IF(ABS(ROUND($D343,2)-ROUND($C343,2))&lt;=toleransKurus,"tolerans_icinde","tutar_farki"))))</f>
        <v/>
      </c>
      <c r="H343" s="15">
        <f>IF($A343="","",IF($B343&gt;0,"BIRINCIL",IF(COUNTIF(tblAnahtarB[IkincilB],'ANAHTAR'!$D343)&gt;0,"IKINCIL","YOK")))</f>
        <v/>
      </c>
      <c r="I343" s="15">
        <f>IF($A343="","",'ANAHTAR'!$F343)</f>
        <v/>
      </c>
      <c r="J343" s="15">
        <f>IF(OR($A343="",$D343=0),0,$F343/ABS($D343))</f>
        <v/>
      </c>
      <c r="K343" s="15">
        <f>IF($A343="","",ROUND($D343,2))</f>
        <v/>
      </c>
      <c r="L343" s="15">
        <f>IF($A343="","",ROUND($C343,2))</f>
        <v/>
      </c>
      <c r="M343" s="15">
        <f>IF($A343="","",IF($F343&lt;=toleransKurus,1,0))</f>
        <v/>
      </c>
      <c r="N343" s="15">
        <f>IF($A343="","",IF($F343&gt;kdo_esikFark,1,0))</f>
        <v/>
      </c>
      <c r="O343" s="15">
        <f>IF($A343="","",IFERROR(SUMIF(tblMotor[A_Norm],$A343,tblMotor[SiparisToplam]),0))</f>
        <v/>
      </c>
      <c r="P343" s="15">
        <f>IF($A343="","",$B343+$M343+$N343)</f>
        <v/>
      </c>
    </row>
    <row r="344">
      <c r="A344" s="15">
        <f>IF('ANAHTAR'!$B344="","",'ANAHTAR'!$B344)</f>
        <v/>
      </c>
      <c r="B344" s="15">
        <f>IF($A344="","",COUNTIF(tblAnahtarB[NormB],$A344))</f>
        <v/>
      </c>
      <c r="C344" s="15">
        <f>IF($A344="","",IFERROR(SUMIF(tblMotor[A_Norm],$A344,tblMotor[SiparisToplam]),0))</f>
        <v/>
      </c>
      <c r="D344" s="15">
        <f>IF($A344="","",IFERROR(SUMIF(tblAnahtarA[Norm],$A344,tblVeriA[HedefMaliyet]),0))</f>
        <v/>
      </c>
      <c r="E344" s="15">
        <f>IF($A344="","",ROUND($D344,2)-ROUND($C344,2))</f>
        <v/>
      </c>
      <c r="F344" s="15">
        <f>IF($A344="","",ABS($E344))</f>
        <v/>
      </c>
      <c r="G344" s="15">
        <f>IF($A344="","",IF($B344=0,"eslesmedi",IF(ROUND($D344,2)=ROUND($C344,2),"eslesti",IF(ABS(ROUND($D344,2)-ROUND($C344,2))&lt;=toleransKurus,"tolerans_icinde","tutar_farki"))))</f>
        <v/>
      </c>
      <c r="H344" s="15">
        <f>IF($A344="","",IF($B344&gt;0,"BIRINCIL",IF(COUNTIF(tblAnahtarB[IkincilB],'ANAHTAR'!$D344)&gt;0,"IKINCIL","YOK")))</f>
        <v/>
      </c>
      <c r="I344" s="15">
        <f>IF($A344="","",'ANAHTAR'!$F344)</f>
        <v/>
      </c>
      <c r="J344" s="15">
        <f>IF(OR($A344="",$D344=0),0,$F344/ABS($D344))</f>
        <v/>
      </c>
      <c r="K344" s="15">
        <f>IF($A344="","",ROUND($D344,2))</f>
        <v/>
      </c>
      <c r="L344" s="15">
        <f>IF($A344="","",ROUND($C344,2))</f>
        <v/>
      </c>
      <c r="M344" s="15">
        <f>IF($A344="","",IF($F344&lt;=toleransKurus,1,0))</f>
        <v/>
      </c>
      <c r="N344" s="15">
        <f>IF($A344="","",IF($F344&gt;kdo_esikFark,1,0))</f>
        <v/>
      </c>
      <c r="O344" s="15">
        <f>IF($A344="","",IFERROR(SUMIF(tblMotor[A_Norm],$A344,tblMotor[SiparisToplam]),0))</f>
        <v/>
      </c>
      <c r="P344" s="15">
        <f>IF($A344="","",$B344+$M344+$N344)</f>
        <v/>
      </c>
    </row>
    <row r="345">
      <c r="A345" s="15">
        <f>IF('ANAHTAR'!$B345="","",'ANAHTAR'!$B345)</f>
        <v/>
      </c>
      <c r="B345" s="15">
        <f>IF($A345="","",COUNTIF(tblAnahtarB[NormB],$A345))</f>
        <v/>
      </c>
      <c r="C345" s="15">
        <f>IF($A345="","",IFERROR(SUMIF(tblMotor[A_Norm],$A345,tblMotor[SiparisToplam]),0))</f>
        <v/>
      </c>
      <c r="D345" s="15">
        <f>IF($A345="","",IFERROR(SUMIF(tblAnahtarA[Norm],$A345,tblVeriA[HedefMaliyet]),0))</f>
        <v/>
      </c>
      <c r="E345" s="15">
        <f>IF($A345="","",ROUND($D345,2)-ROUND($C345,2))</f>
        <v/>
      </c>
      <c r="F345" s="15">
        <f>IF($A345="","",ABS($E345))</f>
        <v/>
      </c>
      <c r="G345" s="15">
        <f>IF($A345="","",IF($B345=0,"eslesmedi",IF(ROUND($D345,2)=ROUND($C345,2),"eslesti",IF(ABS(ROUND($D345,2)-ROUND($C345,2))&lt;=toleransKurus,"tolerans_icinde","tutar_farki"))))</f>
        <v/>
      </c>
      <c r="H345" s="15">
        <f>IF($A345="","",IF($B345&gt;0,"BIRINCIL",IF(COUNTIF(tblAnahtarB[IkincilB],'ANAHTAR'!$D345)&gt;0,"IKINCIL","YOK")))</f>
        <v/>
      </c>
      <c r="I345" s="15">
        <f>IF($A345="","",'ANAHTAR'!$F345)</f>
        <v/>
      </c>
      <c r="J345" s="15">
        <f>IF(OR($A345="",$D345=0),0,$F345/ABS($D345))</f>
        <v/>
      </c>
      <c r="K345" s="15">
        <f>IF($A345="","",ROUND($D345,2))</f>
        <v/>
      </c>
      <c r="L345" s="15">
        <f>IF($A345="","",ROUND($C345,2))</f>
        <v/>
      </c>
      <c r="M345" s="15">
        <f>IF($A345="","",IF($F345&lt;=toleransKurus,1,0))</f>
        <v/>
      </c>
      <c r="N345" s="15">
        <f>IF($A345="","",IF($F345&gt;kdo_esikFark,1,0))</f>
        <v/>
      </c>
      <c r="O345" s="15">
        <f>IF($A345="","",IFERROR(SUMIF(tblMotor[A_Norm],$A345,tblMotor[SiparisToplam]),0))</f>
        <v/>
      </c>
      <c r="P345" s="15">
        <f>IF($A345="","",$B345+$M345+$N345)</f>
        <v/>
      </c>
    </row>
    <row r="346">
      <c r="A346" s="15">
        <f>IF('ANAHTAR'!$B346="","",'ANAHTAR'!$B346)</f>
        <v/>
      </c>
      <c r="B346" s="15">
        <f>IF($A346="","",COUNTIF(tblAnahtarB[NormB],$A346))</f>
        <v/>
      </c>
      <c r="C346" s="15">
        <f>IF($A346="","",IFERROR(SUMIF(tblMotor[A_Norm],$A346,tblMotor[SiparisToplam]),0))</f>
        <v/>
      </c>
      <c r="D346" s="15">
        <f>IF($A346="","",IFERROR(SUMIF(tblAnahtarA[Norm],$A346,tblVeriA[HedefMaliyet]),0))</f>
        <v/>
      </c>
      <c r="E346" s="15">
        <f>IF($A346="","",ROUND($D346,2)-ROUND($C346,2))</f>
        <v/>
      </c>
      <c r="F346" s="15">
        <f>IF($A346="","",ABS($E346))</f>
        <v/>
      </c>
      <c r="G346" s="15">
        <f>IF($A346="","",IF($B346=0,"eslesmedi",IF(ROUND($D346,2)=ROUND($C346,2),"eslesti",IF(ABS(ROUND($D346,2)-ROUND($C346,2))&lt;=toleransKurus,"tolerans_icinde","tutar_farki"))))</f>
        <v/>
      </c>
      <c r="H346" s="15">
        <f>IF($A346="","",IF($B346&gt;0,"BIRINCIL",IF(COUNTIF(tblAnahtarB[IkincilB],'ANAHTAR'!$D346)&gt;0,"IKINCIL","YOK")))</f>
        <v/>
      </c>
      <c r="I346" s="15">
        <f>IF($A346="","",'ANAHTAR'!$F346)</f>
        <v/>
      </c>
      <c r="J346" s="15">
        <f>IF(OR($A346="",$D346=0),0,$F346/ABS($D346))</f>
        <v/>
      </c>
      <c r="K346" s="15">
        <f>IF($A346="","",ROUND($D346,2))</f>
        <v/>
      </c>
      <c r="L346" s="15">
        <f>IF($A346="","",ROUND($C346,2))</f>
        <v/>
      </c>
      <c r="M346" s="15">
        <f>IF($A346="","",IF($F346&lt;=toleransKurus,1,0))</f>
        <v/>
      </c>
      <c r="N346" s="15">
        <f>IF($A346="","",IF($F346&gt;kdo_esikFark,1,0))</f>
        <v/>
      </c>
      <c r="O346" s="15">
        <f>IF($A346="","",IFERROR(SUMIF(tblMotor[A_Norm],$A346,tblMotor[SiparisToplam]),0))</f>
        <v/>
      </c>
      <c r="P346" s="15">
        <f>IF($A346="","",$B346+$M346+$N346)</f>
        <v/>
      </c>
    </row>
    <row r="347">
      <c r="A347" s="15">
        <f>IF('ANAHTAR'!$B347="","",'ANAHTAR'!$B347)</f>
        <v/>
      </c>
      <c r="B347" s="15">
        <f>IF($A347="","",COUNTIF(tblAnahtarB[NormB],$A347))</f>
        <v/>
      </c>
      <c r="C347" s="15">
        <f>IF($A347="","",IFERROR(SUMIF(tblMotor[A_Norm],$A347,tblMotor[SiparisToplam]),0))</f>
        <v/>
      </c>
      <c r="D347" s="15">
        <f>IF($A347="","",IFERROR(SUMIF(tblAnahtarA[Norm],$A347,tblVeriA[HedefMaliyet]),0))</f>
        <v/>
      </c>
      <c r="E347" s="15">
        <f>IF($A347="","",ROUND($D347,2)-ROUND($C347,2))</f>
        <v/>
      </c>
      <c r="F347" s="15">
        <f>IF($A347="","",ABS($E347))</f>
        <v/>
      </c>
      <c r="G347" s="15">
        <f>IF($A347="","",IF($B347=0,"eslesmedi",IF(ROUND($D347,2)=ROUND($C347,2),"eslesti",IF(ABS(ROUND($D347,2)-ROUND($C347,2))&lt;=toleransKurus,"tolerans_icinde","tutar_farki"))))</f>
        <v/>
      </c>
      <c r="H347" s="15">
        <f>IF($A347="","",IF($B347&gt;0,"BIRINCIL",IF(COUNTIF(tblAnahtarB[IkincilB],'ANAHTAR'!$D347)&gt;0,"IKINCIL","YOK")))</f>
        <v/>
      </c>
      <c r="I347" s="15">
        <f>IF($A347="","",'ANAHTAR'!$F347)</f>
        <v/>
      </c>
      <c r="J347" s="15">
        <f>IF(OR($A347="",$D347=0),0,$F347/ABS($D347))</f>
        <v/>
      </c>
      <c r="K347" s="15">
        <f>IF($A347="","",ROUND($D347,2))</f>
        <v/>
      </c>
      <c r="L347" s="15">
        <f>IF($A347="","",ROUND($C347,2))</f>
        <v/>
      </c>
      <c r="M347" s="15">
        <f>IF($A347="","",IF($F347&lt;=toleransKurus,1,0))</f>
        <v/>
      </c>
      <c r="N347" s="15">
        <f>IF($A347="","",IF($F347&gt;kdo_esikFark,1,0))</f>
        <v/>
      </c>
      <c r="O347" s="15">
        <f>IF($A347="","",IFERROR(SUMIF(tblMotor[A_Norm],$A347,tblMotor[SiparisToplam]),0))</f>
        <v/>
      </c>
      <c r="P347" s="15">
        <f>IF($A347="","",$B347+$M347+$N347)</f>
        <v/>
      </c>
    </row>
    <row r="348">
      <c r="A348" s="15">
        <f>IF('ANAHTAR'!$B348="","",'ANAHTAR'!$B348)</f>
        <v/>
      </c>
      <c r="B348" s="15">
        <f>IF($A348="","",COUNTIF(tblAnahtarB[NormB],$A348))</f>
        <v/>
      </c>
      <c r="C348" s="15">
        <f>IF($A348="","",IFERROR(SUMIF(tblMotor[A_Norm],$A348,tblMotor[SiparisToplam]),0))</f>
        <v/>
      </c>
      <c r="D348" s="15">
        <f>IF($A348="","",IFERROR(SUMIF(tblAnahtarA[Norm],$A348,tblVeriA[HedefMaliyet]),0))</f>
        <v/>
      </c>
      <c r="E348" s="15">
        <f>IF($A348="","",ROUND($D348,2)-ROUND($C348,2))</f>
        <v/>
      </c>
      <c r="F348" s="15">
        <f>IF($A348="","",ABS($E348))</f>
        <v/>
      </c>
      <c r="G348" s="15">
        <f>IF($A348="","",IF($B348=0,"eslesmedi",IF(ROUND($D348,2)=ROUND($C348,2),"eslesti",IF(ABS(ROUND($D348,2)-ROUND($C348,2))&lt;=toleransKurus,"tolerans_icinde","tutar_farki"))))</f>
        <v/>
      </c>
      <c r="H348" s="15">
        <f>IF($A348="","",IF($B348&gt;0,"BIRINCIL",IF(COUNTIF(tblAnahtarB[IkincilB],'ANAHTAR'!$D348)&gt;0,"IKINCIL","YOK")))</f>
        <v/>
      </c>
      <c r="I348" s="15">
        <f>IF($A348="","",'ANAHTAR'!$F348)</f>
        <v/>
      </c>
      <c r="J348" s="15">
        <f>IF(OR($A348="",$D348=0),0,$F348/ABS($D348))</f>
        <v/>
      </c>
      <c r="K348" s="15">
        <f>IF($A348="","",ROUND($D348,2))</f>
        <v/>
      </c>
      <c r="L348" s="15">
        <f>IF($A348="","",ROUND($C348,2))</f>
        <v/>
      </c>
      <c r="M348" s="15">
        <f>IF($A348="","",IF($F348&lt;=toleransKurus,1,0))</f>
        <v/>
      </c>
      <c r="N348" s="15">
        <f>IF($A348="","",IF($F348&gt;kdo_esikFark,1,0))</f>
        <v/>
      </c>
      <c r="O348" s="15">
        <f>IF($A348="","",IFERROR(SUMIF(tblMotor[A_Norm],$A348,tblMotor[SiparisToplam]),0))</f>
        <v/>
      </c>
      <c r="P348" s="15">
        <f>IF($A348="","",$B348+$M348+$N348)</f>
        <v/>
      </c>
    </row>
    <row r="349">
      <c r="A349" s="15">
        <f>IF('ANAHTAR'!$B349="","",'ANAHTAR'!$B349)</f>
        <v/>
      </c>
      <c r="B349" s="15">
        <f>IF($A349="","",COUNTIF(tblAnahtarB[NormB],$A349))</f>
        <v/>
      </c>
      <c r="C349" s="15">
        <f>IF($A349="","",IFERROR(SUMIF(tblMotor[A_Norm],$A349,tblMotor[SiparisToplam]),0))</f>
        <v/>
      </c>
      <c r="D349" s="15">
        <f>IF($A349="","",IFERROR(SUMIF(tblAnahtarA[Norm],$A349,tblVeriA[HedefMaliyet]),0))</f>
        <v/>
      </c>
      <c r="E349" s="15">
        <f>IF($A349="","",ROUND($D349,2)-ROUND($C349,2))</f>
        <v/>
      </c>
      <c r="F349" s="15">
        <f>IF($A349="","",ABS($E349))</f>
        <v/>
      </c>
      <c r="G349" s="15">
        <f>IF($A349="","",IF($B349=0,"eslesmedi",IF(ROUND($D349,2)=ROUND($C349,2),"eslesti",IF(ABS(ROUND($D349,2)-ROUND($C349,2))&lt;=toleransKurus,"tolerans_icinde","tutar_farki"))))</f>
        <v/>
      </c>
      <c r="H349" s="15">
        <f>IF($A349="","",IF($B349&gt;0,"BIRINCIL",IF(COUNTIF(tblAnahtarB[IkincilB],'ANAHTAR'!$D349)&gt;0,"IKINCIL","YOK")))</f>
        <v/>
      </c>
      <c r="I349" s="15">
        <f>IF($A349="","",'ANAHTAR'!$F349)</f>
        <v/>
      </c>
      <c r="J349" s="15">
        <f>IF(OR($A349="",$D349=0),0,$F349/ABS($D349))</f>
        <v/>
      </c>
      <c r="K349" s="15">
        <f>IF($A349="","",ROUND($D349,2))</f>
        <v/>
      </c>
      <c r="L349" s="15">
        <f>IF($A349="","",ROUND($C349,2))</f>
        <v/>
      </c>
      <c r="M349" s="15">
        <f>IF($A349="","",IF($F349&lt;=toleransKurus,1,0))</f>
        <v/>
      </c>
      <c r="N349" s="15">
        <f>IF($A349="","",IF($F349&gt;kdo_esikFark,1,0))</f>
        <v/>
      </c>
      <c r="O349" s="15">
        <f>IF($A349="","",IFERROR(SUMIF(tblMotor[A_Norm],$A349,tblMotor[SiparisToplam]),0))</f>
        <v/>
      </c>
      <c r="P349" s="15">
        <f>IF($A349="","",$B349+$M349+$N349)</f>
        <v/>
      </c>
    </row>
    <row r="350">
      <c r="A350" s="15">
        <f>IF('ANAHTAR'!$B350="","",'ANAHTAR'!$B350)</f>
        <v/>
      </c>
      <c r="B350" s="15">
        <f>IF($A350="","",COUNTIF(tblAnahtarB[NormB],$A350))</f>
        <v/>
      </c>
      <c r="C350" s="15">
        <f>IF($A350="","",IFERROR(SUMIF(tblMotor[A_Norm],$A350,tblMotor[SiparisToplam]),0))</f>
        <v/>
      </c>
      <c r="D350" s="15">
        <f>IF($A350="","",IFERROR(SUMIF(tblAnahtarA[Norm],$A350,tblVeriA[HedefMaliyet]),0))</f>
        <v/>
      </c>
      <c r="E350" s="15">
        <f>IF($A350="","",ROUND($D350,2)-ROUND($C350,2))</f>
        <v/>
      </c>
      <c r="F350" s="15">
        <f>IF($A350="","",ABS($E350))</f>
        <v/>
      </c>
      <c r="G350" s="15">
        <f>IF($A350="","",IF($B350=0,"eslesmedi",IF(ROUND($D350,2)=ROUND($C350,2),"eslesti",IF(ABS(ROUND($D350,2)-ROUND($C350,2))&lt;=toleransKurus,"tolerans_icinde","tutar_farki"))))</f>
        <v/>
      </c>
      <c r="H350" s="15">
        <f>IF($A350="","",IF($B350&gt;0,"BIRINCIL",IF(COUNTIF(tblAnahtarB[IkincilB],'ANAHTAR'!$D350)&gt;0,"IKINCIL","YOK")))</f>
        <v/>
      </c>
      <c r="I350" s="15">
        <f>IF($A350="","",'ANAHTAR'!$F350)</f>
        <v/>
      </c>
      <c r="J350" s="15">
        <f>IF(OR($A350="",$D350=0),0,$F350/ABS($D350))</f>
        <v/>
      </c>
      <c r="K350" s="15">
        <f>IF($A350="","",ROUND($D350,2))</f>
        <v/>
      </c>
      <c r="L350" s="15">
        <f>IF($A350="","",ROUND($C350,2))</f>
        <v/>
      </c>
      <c r="M350" s="15">
        <f>IF($A350="","",IF($F350&lt;=toleransKurus,1,0))</f>
        <v/>
      </c>
      <c r="N350" s="15">
        <f>IF($A350="","",IF($F350&gt;kdo_esikFark,1,0))</f>
        <v/>
      </c>
      <c r="O350" s="15">
        <f>IF($A350="","",IFERROR(SUMIF(tblMotor[A_Norm],$A350,tblMotor[SiparisToplam]),0))</f>
        <v/>
      </c>
      <c r="P350" s="15">
        <f>IF($A350="","",$B350+$M350+$N350)</f>
        <v/>
      </c>
    </row>
    <row r="351">
      <c r="A351" s="15">
        <f>IF('ANAHTAR'!$B351="","",'ANAHTAR'!$B351)</f>
        <v/>
      </c>
      <c r="B351" s="15">
        <f>IF($A351="","",COUNTIF(tblAnahtarB[NormB],$A351))</f>
        <v/>
      </c>
      <c r="C351" s="15">
        <f>IF($A351="","",IFERROR(SUMIF(tblMotor[A_Norm],$A351,tblMotor[SiparisToplam]),0))</f>
        <v/>
      </c>
      <c r="D351" s="15">
        <f>IF($A351="","",IFERROR(SUMIF(tblAnahtarA[Norm],$A351,tblVeriA[HedefMaliyet]),0))</f>
        <v/>
      </c>
      <c r="E351" s="15">
        <f>IF($A351="","",ROUND($D351,2)-ROUND($C351,2))</f>
        <v/>
      </c>
      <c r="F351" s="15">
        <f>IF($A351="","",ABS($E351))</f>
        <v/>
      </c>
      <c r="G351" s="15">
        <f>IF($A351="","",IF($B351=0,"eslesmedi",IF(ROUND($D351,2)=ROUND($C351,2),"eslesti",IF(ABS(ROUND($D351,2)-ROUND($C351,2))&lt;=toleransKurus,"tolerans_icinde","tutar_farki"))))</f>
        <v/>
      </c>
      <c r="H351" s="15">
        <f>IF($A351="","",IF($B351&gt;0,"BIRINCIL",IF(COUNTIF(tblAnahtarB[IkincilB],'ANAHTAR'!$D351)&gt;0,"IKINCIL","YOK")))</f>
        <v/>
      </c>
      <c r="I351" s="15">
        <f>IF($A351="","",'ANAHTAR'!$F351)</f>
        <v/>
      </c>
      <c r="J351" s="15">
        <f>IF(OR($A351="",$D351=0),0,$F351/ABS($D351))</f>
        <v/>
      </c>
      <c r="K351" s="15">
        <f>IF($A351="","",ROUND($D351,2))</f>
        <v/>
      </c>
      <c r="L351" s="15">
        <f>IF($A351="","",ROUND($C351,2))</f>
        <v/>
      </c>
      <c r="M351" s="15">
        <f>IF($A351="","",IF($F351&lt;=toleransKurus,1,0))</f>
        <v/>
      </c>
      <c r="N351" s="15">
        <f>IF($A351="","",IF($F351&gt;kdo_esikFark,1,0))</f>
        <v/>
      </c>
      <c r="O351" s="15">
        <f>IF($A351="","",IFERROR(SUMIF(tblMotor[A_Norm],$A351,tblMotor[SiparisToplam]),0))</f>
        <v/>
      </c>
      <c r="P351" s="15">
        <f>IF($A351="","",$B351+$M351+$N351)</f>
        <v/>
      </c>
    </row>
    <row r="352">
      <c r="A352" s="15">
        <f>IF('ANAHTAR'!$B352="","",'ANAHTAR'!$B352)</f>
        <v/>
      </c>
      <c r="B352" s="15">
        <f>IF($A352="","",COUNTIF(tblAnahtarB[NormB],$A352))</f>
        <v/>
      </c>
      <c r="C352" s="15">
        <f>IF($A352="","",IFERROR(SUMIF(tblMotor[A_Norm],$A352,tblMotor[SiparisToplam]),0))</f>
        <v/>
      </c>
      <c r="D352" s="15">
        <f>IF($A352="","",IFERROR(SUMIF(tblAnahtarA[Norm],$A352,tblVeriA[HedefMaliyet]),0))</f>
        <v/>
      </c>
      <c r="E352" s="15">
        <f>IF($A352="","",ROUND($D352,2)-ROUND($C352,2))</f>
        <v/>
      </c>
      <c r="F352" s="15">
        <f>IF($A352="","",ABS($E352))</f>
        <v/>
      </c>
      <c r="G352" s="15">
        <f>IF($A352="","",IF($B352=0,"eslesmedi",IF(ROUND($D352,2)=ROUND($C352,2),"eslesti",IF(ABS(ROUND($D352,2)-ROUND($C352,2))&lt;=toleransKurus,"tolerans_icinde","tutar_farki"))))</f>
        <v/>
      </c>
      <c r="H352" s="15">
        <f>IF($A352="","",IF($B352&gt;0,"BIRINCIL",IF(COUNTIF(tblAnahtarB[IkincilB],'ANAHTAR'!$D352)&gt;0,"IKINCIL","YOK")))</f>
        <v/>
      </c>
      <c r="I352" s="15">
        <f>IF($A352="","",'ANAHTAR'!$F352)</f>
        <v/>
      </c>
      <c r="J352" s="15">
        <f>IF(OR($A352="",$D352=0),0,$F352/ABS($D352))</f>
        <v/>
      </c>
      <c r="K352" s="15">
        <f>IF($A352="","",ROUND($D352,2))</f>
        <v/>
      </c>
      <c r="L352" s="15">
        <f>IF($A352="","",ROUND($C352,2))</f>
        <v/>
      </c>
      <c r="M352" s="15">
        <f>IF($A352="","",IF($F352&lt;=toleransKurus,1,0))</f>
        <v/>
      </c>
      <c r="N352" s="15">
        <f>IF($A352="","",IF($F352&gt;kdo_esikFark,1,0))</f>
        <v/>
      </c>
      <c r="O352" s="15">
        <f>IF($A352="","",IFERROR(SUMIF(tblMotor[A_Norm],$A352,tblMotor[SiparisToplam]),0))</f>
        <v/>
      </c>
      <c r="P352" s="15">
        <f>IF($A352="","",$B352+$M352+$N352)</f>
        <v/>
      </c>
    </row>
    <row r="353">
      <c r="A353" s="15">
        <f>IF('ANAHTAR'!$B353="","",'ANAHTAR'!$B353)</f>
        <v/>
      </c>
      <c r="B353" s="15">
        <f>IF($A353="","",COUNTIF(tblAnahtarB[NormB],$A353))</f>
        <v/>
      </c>
      <c r="C353" s="15">
        <f>IF($A353="","",IFERROR(SUMIF(tblMotor[A_Norm],$A353,tblMotor[SiparisToplam]),0))</f>
        <v/>
      </c>
      <c r="D353" s="15">
        <f>IF($A353="","",IFERROR(SUMIF(tblAnahtarA[Norm],$A353,tblVeriA[HedefMaliyet]),0))</f>
        <v/>
      </c>
      <c r="E353" s="15">
        <f>IF($A353="","",ROUND($D353,2)-ROUND($C353,2))</f>
        <v/>
      </c>
      <c r="F353" s="15">
        <f>IF($A353="","",ABS($E353))</f>
        <v/>
      </c>
      <c r="G353" s="15">
        <f>IF($A353="","",IF($B353=0,"eslesmedi",IF(ROUND($D353,2)=ROUND($C353,2),"eslesti",IF(ABS(ROUND($D353,2)-ROUND($C353,2))&lt;=toleransKurus,"tolerans_icinde","tutar_farki"))))</f>
        <v/>
      </c>
      <c r="H353" s="15">
        <f>IF($A353="","",IF($B353&gt;0,"BIRINCIL",IF(COUNTIF(tblAnahtarB[IkincilB],'ANAHTAR'!$D353)&gt;0,"IKINCIL","YOK")))</f>
        <v/>
      </c>
      <c r="I353" s="15">
        <f>IF($A353="","",'ANAHTAR'!$F353)</f>
        <v/>
      </c>
      <c r="J353" s="15">
        <f>IF(OR($A353="",$D353=0),0,$F353/ABS($D353))</f>
        <v/>
      </c>
      <c r="K353" s="15">
        <f>IF($A353="","",ROUND($D353,2))</f>
        <v/>
      </c>
      <c r="L353" s="15">
        <f>IF($A353="","",ROUND($C353,2))</f>
        <v/>
      </c>
      <c r="M353" s="15">
        <f>IF($A353="","",IF($F353&lt;=toleransKurus,1,0))</f>
        <v/>
      </c>
      <c r="N353" s="15">
        <f>IF($A353="","",IF($F353&gt;kdo_esikFark,1,0))</f>
        <v/>
      </c>
      <c r="O353" s="15">
        <f>IF($A353="","",IFERROR(SUMIF(tblMotor[A_Norm],$A353,tblMotor[SiparisToplam]),0))</f>
        <v/>
      </c>
      <c r="P353" s="15">
        <f>IF($A353="","",$B353+$M353+$N353)</f>
        <v/>
      </c>
    </row>
    <row r="354">
      <c r="A354" s="15">
        <f>IF('ANAHTAR'!$B354="","",'ANAHTAR'!$B354)</f>
        <v/>
      </c>
      <c r="B354" s="15">
        <f>IF($A354="","",COUNTIF(tblAnahtarB[NormB],$A354))</f>
        <v/>
      </c>
      <c r="C354" s="15">
        <f>IF($A354="","",IFERROR(SUMIF(tblMotor[A_Norm],$A354,tblMotor[SiparisToplam]),0))</f>
        <v/>
      </c>
      <c r="D354" s="15">
        <f>IF($A354="","",IFERROR(SUMIF(tblAnahtarA[Norm],$A354,tblVeriA[HedefMaliyet]),0))</f>
        <v/>
      </c>
      <c r="E354" s="15">
        <f>IF($A354="","",ROUND($D354,2)-ROUND($C354,2))</f>
        <v/>
      </c>
      <c r="F354" s="15">
        <f>IF($A354="","",ABS($E354))</f>
        <v/>
      </c>
      <c r="G354" s="15">
        <f>IF($A354="","",IF($B354=0,"eslesmedi",IF(ROUND($D354,2)=ROUND($C354,2),"eslesti",IF(ABS(ROUND($D354,2)-ROUND($C354,2))&lt;=toleransKurus,"tolerans_icinde","tutar_farki"))))</f>
        <v/>
      </c>
      <c r="H354" s="15">
        <f>IF($A354="","",IF($B354&gt;0,"BIRINCIL",IF(COUNTIF(tblAnahtarB[IkincilB],'ANAHTAR'!$D354)&gt;0,"IKINCIL","YOK")))</f>
        <v/>
      </c>
      <c r="I354" s="15">
        <f>IF($A354="","",'ANAHTAR'!$F354)</f>
        <v/>
      </c>
      <c r="J354" s="15">
        <f>IF(OR($A354="",$D354=0),0,$F354/ABS($D354))</f>
        <v/>
      </c>
      <c r="K354" s="15">
        <f>IF($A354="","",ROUND($D354,2))</f>
        <v/>
      </c>
      <c r="L354" s="15">
        <f>IF($A354="","",ROUND($C354,2))</f>
        <v/>
      </c>
      <c r="M354" s="15">
        <f>IF($A354="","",IF($F354&lt;=toleransKurus,1,0))</f>
        <v/>
      </c>
      <c r="N354" s="15">
        <f>IF($A354="","",IF($F354&gt;kdo_esikFark,1,0))</f>
        <v/>
      </c>
      <c r="O354" s="15">
        <f>IF($A354="","",IFERROR(SUMIF(tblMotor[A_Norm],$A354,tblMotor[SiparisToplam]),0))</f>
        <v/>
      </c>
      <c r="P354" s="15">
        <f>IF($A354="","",$B354+$M354+$N354)</f>
        <v/>
      </c>
    </row>
    <row r="355">
      <c r="A355" s="15">
        <f>IF('ANAHTAR'!$B355="","",'ANAHTAR'!$B355)</f>
        <v/>
      </c>
      <c r="B355" s="15">
        <f>IF($A355="","",COUNTIF(tblAnahtarB[NormB],$A355))</f>
        <v/>
      </c>
      <c r="C355" s="15">
        <f>IF($A355="","",IFERROR(SUMIF(tblMotor[A_Norm],$A355,tblMotor[SiparisToplam]),0))</f>
        <v/>
      </c>
      <c r="D355" s="15">
        <f>IF($A355="","",IFERROR(SUMIF(tblAnahtarA[Norm],$A355,tblVeriA[HedefMaliyet]),0))</f>
        <v/>
      </c>
      <c r="E355" s="15">
        <f>IF($A355="","",ROUND($D355,2)-ROUND($C355,2))</f>
        <v/>
      </c>
      <c r="F355" s="15">
        <f>IF($A355="","",ABS($E355))</f>
        <v/>
      </c>
      <c r="G355" s="15">
        <f>IF($A355="","",IF($B355=0,"eslesmedi",IF(ROUND($D355,2)=ROUND($C355,2),"eslesti",IF(ABS(ROUND($D355,2)-ROUND($C355,2))&lt;=toleransKurus,"tolerans_icinde","tutar_farki"))))</f>
        <v/>
      </c>
      <c r="H355" s="15">
        <f>IF($A355="","",IF($B355&gt;0,"BIRINCIL",IF(COUNTIF(tblAnahtarB[IkincilB],'ANAHTAR'!$D355)&gt;0,"IKINCIL","YOK")))</f>
        <v/>
      </c>
      <c r="I355" s="15">
        <f>IF($A355="","",'ANAHTAR'!$F355)</f>
        <v/>
      </c>
      <c r="J355" s="15">
        <f>IF(OR($A355="",$D355=0),0,$F355/ABS($D355))</f>
        <v/>
      </c>
      <c r="K355" s="15">
        <f>IF($A355="","",ROUND($D355,2))</f>
        <v/>
      </c>
      <c r="L355" s="15">
        <f>IF($A355="","",ROUND($C355,2))</f>
        <v/>
      </c>
      <c r="M355" s="15">
        <f>IF($A355="","",IF($F355&lt;=toleransKurus,1,0))</f>
        <v/>
      </c>
      <c r="N355" s="15">
        <f>IF($A355="","",IF($F355&gt;kdo_esikFark,1,0))</f>
        <v/>
      </c>
      <c r="O355" s="15">
        <f>IF($A355="","",IFERROR(SUMIF(tblMotor[A_Norm],$A355,tblMotor[SiparisToplam]),0))</f>
        <v/>
      </c>
      <c r="P355" s="15">
        <f>IF($A355="","",$B355+$M355+$N355)</f>
        <v/>
      </c>
    </row>
    <row r="356">
      <c r="A356" s="15">
        <f>IF('ANAHTAR'!$B356="","",'ANAHTAR'!$B356)</f>
        <v/>
      </c>
      <c r="B356" s="15">
        <f>IF($A356="","",COUNTIF(tblAnahtarB[NormB],$A356))</f>
        <v/>
      </c>
      <c r="C356" s="15">
        <f>IF($A356="","",IFERROR(SUMIF(tblMotor[A_Norm],$A356,tblMotor[SiparisToplam]),0))</f>
        <v/>
      </c>
      <c r="D356" s="15">
        <f>IF($A356="","",IFERROR(SUMIF(tblAnahtarA[Norm],$A356,tblVeriA[HedefMaliyet]),0))</f>
        <v/>
      </c>
      <c r="E356" s="15">
        <f>IF($A356="","",ROUND($D356,2)-ROUND($C356,2))</f>
        <v/>
      </c>
      <c r="F356" s="15">
        <f>IF($A356="","",ABS($E356))</f>
        <v/>
      </c>
      <c r="G356" s="15">
        <f>IF($A356="","",IF($B356=0,"eslesmedi",IF(ROUND($D356,2)=ROUND($C356,2),"eslesti",IF(ABS(ROUND($D356,2)-ROUND($C356,2))&lt;=toleransKurus,"tolerans_icinde","tutar_farki"))))</f>
        <v/>
      </c>
      <c r="H356" s="15">
        <f>IF($A356="","",IF($B356&gt;0,"BIRINCIL",IF(COUNTIF(tblAnahtarB[IkincilB],'ANAHTAR'!$D356)&gt;0,"IKINCIL","YOK")))</f>
        <v/>
      </c>
      <c r="I356" s="15">
        <f>IF($A356="","",'ANAHTAR'!$F356)</f>
        <v/>
      </c>
      <c r="J356" s="15">
        <f>IF(OR($A356="",$D356=0),0,$F356/ABS($D356))</f>
        <v/>
      </c>
      <c r="K356" s="15">
        <f>IF($A356="","",ROUND($D356,2))</f>
        <v/>
      </c>
      <c r="L356" s="15">
        <f>IF($A356="","",ROUND($C356,2))</f>
        <v/>
      </c>
      <c r="M356" s="15">
        <f>IF($A356="","",IF($F356&lt;=toleransKurus,1,0))</f>
        <v/>
      </c>
      <c r="N356" s="15">
        <f>IF($A356="","",IF($F356&gt;kdo_esikFark,1,0))</f>
        <v/>
      </c>
      <c r="O356" s="15">
        <f>IF($A356="","",IFERROR(SUMIF(tblMotor[A_Norm],$A356,tblMotor[SiparisToplam]),0))</f>
        <v/>
      </c>
      <c r="P356" s="15">
        <f>IF($A356="","",$B356+$M356+$N356)</f>
        <v/>
      </c>
    </row>
    <row r="357">
      <c r="A357" s="15">
        <f>IF('ANAHTAR'!$B357="","",'ANAHTAR'!$B357)</f>
        <v/>
      </c>
      <c r="B357" s="15">
        <f>IF($A357="","",COUNTIF(tblAnahtarB[NormB],$A357))</f>
        <v/>
      </c>
      <c r="C357" s="15">
        <f>IF($A357="","",IFERROR(SUMIF(tblMotor[A_Norm],$A357,tblMotor[SiparisToplam]),0))</f>
        <v/>
      </c>
      <c r="D357" s="15">
        <f>IF($A357="","",IFERROR(SUMIF(tblAnahtarA[Norm],$A357,tblVeriA[HedefMaliyet]),0))</f>
        <v/>
      </c>
      <c r="E357" s="15">
        <f>IF($A357="","",ROUND($D357,2)-ROUND($C357,2))</f>
        <v/>
      </c>
      <c r="F357" s="15">
        <f>IF($A357="","",ABS($E357))</f>
        <v/>
      </c>
      <c r="G357" s="15">
        <f>IF($A357="","",IF($B357=0,"eslesmedi",IF(ROUND($D357,2)=ROUND($C357,2),"eslesti",IF(ABS(ROUND($D357,2)-ROUND($C357,2))&lt;=toleransKurus,"tolerans_icinde","tutar_farki"))))</f>
        <v/>
      </c>
      <c r="H357" s="15">
        <f>IF($A357="","",IF($B357&gt;0,"BIRINCIL",IF(COUNTIF(tblAnahtarB[IkincilB],'ANAHTAR'!$D357)&gt;0,"IKINCIL","YOK")))</f>
        <v/>
      </c>
      <c r="I357" s="15">
        <f>IF($A357="","",'ANAHTAR'!$F357)</f>
        <v/>
      </c>
      <c r="J357" s="15">
        <f>IF(OR($A357="",$D357=0),0,$F357/ABS($D357))</f>
        <v/>
      </c>
      <c r="K357" s="15">
        <f>IF($A357="","",ROUND($D357,2))</f>
        <v/>
      </c>
      <c r="L357" s="15">
        <f>IF($A357="","",ROUND($C357,2))</f>
        <v/>
      </c>
      <c r="M357" s="15">
        <f>IF($A357="","",IF($F357&lt;=toleransKurus,1,0))</f>
        <v/>
      </c>
      <c r="N357" s="15">
        <f>IF($A357="","",IF($F357&gt;kdo_esikFark,1,0))</f>
        <v/>
      </c>
      <c r="O357" s="15">
        <f>IF($A357="","",IFERROR(SUMIF(tblMotor[A_Norm],$A357,tblMotor[SiparisToplam]),0))</f>
        <v/>
      </c>
      <c r="P357" s="15">
        <f>IF($A357="","",$B357+$M357+$N357)</f>
        <v/>
      </c>
    </row>
    <row r="358">
      <c r="A358" s="15">
        <f>IF('ANAHTAR'!$B358="","",'ANAHTAR'!$B358)</f>
        <v/>
      </c>
      <c r="B358" s="15">
        <f>IF($A358="","",COUNTIF(tblAnahtarB[NormB],$A358))</f>
        <v/>
      </c>
      <c r="C358" s="15">
        <f>IF($A358="","",IFERROR(SUMIF(tblMotor[A_Norm],$A358,tblMotor[SiparisToplam]),0))</f>
        <v/>
      </c>
      <c r="D358" s="15">
        <f>IF($A358="","",IFERROR(SUMIF(tblAnahtarA[Norm],$A358,tblVeriA[HedefMaliyet]),0))</f>
        <v/>
      </c>
      <c r="E358" s="15">
        <f>IF($A358="","",ROUND($D358,2)-ROUND($C358,2))</f>
        <v/>
      </c>
      <c r="F358" s="15">
        <f>IF($A358="","",ABS($E358))</f>
        <v/>
      </c>
      <c r="G358" s="15">
        <f>IF($A358="","",IF($B358=0,"eslesmedi",IF(ROUND($D358,2)=ROUND($C358,2),"eslesti",IF(ABS(ROUND($D358,2)-ROUND($C358,2))&lt;=toleransKurus,"tolerans_icinde","tutar_farki"))))</f>
        <v/>
      </c>
      <c r="H358" s="15">
        <f>IF($A358="","",IF($B358&gt;0,"BIRINCIL",IF(COUNTIF(tblAnahtarB[IkincilB],'ANAHTAR'!$D358)&gt;0,"IKINCIL","YOK")))</f>
        <v/>
      </c>
      <c r="I358" s="15">
        <f>IF($A358="","",'ANAHTAR'!$F358)</f>
        <v/>
      </c>
      <c r="J358" s="15">
        <f>IF(OR($A358="",$D358=0),0,$F358/ABS($D358))</f>
        <v/>
      </c>
      <c r="K358" s="15">
        <f>IF($A358="","",ROUND($D358,2))</f>
        <v/>
      </c>
      <c r="L358" s="15">
        <f>IF($A358="","",ROUND($C358,2))</f>
        <v/>
      </c>
      <c r="M358" s="15">
        <f>IF($A358="","",IF($F358&lt;=toleransKurus,1,0))</f>
        <v/>
      </c>
      <c r="N358" s="15">
        <f>IF($A358="","",IF($F358&gt;kdo_esikFark,1,0))</f>
        <v/>
      </c>
      <c r="O358" s="15">
        <f>IF($A358="","",IFERROR(SUMIF(tblMotor[A_Norm],$A358,tblMotor[SiparisToplam]),0))</f>
        <v/>
      </c>
      <c r="P358" s="15">
        <f>IF($A358="","",$B358+$M358+$N358)</f>
        <v/>
      </c>
    </row>
    <row r="359">
      <c r="A359" s="15">
        <f>IF('ANAHTAR'!$B359="","",'ANAHTAR'!$B359)</f>
        <v/>
      </c>
      <c r="B359" s="15">
        <f>IF($A359="","",COUNTIF(tblAnahtarB[NormB],$A359))</f>
        <v/>
      </c>
      <c r="C359" s="15">
        <f>IF($A359="","",IFERROR(SUMIF(tblMotor[A_Norm],$A359,tblMotor[SiparisToplam]),0))</f>
        <v/>
      </c>
      <c r="D359" s="15">
        <f>IF($A359="","",IFERROR(SUMIF(tblAnahtarA[Norm],$A359,tblVeriA[HedefMaliyet]),0))</f>
        <v/>
      </c>
      <c r="E359" s="15">
        <f>IF($A359="","",ROUND($D359,2)-ROUND($C359,2))</f>
        <v/>
      </c>
      <c r="F359" s="15">
        <f>IF($A359="","",ABS($E359))</f>
        <v/>
      </c>
      <c r="G359" s="15">
        <f>IF($A359="","",IF($B359=0,"eslesmedi",IF(ROUND($D359,2)=ROUND($C359,2),"eslesti",IF(ABS(ROUND($D359,2)-ROUND($C359,2))&lt;=toleransKurus,"tolerans_icinde","tutar_farki"))))</f>
        <v/>
      </c>
      <c r="H359" s="15">
        <f>IF($A359="","",IF($B359&gt;0,"BIRINCIL",IF(COUNTIF(tblAnahtarB[IkincilB],'ANAHTAR'!$D359)&gt;0,"IKINCIL","YOK")))</f>
        <v/>
      </c>
      <c r="I359" s="15">
        <f>IF($A359="","",'ANAHTAR'!$F359)</f>
        <v/>
      </c>
      <c r="J359" s="15">
        <f>IF(OR($A359="",$D359=0),0,$F359/ABS($D359))</f>
        <v/>
      </c>
      <c r="K359" s="15">
        <f>IF($A359="","",ROUND($D359,2))</f>
        <v/>
      </c>
      <c r="L359" s="15">
        <f>IF($A359="","",ROUND($C359,2))</f>
        <v/>
      </c>
      <c r="M359" s="15">
        <f>IF($A359="","",IF($F359&lt;=toleransKurus,1,0))</f>
        <v/>
      </c>
      <c r="N359" s="15">
        <f>IF($A359="","",IF($F359&gt;kdo_esikFark,1,0))</f>
        <v/>
      </c>
      <c r="O359" s="15">
        <f>IF($A359="","",IFERROR(SUMIF(tblMotor[A_Norm],$A359,tblMotor[SiparisToplam]),0))</f>
        <v/>
      </c>
      <c r="P359" s="15">
        <f>IF($A359="","",$B359+$M359+$N359)</f>
        <v/>
      </c>
    </row>
    <row r="360">
      <c r="A360" s="15">
        <f>IF('ANAHTAR'!$B360="","",'ANAHTAR'!$B360)</f>
        <v/>
      </c>
      <c r="B360" s="15">
        <f>IF($A360="","",COUNTIF(tblAnahtarB[NormB],$A360))</f>
        <v/>
      </c>
      <c r="C360" s="15">
        <f>IF($A360="","",IFERROR(SUMIF(tblMotor[A_Norm],$A360,tblMotor[SiparisToplam]),0))</f>
        <v/>
      </c>
      <c r="D360" s="15">
        <f>IF($A360="","",IFERROR(SUMIF(tblAnahtarA[Norm],$A360,tblVeriA[HedefMaliyet]),0))</f>
        <v/>
      </c>
      <c r="E360" s="15">
        <f>IF($A360="","",ROUND($D360,2)-ROUND($C360,2))</f>
        <v/>
      </c>
      <c r="F360" s="15">
        <f>IF($A360="","",ABS($E360))</f>
        <v/>
      </c>
      <c r="G360" s="15">
        <f>IF($A360="","",IF($B360=0,"eslesmedi",IF(ROUND($D360,2)=ROUND($C360,2),"eslesti",IF(ABS(ROUND($D360,2)-ROUND($C360,2))&lt;=toleransKurus,"tolerans_icinde","tutar_farki"))))</f>
        <v/>
      </c>
      <c r="H360" s="15">
        <f>IF($A360="","",IF($B360&gt;0,"BIRINCIL",IF(COUNTIF(tblAnahtarB[IkincilB],'ANAHTAR'!$D360)&gt;0,"IKINCIL","YOK")))</f>
        <v/>
      </c>
      <c r="I360" s="15">
        <f>IF($A360="","",'ANAHTAR'!$F360)</f>
        <v/>
      </c>
      <c r="J360" s="15">
        <f>IF(OR($A360="",$D360=0),0,$F360/ABS($D360))</f>
        <v/>
      </c>
      <c r="K360" s="15">
        <f>IF($A360="","",ROUND($D360,2))</f>
        <v/>
      </c>
      <c r="L360" s="15">
        <f>IF($A360="","",ROUND($C360,2))</f>
        <v/>
      </c>
      <c r="M360" s="15">
        <f>IF($A360="","",IF($F360&lt;=toleransKurus,1,0))</f>
        <v/>
      </c>
      <c r="N360" s="15">
        <f>IF($A360="","",IF($F360&gt;kdo_esikFark,1,0))</f>
        <v/>
      </c>
      <c r="O360" s="15">
        <f>IF($A360="","",IFERROR(SUMIF(tblMotor[A_Norm],$A360,tblMotor[SiparisToplam]),0))</f>
        <v/>
      </c>
      <c r="P360" s="15">
        <f>IF($A360="","",$B360+$M360+$N360)</f>
        <v/>
      </c>
    </row>
    <row r="361">
      <c r="A361" s="15">
        <f>IF('ANAHTAR'!$B361="","",'ANAHTAR'!$B361)</f>
        <v/>
      </c>
      <c r="B361" s="15">
        <f>IF($A361="","",COUNTIF(tblAnahtarB[NormB],$A361))</f>
        <v/>
      </c>
      <c r="C361" s="15">
        <f>IF($A361="","",IFERROR(SUMIF(tblMotor[A_Norm],$A361,tblMotor[SiparisToplam]),0))</f>
        <v/>
      </c>
      <c r="D361" s="15">
        <f>IF($A361="","",IFERROR(SUMIF(tblAnahtarA[Norm],$A361,tblVeriA[HedefMaliyet]),0))</f>
        <v/>
      </c>
      <c r="E361" s="15">
        <f>IF($A361="","",ROUND($D361,2)-ROUND($C361,2))</f>
        <v/>
      </c>
      <c r="F361" s="15">
        <f>IF($A361="","",ABS($E361))</f>
        <v/>
      </c>
      <c r="G361" s="15">
        <f>IF($A361="","",IF($B361=0,"eslesmedi",IF(ROUND($D361,2)=ROUND($C361,2),"eslesti",IF(ABS(ROUND($D361,2)-ROUND($C361,2))&lt;=toleransKurus,"tolerans_icinde","tutar_farki"))))</f>
        <v/>
      </c>
      <c r="H361" s="15">
        <f>IF($A361="","",IF($B361&gt;0,"BIRINCIL",IF(COUNTIF(tblAnahtarB[IkincilB],'ANAHTAR'!$D361)&gt;0,"IKINCIL","YOK")))</f>
        <v/>
      </c>
      <c r="I361" s="15">
        <f>IF($A361="","",'ANAHTAR'!$F361)</f>
        <v/>
      </c>
      <c r="J361" s="15">
        <f>IF(OR($A361="",$D361=0),0,$F361/ABS($D361))</f>
        <v/>
      </c>
      <c r="K361" s="15">
        <f>IF($A361="","",ROUND($D361,2))</f>
        <v/>
      </c>
      <c r="L361" s="15">
        <f>IF($A361="","",ROUND($C361,2))</f>
        <v/>
      </c>
      <c r="M361" s="15">
        <f>IF($A361="","",IF($F361&lt;=toleransKurus,1,0))</f>
        <v/>
      </c>
      <c r="N361" s="15">
        <f>IF($A361="","",IF($F361&gt;kdo_esikFark,1,0))</f>
        <v/>
      </c>
      <c r="O361" s="15">
        <f>IF($A361="","",IFERROR(SUMIF(tblMotor[A_Norm],$A361,tblMotor[SiparisToplam]),0))</f>
        <v/>
      </c>
      <c r="P361" s="15">
        <f>IF($A361="","",$B361+$M361+$N361)</f>
        <v/>
      </c>
    </row>
    <row r="362">
      <c r="A362" s="15">
        <f>IF('ANAHTAR'!$B362="","",'ANAHTAR'!$B362)</f>
        <v/>
      </c>
      <c r="B362" s="15">
        <f>IF($A362="","",COUNTIF(tblAnahtarB[NormB],$A362))</f>
        <v/>
      </c>
      <c r="C362" s="15">
        <f>IF($A362="","",IFERROR(SUMIF(tblMotor[A_Norm],$A362,tblMotor[SiparisToplam]),0))</f>
        <v/>
      </c>
      <c r="D362" s="15">
        <f>IF($A362="","",IFERROR(SUMIF(tblAnahtarA[Norm],$A362,tblVeriA[HedefMaliyet]),0))</f>
        <v/>
      </c>
      <c r="E362" s="15">
        <f>IF($A362="","",ROUND($D362,2)-ROUND($C362,2))</f>
        <v/>
      </c>
      <c r="F362" s="15">
        <f>IF($A362="","",ABS($E362))</f>
        <v/>
      </c>
      <c r="G362" s="15">
        <f>IF($A362="","",IF($B362=0,"eslesmedi",IF(ROUND($D362,2)=ROUND($C362,2),"eslesti",IF(ABS(ROUND($D362,2)-ROUND($C362,2))&lt;=toleransKurus,"tolerans_icinde","tutar_farki"))))</f>
        <v/>
      </c>
      <c r="H362" s="15">
        <f>IF($A362="","",IF($B362&gt;0,"BIRINCIL",IF(COUNTIF(tblAnahtarB[IkincilB],'ANAHTAR'!$D362)&gt;0,"IKINCIL","YOK")))</f>
        <v/>
      </c>
      <c r="I362" s="15">
        <f>IF($A362="","",'ANAHTAR'!$F362)</f>
        <v/>
      </c>
      <c r="J362" s="15">
        <f>IF(OR($A362="",$D362=0),0,$F362/ABS($D362))</f>
        <v/>
      </c>
      <c r="K362" s="15">
        <f>IF($A362="","",ROUND($D362,2))</f>
        <v/>
      </c>
      <c r="L362" s="15">
        <f>IF($A362="","",ROUND($C362,2))</f>
        <v/>
      </c>
      <c r="M362" s="15">
        <f>IF($A362="","",IF($F362&lt;=toleransKurus,1,0))</f>
        <v/>
      </c>
      <c r="N362" s="15">
        <f>IF($A362="","",IF($F362&gt;kdo_esikFark,1,0))</f>
        <v/>
      </c>
      <c r="O362" s="15">
        <f>IF($A362="","",IFERROR(SUMIF(tblMotor[A_Norm],$A362,tblMotor[SiparisToplam]),0))</f>
        <v/>
      </c>
      <c r="P362" s="15">
        <f>IF($A362="","",$B362+$M362+$N362)</f>
        <v/>
      </c>
    </row>
    <row r="363">
      <c r="A363" s="15">
        <f>IF('ANAHTAR'!$B363="","",'ANAHTAR'!$B363)</f>
        <v/>
      </c>
      <c r="B363" s="15">
        <f>IF($A363="","",COUNTIF(tblAnahtarB[NormB],$A363))</f>
        <v/>
      </c>
      <c r="C363" s="15">
        <f>IF($A363="","",IFERROR(SUMIF(tblMotor[A_Norm],$A363,tblMotor[SiparisToplam]),0))</f>
        <v/>
      </c>
      <c r="D363" s="15">
        <f>IF($A363="","",IFERROR(SUMIF(tblAnahtarA[Norm],$A363,tblVeriA[HedefMaliyet]),0))</f>
        <v/>
      </c>
      <c r="E363" s="15">
        <f>IF($A363="","",ROUND($D363,2)-ROUND($C363,2))</f>
        <v/>
      </c>
      <c r="F363" s="15">
        <f>IF($A363="","",ABS($E363))</f>
        <v/>
      </c>
      <c r="G363" s="15">
        <f>IF($A363="","",IF($B363=0,"eslesmedi",IF(ROUND($D363,2)=ROUND($C363,2),"eslesti",IF(ABS(ROUND($D363,2)-ROUND($C363,2))&lt;=toleransKurus,"tolerans_icinde","tutar_farki"))))</f>
        <v/>
      </c>
      <c r="H363" s="15">
        <f>IF($A363="","",IF($B363&gt;0,"BIRINCIL",IF(COUNTIF(tblAnahtarB[IkincilB],'ANAHTAR'!$D363)&gt;0,"IKINCIL","YOK")))</f>
        <v/>
      </c>
      <c r="I363" s="15">
        <f>IF($A363="","",'ANAHTAR'!$F363)</f>
        <v/>
      </c>
      <c r="J363" s="15">
        <f>IF(OR($A363="",$D363=0),0,$F363/ABS($D363))</f>
        <v/>
      </c>
      <c r="K363" s="15">
        <f>IF($A363="","",ROUND($D363,2))</f>
        <v/>
      </c>
      <c r="L363" s="15">
        <f>IF($A363="","",ROUND($C363,2))</f>
        <v/>
      </c>
      <c r="M363" s="15">
        <f>IF($A363="","",IF($F363&lt;=toleransKurus,1,0))</f>
        <v/>
      </c>
      <c r="N363" s="15">
        <f>IF($A363="","",IF($F363&gt;kdo_esikFark,1,0))</f>
        <v/>
      </c>
      <c r="O363" s="15">
        <f>IF($A363="","",IFERROR(SUMIF(tblMotor[A_Norm],$A363,tblMotor[SiparisToplam]),0))</f>
        <v/>
      </c>
      <c r="P363" s="15">
        <f>IF($A363="","",$B363+$M363+$N363)</f>
        <v/>
      </c>
    </row>
    <row r="364">
      <c r="A364" s="15">
        <f>IF('ANAHTAR'!$B364="","",'ANAHTAR'!$B364)</f>
        <v/>
      </c>
      <c r="B364" s="15">
        <f>IF($A364="","",COUNTIF(tblAnahtarB[NormB],$A364))</f>
        <v/>
      </c>
      <c r="C364" s="15">
        <f>IF($A364="","",IFERROR(SUMIF(tblMotor[A_Norm],$A364,tblMotor[SiparisToplam]),0))</f>
        <v/>
      </c>
      <c r="D364" s="15">
        <f>IF($A364="","",IFERROR(SUMIF(tblAnahtarA[Norm],$A364,tblVeriA[HedefMaliyet]),0))</f>
        <v/>
      </c>
      <c r="E364" s="15">
        <f>IF($A364="","",ROUND($D364,2)-ROUND($C364,2))</f>
        <v/>
      </c>
      <c r="F364" s="15">
        <f>IF($A364="","",ABS($E364))</f>
        <v/>
      </c>
      <c r="G364" s="15">
        <f>IF($A364="","",IF($B364=0,"eslesmedi",IF(ROUND($D364,2)=ROUND($C364,2),"eslesti",IF(ABS(ROUND($D364,2)-ROUND($C364,2))&lt;=toleransKurus,"tolerans_icinde","tutar_farki"))))</f>
        <v/>
      </c>
      <c r="H364" s="15">
        <f>IF($A364="","",IF($B364&gt;0,"BIRINCIL",IF(COUNTIF(tblAnahtarB[IkincilB],'ANAHTAR'!$D364)&gt;0,"IKINCIL","YOK")))</f>
        <v/>
      </c>
      <c r="I364" s="15">
        <f>IF($A364="","",'ANAHTAR'!$F364)</f>
        <v/>
      </c>
      <c r="J364" s="15">
        <f>IF(OR($A364="",$D364=0),0,$F364/ABS($D364))</f>
        <v/>
      </c>
      <c r="K364" s="15">
        <f>IF($A364="","",ROUND($D364,2))</f>
        <v/>
      </c>
      <c r="L364" s="15">
        <f>IF($A364="","",ROUND($C364,2))</f>
        <v/>
      </c>
      <c r="M364" s="15">
        <f>IF($A364="","",IF($F364&lt;=toleransKurus,1,0))</f>
        <v/>
      </c>
      <c r="N364" s="15">
        <f>IF($A364="","",IF($F364&gt;kdo_esikFark,1,0))</f>
        <v/>
      </c>
      <c r="O364" s="15">
        <f>IF($A364="","",IFERROR(SUMIF(tblMotor[A_Norm],$A364,tblMotor[SiparisToplam]),0))</f>
        <v/>
      </c>
      <c r="P364" s="15">
        <f>IF($A364="","",$B364+$M364+$N364)</f>
        <v/>
      </c>
    </row>
    <row r="365">
      <c r="A365" s="15">
        <f>IF('ANAHTAR'!$B365="","",'ANAHTAR'!$B365)</f>
        <v/>
      </c>
      <c r="B365" s="15">
        <f>IF($A365="","",COUNTIF(tblAnahtarB[NormB],$A365))</f>
        <v/>
      </c>
      <c r="C365" s="15">
        <f>IF($A365="","",IFERROR(SUMIF(tblMotor[A_Norm],$A365,tblMotor[SiparisToplam]),0))</f>
        <v/>
      </c>
      <c r="D365" s="15">
        <f>IF($A365="","",IFERROR(SUMIF(tblAnahtarA[Norm],$A365,tblVeriA[HedefMaliyet]),0))</f>
        <v/>
      </c>
      <c r="E365" s="15">
        <f>IF($A365="","",ROUND($D365,2)-ROUND($C365,2))</f>
        <v/>
      </c>
      <c r="F365" s="15">
        <f>IF($A365="","",ABS($E365))</f>
        <v/>
      </c>
      <c r="G365" s="15">
        <f>IF($A365="","",IF($B365=0,"eslesmedi",IF(ROUND($D365,2)=ROUND($C365,2),"eslesti",IF(ABS(ROUND($D365,2)-ROUND($C365,2))&lt;=toleransKurus,"tolerans_icinde","tutar_farki"))))</f>
        <v/>
      </c>
      <c r="H365" s="15">
        <f>IF($A365="","",IF($B365&gt;0,"BIRINCIL",IF(COUNTIF(tblAnahtarB[IkincilB],'ANAHTAR'!$D365)&gt;0,"IKINCIL","YOK")))</f>
        <v/>
      </c>
      <c r="I365" s="15">
        <f>IF($A365="","",'ANAHTAR'!$F365)</f>
        <v/>
      </c>
      <c r="J365" s="15">
        <f>IF(OR($A365="",$D365=0),0,$F365/ABS($D365))</f>
        <v/>
      </c>
      <c r="K365" s="15">
        <f>IF($A365="","",ROUND($D365,2))</f>
        <v/>
      </c>
      <c r="L365" s="15">
        <f>IF($A365="","",ROUND($C365,2))</f>
        <v/>
      </c>
      <c r="M365" s="15">
        <f>IF($A365="","",IF($F365&lt;=toleransKurus,1,0))</f>
        <v/>
      </c>
      <c r="N365" s="15">
        <f>IF($A365="","",IF($F365&gt;kdo_esikFark,1,0))</f>
        <v/>
      </c>
      <c r="O365" s="15">
        <f>IF($A365="","",IFERROR(SUMIF(tblMotor[A_Norm],$A365,tblMotor[SiparisToplam]),0))</f>
        <v/>
      </c>
      <c r="P365" s="15">
        <f>IF($A365="","",$B365+$M365+$N365)</f>
        <v/>
      </c>
    </row>
    <row r="366">
      <c r="A366" s="15">
        <f>IF('ANAHTAR'!$B366="","",'ANAHTAR'!$B366)</f>
        <v/>
      </c>
      <c r="B366" s="15">
        <f>IF($A366="","",COUNTIF(tblAnahtarB[NormB],$A366))</f>
        <v/>
      </c>
      <c r="C366" s="15">
        <f>IF($A366="","",IFERROR(SUMIF(tblMotor[A_Norm],$A366,tblMotor[SiparisToplam]),0))</f>
        <v/>
      </c>
      <c r="D366" s="15">
        <f>IF($A366="","",IFERROR(SUMIF(tblAnahtarA[Norm],$A366,tblVeriA[HedefMaliyet]),0))</f>
        <v/>
      </c>
      <c r="E366" s="15">
        <f>IF($A366="","",ROUND($D366,2)-ROUND($C366,2))</f>
        <v/>
      </c>
      <c r="F366" s="15">
        <f>IF($A366="","",ABS($E366))</f>
        <v/>
      </c>
      <c r="G366" s="15">
        <f>IF($A366="","",IF($B366=0,"eslesmedi",IF(ROUND($D366,2)=ROUND($C366,2),"eslesti",IF(ABS(ROUND($D366,2)-ROUND($C366,2))&lt;=toleransKurus,"tolerans_icinde","tutar_farki"))))</f>
        <v/>
      </c>
      <c r="H366" s="15">
        <f>IF($A366="","",IF($B366&gt;0,"BIRINCIL",IF(COUNTIF(tblAnahtarB[IkincilB],'ANAHTAR'!$D366)&gt;0,"IKINCIL","YOK")))</f>
        <v/>
      </c>
      <c r="I366" s="15">
        <f>IF($A366="","",'ANAHTAR'!$F366)</f>
        <v/>
      </c>
      <c r="J366" s="15">
        <f>IF(OR($A366="",$D366=0),0,$F366/ABS($D366))</f>
        <v/>
      </c>
      <c r="K366" s="15">
        <f>IF($A366="","",ROUND($D366,2))</f>
        <v/>
      </c>
      <c r="L366" s="15">
        <f>IF($A366="","",ROUND($C366,2))</f>
        <v/>
      </c>
      <c r="M366" s="15">
        <f>IF($A366="","",IF($F366&lt;=toleransKurus,1,0))</f>
        <v/>
      </c>
      <c r="N366" s="15">
        <f>IF($A366="","",IF($F366&gt;kdo_esikFark,1,0))</f>
        <v/>
      </c>
      <c r="O366" s="15">
        <f>IF($A366="","",IFERROR(SUMIF(tblMotor[A_Norm],$A366,tblMotor[SiparisToplam]),0))</f>
        <v/>
      </c>
      <c r="P366" s="15">
        <f>IF($A366="","",$B366+$M366+$N366)</f>
        <v/>
      </c>
    </row>
    <row r="367">
      <c r="A367" s="15">
        <f>IF('ANAHTAR'!$B367="","",'ANAHTAR'!$B367)</f>
        <v/>
      </c>
      <c r="B367" s="15">
        <f>IF($A367="","",COUNTIF(tblAnahtarB[NormB],$A367))</f>
        <v/>
      </c>
      <c r="C367" s="15">
        <f>IF($A367="","",IFERROR(SUMIF(tblMotor[A_Norm],$A367,tblMotor[SiparisToplam]),0))</f>
        <v/>
      </c>
      <c r="D367" s="15">
        <f>IF($A367="","",IFERROR(SUMIF(tblAnahtarA[Norm],$A367,tblVeriA[HedefMaliyet]),0))</f>
        <v/>
      </c>
      <c r="E367" s="15">
        <f>IF($A367="","",ROUND($D367,2)-ROUND($C367,2))</f>
        <v/>
      </c>
      <c r="F367" s="15">
        <f>IF($A367="","",ABS($E367))</f>
        <v/>
      </c>
      <c r="G367" s="15">
        <f>IF($A367="","",IF($B367=0,"eslesmedi",IF(ROUND($D367,2)=ROUND($C367,2),"eslesti",IF(ABS(ROUND($D367,2)-ROUND($C367,2))&lt;=toleransKurus,"tolerans_icinde","tutar_farki"))))</f>
        <v/>
      </c>
      <c r="H367" s="15">
        <f>IF($A367="","",IF($B367&gt;0,"BIRINCIL",IF(COUNTIF(tblAnahtarB[IkincilB],'ANAHTAR'!$D367)&gt;0,"IKINCIL","YOK")))</f>
        <v/>
      </c>
      <c r="I367" s="15">
        <f>IF($A367="","",'ANAHTAR'!$F367)</f>
        <v/>
      </c>
      <c r="J367" s="15">
        <f>IF(OR($A367="",$D367=0),0,$F367/ABS($D367))</f>
        <v/>
      </c>
      <c r="K367" s="15">
        <f>IF($A367="","",ROUND($D367,2))</f>
        <v/>
      </c>
      <c r="L367" s="15">
        <f>IF($A367="","",ROUND($C367,2))</f>
        <v/>
      </c>
      <c r="M367" s="15">
        <f>IF($A367="","",IF($F367&lt;=toleransKurus,1,0))</f>
        <v/>
      </c>
      <c r="N367" s="15">
        <f>IF($A367="","",IF($F367&gt;kdo_esikFark,1,0))</f>
        <v/>
      </c>
      <c r="O367" s="15">
        <f>IF($A367="","",IFERROR(SUMIF(tblMotor[A_Norm],$A367,tblMotor[SiparisToplam]),0))</f>
        <v/>
      </c>
      <c r="P367" s="15">
        <f>IF($A367="","",$B367+$M367+$N367)</f>
        <v/>
      </c>
    </row>
    <row r="368">
      <c r="A368" s="15">
        <f>IF('ANAHTAR'!$B368="","",'ANAHTAR'!$B368)</f>
        <v/>
      </c>
      <c r="B368" s="15">
        <f>IF($A368="","",COUNTIF(tblAnahtarB[NormB],$A368))</f>
        <v/>
      </c>
      <c r="C368" s="15">
        <f>IF($A368="","",IFERROR(SUMIF(tblMotor[A_Norm],$A368,tblMotor[SiparisToplam]),0))</f>
        <v/>
      </c>
      <c r="D368" s="15">
        <f>IF($A368="","",IFERROR(SUMIF(tblAnahtarA[Norm],$A368,tblVeriA[HedefMaliyet]),0))</f>
        <v/>
      </c>
      <c r="E368" s="15">
        <f>IF($A368="","",ROUND($D368,2)-ROUND($C368,2))</f>
        <v/>
      </c>
      <c r="F368" s="15">
        <f>IF($A368="","",ABS($E368))</f>
        <v/>
      </c>
      <c r="G368" s="15">
        <f>IF($A368="","",IF($B368=0,"eslesmedi",IF(ROUND($D368,2)=ROUND($C368,2),"eslesti",IF(ABS(ROUND($D368,2)-ROUND($C368,2))&lt;=toleransKurus,"tolerans_icinde","tutar_farki"))))</f>
        <v/>
      </c>
      <c r="H368" s="15">
        <f>IF($A368="","",IF($B368&gt;0,"BIRINCIL",IF(COUNTIF(tblAnahtarB[IkincilB],'ANAHTAR'!$D368)&gt;0,"IKINCIL","YOK")))</f>
        <v/>
      </c>
      <c r="I368" s="15">
        <f>IF($A368="","",'ANAHTAR'!$F368)</f>
        <v/>
      </c>
      <c r="J368" s="15">
        <f>IF(OR($A368="",$D368=0),0,$F368/ABS($D368))</f>
        <v/>
      </c>
      <c r="K368" s="15">
        <f>IF($A368="","",ROUND($D368,2))</f>
        <v/>
      </c>
      <c r="L368" s="15">
        <f>IF($A368="","",ROUND($C368,2))</f>
        <v/>
      </c>
      <c r="M368" s="15">
        <f>IF($A368="","",IF($F368&lt;=toleransKurus,1,0))</f>
        <v/>
      </c>
      <c r="N368" s="15">
        <f>IF($A368="","",IF($F368&gt;kdo_esikFark,1,0))</f>
        <v/>
      </c>
      <c r="O368" s="15">
        <f>IF($A368="","",IFERROR(SUMIF(tblMotor[A_Norm],$A368,tblMotor[SiparisToplam]),0))</f>
        <v/>
      </c>
      <c r="P368" s="15">
        <f>IF($A368="","",$B368+$M368+$N368)</f>
        <v/>
      </c>
    </row>
    <row r="369">
      <c r="A369" s="15">
        <f>IF('ANAHTAR'!$B369="","",'ANAHTAR'!$B369)</f>
        <v/>
      </c>
      <c r="B369" s="15">
        <f>IF($A369="","",COUNTIF(tblAnahtarB[NormB],$A369))</f>
        <v/>
      </c>
      <c r="C369" s="15">
        <f>IF($A369="","",IFERROR(SUMIF(tblMotor[A_Norm],$A369,tblMotor[SiparisToplam]),0))</f>
        <v/>
      </c>
      <c r="D369" s="15">
        <f>IF($A369="","",IFERROR(SUMIF(tblAnahtarA[Norm],$A369,tblVeriA[HedefMaliyet]),0))</f>
        <v/>
      </c>
      <c r="E369" s="15">
        <f>IF($A369="","",ROUND($D369,2)-ROUND($C369,2))</f>
        <v/>
      </c>
      <c r="F369" s="15">
        <f>IF($A369="","",ABS($E369))</f>
        <v/>
      </c>
      <c r="G369" s="15">
        <f>IF($A369="","",IF($B369=0,"eslesmedi",IF(ROUND($D369,2)=ROUND($C369,2),"eslesti",IF(ABS(ROUND($D369,2)-ROUND($C369,2))&lt;=toleransKurus,"tolerans_icinde","tutar_farki"))))</f>
        <v/>
      </c>
      <c r="H369" s="15">
        <f>IF($A369="","",IF($B369&gt;0,"BIRINCIL",IF(COUNTIF(tblAnahtarB[IkincilB],'ANAHTAR'!$D369)&gt;0,"IKINCIL","YOK")))</f>
        <v/>
      </c>
      <c r="I369" s="15">
        <f>IF($A369="","",'ANAHTAR'!$F369)</f>
        <v/>
      </c>
      <c r="J369" s="15">
        <f>IF(OR($A369="",$D369=0),0,$F369/ABS($D369))</f>
        <v/>
      </c>
      <c r="K369" s="15">
        <f>IF($A369="","",ROUND($D369,2))</f>
        <v/>
      </c>
      <c r="L369" s="15">
        <f>IF($A369="","",ROUND($C369,2))</f>
        <v/>
      </c>
      <c r="M369" s="15">
        <f>IF($A369="","",IF($F369&lt;=toleransKurus,1,0))</f>
        <v/>
      </c>
      <c r="N369" s="15">
        <f>IF($A369="","",IF($F369&gt;kdo_esikFark,1,0))</f>
        <v/>
      </c>
      <c r="O369" s="15">
        <f>IF($A369="","",IFERROR(SUMIF(tblMotor[A_Norm],$A369,tblMotor[SiparisToplam]),0))</f>
        <v/>
      </c>
      <c r="P369" s="15">
        <f>IF($A369="","",$B369+$M369+$N369)</f>
        <v/>
      </c>
    </row>
    <row r="370">
      <c r="A370" s="15">
        <f>IF('ANAHTAR'!$B370="","",'ANAHTAR'!$B370)</f>
        <v/>
      </c>
      <c r="B370" s="15">
        <f>IF($A370="","",COUNTIF(tblAnahtarB[NormB],$A370))</f>
        <v/>
      </c>
      <c r="C370" s="15">
        <f>IF($A370="","",IFERROR(SUMIF(tblMotor[A_Norm],$A370,tblMotor[SiparisToplam]),0))</f>
        <v/>
      </c>
      <c r="D370" s="15">
        <f>IF($A370="","",IFERROR(SUMIF(tblAnahtarA[Norm],$A370,tblVeriA[HedefMaliyet]),0))</f>
        <v/>
      </c>
      <c r="E370" s="15">
        <f>IF($A370="","",ROUND($D370,2)-ROUND($C370,2))</f>
        <v/>
      </c>
      <c r="F370" s="15">
        <f>IF($A370="","",ABS($E370))</f>
        <v/>
      </c>
      <c r="G370" s="15">
        <f>IF($A370="","",IF($B370=0,"eslesmedi",IF(ROUND($D370,2)=ROUND($C370,2),"eslesti",IF(ABS(ROUND($D370,2)-ROUND($C370,2))&lt;=toleransKurus,"tolerans_icinde","tutar_farki"))))</f>
        <v/>
      </c>
      <c r="H370" s="15">
        <f>IF($A370="","",IF($B370&gt;0,"BIRINCIL",IF(COUNTIF(tblAnahtarB[IkincilB],'ANAHTAR'!$D370)&gt;0,"IKINCIL","YOK")))</f>
        <v/>
      </c>
      <c r="I370" s="15">
        <f>IF($A370="","",'ANAHTAR'!$F370)</f>
        <v/>
      </c>
      <c r="J370" s="15">
        <f>IF(OR($A370="",$D370=0),0,$F370/ABS($D370))</f>
        <v/>
      </c>
      <c r="K370" s="15">
        <f>IF($A370="","",ROUND($D370,2))</f>
        <v/>
      </c>
      <c r="L370" s="15">
        <f>IF($A370="","",ROUND($C370,2))</f>
        <v/>
      </c>
      <c r="M370" s="15">
        <f>IF($A370="","",IF($F370&lt;=toleransKurus,1,0))</f>
        <v/>
      </c>
      <c r="N370" s="15">
        <f>IF($A370="","",IF($F370&gt;kdo_esikFark,1,0))</f>
        <v/>
      </c>
      <c r="O370" s="15">
        <f>IF($A370="","",IFERROR(SUMIF(tblMotor[A_Norm],$A370,tblMotor[SiparisToplam]),0))</f>
        <v/>
      </c>
      <c r="P370" s="15">
        <f>IF($A370="","",$B370+$M370+$N370)</f>
        <v/>
      </c>
    </row>
    <row r="371">
      <c r="A371" s="15">
        <f>IF('ANAHTAR'!$B371="","",'ANAHTAR'!$B371)</f>
        <v/>
      </c>
      <c r="B371" s="15">
        <f>IF($A371="","",COUNTIF(tblAnahtarB[NormB],$A371))</f>
        <v/>
      </c>
      <c r="C371" s="15">
        <f>IF($A371="","",IFERROR(SUMIF(tblMotor[A_Norm],$A371,tblMotor[SiparisToplam]),0))</f>
        <v/>
      </c>
      <c r="D371" s="15">
        <f>IF($A371="","",IFERROR(SUMIF(tblAnahtarA[Norm],$A371,tblVeriA[HedefMaliyet]),0))</f>
        <v/>
      </c>
      <c r="E371" s="15">
        <f>IF($A371="","",ROUND($D371,2)-ROUND($C371,2))</f>
        <v/>
      </c>
      <c r="F371" s="15">
        <f>IF($A371="","",ABS($E371))</f>
        <v/>
      </c>
      <c r="G371" s="15">
        <f>IF($A371="","",IF($B371=0,"eslesmedi",IF(ROUND($D371,2)=ROUND($C371,2),"eslesti",IF(ABS(ROUND($D371,2)-ROUND($C371,2))&lt;=toleransKurus,"tolerans_icinde","tutar_farki"))))</f>
        <v/>
      </c>
      <c r="H371" s="15">
        <f>IF($A371="","",IF($B371&gt;0,"BIRINCIL",IF(COUNTIF(tblAnahtarB[IkincilB],'ANAHTAR'!$D371)&gt;0,"IKINCIL","YOK")))</f>
        <v/>
      </c>
      <c r="I371" s="15">
        <f>IF($A371="","",'ANAHTAR'!$F371)</f>
        <v/>
      </c>
      <c r="J371" s="15">
        <f>IF(OR($A371="",$D371=0),0,$F371/ABS($D371))</f>
        <v/>
      </c>
      <c r="K371" s="15">
        <f>IF($A371="","",ROUND($D371,2))</f>
        <v/>
      </c>
      <c r="L371" s="15">
        <f>IF($A371="","",ROUND($C371,2))</f>
        <v/>
      </c>
      <c r="M371" s="15">
        <f>IF($A371="","",IF($F371&lt;=toleransKurus,1,0))</f>
        <v/>
      </c>
      <c r="N371" s="15">
        <f>IF($A371="","",IF($F371&gt;kdo_esikFark,1,0))</f>
        <v/>
      </c>
      <c r="O371" s="15">
        <f>IF($A371="","",IFERROR(SUMIF(tblMotor[A_Norm],$A371,tblMotor[SiparisToplam]),0))</f>
        <v/>
      </c>
      <c r="P371" s="15">
        <f>IF($A371="","",$B371+$M371+$N371)</f>
        <v/>
      </c>
    </row>
    <row r="372">
      <c r="A372" s="15">
        <f>IF('ANAHTAR'!$B372="","",'ANAHTAR'!$B372)</f>
        <v/>
      </c>
      <c r="B372" s="15">
        <f>IF($A372="","",COUNTIF(tblAnahtarB[NormB],$A372))</f>
        <v/>
      </c>
      <c r="C372" s="15">
        <f>IF($A372="","",IFERROR(SUMIF(tblMotor[A_Norm],$A372,tblMotor[SiparisToplam]),0))</f>
        <v/>
      </c>
      <c r="D372" s="15">
        <f>IF($A372="","",IFERROR(SUMIF(tblAnahtarA[Norm],$A372,tblVeriA[HedefMaliyet]),0))</f>
        <v/>
      </c>
      <c r="E372" s="15">
        <f>IF($A372="","",ROUND($D372,2)-ROUND($C372,2))</f>
        <v/>
      </c>
      <c r="F372" s="15">
        <f>IF($A372="","",ABS($E372))</f>
        <v/>
      </c>
      <c r="G372" s="15">
        <f>IF($A372="","",IF($B372=0,"eslesmedi",IF(ROUND($D372,2)=ROUND($C372,2),"eslesti",IF(ABS(ROUND($D372,2)-ROUND($C372,2))&lt;=toleransKurus,"tolerans_icinde","tutar_farki"))))</f>
        <v/>
      </c>
      <c r="H372" s="15">
        <f>IF($A372="","",IF($B372&gt;0,"BIRINCIL",IF(COUNTIF(tblAnahtarB[IkincilB],'ANAHTAR'!$D372)&gt;0,"IKINCIL","YOK")))</f>
        <v/>
      </c>
      <c r="I372" s="15">
        <f>IF($A372="","",'ANAHTAR'!$F372)</f>
        <v/>
      </c>
      <c r="J372" s="15">
        <f>IF(OR($A372="",$D372=0),0,$F372/ABS($D372))</f>
        <v/>
      </c>
      <c r="K372" s="15">
        <f>IF($A372="","",ROUND($D372,2))</f>
        <v/>
      </c>
      <c r="L372" s="15">
        <f>IF($A372="","",ROUND($C372,2))</f>
        <v/>
      </c>
      <c r="M372" s="15">
        <f>IF($A372="","",IF($F372&lt;=toleransKurus,1,0))</f>
        <v/>
      </c>
      <c r="N372" s="15">
        <f>IF($A372="","",IF($F372&gt;kdo_esikFark,1,0))</f>
        <v/>
      </c>
      <c r="O372" s="15">
        <f>IF($A372="","",IFERROR(SUMIF(tblMotor[A_Norm],$A372,tblMotor[SiparisToplam]),0))</f>
        <v/>
      </c>
      <c r="P372" s="15">
        <f>IF($A372="","",$B372+$M372+$N372)</f>
        <v/>
      </c>
    </row>
    <row r="373">
      <c r="A373" s="15">
        <f>IF('ANAHTAR'!$B373="","",'ANAHTAR'!$B373)</f>
        <v/>
      </c>
      <c r="B373" s="15">
        <f>IF($A373="","",COUNTIF(tblAnahtarB[NormB],$A373))</f>
        <v/>
      </c>
      <c r="C373" s="15">
        <f>IF($A373="","",IFERROR(SUMIF(tblMotor[A_Norm],$A373,tblMotor[SiparisToplam]),0))</f>
        <v/>
      </c>
      <c r="D373" s="15">
        <f>IF($A373="","",IFERROR(SUMIF(tblAnahtarA[Norm],$A373,tblVeriA[HedefMaliyet]),0))</f>
        <v/>
      </c>
      <c r="E373" s="15">
        <f>IF($A373="","",ROUND($D373,2)-ROUND($C373,2))</f>
        <v/>
      </c>
      <c r="F373" s="15">
        <f>IF($A373="","",ABS($E373))</f>
        <v/>
      </c>
      <c r="G373" s="15">
        <f>IF($A373="","",IF($B373=0,"eslesmedi",IF(ROUND($D373,2)=ROUND($C373,2),"eslesti",IF(ABS(ROUND($D373,2)-ROUND($C373,2))&lt;=toleransKurus,"tolerans_icinde","tutar_farki"))))</f>
        <v/>
      </c>
      <c r="H373" s="15">
        <f>IF($A373="","",IF($B373&gt;0,"BIRINCIL",IF(COUNTIF(tblAnahtarB[IkincilB],'ANAHTAR'!$D373)&gt;0,"IKINCIL","YOK")))</f>
        <v/>
      </c>
      <c r="I373" s="15">
        <f>IF($A373="","",'ANAHTAR'!$F373)</f>
        <v/>
      </c>
      <c r="J373" s="15">
        <f>IF(OR($A373="",$D373=0),0,$F373/ABS($D373))</f>
        <v/>
      </c>
      <c r="K373" s="15">
        <f>IF($A373="","",ROUND($D373,2))</f>
        <v/>
      </c>
      <c r="L373" s="15">
        <f>IF($A373="","",ROUND($C373,2))</f>
        <v/>
      </c>
      <c r="M373" s="15">
        <f>IF($A373="","",IF($F373&lt;=toleransKurus,1,0))</f>
        <v/>
      </c>
      <c r="N373" s="15">
        <f>IF($A373="","",IF($F373&gt;kdo_esikFark,1,0))</f>
        <v/>
      </c>
      <c r="O373" s="15">
        <f>IF($A373="","",IFERROR(SUMIF(tblMotor[A_Norm],$A373,tblMotor[SiparisToplam]),0))</f>
        <v/>
      </c>
      <c r="P373" s="15">
        <f>IF($A373="","",$B373+$M373+$N373)</f>
        <v/>
      </c>
    </row>
    <row r="374">
      <c r="A374" s="15">
        <f>IF('ANAHTAR'!$B374="","",'ANAHTAR'!$B374)</f>
        <v/>
      </c>
      <c r="B374" s="15">
        <f>IF($A374="","",COUNTIF(tblAnahtarB[NormB],$A374))</f>
        <v/>
      </c>
      <c r="C374" s="15">
        <f>IF($A374="","",IFERROR(SUMIF(tblMotor[A_Norm],$A374,tblMotor[SiparisToplam]),0))</f>
        <v/>
      </c>
      <c r="D374" s="15">
        <f>IF($A374="","",IFERROR(SUMIF(tblAnahtarA[Norm],$A374,tblVeriA[HedefMaliyet]),0))</f>
        <v/>
      </c>
      <c r="E374" s="15">
        <f>IF($A374="","",ROUND($D374,2)-ROUND($C374,2))</f>
        <v/>
      </c>
      <c r="F374" s="15">
        <f>IF($A374="","",ABS($E374))</f>
        <v/>
      </c>
      <c r="G374" s="15">
        <f>IF($A374="","",IF($B374=0,"eslesmedi",IF(ROUND($D374,2)=ROUND($C374,2),"eslesti",IF(ABS(ROUND($D374,2)-ROUND($C374,2))&lt;=toleransKurus,"tolerans_icinde","tutar_farki"))))</f>
        <v/>
      </c>
      <c r="H374" s="15">
        <f>IF($A374="","",IF($B374&gt;0,"BIRINCIL",IF(COUNTIF(tblAnahtarB[IkincilB],'ANAHTAR'!$D374)&gt;0,"IKINCIL","YOK")))</f>
        <v/>
      </c>
      <c r="I374" s="15">
        <f>IF($A374="","",'ANAHTAR'!$F374)</f>
        <v/>
      </c>
      <c r="J374" s="15">
        <f>IF(OR($A374="",$D374=0),0,$F374/ABS($D374))</f>
        <v/>
      </c>
      <c r="K374" s="15">
        <f>IF($A374="","",ROUND($D374,2))</f>
        <v/>
      </c>
      <c r="L374" s="15">
        <f>IF($A374="","",ROUND($C374,2))</f>
        <v/>
      </c>
      <c r="M374" s="15">
        <f>IF($A374="","",IF($F374&lt;=toleransKurus,1,0))</f>
        <v/>
      </c>
      <c r="N374" s="15">
        <f>IF($A374="","",IF($F374&gt;kdo_esikFark,1,0))</f>
        <v/>
      </c>
      <c r="O374" s="15">
        <f>IF($A374="","",IFERROR(SUMIF(tblMotor[A_Norm],$A374,tblMotor[SiparisToplam]),0))</f>
        <v/>
      </c>
      <c r="P374" s="15">
        <f>IF($A374="","",$B374+$M374+$N374)</f>
        <v/>
      </c>
    </row>
    <row r="375">
      <c r="A375" s="15">
        <f>IF('ANAHTAR'!$B375="","",'ANAHTAR'!$B375)</f>
        <v/>
      </c>
      <c r="B375" s="15">
        <f>IF($A375="","",COUNTIF(tblAnahtarB[NormB],$A375))</f>
        <v/>
      </c>
      <c r="C375" s="15">
        <f>IF($A375="","",IFERROR(SUMIF(tblMotor[A_Norm],$A375,tblMotor[SiparisToplam]),0))</f>
        <v/>
      </c>
      <c r="D375" s="15">
        <f>IF($A375="","",IFERROR(SUMIF(tblAnahtarA[Norm],$A375,tblVeriA[HedefMaliyet]),0))</f>
        <v/>
      </c>
      <c r="E375" s="15">
        <f>IF($A375="","",ROUND($D375,2)-ROUND($C375,2))</f>
        <v/>
      </c>
      <c r="F375" s="15">
        <f>IF($A375="","",ABS($E375))</f>
        <v/>
      </c>
      <c r="G375" s="15">
        <f>IF($A375="","",IF($B375=0,"eslesmedi",IF(ROUND($D375,2)=ROUND($C375,2),"eslesti",IF(ABS(ROUND($D375,2)-ROUND($C375,2))&lt;=toleransKurus,"tolerans_icinde","tutar_farki"))))</f>
        <v/>
      </c>
      <c r="H375" s="15">
        <f>IF($A375="","",IF($B375&gt;0,"BIRINCIL",IF(COUNTIF(tblAnahtarB[IkincilB],'ANAHTAR'!$D375)&gt;0,"IKINCIL","YOK")))</f>
        <v/>
      </c>
      <c r="I375" s="15">
        <f>IF($A375="","",'ANAHTAR'!$F375)</f>
        <v/>
      </c>
      <c r="J375" s="15">
        <f>IF(OR($A375="",$D375=0),0,$F375/ABS($D375))</f>
        <v/>
      </c>
      <c r="K375" s="15">
        <f>IF($A375="","",ROUND($D375,2))</f>
        <v/>
      </c>
      <c r="L375" s="15">
        <f>IF($A375="","",ROUND($C375,2))</f>
        <v/>
      </c>
      <c r="M375" s="15">
        <f>IF($A375="","",IF($F375&lt;=toleransKurus,1,0))</f>
        <v/>
      </c>
      <c r="N375" s="15">
        <f>IF($A375="","",IF($F375&gt;kdo_esikFark,1,0))</f>
        <v/>
      </c>
      <c r="O375" s="15">
        <f>IF($A375="","",IFERROR(SUMIF(tblMotor[A_Norm],$A375,tblMotor[SiparisToplam]),0))</f>
        <v/>
      </c>
      <c r="P375" s="15">
        <f>IF($A375="","",$B375+$M375+$N375)</f>
        <v/>
      </c>
    </row>
    <row r="376">
      <c r="A376" s="15">
        <f>IF('ANAHTAR'!$B376="","",'ANAHTAR'!$B376)</f>
        <v/>
      </c>
      <c r="B376" s="15">
        <f>IF($A376="","",COUNTIF(tblAnahtarB[NormB],$A376))</f>
        <v/>
      </c>
      <c r="C376" s="15">
        <f>IF($A376="","",IFERROR(SUMIF(tblMotor[A_Norm],$A376,tblMotor[SiparisToplam]),0))</f>
        <v/>
      </c>
      <c r="D376" s="15">
        <f>IF($A376="","",IFERROR(SUMIF(tblAnahtarA[Norm],$A376,tblVeriA[HedefMaliyet]),0))</f>
        <v/>
      </c>
      <c r="E376" s="15">
        <f>IF($A376="","",ROUND($D376,2)-ROUND($C376,2))</f>
        <v/>
      </c>
      <c r="F376" s="15">
        <f>IF($A376="","",ABS($E376))</f>
        <v/>
      </c>
      <c r="G376" s="15">
        <f>IF($A376="","",IF($B376=0,"eslesmedi",IF(ROUND($D376,2)=ROUND($C376,2),"eslesti",IF(ABS(ROUND($D376,2)-ROUND($C376,2))&lt;=toleransKurus,"tolerans_icinde","tutar_farki"))))</f>
        <v/>
      </c>
      <c r="H376" s="15">
        <f>IF($A376="","",IF($B376&gt;0,"BIRINCIL",IF(COUNTIF(tblAnahtarB[IkincilB],'ANAHTAR'!$D376)&gt;0,"IKINCIL","YOK")))</f>
        <v/>
      </c>
      <c r="I376" s="15">
        <f>IF($A376="","",'ANAHTAR'!$F376)</f>
        <v/>
      </c>
      <c r="J376" s="15">
        <f>IF(OR($A376="",$D376=0),0,$F376/ABS($D376))</f>
        <v/>
      </c>
      <c r="K376" s="15">
        <f>IF($A376="","",ROUND($D376,2))</f>
        <v/>
      </c>
      <c r="L376" s="15">
        <f>IF($A376="","",ROUND($C376,2))</f>
        <v/>
      </c>
      <c r="M376" s="15">
        <f>IF($A376="","",IF($F376&lt;=toleransKurus,1,0))</f>
        <v/>
      </c>
      <c r="N376" s="15">
        <f>IF($A376="","",IF($F376&gt;kdo_esikFark,1,0))</f>
        <v/>
      </c>
      <c r="O376" s="15">
        <f>IF($A376="","",IFERROR(SUMIF(tblMotor[A_Norm],$A376,tblMotor[SiparisToplam]),0))</f>
        <v/>
      </c>
      <c r="P376" s="15">
        <f>IF($A376="","",$B376+$M376+$N376)</f>
        <v/>
      </c>
    </row>
    <row r="377">
      <c r="A377" s="15">
        <f>IF('ANAHTAR'!$B377="","",'ANAHTAR'!$B377)</f>
        <v/>
      </c>
      <c r="B377" s="15">
        <f>IF($A377="","",COUNTIF(tblAnahtarB[NormB],$A377))</f>
        <v/>
      </c>
      <c r="C377" s="15">
        <f>IF($A377="","",IFERROR(SUMIF(tblMotor[A_Norm],$A377,tblMotor[SiparisToplam]),0))</f>
        <v/>
      </c>
      <c r="D377" s="15">
        <f>IF($A377="","",IFERROR(SUMIF(tblAnahtarA[Norm],$A377,tblVeriA[HedefMaliyet]),0))</f>
        <v/>
      </c>
      <c r="E377" s="15">
        <f>IF($A377="","",ROUND($D377,2)-ROUND($C377,2))</f>
        <v/>
      </c>
      <c r="F377" s="15">
        <f>IF($A377="","",ABS($E377))</f>
        <v/>
      </c>
      <c r="G377" s="15">
        <f>IF($A377="","",IF($B377=0,"eslesmedi",IF(ROUND($D377,2)=ROUND($C377,2),"eslesti",IF(ABS(ROUND($D377,2)-ROUND($C377,2))&lt;=toleransKurus,"tolerans_icinde","tutar_farki"))))</f>
        <v/>
      </c>
      <c r="H377" s="15">
        <f>IF($A377="","",IF($B377&gt;0,"BIRINCIL",IF(COUNTIF(tblAnahtarB[IkincilB],'ANAHTAR'!$D377)&gt;0,"IKINCIL","YOK")))</f>
        <v/>
      </c>
      <c r="I377" s="15">
        <f>IF($A377="","",'ANAHTAR'!$F377)</f>
        <v/>
      </c>
      <c r="J377" s="15">
        <f>IF(OR($A377="",$D377=0),0,$F377/ABS($D377))</f>
        <v/>
      </c>
      <c r="K377" s="15">
        <f>IF($A377="","",ROUND($D377,2))</f>
        <v/>
      </c>
      <c r="L377" s="15">
        <f>IF($A377="","",ROUND($C377,2))</f>
        <v/>
      </c>
      <c r="M377" s="15">
        <f>IF($A377="","",IF($F377&lt;=toleransKurus,1,0))</f>
        <v/>
      </c>
      <c r="N377" s="15">
        <f>IF($A377="","",IF($F377&gt;kdo_esikFark,1,0))</f>
        <v/>
      </c>
      <c r="O377" s="15">
        <f>IF($A377="","",IFERROR(SUMIF(tblMotor[A_Norm],$A377,tblMotor[SiparisToplam]),0))</f>
        <v/>
      </c>
      <c r="P377" s="15">
        <f>IF($A377="","",$B377+$M377+$N377)</f>
        <v/>
      </c>
    </row>
    <row r="378">
      <c r="A378" s="15">
        <f>IF('ANAHTAR'!$B378="","",'ANAHTAR'!$B378)</f>
        <v/>
      </c>
      <c r="B378" s="15">
        <f>IF($A378="","",COUNTIF(tblAnahtarB[NormB],$A378))</f>
        <v/>
      </c>
      <c r="C378" s="15">
        <f>IF($A378="","",IFERROR(SUMIF(tblMotor[A_Norm],$A378,tblMotor[SiparisToplam]),0))</f>
        <v/>
      </c>
      <c r="D378" s="15">
        <f>IF($A378="","",IFERROR(SUMIF(tblAnahtarA[Norm],$A378,tblVeriA[HedefMaliyet]),0))</f>
        <v/>
      </c>
      <c r="E378" s="15">
        <f>IF($A378="","",ROUND($D378,2)-ROUND($C378,2))</f>
        <v/>
      </c>
      <c r="F378" s="15">
        <f>IF($A378="","",ABS($E378))</f>
        <v/>
      </c>
      <c r="G378" s="15">
        <f>IF($A378="","",IF($B378=0,"eslesmedi",IF(ROUND($D378,2)=ROUND($C378,2),"eslesti",IF(ABS(ROUND($D378,2)-ROUND($C378,2))&lt;=toleransKurus,"tolerans_icinde","tutar_farki"))))</f>
        <v/>
      </c>
      <c r="H378" s="15">
        <f>IF($A378="","",IF($B378&gt;0,"BIRINCIL",IF(COUNTIF(tblAnahtarB[IkincilB],'ANAHTAR'!$D378)&gt;0,"IKINCIL","YOK")))</f>
        <v/>
      </c>
      <c r="I378" s="15">
        <f>IF($A378="","",'ANAHTAR'!$F378)</f>
        <v/>
      </c>
      <c r="J378" s="15">
        <f>IF(OR($A378="",$D378=0),0,$F378/ABS($D378))</f>
        <v/>
      </c>
      <c r="K378" s="15">
        <f>IF($A378="","",ROUND($D378,2))</f>
        <v/>
      </c>
      <c r="L378" s="15">
        <f>IF($A378="","",ROUND($C378,2))</f>
        <v/>
      </c>
      <c r="M378" s="15">
        <f>IF($A378="","",IF($F378&lt;=toleransKurus,1,0))</f>
        <v/>
      </c>
      <c r="N378" s="15">
        <f>IF($A378="","",IF($F378&gt;kdo_esikFark,1,0))</f>
        <v/>
      </c>
      <c r="O378" s="15">
        <f>IF($A378="","",IFERROR(SUMIF(tblMotor[A_Norm],$A378,tblMotor[SiparisToplam]),0))</f>
        <v/>
      </c>
      <c r="P378" s="15">
        <f>IF($A378="","",$B378+$M378+$N378)</f>
        <v/>
      </c>
    </row>
    <row r="379">
      <c r="A379" s="15">
        <f>IF('ANAHTAR'!$B379="","",'ANAHTAR'!$B379)</f>
        <v/>
      </c>
      <c r="B379" s="15">
        <f>IF($A379="","",COUNTIF(tblAnahtarB[NormB],$A379))</f>
        <v/>
      </c>
      <c r="C379" s="15">
        <f>IF($A379="","",IFERROR(SUMIF(tblMotor[A_Norm],$A379,tblMotor[SiparisToplam]),0))</f>
        <v/>
      </c>
      <c r="D379" s="15">
        <f>IF($A379="","",IFERROR(SUMIF(tblAnahtarA[Norm],$A379,tblVeriA[HedefMaliyet]),0))</f>
        <v/>
      </c>
      <c r="E379" s="15">
        <f>IF($A379="","",ROUND($D379,2)-ROUND($C379,2))</f>
        <v/>
      </c>
      <c r="F379" s="15">
        <f>IF($A379="","",ABS($E379))</f>
        <v/>
      </c>
      <c r="G379" s="15">
        <f>IF($A379="","",IF($B379=0,"eslesmedi",IF(ROUND($D379,2)=ROUND($C379,2),"eslesti",IF(ABS(ROUND($D379,2)-ROUND($C379,2))&lt;=toleransKurus,"tolerans_icinde","tutar_farki"))))</f>
        <v/>
      </c>
      <c r="H379" s="15">
        <f>IF($A379="","",IF($B379&gt;0,"BIRINCIL",IF(COUNTIF(tblAnahtarB[IkincilB],'ANAHTAR'!$D379)&gt;0,"IKINCIL","YOK")))</f>
        <v/>
      </c>
      <c r="I379" s="15">
        <f>IF($A379="","",'ANAHTAR'!$F379)</f>
        <v/>
      </c>
      <c r="J379" s="15">
        <f>IF(OR($A379="",$D379=0),0,$F379/ABS($D379))</f>
        <v/>
      </c>
      <c r="K379" s="15">
        <f>IF($A379="","",ROUND($D379,2))</f>
        <v/>
      </c>
      <c r="L379" s="15">
        <f>IF($A379="","",ROUND($C379,2))</f>
        <v/>
      </c>
      <c r="M379" s="15">
        <f>IF($A379="","",IF($F379&lt;=toleransKurus,1,0))</f>
        <v/>
      </c>
      <c r="N379" s="15">
        <f>IF($A379="","",IF($F379&gt;kdo_esikFark,1,0))</f>
        <v/>
      </c>
      <c r="O379" s="15">
        <f>IF($A379="","",IFERROR(SUMIF(tblMotor[A_Norm],$A379,tblMotor[SiparisToplam]),0))</f>
        <v/>
      </c>
      <c r="P379" s="15">
        <f>IF($A379="","",$B379+$M379+$N379)</f>
        <v/>
      </c>
    </row>
    <row r="380">
      <c r="A380" s="15">
        <f>IF('ANAHTAR'!$B380="","",'ANAHTAR'!$B380)</f>
        <v/>
      </c>
      <c r="B380" s="15">
        <f>IF($A380="","",COUNTIF(tblAnahtarB[NormB],$A380))</f>
        <v/>
      </c>
      <c r="C380" s="15">
        <f>IF($A380="","",IFERROR(SUMIF(tblMotor[A_Norm],$A380,tblMotor[SiparisToplam]),0))</f>
        <v/>
      </c>
      <c r="D380" s="15">
        <f>IF($A380="","",IFERROR(SUMIF(tblAnahtarA[Norm],$A380,tblVeriA[HedefMaliyet]),0))</f>
        <v/>
      </c>
      <c r="E380" s="15">
        <f>IF($A380="","",ROUND($D380,2)-ROUND($C380,2))</f>
        <v/>
      </c>
      <c r="F380" s="15">
        <f>IF($A380="","",ABS($E380))</f>
        <v/>
      </c>
      <c r="G380" s="15">
        <f>IF($A380="","",IF($B380=0,"eslesmedi",IF(ROUND($D380,2)=ROUND($C380,2),"eslesti",IF(ABS(ROUND($D380,2)-ROUND($C380,2))&lt;=toleransKurus,"tolerans_icinde","tutar_farki"))))</f>
        <v/>
      </c>
      <c r="H380" s="15">
        <f>IF($A380="","",IF($B380&gt;0,"BIRINCIL",IF(COUNTIF(tblAnahtarB[IkincilB],'ANAHTAR'!$D380)&gt;0,"IKINCIL","YOK")))</f>
        <v/>
      </c>
      <c r="I380" s="15">
        <f>IF($A380="","",'ANAHTAR'!$F380)</f>
        <v/>
      </c>
      <c r="J380" s="15">
        <f>IF(OR($A380="",$D380=0),0,$F380/ABS($D380))</f>
        <v/>
      </c>
      <c r="K380" s="15">
        <f>IF($A380="","",ROUND($D380,2))</f>
        <v/>
      </c>
      <c r="L380" s="15">
        <f>IF($A380="","",ROUND($C380,2))</f>
        <v/>
      </c>
      <c r="M380" s="15">
        <f>IF($A380="","",IF($F380&lt;=toleransKurus,1,0))</f>
        <v/>
      </c>
      <c r="N380" s="15">
        <f>IF($A380="","",IF($F380&gt;kdo_esikFark,1,0))</f>
        <v/>
      </c>
      <c r="O380" s="15">
        <f>IF($A380="","",IFERROR(SUMIF(tblMotor[A_Norm],$A380,tblMotor[SiparisToplam]),0))</f>
        <v/>
      </c>
      <c r="P380" s="15">
        <f>IF($A380="","",$B380+$M380+$N380)</f>
        <v/>
      </c>
    </row>
    <row r="381">
      <c r="A381" s="15">
        <f>IF('ANAHTAR'!$B381="","",'ANAHTAR'!$B381)</f>
        <v/>
      </c>
      <c r="B381" s="15">
        <f>IF($A381="","",COUNTIF(tblAnahtarB[NormB],$A381))</f>
        <v/>
      </c>
      <c r="C381" s="15">
        <f>IF($A381="","",IFERROR(SUMIF(tblMotor[A_Norm],$A381,tblMotor[SiparisToplam]),0))</f>
        <v/>
      </c>
      <c r="D381" s="15">
        <f>IF($A381="","",IFERROR(SUMIF(tblAnahtarA[Norm],$A381,tblVeriA[HedefMaliyet]),0))</f>
        <v/>
      </c>
      <c r="E381" s="15">
        <f>IF($A381="","",ROUND($D381,2)-ROUND($C381,2))</f>
        <v/>
      </c>
      <c r="F381" s="15">
        <f>IF($A381="","",ABS($E381))</f>
        <v/>
      </c>
      <c r="G381" s="15">
        <f>IF($A381="","",IF($B381=0,"eslesmedi",IF(ROUND($D381,2)=ROUND($C381,2),"eslesti",IF(ABS(ROUND($D381,2)-ROUND($C381,2))&lt;=toleransKurus,"tolerans_icinde","tutar_farki"))))</f>
        <v/>
      </c>
      <c r="H381" s="15">
        <f>IF($A381="","",IF($B381&gt;0,"BIRINCIL",IF(COUNTIF(tblAnahtarB[IkincilB],'ANAHTAR'!$D381)&gt;0,"IKINCIL","YOK")))</f>
        <v/>
      </c>
      <c r="I381" s="15">
        <f>IF($A381="","",'ANAHTAR'!$F381)</f>
        <v/>
      </c>
      <c r="J381" s="15">
        <f>IF(OR($A381="",$D381=0),0,$F381/ABS($D381))</f>
        <v/>
      </c>
      <c r="K381" s="15">
        <f>IF($A381="","",ROUND($D381,2))</f>
        <v/>
      </c>
      <c r="L381" s="15">
        <f>IF($A381="","",ROUND($C381,2))</f>
        <v/>
      </c>
      <c r="M381" s="15">
        <f>IF($A381="","",IF($F381&lt;=toleransKurus,1,0))</f>
        <v/>
      </c>
      <c r="N381" s="15">
        <f>IF($A381="","",IF($F381&gt;kdo_esikFark,1,0))</f>
        <v/>
      </c>
      <c r="O381" s="15">
        <f>IF($A381="","",IFERROR(SUMIF(tblMotor[A_Norm],$A381,tblMotor[SiparisToplam]),0))</f>
        <v/>
      </c>
      <c r="P381" s="15">
        <f>IF($A381="","",$B381+$M381+$N381)</f>
        <v/>
      </c>
    </row>
    <row r="382">
      <c r="A382" s="15">
        <f>IF('ANAHTAR'!$B382="","",'ANAHTAR'!$B382)</f>
        <v/>
      </c>
      <c r="B382" s="15">
        <f>IF($A382="","",COUNTIF(tblAnahtarB[NormB],$A382))</f>
        <v/>
      </c>
      <c r="C382" s="15">
        <f>IF($A382="","",IFERROR(SUMIF(tblMotor[A_Norm],$A382,tblMotor[SiparisToplam]),0))</f>
        <v/>
      </c>
      <c r="D382" s="15">
        <f>IF($A382="","",IFERROR(SUMIF(tblAnahtarA[Norm],$A382,tblVeriA[HedefMaliyet]),0))</f>
        <v/>
      </c>
      <c r="E382" s="15">
        <f>IF($A382="","",ROUND($D382,2)-ROUND($C382,2))</f>
        <v/>
      </c>
      <c r="F382" s="15">
        <f>IF($A382="","",ABS($E382))</f>
        <v/>
      </c>
      <c r="G382" s="15">
        <f>IF($A382="","",IF($B382=0,"eslesmedi",IF(ROUND($D382,2)=ROUND($C382,2),"eslesti",IF(ABS(ROUND($D382,2)-ROUND($C382,2))&lt;=toleransKurus,"tolerans_icinde","tutar_farki"))))</f>
        <v/>
      </c>
      <c r="H382" s="15">
        <f>IF($A382="","",IF($B382&gt;0,"BIRINCIL",IF(COUNTIF(tblAnahtarB[IkincilB],'ANAHTAR'!$D382)&gt;0,"IKINCIL","YOK")))</f>
        <v/>
      </c>
      <c r="I382" s="15">
        <f>IF($A382="","",'ANAHTAR'!$F382)</f>
        <v/>
      </c>
      <c r="J382" s="15">
        <f>IF(OR($A382="",$D382=0),0,$F382/ABS($D382))</f>
        <v/>
      </c>
      <c r="K382" s="15">
        <f>IF($A382="","",ROUND($D382,2))</f>
        <v/>
      </c>
      <c r="L382" s="15">
        <f>IF($A382="","",ROUND($C382,2))</f>
        <v/>
      </c>
      <c r="M382" s="15">
        <f>IF($A382="","",IF($F382&lt;=toleransKurus,1,0))</f>
        <v/>
      </c>
      <c r="N382" s="15">
        <f>IF($A382="","",IF($F382&gt;kdo_esikFark,1,0))</f>
        <v/>
      </c>
      <c r="O382" s="15">
        <f>IF($A382="","",IFERROR(SUMIF(tblMotor[A_Norm],$A382,tblMotor[SiparisToplam]),0))</f>
        <v/>
      </c>
      <c r="P382" s="15">
        <f>IF($A382="","",$B382+$M382+$N382)</f>
        <v/>
      </c>
    </row>
    <row r="383">
      <c r="A383" s="15">
        <f>IF('ANAHTAR'!$B383="","",'ANAHTAR'!$B383)</f>
        <v/>
      </c>
      <c r="B383" s="15">
        <f>IF($A383="","",COUNTIF(tblAnahtarB[NormB],$A383))</f>
        <v/>
      </c>
      <c r="C383" s="15">
        <f>IF($A383="","",IFERROR(SUMIF(tblMotor[A_Norm],$A383,tblMotor[SiparisToplam]),0))</f>
        <v/>
      </c>
      <c r="D383" s="15">
        <f>IF($A383="","",IFERROR(SUMIF(tblAnahtarA[Norm],$A383,tblVeriA[HedefMaliyet]),0))</f>
        <v/>
      </c>
      <c r="E383" s="15">
        <f>IF($A383="","",ROUND($D383,2)-ROUND($C383,2))</f>
        <v/>
      </c>
      <c r="F383" s="15">
        <f>IF($A383="","",ABS($E383))</f>
        <v/>
      </c>
      <c r="G383" s="15">
        <f>IF($A383="","",IF($B383=0,"eslesmedi",IF(ROUND($D383,2)=ROUND($C383,2),"eslesti",IF(ABS(ROUND($D383,2)-ROUND($C383,2))&lt;=toleransKurus,"tolerans_icinde","tutar_farki"))))</f>
        <v/>
      </c>
      <c r="H383" s="15">
        <f>IF($A383="","",IF($B383&gt;0,"BIRINCIL",IF(COUNTIF(tblAnahtarB[IkincilB],'ANAHTAR'!$D383)&gt;0,"IKINCIL","YOK")))</f>
        <v/>
      </c>
      <c r="I383" s="15">
        <f>IF($A383="","",'ANAHTAR'!$F383)</f>
        <v/>
      </c>
      <c r="J383" s="15">
        <f>IF(OR($A383="",$D383=0),0,$F383/ABS($D383))</f>
        <v/>
      </c>
      <c r="K383" s="15">
        <f>IF($A383="","",ROUND($D383,2))</f>
        <v/>
      </c>
      <c r="L383" s="15">
        <f>IF($A383="","",ROUND($C383,2))</f>
        <v/>
      </c>
      <c r="M383" s="15">
        <f>IF($A383="","",IF($F383&lt;=toleransKurus,1,0))</f>
        <v/>
      </c>
      <c r="N383" s="15">
        <f>IF($A383="","",IF($F383&gt;kdo_esikFark,1,0))</f>
        <v/>
      </c>
      <c r="O383" s="15">
        <f>IF($A383="","",IFERROR(SUMIF(tblMotor[A_Norm],$A383,tblMotor[SiparisToplam]),0))</f>
        <v/>
      </c>
      <c r="P383" s="15">
        <f>IF($A383="","",$B383+$M383+$N383)</f>
        <v/>
      </c>
    </row>
    <row r="384">
      <c r="A384" s="15">
        <f>IF('ANAHTAR'!$B384="","",'ANAHTAR'!$B384)</f>
        <v/>
      </c>
      <c r="B384" s="15">
        <f>IF($A384="","",COUNTIF(tblAnahtarB[NormB],$A384))</f>
        <v/>
      </c>
      <c r="C384" s="15">
        <f>IF($A384="","",IFERROR(SUMIF(tblMotor[A_Norm],$A384,tblMotor[SiparisToplam]),0))</f>
        <v/>
      </c>
      <c r="D384" s="15">
        <f>IF($A384="","",IFERROR(SUMIF(tblAnahtarA[Norm],$A384,tblVeriA[HedefMaliyet]),0))</f>
        <v/>
      </c>
      <c r="E384" s="15">
        <f>IF($A384="","",ROUND($D384,2)-ROUND($C384,2))</f>
        <v/>
      </c>
      <c r="F384" s="15">
        <f>IF($A384="","",ABS($E384))</f>
        <v/>
      </c>
      <c r="G384" s="15">
        <f>IF($A384="","",IF($B384=0,"eslesmedi",IF(ROUND($D384,2)=ROUND($C384,2),"eslesti",IF(ABS(ROUND($D384,2)-ROUND($C384,2))&lt;=toleransKurus,"tolerans_icinde","tutar_farki"))))</f>
        <v/>
      </c>
      <c r="H384" s="15">
        <f>IF($A384="","",IF($B384&gt;0,"BIRINCIL",IF(COUNTIF(tblAnahtarB[IkincilB],'ANAHTAR'!$D384)&gt;0,"IKINCIL","YOK")))</f>
        <v/>
      </c>
      <c r="I384" s="15">
        <f>IF($A384="","",'ANAHTAR'!$F384)</f>
        <v/>
      </c>
      <c r="J384" s="15">
        <f>IF(OR($A384="",$D384=0),0,$F384/ABS($D384))</f>
        <v/>
      </c>
      <c r="K384" s="15">
        <f>IF($A384="","",ROUND($D384,2))</f>
        <v/>
      </c>
      <c r="L384" s="15">
        <f>IF($A384="","",ROUND($C384,2))</f>
        <v/>
      </c>
      <c r="M384" s="15">
        <f>IF($A384="","",IF($F384&lt;=toleransKurus,1,0))</f>
        <v/>
      </c>
      <c r="N384" s="15">
        <f>IF($A384="","",IF($F384&gt;kdo_esikFark,1,0))</f>
        <v/>
      </c>
      <c r="O384" s="15">
        <f>IF($A384="","",IFERROR(SUMIF(tblMotor[A_Norm],$A384,tblMotor[SiparisToplam]),0))</f>
        <v/>
      </c>
      <c r="P384" s="15">
        <f>IF($A384="","",$B384+$M384+$N384)</f>
        <v/>
      </c>
    </row>
    <row r="385">
      <c r="A385" s="15">
        <f>IF('ANAHTAR'!$B385="","",'ANAHTAR'!$B385)</f>
        <v/>
      </c>
      <c r="B385" s="15">
        <f>IF($A385="","",COUNTIF(tblAnahtarB[NormB],$A385))</f>
        <v/>
      </c>
      <c r="C385" s="15">
        <f>IF($A385="","",IFERROR(SUMIF(tblMotor[A_Norm],$A385,tblMotor[SiparisToplam]),0))</f>
        <v/>
      </c>
      <c r="D385" s="15">
        <f>IF($A385="","",IFERROR(SUMIF(tblAnahtarA[Norm],$A385,tblVeriA[HedefMaliyet]),0))</f>
        <v/>
      </c>
      <c r="E385" s="15">
        <f>IF($A385="","",ROUND($D385,2)-ROUND($C385,2))</f>
        <v/>
      </c>
      <c r="F385" s="15">
        <f>IF($A385="","",ABS($E385))</f>
        <v/>
      </c>
      <c r="G385" s="15">
        <f>IF($A385="","",IF($B385=0,"eslesmedi",IF(ROUND($D385,2)=ROUND($C385,2),"eslesti",IF(ABS(ROUND($D385,2)-ROUND($C385,2))&lt;=toleransKurus,"tolerans_icinde","tutar_farki"))))</f>
        <v/>
      </c>
      <c r="H385" s="15">
        <f>IF($A385="","",IF($B385&gt;0,"BIRINCIL",IF(COUNTIF(tblAnahtarB[IkincilB],'ANAHTAR'!$D385)&gt;0,"IKINCIL","YOK")))</f>
        <v/>
      </c>
      <c r="I385" s="15">
        <f>IF($A385="","",'ANAHTAR'!$F385)</f>
        <v/>
      </c>
      <c r="J385" s="15">
        <f>IF(OR($A385="",$D385=0),0,$F385/ABS($D385))</f>
        <v/>
      </c>
      <c r="K385" s="15">
        <f>IF($A385="","",ROUND($D385,2))</f>
        <v/>
      </c>
      <c r="L385" s="15">
        <f>IF($A385="","",ROUND($C385,2))</f>
        <v/>
      </c>
      <c r="M385" s="15">
        <f>IF($A385="","",IF($F385&lt;=toleransKurus,1,0))</f>
        <v/>
      </c>
      <c r="N385" s="15">
        <f>IF($A385="","",IF($F385&gt;kdo_esikFark,1,0))</f>
        <v/>
      </c>
      <c r="O385" s="15">
        <f>IF($A385="","",IFERROR(SUMIF(tblMotor[A_Norm],$A385,tblMotor[SiparisToplam]),0))</f>
        <v/>
      </c>
      <c r="P385" s="15">
        <f>IF($A385="","",$B385+$M385+$N385)</f>
        <v/>
      </c>
    </row>
    <row r="386">
      <c r="A386" s="15">
        <f>IF('ANAHTAR'!$B386="","",'ANAHTAR'!$B386)</f>
        <v/>
      </c>
      <c r="B386" s="15">
        <f>IF($A386="","",COUNTIF(tblAnahtarB[NormB],$A386))</f>
        <v/>
      </c>
      <c r="C386" s="15">
        <f>IF($A386="","",IFERROR(SUMIF(tblMotor[A_Norm],$A386,tblMotor[SiparisToplam]),0))</f>
        <v/>
      </c>
      <c r="D386" s="15">
        <f>IF($A386="","",IFERROR(SUMIF(tblAnahtarA[Norm],$A386,tblVeriA[HedefMaliyet]),0))</f>
        <v/>
      </c>
      <c r="E386" s="15">
        <f>IF($A386="","",ROUND($D386,2)-ROUND($C386,2))</f>
        <v/>
      </c>
      <c r="F386" s="15">
        <f>IF($A386="","",ABS($E386))</f>
        <v/>
      </c>
      <c r="G386" s="15">
        <f>IF($A386="","",IF($B386=0,"eslesmedi",IF(ROUND($D386,2)=ROUND($C386,2),"eslesti",IF(ABS(ROUND($D386,2)-ROUND($C386,2))&lt;=toleransKurus,"tolerans_icinde","tutar_farki"))))</f>
        <v/>
      </c>
      <c r="H386" s="15">
        <f>IF($A386="","",IF($B386&gt;0,"BIRINCIL",IF(COUNTIF(tblAnahtarB[IkincilB],'ANAHTAR'!$D386)&gt;0,"IKINCIL","YOK")))</f>
        <v/>
      </c>
      <c r="I386" s="15">
        <f>IF($A386="","",'ANAHTAR'!$F386)</f>
        <v/>
      </c>
      <c r="J386" s="15">
        <f>IF(OR($A386="",$D386=0),0,$F386/ABS($D386))</f>
        <v/>
      </c>
      <c r="K386" s="15">
        <f>IF($A386="","",ROUND($D386,2))</f>
        <v/>
      </c>
      <c r="L386" s="15">
        <f>IF($A386="","",ROUND($C386,2))</f>
        <v/>
      </c>
      <c r="M386" s="15">
        <f>IF($A386="","",IF($F386&lt;=toleransKurus,1,0))</f>
        <v/>
      </c>
      <c r="N386" s="15">
        <f>IF($A386="","",IF($F386&gt;kdo_esikFark,1,0))</f>
        <v/>
      </c>
      <c r="O386" s="15">
        <f>IF($A386="","",IFERROR(SUMIF(tblMotor[A_Norm],$A386,tblMotor[SiparisToplam]),0))</f>
        <v/>
      </c>
      <c r="P386" s="15">
        <f>IF($A386="","",$B386+$M386+$N386)</f>
        <v/>
      </c>
    </row>
    <row r="387">
      <c r="A387" s="15">
        <f>IF('ANAHTAR'!$B387="","",'ANAHTAR'!$B387)</f>
        <v/>
      </c>
      <c r="B387" s="15">
        <f>IF($A387="","",COUNTIF(tblAnahtarB[NormB],$A387))</f>
        <v/>
      </c>
      <c r="C387" s="15">
        <f>IF($A387="","",IFERROR(SUMIF(tblMotor[A_Norm],$A387,tblMotor[SiparisToplam]),0))</f>
        <v/>
      </c>
      <c r="D387" s="15">
        <f>IF($A387="","",IFERROR(SUMIF(tblAnahtarA[Norm],$A387,tblVeriA[HedefMaliyet]),0))</f>
        <v/>
      </c>
      <c r="E387" s="15">
        <f>IF($A387="","",ROUND($D387,2)-ROUND($C387,2))</f>
        <v/>
      </c>
      <c r="F387" s="15">
        <f>IF($A387="","",ABS($E387))</f>
        <v/>
      </c>
      <c r="G387" s="15">
        <f>IF($A387="","",IF($B387=0,"eslesmedi",IF(ROUND($D387,2)=ROUND($C387,2),"eslesti",IF(ABS(ROUND($D387,2)-ROUND($C387,2))&lt;=toleransKurus,"tolerans_icinde","tutar_farki"))))</f>
        <v/>
      </c>
      <c r="H387" s="15">
        <f>IF($A387="","",IF($B387&gt;0,"BIRINCIL",IF(COUNTIF(tblAnahtarB[IkincilB],'ANAHTAR'!$D387)&gt;0,"IKINCIL","YOK")))</f>
        <v/>
      </c>
      <c r="I387" s="15">
        <f>IF($A387="","",'ANAHTAR'!$F387)</f>
        <v/>
      </c>
      <c r="J387" s="15">
        <f>IF(OR($A387="",$D387=0),0,$F387/ABS($D387))</f>
        <v/>
      </c>
      <c r="K387" s="15">
        <f>IF($A387="","",ROUND($D387,2))</f>
        <v/>
      </c>
      <c r="L387" s="15">
        <f>IF($A387="","",ROUND($C387,2))</f>
        <v/>
      </c>
      <c r="M387" s="15">
        <f>IF($A387="","",IF($F387&lt;=toleransKurus,1,0))</f>
        <v/>
      </c>
      <c r="N387" s="15">
        <f>IF($A387="","",IF($F387&gt;kdo_esikFark,1,0))</f>
        <v/>
      </c>
      <c r="O387" s="15">
        <f>IF($A387="","",IFERROR(SUMIF(tblMotor[A_Norm],$A387,tblMotor[SiparisToplam]),0))</f>
        <v/>
      </c>
      <c r="P387" s="15">
        <f>IF($A387="","",$B387+$M387+$N387)</f>
        <v/>
      </c>
    </row>
    <row r="388">
      <c r="A388" s="15">
        <f>IF('ANAHTAR'!$B388="","",'ANAHTAR'!$B388)</f>
        <v/>
      </c>
      <c r="B388" s="15">
        <f>IF($A388="","",COUNTIF(tblAnahtarB[NormB],$A388))</f>
        <v/>
      </c>
      <c r="C388" s="15">
        <f>IF($A388="","",IFERROR(SUMIF(tblMotor[A_Norm],$A388,tblMotor[SiparisToplam]),0))</f>
        <v/>
      </c>
      <c r="D388" s="15">
        <f>IF($A388="","",IFERROR(SUMIF(tblAnahtarA[Norm],$A388,tblVeriA[HedefMaliyet]),0))</f>
        <v/>
      </c>
      <c r="E388" s="15">
        <f>IF($A388="","",ROUND($D388,2)-ROUND($C388,2))</f>
        <v/>
      </c>
      <c r="F388" s="15">
        <f>IF($A388="","",ABS($E388))</f>
        <v/>
      </c>
      <c r="G388" s="15">
        <f>IF($A388="","",IF($B388=0,"eslesmedi",IF(ROUND($D388,2)=ROUND($C388,2),"eslesti",IF(ABS(ROUND($D388,2)-ROUND($C388,2))&lt;=toleransKurus,"tolerans_icinde","tutar_farki"))))</f>
        <v/>
      </c>
      <c r="H388" s="15">
        <f>IF($A388="","",IF($B388&gt;0,"BIRINCIL",IF(COUNTIF(tblAnahtarB[IkincilB],'ANAHTAR'!$D388)&gt;0,"IKINCIL","YOK")))</f>
        <v/>
      </c>
      <c r="I388" s="15">
        <f>IF($A388="","",'ANAHTAR'!$F388)</f>
        <v/>
      </c>
      <c r="J388" s="15">
        <f>IF(OR($A388="",$D388=0),0,$F388/ABS($D388))</f>
        <v/>
      </c>
      <c r="K388" s="15">
        <f>IF($A388="","",ROUND($D388,2))</f>
        <v/>
      </c>
      <c r="L388" s="15">
        <f>IF($A388="","",ROUND($C388,2))</f>
        <v/>
      </c>
      <c r="M388" s="15">
        <f>IF($A388="","",IF($F388&lt;=toleransKurus,1,0))</f>
        <v/>
      </c>
      <c r="N388" s="15">
        <f>IF($A388="","",IF($F388&gt;kdo_esikFark,1,0))</f>
        <v/>
      </c>
      <c r="O388" s="15">
        <f>IF($A388="","",IFERROR(SUMIF(tblMotor[A_Norm],$A388,tblMotor[SiparisToplam]),0))</f>
        <v/>
      </c>
      <c r="P388" s="15">
        <f>IF($A388="","",$B388+$M388+$N388)</f>
        <v/>
      </c>
    </row>
    <row r="389">
      <c r="A389" s="15">
        <f>IF('ANAHTAR'!$B389="","",'ANAHTAR'!$B389)</f>
        <v/>
      </c>
      <c r="B389" s="15">
        <f>IF($A389="","",COUNTIF(tblAnahtarB[NormB],$A389))</f>
        <v/>
      </c>
      <c r="C389" s="15">
        <f>IF($A389="","",IFERROR(SUMIF(tblMotor[A_Norm],$A389,tblMotor[SiparisToplam]),0))</f>
        <v/>
      </c>
      <c r="D389" s="15">
        <f>IF($A389="","",IFERROR(SUMIF(tblAnahtarA[Norm],$A389,tblVeriA[HedefMaliyet]),0))</f>
        <v/>
      </c>
      <c r="E389" s="15">
        <f>IF($A389="","",ROUND($D389,2)-ROUND($C389,2))</f>
        <v/>
      </c>
      <c r="F389" s="15">
        <f>IF($A389="","",ABS($E389))</f>
        <v/>
      </c>
      <c r="G389" s="15">
        <f>IF($A389="","",IF($B389=0,"eslesmedi",IF(ROUND($D389,2)=ROUND($C389,2),"eslesti",IF(ABS(ROUND($D389,2)-ROUND($C389,2))&lt;=toleransKurus,"tolerans_icinde","tutar_farki"))))</f>
        <v/>
      </c>
      <c r="H389" s="15">
        <f>IF($A389="","",IF($B389&gt;0,"BIRINCIL",IF(COUNTIF(tblAnahtarB[IkincilB],'ANAHTAR'!$D389)&gt;0,"IKINCIL","YOK")))</f>
        <v/>
      </c>
      <c r="I389" s="15">
        <f>IF($A389="","",'ANAHTAR'!$F389)</f>
        <v/>
      </c>
      <c r="J389" s="15">
        <f>IF(OR($A389="",$D389=0),0,$F389/ABS($D389))</f>
        <v/>
      </c>
      <c r="K389" s="15">
        <f>IF($A389="","",ROUND($D389,2))</f>
        <v/>
      </c>
      <c r="L389" s="15">
        <f>IF($A389="","",ROUND($C389,2))</f>
        <v/>
      </c>
      <c r="M389" s="15">
        <f>IF($A389="","",IF($F389&lt;=toleransKurus,1,0))</f>
        <v/>
      </c>
      <c r="N389" s="15">
        <f>IF($A389="","",IF($F389&gt;kdo_esikFark,1,0))</f>
        <v/>
      </c>
      <c r="O389" s="15">
        <f>IF($A389="","",IFERROR(SUMIF(tblMotor[A_Norm],$A389,tblMotor[SiparisToplam]),0))</f>
        <v/>
      </c>
      <c r="P389" s="15">
        <f>IF($A389="","",$B389+$M389+$N389)</f>
        <v/>
      </c>
    </row>
    <row r="390">
      <c r="A390" s="15">
        <f>IF('ANAHTAR'!$B390="","",'ANAHTAR'!$B390)</f>
        <v/>
      </c>
      <c r="B390" s="15">
        <f>IF($A390="","",COUNTIF(tblAnahtarB[NormB],$A390))</f>
        <v/>
      </c>
      <c r="C390" s="15">
        <f>IF($A390="","",IFERROR(SUMIF(tblMotor[A_Norm],$A390,tblMotor[SiparisToplam]),0))</f>
        <v/>
      </c>
      <c r="D390" s="15">
        <f>IF($A390="","",IFERROR(SUMIF(tblAnahtarA[Norm],$A390,tblVeriA[HedefMaliyet]),0))</f>
        <v/>
      </c>
      <c r="E390" s="15">
        <f>IF($A390="","",ROUND($D390,2)-ROUND($C390,2))</f>
        <v/>
      </c>
      <c r="F390" s="15">
        <f>IF($A390="","",ABS($E390))</f>
        <v/>
      </c>
      <c r="G390" s="15">
        <f>IF($A390="","",IF($B390=0,"eslesmedi",IF(ROUND($D390,2)=ROUND($C390,2),"eslesti",IF(ABS(ROUND($D390,2)-ROUND($C390,2))&lt;=toleransKurus,"tolerans_icinde","tutar_farki"))))</f>
        <v/>
      </c>
      <c r="H390" s="15">
        <f>IF($A390="","",IF($B390&gt;0,"BIRINCIL",IF(COUNTIF(tblAnahtarB[IkincilB],'ANAHTAR'!$D390)&gt;0,"IKINCIL","YOK")))</f>
        <v/>
      </c>
      <c r="I390" s="15">
        <f>IF($A390="","",'ANAHTAR'!$F390)</f>
        <v/>
      </c>
      <c r="J390" s="15">
        <f>IF(OR($A390="",$D390=0),0,$F390/ABS($D390))</f>
        <v/>
      </c>
      <c r="K390" s="15">
        <f>IF($A390="","",ROUND($D390,2))</f>
        <v/>
      </c>
      <c r="L390" s="15">
        <f>IF($A390="","",ROUND($C390,2))</f>
        <v/>
      </c>
      <c r="M390" s="15">
        <f>IF($A390="","",IF($F390&lt;=toleransKurus,1,0))</f>
        <v/>
      </c>
      <c r="N390" s="15">
        <f>IF($A390="","",IF($F390&gt;kdo_esikFark,1,0))</f>
        <v/>
      </c>
      <c r="O390" s="15">
        <f>IF($A390="","",IFERROR(SUMIF(tblMotor[A_Norm],$A390,tblMotor[SiparisToplam]),0))</f>
        <v/>
      </c>
      <c r="P390" s="15">
        <f>IF($A390="","",$B390+$M390+$N390)</f>
        <v/>
      </c>
    </row>
    <row r="391">
      <c r="A391" s="15">
        <f>IF('ANAHTAR'!$B391="","",'ANAHTAR'!$B391)</f>
        <v/>
      </c>
      <c r="B391" s="15">
        <f>IF($A391="","",COUNTIF(tblAnahtarB[NormB],$A391))</f>
        <v/>
      </c>
      <c r="C391" s="15">
        <f>IF($A391="","",IFERROR(SUMIF(tblMotor[A_Norm],$A391,tblMotor[SiparisToplam]),0))</f>
        <v/>
      </c>
      <c r="D391" s="15">
        <f>IF($A391="","",IFERROR(SUMIF(tblAnahtarA[Norm],$A391,tblVeriA[HedefMaliyet]),0))</f>
        <v/>
      </c>
      <c r="E391" s="15">
        <f>IF($A391="","",ROUND($D391,2)-ROUND($C391,2))</f>
        <v/>
      </c>
      <c r="F391" s="15">
        <f>IF($A391="","",ABS($E391))</f>
        <v/>
      </c>
      <c r="G391" s="15">
        <f>IF($A391="","",IF($B391=0,"eslesmedi",IF(ROUND($D391,2)=ROUND($C391,2),"eslesti",IF(ABS(ROUND($D391,2)-ROUND($C391,2))&lt;=toleransKurus,"tolerans_icinde","tutar_farki"))))</f>
        <v/>
      </c>
      <c r="H391" s="15">
        <f>IF($A391="","",IF($B391&gt;0,"BIRINCIL",IF(COUNTIF(tblAnahtarB[IkincilB],'ANAHTAR'!$D391)&gt;0,"IKINCIL","YOK")))</f>
        <v/>
      </c>
      <c r="I391" s="15">
        <f>IF($A391="","",'ANAHTAR'!$F391)</f>
        <v/>
      </c>
      <c r="J391" s="15">
        <f>IF(OR($A391="",$D391=0),0,$F391/ABS($D391))</f>
        <v/>
      </c>
      <c r="K391" s="15">
        <f>IF($A391="","",ROUND($D391,2))</f>
        <v/>
      </c>
      <c r="L391" s="15">
        <f>IF($A391="","",ROUND($C391,2))</f>
        <v/>
      </c>
      <c r="M391" s="15">
        <f>IF($A391="","",IF($F391&lt;=toleransKurus,1,0))</f>
        <v/>
      </c>
      <c r="N391" s="15">
        <f>IF($A391="","",IF($F391&gt;kdo_esikFark,1,0))</f>
        <v/>
      </c>
      <c r="O391" s="15">
        <f>IF($A391="","",IFERROR(SUMIF(tblMotor[A_Norm],$A391,tblMotor[SiparisToplam]),0))</f>
        <v/>
      </c>
      <c r="P391" s="15">
        <f>IF($A391="","",$B391+$M391+$N391)</f>
        <v/>
      </c>
    </row>
    <row r="392">
      <c r="A392" s="15">
        <f>IF('ANAHTAR'!$B392="","",'ANAHTAR'!$B392)</f>
        <v/>
      </c>
      <c r="B392" s="15">
        <f>IF($A392="","",COUNTIF(tblAnahtarB[NormB],$A392))</f>
        <v/>
      </c>
      <c r="C392" s="15">
        <f>IF($A392="","",IFERROR(SUMIF(tblMotor[A_Norm],$A392,tblMotor[SiparisToplam]),0))</f>
        <v/>
      </c>
      <c r="D392" s="15">
        <f>IF($A392="","",IFERROR(SUMIF(tblAnahtarA[Norm],$A392,tblVeriA[HedefMaliyet]),0))</f>
        <v/>
      </c>
      <c r="E392" s="15">
        <f>IF($A392="","",ROUND($D392,2)-ROUND($C392,2))</f>
        <v/>
      </c>
      <c r="F392" s="15">
        <f>IF($A392="","",ABS($E392))</f>
        <v/>
      </c>
      <c r="G392" s="15">
        <f>IF($A392="","",IF($B392=0,"eslesmedi",IF(ROUND($D392,2)=ROUND($C392,2),"eslesti",IF(ABS(ROUND($D392,2)-ROUND($C392,2))&lt;=toleransKurus,"tolerans_icinde","tutar_farki"))))</f>
        <v/>
      </c>
      <c r="H392" s="15">
        <f>IF($A392="","",IF($B392&gt;0,"BIRINCIL",IF(COUNTIF(tblAnahtarB[IkincilB],'ANAHTAR'!$D392)&gt;0,"IKINCIL","YOK")))</f>
        <v/>
      </c>
      <c r="I392" s="15">
        <f>IF($A392="","",'ANAHTAR'!$F392)</f>
        <v/>
      </c>
      <c r="J392" s="15">
        <f>IF(OR($A392="",$D392=0),0,$F392/ABS($D392))</f>
        <v/>
      </c>
      <c r="K392" s="15">
        <f>IF($A392="","",ROUND($D392,2))</f>
        <v/>
      </c>
      <c r="L392" s="15">
        <f>IF($A392="","",ROUND($C392,2))</f>
        <v/>
      </c>
      <c r="M392" s="15">
        <f>IF($A392="","",IF($F392&lt;=toleransKurus,1,0))</f>
        <v/>
      </c>
      <c r="N392" s="15">
        <f>IF($A392="","",IF($F392&gt;kdo_esikFark,1,0))</f>
        <v/>
      </c>
      <c r="O392" s="15">
        <f>IF($A392="","",IFERROR(SUMIF(tblMotor[A_Norm],$A392,tblMotor[SiparisToplam]),0))</f>
        <v/>
      </c>
      <c r="P392" s="15">
        <f>IF($A392="","",$B392+$M392+$N392)</f>
        <v/>
      </c>
    </row>
    <row r="393">
      <c r="A393" s="15">
        <f>IF('ANAHTAR'!$B393="","",'ANAHTAR'!$B393)</f>
        <v/>
      </c>
      <c r="B393" s="15">
        <f>IF($A393="","",COUNTIF(tblAnahtarB[NormB],$A393))</f>
        <v/>
      </c>
      <c r="C393" s="15">
        <f>IF($A393="","",IFERROR(SUMIF(tblMotor[A_Norm],$A393,tblMotor[SiparisToplam]),0))</f>
        <v/>
      </c>
      <c r="D393" s="15">
        <f>IF($A393="","",IFERROR(SUMIF(tblAnahtarA[Norm],$A393,tblVeriA[HedefMaliyet]),0))</f>
        <v/>
      </c>
      <c r="E393" s="15">
        <f>IF($A393="","",ROUND($D393,2)-ROUND($C393,2))</f>
        <v/>
      </c>
      <c r="F393" s="15">
        <f>IF($A393="","",ABS($E393))</f>
        <v/>
      </c>
      <c r="G393" s="15">
        <f>IF($A393="","",IF($B393=0,"eslesmedi",IF(ROUND($D393,2)=ROUND($C393,2),"eslesti",IF(ABS(ROUND($D393,2)-ROUND($C393,2))&lt;=toleransKurus,"tolerans_icinde","tutar_farki"))))</f>
        <v/>
      </c>
      <c r="H393" s="15">
        <f>IF($A393="","",IF($B393&gt;0,"BIRINCIL",IF(COUNTIF(tblAnahtarB[IkincilB],'ANAHTAR'!$D393)&gt;0,"IKINCIL","YOK")))</f>
        <v/>
      </c>
      <c r="I393" s="15">
        <f>IF($A393="","",'ANAHTAR'!$F393)</f>
        <v/>
      </c>
      <c r="J393" s="15">
        <f>IF(OR($A393="",$D393=0),0,$F393/ABS($D393))</f>
        <v/>
      </c>
      <c r="K393" s="15">
        <f>IF($A393="","",ROUND($D393,2))</f>
        <v/>
      </c>
      <c r="L393" s="15">
        <f>IF($A393="","",ROUND($C393,2))</f>
        <v/>
      </c>
      <c r="M393" s="15">
        <f>IF($A393="","",IF($F393&lt;=toleransKurus,1,0))</f>
        <v/>
      </c>
      <c r="N393" s="15">
        <f>IF($A393="","",IF($F393&gt;kdo_esikFark,1,0))</f>
        <v/>
      </c>
      <c r="O393" s="15">
        <f>IF($A393="","",IFERROR(SUMIF(tblMotor[A_Norm],$A393,tblMotor[SiparisToplam]),0))</f>
        <v/>
      </c>
      <c r="P393" s="15">
        <f>IF($A393="","",$B393+$M393+$N393)</f>
        <v/>
      </c>
    </row>
    <row r="394">
      <c r="A394" s="15">
        <f>IF('ANAHTAR'!$B394="","",'ANAHTAR'!$B394)</f>
        <v/>
      </c>
      <c r="B394" s="15">
        <f>IF($A394="","",COUNTIF(tblAnahtarB[NormB],$A394))</f>
        <v/>
      </c>
      <c r="C394" s="15">
        <f>IF($A394="","",IFERROR(SUMIF(tblMotor[A_Norm],$A394,tblMotor[SiparisToplam]),0))</f>
        <v/>
      </c>
      <c r="D394" s="15">
        <f>IF($A394="","",IFERROR(SUMIF(tblAnahtarA[Norm],$A394,tblVeriA[HedefMaliyet]),0))</f>
        <v/>
      </c>
      <c r="E394" s="15">
        <f>IF($A394="","",ROUND($D394,2)-ROUND($C394,2))</f>
        <v/>
      </c>
      <c r="F394" s="15">
        <f>IF($A394="","",ABS($E394))</f>
        <v/>
      </c>
      <c r="G394" s="15">
        <f>IF($A394="","",IF($B394=0,"eslesmedi",IF(ROUND($D394,2)=ROUND($C394,2),"eslesti",IF(ABS(ROUND($D394,2)-ROUND($C394,2))&lt;=toleransKurus,"tolerans_icinde","tutar_farki"))))</f>
        <v/>
      </c>
      <c r="H394" s="15">
        <f>IF($A394="","",IF($B394&gt;0,"BIRINCIL",IF(COUNTIF(tblAnahtarB[IkincilB],'ANAHTAR'!$D394)&gt;0,"IKINCIL","YOK")))</f>
        <v/>
      </c>
      <c r="I394" s="15">
        <f>IF($A394="","",'ANAHTAR'!$F394)</f>
        <v/>
      </c>
      <c r="J394" s="15">
        <f>IF(OR($A394="",$D394=0),0,$F394/ABS($D394))</f>
        <v/>
      </c>
      <c r="K394" s="15">
        <f>IF($A394="","",ROUND($D394,2))</f>
        <v/>
      </c>
      <c r="L394" s="15">
        <f>IF($A394="","",ROUND($C394,2))</f>
        <v/>
      </c>
      <c r="M394" s="15">
        <f>IF($A394="","",IF($F394&lt;=toleransKurus,1,0))</f>
        <v/>
      </c>
      <c r="N394" s="15">
        <f>IF($A394="","",IF($F394&gt;kdo_esikFark,1,0))</f>
        <v/>
      </c>
      <c r="O394" s="15">
        <f>IF($A394="","",IFERROR(SUMIF(tblMotor[A_Norm],$A394,tblMotor[SiparisToplam]),0))</f>
        <v/>
      </c>
      <c r="P394" s="15">
        <f>IF($A394="","",$B394+$M394+$N394)</f>
        <v/>
      </c>
    </row>
    <row r="395">
      <c r="A395" s="15">
        <f>IF('ANAHTAR'!$B395="","",'ANAHTAR'!$B395)</f>
        <v/>
      </c>
      <c r="B395" s="15">
        <f>IF($A395="","",COUNTIF(tblAnahtarB[NormB],$A395))</f>
        <v/>
      </c>
      <c r="C395" s="15">
        <f>IF($A395="","",IFERROR(SUMIF(tblMotor[A_Norm],$A395,tblMotor[SiparisToplam]),0))</f>
        <v/>
      </c>
      <c r="D395" s="15">
        <f>IF($A395="","",IFERROR(SUMIF(tblAnahtarA[Norm],$A395,tblVeriA[HedefMaliyet]),0))</f>
        <v/>
      </c>
      <c r="E395" s="15">
        <f>IF($A395="","",ROUND($D395,2)-ROUND($C395,2))</f>
        <v/>
      </c>
      <c r="F395" s="15">
        <f>IF($A395="","",ABS($E395))</f>
        <v/>
      </c>
      <c r="G395" s="15">
        <f>IF($A395="","",IF($B395=0,"eslesmedi",IF(ROUND($D395,2)=ROUND($C395,2),"eslesti",IF(ABS(ROUND($D395,2)-ROUND($C395,2))&lt;=toleransKurus,"tolerans_icinde","tutar_farki"))))</f>
        <v/>
      </c>
      <c r="H395" s="15">
        <f>IF($A395="","",IF($B395&gt;0,"BIRINCIL",IF(COUNTIF(tblAnahtarB[IkincilB],'ANAHTAR'!$D395)&gt;0,"IKINCIL","YOK")))</f>
        <v/>
      </c>
      <c r="I395" s="15">
        <f>IF($A395="","",'ANAHTAR'!$F395)</f>
        <v/>
      </c>
      <c r="J395" s="15">
        <f>IF(OR($A395="",$D395=0),0,$F395/ABS($D395))</f>
        <v/>
      </c>
      <c r="K395" s="15">
        <f>IF($A395="","",ROUND($D395,2))</f>
        <v/>
      </c>
      <c r="L395" s="15">
        <f>IF($A395="","",ROUND($C395,2))</f>
        <v/>
      </c>
      <c r="M395" s="15">
        <f>IF($A395="","",IF($F395&lt;=toleransKurus,1,0))</f>
        <v/>
      </c>
      <c r="N395" s="15">
        <f>IF($A395="","",IF($F395&gt;kdo_esikFark,1,0))</f>
        <v/>
      </c>
      <c r="O395" s="15">
        <f>IF($A395="","",IFERROR(SUMIF(tblMotor[A_Norm],$A395,tblMotor[SiparisToplam]),0))</f>
        <v/>
      </c>
      <c r="P395" s="15">
        <f>IF($A395="","",$B395+$M395+$N395)</f>
        <v/>
      </c>
    </row>
    <row r="396">
      <c r="A396" s="15">
        <f>IF('ANAHTAR'!$B396="","",'ANAHTAR'!$B396)</f>
        <v/>
      </c>
      <c r="B396" s="15">
        <f>IF($A396="","",COUNTIF(tblAnahtarB[NormB],$A396))</f>
        <v/>
      </c>
      <c r="C396" s="15">
        <f>IF($A396="","",IFERROR(SUMIF(tblMotor[A_Norm],$A396,tblMotor[SiparisToplam]),0))</f>
        <v/>
      </c>
      <c r="D396" s="15">
        <f>IF($A396="","",IFERROR(SUMIF(tblAnahtarA[Norm],$A396,tblVeriA[HedefMaliyet]),0))</f>
        <v/>
      </c>
      <c r="E396" s="15">
        <f>IF($A396="","",ROUND($D396,2)-ROUND($C396,2))</f>
        <v/>
      </c>
      <c r="F396" s="15">
        <f>IF($A396="","",ABS($E396))</f>
        <v/>
      </c>
      <c r="G396" s="15">
        <f>IF($A396="","",IF($B396=0,"eslesmedi",IF(ROUND($D396,2)=ROUND($C396,2),"eslesti",IF(ABS(ROUND($D396,2)-ROUND($C396,2))&lt;=toleransKurus,"tolerans_icinde","tutar_farki"))))</f>
        <v/>
      </c>
      <c r="H396" s="15">
        <f>IF($A396="","",IF($B396&gt;0,"BIRINCIL",IF(COUNTIF(tblAnahtarB[IkincilB],'ANAHTAR'!$D396)&gt;0,"IKINCIL","YOK")))</f>
        <v/>
      </c>
      <c r="I396" s="15">
        <f>IF($A396="","",'ANAHTAR'!$F396)</f>
        <v/>
      </c>
      <c r="J396" s="15">
        <f>IF(OR($A396="",$D396=0),0,$F396/ABS($D396))</f>
        <v/>
      </c>
      <c r="K396" s="15">
        <f>IF($A396="","",ROUND($D396,2))</f>
        <v/>
      </c>
      <c r="L396" s="15">
        <f>IF($A396="","",ROUND($C396,2))</f>
        <v/>
      </c>
      <c r="M396" s="15">
        <f>IF($A396="","",IF($F396&lt;=toleransKurus,1,0))</f>
        <v/>
      </c>
      <c r="N396" s="15">
        <f>IF($A396="","",IF($F396&gt;kdo_esikFark,1,0))</f>
        <v/>
      </c>
      <c r="O396" s="15">
        <f>IF($A396="","",IFERROR(SUMIF(tblMotor[A_Norm],$A396,tblMotor[SiparisToplam]),0))</f>
        <v/>
      </c>
      <c r="P396" s="15">
        <f>IF($A396="","",$B396+$M396+$N396)</f>
        <v/>
      </c>
    </row>
    <row r="397">
      <c r="A397" s="15">
        <f>IF('ANAHTAR'!$B397="","",'ANAHTAR'!$B397)</f>
        <v/>
      </c>
      <c r="B397" s="15">
        <f>IF($A397="","",COUNTIF(tblAnahtarB[NormB],$A397))</f>
        <v/>
      </c>
      <c r="C397" s="15">
        <f>IF($A397="","",IFERROR(SUMIF(tblMotor[A_Norm],$A397,tblMotor[SiparisToplam]),0))</f>
        <v/>
      </c>
      <c r="D397" s="15">
        <f>IF($A397="","",IFERROR(SUMIF(tblAnahtarA[Norm],$A397,tblVeriA[HedefMaliyet]),0))</f>
        <v/>
      </c>
      <c r="E397" s="15">
        <f>IF($A397="","",ROUND($D397,2)-ROUND($C397,2))</f>
        <v/>
      </c>
      <c r="F397" s="15">
        <f>IF($A397="","",ABS($E397))</f>
        <v/>
      </c>
      <c r="G397" s="15">
        <f>IF($A397="","",IF($B397=0,"eslesmedi",IF(ROUND($D397,2)=ROUND($C397,2),"eslesti",IF(ABS(ROUND($D397,2)-ROUND($C397,2))&lt;=toleransKurus,"tolerans_icinde","tutar_farki"))))</f>
        <v/>
      </c>
      <c r="H397" s="15">
        <f>IF($A397="","",IF($B397&gt;0,"BIRINCIL",IF(COUNTIF(tblAnahtarB[IkincilB],'ANAHTAR'!$D397)&gt;0,"IKINCIL","YOK")))</f>
        <v/>
      </c>
      <c r="I397" s="15">
        <f>IF($A397="","",'ANAHTAR'!$F397)</f>
        <v/>
      </c>
      <c r="J397" s="15">
        <f>IF(OR($A397="",$D397=0),0,$F397/ABS($D397))</f>
        <v/>
      </c>
      <c r="K397" s="15">
        <f>IF($A397="","",ROUND($D397,2))</f>
        <v/>
      </c>
      <c r="L397" s="15">
        <f>IF($A397="","",ROUND($C397,2))</f>
        <v/>
      </c>
      <c r="M397" s="15">
        <f>IF($A397="","",IF($F397&lt;=toleransKurus,1,0))</f>
        <v/>
      </c>
      <c r="N397" s="15">
        <f>IF($A397="","",IF($F397&gt;kdo_esikFark,1,0))</f>
        <v/>
      </c>
      <c r="O397" s="15">
        <f>IF($A397="","",IFERROR(SUMIF(tblMotor[A_Norm],$A397,tblMotor[SiparisToplam]),0))</f>
        <v/>
      </c>
      <c r="P397" s="15">
        <f>IF($A397="","",$B397+$M397+$N397)</f>
        <v/>
      </c>
    </row>
    <row r="398">
      <c r="A398" s="15">
        <f>IF('ANAHTAR'!$B398="","",'ANAHTAR'!$B398)</f>
        <v/>
      </c>
      <c r="B398" s="15">
        <f>IF($A398="","",COUNTIF(tblAnahtarB[NormB],$A398))</f>
        <v/>
      </c>
      <c r="C398" s="15">
        <f>IF($A398="","",IFERROR(SUMIF(tblMotor[A_Norm],$A398,tblMotor[SiparisToplam]),0))</f>
        <v/>
      </c>
      <c r="D398" s="15">
        <f>IF($A398="","",IFERROR(SUMIF(tblAnahtarA[Norm],$A398,tblVeriA[HedefMaliyet]),0))</f>
        <v/>
      </c>
      <c r="E398" s="15">
        <f>IF($A398="","",ROUND($D398,2)-ROUND($C398,2))</f>
        <v/>
      </c>
      <c r="F398" s="15">
        <f>IF($A398="","",ABS($E398))</f>
        <v/>
      </c>
      <c r="G398" s="15">
        <f>IF($A398="","",IF($B398=0,"eslesmedi",IF(ROUND($D398,2)=ROUND($C398,2),"eslesti",IF(ABS(ROUND($D398,2)-ROUND($C398,2))&lt;=toleransKurus,"tolerans_icinde","tutar_farki"))))</f>
        <v/>
      </c>
      <c r="H398" s="15">
        <f>IF($A398="","",IF($B398&gt;0,"BIRINCIL",IF(COUNTIF(tblAnahtarB[IkincilB],'ANAHTAR'!$D398)&gt;0,"IKINCIL","YOK")))</f>
        <v/>
      </c>
      <c r="I398" s="15">
        <f>IF($A398="","",'ANAHTAR'!$F398)</f>
        <v/>
      </c>
      <c r="J398" s="15">
        <f>IF(OR($A398="",$D398=0),0,$F398/ABS($D398))</f>
        <v/>
      </c>
      <c r="K398" s="15">
        <f>IF($A398="","",ROUND($D398,2))</f>
        <v/>
      </c>
      <c r="L398" s="15">
        <f>IF($A398="","",ROUND($C398,2))</f>
        <v/>
      </c>
      <c r="M398" s="15">
        <f>IF($A398="","",IF($F398&lt;=toleransKurus,1,0))</f>
        <v/>
      </c>
      <c r="N398" s="15">
        <f>IF($A398="","",IF($F398&gt;kdo_esikFark,1,0))</f>
        <v/>
      </c>
      <c r="O398" s="15">
        <f>IF($A398="","",IFERROR(SUMIF(tblMotor[A_Norm],$A398,tblMotor[SiparisToplam]),0))</f>
        <v/>
      </c>
      <c r="P398" s="15">
        <f>IF($A398="","",$B398+$M398+$N398)</f>
        <v/>
      </c>
    </row>
    <row r="399">
      <c r="A399" s="15">
        <f>IF('ANAHTAR'!$B399="","",'ANAHTAR'!$B399)</f>
        <v/>
      </c>
      <c r="B399" s="15">
        <f>IF($A399="","",COUNTIF(tblAnahtarB[NormB],$A399))</f>
        <v/>
      </c>
      <c r="C399" s="15">
        <f>IF($A399="","",IFERROR(SUMIF(tblMotor[A_Norm],$A399,tblMotor[SiparisToplam]),0))</f>
        <v/>
      </c>
      <c r="D399" s="15">
        <f>IF($A399="","",IFERROR(SUMIF(tblAnahtarA[Norm],$A399,tblVeriA[HedefMaliyet]),0))</f>
        <v/>
      </c>
      <c r="E399" s="15">
        <f>IF($A399="","",ROUND($D399,2)-ROUND($C399,2))</f>
        <v/>
      </c>
      <c r="F399" s="15">
        <f>IF($A399="","",ABS($E399))</f>
        <v/>
      </c>
      <c r="G399" s="15">
        <f>IF($A399="","",IF($B399=0,"eslesmedi",IF(ROUND($D399,2)=ROUND($C399,2),"eslesti",IF(ABS(ROUND($D399,2)-ROUND($C399,2))&lt;=toleransKurus,"tolerans_icinde","tutar_farki"))))</f>
        <v/>
      </c>
      <c r="H399" s="15">
        <f>IF($A399="","",IF($B399&gt;0,"BIRINCIL",IF(COUNTIF(tblAnahtarB[IkincilB],'ANAHTAR'!$D399)&gt;0,"IKINCIL","YOK")))</f>
        <v/>
      </c>
      <c r="I399" s="15">
        <f>IF($A399="","",'ANAHTAR'!$F399)</f>
        <v/>
      </c>
      <c r="J399" s="15">
        <f>IF(OR($A399="",$D399=0),0,$F399/ABS($D399))</f>
        <v/>
      </c>
      <c r="K399" s="15">
        <f>IF($A399="","",ROUND($D399,2))</f>
        <v/>
      </c>
      <c r="L399" s="15">
        <f>IF($A399="","",ROUND($C399,2))</f>
        <v/>
      </c>
      <c r="M399" s="15">
        <f>IF($A399="","",IF($F399&lt;=toleransKurus,1,0))</f>
        <v/>
      </c>
      <c r="N399" s="15">
        <f>IF($A399="","",IF($F399&gt;kdo_esikFark,1,0))</f>
        <v/>
      </c>
      <c r="O399" s="15">
        <f>IF($A399="","",IFERROR(SUMIF(tblMotor[A_Norm],$A399,tblMotor[SiparisToplam]),0))</f>
        <v/>
      </c>
      <c r="P399" s="15">
        <f>IF($A399="","",$B399+$M399+$N399)</f>
        <v/>
      </c>
    </row>
    <row r="400">
      <c r="A400" s="15">
        <f>IF('ANAHTAR'!$B400="","",'ANAHTAR'!$B400)</f>
        <v/>
      </c>
      <c r="B400" s="15">
        <f>IF($A400="","",COUNTIF(tblAnahtarB[NormB],$A400))</f>
        <v/>
      </c>
      <c r="C400" s="15">
        <f>IF($A400="","",IFERROR(SUMIF(tblMotor[A_Norm],$A400,tblMotor[SiparisToplam]),0))</f>
        <v/>
      </c>
      <c r="D400" s="15">
        <f>IF($A400="","",IFERROR(SUMIF(tblAnahtarA[Norm],$A400,tblVeriA[HedefMaliyet]),0))</f>
        <v/>
      </c>
      <c r="E400" s="15">
        <f>IF($A400="","",ROUND($D400,2)-ROUND($C400,2))</f>
        <v/>
      </c>
      <c r="F400" s="15">
        <f>IF($A400="","",ABS($E400))</f>
        <v/>
      </c>
      <c r="G400" s="15">
        <f>IF($A400="","",IF($B400=0,"eslesmedi",IF(ROUND($D400,2)=ROUND($C400,2),"eslesti",IF(ABS(ROUND($D400,2)-ROUND($C400,2))&lt;=toleransKurus,"tolerans_icinde","tutar_farki"))))</f>
        <v/>
      </c>
      <c r="H400" s="15">
        <f>IF($A400="","",IF($B400&gt;0,"BIRINCIL",IF(COUNTIF(tblAnahtarB[IkincilB],'ANAHTAR'!$D400)&gt;0,"IKINCIL","YOK")))</f>
        <v/>
      </c>
      <c r="I400" s="15">
        <f>IF($A400="","",'ANAHTAR'!$F400)</f>
        <v/>
      </c>
      <c r="J400" s="15">
        <f>IF(OR($A400="",$D400=0),0,$F400/ABS($D400))</f>
        <v/>
      </c>
      <c r="K400" s="15">
        <f>IF($A400="","",ROUND($D400,2))</f>
        <v/>
      </c>
      <c r="L400" s="15">
        <f>IF($A400="","",ROUND($C400,2))</f>
        <v/>
      </c>
      <c r="M400" s="15">
        <f>IF($A400="","",IF($F400&lt;=toleransKurus,1,0))</f>
        <v/>
      </c>
      <c r="N400" s="15">
        <f>IF($A400="","",IF($F400&gt;kdo_esikFark,1,0))</f>
        <v/>
      </c>
      <c r="O400" s="15">
        <f>IF($A400="","",IFERROR(SUMIF(tblMotor[A_Norm],$A400,tblMotor[SiparisToplam]),0))</f>
        <v/>
      </c>
      <c r="P400" s="15">
        <f>IF($A400="","",$B400+$M400+$N400)</f>
        <v/>
      </c>
    </row>
    <row r="401">
      <c r="A401" s="15">
        <f>IF('ANAHTAR'!$B401="","",'ANAHTAR'!$B401)</f>
        <v/>
      </c>
      <c r="B401" s="15">
        <f>IF($A401="","",COUNTIF(tblAnahtarB[NormB],$A401))</f>
        <v/>
      </c>
      <c r="C401" s="15">
        <f>IF($A401="","",IFERROR(SUMIF(tblMotor[A_Norm],$A401,tblMotor[SiparisToplam]),0))</f>
        <v/>
      </c>
      <c r="D401" s="15">
        <f>IF($A401="","",IFERROR(SUMIF(tblAnahtarA[Norm],$A401,tblVeriA[HedefMaliyet]),0))</f>
        <v/>
      </c>
      <c r="E401" s="15">
        <f>IF($A401="","",ROUND($D401,2)-ROUND($C401,2))</f>
        <v/>
      </c>
      <c r="F401" s="15">
        <f>IF($A401="","",ABS($E401))</f>
        <v/>
      </c>
      <c r="G401" s="15">
        <f>IF($A401="","",IF($B401=0,"eslesmedi",IF(ROUND($D401,2)=ROUND($C401,2),"eslesti",IF(ABS(ROUND($D401,2)-ROUND($C401,2))&lt;=toleransKurus,"tolerans_icinde","tutar_farki"))))</f>
        <v/>
      </c>
      <c r="H401" s="15">
        <f>IF($A401="","",IF($B401&gt;0,"BIRINCIL",IF(COUNTIF(tblAnahtarB[IkincilB],'ANAHTAR'!$D401)&gt;0,"IKINCIL","YOK")))</f>
        <v/>
      </c>
      <c r="I401" s="15">
        <f>IF($A401="","",'ANAHTAR'!$F401)</f>
        <v/>
      </c>
      <c r="J401" s="15">
        <f>IF(OR($A401="",$D401=0),0,$F401/ABS($D401))</f>
        <v/>
      </c>
      <c r="K401" s="15">
        <f>IF($A401="","",ROUND($D401,2))</f>
        <v/>
      </c>
      <c r="L401" s="15">
        <f>IF($A401="","",ROUND($C401,2))</f>
        <v/>
      </c>
      <c r="M401" s="15">
        <f>IF($A401="","",IF($F401&lt;=toleransKurus,1,0))</f>
        <v/>
      </c>
      <c r="N401" s="15">
        <f>IF($A401="","",IF($F401&gt;kdo_esikFark,1,0))</f>
        <v/>
      </c>
      <c r="O401" s="15">
        <f>IF($A401="","",IFERROR(SUMIF(tblMotor[A_Norm],$A401,tblMotor[SiparisToplam]),0))</f>
        <v/>
      </c>
      <c r="P401" s="15">
        <f>IF($A401="","",$B401+$M401+$N401)</f>
        <v/>
      </c>
    </row>
    <row r="402">
      <c r="A402" s="15">
        <f>IF('ANAHTAR'!$B402="","",'ANAHTAR'!$B402)</f>
        <v/>
      </c>
      <c r="B402" s="15">
        <f>IF($A402="","",COUNTIF(tblAnahtarB[NormB],$A402))</f>
        <v/>
      </c>
      <c r="C402" s="15">
        <f>IF($A402="","",IFERROR(SUMIF(tblMotor[A_Norm],$A402,tblMotor[SiparisToplam]),0))</f>
        <v/>
      </c>
      <c r="D402" s="15">
        <f>IF($A402="","",IFERROR(SUMIF(tblAnahtarA[Norm],$A402,tblVeriA[HedefMaliyet]),0))</f>
        <v/>
      </c>
      <c r="E402" s="15">
        <f>IF($A402="","",ROUND($D402,2)-ROUND($C402,2))</f>
        <v/>
      </c>
      <c r="F402" s="15">
        <f>IF($A402="","",ABS($E402))</f>
        <v/>
      </c>
      <c r="G402" s="15">
        <f>IF($A402="","",IF($B402=0,"eslesmedi",IF(ROUND($D402,2)=ROUND($C402,2),"eslesti",IF(ABS(ROUND($D402,2)-ROUND($C402,2))&lt;=toleransKurus,"tolerans_icinde","tutar_farki"))))</f>
        <v/>
      </c>
      <c r="H402" s="15">
        <f>IF($A402="","",IF($B402&gt;0,"BIRINCIL",IF(COUNTIF(tblAnahtarB[IkincilB],'ANAHTAR'!$D402)&gt;0,"IKINCIL","YOK")))</f>
        <v/>
      </c>
      <c r="I402" s="15">
        <f>IF($A402="","",'ANAHTAR'!$F402)</f>
        <v/>
      </c>
      <c r="J402" s="15">
        <f>IF(OR($A402="",$D402=0),0,$F402/ABS($D402))</f>
        <v/>
      </c>
      <c r="K402" s="15">
        <f>IF($A402="","",ROUND($D402,2))</f>
        <v/>
      </c>
      <c r="L402" s="15">
        <f>IF($A402="","",ROUND($C402,2))</f>
        <v/>
      </c>
      <c r="M402" s="15">
        <f>IF($A402="","",IF($F402&lt;=toleransKurus,1,0))</f>
        <v/>
      </c>
      <c r="N402" s="15">
        <f>IF($A402="","",IF($F402&gt;kdo_esikFark,1,0))</f>
        <v/>
      </c>
      <c r="O402" s="15">
        <f>IF($A402="","",IFERROR(SUMIF(tblMotor[A_Norm],$A402,tblMotor[SiparisToplam]),0))</f>
        <v/>
      </c>
      <c r="P402" s="15">
        <f>IF($A402="","",$B402+$M402+$N402)</f>
        <v/>
      </c>
    </row>
    <row r="403">
      <c r="A403" s="15">
        <f>IF('ANAHTAR'!$B403="","",'ANAHTAR'!$B403)</f>
        <v/>
      </c>
      <c r="B403" s="15">
        <f>IF($A403="","",COUNTIF(tblAnahtarB[NormB],$A403))</f>
        <v/>
      </c>
      <c r="C403" s="15">
        <f>IF($A403="","",IFERROR(SUMIF(tblMotor[A_Norm],$A403,tblMotor[SiparisToplam]),0))</f>
        <v/>
      </c>
      <c r="D403" s="15">
        <f>IF($A403="","",IFERROR(SUMIF(tblAnahtarA[Norm],$A403,tblVeriA[HedefMaliyet]),0))</f>
        <v/>
      </c>
      <c r="E403" s="15">
        <f>IF($A403="","",ROUND($D403,2)-ROUND($C403,2))</f>
        <v/>
      </c>
      <c r="F403" s="15">
        <f>IF($A403="","",ABS($E403))</f>
        <v/>
      </c>
      <c r="G403" s="15">
        <f>IF($A403="","",IF($B403=0,"eslesmedi",IF(ROUND($D403,2)=ROUND($C403,2),"eslesti",IF(ABS(ROUND($D403,2)-ROUND($C403,2))&lt;=toleransKurus,"tolerans_icinde","tutar_farki"))))</f>
        <v/>
      </c>
      <c r="H403" s="15">
        <f>IF($A403="","",IF($B403&gt;0,"BIRINCIL",IF(COUNTIF(tblAnahtarB[IkincilB],'ANAHTAR'!$D403)&gt;0,"IKINCIL","YOK")))</f>
        <v/>
      </c>
      <c r="I403" s="15">
        <f>IF($A403="","",'ANAHTAR'!$F403)</f>
        <v/>
      </c>
      <c r="J403" s="15">
        <f>IF(OR($A403="",$D403=0),0,$F403/ABS($D403))</f>
        <v/>
      </c>
      <c r="K403" s="15">
        <f>IF($A403="","",ROUND($D403,2))</f>
        <v/>
      </c>
      <c r="L403" s="15">
        <f>IF($A403="","",ROUND($C403,2))</f>
        <v/>
      </c>
      <c r="M403" s="15">
        <f>IF($A403="","",IF($F403&lt;=toleransKurus,1,0))</f>
        <v/>
      </c>
      <c r="N403" s="15">
        <f>IF($A403="","",IF($F403&gt;kdo_esikFark,1,0))</f>
        <v/>
      </c>
      <c r="O403" s="15">
        <f>IF($A403="","",IFERROR(SUMIF(tblMotor[A_Norm],$A403,tblMotor[SiparisToplam]),0))</f>
        <v/>
      </c>
      <c r="P403" s="15">
        <f>IF($A403="","",$B403+$M403+$N403)</f>
        <v/>
      </c>
    </row>
    <row r="404">
      <c r="A404" s="15">
        <f>IF('ANAHTAR'!$B404="","",'ANAHTAR'!$B404)</f>
        <v/>
      </c>
      <c r="B404" s="15">
        <f>IF($A404="","",COUNTIF(tblAnahtarB[NormB],$A404))</f>
        <v/>
      </c>
      <c r="C404" s="15">
        <f>IF($A404="","",IFERROR(SUMIF(tblMotor[A_Norm],$A404,tblMotor[SiparisToplam]),0))</f>
        <v/>
      </c>
      <c r="D404" s="15">
        <f>IF($A404="","",IFERROR(SUMIF(tblAnahtarA[Norm],$A404,tblVeriA[HedefMaliyet]),0))</f>
        <v/>
      </c>
      <c r="E404" s="15">
        <f>IF($A404="","",ROUND($D404,2)-ROUND($C404,2))</f>
        <v/>
      </c>
      <c r="F404" s="15">
        <f>IF($A404="","",ABS($E404))</f>
        <v/>
      </c>
      <c r="G404" s="15">
        <f>IF($A404="","",IF($B404=0,"eslesmedi",IF(ROUND($D404,2)=ROUND($C404,2),"eslesti",IF(ABS(ROUND($D404,2)-ROUND($C404,2))&lt;=toleransKurus,"tolerans_icinde","tutar_farki"))))</f>
        <v/>
      </c>
      <c r="H404" s="15">
        <f>IF($A404="","",IF($B404&gt;0,"BIRINCIL",IF(COUNTIF(tblAnahtarB[IkincilB],'ANAHTAR'!$D404)&gt;0,"IKINCIL","YOK")))</f>
        <v/>
      </c>
      <c r="I404" s="15">
        <f>IF($A404="","",'ANAHTAR'!$F404)</f>
        <v/>
      </c>
      <c r="J404" s="15">
        <f>IF(OR($A404="",$D404=0),0,$F404/ABS($D404))</f>
        <v/>
      </c>
      <c r="K404" s="15">
        <f>IF($A404="","",ROUND($D404,2))</f>
        <v/>
      </c>
      <c r="L404" s="15">
        <f>IF($A404="","",ROUND($C404,2))</f>
        <v/>
      </c>
      <c r="M404" s="15">
        <f>IF($A404="","",IF($F404&lt;=toleransKurus,1,0))</f>
        <v/>
      </c>
      <c r="N404" s="15">
        <f>IF($A404="","",IF($F404&gt;kdo_esikFark,1,0))</f>
        <v/>
      </c>
      <c r="O404" s="15">
        <f>IF($A404="","",IFERROR(SUMIF(tblMotor[A_Norm],$A404,tblMotor[SiparisToplam]),0))</f>
        <v/>
      </c>
      <c r="P404" s="15">
        <f>IF($A404="","",$B404+$M404+$N404)</f>
        <v/>
      </c>
    </row>
    <row r="405">
      <c r="A405" s="15">
        <f>IF('ANAHTAR'!$B405="","",'ANAHTAR'!$B405)</f>
        <v/>
      </c>
      <c r="B405" s="15">
        <f>IF($A405="","",COUNTIF(tblAnahtarB[NormB],$A405))</f>
        <v/>
      </c>
      <c r="C405" s="15">
        <f>IF($A405="","",IFERROR(SUMIF(tblMotor[A_Norm],$A405,tblMotor[SiparisToplam]),0))</f>
        <v/>
      </c>
      <c r="D405" s="15">
        <f>IF($A405="","",IFERROR(SUMIF(tblAnahtarA[Norm],$A405,tblVeriA[HedefMaliyet]),0))</f>
        <v/>
      </c>
      <c r="E405" s="15">
        <f>IF($A405="","",ROUND($D405,2)-ROUND($C405,2))</f>
        <v/>
      </c>
      <c r="F405" s="15">
        <f>IF($A405="","",ABS($E405))</f>
        <v/>
      </c>
      <c r="G405" s="15">
        <f>IF($A405="","",IF($B405=0,"eslesmedi",IF(ROUND($D405,2)=ROUND($C405,2),"eslesti",IF(ABS(ROUND($D405,2)-ROUND($C405,2))&lt;=toleransKurus,"tolerans_icinde","tutar_farki"))))</f>
        <v/>
      </c>
      <c r="H405" s="15">
        <f>IF($A405="","",IF($B405&gt;0,"BIRINCIL",IF(COUNTIF(tblAnahtarB[IkincilB],'ANAHTAR'!$D405)&gt;0,"IKINCIL","YOK")))</f>
        <v/>
      </c>
      <c r="I405" s="15">
        <f>IF($A405="","",'ANAHTAR'!$F405)</f>
        <v/>
      </c>
      <c r="J405" s="15">
        <f>IF(OR($A405="",$D405=0),0,$F405/ABS($D405))</f>
        <v/>
      </c>
      <c r="K405" s="15">
        <f>IF($A405="","",ROUND($D405,2))</f>
        <v/>
      </c>
      <c r="L405" s="15">
        <f>IF($A405="","",ROUND($C405,2))</f>
        <v/>
      </c>
      <c r="M405" s="15">
        <f>IF($A405="","",IF($F405&lt;=toleransKurus,1,0))</f>
        <v/>
      </c>
      <c r="N405" s="15">
        <f>IF($A405="","",IF($F405&gt;kdo_esikFark,1,0))</f>
        <v/>
      </c>
      <c r="O405" s="15">
        <f>IF($A405="","",IFERROR(SUMIF(tblMotor[A_Norm],$A405,tblMotor[SiparisToplam]),0))</f>
        <v/>
      </c>
      <c r="P405" s="15">
        <f>IF($A405="","",$B405+$M405+$N405)</f>
        <v/>
      </c>
    </row>
    <row r="406">
      <c r="A406" s="15">
        <f>IF('ANAHTAR'!$B406="","",'ANAHTAR'!$B406)</f>
        <v/>
      </c>
      <c r="B406" s="15">
        <f>IF($A406="","",COUNTIF(tblAnahtarB[NormB],$A406))</f>
        <v/>
      </c>
      <c r="C406" s="15">
        <f>IF($A406="","",IFERROR(SUMIF(tblMotor[A_Norm],$A406,tblMotor[SiparisToplam]),0))</f>
        <v/>
      </c>
      <c r="D406" s="15">
        <f>IF($A406="","",IFERROR(SUMIF(tblAnahtarA[Norm],$A406,tblVeriA[HedefMaliyet]),0))</f>
        <v/>
      </c>
      <c r="E406" s="15">
        <f>IF($A406="","",ROUND($D406,2)-ROUND($C406,2))</f>
        <v/>
      </c>
      <c r="F406" s="15">
        <f>IF($A406="","",ABS($E406))</f>
        <v/>
      </c>
      <c r="G406" s="15">
        <f>IF($A406="","",IF($B406=0,"eslesmedi",IF(ROUND($D406,2)=ROUND($C406,2),"eslesti",IF(ABS(ROUND($D406,2)-ROUND($C406,2))&lt;=toleransKurus,"tolerans_icinde","tutar_farki"))))</f>
        <v/>
      </c>
      <c r="H406" s="15">
        <f>IF($A406="","",IF($B406&gt;0,"BIRINCIL",IF(COUNTIF(tblAnahtarB[IkincilB],'ANAHTAR'!$D406)&gt;0,"IKINCIL","YOK")))</f>
        <v/>
      </c>
      <c r="I406" s="15">
        <f>IF($A406="","",'ANAHTAR'!$F406)</f>
        <v/>
      </c>
      <c r="J406" s="15">
        <f>IF(OR($A406="",$D406=0),0,$F406/ABS($D406))</f>
        <v/>
      </c>
      <c r="K406" s="15">
        <f>IF($A406="","",ROUND($D406,2))</f>
        <v/>
      </c>
      <c r="L406" s="15">
        <f>IF($A406="","",ROUND($C406,2))</f>
        <v/>
      </c>
      <c r="M406" s="15">
        <f>IF($A406="","",IF($F406&lt;=toleransKurus,1,0))</f>
        <v/>
      </c>
      <c r="N406" s="15">
        <f>IF($A406="","",IF($F406&gt;kdo_esikFark,1,0))</f>
        <v/>
      </c>
      <c r="O406" s="15">
        <f>IF($A406="","",IFERROR(SUMIF(tblMotor[A_Norm],$A406,tblMotor[SiparisToplam]),0))</f>
        <v/>
      </c>
      <c r="P406" s="15">
        <f>IF($A406="","",$B406+$M406+$N406)</f>
        <v/>
      </c>
    </row>
    <row r="407">
      <c r="A407" s="15">
        <f>IF('ANAHTAR'!$B407="","",'ANAHTAR'!$B407)</f>
        <v/>
      </c>
      <c r="B407" s="15">
        <f>IF($A407="","",COUNTIF(tblAnahtarB[NormB],$A407))</f>
        <v/>
      </c>
      <c r="C407" s="15">
        <f>IF($A407="","",IFERROR(SUMIF(tblMotor[A_Norm],$A407,tblMotor[SiparisToplam]),0))</f>
        <v/>
      </c>
      <c r="D407" s="15">
        <f>IF($A407="","",IFERROR(SUMIF(tblAnahtarA[Norm],$A407,tblVeriA[HedefMaliyet]),0))</f>
        <v/>
      </c>
      <c r="E407" s="15">
        <f>IF($A407="","",ROUND($D407,2)-ROUND($C407,2))</f>
        <v/>
      </c>
      <c r="F407" s="15">
        <f>IF($A407="","",ABS($E407))</f>
        <v/>
      </c>
      <c r="G407" s="15">
        <f>IF($A407="","",IF($B407=0,"eslesmedi",IF(ROUND($D407,2)=ROUND($C407,2),"eslesti",IF(ABS(ROUND($D407,2)-ROUND($C407,2))&lt;=toleransKurus,"tolerans_icinde","tutar_farki"))))</f>
        <v/>
      </c>
      <c r="H407" s="15">
        <f>IF($A407="","",IF($B407&gt;0,"BIRINCIL",IF(COUNTIF(tblAnahtarB[IkincilB],'ANAHTAR'!$D407)&gt;0,"IKINCIL","YOK")))</f>
        <v/>
      </c>
      <c r="I407" s="15">
        <f>IF($A407="","",'ANAHTAR'!$F407)</f>
        <v/>
      </c>
      <c r="J407" s="15">
        <f>IF(OR($A407="",$D407=0),0,$F407/ABS($D407))</f>
        <v/>
      </c>
      <c r="K407" s="15">
        <f>IF($A407="","",ROUND($D407,2))</f>
        <v/>
      </c>
      <c r="L407" s="15">
        <f>IF($A407="","",ROUND($C407,2))</f>
        <v/>
      </c>
      <c r="M407" s="15">
        <f>IF($A407="","",IF($F407&lt;=toleransKurus,1,0))</f>
        <v/>
      </c>
      <c r="N407" s="15">
        <f>IF($A407="","",IF($F407&gt;kdo_esikFark,1,0))</f>
        <v/>
      </c>
      <c r="O407" s="15">
        <f>IF($A407="","",IFERROR(SUMIF(tblMotor[A_Norm],$A407,tblMotor[SiparisToplam]),0))</f>
        <v/>
      </c>
      <c r="P407" s="15">
        <f>IF($A407="","",$B407+$M407+$N407)</f>
        <v/>
      </c>
    </row>
    <row r="408">
      <c r="A408" s="15">
        <f>IF('ANAHTAR'!$B408="","",'ANAHTAR'!$B408)</f>
        <v/>
      </c>
      <c r="B408" s="15">
        <f>IF($A408="","",COUNTIF(tblAnahtarB[NormB],$A408))</f>
        <v/>
      </c>
      <c r="C408" s="15">
        <f>IF($A408="","",IFERROR(SUMIF(tblMotor[A_Norm],$A408,tblMotor[SiparisToplam]),0))</f>
        <v/>
      </c>
      <c r="D408" s="15">
        <f>IF($A408="","",IFERROR(SUMIF(tblAnahtarA[Norm],$A408,tblVeriA[HedefMaliyet]),0))</f>
        <v/>
      </c>
      <c r="E408" s="15">
        <f>IF($A408="","",ROUND($D408,2)-ROUND($C408,2))</f>
        <v/>
      </c>
      <c r="F408" s="15">
        <f>IF($A408="","",ABS($E408))</f>
        <v/>
      </c>
      <c r="G408" s="15">
        <f>IF($A408="","",IF($B408=0,"eslesmedi",IF(ROUND($D408,2)=ROUND($C408,2),"eslesti",IF(ABS(ROUND($D408,2)-ROUND($C408,2))&lt;=toleransKurus,"tolerans_icinde","tutar_farki"))))</f>
        <v/>
      </c>
      <c r="H408" s="15">
        <f>IF($A408="","",IF($B408&gt;0,"BIRINCIL",IF(COUNTIF(tblAnahtarB[IkincilB],'ANAHTAR'!$D408)&gt;0,"IKINCIL","YOK")))</f>
        <v/>
      </c>
      <c r="I408" s="15">
        <f>IF($A408="","",'ANAHTAR'!$F408)</f>
        <v/>
      </c>
      <c r="J408" s="15">
        <f>IF(OR($A408="",$D408=0),0,$F408/ABS($D408))</f>
        <v/>
      </c>
      <c r="K408" s="15">
        <f>IF($A408="","",ROUND($D408,2))</f>
        <v/>
      </c>
      <c r="L408" s="15">
        <f>IF($A408="","",ROUND($C408,2))</f>
        <v/>
      </c>
      <c r="M408" s="15">
        <f>IF($A408="","",IF($F408&lt;=toleransKurus,1,0))</f>
        <v/>
      </c>
      <c r="N408" s="15">
        <f>IF($A408="","",IF($F408&gt;kdo_esikFark,1,0))</f>
        <v/>
      </c>
      <c r="O408" s="15">
        <f>IF($A408="","",IFERROR(SUMIF(tblMotor[A_Norm],$A408,tblMotor[SiparisToplam]),0))</f>
        <v/>
      </c>
      <c r="P408" s="15">
        <f>IF($A408="","",$B408+$M408+$N408)</f>
        <v/>
      </c>
    </row>
    <row r="409">
      <c r="A409" s="15">
        <f>IF('ANAHTAR'!$B409="","",'ANAHTAR'!$B409)</f>
        <v/>
      </c>
      <c r="B409" s="15">
        <f>IF($A409="","",COUNTIF(tblAnahtarB[NormB],$A409))</f>
        <v/>
      </c>
      <c r="C409" s="15">
        <f>IF($A409="","",IFERROR(SUMIF(tblMotor[A_Norm],$A409,tblMotor[SiparisToplam]),0))</f>
        <v/>
      </c>
      <c r="D409" s="15">
        <f>IF($A409="","",IFERROR(SUMIF(tblAnahtarA[Norm],$A409,tblVeriA[HedefMaliyet]),0))</f>
        <v/>
      </c>
      <c r="E409" s="15">
        <f>IF($A409="","",ROUND($D409,2)-ROUND($C409,2))</f>
        <v/>
      </c>
      <c r="F409" s="15">
        <f>IF($A409="","",ABS($E409))</f>
        <v/>
      </c>
      <c r="G409" s="15">
        <f>IF($A409="","",IF($B409=0,"eslesmedi",IF(ROUND($D409,2)=ROUND($C409,2),"eslesti",IF(ABS(ROUND($D409,2)-ROUND($C409,2))&lt;=toleransKurus,"tolerans_icinde","tutar_farki"))))</f>
        <v/>
      </c>
      <c r="H409" s="15">
        <f>IF($A409="","",IF($B409&gt;0,"BIRINCIL",IF(COUNTIF(tblAnahtarB[IkincilB],'ANAHTAR'!$D409)&gt;0,"IKINCIL","YOK")))</f>
        <v/>
      </c>
      <c r="I409" s="15">
        <f>IF($A409="","",'ANAHTAR'!$F409)</f>
        <v/>
      </c>
      <c r="J409" s="15">
        <f>IF(OR($A409="",$D409=0),0,$F409/ABS($D409))</f>
        <v/>
      </c>
      <c r="K409" s="15">
        <f>IF($A409="","",ROUND($D409,2))</f>
        <v/>
      </c>
      <c r="L409" s="15">
        <f>IF($A409="","",ROUND($C409,2))</f>
        <v/>
      </c>
      <c r="M409" s="15">
        <f>IF($A409="","",IF($F409&lt;=toleransKurus,1,0))</f>
        <v/>
      </c>
      <c r="N409" s="15">
        <f>IF($A409="","",IF($F409&gt;kdo_esikFark,1,0))</f>
        <v/>
      </c>
      <c r="O409" s="15">
        <f>IF($A409="","",IFERROR(SUMIF(tblMotor[A_Norm],$A409,tblMotor[SiparisToplam]),0))</f>
        <v/>
      </c>
      <c r="P409" s="15">
        <f>IF($A409="","",$B409+$M409+$N409)</f>
        <v/>
      </c>
    </row>
    <row r="410">
      <c r="A410" s="15">
        <f>IF('ANAHTAR'!$B410="","",'ANAHTAR'!$B410)</f>
        <v/>
      </c>
      <c r="B410" s="15">
        <f>IF($A410="","",COUNTIF(tblAnahtarB[NormB],$A410))</f>
        <v/>
      </c>
      <c r="C410" s="15">
        <f>IF($A410="","",IFERROR(SUMIF(tblMotor[A_Norm],$A410,tblMotor[SiparisToplam]),0))</f>
        <v/>
      </c>
      <c r="D410" s="15">
        <f>IF($A410="","",IFERROR(SUMIF(tblAnahtarA[Norm],$A410,tblVeriA[HedefMaliyet]),0))</f>
        <v/>
      </c>
      <c r="E410" s="15">
        <f>IF($A410="","",ROUND($D410,2)-ROUND($C410,2))</f>
        <v/>
      </c>
      <c r="F410" s="15">
        <f>IF($A410="","",ABS($E410))</f>
        <v/>
      </c>
      <c r="G410" s="15">
        <f>IF($A410="","",IF($B410=0,"eslesmedi",IF(ROUND($D410,2)=ROUND($C410,2),"eslesti",IF(ABS(ROUND($D410,2)-ROUND($C410,2))&lt;=toleransKurus,"tolerans_icinde","tutar_farki"))))</f>
        <v/>
      </c>
      <c r="H410" s="15">
        <f>IF($A410="","",IF($B410&gt;0,"BIRINCIL",IF(COUNTIF(tblAnahtarB[IkincilB],'ANAHTAR'!$D410)&gt;0,"IKINCIL","YOK")))</f>
        <v/>
      </c>
      <c r="I410" s="15">
        <f>IF($A410="","",'ANAHTAR'!$F410)</f>
        <v/>
      </c>
      <c r="J410" s="15">
        <f>IF(OR($A410="",$D410=0),0,$F410/ABS($D410))</f>
        <v/>
      </c>
      <c r="K410" s="15">
        <f>IF($A410="","",ROUND($D410,2))</f>
        <v/>
      </c>
      <c r="L410" s="15">
        <f>IF($A410="","",ROUND($C410,2))</f>
        <v/>
      </c>
      <c r="M410" s="15">
        <f>IF($A410="","",IF($F410&lt;=toleransKurus,1,0))</f>
        <v/>
      </c>
      <c r="N410" s="15">
        <f>IF($A410="","",IF($F410&gt;kdo_esikFark,1,0))</f>
        <v/>
      </c>
      <c r="O410" s="15">
        <f>IF($A410="","",IFERROR(SUMIF(tblMotor[A_Norm],$A410,tblMotor[SiparisToplam]),0))</f>
        <v/>
      </c>
      <c r="P410" s="15">
        <f>IF($A410="","",$B410+$M410+$N410)</f>
        <v/>
      </c>
    </row>
    <row r="411">
      <c r="A411" s="15">
        <f>IF('ANAHTAR'!$B411="","",'ANAHTAR'!$B411)</f>
        <v/>
      </c>
      <c r="B411" s="15">
        <f>IF($A411="","",COUNTIF(tblAnahtarB[NormB],$A411))</f>
        <v/>
      </c>
      <c r="C411" s="15">
        <f>IF($A411="","",IFERROR(SUMIF(tblMotor[A_Norm],$A411,tblMotor[SiparisToplam]),0))</f>
        <v/>
      </c>
      <c r="D411" s="15">
        <f>IF($A411="","",IFERROR(SUMIF(tblAnahtarA[Norm],$A411,tblVeriA[HedefMaliyet]),0))</f>
        <v/>
      </c>
      <c r="E411" s="15">
        <f>IF($A411="","",ROUND($D411,2)-ROUND($C411,2))</f>
        <v/>
      </c>
      <c r="F411" s="15">
        <f>IF($A411="","",ABS($E411))</f>
        <v/>
      </c>
      <c r="G411" s="15">
        <f>IF($A411="","",IF($B411=0,"eslesmedi",IF(ROUND($D411,2)=ROUND($C411,2),"eslesti",IF(ABS(ROUND($D411,2)-ROUND($C411,2))&lt;=toleransKurus,"tolerans_icinde","tutar_farki"))))</f>
        <v/>
      </c>
      <c r="H411" s="15">
        <f>IF($A411="","",IF($B411&gt;0,"BIRINCIL",IF(COUNTIF(tblAnahtarB[IkincilB],'ANAHTAR'!$D411)&gt;0,"IKINCIL","YOK")))</f>
        <v/>
      </c>
      <c r="I411" s="15">
        <f>IF($A411="","",'ANAHTAR'!$F411)</f>
        <v/>
      </c>
      <c r="J411" s="15">
        <f>IF(OR($A411="",$D411=0),0,$F411/ABS($D411))</f>
        <v/>
      </c>
      <c r="K411" s="15">
        <f>IF($A411="","",ROUND($D411,2))</f>
        <v/>
      </c>
      <c r="L411" s="15">
        <f>IF($A411="","",ROUND($C411,2))</f>
        <v/>
      </c>
      <c r="M411" s="15">
        <f>IF($A411="","",IF($F411&lt;=toleransKurus,1,0))</f>
        <v/>
      </c>
      <c r="N411" s="15">
        <f>IF($A411="","",IF($F411&gt;kdo_esikFark,1,0))</f>
        <v/>
      </c>
      <c r="O411" s="15">
        <f>IF($A411="","",IFERROR(SUMIF(tblMotor[A_Norm],$A411,tblMotor[SiparisToplam]),0))</f>
        <v/>
      </c>
      <c r="P411" s="15">
        <f>IF($A411="","",$B411+$M411+$N411)</f>
        <v/>
      </c>
    </row>
    <row r="412">
      <c r="A412" s="15">
        <f>IF('ANAHTAR'!$B412="","",'ANAHTAR'!$B412)</f>
        <v/>
      </c>
      <c r="B412" s="15">
        <f>IF($A412="","",COUNTIF(tblAnahtarB[NormB],$A412))</f>
        <v/>
      </c>
      <c r="C412" s="15">
        <f>IF($A412="","",IFERROR(SUMIF(tblMotor[A_Norm],$A412,tblMotor[SiparisToplam]),0))</f>
        <v/>
      </c>
      <c r="D412" s="15">
        <f>IF($A412="","",IFERROR(SUMIF(tblAnahtarA[Norm],$A412,tblVeriA[HedefMaliyet]),0))</f>
        <v/>
      </c>
      <c r="E412" s="15">
        <f>IF($A412="","",ROUND($D412,2)-ROUND($C412,2))</f>
        <v/>
      </c>
      <c r="F412" s="15">
        <f>IF($A412="","",ABS($E412))</f>
        <v/>
      </c>
      <c r="G412" s="15">
        <f>IF($A412="","",IF($B412=0,"eslesmedi",IF(ROUND($D412,2)=ROUND($C412,2),"eslesti",IF(ABS(ROUND($D412,2)-ROUND($C412,2))&lt;=toleransKurus,"tolerans_icinde","tutar_farki"))))</f>
        <v/>
      </c>
      <c r="H412" s="15">
        <f>IF($A412="","",IF($B412&gt;0,"BIRINCIL",IF(COUNTIF(tblAnahtarB[IkincilB],'ANAHTAR'!$D412)&gt;0,"IKINCIL","YOK")))</f>
        <v/>
      </c>
      <c r="I412" s="15">
        <f>IF($A412="","",'ANAHTAR'!$F412)</f>
        <v/>
      </c>
      <c r="J412" s="15">
        <f>IF(OR($A412="",$D412=0),0,$F412/ABS($D412))</f>
        <v/>
      </c>
      <c r="K412" s="15">
        <f>IF($A412="","",ROUND($D412,2))</f>
        <v/>
      </c>
      <c r="L412" s="15">
        <f>IF($A412="","",ROUND($C412,2))</f>
        <v/>
      </c>
      <c r="M412" s="15">
        <f>IF($A412="","",IF($F412&lt;=toleransKurus,1,0))</f>
        <v/>
      </c>
      <c r="N412" s="15">
        <f>IF($A412="","",IF($F412&gt;kdo_esikFark,1,0))</f>
        <v/>
      </c>
      <c r="O412" s="15">
        <f>IF($A412="","",IFERROR(SUMIF(tblMotor[A_Norm],$A412,tblMotor[SiparisToplam]),0))</f>
        <v/>
      </c>
      <c r="P412" s="15">
        <f>IF($A412="","",$B412+$M412+$N412)</f>
        <v/>
      </c>
    </row>
    <row r="413">
      <c r="A413" s="15">
        <f>IF('ANAHTAR'!$B413="","",'ANAHTAR'!$B413)</f>
        <v/>
      </c>
      <c r="B413" s="15">
        <f>IF($A413="","",COUNTIF(tblAnahtarB[NormB],$A413))</f>
        <v/>
      </c>
      <c r="C413" s="15">
        <f>IF($A413="","",IFERROR(SUMIF(tblMotor[A_Norm],$A413,tblMotor[SiparisToplam]),0))</f>
        <v/>
      </c>
      <c r="D413" s="15">
        <f>IF($A413="","",IFERROR(SUMIF(tblAnahtarA[Norm],$A413,tblVeriA[HedefMaliyet]),0))</f>
        <v/>
      </c>
      <c r="E413" s="15">
        <f>IF($A413="","",ROUND($D413,2)-ROUND($C413,2))</f>
        <v/>
      </c>
      <c r="F413" s="15">
        <f>IF($A413="","",ABS($E413))</f>
        <v/>
      </c>
      <c r="G413" s="15">
        <f>IF($A413="","",IF($B413=0,"eslesmedi",IF(ROUND($D413,2)=ROUND($C413,2),"eslesti",IF(ABS(ROUND($D413,2)-ROUND($C413,2))&lt;=toleransKurus,"tolerans_icinde","tutar_farki"))))</f>
        <v/>
      </c>
      <c r="H413" s="15">
        <f>IF($A413="","",IF($B413&gt;0,"BIRINCIL",IF(COUNTIF(tblAnahtarB[IkincilB],'ANAHTAR'!$D413)&gt;0,"IKINCIL","YOK")))</f>
        <v/>
      </c>
      <c r="I413" s="15">
        <f>IF($A413="","",'ANAHTAR'!$F413)</f>
        <v/>
      </c>
      <c r="J413" s="15">
        <f>IF(OR($A413="",$D413=0),0,$F413/ABS($D413))</f>
        <v/>
      </c>
      <c r="K413" s="15">
        <f>IF($A413="","",ROUND($D413,2))</f>
        <v/>
      </c>
      <c r="L413" s="15">
        <f>IF($A413="","",ROUND($C413,2))</f>
        <v/>
      </c>
      <c r="M413" s="15">
        <f>IF($A413="","",IF($F413&lt;=toleransKurus,1,0))</f>
        <v/>
      </c>
      <c r="N413" s="15">
        <f>IF($A413="","",IF($F413&gt;kdo_esikFark,1,0))</f>
        <v/>
      </c>
      <c r="O413" s="15">
        <f>IF($A413="","",IFERROR(SUMIF(tblMotor[A_Norm],$A413,tblMotor[SiparisToplam]),0))</f>
        <v/>
      </c>
      <c r="P413" s="15">
        <f>IF($A413="","",$B413+$M413+$N413)</f>
        <v/>
      </c>
    </row>
    <row r="414">
      <c r="A414" s="15">
        <f>IF('ANAHTAR'!$B414="","",'ANAHTAR'!$B414)</f>
        <v/>
      </c>
      <c r="B414" s="15">
        <f>IF($A414="","",COUNTIF(tblAnahtarB[NormB],$A414))</f>
        <v/>
      </c>
      <c r="C414" s="15">
        <f>IF($A414="","",IFERROR(SUMIF(tblMotor[A_Norm],$A414,tblMotor[SiparisToplam]),0))</f>
        <v/>
      </c>
      <c r="D414" s="15">
        <f>IF($A414="","",IFERROR(SUMIF(tblAnahtarA[Norm],$A414,tblVeriA[HedefMaliyet]),0))</f>
        <v/>
      </c>
      <c r="E414" s="15">
        <f>IF($A414="","",ROUND($D414,2)-ROUND($C414,2))</f>
        <v/>
      </c>
      <c r="F414" s="15">
        <f>IF($A414="","",ABS($E414))</f>
        <v/>
      </c>
      <c r="G414" s="15">
        <f>IF($A414="","",IF($B414=0,"eslesmedi",IF(ROUND($D414,2)=ROUND($C414,2),"eslesti",IF(ABS(ROUND($D414,2)-ROUND($C414,2))&lt;=toleransKurus,"tolerans_icinde","tutar_farki"))))</f>
        <v/>
      </c>
      <c r="H414" s="15">
        <f>IF($A414="","",IF($B414&gt;0,"BIRINCIL",IF(COUNTIF(tblAnahtarB[IkincilB],'ANAHTAR'!$D414)&gt;0,"IKINCIL","YOK")))</f>
        <v/>
      </c>
      <c r="I414" s="15">
        <f>IF($A414="","",'ANAHTAR'!$F414)</f>
        <v/>
      </c>
      <c r="J414" s="15">
        <f>IF(OR($A414="",$D414=0),0,$F414/ABS($D414))</f>
        <v/>
      </c>
      <c r="K414" s="15">
        <f>IF($A414="","",ROUND($D414,2))</f>
        <v/>
      </c>
      <c r="L414" s="15">
        <f>IF($A414="","",ROUND($C414,2))</f>
        <v/>
      </c>
      <c r="M414" s="15">
        <f>IF($A414="","",IF($F414&lt;=toleransKurus,1,0))</f>
        <v/>
      </c>
      <c r="N414" s="15">
        <f>IF($A414="","",IF($F414&gt;kdo_esikFark,1,0))</f>
        <v/>
      </c>
      <c r="O414" s="15">
        <f>IF($A414="","",IFERROR(SUMIF(tblMotor[A_Norm],$A414,tblMotor[SiparisToplam]),0))</f>
        <v/>
      </c>
      <c r="P414" s="15">
        <f>IF($A414="","",$B414+$M414+$N414)</f>
        <v/>
      </c>
    </row>
    <row r="415">
      <c r="A415" s="15">
        <f>IF('ANAHTAR'!$B415="","",'ANAHTAR'!$B415)</f>
        <v/>
      </c>
      <c r="B415" s="15">
        <f>IF($A415="","",COUNTIF(tblAnahtarB[NormB],$A415))</f>
        <v/>
      </c>
      <c r="C415" s="15">
        <f>IF($A415="","",IFERROR(SUMIF(tblMotor[A_Norm],$A415,tblMotor[SiparisToplam]),0))</f>
        <v/>
      </c>
      <c r="D415" s="15">
        <f>IF($A415="","",IFERROR(SUMIF(tblAnahtarA[Norm],$A415,tblVeriA[HedefMaliyet]),0))</f>
        <v/>
      </c>
      <c r="E415" s="15">
        <f>IF($A415="","",ROUND($D415,2)-ROUND($C415,2))</f>
        <v/>
      </c>
      <c r="F415" s="15">
        <f>IF($A415="","",ABS($E415))</f>
        <v/>
      </c>
      <c r="G415" s="15">
        <f>IF($A415="","",IF($B415=0,"eslesmedi",IF(ROUND($D415,2)=ROUND($C415,2),"eslesti",IF(ABS(ROUND($D415,2)-ROUND($C415,2))&lt;=toleransKurus,"tolerans_icinde","tutar_farki"))))</f>
        <v/>
      </c>
      <c r="H415" s="15">
        <f>IF($A415="","",IF($B415&gt;0,"BIRINCIL",IF(COUNTIF(tblAnahtarB[IkincilB],'ANAHTAR'!$D415)&gt;0,"IKINCIL","YOK")))</f>
        <v/>
      </c>
      <c r="I415" s="15">
        <f>IF($A415="","",'ANAHTAR'!$F415)</f>
        <v/>
      </c>
      <c r="J415" s="15">
        <f>IF(OR($A415="",$D415=0),0,$F415/ABS($D415))</f>
        <v/>
      </c>
      <c r="K415" s="15">
        <f>IF($A415="","",ROUND($D415,2))</f>
        <v/>
      </c>
      <c r="L415" s="15">
        <f>IF($A415="","",ROUND($C415,2))</f>
        <v/>
      </c>
      <c r="M415" s="15">
        <f>IF($A415="","",IF($F415&lt;=toleransKurus,1,0))</f>
        <v/>
      </c>
      <c r="N415" s="15">
        <f>IF($A415="","",IF($F415&gt;kdo_esikFark,1,0))</f>
        <v/>
      </c>
      <c r="O415" s="15">
        <f>IF($A415="","",IFERROR(SUMIF(tblMotor[A_Norm],$A415,tblMotor[SiparisToplam]),0))</f>
        <v/>
      </c>
      <c r="P415" s="15">
        <f>IF($A415="","",$B415+$M415+$N415)</f>
        <v/>
      </c>
    </row>
    <row r="416">
      <c r="A416" s="15">
        <f>IF('ANAHTAR'!$B416="","",'ANAHTAR'!$B416)</f>
        <v/>
      </c>
      <c r="B416" s="15">
        <f>IF($A416="","",COUNTIF(tblAnahtarB[NormB],$A416))</f>
        <v/>
      </c>
      <c r="C416" s="15">
        <f>IF($A416="","",IFERROR(SUMIF(tblMotor[A_Norm],$A416,tblMotor[SiparisToplam]),0))</f>
        <v/>
      </c>
      <c r="D416" s="15">
        <f>IF($A416="","",IFERROR(SUMIF(tblAnahtarA[Norm],$A416,tblVeriA[HedefMaliyet]),0))</f>
        <v/>
      </c>
      <c r="E416" s="15">
        <f>IF($A416="","",ROUND($D416,2)-ROUND($C416,2))</f>
        <v/>
      </c>
      <c r="F416" s="15">
        <f>IF($A416="","",ABS($E416))</f>
        <v/>
      </c>
      <c r="G416" s="15">
        <f>IF($A416="","",IF($B416=0,"eslesmedi",IF(ROUND($D416,2)=ROUND($C416,2),"eslesti",IF(ABS(ROUND($D416,2)-ROUND($C416,2))&lt;=toleransKurus,"tolerans_icinde","tutar_farki"))))</f>
        <v/>
      </c>
      <c r="H416" s="15">
        <f>IF($A416="","",IF($B416&gt;0,"BIRINCIL",IF(COUNTIF(tblAnahtarB[IkincilB],'ANAHTAR'!$D416)&gt;0,"IKINCIL","YOK")))</f>
        <v/>
      </c>
      <c r="I416" s="15">
        <f>IF($A416="","",'ANAHTAR'!$F416)</f>
        <v/>
      </c>
      <c r="J416" s="15">
        <f>IF(OR($A416="",$D416=0),0,$F416/ABS($D416))</f>
        <v/>
      </c>
      <c r="K416" s="15">
        <f>IF($A416="","",ROUND($D416,2))</f>
        <v/>
      </c>
      <c r="L416" s="15">
        <f>IF($A416="","",ROUND($C416,2))</f>
        <v/>
      </c>
      <c r="M416" s="15">
        <f>IF($A416="","",IF($F416&lt;=toleransKurus,1,0))</f>
        <v/>
      </c>
      <c r="N416" s="15">
        <f>IF($A416="","",IF($F416&gt;kdo_esikFark,1,0))</f>
        <v/>
      </c>
      <c r="O416" s="15">
        <f>IF($A416="","",IFERROR(SUMIF(tblMotor[A_Norm],$A416,tblMotor[SiparisToplam]),0))</f>
        <v/>
      </c>
      <c r="P416" s="15">
        <f>IF($A416="","",$B416+$M416+$N416)</f>
        <v/>
      </c>
    </row>
    <row r="417">
      <c r="A417" s="15">
        <f>IF('ANAHTAR'!$B417="","",'ANAHTAR'!$B417)</f>
        <v/>
      </c>
      <c r="B417" s="15">
        <f>IF($A417="","",COUNTIF(tblAnahtarB[NormB],$A417))</f>
        <v/>
      </c>
      <c r="C417" s="15">
        <f>IF($A417="","",IFERROR(SUMIF(tblMotor[A_Norm],$A417,tblMotor[SiparisToplam]),0))</f>
        <v/>
      </c>
      <c r="D417" s="15">
        <f>IF($A417="","",IFERROR(SUMIF(tblAnahtarA[Norm],$A417,tblVeriA[HedefMaliyet]),0))</f>
        <v/>
      </c>
      <c r="E417" s="15">
        <f>IF($A417="","",ROUND($D417,2)-ROUND($C417,2))</f>
        <v/>
      </c>
      <c r="F417" s="15">
        <f>IF($A417="","",ABS($E417))</f>
        <v/>
      </c>
      <c r="G417" s="15">
        <f>IF($A417="","",IF($B417=0,"eslesmedi",IF(ROUND($D417,2)=ROUND($C417,2),"eslesti",IF(ABS(ROUND($D417,2)-ROUND($C417,2))&lt;=toleransKurus,"tolerans_icinde","tutar_farki"))))</f>
        <v/>
      </c>
      <c r="H417" s="15">
        <f>IF($A417="","",IF($B417&gt;0,"BIRINCIL",IF(COUNTIF(tblAnahtarB[IkincilB],'ANAHTAR'!$D417)&gt;0,"IKINCIL","YOK")))</f>
        <v/>
      </c>
      <c r="I417" s="15">
        <f>IF($A417="","",'ANAHTAR'!$F417)</f>
        <v/>
      </c>
      <c r="J417" s="15">
        <f>IF(OR($A417="",$D417=0),0,$F417/ABS($D417))</f>
        <v/>
      </c>
      <c r="K417" s="15">
        <f>IF($A417="","",ROUND($D417,2))</f>
        <v/>
      </c>
      <c r="L417" s="15">
        <f>IF($A417="","",ROUND($C417,2))</f>
        <v/>
      </c>
      <c r="M417" s="15">
        <f>IF($A417="","",IF($F417&lt;=toleransKurus,1,0))</f>
        <v/>
      </c>
      <c r="N417" s="15">
        <f>IF($A417="","",IF($F417&gt;kdo_esikFark,1,0))</f>
        <v/>
      </c>
      <c r="O417" s="15">
        <f>IF($A417="","",IFERROR(SUMIF(tblMotor[A_Norm],$A417,tblMotor[SiparisToplam]),0))</f>
        <v/>
      </c>
      <c r="P417" s="15">
        <f>IF($A417="","",$B417+$M417+$N417)</f>
        <v/>
      </c>
    </row>
    <row r="418">
      <c r="A418" s="15">
        <f>IF('ANAHTAR'!$B418="","",'ANAHTAR'!$B418)</f>
        <v/>
      </c>
      <c r="B418" s="15">
        <f>IF($A418="","",COUNTIF(tblAnahtarB[NormB],$A418))</f>
        <v/>
      </c>
      <c r="C418" s="15">
        <f>IF($A418="","",IFERROR(SUMIF(tblMotor[A_Norm],$A418,tblMotor[SiparisToplam]),0))</f>
        <v/>
      </c>
      <c r="D418" s="15">
        <f>IF($A418="","",IFERROR(SUMIF(tblAnahtarA[Norm],$A418,tblVeriA[HedefMaliyet]),0))</f>
        <v/>
      </c>
      <c r="E418" s="15">
        <f>IF($A418="","",ROUND($D418,2)-ROUND($C418,2))</f>
        <v/>
      </c>
      <c r="F418" s="15">
        <f>IF($A418="","",ABS($E418))</f>
        <v/>
      </c>
      <c r="G418" s="15">
        <f>IF($A418="","",IF($B418=0,"eslesmedi",IF(ROUND($D418,2)=ROUND($C418,2),"eslesti",IF(ABS(ROUND($D418,2)-ROUND($C418,2))&lt;=toleransKurus,"tolerans_icinde","tutar_farki"))))</f>
        <v/>
      </c>
      <c r="H418" s="15">
        <f>IF($A418="","",IF($B418&gt;0,"BIRINCIL",IF(COUNTIF(tblAnahtarB[IkincilB],'ANAHTAR'!$D418)&gt;0,"IKINCIL","YOK")))</f>
        <v/>
      </c>
      <c r="I418" s="15">
        <f>IF($A418="","",'ANAHTAR'!$F418)</f>
        <v/>
      </c>
      <c r="J418" s="15">
        <f>IF(OR($A418="",$D418=0),0,$F418/ABS($D418))</f>
        <v/>
      </c>
      <c r="K418" s="15">
        <f>IF($A418="","",ROUND($D418,2))</f>
        <v/>
      </c>
      <c r="L418" s="15">
        <f>IF($A418="","",ROUND($C418,2))</f>
        <v/>
      </c>
      <c r="M418" s="15">
        <f>IF($A418="","",IF($F418&lt;=toleransKurus,1,0))</f>
        <v/>
      </c>
      <c r="N418" s="15">
        <f>IF($A418="","",IF($F418&gt;kdo_esikFark,1,0))</f>
        <v/>
      </c>
      <c r="O418" s="15">
        <f>IF($A418="","",IFERROR(SUMIF(tblMotor[A_Norm],$A418,tblMotor[SiparisToplam]),0))</f>
        <v/>
      </c>
      <c r="P418" s="15">
        <f>IF($A418="","",$B418+$M418+$N418)</f>
        <v/>
      </c>
    </row>
    <row r="419">
      <c r="A419" s="15">
        <f>IF('ANAHTAR'!$B419="","",'ANAHTAR'!$B419)</f>
        <v/>
      </c>
      <c r="B419" s="15">
        <f>IF($A419="","",COUNTIF(tblAnahtarB[NormB],$A419))</f>
        <v/>
      </c>
      <c r="C419" s="15">
        <f>IF($A419="","",IFERROR(SUMIF(tblMotor[A_Norm],$A419,tblMotor[SiparisToplam]),0))</f>
        <v/>
      </c>
      <c r="D419" s="15">
        <f>IF($A419="","",IFERROR(SUMIF(tblAnahtarA[Norm],$A419,tblVeriA[HedefMaliyet]),0))</f>
        <v/>
      </c>
      <c r="E419" s="15">
        <f>IF($A419="","",ROUND($D419,2)-ROUND($C419,2))</f>
        <v/>
      </c>
      <c r="F419" s="15">
        <f>IF($A419="","",ABS($E419))</f>
        <v/>
      </c>
      <c r="G419" s="15">
        <f>IF($A419="","",IF($B419=0,"eslesmedi",IF(ROUND($D419,2)=ROUND($C419,2),"eslesti",IF(ABS(ROUND($D419,2)-ROUND($C419,2))&lt;=toleransKurus,"tolerans_icinde","tutar_farki"))))</f>
        <v/>
      </c>
      <c r="H419" s="15">
        <f>IF($A419="","",IF($B419&gt;0,"BIRINCIL",IF(COUNTIF(tblAnahtarB[IkincilB],'ANAHTAR'!$D419)&gt;0,"IKINCIL","YOK")))</f>
        <v/>
      </c>
      <c r="I419" s="15">
        <f>IF($A419="","",'ANAHTAR'!$F419)</f>
        <v/>
      </c>
      <c r="J419" s="15">
        <f>IF(OR($A419="",$D419=0),0,$F419/ABS($D419))</f>
        <v/>
      </c>
      <c r="K419" s="15">
        <f>IF($A419="","",ROUND($D419,2))</f>
        <v/>
      </c>
      <c r="L419" s="15">
        <f>IF($A419="","",ROUND($C419,2))</f>
        <v/>
      </c>
      <c r="M419" s="15">
        <f>IF($A419="","",IF($F419&lt;=toleransKurus,1,0))</f>
        <v/>
      </c>
      <c r="N419" s="15">
        <f>IF($A419="","",IF($F419&gt;kdo_esikFark,1,0))</f>
        <v/>
      </c>
      <c r="O419" s="15">
        <f>IF($A419="","",IFERROR(SUMIF(tblMotor[A_Norm],$A419,tblMotor[SiparisToplam]),0))</f>
        <v/>
      </c>
      <c r="P419" s="15">
        <f>IF($A419="","",$B419+$M419+$N419)</f>
        <v/>
      </c>
    </row>
    <row r="420">
      <c r="A420" s="15">
        <f>IF('ANAHTAR'!$B420="","",'ANAHTAR'!$B420)</f>
        <v/>
      </c>
      <c r="B420" s="15">
        <f>IF($A420="","",COUNTIF(tblAnahtarB[NormB],$A420))</f>
        <v/>
      </c>
      <c r="C420" s="15">
        <f>IF($A420="","",IFERROR(SUMIF(tblMotor[A_Norm],$A420,tblMotor[SiparisToplam]),0))</f>
        <v/>
      </c>
      <c r="D420" s="15">
        <f>IF($A420="","",IFERROR(SUMIF(tblAnahtarA[Norm],$A420,tblVeriA[HedefMaliyet]),0))</f>
        <v/>
      </c>
      <c r="E420" s="15">
        <f>IF($A420="","",ROUND($D420,2)-ROUND($C420,2))</f>
        <v/>
      </c>
      <c r="F420" s="15">
        <f>IF($A420="","",ABS($E420))</f>
        <v/>
      </c>
      <c r="G420" s="15">
        <f>IF($A420="","",IF($B420=0,"eslesmedi",IF(ROUND($D420,2)=ROUND($C420,2),"eslesti",IF(ABS(ROUND($D420,2)-ROUND($C420,2))&lt;=toleransKurus,"tolerans_icinde","tutar_farki"))))</f>
        <v/>
      </c>
      <c r="H420" s="15">
        <f>IF($A420="","",IF($B420&gt;0,"BIRINCIL",IF(COUNTIF(tblAnahtarB[IkincilB],'ANAHTAR'!$D420)&gt;0,"IKINCIL","YOK")))</f>
        <v/>
      </c>
      <c r="I420" s="15">
        <f>IF($A420="","",'ANAHTAR'!$F420)</f>
        <v/>
      </c>
      <c r="J420" s="15">
        <f>IF(OR($A420="",$D420=0),0,$F420/ABS($D420))</f>
        <v/>
      </c>
      <c r="K420" s="15">
        <f>IF($A420="","",ROUND($D420,2))</f>
        <v/>
      </c>
      <c r="L420" s="15">
        <f>IF($A420="","",ROUND($C420,2))</f>
        <v/>
      </c>
      <c r="M420" s="15">
        <f>IF($A420="","",IF($F420&lt;=toleransKurus,1,0))</f>
        <v/>
      </c>
      <c r="N420" s="15">
        <f>IF($A420="","",IF($F420&gt;kdo_esikFark,1,0))</f>
        <v/>
      </c>
      <c r="O420" s="15">
        <f>IF($A420="","",IFERROR(SUMIF(tblMotor[A_Norm],$A420,tblMotor[SiparisToplam]),0))</f>
        <v/>
      </c>
      <c r="P420" s="15">
        <f>IF($A420="","",$B420+$M420+$N420)</f>
        <v/>
      </c>
    </row>
    <row r="421">
      <c r="A421" s="15">
        <f>IF('ANAHTAR'!$B421="","",'ANAHTAR'!$B421)</f>
        <v/>
      </c>
      <c r="B421" s="15">
        <f>IF($A421="","",COUNTIF(tblAnahtarB[NormB],$A421))</f>
        <v/>
      </c>
      <c r="C421" s="15">
        <f>IF($A421="","",IFERROR(SUMIF(tblMotor[A_Norm],$A421,tblMotor[SiparisToplam]),0))</f>
        <v/>
      </c>
      <c r="D421" s="15">
        <f>IF($A421="","",IFERROR(SUMIF(tblAnahtarA[Norm],$A421,tblVeriA[HedefMaliyet]),0))</f>
        <v/>
      </c>
      <c r="E421" s="15">
        <f>IF($A421="","",ROUND($D421,2)-ROUND($C421,2))</f>
        <v/>
      </c>
      <c r="F421" s="15">
        <f>IF($A421="","",ABS($E421))</f>
        <v/>
      </c>
      <c r="G421" s="15">
        <f>IF($A421="","",IF($B421=0,"eslesmedi",IF(ROUND($D421,2)=ROUND($C421,2),"eslesti",IF(ABS(ROUND($D421,2)-ROUND($C421,2))&lt;=toleransKurus,"tolerans_icinde","tutar_farki"))))</f>
        <v/>
      </c>
      <c r="H421" s="15">
        <f>IF($A421="","",IF($B421&gt;0,"BIRINCIL",IF(COUNTIF(tblAnahtarB[IkincilB],'ANAHTAR'!$D421)&gt;0,"IKINCIL","YOK")))</f>
        <v/>
      </c>
      <c r="I421" s="15">
        <f>IF($A421="","",'ANAHTAR'!$F421)</f>
        <v/>
      </c>
      <c r="J421" s="15">
        <f>IF(OR($A421="",$D421=0),0,$F421/ABS($D421))</f>
        <v/>
      </c>
      <c r="K421" s="15">
        <f>IF($A421="","",ROUND($D421,2))</f>
        <v/>
      </c>
      <c r="L421" s="15">
        <f>IF($A421="","",ROUND($C421,2))</f>
        <v/>
      </c>
      <c r="M421" s="15">
        <f>IF($A421="","",IF($F421&lt;=toleransKurus,1,0))</f>
        <v/>
      </c>
      <c r="N421" s="15">
        <f>IF($A421="","",IF($F421&gt;kdo_esikFark,1,0))</f>
        <v/>
      </c>
      <c r="O421" s="15">
        <f>IF($A421="","",IFERROR(SUMIF(tblMotor[A_Norm],$A421,tblMotor[SiparisToplam]),0))</f>
        <v/>
      </c>
      <c r="P421" s="15">
        <f>IF($A421="","",$B421+$M421+$N421)</f>
        <v/>
      </c>
    </row>
    <row r="422">
      <c r="A422" s="15">
        <f>IF('ANAHTAR'!$B422="","",'ANAHTAR'!$B422)</f>
        <v/>
      </c>
      <c r="B422" s="15">
        <f>IF($A422="","",COUNTIF(tblAnahtarB[NormB],$A422))</f>
        <v/>
      </c>
      <c r="C422" s="15">
        <f>IF($A422="","",IFERROR(SUMIF(tblMotor[A_Norm],$A422,tblMotor[SiparisToplam]),0))</f>
        <v/>
      </c>
      <c r="D422" s="15">
        <f>IF($A422="","",IFERROR(SUMIF(tblAnahtarA[Norm],$A422,tblVeriA[HedefMaliyet]),0))</f>
        <v/>
      </c>
      <c r="E422" s="15">
        <f>IF($A422="","",ROUND($D422,2)-ROUND($C422,2))</f>
        <v/>
      </c>
      <c r="F422" s="15">
        <f>IF($A422="","",ABS($E422))</f>
        <v/>
      </c>
      <c r="G422" s="15">
        <f>IF($A422="","",IF($B422=0,"eslesmedi",IF(ROUND($D422,2)=ROUND($C422,2),"eslesti",IF(ABS(ROUND($D422,2)-ROUND($C422,2))&lt;=toleransKurus,"tolerans_icinde","tutar_farki"))))</f>
        <v/>
      </c>
      <c r="H422" s="15">
        <f>IF($A422="","",IF($B422&gt;0,"BIRINCIL",IF(COUNTIF(tblAnahtarB[IkincilB],'ANAHTAR'!$D422)&gt;0,"IKINCIL","YOK")))</f>
        <v/>
      </c>
      <c r="I422" s="15">
        <f>IF($A422="","",'ANAHTAR'!$F422)</f>
        <v/>
      </c>
      <c r="J422" s="15">
        <f>IF(OR($A422="",$D422=0),0,$F422/ABS($D422))</f>
        <v/>
      </c>
      <c r="K422" s="15">
        <f>IF($A422="","",ROUND($D422,2))</f>
        <v/>
      </c>
      <c r="L422" s="15">
        <f>IF($A422="","",ROUND($C422,2))</f>
        <v/>
      </c>
      <c r="M422" s="15">
        <f>IF($A422="","",IF($F422&lt;=toleransKurus,1,0))</f>
        <v/>
      </c>
      <c r="N422" s="15">
        <f>IF($A422="","",IF($F422&gt;kdo_esikFark,1,0))</f>
        <v/>
      </c>
      <c r="O422" s="15">
        <f>IF($A422="","",IFERROR(SUMIF(tblMotor[A_Norm],$A422,tblMotor[SiparisToplam]),0))</f>
        <v/>
      </c>
      <c r="P422" s="15">
        <f>IF($A422="","",$B422+$M422+$N422)</f>
        <v/>
      </c>
    </row>
    <row r="423">
      <c r="A423" s="15">
        <f>IF('ANAHTAR'!$B423="","",'ANAHTAR'!$B423)</f>
        <v/>
      </c>
      <c r="B423" s="15">
        <f>IF($A423="","",COUNTIF(tblAnahtarB[NormB],$A423))</f>
        <v/>
      </c>
      <c r="C423" s="15">
        <f>IF($A423="","",IFERROR(SUMIF(tblMotor[A_Norm],$A423,tblMotor[SiparisToplam]),0))</f>
        <v/>
      </c>
      <c r="D423" s="15">
        <f>IF($A423="","",IFERROR(SUMIF(tblAnahtarA[Norm],$A423,tblVeriA[HedefMaliyet]),0))</f>
        <v/>
      </c>
      <c r="E423" s="15">
        <f>IF($A423="","",ROUND($D423,2)-ROUND($C423,2))</f>
        <v/>
      </c>
      <c r="F423" s="15">
        <f>IF($A423="","",ABS($E423))</f>
        <v/>
      </c>
      <c r="G423" s="15">
        <f>IF($A423="","",IF($B423=0,"eslesmedi",IF(ROUND($D423,2)=ROUND($C423,2),"eslesti",IF(ABS(ROUND($D423,2)-ROUND($C423,2))&lt;=toleransKurus,"tolerans_icinde","tutar_farki"))))</f>
        <v/>
      </c>
      <c r="H423" s="15">
        <f>IF($A423="","",IF($B423&gt;0,"BIRINCIL",IF(COUNTIF(tblAnahtarB[IkincilB],'ANAHTAR'!$D423)&gt;0,"IKINCIL","YOK")))</f>
        <v/>
      </c>
      <c r="I423" s="15">
        <f>IF($A423="","",'ANAHTAR'!$F423)</f>
        <v/>
      </c>
      <c r="J423" s="15">
        <f>IF(OR($A423="",$D423=0),0,$F423/ABS($D423))</f>
        <v/>
      </c>
      <c r="K423" s="15">
        <f>IF($A423="","",ROUND($D423,2))</f>
        <v/>
      </c>
      <c r="L423" s="15">
        <f>IF($A423="","",ROUND($C423,2))</f>
        <v/>
      </c>
      <c r="M423" s="15">
        <f>IF($A423="","",IF($F423&lt;=toleransKurus,1,0))</f>
        <v/>
      </c>
      <c r="N423" s="15">
        <f>IF($A423="","",IF($F423&gt;kdo_esikFark,1,0))</f>
        <v/>
      </c>
      <c r="O423" s="15">
        <f>IF($A423="","",IFERROR(SUMIF(tblMotor[A_Norm],$A423,tblMotor[SiparisToplam]),0))</f>
        <v/>
      </c>
      <c r="P423" s="15">
        <f>IF($A423="","",$B423+$M423+$N423)</f>
        <v/>
      </c>
    </row>
    <row r="424">
      <c r="A424" s="15">
        <f>IF('ANAHTAR'!$B424="","",'ANAHTAR'!$B424)</f>
        <v/>
      </c>
      <c r="B424" s="15">
        <f>IF($A424="","",COUNTIF(tblAnahtarB[NormB],$A424))</f>
        <v/>
      </c>
      <c r="C424" s="15">
        <f>IF($A424="","",IFERROR(SUMIF(tblMotor[A_Norm],$A424,tblMotor[SiparisToplam]),0))</f>
        <v/>
      </c>
      <c r="D424" s="15">
        <f>IF($A424="","",IFERROR(SUMIF(tblAnahtarA[Norm],$A424,tblVeriA[HedefMaliyet]),0))</f>
        <v/>
      </c>
      <c r="E424" s="15">
        <f>IF($A424="","",ROUND($D424,2)-ROUND($C424,2))</f>
        <v/>
      </c>
      <c r="F424" s="15">
        <f>IF($A424="","",ABS($E424))</f>
        <v/>
      </c>
      <c r="G424" s="15">
        <f>IF($A424="","",IF($B424=0,"eslesmedi",IF(ROUND($D424,2)=ROUND($C424,2),"eslesti",IF(ABS(ROUND($D424,2)-ROUND($C424,2))&lt;=toleransKurus,"tolerans_icinde","tutar_farki"))))</f>
        <v/>
      </c>
      <c r="H424" s="15">
        <f>IF($A424="","",IF($B424&gt;0,"BIRINCIL",IF(COUNTIF(tblAnahtarB[IkincilB],'ANAHTAR'!$D424)&gt;0,"IKINCIL","YOK")))</f>
        <v/>
      </c>
      <c r="I424" s="15">
        <f>IF($A424="","",'ANAHTAR'!$F424)</f>
        <v/>
      </c>
      <c r="J424" s="15">
        <f>IF(OR($A424="",$D424=0),0,$F424/ABS($D424))</f>
        <v/>
      </c>
      <c r="K424" s="15">
        <f>IF($A424="","",ROUND($D424,2))</f>
        <v/>
      </c>
      <c r="L424" s="15">
        <f>IF($A424="","",ROUND($C424,2))</f>
        <v/>
      </c>
      <c r="M424" s="15">
        <f>IF($A424="","",IF($F424&lt;=toleransKurus,1,0))</f>
        <v/>
      </c>
      <c r="N424" s="15">
        <f>IF($A424="","",IF($F424&gt;kdo_esikFark,1,0))</f>
        <v/>
      </c>
      <c r="O424" s="15">
        <f>IF($A424="","",IFERROR(SUMIF(tblMotor[A_Norm],$A424,tblMotor[SiparisToplam]),0))</f>
        <v/>
      </c>
      <c r="P424" s="15">
        <f>IF($A424="","",$B424+$M424+$N424)</f>
        <v/>
      </c>
    </row>
    <row r="425">
      <c r="A425" s="15">
        <f>IF('ANAHTAR'!$B425="","",'ANAHTAR'!$B425)</f>
        <v/>
      </c>
      <c r="B425" s="15">
        <f>IF($A425="","",COUNTIF(tblAnahtarB[NormB],$A425))</f>
        <v/>
      </c>
      <c r="C425" s="15">
        <f>IF($A425="","",IFERROR(SUMIF(tblMotor[A_Norm],$A425,tblMotor[SiparisToplam]),0))</f>
        <v/>
      </c>
      <c r="D425" s="15">
        <f>IF($A425="","",IFERROR(SUMIF(tblAnahtarA[Norm],$A425,tblVeriA[HedefMaliyet]),0))</f>
        <v/>
      </c>
      <c r="E425" s="15">
        <f>IF($A425="","",ROUND($D425,2)-ROUND($C425,2))</f>
        <v/>
      </c>
      <c r="F425" s="15">
        <f>IF($A425="","",ABS($E425))</f>
        <v/>
      </c>
      <c r="G425" s="15">
        <f>IF($A425="","",IF($B425=0,"eslesmedi",IF(ROUND($D425,2)=ROUND($C425,2),"eslesti",IF(ABS(ROUND($D425,2)-ROUND($C425,2))&lt;=toleransKurus,"tolerans_icinde","tutar_farki"))))</f>
        <v/>
      </c>
      <c r="H425" s="15">
        <f>IF($A425="","",IF($B425&gt;0,"BIRINCIL",IF(COUNTIF(tblAnahtarB[IkincilB],'ANAHTAR'!$D425)&gt;0,"IKINCIL","YOK")))</f>
        <v/>
      </c>
      <c r="I425" s="15">
        <f>IF($A425="","",'ANAHTAR'!$F425)</f>
        <v/>
      </c>
      <c r="J425" s="15">
        <f>IF(OR($A425="",$D425=0),0,$F425/ABS($D425))</f>
        <v/>
      </c>
      <c r="K425" s="15">
        <f>IF($A425="","",ROUND($D425,2))</f>
        <v/>
      </c>
      <c r="L425" s="15">
        <f>IF($A425="","",ROUND($C425,2))</f>
        <v/>
      </c>
      <c r="M425" s="15">
        <f>IF($A425="","",IF($F425&lt;=toleransKurus,1,0))</f>
        <v/>
      </c>
      <c r="N425" s="15">
        <f>IF($A425="","",IF($F425&gt;kdo_esikFark,1,0))</f>
        <v/>
      </c>
      <c r="O425" s="15">
        <f>IF($A425="","",IFERROR(SUMIF(tblMotor[A_Norm],$A425,tblMotor[SiparisToplam]),0))</f>
        <v/>
      </c>
      <c r="P425" s="15">
        <f>IF($A425="","",$B425+$M425+$N425)</f>
        <v/>
      </c>
    </row>
    <row r="426">
      <c r="A426" s="15">
        <f>IF('ANAHTAR'!$B426="","",'ANAHTAR'!$B426)</f>
        <v/>
      </c>
      <c r="B426" s="15">
        <f>IF($A426="","",COUNTIF(tblAnahtarB[NormB],$A426))</f>
        <v/>
      </c>
      <c r="C426" s="15">
        <f>IF($A426="","",IFERROR(SUMIF(tblMotor[A_Norm],$A426,tblMotor[SiparisToplam]),0))</f>
        <v/>
      </c>
      <c r="D426" s="15">
        <f>IF($A426="","",IFERROR(SUMIF(tblAnahtarA[Norm],$A426,tblVeriA[HedefMaliyet]),0))</f>
        <v/>
      </c>
      <c r="E426" s="15">
        <f>IF($A426="","",ROUND($D426,2)-ROUND($C426,2))</f>
        <v/>
      </c>
      <c r="F426" s="15">
        <f>IF($A426="","",ABS($E426))</f>
        <v/>
      </c>
      <c r="G426" s="15">
        <f>IF($A426="","",IF($B426=0,"eslesmedi",IF(ROUND($D426,2)=ROUND($C426,2),"eslesti",IF(ABS(ROUND($D426,2)-ROUND($C426,2))&lt;=toleransKurus,"tolerans_icinde","tutar_farki"))))</f>
        <v/>
      </c>
      <c r="H426" s="15">
        <f>IF($A426="","",IF($B426&gt;0,"BIRINCIL",IF(COUNTIF(tblAnahtarB[IkincilB],'ANAHTAR'!$D426)&gt;0,"IKINCIL","YOK")))</f>
        <v/>
      </c>
      <c r="I426" s="15">
        <f>IF($A426="","",'ANAHTAR'!$F426)</f>
        <v/>
      </c>
      <c r="J426" s="15">
        <f>IF(OR($A426="",$D426=0),0,$F426/ABS($D426))</f>
        <v/>
      </c>
      <c r="K426" s="15">
        <f>IF($A426="","",ROUND($D426,2))</f>
        <v/>
      </c>
      <c r="L426" s="15">
        <f>IF($A426="","",ROUND($C426,2))</f>
        <v/>
      </c>
      <c r="M426" s="15">
        <f>IF($A426="","",IF($F426&lt;=toleransKurus,1,0))</f>
        <v/>
      </c>
      <c r="N426" s="15">
        <f>IF($A426="","",IF($F426&gt;kdo_esikFark,1,0))</f>
        <v/>
      </c>
      <c r="O426" s="15">
        <f>IF($A426="","",IFERROR(SUMIF(tblMotor[A_Norm],$A426,tblMotor[SiparisToplam]),0))</f>
        <v/>
      </c>
      <c r="P426" s="15">
        <f>IF($A426="","",$B426+$M426+$N426)</f>
        <v/>
      </c>
    </row>
    <row r="427">
      <c r="A427" s="15">
        <f>IF('ANAHTAR'!$B427="","",'ANAHTAR'!$B427)</f>
        <v/>
      </c>
      <c r="B427" s="15">
        <f>IF($A427="","",COUNTIF(tblAnahtarB[NormB],$A427))</f>
        <v/>
      </c>
      <c r="C427" s="15">
        <f>IF($A427="","",IFERROR(SUMIF(tblMotor[A_Norm],$A427,tblMotor[SiparisToplam]),0))</f>
        <v/>
      </c>
      <c r="D427" s="15">
        <f>IF($A427="","",IFERROR(SUMIF(tblAnahtarA[Norm],$A427,tblVeriA[HedefMaliyet]),0))</f>
        <v/>
      </c>
      <c r="E427" s="15">
        <f>IF($A427="","",ROUND($D427,2)-ROUND($C427,2))</f>
        <v/>
      </c>
      <c r="F427" s="15">
        <f>IF($A427="","",ABS($E427))</f>
        <v/>
      </c>
      <c r="G427" s="15">
        <f>IF($A427="","",IF($B427=0,"eslesmedi",IF(ROUND($D427,2)=ROUND($C427,2),"eslesti",IF(ABS(ROUND($D427,2)-ROUND($C427,2))&lt;=toleransKurus,"tolerans_icinde","tutar_farki"))))</f>
        <v/>
      </c>
      <c r="H427" s="15">
        <f>IF($A427="","",IF($B427&gt;0,"BIRINCIL",IF(COUNTIF(tblAnahtarB[IkincilB],'ANAHTAR'!$D427)&gt;0,"IKINCIL","YOK")))</f>
        <v/>
      </c>
      <c r="I427" s="15">
        <f>IF($A427="","",'ANAHTAR'!$F427)</f>
        <v/>
      </c>
      <c r="J427" s="15">
        <f>IF(OR($A427="",$D427=0),0,$F427/ABS($D427))</f>
        <v/>
      </c>
      <c r="K427" s="15">
        <f>IF($A427="","",ROUND($D427,2))</f>
        <v/>
      </c>
      <c r="L427" s="15">
        <f>IF($A427="","",ROUND($C427,2))</f>
        <v/>
      </c>
      <c r="M427" s="15">
        <f>IF($A427="","",IF($F427&lt;=toleransKurus,1,0))</f>
        <v/>
      </c>
      <c r="N427" s="15">
        <f>IF($A427="","",IF($F427&gt;kdo_esikFark,1,0))</f>
        <v/>
      </c>
      <c r="O427" s="15">
        <f>IF($A427="","",IFERROR(SUMIF(tblMotor[A_Norm],$A427,tblMotor[SiparisToplam]),0))</f>
        <v/>
      </c>
      <c r="P427" s="15">
        <f>IF($A427="","",$B427+$M427+$N427)</f>
        <v/>
      </c>
    </row>
    <row r="428">
      <c r="A428" s="15">
        <f>IF('ANAHTAR'!$B428="","",'ANAHTAR'!$B428)</f>
        <v/>
      </c>
      <c r="B428" s="15">
        <f>IF($A428="","",COUNTIF(tblAnahtarB[NormB],$A428))</f>
        <v/>
      </c>
      <c r="C428" s="15">
        <f>IF($A428="","",IFERROR(SUMIF(tblMotor[A_Norm],$A428,tblMotor[SiparisToplam]),0))</f>
        <v/>
      </c>
      <c r="D428" s="15">
        <f>IF($A428="","",IFERROR(SUMIF(tblAnahtarA[Norm],$A428,tblVeriA[HedefMaliyet]),0))</f>
        <v/>
      </c>
      <c r="E428" s="15">
        <f>IF($A428="","",ROUND($D428,2)-ROUND($C428,2))</f>
        <v/>
      </c>
      <c r="F428" s="15">
        <f>IF($A428="","",ABS($E428))</f>
        <v/>
      </c>
      <c r="G428" s="15">
        <f>IF($A428="","",IF($B428=0,"eslesmedi",IF(ROUND($D428,2)=ROUND($C428,2),"eslesti",IF(ABS(ROUND($D428,2)-ROUND($C428,2))&lt;=toleransKurus,"tolerans_icinde","tutar_farki"))))</f>
        <v/>
      </c>
      <c r="H428" s="15">
        <f>IF($A428="","",IF($B428&gt;0,"BIRINCIL",IF(COUNTIF(tblAnahtarB[IkincilB],'ANAHTAR'!$D428)&gt;0,"IKINCIL","YOK")))</f>
        <v/>
      </c>
      <c r="I428" s="15">
        <f>IF($A428="","",'ANAHTAR'!$F428)</f>
        <v/>
      </c>
      <c r="J428" s="15">
        <f>IF(OR($A428="",$D428=0),0,$F428/ABS($D428))</f>
        <v/>
      </c>
      <c r="K428" s="15">
        <f>IF($A428="","",ROUND($D428,2))</f>
        <v/>
      </c>
      <c r="L428" s="15">
        <f>IF($A428="","",ROUND($C428,2))</f>
        <v/>
      </c>
      <c r="M428" s="15">
        <f>IF($A428="","",IF($F428&lt;=toleransKurus,1,0))</f>
        <v/>
      </c>
      <c r="N428" s="15">
        <f>IF($A428="","",IF($F428&gt;kdo_esikFark,1,0))</f>
        <v/>
      </c>
      <c r="O428" s="15">
        <f>IF($A428="","",IFERROR(SUMIF(tblMotor[A_Norm],$A428,tblMotor[SiparisToplam]),0))</f>
        <v/>
      </c>
      <c r="P428" s="15">
        <f>IF($A428="","",$B428+$M428+$N428)</f>
        <v/>
      </c>
    </row>
    <row r="429">
      <c r="A429" s="15">
        <f>IF('ANAHTAR'!$B429="","",'ANAHTAR'!$B429)</f>
        <v/>
      </c>
      <c r="B429" s="15">
        <f>IF($A429="","",COUNTIF(tblAnahtarB[NormB],$A429))</f>
        <v/>
      </c>
      <c r="C429" s="15">
        <f>IF($A429="","",IFERROR(SUMIF(tblMotor[A_Norm],$A429,tblMotor[SiparisToplam]),0))</f>
        <v/>
      </c>
      <c r="D429" s="15">
        <f>IF($A429="","",IFERROR(SUMIF(tblAnahtarA[Norm],$A429,tblVeriA[HedefMaliyet]),0))</f>
        <v/>
      </c>
      <c r="E429" s="15">
        <f>IF($A429="","",ROUND($D429,2)-ROUND($C429,2))</f>
        <v/>
      </c>
      <c r="F429" s="15">
        <f>IF($A429="","",ABS($E429))</f>
        <v/>
      </c>
      <c r="G429" s="15">
        <f>IF($A429="","",IF($B429=0,"eslesmedi",IF(ROUND($D429,2)=ROUND($C429,2),"eslesti",IF(ABS(ROUND($D429,2)-ROUND($C429,2))&lt;=toleransKurus,"tolerans_icinde","tutar_farki"))))</f>
        <v/>
      </c>
      <c r="H429" s="15">
        <f>IF($A429="","",IF($B429&gt;0,"BIRINCIL",IF(COUNTIF(tblAnahtarB[IkincilB],'ANAHTAR'!$D429)&gt;0,"IKINCIL","YOK")))</f>
        <v/>
      </c>
      <c r="I429" s="15">
        <f>IF($A429="","",'ANAHTAR'!$F429)</f>
        <v/>
      </c>
      <c r="J429" s="15">
        <f>IF(OR($A429="",$D429=0),0,$F429/ABS($D429))</f>
        <v/>
      </c>
      <c r="K429" s="15">
        <f>IF($A429="","",ROUND($D429,2))</f>
        <v/>
      </c>
      <c r="L429" s="15">
        <f>IF($A429="","",ROUND($C429,2))</f>
        <v/>
      </c>
      <c r="M429" s="15">
        <f>IF($A429="","",IF($F429&lt;=toleransKurus,1,0))</f>
        <v/>
      </c>
      <c r="N429" s="15">
        <f>IF($A429="","",IF($F429&gt;kdo_esikFark,1,0))</f>
        <v/>
      </c>
      <c r="O429" s="15">
        <f>IF($A429="","",IFERROR(SUMIF(tblMotor[A_Norm],$A429,tblMotor[SiparisToplam]),0))</f>
        <v/>
      </c>
      <c r="P429" s="15">
        <f>IF($A429="","",$B429+$M429+$N429)</f>
        <v/>
      </c>
    </row>
    <row r="430">
      <c r="A430" s="15">
        <f>IF('ANAHTAR'!$B430="","",'ANAHTAR'!$B430)</f>
        <v/>
      </c>
      <c r="B430" s="15">
        <f>IF($A430="","",COUNTIF(tblAnahtarB[NormB],$A430))</f>
        <v/>
      </c>
      <c r="C430" s="15">
        <f>IF($A430="","",IFERROR(SUMIF(tblMotor[A_Norm],$A430,tblMotor[SiparisToplam]),0))</f>
        <v/>
      </c>
      <c r="D430" s="15">
        <f>IF($A430="","",IFERROR(SUMIF(tblAnahtarA[Norm],$A430,tblVeriA[HedefMaliyet]),0))</f>
        <v/>
      </c>
      <c r="E430" s="15">
        <f>IF($A430="","",ROUND($D430,2)-ROUND($C430,2))</f>
        <v/>
      </c>
      <c r="F430" s="15">
        <f>IF($A430="","",ABS($E430))</f>
        <v/>
      </c>
      <c r="G430" s="15">
        <f>IF($A430="","",IF($B430=0,"eslesmedi",IF(ROUND($D430,2)=ROUND($C430,2),"eslesti",IF(ABS(ROUND($D430,2)-ROUND($C430,2))&lt;=toleransKurus,"tolerans_icinde","tutar_farki"))))</f>
        <v/>
      </c>
      <c r="H430" s="15">
        <f>IF($A430="","",IF($B430&gt;0,"BIRINCIL",IF(COUNTIF(tblAnahtarB[IkincilB],'ANAHTAR'!$D430)&gt;0,"IKINCIL","YOK")))</f>
        <v/>
      </c>
      <c r="I430" s="15">
        <f>IF($A430="","",'ANAHTAR'!$F430)</f>
        <v/>
      </c>
      <c r="J430" s="15">
        <f>IF(OR($A430="",$D430=0),0,$F430/ABS($D430))</f>
        <v/>
      </c>
      <c r="K430" s="15">
        <f>IF($A430="","",ROUND($D430,2))</f>
        <v/>
      </c>
      <c r="L430" s="15">
        <f>IF($A430="","",ROUND($C430,2))</f>
        <v/>
      </c>
      <c r="M430" s="15">
        <f>IF($A430="","",IF($F430&lt;=toleransKurus,1,0))</f>
        <v/>
      </c>
      <c r="N430" s="15">
        <f>IF($A430="","",IF($F430&gt;kdo_esikFark,1,0))</f>
        <v/>
      </c>
      <c r="O430" s="15">
        <f>IF($A430="","",IFERROR(SUMIF(tblMotor[A_Norm],$A430,tblMotor[SiparisToplam]),0))</f>
        <v/>
      </c>
      <c r="P430" s="15">
        <f>IF($A430="","",$B430+$M430+$N430)</f>
        <v/>
      </c>
    </row>
    <row r="431">
      <c r="A431" s="15">
        <f>IF('ANAHTAR'!$B431="","",'ANAHTAR'!$B431)</f>
        <v/>
      </c>
      <c r="B431" s="15">
        <f>IF($A431="","",COUNTIF(tblAnahtarB[NormB],$A431))</f>
        <v/>
      </c>
      <c r="C431" s="15">
        <f>IF($A431="","",IFERROR(SUMIF(tblMotor[A_Norm],$A431,tblMotor[SiparisToplam]),0))</f>
        <v/>
      </c>
      <c r="D431" s="15">
        <f>IF($A431="","",IFERROR(SUMIF(tblAnahtarA[Norm],$A431,tblVeriA[HedefMaliyet]),0))</f>
        <v/>
      </c>
      <c r="E431" s="15">
        <f>IF($A431="","",ROUND($D431,2)-ROUND($C431,2))</f>
        <v/>
      </c>
      <c r="F431" s="15">
        <f>IF($A431="","",ABS($E431))</f>
        <v/>
      </c>
      <c r="G431" s="15">
        <f>IF($A431="","",IF($B431=0,"eslesmedi",IF(ROUND($D431,2)=ROUND($C431,2),"eslesti",IF(ABS(ROUND($D431,2)-ROUND($C431,2))&lt;=toleransKurus,"tolerans_icinde","tutar_farki"))))</f>
        <v/>
      </c>
      <c r="H431" s="15">
        <f>IF($A431="","",IF($B431&gt;0,"BIRINCIL",IF(COUNTIF(tblAnahtarB[IkincilB],'ANAHTAR'!$D431)&gt;0,"IKINCIL","YOK")))</f>
        <v/>
      </c>
      <c r="I431" s="15">
        <f>IF($A431="","",'ANAHTAR'!$F431)</f>
        <v/>
      </c>
      <c r="J431" s="15">
        <f>IF(OR($A431="",$D431=0),0,$F431/ABS($D431))</f>
        <v/>
      </c>
      <c r="K431" s="15">
        <f>IF($A431="","",ROUND($D431,2))</f>
        <v/>
      </c>
      <c r="L431" s="15">
        <f>IF($A431="","",ROUND($C431,2))</f>
        <v/>
      </c>
      <c r="M431" s="15">
        <f>IF($A431="","",IF($F431&lt;=toleransKurus,1,0))</f>
        <v/>
      </c>
      <c r="N431" s="15">
        <f>IF($A431="","",IF($F431&gt;kdo_esikFark,1,0))</f>
        <v/>
      </c>
      <c r="O431" s="15">
        <f>IF($A431="","",IFERROR(SUMIF(tblMotor[A_Norm],$A431,tblMotor[SiparisToplam]),0))</f>
        <v/>
      </c>
      <c r="P431" s="15">
        <f>IF($A431="","",$B431+$M431+$N431)</f>
        <v/>
      </c>
    </row>
    <row r="432">
      <c r="A432" s="15">
        <f>IF('ANAHTAR'!$B432="","",'ANAHTAR'!$B432)</f>
        <v/>
      </c>
      <c r="B432" s="15">
        <f>IF($A432="","",COUNTIF(tblAnahtarB[NormB],$A432))</f>
        <v/>
      </c>
      <c r="C432" s="15">
        <f>IF($A432="","",IFERROR(SUMIF(tblMotor[A_Norm],$A432,tblMotor[SiparisToplam]),0))</f>
        <v/>
      </c>
      <c r="D432" s="15">
        <f>IF($A432="","",IFERROR(SUMIF(tblAnahtarA[Norm],$A432,tblVeriA[HedefMaliyet]),0))</f>
        <v/>
      </c>
      <c r="E432" s="15">
        <f>IF($A432="","",ROUND($D432,2)-ROUND($C432,2))</f>
        <v/>
      </c>
      <c r="F432" s="15">
        <f>IF($A432="","",ABS($E432))</f>
        <v/>
      </c>
      <c r="G432" s="15">
        <f>IF($A432="","",IF($B432=0,"eslesmedi",IF(ROUND($D432,2)=ROUND($C432,2),"eslesti",IF(ABS(ROUND($D432,2)-ROUND($C432,2))&lt;=toleransKurus,"tolerans_icinde","tutar_farki"))))</f>
        <v/>
      </c>
      <c r="H432" s="15">
        <f>IF($A432="","",IF($B432&gt;0,"BIRINCIL",IF(COUNTIF(tblAnahtarB[IkincilB],'ANAHTAR'!$D432)&gt;0,"IKINCIL","YOK")))</f>
        <v/>
      </c>
      <c r="I432" s="15">
        <f>IF($A432="","",'ANAHTAR'!$F432)</f>
        <v/>
      </c>
      <c r="J432" s="15">
        <f>IF(OR($A432="",$D432=0),0,$F432/ABS($D432))</f>
        <v/>
      </c>
      <c r="K432" s="15">
        <f>IF($A432="","",ROUND($D432,2))</f>
        <v/>
      </c>
      <c r="L432" s="15">
        <f>IF($A432="","",ROUND($C432,2))</f>
        <v/>
      </c>
      <c r="M432" s="15">
        <f>IF($A432="","",IF($F432&lt;=toleransKurus,1,0))</f>
        <v/>
      </c>
      <c r="N432" s="15">
        <f>IF($A432="","",IF($F432&gt;kdo_esikFark,1,0))</f>
        <v/>
      </c>
      <c r="O432" s="15">
        <f>IF($A432="","",IFERROR(SUMIF(tblMotor[A_Norm],$A432,tblMotor[SiparisToplam]),0))</f>
        <v/>
      </c>
      <c r="P432" s="15">
        <f>IF($A432="","",$B432+$M432+$N432)</f>
        <v/>
      </c>
    </row>
    <row r="433">
      <c r="A433" s="15">
        <f>IF('ANAHTAR'!$B433="","",'ANAHTAR'!$B433)</f>
        <v/>
      </c>
      <c r="B433" s="15">
        <f>IF($A433="","",COUNTIF(tblAnahtarB[NormB],$A433))</f>
        <v/>
      </c>
      <c r="C433" s="15">
        <f>IF($A433="","",IFERROR(SUMIF(tblMotor[A_Norm],$A433,tblMotor[SiparisToplam]),0))</f>
        <v/>
      </c>
      <c r="D433" s="15">
        <f>IF($A433="","",IFERROR(SUMIF(tblAnahtarA[Norm],$A433,tblVeriA[HedefMaliyet]),0))</f>
        <v/>
      </c>
      <c r="E433" s="15">
        <f>IF($A433="","",ROUND($D433,2)-ROUND($C433,2))</f>
        <v/>
      </c>
      <c r="F433" s="15">
        <f>IF($A433="","",ABS($E433))</f>
        <v/>
      </c>
      <c r="G433" s="15">
        <f>IF($A433="","",IF($B433=0,"eslesmedi",IF(ROUND($D433,2)=ROUND($C433,2),"eslesti",IF(ABS(ROUND($D433,2)-ROUND($C433,2))&lt;=toleransKurus,"tolerans_icinde","tutar_farki"))))</f>
        <v/>
      </c>
      <c r="H433" s="15">
        <f>IF($A433="","",IF($B433&gt;0,"BIRINCIL",IF(COUNTIF(tblAnahtarB[IkincilB],'ANAHTAR'!$D433)&gt;0,"IKINCIL","YOK")))</f>
        <v/>
      </c>
      <c r="I433" s="15">
        <f>IF($A433="","",'ANAHTAR'!$F433)</f>
        <v/>
      </c>
      <c r="J433" s="15">
        <f>IF(OR($A433="",$D433=0),0,$F433/ABS($D433))</f>
        <v/>
      </c>
      <c r="K433" s="15">
        <f>IF($A433="","",ROUND($D433,2))</f>
        <v/>
      </c>
      <c r="L433" s="15">
        <f>IF($A433="","",ROUND($C433,2))</f>
        <v/>
      </c>
      <c r="M433" s="15">
        <f>IF($A433="","",IF($F433&lt;=toleransKurus,1,0))</f>
        <v/>
      </c>
      <c r="N433" s="15">
        <f>IF($A433="","",IF($F433&gt;kdo_esikFark,1,0))</f>
        <v/>
      </c>
      <c r="O433" s="15">
        <f>IF($A433="","",IFERROR(SUMIF(tblMotor[A_Norm],$A433,tblMotor[SiparisToplam]),0))</f>
        <v/>
      </c>
      <c r="P433" s="15">
        <f>IF($A433="","",$B433+$M433+$N433)</f>
        <v/>
      </c>
    </row>
    <row r="434">
      <c r="A434" s="15">
        <f>IF('ANAHTAR'!$B434="","",'ANAHTAR'!$B434)</f>
        <v/>
      </c>
      <c r="B434" s="15">
        <f>IF($A434="","",COUNTIF(tblAnahtarB[NormB],$A434))</f>
        <v/>
      </c>
      <c r="C434" s="15">
        <f>IF($A434="","",IFERROR(SUMIF(tblMotor[A_Norm],$A434,tblMotor[SiparisToplam]),0))</f>
        <v/>
      </c>
      <c r="D434" s="15">
        <f>IF($A434="","",IFERROR(SUMIF(tblAnahtarA[Norm],$A434,tblVeriA[HedefMaliyet]),0))</f>
        <v/>
      </c>
      <c r="E434" s="15">
        <f>IF($A434="","",ROUND($D434,2)-ROUND($C434,2))</f>
        <v/>
      </c>
      <c r="F434" s="15">
        <f>IF($A434="","",ABS($E434))</f>
        <v/>
      </c>
      <c r="G434" s="15">
        <f>IF($A434="","",IF($B434=0,"eslesmedi",IF(ROUND($D434,2)=ROUND($C434,2),"eslesti",IF(ABS(ROUND($D434,2)-ROUND($C434,2))&lt;=toleransKurus,"tolerans_icinde","tutar_farki"))))</f>
        <v/>
      </c>
      <c r="H434" s="15">
        <f>IF($A434="","",IF($B434&gt;0,"BIRINCIL",IF(COUNTIF(tblAnahtarB[IkincilB],'ANAHTAR'!$D434)&gt;0,"IKINCIL","YOK")))</f>
        <v/>
      </c>
      <c r="I434" s="15">
        <f>IF($A434="","",'ANAHTAR'!$F434)</f>
        <v/>
      </c>
      <c r="J434" s="15">
        <f>IF(OR($A434="",$D434=0),0,$F434/ABS($D434))</f>
        <v/>
      </c>
      <c r="K434" s="15">
        <f>IF($A434="","",ROUND($D434,2))</f>
        <v/>
      </c>
      <c r="L434" s="15">
        <f>IF($A434="","",ROUND($C434,2))</f>
        <v/>
      </c>
      <c r="M434" s="15">
        <f>IF($A434="","",IF($F434&lt;=toleransKurus,1,0))</f>
        <v/>
      </c>
      <c r="N434" s="15">
        <f>IF($A434="","",IF($F434&gt;kdo_esikFark,1,0))</f>
        <v/>
      </c>
      <c r="O434" s="15">
        <f>IF($A434="","",IFERROR(SUMIF(tblMotor[A_Norm],$A434,tblMotor[SiparisToplam]),0))</f>
        <v/>
      </c>
      <c r="P434" s="15">
        <f>IF($A434="","",$B434+$M434+$N434)</f>
        <v/>
      </c>
    </row>
    <row r="435">
      <c r="A435" s="15">
        <f>IF('ANAHTAR'!$B435="","",'ANAHTAR'!$B435)</f>
        <v/>
      </c>
      <c r="B435" s="15">
        <f>IF($A435="","",COUNTIF(tblAnahtarB[NormB],$A435))</f>
        <v/>
      </c>
      <c r="C435" s="15">
        <f>IF($A435="","",IFERROR(SUMIF(tblMotor[A_Norm],$A435,tblMotor[SiparisToplam]),0))</f>
        <v/>
      </c>
      <c r="D435" s="15">
        <f>IF($A435="","",IFERROR(SUMIF(tblAnahtarA[Norm],$A435,tblVeriA[HedefMaliyet]),0))</f>
        <v/>
      </c>
      <c r="E435" s="15">
        <f>IF($A435="","",ROUND($D435,2)-ROUND($C435,2))</f>
        <v/>
      </c>
      <c r="F435" s="15">
        <f>IF($A435="","",ABS($E435))</f>
        <v/>
      </c>
      <c r="G435" s="15">
        <f>IF($A435="","",IF($B435=0,"eslesmedi",IF(ROUND($D435,2)=ROUND($C435,2),"eslesti",IF(ABS(ROUND($D435,2)-ROUND($C435,2))&lt;=toleransKurus,"tolerans_icinde","tutar_farki"))))</f>
        <v/>
      </c>
      <c r="H435" s="15">
        <f>IF($A435="","",IF($B435&gt;0,"BIRINCIL",IF(COUNTIF(tblAnahtarB[IkincilB],'ANAHTAR'!$D435)&gt;0,"IKINCIL","YOK")))</f>
        <v/>
      </c>
      <c r="I435" s="15">
        <f>IF($A435="","",'ANAHTAR'!$F435)</f>
        <v/>
      </c>
      <c r="J435" s="15">
        <f>IF(OR($A435="",$D435=0),0,$F435/ABS($D435))</f>
        <v/>
      </c>
      <c r="K435" s="15">
        <f>IF($A435="","",ROUND($D435,2))</f>
        <v/>
      </c>
      <c r="L435" s="15">
        <f>IF($A435="","",ROUND($C435,2))</f>
        <v/>
      </c>
      <c r="M435" s="15">
        <f>IF($A435="","",IF($F435&lt;=toleransKurus,1,0))</f>
        <v/>
      </c>
      <c r="N435" s="15">
        <f>IF($A435="","",IF($F435&gt;kdo_esikFark,1,0))</f>
        <v/>
      </c>
      <c r="O435" s="15">
        <f>IF($A435="","",IFERROR(SUMIF(tblMotor[A_Norm],$A435,tblMotor[SiparisToplam]),0))</f>
        <v/>
      </c>
      <c r="P435" s="15">
        <f>IF($A435="","",$B435+$M435+$N435)</f>
        <v/>
      </c>
    </row>
    <row r="436">
      <c r="A436" s="15">
        <f>IF('ANAHTAR'!$B436="","",'ANAHTAR'!$B436)</f>
        <v/>
      </c>
      <c r="B436" s="15">
        <f>IF($A436="","",COUNTIF(tblAnahtarB[NormB],$A436))</f>
        <v/>
      </c>
      <c r="C436" s="15">
        <f>IF($A436="","",IFERROR(SUMIF(tblMotor[A_Norm],$A436,tblMotor[SiparisToplam]),0))</f>
        <v/>
      </c>
      <c r="D436" s="15">
        <f>IF($A436="","",IFERROR(SUMIF(tblAnahtarA[Norm],$A436,tblVeriA[HedefMaliyet]),0))</f>
        <v/>
      </c>
      <c r="E436" s="15">
        <f>IF($A436="","",ROUND($D436,2)-ROUND($C436,2))</f>
        <v/>
      </c>
      <c r="F436" s="15">
        <f>IF($A436="","",ABS($E436))</f>
        <v/>
      </c>
      <c r="G436" s="15">
        <f>IF($A436="","",IF($B436=0,"eslesmedi",IF(ROUND($D436,2)=ROUND($C436,2),"eslesti",IF(ABS(ROUND($D436,2)-ROUND($C436,2))&lt;=toleransKurus,"tolerans_icinde","tutar_farki"))))</f>
        <v/>
      </c>
      <c r="H436" s="15">
        <f>IF($A436="","",IF($B436&gt;0,"BIRINCIL",IF(COUNTIF(tblAnahtarB[IkincilB],'ANAHTAR'!$D436)&gt;0,"IKINCIL","YOK")))</f>
        <v/>
      </c>
      <c r="I436" s="15">
        <f>IF($A436="","",'ANAHTAR'!$F436)</f>
        <v/>
      </c>
      <c r="J436" s="15">
        <f>IF(OR($A436="",$D436=0),0,$F436/ABS($D436))</f>
        <v/>
      </c>
      <c r="K436" s="15">
        <f>IF($A436="","",ROUND($D436,2))</f>
        <v/>
      </c>
      <c r="L436" s="15">
        <f>IF($A436="","",ROUND($C436,2))</f>
        <v/>
      </c>
      <c r="M436" s="15">
        <f>IF($A436="","",IF($F436&lt;=toleransKurus,1,0))</f>
        <v/>
      </c>
      <c r="N436" s="15">
        <f>IF($A436="","",IF($F436&gt;kdo_esikFark,1,0))</f>
        <v/>
      </c>
      <c r="O436" s="15">
        <f>IF($A436="","",IFERROR(SUMIF(tblMotor[A_Norm],$A436,tblMotor[SiparisToplam]),0))</f>
        <v/>
      </c>
      <c r="P436" s="15">
        <f>IF($A436="","",$B436+$M436+$N436)</f>
        <v/>
      </c>
    </row>
    <row r="437">
      <c r="A437" s="15">
        <f>IF('ANAHTAR'!$B437="","",'ANAHTAR'!$B437)</f>
        <v/>
      </c>
      <c r="B437" s="15">
        <f>IF($A437="","",COUNTIF(tblAnahtarB[NormB],$A437))</f>
        <v/>
      </c>
      <c r="C437" s="15">
        <f>IF($A437="","",IFERROR(SUMIF(tblMotor[A_Norm],$A437,tblMotor[SiparisToplam]),0))</f>
        <v/>
      </c>
      <c r="D437" s="15">
        <f>IF($A437="","",IFERROR(SUMIF(tblAnahtarA[Norm],$A437,tblVeriA[HedefMaliyet]),0))</f>
        <v/>
      </c>
      <c r="E437" s="15">
        <f>IF($A437="","",ROUND($D437,2)-ROUND($C437,2))</f>
        <v/>
      </c>
      <c r="F437" s="15">
        <f>IF($A437="","",ABS($E437))</f>
        <v/>
      </c>
      <c r="G437" s="15">
        <f>IF($A437="","",IF($B437=0,"eslesmedi",IF(ROUND($D437,2)=ROUND($C437,2),"eslesti",IF(ABS(ROUND($D437,2)-ROUND($C437,2))&lt;=toleransKurus,"tolerans_icinde","tutar_farki"))))</f>
        <v/>
      </c>
      <c r="H437" s="15">
        <f>IF($A437="","",IF($B437&gt;0,"BIRINCIL",IF(COUNTIF(tblAnahtarB[IkincilB],'ANAHTAR'!$D437)&gt;0,"IKINCIL","YOK")))</f>
        <v/>
      </c>
      <c r="I437" s="15">
        <f>IF($A437="","",'ANAHTAR'!$F437)</f>
        <v/>
      </c>
      <c r="J437" s="15">
        <f>IF(OR($A437="",$D437=0),0,$F437/ABS($D437))</f>
        <v/>
      </c>
      <c r="K437" s="15">
        <f>IF($A437="","",ROUND($D437,2))</f>
        <v/>
      </c>
      <c r="L437" s="15">
        <f>IF($A437="","",ROUND($C437,2))</f>
        <v/>
      </c>
      <c r="M437" s="15">
        <f>IF($A437="","",IF($F437&lt;=toleransKurus,1,0))</f>
        <v/>
      </c>
      <c r="N437" s="15">
        <f>IF($A437="","",IF($F437&gt;kdo_esikFark,1,0))</f>
        <v/>
      </c>
      <c r="O437" s="15">
        <f>IF($A437="","",IFERROR(SUMIF(tblMotor[A_Norm],$A437,tblMotor[SiparisToplam]),0))</f>
        <v/>
      </c>
      <c r="P437" s="15">
        <f>IF($A437="","",$B437+$M437+$N437)</f>
        <v/>
      </c>
    </row>
    <row r="438">
      <c r="A438" s="15">
        <f>IF('ANAHTAR'!$B438="","",'ANAHTAR'!$B438)</f>
        <v/>
      </c>
      <c r="B438" s="15">
        <f>IF($A438="","",COUNTIF(tblAnahtarB[NormB],$A438))</f>
        <v/>
      </c>
      <c r="C438" s="15">
        <f>IF($A438="","",IFERROR(SUMIF(tblMotor[A_Norm],$A438,tblMotor[SiparisToplam]),0))</f>
        <v/>
      </c>
      <c r="D438" s="15">
        <f>IF($A438="","",IFERROR(SUMIF(tblAnahtarA[Norm],$A438,tblVeriA[HedefMaliyet]),0))</f>
        <v/>
      </c>
      <c r="E438" s="15">
        <f>IF($A438="","",ROUND($D438,2)-ROUND($C438,2))</f>
        <v/>
      </c>
      <c r="F438" s="15">
        <f>IF($A438="","",ABS($E438))</f>
        <v/>
      </c>
      <c r="G438" s="15">
        <f>IF($A438="","",IF($B438=0,"eslesmedi",IF(ROUND($D438,2)=ROUND($C438,2),"eslesti",IF(ABS(ROUND($D438,2)-ROUND($C438,2))&lt;=toleransKurus,"tolerans_icinde","tutar_farki"))))</f>
        <v/>
      </c>
      <c r="H438" s="15">
        <f>IF($A438="","",IF($B438&gt;0,"BIRINCIL",IF(COUNTIF(tblAnahtarB[IkincilB],'ANAHTAR'!$D438)&gt;0,"IKINCIL","YOK")))</f>
        <v/>
      </c>
      <c r="I438" s="15">
        <f>IF($A438="","",'ANAHTAR'!$F438)</f>
        <v/>
      </c>
      <c r="J438" s="15">
        <f>IF(OR($A438="",$D438=0),0,$F438/ABS($D438))</f>
        <v/>
      </c>
      <c r="K438" s="15">
        <f>IF($A438="","",ROUND($D438,2))</f>
        <v/>
      </c>
      <c r="L438" s="15">
        <f>IF($A438="","",ROUND($C438,2))</f>
        <v/>
      </c>
      <c r="M438" s="15">
        <f>IF($A438="","",IF($F438&lt;=toleransKurus,1,0))</f>
        <v/>
      </c>
      <c r="N438" s="15">
        <f>IF($A438="","",IF($F438&gt;kdo_esikFark,1,0))</f>
        <v/>
      </c>
      <c r="O438" s="15">
        <f>IF($A438="","",IFERROR(SUMIF(tblMotor[A_Norm],$A438,tblMotor[SiparisToplam]),0))</f>
        <v/>
      </c>
      <c r="P438" s="15">
        <f>IF($A438="","",$B438+$M438+$N438)</f>
        <v/>
      </c>
    </row>
    <row r="439">
      <c r="A439" s="15">
        <f>IF('ANAHTAR'!$B439="","",'ANAHTAR'!$B439)</f>
        <v/>
      </c>
      <c r="B439" s="15">
        <f>IF($A439="","",COUNTIF(tblAnahtarB[NormB],$A439))</f>
        <v/>
      </c>
      <c r="C439" s="15">
        <f>IF($A439="","",IFERROR(SUMIF(tblMotor[A_Norm],$A439,tblMotor[SiparisToplam]),0))</f>
        <v/>
      </c>
      <c r="D439" s="15">
        <f>IF($A439="","",IFERROR(SUMIF(tblAnahtarA[Norm],$A439,tblVeriA[HedefMaliyet]),0))</f>
        <v/>
      </c>
      <c r="E439" s="15">
        <f>IF($A439="","",ROUND($D439,2)-ROUND($C439,2))</f>
        <v/>
      </c>
      <c r="F439" s="15">
        <f>IF($A439="","",ABS($E439))</f>
        <v/>
      </c>
      <c r="G439" s="15">
        <f>IF($A439="","",IF($B439=0,"eslesmedi",IF(ROUND($D439,2)=ROUND($C439,2),"eslesti",IF(ABS(ROUND($D439,2)-ROUND($C439,2))&lt;=toleransKurus,"tolerans_icinde","tutar_farki"))))</f>
        <v/>
      </c>
      <c r="H439" s="15">
        <f>IF($A439="","",IF($B439&gt;0,"BIRINCIL",IF(COUNTIF(tblAnahtarB[IkincilB],'ANAHTAR'!$D439)&gt;0,"IKINCIL","YOK")))</f>
        <v/>
      </c>
      <c r="I439" s="15">
        <f>IF($A439="","",'ANAHTAR'!$F439)</f>
        <v/>
      </c>
      <c r="J439" s="15">
        <f>IF(OR($A439="",$D439=0),0,$F439/ABS($D439))</f>
        <v/>
      </c>
      <c r="K439" s="15">
        <f>IF($A439="","",ROUND($D439,2))</f>
        <v/>
      </c>
      <c r="L439" s="15">
        <f>IF($A439="","",ROUND($C439,2))</f>
        <v/>
      </c>
      <c r="M439" s="15">
        <f>IF($A439="","",IF($F439&lt;=toleransKurus,1,0))</f>
        <v/>
      </c>
      <c r="N439" s="15">
        <f>IF($A439="","",IF($F439&gt;kdo_esikFark,1,0))</f>
        <v/>
      </c>
      <c r="O439" s="15">
        <f>IF($A439="","",IFERROR(SUMIF(tblMotor[A_Norm],$A439,tblMotor[SiparisToplam]),0))</f>
        <v/>
      </c>
      <c r="P439" s="15">
        <f>IF($A439="","",$B439+$M439+$N439)</f>
        <v/>
      </c>
    </row>
    <row r="440">
      <c r="A440" s="15">
        <f>IF('ANAHTAR'!$B440="","",'ANAHTAR'!$B440)</f>
        <v/>
      </c>
      <c r="B440" s="15">
        <f>IF($A440="","",COUNTIF(tblAnahtarB[NormB],$A440))</f>
        <v/>
      </c>
      <c r="C440" s="15">
        <f>IF($A440="","",IFERROR(SUMIF(tblMotor[A_Norm],$A440,tblMotor[SiparisToplam]),0))</f>
        <v/>
      </c>
      <c r="D440" s="15">
        <f>IF($A440="","",IFERROR(SUMIF(tblAnahtarA[Norm],$A440,tblVeriA[HedefMaliyet]),0))</f>
        <v/>
      </c>
      <c r="E440" s="15">
        <f>IF($A440="","",ROUND($D440,2)-ROUND($C440,2))</f>
        <v/>
      </c>
      <c r="F440" s="15">
        <f>IF($A440="","",ABS($E440))</f>
        <v/>
      </c>
      <c r="G440" s="15">
        <f>IF($A440="","",IF($B440=0,"eslesmedi",IF(ROUND($D440,2)=ROUND($C440,2),"eslesti",IF(ABS(ROUND($D440,2)-ROUND($C440,2))&lt;=toleransKurus,"tolerans_icinde","tutar_farki"))))</f>
        <v/>
      </c>
      <c r="H440" s="15">
        <f>IF($A440="","",IF($B440&gt;0,"BIRINCIL",IF(COUNTIF(tblAnahtarB[IkincilB],'ANAHTAR'!$D440)&gt;0,"IKINCIL","YOK")))</f>
        <v/>
      </c>
      <c r="I440" s="15">
        <f>IF($A440="","",'ANAHTAR'!$F440)</f>
        <v/>
      </c>
      <c r="J440" s="15">
        <f>IF(OR($A440="",$D440=0),0,$F440/ABS($D440))</f>
        <v/>
      </c>
      <c r="K440" s="15">
        <f>IF($A440="","",ROUND($D440,2))</f>
        <v/>
      </c>
      <c r="L440" s="15">
        <f>IF($A440="","",ROUND($C440,2))</f>
        <v/>
      </c>
      <c r="M440" s="15">
        <f>IF($A440="","",IF($F440&lt;=toleransKurus,1,0))</f>
        <v/>
      </c>
      <c r="N440" s="15">
        <f>IF($A440="","",IF($F440&gt;kdo_esikFark,1,0))</f>
        <v/>
      </c>
      <c r="O440" s="15">
        <f>IF($A440="","",IFERROR(SUMIF(tblMotor[A_Norm],$A440,tblMotor[SiparisToplam]),0))</f>
        <v/>
      </c>
      <c r="P440" s="15">
        <f>IF($A440="","",$B440+$M440+$N440)</f>
        <v/>
      </c>
    </row>
    <row r="441">
      <c r="A441" s="15">
        <f>IF('ANAHTAR'!$B441="","",'ANAHTAR'!$B441)</f>
        <v/>
      </c>
      <c r="B441" s="15">
        <f>IF($A441="","",COUNTIF(tblAnahtarB[NormB],$A441))</f>
        <v/>
      </c>
      <c r="C441" s="15">
        <f>IF($A441="","",IFERROR(SUMIF(tblMotor[A_Norm],$A441,tblMotor[SiparisToplam]),0))</f>
        <v/>
      </c>
      <c r="D441" s="15">
        <f>IF($A441="","",IFERROR(SUMIF(tblAnahtarA[Norm],$A441,tblVeriA[HedefMaliyet]),0))</f>
        <v/>
      </c>
      <c r="E441" s="15">
        <f>IF($A441="","",ROUND($D441,2)-ROUND($C441,2))</f>
        <v/>
      </c>
      <c r="F441" s="15">
        <f>IF($A441="","",ABS($E441))</f>
        <v/>
      </c>
      <c r="G441" s="15">
        <f>IF($A441="","",IF($B441=0,"eslesmedi",IF(ROUND($D441,2)=ROUND($C441,2),"eslesti",IF(ABS(ROUND($D441,2)-ROUND($C441,2))&lt;=toleransKurus,"tolerans_icinde","tutar_farki"))))</f>
        <v/>
      </c>
      <c r="H441" s="15">
        <f>IF($A441="","",IF($B441&gt;0,"BIRINCIL",IF(COUNTIF(tblAnahtarB[IkincilB],'ANAHTAR'!$D441)&gt;0,"IKINCIL","YOK")))</f>
        <v/>
      </c>
      <c r="I441" s="15">
        <f>IF($A441="","",'ANAHTAR'!$F441)</f>
        <v/>
      </c>
      <c r="J441" s="15">
        <f>IF(OR($A441="",$D441=0),0,$F441/ABS($D441))</f>
        <v/>
      </c>
      <c r="K441" s="15">
        <f>IF($A441="","",ROUND($D441,2))</f>
        <v/>
      </c>
      <c r="L441" s="15">
        <f>IF($A441="","",ROUND($C441,2))</f>
        <v/>
      </c>
      <c r="M441" s="15">
        <f>IF($A441="","",IF($F441&lt;=toleransKurus,1,0))</f>
        <v/>
      </c>
      <c r="N441" s="15">
        <f>IF($A441="","",IF($F441&gt;kdo_esikFark,1,0))</f>
        <v/>
      </c>
      <c r="O441" s="15">
        <f>IF($A441="","",IFERROR(SUMIF(tblMotor[A_Norm],$A441,tblMotor[SiparisToplam]),0))</f>
        <v/>
      </c>
      <c r="P441" s="15">
        <f>IF($A441="","",$B441+$M441+$N441)</f>
        <v/>
      </c>
    </row>
    <row r="442">
      <c r="A442" s="15">
        <f>IF('ANAHTAR'!$B442="","",'ANAHTAR'!$B442)</f>
        <v/>
      </c>
      <c r="B442" s="15">
        <f>IF($A442="","",COUNTIF(tblAnahtarB[NormB],$A442))</f>
        <v/>
      </c>
      <c r="C442" s="15">
        <f>IF($A442="","",IFERROR(SUMIF(tblMotor[A_Norm],$A442,tblMotor[SiparisToplam]),0))</f>
        <v/>
      </c>
      <c r="D442" s="15">
        <f>IF($A442="","",IFERROR(SUMIF(tblAnahtarA[Norm],$A442,tblVeriA[HedefMaliyet]),0))</f>
        <v/>
      </c>
      <c r="E442" s="15">
        <f>IF($A442="","",ROUND($D442,2)-ROUND($C442,2))</f>
        <v/>
      </c>
      <c r="F442" s="15">
        <f>IF($A442="","",ABS($E442))</f>
        <v/>
      </c>
      <c r="G442" s="15">
        <f>IF($A442="","",IF($B442=0,"eslesmedi",IF(ROUND($D442,2)=ROUND($C442,2),"eslesti",IF(ABS(ROUND($D442,2)-ROUND($C442,2))&lt;=toleransKurus,"tolerans_icinde","tutar_farki"))))</f>
        <v/>
      </c>
      <c r="H442" s="15">
        <f>IF($A442="","",IF($B442&gt;0,"BIRINCIL",IF(COUNTIF(tblAnahtarB[IkincilB],'ANAHTAR'!$D442)&gt;0,"IKINCIL","YOK")))</f>
        <v/>
      </c>
      <c r="I442" s="15">
        <f>IF($A442="","",'ANAHTAR'!$F442)</f>
        <v/>
      </c>
      <c r="J442" s="15">
        <f>IF(OR($A442="",$D442=0),0,$F442/ABS($D442))</f>
        <v/>
      </c>
      <c r="K442" s="15">
        <f>IF($A442="","",ROUND($D442,2))</f>
        <v/>
      </c>
      <c r="L442" s="15">
        <f>IF($A442="","",ROUND($C442,2))</f>
        <v/>
      </c>
      <c r="M442" s="15">
        <f>IF($A442="","",IF($F442&lt;=toleransKurus,1,0))</f>
        <v/>
      </c>
      <c r="N442" s="15">
        <f>IF($A442="","",IF($F442&gt;kdo_esikFark,1,0))</f>
        <v/>
      </c>
      <c r="O442" s="15">
        <f>IF($A442="","",IFERROR(SUMIF(tblMotor[A_Norm],$A442,tblMotor[SiparisToplam]),0))</f>
        <v/>
      </c>
      <c r="P442" s="15">
        <f>IF($A442="","",$B442+$M442+$N442)</f>
        <v/>
      </c>
    </row>
    <row r="443">
      <c r="A443" s="15">
        <f>IF('ANAHTAR'!$B443="","",'ANAHTAR'!$B443)</f>
        <v/>
      </c>
      <c r="B443" s="15">
        <f>IF($A443="","",COUNTIF(tblAnahtarB[NormB],$A443))</f>
        <v/>
      </c>
      <c r="C443" s="15">
        <f>IF($A443="","",IFERROR(SUMIF(tblMotor[A_Norm],$A443,tblMotor[SiparisToplam]),0))</f>
        <v/>
      </c>
      <c r="D443" s="15">
        <f>IF($A443="","",IFERROR(SUMIF(tblAnahtarA[Norm],$A443,tblVeriA[HedefMaliyet]),0))</f>
        <v/>
      </c>
      <c r="E443" s="15">
        <f>IF($A443="","",ROUND($D443,2)-ROUND($C443,2))</f>
        <v/>
      </c>
      <c r="F443" s="15">
        <f>IF($A443="","",ABS($E443))</f>
        <v/>
      </c>
      <c r="G443" s="15">
        <f>IF($A443="","",IF($B443=0,"eslesmedi",IF(ROUND($D443,2)=ROUND($C443,2),"eslesti",IF(ABS(ROUND($D443,2)-ROUND($C443,2))&lt;=toleransKurus,"tolerans_icinde","tutar_farki"))))</f>
        <v/>
      </c>
      <c r="H443" s="15">
        <f>IF($A443="","",IF($B443&gt;0,"BIRINCIL",IF(COUNTIF(tblAnahtarB[IkincilB],'ANAHTAR'!$D443)&gt;0,"IKINCIL","YOK")))</f>
        <v/>
      </c>
      <c r="I443" s="15">
        <f>IF($A443="","",'ANAHTAR'!$F443)</f>
        <v/>
      </c>
      <c r="J443" s="15">
        <f>IF(OR($A443="",$D443=0),0,$F443/ABS($D443))</f>
        <v/>
      </c>
      <c r="K443" s="15">
        <f>IF($A443="","",ROUND($D443,2))</f>
        <v/>
      </c>
      <c r="L443" s="15">
        <f>IF($A443="","",ROUND($C443,2))</f>
        <v/>
      </c>
      <c r="M443" s="15">
        <f>IF($A443="","",IF($F443&lt;=toleransKurus,1,0))</f>
        <v/>
      </c>
      <c r="N443" s="15">
        <f>IF($A443="","",IF($F443&gt;kdo_esikFark,1,0))</f>
        <v/>
      </c>
      <c r="O443" s="15">
        <f>IF($A443="","",IFERROR(SUMIF(tblMotor[A_Norm],$A443,tblMotor[SiparisToplam]),0))</f>
        <v/>
      </c>
      <c r="P443" s="15">
        <f>IF($A443="","",$B443+$M443+$N443)</f>
        <v/>
      </c>
    </row>
    <row r="444">
      <c r="A444" s="15">
        <f>IF('ANAHTAR'!$B444="","",'ANAHTAR'!$B444)</f>
        <v/>
      </c>
      <c r="B444" s="15">
        <f>IF($A444="","",COUNTIF(tblAnahtarB[NormB],$A444))</f>
        <v/>
      </c>
      <c r="C444" s="15">
        <f>IF($A444="","",IFERROR(SUMIF(tblMotor[A_Norm],$A444,tblMotor[SiparisToplam]),0))</f>
        <v/>
      </c>
      <c r="D444" s="15">
        <f>IF($A444="","",IFERROR(SUMIF(tblAnahtarA[Norm],$A444,tblVeriA[HedefMaliyet]),0))</f>
        <v/>
      </c>
      <c r="E444" s="15">
        <f>IF($A444="","",ROUND($D444,2)-ROUND($C444,2))</f>
        <v/>
      </c>
      <c r="F444" s="15">
        <f>IF($A444="","",ABS($E444))</f>
        <v/>
      </c>
      <c r="G444" s="15">
        <f>IF($A444="","",IF($B444=0,"eslesmedi",IF(ROUND($D444,2)=ROUND($C444,2),"eslesti",IF(ABS(ROUND($D444,2)-ROUND($C444,2))&lt;=toleransKurus,"tolerans_icinde","tutar_farki"))))</f>
        <v/>
      </c>
      <c r="H444" s="15">
        <f>IF($A444="","",IF($B444&gt;0,"BIRINCIL",IF(COUNTIF(tblAnahtarB[IkincilB],'ANAHTAR'!$D444)&gt;0,"IKINCIL","YOK")))</f>
        <v/>
      </c>
      <c r="I444" s="15">
        <f>IF($A444="","",'ANAHTAR'!$F444)</f>
        <v/>
      </c>
      <c r="J444" s="15">
        <f>IF(OR($A444="",$D444=0),0,$F444/ABS($D444))</f>
        <v/>
      </c>
      <c r="K444" s="15">
        <f>IF($A444="","",ROUND($D444,2))</f>
        <v/>
      </c>
      <c r="L444" s="15">
        <f>IF($A444="","",ROUND($C444,2))</f>
        <v/>
      </c>
      <c r="M444" s="15">
        <f>IF($A444="","",IF($F444&lt;=toleransKurus,1,0))</f>
        <v/>
      </c>
      <c r="N444" s="15">
        <f>IF($A444="","",IF($F444&gt;kdo_esikFark,1,0))</f>
        <v/>
      </c>
      <c r="O444" s="15">
        <f>IF($A444="","",IFERROR(SUMIF(tblMotor[A_Norm],$A444,tblMotor[SiparisToplam]),0))</f>
        <v/>
      </c>
      <c r="P444" s="15">
        <f>IF($A444="","",$B444+$M444+$N444)</f>
        <v/>
      </c>
    </row>
    <row r="445">
      <c r="A445" s="15">
        <f>IF('ANAHTAR'!$B445="","",'ANAHTAR'!$B445)</f>
        <v/>
      </c>
      <c r="B445" s="15">
        <f>IF($A445="","",COUNTIF(tblAnahtarB[NormB],$A445))</f>
        <v/>
      </c>
      <c r="C445" s="15">
        <f>IF($A445="","",IFERROR(SUMIF(tblMotor[A_Norm],$A445,tblMotor[SiparisToplam]),0))</f>
        <v/>
      </c>
      <c r="D445" s="15">
        <f>IF($A445="","",IFERROR(SUMIF(tblAnahtarA[Norm],$A445,tblVeriA[HedefMaliyet]),0))</f>
        <v/>
      </c>
      <c r="E445" s="15">
        <f>IF($A445="","",ROUND($D445,2)-ROUND($C445,2))</f>
        <v/>
      </c>
      <c r="F445" s="15">
        <f>IF($A445="","",ABS($E445))</f>
        <v/>
      </c>
      <c r="G445" s="15">
        <f>IF($A445="","",IF($B445=0,"eslesmedi",IF(ROUND($D445,2)=ROUND($C445,2),"eslesti",IF(ABS(ROUND($D445,2)-ROUND($C445,2))&lt;=toleransKurus,"tolerans_icinde","tutar_farki"))))</f>
        <v/>
      </c>
      <c r="H445" s="15">
        <f>IF($A445="","",IF($B445&gt;0,"BIRINCIL",IF(COUNTIF(tblAnahtarB[IkincilB],'ANAHTAR'!$D445)&gt;0,"IKINCIL","YOK")))</f>
        <v/>
      </c>
      <c r="I445" s="15">
        <f>IF($A445="","",'ANAHTAR'!$F445)</f>
        <v/>
      </c>
      <c r="J445" s="15">
        <f>IF(OR($A445="",$D445=0),0,$F445/ABS($D445))</f>
        <v/>
      </c>
      <c r="K445" s="15">
        <f>IF($A445="","",ROUND($D445,2))</f>
        <v/>
      </c>
      <c r="L445" s="15">
        <f>IF($A445="","",ROUND($C445,2))</f>
        <v/>
      </c>
      <c r="M445" s="15">
        <f>IF($A445="","",IF($F445&lt;=toleransKurus,1,0))</f>
        <v/>
      </c>
      <c r="N445" s="15">
        <f>IF($A445="","",IF($F445&gt;kdo_esikFark,1,0))</f>
        <v/>
      </c>
      <c r="O445" s="15">
        <f>IF($A445="","",IFERROR(SUMIF(tblMotor[A_Norm],$A445,tblMotor[SiparisToplam]),0))</f>
        <v/>
      </c>
      <c r="P445" s="15">
        <f>IF($A445="","",$B445+$M445+$N445)</f>
        <v/>
      </c>
    </row>
    <row r="446">
      <c r="A446" s="15">
        <f>IF('ANAHTAR'!$B446="","",'ANAHTAR'!$B446)</f>
        <v/>
      </c>
      <c r="B446" s="15">
        <f>IF($A446="","",COUNTIF(tblAnahtarB[NormB],$A446))</f>
        <v/>
      </c>
      <c r="C446" s="15">
        <f>IF($A446="","",IFERROR(SUMIF(tblMotor[A_Norm],$A446,tblMotor[SiparisToplam]),0))</f>
        <v/>
      </c>
      <c r="D446" s="15">
        <f>IF($A446="","",IFERROR(SUMIF(tblAnahtarA[Norm],$A446,tblVeriA[HedefMaliyet]),0))</f>
        <v/>
      </c>
      <c r="E446" s="15">
        <f>IF($A446="","",ROUND($D446,2)-ROUND($C446,2))</f>
        <v/>
      </c>
      <c r="F446" s="15">
        <f>IF($A446="","",ABS($E446))</f>
        <v/>
      </c>
      <c r="G446" s="15">
        <f>IF($A446="","",IF($B446=0,"eslesmedi",IF(ROUND($D446,2)=ROUND($C446,2),"eslesti",IF(ABS(ROUND($D446,2)-ROUND($C446,2))&lt;=toleransKurus,"tolerans_icinde","tutar_farki"))))</f>
        <v/>
      </c>
      <c r="H446" s="15">
        <f>IF($A446="","",IF($B446&gt;0,"BIRINCIL",IF(COUNTIF(tblAnahtarB[IkincilB],'ANAHTAR'!$D446)&gt;0,"IKINCIL","YOK")))</f>
        <v/>
      </c>
      <c r="I446" s="15">
        <f>IF($A446="","",'ANAHTAR'!$F446)</f>
        <v/>
      </c>
      <c r="J446" s="15">
        <f>IF(OR($A446="",$D446=0),0,$F446/ABS($D446))</f>
        <v/>
      </c>
      <c r="K446" s="15">
        <f>IF($A446="","",ROUND($D446,2))</f>
        <v/>
      </c>
      <c r="L446" s="15">
        <f>IF($A446="","",ROUND($C446,2))</f>
        <v/>
      </c>
      <c r="M446" s="15">
        <f>IF($A446="","",IF($F446&lt;=toleransKurus,1,0))</f>
        <v/>
      </c>
      <c r="N446" s="15">
        <f>IF($A446="","",IF($F446&gt;kdo_esikFark,1,0))</f>
        <v/>
      </c>
      <c r="O446" s="15">
        <f>IF($A446="","",IFERROR(SUMIF(tblMotor[A_Norm],$A446,tblMotor[SiparisToplam]),0))</f>
        <v/>
      </c>
      <c r="P446" s="15">
        <f>IF($A446="","",$B446+$M446+$N446)</f>
        <v/>
      </c>
    </row>
    <row r="447">
      <c r="A447" s="15">
        <f>IF('ANAHTAR'!$B447="","",'ANAHTAR'!$B447)</f>
        <v/>
      </c>
      <c r="B447" s="15">
        <f>IF($A447="","",COUNTIF(tblAnahtarB[NormB],$A447))</f>
        <v/>
      </c>
      <c r="C447" s="15">
        <f>IF($A447="","",IFERROR(SUMIF(tblMotor[A_Norm],$A447,tblMotor[SiparisToplam]),0))</f>
        <v/>
      </c>
      <c r="D447" s="15">
        <f>IF($A447="","",IFERROR(SUMIF(tblAnahtarA[Norm],$A447,tblVeriA[HedefMaliyet]),0))</f>
        <v/>
      </c>
      <c r="E447" s="15">
        <f>IF($A447="","",ROUND($D447,2)-ROUND($C447,2))</f>
        <v/>
      </c>
      <c r="F447" s="15">
        <f>IF($A447="","",ABS($E447))</f>
        <v/>
      </c>
      <c r="G447" s="15">
        <f>IF($A447="","",IF($B447=0,"eslesmedi",IF(ROUND($D447,2)=ROUND($C447,2),"eslesti",IF(ABS(ROUND($D447,2)-ROUND($C447,2))&lt;=toleransKurus,"tolerans_icinde","tutar_farki"))))</f>
        <v/>
      </c>
      <c r="H447" s="15">
        <f>IF($A447="","",IF($B447&gt;0,"BIRINCIL",IF(COUNTIF(tblAnahtarB[IkincilB],'ANAHTAR'!$D447)&gt;0,"IKINCIL","YOK")))</f>
        <v/>
      </c>
      <c r="I447" s="15">
        <f>IF($A447="","",'ANAHTAR'!$F447)</f>
        <v/>
      </c>
      <c r="J447" s="15">
        <f>IF(OR($A447="",$D447=0),0,$F447/ABS($D447))</f>
        <v/>
      </c>
      <c r="K447" s="15">
        <f>IF($A447="","",ROUND($D447,2))</f>
        <v/>
      </c>
      <c r="L447" s="15">
        <f>IF($A447="","",ROUND($C447,2))</f>
        <v/>
      </c>
      <c r="M447" s="15">
        <f>IF($A447="","",IF($F447&lt;=toleransKurus,1,0))</f>
        <v/>
      </c>
      <c r="N447" s="15">
        <f>IF($A447="","",IF($F447&gt;kdo_esikFark,1,0))</f>
        <v/>
      </c>
      <c r="O447" s="15">
        <f>IF($A447="","",IFERROR(SUMIF(tblMotor[A_Norm],$A447,tblMotor[SiparisToplam]),0))</f>
        <v/>
      </c>
      <c r="P447" s="15">
        <f>IF($A447="","",$B447+$M447+$N447)</f>
        <v/>
      </c>
    </row>
    <row r="448">
      <c r="A448" s="15">
        <f>IF('ANAHTAR'!$B448="","",'ANAHTAR'!$B448)</f>
        <v/>
      </c>
      <c r="B448" s="15">
        <f>IF($A448="","",COUNTIF(tblAnahtarB[NormB],$A448))</f>
        <v/>
      </c>
      <c r="C448" s="15">
        <f>IF($A448="","",IFERROR(SUMIF(tblMotor[A_Norm],$A448,tblMotor[SiparisToplam]),0))</f>
        <v/>
      </c>
      <c r="D448" s="15">
        <f>IF($A448="","",IFERROR(SUMIF(tblAnahtarA[Norm],$A448,tblVeriA[HedefMaliyet]),0))</f>
        <v/>
      </c>
      <c r="E448" s="15">
        <f>IF($A448="","",ROUND($D448,2)-ROUND($C448,2))</f>
        <v/>
      </c>
      <c r="F448" s="15">
        <f>IF($A448="","",ABS($E448))</f>
        <v/>
      </c>
      <c r="G448" s="15">
        <f>IF($A448="","",IF($B448=0,"eslesmedi",IF(ROUND($D448,2)=ROUND($C448,2),"eslesti",IF(ABS(ROUND($D448,2)-ROUND($C448,2))&lt;=toleransKurus,"tolerans_icinde","tutar_farki"))))</f>
        <v/>
      </c>
      <c r="H448" s="15">
        <f>IF($A448="","",IF($B448&gt;0,"BIRINCIL",IF(COUNTIF(tblAnahtarB[IkincilB],'ANAHTAR'!$D448)&gt;0,"IKINCIL","YOK")))</f>
        <v/>
      </c>
      <c r="I448" s="15">
        <f>IF($A448="","",'ANAHTAR'!$F448)</f>
        <v/>
      </c>
      <c r="J448" s="15">
        <f>IF(OR($A448="",$D448=0),0,$F448/ABS($D448))</f>
        <v/>
      </c>
      <c r="K448" s="15">
        <f>IF($A448="","",ROUND($D448,2))</f>
        <v/>
      </c>
      <c r="L448" s="15">
        <f>IF($A448="","",ROUND($C448,2))</f>
        <v/>
      </c>
      <c r="M448" s="15">
        <f>IF($A448="","",IF($F448&lt;=toleransKurus,1,0))</f>
        <v/>
      </c>
      <c r="N448" s="15">
        <f>IF($A448="","",IF($F448&gt;kdo_esikFark,1,0))</f>
        <v/>
      </c>
      <c r="O448" s="15">
        <f>IF($A448="","",IFERROR(SUMIF(tblMotor[A_Norm],$A448,tblMotor[SiparisToplam]),0))</f>
        <v/>
      </c>
      <c r="P448" s="15">
        <f>IF($A448="","",$B448+$M448+$N448)</f>
        <v/>
      </c>
    </row>
    <row r="449">
      <c r="A449" s="15">
        <f>IF('ANAHTAR'!$B449="","",'ANAHTAR'!$B449)</f>
        <v/>
      </c>
      <c r="B449" s="15">
        <f>IF($A449="","",COUNTIF(tblAnahtarB[NormB],$A449))</f>
        <v/>
      </c>
      <c r="C449" s="15">
        <f>IF($A449="","",IFERROR(SUMIF(tblMotor[A_Norm],$A449,tblMotor[SiparisToplam]),0))</f>
        <v/>
      </c>
      <c r="D449" s="15">
        <f>IF($A449="","",IFERROR(SUMIF(tblAnahtarA[Norm],$A449,tblVeriA[HedefMaliyet]),0))</f>
        <v/>
      </c>
      <c r="E449" s="15">
        <f>IF($A449="","",ROUND($D449,2)-ROUND($C449,2))</f>
        <v/>
      </c>
      <c r="F449" s="15">
        <f>IF($A449="","",ABS($E449))</f>
        <v/>
      </c>
      <c r="G449" s="15">
        <f>IF($A449="","",IF($B449=0,"eslesmedi",IF(ROUND($D449,2)=ROUND($C449,2),"eslesti",IF(ABS(ROUND($D449,2)-ROUND($C449,2))&lt;=toleransKurus,"tolerans_icinde","tutar_farki"))))</f>
        <v/>
      </c>
      <c r="H449" s="15">
        <f>IF($A449="","",IF($B449&gt;0,"BIRINCIL",IF(COUNTIF(tblAnahtarB[IkincilB],'ANAHTAR'!$D449)&gt;0,"IKINCIL","YOK")))</f>
        <v/>
      </c>
      <c r="I449" s="15">
        <f>IF($A449="","",'ANAHTAR'!$F449)</f>
        <v/>
      </c>
      <c r="J449" s="15">
        <f>IF(OR($A449="",$D449=0),0,$F449/ABS($D449))</f>
        <v/>
      </c>
      <c r="K449" s="15">
        <f>IF($A449="","",ROUND($D449,2))</f>
        <v/>
      </c>
      <c r="L449" s="15">
        <f>IF($A449="","",ROUND($C449,2))</f>
        <v/>
      </c>
      <c r="M449" s="15">
        <f>IF($A449="","",IF($F449&lt;=toleransKurus,1,0))</f>
        <v/>
      </c>
      <c r="N449" s="15">
        <f>IF($A449="","",IF($F449&gt;kdo_esikFark,1,0))</f>
        <v/>
      </c>
      <c r="O449" s="15">
        <f>IF($A449="","",IFERROR(SUMIF(tblMotor[A_Norm],$A449,tblMotor[SiparisToplam]),0))</f>
        <v/>
      </c>
      <c r="P449" s="15">
        <f>IF($A449="","",$B449+$M449+$N449)</f>
        <v/>
      </c>
    </row>
    <row r="450">
      <c r="A450" s="15">
        <f>IF('ANAHTAR'!$B450="","",'ANAHTAR'!$B450)</f>
        <v/>
      </c>
      <c r="B450" s="15">
        <f>IF($A450="","",COUNTIF(tblAnahtarB[NormB],$A450))</f>
        <v/>
      </c>
      <c r="C450" s="15">
        <f>IF($A450="","",IFERROR(SUMIF(tblMotor[A_Norm],$A450,tblMotor[SiparisToplam]),0))</f>
        <v/>
      </c>
      <c r="D450" s="15">
        <f>IF($A450="","",IFERROR(SUMIF(tblAnahtarA[Norm],$A450,tblVeriA[HedefMaliyet]),0))</f>
        <v/>
      </c>
      <c r="E450" s="15">
        <f>IF($A450="","",ROUND($D450,2)-ROUND($C450,2))</f>
        <v/>
      </c>
      <c r="F450" s="15">
        <f>IF($A450="","",ABS($E450))</f>
        <v/>
      </c>
      <c r="G450" s="15">
        <f>IF($A450="","",IF($B450=0,"eslesmedi",IF(ROUND($D450,2)=ROUND($C450,2),"eslesti",IF(ABS(ROUND($D450,2)-ROUND($C450,2))&lt;=toleransKurus,"tolerans_icinde","tutar_farki"))))</f>
        <v/>
      </c>
      <c r="H450" s="15">
        <f>IF($A450="","",IF($B450&gt;0,"BIRINCIL",IF(COUNTIF(tblAnahtarB[IkincilB],'ANAHTAR'!$D450)&gt;0,"IKINCIL","YOK")))</f>
        <v/>
      </c>
      <c r="I450" s="15">
        <f>IF($A450="","",'ANAHTAR'!$F450)</f>
        <v/>
      </c>
      <c r="J450" s="15">
        <f>IF(OR($A450="",$D450=0),0,$F450/ABS($D450))</f>
        <v/>
      </c>
      <c r="K450" s="15">
        <f>IF($A450="","",ROUND($D450,2))</f>
        <v/>
      </c>
      <c r="L450" s="15">
        <f>IF($A450="","",ROUND($C450,2))</f>
        <v/>
      </c>
      <c r="M450" s="15">
        <f>IF($A450="","",IF($F450&lt;=toleransKurus,1,0))</f>
        <v/>
      </c>
      <c r="N450" s="15">
        <f>IF($A450="","",IF($F450&gt;kdo_esikFark,1,0))</f>
        <v/>
      </c>
      <c r="O450" s="15">
        <f>IF($A450="","",IFERROR(SUMIF(tblMotor[A_Norm],$A450,tblMotor[SiparisToplam]),0))</f>
        <v/>
      </c>
      <c r="P450" s="15">
        <f>IF($A450="","",$B450+$M450+$N450)</f>
        <v/>
      </c>
    </row>
    <row r="451">
      <c r="A451" s="15">
        <f>IF('ANAHTAR'!$B451="","",'ANAHTAR'!$B451)</f>
        <v/>
      </c>
      <c r="B451" s="15">
        <f>IF($A451="","",COUNTIF(tblAnahtarB[NormB],$A451))</f>
        <v/>
      </c>
      <c r="C451" s="15">
        <f>IF($A451="","",IFERROR(SUMIF(tblMotor[A_Norm],$A451,tblMotor[SiparisToplam]),0))</f>
        <v/>
      </c>
      <c r="D451" s="15">
        <f>IF($A451="","",IFERROR(SUMIF(tblAnahtarA[Norm],$A451,tblVeriA[HedefMaliyet]),0))</f>
        <v/>
      </c>
      <c r="E451" s="15">
        <f>IF($A451="","",ROUND($D451,2)-ROUND($C451,2))</f>
        <v/>
      </c>
      <c r="F451" s="15">
        <f>IF($A451="","",ABS($E451))</f>
        <v/>
      </c>
      <c r="G451" s="15">
        <f>IF($A451="","",IF($B451=0,"eslesmedi",IF(ROUND($D451,2)=ROUND($C451,2),"eslesti",IF(ABS(ROUND($D451,2)-ROUND($C451,2))&lt;=toleransKurus,"tolerans_icinde","tutar_farki"))))</f>
        <v/>
      </c>
      <c r="H451" s="15">
        <f>IF($A451="","",IF($B451&gt;0,"BIRINCIL",IF(COUNTIF(tblAnahtarB[IkincilB],'ANAHTAR'!$D451)&gt;0,"IKINCIL","YOK")))</f>
        <v/>
      </c>
      <c r="I451" s="15">
        <f>IF($A451="","",'ANAHTAR'!$F451)</f>
        <v/>
      </c>
      <c r="J451" s="15">
        <f>IF(OR($A451="",$D451=0),0,$F451/ABS($D451))</f>
        <v/>
      </c>
      <c r="K451" s="15">
        <f>IF($A451="","",ROUND($D451,2))</f>
        <v/>
      </c>
      <c r="L451" s="15">
        <f>IF($A451="","",ROUND($C451,2))</f>
        <v/>
      </c>
      <c r="M451" s="15">
        <f>IF($A451="","",IF($F451&lt;=toleransKurus,1,0))</f>
        <v/>
      </c>
      <c r="N451" s="15">
        <f>IF($A451="","",IF($F451&gt;kdo_esikFark,1,0))</f>
        <v/>
      </c>
      <c r="O451" s="15">
        <f>IF($A451="","",IFERROR(SUMIF(tblMotor[A_Norm],$A451,tblMotor[SiparisToplam]),0))</f>
        <v/>
      </c>
      <c r="P451" s="15">
        <f>IF($A451="","",$B451+$M451+$N451)</f>
        <v/>
      </c>
    </row>
    <row r="452">
      <c r="A452" s="15">
        <f>IF('ANAHTAR'!$B452="","",'ANAHTAR'!$B452)</f>
        <v/>
      </c>
      <c r="B452" s="15">
        <f>IF($A452="","",COUNTIF(tblAnahtarB[NormB],$A452))</f>
        <v/>
      </c>
      <c r="C452" s="15">
        <f>IF($A452="","",IFERROR(SUMIF(tblMotor[A_Norm],$A452,tblMotor[SiparisToplam]),0))</f>
        <v/>
      </c>
      <c r="D452" s="15">
        <f>IF($A452="","",IFERROR(SUMIF(tblAnahtarA[Norm],$A452,tblVeriA[HedefMaliyet]),0))</f>
        <v/>
      </c>
      <c r="E452" s="15">
        <f>IF($A452="","",ROUND($D452,2)-ROUND($C452,2))</f>
        <v/>
      </c>
      <c r="F452" s="15">
        <f>IF($A452="","",ABS($E452))</f>
        <v/>
      </c>
      <c r="G452" s="15">
        <f>IF($A452="","",IF($B452=0,"eslesmedi",IF(ROUND($D452,2)=ROUND($C452,2),"eslesti",IF(ABS(ROUND($D452,2)-ROUND($C452,2))&lt;=toleransKurus,"tolerans_icinde","tutar_farki"))))</f>
        <v/>
      </c>
      <c r="H452" s="15">
        <f>IF($A452="","",IF($B452&gt;0,"BIRINCIL",IF(COUNTIF(tblAnahtarB[IkincilB],'ANAHTAR'!$D452)&gt;0,"IKINCIL","YOK")))</f>
        <v/>
      </c>
      <c r="I452" s="15">
        <f>IF($A452="","",'ANAHTAR'!$F452)</f>
        <v/>
      </c>
      <c r="J452" s="15">
        <f>IF(OR($A452="",$D452=0),0,$F452/ABS($D452))</f>
        <v/>
      </c>
      <c r="K452" s="15">
        <f>IF($A452="","",ROUND($D452,2))</f>
        <v/>
      </c>
      <c r="L452" s="15">
        <f>IF($A452="","",ROUND($C452,2))</f>
        <v/>
      </c>
      <c r="M452" s="15">
        <f>IF($A452="","",IF($F452&lt;=toleransKurus,1,0))</f>
        <v/>
      </c>
      <c r="N452" s="15">
        <f>IF($A452="","",IF($F452&gt;kdo_esikFark,1,0))</f>
        <v/>
      </c>
      <c r="O452" s="15">
        <f>IF($A452="","",IFERROR(SUMIF(tblMotor[A_Norm],$A452,tblMotor[SiparisToplam]),0))</f>
        <v/>
      </c>
      <c r="P452" s="15">
        <f>IF($A452="","",$B452+$M452+$N452)</f>
        <v/>
      </c>
    </row>
    <row r="453">
      <c r="A453" s="15">
        <f>IF('ANAHTAR'!$B453="","",'ANAHTAR'!$B453)</f>
        <v/>
      </c>
      <c r="B453" s="15">
        <f>IF($A453="","",COUNTIF(tblAnahtarB[NormB],$A453))</f>
        <v/>
      </c>
      <c r="C453" s="15">
        <f>IF($A453="","",IFERROR(SUMIF(tblMotor[A_Norm],$A453,tblMotor[SiparisToplam]),0))</f>
        <v/>
      </c>
      <c r="D453" s="15">
        <f>IF($A453="","",IFERROR(SUMIF(tblAnahtarA[Norm],$A453,tblVeriA[HedefMaliyet]),0))</f>
        <v/>
      </c>
      <c r="E453" s="15">
        <f>IF($A453="","",ROUND($D453,2)-ROUND($C453,2))</f>
        <v/>
      </c>
      <c r="F453" s="15">
        <f>IF($A453="","",ABS($E453))</f>
        <v/>
      </c>
      <c r="G453" s="15">
        <f>IF($A453="","",IF($B453=0,"eslesmedi",IF(ROUND($D453,2)=ROUND($C453,2),"eslesti",IF(ABS(ROUND($D453,2)-ROUND($C453,2))&lt;=toleransKurus,"tolerans_icinde","tutar_farki"))))</f>
        <v/>
      </c>
      <c r="H453" s="15">
        <f>IF($A453="","",IF($B453&gt;0,"BIRINCIL",IF(COUNTIF(tblAnahtarB[IkincilB],'ANAHTAR'!$D453)&gt;0,"IKINCIL","YOK")))</f>
        <v/>
      </c>
      <c r="I453" s="15">
        <f>IF($A453="","",'ANAHTAR'!$F453)</f>
        <v/>
      </c>
      <c r="J453" s="15">
        <f>IF(OR($A453="",$D453=0),0,$F453/ABS($D453))</f>
        <v/>
      </c>
      <c r="K453" s="15">
        <f>IF($A453="","",ROUND($D453,2))</f>
        <v/>
      </c>
      <c r="L453" s="15">
        <f>IF($A453="","",ROUND($C453,2))</f>
        <v/>
      </c>
      <c r="M453" s="15">
        <f>IF($A453="","",IF($F453&lt;=toleransKurus,1,0))</f>
        <v/>
      </c>
      <c r="N453" s="15">
        <f>IF($A453="","",IF($F453&gt;kdo_esikFark,1,0))</f>
        <v/>
      </c>
      <c r="O453" s="15">
        <f>IF($A453="","",IFERROR(SUMIF(tblMotor[A_Norm],$A453,tblMotor[SiparisToplam]),0))</f>
        <v/>
      </c>
      <c r="P453" s="15">
        <f>IF($A453="","",$B453+$M453+$N453)</f>
        <v/>
      </c>
    </row>
    <row r="454">
      <c r="A454" s="15">
        <f>IF('ANAHTAR'!$B454="","",'ANAHTAR'!$B454)</f>
        <v/>
      </c>
      <c r="B454" s="15">
        <f>IF($A454="","",COUNTIF(tblAnahtarB[NormB],$A454))</f>
        <v/>
      </c>
      <c r="C454" s="15">
        <f>IF($A454="","",IFERROR(SUMIF(tblMotor[A_Norm],$A454,tblMotor[SiparisToplam]),0))</f>
        <v/>
      </c>
      <c r="D454" s="15">
        <f>IF($A454="","",IFERROR(SUMIF(tblAnahtarA[Norm],$A454,tblVeriA[HedefMaliyet]),0))</f>
        <v/>
      </c>
      <c r="E454" s="15">
        <f>IF($A454="","",ROUND($D454,2)-ROUND($C454,2))</f>
        <v/>
      </c>
      <c r="F454" s="15">
        <f>IF($A454="","",ABS($E454))</f>
        <v/>
      </c>
      <c r="G454" s="15">
        <f>IF($A454="","",IF($B454=0,"eslesmedi",IF(ROUND($D454,2)=ROUND($C454,2),"eslesti",IF(ABS(ROUND($D454,2)-ROUND($C454,2))&lt;=toleransKurus,"tolerans_icinde","tutar_farki"))))</f>
        <v/>
      </c>
      <c r="H454" s="15">
        <f>IF($A454="","",IF($B454&gt;0,"BIRINCIL",IF(COUNTIF(tblAnahtarB[IkincilB],'ANAHTAR'!$D454)&gt;0,"IKINCIL","YOK")))</f>
        <v/>
      </c>
      <c r="I454" s="15">
        <f>IF($A454="","",'ANAHTAR'!$F454)</f>
        <v/>
      </c>
      <c r="J454" s="15">
        <f>IF(OR($A454="",$D454=0),0,$F454/ABS($D454))</f>
        <v/>
      </c>
      <c r="K454" s="15">
        <f>IF($A454="","",ROUND($D454,2))</f>
        <v/>
      </c>
      <c r="L454" s="15">
        <f>IF($A454="","",ROUND($C454,2))</f>
        <v/>
      </c>
      <c r="M454" s="15">
        <f>IF($A454="","",IF($F454&lt;=toleransKurus,1,0))</f>
        <v/>
      </c>
      <c r="N454" s="15">
        <f>IF($A454="","",IF($F454&gt;kdo_esikFark,1,0))</f>
        <v/>
      </c>
      <c r="O454" s="15">
        <f>IF($A454="","",IFERROR(SUMIF(tblMotor[A_Norm],$A454,tblMotor[SiparisToplam]),0))</f>
        <v/>
      </c>
      <c r="P454" s="15">
        <f>IF($A454="","",$B454+$M454+$N454)</f>
        <v/>
      </c>
    </row>
    <row r="455">
      <c r="A455" s="15">
        <f>IF('ANAHTAR'!$B455="","",'ANAHTAR'!$B455)</f>
        <v/>
      </c>
      <c r="B455" s="15">
        <f>IF($A455="","",COUNTIF(tblAnahtarB[NormB],$A455))</f>
        <v/>
      </c>
      <c r="C455" s="15">
        <f>IF($A455="","",IFERROR(SUMIF(tblMotor[A_Norm],$A455,tblMotor[SiparisToplam]),0))</f>
        <v/>
      </c>
      <c r="D455" s="15">
        <f>IF($A455="","",IFERROR(SUMIF(tblAnahtarA[Norm],$A455,tblVeriA[HedefMaliyet]),0))</f>
        <v/>
      </c>
      <c r="E455" s="15">
        <f>IF($A455="","",ROUND($D455,2)-ROUND($C455,2))</f>
        <v/>
      </c>
      <c r="F455" s="15">
        <f>IF($A455="","",ABS($E455))</f>
        <v/>
      </c>
      <c r="G455" s="15">
        <f>IF($A455="","",IF($B455=0,"eslesmedi",IF(ROUND($D455,2)=ROUND($C455,2),"eslesti",IF(ABS(ROUND($D455,2)-ROUND($C455,2))&lt;=toleransKurus,"tolerans_icinde","tutar_farki"))))</f>
        <v/>
      </c>
      <c r="H455" s="15">
        <f>IF($A455="","",IF($B455&gt;0,"BIRINCIL",IF(COUNTIF(tblAnahtarB[IkincilB],'ANAHTAR'!$D455)&gt;0,"IKINCIL","YOK")))</f>
        <v/>
      </c>
      <c r="I455" s="15">
        <f>IF($A455="","",'ANAHTAR'!$F455)</f>
        <v/>
      </c>
      <c r="J455" s="15">
        <f>IF(OR($A455="",$D455=0),0,$F455/ABS($D455))</f>
        <v/>
      </c>
      <c r="K455" s="15">
        <f>IF($A455="","",ROUND($D455,2))</f>
        <v/>
      </c>
      <c r="L455" s="15">
        <f>IF($A455="","",ROUND($C455,2))</f>
        <v/>
      </c>
      <c r="M455" s="15">
        <f>IF($A455="","",IF($F455&lt;=toleransKurus,1,0))</f>
        <v/>
      </c>
      <c r="N455" s="15">
        <f>IF($A455="","",IF($F455&gt;kdo_esikFark,1,0))</f>
        <v/>
      </c>
      <c r="O455" s="15">
        <f>IF($A455="","",IFERROR(SUMIF(tblMotor[A_Norm],$A455,tblMotor[SiparisToplam]),0))</f>
        <v/>
      </c>
      <c r="P455" s="15">
        <f>IF($A455="","",$B455+$M455+$N455)</f>
        <v/>
      </c>
    </row>
    <row r="456">
      <c r="A456" s="15">
        <f>IF('ANAHTAR'!$B456="","",'ANAHTAR'!$B456)</f>
        <v/>
      </c>
      <c r="B456" s="15">
        <f>IF($A456="","",COUNTIF(tblAnahtarB[NormB],$A456))</f>
        <v/>
      </c>
      <c r="C456" s="15">
        <f>IF($A456="","",IFERROR(SUMIF(tblMotor[A_Norm],$A456,tblMotor[SiparisToplam]),0))</f>
        <v/>
      </c>
      <c r="D456" s="15">
        <f>IF($A456="","",IFERROR(SUMIF(tblAnahtarA[Norm],$A456,tblVeriA[HedefMaliyet]),0))</f>
        <v/>
      </c>
      <c r="E456" s="15">
        <f>IF($A456="","",ROUND($D456,2)-ROUND($C456,2))</f>
        <v/>
      </c>
      <c r="F456" s="15">
        <f>IF($A456="","",ABS($E456))</f>
        <v/>
      </c>
      <c r="G456" s="15">
        <f>IF($A456="","",IF($B456=0,"eslesmedi",IF(ROUND($D456,2)=ROUND($C456,2),"eslesti",IF(ABS(ROUND($D456,2)-ROUND($C456,2))&lt;=toleransKurus,"tolerans_icinde","tutar_farki"))))</f>
        <v/>
      </c>
      <c r="H456" s="15">
        <f>IF($A456="","",IF($B456&gt;0,"BIRINCIL",IF(COUNTIF(tblAnahtarB[IkincilB],'ANAHTAR'!$D456)&gt;0,"IKINCIL","YOK")))</f>
        <v/>
      </c>
      <c r="I456" s="15">
        <f>IF($A456="","",'ANAHTAR'!$F456)</f>
        <v/>
      </c>
      <c r="J456" s="15">
        <f>IF(OR($A456="",$D456=0),0,$F456/ABS($D456))</f>
        <v/>
      </c>
      <c r="K456" s="15">
        <f>IF($A456="","",ROUND($D456,2))</f>
        <v/>
      </c>
      <c r="L456" s="15">
        <f>IF($A456="","",ROUND($C456,2))</f>
        <v/>
      </c>
      <c r="M456" s="15">
        <f>IF($A456="","",IF($F456&lt;=toleransKurus,1,0))</f>
        <v/>
      </c>
      <c r="N456" s="15">
        <f>IF($A456="","",IF($F456&gt;kdo_esikFark,1,0))</f>
        <v/>
      </c>
      <c r="O456" s="15">
        <f>IF($A456="","",IFERROR(SUMIF(tblMotor[A_Norm],$A456,tblMotor[SiparisToplam]),0))</f>
        <v/>
      </c>
      <c r="P456" s="15">
        <f>IF($A456="","",$B456+$M456+$N456)</f>
        <v/>
      </c>
    </row>
    <row r="457">
      <c r="A457" s="15">
        <f>IF('ANAHTAR'!$B457="","",'ANAHTAR'!$B457)</f>
        <v/>
      </c>
      <c r="B457" s="15">
        <f>IF($A457="","",COUNTIF(tblAnahtarB[NormB],$A457))</f>
        <v/>
      </c>
      <c r="C457" s="15">
        <f>IF($A457="","",IFERROR(SUMIF(tblMotor[A_Norm],$A457,tblMotor[SiparisToplam]),0))</f>
        <v/>
      </c>
      <c r="D457" s="15">
        <f>IF($A457="","",IFERROR(SUMIF(tblAnahtarA[Norm],$A457,tblVeriA[HedefMaliyet]),0))</f>
        <v/>
      </c>
      <c r="E457" s="15">
        <f>IF($A457="","",ROUND($D457,2)-ROUND($C457,2))</f>
        <v/>
      </c>
      <c r="F457" s="15">
        <f>IF($A457="","",ABS($E457))</f>
        <v/>
      </c>
      <c r="G457" s="15">
        <f>IF($A457="","",IF($B457=0,"eslesmedi",IF(ROUND($D457,2)=ROUND($C457,2),"eslesti",IF(ABS(ROUND($D457,2)-ROUND($C457,2))&lt;=toleransKurus,"tolerans_icinde","tutar_farki"))))</f>
        <v/>
      </c>
      <c r="H457" s="15">
        <f>IF($A457="","",IF($B457&gt;0,"BIRINCIL",IF(COUNTIF(tblAnahtarB[IkincilB],'ANAHTAR'!$D457)&gt;0,"IKINCIL","YOK")))</f>
        <v/>
      </c>
      <c r="I457" s="15">
        <f>IF($A457="","",'ANAHTAR'!$F457)</f>
        <v/>
      </c>
      <c r="J457" s="15">
        <f>IF(OR($A457="",$D457=0),0,$F457/ABS($D457))</f>
        <v/>
      </c>
      <c r="K457" s="15">
        <f>IF($A457="","",ROUND($D457,2))</f>
        <v/>
      </c>
      <c r="L457" s="15">
        <f>IF($A457="","",ROUND($C457,2))</f>
        <v/>
      </c>
      <c r="M457" s="15">
        <f>IF($A457="","",IF($F457&lt;=toleransKurus,1,0))</f>
        <v/>
      </c>
      <c r="N457" s="15">
        <f>IF($A457="","",IF($F457&gt;kdo_esikFark,1,0))</f>
        <v/>
      </c>
      <c r="O457" s="15">
        <f>IF($A457="","",IFERROR(SUMIF(tblMotor[A_Norm],$A457,tblMotor[SiparisToplam]),0))</f>
        <v/>
      </c>
      <c r="P457" s="15">
        <f>IF($A457="","",$B457+$M457+$N457)</f>
        <v/>
      </c>
    </row>
    <row r="458">
      <c r="A458" s="15">
        <f>IF('ANAHTAR'!$B458="","",'ANAHTAR'!$B458)</f>
        <v/>
      </c>
      <c r="B458" s="15">
        <f>IF($A458="","",COUNTIF(tblAnahtarB[NormB],$A458))</f>
        <v/>
      </c>
      <c r="C458" s="15">
        <f>IF($A458="","",IFERROR(SUMIF(tblMotor[A_Norm],$A458,tblMotor[SiparisToplam]),0))</f>
        <v/>
      </c>
      <c r="D458" s="15">
        <f>IF($A458="","",IFERROR(SUMIF(tblAnahtarA[Norm],$A458,tblVeriA[HedefMaliyet]),0))</f>
        <v/>
      </c>
      <c r="E458" s="15">
        <f>IF($A458="","",ROUND($D458,2)-ROUND($C458,2))</f>
        <v/>
      </c>
      <c r="F458" s="15">
        <f>IF($A458="","",ABS($E458))</f>
        <v/>
      </c>
      <c r="G458" s="15">
        <f>IF($A458="","",IF($B458=0,"eslesmedi",IF(ROUND($D458,2)=ROUND($C458,2),"eslesti",IF(ABS(ROUND($D458,2)-ROUND($C458,2))&lt;=toleransKurus,"tolerans_icinde","tutar_farki"))))</f>
        <v/>
      </c>
      <c r="H458" s="15">
        <f>IF($A458="","",IF($B458&gt;0,"BIRINCIL",IF(COUNTIF(tblAnahtarB[IkincilB],'ANAHTAR'!$D458)&gt;0,"IKINCIL","YOK")))</f>
        <v/>
      </c>
      <c r="I458" s="15">
        <f>IF($A458="","",'ANAHTAR'!$F458)</f>
        <v/>
      </c>
      <c r="J458" s="15">
        <f>IF(OR($A458="",$D458=0),0,$F458/ABS($D458))</f>
        <v/>
      </c>
      <c r="K458" s="15">
        <f>IF($A458="","",ROUND($D458,2))</f>
        <v/>
      </c>
      <c r="L458" s="15">
        <f>IF($A458="","",ROUND($C458,2))</f>
        <v/>
      </c>
      <c r="M458" s="15">
        <f>IF($A458="","",IF($F458&lt;=toleransKurus,1,0))</f>
        <v/>
      </c>
      <c r="N458" s="15">
        <f>IF($A458="","",IF($F458&gt;kdo_esikFark,1,0))</f>
        <v/>
      </c>
      <c r="O458" s="15">
        <f>IF($A458="","",IFERROR(SUMIF(tblMotor[A_Norm],$A458,tblMotor[SiparisToplam]),0))</f>
        <v/>
      </c>
      <c r="P458" s="15">
        <f>IF($A458="","",$B458+$M458+$N458)</f>
        <v/>
      </c>
    </row>
    <row r="459">
      <c r="A459" s="15">
        <f>IF('ANAHTAR'!$B459="","",'ANAHTAR'!$B459)</f>
        <v/>
      </c>
      <c r="B459" s="15">
        <f>IF($A459="","",COUNTIF(tblAnahtarB[NormB],$A459))</f>
        <v/>
      </c>
      <c r="C459" s="15">
        <f>IF($A459="","",IFERROR(SUMIF(tblMotor[A_Norm],$A459,tblMotor[SiparisToplam]),0))</f>
        <v/>
      </c>
      <c r="D459" s="15">
        <f>IF($A459="","",IFERROR(SUMIF(tblAnahtarA[Norm],$A459,tblVeriA[HedefMaliyet]),0))</f>
        <v/>
      </c>
      <c r="E459" s="15">
        <f>IF($A459="","",ROUND($D459,2)-ROUND($C459,2))</f>
        <v/>
      </c>
      <c r="F459" s="15">
        <f>IF($A459="","",ABS($E459))</f>
        <v/>
      </c>
      <c r="G459" s="15">
        <f>IF($A459="","",IF($B459=0,"eslesmedi",IF(ROUND($D459,2)=ROUND($C459,2),"eslesti",IF(ABS(ROUND($D459,2)-ROUND($C459,2))&lt;=toleransKurus,"tolerans_icinde","tutar_farki"))))</f>
        <v/>
      </c>
      <c r="H459" s="15">
        <f>IF($A459="","",IF($B459&gt;0,"BIRINCIL",IF(COUNTIF(tblAnahtarB[IkincilB],'ANAHTAR'!$D459)&gt;0,"IKINCIL","YOK")))</f>
        <v/>
      </c>
      <c r="I459" s="15">
        <f>IF($A459="","",'ANAHTAR'!$F459)</f>
        <v/>
      </c>
      <c r="J459" s="15">
        <f>IF(OR($A459="",$D459=0),0,$F459/ABS($D459))</f>
        <v/>
      </c>
      <c r="K459" s="15">
        <f>IF($A459="","",ROUND($D459,2))</f>
        <v/>
      </c>
      <c r="L459" s="15">
        <f>IF($A459="","",ROUND($C459,2))</f>
        <v/>
      </c>
      <c r="M459" s="15">
        <f>IF($A459="","",IF($F459&lt;=toleransKurus,1,0))</f>
        <v/>
      </c>
      <c r="N459" s="15">
        <f>IF($A459="","",IF($F459&gt;kdo_esikFark,1,0))</f>
        <v/>
      </c>
      <c r="O459" s="15">
        <f>IF($A459="","",IFERROR(SUMIF(tblMotor[A_Norm],$A459,tblMotor[SiparisToplam]),0))</f>
        <v/>
      </c>
      <c r="P459" s="15">
        <f>IF($A459="","",$B459+$M459+$N459)</f>
        <v/>
      </c>
    </row>
    <row r="460">
      <c r="A460" s="15">
        <f>IF('ANAHTAR'!$B460="","",'ANAHTAR'!$B460)</f>
        <v/>
      </c>
      <c r="B460" s="15">
        <f>IF($A460="","",COUNTIF(tblAnahtarB[NormB],$A460))</f>
        <v/>
      </c>
      <c r="C460" s="15">
        <f>IF($A460="","",IFERROR(SUMIF(tblMotor[A_Norm],$A460,tblMotor[SiparisToplam]),0))</f>
        <v/>
      </c>
      <c r="D460" s="15">
        <f>IF($A460="","",IFERROR(SUMIF(tblAnahtarA[Norm],$A460,tblVeriA[HedefMaliyet]),0))</f>
        <v/>
      </c>
      <c r="E460" s="15">
        <f>IF($A460="","",ROUND($D460,2)-ROUND($C460,2))</f>
        <v/>
      </c>
      <c r="F460" s="15">
        <f>IF($A460="","",ABS($E460))</f>
        <v/>
      </c>
      <c r="G460" s="15">
        <f>IF($A460="","",IF($B460=0,"eslesmedi",IF(ROUND($D460,2)=ROUND($C460,2),"eslesti",IF(ABS(ROUND($D460,2)-ROUND($C460,2))&lt;=toleransKurus,"tolerans_icinde","tutar_farki"))))</f>
        <v/>
      </c>
      <c r="H460" s="15">
        <f>IF($A460="","",IF($B460&gt;0,"BIRINCIL",IF(COUNTIF(tblAnahtarB[IkincilB],'ANAHTAR'!$D460)&gt;0,"IKINCIL","YOK")))</f>
        <v/>
      </c>
      <c r="I460" s="15">
        <f>IF($A460="","",'ANAHTAR'!$F460)</f>
        <v/>
      </c>
      <c r="J460" s="15">
        <f>IF(OR($A460="",$D460=0),0,$F460/ABS($D460))</f>
        <v/>
      </c>
      <c r="K460" s="15">
        <f>IF($A460="","",ROUND($D460,2))</f>
        <v/>
      </c>
      <c r="L460" s="15">
        <f>IF($A460="","",ROUND($C460,2))</f>
        <v/>
      </c>
      <c r="M460" s="15">
        <f>IF($A460="","",IF($F460&lt;=toleransKurus,1,0))</f>
        <v/>
      </c>
      <c r="N460" s="15">
        <f>IF($A460="","",IF($F460&gt;kdo_esikFark,1,0))</f>
        <v/>
      </c>
      <c r="O460" s="15">
        <f>IF($A460="","",IFERROR(SUMIF(tblMotor[A_Norm],$A460,tblMotor[SiparisToplam]),0))</f>
        <v/>
      </c>
      <c r="P460" s="15">
        <f>IF($A460="","",$B460+$M460+$N460)</f>
        <v/>
      </c>
    </row>
    <row r="461">
      <c r="A461" s="15">
        <f>IF('ANAHTAR'!$B461="","",'ANAHTAR'!$B461)</f>
        <v/>
      </c>
      <c r="B461" s="15">
        <f>IF($A461="","",COUNTIF(tblAnahtarB[NormB],$A461))</f>
        <v/>
      </c>
      <c r="C461" s="15">
        <f>IF($A461="","",IFERROR(SUMIF(tblMotor[A_Norm],$A461,tblMotor[SiparisToplam]),0))</f>
        <v/>
      </c>
      <c r="D461" s="15">
        <f>IF($A461="","",IFERROR(SUMIF(tblAnahtarA[Norm],$A461,tblVeriA[HedefMaliyet]),0))</f>
        <v/>
      </c>
      <c r="E461" s="15">
        <f>IF($A461="","",ROUND($D461,2)-ROUND($C461,2))</f>
        <v/>
      </c>
      <c r="F461" s="15">
        <f>IF($A461="","",ABS($E461))</f>
        <v/>
      </c>
      <c r="G461" s="15">
        <f>IF($A461="","",IF($B461=0,"eslesmedi",IF(ROUND($D461,2)=ROUND($C461,2),"eslesti",IF(ABS(ROUND($D461,2)-ROUND($C461,2))&lt;=toleransKurus,"tolerans_icinde","tutar_farki"))))</f>
        <v/>
      </c>
      <c r="H461" s="15">
        <f>IF($A461="","",IF($B461&gt;0,"BIRINCIL",IF(COUNTIF(tblAnahtarB[IkincilB],'ANAHTAR'!$D461)&gt;0,"IKINCIL","YOK")))</f>
        <v/>
      </c>
      <c r="I461" s="15">
        <f>IF($A461="","",'ANAHTAR'!$F461)</f>
        <v/>
      </c>
      <c r="J461" s="15">
        <f>IF(OR($A461="",$D461=0),0,$F461/ABS($D461))</f>
        <v/>
      </c>
      <c r="K461" s="15">
        <f>IF($A461="","",ROUND($D461,2))</f>
        <v/>
      </c>
      <c r="L461" s="15">
        <f>IF($A461="","",ROUND($C461,2))</f>
        <v/>
      </c>
      <c r="M461" s="15">
        <f>IF($A461="","",IF($F461&lt;=toleransKurus,1,0))</f>
        <v/>
      </c>
      <c r="N461" s="15">
        <f>IF($A461="","",IF($F461&gt;kdo_esikFark,1,0))</f>
        <v/>
      </c>
      <c r="O461" s="15">
        <f>IF($A461="","",IFERROR(SUMIF(tblMotor[A_Norm],$A461,tblMotor[SiparisToplam]),0))</f>
        <v/>
      </c>
      <c r="P461" s="15">
        <f>IF($A461="","",$B461+$M461+$N461)</f>
        <v/>
      </c>
    </row>
    <row r="462">
      <c r="A462" s="15">
        <f>IF('ANAHTAR'!$B462="","",'ANAHTAR'!$B462)</f>
        <v/>
      </c>
      <c r="B462" s="15">
        <f>IF($A462="","",COUNTIF(tblAnahtarB[NormB],$A462))</f>
        <v/>
      </c>
      <c r="C462" s="15">
        <f>IF($A462="","",IFERROR(SUMIF(tblMotor[A_Norm],$A462,tblMotor[SiparisToplam]),0))</f>
        <v/>
      </c>
      <c r="D462" s="15">
        <f>IF($A462="","",IFERROR(SUMIF(tblAnahtarA[Norm],$A462,tblVeriA[HedefMaliyet]),0))</f>
        <v/>
      </c>
      <c r="E462" s="15">
        <f>IF($A462="","",ROUND($D462,2)-ROUND($C462,2))</f>
        <v/>
      </c>
      <c r="F462" s="15">
        <f>IF($A462="","",ABS($E462))</f>
        <v/>
      </c>
      <c r="G462" s="15">
        <f>IF($A462="","",IF($B462=0,"eslesmedi",IF(ROUND($D462,2)=ROUND($C462,2),"eslesti",IF(ABS(ROUND($D462,2)-ROUND($C462,2))&lt;=toleransKurus,"tolerans_icinde","tutar_farki"))))</f>
        <v/>
      </c>
      <c r="H462" s="15">
        <f>IF($A462="","",IF($B462&gt;0,"BIRINCIL",IF(COUNTIF(tblAnahtarB[IkincilB],'ANAHTAR'!$D462)&gt;0,"IKINCIL","YOK")))</f>
        <v/>
      </c>
      <c r="I462" s="15">
        <f>IF($A462="","",'ANAHTAR'!$F462)</f>
        <v/>
      </c>
      <c r="J462" s="15">
        <f>IF(OR($A462="",$D462=0),0,$F462/ABS($D462))</f>
        <v/>
      </c>
      <c r="K462" s="15">
        <f>IF($A462="","",ROUND($D462,2))</f>
        <v/>
      </c>
      <c r="L462" s="15">
        <f>IF($A462="","",ROUND($C462,2))</f>
        <v/>
      </c>
      <c r="M462" s="15">
        <f>IF($A462="","",IF($F462&lt;=toleransKurus,1,0))</f>
        <v/>
      </c>
      <c r="N462" s="15">
        <f>IF($A462="","",IF($F462&gt;kdo_esikFark,1,0))</f>
        <v/>
      </c>
      <c r="O462" s="15">
        <f>IF($A462="","",IFERROR(SUMIF(tblMotor[A_Norm],$A462,tblMotor[SiparisToplam]),0))</f>
        <v/>
      </c>
      <c r="P462" s="15">
        <f>IF($A462="","",$B462+$M462+$N462)</f>
        <v/>
      </c>
    </row>
    <row r="463">
      <c r="A463" s="15">
        <f>IF('ANAHTAR'!$B463="","",'ANAHTAR'!$B463)</f>
        <v/>
      </c>
      <c r="B463" s="15">
        <f>IF($A463="","",COUNTIF(tblAnahtarB[NormB],$A463))</f>
        <v/>
      </c>
      <c r="C463" s="15">
        <f>IF($A463="","",IFERROR(SUMIF(tblMotor[A_Norm],$A463,tblMotor[SiparisToplam]),0))</f>
        <v/>
      </c>
      <c r="D463" s="15">
        <f>IF($A463="","",IFERROR(SUMIF(tblAnahtarA[Norm],$A463,tblVeriA[HedefMaliyet]),0))</f>
        <v/>
      </c>
      <c r="E463" s="15">
        <f>IF($A463="","",ROUND($D463,2)-ROUND($C463,2))</f>
        <v/>
      </c>
      <c r="F463" s="15">
        <f>IF($A463="","",ABS($E463))</f>
        <v/>
      </c>
      <c r="G463" s="15">
        <f>IF($A463="","",IF($B463=0,"eslesmedi",IF(ROUND($D463,2)=ROUND($C463,2),"eslesti",IF(ABS(ROUND($D463,2)-ROUND($C463,2))&lt;=toleransKurus,"tolerans_icinde","tutar_farki"))))</f>
        <v/>
      </c>
      <c r="H463" s="15">
        <f>IF($A463="","",IF($B463&gt;0,"BIRINCIL",IF(COUNTIF(tblAnahtarB[IkincilB],'ANAHTAR'!$D463)&gt;0,"IKINCIL","YOK")))</f>
        <v/>
      </c>
      <c r="I463" s="15">
        <f>IF($A463="","",'ANAHTAR'!$F463)</f>
        <v/>
      </c>
      <c r="J463" s="15">
        <f>IF(OR($A463="",$D463=0),0,$F463/ABS($D463))</f>
        <v/>
      </c>
      <c r="K463" s="15">
        <f>IF($A463="","",ROUND($D463,2))</f>
        <v/>
      </c>
      <c r="L463" s="15">
        <f>IF($A463="","",ROUND($C463,2))</f>
        <v/>
      </c>
      <c r="M463" s="15">
        <f>IF($A463="","",IF($F463&lt;=toleransKurus,1,0))</f>
        <v/>
      </c>
      <c r="N463" s="15">
        <f>IF($A463="","",IF($F463&gt;kdo_esikFark,1,0))</f>
        <v/>
      </c>
      <c r="O463" s="15">
        <f>IF($A463="","",IFERROR(SUMIF(tblMotor[A_Norm],$A463,tblMotor[SiparisToplam]),0))</f>
        <v/>
      </c>
      <c r="P463" s="15">
        <f>IF($A463="","",$B463+$M463+$N463)</f>
        <v/>
      </c>
    </row>
    <row r="464">
      <c r="A464" s="15">
        <f>IF('ANAHTAR'!$B464="","",'ANAHTAR'!$B464)</f>
        <v/>
      </c>
      <c r="B464" s="15">
        <f>IF($A464="","",COUNTIF(tblAnahtarB[NormB],$A464))</f>
        <v/>
      </c>
      <c r="C464" s="15">
        <f>IF($A464="","",IFERROR(SUMIF(tblMotor[A_Norm],$A464,tblMotor[SiparisToplam]),0))</f>
        <v/>
      </c>
      <c r="D464" s="15">
        <f>IF($A464="","",IFERROR(SUMIF(tblAnahtarA[Norm],$A464,tblVeriA[HedefMaliyet]),0))</f>
        <v/>
      </c>
      <c r="E464" s="15">
        <f>IF($A464="","",ROUND($D464,2)-ROUND($C464,2))</f>
        <v/>
      </c>
      <c r="F464" s="15">
        <f>IF($A464="","",ABS($E464))</f>
        <v/>
      </c>
      <c r="G464" s="15">
        <f>IF($A464="","",IF($B464=0,"eslesmedi",IF(ROUND($D464,2)=ROUND($C464,2),"eslesti",IF(ABS(ROUND($D464,2)-ROUND($C464,2))&lt;=toleransKurus,"tolerans_icinde","tutar_farki"))))</f>
        <v/>
      </c>
      <c r="H464" s="15">
        <f>IF($A464="","",IF($B464&gt;0,"BIRINCIL",IF(COUNTIF(tblAnahtarB[IkincilB],'ANAHTAR'!$D464)&gt;0,"IKINCIL","YOK")))</f>
        <v/>
      </c>
      <c r="I464" s="15">
        <f>IF($A464="","",'ANAHTAR'!$F464)</f>
        <v/>
      </c>
      <c r="J464" s="15">
        <f>IF(OR($A464="",$D464=0),0,$F464/ABS($D464))</f>
        <v/>
      </c>
      <c r="K464" s="15">
        <f>IF($A464="","",ROUND($D464,2))</f>
        <v/>
      </c>
      <c r="L464" s="15">
        <f>IF($A464="","",ROUND($C464,2))</f>
        <v/>
      </c>
      <c r="M464" s="15">
        <f>IF($A464="","",IF($F464&lt;=toleransKurus,1,0))</f>
        <v/>
      </c>
      <c r="N464" s="15">
        <f>IF($A464="","",IF($F464&gt;kdo_esikFark,1,0))</f>
        <v/>
      </c>
      <c r="O464" s="15">
        <f>IF($A464="","",IFERROR(SUMIF(tblMotor[A_Norm],$A464,tblMotor[SiparisToplam]),0))</f>
        <v/>
      </c>
      <c r="P464" s="15">
        <f>IF($A464="","",$B464+$M464+$N464)</f>
        <v/>
      </c>
    </row>
    <row r="465">
      <c r="A465" s="15">
        <f>IF('ANAHTAR'!$B465="","",'ANAHTAR'!$B465)</f>
        <v/>
      </c>
      <c r="B465" s="15">
        <f>IF($A465="","",COUNTIF(tblAnahtarB[NormB],$A465))</f>
        <v/>
      </c>
      <c r="C465" s="15">
        <f>IF($A465="","",IFERROR(SUMIF(tblMotor[A_Norm],$A465,tblMotor[SiparisToplam]),0))</f>
        <v/>
      </c>
      <c r="D465" s="15">
        <f>IF($A465="","",IFERROR(SUMIF(tblAnahtarA[Norm],$A465,tblVeriA[HedefMaliyet]),0))</f>
        <v/>
      </c>
      <c r="E465" s="15">
        <f>IF($A465="","",ROUND($D465,2)-ROUND($C465,2))</f>
        <v/>
      </c>
      <c r="F465" s="15">
        <f>IF($A465="","",ABS($E465))</f>
        <v/>
      </c>
      <c r="G465" s="15">
        <f>IF($A465="","",IF($B465=0,"eslesmedi",IF(ROUND($D465,2)=ROUND($C465,2),"eslesti",IF(ABS(ROUND($D465,2)-ROUND($C465,2))&lt;=toleransKurus,"tolerans_icinde","tutar_farki"))))</f>
        <v/>
      </c>
      <c r="H465" s="15">
        <f>IF($A465="","",IF($B465&gt;0,"BIRINCIL",IF(COUNTIF(tblAnahtarB[IkincilB],'ANAHTAR'!$D465)&gt;0,"IKINCIL","YOK")))</f>
        <v/>
      </c>
      <c r="I465" s="15">
        <f>IF($A465="","",'ANAHTAR'!$F465)</f>
        <v/>
      </c>
      <c r="J465" s="15">
        <f>IF(OR($A465="",$D465=0),0,$F465/ABS($D465))</f>
        <v/>
      </c>
      <c r="K465" s="15">
        <f>IF($A465="","",ROUND($D465,2))</f>
        <v/>
      </c>
      <c r="L465" s="15">
        <f>IF($A465="","",ROUND($C465,2))</f>
        <v/>
      </c>
      <c r="M465" s="15">
        <f>IF($A465="","",IF($F465&lt;=toleransKurus,1,0))</f>
        <v/>
      </c>
      <c r="N465" s="15">
        <f>IF($A465="","",IF($F465&gt;kdo_esikFark,1,0))</f>
        <v/>
      </c>
      <c r="O465" s="15">
        <f>IF($A465="","",IFERROR(SUMIF(tblMotor[A_Norm],$A465,tblMotor[SiparisToplam]),0))</f>
        <v/>
      </c>
      <c r="P465" s="15">
        <f>IF($A465="","",$B465+$M465+$N465)</f>
        <v/>
      </c>
    </row>
    <row r="466">
      <c r="A466" s="15">
        <f>IF('ANAHTAR'!$B466="","",'ANAHTAR'!$B466)</f>
        <v/>
      </c>
      <c r="B466" s="15">
        <f>IF($A466="","",COUNTIF(tblAnahtarB[NormB],$A466))</f>
        <v/>
      </c>
      <c r="C466" s="15">
        <f>IF($A466="","",IFERROR(SUMIF(tblMotor[A_Norm],$A466,tblMotor[SiparisToplam]),0))</f>
        <v/>
      </c>
      <c r="D466" s="15">
        <f>IF($A466="","",IFERROR(SUMIF(tblAnahtarA[Norm],$A466,tblVeriA[HedefMaliyet]),0))</f>
        <v/>
      </c>
      <c r="E466" s="15">
        <f>IF($A466="","",ROUND($D466,2)-ROUND($C466,2))</f>
        <v/>
      </c>
      <c r="F466" s="15">
        <f>IF($A466="","",ABS($E466))</f>
        <v/>
      </c>
      <c r="G466" s="15">
        <f>IF($A466="","",IF($B466=0,"eslesmedi",IF(ROUND($D466,2)=ROUND($C466,2),"eslesti",IF(ABS(ROUND($D466,2)-ROUND($C466,2))&lt;=toleransKurus,"tolerans_icinde","tutar_farki"))))</f>
        <v/>
      </c>
      <c r="H466" s="15">
        <f>IF($A466="","",IF($B466&gt;0,"BIRINCIL",IF(COUNTIF(tblAnahtarB[IkincilB],'ANAHTAR'!$D466)&gt;0,"IKINCIL","YOK")))</f>
        <v/>
      </c>
      <c r="I466" s="15">
        <f>IF($A466="","",'ANAHTAR'!$F466)</f>
        <v/>
      </c>
      <c r="J466" s="15">
        <f>IF(OR($A466="",$D466=0),0,$F466/ABS($D466))</f>
        <v/>
      </c>
      <c r="K466" s="15">
        <f>IF($A466="","",ROUND($D466,2))</f>
        <v/>
      </c>
      <c r="L466" s="15">
        <f>IF($A466="","",ROUND($C466,2))</f>
        <v/>
      </c>
      <c r="M466" s="15">
        <f>IF($A466="","",IF($F466&lt;=toleransKurus,1,0))</f>
        <v/>
      </c>
      <c r="N466" s="15">
        <f>IF($A466="","",IF($F466&gt;kdo_esikFark,1,0))</f>
        <v/>
      </c>
      <c r="O466" s="15">
        <f>IF($A466="","",IFERROR(SUMIF(tblMotor[A_Norm],$A466,tblMotor[SiparisToplam]),0))</f>
        <v/>
      </c>
      <c r="P466" s="15">
        <f>IF($A466="","",$B466+$M466+$N466)</f>
        <v/>
      </c>
    </row>
    <row r="467">
      <c r="A467" s="15">
        <f>IF('ANAHTAR'!$B467="","",'ANAHTAR'!$B467)</f>
        <v/>
      </c>
      <c r="B467" s="15">
        <f>IF($A467="","",COUNTIF(tblAnahtarB[NormB],$A467))</f>
        <v/>
      </c>
      <c r="C467" s="15">
        <f>IF($A467="","",IFERROR(SUMIF(tblMotor[A_Norm],$A467,tblMotor[SiparisToplam]),0))</f>
        <v/>
      </c>
      <c r="D467" s="15">
        <f>IF($A467="","",IFERROR(SUMIF(tblAnahtarA[Norm],$A467,tblVeriA[HedefMaliyet]),0))</f>
        <v/>
      </c>
      <c r="E467" s="15">
        <f>IF($A467="","",ROUND($D467,2)-ROUND($C467,2))</f>
        <v/>
      </c>
      <c r="F467" s="15">
        <f>IF($A467="","",ABS($E467))</f>
        <v/>
      </c>
      <c r="G467" s="15">
        <f>IF($A467="","",IF($B467=0,"eslesmedi",IF(ROUND($D467,2)=ROUND($C467,2),"eslesti",IF(ABS(ROUND($D467,2)-ROUND($C467,2))&lt;=toleransKurus,"tolerans_icinde","tutar_farki"))))</f>
        <v/>
      </c>
      <c r="H467" s="15">
        <f>IF($A467="","",IF($B467&gt;0,"BIRINCIL",IF(COUNTIF(tblAnahtarB[IkincilB],'ANAHTAR'!$D467)&gt;0,"IKINCIL","YOK")))</f>
        <v/>
      </c>
      <c r="I467" s="15">
        <f>IF($A467="","",'ANAHTAR'!$F467)</f>
        <v/>
      </c>
      <c r="J467" s="15">
        <f>IF(OR($A467="",$D467=0),0,$F467/ABS($D467))</f>
        <v/>
      </c>
      <c r="K467" s="15">
        <f>IF($A467="","",ROUND($D467,2))</f>
        <v/>
      </c>
      <c r="L467" s="15">
        <f>IF($A467="","",ROUND($C467,2))</f>
        <v/>
      </c>
      <c r="M467" s="15">
        <f>IF($A467="","",IF($F467&lt;=toleransKurus,1,0))</f>
        <v/>
      </c>
      <c r="N467" s="15">
        <f>IF($A467="","",IF($F467&gt;kdo_esikFark,1,0))</f>
        <v/>
      </c>
      <c r="O467" s="15">
        <f>IF($A467="","",IFERROR(SUMIF(tblMotor[A_Norm],$A467,tblMotor[SiparisToplam]),0))</f>
        <v/>
      </c>
      <c r="P467" s="15">
        <f>IF($A467="","",$B467+$M467+$N467)</f>
        <v/>
      </c>
    </row>
    <row r="468">
      <c r="A468" s="15">
        <f>IF('ANAHTAR'!$B468="","",'ANAHTAR'!$B468)</f>
        <v/>
      </c>
      <c r="B468" s="15">
        <f>IF($A468="","",COUNTIF(tblAnahtarB[NormB],$A468))</f>
        <v/>
      </c>
      <c r="C468" s="15">
        <f>IF($A468="","",IFERROR(SUMIF(tblMotor[A_Norm],$A468,tblMotor[SiparisToplam]),0))</f>
        <v/>
      </c>
      <c r="D468" s="15">
        <f>IF($A468="","",IFERROR(SUMIF(tblAnahtarA[Norm],$A468,tblVeriA[HedefMaliyet]),0))</f>
        <v/>
      </c>
      <c r="E468" s="15">
        <f>IF($A468="","",ROUND($D468,2)-ROUND($C468,2))</f>
        <v/>
      </c>
      <c r="F468" s="15">
        <f>IF($A468="","",ABS($E468))</f>
        <v/>
      </c>
      <c r="G468" s="15">
        <f>IF($A468="","",IF($B468=0,"eslesmedi",IF(ROUND($D468,2)=ROUND($C468,2),"eslesti",IF(ABS(ROUND($D468,2)-ROUND($C468,2))&lt;=toleransKurus,"tolerans_icinde","tutar_farki"))))</f>
        <v/>
      </c>
      <c r="H468" s="15">
        <f>IF($A468="","",IF($B468&gt;0,"BIRINCIL",IF(COUNTIF(tblAnahtarB[IkincilB],'ANAHTAR'!$D468)&gt;0,"IKINCIL","YOK")))</f>
        <v/>
      </c>
      <c r="I468" s="15">
        <f>IF($A468="","",'ANAHTAR'!$F468)</f>
        <v/>
      </c>
      <c r="J468" s="15">
        <f>IF(OR($A468="",$D468=0),0,$F468/ABS($D468))</f>
        <v/>
      </c>
      <c r="K468" s="15">
        <f>IF($A468="","",ROUND($D468,2))</f>
        <v/>
      </c>
      <c r="L468" s="15">
        <f>IF($A468="","",ROUND($C468,2))</f>
        <v/>
      </c>
      <c r="M468" s="15">
        <f>IF($A468="","",IF($F468&lt;=toleransKurus,1,0))</f>
        <v/>
      </c>
      <c r="N468" s="15">
        <f>IF($A468="","",IF($F468&gt;kdo_esikFark,1,0))</f>
        <v/>
      </c>
      <c r="O468" s="15">
        <f>IF($A468="","",IFERROR(SUMIF(tblMotor[A_Norm],$A468,tblMotor[SiparisToplam]),0))</f>
        <v/>
      </c>
      <c r="P468" s="15">
        <f>IF($A468="","",$B468+$M468+$N468)</f>
        <v/>
      </c>
    </row>
    <row r="469">
      <c r="A469" s="15">
        <f>IF('ANAHTAR'!$B469="","",'ANAHTAR'!$B469)</f>
        <v/>
      </c>
      <c r="B469" s="15">
        <f>IF($A469="","",COUNTIF(tblAnahtarB[NormB],$A469))</f>
        <v/>
      </c>
      <c r="C469" s="15">
        <f>IF($A469="","",IFERROR(SUMIF(tblMotor[A_Norm],$A469,tblMotor[SiparisToplam]),0))</f>
        <v/>
      </c>
      <c r="D469" s="15">
        <f>IF($A469="","",IFERROR(SUMIF(tblAnahtarA[Norm],$A469,tblVeriA[HedefMaliyet]),0))</f>
        <v/>
      </c>
      <c r="E469" s="15">
        <f>IF($A469="","",ROUND($D469,2)-ROUND($C469,2))</f>
        <v/>
      </c>
      <c r="F469" s="15">
        <f>IF($A469="","",ABS($E469))</f>
        <v/>
      </c>
      <c r="G469" s="15">
        <f>IF($A469="","",IF($B469=0,"eslesmedi",IF(ROUND($D469,2)=ROUND($C469,2),"eslesti",IF(ABS(ROUND($D469,2)-ROUND($C469,2))&lt;=toleransKurus,"tolerans_icinde","tutar_farki"))))</f>
        <v/>
      </c>
      <c r="H469" s="15">
        <f>IF($A469="","",IF($B469&gt;0,"BIRINCIL",IF(COUNTIF(tblAnahtarB[IkincilB],'ANAHTAR'!$D469)&gt;0,"IKINCIL","YOK")))</f>
        <v/>
      </c>
      <c r="I469" s="15">
        <f>IF($A469="","",'ANAHTAR'!$F469)</f>
        <v/>
      </c>
      <c r="J469" s="15">
        <f>IF(OR($A469="",$D469=0),0,$F469/ABS($D469))</f>
        <v/>
      </c>
      <c r="K469" s="15">
        <f>IF($A469="","",ROUND($D469,2))</f>
        <v/>
      </c>
      <c r="L469" s="15">
        <f>IF($A469="","",ROUND($C469,2))</f>
        <v/>
      </c>
      <c r="M469" s="15">
        <f>IF($A469="","",IF($F469&lt;=toleransKurus,1,0))</f>
        <v/>
      </c>
      <c r="N469" s="15">
        <f>IF($A469="","",IF($F469&gt;kdo_esikFark,1,0))</f>
        <v/>
      </c>
      <c r="O469" s="15">
        <f>IF($A469="","",IFERROR(SUMIF(tblMotor[A_Norm],$A469,tblMotor[SiparisToplam]),0))</f>
        <v/>
      </c>
      <c r="P469" s="15">
        <f>IF($A469="","",$B469+$M469+$N469)</f>
        <v/>
      </c>
    </row>
    <row r="470">
      <c r="A470" s="15">
        <f>IF('ANAHTAR'!$B470="","",'ANAHTAR'!$B470)</f>
        <v/>
      </c>
      <c r="B470" s="15">
        <f>IF($A470="","",COUNTIF(tblAnahtarB[NormB],$A470))</f>
        <v/>
      </c>
      <c r="C470" s="15">
        <f>IF($A470="","",IFERROR(SUMIF(tblMotor[A_Norm],$A470,tblMotor[SiparisToplam]),0))</f>
        <v/>
      </c>
      <c r="D470" s="15">
        <f>IF($A470="","",IFERROR(SUMIF(tblAnahtarA[Norm],$A470,tblVeriA[HedefMaliyet]),0))</f>
        <v/>
      </c>
      <c r="E470" s="15">
        <f>IF($A470="","",ROUND($D470,2)-ROUND($C470,2))</f>
        <v/>
      </c>
      <c r="F470" s="15">
        <f>IF($A470="","",ABS($E470))</f>
        <v/>
      </c>
      <c r="G470" s="15">
        <f>IF($A470="","",IF($B470=0,"eslesmedi",IF(ROUND($D470,2)=ROUND($C470,2),"eslesti",IF(ABS(ROUND($D470,2)-ROUND($C470,2))&lt;=toleransKurus,"tolerans_icinde","tutar_farki"))))</f>
        <v/>
      </c>
      <c r="H470" s="15">
        <f>IF($A470="","",IF($B470&gt;0,"BIRINCIL",IF(COUNTIF(tblAnahtarB[IkincilB],'ANAHTAR'!$D470)&gt;0,"IKINCIL","YOK")))</f>
        <v/>
      </c>
      <c r="I470" s="15">
        <f>IF($A470="","",'ANAHTAR'!$F470)</f>
        <v/>
      </c>
      <c r="J470" s="15">
        <f>IF(OR($A470="",$D470=0),0,$F470/ABS($D470))</f>
        <v/>
      </c>
      <c r="K470" s="15">
        <f>IF($A470="","",ROUND($D470,2))</f>
        <v/>
      </c>
      <c r="L470" s="15">
        <f>IF($A470="","",ROUND($C470,2))</f>
        <v/>
      </c>
      <c r="M470" s="15">
        <f>IF($A470="","",IF($F470&lt;=toleransKurus,1,0))</f>
        <v/>
      </c>
      <c r="N470" s="15">
        <f>IF($A470="","",IF($F470&gt;kdo_esikFark,1,0))</f>
        <v/>
      </c>
      <c r="O470" s="15">
        <f>IF($A470="","",IFERROR(SUMIF(tblMotor[A_Norm],$A470,tblMotor[SiparisToplam]),0))</f>
        <v/>
      </c>
      <c r="P470" s="15">
        <f>IF($A470="","",$B470+$M470+$N470)</f>
        <v/>
      </c>
    </row>
    <row r="471">
      <c r="A471" s="15">
        <f>IF('ANAHTAR'!$B471="","",'ANAHTAR'!$B471)</f>
        <v/>
      </c>
      <c r="B471" s="15">
        <f>IF($A471="","",COUNTIF(tblAnahtarB[NormB],$A471))</f>
        <v/>
      </c>
      <c r="C471" s="15">
        <f>IF($A471="","",IFERROR(SUMIF(tblMotor[A_Norm],$A471,tblMotor[SiparisToplam]),0))</f>
        <v/>
      </c>
      <c r="D471" s="15">
        <f>IF($A471="","",IFERROR(SUMIF(tblAnahtarA[Norm],$A471,tblVeriA[HedefMaliyet]),0))</f>
        <v/>
      </c>
      <c r="E471" s="15">
        <f>IF($A471="","",ROUND($D471,2)-ROUND($C471,2))</f>
        <v/>
      </c>
      <c r="F471" s="15">
        <f>IF($A471="","",ABS($E471))</f>
        <v/>
      </c>
      <c r="G471" s="15">
        <f>IF($A471="","",IF($B471=0,"eslesmedi",IF(ROUND($D471,2)=ROUND($C471,2),"eslesti",IF(ABS(ROUND($D471,2)-ROUND($C471,2))&lt;=toleransKurus,"tolerans_icinde","tutar_farki"))))</f>
        <v/>
      </c>
      <c r="H471" s="15">
        <f>IF($A471="","",IF($B471&gt;0,"BIRINCIL",IF(COUNTIF(tblAnahtarB[IkincilB],'ANAHTAR'!$D471)&gt;0,"IKINCIL","YOK")))</f>
        <v/>
      </c>
      <c r="I471" s="15">
        <f>IF($A471="","",'ANAHTAR'!$F471)</f>
        <v/>
      </c>
      <c r="J471" s="15">
        <f>IF(OR($A471="",$D471=0),0,$F471/ABS($D471))</f>
        <v/>
      </c>
      <c r="K471" s="15">
        <f>IF($A471="","",ROUND($D471,2))</f>
        <v/>
      </c>
      <c r="L471" s="15">
        <f>IF($A471="","",ROUND($C471,2))</f>
        <v/>
      </c>
      <c r="M471" s="15">
        <f>IF($A471="","",IF($F471&lt;=toleransKurus,1,0))</f>
        <v/>
      </c>
      <c r="N471" s="15">
        <f>IF($A471="","",IF($F471&gt;kdo_esikFark,1,0))</f>
        <v/>
      </c>
      <c r="O471" s="15">
        <f>IF($A471="","",IFERROR(SUMIF(tblMotor[A_Norm],$A471,tblMotor[SiparisToplam]),0))</f>
        <v/>
      </c>
      <c r="P471" s="15">
        <f>IF($A471="","",$B471+$M471+$N471)</f>
        <v/>
      </c>
    </row>
    <row r="472">
      <c r="A472" s="15">
        <f>IF('ANAHTAR'!$B472="","",'ANAHTAR'!$B472)</f>
        <v/>
      </c>
      <c r="B472" s="15">
        <f>IF($A472="","",COUNTIF(tblAnahtarB[NormB],$A472))</f>
        <v/>
      </c>
      <c r="C472" s="15">
        <f>IF($A472="","",IFERROR(SUMIF(tblMotor[A_Norm],$A472,tblMotor[SiparisToplam]),0))</f>
        <v/>
      </c>
      <c r="D472" s="15">
        <f>IF($A472="","",IFERROR(SUMIF(tblAnahtarA[Norm],$A472,tblVeriA[HedefMaliyet]),0))</f>
        <v/>
      </c>
      <c r="E472" s="15">
        <f>IF($A472="","",ROUND($D472,2)-ROUND($C472,2))</f>
        <v/>
      </c>
      <c r="F472" s="15">
        <f>IF($A472="","",ABS($E472))</f>
        <v/>
      </c>
      <c r="G472" s="15">
        <f>IF($A472="","",IF($B472=0,"eslesmedi",IF(ROUND($D472,2)=ROUND($C472,2),"eslesti",IF(ABS(ROUND($D472,2)-ROUND($C472,2))&lt;=toleransKurus,"tolerans_icinde","tutar_farki"))))</f>
        <v/>
      </c>
      <c r="H472" s="15">
        <f>IF($A472="","",IF($B472&gt;0,"BIRINCIL",IF(COUNTIF(tblAnahtarB[IkincilB],'ANAHTAR'!$D472)&gt;0,"IKINCIL","YOK")))</f>
        <v/>
      </c>
      <c r="I472" s="15">
        <f>IF($A472="","",'ANAHTAR'!$F472)</f>
        <v/>
      </c>
      <c r="J472" s="15">
        <f>IF(OR($A472="",$D472=0),0,$F472/ABS($D472))</f>
        <v/>
      </c>
      <c r="K472" s="15">
        <f>IF($A472="","",ROUND($D472,2))</f>
        <v/>
      </c>
      <c r="L472" s="15">
        <f>IF($A472="","",ROUND($C472,2))</f>
        <v/>
      </c>
      <c r="M472" s="15">
        <f>IF($A472="","",IF($F472&lt;=toleransKurus,1,0))</f>
        <v/>
      </c>
      <c r="N472" s="15">
        <f>IF($A472="","",IF($F472&gt;kdo_esikFark,1,0))</f>
        <v/>
      </c>
      <c r="O472" s="15">
        <f>IF($A472="","",IFERROR(SUMIF(tblMotor[A_Norm],$A472,tblMotor[SiparisToplam]),0))</f>
        <v/>
      </c>
      <c r="P472" s="15">
        <f>IF($A472="","",$B472+$M472+$N472)</f>
        <v/>
      </c>
    </row>
    <row r="473">
      <c r="A473" s="15">
        <f>IF('ANAHTAR'!$B473="","",'ANAHTAR'!$B473)</f>
        <v/>
      </c>
      <c r="B473" s="15">
        <f>IF($A473="","",COUNTIF(tblAnahtarB[NormB],$A473))</f>
        <v/>
      </c>
      <c r="C473" s="15">
        <f>IF($A473="","",IFERROR(SUMIF(tblMotor[A_Norm],$A473,tblMotor[SiparisToplam]),0))</f>
        <v/>
      </c>
      <c r="D473" s="15">
        <f>IF($A473="","",IFERROR(SUMIF(tblAnahtarA[Norm],$A473,tblVeriA[HedefMaliyet]),0))</f>
        <v/>
      </c>
      <c r="E473" s="15">
        <f>IF($A473="","",ROUND($D473,2)-ROUND($C473,2))</f>
        <v/>
      </c>
      <c r="F473" s="15">
        <f>IF($A473="","",ABS($E473))</f>
        <v/>
      </c>
      <c r="G473" s="15">
        <f>IF($A473="","",IF($B473=0,"eslesmedi",IF(ROUND($D473,2)=ROUND($C473,2),"eslesti",IF(ABS(ROUND($D473,2)-ROUND($C473,2))&lt;=toleransKurus,"tolerans_icinde","tutar_farki"))))</f>
        <v/>
      </c>
      <c r="H473" s="15">
        <f>IF($A473="","",IF($B473&gt;0,"BIRINCIL",IF(COUNTIF(tblAnahtarB[IkincilB],'ANAHTAR'!$D473)&gt;0,"IKINCIL","YOK")))</f>
        <v/>
      </c>
      <c r="I473" s="15">
        <f>IF($A473="","",'ANAHTAR'!$F473)</f>
        <v/>
      </c>
      <c r="J473" s="15">
        <f>IF(OR($A473="",$D473=0),0,$F473/ABS($D473))</f>
        <v/>
      </c>
      <c r="K473" s="15">
        <f>IF($A473="","",ROUND($D473,2))</f>
        <v/>
      </c>
      <c r="L473" s="15">
        <f>IF($A473="","",ROUND($C473,2))</f>
        <v/>
      </c>
      <c r="M473" s="15">
        <f>IF($A473="","",IF($F473&lt;=toleransKurus,1,0))</f>
        <v/>
      </c>
      <c r="N473" s="15">
        <f>IF($A473="","",IF($F473&gt;kdo_esikFark,1,0))</f>
        <v/>
      </c>
      <c r="O473" s="15">
        <f>IF($A473="","",IFERROR(SUMIF(tblMotor[A_Norm],$A473,tblMotor[SiparisToplam]),0))</f>
        <v/>
      </c>
      <c r="P473" s="15">
        <f>IF($A473="","",$B473+$M473+$N473)</f>
        <v/>
      </c>
    </row>
    <row r="474">
      <c r="A474" s="15">
        <f>IF('ANAHTAR'!$B474="","",'ANAHTAR'!$B474)</f>
        <v/>
      </c>
      <c r="B474" s="15">
        <f>IF($A474="","",COUNTIF(tblAnahtarB[NormB],$A474))</f>
        <v/>
      </c>
      <c r="C474" s="15">
        <f>IF($A474="","",IFERROR(SUMIF(tblMotor[A_Norm],$A474,tblMotor[SiparisToplam]),0))</f>
        <v/>
      </c>
      <c r="D474" s="15">
        <f>IF($A474="","",IFERROR(SUMIF(tblAnahtarA[Norm],$A474,tblVeriA[HedefMaliyet]),0))</f>
        <v/>
      </c>
      <c r="E474" s="15">
        <f>IF($A474="","",ROUND($D474,2)-ROUND($C474,2))</f>
        <v/>
      </c>
      <c r="F474" s="15">
        <f>IF($A474="","",ABS($E474))</f>
        <v/>
      </c>
      <c r="G474" s="15">
        <f>IF($A474="","",IF($B474=0,"eslesmedi",IF(ROUND($D474,2)=ROUND($C474,2),"eslesti",IF(ABS(ROUND($D474,2)-ROUND($C474,2))&lt;=toleransKurus,"tolerans_icinde","tutar_farki"))))</f>
        <v/>
      </c>
      <c r="H474" s="15">
        <f>IF($A474="","",IF($B474&gt;0,"BIRINCIL",IF(COUNTIF(tblAnahtarB[IkincilB],'ANAHTAR'!$D474)&gt;0,"IKINCIL","YOK")))</f>
        <v/>
      </c>
      <c r="I474" s="15">
        <f>IF($A474="","",'ANAHTAR'!$F474)</f>
        <v/>
      </c>
      <c r="J474" s="15">
        <f>IF(OR($A474="",$D474=0),0,$F474/ABS($D474))</f>
        <v/>
      </c>
      <c r="K474" s="15">
        <f>IF($A474="","",ROUND($D474,2))</f>
        <v/>
      </c>
      <c r="L474" s="15">
        <f>IF($A474="","",ROUND($C474,2))</f>
        <v/>
      </c>
      <c r="M474" s="15">
        <f>IF($A474="","",IF($F474&lt;=toleransKurus,1,0))</f>
        <v/>
      </c>
      <c r="N474" s="15">
        <f>IF($A474="","",IF($F474&gt;kdo_esikFark,1,0))</f>
        <v/>
      </c>
      <c r="O474" s="15">
        <f>IF($A474="","",IFERROR(SUMIF(tblMotor[A_Norm],$A474,tblMotor[SiparisToplam]),0))</f>
        <v/>
      </c>
      <c r="P474" s="15">
        <f>IF($A474="","",$B474+$M474+$N474)</f>
        <v/>
      </c>
    </row>
    <row r="475">
      <c r="A475" s="15">
        <f>IF('ANAHTAR'!$B475="","",'ANAHTAR'!$B475)</f>
        <v/>
      </c>
      <c r="B475" s="15">
        <f>IF($A475="","",COUNTIF(tblAnahtarB[NormB],$A475))</f>
        <v/>
      </c>
      <c r="C475" s="15">
        <f>IF($A475="","",IFERROR(SUMIF(tblMotor[A_Norm],$A475,tblMotor[SiparisToplam]),0))</f>
        <v/>
      </c>
      <c r="D475" s="15">
        <f>IF($A475="","",IFERROR(SUMIF(tblAnahtarA[Norm],$A475,tblVeriA[HedefMaliyet]),0))</f>
        <v/>
      </c>
      <c r="E475" s="15">
        <f>IF($A475="","",ROUND($D475,2)-ROUND($C475,2))</f>
        <v/>
      </c>
      <c r="F475" s="15">
        <f>IF($A475="","",ABS($E475))</f>
        <v/>
      </c>
      <c r="G475" s="15">
        <f>IF($A475="","",IF($B475=0,"eslesmedi",IF(ROUND($D475,2)=ROUND($C475,2),"eslesti",IF(ABS(ROUND($D475,2)-ROUND($C475,2))&lt;=toleransKurus,"tolerans_icinde","tutar_farki"))))</f>
        <v/>
      </c>
      <c r="H475" s="15">
        <f>IF($A475="","",IF($B475&gt;0,"BIRINCIL",IF(COUNTIF(tblAnahtarB[IkincilB],'ANAHTAR'!$D475)&gt;0,"IKINCIL","YOK")))</f>
        <v/>
      </c>
      <c r="I475" s="15">
        <f>IF($A475="","",'ANAHTAR'!$F475)</f>
        <v/>
      </c>
      <c r="J475" s="15">
        <f>IF(OR($A475="",$D475=0),0,$F475/ABS($D475))</f>
        <v/>
      </c>
      <c r="K475" s="15">
        <f>IF($A475="","",ROUND($D475,2))</f>
        <v/>
      </c>
      <c r="L475" s="15">
        <f>IF($A475="","",ROUND($C475,2))</f>
        <v/>
      </c>
      <c r="M475" s="15">
        <f>IF($A475="","",IF($F475&lt;=toleransKurus,1,0))</f>
        <v/>
      </c>
      <c r="N475" s="15">
        <f>IF($A475="","",IF($F475&gt;kdo_esikFark,1,0))</f>
        <v/>
      </c>
      <c r="O475" s="15">
        <f>IF($A475="","",IFERROR(SUMIF(tblMotor[A_Norm],$A475,tblMotor[SiparisToplam]),0))</f>
        <v/>
      </c>
      <c r="P475" s="15">
        <f>IF($A475="","",$B475+$M475+$N475)</f>
        <v/>
      </c>
    </row>
    <row r="476">
      <c r="A476" s="15">
        <f>IF('ANAHTAR'!$B476="","",'ANAHTAR'!$B476)</f>
        <v/>
      </c>
      <c r="B476" s="15">
        <f>IF($A476="","",COUNTIF(tblAnahtarB[NormB],$A476))</f>
        <v/>
      </c>
      <c r="C476" s="15">
        <f>IF($A476="","",IFERROR(SUMIF(tblMotor[A_Norm],$A476,tblMotor[SiparisToplam]),0))</f>
        <v/>
      </c>
      <c r="D476" s="15">
        <f>IF($A476="","",IFERROR(SUMIF(tblAnahtarA[Norm],$A476,tblVeriA[HedefMaliyet]),0))</f>
        <v/>
      </c>
      <c r="E476" s="15">
        <f>IF($A476="","",ROUND($D476,2)-ROUND($C476,2))</f>
        <v/>
      </c>
      <c r="F476" s="15">
        <f>IF($A476="","",ABS($E476))</f>
        <v/>
      </c>
      <c r="G476" s="15">
        <f>IF($A476="","",IF($B476=0,"eslesmedi",IF(ROUND($D476,2)=ROUND($C476,2),"eslesti",IF(ABS(ROUND($D476,2)-ROUND($C476,2))&lt;=toleransKurus,"tolerans_icinde","tutar_farki"))))</f>
        <v/>
      </c>
      <c r="H476" s="15">
        <f>IF($A476="","",IF($B476&gt;0,"BIRINCIL",IF(COUNTIF(tblAnahtarB[IkincilB],'ANAHTAR'!$D476)&gt;0,"IKINCIL","YOK")))</f>
        <v/>
      </c>
      <c r="I476" s="15">
        <f>IF($A476="","",'ANAHTAR'!$F476)</f>
        <v/>
      </c>
      <c r="J476" s="15">
        <f>IF(OR($A476="",$D476=0),0,$F476/ABS($D476))</f>
        <v/>
      </c>
      <c r="K476" s="15">
        <f>IF($A476="","",ROUND($D476,2))</f>
        <v/>
      </c>
      <c r="L476" s="15">
        <f>IF($A476="","",ROUND($C476,2))</f>
        <v/>
      </c>
      <c r="M476" s="15">
        <f>IF($A476="","",IF($F476&lt;=toleransKurus,1,0))</f>
        <v/>
      </c>
      <c r="N476" s="15">
        <f>IF($A476="","",IF($F476&gt;kdo_esikFark,1,0))</f>
        <v/>
      </c>
      <c r="O476" s="15">
        <f>IF($A476="","",IFERROR(SUMIF(tblMotor[A_Norm],$A476,tblMotor[SiparisToplam]),0))</f>
        <v/>
      </c>
      <c r="P476" s="15">
        <f>IF($A476="","",$B476+$M476+$N476)</f>
        <v/>
      </c>
    </row>
    <row r="477">
      <c r="A477" s="15">
        <f>IF('ANAHTAR'!$B477="","",'ANAHTAR'!$B477)</f>
        <v/>
      </c>
      <c r="B477" s="15">
        <f>IF($A477="","",COUNTIF(tblAnahtarB[NormB],$A477))</f>
        <v/>
      </c>
      <c r="C477" s="15">
        <f>IF($A477="","",IFERROR(SUMIF(tblMotor[A_Norm],$A477,tblMotor[SiparisToplam]),0))</f>
        <v/>
      </c>
      <c r="D477" s="15">
        <f>IF($A477="","",IFERROR(SUMIF(tblAnahtarA[Norm],$A477,tblVeriA[HedefMaliyet]),0))</f>
        <v/>
      </c>
      <c r="E477" s="15">
        <f>IF($A477="","",ROUND($D477,2)-ROUND($C477,2))</f>
        <v/>
      </c>
      <c r="F477" s="15">
        <f>IF($A477="","",ABS($E477))</f>
        <v/>
      </c>
      <c r="G477" s="15">
        <f>IF($A477="","",IF($B477=0,"eslesmedi",IF(ROUND($D477,2)=ROUND($C477,2),"eslesti",IF(ABS(ROUND($D477,2)-ROUND($C477,2))&lt;=toleransKurus,"tolerans_icinde","tutar_farki"))))</f>
        <v/>
      </c>
      <c r="H477" s="15">
        <f>IF($A477="","",IF($B477&gt;0,"BIRINCIL",IF(COUNTIF(tblAnahtarB[IkincilB],'ANAHTAR'!$D477)&gt;0,"IKINCIL","YOK")))</f>
        <v/>
      </c>
      <c r="I477" s="15">
        <f>IF($A477="","",'ANAHTAR'!$F477)</f>
        <v/>
      </c>
      <c r="J477" s="15">
        <f>IF(OR($A477="",$D477=0),0,$F477/ABS($D477))</f>
        <v/>
      </c>
      <c r="K477" s="15">
        <f>IF($A477="","",ROUND($D477,2))</f>
        <v/>
      </c>
      <c r="L477" s="15">
        <f>IF($A477="","",ROUND($C477,2))</f>
        <v/>
      </c>
      <c r="M477" s="15">
        <f>IF($A477="","",IF($F477&lt;=toleransKurus,1,0))</f>
        <v/>
      </c>
      <c r="N477" s="15">
        <f>IF($A477="","",IF($F477&gt;kdo_esikFark,1,0))</f>
        <v/>
      </c>
      <c r="O477" s="15">
        <f>IF($A477="","",IFERROR(SUMIF(tblMotor[A_Norm],$A477,tblMotor[SiparisToplam]),0))</f>
        <v/>
      </c>
      <c r="P477" s="15">
        <f>IF($A477="","",$B477+$M477+$N477)</f>
        <v/>
      </c>
    </row>
    <row r="478">
      <c r="A478" s="15">
        <f>IF('ANAHTAR'!$B478="","",'ANAHTAR'!$B478)</f>
        <v/>
      </c>
      <c r="B478" s="15">
        <f>IF($A478="","",COUNTIF(tblAnahtarB[NormB],$A478))</f>
        <v/>
      </c>
      <c r="C478" s="15">
        <f>IF($A478="","",IFERROR(SUMIF(tblMotor[A_Norm],$A478,tblMotor[SiparisToplam]),0))</f>
        <v/>
      </c>
      <c r="D478" s="15">
        <f>IF($A478="","",IFERROR(SUMIF(tblAnahtarA[Norm],$A478,tblVeriA[HedefMaliyet]),0))</f>
        <v/>
      </c>
      <c r="E478" s="15">
        <f>IF($A478="","",ROUND($D478,2)-ROUND($C478,2))</f>
        <v/>
      </c>
      <c r="F478" s="15">
        <f>IF($A478="","",ABS($E478))</f>
        <v/>
      </c>
      <c r="G478" s="15">
        <f>IF($A478="","",IF($B478=0,"eslesmedi",IF(ROUND($D478,2)=ROUND($C478,2),"eslesti",IF(ABS(ROUND($D478,2)-ROUND($C478,2))&lt;=toleransKurus,"tolerans_icinde","tutar_farki"))))</f>
        <v/>
      </c>
      <c r="H478" s="15">
        <f>IF($A478="","",IF($B478&gt;0,"BIRINCIL",IF(COUNTIF(tblAnahtarB[IkincilB],'ANAHTAR'!$D478)&gt;0,"IKINCIL","YOK")))</f>
        <v/>
      </c>
      <c r="I478" s="15">
        <f>IF($A478="","",'ANAHTAR'!$F478)</f>
        <v/>
      </c>
      <c r="J478" s="15">
        <f>IF(OR($A478="",$D478=0),0,$F478/ABS($D478))</f>
        <v/>
      </c>
      <c r="K478" s="15">
        <f>IF($A478="","",ROUND($D478,2))</f>
        <v/>
      </c>
      <c r="L478" s="15">
        <f>IF($A478="","",ROUND($C478,2))</f>
        <v/>
      </c>
      <c r="M478" s="15">
        <f>IF($A478="","",IF($F478&lt;=toleransKurus,1,0))</f>
        <v/>
      </c>
      <c r="N478" s="15">
        <f>IF($A478="","",IF($F478&gt;kdo_esikFark,1,0))</f>
        <v/>
      </c>
      <c r="O478" s="15">
        <f>IF($A478="","",IFERROR(SUMIF(tblMotor[A_Norm],$A478,tblMotor[SiparisToplam]),0))</f>
        <v/>
      </c>
      <c r="P478" s="15">
        <f>IF($A478="","",$B478+$M478+$N478)</f>
        <v/>
      </c>
    </row>
    <row r="479">
      <c r="A479" s="15">
        <f>IF('ANAHTAR'!$B479="","",'ANAHTAR'!$B479)</f>
        <v/>
      </c>
      <c r="B479" s="15">
        <f>IF($A479="","",COUNTIF(tblAnahtarB[NormB],$A479))</f>
        <v/>
      </c>
      <c r="C479" s="15">
        <f>IF($A479="","",IFERROR(SUMIF(tblMotor[A_Norm],$A479,tblMotor[SiparisToplam]),0))</f>
        <v/>
      </c>
      <c r="D479" s="15">
        <f>IF($A479="","",IFERROR(SUMIF(tblAnahtarA[Norm],$A479,tblVeriA[HedefMaliyet]),0))</f>
        <v/>
      </c>
      <c r="E479" s="15">
        <f>IF($A479="","",ROUND($D479,2)-ROUND($C479,2))</f>
        <v/>
      </c>
      <c r="F479" s="15">
        <f>IF($A479="","",ABS($E479))</f>
        <v/>
      </c>
      <c r="G479" s="15">
        <f>IF($A479="","",IF($B479=0,"eslesmedi",IF(ROUND($D479,2)=ROUND($C479,2),"eslesti",IF(ABS(ROUND($D479,2)-ROUND($C479,2))&lt;=toleransKurus,"tolerans_icinde","tutar_farki"))))</f>
        <v/>
      </c>
      <c r="H479" s="15">
        <f>IF($A479="","",IF($B479&gt;0,"BIRINCIL",IF(COUNTIF(tblAnahtarB[IkincilB],'ANAHTAR'!$D479)&gt;0,"IKINCIL","YOK")))</f>
        <v/>
      </c>
      <c r="I479" s="15">
        <f>IF($A479="","",'ANAHTAR'!$F479)</f>
        <v/>
      </c>
      <c r="J479" s="15">
        <f>IF(OR($A479="",$D479=0),0,$F479/ABS($D479))</f>
        <v/>
      </c>
      <c r="K479" s="15">
        <f>IF($A479="","",ROUND($D479,2))</f>
        <v/>
      </c>
      <c r="L479" s="15">
        <f>IF($A479="","",ROUND($C479,2))</f>
        <v/>
      </c>
      <c r="M479" s="15">
        <f>IF($A479="","",IF($F479&lt;=toleransKurus,1,0))</f>
        <v/>
      </c>
      <c r="N479" s="15">
        <f>IF($A479="","",IF($F479&gt;kdo_esikFark,1,0))</f>
        <v/>
      </c>
      <c r="O479" s="15">
        <f>IF($A479="","",IFERROR(SUMIF(tblMotor[A_Norm],$A479,tblMotor[SiparisToplam]),0))</f>
        <v/>
      </c>
      <c r="P479" s="15">
        <f>IF($A479="","",$B479+$M479+$N479)</f>
        <v/>
      </c>
    </row>
    <row r="480">
      <c r="A480" s="15">
        <f>IF('ANAHTAR'!$B480="","",'ANAHTAR'!$B480)</f>
        <v/>
      </c>
      <c r="B480" s="15">
        <f>IF($A480="","",COUNTIF(tblAnahtarB[NormB],$A480))</f>
        <v/>
      </c>
      <c r="C480" s="15">
        <f>IF($A480="","",IFERROR(SUMIF(tblMotor[A_Norm],$A480,tblMotor[SiparisToplam]),0))</f>
        <v/>
      </c>
      <c r="D480" s="15">
        <f>IF($A480="","",IFERROR(SUMIF(tblAnahtarA[Norm],$A480,tblVeriA[HedefMaliyet]),0))</f>
        <v/>
      </c>
      <c r="E480" s="15">
        <f>IF($A480="","",ROUND($D480,2)-ROUND($C480,2))</f>
        <v/>
      </c>
      <c r="F480" s="15">
        <f>IF($A480="","",ABS($E480))</f>
        <v/>
      </c>
      <c r="G480" s="15">
        <f>IF($A480="","",IF($B480=0,"eslesmedi",IF(ROUND($D480,2)=ROUND($C480,2),"eslesti",IF(ABS(ROUND($D480,2)-ROUND($C480,2))&lt;=toleransKurus,"tolerans_icinde","tutar_farki"))))</f>
        <v/>
      </c>
      <c r="H480" s="15">
        <f>IF($A480="","",IF($B480&gt;0,"BIRINCIL",IF(COUNTIF(tblAnahtarB[IkincilB],'ANAHTAR'!$D480)&gt;0,"IKINCIL","YOK")))</f>
        <v/>
      </c>
      <c r="I480" s="15">
        <f>IF($A480="","",'ANAHTAR'!$F480)</f>
        <v/>
      </c>
      <c r="J480" s="15">
        <f>IF(OR($A480="",$D480=0),0,$F480/ABS($D480))</f>
        <v/>
      </c>
      <c r="K480" s="15">
        <f>IF($A480="","",ROUND($D480,2))</f>
        <v/>
      </c>
      <c r="L480" s="15">
        <f>IF($A480="","",ROUND($C480,2))</f>
        <v/>
      </c>
      <c r="M480" s="15">
        <f>IF($A480="","",IF($F480&lt;=toleransKurus,1,0))</f>
        <v/>
      </c>
      <c r="N480" s="15">
        <f>IF($A480="","",IF($F480&gt;kdo_esikFark,1,0))</f>
        <v/>
      </c>
      <c r="O480" s="15">
        <f>IF($A480="","",IFERROR(SUMIF(tblMotor[A_Norm],$A480,tblMotor[SiparisToplam]),0))</f>
        <v/>
      </c>
      <c r="P480" s="15">
        <f>IF($A480="","",$B480+$M480+$N480)</f>
        <v/>
      </c>
    </row>
    <row r="481">
      <c r="A481" s="15">
        <f>IF('ANAHTAR'!$B481="","",'ANAHTAR'!$B481)</f>
        <v/>
      </c>
      <c r="B481" s="15">
        <f>IF($A481="","",COUNTIF(tblAnahtarB[NormB],$A481))</f>
        <v/>
      </c>
      <c r="C481" s="15">
        <f>IF($A481="","",IFERROR(SUMIF(tblMotor[A_Norm],$A481,tblMotor[SiparisToplam]),0))</f>
        <v/>
      </c>
      <c r="D481" s="15">
        <f>IF($A481="","",IFERROR(SUMIF(tblAnahtarA[Norm],$A481,tblVeriA[HedefMaliyet]),0))</f>
        <v/>
      </c>
      <c r="E481" s="15">
        <f>IF($A481="","",ROUND($D481,2)-ROUND($C481,2))</f>
        <v/>
      </c>
      <c r="F481" s="15">
        <f>IF($A481="","",ABS($E481))</f>
        <v/>
      </c>
      <c r="G481" s="15">
        <f>IF($A481="","",IF($B481=0,"eslesmedi",IF(ROUND($D481,2)=ROUND($C481,2),"eslesti",IF(ABS(ROUND($D481,2)-ROUND($C481,2))&lt;=toleransKurus,"tolerans_icinde","tutar_farki"))))</f>
        <v/>
      </c>
      <c r="H481" s="15">
        <f>IF($A481="","",IF($B481&gt;0,"BIRINCIL",IF(COUNTIF(tblAnahtarB[IkincilB],'ANAHTAR'!$D481)&gt;0,"IKINCIL","YOK")))</f>
        <v/>
      </c>
      <c r="I481" s="15">
        <f>IF($A481="","",'ANAHTAR'!$F481)</f>
        <v/>
      </c>
      <c r="J481" s="15">
        <f>IF(OR($A481="",$D481=0),0,$F481/ABS($D481))</f>
        <v/>
      </c>
      <c r="K481" s="15">
        <f>IF($A481="","",ROUND($D481,2))</f>
        <v/>
      </c>
      <c r="L481" s="15">
        <f>IF($A481="","",ROUND($C481,2))</f>
        <v/>
      </c>
      <c r="M481" s="15">
        <f>IF($A481="","",IF($F481&lt;=toleransKurus,1,0))</f>
        <v/>
      </c>
      <c r="N481" s="15">
        <f>IF($A481="","",IF($F481&gt;kdo_esikFark,1,0))</f>
        <v/>
      </c>
      <c r="O481" s="15">
        <f>IF($A481="","",IFERROR(SUMIF(tblMotor[A_Norm],$A481,tblMotor[SiparisToplam]),0))</f>
        <v/>
      </c>
      <c r="P481" s="15">
        <f>IF($A481="","",$B481+$M481+$N481)</f>
        <v/>
      </c>
    </row>
    <row r="482">
      <c r="A482" s="15">
        <f>IF('ANAHTAR'!$B482="","",'ANAHTAR'!$B482)</f>
        <v/>
      </c>
      <c r="B482" s="15">
        <f>IF($A482="","",COUNTIF(tblAnahtarB[NormB],$A482))</f>
        <v/>
      </c>
      <c r="C482" s="15">
        <f>IF($A482="","",IFERROR(SUMIF(tblMotor[A_Norm],$A482,tblMotor[SiparisToplam]),0))</f>
        <v/>
      </c>
      <c r="D482" s="15">
        <f>IF($A482="","",IFERROR(SUMIF(tblAnahtarA[Norm],$A482,tblVeriA[HedefMaliyet]),0))</f>
        <v/>
      </c>
      <c r="E482" s="15">
        <f>IF($A482="","",ROUND($D482,2)-ROUND($C482,2))</f>
        <v/>
      </c>
      <c r="F482" s="15">
        <f>IF($A482="","",ABS($E482))</f>
        <v/>
      </c>
      <c r="G482" s="15">
        <f>IF($A482="","",IF($B482=0,"eslesmedi",IF(ROUND($D482,2)=ROUND($C482,2),"eslesti",IF(ABS(ROUND($D482,2)-ROUND($C482,2))&lt;=toleransKurus,"tolerans_icinde","tutar_farki"))))</f>
        <v/>
      </c>
      <c r="H482" s="15">
        <f>IF($A482="","",IF($B482&gt;0,"BIRINCIL",IF(COUNTIF(tblAnahtarB[IkincilB],'ANAHTAR'!$D482)&gt;0,"IKINCIL","YOK")))</f>
        <v/>
      </c>
      <c r="I482" s="15">
        <f>IF($A482="","",'ANAHTAR'!$F482)</f>
        <v/>
      </c>
      <c r="J482" s="15">
        <f>IF(OR($A482="",$D482=0),0,$F482/ABS($D482))</f>
        <v/>
      </c>
      <c r="K482" s="15">
        <f>IF($A482="","",ROUND($D482,2))</f>
        <v/>
      </c>
      <c r="L482" s="15">
        <f>IF($A482="","",ROUND($C482,2))</f>
        <v/>
      </c>
      <c r="M482" s="15">
        <f>IF($A482="","",IF($F482&lt;=toleransKurus,1,0))</f>
        <v/>
      </c>
      <c r="N482" s="15">
        <f>IF($A482="","",IF($F482&gt;kdo_esikFark,1,0))</f>
        <v/>
      </c>
      <c r="O482" s="15">
        <f>IF($A482="","",IFERROR(SUMIF(tblMotor[A_Norm],$A482,tblMotor[SiparisToplam]),0))</f>
        <v/>
      </c>
      <c r="P482" s="15">
        <f>IF($A482="","",$B482+$M482+$N482)</f>
        <v/>
      </c>
    </row>
    <row r="483">
      <c r="A483" s="15">
        <f>IF('ANAHTAR'!$B483="","",'ANAHTAR'!$B483)</f>
        <v/>
      </c>
      <c r="B483" s="15">
        <f>IF($A483="","",COUNTIF(tblAnahtarB[NormB],$A483))</f>
        <v/>
      </c>
      <c r="C483" s="15">
        <f>IF($A483="","",IFERROR(SUMIF(tblMotor[A_Norm],$A483,tblMotor[SiparisToplam]),0))</f>
        <v/>
      </c>
      <c r="D483" s="15">
        <f>IF($A483="","",IFERROR(SUMIF(tblAnahtarA[Norm],$A483,tblVeriA[HedefMaliyet]),0))</f>
        <v/>
      </c>
      <c r="E483" s="15">
        <f>IF($A483="","",ROUND($D483,2)-ROUND($C483,2))</f>
        <v/>
      </c>
      <c r="F483" s="15">
        <f>IF($A483="","",ABS($E483))</f>
        <v/>
      </c>
      <c r="G483" s="15">
        <f>IF($A483="","",IF($B483=0,"eslesmedi",IF(ROUND($D483,2)=ROUND($C483,2),"eslesti",IF(ABS(ROUND($D483,2)-ROUND($C483,2))&lt;=toleransKurus,"tolerans_icinde","tutar_farki"))))</f>
        <v/>
      </c>
      <c r="H483" s="15">
        <f>IF($A483="","",IF($B483&gt;0,"BIRINCIL",IF(COUNTIF(tblAnahtarB[IkincilB],'ANAHTAR'!$D483)&gt;0,"IKINCIL","YOK")))</f>
        <v/>
      </c>
      <c r="I483" s="15">
        <f>IF($A483="","",'ANAHTAR'!$F483)</f>
        <v/>
      </c>
      <c r="J483" s="15">
        <f>IF(OR($A483="",$D483=0),0,$F483/ABS($D483))</f>
        <v/>
      </c>
      <c r="K483" s="15">
        <f>IF($A483="","",ROUND($D483,2))</f>
        <v/>
      </c>
      <c r="L483" s="15">
        <f>IF($A483="","",ROUND($C483,2))</f>
        <v/>
      </c>
      <c r="M483" s="15">
        <f>IF($A483="","",IF($F483&lt;=toleransKurus,1,0))</f>
        <v/>
      </c>
      <c r="N483" s="15">
        <f>IF($A483="","",IF($F483&gt;kdo_esikFark,1,0))</f>
        <v/>
      </c>
      <c r="O483" s="15">
        <f>IF($A483="","",IFERROR(SUMIF(tblMotor[A_Norm],$A483,tblMotor[SiparisToplam]),0))</f>
        <v/>
      </c>
      <c r="P483" s="15">
        <f>IF($A483="","",$B483+$M483+$N483)</f>
        <v/>
      </c>
    </row>
    <row r="484">
      <c r="A484" s="15">
        <f>IF('ANAHTAR'!$B484="","",'ANAHTAR'!$B484)</f>
        <v/>
      </c>
      <c r="B484" s="15">
        <f>IF($A484="","",COUNTIF(tblAnahtarB[NormB],$A484))</f>
        <v/>
      </c>
      <c r="C484" s="15">
        <f>IF($A484="","",IFERROR(SUMIF(tblMotor[A_Norm],$A484,tblMotor[SiparisToplam]),0))</f>
        <v/>
      </c>
      <c r="D484" s="15">
        <f>IF($A484="","",IFERROR(SUMIF(tblAnahtarA[Norm],$A484,tblVeriA[HedefMaliyet]),0))</f>
        <v/>
      </c>
      <c r="E484" s="15">
        <f>IF($A484="","",ROUND($D484,2)-ROUND($C484,2))</f>
        <v/>
      </c>
      <c r="F484" s="15">
        <f>IF($A484="","",ABS($E484))</f>
        <v/>
      </c>
      <c r="G484" s="15">
        <f>IF($A484="","",IF($B484=0,"eslesmedi",IF(ROUND($D484,2)=ROUND($C484,2),"eslesti",IF(ABS(ROUND($D484,2)-ROUND($C484,2))&lt;=toleransKurus,"tolerans_icinde","tutar_farki"))))</f>
        <v/>
      </c>
      <c r="H484" s="15">
        <f>IF($A484="","",IF($B484&gt;0,"BIRINCIL",IF(COUNTIF(tblAnahtarB[IkincilB],'ANAHTAR'!$D484)&gt;0,"IKINCIL","YOK")))</f>
        <v/>
      </c>
      <c r="I484" s="15">
        <f>IF($A484="","",'ANAHTAR'!$F484)</f>
        <v/>
      </c>
      <c r="J484" s="15">
        <f>IF(OR($A484="",$D484=0),0,$F484/ABS($D484))</f>
        <v/>
      </c>
      <c r="K484" s="15">
        <f>IF($A484="","",ROUND($D484,2))</f>
        <v/>
      </c>
      <c r="L484" s="15">
        <f>IF($A484="","",ROUND($C484,2))</f>
        <v/>
      </c>
      <c r="M484" s="15">
        <f>IF($A484="","",IF($F484&lt;=toleransKurus,1,0))</f>
        <v/>
      </c>
      <c r="N484" s="15">
        <f>IF($A484="","",IF($F484&gt;kdo_esikFark,1,0))</f>
        <v/>
      </c>
      <c r="O484" s="15">
        <f>IF($A484="","",IFERROR(SUMIF(tblMotor[A_Norm],$A484,tblMotor[SiparisToplam]),0))</f>
        <v/>
      </c>
      <c r="P484" s="15">
        <f>IF($A484="","",$B484+$M484+$N484)</f>
        <v/>
      </c>
    </row>
    <row r="485">
      <c r="A485" s="15">
        <f>IF('ANAHTAR'!$B485="","",'ANAHTAR'!$B485)</f>
        <v/>
      </c>
      <c r="B485" s="15">
        <f>IF($A485="","",COUNTIF(tblAnahtarB[NormB],$A485))</f>
        <v/>
      </c>
      <c r="C485" s="15">
        <f>IF($A485="","",IFERROR(SUMIF(tblMotor[A_Norm],$A485,tblMotor[SiparisToplam]),0))</f>
        <v/>
      </c>
      <c r="D485" s="15">
        <f>IF($A485="","",IFERROR(SUMIF(tblAnahtarA[Norm],$A485,tblVeriA[HedefMaliyet]),0))</f>
        <v/>
      </c>
      <c r="E485" s="15">
        <f>IF($A485="","",ROUND($D485,2)-ROUND($C485,2))</f>
        <v/>
      </c>
      <c r="F485" s="15">
        <f>IF($A485="","",ABS($E485))</f>
        <v/>
      </c>
      <c r="G485" s="15">
        <f>IF($A485="","",IF($B485=0,"eslesmedi",IF(ROUND($D485,2)=ROUND($C485,2),"eslesti",IF(ABS(ROUND($D485,2)-ROUND($C485,2))&lt;=toleransKurus,"tolerans_icinde","tutar_farki"))))</f>
        <v/>
      </c>
      <c r="H485" s="15">
        <f>IF($A485="","",IF($B485&gt;0,"BIRINCIL",IF(COUNTIF(tblAnahtarB[IkincilB],'ANAHTAR'!$D485)&gt;0,"IKINCIL","YOK")))</f>
        <v/>
      </c>
      <c r="I485" s="15">
        <f>IF($A485="","",'ANAHTAR'!$F485)</f>
        <v/>
      </c>
      <c r="J485" s="15">
        <f>IF(OR($A485="",$D485=0),0,$F485/ABS($D485))</f>
        <v/>
      </c>
      <c r="K485" s="15">
        <f>IF($A485="","",ROUND($D485,2))</f>
        <v/>
      </c>
      <c r="L485" s="15">
        <f>IF($A485="","",ROUND($C485,2))</f>
        <v/>
      </c>
      <c r="M485" s="15">
        <f>IF($A485="","",IF($F485&lt;=toleransKurus,1,0))</f>
        <v/>
      </c>
      <c r="N485" s="15">
        <f>IF($A485="","",IF($F485&gt;kdo_esikFark,1,0))</f>
        <v/>
      </c>
      <c r="O485" s="15">
        <f>IF($A485="","",IFERROR(SUMIF(tblMotor[A_Norm],$A485,tblMotor[SiparisToplam]),0))</f>
        <v/>
      </c>
      <c r="P485" s="15">
        <f>IF($A485="","",$B485+$M485+$N485)</f>
        <v/>
      </c>
    </row>
    <row r="486">
      <c r="A486" s="15">
        <f>IF('ANAHTAR'!$B486="","",'ANAHTAR'!$B486)</f>
        <v/>
      </c>
      <c r="B486" s="15">
        <f>IF($A486="","",COUNTIF(tblAnahtarB[NormB],$A486))</f>
        <v/>
      </c>
      <c r="C486" s="15">
        <f>IF($A486="","",IFERROR(SUMIF(tblMotor[A_Norm],$A486,tblMotor[SiparisToplam]),0))</f>
        <v/>
      </c>
      <c r="D486" s="15">
        <f>IF($A486="","",IFERROR(SUMIF(tblAnahtarA[Norm],$A486,tblVeriA[HedefMaliyet]),0))</f>
        <v/>
      </c>
      <c r="E486" s="15">
        <f>IF($A486="","",ROUND($D486,2)-ROUND($C486,2))</f>
        <v/>
      </c>
      <c r="F486" s="15">
        <f>IF($A486="","",ABS($E486))</f>
        <v/>
      </c>
      <c r="G486" s="15">
        <f>IF($A486="","",IF($B486=0,"eslesmedi",IF(ROUND($D486,2)=ROUND($C486,2),"eslesti",IF(ABS(ROUND($D486,2)-ROUND($C486,2))&lt;=toleransKurus,"tolerans_icinde","tutar_farki"))))</f>
        <v/>
      </c>
      <c r="H486" s="15">
        <f>IF($A486="","",IF($B486&gt;0,"BIRINCIL",IF(COUNTIF(tblAnahtarB[IkincilB],'ANAHTAR'!$D486)&gt;0,"IKINCIL","YOK")))</f>
        <v/>
      </c>
      <c r="I486" s="15">
        <f>IF($A486="","",'ANAHTAR'!$F486)</f>
        <v/>
      </c>
      <c r="J486" s="15">
        <f>IF(OR($A486="",$D486=0),0,$F486/ABS($D486))</f>
        <v/>
      </c>
      <c r="K486" s="15">
        <f>IF($A486="","",ROUND($D486,2))</f>
        <v/>
      </c>
      <c r="L486" s="15">
        <f>IF($A486="","",ROUND($C486,2))</f>
        <v/>
      </c>
      <c r="M486" s="15">
        <f>IF($A486="","",IF($F486&lt;=toleransKurus,1,0))</f>
        <v/>
      </c>
      <c r="N486" s="15">
        <f>IF($A486="","",IF($F486&gt;kdo_esikFark,1,0))</f>
        <v/>
      </c>
      <c r="O486" s="15">
        <f>IF($A486="","",IFERROR(SUMIF(tblMotor[A_Norm],$A486,tblMotor[SiparisToplam]),0))</f>
        <v/>
      </c>
      <c r="P486" s="15">
        <f>IF($A486="","",$B486+$M486+$N486)</f>
        <v/>
      </c>
    </row>
    <row r="487">
      <c r="A487" s="15">
        <f>IF('ANAHTAR'!$B487="","",'ANAHTAR'!$B487)</f>
        <v/>
      </c>
      <c r="B487" s="15">
        <f>IF($A487="","",COUNTIF(tblAnahtarB[NormB],$A487))</f>
        <v/>
      </c>
      <c r="C487" s="15">
        <f>IF($A487="","",IFERROR(SUMIF(tblMotor[A_Norm],$A487,tblMotor[SiparisToplam]),0))</f>
        <v/>
      </c>
      <c r="D487" s="15">
        <f>IF($A487="","",IFERROR(SUMIF(tblAnahtarA[Norm],$A487,tblVeriA[HedefMaliyet]),0))</f>
        <v/>
      </c>
      <c r="E487" s="15">
        <f>IF($A487="","",ROUND($D487,2)-ROUND($C487,2))</f>
        <v/>
      </c>
      <c r="F487" s="15">
        <f>IF($A487="","",ABS($E487))</f>
        <v/>
      </c>
      <c r="G487" s="15">
        <f>IF($A487="","",IF($B487=0,"eslesmedi",IF(ROUND($D487,2)=ROUND($C487,2),"eslesti",IF(ABS(ROUND($D487,2)-ROUND($C487,2))&lt;=toleransKurus,"tolerans_icinde","tutar_farki"))))</f>
        <v/>
      </c>
      <c r="H487" s="15">
        <f>IF($A487="","",IF($B487&gt;0,"BIRINCIL",IF(COUNTIF(tblAnahtarB[IkincilB],'ANAHTAR'!$D487)&gt;0,"IKINCIL","YOK")))</f>
        <v/>
      </c>
      <c r="I487" s="15">
        <f>IF($A487="","",'ANAHTAR'!$F487)</f>
        <v/>
      </c>
      <c r="J487" s="15">
        <f>IF(OR($A487="",$D487=0),0,$F487/ABS($D487))</f>
        <v/>
      </c>
      <c r="K487" s="15">
        <f>IF($A487="","",ROUND($D487,2))</f>
        <v/>
      </c>
      <c r="L487" s="15">
        <f>IF($A487="","",ROUND($C487,2))</f>
        <v/>
      </c>
      <c r="M487" s="15">
        <f>IF($A487="","",IF($F487&lt;=toleransKurus,1,0))</f>
        <v/>
      </c>
      <c r="N487" s="15">
        <f>IF($A487="","",IF($F487&gt;kdo_esikFark,1,0))</f>
        <v/>
      </c>
      <c r="O487" s="15">
        <f>IF($A487="","",IFERROR(SUMIF(tblMotor[A_Norm],$A487,tblMotor[SiparisToplam]),0))</f>
        <v/>
      </c>
      <c r="P487" s="15">
        <f>IF($A487="","",$B487+$M487+$N487)</f>
        <v/>
      </c>
    </row>
    <row r="488">
      <c r="A488" s="15">
        <f>IF('ANAHTAR'!$B488="","",'ANAHTAR'!$B488)</f>
        <v/>
      </c>
      <c r="B488" s="15">
        <f>IF($A488="","",COUNTIF(tblAnahtarB[NormB],$A488))</f>
        <v/>
      </c>
      <c r="C488" s="15">
        <f>IF($A488="","",IFERROR(SUMIF(tblMotor[A_Norm],$A488,tblMotor[SiparisToplam]),0))</f>
        <v/>
      </c>
      <c r="D488" s="15">
        <f>IF($A488="","",IFERROR(SUMIF(tblAnahtarA[Norm],$A488,tblVeriA[HedefMaliyet]),0))</f>
        <v/>
      </c>
      <c r="E488" s="15">
        <f>IF($A488="","",ROUND($D488,2)-ROUND($C488,2))</f>
        <v/>
      </c>
      <c r="F488" s="15">
        <f>IF($A488="","",ABS($E488))</f>
        <v/>
      </c>
      <c r="G488" s="15">
        <f>IF($A488="","",IF($B488=0,"eslesmedi",IF(ROUND($D488,2)=ROUND($C488,2),"eslesti",IF(ABS(ROUND($D488,2)-ROUND($C488,2))&lt;=toleransKurus,"tolerans_icinde","tutar_farki"))))</f>
        <v/>
      </c>
      <c r="H488" s="15">
        <f>IF($A488="","",IF($B488&gt;0,"BIRINCIL",IF(COUNTIF(tblAnahtarB[IkincilB],'ANAHTAR'!$D488)&gt;0,"IKINCIL","YOK")))</f>
        <v/>
      </c>
      <c r="I488" s="15">
        <f>IF($A488="","",'ANAHTAR'!$F488)</f>
        <v/>
      </c>
      <c r="J488" s="15">
        <f>IF(OR($A488="",$D488=0),0,$F488/ABS($D488))</f>
        <v/>
      </c>
      <c r="K488" s="15">
        <f>IF($A488="","",ROUND($D488,2))</f>
        <v/>
      </c>
      <c r="L488" s="15">
        <f>IF($A488="","",ROUND($C488,2))</f>
        <v/>
      </c>
      <c r="M488" s="15">
        <f>IF($A488="","",IF($F488&lt;=toleransKurus,1,0))</f>
        <v/>
      </c>
      <c r="N488" s="15">
        <f>IF($A488="","",IF($F488&gt;kdo_esikFark,1,0))</f>
        <v/>
      </c>
      <c r="O488" s="15">
        <f>IF($A488="","",IFERROR(SUMIF(tblMotor[A_Norm],$A488,tblMotor[SiparisToplam]),0))</f>
        <v/>
      </c>
      <c r="P488" s="15">
        <f>IF($A488="","",$B488+$M488+$N488)</f>
        <v/>
      </c>
    </row>
    <row r="489">
      <c r="A489" s="15">
        <f>IF('ANAHTAR'!$B489="","",'ANAHTAR'!$B489)</f>
        <v/>
      </c>
      <c r="B489" s="15">
        <f>IF($A489="","",COUNTIF(tblAnahtarB[NormB],$A489))</f>
        <v/>
      </c>
      <c r="C489" s="15">
        <f>IF($A489="","",IFERROR(SUMIF(tblMotor[A_Norm],$A489,tblMotor[SiparisToplam]),0))</f>
        <v/>
      </c>
      <c r="D489" s="15">
        <f>IF($A489="","",IFERROR(SUMIF(tblAnahtarA[Norm],$A489,tblVeriA[HedefMaliyet]),0))</f>
        <v/>
      </c>
      <c r="E489" s="15">
        <f>IF($A489="","",ROUND($D489,2)-ROUND($C489,2))</f>
        <v/>
      </c>
      <c r="F489" s="15">
        <f>IF($A489="","",ABS($E489))</f>
        <v/>
      </c>
      <c r="G489" s="15">
        <f>IF($A489="","",IF($B489=0,"eslesmedi",IF(ROUND($D489,2)=ROUND($C489,2),"eslesti",IF(ABS(ROUND($D489,2)-ROUND($C489,2))&lt;=toleransKurus,"tolerans_icinde","tutar_farki"))))</f>
        <v/>
      </c>
      <c r="H489" s="15">
        <f>IF($A489="","",IF($B489&gt;0,"BIRINCIL",IF(COUNTIF(tblAnahtarB[IkincilB],'ANAHTAR'!$D489)&gt;0,"IKINCIL","YOK")))</f>
        <v/>
      </c>
      <c r="I489" s="15">
        <f>IF($A489="","",'ANAHTAR'!$F489)</f>
        <v/>
      </c>
      <c r="J489" s="15">
        <f>IF(OR($A489="",$D489=0),0,$F489/ABS($D489))</f>
        <v/>
      </c>
      <c r="K489" s="15">
        <f>IF($A489="","",ROUND($D489,2))</f>
        <v/>
      </c>
      <c r="L489" s="15">
        <f>IF($A489="","",ROUND($C489,2))</f>
        <v/>
      </c>
      <c r="M489" s="15">
        <f>IF($A489="","",IF($F489&lt;=toleransKurus,1,0))</f>
        <v/>
      </c>
      <c r="N489" s="15">
        <f>IF($A489="","",IF($F489&gt;kdo_esikFark,1,0))</f>
        <v/>
      </c>
      <c r="O489" s="15">
        <f>IF($A489="","",IFERROR(SUMIF(tblMotor[A_Norm],$A489,tblMotor[SiparisToplam]),0))</f>
        <v/>
      </c>
      <c r="P489" s="15">
        <f>IF($A489="","",$B489+$M489+$N489)</f>
        <v/>
      </c>
    </row>
    <row r="490">
      <c r="A490" s="15">
        <f>IF('ANAHTAR'!$B490="","",'ANAHTAR'!$B490)</f>
        <v/>
      </c>
      <c r="B490" s="15">
        <f>IF($A490="","",COUNTIF(tblAnahtarB[NormB],$A490))</f>
        <v/>
      </c>
      <c r="C490" s="15">
        <f>IF($A490="","",IFERROR(SUMIF(tblMotor[A_Norm],$A490,tblMotor[SiparisToplam]),0))</f>
        <v/>
      </c>
      <c r="D490" s="15">
        <f>IF($A490="","",IFERROR(SUMIF(tblAnahtarA[Norm],$A490,tblVeriA[HedefMaliyet]),0))</f>
        <v/>
      </c>
      <c r="E490" s="15">
        <f>IF($A490="","",ROUND($D490,2)-ROUND($C490,2))</f>
        <v/>
      </c>
      <c r="F490" s="15">
        <f>IF($A490="","",ABS($E490))</f>
        <v/>
      </c>
      <c r="G490" s="15">
        <f>IF($A490="","",IF($B490=0,"eslesmedi",IF(ROUND($D490,2)=ROUND($C490,2),"eslesti",IF(ABS(ROUND($D490,2)-ROUND($C490,2))&lt;=toleransKurus,"tolerans_icinde","tutar_farki"))))</f>
        <v/>
      </c>
      <c r="H490" s="15">
        <f>IF($A490="","",IF($B490&gt;0,"BIRINCIL",IF(COUNTIF(tblAnahtarB[IkincilB],'ANAHTAR'!$D490)&gt;0,"IKINCIL","YOK")))</f>
        <v/>
      </c>
      <c r="I490" s="15">
        <f>IF($A490="","",'ANAHTAR'!$F490)</f>
        <v/>
      </c>
      <c r="J490" s="15">
        <f>IF(OR($A490="",$D490=0),0,$F490/ABS($D490))</f>
        <v/>
      </c>
      <c r="K490" s="15">
        <f>IF($A490="","",ROUND($D490,2))</f>
        <v/>
      </c>
      <c r="L490" s="15">
        <f>IF($A490="","",ROUND($C490,2))</f>
        <v/>
      </c>
      <c r="M490" s="15">
        <f>IF($A490="","",IF($F490&lt;=toleransKurus,1,0))</f>
        <v/>
      </c>
      <c r="N490" s="15">
        <f>IF($A490="","",IF($F490&gt;kdo_esikFark,1,0))</f>
        <v/>
      </c>
      <c r="O490" s="15">
        <f>IF($A490="","",IFERROR(SUMIF(tblMotor[A_Norm],$A490,tblMotor[SiparisToplam]),0))</f>
        <v/>
      </c>
      <c r="P490" s="15">
        <f>IF($A490="","",$B490+$M490+$N490)</f>
        <v/>
      </c>
    </row>
    <row r="491">
      <c r="A491" s="15">
        <f>IF('ANAHTAR'!$B491="","",'ANAHTAR'!$B491)</f>
        <v/>
      </c>
      <c r="B491" s="15">
        <f>IF($A491="","",COUNTIF(tblAnahtarB[NormB],$A491))</f>
        <v/>
      </c>
      <c r="C491" s="15">
        <f>IF($A491="","",IFERROR(SUMIF(tblMotor[A_Norm],$A491,tblMotor[SiparisToplam]),0))</f>
        <v/>
      </c>
      <c r="D491" s="15">
        <f>IF($A491="","",IFERROR(SUMIF(tblAnahtarA[Norm],$A491,tblVeriA[HedefMaliyet]),0))</f>
        <v/>
      </c>
      <c r="E491" s="15">
        <f>IF($A491="","",ROUND($D491,2)-ROUND($C491,2))</f>
        <v/>
      </c>
      <c r="F491" s="15">
        <f>IF($A491="","",ABS($E491))</f>
        <v/>
      </c>
      <c r="G491" s="15">
        <f>IF($A491="","",IF($B491=0,"eslesmedi",IF(ROUND($D491,2)=ROUND($C491,2),"eslesti",IF(ABS(ROUND($D491,2)-ROUND($C491,2))&lt;=toleransKurus,"tolerans_icinde","tutar_farki"))))</f>
        <v/>
      </c>
      <c r="H491" s="15">
        <f>IF($A491="","",IF($B491&gt;0,"BIRINCIL",IF(COUNTIF(tblAnahtarB[IkincilB],'ANAHTAR'!$D491)&gt;0,"IKINCIL","YOK")))</f>
        <v/>
      </c>
      <c r="I491" s="15">
        <f>IF($A491="","",'ANAHTAR'!$F491)</f>
        <v/>
      </c>
      <c r="J491" s="15">
        <f>IF(OR($A491="",$D491=0),0,$F491/ABS($D491))</f>
        <v/>
      </c>
      <c r="K491" s="15">
        <f>IF($A491="","",ROUND($D491,2))</f>
        <v/>
      </c>
      <c r="L491" s="15">
        <f>IF($A491="","",ROUND($C491,2))</f>
        <v/>
      </c>
      <c r="M491" s="15">
        <f>IF($A491="","",IF($F491&lt;=toleransKurus,1,0))</f>
        <v/>
      </c>
      <c r="N491" s="15">
        <f>IF($A491="","",IF($F491&gt;kdo_esikFark,1,0))</f>
        <v/>
      </c>
      <c r="O491" s="15">
        <f>IF($A491="","",IFERROR(SUMIF(tblMotor[A_Norm],$A491,tblMotor[SiparisToplam]),0))</f>
        <v/>
      </c>
      <c r="P491" s="15">
        <f>IF($A491="","",$B491+$M491+$N491)</f>
        <v/>
      </c>
    </row>
    <row r="492">
      <c r="A492" s="15">
        <f>IF('ANAHTAR'!$B492="","",'ANAHTAR'!$B492)</f>
        <v/>
      </c>
      <c r="B492" s="15">
        <f>IF($A492="","",COUNTIF(tblAnahtarB[NormB],$A492))</f>
        <v/>
      </c>
      <c r="C492" s="15">
        <f>IF($A492="","",IFERROR(SUMIF(tblMotor[A_Norm],$A492,tblMotor[SiparisToplam]),0))</f>
        <v/>
      </c>
      <c r="D492" s="15">
        <f>IF($A492="","",IFERROR(SUMIF(tblAnahtarA[Norm],$A492,tblVeriA[HedefMaliyet]),0))</f>
        <v/>
      </c>
      <c r="E492" s="15">
        <f>IF($A492="","",ROUND($D492,2)-ROUND($C492,2))</f>
        <v/>
      </c>
      <c r="F492" s="15">
        <f>IF($A492="","",ABS($E492))</f>
        <v/>
      </c>
      <c r="G492" s="15">
        <f>IF($A492="","",IF($B492=0,"eslesmedi",IF(ROUND($D492,2)=ROUND($C492,2),"eslesti",IF(ABS(ROUND($D492,2)-ROUND($C492,2))&lt;=toleransKurus,"tolerans_icinde","tutar_farki"))))</f>
        <v/>
      </c>
      <c r="H492" s="15">
        <f>IF($A492="","",IF($B492&gt;0,"BIRINCIL",IF(COUNTIF(tblAnahtarB[IkincilB],'ANAHTAR'!$D492)&gt;0,"IKINCIL","YOK")))</f>
        <v/>
      </c>
      <c r="I492" s="15">
        <f>IF($A492="","",'ANAHTAR'!$F492)</f>
        <v/>
      </c>
      <c r="J492" s="15">
        <f>IF(OR($A492="",$D492=0),0,$F492/ABS($D492))</f>
        <v/>
      </c>
      <c r="K492" s="15">
        <f>IF($A492="","",ROUND($D492,2))</f>
        <v/>
      </c>
      <c r="L492" s="15">
        <f>IF($A492="","",ROUND($C492,2))</f>
        <v/>
      </c>
      <c r="M492" s="15">
        <f>IF($A492="","",IF($F492&lt;=toleransKurus,1,0))</f>
        <v/>
      </c>
      <c r="N492" s="15">
        <f>IF($A492="","",IF($F492&gt;kdo_esikFark,1,0))</f>
        <v/>
      </c>
      <c r="O492" s="15">
        <f>IF($A492="","",IFERROR(SUMIF(tblMotor[A_Norm],$A492,tblMotor[SiparisToplam]),0))</f>
        <v/>
      </c>
      <c r="P492" s="15">
        <f>IF($A492="","",$B492+$M492+$N492)</f>
        <v/>
      </c>
    </row>
    <row r="493">
      <c r="A493" s="15">
        <f>IF('ANAHTAR'!$B493="","",'ANAHTAR'!$B493)</f>
        <v/>
      </c>
      <c r="B493" s="15">
        <f>IF($A493="","",COUNTIF(tblAnahtarB[NormB],$A493))</f>
        <v/>
      </c>
      <c r="C493" s="15">
        <f>IF($A493="","",IFERROR(SUMIF(tblMotor[A_Norm],$A493,tblMotor[SiparisToplam]),0))</f>
        <v/>
      </c>
      <c r="D493" s="15">
        <f>IF($A493="","",IFERROR(SUMIF(tblAnahtarA[Norm],$A493,tblVeriA[HedefMaliyet]),0))</f>
        <v/>
      </c>
      <c r="E493" s="15">
        <f>IF($A493="","",ROUND($D493,2)-ROUND($C493,2))</f>
        <v/>
      </c>
      <c r="F493" s="15">
        <f>IF($A493="","",ABS($E493))</f>
        <v/>
      </c>
      <c r="G493" s="15">
        <f>IF($A493="","",IF($B493=0,"eslesmedi",IF(ROUND($D493,2)=ROUND($C493,2),"eslesti",IF(ABS(ROUND($D493,2)-ROUND($C493,2))&lt;=toleransKurus,"tolerans_icinde","tutar_farki"))))</f>
        <v/>
      </c>
      <c r="H493" s="15">
        <f>IF($A493="","",IF($B493&gt;0,"BIRINCIL",IF(COUNTIF(tblAnahtarB[IkincilB],'ANAHTAR'!$D493)&gt;0,"IKINCIL","YOK")))</f>
        <v/>
      </c>
      <c r="I493" s="15">
        <f>IF($A493="","",'ANAHTAR'!$F493)</f>
        <v/>
      </c>
      <c r="J493" s="15">
        <f>IF(OR($A493="",$D493=0),0,$F493/ABS($D493))</f>
        <v/>
      </c>
      <c r="K493" s="15">
        <f>IF($A493="","",ROUND($D493,2))</f>
        <v/>
      </c>
      <c r="L493" s="15">
        <f>IF($A493="","",ROUND($C493,2))</f>
        <v/>
      </c>
      <c r="M493" s="15">
        <f>IF($A493="","",IF($F493&lt;=toleransKurus,1,0))</f>
        <v/>
      </c>
      <c r="N493" s="15">
        <f>IF($A493="","",IF($F493&gt;kdo_esikFark,1,0))</f>
        <v/>
      </c>
      <c r="O493" s="15">
        <f>IF($A493="","",IFERROR(SUMIF(tblMotor[A_Norm],$A493,tblMotor[SiparisToplam]),0))</f>
        <v/>
      </c>
      <c r="P493" s="15">
        <f>IF($A493="","",$B493+$M493+$N493)</f>
        <v/>
      </c>
    </row>
    <row r="494">
      <c r="A494" s="15">
        <f>IF('ANAHTAR'!$B494="","",'ANAHTAR'!$B494)</f>
        <v/>
      </c>
      <c r="B494" s="15">
        <f>IF($A494="","",COUNTIF(tblAnahtarB[NormB],$A494))</f>
        <v/>
      </c>
      <c r="C494" s="15">
        <f>IF($A494="","",IFERROR(SUMIF(tblMotor[A_Norm],$A494,tblMotor[SiparisToplam]),0))</f>
        <v/>
      </c>
      <c r="D494" s="15">
        <f>IF($A494="","",IFERROR(SUMIF(tblAnahtarA[Norm],$A494,tblVeriA[HedefMaliyet]),0))</f>
        <v/>
      </c>
      <c r="E494" s="15">
        <f>IF($A494="","",ROUND($D494,2)-ROUND($C494,2))</f>
        <v/>
      </c>
      <c r="F494" s="15">
        <f>IF($A494="","",ABS($E494))</f>
        <v/>
      </c>
      <c r="G494" s="15">
        <f>IF($A494="","",IF($B494=0,"eslesmedi",IF(ROUND($D494,2)=ROUND($C494,2),"eslesti",IF(ABS(ROUND($D494,2)-ROUND($C494,2))&lt;=toleransKurus,"tolerans_icinde","tutar_farki"))))</f>
        <v/>
      </c>
      <c r="H494" s="15">
        <f>IF($A494="","",IF($B494&gt;0,"BIRINCIL",IF(COUNTIF(tblAnahtarB[IkincilB],'ANAHTAR'!$D494)&gt;0,"IKINCIL","YOK")))</f>
        <v/>
      </c>
      <c r="I494" s="15">
        <f>IF($A494="","",'ANAHTAR'!$F494)</f>
        <v/>
      </c>
      <c r="J494" s="15">
        <f>IF(OR($A494="",$D494=0),0,$F494/ABS($D494))</f>
        <v/>
      </c>
      <c r="K494" s="15">
        <f>IF($A494="","",ROUND($D494,2))</f>
        <v/>
      </c>
      <c r="L494" s="15">
        <f>IF($A494="","",ROUND($C494,2))</f>
        <v/>
      </c>
      <c r="M494" s="15">
        <f>IF($A494="","",IF($F494&lt;=toleransKurus,1,0))</f>
        <v/>
      </c>
      <c r="N494" s="15">
        <f>IF($A494="","",IF($F494&gt;kdo_esikFark,1,0))</f>
        <v/>
      </c>
      <c r="O494" s="15">
        <f>IF($A494="","",IFERROR(SUMIF(tblMotor[A_Norm],$A494,tblMotor[SiparisToplam]),0))</f>
        <v/>
      </c>
      <c r="P494" s="15">
        <f>IF($A494="","",$B494+$M494+$N494)</f>
        <v/>
      </c>
    </row>
    <row r="495">
      <c r="A495" s="15">
        <f>IF('ANAHTAR'!$B495="","",'ANAHTAR'!$B495)</f>
        <v/>
      </c>
      <c r="B495" s="15">
        <f>IF($A495="","",COUNTIF(tblAnahtarB[NormB],$A495))</f>
        <v/>
      </c>
      <c r="C495" s="15">
        <f>IF($A495="","",IFERROR(SUMIF(tblMotor[A_Norm],$A495,tblMotor[SiparisToplam]),0))</f>
        <v/>
      </c>
      <c r="D495" s="15">
        <f>IF($A495="","",IFERROR(SUMIF(tblAnahtarA[Norm],$A495,tblVeriA[HedefMaliyet]),0))</f>
        <v/>
      </c>
      <c r="E495" s="15">
        <f>IF($A495="","",ROUND($D495,2)-ROUND($C495,2))</f>
        <v/>
      </c>
      <c r="F495" s="15">
        <f>IF($A495="","",ABS($E495))</f>
        <v/>
      </c>
      <c r="G495" s="15">
        <f>IF($A495="","",IF($B495=0,"eslesmedi",IF(ROUND($D495,2)=ROUND($C495,2),"eslesti",IF(ABS(ROUND($D495,2)-ROUND($C495,2))&lt;=toleransKurus,"tolerans_icinde","tutar_farki"))))</f>
        <v/>
      </c>
      <c r="H495" s="15">
        <f>IF($A495="","",IF($B495&gt;0,"BIRINCIL",IF(COUNTIF(tblAnahtarB[IkincilB],'ANAHTAR'!$D495)&gt;0,"IKINCIL","YOK")))</f>
        <v/>
      </c>
      <c r="I495" s="15">
        <f>IF($A495="","",'ANAHTAR'!$F495)</f>
        <v/>
      </c>
      <c r="J495" s="15">
        <f>IF(OR($A495="",$D495=0),0,$F495/ABS($D495))</f>
        <v/>
      </c>
      <c r="K495" s="15">
        <f>IF($A495="","",ROUND($D495,2))</f>
        <v/>
      </c>
      <c r="L495" s="15">
        <f>IF($A495="","",ROUND($C495,2))</f>
        <v/>
      </c>
      <c r="M495" s="15">
        <f>IF($A495="","",IF($F495&lt;=toleransKurus,1,0))</f>
        <v/>
      </c>
      <c r="N495" s="15">
        <f>IF($A495="","",IF($F495&gt;kdo_esikFark,1,0))</f>
        <v/>
      </c>
      <c r="O495" s="15">
        <f>IF($A495="","",IFERROR(SUMIF(tblMotor[A_Norm],$A495,tblMotor[SiparisToplam]),0))</f>
        <v/>
      </c>
      <c r="P495" s="15">
        <f>IF($A495="","",$B495+$M495+$N495)</f>
        <v/>
      </c>
    </row>
    <row r="496">
      <c r="A496" s="15">
        <f>IF('ANAHTAR'!$B496="","",'ANAHTAR'!$B496)</f>
        <v/>
      </c>
      <c r="B496" s="15">
        <f>IF($A496="","",COUNTIF(tblAnahtarB[NormB],$A496))</f>
        <v/>
      </c>
      <c r="C496" s="15">
        <f>IF($A496="","",IFERROR(SUMIF(tblMotor[A_Norm],$A496,tblMotor[SiparisToplam]),0))</f>
        <v/>
      </c>
      <c r="D496" s="15">
        <f>IF($A496="","",IFERROR(SUMIF(tblAnahtarA[Norm],$A496,tblVeriA[HedefMaliyet]),0))</f>
        <v/>
      </c>
      <c r="E496" s="15">
        <f>IF($A496="","",ROUND($D496,2)-ROUND($C496,2))</f>
        <v/>
      </c>
      <c r="F496" s="15">
        <f>IF($A496="","",ABS($E496))</f>
        <v/>
      </c>
      <c r="G496" s="15">
        <f>IF($A496="","",IF($B496=0,"eslesmedi",IF(ROUND($D496,2)=ROUND($C496,2),"eslesti",IF(ABS(ROUND($D496,2)-ROUND($C496,2))&lt;=toleransKurus,"tolerans_icinde","tutar_farki"))))</f>
        <v/>
      </c>
      <c r="H496" s="15">
        <f>IF($A496="","",IF($B496&gt;0,"BIRINCIL",IF(COUNTIF(tblAnahtarB[IkincilB],'ANAHTAR'!$D496)&gt;0,"IKINCIL","YOK")))</f>
        <v/>
      </c>
      <c r="I496" s="15">
        <f>IF($A496="","",'ANAHTAR'!$F496)</f>
        <v/>
      </c>
      <c r="J496" s="15">
        <f>IF(OR($A496="",$D496=0),0,$F496/ABS($D496))</f>
        <v/>
      </c>
      <c r="K496" s="15">
        <f>IF($A496="","",ROUND($D496,2))</f>
        <v/>
      </c>
      <c r="L496" s="15">
        <f>IF($A496="","",ROUND($C496,2))</f>
        <v/>
      </c>
      <c r="M496" s="15">
        <f>IF($A496="","",IF($F496&lt;=toleransKurus,1,0))</f>
        <v/>
      </c>
      <c r="N496" s="15">
        <f>IF($A496="","",IF($F496&gt;kdo_esikFark,1,0))</f>
        <v/>
      </c>
      <c r="O496" s="15">
        <f>IF($A496="","",IFERROR(SUMIF(tblMotor[A_Norm],$A496,tblMotor[SiparisToplam]),0))</f>
        <v/>
      </c>
      <c r="P496" s="15">
        <f>IF($A496="","",$B496+$M496+$N496)</f>
        <v/>
      </c>
    </row>
    <row r="497">
      <c r="A497" s="15">
        <f>IF('ANAHTAR'!$B497="","",'ANAHTAR'!$B497)</f>
        <v/>
      </c>
      <c r="B497" s="15">
        <f>IF($A497="","",COUNTIF(tblAnahtarB[NormB],$A497))</f>
        <v/>
      </c>
      <c r="C497" s="15">
        <f>IF($A497="","",IFERROR(SUMIF(tblMotor[A_Norm],$A497,tblMotor[SiparisToplam]),0))</f>
        <v/>
      </c>
      <c r="D497" s="15">
        <f>IF($A497="","",IFERROR(SUMIF(tblAnahtarA[Norm],$A497,tblVeriA[HedefMaliyet]),0))</f>
        <v/>
      </c>
      <c r="E497" s="15">
        <f>IF($A497="","",ROUND($D497,2)-ROUND($C497,2))</f>
        <v/>
      </c>
      <c r="F497" s="15">
        <f>IF($A497="","",ABS($E497))</f>
        <v/>
      </c>
      <c r="G497" s="15">
        <f>IF($A497="","",IF($B497=0,"eslesmedi",IF(ROUND($D497,2)=ROUND($C497,2),"eslesti",IF(ABS(ROUND($D497,2)-ROUND($C497,2))&lt;=toleransKurus,"tolerans_icinde","tutar_farki"))))</f>
        <v/>
      </c>
      <c r="H497" s="15">
        <f>IF($A497="","",IF($B497&gt;0,"BIRINCIL",IF(COUNTIF(tblAnahtarB[IkincilB],'ANAHTAR'!$D497)&gt;0,"IKINCIL","YOK")))</f>
        <v/>
      </c>
      <c r="I497" s="15">
        <f>IF($A497="","",'ANAHTAR'!$F497)</f>
        <v/>
      </c>
      <c r="J497" s="15">
        <f>IF(OR($A497="",$D497=0),0,$F497/ABS($D497))</f>
        <v/>
      </c>
      <c r="K497" s="15">
        <f>IF($A497="","",ROUND($D497,2))</f>
        <v/>
      </c>
      <c r="L497" s="15">
        <f>IF($A497="","",ROUND($C497,2))</f>
        <v/>
      </c>
      <c r="M497" s="15">
        <f>IF($A497="","",IF($F497&lt;=toleransKurus,1,0))</f>
        <v/>
      </c>
      <c r="N497" s="15">
        <f>IF($A497="","",IF($F497&gt;kdo_esikFark,1,0))</f>
        <v/>
      </c>
      <c r="O497" s="15">
        <f>IF($A497="","",IFERROR(SUMIF(tblMotor[A_Norm],$A497,tblMotor[SiparisToplam]),0))</f>
        <v/>
      </c>
      <c r="P497" s="15">
        <f>IF($A497="","",$B497+$M497+$N497)</f>
        <v/>
      </c>
    </row>
    <row r="498">
      <c r="A498" s="15">
        <f>IF('ANAHTAR'!$B498="","",'ANAHTAR'!$B498)</f>
        <v/>
      </c>
      <c r="B498" s="15">
        <f>IF($A498="","",COUNTIF(tblAnahtarB[NormB],$A498))</f>
        <v/>
      </c>
      <c r="C498" s="15">
        <f>IF($A498="","",IFERROR(SUMIF(tblMotor[A_Norm],$A498,tblMotor[SiparisToplam]),0))</f>
        <v/>
      </c>
      <c r="D498" s="15">
        <f>IF($A498="","",IFERROR(SUMIF(tblAnahtarA[Norm],$A498,tblVeriA[HedefMaliyet]),0))</f>
        <v/>
      </c>
      <c r="E498" s="15">
        <f>IF($A498="","",ROUND($D498,2)-ROUND($C498,2))</f>
        <v/>
      </c>
      <c r="F498" s="15">
        <f>IF($A498="","",ABS($E498))</f>
        <v/>
      </c>
      <c r="G498" s="15">
        <f>IF($A498="","",IF($B498=0,"eslesmedi",IF(ROUND($D498,2)=ROUND($C498,2),"eslesti",IF(ABS(ROUND($D498,2)-ROUND($C498,2))&lt;=toleransKurus,"tolerans_icinde","tutar_farki"))))</f>
        <v/>
      </c>
      <c r="H498" s="15">
        <f>IF($A498="","",IF($B498&gt;0,"BIRINCIL",IF(COUNTIF(tblAnahtarB[IkincilB],'ANAHTAR'!$D498)&gt;0,"IKINCIL","YOK")))</f>
        <v/>
      </c>
      <c r="I498" s="15">
        <f>IF($A498="","",'ANAHTAR'!$F498)</f>
        <v/>
      </c>
      <c r="J498" s="15">
        <f>IF(OR($A498="",$D498=0),0,$F498/ABS($D498))</f>
        <v/>
      </c>
      <c r="K498" s="15">
        <f>IF($A498="","",ROUND($D498,2))</f>
        <v/>
      </c>
      <c r="L498" s="15">
        <f>IF($A498="","",ROUND($C498,2))</f>
        <v/>
      </c>
      <c r="M498" s="15">
        <f>IF($A498="","",IF($F498&lt;=toleransKurus,1,0))</f>
        <v/>
      </c>
      <c r="N498" s="15">
        <f>IF($A498="","",IF($F498&gt;kdo_esikFark,1,0))</f>
        <v/>
      </c>
      <c r="O498" s="15">
        <f>IF($A498="","",IFERROR(SUMIF(tblMotor[A_Norm],$A498,tblMotor[SiparisToplam]),0))</f>
        <v/>
      </c>
      <c r="P498" s="15">
        <f>IF($A498="","",$B498+$M498+$N498)</f>
        <v/>
      </c>
    </row>
    <row r="499">
      <c r="A499" s="15">
        <f>IF('ANAHTAR'!$B499="","",'ANAHTAR'!$B499)</f>
        <v/>
      </c>
      <c r="B499" s="15">
        <f>IF($A499="","",COUNTIF(tblAnahtarB[NormB],$A499))</f>
        <v/>
      </c>
      <c r="C499" s="15">
        <f>IF($A499="","",IFERROR(SUMIF(tblMotor[A_Norm],$A499,tblMotor[SiparisToplam]),0))</f>
        <v/>
      </c>
      <c r="D499" s="15">
        <f>IF($A499="","",IFERROR(SUMIF(tblAnahtarA[Norm],$A499,tblVeriA[HedefMaliyet]),0))</f>
        <v/>
      </c>
      <c r="E499" s="15">
        <f>IF($A499="","",ROUND($D499,2)-ROUND($C499,2))</f>
        <v/>
      </c>
      <c r="F499" s="15">
        <f>IF($A499="","",ABS($E499))</f>
        <v/>
      </c>
      <c r="G499" s="15">
        <f>IF($A499="","",IF($B499=0,"eslesmedi",IF(ROUND($D499,2)=ROUND($C499,2),"eslesti",IF(ABS(ROUND($D499,2)-ROUND($C499,2))&lt;=toleransKurus,"tolerans_icinde","tutar_farki"))))</f>
        <v/>
      </c>
      <c r="H499" s="15">
        <f>IF($A499="","",IF($B499&gt;0,"BIRINCIL",IF(COUNTIF(tblAnahtarB[IkincilB],'ANAHTAR'!$D499)&gt;0,"IKINCIL","YOK")))</f>
        <v/>
      </c>
      <c r="I499" s="15">
        <f>IF($A499="","",'ANAHTAR'!$F499)</f>
        <v/>
      </c>
      <c r="J499" s="15">
        <f>IF(OR($A499="",$D499=0),0,$F499/ABS($D499))</f>
        <v/>
      </c>
      <c r="K499" s="15">
        <f>IF($A499="","",ROUND($D499,2))</f>
        <v/>
      </c>
      <c r="L499" s="15">
        <f>IF($A499="","",ROUND($C499,2))</f>
        <v/>
      </c>
      <c r="M499" s="15">
        <f>IF($A499="","",IF($F499&lt;=toleransKurus,1,0))</f>
        <v/>
      </c>
      <c r="N499" s="15">
        <f>IF($A499="","",IF($F499&gt;kdo_esikFark,1,0))</f>
        <v/>
      </c>
      <c r="O499" s="15">
        <f>IF($A499="","",IFERROR(SUMIF(tblMotor[A_Norm],$A499,tblMotor[SiparisToplam]),0))</f>
        <v/>
      </c>
      <c r="P499" s="15">
        <f>IF($A499="","",$B499+$M499+$N499)</f>
        <v/>
      </c>
    </row>
    <row r="500">
      <c r="A500" s="15">
        <f>IF('ANAHTAR'!$B500="","",'ANAHTAR'!$B500)</f>
        <v/>
      </c>
      <c r="B500" s="15">
        <f>IF($A500="","",COUNTIF(tblAnahtarB[NormB],$A500))</f>
        <v/>
      </c>
      <c r="C500" s="15">
        <f>IF($A500="","",IFERROR(SUMIF(tblMotor[A_Norm],$A500,tblMotor[SiparisToplam]),0))</f>
        <v/>
      </c>
      <c r="D500" s="15">
        <f>IF($A500="","",IFERROR(SUMIF(tblAnahtarA[Norm],$A500,tblVeriA[HedefMaliyet]),0))</f>
        <v/>
      </c>
      <c r="E500" s="15">
        <f>IF($A500="","",ROUND($D500,2)-ROUND($C500,2))</f>
        <v/>
      </c>
      <c r="F500" s="15">
        <f>IF($A500="","",ABS($E500))</f>
        <v/>
      </c>
      <c r="G500" s="15">
        <f>IF($A500="","",IF($B500=0,"eslesmedi",IF(ROUND($D500,2)=ROUND($C500,2),"eslesti",IF(ABS(ROUND($D500,2)-ROUND($C500,2))&lt;=toleransKurus,"tolerans_icinde","tutar_farki"))))</f>
        <v/>
      </c>
      <c r="H500" s="15">
        <f>IF($A500="","",IF($B500&gt;0,"BIRINCIL",IF(COUNTIF(tblAnahtarB[IkincilB],'ANAHTAR'!$D500)&gt;0,"IKINCIL","YOK")))</f>
        <v/>
      </c>
      <c r="I500" s="15">
        <f>IF($A500="","",'ANAHTAR'!$F500)</f>
        <v/>
      </c>
      <c r="J500" s="15">
        <f>IF(OR($A500="",$D500=0),0,$F500/ABS($D500))</f>
        <v/>
      </c>
      <c r="K500" s="15">
        <f>IF($A500="","",ROUND($D500,2))</f>
        <v/>
      </c>
      <c r="L500" s="15">
        <f>IF($A500="","",ROUND($C500,2))</f>
        <v/>
      </c>
      <c r="M500" s="15">
        <f>IF($A500="","",IF($F500&lt;=toleransKurus,1,0))</f>
        <v/>
      </c>
      <c r="N500" s="15">
        <f>IF($A500="","",IF($F500&gt;kdo_esikFark,1,0))</f>
        <v/>
      </c>
      <c r="O500" s="15">
        <f>IF($A500="","",IFERROR(SUMIF(tblMotor[A_Norm],$A500,tblMotor[SiparisToplam]),0))</f>
        <v/>
      </c>
      <c r="P500" s="15">
        <f>IF($A500="","",$B500+$M500+$N500)</f>
        <v/>
      </c>
    </row>
    <row r="501">
      <c r="A501" s="15">
        <f>IF('ANAHTAR'!$B501="","",'ANAHTAR'!$B501)</f>
        <v/>
      </c>
      <c r="B501" s="15">
        <f>IF($A501="","",COUNTIF(tblAnahtarB[NormB],$A501))</f>
        <v/>
      </c>
      <c r="C501" s="15">
        <f>IF($A501="","",IFERROR(SUMIF(tblMotor[A_Norm],$A501,tblMotor[SiparisToplam]),0))</f>
        <v/>
      </c>
      <c r="D501" s="15">
        <f>IF($A501="","",IFERROR(SUMIF(tblAnahtarA[Norm],$A501,tblVeriA[HedefMaliyet]),0))</f>
        <v/>
      </c>
      <c r="E501" s="15">
        <f>IF($A501="","",ROUND($D501,2)-ROUND($C501,2))</f>
        <v/>
      </c>
      <c r="F501" s="15">
        <f>IF($A501="","",ABS($E501))</f>
        <v/>
      </c>
      <c r="G501" s="15">
        <f>IF($A501="","",IF($B501=0,"eslesmedi",IF(ROUND($D501,2)=ROUND($C501,2),"eslesti",IF(ABS(ROUND($D501,2)-ROUND($C501,2))&lt;=toleransKurus,"tolerans_icinde","tutar_farki"))))</f>
        <v/>
      </c>
      <c r="H501" s="15">
        <f>IF($A501="","",IF($B501&gt;0,"BIRINCIL",IF(COUNTIF(tblAnahtarB[IkincilB],'ANAHTAR'!$D501)&gt;0,"IKINCIL","YOK")))</f>
        <v/>
      </c>
      <c r="I501" s="15">
        <f>IF($A501="","",'ANAHTAR'!$F501)</f>
        <v/>
      </c>
      <c r="J501" s="15">
        <f>IF(OR($A501="",$D501=0),0,$F501/ABS($D501))</f>
        <v/>
      </c>
      <c r="K501" s="15">
        <f>IF($A501="","",ROUND($D501,2))</f>
        <v/>
      </c>
      <c r="L501" s="15">
        <f>IF($A501="","",ROUND($C501,2))</f>
        <v/>
      </c>
      <c r="M501" s="15">
        <f>IF($A501="","",IF($F501&lt;=toleransKurus,1,0))</f>
        <v/>
      </c>
      <c r="N501" s="15">
        <f>IF($A501="","",IF($F501&gt;kdo_esikFark,1,0))</f>
        <v/>
      </c>
      <c r="O501" s="15">
        <f>IF($A501="","",IFERROR(SUMIF(tblMotor[A_Norm],$A501,tblMotor[SiparisToplam]),0))</f>
        <v/>
      </c>
      <c r="P501" s="15">
        <f>IF($A501="","",$B501+$M501+$N501)</f>
        <v/>
      </c>
    </row>
    <row r="502">
      <c r="A502" s="15">
        <f>IF('ANAHTAR'!$B502="","",'ANAHTAR'!$B502)</f>
        <v/>
      </c>
      <c r="B502" s="15">
        <f>IF($A502="","",COUNTIF(tblAnahtarB[NormB],$A502))</f>
        <v/>
      </c>
      <c r="C502" s="15">
        <f>IF($A502="","",IFERROR(SUMIF(tblMotor[A_Norm],$A502,tblMotor[SiparisToplam]),0))</f>
        <v/>
      </c>
      <c r="D502" s="15">
        <f>IF($A502="","",IFERROR(SUMIF(tblAnahtarA[Norm],$A502,tblVeriA[HedefMaliyet]),0))</f>
        <v/>
      </c>
      <c r="E502" s="15">
        <f>IF($A502="","",ROUND($D502,2)-ROUND($C502,2))</f>
        <v/>
      </c>
      <c r="F502" s="15">
        <f>IF($A502="","",ABS($E502))</f>
        <v/>
      </c>
      <c r="G502" s="15">
        <f>IF($A502="","",IF($B502=0,"eslesmedi",IF(ROUND($D502,2)=ROUND($C502,2),"eslesti",IF(ABS(ROUND($D502,2)-ROUND($C502,2))&lt;=toleransKurus,"tolerans_icinde","tutar_farki"))))</f>
        <v/>
      </c>
      <c r="H502" s="15">
        <f>IF($A502="","",IF($B502&gt;0,"BIRINCIL",IF(COUNTIF(tblAnahtarB[IkincilB],'ANAHTAR'!$D502)&gt;0,"IKINCIL","YOK")))</f>
        <v/>
      </c>
      <c r="I502" s="15">
        <f>IF($A502="","",'ANAHTAR'!$F502)</f>
        <v/>
      </c>
      <c r="J502" s="15">
        <f>IF(OR($A502="",$D502=0),0,$F502/ABS($D502))</f>
        <v/>
      </c>
      <c r="K502" s="15">
        <f>IF($A502="","",ROUND($D502,2))</f>
        <v/>
      </c>
      <c r="L502" s="15">
        <f>IF($A502="","",ROUND($C502,2))</f>
        <v/>
      </c>
      <c r="M502" s="15">
        <f>IF($A502="","",IF($F502&lt;=toleransKurus,1,0))</f>
        <v/>
      </c>
      <c r="N502" s="15">
        <f>IF($A502="","",IF($F502&gt;kdo_esikFark,1,0))</f>
        <v/>
      </c>
      <c r="O502" s="15">
        <f>IF($A502="","",IFERROR(SUMIF(tblMotor[A_Norm],$A502,tblMotor[SiparisToplam]),0))</f>
        <v/>
      </c>
      <c r="P502" s="15">
        <f>IF($A502="","",$B502+$M502+$N502)</f>
        <v/>
      </c>
    </row>
    <row r="503">
      <c r="A503" s="15">
        <f>IF('ANAHTAR'!$B503="","",'ANAHTAR'!$B503)</f>
        <v/>
      </c>
      <c r="B503" s="15">
        <f>IF($A503="","",COUNTIF(tblAnahtarB[NormB],$A503))</f>
        <v/>
      </c>
      <c r="C503" s="15">
        <f>IF($A503="","",IFERROR(SUMIF(tblMotor[A_Norm],$A503,tblMotor[SiparisToplam]),0))</f>
        <v/>
      </c>
      <c r="D503" s="15">
        <f>IF($A503="","",IFERROR(SUMIF(tblAnahtarA[Norm],$A503,tblVeriA[HedefMaliyet]),0))</f>
        <v/>
      </c>
      <c r="E503" s="15">
        <f>IF($A503="","",ROUND($D503,2)-ROUND($C503,2))</f>
        <v/>
      </c>
      <c r="F503" s="15">
        <f>IF($A503="","",ABS($E503))</f>
        <v/>
      </c>
      <c r="G503" s="15">
        <f>IF($A503="","",IF($B503=0,"eslesmedi",IF(ROUND($D503,2)=ROUND($C503,2),"eslesti",IF(ABS(ROUND($D503,2)-ROUND($C503,2))&lt;=toleransKurus,"tolerans_icinde","tutar_farki"))))</f>
        <v/>
      </c>
      <c r="H503" s="15">
        <f>IF($A503="","",IF($B503&gt;0,"BIRINCIL",IF(COUNTIF(tblAnahtarB[IkincilB],'ANAHTAR'!$D503)&gt;0,"IKINCIL","YOK")))</f>
        <v/>
      </c>
      <c r="I503" s="15">
        <f>IF($A503="","",'ANAHTAR'!$F503)</f>
        <v/>
      </c>
      <c r="J503" s="15">
        <f>IF(OR($A503="",$D503=0),0,$F503/ABS($D503))</f>
        <v/>
      </c>
      <c r="K503" s="15">
        <f>IF($A503="","",ROUND($D503,2))</f>
        <v/>
      </c>
      <c r="L503" s="15">
        <f>IF($A503="","",ROUND($C503,2))</f>
        <v/>
      </c>
      <c r="M503" s="15">
        <f>IF($A503="","",IF($F503&lt;=toleransKurus,1,0))</f>
        <v/>
      </c>
      <c r="N503" s="15">
        <f>IF($A503="","",IF($F503&gt;kdo_esikFark,1,0))</f>
        <v/>
      </c>
      <c r="O503" s="15">
        <f>IF($A503="","",IFERROR(SUMIF(tblMotor[A_Norm],$A503,tblMotor[SiparisToplam]),0))</f>
        <v/>
      </c>
      <c r="P503" s="15">
        <f>IF($A503="","",$B503+$M503+$N503)</f>
        <v/>
      </c>
    </row>
    <row r="504">
      <c r="A504" s="15">
        <f>IF('ANAHTAR'!$B504="","",'ANAHTAR'!$B504)</f>
        <v/>
      </c>
      <c r="B504" s="15">
        <f>IF($A504="","",COUNTIF(tblAnahtarB[NormB],$A504))</f>
        <v/>
      </c>
      <c r="C504" s="15">
        <f>IF($A504="","",IFERROR(SUMIF(tblMotor[A_Norm],$A504,tblMotor[SiparisToplam]),0))</f>
        <v/>
      </c>
      <c r="D504" s="15">
        <f>IF($A504="","",IFERROR(SUMIF(tblAnahtarA[Norm],$A504,tblVeriA[HedefMaliyet]),0))</f>
        <v/>
      </c>
      <c r="E504" s="15">
        <f>IF($A504="","",ROUND($D504,2)-ROUND($C504,2))</f>
        <v/>
      </c>
      <c r="F504" s="15">
        <f>IF($A504="","",ABS($E504))</f>
        <v/>
      </c>
      <c r="G504" s="15">
        <f>IF($A504="","",IF($B504=0,"eslesmedi",IF(ROUND($D504,2)=ROUND($C504,2),"eslesti",IF(ABS(ROUND($D504,2)-ROUND($C504,2))&lt;=toleransKurus,"tolerans_icinde","tutar_farki"))))</f>
        <v/>
      </c>
      <c r="H504" s="15">
        <f>IF($A504="","",IF($B504&gt;0,"BIRINCIL",IF(COUNTIF(tblAnahtarB[IkincilB],'ANAHTAR'!$D504)&gt;0,"IKINCIL","YOK")))</f>
        <v/>
      </c>
      <c r="I504" s="15">
        <f>IF($A504="","",'ANAHTAR'!$F504)</f>
        <v/>
      </c>
      <c r="J504" s="15">
        <f>IF(OR($A504="",$D504=0),0,$F504/ABS($D504))</f>
        <v/>
      </c>
      <c r="K504" s="15">
        <f>IF($A504="","",ROUND($D504,2))</f>
        <v/>
      </c>
      <c r="L504" s="15">
        <f>IF($A504="","",ROUND($C504,2))</f>
        <v/>
      </c>
      <c r="M504" s="15">
        <f>IF($A504="","",IF($F504&lt;=toleransKurus,1,0))</f>
        <v/>
      </c>
      <c r="N504" s="15">
        <f>IF($A504="","",IF($F504&gt;kdo_esikFark,1,0))</f>
        <v/>
      </c>
      <c r="O504" s="15">
        <f>IF($A504="","",IFERROR(SUMIF(tblMotor[A_Norm],$A504,tblMotor[SiparisToplam]),0))</f>
        <v/>
      </c>
      <c r="P504" s="15">
        <f>IF($A504="","",$B504+$M504+$N504)</f>
        <v/>
      </c>
    </row>
    <row r="505">
      <c r="A505" s="15">
        <f>IF('ANAHTAR'!$B505="","",'ANAHTAR'!$B505)</f>
        <v/>
      </c>
      <c r="B505" s="15">
        <f>IF($A505="","",COUNTIF(tblAnahtarB[NormB],$A505))</f>
        <v/>
      </c>
      <c r="C505" s="15">
        <f>IF($A505="","",IFERROR(SUMIF(tblMotor[A_Norm],$A505,tblMotor[SiparisToplam]),0))</f>
        <v/>
      </c>
      <c r="D505" s="15">
        <f>IF($A505="","",IFERROR(SUMIF(tblAnahtarA[Norm],$A505,tblVeriA[HedefMaliyet]),0))</f>
        <v/>
      </c>
      <c r="E505" s="15">
        <f>IF($A505="","",ROUND($D505,2)-ROUND($C505,2))</f>
        <v/>
      </c>
      <c r="F505" s="15">
        <f>IF($A505="","",ABS($E505))</f>
        <v/>
      </c>
      <c r="G505" s="15">
        <f>IF($A505="","",IF($B505=0,"eslesmedi",IF(ROUND($D505,2)=ROUND($C505,2),"eslesti",IF(ABS(ROUND($D505,2)-ROUND($C505,2))&lt;=toleransKurus,"tolerans_icinde","tutar_farki"))))</f>
        <v/>
      </c>
      <c r="H505" s="15">
        <f>IF($A505="","",IF($B505&gt;0,"BIRINCIL",IF(COUNTIF(tblAnahtarB[IkincilB],'ANAHTAR'!$D505)&gt;0,"IKINCIL","YOK")))</f>
        <v/>
      </c>
      <c r="I505" s="15">
        <f>IF($A505="","",'ANAHTAR'!$F505)</f>
        <v/>
      </c>
      <c r="J505" s="15">
        <f>IF(OR($A505="",$D505=0),0,$F505/ABS($D505))</f>
        <v/>
      </c>
      <c r="K505" s="15">
        <f>IF($A505="","",ROUND($D505,2))</f>
        <v/>
      </c>
      <c r="L505" s="15">
        <f>IF($A505="","",ROUND($C505,2))</f>
        <v/>
      </c>
      <c r="M505" s="15">
        <f>IF($A505="","",IF($F505&lt;=toleransKurus,1,0))</f>
        <v/>
      </c>
      <c r="N505" s="15">
        <f>IF($A505="","",IF($F505&gt;kdo_esikFark,1,0))</f>
        <v/>
      </c>
      <c r="O505" s="15">
        <f>IF($A505="","",IFERROR(SUMIF(tblMotor[A_Norm],$A505,tblMotor[SiparisToplam]),0))</f>
        <v/>
      </c>
      <c r="P505" s="15">
        <f>IF($A505="","",$B505+$M505+$N505)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3:N3"/>
    <mergeCell ref="A1:R1"/>
  </mergeCells>
  <conditionalFormatting sqref="G6:G505">
    <cfRule type="cellIs" priority="1" operator="equal" dxfId="2">
      <formula>"eslesti"</formula>
    </cfRule>
    <cfRule type="cellIs" priority="2" operator="equal" dxfId="0">
      <formula>"tutar_farki"</formula>
    </cfRule>
    <cfRule type="cellIs" priority="3" operator="equal" dxfId="1">
      <formula>"eslesmedi"</formula>
    </cfRule>
    <cfRule type="cellIs" priority="4" operator="equal" dxfId="0">
      <formula>"tolerans_icinde"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B3A4B"/>
    <outlinePr summaryBelow="1" summaryRight="1"/>
    <pageSetUpPr/>
  </sheetPr>
  <dimension ref="A1:N5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3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6" customHeight="1">
      <c r="A1" s="1" t="inlineStr">
        <is>
          <t>KOK NEDEN — Kargo/Desi Maliyet Optimizasyonu</t>
        </is>
      </c>
    </row>
    <row r="3" ht="20" customHeight="1">
      <c r="A3" s="10" t="inlineStr">
        <is>
          <t>KDO-001..005 kök neden — eşleşmeyen fark TANIMSIZ (E04)</t>
        </is>
      </c>
    </row>
    <row r="4">
      <c r="A4" s="18" t="inlineStr">
        <is>
          <t>Kural Önceliği</t>
        </is>
      </c>
    </row>
    <row r="5" ht="30" customHeight="1">
      <c r="A5" s="12" t="inlineStr">
        <is>
          <t>Sira</t>
        </is>
      </c>
      <c r="B5" s="12" t="inlineStr">
        <is>
          <t>NedenKodu</t>
        </is>
      </c>
      <c r="C5" s="12" t="inlineStr">
        <is>
          <t>Test</t>
        </is>
      </c>
      <c r="D5" s="12" t="inlineStr">
        <is>
          <t>Aciklama</t>
        </is>
      </c>
    </row>
    <row r="6">
      <c r="A6" s="19" t="n">
        <v>1</v>
      </c>
      <c r="B6" s="18" t="inlineStr">
        <is>
          <t>KDO-001</t>
        </is>
      </c>
      <c r="C6" s="8" t="inlineStr">
        <is>
          <t>desi_kg_oran&gt;esik</t>
        </is>
      </c>
      <c r="D6" s="8" t="inlineStr">
        <is>
          <t>Hacimsel desi israfı (desi &gt;&gt; kg)</t>
        </is>
      </c>
    </row>
    <row r="7">
      <c r="A7" s="19" t="n">
        <v>2</v>
      </c>
      <c r="B7" s="18" t="inlineStr">
        <is>
          <t>KDO-002</t>
        </is>
      </c>
      <c r="C7" s="8" t="inlineStr">
        <is>
          <t>ABS(fark-iade)&lt;=toleransKurus</t>
        </is>
      </c>
      <c r="D7" s="8" t="inlineStr">
        <is>
          <t>Yüksek iade oranı etkisi</t>
        </is>
      </c>
    </row>
    <row r="8">
      <c r="A8" s="19" t="n">
        <v>3</v>
      </c>
      <c r="B8" s="18" t="inlineStr">
        <is>
          <t>KDO-003</t>
        </is>
      </c>
      <c r="C8" s="8" t="inlineStr">
        <is>
          <t>bolge_tarife_sapmasi</t>
        </is>
      </c>
      <c r="D8" s="8" t="inlineStr">
        <is>
          <t>Bölge tarife sapması</t>
        </is>
      </c>
    </row>
    <row r="9">
      <c r="A9" s="19" t="n">
        <v>4</v>
      </c>
      <c r="B9" s="18" t="inlineStr">
        <is>
          <t>KDO-004</t>
        </is>
      </c>
      <c r="C9" s="8" t="inlineStr">
        <is>
          <t>tasarruf&gt;esik</t>
        </is>
      </c>
      <c r="D9" s="8" t="inlineStr">
        <is>
          <t>Alternatif taşıyıcı daha ucuz</t>
        </is>
      </c>
    </row>
    <row r="10">
      <c r="A10" s="19" t="n">
        <v>5</v>
      </c>
      <c r="B10" s="18" t="inlineStr">
        <is>
          <t>KDO-005</t>
        </is>
      </c>
      <c r="C10" s="8" t="inlineStr">
        <is>
          <t>ABS(fark)&gt;esikFark</t>
        </is>
      </c>
      <c r="D10" s="8" t="inlineStr">
        <is>
          <t>Hedef-gerçek maliyet sapması</t>
        </is>
      </c>
    </row>
    <row r="11">
      <c r="A11" s="19" t="n">
        <v>6</v>
      </c>
      <c r="B11" s="20" t="inlineStr">
        <is>
          <t>TANIMSIZ</t>
        </is>
      </c>
      <c r="C11" s="8" t="inlineStr">
        <is>
          <t>TRUE</t>
        </is>
      </c>
      <c r="D11" s="8" t="inlineStr">
        <is>
          <t>Hiçbir kurala girmedi — elle incele</t>
        </is>
      </c>
    </row>
    <row r="13">
      <c r="A13" s="21" t="inlineStr">
        <is>
          <t>TANIMSIZ kovası görünür tutulur — zorla sınıflandırma yok. Elle inceleyin.</t>
        </is>
      </c>
    </row>
    <row r="14">
      <c r="A14" s="18" t="inlineStr">
        <is>
          <t>Satır Sınıflandırması</t>
        </is>
      </c>
    </row>
    <row r="15" ht="30" customHeight="1">
      <c r="A15" s="12" t="inlineStr">
        <is>
          <t>A_Norm</t>
        </is>
      </c>
      <c r="B15" s="12" t="inlineStr">
        <is>
          <t>Kova</t>
        </is>
      </c>
      <c r="C15" s="12" t="inlineStr">
        <is>
          <t>AbsFark</t>
        </is>
      </c>
      <c r="D15" s="12" t="inlineStr">
        <is>
          <t>DesiKgOran</t>
        </is>
      </c>
      <c r="E15" s="12" t="inlineStr">
        <is>
          <t>Tasarruf</t>
        </is>
      </c>
      <c r="F15" s="12" t="inlineStr">
        <is>
          <t>Iade</t>
        </is>
      </c>
      <c r="G15" s="12" t="inlineStr">
        <is>
          <t>BirimKargo</t>
        </is>
      </c>
      <c r="H15" s="12" t="inlineStr">
        <is>
          <t>KokNeden</t>
        </is>
      </c>
    </row>
    <row r="16">
      <c r="A16" s="22">
        <f>IF('ESLESTIRME'!$A16="","",'ESLESTIRME'!$A16)</f>
        <v/>
      </c>
      <c r="B16" s="15">
        <f>IF($A16="","",IFERROR(INDEX(tblEslesme[Kova],MATCH($A16,tblEslesme[A_Norm],0)),""))</f>
        <v/>
      </c>
      <c r="C16" s="15">
        <f>IF($A16="","",IFERROR(INDEX(tblEslesme[AbsFark],MATCH($A16,tblEslesme[A_Norm],0)),0))</f>
        <v/>
      </c>
      <c r="D16" s="15">
        <f>IF($A16="","",IFERROR(SUMIF(tblMotor[A_Norm],$A16,tblMotor[DesiKgOran]),0))</f>
        <v/>
      </c>
      <c r="E16" s="15">
        <f>IF($A16="","",IFERROR(SUMIF(tblMotor[A_Norm],$A16,tblMotor[Tasarruf]),0))</f>
        <v/>
      </c>
      <c r="F16" s="15">
        <f>IF($A16="","",IFERROR(SUMIF(tblMotor[A_Norm],$A16,tblMotor[IadeOran]),0))</f>
        <v/>
      </c>
      <c r="G16" s="15">
        <f>IF($A16="","",IFERROR(SUMIF(tblMotor[A_Norm],$A16,tblMotor[BirimKargo]),0))</f>
        <v/>
      </c>
      <c r="H16" s="15">
        <f>IF(OR($A16="",$B16&lt;&gt;"tutar_farki"),"",IF($D16&gt;kdo_esikDesiOran,"KDO-001",IF($F16&gt;kdo_esikIade,"KDO-002",IF($E16&gt;kdo_esikTasarruf,"KDO-004",IF($C16&gt;kdo_esikFark,"KDO-005","TANIMSIZ")))))</f>
        <v/>
      </c>
    </row>
    <row r="17">
      <c r="A17" s="22">
        <f>IF('ESLESTIRME'!$A17="","",'ESLESTIRME'!$A17)</f>
        <v/>
      </c>
      <c r="B17" s="15">
        <f>IF($A17="","",IFERROR(INDEX(tblEslesme[Kova],MATCH($A17,tblEslesme[A_Norm],0)),""))</f>
        <v/>
      </c>
      <c r="C17" s="15">
        <f>IF($A17="","",IFERROR(INDEX(tblEslesme[AbsFark],MATCH($A17,tblEslesme[A_Norm],0)),0))</f>
        <v/>
      </c>
      <c r="D17" s="15">
        <f>IF($A17="","",IFERROR(SUMIF(tblMotor[A_Norm],$A17,tblMotor[DesiKgOran]),0))</f>
        <v/>
      </c>
      <c r="E17" s="15">
        <f>IF($A17="","",IFERROR(SUMIF(tblMotor[A_Norm],$A17,tblMotor[Tasarruf]),0))</f>
        <v/>
      </c>
      <c r="F17" s="15">
        <f>IF($A17="","",IFERROR(SUMIF(tblMotor[A_Norm],$A17,tblMotor[IadeOran]),0))</f>
        <v/>
      </c>
      <c r="G17" s="15">
        <f>IF($A17="","",IFERROR(SUMIF(tblMotor[A_Norm],$A17,tblMotor[BirimKargo]),0))</f>
        <v/>
      </c>
      <c r="H17" s="15">
        <f>IF(OR($A17="",$B17&lt;&gt;"tutar_farki"),"",IF($D17&gt;kdo_esikDesiOran,"KDO-001",IF($F17&gt;kdo_esikIade,"KDO-002",IF($E17&gt;kdo_esikTasarruf,"KDO-004",IF($C17&gt;kdo_esikFark,"KDO-005","TANIMSIZ")))))</f>
        <v/>
      </c>
    </row>
    <row r="18">
      <c r="A18" s="22">
        <f>IF('ESLESTIRME'!$A18="","",'ESLESTIRME'!$A18)</f>
        <v/>
      </c>
      <c r="B18" s="15">
        <f>IF($A18="","",IFERROR(INDEX(tblEslesme[Kova],MATCH($A18,tblEslesme[A_Norm],0)),""))</f>
        <v/>
      </c>
      <c r="C18" s="15">
        <f>IF($A18="","",IFERROR(INDEX(tblEslesme[AbsFark],MATCH($A18,tblEslesme[A_Norm],0)),0))</f>
        <v/>
      </c>
      <c r="D18" s="15">
        <f>IF($A18="","",IFERROR(SUMIF(tblMotor[A_Norm],$A18,tblMotor[DesiKgOran]),0))</f>
        <v/>
      </c>
      <c r="E18" s="15">
        <f>IF($A18="","",IFERROR(SUMIF(tblMotor[A_Norm],$A18,tblMotor[Tasarruf]),0))</f>
        <v/>
      </c>
      <c r="F18" s="15">
        <f>IF($A18="","",IFERROR(SUMIF(tblMotor[A_Norm],$A18,tblMotor[IadeOran]),0))</f>
        <v/>
      </c>
      <c r="G18" s="15">
        <f>IF($A18="","",IFERROR(SUMIF(tblMotor[A_Norm],$A18,tblMotor[BirimKargo]),0))</f>
        <v/>
      </c>
      <c r="H18" s="15">
        <f>IF(OR($A18="",$B18&lt;&gt;"tutar_farki"),"",IF($D18&gt;kdo_esikDesiOran,"KDO-001",IF($F18&gt;kdo_esikIade,"KDO-002",IF($E18&gt;kdo_esikTasarruf,"KDO-004",IF($C18&gt;kdo_esikFark,"KDO-005","TANIMSIZ")))))</f>
        <v/>
      </c>
    </row>
    <row r="19">
      <c r="A19" s="22">
        <f>IF('ESLESTIRME'!$A19="","",'ESLESTIRME'!$A19)</f>
        <v/>
      </c>
      <c r="B19" s="15">
        <f>IF($A19="","",IFERROR(INDEX(tblEslesme[Kova],MATCH($A19,tblEslesme[A_Norm],0)),""))</f>
        <v/>
      </c>
      <c r="C19" s="15">
        <f>IF($A19="","",IFERROR(INDEX(tblEslesme[AbsFark],MATCH($A19,tblEslesme[A_Norm],0)),0))</f>
        <v/>
      </c>
      <c r="D19" s="15">
        <f>IF($A19="","",IFERROR(SUMIF(tblMotor[A_Norm],$A19,tblMotor[DesiKgOran]),0))</f>
        <v/>
      </c>
      <c r="E19" s="15">
        <f>IF($A19="","",IFERROR(SUMIF(tblMotor[A_Norm],$A19,tblMotor[Tasarruf]),0))</f>
        <v/>
      </c>
      <c r="F19" s="15">
        <f>IF($A19="","",IFERROR(SUMIF(tblMotor[A_Norm],$A19,tblMotor[IadeOran]),0))</f>
        <v/>
      </c>
      <c r="G19" s="15">
        <f>IF($A19="","",IFERROR(SUMIF(tblMotor[A_Norm],$A19,tblMotor[BirimKargo]),0))</f>
        <v/>
      </c>
      <c r="H19" s="15">
        <f>IF(OR($A19="",$B19&lt;&gt;"tutar_farki"),"",IF($D19&gt;kdo_esikDesiOran,"KDO-001",IF($F19&gt;kdo_esikIade,"KDO-002",IF($E19&gt;kdo_esikTasarruf,"KDO-004",IF($C19&gt;kdo_esikFark,"KDO-005","TANIMSIZ")))))</f>
        <v/>
      </c>
    </row>
    <row r="20">
      <c r="A20" s="22">
        <f>IF('ESLESTIRME'!$A20="","",'ESLESTIRME'!$A20)</f>
        <v/>
      </c>
      <c r="B20" s="15">
        <f>IF($A20="","",IFERROR(INDEX(tblEslesme[Kova],MATCH($A20,tblEslesme[A_Norm],0)),""))</f>
        <v/>
      </c>
      <c r="C20" s="15">
        <f>IF($A20="","",IFERROR(INDEX(tblEslesme[AbsFark],MATCH($A20,tblEslesme[A_Norm],0)),0))</f>
        <v/>
      </c>
      <c r="D20" s="15">
        <f>IF($A20="","",IFERROR(SUMIF(tblMotor[A_Norm],$A20,tblMotor[DesiKgOran]),0))</f>
        <v/>
      </c>
      <c r="E20" s="15">
        <f>IF($A20="","",IFERROR(SUMIF(tblMotor[A_Norm],$A20,tblMotor[Tasarruf]),0))</f>
        <v/>
      </c>
      <c r="F20" s="15">
        <f>IF($A20="","",IFERROR(SUMIF(tblMotor[A_Norm],$A20,tblMotor[IadeOran]),0))</f>
        <v/>
      </c>
      <c r="G20" s="15">
        <f>IF($A20="","",IFERROR(SUMIF(tblMotor[A_Norm],$A20,tblMotor[BirimKargo]),0))</f>
        <v/>
      </c>
      <c r="H20" s="15">
        <f>IF(OR($A20="",$B20&lt;&gt;"tutar_farki"),"",IF($D20&gt;kdo_esikDesiOran,"KDO-001",IF($F20&gt;kdo_esikIade,"KDO-002",IF($E20&gt;kdo_esikTasarruf,"KDO-004",IF($C20&gt;kdo_esikFark,"KDO-005","TANIMSIZ")))))</f>
        <v/>
      </c>
    </row>
    <row r="21">
      <c r="A21" s="22">
        <f>IF('ESLESTIRME'!$A21="","",'ESLESTIRME'!$A21)</f>
        <v/>
      </c>
      <c r="B21" s="15">
        <f>IF($A21="","",IFERROR(INDEX(tblEslesme[Kova],MATCH($A21,tblEslesme[A_Norm],0)),""))</f>
        <v/>
      </c>
      <c r="C21" s="15">
        <f>IF($A21="","",IFERROR(INDEX(tblEslesme[AbsFark],MATCH($A21,tblEslesme[A_Norm],0)),0))</f>
        <v/>
      </c>
      <c r="D21" s="15">
        <f>IF($A21="","",IFERROR(SUMIF(tblMotor[A_Norm],$A21,tblMotor[DesiKgOran]),0))</f>
        <v/>
      </c>
      <c r="E21" s="15">
        <f>IF($A21="","",IFERROR(SUMIF(tblMotor[A_Norm],$A21,tblMotor[Tasarruf]),0))</f>
        <v/>
      </c>
      <c r="F21" s="15">
        <f>IF($A21="","",IFERROR(SUMIF(tblMotor[A_Norm],$A21,tblMotor[IadeOran]),0))</f>
        <v/>
      </c>
      <c r="G21" s="15">
        <f>IF($A21="","",IFERROR(SUMIF(tblMotor[A_Norm],$A21,tblMotor[BirimKargo]),0))</f>
        <v/>
      </c>
      <c r="H21" s="15">
        <f>IF(OR($A21="",$B21&lt;&gt;"tutar_farki"),"",IF($D21&gt;kdo_esikDesiOran,"KDO-001",IF($F21&gt;kdo_esikIade,"KDO-002",IF($E21&gt;kdo_esikTasarruf,"KDO-004",IF($C21&gt;kdo_esikFark,"KDO-005","TANIMSIZ")))))</f>
        <v/>
      </c>
    </row>
    <row r="22">
      <c r="A22" s="22">
        <f>IF('ESLESTIRME'!$A22="","",'ESLESTIRME'!$A22)</f>
        <v/>
      </c>
      <c r="B22" s="15">
        <f>IF($A22="","",IFERROR(INDEX(tblEslesme[Kova],MATCH($A22,tblEslesme[A_Norm],0)),""))</f>
        <v/>
      </c>
      <c r="C22" s="15">
        <f>IF($A22="","",IFERROR(INDEX(tblEslesme[AbsFark],MATCH($A22,tblEslesme[A_Norm],0)),0))</f>
        <v/>
      </c>
      <c r="D22" s="15">
        <f>IF($A22="","",IFERROR(SUMIF(tblMotor[A_Norm],$A22,tblMotor[DesiKgOran]),0))</f>
        <v/>
      </c>
      <c r="E22" s="15">
        <f>IF($A22="","",IFERROR(SUMIF(tblMotor[A_Norm],$A22,tblMotor[Tasarruf]),0))</f>
        <v/>
      </c>
      <c r="F22" s="15">
        <f>IF($A22="","",IFERROR(SUMIF(tblMotor[A_Norm],$A22,tblMotor[IadeOran]),0))</f>
        <v/>
      </c>
      <c r="G22" s="15">
        <f>IF($A22="","",IFERROR(SUMIF(tblMotor[A_Norm],$A22,tblMotor[BirimKargo]),0))</f>
        <v/>
      </c>
      <c r="H22" s="15">
        <f>IF(OR($A22="",$B22&lt;&gt;"tutar_farki"),"",IF($D22&gt;kdo_esikDesiOran,"KDO-001",IF($F22&gt;kdo_esikIade,"KDO-002",IF($E22&gt;kdo_esikTasarruf,"KDO-004",IF($C22&gt;kdo_esikFark,"KDO-005","TANIMSIZ")))))</f>
        <v/>
      </c>
    </row>
    <row r="23">
      <c r="A23" s="22">
        <f>IF('ESLESTIRME'!$A23="","",'ESLESTIRME'!$A23)</f>
        <v/>
      </c>
      <c r="B23" s="15">
        <f>IF($A23="","",IFERROR(INDEX(tblEslesme[Kova],MATCH($A23,tblEslesme[A_Norm],0)),""))</f>
        <v/>
      </c>
      <c r="C23" s="15">
        <f>IF($A23="","",IFERROR(INDEX(tblEslesme[AbsFark],MATCH($A23,tblEslesme[A_Norm],0)),0))</f>
        <v/>
      </c>
      <c r="D23" s="15">
        <f>IF($A23="","",IFERROR(SUMIF(tblMotor[A_Norm],$A23,tblMotor[DesiKgOran]),0))</f>
        <v/>
      </c>
      <c r="E23" s="15">
        <f>IF($A23="","",IFERROR(SUMIF(tblMotor[A_Norm],$A23,tblMotor[Tasarruf]),0))</f>
        <v/>
      </c>
      <c r="F23" s="15">
        <f>IF($A23="","",IFERROR(SUMIF(tblMotor[A_Norm],$A23,tblMotor[IadeOran]),0))</f>
        <v/>
      </c>
      <c r="G23" s="15">
        <f>IF($A23="","",IFERROR(SUMIF(tblMotor[A_Norm],$A23,tblMotor[BirimKargo]),0))</f>
        <v/>
      </c>
      <c r="H23" s="15">
        <f>IF(OR($A23="",$B23&lt;&gt;"tutar_farki"),"",IF($D23&gt;kdo_esikDesiOran,"KDO-001",IF($F23&gt;kdo_esikIade,"KDO-002",IF($E23&gt;kdo_esikTasarruf,"KDO-004",IF($C23&gt;kdo_esikFark,"KDO-005","TANIMSIZ")))))</f>
        <v/>
      </c>
    </row>
    <row r="24">
      <c r="A24" s="22">
        <f>IF('ESLESTIRME'!$A24="","",'ESLESTIRME'!$A24)</f>
        <v/>
      </c>
      <c r="B24" s="15">
        <f>IF($A24="","",IFERROR(INDEX(tblEslesme[Kova],MATCH($A24,tblEslesme[A_Norm],0)),""))</f>
        <v/>
      </c>
      <c r="C24" s="15">
        <f>IF($A24="","",IFERROR(INDEX(tblEslesme[AbsFark],MATCH($A24,tblEslesme[A_Norm],0)),0))</f>
        <v/>
      </c>
      <c r="D24" s="15">
        <f>IF($A24="","",IFERROR(SUMIF(tblMotor[A_Norm],$A24,tblMotor[DesiKgOran]),0))</f>
        <v/>
      </c>
      <c r="E24" s="15">
        <f>IF($A24="","",IFERROR(SUMIF(tblMotor[A_Norm],$A24,tblMotor[Tasarruf]),0))</f>
        <v/>
      </c>
      <c r="F24" s="15">
        <f>IF($A24="","",IFERROR(SUMIF(tblMotor[A_Norm],$A24,tblMotor[IadeOran]),0))</f>
        <v/>
      </c>
      <c r="G24" s="15">
        <f>IF($A24="","",IFERROR(SUMIF(tblMotor[A_Norm],$A24,tblMotor[BirimKargo]),0))</f>
        <v/>
      </c>
      <c r="H24" s="15">
        <f>IF(OR($A24="",$B24&lt;&gt;"tutar_farki"),"",IF($D24&gt;kdo_esikDesiOran,"KDO-001",IF($F24&gt;kdo_esikIade,"KDO-002",IF($E24&gt;kdo_esikTasarruf,"KDO-004",IF($C24&gt;kdo_esikFark,"KDO-005","TANIMSIZ")))))</f>
        <v/>
      </c>
    </row>
    <row r="25">
      <c r="A25" s="22">
        <f>IF('ESLESTIRME'!$A25="","",'ESLESTIRME'!$A25)</f>
        <v/>
      </c>
      <c r="B25" s="15">
        <f>IF($A25="","",IFERROR(INDEX(tblEslesme[Kova],MATCH($A25,tblEslesme[A_Norm],0)),""))</f>
        <v/>
      </c>
      <c r="C25" s="15">
        <f>IF($A25="","",IFERROR(INDEX(tblEslesme[AbsFark],MATCH($A25,tblEslesme[A_Norm],0)),0))</f>
        <v/>
      </c>
      <c r="D25" s="15">
        <f>IF($A25="","",IFERROR(SUMIF(tblMotor[A_Norm],$A25,tblMotor[DesiKgOran]),0))</f>
        <v/>
      </c>
      <c r="E25" s="15">
        <f>IF($A25="","",IFERROR(SUMIF(tblMotor[A_Norm],$A25,tblMotor[Tasarruf]),0))</f>
        <v/>
      </c>
      <c r="F25" s="15">
        <f>IF($A25="","",IFERROR(SUMIF(tblMotor[A_Norm],$A25,tblMotor[IadeOran]),0))</f>
        <v/>
      </c>
      <c r="G25" s="15">
        <f>IF($A25="","",IFERROR(SUMIF(tblMotor[A_Norm],$A25,tblMotor[BirimKargo]),0))</f>
        <v/>
      </c>
      <c r="H25" s="15">
        <f>IF(OR($A25="",$B25&lt;&gt;"tutar_farki"),"",IF($D25&gt;kdo_esikDesiOran,"KDO-001",IF($F25&gt;kdo_esikIade,"KDO-002",IF($E25&gt;kdo_esikTasarruf,"KDO-004",IF($C25&gt;kdo_esikFark,"KDO-005","TANIMSIZ")))))</f>
        <v/>
      </c>
    </row>
    <row r="26">
      <c r="A26" s="22">
        <f>IF('ESLESTIRME'!$A26="","",'ESLESTIRME'!$A26)</f>
        <v/>
      </c>
      <c r="B26" s="15">
        <f>IF($A26="","",IFERROR(INDEX(tblEslesme[Kova],MATCH($A26,tblEslesme[A_Norm],0)),""))</f>
        <v/>
      </c>
      <c r="C26" s="15">
        <f>IF($A26="","",IFERROR(INDEX(tblEslesme[AbsFark],MATCH($A26,tblEslesme[A_Norm],0)),0))</f>
        <v/>
      </c>
      <c r="D26" s="15">
        <f>IF($A26="","",IFERROR(SUMIF(tblMotor[A_Norm],$A26,tblMotor[DesiKgOran]),0))</f>
        <v/>
      </c>
      <c r="E26" s="15">
        <f>IF($A26="","",IFERROR(SUMIF(tblMotor[A_Norm],$A26,tblMotor[Tasarruf]),0))</f>
        <v/>
      </c>
      <c r="F26" s="15">
        <f>IF($A26="","",IFERROR(SUMIF(tblMotor[A_Norm],$A26,tblMotor[IadeOran]),0))</f>
        <v/>
      </c>
      <c r="G26" s="15">
        <f>IF($A26="","",IFERROR(SUMIF(tblMotor[A_Norm],$A26,tblMotor[BirimKargo]),0))</f>
        <v/>
      </c>
      <c r="H26" s="15">
        <f>IF(OR($A26="",$B26&lt;&gt;"tutar_farki"),"",IF($D26&gt;kdo_esikDesiOran,"KDO-001",IF($F26&gt;kdo_esikIade,"KDO-002",IF($E26&gt;kdo_esikTasarruf,"KDO-004",IF($C26&gt;kdo_esikFark,"KDO-005","TANIMSIZ")))))</f>
        <v/>
      </c>
    </row>
    <row r="27">
      <c r="A27" s="22">
        <f>IF('ESLESTIRME'!$A27="","",'ESLESTIRME'!$A27)</f>
        <v/>
      </c>
      <c r="B27" s="15">
        <f>IF($A27="","",IFERROR(INDEX(tblEslesme[Kova],MATCH($A27,tblEslesme[A_Norm],0)),""))</f>
        <v/>
      </c>
      <c r="C27" s="15">
        <f>IF($A27="","",IFERROR(INDEX(tblEslesme[AbsFark],MATCH($A27,tblEslesme[A_Norm],0)),0))</f>
        <v/>
      </c>
      <c r="D27" s="15">
        <f>IF($A27="","",IFERROR(SUMIF(tblMotor[A_Norm],$A27,tblMotor[DesiKgOran]),0))</f>
        <v/>
      </c>
      <c r="E27" s="15">
        <f>IF($A27="","",IFERROR(SUMIF(tblMotor[A_Norm],$A27,tblMotor[Tasarruf]),0))</f>
        <v/>
      </c>
      <c r="F27" s="15">
        <f>IF($A27="","",IFERROR(SUMIF(tblMotor[A_Norm],$A27,tblMotor[IadeOran]),0))</f>
        <v/>
      </c>
      <c r="G27" s="15">
        <f>IF($A27="","",IFERROR(SUMIF(tblMotor[A_Norm],$A27,tblMotor[BirimKargo]),0))</f>
        <v/>
      </c>
      <c r="H27" s="15">
        <f>IF(OR($A27="",$B27&lt;&gt;"tutar_farki"),"",IF($D27&gt;kdo_esikDesiOran,"KDO-001",IF($F27&gt;kdo_esikIade,"KDO-002",IF($E27&gt;kdo_esikTasarruf,"KDO-004",IF($C27&gt;kdo_esikFark,"KDO-005","TANIMSIZ")))))</f>
        <v/>
      </c>
    </row>
    <row r="28">
      <c r="A28" s="22">
        <f>IF('ESLESTIRME'!$A28="","",'ESLESTIRME'!$A28)</f>
        <v/>
      </c>
      <c r="B28" s="15">
        <f>IF($A28="","",IFERROR(INDEX(tblEslesme[Kova],MATCH($A28,tblEslesme[A_Norm],0)),""))</f>
        <v/>
      </c>
      <c r="C28" s="15">
        <f>IF($A28="","",IFERROR(INDEX(tblEslesme[AbsFark],MATCH($A28,tblEslesme[A_Norm],0)),0))</f>
        <v/>
      </c>
      <c r="D28" s="15">
        <f>IF($A28="","",IFERROR(SUMIF(tblMotor[A_Norm],$A28,tblMotor[DesiKgOran]),0))</f>
        <v/>
      </c>
      <c r="E28" s="15">
        <f>IF($A28="","",IFERROR(SUMIF(tblMotor[A_Norm],$A28,tblMotor[Tasarruf]),0))</f>
        <v/>
      </c>
      <c r="F28" s="15">
        <f>IF($A28="","",IFERROR(SUMIF(tblMotor[A_Norm],$A28,tblMotor[IadeOran]),0))</f>
        <v/>
      </c>
      <c r="G28" s="15">
        <f>IF($A28="","",IFERROR(SUMIF(tblMotor[A_Norm],$A28,tblMotor[BirimKargo]),0))</f>
        <v/>
      </c>
      <c r="H28" s="15">
        <f>IF(OR($A28="",$B28&lt;&gt;"tutar_farki"),"",IF($D28&gt;kdo_esikDesiOran,"KDO-001",IF($F28&gt;kdo_esikIade,"KDO-002",IF($E28&gt;kdo_esikTasarruf,"KDO-004",IF($C28&gt;kdo_esikFark,"KDO-005","TANIMSIZ")))))</f>
        <v/>
      </c>
    </row>
    <row r="29">
      <c r="A29" s="22">
        <f>IF('ESLESTIRME'!$A29="","",'ESLESTIRME'!$A29)</f>
        <v/>
      </c>
      <c r="B29" s="15">
        <f>IF($A29="","",IFERROR(INDEX(tblEslesme[Kova],MATCH($A29,tblEslesme[A_Norm],0)),""))</f>
        <v/>
      </c>
      <c r="C29" s="15">
        <f>IF($A29="","",IFERROR(INDEX(tblEslesme[AbsFark],MATCH($A29,tblEslesme[A_Norm],0)),0))</f>
        <v/>
      </c>
      <c r="D29" s="15">
        <f>IF($A29="","",IFERROR(SUMIF(tblMotor[A_Norm],$A29,tblMotor[DesiKgOran]),0))</f>
        <v/>
      </c>
      <c r="E29" s="15">
        <f>IF($A29="","",IFERROR(SUMIF(tblMotor[A_Norm],$A29,tblMotor[Tasarruf]),0))</f>
        <v/>
      </c>
      <c r="F29" s="15">
        <f>IF($A29="","",IFERROR(SUMIF(tblMotor[A_Norm],$A29,tblMotor[IadeOran]),0))</f>
        <v/>
      </c>
      <c r="G29" s="15">
        <f>IF($A29="","",IFERROR(SUMIF(tblMotor[A_Norm],$A29,tblMotor[BirimKargo]),0))</f>
        <v/>
      </c>
      <c r="H29" s="15">
        <f>IF(OR($A29="",$B29&lt;&gt;"tutar_farki"),"",IF($D29&gt;kdo_esikDesiOran,"KDO-001",IF($F29&gt;kdo_esikIade,"KDO-002",IF($E29&gt;kdo_esikTasarruf,"KDO-004",IF($C29&gt;kdo_esikFark,"KDO-005","TANIMSIZ")))))</f>
        <v/>
      </c>
    </row>
    <row r="30">
      <c r="A30" s="22">
        <f>IF('ESLESTIRME'!$A30="","",'ESLESTIRME'!$A30)</f>
        <v/>
      </c>
      <c r="B30" s="15">
        <f>IF($A30="","",IFERROR(INDEX(tblEslesme[Kova],MATCH($A30,tblEslesme[A_Norm],0)),""))</f>
        <v/>
      </c>
      <c r="C30" s="15">
        <f>IF($A30="","",IFERROR(INDEX(tblEslesme[AbsFark],MATCH($A30,tblEslesme[A_Norm],0)),0))</f>
        <v/>
      </c>
      <c r="D30" s="15">
        <f>IF($A30="","",IFERROR(SUMIF(tblMotor[A_Norm],$A30,tblMotor[DesiKgOran]),0))</f>
        <v/>
      </c>
      <c r="E30" s="15">
        <f>IF($A30="","",IFERROR(SUMIF(tblMotor[A_Norm],$A30,tblMotor[Tasarruf]),0))</f>
        <v/>
      </c>
      <c r="F30" s="15">
        <f>IF($A30="","",IFERROR(SUMIF(tblMotor[A_Norm],$A30,tblMotor[IadeOran]),0))</f>
        <v/>
      </c>
      <c r="G30" s="15">
        <f>IF($A30="","",IFERROR(SUMIF(tblMotor[A_Norm],$A30,tblMotor[BirimKargo]),0))</f>
        <v/>
      </c>
      <c r="H30" s="15">
        <f>IF(OR($A30="",$B30&lt;&gt;"tutar_farki"),"",IF($D30&gt;kdo_esikDesiOran,"KDO-001",IF($F30&gt;kdo_esikIade,"KDO-002",IF($E30&gt;kdo_esikTasarruf,"KDO-004",IF($C30&gt;kdo_esikFark,"KDO-005","TANIMSIZ")))))</f>
        <v/>
      </c>
    </row>
    <row r="31">
      <c r="A31" s="22">
        <f>IF('ESLESTIRME'!$A31="","",'ESLESTIRME'!$A31)</f>
        <v/>
      </c>
      <c r="B31" s="15">
        <f>IF($A31="","",IFERROR(INDEX(tblEslesme[Kova],MATCH($A31,tblEslesme[A_Norm],0)),""))</f>
        <v/>
      </c>
      <c r="C31" s="15">
        <f>IF($A31="","",IFERROR(INDEX(tblEslesme[AbsFark],MATCH($A31,tblEslesme[A_Norm],0)),0))</f>
        <v/>
      </c>
      <c r="D31" s="15">
        <f>IF($A31="","",IFERROR(SUMIF(tblMotor[A_Norm],$A31,tblMotor[DesiKgOran]),0))</f>
        <v/>
      </c>
      <c r="E31" s="15">
        <f>IF($A31="","",IFERROR(SUMIF(tblMotor[A_Norm],$A31,tblMotor[Tasarruf]),0))</f>
        <v/>
      </c>
      <c r="F31" s="15">
        <f>IF($A31="","",IFERROR(SUMIF(tblMotor[A_Norm],$A31,tblMotor[IadeOran]),0))</f>
        <v/>
      </c>
      <c r="G31" s="15">
        <f>IF($A31="","",IFERROR(SUMIF(tblMotor[A_Norm],$A31,tblMotor[BirimKargo]),0))</f>
        <v/>
      </c>
      <c r="H31" s="15">
        <f>IF(OR($A31="",$B31&lt;&gt;"tutar_farki"),"",IF($D31&gt;kdo_esikDesiOran,"KDO-001",IF($F31&gt;kdo_esikIade,"KDO-002",IF($E31&gt;kdo_esikTasarruf,"KDO-004",IF($C31&gt;kdo_esikFark,"KDO-005","TANIMSIZ")))))</f>
        <v/>
      </c>
    </row>
    <row r="32">
      <c r="A32" s="22">
        <f>IF('ESLESTIRME'!$A32="","",'ESLESTIRME'!$A32)</f>
        <v/>
      </c>
      <c r="B32" s="15">
        <f>IF($A32="","",IFERROR(INDEX(tblEslesme[Kova],MATCH($A32,tblEslesme[A_Norm],0)),""))</f>
        <v/>
      </c>
      <c r="C32" s="15">
        <f>IF($A32="","",IFERROR(INDEX(tblEslesme[AbsFark],MATCH($A32,tblEslesme[A_Norm],0)),0))</f>
        <v/>
      </c>
      <c r="D32" s="15">
        <f>IF($A32="","",IFERROR(SUMIF(tblMotor[A_Norm],$A32,tblMotor[DesiKgOran]),0))</f>
        <v/>
      </c>
      <c r="E32" s="15">
        <f>IF($A32="","",IFERROR(SUMIF(tblMotor[A_Norm],$A32,tblMotor[Tasarruf]),0))</f>
        <v/>
      </c>
      <c r="F32" s="15">
        <f>IF($A32="","",IFERROR(SUMIF(tblMotor[A_Norm],$A32,tblMotor[IadeOran]),0))</f>
        <v/>
      </c>
      <c r="G32" s="15">
        <f>IF($A32="","",IFERROR(SUMIF(tblMotor[A_Norm],$A32,tblMotor[BirimKargo]),0))</f>
        <v/>
      </c>
      <c r="H32" s="15">
        <f>IF(OR($A32="",$B32&lt;&gt;"tutar_farki"),"",IF($D32&gt;kdo_esikDesiOran,"KDO-001",IF($F32&gt;kdo_esikIade,"KDO-002",IF($E32&gt;kdo_esikTasarruf,"KDO-004",IF($C32&gt;kdo_esikFark,"KDO-005","TANIMSIZ")))))</f>
        <v/>
      </c>
    </row>
    <row r="33">
      <c r="A33" s="22">
        <f>IF('ESLESTIRME'!$A33="","",'ESLESTIRME'!$A33)</f>
        <v/>
      </c>
      <c r="B33" s="15">
        <f>IF($A33="","",IFERROR(INDEX(tblEslesme[Kova],MATCH($A33,tblEslesme[A_Norm],0)),""))</f>
        <v/>
      </c>
      <c r="C33" s="15">
        <f>IF($A33="","",IFERROR(INDEX(tblEslesme[AbsFark],MATCH($A33,tblEslesme[A_Norm],0)),0))</f>
        <v/>
      </c>
      <c r="D33" s="15">
        <f>IF($A33="","",IFERROR(SUMIF(tblMotor[A_Norm],$A33,tblMotor[DesiKgOran]),0))</f>
        <v/>
      </c>
      <c r="E33" s="15">
        <f>IF($A33="","",IFERROR(SUMIF(tblMotor[A_Norm],$A33,tblMotor[Tasarruf]),0))</f>
        <v/>
      </c>
      <c r="F33" s="15">
        <f>IF($A33="","",IFERROR(SUMIF(tblMotor[A_Norm],$A33,tblMotor[IadeOran]),0))</f>
        <v/>
      </c>
      <c r="G33" s="15">
        <f>IF($A33="","",IFERROR(SUMIF(tblMotor[A_Norm],$A33,tblMotor[BirimKargo]),0))</f>
        <v/>
      </c>
      <c r="H33" s="15">
        <f>IF(OR($A33="",$B33&lt;&gt;"tutar_farki"),"",IF($D33&gt;kdo_esikDesiOran,"KDO-001",IF($F33&gt;kdo_esikIade,"KDO-002",IF($E33&gt;kdo_esikTasarruf,"KDO-004",IF($C33&gt;kdo_esikFark,"KDO-005","TANIMSIZ")))))</f>
        <v/>
      </c>
    </row>
    <row r="34">
      <c r="A34" s="22">
        <f>IF('ESLESTIRME'!$A34="","",'ESLESTIRME'!$A34)</f>
        <v/>
      </c>
      <c r="B34" s="15">
        <f>IF($A34="","",IFERROR(INDEX(tblEslesme[Kova],MATCH($A34,tblEslesme[A_Norm],0)),""))</f>
        <v/>
      </c>
      <c r="C34" s="15">
        <f>IF($A34="","",IFERROR(INDEX(tblEslesme[AbsFark],MATCH($A34,tblEslesme[A_Norm],0)),0))</f>
        <v/>
      </c>
      <c r="D34" s="15">
        <f>IF($A34="","",IFERROR(SUMIF(tblMotor[A_Norm],$A34,tblMotor[DesiKgOran]),0))</f>
        <v/>
      </c>
      <c r="E34" s="15">
        <f>IF($A34="","",IFERROR(SUMIF(tblMotor[A_Norm],$A34,tblMotor[Tasarruf]),0))</f>
        <v/>
      </c>
      <c r="F34" s="15">
        <f>IF($A34="","",IFERROR(SUMIF(tblMotor[A_Norm],$A34,tblMotor[IadeOran]),0))</f>
        <v/>
      </c>
      <c r="G34" s="15">
        <f>IF($A34="","",IFERROR(SUMIF(tblMotor[A_Norm],$A34,tblMotor[BirimKargo]),0))</f>
        <v/>
      </c>
      <c r="H34" s="15">
        <f>IF(OR($A34="",$B34&lt;&gt;"tutar_farki"),"",IF($D34&gt;kdo_esikDesiOran,"KDO-001",IF($F34&gt;kdo_esikIade,"KDO-002",IF($E34&gt;kdo_esikTasarruf,"KDO-004",IF($C34&gt;kdo_esikFark,"KDO-005","TANIMSIZ")))))</f>
        <v/>
      </c>
    </row>
    <row r="35">
      <c r="A35" s="22">
        <f>IF('ESLESTIRME'!$A35="","",'ESLESTIRME'!$A35)</f>
        <v/>
      </c>
      <c r="B35" s="15">
        <f>IF($A35="","",IFERROR(INDEX(tblEslesme[Kova],MATCH($A35,tblEslesme[A_Norm],0)),""))</f>
        <v/>
      </c>
      <c r="C35" s="15">
        <f>IF($A35="","",IFERROR(INDEX(tblEslesme[AbsFark],MATCH($A35,tblEslesme[A_Norm],0)),0))</f>
        <v/>
      </c>
      <c r="D35" s="15">
        <f>IF($A35="","",IFERROR(SUMIF(tblMotor[A_Norm],$A35,tblMotor[DesiKgOran]),0))</f>
        <v/>
      </c>
      <c r="E35" s="15">
        <f>IF($A35="","",IFERROR(SUMIF(tblMotor[A_Norm],$A35,tblMotor[Tasarruf]),0))</f>
        <v/>
      </c>
      <c r="F35" s="15">
        <f>IF($A35="","",IFERROR(SUMIF(tblMotor[A_Norm],$A35,tblMotor[IadeOran]),0))</f>
        <v/>
      </c>
      <c r="G35" s="15">
        <f>IF($A35="","",IFERROR(SUMIF(tblMotor[A_Norm],$A35,tblMotor[BirimKargo]),0))</f>
        <v/>
      </c>
      <c r="H35" s="15">
        <f>IF(OR($A35="",$B35&lt;&gt;"tutar_farki"),"",IF($D35&gt;kdo_esikDesiOran,"KDO-001",IF($F35&gt;kdo_esikIade,"KDO-002",IF($E35&gt;kdo_esikTasarruf,"KDO-004",IF($C35&gt;kdo_esikFark,"KDO-005","TANIMSIZ")))))</f>
        <v/>
      </c>
    </row>
    <row r="36">
      <c r="A36" s="22">
        <f>IF('ESLESTIRME'!$A36="","",'ESLESTIRME'!$A36)</f>
        <v/>
      </c>
      <c r="B36" s="15">
        <f>IF($A36="","",IFERROR(INDEX(tblEslesme[Kova],MATCH($A36,tblEslesme[A_Norm],0)),""))</f>
        <v/>
      </c>
      <c r="C36" s="15">
        <f>IF($A36="","",IFERROR(INDEX(tblEslesme[AbsFark],MATCH($A36,tblEslesme[A_Norm],0)),0))</f>
        <v/>
      </c>
      <c r="D36" s="15">
        <f>IF($A36="","",IFERROR(SUMIF(tblMotor[A_Norm],$A36,tblMotor[DesiKgOran]),0))</f>
        <v/>
      </c>
      <c r="E36" s="15">
        <f>IF($A36="","",IFERROR(SUMIF(tblMotor[A_Norm],$A36,tblMotor[Tasarruf]),0))</f>
        <v/>
      </c>
      <c r="F36" s="15">
        <f>IF($A36="","",IFERROR(SUMIF(tblMotor[A_Norm],$A36,tblMotor[IadeOran]),0))</f>
        <v/>
      </c>
      <c r="G36" s="15">
        <f>IF($A36="","",IFERROR(SUMIF(tblMotor[A_Norm],$A36,tblMotor[BirimKargo]),0))</f>
        <v/>
      </c>
      <c r="H36" s="15">
        <f>IF(OR($A36="",$B36&lt;&gt;"tutar_farki"),"",IF($D36&gt;kdo_esikDesiOran,"KDO-001",IF($F36&gt;kdo_esikIade,"KDO-002",IF($E36&gt;kdo_esikTasarruf,"KDO-004",IF($C36&gt;kdo_esikFark,"KDO-005","TANIMSIZ")))))</f>
        <v/>
      </c>
    </row>
    <row r="37">
      <c r="A37" s="22">
        <f>IF('ESLESTIRME'!$A37="","",'ESLESTIRME'!$A37)</f>
        <v/>
      </c>
      <c r="B37" s="15">
        <f>IF($A37="","",IFERROR(INDEX(tblEslesme[Kova],MATCH($A37,tblEslesme[A_Norm],0)),""))</f>
        <v/>
      </c>
      <c r="C37" s="15">
        <f>IF($A37="","",IFERROR(INDEX(tblEslesme[AbsFark],MATCH($A37,tblEslesme[A_Norm],0)),0))</f>
        <v/>
      </c>
      <c r="D37" s="15">
        <f>IF($A37="","",IFERROR(SUMIF(tblMotor[A_Norm],$A37,tblMotor[DesiKgOran]),0))</f>
        <v/>
      </c>
      <c r="E37" s="15">
        <f>IF($A37="","",IFERROR(SUMIF(tblMotor[A_Norm],$A37,tblMotor[Tasarruf]),0))</f>
        <v/>
      </c>
      <c r="F37" s="15">
        <f>IF($A37="","",IFERROR(SUMIF(tblMotor[A_Norm],$A37,tblMotor[IadeOran]),0))</f>
        <v/>
      </c>
      <c r="G37" s="15">
        <f>IF($A37="","",IFERROR(SUMIF(tblMotor[A_Norm],$A37,tblMotor[BirimKargo]),0))</f>
        <v/>
      </c>
      <c r="H37" s="15">
        <f>IF(OR($A37="",$B37&lt;&gt;"tutar_farki"),"",IF($D37&gt;kdo_esikDesiOran,"KDO-001",IF($F37&gt;kdo_esikIade,"KDO-002",IF($E37&gt;kdo_esikTasarruf,"KDO-004",IF($C37&gt;kdo_esikFark,"KDO-005","TANIMSIZ")))))</f>
        <v/>
      </c>
    </row>
    <row r="38">
      <c r="A38" s="22">
        <f>IF('ESLESTIRME'!$A38="","",'ESLESTIRME'!$A38)</f>
        <v/>
      </c>
      <c r="B38" s="15">
        <f>IF($A38="","",IFERROR(INDEX(tblEslesme[Kova],MATCH($A38,tblEslesme[A_Norm],0)),""))</f>
        <v/>
      </c>
      <c r="C38" s="15">
        <f>IF($A38="","",IFERROR(INDEX(tblEslesme[AbsFark],MATCH($A38,tblEslesme[A_Norm],0)),0))</f>
        <v/>
      </c>
      <c r="D38" s="15">
        <f>IF($A38="","",IFERROR(SUMIF(tblMotor[A_Norm],$A38,tblMotor[DesiKgOran]),0))</f>
        <v/>
      </c>
      <c r="E38" s="15">
        <f>IF($A38="","",IFERROR(SUMIF(tblMotor[A_Norm],$A38,tblMotor[Tasarruf]),0))</f>
        <v/>
      </c>
      <c r="F38" s="15">
        <f>IF($A38="","",IFERROR(SUMIF(tblMotor[A_Norm],$A38,tblMotor[IadeOran]),0))</f>
        <v/>
      </c>
      <c r="G38" s="15">
        <f>IF($A38="","",IFERROR(SUMIF(tblMotor[A_Norm],$A38,tblMotor[BirimKargo]),0))</f>
        <v/>
      </c>
      <c r="H38" s="15">
        <f>IF(OR($A38="",$B38&lt;&gt;"tutar_farki"),"",IF($D38&gt;kdo_esikDesiOran,"KDO-001",IF($F38&gt;kdo_esikIade,"KDO-002",IF($E38&gt;kdo_esikTasarruf,"KDO-004",IF($C38&gt;kdo_esikFark,"KDO-005","TANIMSIZ")))))</f>
        <v/>
      </c>
    </row>
    <row r="39">
      <c r="A39" s="22">
        <f>IF('ESLESTIRME'!$A39="","",'ESLESTIRME'!$A39)</f>
        <v/>
      </c>
      <c r="B39" s="15">
        <f>IF($A39="","",IFERROR(INDEX(tblEslesme[Kova],MATCH($A39,tblEslesme[A_Norm],0)),""))</f>
        <v/>
      </c>
      <c r="C39" s="15">
        <f>IF($A39="","",IFERROR(INDEX(tblEslesme[AbsFark],MATCH($A39,tblEslesme[A_Norm],0)),0))</f>
        <v/>
      </c>
      <c r="D39" s="15">
        <f>IF($A39="","",IFERROR(SUMIF(tblMotor[A_Norm],$A39,tblMotor[DesiKgOran]),0))</f>
        <v/>
      </c>
      <c r="E39" s="15">
        <f>IF($A39="","",IFERROR(SUMIF(tblMotor[A_Norm],$A39,tblMotor[Tasarruf]),0))</f>
        <v/>
      </c>
      <c r="F39" s="15">
        <f>IF($A39="","",IFERROR(SUMIF(tblMotor[A_Norm],$A39,tblMotor[IadeOran]),0))</f>
        <v/>
      </c>
      <c r="G39" s="15">
        <f>IF($A39="","",IFERROR(SUMIF(tblMotor[A_Norm],$A39,tblMotor[BirimKargo]),0))</f>
        <v/>
      </c>
      <c r="H39" s="15">
        <f>IF(OR($A39="",$B39&lt;&gt;"tutar_farki"),"",IF($D39&gt;kdo_esikDesiOran,"KDO-001",IF($F39&gt;kdo_esikIade,"KDO-002",IF($E39&gt;kdo_esikTasarruf,"KDO-004",IF($C39&gt;kdo_esikFark,"KDO-005","TANIMSIZ")))))</f>
        <v/>
      </c>
    </row>
    <row r="40">
      <c r="A40" s="22">
        <f>IF('ESLESTIRME'!$A40="","",'ESLESTIRME'!$A40)</f>
        <v/>
      </c>
      <c r="B40" s="15">
        <f>IF($A40="","",IFERROR(INDEX(tblEslesme[Kova],MATCH($A40,tblEslesme[A_Norm],0)),""))</f>
        <v/>
      </c>
      <c r="C40" s="15">
        <f>IF($A40="","",IFERROR(INDEX(tblEslesme[AbsFark],MATCH($A40,tblEslesme[A_Norm],0)),0))</f>
        <v/>
      </c>
      <c r="D40" s="15">
        <f>IF($A40="","",IFERROR(SUMIF(tblMotor[A_Norm],$A40,tblMotor[DesiKgOran]),0))</f>
        <v/>
      </c>
      <c r="E40" s="15">
        <f>IF($A40="","",IFERROR(SUMIF(tblMotor[A_Norm],$A40,tblMotor[Tasarruf]),0))</f>
        <v/>
      </c>
      <c r="F40" s="15">
        <f>IF($A40="","",IFERROR(SUMIF(tblMotor[A_Norm],$A40,tblMotor[IadeOran]),0))</f>
        <v/>
      </c>
      <c r="G40" s="15">
        <f>IF($A40="","",IFERROR(SUMIF(tblMotor[A_Norm],$A40,tblMotor[BirimKargo]),0))</f>
        <v/>
      </c>
      <c r="H40" s="15">
        <f>IF(OR($A40="",$B40&lt;&gt;"tutar_farki"),"",IF($D40&gt;kdo_esikDesiOran,"KDO-001",IF($F40&gt;kdo_esikIade,"KDO-002",IF($E40&gt;kdo_esikTasarruf,"KDO-004",IF($C40&gt;kdo_esikFark,"KDO-005","TANIMSIZ")))))</f>
        <v/>
      </c>
    </row>
    <row r="41">
      <c r="A41" s="22">
        <f>IF('ESLESTIRME'!$A41="","",'ESLESTIRME'!$A41)</f>
        <v/>
      </c>
      <c r="B41" s="15">
        <f>IF($A41="","",IFERROR(INDEX(tblEslesme[Kova],MATCH($A41,tblEslesme[A_Norm],0)),""))</f>
        <v/>
      </c>
      <c r="C41" s="15">
        <f>IF($A41="","",IFERROR(INDEX(tblEslesme[AbsFark],MATCH($A41,tblEslesme[A_Norm],0)),0))</f>
        <v/>
      </c>
      <c r="D41" s="15">
        <f>IF($A41="","",IFERROR(SUMIF(tblMotor[A_Norm],$A41,tblMotor[DesiKgOran]),0))</f>
        <v/>
      </c>
      <c r="E41" s="15">
        <f>IF($A41="","",IFERROR(SUMIF(tblMotor[A_Norm],$A41,tblMotor[Tasarruf]),0))</f>
        <v/>
      </c>
      <c r="F41" s="15">
        <f>IF($A41="","",IFERROR(SUMIF(tblMotor[A_Norm],$A41,tblMotor[IadeOran]),0))</f>
        <v/>
      </c>
      <c r="G41" s="15">
        <f>IF($A41="","",IFERROR(SUMIF(tblMotor[A_Norm],$A41,tblMotor[BirimKargo]),0))</f>
        <v/>
      </c>
      <c r="H41" s="15">
        <f>IF(OR($A41="",$B41&lt;&gt;"tutar_farki"),"",IF($D41&gt;kdo_esikDesiOran,"KDO-001",IF($F41&gt;kdo_esikIade,"KDO-002",IF($E41&gt;kdo_esikTasarruf,"KDO-004",IF($C41&gt;kdo_esikFark,"KDO-005","TANIMSIZ")))))</f>
        <v/>
      </c>
    </row>
    <row r="42">
      <c r="A42" s="22">
        <f>IF('ESLESTIRME'!$A42="","",'ESLESTIRME'!$A42)</f>
        <v/>
      </c>
      <c r="B42" s="15">
        <f>IF($A42="","",IFERROR(INDEX(tblEslesme[Kova],MATCH($A42,tblEslesme[A_Norm],0)),""))</f>
        <v/>
      </c>
      <c r="C42" s="15">
        <f>IF($A42="","",IFERROR(INDEX(tblEslesme[AbsFark],MATCH($A42,tblEslesme[A_Norm],0)),0))</f>
        <v/>
      </c>
      <c r="D42" s="15">
        <f>IF($A42="","",IFERROR(SUMIF(tblMotor[A_Norm],$A42,tblMotor[DesiKgOran]),0))</f>
        <v/>
      </c>
      <c r="E42" s="15">
        <f>IF($A42="","",IFERROR(SUMIF(tblMotor[A_Norm],$A42,tblMotor[Tasarruf]),0))</f>
        <v/>
      </c>
      <c r="F42" s="15">
        <f>IF($A42="","",IFERROR(SUMIF(tblMotor[A_Norm],$A42,tblMotor[IadeOran]),0))</f>
        <v/>
      </c>
      <c r="G42" s="15">
        <f>IF($A42="","",IFERROR(SUMIF(tblMotor[A_Norm],$A42,tblMotor[BirimKargo]),0))</f>
        <v/>
      </c>
      <c r="H42" s="15">
        <f>IF(OR($A42="",$B42&lt;&gt;"tutar_farki"),"",IF($D42&gt;kdo_esikDesiOran,"KDO-001",IF($F42&gt;kdo_esikIade,"KDO-002",IF($E42&gt;kdo_esikTasarruf,"KDO-004",IF($C42&gt;kdo_esikFark,"KDO-005","TANIMSIZ")))))</f>
        <v/>
      </c>
    </row>
    <row r="43">
      <c r="A43" s="22">
        <f>IF('ESLESTIRME'!$A43="","",'ESLESTIRME'!$A43)</f>
        <v/>
      </c>
      <c r="B43" s="15">
        <f>IF($A43="","",IFERROR(INDEX(tblEslesme[Kova],MATCH($A43,tblEslesme[A_Norm],0)),""))</f>
        <v/>
      </c>
      <c r="C43" s="15">
        <f>IF($A43="","",IFERROR(INDEX(tblEslesme[AbsFark],MATCH($A43,tblEslesme[A_Norm],0)),0))</f>
        <v/>
      </c>
      <c r="D43" s="15">
        <f>IF($A43="","",IFERROR(SUMIF(tblMotor[A_Norm],$A43,tblMotor[DesiKgOran]),0))</f>
        <v/>
      </c>
      <c r="E43" s="15">
        <f>IF($A43="","",IFERROR(SUMIF(tblMotor[A_Norm],$A43,tblMotor[Tasarruf]),0))</f>
        <v/>
      </c>
      <c r="F43" s="15">
        <f>IF($A43="","",IFERROR(SUMIF(tblMotor[A_Norm],$A43,tblMotor[IadeOran]),0))</f>
        <v/>
      </c>
      <c r="G43" s="15">
        <f>IF($A43="","",IFERROR(SUMIF(tblMotor[A_Norm],$A43,tblMotor[BirimKargo]),0))</f>
        <v/>
      </c>
      <c r="H43" s="15">
        <f>IF(OR($A43="",$B43&lt;&gt;"tutar_farki"),"",IF($D43&gt;kdo_esikDesiOran,"KDO-001",IF($F43&gt;kdo_esikIade,"KDO-002",IF($E43&gt;kdo_esikTasarruf,"KDO-004",IF($C43&gt;kdo_esikFark,"KDO-005","TANIMSIZ")))))</f>
        <v/>
      </c>
    </row>
    <row r="44">
      <c r="A44" s="22">
        <f>IF('ESLESTIRME'!$A44="","",'ESLESTIRME'!$A44)</f>
        <v/>
      </c>
      <c r="B44" s="15">
        <f>IF($A44="","",IFERROR(INDEX(tblEslesme[Kova],MATCH($A44,tblEslesme[A_Norm],0)),""))</f>
        <v/>
      </c>
      <c r="C44" s="15">
        <f>IF($A44="","",IFERROR(INDEX(tblEslesme[AbsFark],MATCH($A44,tblEslesme[A_Norm],0)),0))</f>
        <v/>
      </c>
      <c r="D44" s="15">
        <f>IF($A44="","",IFERROR(SUMIF(tblMotor[A_Norm],$A44,tblMotor[DesiKgOran]),0))</f>
        <v/>
      </c>
      <c r="E44" s="15">
        <f>IF($A44="","",IFERROR(SUMIF(tblMotor[A_Norm],$A44,tblMotor[Tasarruf]),0))</f>
        <v/>
      </c>
      <c r="F44" s="15">
        <f>IF($A44="","",IFERROR(SUMIF(tblMotor[A_Norm],$A44,tblMotor[IadeOran]),0))</f>
        <v/>
      </c>
      <c r="G44" s="15">
        <f>IF($A44="","",IFERROR(SUMIF(tblMotor[A_Norm],$A44,tblMotor[BirimKargo]),0))</f>
        <v/>
      </c>
      <c r="H44" s="15">
        <f>IF(OR($A44="",$B44&lt;&gt;"tutar_farki"),"",IF($D44&gt;kdo_esikDesiOran,"KDO-001",IF($F44&gt;kdo_esikIade,"KDO-002",IF($E44&gt;kdo_esikTasarruf,"KDO-004",IF($C44&gt;kdo_esikFark,"KDO-005","TANIMSIZ")))))</f>
        <v/>
      </c>
    </row>
    <row r="45">
      <c r="A45" s="22">
        <f>IF('ESLESTIRME'!$A45="","",'ESLESTIRME'!$A45)</f>
        <v/>
      </c>
      <c r="B45" s="15">
        <f>IF($A45="","",IFERROR(INDEX(tblEslesme[Kova],MATCH($A45,tblEslesme[A_Norm],0)),""))</f>
        <v/>
      </c>
      <c r="C45" s="15">
        <f>IF($A45="","",IFERROR(INDEX(tblEslesme[AbsFark],MATCH($A45,tblEslesme[A_Norm],0)),0))</f>
        <v/>
      </c>
      <c r="D45" s="15">
        <f>IF($A45="","",IFERROR(SUMIF(tblMotor[A_Norm],$A45,tblMotor[DesiKgOran]),0))</f>
        <v/>
      </c>
      <c r="E45" s="15">
        <f>IF($A45="","",IFERROR(SUMIF(tblMotor[A_Norm],$A45,tblMotor[Tasarruf]),0))</f>
        <v/>
      </c>
      <c r="F45" s="15">
        <f>IF($A45="","",IFERROR(SUMIF(tblMotor[A_Norm],$A45,tblMotor[IadeOran]),0))</f>
        <v/>
      </c>
      <c r="G45" s="15">
        <f>IF($A45="","",IFERROR(SUMIF(tblMotor[A_Norm],$A45,tblMotor[BirimKargo]),0))</f>
        <v/>
      </c>
      <c r="H45" s="15">
        <f>IF(OR($A45="",$B45&lt;&gt;"tutar_farki"),"",IF($D45&gt;kdo_esikDesiOran,"KDO-001",IF($F45&gt;kdo_esikIade,"KDO-002",IF($E45&gt;kdo_esikTasarruf,"KDO-004",IF($C45&gt;kdo_esikFark,"KDO-005","TANIMSIZ")))))</f>
        <v/>
      </c>
    </row>
    <row r="46">
      <c r="A46" s="22">
        <f>IF('ESLESTIRME'!$A46="","",'ESLESTIRME'!$A46)</f>
        <v/>
      </c>
      <c r="B46" s="15">
        <f>IF($A46="","",IFERROR(INDEX(tblEslesme[Kova],MATCH($A46,tblEslesme[A_Norm],0)),""))</f>
        <v/>
      </c>
      <c r="C46" s="15">
        <f>IF($A46="","",IFERROR(INDEX(tblEslesme[AbsFark],MATCH($A46,tblEslesme[A_Norm],0)),0))</f>
        <v/>
      </c>
      <c r="D46" s="15">
        <f>IF($A46="","",IFERROR(SUMIF(tblMotor[A_Norm],$A46,tblMotor[DesiKgOran]),0))</f>
        <v/>
      </c>
      <c r="E46" s="15">
        <f>IF($A46="","",IFERROR(SUMIF(tblMotor[A_Norm],$A46,tblMotor[Tasarruf]),0))</f>
        <v/>
      </c>
      <c r="F46" s="15">
        <f>IF($A46="","",IFERROR(SUMIF(tblMotor[A_Norm],$A46,tblMotor[IadeOran]),0))</f>
        <v/>
      </c>
      <c r="G46" s="15">
        <f>IF($A46="","",IFERROR(SUMIF(tblMotor[A_Norm],$A46,tblMotor[BirimKargo]),0))</f>
        <v/>
      </c>
      <c r="H46" s="15">
        <f>IF(OR($A46="",$B46&lt;&gt;"tutar_farki"),"",IF($D46&gt;kdo_esikDesiOran,"KDO-001",IF($F46&gt;kdo_esikIade,"KDO-002",IF($E46&gt;kdo_esikTasarruf,"KDO-004",IF($C46&gt;kdo_esikFark,"KDO-005","TANIMSIZ")))))</f>
        <v/>
      </c>
    </row>
    <row r="47">
      <c r="A47" s="22">
        <f>IF('ESLESTIRME'!$A47="","",'ESLESTIRME'!$A47)</f>
        <v/>
      </c>
      <c r="B47" s="15">
        <f>IF($A47="","",IFERROR(INDEX(tblEslesme[Kova],MATCH($A47,tblEslesme[A_Norm],0)),""))</f>
        <v/>
      </c>
      <c r="C47" s="15">
        <f>IF($A47="","",IFERROR(INDEX(tblEslesme[AbsFark],MATCH($A47,tblEslesme[A_Norm],0)),0))</f>
        <v/>
      </c>
      <c r="D47" s="15">
        <f>IF($A47="","",IFERROR(SUMIF(tblMotor[A_Norm],$A47,tblMotor[DesiKgOran]),0))</f>
        <v/>
      </c>
      <c r="E47" s="15">
        <f>IF($A47="","",IFERROR(SUMIF(tblMotor[A_Norm],$A47,tblMotor[Tasarruf]),0))</f>
        <v/>
      </c>
      <c r="F47" s="15">
        <f>IF($A47="","",IFERROR(SUMIF(tblMotor[A_Norm],$A47,tblMotor[IadeOran]),0))</f>
        <v/>
      </c>
      <c r="G47" s="15">
        <f>IF($A47="","",IFERROR(SUMIF(tblMotor[A_Norm],$A47,tblMotor[BirimKargo]),0))</f>
        <v/>
      </c>
      <c r="H47" s="15">
        <f>IF(OR($A47="",$B47&lt;&gt;"tutar_farki"),"",IF($D47&gt;kdo_esikDesiOran,"KDO-001",IF($F47&gt;kdo_esikIade,"KDO-002",IF($E47&gt;kdo_esikTasarruf,"KDO-004",IF($C47&gt;kdo_esikFark,"KDO-005","TANIMSIZ")))))</f>
        <v/>
      </c>
    </row>
    <row r="48">
      <c r="A48" s="22">
        <f>IF('ESLESTIRME'!$A48="","",'ESLESTIRME'!$A48)</f>
        <v/>
      </c>
      <c r="B48" s="15">
        <f>IF($A48="","",IFERROR(INDEX(tblEslesme[Kova],MATCH($A48,tblEslesme[A_Norm],0)),""))</f>
        <v/>
      </c>
      <c r="C48" s="15">
        <f>IF($A48="","",IFERROR(INDEX(tblEslesme[AbsFark],MATCH($A48,tblEslesme[A_Norm],0)),0))</f>
        <v/>
      </c>
      <c r="D48" s="15">
        <f>IF($A48="","",IFERROR(SUMIF(tblMotor[A_Norm],$A48,tblMotor[DesiKgOran]),0))</f>
        <v/>
      </c>
      <c r="E48" s="15">
        <f>IF($A48="","",IFERROR(SUMIF(tblMotor[A_Norm],$A48,tblMotor[Tasarruf]),0))</f>
        <v/>
      </c>
      <c r="F48" s="15">
        <f>IF($A48="","",IFERROR(SUMIF(tblMotor[A_Norm],$A48,tblMotor[IadeOran]),0))</f>
        <v/>
      </c>
      <c r="G48" s="15">
        <f>IF($A48="","",IFERROR(SUMIF(tblMotor[A_Norm],$A48,tblMotor[BirimKargo]),0))</f>
        <v/>
      </c>
      <c r="H48" s="15">
        <f>IF(OR($A48="",$B48&lt;&gt;"tutar_farki"),"",IF($D48&gt;kdo_esikDesiOran,"KDO-001",IF($F48&gt;kdo_esikIade,"KDO-002",IF($E48&gt;kdo_esikTasarruf,"KDO-004",IF($C48&gt;kdo_esikFark,"KDO-005","TANIMSIZ")))))</f>
        <v/>
      </c>
    </row>
    <row r="49">
      <c r="A49" s="22">
        <f>IF('ESLESTIRME'!$A49="","",'ESLESTIRME'!$A49)</f>
        <v/>
      </c>
      <c r="B49" s="15">
        <f>IF($A49="","",IFERROR(INDEX(tblEslesme[Kova],MATCH($A49,tblEslesme[A_Norm],0)),""))</f>
        <v/>
      </c>
      <c r="C49" s="15">
        <f>IF($A49="","",IFERROR(INDEX(tblEslesme[AbsFark],MATCH($A49,tblEslesme[A_Norm],0)),0))</f>
        <v/>
      </c>
      <c r="D49" s="15">
        <f>IF($A49="","",IFERROR(SUMIF(tblMotor[A_Norm],$A49,tblMotor[DesiKgOran]),0))</f>
        <v/>
      </c>
      <c r="E49" s="15">
        <f>IF($A49="","",IFERROR(SUMIF(tblMotor[A_Norm],$A49,tblMotor[Tasarruf]),0))</f>
        <v/>
      </c>
      <c r="F49" s="15">
        <f>IF($A49="","",IFERROR(SUMIF(tblMotor[A_Norm],$A49,tblMotor[IadeOran]),0))</f>
        <v/>
      </c>
      <c r="G49" s="15">
        <f>IF($A49="","",IFERROR(SUMIF(tblMotor[A_Norm],$A49,tblMotor[BirimKargo]),0))</f>
        <v/>
      </c>
      <c r="H49" s="15">
        <f>IF(OR($A49="",$B49&lt;&gt;"tutar_farki"),"",IF($D49&gt;kdo_esikDesiOran,"KDO-001",IF($F49&gt;kdo_esikIade,"KDO-002",IF($E49&gt;kdo_esikTasarruf,"KDO-004",IF($C49&gt;kdo_esikFark,"KDO-005","TANIMSIZ")))))</f>
        <v/>
      </c>
    </row>
    <row r="50">
      <c r="A50" s="22">
        <f>IF('ESLESTIRME'!$A50="","",'ESLESTIRME'!$A50)</f>
        <v/>
      </c>
      <c r="B50" s="15">
        <f>IF($A50="","",IFERROR(INDEX(tblEslesme[Kova],MATCH($A50,tblEslesme[A_Norm],0)),""))</f>
        <v/>
      </c>
      <c r="C50" s="15">
        <f>IF($A50="","",IFERROR(INDEX(tblEslesme[AbsFark],MATCH($A50,tblEslesme[A_Norm],0)),0))</f>
        <v/>
      </c>
      <c r="D50" s="15">
        <f>IF($A50="","",IFERROR(SUMIF(tblMotor[A_Norm],$A50,tblMotor[DesiKgOran]),0))</f>
        <v/>
      </c>
      <c r="E50" s="15">
        <f>IF($A50="","",IFERROR(SUMIF(tblMotor[A_Norm],$A50,tblMotor[Tasarruf]),0))</f>
        <v/>
      </c>
      <c r="F50" s="15">
        <f>IF($A50="","",IFERROR(SUMIF(tblMotor[A_Norm],$A50,tblMotor[IadeOran]),0))</f>
        <v/>
      </c>
      <c r="G50" s="15">
        <f>IF($A50="","",IFERROR(SUMIF(tblMotor[A_Norm],$A50,tblMotor[BirimKargo]),0))</f>
        <v/>
      </c>
      <c r="H50" s="15">
        <f>IF(OR($A50="",$B50&lt;&gt;"tutar_farki"),"",IF($D50&gt;kdo_esikDesiOran,"KDO-001",IF($F50&gt;kdo_esikIade,"KDO-002",IF($E50&gt;kdo_esikTasarruf,"KDO-004",IF($C50&gt;kdo_esikFark,"KDO-005","TANIMSIZ")))))</f>
        <v/>
      </c>
    </row>
    <row r="51">
      <c r="A51" s="22">
        <f>IF('ESLESTIRME'!$A51="","",'ESLESTIRME'!$A51)</f>
        <v/>
      </c>
      <c r="B51" s="15">
        <f>IF($A51="","",IFERROR(INDEX(tblEslesme[Kova],MATCH($A51,tblEslesme[A_Norm],0)),""))</f>
        <v/>
      </c>
      <c r="C51" s="15">
        <f>IF($A51="","",IFERROR(INDEX(tblEslesme[AbsFark],MATCH($A51,tblEslesme[A_Norm],0)),0))</f>
        <v/>
      </c>
      <c r="D51" s="15">
        <f>IF($A51="","",IFERROR(SUMIF(tblMotor[A_Norm],$A51,tblMotor[DesiKgOran]),0))</f>
        <v/>
      </c>
      <c r="E51" s="15">
        <f>IF($A51="","",IFERROR(SUMIF(tblMotor[A_Norm],$A51,tblMotor[Tasarruf]),0))</f>
        <v/>
      </c>
      <c r="F51" s="15">
        <f>IF($A51="","",IFERROR(SUMIF(tblMotor[A_Norm],$A51,tblMotor[IadeOran]),0))</f>
        <v/>
      </c>
      <c r="G51" s="15">
        <f>IF($A51="","",IFERROR(SUMIF(tblMotor[A_Norm],$A51,tblMotor[BirimKargo]),0))</f>
        <v/>
      </c>
      <c r="H51" s="15">
        <f>IF(OR($A51="",$B51&lt;&gt;"tutar_farki"),"",IF($D51&gt;kdo_esikDesiOran,"KDO-001",IF($F51&gt;kdo_esikIade,"KDO-002",IF($E51&gt;kdo_esikTasarruf,"KDO-004",IF($C51&gt;kdo_esikFark,"KDO-005","TANIMSIZ")))))</f>
        <v/>
      </c>
    </row>
    <row r="52">
      <c r="A52" s="22">
        <f>IF('ESLESTIRME'!$A52="","",'ESLESTIRME'!$A52)</f>
        <v/>
      </c>
      <c r="B52" s="15">
        <f>IF($A52="","",IFERROR(INDEX(tblEslesme[Kova],MATCH($A52,tblEslesme[A_Norm],0)),""))</f>
        <v/>
      </c>
      <c r="C52" s="15">
        <f>IF($A52="","",IFERROR(INDEX(tblEslesme[AbsFark],MATCH($A52,tblEslesme[A_Norm],0)),0))</f>
        <v/>
      </c>
      <c r="D52" s="15">
        <f>IF($A52="","",IFERROR(SUMIF(tblMotor[A_Norm],$A52,tblMotor[DesiKgOran]),0))</f>
        <v/>
      </c>
      <c r="E52" s="15">
        <f>IF($A52="","",IFERROR(SUMIF(tblMotor[A_Norm],$A52,tblMotor[Tasarruf]),0))</f>
        <v/>
      </c>
      <c r="F52" s="15">
        <f>IF($A52="","",IFERROR(SUMIF(tblMotor[A_Norm],$A52,tblMotor[IadeOran]),0))</f>
        <v/>
      </c>
      <c r="G52" s="15">
        <f>IF($A52="","",IFERROR(SUMIF(tblMotor[A_Norm],$A52,tblMotor[BirimKargo]),0))</f>
        <v/>
      </c>
      <c r="H52" s="15">
        <f>IF(OR($A52="",$B52&lt;&gt;"tutar_farki"),"",IF($D52&gt;kdo_esikDesiOran,"KDO-001",IF($F52&gt;kdo_esikIade,"KDO-002",IF($E52&gt;kdo_esikTasarruf,"KDO-004",IF($C52&gt;kdo_esikFark,"KDO-005","TANIMSIZ")))))</f>
        <v/>
      </c>
    </row>
    <row r="53">
      <c r="A53" s="22">
        <f>IF('ESLESTIRME'!$A53="","",'ESLESTIRME'!$A53)</f>
        <v/>
      </c>
      <c r="B53" s="15">
        <f>IF($A53="","",IFERROR(INDEX(tblEslesme[Kova],MATCH($A53,tblEslesme[A_Norm],0)),""))</f>
        <v/>
      </c>
      <c r="C53" s="15">
        <f>IF($A53="","",IFERROR(INDEX(tblEslesme[AbsFark],MATCH($A53,tblEslesme[A_Norm],0)),0))</f>
        <v/>
      </c>
      <c r="D53" s="15">
        <f>IF($A53="","",IFERROR(SUMIF(tblMotor[A_Norm],$A53,tblMotor[DesiKgOran]),0))</f>
        <v/>
      </c>
      <c r="E53" s="15">
        <f>IF($A53="","",IFERROR(SUMIF(tblMotor[A_Norm],$A53,tblMotor[Tasarruf]),0))</f>
        <v/>
      </c>
      <c r="F53" s="15">
        <f>IF($A53="","",IFERROR(SUMIF(tblMotor[A_Norm],$A53,tblMotor[IadeOran]),0))</f>
        <v/>
      </c>
      <c r="G53" s="15">
        <f>IF($A53="","",IFERROR(SUMIF(tblMotor[A_Norm],$A53,tblMotor[BirimKargo]),0))</f>
        <v/>
      </c>
      <c r="H53" s="15">
        <f>IF(OR($A53="",$B53&lt;&gt;"tutar_farki"),"",IF($D53&gt;kdo_esikDesiOran,"KDO-001",IF($F53&gt;kdo_esikIade,"KDO-002",IF($E53&gt;kdo_esikTasarruf,"KDO-004",IF($C53&gt;kdo_esikFark,"KDO-005","TANIMSIZ")))))</f>
        <v/>
      </c>
    </row>
    <row r="54">
      <c r="A54" s="22">
        <f>IF('ESLESTIRME'!$A54="","",'ESLESTIRME'!$A54)</f>
        <v/>
      </c>
      <c r="B54" s="15">
        <f>IF($A54="","",IFERROR(INDEX(tblEslesme[Kova],MATCH($A54,tblEslesme[A_Norm],0)),""))</f>
        <v/>
      </c>
      <c r="C54" s="15">
        <f>IF($A54="","",IFERROR(INDEX(tblEslesme[AbsFark],MATCH($A54,tblEslesme[A_Norm],0)),0))</f>
        <v/>
      </c>
      <c r="D54" s="15">
        <f>IF($A54="","",IFERROR(SUMIF(tblMotor[A_Norm],$A54,tblMotor[DesiKgOran]),0))</f>
        <v/>
      </c>
      <c r="E54" s="15">
        <f>IF($A54="","",IFERROR(SUMIF(tblMotor[A_Norm],$A54,tblMotor[Tasarruf]),0))</f>
        <v/>
      </c>
      <c r="F54" s="15">
        <f>IF($A54="","",IFERROR(SUMIF(tblMotor[A_Norm],$A54,tblMotor[IadeOran]),0))</f>
        <v/>
      </c>
      <c r="G54" s="15">
        <f>IF($A54="","",IFERROR(SUMIF(tblMotor[A_Norm],$A54,tblMotor[BirimKargo]),0))</f>
        <v/>
      </c>
      <c r="H54" s="15">
        <f>IF(OR($A54="",$B54&lt;&gt;"tutar_farki"),"",IF($D54&gt;kdo_esikDesiOran,"KDO-001",IF($F54&gt;kdo_esikIade,"KDO-002",IF($E54&gt;kdo_esikTasarruf,"KDO-004",IF($C54&gt;kdo_esikFark,"KDO-005","TANIMSIZ")))))</f>
        <v/>
      </c>
    </row>
    <row r="55">
      <c r="A55" s="22">
        <f>IF('ESLESTIRME'!$A55="","",'ESLESTIRME'!$A55)</f>
        <v/>
      </c>
      <c r="B55" s="15">
        <f>IF($A55="","",IFERROR(INDEX(tblEslesme[Kova],MATCH($A55,tblEslesme[A_Norm],0)),""))</f>
        <v/>
      </c>
      <c r="C55" s="15">
        <f>IF($A55="","",IFERROR(INDEX(tblEslesme[AbsFark],MATCH($A55,tblEslesme[A_Norm],0)),0))</f>
        <v/>
      </c>
      <c r="D55" s="15">
        <f>IF($A55="","",IFERROR(SUMIF(tblMotor[A_Norm],$A55,tblMotor[DesiKgOran]),0))</f>
        <v/>
      </c>
      <c r="E55" s="15">
        <f>IF($A55="","",IFERROR(SUMIF(tblMotor[A_Norm],$A55,tblMotor[Tasarruf]),0))</f>
        <v/>
      </c>
      <c r="F55" s="15">
        <f>IF($A55="","",IFERROR(SUMIF(tblMotor[A_Norm],$A55,tblMotor[IadeOran]),0))</f>
        <v/>
      </c>
      <c r="G55" s="15">
        <f>IF($A55="","",IFERROR(SUMIF(tblMotor[A_Norm],$A55,tblMotor[BirimKargo]),0))</f>
        <v/>
      </c>
      <c r="H55" s="15">
        <f>IF(OR($A55="",$B55&lt;&gt;"tutar_farki"),"",IF($D55&gt;kdo_esikDesiOran,"KDO-001",IF($F55&gt;kdo_esikIade,"KDO-002",IF($E55&gt;kdo_esikTasarruf,"KDO-004",IF($C55&gt;kdo_esikFark,"KDO-005","TANIMSIZ")))))</f>
        <v/>
      </c>
    </row>
    <row r="56">
      <c r="A56" s="22">
        <f>IF('ESLESTIRME'!$A56="","",'ESLESTIRME'!$A56)</f>
        <v/>
      </c>
      <c r="B56" s="15">
        <f>IF($A56="","",IFERROR(INDEX(tblEslesme[Kova],MATCH($A56,tblEslesme[A_Norm],0)),""))</f>
        <v/>
      </c>
      <c r="C56" s="15">
        <f>IF($A56="","",IFERROR(INDEX(tblEslesme[AbsFark],MATCH($A56,tblEslesme[A_Norm],0)),0))</f>
        <v/>
      </c>
      <c r="D56" s="15">
        <f>IF($A56="","",IFERROR(SUMIF(tblMotor[A_Norm],$A56,tblMotor[DesiKgOran]),0))</f>
        <v/>
      </c>
      <c r="E56" s="15">
        <f>IF($A56="","",IFERROR(SUMIF(tblMotor[A_Norm],$A56,tblMotor[Tasarruf]),0))</f>
        <v/>
      </c>
      <c r="F56" s="15">
        <f>IF($A56="","",IFERROR(SUMIF(tblMotor[A_Norm],$A56,tblMotor[IadeOran]),0))</f>
        <v/>
      </c>
      <c r="G56" s="15">
        <f>IF($A56="","",IFERROR(SUMIF(tblMotor[A_Norm],$A56,tblMotor[BirimKargo]),0))</f>
        <v/>
      </c>
      <c r="H56" s="15">
        <f>IF(OR($A56="",$B56&lt;&gt;"tutar_farki"),"",IF($D56&gt;kdo_esikDesiOran,"KDO-001",IF($F56&gt;kdo_esikIade,"KDO-002",IF($E56&gt;kdo_esikTasarruf,"KDO-004",IF($C56&gt;kdo_esikFark,"KDO-005","TANIMSIZ")))))</f>
        <v/>
      </c>
    </row>
    <row r="57">
      <c r="A57" s="22">
        <f>IF('ESLESTIRME'!$A57="","",'ESLESTIRME'!$A57)</f>
        <v/>
      </c>
      <c r="B57" s="15">
        <f>IF($A57="","",IFERROR(INDEX(tblEslesme[Kova],MATCH($A57,tblEslesme[A_Norm],0)),""))</f>
        <v/>
      </c>
      <c r="C57" s="15">
        <f>IF($A57="","",IFERROR(INDEX(tblEslesme[AbsFark],MATCH($A57,tblEslesme[A_Norm],0)),0))</f>
        <v/>
      </c>
      <c r="D57" s="15">
        <f>IF($A57="","",IFERROR(SUMIF(tblMotor[A_Norm],$A57,tblMotor[DesiKgOran]),0))</f>
        <v/>
      </c>
      <c r="E57" s="15">
        <f>IF($A57="","",IFERROR(SUMIF(tblMotor[A_Norm],$A57,tblMotor[Tasarruf]),0))</f>
        <v/>
      </c>
      <c r="F57" s="15">
        <f>IF($A57="","",IFERROR(SUMIF(tblMotor[A_Norm],$A57,tblMotor[IadeOran]),0))</f>
        <v/>
      </c>
      <c r="G57" s="15">
        <f>IF($A57="","",IFERROR(SUMIF(tblMotor[A_Norm],$A57,tblMotor[BirimKargo]),0))</f>
        <v/>
      </c>
      <c r="H57" s="15">
        <f>IF(OR($A57="",$B57&lt;&gt;"tutar_farki"),"",IF($D57&gt;kdo_esikDesiOran,"KDO-001",IF($F57&gt;kdo_esikIade,"KDO-002",IF($E57&gt;kdo_esikTasarruf,"KDO-004",IF($C57&gt;kdo_esikFark,"KDO-005","TANIMSIZ")))))</f>
        <v/>
      </c>
    </row>
    <row r="58">
      <c r="A58" s="22">
        <f>IF('ESLESTIRME'!$A58="","",'ESLESTIRME'!$A58)</f>
        <v/>
      </c>
      <c r="B58" s="15">
        <f>IF($A58="","",IFERROR(INDEX(tblEslesme[Kova],MATCH($A58,tblEslesme[A_Norm],0)),""))</f>
        <v/>
      </c>
      <c r="C58" s="15">
        <f>IF($A58="","",IFERROR(INDEX(tblEslesme[AbsFark],MATCH($A58,tblEslesme[A_Norm],0)),0))</f>
        <v/>
      </c>
      <c r="D58" s="15">
        <f>IF($A58="","",IFERROR(SUMIF(tblMotor[A_Norm],$A58,tblMotor[DesiKgOran]),0))</f>
        <v/>
      </c>
      <c r="E58" s="15">
        <f>IF($A58="","",IFERROR(SUMIF(tblMotor[A_Norm],$A58,tblMotor[Tasarruf]),0))</f>
        <v/>
      </c>
      <c r="F58" s="15">
        <f>IF($A58="","",IFERROR(SUMIF(tblMotor[A_Norm],$A58,tblMotor[IadeOran]),0))</f>
        <v/>
      </c>
      <c r="G58" s="15">
        <f>IF($A58="","",IFERROR(SUMIF(tblMotor[A_Norm],$A58,tblMotor[BirimKargo]),0))</f>
        <v/>
      </c>
      <c r="H58" s="15">
        <f>IF(OR($A58="",$B58&lt;&gt;"tutar_farki"),"",IF($D58&gt;kdo_esikDesiOran,"KDO-001",IF($F58&gt;kdo_esikIade,"KDO-002",IF($E58&gt;kdo_esikTasarruf,"KDO-004",IF($C58&gt;kdo_esikFark,"KDO-005","TANIMSIZ")))))</f>
        <v/>
      </c>
    </row>
    <row r="59">
      <c r="A59" s="22">
        <f>IF('ESLESTIRME'!$A59="","",'ESLESTIRME'!$A59)</f>
        <v/>
      </c>
      <c r="B59" s="15">
        <f>IF($A59="","",IFERROR(INDEX(tblEslesme[Kova],MATCH($A59,tblEslesme[A_Norm],0)),""))</f>
        <v/>
      </c>
      <c r="C59" s="15">
        <f>IF($A59="","",IFERROR(INDEX(tblEslesme[AbsFark],MATCH($A59,tblEslesme[A_Norm],0)),0))</f>
        <v/>
      </c>
      <c r="D59" s="15">
        <f>IF($A59="","",IFERROR(SUMIF(tblMotor[A_Norm],$A59,tblMotor[DesiKgOran]),0))</f>
        <v/>
      </c>
      <c r="E59" s="15">
        <f>IF($A59="","",IFERROR(SUMIF(tblMotor[A_Norm],$A59,tblMotor[Tasarruf]),0))</f>
        <v/>
      </c>
      <c r="F59" s="15">
        <f>IF($A59="","",IFERROR(SUMIF(tblMotor[A_Norm],$A59,tblMotor[IadeOran]),0))</f>
        <v/>
      </c>
      <c r="G59" s="15">
        <f>IF($A59="","",IFERROR(SUMIF(tblMotor[A_Norm],$A59,tblMotor[BirimKargo]),0))</f>
        <v/>
      </c>
      <c r="H59" s="15">
        <f>IF(OR($A59="",$B59&lt;&gt;"tutar_farki"),"",IF($D59&gt;kdo_esikDesiOran,"KDO-001",IF($F59&gt;kdo_esikIade,"KDO-002",IF($E59&gt;kdo_esikTasarruf,"KDO-004",IF($C59&gt;kdo_esikFark,"KDO-005","TANIMSIZ")))))</f>
        <v/>
      </c>
    </row>
    <row r="60">
      <c r="A60" s="22">
        <f>IF('ESLESTIRME'!$A60="","",'ESLESTIRME'!$A60)</f>
        <v/>
      </c>
      <c r="B60" s="15">
        <f>IF($A60="","",IFERROR(INDEX(tblEslesme[Kova],MATCH($A60,tblEslesme[A_Norm],0)),""))</f>
        <v/>
      </c>
      <c r="C60" s="15">
        <f>IF($A60="","",IFERROR(INDEX(tblEslesme[AbsFark],MATCH($A60,tblEslesme[A_Norm],0)),0))</f>
        <v/>
      </c>
      <c r="D60" s="15">
        <f>IF($A60="","",IFERROR(SUMIF(tblMotor[A_Norm],$A60,tblMotor[DesiKgOran]),0))</f>
        <v/>
      </c>
      <c r="E60" s="15">
        <f>IF($A60="","",IFERROR(SUMIF(tblMotor[A_Norm],$A60,tblMotor[Tasarruf]),0))</f>
        <v/>
      </c>
      <c r="F60" s="15">
        <f>IF($A60="","",IFERROR(SUMIF(tblMotor[A_Norm],$A60,tblMotor[IadeOran]),0))</f>
        <v/>
      </c>
      <c r="G60" s="15">
        <f>IF($A60="","",IFERROR(SUMIF(tblMotor[A_Norm],$A60,tblMotor[BirimKargo]),0))</f>
        <v/>
      </c>
      <c r="H60" s="15">
        <f>IF(OR($A60="",$B60&lt;&gt;"tutar_farki"),"",IF($D60&gt;kdo_esikDesiOran,"KDO-001",IF($F60&gt;kdo_esikIade,"KDO-002",IF($E60&gt;kdo_esikTasarruf,"KDO-004",IF($C60&gt;kdo_esikFark,"KDO-005","TANIMSIZ")))))</f>
        <v/>
      </c>
    </row>
    <row r="61">
      <c r="A61" s="22">
        <f>IF('ESLESTIRME'!$A61="","",'ESLESTIRME'!$A61)</f>
        <v/>
      </c>
      <c r="B61" s="15">
        <f>IF($A61="","",IFERROR(INDEX(tblEslesme[Kova],MATCH($A61,tblEslesme[A_Norm],0)),""))</f>
        <v/>
      </c>
      <c r="C61" s="15">
        <f>IF($A61="","",IFERROR(INDEX(tblEslesme[AbsFark],MATCH($A61,tblEslesme[A_Norm],0)),0))</f>
        <v/>
      </c>
      <c r="D61" s="15">
        <f>IF($A61="","",IFERROR(SUMIF(tblMotor[A_Norm],$A61,tblMotor[DesiKgOran]),0))</f>
        <v/>
      </c>
      <c r="E61" s="15">
        <f>IF($A61="","",IFERROR(SUMIF(tblMotor[A_Norm],$A61,tblMotor[Tasarruf]),0))</f>
        <v/>
      </c>
      <c r="F61" s="15">
        <f>IF($A61="","",IFERROR(SUMIF(tblMotor[A_Norm],$A61,tblMotor[IadeOran]),0))</f>
        <v/>
      </c>
      <c r="G61" s="15">
        <f>IF($A61="","",IFERROR(SUMIF(tblMotor[A_Norm],$A61,tblMotor[BirimKargo]),0))</f>
        <v/>
      </c>
      <c r="H61" s="15">
        <f>IF(OR($A61="",$B61&lt;&gt;"tutar_farki"),"",IF($D61&gt;kdo_esikDesiOran,"KDO-001",IF($F61&gt;kdo_esikIade,"KDO-002",IF($E61&gt;kdo_esikTasarruf,"KDO-004",IF($C61&gt;kdo_esikFark,"KDO-005","TANIMSIZ")))))</f>
        <v/>
      </c>
    </row>
    <row r="62">
      <c r="A62" s="22">
        <f>IF('ESLESTIRME'!$A62="","",'ESLESTIRME'!$A62)</f>
        <v/>
      </c>
      <c r="B62" s="15">
        <f>IF($A62="","",IFERROR(INDEX(tblEslesme[Kova],MATCH($A62,tblEslesme[A_Norm],0)),""))</f>
        <v/>
      </c>
      <c r="C62" s="15">
        <f>IF($A62="","",IFERROR(INDEX(tblEslesme[AbsFark],MATCH($A62,tblEslesme[A_Norm],0)),0))</f>
        <v/>
      </c>
      <c r="D62" s="15">
        <f>IF($A62="","",IFERROR(SUMIF(tblMotor[A_Norm],$A62,tblMotor[DesiKgOran]),0))</f>
        <v/>
      </c>
      <c r="E62" s="15">
        <f>IF($A62="","",IFERROR(SUMIF(tblMotor[A_Norm],$A62,tblMotor[Tasarruf]),0))</f>
        <v/>
      </c>
      <c r="F62" s="15">
        <f>IF($A62="","",IFERROR(SUMIF(tblMotor[A_Norm],$A62,tblMotor[IadeOran]),0))</f>
        <v/>
      </c>
      <c r="G62" s="15">
        <f>IF($A62="","",IFERROR(SUMIF(tblMotor[A_Norm],$A62,tblMotor[BirimKargo]),0))</f>
        <v/>
      </c>
      <c r="H62" s="15">
        <f>IF(OR($A62="",$B62&lt;&gt;"tutar_farki"),"",IF($D62&gt;kdo_esikDesiOran,"KDO-001",IF($F62&gt;kdo_esikIade,"KDO-002",IF($E62&gt;kdo_esikTasarruf,"KDO-004",IF($C62&gt;kdo_esikFark,"KDO-005","TANIMSIZ")))))</f>
        <v/>
      </c>
    </row>
    <row r="63">
      <c r="A63" s="22">
        <f>IF('ESLESTIRME'!$A63="","",'ESLESTIRME'!$A63)</f>
        <v/>
      </c>
      <c r="B63" s="15">
        <f>IF($A63="","",IFERROR(INDEX(tblEslesme[Kova],MATCH($A63,tblEslesme[A_Norm],0)),""))</f>
        <v/>
      </c>
      <c r="C63" s="15">
        <f>IF($A63="","",IFERROR(INDEX(tblEslesme[AbsFark],MATCH($A63,tblEslesme[A_Norm],0)),0))</f>
        <v/>
      </c>
      <c r="D63" s="15">
        <f>IF($A63="","",IFERROR(SUMIF(tblMotor[A_Norm],$A63,tblMotor[DesiKgOran]),0))</f>
        <v/>
      </c>
      <c r="E63" s="15">
        <f>IF($A63="","",IFERROR(SUMIF(tblMotor[A_Norm],$A63,tblMotor[Tasarruf]),0))</f>
        <v/>
      </c>
      <c r="F63" s="15">
        <f>IF($A63="","",IFERROR(SUMIF(tblMotor[A_Norm],$A63,tblMotor[IadeOran]),0))</f>
        <v/>
      </c>
      <c r="G63" s="15">
        <f>IF($A63="","",IFERROR(SUMIF(tblMotor[A_Norm],$A63,tblMotor[BirimKargo]),0))</f>
        <v/>
      </c>
      <c r="H63" s="15">
        <f>IF(OR($A63="",$B63&lt;&gt;"tutar_farki"),"",IF($D63&gt;kdo_esikDesiOran,"KDO-001",IF($F63&gt;kdo_esikIade,"KDO-002",IF($E63&gt;kdo_esikTasarruf,"KDO-004",IF($C63&gt;kdo_esikFark,"KDO-005","TANIMSIZ")))))</f>
        <v/>
      </c>
    </row>
    <row r="64">
      <c r="A64" s="22">
        <f>IF('ESLESTIRME'!$A64="","",'ESLESTIRME'!$A64)</f>
        <v/>
      </c>
      <c r="B64" s="15">
        <f>IF($A64="","",IFERROR(INDEX(tblEslesme[Kova],MATCH($A64,tblEslesme[A_Norm],0)),""))</f>
        <v/>
      </c>
      <c r="C64" s="15">
        <f>IF($A64="","",IFERROR(INDEX(tblEslesme[AbsFark],MATCH($A64,tblEslesme[A_Norm],0)),0))</f>
        <v/>
      </c>
      <c r="D64" s="15">
        <f>IF($A64="","",IFERROR(SUMIF(tblMotor[A_Norm],$A64,tblMotor[DesiKgOran]),0))</f>
        <v/>
      </c>
      <c r="E64" s="15">
        <f>IF($A64="","",IFERROR(SUMIF(tblMotor[A_Norm],$A64,tblMotor[Tasarruf]),0))</f>
        <v/>
      </c>
      <c r="F64" s="15">
        <f>IF($A64="","",IFERROR(SUMIF(tblMotor[A_Norm],$A64,tblMotor[IadeOran]),0))</f>
        <v/>
      </c>
      <c r="G64" s="15">
        <f>IF($A64="","",IFERROR(SUMIF(tblMotor[A_Norm],$A64,tblMotor[BirimKargo]),0))</f>
        <v/>
      </c>
      <c r="H64" s="15">
        <f>IF(OR($A64="",$B64&lt;&gt;"tutar_farki"),"",IF($D64&gt;kdo_esikDesiOran,"KDO-001",IF($F64&gt;kdo_esikIade,"KDO-002",IF($E64&gt;kdo_esikTasarruf,"KDO-004",IF($C64&gt;kdo_esikFark,"KDO-005","TANIMSIZ")))))</f>
        <v/>
      </c>
    </row>
    <row r="65">
      <c r="A65" s="22">
        <f>IF('ESLESTIRME'!$A65="","",'ESLESTIRME'!$A65)</f>
        <v/>
      </c>
      <c r="B65" s="15">
        <f>IF($A65="","",IFERROR(INDEX(tblEslesme[Kova],MATCH($A65,tblEslesme[A_Norm],0)),""))</f>
        <v/>
      </c>
      <c r="C65" s="15">
        <f>IF($A65="","",IFERROR(INDEX(tblEslesme[AbsFark],MATCH($A65,tblEslesme[A_Norm],0)),0))</f>
        <v/>
      </c>
      <c r="D65" s="15">
        <f>IF($A65="","",IFERROR(SUMIF(tblMotor[A_Norm],$A65,tblMotor[DesiKgOran]),0))</f>
        <v/>
      </c>
      <c r="E65" s="15">
        <f>IF($A65="","",IFERROR(SUMIF(tblMotor[A_Norm],$A65,tblMotor[Tasarruf]),0))</f>
        <v/>
      </c>
      <c r="F65" s="15">
        <f>IF($A65="","",IFERROR(SUMIF(tblMotor[A_Norm],$A65,tblMotor[IadeOran]),0))</f>
        <v/>
      </c>
      <c r="G65" s="15">
        <f>IF($A65="","",IFERROR(SUMIF(tblMotor[A_Norm],$A65,tblMotor[BirimKargo]),0))</f>
        <v/>
      </c>
      <c r="H65" s="15">
        <f>IF(OR($A65="",$B65&lt;&gt;"tutar_farki"),"",IF($D65&gt;kdo_esikDesiOran,"KDO-001",IF($F65&gt;kdo_esikIade,"KDO-002",IF($E65&gt;kdo_esikTasarruf,"KDO-004",IF($C65&gt;kdo_esikFark,"KDO-005","TANIMSIZ")))))</f>
        <v/>
      </c>
    </row>
    <row r="66">
      <c r="A66" s="22">
        <f>IF('ESLESTIRME'!$A66="","",'ESLESTIRME'!$A66)</f>
        <v/>
      </c>
      <c r="B66" s="15">
        <f>IF($A66="","",IFERROR(INDEX(tblEslesme[Kova],MATCH($A66,tblEslesme[A_Norm],0)),""))</f>
        <v/>
      </c>
      <c r="C66" s="15">
        <f>IF($A66="","",IFERROR(INDEX(tblEslesme[AbsFark],MATCH($A66,tblEslesme[A_Norm],0)),0))</f>
        <v/>
      </c>
      <c r="D66" s="15">
        <f>IF($A66="","",IFERROR(SUMIF(tblMotor[A_Norm],$A66,tblMotor[DesiKgOran]),0))</f>
        <v/>
      </c>
      <c r="E66" s="15">
        <f>IF($A66="","",IFERROR(SUMIF(tblMotor[A_Norm],$A66,tblMotor[Tasarruf]),0))</f>
        <v/>
      </c>
      <c r="F66" s="15">
        <f>IF($A66="","",IFERROR(SUMIF(tblMotor[A_Norm],$A66,tblMotor[IadeOran]),0))</f>
        <v/>
      </c>
      <c r="G66" s="15">
        <f>IF($A66="","",IFERROR(SUMIF(tblMotor[A_Norm],$A66,tblMotor[BirimKargo]),0))</f>
        <v/>
      </c>
      <c r="H66" s="15">
        <f>IF(OR($A66="",$B66&lt;&gt;"tutar_farki"),"",IF($D66&gt;kdo_esikDesiOran,"KDO-001",IF($F66&gt;kdo_esikIade,"KDO-002",IF($E66&gt;kdo_esikTasarruf,"KDO-004",IF($C66&gt;kdo_esikFark,"KDO-005","TANIMSIZ")))))</f>
        <v/>
      </c>
    </row>
    <row r="67">
      <c r="A67" s="22">
        <f>IF('ESLESTIRME'!$A67="","",'ESLESTIRME'!$A67)</f>
        <v/>
      </c>
      <c r="B67" s="15">
        <f>IF($A67="","",IFERROR(INDEX(tblEslesme[Kova],MATCH($A67,tblEslesme[A_Norm],0)),""))</f>
        <v/>
      </c>
      <c r="C67" s="15">
        <f>IF($A67="","",IFERROR(INDEX(tblEslesme[AbsFark],MATCH($A67,tblEslesme[A_Norm],0)),0))</f>
        <v/>
      </c>
      <c r="D67" s="15">
        <f>IF($A67="","",IFERROR(SUMIF(tblMotor[A_Norm],$A67,tblMotor[DesiKgOran]),0))</f>
        <v/>
      </c>
      <c r="E67" s="15">
        <f>IF($A67="","",IFERROR(SUMIF(tblMotor[A_Norm],$A67,tblMotor[Tasarruf]),0))</f>
        <v/>
      </c>
      <c r="F67" s="15">
        <f>IF($A67="","",IFERROR(SUMIF(tblMotor[A_Norm],$A67,tblMotor[IadeOran]),0))</f>
        <v/>
      </c>
      <c r="G67" s="15">
        <f>IF($A67="","",IFERROR(SUMIF(tblMotor[A_Norm],$A67,tblMotor[BirimKargo]),0))</f>
        <v/>
      </c>
      <c r="H67" s="15">
        <f>IF(OR($A67="",$B67&lt;&gt;"tutar_farki"),"",IF($D67&gt;kdo_esikDesiOran,"KDO-001",IF($F67&gt;kdo_esikIade,"KDO-002",IF($E67&gt;kdo_esikTasarruf,"KDO-004",IF($C67&gt;kdo_esikFark,"KDO-005","TANIMSIZ")))))</f>
        <v/>
      </c>
    </row>
    <row r="68">
      <c r="A68" s="22">
        <f>IF('ESLESTIRME'!$A68="","",'ESLESTIRME'!$A68)</f>
        <v/>
      </c>
      <c r="B68" s="15">
        <f>IF($A68="","",IFERROR(INDEX(tblEslesme[Kova],MATCH($A68,tblEslesme[A_Norm],0)),""))</f>
        <v/>
      </c>
      <c r="C68" s="15">
        <f>IF($A68="","",IFERROR(INDEX(tblEslesme[AbsFark],MATCH($A68,tblEslesme[A_Norm],0)),0))</f>
        <v/>
      </c>
      <c r="D68" s="15">
        <f>IF($A68="","",IFERROR(SUMIF(tblMotor[A_Norm],$A68,tblMotor[DesiKgOran]),0))</f>
        <v/>
      </c>
      <c r="E68" s="15">
        <f>IF($A68="","",IFERROR(SUMIF(tblMotor[A_Norm],$A68,tblMotor[Tasarruf]),0))</f>
        <v/>
      </c>
      <c r="F68" s="15">
        <f>IF($A68="","",IFERROR(SUMIF(tblMotor[A_Norm],$A68,tblMotor[IadeOran]),0))</f>
        <v/>
      </c>
      <c r="G68" s="15">
        <f>IF($A68="","",IFERROR(SUMIF(tblMotor[A_Norm],$A68,tblMotor[BirimKargo]),0))</f>
        <v/>
      </c>
      <c r="H68" s="15">
        <f>IF(OR($A68="",$B68&lt;&gt;"tutar_farki"),"",IF($D68&gt;kdo_esikDesiOran,"KDO-001",IF($F68&gt;kdo_esikIade,"KDO-002",IF($E68&gt;kdo_esikTasarruf,"KDO-004",IF($C68&gt;kdo_esikFark,"KDO-005","TANIMSIZ")))))</f>
        <v/>
      </c>
    </row>
    <row r="69">
      <c r="A69" s="22">
        <f>IF('ESLESTIRME'!$A69="","",'ESLESTIRME'!$A69)</f>
        <v/>
      </c>
      <c r="B69" s="15">
        <f>IF($A69="","",IFERROR(INDEX(tblEslesme[Kova],MATCH($A69,tblEslesme[A_Norm],0)),""))</f>
        <v/>
      </c>
      <c r="C69" s="15">
        <f>IF($A69="","",IFERROR(INDEX(tblEslesme[AbsFark],MATCH($A69,tblEslesme[A_Norm],0)),0))</f>
        <v/>
      </c>
      <c r="D69" s="15">
        <f>IF($A69="","",IFERROR(SUMIF(tblMotor[A_Norm],$A69,tblMotor[DesiKgOran]),0))</f>
        <v/>
      </c>
      <c r="E69" s="15">
        <f>IF($A69="","",IFERROR(SUMIF(tblMotor[A_Norm],$A69,tblMotor[Tasarruf]),0))</f>
        <v/>
      </c>
      <c r="F69" s="15">
        <f>IF($A69="","",IFERROR(SUMIF(tblMotor[A_Norm],$A69,tblMotor[IadeOran]),0))</f>
        <v/>
      </c>
      <c r="G69" s="15">
        <f>IF($A69="","",IFERROR(SUMIF(tblMotor[A_Norm],$A69,tblMotor[BirimKargo]),0))</f>
        <v/>
      </c>
      <c r="H69" s="15">
        <f>IF(OR($A69="",$B69&lt;&gt;"tutar_farki"),"",IF($D69&gt;kdo_esikDesiOran,"KDO-001",IF($F69&gt;kdo_esikIade,"KDO-002",IF($E69&gt;kdo_esikTasarruf,"KDO-004",IF($C69&gt;kdo_esikFark,"KDO-005","TANIMSIZ")))))</f>
        <v/>
      </c>
    </row>
    <row r="70">
      <c r="A70" s="22">
        <f>IF('ESLESTIRME'!$A70="","",'ESLESTIRME'!$A70)</f>
        <v/>
      </c>
      <c r="B70" s="15">
        <f>IF($A70="","",IFERROR(INDEX(tblEslesme[Kova],MATCH($A70,tblEslesme[A_Norm],0)),""))</f>
        <v/>
      </c>
      <c r="C70" s="15">
        <f>IF($A70="","",IFERROR(INDEX(tblEslesme[AbsFark],MATCH($A70,tblEslesme[A_Norm],0)),0))</f>
        <v/>
      </c>
      <c r="D70" s="15">
        <f>IF($A70="","",IFERROR(SUMIF(tblMotor[A_Norm],$A70,tblMotor[DesiKgOran]),0))</f>
        <v/>
      </c>
      <c r="E70" s="15">
        <f>IF($A70="","",IFERROR(SUMIF(tblMotor[A_Norm],$A70,tblMotor[Tasarruf]),0))</f>
        <v/>
      </c>
      <c r="F70" s="15">
        <f>IF($A70="","",IFERROR(SUMIF(tblMotor[A_Norm],$A70,tblMotor[IadeOran]),0))</f>
        <v/>
      </c>
      <c r="G70" s="15">
        <f>IF($A70="","",IFERROR(SUMIF(tblMotor[A_Norm],$A70,tblMotor[BirimKargo]),0))</f>
        <v/>
      </c>
      <c r="H70" s="15">
        <f>IF(OR($A70="",$B70&lt;&gt;"tutar_farki"),"",IF($D70&gt;kdo_esikDesiOran,"KDO-001",IF($F70&gt;kdo_esikIade,"KDO-002",IF($E70&gt;kdo_esikTasarruf,"KDO-004",IF($C70&gt;kdo_esikFark,"KDO-005","TANIMSIZ")))))</f>
        <v/>
      </c>
    </row>
    <row r="71">
      <c r="A71" s="22">
        <f>IF('ESLESTIRME'!$A71="","",'ESLESTIRME'!$A71)</f>
        <v/>
      </c>
      <c r="B71" s="15">
        <f>IF($A71="","",IFERROR(INDEX(tblEslesme[Kova],MATCH($A71,tblEslesme[A_Norm],0)),""))</f>
        <v/>
      </c>
      <c r="C71" s="15">
        <f>IF($A71="","",IFERROR(INDEX(tblEslesme[AbsFark],MATCH($A71,tblEslesme[A_Norm],0)),0))</f>
        <v/>
      </c>
      <c r="D71" s="15">
        <f>IF($A71="","",IFERROR(SUMIF(tblMotor[A_Norm],$A71,tblMotor[DesiKgOran]),0))</f>
        <v/>
      </c>
      <c r="E71" s="15">
        <f>IF($A71="","",IFERROR(SUMIF(tblMotor[A_Norm],$A71,tblMotor[Tasarruf]),0))</f>
        <v/>
      </c>
      <c r="F71" s="15">
        <f>IF($A71="","",IFERROR(SUMIF(tblMotor[A_Norm],$A71,tblMotor[IadeOran]),0))</f>
        <v/>
      </c>
      <c r="G71" s="15">
        <f>IF($A71="","",IFERROR(SUMIF(tblMotor[A_Norm],$A71,tblMotor[BirimKargo]),0))</f>
        <v/>
      </c>
      <c r="H71" s="15">
        <f>IF(OR($A71="",$B71&lt;&gt;"tutar_farki"),"",IF($D71&gt;kdo_esikDesiOran,"KDO-001",IF($F71&gt;kdo_esikIade,"KDO-002",IF($E71&gt;kdo_esikTasarruf,"KDO-004",IF($C71&gt;kdo_esikFark,"KDO-005","TANIMSIZ")))))</f>
        <v/>
      </c>
    </row>
    <row r="72">
      <c r="A72" s="22">
        <f>IF('ESLESTIRME'!$A72="","",'ESLESTIRME'!$A72)</f>
        <v/>
      </c>
      <c r="B72" s="15">
        <f>IF($A72="","",IFERROR(INDEX(tblEslesme[Kova],MATCH($A72,tblEslesme[A_Norm],0)),""))</f>
        <v/>
      </c>
      <c r="C72" s="15">
        <f>IF($A72="","",IFERROR(INDEX(tblEslesme[AbsFark],MATCH($A72,tblEslesme[A_Norm],0)),0))</f>
        <v/>
      </c>
      <c r="D72" s="15">
        <f>IF($A72="","",IFERROR(SUMIF(tblMotor[A_Norm],$A72,tblMotor[DesiKgOran]),0))</f>
        <v/>
      </c>
      <c r="E72" s="15">
        <f>IF($A72="","",IFERROR(SUMIF(tblMotor[A_Norm],$A72,tblMotor[Tasarruf]),0))</f>
        <v/>
      </c>
      <c r="F72" s="15">
        <f>IF($A72="","",IFERROR(SUMIF(tblMotor[A_Norm],$A72,tblMotor[IadeOran]),0))</f>
        <v/>
      </c>
      <c r="G72" s="15">
        <f>IF($A72="","",IFERROR(SUMIF(tblMotor[A_Norm],$A72,tblMotor[BirimKargo]),0))</f>
        <v/>
      </c>
      <c r="H72" s="15">
        <f>IF(OR($A72="",$B72&lt;&gt;"tutar_farki"),"",IF($D72&gt;kdo_esikDesiOran,"KDO-001",IF($F72&gt;kdo_esikIade,"KDO-002",IF($E72&gt;kdo_esikTasarruf,"KDO-004",IF($C72&gt;kdo_esikFark,"KDO-005","TANIMSIZ")))))</f>
        <v/>
      </c>
    </row>
    <row r="73">
      <c r="A73" s="22">
        <f>IF('ESLESTIRME'!$A73="","",'ESLESTIRME'!$A73)</f>
        <v/>
      </c>
      <c r="B73" s="15">
        <f>IF($A73="","",IFERROR(INDEX(tblEslesme[Kova],MATCH($A73,tblEslesme[A_Norm],0)),""))</f>
        <v/>
      </c>
      <c r="C73" s="15">
        <f>IF($A73="","",IFERROR(INDEX(tblEslesme[AbsFark],MATCH($A73,tblEslesme[A_Norm],0)),0))</f>
        <v/>
      </c>
      <c r="D73" s="15">
        <f>IF($A73="","",IFERROR(SUMIF(tblMotor[A_Norm],$A73,tblMotor[DesiKgOran]),0))</f>
        <v/>
      </c>
      <c r="E73" s="15">
        <f>IF($A73="","",IFERROR(SUMIF(tblMotor[A_Norm],$A73,tblMotor[Tasarruf]),0))</f>
        <v/>
      </c>
      <c r="F73" s="15">
        <f>IF($A73="","",IFERROR(SUMIF(tblMotor[A_Norm],$A73,tblMotor[IadeOran]),0))</f>
        <v/>
      </c>
      <c r="G73" s="15">
        <f>IF($A73="","",IFERROR(SUMIF(tblMotor[A_Norm],$A73,tblMotor[BirimKargo]),0))</f>
        <v/>
      </c>
      <c r="H73" s="15">
        <f>IF(OR($A73="",$B73&lt;&gt;"tutar_farki"),"",IF($D73&gt;kdo_esikDesiOran,"KDO-001",IF($F73&gt;kdo_esikIade,"KDO-002",IF($E73&gt;kdo_esikTasarruf,"KDO-004",IF($C73&gt;kdo_esikFark,"KDO-005","TANIMSIZ")))))</f>
        <v/>
      </c>
    </row>
    <row r="74">
      <c r="A74" s="22">
        <f>IF('ESLESTIRME'!$A74="","",'ESLESTIRME'!$A74)</f>
        <v/>
      </c>
      <c r="B74" s="15">
        <f>IF($A74="","",IFERROR(INDEX(tblEslesme[Kova],MATCH($A74,tblEslesme[A_Norm],0)),""))</f>
        <v/>
      </c>
      <c r="C74" s="15">
        <f>IF($A74="","",IFERROR(INDEX(tblEslesme[AbsFark],MATCH($A74,tblEslesme[A_Norm],0)),0))</f>
        <v/>
      </c>
      <c r="D74" s="15">
        <f>IF($A74="","",IFERROR(SUMIF(tblMotor[A_Norm],$A74,tblMotor[DesiKgOran]),0))</f>
        <v/>
      </c>
      <c r="E74" s="15">
        <f>IF($A74="","",IFERROR(SUMIF(tblMotor[A_Norm],$A74,tblMotor[Tasarruf]),0))</f>
        <v/>
      </c>
      <c r="F74" s="15">
        <f>IF($A74="","",IFERROR(SUMIF(tblMotor[A_Norm],$A74,tblMotor[IadeOran]),0))</f>
        <v/>
      </c>
      <c r="G74" s="15">
        <f>IF($A74="","",IFERROR(SUMIF(tblMotor[A_Norm],$A74,tblMotor[BirimKargo]),0))</f>
        <v/>
      </c>
      <c r="H74" s="15">
        <f>IF(OR($A74="",$B74&lt;&gt;"tutar_farki"),"",IF($D74&gt;kdo_esikDesiOran,"KDO-001",IF($F74&gt;kdo_esikIade,"KDO-002",IF($E74&gt;kdo_esikTasarruf,"KDO-004",IF($C74&gt;kdo_esikFark,"KDO-005","TANIMSIZ")))))</f>
        <v/>
      </c>
    </row>
    <row r="75">
      <c r="A75" s="22">
        <f>IF('ESLESTIRME'!$A75="","",'ESLESTIRME'!$A75)</f>
        <v/>
      </c>
      <c r="B75" s="15">
        <f>IF($A75="","",IFERROR(INDEX(tblEslesme[Kova],MATCH($A75,tblEslesme[A_Norm],0)),""))</f>
        <v/>
      </c>
      <c r="C75" s="15">
        <f>IF($A75="","",IFERROR(INDEX(tblEslesme[AbsFark],MATCH($A75,tblEslesme[A_Norm],0)),0))</f>
        <v/>
      </c>
      <c r="D75" s="15">
        <f>IF($A75="","",IFERROR(SUMIF(tblMotor[A_Norm],$A75,tblMotor[DesiKgOran]),0))</f>
        <v/>
      </c>
      <c r="E75" s="15">
        <f>IF($A75="","",IFERROR(SUMIF(tblMotor[A_Norm],$A75,tblMotor[Tasarruf]),0))</f>
        <v/>
      </c>
      <c r="F75" s="15">
        <f>IF($A75="","",IFERROR(SUMIF(tblMotor[A_Norm],$A75,tblMotor[IadeOran]),0))</f>
        <v/>
      </c>
      <c r="G75" s="15">
        <f>IF($A75="","",IFERROR(SUMIF(tblMotor[A_Norm],$A75,tblMotor[BirimKargo]),0))</f>
        <v/>
      </c>
      <c r="H75" s="15">
        <f>IF(OR($A75="",$B75&lt;&gt;"tutar_farki"),"",IF($D75&gt;kdo_esikDesiOran,"KDO-001",IF($F75&gt;kdo_esikIade,"KDO-002",IF($E75&gt;kdo_esikTasarruf,"KDO-004",IF($C75&gt;kdo_esikFark,"KDO-005","TANIMSIZ")))))</f>
        <v/>
      </c>
    </row>
    <row r="76">
      <c r="A76" s="22">
        <f>IF('ESLESTIRME'!$A76="","",'ESLESTIRME'!$A76)</f>
        <v/>
      </c>
      <c r="B76" s="15">
        <f>IF($A76="","",IFERROR(INDEX(tblEslesme[Kova],MATCH($A76,tblEslesme[A_Norm],0)),""))</f>
        <v/>
      </c>
      <c r="C76" s="15">
        <f>IF($A76="","",IFERROR(INDEX(tblEslesme[AbsFark],MATCH($A76,tblEslesme[A_Norm],0)),0))</f>
        <v/>
      </c>
      <c r="D76" s="15">
        <f>IF($A76="","",IFERROR(SUMIF(tblMotor[A_Norm],$A76,tblMotor[DesiKgOran]),0))</f>
        <v/>
      </c>
      <c r="E76" s="15">
        <f>IF($A76="","",IFERROR(SUMIF(tblMotor[A_Norm],$A76,tblMotor[Tasarruf]),0))</f>
        <v/>
      </c>
      <c r="F76" s="15">
        <f>IF($A76="","",IFERROR(SUMIF(tblMotor[A_Norm],$A76,tblMotor[IadeOran]),0))</f>
        <v/>
      </c>
      <c r="G76" s="15">
        <f>IF($A76="","",IFERROR(SUMIF(tblMotor[A_Norm],$A76,tblMotor[BirimKargo]),0))</f>
        <v/>
      </c>
      <c r="H76" s="15">
        <f>IF(OR($A76="",$B76&lt;&gt;"tutar_farki"),"",IF($D76&gt;kdo_esikDesiOran,"KDO-001",IF($F76&gt;kdo_esikIade,"KDO-002",IF($E76&gt;kdo_esikTasarruf,"KDO-004",IF($C76&gt;kdo_esikFark,"KDO-005","TANIMSIZ")))))</f>
        <v/>
      </c>
    </row>
    <row r="77">
      <c r="A77" s="22">
        <f>IF('ESLESTIRME'!$A77="","",'ESLESTIRME'!$A77)</f>
        <v/>
      </c>
      <c r="B77" s="15">
        <f>IF($A77="","",IFERROR(INDEX(tblEslesme[Kova],MATCH($A77,tblEslesme[A_Norm],0)),""))</f>
        <v/>
      </c>
      <c r="C77" s="15">
        <f>IF($A77="","",IFERROR(INDEX(tblEslesme[AbsFark],MATCH($A77,tblEslesme[A_Norm],0)),0))</f>
        <v/>
      </c>
      <c r="D77" s="15">
        <f>IF($A77="","",IFERROR(SUMIF(tblMotor[A_Norm],$A77,tblMotor[DesiKgOran]),0))</f>
        <v/>
      </c>
      <c r="E77" s="15">
        <f>IF($A77="","",IFERROR(SUMIF(tblMotor[A_Norm],$A77,tblMotor[Tasarruf]),0))</f>
        <v/>
      </c>
      <c r="F77" s="15">
        <f>IF($A77="","",IFERROR(SUMIF(tblMotor[A_Norm],$A77,tblMotor[IadeOran]),0))</f>
        <v/>
      </c>
      <c r="G77" s="15">
        <f>IF($A77="","",IFERROR(SUMIF(tblMotor[A_Norm],$A77,tblMotor[BirimKargo]),0))</f>
        <v/>
      </c>
      <c r="H77" s="15">
        <f>IF(OR($A77="",$B77&lt;&gt;"tutar_farki"),"",IF($D77&gt;kdo_esikDesiOran,"KDO-001",IF($F77&gt;kdo_esikIade,"KDO-002",IF($E77&gt;kdo_esikTasarruf,"KDO-004",IF($C77&gt;kdo_esikFark,"KDO-005","TANIMSIZ")))))</f>
        <v/>
      </c>
    </row>
    <row r="78">
      <c r="A78" s="22">
        <f>IF('ESLESTIRME'!$A78="","",'ESLESTIRME'!$A78)</f>
        <v/>
      </c>
      <c r="B78" s="15">
        <f>IF($A78="","",IFERROR(INDEX(tblEslesme[Kova],MATCH($A78,tblEslesme[A_Norm],0)),""))</f>
        <v/>
      </c>
      <c r="C78" s="15">
        <f>IF($A78="","",IFERROR(INDEX(tblEslesme[AbsFark],MATCH($A78,tblEslesme[A_Norm],0)),0))</f>
        <v/>
      </c>
      <c r="D78" s="15">
        <f>IF($A78="","",IFERROR(SUMIF(tblMotor[A_Norm],$A78,tblMotor[DesiKgOran]),0))</f>
        <v/>
      </c>
      <c r="E78" s="15">
        <f>IF($A78="","",IFERROR(SUMIF(tblMotor[A_Norm],$A78,tblMotor[Tasarruf]),0))</f>
        <v/>
      </c>
      <c r="F78" s="15">
        <f>IF($A78="","",IFERROR(SUMIF(tblMotor[A_Norm],$A78,tblMotor[IadeOran]),0))</f>
        <v/>
      </c>
      <c r="G78" s="15">
        <f>IF($A78="","",IFERROR(SUMIF(tblMotor[A_Norm],$A78,tblMotor[BirimKargo]),0))</f>
        <v/>
      </c>
      <c r="H78" s="15">
        <f>IF(OR($A78="",$B78&lt;&gt;"tutar_farki"),"",IF($D78&gt;kdo_esikDesiOran,"KDO-001",IF($F78&gt;kdo_esikIade,"KDO-002",IF($E78&gt;kdo_esikTasarruf,"KDO-004",IF($C78&gt;kdo_esikFark,"KDO-005","TANIMSIZ")))))</f>
        <v/>
      </c>
    </row>
    <row r="79">
      <c r="A79" s="22">
        <f>IF('ESLESTIRME'!$A79="","",'ESLESTIRME'!$A79)</f>
        <v/>
      </c>
      <c r="B79" s="15">
        <f>IF($A79="","",IFERROR(INDEX(tblEslesme[Kova],MATCH($A79,tblEslesme[A_Norm],0)),""))</f>
        <v/>
      </c>
      <c r="C79" s="15">
        <f>IF($A79="","",IFERROR(INDEX(tblEslesme[AbsFark],MATCH($A79,tblEslesme[A_Norm],0)),0))</f>
        <v/>
      </c>
      <c r="D79" s="15">
        <f>IF($A79="","",IFERROR(SUMIF(tblMotor[A_Norm],$A79,tblMotor[DesiKgOran]),0))</f>
        <v/>
      </c>
      <c r="E79" s="15">
        <f>IF($A79="","",IFERROR(SUMIF(tblMotor[A_Norm],$A79,tblMotor[Tasarruf]),0))</f>
        <v/>
      </c>
      <c r="F79" s="15">
        <f>IF($A79="","",IFERROR(SUMIF(tblMotor[A_Norm],$A79,tblMotor[IadeOran]),0))</f>
        <v/>
      </c>
      <c r="G79" s="15">
        <f>IF($A79="","",IFERROR(SUMIF(tblMotor[A_Norm],$A79,tblMotor[BirimKargo]),0))</f>
        <v/>
      </c>
      <c r="H79" s="15">
        <f>IF(OR($A79="",$B79&lt;&gt;"tutar_farki"),"",IF($D79&gt;kdo_esikDesiOran,"KDO-001",IF($F79&gt;kdo_esikIade,"KDO-002",IF($E79&gt;kdo_esikTasarruf,"KDO-004",IF($C79&gt;kdo_esikFark,"KDO-005","TANIMSIZ")))))</f>
        <v/>
      </c>
    </row>
    <row r="80">
      <c r="A80" s="22">
        <f>IF('ESLESTIRME'!$A80="","",'ESLESTIRME'!$A80)</f>
        <v/>
      </c>
      <c r="B80" s="15">
        <f>IF($A80="","",IFERROR(INDEX(tblEslesme[Kova],MATCH($A80,tblEslesme[A_Norm],0)),""))</f>
        <v/>
      </c>
      <c r="C80" s="15">
        <f>IF($A80="","",IFERROR(INDEX(tblEslesme[AbsFark],MATCH($A80,tblEslesme[A_Norm],0)),0))</f>
        <v/>
      </c>
      <c r="D80" s="15">
        <f>IF($A80="","",IFERROR(SUMIF(tblMotor[A_Norm],$A80,tblMotor[DesiKgOran]),0))</f>
        <v/>
      </c>
      <c r="E80" s="15">
        <f>IF($A80="","",IFERROR(SUMIF(tblMotor[A_Norm],$A80,tblMotor[Tasarruf]),0))</f>
        <v/>
      </c>
      <c r="F80" s="15">
        <f>IF($A80="","",IFERROR(SUMIF(tblMotor[A_Norm],$A80,tblMotor[IadeOran]),0))</f>
        <v/>
      </c>
      <c r="G80" s="15">
        <f>IF($A80="","",IFERROR(SUMIF(tblMotor[A_Norm],$A80,tblMotor[BirimKargo]),0))</f>
        <v/>
      </c>
      <c r="H80" s="15">
        <f>IF(OR($A80="",$B80&lt;&gt;"tutar_farki"),"",IF($D80&gt;kdo_esikDesiOran,"KDO-001",IF($F80&gt;kdo_esikIade,"KDO-002",IF($E80&gt;kdo_esikTasarruf,"KDO-004",IF($C80&gt;kdo_esikFark,"KDO-005","TANIMSIZ")))))</f>
        <v/>
      </c>
    </row>
    <row r="81">
      <c r="A81" s="22">
        <f>IF('ESLESTIRME'!$A81="","",'ESLESTIRME'!$A81)</f>
        <v/>
      </c>
      <c r="B81" s="15">
        <f>IF($A81="","",IFERROR(INDEX(tblEslesme[Kova],MATCH($A81,tblEslesme[A_Norm],0)),""))</f>
        <v/>
      </c>
      <c r="C81" s="15">
        <f>IF($A81="","",IFERROR(INDEX(tblEslesme[AbsFark],MATCH($A81,tblEslesme[A_Norm],0)),0))</f>
        <v/>
      </c>
      <c r="D81" s="15">
        <f>IF($A81="","",IFERROR(SUMIF(tblMotor[A_Norm],$A81,tblMotor[DesiKgOran]),0))</f>
        <v/>
      </c>
      <c r="E81" s="15">
        <f>IF($A81="","",IFERROR(SUMIF(tblMotor[A_Norm],$A81,tblMotor[Tasarruf]),0))</f>
        <v/>
      </c>
      <c r="F81" s="15">
        <f>IF($A81="","",IFERROR(SUMIF(tblMotor[A_Norm],$A81,tblMotor[IadeOran]),0))</f>
        <v/>
      </c>
      <c r="G81" s="15">
        <f>IF($A81="","",IFERROR(SUMIF(tblMotor[A_Norm],$A81,tblMotor[BirimKargo]),0))</f>
        <v/>
      </c>
      <c r="H81" s="15">
        <f>IF(OR($A81="",$B81&lt;&gt;"tutar_farki"),"",IF($D81&gt;kdo_esikDesiOran,"KDO-001",IF($F81&gt;kdo_esikIade,"KDO-002",IF($E81&gt;kdo_esikTasarruf,"KDO-004",IF($C81&gt;kdo_esikFark,"KDO-005","TANIMSIZ")))))</f>
        <v/>
      </c>
    </row>
    <row r="82">
      <c r="A82" s="22">
        <f>IF('ESLESTIRME'!$A82="","",'ESLESTIRME'!$A82)</f>
        <v/>
      </c>
      <c r="B82" s="15">
        <f>IF($A82="","",IFERROR(INDEX(tblEslesme[Kova],MATCH($A82,tblEslesme[A_Norm],0)),""))</f>
        <v/>
      </c>
      <c r="C82" s="15">
        <f>IF($A82="","",IFERROR(INDEX(tblEslesme[AbsFark],MATCH($A82,tblEslesme[A_Norm],0)),0))</f>
        <v/>
      </c>
      <c r="D82" s="15">
        <f>IF($A82="","",IFERROR(SUMIF(tblMotor[A_Norm],$A82,tblMotor[DesiKgOran]),0))</f>
        <v/>
      </c>
      <c r="E82" s="15">
        <f>IF($A82="","",IFERROR(SUMIF(tblMotor[A_Norm],$A82,tblMotor[Tasarruf]),0))</f>
        <v/>
      </c>
      <c r="F82" s="15">
        <f>IF($A82="","",IFERROR(SUMIF(tblMotor[A_Norm],$A82,tblMotor[IadeOran]),0))</f>
        <v/>
      </c>
      <c r="G82" s="15">
        <f>IF($A82="","",IFERROR(SUMIF(tblMotor[A_Norm],$A82,tblMotor[BirimKargo]),0))</f>
        <v/>
      </c>
      <c r="H82" s="15">
        <f>IF(OR($A82="",$B82&lt;&gt;"tutar_farki"),"",IF($D82&gt;kdo_esikDesiOran,"KDO-001",IF($F82&gt;kdo_esikIade,"KDO-002",IF($E82&gt;kdo_esikTasarruf,"KDO-004",IF($C82&gt;kdo_esikFark,"KDO-005","TANIMSIZ")))))</f>
        <v/>
      </c>
    </row>
    <row r="83">
      <c r="A83" s="22">
        <f>IF('ESLESTIRME'!$A83="","",'ESLESTIRME'!$A83)</f>
        <v/>
      </c>
      <c r="B83" s="15">
        <f>IF($A83="","",IFERROR(INDEX(tblEslesme[Kova],MATCH($A83,tblEslesme[A_Norm],0)),""))</f>
        <v/>
      </c>
      <c r="C83" s="15">
        <f>IF($A83="","",IFERROR(INDEX(tblEslesme[AbsFark],MATCH($A83,tblEslesme[A_Norm],0)),0))</f>
        <v/>
      </c>
      <c r="D83" s="15">
        <f>IF($A83="","",IFERROR(SUMIF(tblMotor[A_Norm],$A83,tblMotor[DesiKgOran]),0))</f>
        <v/>
      </c>
      <c r="E83" s="15">
        <f>IF($A83="","",IFERROR(SUMIF(tblMotor[A_Norm],$A83,tblMotor[Tasarruf]),0))</f>
        <v/>
      </c>
      <c r="F83" s="15">
        <f>IF($A83="","",IFERROR(SUMIF(tblMotor[A_Norm],$A83,tblMotor[IadeOran]),0))</f>
        <v/>
      </c>
      <c r="G83" s="15">
        <f>IF($A83="","",IFERROR(SUMIF(tblMotor[A_Norm],$A83,tblMotor[BirimKargo]),0))</f>
        <v/>
      </c>
      <c r="H83" s="15">
        <f>IF(OR($A83="",$B83&lt;&gt;"tutar_farki"),"",IF($D83&gt;kdo_esikDesiOran,"KDO-001",IF($F83&gt;kdo_esikIade,"KDO-002",IF($E83&gt;kdo_esikTasarruf,"KDO-004",IF($C83&gt;kdo_esikFark,"KDO-005","TANIMSIZ")))))</f>
        <v/>
      </c>
    </row>
    <row r="84">
      <c r="A84" s="22">
        <f>IF('ESLESTIRME'!$A84="","",'ESLESTIRME'!$A84)</f>
        <v/>
      </c>
      <c r="B84" s="15">
        <f>IF($A84="","",IFERROR(INDEX(tblEslesme[Kova],MATCH($A84,tblEslesme[A_Norm],0)),""))</f>
        <v/>
      </c>
      <c r="C84" s="15">
        <f>IF($A84="","",IFERROR(INDEX(tblEslesme[AbsFark],MATCH($A84,tblEslesme[A_Norm],0)),0))</f>
        <v/>
      </c>
      <c r="D84" s="15">
        <f>IF($A84="","",IFERROR(SUMIF(tblMotor[A_Norm],$A84,tblMotor[DesiKgOran]),0))</f>
        <v/>
      </c>
      <c r="E84" s="15">
        <f>IF($A84="","",IFERROR(SUMIF(tblMotor[A_Norm],$A84,tblMotor[Tasarruf]),0))</f>
        <v/>
      </c>
      <c r="F84" s="15">
        <f>IF($A84="","",IFERROR(SUMIF(tblMotor[A_Norm],$A84,tblMotor[IadeOran]),0))</f>
        <v/>
      </c>
      <c r="G84" s="15">
        <f>IF($A84="","",IFERROR(SUMIF(tblMotor[A_Norm],$A84,tblMotor[BirimKargo]),0))</f>
        <v/>
      </c>
      <c r="H84" s="15">
        <f>IF(OR($A84="",$B84&lt;&gt;"tutar_farki"),"",IF($D84&gt;kdo_esikDesiOran,"KDO-001",IF($F84&gt;kdo_esikIade,"KDO-002",IF($E84&gt;kdo_esikTasarruf,"KDO-004",IF($C84&gt;kdo_esikFark,"KDO-005","TANIMSIZ")))))</f>
        <v/>
      </c>
    </row>
    <row r="85">
      <c r="A85" s="22">
        <f>IF('ESLESTIRME'!$A85="","",'ESLESTIRME'!$A85)</f>
        <v/>
      </c>
      <c r="B85" s="15">
        <f>IF($A85="","",IFERROR(INDEX(tblEslesme[Kova],MATCH($A85,tblEslesme[A_Norm],0)),""))</f>
        <v/>
      </c>
      <c r="C85" s="15">
        <f>IF($A85="","",IFERROR(INDEX(tblEslesme[AbsFark],MATCH($A85,tblEslesme[A_Norm],0)),0))</f>
        <v/>
      </c>
      <c r="D85" s="15">
        <f>IF($A85="","",IFERROR(SUMIF(tblMotor[A_Norm],$A85,tblMotor[DesiKgOran]),0))</f>
        <v/>
      </c>
      <c r="E85" s="15">
        <f>IF($A85="","",IFERROR(SUMIF(tblMotor[A_Norm],$A85,tblMotor[Tasarruf]),0))</f>
        <v/>
      </c>
      <c r="F85" s="15">
        <f>IF($A85="","",IFERROR(SUMIF(tblMotor[A_Norm],$A85,tblMotor[IadeOran]),0))</f>
        <v/>
      </c>
      <c r="G85" s="15">
        <f>IF($A85="","",IFERROR(SUMIF(tblMotor[A_Norm],$A85,tblMotor[BirimKargo]),0))</f>
        <v/>
      </c>
      <c r="H85" s="15">
        <f>IF(OR($A85="",$B85&lt;&gt;"tutar_farki"),"",IF($D85&gt;kdo_esikDesiOran,"KDO-001",IF($F85&gt;kdo_esikIade,"KDO-002",IF($E85&gt;kdo_esikTasarruf,"KDO-004",IF($C85&gt;kdo_esikFark,"KDO-005","TANIMSIZ")))))</f>
        <v/>
      </c>
    </row>
    <row r="86">
      <c r="A86" s="22">
        <f>IF('ESLESTIRME'!$A86="","",'ESLESTIRME'!$A86)</f>
        <v/>
      </c>
      <c r="B86" s="15">
        <f>IF($A86="","",IFERROR(INDEX(tblEslesme[Kova],MATCH($A86,tblEslesme[A_Norm],0)),""))</f>
        <v/>
      </c>
      <c r="C86" s="15">
        <f>IF($A86="","",IFERROR(INDEX(tblEslesme[AbsFark],MATCH($A86,tblEslesme[A_Norm],0)),0))</f>
        <v/>
      </c>
      <c r="D86" s="15">
        <f>IF($A86="","",IFERROR(SUMIF(tblMotor[A_Norm],$A86,tblMotor[DesiKgOran]),0))</f>
        <v/>
      </c>
      <c r="E86" s="15">
        <f>IF($A86="","",IFERROR(SUMIF(tblMotor[A_Norm],$A86,tblMotor[Tasarruf]),0))</f>
        <v/>
      </c>
      <c r="F86" s="15">
        <f>IF($A86="","",IFERROR(SUMIF(tblMotor[A_Norm],$A86,tblMotor[IadeOran]),0))</f>
        <v/>
      </c>
      <c r="G86" s="15">
        <f>IF($A86="","",IFERROR(SUMIF(tblMotor[A_Norm],$A86,tblMotor[BirimKargo]),0))</f>
        <v/>
      </c>
      <c r="H86" s="15">
        <f>IF(OR($A86="",$B86&lt;&gt;"tutar_farki"),"",IF($D86&gt;kdo_esikDesiOran,"KDO-001",IF($F86&gt;kdo_esikIade,"KDO-002",IF($E86&gt;kdo_esikTasarruf,"KDO-004",IF($C86&gt;kdo_esikFark,"KDO-005","TANIMSIZ")))))</f>
        <v/>
      </c>
    </row>
    <row r="87">
      <c r="A87" s="22">
        <f>IF('ESLESTIRME'!$A87="","",'ESLESTIRME'!$A87)</f>
        <v/>
      </c>
      <c r="B87" s="15">
        <f>IF($A87="","",IFERROR(INDEX(tblEslesme[Kova],MATCH($A87,tblEslesme[A_Norm],0)),""))</f>
        <v/>
      </c>
      <c r="C87" s="15">
        <f>IF($A87="","",IFERROR(INDEX(tblEslesme[AbsFark],MATCH($A87,tblEslesme[A_Norm],0)),0))</f>
        <v/>
      </c>
      <c r="D87" s="15">
        <f>IF($A87="","",IFERROR(SUMIF(tblMotor[A_Norm],$A87,tblMotor[DesiKgOran]),0))</f>
        <v/>
      </c>
      <c r="E87" s="15">
        <f>IF($A87="","",IFERROR(SUMIF(tblMotor[A_Norm],$A87,tblMotor[Tasarruf]),0))</f>
        <v/>
      </c>
      <c r="F87" s="15">
        <f>IF($A87="","",IFERROR(SUMIF(tblMotor[A_Norm],$A87,tblMotor[IadeOran]),0))</f>
        <v/>
      </c>
      <c r="G87" s="15">
        <f>IF($A87="","",IFERROR(SUMIF(tblMotor[A_Norm],$A87,tblMotor[BirimKargo]),0))</f>
        <v/>
      </c>
      <c r="H87" s="15">
        <f>IF(OR($A87="",$B87&lt;&gt;"tutar_farki"),"",IF($D87&gt;kdo_esikDesiOran,"KDO-001",IF($F87&gt;kdo_esikIade,"KDO-002",IF($E87&gt;kdo_esikTasarruf,"KDO-004",IF($C87&gt;kdo_esikFark,"KDO-005","TANIMSIZ")))))</f>
        <v/>
      </c>
    </row>
    <row r="88">
      <c r="A88" s="22">
        <f>IF('ESLESTIRME'!$A88="","",'ESLESTIRME'!$A88)</f>
        <v/>
      </c>
      <c r="B88" s="15">
        <f>IF($A88="","",IFERROR(INDEX(tblEslesme[Kova],MATCH($A88,tblEslesme[A_Norm],0)),""))</f>
        <v/>
      </c>
      <c r="C88" s="15">
        <f>IF($A88="","",IFERROR(INDEX(tblEslesme[AbsFark],MATCH($A88,tblEslesme[A_Norm],0)),0))</f>
        <v/>
      </c>
      <c r="D88" s="15">
        <f>IF($A88="","",IFERROR(SUMIF(tblMotor[A_Norm],$A88,tblMotor[DesiKgOran]),0))</f>
        <v/>
      </c>
      <c r="E88" s="15">
        <f>IF($A88="","",IFERROR(SUMIF(tblMotor[A_Norm],$A88,tblMotor[Tasarruf]),0))</f>
        <v/>
      </c>
      <c r="F88" s="15">
        <f>IF($A88="","",IFERROR(SUMIF(tblMotor[A_Norm],$A88,tblMotor[IadeOran]),0))</f>
        <v/>
      </c>
      <c r="G88" s="15">
        <f>IF($A88="","",IFERROR(SUMIF(tblMotor[A_Norm],$A88,tblMotor[BirimKargo]),0))</f>
        <v/>
      </c>
      <c r="H88" s="15">
        <f>IF(OR($A88="",$B88&lt;&gt;"tutar_farki"),"",IF($D88&gt;kdo_esikDesiOran,"KDO-001",IF($F88&gt;kdo_esikIade,"KDO-002",IF($E88&gt;kdo_esikTasarruf,"KDO-004",IF($C88&gt;kdo_esikFark,"KDO-005","TANIMSIZ")))))</f>
        <v/>
      </c>
    </row>
    <row r="89">
      <c r="A89" s="22">
        <f>IF('ESLESTIRME'!$A89="","",'ESLESTIRME'!$A89)</f>
        <v/>
      </c>
      <c r="B89" s="15">
        <f>IF($A89="","",IFERROR(INDEX(tblEslesme[Kova],MATCH($A89,tblEslesme[A_Norm],0)),""))</f>
        <v/>
      </c>
      <c r="C89" s="15">
        <f>IF($A89="","",IFERROR(INDEX(tblEslesme[AbsFark],MATCH($A89,tblEslesme[A_Norm],0)),0))</f>
        <v/>
      </c>
      <c r="D89" s="15">
        <f>IF($A89="","",IFERROR(SUMIF(tblMotor[A_Norm],$A89,tblMotor[DesiKgOran]),0))</f>
        <v/>
      </c>
      <c r="E89" s="15">
        <f>IF($A89="","",IFERROR(SUMIF(tblMotor[A_Norm],$A89,tblMotor[Tasarruf]),0))</f>
        <v/>
      </c>
      <c r="F89" s="15">
        <f>IF($A89="","",IFERROR(SUMIF(tblMotor[A_Norm],$A89,tblMotor[IadeOran]),0))</f>
        <v/>
      </c>
      <c r="G89" s="15">
        <f>IF($A89="","",IFERROR(SUMIF(tblMotor[A_Norm],$A89,tblMotor[BirimKargo]),0))</f>
        <v/>
      </c>
      <c r="H89" s="15">
        <f>IF(OR($A89="",$B89&lt;&gt;"tutar_farki"),"",IF($D89&gt;kdo_esikDesiOran,"KDO-001",IF($F89&gt;kdo_esikIade,"KDO-002",IF($E89&gt;kdo_esikTasarruf,"KDO-004",IF($C89&gt;kdo_esikFark,"KDO-005","TANIMSIZ")))))</f>
        <v/>
      </c>
    </row>
    <row r="90">
      <c r="A90" s="22">
        <f>IF('ESLESTIRME'!$A90="","",'ESLESTIRME'!$A90)</f>
        <v/>
      </c>
      <c r="B90" s="15">
        <f>IF($A90="","",IFERROR(INDEX(tblEslesme[Kova],MATCH($A90,tblEslesme[A_Norm],0)),""))</f>
        <v/>
      </c>
      <c r="C90" s="15">
        <f>IF($A90="","",IFERROR(INDEX(tblEslesme[AbsFark],MATCH($A90,tblEslesme[A_Norm],0)),0))</f>
        <v/>
      </c>
      <c r="D90" s="15">
        <f>IF($A90="","",IFERROR(SUMIF(tblMotor[A_Norm],$A90,tblMotor[DesiKgOran]),0))</f>
        <v/>
      </c>
      <c r="E90" s="15">
        <f>IF($A90="","",IFERROR(SUMIF(tblMotor[A_Norm],$A90,tblMotor[Tasarruf]),0))</f>
        <v/>
      </c>
      <c r="F90" s="15">
        <f>IF($A90="","",IFERROR(SUMIF(tblMotor[A_Norm],$A90,tblMotor[IadeOran]),0))</f>
        <v/>
      </c>
      <c r="G90" s="15">
        <f>IF($A90="","",IFERROR(SUMIF(tblMotor[A_Norm],$A90,tblMotor[BirimKargo]),0))</f>
        <v/>
      </c>
      <c r="H90" s="15">
        <f>IF(OR($A90="",$B90&lt;&gt;"tutar_farki"),"",IF($D90&gt;kdo_esikDesiOran,"KDO-001",IF($F90&gt;kdo_esikIade,"KDO-002",IF($E90&gt;kdo_esikTasarruf,"KDO-004",IF($C90&gt;kdo_esikFark,"KDO-005","TANIMSIZ")))))</f>
        <v/>
      </c>
    </row>
    <row r="91">
      <c r="A91" s="22">
        <f>IF('ESLESTIRME'!$A91="","",'ESLESTIRME'!$A91)</f>
        <v/>
      </c>
      <c r="B91" s="15">
        <f>IF($A91="","",IFERROR(INDEX(tblEslesme[Kova],MATCH($A91,tblEslesme[A_Norm],0)),""))</f>
        <v/>
      </c>
      <c r="C91" s="15">
        <f>IF($A91="","",IFERROR(INDEX(tblEslesme[AbsFark],MATCH($A91,tblEslesme[A_Norm],0)),0))</f>
        <v/>
      </c>
      <c r="D91" s="15">
        <f>IF($A91="","",IFERROR(SUMIF(tblMotor[A_Norm],$A91,tblMotor[DesiKgOran]),0))</f>
        <v/>
      </c>
      <c r="E91" s="15">
        <f>IF($A91="","",IFERROR(SUMIF(tblMotor[A_Norm],$A91,tblMotor[Tasarruf]),0))</f>
        <v/>
      </c>
      <c r="F91" s="15">
        <f>IF($A91="","",IFERROR(SUMIF(tblMotor[A_Norm],$A91,tblMotor[IadeOran]),0))</f>
        <v/>
      </c>
      <c r="G91" s="15">
        <f>IF($A91="","",IFERROR(SUMIF(tblMotor[A_Norm],$A91,tblMotor[BirimKargo]),0))</f>
        <v/>
      </c>
      <c r="H91" s="15">
        <f>IF(OR($A91="",$B91&lt;&gt;"tutar_farki"),"",IF($D91&gt;kdo_esikDesiOran,"KDO-001",IF($F91&gt;kdo_esikIade,"KDO-002",IF($E91&gt;kdo_esikTasarruf,"KDO-004",IF($C91&gt;kdo_esikFark,"KDO-005","TANIMSIZ")))))</f>
        <v/>
      </c>
    </row>
    <row r="92">
      <c r="A92" s="22">
        <f>IF('ESLESTIRME'!$A92="","",'ESLESTIRME'!$A92)</f>
        <v/>
      </c>
      <c r="B92" s="15">
        <f>IF($A92="","",IFERROR(INDEX(tblEslesme[Kova],MATCH($A92,tblEslesme[A_Norm],0)),""))</f>
        <v/>
      </c>
      <c r="C92" s="15">
        <f>IF($A92="","",IFERROR(INDEX(tblEslesme[AbsFark],MATCH($A92,tblEslesme[A_Norm],0)),0))</f>
        <v/>
      </c>
      <c r="D92" s="15">
        <f>IF($A92="","",IFERROR(SUMIF(tblMotor[A_Norm],$A92,tblMotor[DesiKgOran]),0))</f>
        <v/>
      </c>
      <c r="E92" s="15">
        <f>IF($A92="","",IFERROR(SUMIF(tblMotor[A_Norm],$A92,tblMotor[Tasarruf]),0))</f>
        <v/>
      </c>
      <c r="F92" s="15">
        <f>IF($A92="","",IFERROR(SUMIF(tblMotor[A_Norm],$A92,tblMotor[IadeOran]),0))</f>
        <v/>
      </c>
      <c r="G92" s="15">
        <f>IF($A92="","",IFERROR(SUMIF(tblMotor[A_Norm],$A92,tblMotor[BirimKargo]),0))</f>
        <v/>
      </c>
      <c r="H92" s="15">
        <f>IF(OR($A92="",$B92&lt;&gt;"tutar_farki"),"",IF($D92&gt;kdo_esikDesiOran,"KDO-001",IF($F92&gt;kdo_esikIade,"KDO-002",IF($E92&gt;kdo_esikTasarruf,"KDO-004",IF($C92&gt;kdo_esikFark,"KDO-005","TANIMSIZ")))))</f>
        <v/>
      </c>
    </row>
    <row r="93">
      <c r="A93" s="22">
        <f>IF('ESLESTIRME'!$A93="","",'ESLESTIRME'!$A93)</f>
        <v/>
      </c>
      <c r="B93" s="15">
        <f>IF($A93="","",IFERROR(INDEX(tblEslesme[Kova],MATCH($A93,tblEslesme[A_Norm],0)),""))</f>
        <v/>
      </c>
      <c r="C93" s="15">
        <f>IF($A93="","",IFERROR(INDEX(tblEslesme[AbsFark],MATCH($A93,tblEslesme[A_Norm],0)),0))</f>
        <v/>
      </c>
      <c r="D93" s="15">
        <f>IF($A93="","",IFERROR(SUMIF(tblMotor[A_Norm],$A93,tblMotor[DesiKgOran]),0))</f>
        <v/>
      </c>
      <c r="E93" s="15">
        <f>IF($A93="","",IFERROR(SUMIF(tblMotor[A_Norm],$A93,tblMotor[Tasarruf]),0))</f>
        <v/>
      </c>
      <c r="F93" s="15">
        <f>IF($A93="","",IFERROR(SUMIF(tblMotor[A_Norm],$A93,tblMotor[IadeOran]),0))</f>
        <v/>
      </c>
      <c r="G93" s="15">
        <f>IF($A93="","",IFERROR(SUMIF(tblMotor[A_Norm],$A93,tblMotor[BirimKargo]),0))</f>
        <v/>
      </c>
      <c r="H93" s="15">
        <f>IF(OR($A93="",$B93&lt;&gt;"tutar_farki"),"",IF($D93&gt;kdo_esikDesiOran,"KDO-001",IF($F93&gt;kdo_esikIade,"KDO-002",IF($E93&gt;kdo_esikTasarruf,"KDO-004",IF($C93&gt;kdo_esikFark,"KDO-005","TANIMSIZ")))))</f>
        <v/>
      </c>
    </row>
    <row r="94">
      <c r="A94" s="22">
        <f>IF('ESLESTIRME'!$A94="","",'ESLESTIRME'!$A94)</f>
        <v/>
      </c>
      <c r="B94" s="15">
        <f>IF($A94="","",IFERROR(INDEX(tblEslesme[Kova],MATCH($A94,tblEslesme[A_Norm],0)),""))</f>
        <v/>
      </c>
      <c r="C94" s="15">
        <f>IF($A94="","",IFERROR(INDEX(tblEslesme[AbsFark],MATCH($A94,tblEslesme[A_Norm],0)),0))</f>
        <v/>
      </c>
      <c r="D94" s="15">
        <f>IF($A94="","",IFERROR(SUMIF(tblMotor[A_Norm],$A94,tblMotor[DesiKgOran]),0))</f>
        <v/>
      </c>
      <c r="E94" s="15">
        <f>IF($A94="","",IFERROR(SUMIF(tblMotor[A_Norm],$A94,tblMotor[Tasarruf]),0))</f>
        <v/>
      </c>
      <c r="F94" s="15">
        <f>IF($A94="","",IFERROR(SUMIF(tblMotor[A_Norm],$A94,tblMotor[IadeOran]),0))</f>
        <v/>
      </c>
      <c r="G94" s="15">
        <f>IF($A94="","",IFERROR(SUMIF(tblMotor[A_Norm],$A94,tblMotor[BirimKargo]),0))</f>
        <v/>
      </c>
      <c r="H94" s="15">
        <f>IF(OR($A94="",$B94&lt;&gt;"tutar_farki"),"",IF($D94&gt;kdo_esikDesiOran,"KDO-001",IF($F94&gt;kdo_esikIade,"KDO-002",IF($E94&gt;kdo_esikTasarruf,"KDO-004",IF($C94&gt;kdo_esikFark,"KDO-005","TANIMSIZ")))))</f>
        <v/>
      </c>
    </row>
    <row r="95">
      <c r="A95" s="22">
        <f>IF('ESLESTIRME'!$A95="","",'ESLESTIRME'!$A95)</f>
        <v/>
      </c>
      <c r="B95" s="15">
        <f>IF($A95="","",IFERROR(INDEX(tblEslesme[Kova],MATCH($A95,tblEslesme[A_Norm],0)),""))</f>
        <v/>
      </c>
      <c r="C95" s="15">
        <f>IF($A95="","",IFERROR(INDEX(tblEslesme[AbsFark],MATCH($A95,tblEslesme[A_Norm],0)),0))</f>
        <v/>
      </c>
      <c r="D95" s="15">
        <f>IF($A95="","",IFERROR(SUMIF(tblMotor[A_Norm],$A95,tblMotor[DesiKgOran]),0))</f>
        <v/>
      </c>
      <c r="E95" s="15">
        <f>IF($A95="","",IFERROR(SUMIF(tblMotor[A_Norm],$A95,tblMotor[Tasarruf]),0))</f>
        <v/>
      </c>
      <c r="F95" s="15">
        <f>IF($A95="","",IFERROR(SUMIF(tblMotor[A_Norm],$A95,tblMotor[IadeOran]),0))</f>
        <v/>
      </c>
      <c r="G95" s="15">
        <f>IF($A95="","",IFERROR(SUMIF(tblMotor[A_Norm],$A95,tblMotor[BirimKargo]),0))</f>
        <v/>
      </c>
      <c r="H95" s="15">
        <f>IF(OR($A95="",$B95&lt;&gt;"tutar_farki"),"",IF($D95&gt;kdo_esikDesiOran,"KDO-001",IF($F95&gt;kdo_esikIade,"KDO-002",IF($E95&gt;kdo_esikTasarruf,"KDO-004",IF($C95&gt;kdo_esikFark,"KDO-005","TANIMSIZ")))))</f>
        <v/>
      </c>
    </row>
    <row r="96">
      <c r="A96" s="22">
        <f>IF('ESLESTIRME'!$A96="","",'ESLESTIRME'!$A96)</f>
        <v/>
      </c>
      <c r="B96" s="15">
        <f>IF($A96="","",IFERROR(INDEX(tblEslesme[Kova],MATCH($A96,tblEslesme[A_Norm],0)),""))</f>
        <v/>
      </c>
      <c r="C96" s="15">
        <f>IF($A96="","",IFERROR(INDEX(tblEslesme[AbsFark],MATCH($A96,tblEslesme[A_Norm],0)),0))</f>
        <v/>
      </c>
      <c r="D96" s="15">
        <f>IF($A96="","",IFERROR(SUMIF(tblMotor[A_Norm],$A96,tblMotor[DesiKgOran]),0))</f>
        <v/>
      </c>
      <c r="E96" s="15">
        <f>IF($A96="","",IFERROR(SUMIF(tblMotor[A_Norm],$A96,tblMotor[Tasarruf]),0))</f>
        <v/>
      </c>
      <c r="F96" s="15">
        <f>IF($A96="","",IFERROR(SUMIF(tblMotor[A_Norm],$A96,tblMotor[IadeOran]),0))</f>
        <v/>
      </c>
      <c r="G96" s="15">
        <f>IF($A96="","",IFERROR(SUMIF(tblMotor[A_Norm],$A96,tblMotor[BirimKargo]),0))</f>
        <v/>
      </c>
      <c r="H96" s="15">
        <f>IF(OR($A96="",$B96&lt;&gt;"tutar_farki"),"",IF($D96&gt;kdo_esikDesiOran,"KDO-001",IF($F96&gt;kdo_esikIade,"KDO-002",IF($E96&gt;kdo_esikTasarruf,"KDO-004",IF($C96&gt;kdo_esikFark,"KDO-005","TANIMSIZ")))))</f>
        <v/>
      </c>
    </row>
    <row r="97">
      <c r="A97" s="22">
        <f>IF('ESLESTIRME'!$A97="","",'ESLESTIRME'!$A97)</f>
        <v/>
      </c>
      <c r="B97" s="15">
        <f>IF($A97="","",IFERROR(INDEX(tblEslesme[Kova],MATCH($A97,tblEslesme[A_Norm],0)),""))</f>
        <v/>
      </c>
      <c r="C97" s="15">
        <f>IF($A97="","",IFERROR(INDEX(tblEslesme[AbsFark],MATCH($A97,tblEslesme[A_Norm],0)),0))</f>
        <v/>
      </c>
      <c r="D97" s="15">
        <f>IF($A97="","",IFERROR(SUMIF(tblMotor[A_Norm],$A97,tblMotor[DesiKgOran]),0))</f>
        <v/>
      </c>
      <c r="E97" s="15">
        <f>IF($A97="","",IFERROR(SUMIF(tblMotor[A_Norm],$A97,tblMotor[Tasarruf]),0))</f>
        <v/>
      </c>
      <c r="F97" s="15">
        <f>IF($A97="","",IFERROR(SUMIF(tblMotor[A_Norm],$A97,tblMotor[IadeOran]),0))</f>
        <v/>
      </c>
      <c r="G97" s="15">
        <f>IF($A97="","",IFERROR(SUMIF(tblMotor[A_Norm],$A97,tblMotor[BirimKargo]),0))</f>
        <v/>
      </c>
      <c r="H97" s="15">
        <f>IF(OR($A97="",$B97&lt;&gt;"tutar_farki"),"",IF($D97&gt;kdo_esikDesiOran,"KDO-001",IF($F97&gt;kdo_esikIade,"KDO-002",IF($E97&gt;kdo_esikTasarruf,"KDO-004",IF($C97&gt;kdo_esikFark,"KDO-005","TANIMSIZ")))))</f>
        <v/>
      </c>
    </row>
    <row r="98">
      <c r="A98" s="22">
        <f>IF('ESLESTIRME'!$A98="","",'ESLESTIRME'!$A98)</f>
        <v/>
      </c>
      <c r="B98" s="15">
        <f>IF($A98="","",IFERROR(INDEX(tblEslesme[Kova],MATCH($A98,tblEslesme[A_Norm],0)),""))</f>
        <v/>
      </c>
      <c r="C98" s="15">
        <f>IF($A98="","",IFERROR(INDEX(tblEslesme[AbsFark],MATCH($A98,tblEslesme[A_Norm],0)),0))</f>
        <v/>
      </c>
      <c r="D98" s="15">
        <f>IF($A98="","",IFERROR(SUMIF(tblMotor[A_Norm],$A98,tblMotor[DesiKgOran]),0))</f>
        <v/>
      </c>
      <c r="E98" s="15">
        <f>IF($A98="","",IFERROR(SUMIF(tblMotor[A_Norm],$A98,tblMotor[Tasarruf]),0))</f>
        <v/>
      </c>
      <c r="F98" s="15">
        <f>IF($A98="","",IFERROR(SUMIF(tblMotor[A_Norm],$A98,tblMotor[IadeOran]),0))</f>
        <v/>
      </c>
      <c r="G98" s="15">
        <f>IF($A98="","",IFERROR(SUMIF(tblMotor[A_Norm],$A98,tblMotor[BirimKargo]),0))</f>
        <v/>
      </c>
      <c r="H98" s="15">
        <f>IF(OR($A98="",$B98&lt;&gt;"tutar_farki"),"",IF($D98&gt;kdo_esikDesiOran,"KDO-001",IF($F98&gt;kdo_esikIade,"KDO-002",IF($E98&gt;kdo_esikTasarruf,"KDO-004",IF($C98&gt;kdo_esikFark,"KDO-005","TANIMSIZ")))))</f>
        <v/>
      </c>
    </row>
    <row r="99">
      <c r="A99" s="22">
        <f>IF('ESLESTIRME'!$A99="","",'ESLESTIRME'!$A99)</f>
        <v/>
      </c>
      <c r="B99" s="15">
        <f>IF($A99="","",IFERROR(INDEX(tblEslesme[Kova],MATCH($A99,tblEslesme[A_Norm],0)),""))</f>
        <v/>
      </c>
      <c r="C99" s="15">
        <f>IF($A99="","",IFERROR(INDEX(tblEslesme[AbsFark],MATCH($A99,tblEslesme[A_Norm],0)),0))</f>
        <v/>
      </c>
      <c r="D99" s="15">
        <f>IF($A99="","",IFERROR(SUMIF(tblMotor[A_Norm],$A99,tblMotor[DesiKgOran]),0))</f>
        <v/>
      </c>
      <c r="E99" s="15">
        <f>IF($A99="","",IFERROR(SUMIF(tblMotor[A_Norm],$A99,tblMotor[Tasarruf]),0))</f>
        <v/>
      </c>
      <c r="F99" s="15">
        <f>IF($A99="","",IFERROR(SUMIF(tblMotor[A_Norm],$A99,tblMotor[IadeOran]),0))</f>
        <v/>
      </c>
      <c r="G99" s="15">
        <f>IF($A99="","",IFERROR(SUMIF(tblMotor[A_Norm],$A99,tblMotor[BirimKargo]),0))</f>
        <v/>
      </c>
      <c r="H99" s="15">
        <f>IF(OR($A99="",$B99&lt;&gt;"tutar_farki"),"",IF($D99&gt;kdo_esikDesiOran,"KDO-001",IF($F99&gt;kdo_esikIade,"KDO-002",IF($E99&gt;kdo_esikTasarruf,"KDO-004",IF($C99&gt;kdo_esikFark,"KDO-005","TANIMSIZ")))))</f>
        <v/>
      </c>
    </row>
    <row r="100">
      <c r="A100" s="22">
        <f>IF('ESLESTIRME'!$A100="","",'ESLESTIRME'!$A100)</f>
        <v/>
      </c>
      <c r="B100" s="15">
        <f>IF($A100="","",IFERROR(INDEX(tblEslesme[Kova],MATCH($A100,tblEslesme[A_Norm],0)),""))</f>
        <v/>
      </c>
      <c r="C100" s="15">
        <f>IF($A100="","",IFERROR(INDEX(tblEslesme[AbsFark],MATCH($A100,tblEslesme[A_Norm],0)),0))</f>
        <v/>
      </c>
      <c r="D100" s="15">
        <f>IF($A100="","",IFERROR(SUMIF(tblMotor[A_Norm],$A100,tblMotor[DesiKgOran]),0))</f>
        <v/>
      </c>
      <c r="E100" s="15">
        <f>IF($A100="","",IFERROR(SUMIF(tblMotor[A_Norm],$A100,tblMotor[Tasarruf]),0))</f>
        <v/>
      </c>
      <c r="F100" s="15">
        <f>IF($A100="","",IFERROR(SUMIF(tblMotor[A_Norm],$A100,tblMotor[IadeOran]),0))</f>
        <v/>
      </c>
      <c r="G100" s="15">
        <f>IF($A100="","",IFERROR(SUMIF(tblMotor[A_Norm],$A100,tblMotor[BirimKargo]),0))</f>
        <v/>
      </c>
      <c r="H100" s="15">
        <f>IF(OR($A100="",$B100&lt;&gt;"tutar_farki"),"",IF($D100&gt;kdo_esikDesiOran,"KDO-001",IF($F100&gt;kdo_esikIade,"KDO-002",IF($E100&gt;kdo_esikTasarruf,"KDO-004",IF($C100&gt;kdo_esikFark,"KDO-005","TANIMSIZ")))))</f>
        <v/>
      </c>
    </row>
    <row r="101">
      <c r="A101" s="22">
        <f>IF('ESLESTIRME'!$A101="","",'ESLESTIRME'!$A101)</f>
        <v/>
      </c>
      <c r="B101" s="15">
        <f>IF($A101="","",IFERROR(INDEX(tblEslesme[Kova],MATCH($A101,tblEslesme[A_Norm],0)),""))</f>
        <v/>
      </c>
      <c r="C101" s="15">
        <f>IF($A101="","",IFERROR(INDEX(tblEslesme[AbsFark],MATCH($A101,tblEslesme[A_Norm],0)),0))</f>
        <v/>
      </c>
      <c r="D101" s="15">
        <f>IF($A101="","",IFERROR(SUMIF(tblMotor[A_Norm],$A101,tblMotor[DesiKgOran]),0))</f>
        <v/>
      </c>
      <c r="E101" s="15">
        <f>IF($A101="","",IFERROR(SUMIF(tblMotor[A_Norm],$A101,tblMotor[Tasarruf]),0))</f>
        <v/>
      </c>
      <c r="F101" s="15">
        <f>IF($A101="","",IFERROR(SUMIF(tblMotor[A_Norm],$A101,tblMotor[IadeOran]),0))</f>
        <v/>
      </c>
      <c r="G101" s="15">
        <f>IF($A101="","",IFERROR(SUMIF(tblMotor[A_Norm],$A101,tblMotor[BirimKargo]),0))</f>
        <v/>
      </c>
      <c r="H101" s="15">
        <f>IF(OR($A101="",$B101&lt;&gt;"tutar_farki"),"",IF($D101&gt;kdo_esikDesiOran,"KDO-001",IF($F101&gt;kdo_esikIade,"KDO-002",IF($E101&gt;kdo_esikTasarruf,"KDO-004",IF($C101&gt;kdo_esikFark,"KDO-005","TANIMSIZ")))))</f>
        <v/>
      </c>
    </row>
    <row r="102">
      <c r="A102" s="22">
        <f>IF('ESLESTIRME'!$A102="","",'ESLESTIRME'!$A102)</f>
        <v/>
      </c>
      <c r="B102" s="15">
        <f>IF($A102="","",IFERROR(INDEX(tblEslesme[Kova],MATCH($A102,tblEslesme[A_Norm],0)),""))</f>
        <v/>
      </c>
      <c r="C102" s="15">
        <f>IF($A102="","",IFERROR(INDEX(tblEslesme[AbsFark],MATCH($A102,tblEslesme[A_Norm],0)),0))</f>
        <v/>
      </c>
      <c r="D102" s="15">
        <f>IF($A102="","",IFERROR(SUMIF(tblMotor[A_Norm],$A102,tblMotor[DesiKgOran]),0))</f>
        <v/>
      </c>
      <c r="E102" s="15">
        <f>IF($A102="","",IFERROR(SUMIF(tblMotor[A_Norm],$A102,tblMotor[Tasarruf]),0))</f>
        <v/>
      </c>
      <c r="F102" s="15">
        <f>IF($A102="","",IFERROR(SUMIF(tblMotor[A_Norm],$A102,tblMotor[IadeOran]),0))</f>
        <v/>
      </c>
      <c r="G102" s="15">
        <f>IF($A102="","",IFERROR(SUMIF(tblMotor[A_Norm],$A102,tblMotor[BirimKargo]),0))</f>
        <v/>
      </c>
      <c r="H102" s="15">
        <f>IF(OR($A102="",$B102&lt;&gt;"tutar_farki"),"",IF($D102&gt;kdo_esikDesiOran,"KDO-001",IF($F102&gt;kdo_esikIade,"KDO-002",IF($E102&gt;kdo_esikTasarruf,"KDO-004",IF($C102&gt;kdo_esikFark,"KDO-005","TANIMSIZ")))))</f>
        <v/>
      </c>
    </row>
    <row r="103">
      <c r="A103" s="22">
        <f>IF('ESLESTIRME'!$A103="","",'ESLESTIRME'!$A103)</f>
        <v/>
      </c>
      <c r="B103" s="15">
        <f>IF($A103="","",IFERROR(INDEX(tblEslesme[Kova],MATCH($A103,tblEslesme[A_Norm],0)),""))</f>
        <v/>
      </c>
      <c r="C103" s="15">
        <f>IF($A103="","",IFERROR(INDEX(tblEslesme[AbsFark],MATCH($A103,tblEslesme[A_Norm],0)),0))</f>
        <v/>
      </c>
      <c r="D103" s="15">
        <f>IF($A103="","",IFERROR(SUMIF(tblMotor[A_Norm],$A103,tblMotor[DesiKgOran]),0))</f>
        <v/>
      </c>
      <c r="E103" s="15">
        <f>IF($A103="","",IFERROR(SUMIF(tblMotor[A_Norm],$A103,tblMotor[Tasarruf]),0))</f>
        <v/>
      </c>
      <c r="F103" s="15">
        <f>IF($A103="","",IFERROR(SUMIF(tblMotor[A_Norm],$A103,tblMotor[IadeOran]),0))</f>
        <v/>
      </c>
      <c r="G103" s="15">
        <f>IF($A103="","",IFERROR(SUMIF(tblMotor[A_Norm],$A103,tblMotor[BirimKargo]),0))</f>
        <v/>
      </c>
      <c r="H103" s="15">
        <f>IF(OR($A103="",$B103&lt;&gt;"tutar_farki"),"",IF($D103&gt;kdo_esikDesiOran,"KDO-001",IF($F103&gt;kdo_esikIade,"KDO-002",IF($E103&gt;kdo_esikTasarruf,"KDO-004",IF($C103&gt;kdo_esikFark,"KDO-005","TANIMSIZ")))))</f>
        <v/>
      </c>
    </row>
    <row r="104">
      <c r="A104" s="22">
        <f>IF('ESLESTIRME'!$A104="","",'ESLESTIRME'!$A104)</f>
        <v/>
      </c>
      <c r="B104" s="15">
        <f>IF($A104="","",IFERROR(INDEX(tblEslesme[Kova],MATCH($A104,tblEslesme[A_Norm],0)),""))</f>
        <v/>
      </c>
      <c r="C104" s="15">
        <f>IF($A104="","",IFERROR(INDEX(tblEslesme[AbsFark],MATCH($A104,tblEslesme[A_Norm],0)),0))</f>
        <v/>
      </c>
      <c r="D104" s="15">
        <f>IF($A104="","",IFERROR(SUMIF(tblMotor[A_Norm],$A104,tblMotor[DesiKgOran]),0))</f>
        <v/>
      </c>
      <c r="E104" s="15">
        <f>IF($A104="","",IFERROR(SUMIF(tblMotor[A_Norm],$A104,tblMotor[Tasarruf]),0))</f>
        <v/>
      </c>
      <c r="F104" s="15">
        <f>IF($A104="","",IFERROR(SUMIF(tblMotor[A_Norm],$A104,tblMotor[IadeOran]),0))</f>
        <v/>
      </c>
      <c r="G104" s="15">
        <f>IF($A104="","",IFERROR(SUMIF(tblMotor[A_Norm],$A104,tblMotor[BirimKargo]),0))</f>
        <v/>
      </c>
      <c r="H104" s="15">
        <f>IF(OR($A104="",$B104&lt;&gt;"tutar_farki"),"",IF($D104&gt;kdo_esikDesiOran,"KDO-001",IF($F104&gt;kdo_esikIade,"KDO-002",IF($E104&gt;kdo_esikTasarruf,"KDO-004",IF($C104&gt;kdo_esikFark,"KDO-005","TANIMSIZ")))))</f>
        <v/>
      </c>
    </row>
    <row r="105">
      <c r="A105" s="22">
        <f>IF('ESLESTIRME'!$A105="","",'ESLESTIRME'!$A105)</f>
        <v/>
      </c>
      <c r="B105" s="15">
        <f>IF($A105="","",IFERROR(INDEX(tblEslesme[Kova],MATCH($A105,tblEslesme[A_Norm],0)),""))</f>
        <v/>
      </c>
      <c r="C105" s="15">
        <f>IF($A105="","",IFERROR(INDEX(tblEslesme[AbsFark],MATCH($A105,tblEslesme[A_Norm],0)),0))</f>
        <v/>
      </c>
      <c r="D105" s="15">
        <f>IF($A105="","",IFERROR(SUMIF(tblMotor[A_Norm],$A105,tblMotor[DesiKgOran]),0))</f>
        <v/>
      </c>
      <c r="E105" s="15">
        <f>IF($A105="","",IFERROR(SUMIF(tblMotor[A_Norm],$A105,tblMotor[Tasarruf]),0))</f>
        <v/>
      </c>
      <c r="F105" s="15">
        <f>IF($A105="","",IFERROR(SUMIF(tblMotor[A_Norm],$A105,tblMotor[IadeOran]),0))</f>
        <v/>
      </c>
      <c r="G105" s="15">
        <f>IF($A105="","",IFERROR(SUMIF(tblMotor[A_Norm],$A105,tblMotor[BirimKargo]),0))</f>
        <v/>
      </c>
      <c r="H105" s="15">
        <f>IF(OR($A105="",$B105&lt;&gt;"tutar_farki"),"",IF($D105&gt;kdo_esikDesiOran,"KDO-001",IF($F105&gt;kdo_esikIade,"KDO-002",IF($E105&gt;kdo_esikTasarruf,"KDO-004",IF($C105&gt;kdo_esikFark,"KDO-005","TANIMSIZ")))))</f>
        <v/>
      </c>
    </row>
    <row r="106">
      <c r="A106" s="22">
        <f>IF('ESLESTIRME'!$A106="","",'ESLESTIRME'!$A106)</f>
        <v/>
      </c>
      <c r="B106" s="15">
        <f>IF($A106="","",IFERROR(INDEX(tblEslesme[Kova],MATCH($A106,tblEslesme[A_Norm],0)),""))</f>
        <v/>
      </c>
      <c r="C106" s="15">
        <f>IF($A106="","",IFERROR(INDEX(tblEslesme[AbsFark],MATCH($A106,tblEslesme[A_Norm],0)),0))</f>
        <v/>
      </c>
      <c r="D106" s="15">
        <f>IF($A106="","",IFERROR(SUMIF(tblMotor[A_Norm],$A106,tblMotor[DesiKgOran]),0))</f>
        <v/>
      </c>
      <c r="E106" s="15">
        <f>IF($A106="","",IFERROR(SUMIF(tblMotor[A_Norm],$A106,tblMotor[Tasarruf]),0))</f>
        <v/>
      </c>
      <c r="F106" s="15">
        <f>IF($A106="","",IFERROR(SUMIF(tblMotor[A_Norm],$A106,tblMotor[IadeOran]),0))</f>
        <v/>
      </c>
      <c r="G106" s="15">
        <f>IF($A106="","",IFERROR(SUMIF(tblMotor[A_Norm],$A106,tblMotor[BirimKargo]),0))</f>
        <v/>
      </c>
      <c r="H106" s="15">
        <f>IF(OR($A106="",$B106&lt;&gt;"tutar_farki"),"",IF($D106&gt;kdo_esikDesiOran,"KDO-001",IF($F106&gt;kdo_esikIade,"KDO-002",IF($E106&gt;kdo_esikTasarruf,"KDO-004",IF($C106&gt;kdo_esikFark,"KDO-005","TANIMSIZ")))))</f>
        <v/>
      </c>
    </row>
    <row r="107">
      <c r="A107" s="22">
        <f>IF('ESLESTIRME'!$A107="","",'ESLESTIRME'!$A107)</f>
        <v/>
      </c>
      <c r="B107" s="15">
        <f>IF($A107="","",IFERROR(INDEX(tblEslesme[Kova],MATCH($A107,tblEslesme[A_Norm],0)),""))</f>
        <v/>
      </c>
      <c r="C107" s="15">
        <f>IF($A107="","",IFERROR(INDEX(tblEslesme[AbsFark],MATCH($A107,tblEslesme[A_Norm],0)),0))</f>
        <v/>
      </c>
      <c r="D107" s="15">
        <f>IF($A107="","",IFERROR(SUMIF(tblMotor[A_Norm],$A107,tblMotor[DesiKgOran]),0))</f>
        <v/>
      </c>
      <c r="E107" s="15">
        <f>IF($A107="","",IFERROR(SUMIF(tblMotor[A_Norm],$A107,tblMotor[Tasarruf]),0))</f>
        <v/>
      </c>
      <c r="F107" s="15">
        <f>IF($A107="","",IFERROR(SUMIF(tblMotor[A_Norm],$A107,tblMotor[IadeOran]),0))</f>
        <v/>
      </c>
      <c r="G107" s="15">
        <f>IF($A107="","",IFERROR(SUMIF(tblMotor[A_Norm],$A107,tblMotor[BirimKargo]),0))</f>
        <v/>
      </c>
      <c r="H107" s="15">
        <f>IF(OR($A107="",$B107&lt;&gt;"tutar_farki"),"",IF($D107&gt;kdo_esikDesiOran,"KDO-001",IF($F107&gt;kdo_esikIade,"KDO-002",IF($E107&gt;kdo_esikTasarruf,"KDO-004",IF($C107&gt;kdo_esikFark,"KDO-005","TANIMSIZ")))))</f>
        <v/>
      </c>
    </row>
    <row r="108">
      <c r="A108" s="22">
        <f>IF('ESLESTIRME'!$A108="","",'ESLESTIRME'!$A108)</f>
        <v/>
      </c>
      <c r="B108" s="15">
        <f>IF($A108="","",IFERROR(INDEX(tblEslesme[Kova],MATCH($A108,tblEslesme[A_Norm],0)),""))</f>
        <v/>
      </c>
      <c r="C108" s="15">
        <f>IF($A108="","",IFERROR(INDEX(tblEslesme[AbsFark],MATCH($A108,tblEslesme[A_Norm],0)),0))</f>
        <v/>
      </c>
      <c r="D108" s="15">
        <f>IF($A108="","",IFERROR(SUMIF(tblMotor[A_Norm],$A108,tblMotor[DesiKgOran]),0))</f>
        <v/>
      </c>
      <c r="E108" s="15">
        <f>IF($A108="","",IFERROR(SUMIF(tblMotor[A_Norm],$A108,tblMotor[Tasarruf]),0))</f>
        <v/>
      </c>
      <c r="F108" s="15">
        <f>IF($A108="","",IFERROR(SUMIF(tblMotor[A_Norm],$A108,tblMotor[IadeOran]),0))</f>
        <v/>
      </c>
      <c r="G108" s="15">
        <f>IF($A108="","",IFERROR(SUMIF(tblMotor[A_Norm],$A108,tblMotor[BirimKargo]),0))</f>
        <v/>
      </c>
      <c r="H108" s="15">
        <f>IF(OR($A108="",$B108&lt;&gt;"tutar_farki"),"",IF($D108&gt;kdo_esikDesiOran,"KDO-001",IF($F108&gt;kdo_esikIade,"KDO-002",IF($E108&gt;kdo_esikTasarruf,"KDO-004",IF($C108&gt;kdo_esikFark,"KDO-005","TANIMSIZ")))))</f>
        <v/>
      </c>
    </row>
    <row r="109">
      <c r="A109" s="22">
        <f>IF('ESLESTIRME'!$A109="","",'ESLESTIRME'!$A109)</f>
        <v/>
      </c>
      <c r="B109" s="15">
        <f>IF($A109="","",IFERROR(INDEX(tblEslesme[Kova],MATCH($A109,tblEslesme[A_Norm],0)),""))</f>
        <v/>
      </c>
      <c r="C109" s="15">
        <f>IF($A109="","",IFERROR(INDEX(tblEslesme[AbsFark],MATCH($A109,tblEslesme[A_Norm],0)),0))</f>
        <v/>
      </c>
      <c r="D109" s="15">
        <f>IF($A109="","",IFERROR(SUMIF(tblMotor[A_Norm],$A109,tblMotor[DesiKgOran]),0))</f>
        <v/>
      </c>
      <c r="E109" s="15">
        <f>IF($A109="","",IFERROR(SUMIF(tblMotor[A_Norm],$A109,tblMotor[Tasarruf]),0))</f>
        <v/>
      </c>
      <c r="F109" s="15">
        <f>IF($A109="","",IFERROR(SUMIF(tblMotor[A_Norm],$A109,tblMotor[IadeOran]),0))</f>
        <v/>
      </c>
      <c r="G109" s="15">
        <f>IF($A109="","",IFERROR(SUMIF(tblMotor[A_Norm],$A109,tblMotor[BirimKargo]),0))</f>
        <v/>
      </c>
      <c r="H109" s="15">
        <f>IF(OR($A109="",$B109&lt;&gt;"tutar_farki"),"",IF($D109&gt;kdo_esikDesiOran,"KDO-001",IF($F109&gt;kdo_esikIade,"KDO-002",IF($E109&gt;kdo_esikTasarruf,"KDO-004",IF($C109&gt;kdo_esikFark,"KDO-005","TANIMSIZ")))))</f>
        <v/>
      </c>
    </row>
    <row r="110">
      <c r="A110" s="22">
        <f>IF('ESLESTIRME'!$A110="","",'ESLESTIRME'!$A110)</f>
        <v/>
      </c>
      <c r="B110" s="15">
        <f>IF($A110="","",IFERROR(INDEX(tblEslesme[Kova],MATCH($A110,tblEslesme[A_Norm],0)),""))</f>
        <v/>
      </c>
      <c r="C110" s="15">
        <f>IF($A110="","",IFERROR(INDEX(tblEslesme[AbsFark],MATCH($A110,tblEslesme[A_Norm],0)),0))</f>
        <v/>
      </c>
      <c r="D110" s="15">
        <f>IF($A110="","",IFERROR(SUMIF(tblMotor[A_Norm],$A110,tblMotor[DesiKgOran]),0))</f>
        <v/>
      </c>
      <c r="E110" s="15">
        <f>IF($A110="","",IFERROR(SUMIF(tblMotor[A_Norm],$A110,tblMotor[Tasarruf]),0))</f>
        <v/>
      </c>
      <c r="F110" s="15">
        <f>IF($A110="","",IFERROR(SUMIF(tblMotor[A_Norm],$A110,tblMotor[IadeOran]),0))</f>
        <v/>
      </c>
      <c r="G110" s="15">
        <f>IF($A110="","",IFERROR(SUMIF(tblMotor[A_Norm],$A110,tblMotor[BirimKargo]),0))</f>
        <v/>
      </c>
      <c r="H110" s="15">
        <f>IF(OR($A110="",$B110&lt;&gt;"tutar_farki"),"",IF($D110&gt;kdo_esikDesiOran,"KDO-001",IF($F110&gt;kdo_esikIade,"KDO-002",IF($E110&gt;kdo_esikTasarruf,"KDO-004",IF($C110&gt;kdo_esikFark,"KDO-005","TANIMSIZ")))))</f>
        <v/>
      </c>
    </row>
    <row r="111">
      <c r="A111" s="22">
        <f>IF('ESLESTIRME'!$A111="","",'ESLESTIRME'!$A111)</f>
        <v/>
      </c>
      <c r="B111" s="15">
        <f>IF($A111="","",IFERROR(INDEX(tblEslesme[Kova],MATCH($A111,tblEslesme[A_Norm],0)),""))</f>
        <v/>
      </c>
      <c r="C111" s="15">
        <f>IF($A111="","",IFERROR(INDEX(tblEslesme[AbsFark],MATCH($A111,tblEslesme[A_Norm],0)),0))</f>
        <v/>
      </c>
      <c r="D111" s="15">
        <f>IF($A111="","",IFERROR(SUMIF(tblMotor[A_Norm],$A111,tblMotor[DesiKgOran]),0))</f>
        <v/>
      </c>
      <c r="E111" s="15">
        <f>IF($A111="","",IFERROR(SUMIF(tblMotor[A_Norm],$A111,tblMotor[Tasarruf]),0))</f>
        <v/>
      </c>
      <c r="F111" s="15">
        <f>IF($A111="","",IFERROR(SUMIF(tblMotor[A_Norm],$A111,tblMotor[IadeOran]),0))</f>
        <v/>
      </c>
      <c r="G111" s="15">
        <f>IF($A111="","",IFERROR(SUMIF(tblMotor[A_Norm],$A111,tblMotor[BirimKargo]),0))</f>
        <v/>
      </c>
      <c r="H111" s="15">
        <f>IF(OR($A111="",$B111&lt;&gt;"tutar_farki"),"",IF($D111&gt;kdo_esikDesiOran,"KDO-001",IF($F111&gt;kdo_esikIade,"KDO-002",IF($E111&gt;kdo_esikTasarruf,"KDO-004",IF($C111&gt;kdo_esikFark,"KDO-005","TANIMSIZ")))))</f>
        <v/>
      </c>
    </row>
    <row r="112">
      <c r="A112" s="22">
        <f>IF('ESLESTIRME'!$A112="","",'ESLESTIRME'!$A112)</f>
        <v/>
      </c>
      <c r="B112" s="15">
        <f>IF($A112="","",IFERROR(INDEX(tblEslesme[Kova],MATCH($A112,tblEslesme[A_Norm],0)),""))</f>
        <v/>
      </c>
      <c r="C112" s="15">
        <f>IF($A112="","",IFERROR(INDEX(tblEslesme[AbsFark],MATCH($A112,tblEslesme[A_Norm],0)),0))</f>
        <v/>
      </c>
      <c r="D112" s="15">
        <f>IF($A112="","",IFERROR(SUMIF(tblMotor[A_Norm],$A112,tblMotor[DesiKgOran]),0))</f>
        <v/>
      </c>
      <c r="E112" s="15">
        <f>IF($A112="","",IFERROR(SUMIF(tblMotor[A_Norm],$A112,tblMotor[Tasarruf]),0))</f>
        <v/>
      </c>
      <c r="F112" s="15">
        <f>IF($A112="","",IFERROR(SUMIF(tblMotor[A_Norm],$A112,tblMotor[IadeOran]),0))</f>
        <v/>
      </c>
      <c r="G112" s="15">
        <f>IF($A112="","",IFERROR(SUMIF(tblMotor[A_Norm],$A112,tblMotor[BirimKargo]),0))</f>
        <v/>
      </c>
      <c r="H112" s="15">
        <f>IF(OR($A112="",$B112&lt;&gt;"tutar_farki"),"",IF($D112&gt;kdo_esikDesiOran,"KDO-001",IF($F112&gt;kdo_esikIade,"KDO-002",IF($E112&gt;kdo_esikTasarruf,"KDO-004",IF($C112&gt;kdo_esikFark,"KDO-005","TANIMSIZ")))))</f>
        <v/>
      </c>
    </row>
    <row r="113">
      <c r="A113" s="22">
        <f>IF('ESLESTIRME'!$A113="","",'ESLESTIRME'!$A113)</f>
        <v/>
      </c>
      <c r="B113" s="15">
        <f>IF($A113="","",IFERROR(INDEX(tblEslesme[Kova],MATCH($A113,tblEslesme[A_Norm],0)),""))</f>
        <v/>
      </c>
      <c r="C113" s="15">
        <f>IF($A113="","",IFERROR(INDEX(tblEslesme[AbsFark],MATCH($A113,tblEslesme[A_Norm],0)),0))</f>
        <v/>
      </c>
      <c r="D113" s="15">
        <f>IF($A113="","",IFERROR(SUMIF(tblMotor[A_Norm],$A113,tblMotor[DesiKgOran]),0))</f>
        <v/>
      </c>
      <c r="E113" s="15">
        <f>IF($A113="","",IFERROR(SUMIF(tblMotor[A_Norm],$A113,tblMotor[Tasarruf]),0))</f>
        <v/>
      </c>
      <c r="F113" s="15">
        <f>IF($A113="","",IFERROR(SUMIF(tblMotor[A_Norm],$A113,tblMotor[IadeOran]),0))</f>
        <v/>
      </c>
      <c r="G113" s="15">
        <f>IF($A113="","",IFERROR(SUMIF(tblMotor[A_Norm],$A113,tblMotor[BirimKargo]),0))</f>
        <v/>
      </c>
      <c r="H113" s="15">
        <f>IF(OR($A113="",$B113&lt;&gt;"tutar_farki"),"",IF($D113&gt;kdo_esikDesiOran,"KDO-001",IF($F113&gt;kdo_esikIade,"KDO-002",IF($E113&gt;kdo_esikTasarruf,"KDO-004",IF($C113&gt;kdo_esikFark,"KDO-005","TANIMSIZ")))))</f>
        <v/>
      </c>
    </row>
    <row r="114">
      <c r="A114" s="22">
        <f>IF('ESLESTIRME'!$A114="","",'ESLESTIRME'!$A114)</f>
        <v/>
      </c>
      <c r="B114" s="15">
        <f>IF($A114="","",IFERROR(INDEX(tblEslesme[Kova],MATCH($A114,tblEslesme[A_Norm],0)),""))</f>
        <v/>
      </c>
      <c r="C114" s="15">
        <f>IF($A114="","",IFERROR(INDEX(tblEslesme[AbsFark],MATCH($A114,tblEslesme[A_Norm],0)),0))</f>
        <v/>
      </c>
      <c r="D114" s="15">
        <f>IF($A114="","",IFERROR(SUMIF(tblMotor[A_Norm],$A114,tblMotor[DesiKgOran]),0))</f>
        <v/>
      </c>
      <c r="E114" s="15">
        <f>IF($A114="","",IFERROR(SUMIF(tblMotor[A_Norm],$A114,tblMotor[Tasarruf]),0))</f>
        <v/>
      </c>
      <c r="F114" s="15">
        <f>IF($A114="","",IFERROR(SUMIF(tblMotor[A_Norm],$A114,tblMotor[IadeOran]),0))</f>
        <v/>
      </c>
      <c r="G114" s="15">
        <f>IF($A114="","",IFERROR(SUMIF(tblMotor[A_Norm],$A114,tblMotor[BirimKargo]),0))</f>
        <v/>
      </c>
      <c r="H114" s="15">
        <f>IF(OR($A114="",$B114&lt;&gt;"tutar_farki"),"",IF($D114&gt;kdo_esikDesiOran,"KDO-001",IF($F114&gt;kdo_esikIade,"KDO-002",IF($E114&gt;kdo_esikTasarruf,"KDO-004",IF($C114&gt;kdo_esikFark,"KDO-005","TANIMSIZ")))))</f>
        <v/>
      </c>
    </row>
    <row r="115">
      <c r="A115" s="22">
        <f>IF('ESLESTIRME'!$A115="","",'ESLESTIRME'!$A115)</f>
        <v/>
      </c>
      <c r="B115" s="15">
        <f>IF($A115="","",IFERROR(INDEX(tblEslesme[Kova],MATCH($A115,tblEslesme[A_Norm],0)),""))</f>
        <v/>
      </c>
      <c r="C115" s="15">
        <f>IF($A115="","",IFERROR(INDEX(tblEslesme[AbsFark],MATCH($A115,tblEslesme[A_Norm],0)),0))</f>
        <v/>
      </c>
      <c r="D115" s="15">
        <f>IF($A115="","",IFERROR(SUMIF(tblMotor[A_Norm],$A115,tblMotor[DesiKgOran]),0))</f>
        <v/>
      </c>
      <c r="E115" s="15">
        <f>IF($A115="","",IFERROR(SUMIF(tblMotor[A_Norm],$A115,tblMotor[Tasarruf]),0))</f>
        <v/>
      </c>
      <c r="F115" s="15">
        <f>IF($A115="","",IFERROR(SUMIF(tblMotor[A_Norm],$A115,tblMotor[IadeOran]),0))</f>
        <v/>
      </c>
      <c r="G115" s="15">
        <f>IF($A115="","",IFERROR(SUMIF(tblMotor[A_Norm],$A115,tblMotor[BirimKargo]),0))</f>
        <v/>
      </c>
      <c r="H115" s="15">
        <f>IF(OR($A115="",$B115&lt;&gt;"tutar_farki"),"",IF($D115&gt;kdo_esikDesiOran,"KDO-001",IF($F115&gt;kdo_esikIade,"KDO-002",IF($E115&gt;kdo_esikTasarruf,"KDO-004",IF($C115&gt;kdo_esikFark,"KDO-005","TANIMSIZ")))))</f>
        <v/>
      </c>
    </row>
    <row r="116">
      <c r="A116" s="22">
        <f>IF('ESLESTIRME'!$A116="","",'ESLESTIRME'!$A116)</f>
        <v/>
      </c>
      <c r="B116" s="15">
        <f>IF($A116="","",IFERROR(INDEX(tblEslesme[Kova],MATCH($A116,tblEslesme[A_Norm],0)),""))</f>
        <v/>
      </c>
      <c r="C116" s="15">
        <f>IF($A116="","",IFERROR(INDEX(tblEslesme[AbsFark],MATCH($A116,tblEslesme[A_Norm],0)),0))</f>
        <v/>
      </c>
      <c r="D116" s="15">
        <f>IF($A116="","",IFERROR(SUMIF(tblMotor[A_Norm],$A116,tblMotor[DesiKgOran]),0))</f>
        <v/>
      </c>
      <c r="E116" s="15">
        <f>IF($A116="","",IFERROR(SUMIF(tblMotor[A_Norm],$A116,tblMotor[Tasarruf]),0))</f>
        <v/>
      </c>
      <c r="F116" s="15">
        <f>IF($A116="","",IFERROR(SUMIF(tblMotor[A_Norm],$A116,tblMotor[IadeOran]),0))</f>
        <v/>
      </c>
      <c r="G116" s="15">
        <f>IF($A116="","",IFERROR(SUMIF(tblMotor[A_Norm],$A116,tblMotor[BirimKargo]),0))</f>
        <v/>
      </c>
      <c r="H116" s="15">
        <f>IF(OR($A116="",$B116&lt;&gt;"tutar_farki"),"",IF($D116&gt;kdo_esikDesiOran,"KDO-001",IF($F116&gt;kdo_esikIade,"KDO-002",IF($E116&gt;kdo_esikTasarruf,"KDO-004",IF($C116&gt;kdo_esikFark,"KDO-005","TANIMSIZ")))))</f>
        <v/>
      </c>
    </row>
    <row r="117">
      <c r="A117" s="22">
        <f>IF('ESLESTIRME'!$A117="","",'ESLESTIRME'!$A117)</f>
        <v/>
      </c>
      <c r="B117" s="15">
        <f>IF($A117="","",IFERROR(INDEX(tblEslesme[Kova],MATCH($A117,tblEslesme[A_Norm],0)),""))</f>
        <v/>
      </c>
      <c r="C117" s="15">
        <f>IF($A117="","",IFERROR(INDEX(tblEslesme[AbsFark],MATCH($A117,tblEslesme[A_Norm],0)),0))</f>
        <v/>
      </c>
      <c r="D117" s="15">
        <f>IF($A117="","",IFERROR(SUMIF(tblMotor[A_Norm],$A117,tblMotor[DesiKgOran]),0))</f>
        <v/>
      </c>
      <c r="E117" s="15">
        <f>IF($A117="","",IFERROR(SUMIF(tblMotor[A_Norm],$A117,tblMotor[Tasarruf]),0))</f>
        <v/>
      </c>
      <c r="F117" s="15">
        <f>IF($A117="","",IFERROR(SUMIF(tblMotor[A_Norm],$A117,tblMotor[IadeOran]),0))</f>
        <v/>
      </c>
      <c r="G117" s="15">
        <f>IF($A117="","",IFERROR(SUMIF(tblMotor[A_Norm],$A117,tblMotor[BirimKargo]),0))</f>
        <v/>
      </c>
      <c r="H117" s="15">
        <f>IF(OR($A117="",$B117&lt;&gt;"tutar_farki"),"",IF($D117&gt;kdo_esikDesiOran,"KDO-001",IF($F117&gt;kdo_esikIade,"KDO-002",IF($E117&gt;kdo_esikTasarruf,"KDO-004",IF($C117&gt;kdo_esikFark,"KDO-005","TANIMSIZ")))))</f>
        <v/>
      </c>
    </row>
    <row r="118">
      <c r="A118" s="22">
        <f>IF('ESLESTIRME'!$A118="","",'ESLESTIRME'!$A118)</f>
        <v/>
      </c>
      <c r="B118" s="15">
        <f>IF($A118="","",IFERROR(INDEX(tblEslesme[Kova],MATCH($A118,tblEslesme[A_Norm],0)),""))</f>
        <v/>
      </c>
      <c r="C118" s="15">
        <f>IF($A118="","",IFERROR(INDEX(tblEslesme[AbsFark],MATCH($A118,tblEslesme[A_Norm],0)),0))</f>
        <v/>
      </c>
      <c r="D118" s="15">
        <f>IF($A118="","",IFERROR(SUMIF(tblMotor[A_Norm],$A118,tblMotor[DesiKgOran]),0))</f>
        <v/>
      </c>
      <c r="E118" s="15">
        <f>IF($A118="","",IFERROR(SUMIF(tblMotor[A_Norm],$A118,tblMotor[Tasarruf]),0))</f>
        <v/>
      </c>
      <c r="F118" s="15">
        <f>IF($A118="","",IFERROR(SUMIF(tblMotor[A_Norm],$A118,tblMotor[IadeOran]),0))</f>
        <v/>
      </c>
      <c r="G118" s="15">
        <f>IF($A118="","",IFERROR(SUMIF(tblMotor[A_Norm],$A118,tblMotor[BirimKargo]),0))</f>
        <v/>
      </c>
      <c r="H118" s="15">
        <f>IF(OR($A118="",$B118&lt;&gt;"tutar_farki"),"",IF($D118&gt;kdo_esikDesiOran,"KDO-001",IF($F118&gt;kdo_esikIade,"KDO-002",IF($E118&gt;kdo_esikTasarruf,"KDO-004",IF($C118&gt;kdo_esikFark,"KDO-005","TANIMSIZ")))))</f>
        <v/>
      </c>
    </row>
    <row r="119">
      <c r="A119" s="22">
        <f>IF('ESLESTIRME'!$A119="","",'ESLESTIRME'!$A119)</f>
        <v/>
      </c>
      <c r="B119" s="15">
        <f>IF($A119="","",IFERROR(INDEX(tblEslesme[Kova],MATCH($A119,tblEslesme[A_Norm],0)),""))</f>
        <v/>
      </c>
      <c r="C119" s="15">
        <f>IF($A119="","",IFERROR(INDEX(tblEslesme[AbsFark],MATCH($A119,tblEslesme[A_Norm],0)),0))</f>
        <v/>
      </c>
      <c r="D119" s="15">
        <f>IF($A119="","",IFERROR(SUMIF(tblMotor[A_Norm],$A119,tblMotor[DesiKgOran]),0))</f>
        <v/>
      </c>
      <c r="E119" s="15">
        <f>IF($A119="","",IFERROR(SUMIF(tblMotor[A_Norm],$A119,tblMotor[Tasarruf]),0))</f>
        <v/>
      </c>
      <c r="F119" s="15">
        <f>IF($A119="","",IFERROR(SUMIF(tblMotor[A_Norm],$A119,tblMotor[IadeOran]),0))</f>
        <v/>
      </c>
      <c r="G119" s="15">
        <f>IF($A119="","",IFERROR(SUMIF(tblMotor[A_Norm],$A119,tblMotor[BirimKargo]),0))</f>
        <v/>
      </c>
      <c r="H119" s="15">
        <f>IF(OR($A119="",$B119&lt;&gt;"tutar_farki"),"",IF($D119&gt;kdo_esikDesiOran,"KDO-001",IF($F119&gt;kdo_esikIade,"KDO-002",IF($E119&gt;kdo_esikTasarruf,"KDO-004",IF($C119&gt;kdo_esikFark,"KDO-005","TANIMSIZ")))))</f>
        <v/>
      </c>
    </row>
    <row r="120">
      <c r="A120" s="22">
        <f>IF('ESLESTIRME'!$A120="","",'ESLESTIRME'!$A120)</f>
        <v/>
      </c>
      <c r="B120" s="15">
        <f>IF($A120="","",IFERROR(INDEX(tblEslesme[Kova],MATCH($A120,tblEslesme[A_Norm],0)),""))</f>
        <v/>
      </c>
      <c r="C120" s="15">
        <f>IF($A120="","",IFERROR(INDEX(tblEslesme[AbsFark],MATCH($A120,tblEslesme[A_Norm],0)),0))</f>
        <v/>
      </c>
      <c r="D120" s="15">
        <f>IF($A120="","",IFERROR(SUMIF(tblMotor[A_Norm],$A120,tblMotor[DesiKgOran]),0))</f>
        <v/>
      </c>
      <c r="E120" s="15">
        <f>IF($A120="","",IFERROR(SUMIF(tblMotor[A_Norm],$A120,tblMotor[Tasarruf]),0))</f>
        <v/>
      </c>
      <c r="F120" s="15">
        <f>IF($A120="","",IFERROR(SUMIF(tblMotor[A_Norm],$A120,tblMotor[IadeOran]),0))</f>
        <v/>
      </c>
      <c r="G120" s="15">
        <f>IF($A120="","",IFERROR(SUMIF(tblMotor[A_Norm],$A120,tblMotor[BirimKargo]),0))</f>
        <v/>
      </c>
      <c r="H120" s="15">
        <f>IF(OR($A120="",$B120&lt;&gt;"tutar_farki"),"",IF($D120&gt;kdo_esikDesiOran,"KDO-001",IF($F120&gt;kdo_esikIade,"KDO-002",IF($E120&gt;kdo_esikTasarruf,"KDO-004",IF($C120&gt;kdo_esikFark,"KDO-005","TANIMSIZ")))))</f>
        <v/>
      </c>
    </row>
    <row r="121">
      <c r="A121" s="22">
        <f>IF('ESLESTIRME'!$A121="","",'ESLESTIRME'!$A121)</f>
        <v/>
      </c>
      <c r="B121" s="15">
        <f>IF($A121="","",IFERROR(INDEX(tblEslesme[Kova],MATCH($A121,tblEslesme[A_Norm],0)),""))</f>
        <v/>
      </c>
      <c r="C121" s="15">
        <f>IF($A121="","",IFERROR(INDEX(tblEslesme[AbsFark],MATCH($A121,tblEslesme[A_Norm],0)),0))</f>
        <v/>
      </c>
      <c r="D121" s="15">
        <f>IF($A121="","",IFERROR(SUMIF(tblMotor[A_Norm],$A121,tblMotor[DesiKgOran]),0))</f>
        <v/>
      </c>
      <c r="E121" s="15">
        <f>IF($A121="","",IFERROR(SUMIF(tblMotor[A_Norm],$A121,tblMotor[Tasarruf]),0))</f>
        <v/>
      </c>
      <c r="F121" s="15">
        <f>IF($A121="","",IFERROR(SUMIF(tblMotor[A_Norm],$A121,tblMotor[IadeOran]),0))</f>
        <v/>
      </c>
      <c r="G121" s="15">
        <f>IF($A121="","",IFERROR(SUMIF(tblMotor[A_Norm],$A121,tblMotor[BirimKargo]),0))</f>
        <v/>
      </c>
      <c r="H121" s="15">
        <f>IF(OR($A121="",$B121&lt;&gt;"tutar_farki"),"",IF($D121&gt;kdo_esikDesiOran,"KDO-001",IF($F121&gt;kdo_esikIade,"KDO-002",IF($E121&gt;kdo_esikTasarruf,"KDO-004",IF($C121&gt;kdo_esikFark,"KDO-005","TANIMSIZ")))))</f>
        <v/>
      </c>
    </row>
    <row r="122">
      <c r="A122" s="22">
        <f>IF('ESLESTIRME'!$A122="","",'ESLESTIRME'!$A122)</f>
        <v/>
      </c>
      <c r="B122" s="15">
        <f>IF($A122="","",IFERROR(INDEX(tblEslesme[Kova],MATCH($A122,tblEslesme[A_Norm],0)),""))</f>
        <v/>
      </c>
      <c r="C122" s="15">
        <f>IF($A122="","",IFERROR(INDEX(tblEslesme[AbsFark],MATCH($A122,tblEslesme[A_Norm],0)),0))</f>
        <v/>
      </c>
      <c r="D122" s="15">
        <f>IF($A122="","",IFERROR(SUMIF(tblMotor[A_Norm],$A122,tblMotor[DesiKgOran]),0))</f>
        <v/>
      </c>
      <c r="E122" s="15">
        <f>IF($A122="","",IFERROR(SUMIF(tblMotor[A_Norm],$A122,tblMotor[Tasarruf]),0))</f>
        <v/>
      </c>
      <c r="F122" s="15">
        <f>IF($A122="","",IFERROR(SUMIF(tblMotor[A_Norm],$A122,tblMotor[IadeOran]),0))</f>
        <v/>
      </c>
      <c r="G122" s="15">
        <f>IF($A122="","",IFERROR(SUMIF(tblMotor[A_Norm],$A122,tblMotor[BirimKargo]),0))</f>
        <v/>
      </c>
      <c r="H122" s="15">
        <f>IF(OR($A122="",$B122&lt;&gt;"tutar_farki"),"",IF($D122&gt;kdo_esikDesiOran,"KDO-001",IF($F122&gt;kdo_esikIade,"KDO-002",IF($E122&gt;kdo_esikTasarruf,"KDO-004",IF($C122&gt;kdo_esikFark,"KDO-005","TANIMSIZ")))))</f>
        <v/>
      </c>
    </row>
    <row r="123">
      <c r="A123" s="22">
        <f>IF('ESLESTIRME'!$A123="","",'ESLESTIRME'!$A123)</f>
        <v/>
      </c>
      <c r="B123" s="15">
        <f>IF($A123="","",IFERROR(INDEX(tblEslesme[Kova],MATCH($A123,tblEslesme[A_Norm],0)),""))</f>
        <v/>
      </c>
      <c r="C123" s="15">
        <f>IF($A123="","",IFERROR(INDEX(tblEslesme[AbsFark],MATCH($A123,tblEslesme[A_Norm],0)),0))</f>
        <v/>
      </c>
      <c r="D123" s="15">
        <f>IF($A123="","",IFERROR(SUMIF(tblMotor[A_Norm],$A123,tblMotor[DesiKgOran]),0))</f>
        <v/>
      </c>
      <c r="E123" s="15">
        <f>IF($A123="","",IFERROR(SUMIF(tblMotor[A_Norm],$A123,tblMotor[Tasarruf]),0))</f>
        <v/>
      </c>
      <c r="F123" s="15">
        <f>IF($A123="","",IFERROR(SUMIF(tblMotor[A_Norm],$A123,tblMotor[IadeOran]),0))</f>
        <v/>
      </c>
      <c r="G123" s="15">
        <f>IF($A123="","",IFERROR(SUMIF(tblMotor[A_Norm],$A123,tblMotor[BirimKargo]),0))</f>
        <v/>
      </c>
      <c r="H123" s="15">
        <f>IF(OR($A123="",$B123&lt;&gt;"tutar_farki"),"",IF($D123&gt;kdo_esikDesiOran,"KDO-001",IF($F123&gt;kdo_esikIade,"KDO-002",IF($E123&gt;kdo_esikTasarruf,"KDO-004",IF($C123&gt;kdo_esikFark,"KDO-005","TANIMSIZ")))))</f>
        <v/>
      </c>
    </row>
    <row r="124">
      <c r="A124" s="22">
        <f>IF('ESLESTIRME'!$A124="","",'ESLESTIRME'!$A124)</f>
        <v/>
      </c>
      <c r="B124" s="15">
        <f>IF($A124="","",IFERROR(INDEX(tblEslesme[Kova],MATCH($A124,tblEslesme[A_Norm],0)),""))</f>
        <v/>
      </c>
      <c r="C124" s="15">
        <f>IF($A124="","",IFERROR(INDEX(tblEslesme[AbsFark],MATCH($A124,tblEslesme[A_Norm],0)),0))</f>
        <v/>
      </c>
      <c r="D124" s="15">
        <f>IF($A124="","",IFERROR(SUMIF(tblMotor[A_Norm],$A124,tblMotor[DesiKgOran]),0))</f>
        <v/>
      </c>
      <c r="E124" s="15">
        <f>IF($A124="","",IFERROR(SUMIF(tblMotor[A_Norm],$A124,tblMotor[Tasarruf]),0))</f>
        <v/>
      </c>
      <c r="F124" s="15">
        <f>IF($A124="","",IFERROR(SUMIF(tblMotor[A_Norm],$A124,tblMotor[IadeOran]),0))</f>
        <v/>
      </c>
      <c r="G124" s="15">
        <f>IF($A124="","",IFERROR(SUMIF(tblMotor[A_Norm],$A124,tblMotor[BirimKargo]),0))</f>
        <v/>
      </c>
      <c r="H124" s="15">
        <f>IF(OR($A124="",$B124&lt;&gt;"tutar_farki"),"",IF($D124&gt;kdo_esikDesiOran,"KDO-001",IF($F124&gt;kdo_esikIade,"KDO-002",IF($E124&gt;kdo_esikTasarruf,"KDO-004",IF($C124&gt;kdo_esikFark,"KDO-005","TANIMSIZ")))))</f>
        <v/>
      </c>
    </row>
    <row r="125">
      <c r="A125" s="22">
        <f>IF('ESLESTIRME'!$A125="","",'ESLESTIRME'!$A125)</f>
        <v/>
      </c>
      <c r="B125" s="15">
        <f>IF($A125="","",IFERROR(INDEX(tblEslesme[Kova],MATCH($A125,tblEslesme[A_Norm],0)),""))</f>
        <v/>
      </c>
      <c r="C125" s="15">
        <f>IF($A125="","",IFERROR(INDEX(tblEslesme[AbsFark],MATCH($A125,tblEslesme[A_Norm],0)),0))</f>
        <v/>
      </c>
      <c r="D125" s="15">
        <f>IF($A125="","",IFERROR(SUMIF(tblMotor[A_Norm],$A125,tblMotor[DesiKgOran]),0))</f>
        <v/>
      </c>
      <c r="E125" s="15">
        <f>IF($A125="","",IFERROR(SUMIF(tblMotor[A_Norm],$A125,tblMotor[Tasarruf]),0))</f>
        <v/>
      </c>
      <c r="F125" s="15">
        <f>IF($A125="","",IFERROR(SUMIF(tblMotor[A_Norm],$A125,tblMotor[IadeOran]),0))</f>
        <v/>
      </c>
      <c r="G125" s="15">
        <f>IF($A125="","",IFERROR(SUMIF(tblMotor[A_Norm],$A125,tblMotor[BirimKargo]),0))</f>
        <v/>
      </c>
      <c r="H125" s="15">
        <f>IF(OR($A125="",$B125&lt;&gt;"tutar_farki"),"",IF($D125&gt;kdo_esikDesiOran,"KDO-001",IF($F125&gt;kdo_esikIade,"KDO-002",IF($E125&gt;kdo_esikTasarruf,"KDO-004",IF($C125&gt;kdo_esikFark,"KDO-005","TANIMSIZ")))))</f>
        <v/>
      </c>
    </row>
    <row r="126">
      <c r="A126" s="22">
        <f>IF('ESLESTIRME'!$A126="","",'ESLESTIRME'!$A126)</f>
        <v/>
      </c>
      <c r="B126" s="15">
        <f>IF($A126="","",IFERROR(INDEX(tblEslesme[Kova],MATCH($A126,tblEslesme[A_Norm],0)),""))</f>
        <v/>
      </c>
      <c r="C126" s="15">
        <f>IF($A126="","",IFERROR(INDEX(tblEslesme[AbsFark],MATCH($A126,tblEslesme[A_Norm],0)),0))</f>
        <v/>
      </c>
      <c r="D126" s="15">
        <f>IF($A126="","",IFERROR(SUMIF(tblMotor[A_Norm],$A126,tblMotor[DesiKgOran]),0))</f>
        <v/>
      </c>
      <c r="E126" s="15">
        <f>IF($A126="","",IFERROR(SUMIF(tblMotor[A_Norm],$A126,tblMotor[Tasarruf]),0))</f>
        <v/>
      </c>
      <c r="F126" s="15">
        <f>IF($A126="","",IFERROR(SUMIF(tblMotor[A_Norm],$A126,tblMotor[IadeOran]),0))</f>
        <v/>
      </c>
      <c r="G126" s="15">
        <f>IF($A126="","",IFERROR(SUMIF(tblMotor[A_Norm],$A126,tblMotor[BirimKargo]),0))</f>
        <v/>
      </c>
      <c r="H126" s="15">
        <f>IF(OR($A126="",$B126&lt;&gt;"tutar_farki"),"",IF($D126&gt;kdo_esikDesiOran,"KDO-001",IF($F126&gt;kdo_esikIade,"KDO-002",IF($E126&gt;kdo_esikTasarruf,"KDO-004",IF($C126&gt;kdo_esikFark,"KDO-005","TANIMSIZ")))))</f>
        <v/>
      </c>
    </row>
    <row r="127">
      <c r="A127" s="22">
        <f>IF('ESLESTIRME'!$A127="","",'ESLESTIRME'!$A127)</f>
        <v/>
      </c>
      <c r="B127" s="15">
        <f>IF($A127="","",IFERROR(INDEX(tblEslesme[Kova],MATCH($A127,tblEslesme[A_Norm],0)),""))</f>
        <v/>
      </c>
      <c r="C127" s="15">
        <f>IF($A127="","",IFERROR(INDEX(tblEslesme[AbsFark],MATCH($A127,tblEslesme[A_Norm],0)),0))</f>
        <v/>
      </c>
      <c r="D127" s="15">
        <f>IF($A127="","",IFERROR(SUMIF(tblMotor[A_Norm],$A127,tblMotor[DesiKgOran]),0))</f>
        <v/>
      </c>
      <c r="E127" s="15">
        <f>IF($A127="","",IFERROR(SUMIF(tblMotor[A_Norm],$A127,tblMotor[Tasarruf]),0))</f>
        <v/>
      </c>
      <c r="F127" s="15">
        <f>IF($A127="","",IFERROR(SUMIF(tblMotor[A_Norm],$A127,tblMotor[IadeOran]),0))</f>
        <v/>
      </c>
      <c r="G127" s="15">
        <f>IF($A127="","",IFERROR(SUMIF(tblMotor[A_Norm],$A127,tblMotor[BirimKargo]),0))</f>
        <v/>
      </c>
      <c r="H127" s="15">
        <f>IF(OR($A127="",$B127&lt;&gt;"tutar_farki"),"",IF($D127&gt;kdo_esikDesiOran,"KDO-001",IF($F127&gt;kdo_esikIade,"KDO-002",IF($E127&gt;kdo_esikTasarruf,"KDO-004",IF($C127&gt;kdo_esikFark,"KDO-005","TANIMSIZ")))))</f>
        <v/>
      </c>
    </row>
    <row r="128">
      <c r="A128" s="22">
        <f>IF('ESLESTIRME'!$A128="","",'ESLESTIRME'!$A128)</f>
        <v/>
      </c>
      <c r="B128" s="15">
        <f>IF($A128="","",IFERROR(INDEX(tblEslesme[Kova],MATCH($A128,tblEslesme[A_Norm],0)),""))</f>
        <v/>
      </c>
      <c r="C128" s="15">
        <f>IF($A128="","",IFERROR(INDEX(tblEslesme[AbsFark],MATCH($A128,tblEslesme[A_Norm],0)),0))</f>
        <v/>
      </c>
      <c r="D128" s="15">
        <f>IF($A128="","",IFERROR(SUMIF(tblMotor[A_Norm],$A128,tblMotor[DesiKgOran]),0))</f>
        <v/>
      </c>
      <c r="E128" s="15">
        <f>IF($A128="","",IFERROR(SUMIF(tblMotor[A_Norm],$A128,tblMotor[Tasarruf]),0))</f>
        <v/>
      </c>
      <c r="F128" s="15">
        <f>IF($A128="","",IFERROR(SUMIF(tblMotor[A_Norm],$A128,tblMotor[IadeOran]),0))</f>
        <v/>
      </c>
      <c r="G128" s="15">
        <f>IF($A128="","",IFERROR(SUMIF(tblMotor[A_Norm],$A128,tblMotor[BirimKargo]),0))</f>
        <v/>
      </c>
      <c r="H128" s="15">
        <f>IF(OR($A128="",$B128&lt;&gt;"tutar_farki"),"",IF($D128&gt;kdo_esikDesiOran,"KDO-001",IF($F128&gt;kdo_esikIade,"KDO-002",IF($E128&gt;kdo_esikTasarruf,"KDO-004",IF($C128&gt;kdo_esikFark,"KDO-005","TANIMSIZ")))))</f>
        <v/>
      </c>
    </row>
    <row r="129">
      <c r="A129" s="22">
        <f>IF('ESLESTIRME'!$A129="","",'ESLESTIRME'!$A129)</f>
        <v/>
      </c>
      <c r="B129" s="15">
        <f>IF($A129="","",IFERROR(INDEX(tblEslesme[Kova],MATCH($A129,tblEslesme[A_Norm],0)),""))</f>
        <v/>
      </c>
      <c r="C129" s="15">
        <f>IF($A129="","",IFERROR(INDEX(tblEslesme[AbsFark],MATCH($A129,tblEslesme[A_Norm],0)),0))</f>
        <v/>
      </c>
      <c r="D129" s="15">
        <f>IF($A129="","",IFERROR(SUMIF(tblMotor[A_Norm],$A129,tblMotor[DesiKgOran]),0))</f>
        <v/>
      </c>
      <c r="E129" s="15">
        <f>IF($A129="","",IFERROR(SUMIF(tblMotor[A_Norm],$A129,tblMotor[Tasarruf]),0))</f>
        <v/>
      </c>
      <c r="F129" s="15">
        <f>IF($A129="","",IFERROR(SUMIF(tblMotor[A_Norm],$A129,tblMotor[IadeOran]),0))</f>
        <v/>
      </c>
      <c r="G129" s="15">
        <f>IF($A129="","",IFERROR(SUMIF(tblMotor[A_Norm],$A129,tblMotor[BirimKargo]),0))</f>
        <v/>
      </c>
      <c r="H129" s="15">
        <f>IF(OR($A129="",$B129&lt;&gt;"tutar_farki"),"",IF($D129&gt;kdo_esikDesiOran,"KDO-001",IF($F129&gt;kdo_esikIade,"KDO-002",IF($E129&gt;kdo_esikTasarruf,"KDO-004",IF($C129&gt;kdo_esikFark,"KDO-005","TANIMSIZ")))))</f>
        <v/>
      </c>
    </row>
    <row r="130">
      <c r="A130" s="22">
        <f>IF('ESLESTIRME'!$A130="","",'ESLESTIRME'!$A130)</f>
        <v/>
      </c>
      <c r="B130" s="15">
        <f>IF($A130="","",IFERROR(INDEX(tblEslesme[Kova],MATCH($A130,tblEslesme[A_Norm],0)),""))</f>
        <v/>
      </c>
      <c r="C130" s="15">
        <f>IF($A130="","",IFERROR(INDEX(tblEslesme[AbsFark],MATCH($A130,tblEslesme[A_Norm],0)),0))</f>
        <v/>
      </c>
      <c r="D130" s="15">
        <f>IF($A130="","",IFERROR(SUMIF(tblMotor[A_Norm],$A130,tblMotor[DesiKgOran]),0))</f>
        <v/>
      </c>
      <c r="E130" s="15">
        <f>IF($A130="","",IFERROR(SUMIF(tblMotor[A_Norm],$A130,tblMotor[Tasarruf]),0))</f>
        <v/>
      </c>
      <c r="F130" s="15">
        <f>IF($A130="","",IFERROR(SUMIF(tblMotor[A_Norm],$A130,tblMotor[IadeOran]),0))</f>
        <v/>
      </c>
      <c r="G130" s="15">
        <f>IF($A130="","",IFERROR(SUMIF(tblMotor[A_Norm],$A130,tblMotor[BirimKargo]),0))</f>
        <v/>
      </c>
      <c r="H130" s="15">
        <f>IF(OR($A130="",$B130&lt;&gt;"tutar_farki"),"",IF($D130&gt;kdo_esikDesiOran,"KDO-001",IF($F130&gt;kdo_esikIade,"KDO-002",IF($E130&gt;kdo_esikTasarruf,"KDO-004",IF($C130&gt;kdo_esikFark,"KDO-005","TANIMSIZ")))))</f>
        <v/>
      </c>
    </row>
    <row r="131">
      <c r="A131" s="22">
        <f>IF('ESLESTIRME'!$A131="","",'ESLESTIRME'!$A131)</f>
        <v/>
      </c>
      <c r="B131" s="15">
        <f>IF($A131="","",IFERROR(INDEX(tblEslesme[Kova],MATCH($A131,tblEslesme[A_Norm],0)),""))</f>
        <v/>
      </c>
      <c r="C131" s="15">
        <f>IF($A131="","",IFERROR(INDEX(tblEslesme[AbsFark],MATCH($A131,tblEslesme[A_Norm],0)),0))</f>
        <v/>
      </c>
      <c r="D131" s="15">
        <f>IF($A131="","",IFERROR(SUMIF(tblMotor[A_Norm],$A131,tblMotor[DesiKgOran]),0))</f>
        <v/>
      </c>
      <c r="E131" s="15">
        <f>IF($A131="","",IFERROR(SUMIF(tblMotor[A_Norm],$A131,tblMotor[Tasarruf]),0))</f>
        <v/>
      </c>
      <c r="F131" s="15">
        <f>IF($A131="","",IFERROR(SUMIF(tblMotor[A_Norm],$A131,tblMotor[IadeOran]),0))</f>
        <v/>
      </c>
      <c r="G131" s="15">
        <f>IF($A131="","",IFERROR(SUMIF(tblMotor[A_Norm],$A131,tblMotor[BirimKargo]),0))</f>
        <v/>
      </c>
      <c r="H131" s="15">
        <f>IF(OR($A131="",$B131&lt;&gt;"tutar_farki"),"",IF($D131&gt;kdo_esikDesiOran,"KDO-001",IF($F131&gt;kdo_esikIade,"KDO-002",IF($E131&gt;kdo_esikTasarruf,"KDO-004",IF($C131&gt;kdo_esikFark,"KDO-005","TANIMSIZ")))))</f>
        <v/>
      </c>
    </row>
    <row r="132">
      <c r="A132" s="22">
        <f>IF('ESLESTIRME'!$A132="","",'ESLESTIRME'!$A132)</f>
        <v/>
      </c>
      <c r="B132" s="15">
        <f>IF($A132="","",IFERROR(INDEX(tblEslesme[Kova],MATCH($A132,tblEslesme[A_Norm],0)),""))</f>
        <v/>
      </c>
      <c r="C132" s="15">
        <f>IF($A132="","",IFERROR(INDEX(tblEslesme[AbsFark],MATCH($A132,tblEslesme[A_Norm],0)),0))</f>
        <v/>
      </c>
      <c r="D132" s="15">
        <f>IF($A132="","",IFERROR(SUMIF(tblMotor[A_Norm],$A132,tblMotor[DesiKgOran]),0))</f>
        <v/>
      </c>
      <c r="E132" s="15">
        <f>IF($A132="","",IFERROR(SUMIF(tblMotor[A_Norm],$A132,tblMotor[Tasarruf]),0))</f>
        <v/>
      </c>
      <c r="F132" s="15">
        <f>IF($A132="","",IFERROR(SUMIF(tblMotor[A_Norm],$A132,tblMotor[IadeOran]),0))</f>
        <v/>
      </c>
      <c r="G132" s="15">
        <f>IF($A132="","",IFERROR(SUMIF(tblMotor[A_Norm],$A132,tblMotor[BirimKargo]),0))</f>
        <v/>
      </c>
      <c r="H132" s="15">
        <f>IF(OR($A132="",$B132&lt;&gt;"tutar_farki"),"",IF($D132&gt;kdo_esikDesiOran,"KDO-001",IF($F132&gt;kdo_esikIade,"KDO-002",IF($E132&gt;kdo_esikTasarruf,"KDO-004",IF($C132&gt;kdo_esikFark,"KDO-005","TANIMSIZ")))))</f>
        <v/>
      </c>
    </row>
    <row r="133">
      <c r="A133" s="22">
        <f>IF('ESLESTIRME'!$A133="","",'ESLESTIRME'!$A133)</f>
        <v/>
      </c>
      <c r="B133" s="15">
        <f>IF($A133="","",IFERROR(INDEX(tblEslesme[Kova],MATCH($A133,tblEslesme[A_Norm],0)),""))</f>
        <v/>
      </c>
      <c r="C133" s="15">
        <f>IF($A133="","",IFERROR(INDEX(tblEslesme[AbsFark],MATCH($A133,tblEslesme[A_Norm],0)),0))</f>
        <v/>
      </c>
      <c r="D133" s="15">
        <f>IF($A133="","",IFERROR(SUMIF(tblMotor[A_Norm],$A133,tblMotor[DesiKgOran]),0))</f>
        <v/>
      </c>
      <c r="E133" s="15">
        <f>IF($A133="","",IFERROR(SUMIF(tblMotor[A_Norm],$A133,tblMotor[Tasarruf]),0))</f>
        <v/>
      </c>
      <c r="F133" s="15">
        <f>IF($A133="","",IFERROR(SUMIF(tblMotor[A_Norm],$A133,tblMotor[IadeOran]),0))</f>
        <v/>
      </c>
      <c r="G133" s="15">
        <f>IF($A133="","",IFERROR(SUMIF(tblMotor[A_Norm],$A133,tblMotor[BirimKargo]),0))</f>
        <v/>
      </c>
      <c r="H133" s="15">
        <f>IF(OR($A133="",$B133&lt;&gt;"tutar_farki"),"",IF($D133&gt;kdo_esikDesiOran,"KDO-001",IF($F133&gt;kdo_esikIade,"KDO-002",IF($E133&gt;kdo_esikTasarruf,"KDO-004",IF($C133&gt;kdo_esikFark,"KDO-005","TANIMSIZ")))))</f>
        <v/>
      </c>
    </row>
    <row r="134">
      <c r="A134" s="22">
        <f>IF('ESLESTIRME'!$A134="","",'ESLESTIRME'!$A134)</f>
        <v/>
      </c>
      <c r="B134" s="15">
        <f>IF($A134="","",IFERROR(INDEX(tblEslesme[Kova],MATCH($A134,tblEslesme[A_Norm],0)),""))</f>
        <v/>
      </c>
      <c r="C134" s="15">
        <f>IF($A134="","",IFERROR(INDEX(tblEslesme[AbsFark],MATCH($A134,tblEslesme[A_Norm],0)),0))</f>
        <v/>
      </c>
      <c r="D134" s="15">
        <f>IF($A134="","",IFERROR(SUMIF(tblMotor[A_Norm],$A134,tblMotor[DesiKgOran]),0))</f>
        <v/>
      </c>
      <c r="E134" s="15">
        <f>IF($A134="","",IFERROR(SUMIF(tblMotor[A_Norm],$A134,tblMotor[Tasarruf]),0))</f>
        <v/>
      </c>
      <c r="F134" s="15">
        <f>IF($A134="","",IFERROR(SUMIF(tblMotor[A_Norm],$A134,tblMotor[IadeOran]),0))</f>
        <v/>
      </c>
      <c r="G134" s="15">
        <f>IF($A134="","",IFERROR(SUMIF(tblMotor[A_Norm],$A134,tblMotor[BirimKargo]),0))</f>
        <v/>
      </c>
      <c r="H134" s="15">
        <f>IF(OR($A134="",$B134&lt;&gt;"tutar_farki"),"",IF($D134&gt;kdo_esikDesiOran,"KDO-001",IF($F134&gt;kdo_esikIade,"KDO-002",IF($E134&gt;kdo_esikTasarruf,"KDO-004",IF($C134&gt;kdo_esikFark,"KDO-005","TANIMSIZ")))))</f>
        <v/>
      </c>
    </row>
    <row r="135">
      <c r="A135" s="22">
        <f>IF('ESLESTIRME'!$A135="","",'ESLESTIRME'!$A135)</f>
        <v/>
      </c>
      <c r="B135" s="15">
        <f>IF($A135="","",IFERROR(INDEX(tblEslesme[Kova],MATCH($A135,tblEslesme[A_Norm],0)),""))</f>
        <v/>
      </c>
      <c r="C135" s="15">
        <f>IF($A135="","",IFERROR(INDEX(tblEslesme[AbsFark],MATCH($A135,tblEslesme[A_Norm],0)),0))</f>
        <v/>
      </c>
      <c r="D135" s="15">
        <f>IF($A135="","",IFERROR(SUMIF(tblMotor[A_Norm],$A135,tblMotor[DesiKgOran]),0))</f>
        <v/>
      </c>
      <c r="E135" s="15">
        <f>IF($A135="","",IFERROR(SUMIF(tblMotor[A_Norm],$A135,tblMotor[Tasarruf]),0))</f>
        <v/>
      </c>
      <c r="F135" s="15">
        <f>IF($A135="","",IFERROR(SUMIF(tblMotor[A_Norm],$A135,tblMotor[IadeOran]),0))</f>
        <v/>
      </c>
      <c r="G135" s="15">
        <f>IF($A135="","",IFERROR(SUMIF(tblMotor[A_Norm],$A135,tblMotor[BirimKargo]),0))</f>
        <v/>
      </c>
      <c r="H135" s="15">
        <f>IF(OR($A135="",$B135&lt;&gt;"tutar_farki"),"",IF($D135&gt;kdo_esikDesiOran,"KDO-001",IF($F135&gt;kdo_esikIade,"KDO-002",IF($E135&gt;kdo_esikTasarruf,"KDO-004",IF($C135&gt;kdo_esikFark,"KDO-005","TANIMSIZ")))))</f>
        <v/>
      </c>
    </row>
    <row r="136">
      <c r="A136" s="22">
        <f>IF('ESLESTIRME'!$A136="","",'ESLESTIRME'!$A136)</f>
        <v/>
      </c>
      <c r="B136" s="15">
        <f>IF($A136="","",IFERROR(INDEX(tblEslesme[Kova],MATCH($A136,tblEslesme[A_Norm],0)),""))</f>
        <v/>
      </c>
      <c r="C136" s="15">
        <f>IF($A136="","",IFERROR(INDEX(tblEslesme[AbsFark],MATCH($A136,tblEslesme[A_Norm],0)),0))</f>
        <v/>
      </c>
      <c r="D136" s="15">
        <f>IF($A136="","",IFERROR(SUMIF(tblMotor[A_Norm],$A136,tblMotor[DesiKgOran]),0))</f>
        <v/>
      </c>
      <c r="E136" s="15">
        <f>IF($A136="","",IFERROR(SUMIF(tblMotor[A_Norm],$A136,tblMotor[Tasarruf]),0))</f>
        <v/>
      </c>
      <c r="F136" s="15">
        <f>IF($A136="","",IFERROR(SUMIF(tblMotor[A_Norm],$A136,tblMotor[IadeOran]),0))</f>
        <v/>
      </c>
      <c r="G136" s="15">
        <f>IF($A136="","",IFERROR(SUMIF(tblMotor[A_Norm],$A136,tblMotor[BirimKargo]),0))</f>
        <v/>
      </c>
      <c r="H136" s="15">
        <f>IF(OR($A136="",$B136&lt;&gt;"tutar_farki"),"",IF($D136&gt;kdo_esikDesiOran,"KDO-001",IF($F136&gt;kdo_esikIade,"KDO-002",IF($E136&gt;kdo_esikTasarruf,"KDO-004",IF($C136&gt;kdo_esikFark,"KDO-005","TANIMSIZ")))))</f>
        <v/>
      </c>
    </row>
    <row r="137">
      <c r="A137" s="22">
        <f>IF('ESLESTIRME'!$A137="","",'ESLESTIRME'!$A137)</f>
        <v/>
      </c>
      <c r="B137" s="15">
        <f>IF($A137="","",IFERROR(INDEX(tblEslesme[Kova],MATCH($A137,tblEslesme[A_Norm],0)),""))</f>
        <v/>
      </c>
      <c r="C137" s="15">
        <f>IF($A137="","",IFERROR(INDEX(tblEslesme[AbsFark],MATCH($A137,tblEslesme[A_Norm],0)),0))</f>
        <v/>
      </c>
      <c r="D137" s="15">
        <f>IF($A137="","",IFERROR(SUMIF(tblMotor[A_Norm],$A137,tblMotor[DesiKgOran]),0))</f>
        <v/>
      </c>
      <c r="E137" s="15">
        <f>IF($A137="","",IFERROR(SUMIF(tblMotor[A_Norm],$A137,tblMotor[Tasarruf]),0))</f>
        <v/>
      </c>
      <c r="F137" s="15">
        <f>IF($A137="","",IFERROR(SUMIF(tblMotor[A_Norm],$A137,tblMotor[IadeOran]),0))</f>
        <v/>
      </c>
      <c r="G137" s="15">
        <f>IF($A137="","",IFERROR(SUMIF(tblMotor[A_Norm],$A137,tblMotor[BirimKargo]),0))</f>
        <v/>
      </c>
      <c r="H137" s="15">
        <f>IF(OR($A137="",$B137&lt;&gt;"tutar_farki"),"",IF($D137&gt;kdo_esikDesiOran,"KDO-001",IF($F137&gt;kdo_esikIade,"KDO-002",IF($E137&gt;kdo_esikTasarruf,"KDO-004",IF($C137&gt;kdo_esikFark,"KDO-005","TANIMSIZ")))))</f>
        <v/>
      </c>
    </row>
    <row r="138">
      <c r="A138" s="22">
        <f>IF('ESLESTIRME'!$A138="","",'ESLESTIRME'!$A138)</f>
        <v/>
      </c>
      <c r="B138" s="15">
        <f>IF($A138="","",IFERROR(INDEX(tblEslesme[Kova],MATCH($A138,tblEslesme[A_Norm],0)),""))</f>
        <v/>
      </c>
      <c r="C138" s="15">
        <f>IF($A138="","",IFERROR(INDEX(tblEslesme[AbsFark],MATCH($A138,tblEslesme[A_Norm],0)),0))</f>
        <v/>
      </c>
      <c r="D138" s="15">
        <f>IF($A138="","",IFERROR(SUMIF(tblMotor[A_Norm],$A138,tblMotor[DesiKgOran]),0))</f>
        <v/>
      </c>
      <c r="E138" s="15">
        <f>IF($A138="","",IFERROR(SUMIF(tblMotor[A_Norm],$A138,tblMotor[Tasarruf]),0))</f>
        <v/>
      </c>
      <c r="F138" s="15">
        <f>IF($A138="","",IFERROR(SUMIF(tblMotor[A_Norm],$A138,tblMotor[IadeOran]),0))</f>
        <v/>
      </c>
      <c r="G138" s="15">
        <f>IF($A138="","",IFERROR(SUMIF(tblMotor[A_Norm],$A138,tblMotor[BirimKargo]),0))</f>
        <v/>
      </c>
      <c r="H138" s="15">
        <f>IF(OR($A138="",$B138&lt;&gt;"tutar_farki"),"",IF($D138&gt;kdo_esikDesiOran,"KDO-001",IF($F138&gt;kdo_esikIade,"KDO-002",IF($E138&gt;kdo_esikTasarruf,"KDO-004",IF($C138&gt;kdo_esikFark,"KDO-005","TANIMSIZ")))))</f>
        <v/>
      </c>
    </row>
    <row r="139">
      <c r="A139" s="22">
        <f>IF('ESLESTIRME'!$A139="","",'ESLESTIRME'!$A139)</f>
        <v/>
      </c>
      <c r="B139" s="15">
        <f>IF($A139="","",IFERROR(INDEX(tblEslesme[Kova],MATCH($A139,tblEslesme[A_Norm],0)),""))</f>
        <v/>
      </c>
      <c r="C139" s="15">
        <f>IF($A139="","",IFERROR(INDEX(tblEslesme[AbsFark],MATCH($A139,tblEslesme[A_Norm],0)),0))</f>
        <v/>
      </c>
      <c r="D139" s="15">
        <f>IF($A139="","",IFERROR(SUMIF(tblMotor[A_Norm],$A139,tblMotor[DesiKgOran]),0))</f>
        <v/>
      </c>
      <c r="E139" s="15">
        <f>IF($A139="","",IFERROR(SUMIF(tblMotor[A_Norm],$A139,tblMotor[Tasarruf]),0))</f>
        <v/>
      </c>
      <c r="F139" s="15">
        <f>IF($A139="","",IFERROR(SUMIF(tblMotor[A_Norm],$A139,tblMotor[IadeOran]),0))</f>
        <v/>
      </c>
      <c r="G139" s="15">
        <f>IF($A139="","",IFERROR(SUMIF(tblMotor[A_Norm],$A139,tblMotor[BirimKargo]),0))</f>
        <v/>
      </c>
      <c r="H139" s="15">
        <f>IF(OR($A139="",$B139&lt;&gt;"tutar_farki"),"",IF($D139&gt;kdo_esikDesiOran,"KDO-001",IF($F139&gt;kdo_esikIade,"KDO-002",IF($E139&gt;kdo_esikTasarruf,"KDO-004",IF($C139&gt;kdo_esikFark,"KDO-005","TANIMSIZ")))))</f>
        <v/>
      </c>
    </row>
    <row r="140">
      <c r="A140" s="22">
        <f>IF('ESLESTIRME'!$A140="","",'ESLESTIRME'!$A140)</f>
        <v/>
      </c>
      <c r="B140" s="15">
        <f>IF($A140="","",IFERROR(INDEX(tblEslesme[Kova],MATCH($A140,tblEslesme[A_Norm],0)),""))</f>
        <v/>
      </c>
      <c r="C140" s="15">
        <f>IF($A140="","",IFERROR(INDEX(tblEslesme[AbsFark],MATCH($A140,tblEslesme[A_Norm],0)),0))</f>
        <v/>
      </c>
      <c r="D140" s="15">
        <f>IF($A140="","",IFERROR(SUMIF(tblMotor[A_Norm],$A140,tblMotor[DesiKgOran]),0))</f>
        <v/>
      </c>
      <c r="E140" s="15">
        <f>IF($A140="","",IFERROR(SUMIF(tblMotor[A_Norm],$A140,tblMotor[Tasarruf]),0))</f>
        <v/>
      </c>
      <c r="F140" s="15">
        <f>IF($A140="","",IFERROR(SUMIF(tblMotor[A_Norm],$A140,tblMotor[IadeOran]),0))</f>
        <v/>
      </c>
      <c r="G140" s="15">
        <f>IF($A140="","",IFERROR(SUMIF(tblMotor[A_Norm],$A140,tblMotor[BirimKargo]),0))</f>
        <v/>
      </c>
      <c r="H140" s="15">
        <f>IF(OR($A140="",$B140&lt;&gt;"tutar_farki"),"",IF($D140&gt;kdo_esikDesiOran,"KDO-001",IF($F140&gt;kdo_esikIade,"KDO-002",IF($E140&gt;kdo_esikTasarruf,"KDO-004",IF($C140&gt;kdo_esikFark,"KDO-005","TANIMSIZ")))))</f>
        <v/>
      </c>
    </row>
    <row r="141">
      <c r="A141" s="22">
        <f>IF('ESLESTIRME'!$A141="","",'ESLESTIRME'!$A141)</f>
        <v/>
      </c>
      <c r="B141" s="15">
        <f>IF($A141="","",IFERROR(INDEX(tblEslesme[Kova],MATCH($A141,tblEslesme[A_Norm],0)),""))</f>
        <v/>
      </c>
      <c r="C141" s="15">
        <f>IF($A141="","",IFERROR(INDEX(tblEslesme[AbsFark],MATCH($A141,tblEslesme[A_Norm],0)),0))</f>
        <v/>
      </c>
      <c r="D141" s="15">
        <f>IF($A141="","",IFERROR(SUMIF(tblMotor[A_Norm],$A141,tblMotor[DesiKgOran]),0))</f>
        <v/>
      </c>
      <c r="E141" s="15">
        <f>IF($A141="","",IFERROR(SUMIF(tblMotor[A_Norm],$A141,tblMotor[Tasarruf]),0))</f>
        <v/>
      </c>
      <c r="F141" s="15">
        <f>IF($A141="","",IFERROR(SUMIF(tblMotor[A_Norm],$A141,tblMotor[IadeOran]),0))</f>
        <v/>
      </c>
      <c r="G141" s="15">
        <f>IF($A141="","",IFERROR(SUMIF(tblMotor[A_Norm],$A141,tblMotor[BirimKargo]),0))</f>
        <v/>
      </c>
      <c r="H141" s="15">
        <f>IF(OR($A141="",$B141&lt;&gt;"tutar_farki"),"",IF($D141&gt;kdo_esikDesiOran,"KDO-001",IF($F141&gt;kdo_esikIade,"KDO-002",IF($E141&gt;kdo_esikTasarruf,"KDO-004",IF($C141&gt;kdo_esikFark,"KDO-005","TANIMSIZ")))))</f>
        <v/>
      </c>
    </row>
    <row r="142">
      <c r="A142" s="22">
        <f>IF('ESLESTIRME'!$A142="","",'ESLESTIRME'!$A142)</f>
        <v/>
      </c>
      <c r="B142" s="15">
        <f>IF($A142="","",IFERROR(INDEX(tblEslesme[Kova],MATCH($A142,tblEslesme[A_Norm],0)),""))</f>
        <v/>
      </c>
      <c r="C142" s="15">
        <f>IF($A142="","",IFERROR(INDEX(tblEslesme[AbsFark],MATCH($A142,tblEslesme[A_Norm],0)),0))</f>
        <v/>
      </c>
      <c r="D142" s="15">
        <f>IF($A142="","",IFERROR(SUMIF(tblMotor[A_Norm],$A142,tblMotor[DesiKgOran]),0))</f>
        <v/>
      </c>
      <c r="E142" s="15">
        <f>IF($A142="","",IFERROR(SUMIF(tblMotor[A_Norm],$A142,tblMotor[Tasarruf]),0))</f>
        <v/>
      </c>
      <c r="F142" s="15">
        <f>IF($A142="","",IFERROR(SUMIF(tblMotor[A_Norm],$A142,tblMotor[IadeOran]),0))</f>
        <v/>
      </c>
      <c r="G142" s="15">
        <f>IF($A142="","",IFERROR(SUMIF(tblMotor[A_Norm],$A142,tblMotor[BirimKargo]),0))</f>
        <v/>
      </c>
      <c r="H142" s="15">
        <f>IF(OR($A142="",$B142&lt;&gt;"tutar_farki"),"",IF($D142&gt;kdo_esikDesiOran,"KDO-001",IF($F142&gt;kdo_esikIade,"KDO-002",IF($E142&gt;kdo_esikTasarruf,"KDO-004",IF($C142&gt;kdo_esikFark,"KDO-005","TANIMSIZ")))))</f>
        <v/>
      </c>
    </row>
    <row r="143">
      <c r="A143" s="22">
        <f>IF('ESLESTIRME'!$A143="","",'ESLESTIRME'!$A143)</f>
        <v/>
      </c>
      <c r="B143" s="15">
        <f>IF($A143="","",IFERROR(INDEX(tblEslesme[Kova],MATCH($A143,tblEslesme[A_Norm],0)),""))</f>
        <v/>
      </c>
      <c r="C143" s="15">
        <f>IF($A143="","",IFERROR(INDEX(tblEslesme[AbsFark],MATCH($A143,tblEslesme[A_Norm],0)),0))</f>
        <v/>
      </c>
      <c r="D143" s="15">
        <f>IF($A143="","",IFERROR(SUMIF(tblMotor[A_Norm],$A143,tblMotor[DesiKgOran]),0))</f>
        <v/>
      </c>
      <c r="E143" s="15">
        <f>IF($A143="","",IFERROR(SUMIF(tblMotor[A_Norm],$A143,tblMotor[Tasarruf]),0))</f>
        <v/>
      </c>
      <c r="F143" s="15">
        <f>IF($A143="","",IFERROR(SUMIF(tblMotor[A_Norm],$A143,tblMotor[IadeOran]),0))</f>
        <v/>
      </c>
      <c r="G143" s="15">
        <f>IF($A143="","",IFERROR(SUMIF(tblMotor[A_Norm],$A143,tblMotor[BirimKargo]),0))</f>
        <v/>
      </c>
      <c r="H143" s="15">
        <f>IF(OR($A143="",$B143&lt;&gt;"tutar_farki"),"",IF($D143&gt;kdo_esikDesiOran,"KDO-001",IF($F143&gt;kdo_esikIade,"KDO-002",IF($E143&gt;kdo_esikTasarruf,"KDO-004",IF($C143&gt;kdo_esikFark,"KDO-005","TANIMSIZ")))))</f>
        <v/>
      </c>
    </row>
    <row r="144">
      <c r="A144" s="22">
        <f>IF('ESLESTIRME'!$A144="","",'ESLESTIRME'!$A144)</f>
        <v/>
      </c>
      <c r="B144" s="15">
        <f>IF($A144="","",IFERROR(INDEX(tblEslesme[Kova],MATCH($A144,tblEslesme[A_Norm],0)),""))</f>
        <v/>
      </c>
      <c r="C144" s="15">
        <f>IF($A144="","",IFERROR(INDEX(tblEslesme[AbsFark],MATCH($A144,tblEslesme[A_Norm],0)),0))</f>
        <v/>
      </c>
      <c r="D144" s="15">
        <f>IF($A144="","",IFERROR(SUMIF(tblMotor[A_Norm],$A144,tblMotor[DesiKgOran]),0))</f>
        <v/>
      </c>
      <c r="E144" s="15">
        <f>IF($A144="","",IFERROR(SUMIF(tblMotor[A_Norm],$A144,tblMotor[Tasarruf]),0))</f>
        <v/>
      </c>
      <c r="F144" s="15">
        <f>IF($A144="","",IFERROR(SUMIF(tblMotor[A_Norm],$A144,tblMotor[IadeOran]),0))</f>
        <v/>
      </c>
      <c r="G144" s="15">
        <f>IF($A144="","",IFERROR(SUMIF(tblMotor[A_Norm],$A144,tblMotor[BirimKargo]),0))</f>
        <v/>
      </c>
      <c r="H144" s="15">
        <f>IF(OR($A144="",$B144&lt;&gt;"tutar_farki"),"",IF($D144&gt;kdo_esikDesiOran,"KDO-001",IF($F144&gt;kdo_esikIade,"KDO-002",IF($E144&gt;kdo_esikTasarruf,"KDO-004",IF($C144&gt;kdo_esikFark,"KDO-005","TANIMSIZ")))))</f>
        <v/>
      </c>
    </row>
    <row r="145">
      <c r="A145" s="22">
        <f>IF('ESLESTIRME'!$A145="","",'ESLESTIRME'!$A145)</f>
        <v/>
      </c>
      <c r="B145" s="15">
        <f>IF($A145="","",IFERROR(INDEX(tblEslesme[Kova],MATCH($A145,tblEslesme[A_Norm],0)),""))</f>
        <v/>
      </c>
      <c r="C145" s="15">
        <f>IF($A145="","",IFERROR(INDEX(tblEslesme[AbsFark],MATCH($A145,tblEslesme[A_Norm],0)),0))</f>
        <v/>
      </c>
      <c r="D145" s="15">
        <f>IF($A145="","",IFERROR(SUMIF(tblMotor[A_Norm],$A145,tblMotor[DesiKgOran]),0))</f>
        <v/>
      </c>
      <c r="E145" s="15">
        <f>IF($A145="","",IFERROR(SUMIF(tblMotor[A_Norm],$A145,tblMotor[Tasarruf]),0))</f>
        <v/>
      </c>
      <c r="F145" s="15">
        <f>IF($A145="","",IFERROR(SUMIF(tblMotor[A_Norm],$A145,tblMotor[IadeOran]),0))</f>
        <v/>
      </c>
      <c r="G145" s="15">
        <f>IF($A145="","",IFERROR(SUMIF(tblMotor[A_Norm],$A145,tblMotor[BirimKargo]),0))</f>
        <v/>
      </c>
      <c r="H145" s="15">
        <f>IF(OR($A145="",$B145&lt;&gt;"tutar_farki"),"",IF($D145&gt;kdo_esikDesiOran,"KDO-001",IF($F145&gt;kdo_esikIade,"KDO-002",IF($E145&gt;kdo_esikTasarruf,"KDO-004",IF($C145&gt;kdo_esikFark,"KDO-005","TANIMSIZ")))))</f>
        <v/>
      </c>
    </row>
    <row r="146">
      <c r="A146" s="22">
        <f>IF('ESLESTIRME'!$A146="","",'ESLESTIRME'!$A146)</f>
        <v/>
      </c>
      <c r="B146" s="15">
        <f>IF($A146="","",IFERROR(INDEX(tblEslesme[Kova],MATCH($A146,tblEslesme[A_Norm],0)),""))</f>
        <v/>
      </c>
      <c r="C146" s="15">
        <f>IF($A146="","",IFERROR(INDEX(tblEslesme[AbsFark],MATCH($A146,tblEslesme[A_Norm],0)),0))</f>
        <v/>
      </c>
      <c r="D146" s="15">
        <f>IF($A146="","",IFERROR(SUMIF(tblMotor[A_Norm],$A146,tblMotor[DesiKgOran]),0))</f>
        <v/>
      </c>
      <c r="E146" s="15">
        <f>IF($A146="","",IFERROR(SUMIF(tblMotor[A_Norm],$A146,tblMotor[Tasarruf]),0))</f>
        <v/>
      </c>
      <c r="F146" s="15">
        <f>IF($A146="","",IFERROR(SUMIF(tblMotor[A_Norm],$A146,tblMotor[IadeOran]),0))</f>
        <v/>
      </c>
      <c r="G146" s="15">
        <f>IF($A146="","",IFERROR(SUMIF(tblMotor[A_Norm],$A146,tblMotor[BirimKargo]),0))</f>
        <v/>
      </c>
      <c r="H146" s="15">
        <f>IF(OR($A146="",$B146&lt;&gt;"tutar_farki"),"",IF($D146&gt;kdo_esikDesiOran,"KDO-001",IF($F146&gt;kdo_esikIade,"KDO-002",IF($E146&gt;kdo_esikTasarruf,"KDO-004",IF($C146&gt;kdo_esikFark,"KDO-005","TANIMSIZ")))))</f>
        <v/>
      </c>
    </row>
    <row r="147">
      <c r="A147" s="22">
        <f>IF('ESLESTIRME'!$A147="","",'ESLESTIRME'!$A147)</f>
        <v/>
      </c>
      <c r="B147" s="15">
        <f>IF($A147="","",IFERROR(INDEX(tblEslesme[Kova],MATCH($A147,tblEslesme[A_Norm],0)),""))</f>
        <v/>
      </c>
      <c r="C147" s="15">
        <f>IF($A147="","",IFERROR(INDEX(tblEslesme[AbsFark],MATCH($A147,tblEslesme[A_Norm],0)),0))</f>
        <v/>
      </c>
      <c r="D147" s="15">
        <f>IF($A147="","",IFERROR(SUMIF(tblMotor[A_Norm],$A147,tblMotor[DesiKgOran]),0))</f>
        <v/>
      </c>
      <c r="E147" s="15">
        <f>IF($A147="","",IFERROR(SUMIF(tblMotor[A_Norm],$A147,tblMotor[Tasarruf]),0))</f>
        <v/>
      </c>
      <c r="F147" s="15">
        <f>IF($A147="","",IFERROR(SUMIF(tblMotor[A_Norm],$A147,tblMotor[IadeOran]),0))</f>
        <v/>
      </c>
      <c r="G147" s="15">
        <f>IF($A147="","",IFERROR(SUMIF(tblMotor[A_Norm],$A147,tblMotor[BirimKargo]),0))</f>
        <v/>
      </c>
      <c r="H147" s="15">
        <f>IF(OR($A147="",$B147&lt;&gt;"tutar_farki"),"",IF($D147&gt;kdo_esikDesiOran,"KDO-001",IF($F147&gt;kdo_esikIade,"KDO-002",IF($E147&gt;kdo_esikTasarruf,"KDO-004",IF($C147&gt;kdo_esikFark,"KDO-005","TANIMSIZ")))))</f>
        <v/>
      </c>
    </row>
    <row r="148">
      <c r="A148" s="22">
        <f>IF('ESLESTIRME'!$A148="","",'ESLESTIRME'!$A148)</f>
        <v/>
      </c>
      <c r="B148" s="15">
        <f>IF($A148="","",IFERROR(INDEX(tblEslesme[Kova],MATCH($A148,tblEslesme[A_Norm],0)),""))</f>
        <v/>
      </c>
      <c r="C148" s="15">
        <f>IF($A148="","",IFERROR(INDEX(tblEslesme[AbsFark],MATCH($A148,tblEslesme[A_Norm],0)),0))</f>
        <v/>
      </c>
      <c r="D148" s="15">
        <f>IF($A148="","",IFERROR(SUMIF(tblMotor[A_Norm],$A148,tblMotor[DesiKgOran]),0))</f>
        <v/>
      </c>
      <c r="E148" s="15">
        <f>IF($A148="","",IFERROR(SUMIF(tblMotor[A_Norm],$A148,tblMotor[Tasarruf]),0))</f>
        <v/>
      </c>
      <c r="F148" s="15">
        <f>IF($A148="","",IFERROR(SUMIF(tblMotor[A_Norm],$A148,tblMotor[IadeOran]),0))</f>
        <v/>
      </c>
      <c r="G148" s="15">
        <f>IF($A148="","",IFERROR(SUMIF(tblMotor[A_Norm],$A148,tblMotor[BirimKargo]),0))</f>
        <v/>
      </c>
      <c r="H148" s="15">
        <f>IF(OR($A148="",$B148&lt;&gt;"tutar_farki"),"",IF($D148&gt;kdo_esikDesiOran,"KDO-001",IF($F148&gt;kdo_esikIade,"KDO-002",IF($E148&gt;kdo_esikTasarruf,"KDO-004",IF($C148&gt;kdo_esikFark,"KDO-005","TANIMSIZ")))))</f>
        <v/>
      </c>
    </row>
    <row r="149">
      <c r="A149" s="22">
        <f>IF('ESLESTIRME'!$A149="","",'ESLESTIRME'!$A149)</f>
        <v/>
      </c>
      <c r="B149" s="15">
        <f>IF($A149="","",IFERROR(INDEX(tblEslesme[Kova],MATCH($A149,tblEslesme[A_Norm],0)),""))</f>
        <v/>
      </c>
      <c r="C149" s="15">
        <f>IF($A149="","",IFERROR(INDEX(tblEslesme[AbsFark],MATCH($A149,tblEslesme[A_Norm],0)),0))</f>
        <v/>
      </c>
      <c r="D149" s="15">
        <f>IF($A149="","",IFERROR(SUMIF(tblMotor[A_Norm],$A149,tblMotor[DesiKgOran]),0))</f>
        <v/>
      </c>
      <c r="E149" s="15">
        <f>IF($A149="","",IFERROR(SUMIF(tblMotor[A_Norm],$A149,tblMotor[Tasarruf]),0))</f>
        <v/>
      </c>
      <c r="F149" s="15">
        <f>IF($A149="","",IFERROR(SUMIF(tblMotor[A_Norm],$A149,tblMotor[IadeOran]),0))</f>
        <v/>
      </c>
      <c r="G149" s="15">
        <f>IF($A149="","",IFERROR(SUMIF(tblMotor[A_Norm],$A149,tblMotor[BirimKargo]),0))</f>
        <v/>
      </c>
      <c r="H149" s="15">
        <f>IF(OR($A149="",$B149&lt;&gt;"tutar_farki"),"",IF($D149&gt;kdo_esikDesiOran,"KDO-001",IF($F149&gt;kdo_esikIade,"KDO-002",IF($E149&gt;kdo_esikTasarruf,"KDO-004",IF($C149&gt;kdo_esikFark,"KDO-005","TANIMSIZ")))))</f>
        <v/>
      </c>
    </row>
    <row r="150">
      <c r="A150" s="22">
        <f>IF('ESLESTIRME'!$A150="","",'ESLESTIRME'!$A150)</f>
        <v/>
      </c>
      <c r="B150" s="15">
        <f>IF($A150="","",IFERROR(INDEX(tblEslesme[Kova],MATCH($A150,tblEslesme[A_Norm],0)),""))</f>
        <v/>
      </c>
      <c r="C150" s="15">
        <f>IF($A150="","",IFERROR(INDEX(tblEslesme[AbsFark],MATCH($A150,tblEslesme[A_Norm],0)),0))</f>
        <v/>
      </c>
      <c r="D150" s="15">
        <f>IF($A150="","",IFERROR(SUMIF(tblMotor[A_Norm],$A150,tblMotor[DesiKgOran]),0))</f>
        <v/>
      </c>
      <c r="E150" s="15">
        <f>IF($A150="","",IFERROR(SUMIF(tblMotor[A_Norm],$A150,tblMotor[Tasarruf]),0))</f>
        <v/>
      </c>
      <c r="F150" s="15">
        <f>IF($A150="","",IFERROR(SUMIF(tblMotor[A_Norm],$A150,tblMotor[IadeOran]),0))</f>
        <v/>
      </c>
      <c r="G150" s="15">
        <f>IF($A150="","",IFERROR(SUMIF(tblMotor[A_Norm],$A150,tblMotor[BirimKargo]),0))</f>
        <v/>
      </c>
      <c r="H150" s="15">
        <f>IF(OR($A150="",$B150&lt;&gt;"tutar_farki"),"",IF($D150&gt;kdo_esikDesiOran,"KDO-001",IF($F150&gt;kdo_esikIade,"KDO-002",IF($E150&gt;kdo_esikTasarruf,"KDO-004",IF($C150&gt;kdo_esikFark,"KDO-005","TANIMSIZ")))))</f>
        <v/>
      </c>
    </row>
    <row r="151">
      <c r="A151" s="22">
        <f>IF('ESLESTIRME'!$A151="","",'ESLESTIRME'!$A151)</f>
        <v/>
      </c>
      <c r="B151" s="15">
        <f>IF($A151="","",IFERROR(INDEX(tblEslesme[Kova],MATCH($A151,tblEslesme[A_Norm],0)),""))</f>
        <v/>
      </c>
      <c r="C151" s="15">
        <f>IF($A151="","",IFERROR(INDEX(tblEslesme[AbsFark],MATCH($A151,tblEslesme[A_Norm],0)),0))</f>
        <v/>
      </c>
      <c r="D151" s="15">
        <f>IF($A151="","",IFERROR(SUMIF(tblMotor[A_Norm],$A151,tblMotor[DesiKgOran]),0))</f>
        <v/>
      </c>
      <c r="E151" s="15">
        <f>IF($A151="","",IFERROR(SUMIF(tblMotor[A_Norm],$A151,tblMotor[Tasarruf]),0))</f>
        <v/>
      </c>
      <c r="F151" s="15">
        <f>IF($A151="","",IFERROR(SUMIF(tblMotor[A_Norm],$A151,tblMotor[IadeOran]),0))</f>
        <v/>
      </c>
      <c r="G151" s="15">
        <f>IF($A151="","",IFERROR(SUMIF(tblMotor[A_Norm],$A151,tblMotor[BirimKargo]),0))</f>
        <v/>
      </c>
      <c r="H151" s="15">
        <f>IF(OR($A151="",$B151&lt;&gt;"tutar_farki"),"",IF($D151&gt;kdo_esikDesiOran,"KDO-001",IF($F151&gt;kdo_esikIade,"KDO-002",IF($E151&gt;kdo_esikTasarruf,"KDO-004",IF($C151&gt;kdo_esikFark,"KDO-005","TANIMSIZ")))))</f>
        <v/>
      </c>
    </row>
    <row r="152">
      <c r="A152" s="22">
        <f>IF('ESLESTIRME'!$A152="","",'ESLESTIRME'!$A152)</f>
        <v/>
      </c>
      <c r="B152" s="15">
        <f>IF($A152="","",IFERROR(INDEX(tblEslesme[Kova],MATCH($A152,tblEslesme[A_Norm],0)),""))</f>
        <v/>
      </c>
      <c r="C152" s="15">
        <f>IF($A152="","",IFERROR(INDEX(tblEslesme[AbsFark],MATCH($A152,tblEslesme[A_Norm],0)),0))</f>
        <v/>
      </c>
      <c r="D152" s="15">
        <f>IF($A152="","",IFERROR(SUMIF(tblMotor[A_Norm],$A152,tblMotor[DesiKgOran]),0))</f>
        <v/>
      </c>
      <c r="E152" s="15">
        <f>IF($A152="","",IFERROR(SUMIF(tblMotor[A_Norm],$A152,tblMotor[Tasarruf]),0))</f>
        <v/>
      </c>
      <c r="F152" s="15">
        <f>IF($A152="","",IFERROR(SUMIF(tblMotor[A_Norm],$A152,tblMotor[IadeOran]),0))</f>
        <v/>
      </c>
      <c r="G152" s="15">
        <f>IF($A152="","",IFERROR(SUMIF(tblMotor[A_Norm],$A152,tblMotor[BirimKargo]),0))</f>
        <v/>
      </c>
      <c r="H152" s="15">
        <f>IF(OR($A152="",$B152&lt;&gt;"tutar_farki"),"",IF($D152&gt;kdo_esikDesiOran,"KDO-001",IF($F152&gt;kdo_esikIade,"KDO-002",IF($E152&gt;kdo_esikTasarruf,"KDO-004",IF($C152&gt;kdo_esikFark,"KDO-005","TANIMSIZ")))))</f>
        <v/>
      </c>
    </row>
    <row r="153">
      <c r="A153" s="22">
        <f>IF('ESLESTIRME'!$A153="","",'ESLESTIRME'!$A153)</f>
        <v/>
      </c>
      <c r="B153" s="15">
        <f>IF($A153="","",IFERROR(INDEX(tblEslesme[Kova],MATCH($A153,tblEslesme[A_Norm],0)),""))</f>
        <v/>
      </c>
      <c r="C153" s="15">
        <f>IF($A153="","",IFERROR(INDEX(tblEslesme[AbsFark],MATCH($A153,tblEslesme[A_Norm],0)),0))</f>
        <v/>
      </c>
      <c r="D153" s="15">
        <f>IF($A153="","",IFERROR(SUMIF(tblMotor[A_Norm],$A153,tblMotor[DesiKgOran]),0))</f>
        <v/>
      </c>
      <c r="E153" s="15">
        <f>IF($A153="","",IFERROR(SUMIF(tblMotor[A_Norm],$A153,tblMotor[Tasarruf]),0))</f>
        <v/>
      </c>
      <c r="F153" s="15">
        <f>IF($A153="","",IFERROR(SUMIF(tblMotor[A_Norm],$A153,tblMotor[IadeOran]),0))</f>
        <v/>
      </c>
      <c r="G153" s="15">
        <f>IF($A153="","",IFERROR(SUMIF(tblMotor[A_Norm],$A153,tblMotor[BirimKargo]),0))</f>
        <v/>
      </c>
      <c r="H153" s="15">
        <f>IF(OR($A153="",$B153&lt;&gt;"tutar_farki"),"",IF($D153&gt;kdo_esikDesiOran,"KDO-001",IF($F153&gt;kdo_esikIade,"KDO-002",IF($E153&gt;kdo_esikTasarruf,"KDO-004",IF($C153&gt;kdo_esikFark,"KDO-005","TANIMSIZ")))))</f>
        <v/>
      </c>
    </row>
    <row r="154">
      <c r="A154" s="22">
        <f>IF('ESLESTIRME'!$A154="","",'ESLESTIRME'!$A154)</f>
        <v/>
      </c>
      <c r="B154" s="15">
        <f>IF($A154="","",IFERROR(INDEX(tblEslesme[Kova],MATCH($A154,tblEslesme[A_Norm],0)),""))</f>
        <v/>
      </c>
      <c r="C154" s="15">
        <f>IF($A154="","",IFERROR(INDEX(tblEslesme[AbsFark],MATCH($A154,tblEslesme[A_Norm],0)),0))</f>
        <v/>
      </c>
      <c r="D154" s="15">
        <f>IF($A154="","",IFERROR(SUMIF(tblMotor[A_Norm],$A154,tblMotor[DesiKgOran]),0))</f>
        <v/>
      </c>
      <c r="E154" s="15">
        <f>IF($A154="","",IFERROR(SUMIF(tblMotor[A_Norm],$A154,tblMotor[Tasarruf]),0))</f>
        <v/>
      </c>
      <c r="F154" s="15">
        <f>IF($A154="","",IFERROR(SUMIF(tblMotor[A_Norm],$A154,tblMotor[IadeOran]),0))</f>
        <v/>
      </c>
      <c r="G154" s="15">
        <f>IF($A154="","",IFERROR(SUMIF(tblMotor[A_Norm],$A154,tblMotor[BirimKargo]),0))</f>
        <v/>
      </c>
      <c r="H154" s="15">
        <f>IF(OR($A154="",$B154&lt;&gt;"tutar_farki"),"",IF($D154&gt;kdo_esikDesiOran,"KDO-001",IF($F154&gt;kdo_esikIade,"KDO-002",IF($E154&gt;kdo_esikTasarruf,"KDO-004",IF($C154&gt;kdo_esikFark,"KDO-005","TANIMSIZ")))))</f>
        <v/>
      </c>
    </row>
    <row r="155">
      <c r="A155" s="22">
        <f>IF('ESLESTIRME'!$A155="","",'ESLESTIRME'!$A155)</f>
        <v/>
      </c>
      <c r="B155" s="15">
        <f>IF($A155="","",IFERROR(INDEX(tblEslesme[Kova],MATCH($A155,tblEslesme[A_Norm],0)),""))</f>
        <v/>
      </c>
      <c r="C155" s="15">
        <f>IF($A155="","",IFERROR(INDEX(tblEslesme[AbsFark],MATCH($A155,tblEslesme[A_Norm],0)),0))</f>
        <v/>
      </c>
      <c r="D155" s="15">
        <f>IF($A155="","",IFERROR(SUMIF(tblMotor[A_Norm],$A155,tblMotor[DesiKgOran]),0))</f>
        <v/>
      </c>
      <c r="E155" s="15">
        <f>IF($A155="","",IFERROR(SUMIF(tblMotor[A_Norm],$A155,tblMotor[Tasarruf]),0))</f>
        <v/>
      </c>
      <c r="F155" s="15">
        <f>IF($A155="","",IFERROR(SUMIF(tblMotor[A_Norm],$A155,tblMotor[IadeOran]),0))</f>
        <v/>
      </c>
      <c r="G155" s="15">
        <f>IF($A155="","",IFERROR(SUMIF(tblMotor[A_Norm],$A155,tblMotor[BirimKargo]),0))</f>
        <v/>
      </c>
      <c r="H155" s="15">
        <f>IF(OR($A155="",$B155&lt;&gt;"tutar_farki"),"",IF($D155&gt;kdo_esikDesiOran,"KDO-001",IF($F155&gt;kdo_esikIade,"KDO-002",IF($E155&gt;kdo_esikTasarruf,"KDO-004",IF($C155&gt;kdo_esikFark,"KDO-005","TANIMSIZ")))))</f>
        <v/>
      </c>
    </row>
    <row r="156">
      <c r="A156" s="22">
        <f>IF('ESLESTIRME'!$A156="","",'ESLESTIRME'!$A156)</f>
        <v/>
      </c>
      <c r="B156" s="15">
        <f>IF($A156="","",IFERROR(INDEX(tblEslesme[Kova],MATCH($A156,tblEslesme[A_Norm],0)),""))</f>
        <v/>
      </c>
      <c r="C156" s="15">
        <f>IF($A156="","",IFERROR(INDEX(tblEslesme[AbsFark],MATCH($A156,tblEslesme[A_Norm],0)),0))</f>
        <v/>
      </c>
      <c r="D156" s="15">
        <f>IF($A156="","",IFERROR(SUMIF(tblMotor[A_Norm],$A156,tblMotor[DesiKgOran]),0))</f>
        <v/>
      </c>
      <c r="E156" s="15">
        <f>IF($A156="","",IFERROR(SUMIF(tblMotor[A_Norm],$A156,tblMotor[Tasarruf]),0))</f>
        <v/>
      </c>
      <c r="F156" s="15">
        <f>IF($A156="","",IFERROR(SUMIF(tblMotor[A_Norm],$A156,tblMotor[IadeOran]),0))</f>
        <v/>
      </c>
      <c r="G156" s="15">
        <f>IF($A156="","",IFERROR(SUMIF(tblMotor[A_Norm],$A156,tblMotor[BirimKargo]),0))</f>
        <v/>
      </c>
      <c r="H156" s="15">
        <f>IF(OR($A156="",$B156&lt;&gt;"tutar_farki"),"",IF($D156&gt;kdo_esikDesiOran,"KDO-001",IF($F156&gt;kdo_esikIade,"KDO-002",IF($E156&gt;kdo_esikTasarruf,"KDO-004",IF($C156&gt;kdo_esikFark,"KDO-005","TANIMSIZ")))))</f>
        <v/>
      </c>
    </row>
    <row r="157">
      <c r="A157" s="22">
        <f>IF('ESLESTIRME'!$A157="","",'ESLESTIRME'!$A157)</f>
        <v/>
      </c>
      <c r="B157" s="15">
        <f>IF($A157="","",IFERROR(INDEX(tblEslesme[Kova],MATCH($A157,tblEslesme[A_Norm],0)),""))</f>
        <v/>
      </c>
      <c r="C157" s="15">
        <f>IF($A157="","",IFERROR(INDEX(tblEslesme[AbsFark],MATCH($A157,tblEslesme[A_Norm],0)),0))</f>
        <v/>
      </c>
      <c r="D157" s="15">
        <f>IF($A157="","",IFERROR(SUMIF(tblMotor[A_Norm],$A157,tblMotor[DesiKgOran]),0))</f>
        <v/>
      </c>
      <c r="E157" s="15">
        <f>IF($A157="","",IFERROR(SUMIF(tblMotor[A_Norm],$A157,tblMotor[Tasarruf]),0))</f>
        <v/>
      </c>
      <c r="F157" s="15">
        <f>IF($A157="","",IFERROR(SUMIF(tblMotor[A_Norm],$A157,tblMotor[IadeOran]),0))</f>
        <v/>
      </c>
      <c r="G157" s="15">
        <f>IF($A157="","",IFERROR(SUMIF(tblMotor[A_Norm],$A157,tblMotor[BirimKargo]),0))</f>
        <v/>
      </c>
      <c r="H157" s="15">
        <f>IF(OR($A157="",$B157&lt;&gt;"tutar_farki"),"",IF($D157&gt;kdo_esikDesiOran,"KDO-001",IF($F157&gt;kdo_esikIade,"KDO-002",IF($E157&gt;kdo_esikTasarruf,"KDO-004",IF($C157&gt;kdo_esikFark,"KDO-005","TANIMSIZ")))))</f>
        <v/>
      </c>
    </row>
    <row r="158">
      <c r="A158" s="22">
        <f>IF('ESLESTIRME'!$A158="","",'ESLESTIRME'!$A158)</f>
        <v/>
      </c>
      <c r="B158" s="15">
        <f>IF($A158="","",IFERROR(INDEX(tblEslesme[Kova],MATCH($A158,tblEslesme[A_Norm],0)),""))</f>
        <v/>
      </c>
      <c r="C158" s="15">
        <f>IF($A158="","",IFERROR(INDEX(tblEslesme[AbsFark],MATCH($A158,tblEslesme[A_Norm],0)),0))</f>
        <v/>
      </c>
      <c r="D158" s="15">
        <f>IF($A158="","",IFERROR(SUMIF(tblMotor[A_Norm],$A158,tblMotor[DesiKgOran]),0))</f>
        <v/>
      </c>
      <c r="E158" s="15">
        <f>IF($A158="","",IFERROR(SUMIF(tblMotor[A_Norm],$A158,tblMotor[Tasarruf]),0))</f>
        <v/>
      </c>
      <c r="F158" s="15">
        <f>IF($A158="","",IFERROR(SUMIF(tblMotor[A_Norm],$A158,tblMotor[IadeOran]),0))</f>
        <v/>
      </c>
      <c r="G158" s="15">
        <f>IF($A158="","",IFERROR(SUMIF(tblMotor[A_Norm],$A158,tblMotor[BirimKargo]),0))</f>
        <v/>
      </c>
      <c r="H158" s="15">
        <f>IF(OR($A158="",$B158&lt;&gt;"tutar_farki"),"",IF($D158&gt;kdo_esikDesiOran,"KDO-001",IF($F158&gt;kdo_esikIade,"KDO-002",IF($E158&gt;kdo_esikTasarruf,"KDO-004",IF($C158&gt;kdo_esikFark,"KDO-005","TANIMSIZ")))))</f>
        <v/>
      </c>
    </row>
    <row r="159">
      <c r="A159" s="22">
        <f>IF('ESLESTIRME'!$A159="","",'ESLESTIRME'!$A159)</f>
        <v/>
      </c>
      <c r="B159" s="15">
        <f>IF($A159="","",IFERROR(INDEX(tblEslesme[Kova],MATCH($A159,tblEslesme[A_Norm],0)),""))</f>
        <v/>
      </c>
      <c r="C159" s="15">
        <f>IF($A159="","",IFERROR(INDEX(tblEslesme[AbsFark],MATCH($A159,tblEslesme[A_Norm],0)),0))</f>
        <v/>
      </c>
      <c r="D159" s="15">
        <f>IF($A159="","",IFERROR(SUMIF(tblMotor[A_Norm],$A159,tblMotor[DesiKgOran]),0))</f>
        <v/>
      </c>
      <c r="E159" s="15">
        <f>IF($A159="","",IFERROR(SUMIF(tblMotor[A_Norm],$A159,tblMotor[Tasarruf]),0))</f>
        <v/>
      </c>
      <c r="F159" s="15">
        <f>IF($A159="","",IFERROR(SUMIF(tblMotor[A_Norm],$A159,tblMotor[IadeOran]),0))</f>
        <v/>
      </c>
      <c r="G159" s="15">
        <f>IF($A159="","",IFERROR(SUMIF(tblMotor[A_Norm],$A159,tblMotor[BirimKargo]),0))</f>
        <v/>
      </c>
      <c r="H159" s="15">
        <f>IF(OR($A159="",$B159&lt;&gt;"tutar_farki"),"",IF($D159&gt;kdo_esikDesiOran,"KDO-001",IF($F159&gt;kdo_esikIade,"KDO-002",IF($E159&gt;kdo_esikTasarruf,"KDO-004",IF($C159&gt;kdo_esikFark,"KDO-005","TANIMSIZ")))))</f>
        <v/>
      </c>
    </row>
    <row r="160">
      <c r="A160" s="22">
        <f>IF('ESLESTIRME'!$A160="","",'ESLESTIRME'!$A160)</f>
        <v/>
      </c>
      <c r="B160" s="15">
        <f>IF($A160="","",IFERROR(INDEX(tblEslesme[Kova],MATCH($A160,tblEslesme[A_Norm],0)),""))</f>
        <v/>
      </c>
      <c r="C160" s="15">
        <f>IF($A160="","",IFERROR(INDEX(tblEslesme[AbsFark],MATCH($A160,tblEslesme[A_Norm],0)),0))</f>
        <v/>
      </c>
      <c r="D160" s="15">
        <f>IF($A160="","",IFERROR(SUMIF(tblMotor[A_Norm],$A160,tblMotor[DesiKgOran]),0))</f>
        <v/>
      </c>
      <c r="E160" s="15">
        <f>IF($A160="","",IFERROR(SUMIF(tblMotor[A_Norm],$A160,tblMotor[Tasarruf]),0))</f>
        <v/>
      </c>
      <c r="F160" s="15">
        <f>IF($A160="","",IFERROR(SUMIF(tblMotor[A_Norm],$A160,tblMotor[IadeOran]),0))</f>
        <v/>
      </c>
      <c r="G160" s="15">
        <f>IF($A160="","",IFERROR(SUMIF(tblMotor[A_Norm],$A160,tblMotor[BirimKargo]),0))</f>
        <v/>
      </c>
      <c r="H160" s="15">
        <f>IF(OR($A160="",$B160&lt;&gt;"tutar_farki"),"",IF($D160&gt;kdo_esikDesiOran,"KDO-001",IF($F160&gt;kdo_esikIade,"KDO-002",IF($E160&gt;kdo_esikTasarruf,"KDO-004",IF($C160&gt;kdo_esikFark,"KDO-005","TANIMSIZ")))))</f>
        <v/>
      </c>
    </row>
    <row r="161">
      <c r="A161" s="22">
        <f>IF('ESLESTIRME'!$A161="","",'ESLESTIRME'!$A161)</f>
        <v/>
      </c>
      <c r="B161" s="15">
        <f>IF($A161="","",IFERROR(INDEX(tblEslesme[Kova],MATCH($A161,tblEslesme[A_Norm],0)),""))</f>
        <v/>
      </c>
      <c r="C161" s="15">
        <f>IF($A161="","",IFERROR(INDEX(tblEslesme[AbsFark],MATCH($A161,tblEslesme[A_Norm],0)),0))</f>
        <v/>
      </c>
      <c r="D161" s="15">
        <f>IF($A161="","",IFERROR(SUMIF(tblMotor[A_Norm],$A161,tblMotor[DesiKgOran]),0))</f>
        <v/>
      </c>
      <c r="E161" s="15">
        <f>IF($A161="","",IFERROR(SUMIF(tblMotor[A_Norm],$A161,tblMotor[Tasarruf]),0))</f>
        <v/>
      </c>
      <c r="F161" s="15">
        <f>IF($A161="","",IFERROR(SUMIF(tblMotor[A_Norm],$A161,tblMotor[IadeOran]),0))</f>
        <v/>
      </c>
      <c r="G161" s="15">
        <f>IF($A161="","",IFERROR(SUMIF(tblMotor[A_Norm],$A161,tblMotor[BirimKargo]),0))</f>
        <v/>
      </c>
      <c r="H161" s="15">
        <f>IF(OR($A161="",$B161&lt;&gt;"tutar_farki"),"",IF($D161&gt;kdo_esikDesiOran,"KDO-001",IF($F161&gt;kdo_esikIade,"KDO-002",IF($E161&gt;kdo_esikTasarruf,"KDO-004",IF($C161&gt;kdo_esikFark,"KDO-005","TANIMSIZ")))))</f>
        <v/>
      </c>
    </row>
    <row r="162">
      <c r="A162" s="22">
        <f>IF('ESLESTIRME'!$A162="","",'ESLESTIRME'!$A162)</f>
        <v/>
      </c>
      <c r="B162" s="15">
        <f>IF($A162="","",IFERROR(INDEX(tblEslesme[Kova],MATCH($A162,tblEslesme[A_Norm],0)),""))</f>
        <v/>
      </c>
      <c r="C162" s="15">
        <f>IF($A162="","",IFERROR(INDEX(tblEslesme[AbsFark],MATCH($A162,tblEslesme[A_Norm],0)),0))</f>
        <v/>
      </c>
      <c r="D162" s="15">
        <f>IF($A162="","",IFERROR(SUMIF(tblMotor[A_Norm],$A162,tblMotor[DesiKgOran]),0))</f>
        <v/>
      </c>
      <c r="E162" s="15">
        <f>IF($A162="","",IFERROR(SUMIF(tblMotor[A_Norm],$A162,tblMotor[Tasarruf]),0))</f>
        <v/>
      </c>
      <c r="F162" s="15">
        <f>IF($A162="","",IFERROR(SUMIF(tblMotor[A_Norm],$A162,tblMotor[IadeOran]),0))</f>
        <v/>
      </c>
      <c r="G162" s="15">
        <f>IF($A162="","",IFERROR(SUMIF(tblMotor[A_Norm],$A162,tblMotor[BirimKargo]),0))</f>
        <v/>
      </c>
      <c r="H162" s="15">
        <f>IF(OR($A162="",$B162&lt;&gt;"tutar_farki"),"",IF($D162&gt;kdo_esikDesiOran,"KDO-001",IF($F162&gt;kdo_esikIade,"KDO-002",IF($E162&gt;kdo_esikTasarruf,"KDO-004",IF($C162&gt;kdo_esikFark,"KDO-005","TANIMSIZ")))))</f>
        <v/>
      </c>
    </row>
    <row r="163">
      <c r="A163" s="22">
        <f>IF('ESLESTIRME'!$A163="","",'ESLESTIRME'!$A163)</f>
        <v/>
      </c>
      <c r="B163" s="15">
        <f>IF($A163="","",IFERROR(INDEX(tblEslesme[Kova],MATCH($A163,tblEslesme[A_Norm],0)),""))</f>
        <v/>
      </c>
      <c r="C163" s="15">
        <f>IF($A163="","",IFERROR(INDEX(tblEslesme[AbsFark],MATCH($A163,tblEslesme[A_Norm],0)),0))</f>
        <v/>
      </c>
      <c r="D163" s="15">
        <f>IF($A163="","",IFERROR(SUMIF(tblMotor[A_Norm],$A163,tblMotor[DesiKgOran]),0))</f>
        <v/>
      </c>
      <c r="E163" s="15">
        <f>IF($A163="","",IFERROR(SUMIF(tblMotor[A_Norm],$A163,tblMotor[Tasarruf]),0))</f>
        <v/>
      </c>
      <c r="F163" s="15">
        <f>IF($A163="","",IFERROR(SUMIF(tblMotor[A_Norm],$A163,tblMotor[IadeOran]),0))</f>
        <v/>
      </c>
      <c r="G163" s="15">
        <f>IF($A163="","",IFERROR(SUMIF(tblMotor[A_Norm],$A163,tblMotor[BirimKargo]),0))</f>
        <v/>
      </c>
      <c r="H163" s="15">
        <f>IF(OR($A163="",$B163&lt;&gt;"tutar_farki"),"",IF($D163&gt;kdo_esikDesiOran,"KDO-001",IF($F163&gt;kdo_esikIade,"KDO-002",IF($E163&gt;kdo_esikTasarruf,"KDO-004",IF($C163&gt;kdo_esikFark,"KDO-005","TANIMSIZ")))))</f>
        <v/>
      </c>
    </row>
    <row r="164">
      <c r="A164" s="22">
        <f>IF('ESLESTIRME'!$A164="","",'ESLESTIRME'!$A164)</f>
        <v/>
      </c>
      <c r="B164" s="15">
        <f>IF($A164="","",IFERROR(INDEX(tblEslesme[Kova],MATCH($A164,tblEslesme[A_Norm],0)),""))</f>
        <v/>
      </c>
      <c r="C164" s="15">
        <f>IF($A164="","",IFERROR(INDEX(tblEslesme[AbsFark],MATCH($A164,tblEslesme[A_Norm],0)),0))</f>
        <v/>
      </c>
      <c r="D164" s="15">
        <f>IF($A164="","",IFERROR(SUMIF(tblMotor[A_Norm],$A164,tblMotor[DesiKgOran]),0))</f>
        <v/>
      </c>
      <c r="E164" s="15">
        <f>IF($A164="","",IFERROR(SUMIF(tblMotor[A_Norm],$A164,tblMotor[Tasarruf]),0))</f>
        <v/>
      </c>
      <c r="F164" s="15">
        <f>IF($A164="","",IFERROR(SUMIF(tblMotor[A_Norm],$A164,tblMotor[IadeOran]),0))</f>
        <v/>
      </c>
      <c r="G164" s="15">
        <f>IF($A164="","",IFERROR(SUMIF(tblMotor[A_Norm],$A164,tblMotor[BirimKargo]),0))</f>
        <v/>
      </c>
      <c r="H164" s="15">
        <f>IF(OR($A164="",$B164&lt;&gt;"tutar_farki"),"",IF($D164&gt;kdo_esikDesiOran,"KDO-001",IF($F164&gt;kdo_esikIade,"KDO-002",IF($E164&gt;kdo_esikTasarruf,"KDO-004",IF($C164&gt;kdo_esikFark,"KDO-005","TANIMSIZ")))))</f>
        <v/>
      </c>
    </row>
    <row r="165">
      <c r="A165" s="22">
        <f>IF('ESLESTIRME'!$A165="","",'ESLESTIRME'!$A165)</f>
        <v/>
      </c>
      <c r="B165" s="15">
        <f>IF($A165="","",IFERROR(INDEX(tblEslesme[Kova],MATCH($A165,tblEslesme[A_Norm],0)),""))</f>
        <v/>
      </c>
      <c r="C165" s="15">
        <f>IF($A165="","",IFERROR(INDEX(tblEslesme[AbsFark],MATCH($A165,tblEslesme[A_Norm],0)),0))</f>
        <v/>
      </c>
      <c r="D165" s="15">
        <f>IF($A165="","",IFERROR(SUMIF(tblMotor[A_Norm],$A165,tblMotor[DesiKgOran]),0))</f>
        <v/>
      </c>
      <c r="E165" s="15">
        <f>IF($A165="","",IFERROR(SUMIF(tblMotor[A_Norm],$A165,tblMotor[Tasarruf]),0))</f>
        <v/>
      </c>
      <c r="F165" s="15">
        <f>IF($A165="","",IFERROR(SUMIF(tblMotor[A_Norm],$A165,tblMotor[IadeOran]),0))</f>
        <v/>
      </c>
      <c r="G165" s="15">
        <f>IF($A165="","",IFERROR(SUMIF(tblMotor[A_Norm],$A165,tblMotor[BirimKargo]),0))</f>
        <v/>
      </c>
      <c r="H165" s="15">
        <f>IF(OR($A165="",$B165&lt;&gt;"tutar_farki"),"",IF($D165&gt;kdo_esikDesiOran,"KDO-001",IF($F165&gt;kdo_esikIade,"KDO-002",IF($E165&gt;kdo_esikTasarruf,"KDO-004",IF($C165&gt;kdo_esikFark,"KDO-005","TANIMSIZ")))))</f>
        <v/>
      </c>
    </row>
    <row r="166">
      <c r="A166" s="22">
        <f>IF('ESLESTIRME'!$A166="","",'ESLESTIRME'!$A166)</f>
        <v/>
      </c>
      <c r="B166" s="15">
        <f>IF($A166="","",IFERROR(INDEX(tblEslesme[Kova],MATCH($A166,tblEslesme[A_Norm],0)),""))</f>
        <v/>
      </c>
      <c r="C166" s="15">
        <f>IF($A166="","",IFERROR(INDEX(tblEslesme[AbsFark],MATCH($A166,tblEslesme[A_Norm],0)),0))</f>
        <v/>
      </c>
      <c r="D166" s="15">
        <f>IF($A166="","",IFERROR(SUMIF(tblMotor[A_Norm],$A166,tblMotor[DesiKgOran]),0))</f>
        <v/>
      </c>
      <c r="E166" s="15">
        <f>IF($A166="","",IFERROR(SUMIF(tblMotor[A_Norm],$A166,tblMotor[Tasarruf]),0))</f>
        <v/>
      </c>
      <c r="F166" s="15">
        <f>IF($A166="","",IFERROR(SUMIF(tblMotor[A_Norm],$A166,tblMotor[IadeOran]),0))</f>
        <v/>
      </c>
      <c r="G166" s="15">
        <f>IF($A166="","",IFERROR(SUMIF(tblMotor[A_Norm],$A166,tblMotor[BirimKargo]),0))</f>
        <v/>
      </c>
      <c r="H166" s="15">
        <f>IF(OR($A166="",$B166&lt;&gt;"tutar_farki"),"",IF($D166&gt;kdo_esikDesiOran,"KDO-001",IF($F166&gt;kdo_esikIade,"KDO-002",IF($E166&gt;kdo_esikTasarruf,"KDO-004",IF($C166&gt;kdo_esikFark,"KDO-005","TANIMSIZ")))))</f>
        <v/>
      </c>
    </row>
    <row r="167">
      <c r="A167" s="22">
        <f>IF('ESLESTIRME'!$A167="","",'ESLESTIRME'!$A167)</f>
        <v/>
      </c>
      <c r="B167" s="15">
        <f>IF($A167="","",IFERROR(INDEX(tblEslesme[Kova],MATCH($A167,tblEslesme[A_Norm],0)),""))</f>
        <v/>
      </c>
      <c r="C167" s="15">
        <f>IF($A167="","",IFERROR(INDEX(tblEslesme[AbsFark],MATCH($A167,tblEslesme[A_Norm],0)),0))</f>
        <v/>
      </c>
      <c r="D167" s="15">
        <f>IF($A167="","",IFERROR(SUMIF(tblMotor[A_Norm],$A167,tblMotor[DesiKgOran]),0))</f>
        <v/>
      </c>
      <c r="E167" s="15">
        <f>IF($A167="","",IFERROR(SUMIF(tblMotor[A_Norm],$A167,tblMotor[Tasarruf]),0))</f>
        <v/>
      </c>
      <c r="F167" s="15">
        <f>IF($A167="","",IFERROR(SUMIF(tblMotor[A_Norm],$A167,tblMotor[IadeOran]),0))</f>
        <v/>
      </c>
      <c r="G167" s="15">
        <f>IF($A167="","",IFERROR(SUMIF(tblMotor[A_Norm],$A167,tblMotor[BirimKargo]),0))</f>
        <v/>
      </c>
      <c r="H167" s="15">
        <f>IF(OR($A167="",$B167&lt;&gt;"tutar_farki"),"",IF($D167&gt;kdo_esikDesiOran,"KDO-001",IF($F167&gt;kdo_esikIade,"KDO-002",IF($E167&gt;kdo_esikTasarruf,"KDO-004",IF($C167&gt;kdo_esikFark,"KDO-005","TANIMSIZ")))))</f>
        <v/>
      </c>
    </row>
    <row r="168">
      <c r="A168" s="22">
        <f>IF('ESLESTIRME'!$A168="","",'ESLESTIRME'!$A168)</f>
        <v/>
      </c>
      <c r="B168" s="15">
        <f>IF($A168="","",IFERROR(INDEX(tblEslesme[Kova],MATCH($A168,tblEslesme[A_Norm],0)),""))</f>
        <v/>
      </c>
      <c r="C168" s="15">
        <f>IF($A168="","",IFERROR(INDEX(tblEslesme[AbsFark],MATCH($A168,tblEslesme[A_Norm],0)),0))</f>
        <v/>
      </c>
      <c r="D168" s="15">
        <f>IF($A168="","",IFERROR(SUMIF(tblMotor[A_Norm],$A168,tblMotor[DesiKgOran]),0))</f>
        <v/>
      </c>
      <c r="E168" s="15">
        <f>IF($A168="","",IFERROR(SUMIF(tblMotor[A_Norm],$A168,tblMotor[Tasarruf]),0))</f>
        <v/>
      </c>
      <c r="F168" s="15">
        <f>IF($A168="","",IFERROR(SUMIF(tblMotor[A_Norm],$A168,tblMotor[IadeOran]),0))</f>
        <v/>
      </c>
      <c r="G168" s="15">
        <f>IF($A168="","",IFERROR(SUMIF(tblMotor[A_Norm],$A168,tblMotor[BirimKargo]),0))</f>
        <v/>
      </c>
      <c r="H168" s="15">
        <f>IF(OR($A168="",$B168&lt;&gt;"tutar_farki"),"",IF($D168&gt;kdo_esikDesiOran,"KDO-001",IF($F168&gt;kdo_esikIade,"KDO-002",IF($E168&gt;kdo_esikTasarruf,"KDO-004",IF($C168&gt;kdo_esikFark,"KDO-005","TANIMSIZ")))))</f>
        <v/>
      </c>
    </row>
    <row r="169">
      <c r="A169" s="22">
        <f>IF('ESLESTIRME'!$A169="","",'ESLESTIRME'!$A169)</f>
        <v/>
      </c>
      <c r="B169" s="15">
        <f>IF($A169="","",IFERROR(INDEX(tblEslesme[Kova],MATCH($A169,tblEslesme[A_Norm],0)),""))</f>
        <v/>
      </c>
      <c r="C169" s="15">
        <f>IF($A169="","",IFERROR(INDEX(tblEslesme[AbsFark],MATCH($A169,tblEslesme[A_Norm],0)),0))</f>
        <v/>
      </c>
      <c r="D169" s="15">
        <f>IF($A169="","",IFERROR(SUMIF(tblMotor[A_Norm],$A169,tblMotor[DesiKgOran]),0))</f>
        <v/>
      </c>
      <c r="E169" s="15">
        <f>IF($A169="","",IFERROR(SUMIF(tblMotor[A_Norm],$A169,tblMotor[Tasarruf]),0))</f>
        <v/>
      </c>
      <c r="F169" s="15">
        <f>IF($A169="","",IFERROR(SUMIF(tblMotor[A_Norm],$A169,tblMotor[IadeOran]),0))</f>
        <v/>
      </c>
      <c r="G169" s="15">
        <f>IF($A169="","",IFERROR(SUMIF(tblMotor[A_Norm],$A169,tblMotor[BirimKargo]),0))</f>
        <v/>
      </c>
      <c r="H169" s="15">
        <f>IF(OR($A169="",$B169&lt;&gt;"tutar_farki"),"",IF($D169&gt;kdo_esikDesiOran,"KDO-001",IF($F169&gt;kdo_esikIade,"KDO-002",IF($E169&gt;kdo_esikTasarruf,"KDO-004",IF($C169&gt;kdo_esikFark,"KDO-005","TANIMSIZ")))))</f>
        <v/>
      </c>
    </row>
    <row r="170">
      <c r="A170" s="22">
        <f>IF('ESLESTIRME'!$A170="","",'ESLESTIRME'!$A170)</f>
        <v/>
      </c>
      <c r="B170" s="15">
        <f>IF($A170="","",IFERROR(INDEX(tblEslesme[Kova],MATCH($A170,tblEslesme[A_Norm],0)),""))</f>
        <v/>
      </c>
      <c r="C170" s="15">
        <f>IF($A170="","",IFERROR(INDEX(tblEslesme[AbsFark],MATCH($A170,tblEslesme[A_Norm],0)),0))</f>
        <v/>
      </c>
      <c r="D170" s="15">
        <f>IF($A170="","",IFERROR(SUMIF(tblMotor[A_Norm],$A170,tblMotor[DesiKgOran]),0))</f>
        <v/>
      </c>
      <c r="E170" s="15">
        <f>IF($A170="","",IFERROR(SUMIF(tblMotor[A_Norm],$A170,tblMotor[Tasarruf]),0))</f>
        <v/>
      </c>
      <c r="F170" s="15">
        <f>IF($A170="","",IFERROR(SUMIF(tblMotor[A_Norm],$A170,tblMotor[IadeOran]),0))</f>
        <v/>
      </c>
      <c r="G170" s="15">
        <f>IF($A170="","",IFERROR(SUMIF(tblMotor[A_Norm],$A170,tblMotor[BirimKargo]),0))</f>
        <v/>
      </c>
      <c r="H170" s="15">
        <f>IF(OR($A170="",$B170&lt;&gt;"tutar_farki"),"",IF($D170&gt;kdo_esikDesiOran,"KDO-001",IF($F170&gt;kdo_esikIade,"KDO-002",IF($E170&gt;kdo_esikTasarruf,"KDO-004",IF($C170&gt;kdo_esikFark,"KDO-005","TANIMSIZ")))))</f>
        <v/>
      </c>
    </row>
    <row r="171">
      <c r="A171" s="22">
        <f>IF('ESLESTIRME'!$A171="","",'ESLESTIRME'!$A171)</f>
        <v/>
      </c>
      <c r="B171" s="15">
        <f>IF($A171="","",IFERROR(INDEX(tblEslesme[Kova],MATCH($A171,tblEslesme[A_Norm],0)),""))</f>
        <v/>
      </c>
      <c r="C171" s="15">
        <f>IF($A171="","",IFERROR(INDEX(tblEslesme[AbsFark],MATCH($A171,tblEslesme[A_Norm],0)),0))</f>
        <v/>
      </c>
      <c r="D171" s="15">
        <f>IF($A171="","",IFERROR(SUMIF(tblMotor[A_Norm],$A171,tblMotor[DesiKgOran]),0))</f>
        <v/>
      </c>
      <c r="E171" s="15">
        <f>IF($A171="","",IFERROR(SUMIF(tblMotor[A_Norm],$A171,tblMotor[Tasarruf]),0))</f>
        <v/>
      </c>
      <c r="F171" s="15">
        <f>IF($A171="","",IFERROR(SUMIF(tblMotor[A_Norm],$A171,tblMotor[IadeOran]),0))</f>
        <v/>
      </c>
      <c r="G171" s="15">
        <f>IF($A171="","",IFERROR(SUMIF(tblMotor[A_Norm],$A171,tblMotor[BirimKargo]),0))</f>
        <v/>
      </c>
      <c r="H171" s="15">
        <f>IF(OR($A171="",$B171&lt;&gt;"tutar_farki"),"",IF($D171&gt;kdo_esikDesiOran,"KDO-001",IF($F171&gt;kdo_esikIade,"KDO-002",IF($E171&gt;kdo_esikTasarruf,"KDO-004",IF($C171&gt;kdo_esikFark,"KDO-005","TANIMSIZ")))))</f>
        <v/>
      </c>
    </row>
    <row r="172">
      <c r="A172" s="22">
        <f>IF('ESLESTIRME'!$A172="","",'ESLESTIRME'!$A172)</f>
        <v/>
      </c>
      <c r="B172" s="15">
        <f>IF($A172="","",IFERROR(INDEX(tblEslesme[Kova],MATCH($A172,tblEslesme[A_Norm],0)),""))</f>
        <v/>
      </c>
      <c r="C172" s="15">
        <f>IF($A172="","",IFERROR(INDEX(tblEslesme[AbsFark],MATCH($A172,tblEslesme[A_Norm],0)),0))</f>
        <v/>
      </c>
      <c r="D172" s="15">
        <f>IF($A172="","",IFERROR(SUMIF(tblMotor[A_Norm],$A172,tblMotor[DesiKgOran]),0))</f>
        <v/>
      </c>
      <c r="E172" s="15">
        <f>IF($A172="","",IFERROR(SUMIF(tblMotor[A_Norm],$A172,tblMotor[Tasarruf]),0))</f>
        <v/>
      </c>
      <c r="F172" s="15">
        <f>IF($A172="","",IFERROR(SUMIF(tblMotor[A_Norm],$A172,tblMotor[IadeOran]),0))</f>
        <v/>
      </c>
      <c r="G172" s="15">
        <f>IF($A172="","",IFERROR(SUMIF(tblMotor[A_Norm],$A172,tblMotor[BirimKargo]),0))</f>
        <v/>
      </c>
      <c r="H172" s="15">
        <f>IF(OR($A172="",$B172&lt;&gt;"tutar_farki"),"",IF($D172&gt;kdo_esikDesiOran,"KDO-001",IF($F172&gt;kdo_esikIade,"KDO-002",IF($E172&gt;kdo_esikTasarruf,"KDO-004",IF($C172&gt;kdo_esikFark,"KDO-005","TANIMSIZ")))))</f>
        <v/>
      </c>
    </row>
    <row r="173">
      <c r="A173" s="22">
        <f>IF('ESLESTIRME'!$A173="","",'ESLESTIRME'!$A173)</f>
        <v/>
      </c>
      <c r="B173" s="15">
        <f>IF($A173="","",IFERROR(INDEX(tblEslesme[Kova],MATCH($A173,tblEslesme[A_Norm],0)),""))</f>
        <v/>
      </c>
      <c r="C173" s="15">
        <f>IF($A173="","",IFERROR(INDEX(tblEslesme[AbsFark],MATCH($A173,tblEslesme[A_Norm],0)),0))</f>
        <v/>
      </c>
      <c r="D173" s="15">
        <f>IF($A173="","",IFERROR(SUMIF(tblMotor[A_Norm],$A173,tblMotor[DesiKgOran]),0))</f>
        <v/>
      </c>
      <c r="E173" s="15">
        <f>IF($A173="","",IFERROR(SUMIF(tblMotor[A_Norm],$A173,tblMotor[Tasarruf]),0))</f>
        <v/>
      </c>
      <c r="F173" s="15">
        <f>IF($A173="","",IFERROR(SUMIF(tblMotor[A_Norm],$A173,tblMotor[IadeOran]),0))</f>
        <v/>
      </c>
      <c r="G173" s="15">
        <f>IF($A173="","",IFERROR(SUMIF(tblMotor[A_Norm],$A173,tblMotor[BirimKargo]),0))</f>
        <v/>
      </c>
      <c r="H173" s="15">
        <f>IF(OR($A173="",$B173&lt;&gt;"tutar_farki"),"",IF($D173&gt;kdo_esikDesiOran,"KDO-001",IF($F173&gt;kdo_esikIade,"KDO-002",IF($E173&gt;kdo_esikTasarruf,"KDO-004",IF($C173&gt;kdo_esikFark,"KDO-005","TANIMSIZ")))))</f>
        <v/>
      </c>
    </row>
    <row r="174">
      <c r="A174" s="22">
        <f>IF('ESLESTIRME'!$A174="","",'ESLESTIRME'!$A174)</f>
        <v/>
      </c>
      <c r="B174" s="15">
        <f>IF($A174="","",IFERROR(INDEX(tblEslesme[Kova],MATCH($A174,tblEslesme[A_Norm],0)),""))</f>
        <v/>
      </c>
      <c r="C174" s="15">
        <f>IF($A174="","",IFERROR(INDEX(tblEslesme[AbsFark],MATCH($A174,tblEslesme[A_Norm],0)),0))</f>
        <v/>
      </c>
      <c r="D174" s="15">
        <f>IF($A174="","",IFERROR(SUMIF(tblMotor[A_Norm],$A174,tblMotor[DesiKgOran]),0))</f>
        <v/>
      </c>
      <c r="E174" s="15">
        <f>IF($A174="","",IFERROR(SUMIF(tblMotor[A_Norm],$A174,tblMotor[Tasarruf]),0))</f>
        <v/>
      </c>
      <c r="F174" s="15">
        <f>IF($A174="","",IFERROR(SUMIF(tblMotor[A_Norm],$A174,tblMotor[IadeOran]),0))</f>
        <v/>
      </c>
      <c r="G174" s="15">
        <f>IF($A174="","",IFERROR(SUMIF(tblMotor[A_Norm],$A174,tblMotor[BirimKargo]),0))</f>
        <v/>
      </c>
      <c r="H174" s="15">
        <f>IF(OR($A174="",$B174&lt;&gt;"tutar_farki"),"",IF($D174&gt;kdo_esikDesiOran,"KDO-001",IF($F174&gt;kdo_esikIade,"KDO-002",IF($E174&gt;kdo_esikTasarruf,"KDO-004",IF($C174&gt;kdo_esikFark,"KDO-005","TANIMSIZ")))))</f>
        <v/>
      </c>
    </row>
    <row r="175">
      <c r="A175" s="22">
        <f>IF('ESLESTIRME'!$A175="","",'ESLESTIRME'!$A175)</f>
        <v/>
      </c>
      <c r="B175" s="15">
        <f>IF($A175="","",IFERROR(INDEX(tblEslesme[Kova],MATCH($A175,tblEslesme[A_Norm],0)),""))</f>
        <v/>
      </c>
      <c r="C175" s="15">
        <f>IF($A175="","",IFERROR(INDEX(tblEslesme[AbsFark],MATCH($A175,tblEslesme[A_Norm],0)),0))</f>
        <v/>
      </c>
      <c r="D175" s="15">
        <f>IF($A175="","",IFERROR(SUMIF(tblMotor[A_Norm],$A175,tblMotor[DesiKgOran]),0))</f>
        <v/>
      </c>
      <c r="E175" s="15">
        <f>IF($A175="","",IFERROR(SUMIF(tblMotor[A_Norm],$A175,tblMotor[Tasarruf]),0))</f>
        <v/>
      </c>
      <c r="F175" s="15">
        <f>IF($A175="","",IFERROR(SUMIF(tblMotor[A_Norm],$A175,tblMotor[IadeOran]),0))</f>
        <v/>
      </c>
      <c r="G175" s="15">
        <f>IF($A175="","",IFERROR(SUMIF(tblMotor[A_Norm],$A175,tblMotor[BirimKargo]),0))</f>
        <v/>
      </c>
      <c r="H175" s="15">
        <f>IF(OR($A175="",$B175&lt;&gt;"tutar_farki"),"",IF($D175&gt;kdo_esikDesiOran,"KDO-001",IF($F175&gt;kdo_esikIade,"KDO-002",IF($E175&gt;kdo_esikTasarruf,"KDO-004",IF($C175&gt;kdo_esikFark,"KDO-005","TANIMSIZ")))))</f>
        <v/>
      </c>
    </row>
    <row r="176">
      <c r="A176" s="22">
        <f>IF('ESLESTIRME'!$A176="","",'ESLESTIRME'!$A176)</f>
        <v/>
      </c>
      <c r="B176" s="15">
        <f>IF($A176="","",IFERROR(INDEX(tblEslesme[Kova],MATCH($A176,tblEslesme[A_Norm],0)),""))</f>
        <v/>
      </c>
      <c r="C176" s="15">
        <f>IF($A176="","",IFERROR(INDEX(tblEslesme[AbsFark],MATCH($A176,tblEslesme[A_Norm],0)),0))</f>
        <v/>
      </c>
      <c r="D176" s="15">
        <f>IF($A176="","",IFERROR(SUMIF(tblMotor[A_Norm],$A176,tblMotor[DesiKgOran]),0))</f>
        <v/>
      </c>
      <c r="E176" s="15">
        <f>IF($A176="","",IFERROR(SUMIF(tblMotor[A_Norm],$A176,tblMotor[Tasarruf]),0))</f>
        <v/>
      </c>
      <c r="F176" s="15">
        <f>IF($A176="","",IFERROR(SUMIF(tblMotor[A_Norm],$A176,tblMotor[IadeOran]),0))</f>
        <v/>
      </c>
      <c r="G176" s="15">
        <f>IF($A176="","",IFERROR(SUMIF(tblMotor[A_Norm],$A176,tblMotor[BirimKargo]),0))</f>
        <v/>
      </c>
      <c r="H176" s="15">
        <f>IF(OR($A176="",$B176&lt;&gt;"tutar_farki"),"",IF($D176&gt;kdo_esikDesiOran,"KDO-001",IF($F176&gt;kdo_esikIade,"KDO-002",IF($E176&gt;kdo_esikTasarruf,"KDO-004",IF($C176&gt;kdo_esikFark,"KDO-005","TANIMSIZ")))))</f>
        <v/>
      </c>
    </row>
    <row r="177">
      <c r="A177" s="22">
        <f>IF('ESLESTIRME'!$A177="","",'ESLESTIRME'!$A177)</f>
        <v/>
      </c>
      <c r="B177" s="15">
        <f>IF($A177="","",IFERROR(INDEX(tblEslesme[Kova],MATCH($A177,tblEslesme[A_Norm],0)),""))</f>
        <v/>
      </c>
      <c r="C177" s="15">
        <f>IF($A177="","",IFERROR(INDEX(tblEslesme[AbsFark],MATCH($A177,tblEslesme[A_Norm],0)),0))</f>
        <v/>
      </c>
      <c r="D177" s="15">
        <f>IF($A177="","",IFERROR(SUMIF(tblMotor[A_Norm],$A177,tblMotor[DesiKgOran]),0))</f>
        <v/>
      </c>
      <c r="E177" s="15">
        <f>IF($A177="","",IFERROR(SUMIF(tblMotor[A_Norm],$A177,tblMotor[Tasarruf]),0))</f>
        <v/>
      </c>
      <c r="F177" s="15">
        <f>IF($A177="","",IFERROR(SUMIF(tblMotor[A_Norm],$A177,tblMotor[IadeOran]),0))</f>
        <v/>
      </c>
      <c r="G177" s="15">
        <f>IF($A177="","",IFERROR(SUMIF(tblMotor[A_Norm],$A177,tblMotor[BirimKargo]),0))</f>
        <v/>
      </c>
      <c r="H177" s="15">
        <f>IF(OR($A177="",$B177&lt;&gt;"tutar_farki"),"",IF($D177&gt;kdo_esikDesiOran,"KDO-001",IF($F177&gt;kdo_esikIade,"KDO-002",IF($E177&gt;kdo_esikTasarruf,"KDO-004",IF($C177&gt;kdo_esikFark,"KDO-005","TANIMSIZ")))))</f>
        <v/>
      </c>
    </row>
    <row r="178">
      <c r="A178" s="22">
        <f>IF('ESLESTIRME'!$A178="","",'ESLESTIRME'!$A178)</f>
        <v/>
      </c>
      <c r="B178" s="15">
        <f>IF($A178="","",IFERROR(INDEX(tblEslesme[Kova],MATCH($A178,tblEslesme[A_Norm],0)),""))</f>
        <v/>
      </c>
      <c r="C178" s="15">
        <f>IF($A178="","",IFERROR(INDEX(tblEslesme[AbsFark],MATCH($A178,tblEslesme[A_Norm],0)),0))</f>
        <v/>
      </c>
      <c r="D178" s="15">
        <f>IF($A178="","",IFERROR(SUMIF(tblMotor[A_Norm],$A178,tblMotor[DesiKgOran]),0))</f>
        <v/>
      </c>
      <c r="E178" s="15">
        <f>IF($A178="","",IFERROR(SUMIF(tblMotor[A_Norm],$A178,tblMotor[Tasarruf]),0))</f>
        <v/>
      </c>
      <c r="F178" s="15">
        <f>IF($A178="","",IFERROR(SUMIF(tblMotor[A_Norm],$A178,tblMotor[IadeOran]),0))</f>
        <v/>
      </c>
      <c r="G178" s="15">
        <f>IF($A178="","",IFERROR(SUMIF(tblMotor[A_Norm],$A178,tblMotor[BirimKargo]),0))</f>
        <v/>
      </c>
      <c r="H178" s="15">
        <f>IF(OR($A178="",$B178&lt;&gt;"tutar_farki"),"",IF($D178&gt;kdo_esikDesiOran,"KDO-001",IF($F178&gt;kdo_esikIade,"KDO-002",IF($E178&gt;kdo_esikTasarruf,"KDO-004",IF($C178&gt;kdo_esikFark,"KDO-005","TANIMSIZ")))))</f>
        <v/>
      </c>
    </row>
    <row r="179">
      <c r="A179" s="22">
        <f>IF('ESLESTIRME'!$A179="","",'ESLESTIRME'!$A179)</f>
        <v/>
      </c>
      <c r="B179" s="15">
        <f>IF($A179="","",IFERROR(INDEX(tblEslesme[Kova],MATCH($A179,tblEslesme[A_Norm],0)),""))</f>
        <v/>
      </c>
      <c r="C179" s="15">
        <f>IF($A179="","",IFERROR(INDEX(tblEslesme[AbsFark],MATCH($A179,tblEslesme[A_Norm],0)),0))</f>
        <v/>
      </c>
      <c r="D179" s="15">
        <f>IF($A179="","",IFERROR(SUMIF(tblMotor[A_Norm],$A179,tblMotor[DesiKgOran]),0))</f>
        <v/>
      </c>
      <c r="E179" s="15">
        <f>IF($A179="","",IFERROR(SUMIF(tblMotor[A_Norm],$A179,tblMotor[Tasarruf]),0))</f>
        <v/>
      </c>
      <c r="F179" s="15">
        <f>IF($A179="","",IFERROR(SUMIF(tblMotor[A_Norm],$A179,tblMotor[IadeOran]),0))</f>
        <v/>
      </c>
      <c r="G179" s="15">
        <f>IF($A179="","",IFERROR(SUMIF(tblMotor[A_Norm],$A179,tblMotor[BirimKargo]),0))</f>
        <v/>
      </c>
      <c r="H179" s="15">
        <f>IF(OR($A179="",$B179&lt;&gt;"tutar_farki"),"",IF($D179&gt;kdo_esikDesiOran,"KDO-001",IF($F179&gt;kdo_esikIade,"KDO-002",IF($E179&gt;kdo_esikTasarruf,"KDO-004",IF($C179&gt;kdo_esikFark,"KDO-005","TANIMSIZ")))))</f>
        <v/>
      </c>
    </row>
    <row r="180">
      <c r="A180" s="22">
        <f>IF('ESLESTIRME'!$A180="","",'ESLESTIRME'!$A180)</f>
        <v/>
      </c>
      <c r="B180" s="15">
        <f>IF($A180="","",IFERROR(INDEX(tblEslesme[Kova],MATCH($A180,tblEslesme[A_Norm],0)),""))</f>
        <v/>
      </c>
      <c r="C180" s="15">
        <f>IF($A180="","",IFERROR(INDEX(tblEslesme[AbsFark],MATCH($A180,tblEslesme[A_Norm],0)),0))</f>
        <v/>
      </c>
      <c r="D180" s="15">
        <f>IF($A180="","",IFERROR(SUMIF(tblMotor[A_Norm],$A180,tblMotor[DesiKgOran]),0))</f>
        <v/>
      </c>
      <c r="E180" s="15">
        <f>IF($A180="","",IFERROR(SUMIF(tblMotor[A_Norm],$A180,tblMotor[Tasarruf]),0))</f>
        <v/>
      </c>
      <c r="F180" s="15">
        <f>IF($A180="","",IFERROR(SUMIF(tblMotor[A_Norm],$A180,tblMotor[IadeOran]),0))</f>
        <v/>
      </c>
      <c r="G180" s="15">
        <f>IF($A180="","",IFERROR(SUMIF(tblMotor[A_Norm],$A180,tblMotor[BirimKargo]),0))</f>
        <v/>
      </c>
      <c r="H180" s="15">
        <f>IF(OR($A180="",$B180&lt;&gt;"tutar_farki"),"",IF($D180&gt;kdo_esikDesiOran,"KDO-001",IF($F180&gt;kdo_esikIade,"KDO-002",IF($E180&gt;kdo_esikTasarruf,"KDO-004",IF($C180&gt;kdo_esikFark,"KDO-005","TANIMSIZ")))))</f>
        <v/>
      </c>
    </row>
    <row r="181">
      <c r="A181" s="22">
        <f>IF('ESLESTIRME'!$A181="","",'ESLESTIRME'!$A181)</f>
        <v/>
      </c>
      <c r="B181" s="15">
        <f>IF($A181="","",IFERROR(INDEX(tblEslesme[Kova],MATCH($A181,tblEslesme[A_Norm],0)),""))</f>
        <v/>
      </c>
      <c r="C181" s="15">
        <f>IF($A181="","",IFERROR(INDEX(tblEslesme[AbsFark],MATCH($A181,tblEslesme[A_Norm],0)),0))</f>
        <v/>
      </c>
      <c r="D181" s="15">
        <f>IF($A181="","",IFERROR(SUMIF(tblMotor[A_Norm],$A181,tblMotor[DesiKgOran]),0))</f>
        <v/>
      </c>
      <c r="E181" s="15">
        <f>IF($A181="","",IFERROR(SUMIF(tblMotor[A_Norm],$A181,tblMotor[Tasarruf]),0))</f>
        <v/>
      </c>
      <c r="F181" s="15">
        <f>IF($A181="","",IFERROR(SUMIF(tblMotor[A_Norm],$A181,tblMotor[IadeOran]),0))</f>
        <v/>
      </c>
      <c r="G181" s="15">
        <f>IF($A181="","",IFERROR(SUMIF(tblMotor[A_Norm],$A181,tblMotor[BirimKargo]),0))</f>
        <v/>
      </c>
      <c r="H181" s="15">
        <f>IF(OR($A181="",$B181&lt;&gt;"tutar_farki"),"",IF($D181&gt;kdo_esikDesiOran,"KDO-001",IF($F181&gt;kdo_esikIade,"KDO-002",IF($E181&gt;kdo_esikTasarruf,"KDO-004",IF($C181&gt;kdo_esikFark,"KDO-005","TANIMSIZ")))))</f>
        <v/>
      </c>
    </row>
    <row r="182">
      <c r="A182" s="22">
        <f>IF('ESLESTIRME'!$A182="","",'ESLESTIRME'!$A182)</f>
        <v/>
      </c>
      <c r="B182" s="15">
        <f>IF($A182="","",IFERROR(INDEX(tblEslesme[Kova],MATCH($A182,tblEslesme[A_Norm],0)),""))</f>
        <v/>
      </c>
      <c r="C182" s="15">
        <f>IF($A182="","",IFERROR(INDEX(tblEslesme[AbsFark],MATCH($A182,tblEslesme[A_Norm],0)),0))</f>
        <v/>
      </c>
      <c r="D182" s="15">
        <f>IF($A182="","",IFERROR(SUMIF(tblMotor[A_Norm],$A182,tblMotor[DesiKgOran]),0))</f>
        <v/>
      </c>
      <c r="E182" s="15">
        <f>IF($A182="","",IFERROR(SUMIF(tblMotor[A_Norm],$A182,tblMotor[Tasarruf]),0))</f>
        <v/>
      </c>
      <c r="F182" s="15">
        <f>IF($A182="","",IFERROR(SUMIF(tblMotor[A_Norm],$A182,tblMotor[IadeOran]),0))</f>
        <v/>
      </c>
      <c r="G182" s="15">
        <f>IF($A182="","",IFERROR(SUMIF(tblMotor[A_Norm],$A182,tblMotor[BirimKargo]),0))</f>
        <v/>
      </c>
      <c r="H182" s="15">
        <f>IF(OR($A182="",$B182&lt;&gt;"tutar_farki"),"",IF($D182&gt;kdo_esikDesiOran,"KDO-001",IF($F182&gt;kdo_esikIade,"KDO-002",IF($E182&gt;kdo_esikTasarruf,"KDO-004",IF($C182&gt;kdo_esikFark,"KDO-005","TANIMSIZ")))))</f>
        <v/>
      </c>
    </row>
    <row r="183">
      <c r="A183" s="22">
        <f>IF('ESLESTIRME'!$A183="","",'ESLESTIRME'!$A183)</f>
        <v/>
      </c>
      <c r="B183" s="15">
        <f>IF($A183="","",IFERROR(INDEX(tblEslesme[Kova],MATCH($A183,tblEslesme[A_Norm],0)),""))</f>
        <v/>
      </c>
      <c r="C183" s="15">
        <f>IF($A183="","",IFERROR(INDEX(tblEslesme[AbsFark],MATCH($A183,tblEslesme[A_Norm],0)),0))</f>
        <v/>
      </c>
      <c r="D183" s="15">
        <f>IF($A183="","",IFERROR(SUMIF(tblMotor[A_Norm],$A183,tblMotor[DesiKgOran]),0))</f>
        <v/>
      </c>
      <c r="E183" s="15">
        <f>IF($A183="","",IFERROR(SUMIF(tblMotor[A_Norm],$A183,tblMotor[Tasarruf]),0))</f>
        <v/>
      </c>
      <c r="F183" s="15">
        <f>IF($A183="","",IFERROR(SUMIF(tblMotor[A_Norm],$A183,tblMotor[IadeOran]),0))</f>
        <v/>
      </c>
      <c r="G183" s="15">
        <f>IF($A183="","",IFERROR(SUMIF(tblMotor[A_Norm],$A183,tblMotor[BirimKargo]),0))</f>
        <v/>
      </c>
      <c r="H183" s="15">
        <f>IF(OR($A183="",$B183&lt;&gt;"tutar_farki"),"",IF($D183&gt;kdo_esikDesiOran,"KDO-001",IF($F183&gt;kdo_esikIade,"KDO-002",IF($E183&gt;kdo_esikTasarruf,"KDO-004",IF($C183&gt;kdo_esikFark,"KDO-005","TANIMSIZ")))))</f>
        <v/>
      </c>
    </row>
    <row r="184">
      <c r="A184" s="22">
        <f>IF('ESLESTIRME'!$A184="","",'ESLESTIRME'!$A184)</f>
        <v/>
      </c>
      <c r="B184" s="15">
        <f>IF($A184="","",IFERROR(INDEX(tblEslesme[Kova],MATCH($A184,tblEslesme[A_Norm],0)),""))</f>
        <v/>
      </c>
      <c r="C184" s="15">
        <f>IF($A184="","",IFERROR(INDEX(tblEslesme[AbsFark],MATCH($A184,tblEslesme[A_Norm],0)),0))</f>
        <v/>
      </c>
      <c r="D184" s="15">
        <f>IF($A184="","",IFERROR(SUMIF(tblMotor[A_Norm],$A184,tblMotor[DesiKgOran]),0))</f>
        <v/>
      </c>
      <c r="E184" s="15">
        <f>IF($A184="","",IFERROR(SUMIF(tblMotor[A_Norm],$A184,tblMotor[Tasarruf]),0))</f>
        <v/>
      </c>
      <c r="F184" s="15">
        <f>IF($A184="","",IFERROR(SUMIF(tblMotor[A_Norm],$A184,tblMotor[IadeOran]),0))</f>
        <v/>
      </c>
      <c r="G184" s="15">
        <f>IF($A184="","",IFERROR(SUMIF(tblMotor[A_Norm],$A184,tblMotor[BirimKargo]),0))</f>
        <v/>
      </c>
      <c r="H184" s="15">
        <f>IF(OR($A184="",$B184&lt;&gt;"tutar_farki"),"",IF($D184&gt;kdo_esikDesiOran,"KDO-001",IF($F184&gt;kdo_esikIade,"KDO-002",IF($E184&gt;kdo_esikTasarruf,"KDO-004",IF($C184&gt;kdo_esikFark,"KDO-005","TANIMSIZ")))))</f>
        <v/>
      </c>
    </row>
    <row r="185">
      <c r="A185" s="22">
        <f>IF('ESLESTIRME'!$A185="","",'ESLESTIRME'!$A185)</f>
        <v/>
      </c>
      <c r="B185" s="15">
        <f>IF($A185="","",IFERROR(INDEX(tblEslesme[Kova],MATCH($A185,tblEslesme[A_Norm],0)),""))</f>
        <v/>
      </c>
      <c r="C185" s="15">
        <f>IF($A185="","",IFERROR(INDEX(tblEslesme[AbsFark],MATCH($A185,tblEslesme[A_Norm],0)),0))</f>
        <v/>
      </c>
      <c r="D185" s="15">
        <f>IF($A185="","",IFERROR(SUMIF(tblMotor[A_Norm],$A185,tblMotor[DesiKgOran]),0))</f>
        <v/>
      </c>
      <c r="E185" s="15">
        <f>IF($A185="","",IFERROR(SUMIF(tblMotor[A_Norm],$A185,tblMotor[Tasarruf]),0))</f>
        <v/>
      </c>
      <c r="F185" s="15">
        <f>IF($A185="","",IFERROR(SUMIF(tblMotor[A_Norm],$A185,tblMotor[IadeOran]),0))</f>
        <v/>
      </c>
      <c r="G185" s="15">
        <f>IF($A185="","",IFERROR(SUMIF(tblMotor[A_Norm],$A185,tblMotor[BirimKargo]),0))</f>
        <v/>
      </c>
      <c r="H185" s="15">
        <f>IF(OR($A185="",$B185&lt;&gt;"tutar_farki"),"",IF($D185&gt;kdo_esikDesiOran,"KDO-001",IF($F185&gt;kdo_esikIade,"KDO-002",IF($E185&gt;kdo_esikTasarruf,"KDO-004",IF($C185&gt;kdo_esikFark,"KDO-005","TANIMSIZ")))))</f>
        <v/>
      </c>
    </row>
    <row r="186">
      <c r="A186" s="22">
        <f>IF('ESLESTIRME'!$A186="","",'ESLESTIRME'!$A186)</f>
        <v/>
      </c>
      <c r="B186" s="15">
        <f>IF($A186="","",IFERROR(INDEX(tblEslesme[Kova],MATCH($A186,tblEslesme[A_Norm],0)),""))</f>
        <v/>
      </c>
      <c r="C186" s="15">
        <f>IF($A186="","",IFERROR(INDEX(tblEslesme[AbsFark],MATCH($A186,tblEslesme[A_Norm],0)),0))</f>
        <v/>
      </c>
      <c r="D186" s="15">
        <f>IF($A186="","",IFERROR(SUMIF(tblMotor[A_Norm],$A186,tblMotor[DesiKgOran]),0))</f>
        <v/>
      </c>
      <c r="E186" s="15">
        <f>IF($A186="","",IFERROR(SUMIF(tblMotor[A_Norm],$A186,tblMotor[Tasarruf]),0))</f>
        <v/>
      </c>
      <c r="F186" s="15">
        <f>IF($A186="","",IFERROR(SUMIF(tblMotor[A_Norm],$A186,tblMotor[IadeOran]),0))</f>
        <v/>
      </c>
      <c r="G186" s="15">
        <f>IF($A186="","",IFERROR(SUMIF(tblMotor[A_Norm],$A186,tblMotor[BirimKargo]),0))</f>
        <v/>
      </c>
      <c r="H186" s="15">
        <f>IF(OR($A186="",$B186&lt;&gt;"tutar_farki"),"",IF($D186&gt;kdo_esikDesiOran,"KDO-001",IF($F186&gt;kdo_esikIade,"KDO-002",IF($E186&gt;kdo_esikTasarruf,"KDO-004",IF($C186&gt;kdo_esikFark,"KDO-005","TANIMSIZ")))))</f>
        <v/>
      </c>
    </row>
    <row r="187">
      <c r="A187" s="22">
        <f>IF('ESLESTIRME'!$A187="","",'ESLESTIRME'!$A187)</f>
        <v/>
      </c>
      <c r="B187" s="15">
        <f>IF($A187="","",IFERROR(INDEX(tblEslesme[Kova],MATCH($A187,tblEslesme[A_Norm],0)),""))</f>
        <v/>
      </c>
      <c r="C187" s="15">
        <f>IF($A187="","",IFERROR(INDEX(tblEslesme[AbsFark],MATCH($A187,tblEslesme[A_Norm],0)),0))</f>
        <v/>
      </c>
      <c r="D187" s="15">
        <f>IF($A187="","",IFERROR(SUMIF(tblMotor[A_Norm],$A187,tblMotor[DesiKgOran]),0))</f>
        <v/>
      </c>
      <c r="E187" s="15">
        <f>IF($A187="","",IFERROR(SUMIF(tblMotor[A_Norm],$A187,tblMotor[Tasarruf]),0))</f>
        <v/>
      </c>
      <c r="F187" s="15">
        <f>IF($A187="","",IFERROR(SUMIF(tblMotor[A_Norm],$A187,tblMotor[IadeOran]),0))</f>
        <v/>
      </c>
      <c r="G187" s="15">
        <f>IF($A187="","",IFERROR(SUMIF(tblMotor[A_Norm],$A187,tblMotor[BirimKargo]),0))</f>
        <v/>
      </c>
      <c r="H187" s="15">
        <f>IF(OR($A187="",$B187&lt;&gt;"tutar_farki"),"",IF($D187&gt;kdo_esikDesiOran,"KDO-001",IF($F187&gt;kdo_esikIade,"KDO-002",IF($E187&gt;kdo_esikTasarruf,"KDO-004",IF($C187&gt;kdo_esikFark,"KDO-005","TANIMSIZ")))))</f>
        <v/>
      </c>
    </row>
    <row r="188">
      <c r="A188" s="22">
        <f>IF('ESLESTIRME'!$A188="","",'ESLESTIRME'!$A188)</f>
        <v/>
      </c>
      <c r="B188" s="15">
        <f>IF($A188="","",IFERROR(INDEX(tblEslesme[Kova],MATCH($A188,tblEslesme[A_Norm],0)),""))</f>
        <v/>
      </c>
      <c r="C188" s="15">
        <f>IF($A188="","",IFERROR(INDEX(tblEslesme[AbsFark],MATCH($A188,tblEslesme[A_Norm],0)),0))</f>
        <v/>
      </c>
      <c r="D188" s="15">
        <f>IF($A188="","",IFERROR(SUMIF(tblMotor[A_Norm],$A188,tblMotor[DesiKgOran]),0))</f>
        <v/>
      </c>
      <c r="E188" s="15">
        <f>IF($A188="","",IFERROR(SUMIF(tblMotor[A_Norm],$A188,tblMotor[Tasarruf]),0))</f>
        <v/>
      </c>
      <c r="F188" s="15">
        <f>IF($A188="","",IFERROR(SUMIF(tblMotor[A_Norm],$A188,tblMotor[IadeOran]),0))</f>
        <v/>
      </c>
      <c r="G188" s="15">
        <f>IF($A188="","",IFERROR(SUMIF(tblMotor[A_Norm],$A188,tblMotor[BirimKargo]),0))</f>
        <v/>
      </c>
      <c r="H188" s="15">
        <f>IF(OR($A188="",$B188&lt;&gt;"tutar_farki"),"",IF($D188&gt;kdo_esikDesiOran,"KDO-001",IF($F188&gt;kdo_esikIade,"KDO-002",IF($E188&gt;kdo_esikTasarruf,"KDO-004",IF($C188&gt;kdo_esikFark,"KDO-005","TANIMSIZ")))))</f>
        <v/>
      </c>
    </row>
    <row r="189">
      <c r="A189" s="22">
        <f>IF('ESLESTIRME'!$A189="","",'ESLESTIRME'!$A189)</f>
        <v/>
      </c>
      <c r="B189" s="15">
        <f>IF($A189="","",IFERROR(INDEX(tblEslesme[Kova],MATCH($A189,tblEslesme[A_Norm],0)),""))</f>
        <v/>
      </c>
      <c r="C189" s="15">
        <f>IF($A189="","",IFERROR(INDEX(tblEslesme[AbsFark],MATCH($A189,tblEslesme[A_Norm],0)),0))</f>
        <v/>
      </c>
      <c r="D189" s="15">
        <f>IF($A189="","",IFERROR(SUMIF(tblMotor[A_Norm],$A189,tblMotor[DesiKgOran]),0))</f>
        <v/>
      </c>
      <c r="E189" s="15">
        <f>IF($A189="","",IFERROR(SUMIF(tblMotor[A_Norm],$A189,tblMotor[Tasarruf]),0))</f>
        <v/>
      </c>
      <c r="F189" s="15">
        <f>IF($A189="","",IFERROR(SUMIF(tblMotor[A_Norm],$A189,tblMotor[IadeOran]),0))</f>
        <v/>
      </c>
      <c r="G189" s="15">
        <f>IF($A189="","",IFERROR(SUMIF(tblMotor[A_Norm],$A189,tblMotor[BirimKargo]),0))</f>
        <v/>
      </c>
      <c r="H189" s="15">
        <f>IF(OR($A189="",$B189&lt;&gt;"tutar_farki"),"",IF($D189&gt;kdo_esikDesiOran,"KDO-001",IF($F189&gt;kdo_esikIade,"KDO-002",IF($E189&gt;kdo_esikTasarruf,"KDO-004",IF($C189&gt;kdo_esikFark,"KDO-005","TANIMSIZ")))))</f>
        <v/>
      </c>
    </row>
    <row r="190">
      <c r="A190" s="22">
        <f>IF('ESLESTIRME'!$A190="","",'ESLESTIRME'!$A190)</f>
        <v/>
      </c>
      <c r="B190" s="15">
        <f>IF($A190="","",IFERROR(INDEX(tblEslesme[Kova],MATCH($A190,tblEslesme[A_Norm],0)),""))</f>
        <v/>
      </c>
      <c r="C190" s="15">
        <f>IF($A190="","",IFERROR(INDEX(tblEslesme[AbsFark],MATCH($A190,tblEslesme[A_Norm],0)),0))</f>
        <v/>
      </c>
      <c r="D190" s="15">
        <f>IF($A190="","",IFERROR(SUMIF(tblMotor[A_Norm],$A190,tblMotor[DesiKgOran]),0))</f>
        <v/>
      </c>
      <c r="E190" s="15">
        <f>IF($A190="","",IFERROR(SUMIF(tblMotor[A_Norm],$A190,tblMotor[Tasarruf]),0))</f>
        <v/>
      </c>
      <c r="F190" s="15">
        <f>IF($A190="","",IFERROR(SUMIF(tblMotor[A_Norm],$A190,tblMotor[IadeOran]),0))</f>
        <v/>
      </c>
      <c r="G190" s="15">
        <f>IF($A190="","",IFERROR(SUMIF(tblMotor[A_Norm],$A190,tblMotor[BirimKargo]),0))</f>
        <v/>
      </c>
      <c r="H190" s="15">
        <f>IF(OR($A190="",$B190&lt;&gt;"tutar_farki"),"",IF($D190&gt;kdo_esikDesiOran,"KDO-001",IF($F190&gt;kdo_esikIade,"KDO-002",IF($E190&gt;kdo_esikTasarruf,"KDO-004",IF($C190&gt;kdo_esikFark,"KDO-005","TANIMSIZ")))))</f>
        <v/>
      </c>
    </row>
    <row r="191">
      <c r="A191" s="22">
        <f>IF('ESLESTIRME'!$A191="","",'ESLESTIRME'!$A191)</f>
        <v/>
      </c>
      <c r="B191" s="15">
        <f>IF($A191="","",IFERROR(INDEX(tblEslesme[Kova],MATCH($A191,tblEslesme[A_Norm],0)),""))</f>
        <v/>
      </c>
      <c r="C191" s="15">
        <f>IF($A191="","",IFERROR(INDEX(tblEslesme[AbsFark],MATCH($A191,tblEslesme[A_Norm],0)),0))</f>
        <v/>
      </c>
      <c r="D191" s="15">
        <f>IF($A191="","",IFERROR(SUMIF(tblMotor[A_Norm],$A191,tblMotor[DesiKgOran]),0))</f>
        <v/>
      </c>
      <c r="E191" s="15">
        <f>IF($A191="","",IFERROR(SUMIF(tblMotor[A_Norm],$A191,tblMotor[Tasarruf]),0))</f>
        <v/>
      </c>
      <c r="F191" s="15">
        <f>IF($A191="","",IFERROR(SUMIF(tblMotor[A_Norm],$A191,tblMotor[IadeOran]),0))</f>
        <v/>
      </c>
      <c r="G191" s="15">
        <f>IF($A191="","",IFERROR(SUMIF(tblMotor[A_Norm],$A191,tblMotor[BirimKargo]),0))</f>
        <v/>
      </c>
      <c r="H191" s="15">
        <f>IF(OR($A191="",$B191&lt;&gt;"tutar_farki"),"",IF($D191&gt;kdo_esikDesiOran,"KDO-001",IF($F191&gt;kdo_esikIade,"KDO-002",IF($E191&gt;kdo_esikTasarruf,"KDO-004",IF($C191&gt;kdo_esikFark,"KDO-005","TANIMSIZ")))))</f>
        <v/>
      </c>
    </row>
    <row r="192">
      <c r="A192" s="22">
        <f>IF('ESLESTIRME'!$A192="","",'ESLESTIRME'!$A192)</f>
        <v/>
      </c>
      <c r="B192" s="15">
        <f>IF($A192="","",IFERROR(INDEX(tblEslesme[Kova],MATCH($A192,tblEslesme[A_Norm],0)),""))</f>
        <v/>
      </c>
      <c r="C192" s="15">
        <f>IF($A192="","",IFERROR(INDEX(tblEslesme[AbsFark],MATCH($A192,tblEslesme[A_Norm],0)),0))</f>
        <v/>
      </c>
      <c r="D192" s="15">
        <f>IF($A192="","",IFERROR(SUMIF(tblMotor[A_Norm],$A192,tblMotor[DesiKgOran]),0))</f>
        <v/>
      </c>
      <c r="E192" s="15">
        <f>IF($A192="","",IFERROR(SUMIF(tblMotor[A_Norm],$A192,tblMotor[Tasarruf]),0))</f>
        <v/>
      </c>
      <c r="F192" s="15">
        <f>IF($A192="","",IFERROR(SUMIF(tblMotor[A_Norm],$A192,tblMotor[IadeOran]),0))</f>
        <v/>
      </c>
      <c r="G192" s="15">
        <f>IF($A192="","",IFERROR(SUMIF(tblMotor[A_Norm],$A192,tblMotor[BirimKargo]),0))</f>
        <v/>
      </c>
      <c r="H192" s="15">
        <f>IF(OR($A192="",$B192&lt;&gt;"tutar_farki"),"",IF($D192&gt;kdo_esikDesiOran,"KDO-001",IF($F192&gt;kdo_esikIade,"KDO-002",IF($E192&gt;kdo_esikTasarruf,"KDO-004",IF($C192&gt;kdo_esikFark,"KDO-005","TANIMSIZ")))))</f>
        <v/>
      </c>
    </row>
    <row r="193">
      <c r="A193" s="22">
        <f>IF('ESLESTIRME'!$A193="","",'ESLESTIRME'!$A193)</f>
        <v/>
      </c>
      <c r="B193" s="15">
        <f>IF($A193="","",IFERROR(INDEX(tblEslesme[Kova],MATCH($A193,tblEslesme[A_Norm],0)),""))</f>
        <v/>
      </c>
      <c r="C193" s="15">
        <f>IF($A193="","",IFERROR(INDEX(tblEslesme[AbsFark],MATCH($A193,tblEslesme[A_Norm],0)),0))</f>
        <v/>
      </c>
      <c r="D193" s="15">
        <f>IF($A193="","",IFERROR(SUMIF(tblMotor[A_Norm],$A193,tblMotor[DesiKgOran]),0))</f>
        <v/>
      </c>
      <c r="E193" s="15">
        <f>IF($A193="","",IFERROR(SUMIF(tblMotor[A_Norm],$A193,tblMotor[Tasarruf]),0))</f>
        <v/>
      </c>
      <c r="F193" s="15">
        <f>IF($A193="","",IFERROR(SUMIF(tblMotor[A_Norm],$A193,tblMotor[IadeOran]),0))</f>
        <v/>
      </c>
      <c r="G193" s="15">
        <f>IF($A193="","",IFERROR(SUMIF(tblMotor[A_Norm],$A193,tblMotor[BirimKargo]),0))</f>
        <v/>
      </c>
      <c r="H193" s="15">
        <f>IF(OR($A193="",$B193&lt;&gt;"tutar_farki"),"",IF($D193&gt;kdo_esikDesiOran,"KDO-001",IF($F193&gt;kdo_esikIade,"KDO-002",IF($E193&gt;kdo_esikTasarruf,"KDO-004",IF($C193&gt;kdo_esikFark,"KDO-005","TANIMSIZ")))))</f>
        <v/>
      </c>
    </row>
    <row r="194">
      <c r="A194" s="22">
        <f>IF('ESLESTIRME'!$A194="","",'ESLESTIRME'!$A194)</f>
        <v/>
      </c>
      <c r="B194" s="15">
        <f>IF($A194="","",IFERROR(INDEX(tblEslesme[Kova],MATCH($A194,tblEslesme[A_Norm],0)),""))</f>
        <v/>
      </c>
      <c r="C194" s="15">
        <f>IF($A194="","",IFERROR(INDEX(tblEslesme[AbsFark],MATCH($A194,tblEslesme[A_Norm],0)),0))</f>
        <v/>
      </c>
      <c r="D194" s="15">
        <f>IF($A194="","",IFERROR(SUMIF(tblMotor[A_Norm],$A194,tblMotor[DesiKgOran]),0))</f>
        <v/>
      </c>
      <c r="E194" s="15">
        <f>IF($A194="","",IFERROR(SUMIF(tblMotor[A_Norm],$A194,tblMotor[Tasarruf]),0))</f>
        <v/>
      </c>
      <c r="F194" s="15">
        <f>IF($A194="","",IFERROR(SUMIF(tblMotor[A_Norm],$A194,tblMotor[IadeOran]),0))</f>
        <v/>
      </c>
      <c r="G194" s="15">
        <f>IF($A194="","",IFERROR(SUMIF(tblMotor[A_Norm],$A194,tblMotor[BirimKargo]),0))</f>
        <v/>
      </c>
      <c r="H194" s="15">
        <f>IF(OR($A194="",$B194&lt;&gt;"tutar_farki"),"",IF($D194&gt;kdo_esikDesiOran,"KDO-001",IF($F194&gt;kdo_esikIade,"KDO-002",IF($E194&gt;kdo_esikTasarruf,"KDO-004",IF($C194&gt;kdo_esikFark,"KDO-005","TANIMSIZ")))))</f>
        <v/>
      </c>
    </row>
    <row r="195">
      <c r="A195" s="22">
        <f>IF('ESLESTIRME'!$A195="","",'ESLESTIRME'!$A195)</f>
        <v/>
      </c>
      <c r="B195" s="15">
        <f>IF($A195="","",IFERROR(INDEX(tblEslesme[Kova],MATCH($A195,tblEslesme[A_Norm],0)),""))</f>
        <v/>
      </c>
      <c r="C195" s="15">
        <f>IF($A195="","",IFERROR(INDEX(tblEslesme[AbsFark],MATCH($A195,tblEslesme[A_Norm],0)),0))</f>
        <v/>
      </c>
      <c r="D195" s="15">
        <f>IF($A195="","",IFERROR(SUMIF(tblMotor[A_Norm],$A195,tblMotor[DesiKgOran]),0))</f>
        <v/>
      </c>
      <c r="E195" s="15">
        <f>IF($A195="","",IFERROR(SUMIF(tblMotor[A_Norm],$A195,tblMotor[Tasarruf]),0))</f>
        <v/>
      </c>
      <c r="F195" s="15">
        <f>IF($A195="","",IFERROR(SUMIF(tblMotor[A_Norm],$A195,tblMotor[IadeOran]),0))</f>
        <v/>
      </c>
      <c r="G195" s="15">
        <f>IF($A195="","",IFERROR(SUMIF(tblMotor[A_Norm],$A195,tblMotor[BirimKargo]),0))</f>
        <v/>
      </c>
      <c r="H195" s="15">
        <f>IF(OR($A195="",$B195&lt;&gt;"tutar_farki"),"",IF($D195&gt;kdo_esikDesiOran,"KDO-001",IF($F195&gt;kdo_esikIade,"KDO-002",IF($E195&gt;kdo_esikTasarruf,"KDO-004",IF($C195&gt;kdo_esikFark,"KDO-005","TANIMSIZ")))))</f>
        <v/>
      </c>
    </row>
    <row r="196">
      <c r="A196" s="22">
        <f>IF('ESLESTIRME'!$A196="","",'ESLESTIRME'!$A196)</f>
        <v/>
      </c>
      <c r="B196" s="15">
        <f>IF($A196="","",IFERROR(INDEX(tblEslesme[Kova],MATCH($A196,tblEslesme[A_Norm],0)),""))</f>
        <v/>
      </c>
      <c r="C196" s="15">
        <f>IF($A196="","",IFERROR(INDEX(tblEslesme[AbsFark],MATCH($A196,tblEslesme[A_Norm],0)),0))</f>
        <v/>
      </c>
      <c r="D196" s="15">
        <f>IF($A196="","",IFERROR(SUMIF(tblMotor[A_Norm],$A196,tblMotor[DesiKgOran]),0))</f>
        <v/>
      </c>
      <c r="E196" s="15">
        <f>IF($A196="","",IFERROR(SUMIF(tblMotor[A_Norm],$A196,tblMotor[Tasarruf]),0))</f>
        <v/>
      </c>
      <c r="F196" s="15">
        <f>IF($A196="","",IFERROR(SUMIF(tblMotor[A_Norm],$A196,tblMotor[IadeOran]),0))</f>
        <v/>
      </c>
      <c r="G196" s="15">
        <f>IF($A196="","",IFERROR(SUMIF(tblMotor[A_Norm],$A196,tblMotor[BirimKargo]),0))</f>
        <v/>
      </c>
      <c r="H196" s="15">
        <f>IF(OR($A196="",$B196&lt;&gt;"tutar_farki"),"",IF($D196&gt;kdo_esikDesiOran,"KDO-001",IF($F196&gt;kdo_esikIade,"KDO-002",IF($E196&gt;kdo_esikTasarruf,"KDO-004",IF($C196&gt;kdo_esikFark,"KDO-005","TANIMSIZ")))))</f>
        <v/>
      </c>
    </row>
    <row r="197">
      <c r="A197" s="22">
        <f>IF('ESLESTIRME'!$A197="","",'ESLESTIRME'!$A197)</f>
        <v/>
      </c>
      <c r="B197" s="15">
        <f>IF($A197="","",IFERROR(INDEX(tblEslesme[Kova],MATCH($A197,tblEslesme[A_Norm],0)),""))</f>
        <v/>
      </c>
      <c r="C197" s="15">
        <f>IF($A197="","",IFERROR(INDEX(tblEslesme[AbsFark],MATCH($A197,tblEslesme[A_Norm],0)),0))</f>
        <v/>
      </c>
      <c r="D197" s="15">
        <f>IF($A197="","",IFERROR(SUMIF(tblMotor[A_Norm],$A197,tblMotor[DesiKgOran]),0))</f>
        <v/>
      </c>
      <c r="E197" s="15">
        <f>IF($A197="","",IFERROR(SUMIF(tblMotor[A_Norm],$A197,tblMotor[Tasarruf]),0))</f>
        <v/>
      </c>
      <c r="F197" s="15">
        <f>IF($A197="","",IFERROR(SUMIF(tblMotor[A_Norm],$A197,tblMotor[IadeOran]),0))</f>
        <v/>
      </c>
      <c r="G197" s="15">
        <f>IF($A197="","",IFERROR(SUMIF(tblMotor[A_Norm],$A197,tblMotor[BirimKargo]),0))</f>
        <v/>
      </c>
      <c r="H197" s="15">
        <f>IF(OR($A197="",$B197&lt;&gt;"tutar_farki"),"",IF($D197&gt;kdo_esikDesiOran,"KDO-001",IF($F197&gt;kdo_esikIade,"KDO-002",IF($E197&gt;kdo_esikTasarruf,"KDO-004",IF($C197&gt;kdo_esikFark,"KDO-005","TANIMSIZ")))))</f>
        <v/>
      </c>
    </row>
    <row r="198">
      <c r="A198" s="22">
        <f>IF('ESLESTIRME'!$A198="","",'ESLESTIRME'!$A198)</f>
        <v/>
      </c>
      <c r="B198" s="15">
        <f>IF($A198="","",IFERROR(INDEX(tblEslesme[Kova],MATCH($A198,tblEslesme[A_Norm],0)),""))</f>
        <v/>
      </c>
      <c r="C198" s="15">
        <f>IF($A198="","",IFERROR(INDEX(tblEslesme[AbsFark],MATCH($A198,tblEslesme[A_Norm],0)),0))</f>
        <v/>
      </c>
      <c r="D198" s="15">
        <f>IF($A198="","",IFERROR(SUMIF(tblMotor[A_Norm],$A198,tblMotor[DesiKgOran]),0))</f>
        <v/>
      </c>
      <c r="E198" s="15">
        <f>IF($A198="","",IFERROR(SUMIF(tblMotor[A_Norm],$A198,tblMotor[Tasarruf]),0))</f>
        <v/>
      </c>
      <c r="F198" s="15">
        <f>IF($A198="","",IFERROR(SUMIF(tblMotor[A_Norm],$A198,tblMotor[IadeOran]),0))</f>
        <v/>
      </c>
      <c r="G198" s="15">
        <f>IF($A198="","",IFERROR(SUMIF(tblMotor[A_Norm],$A198,tblMotor[BirimKargo]),0))</f>
        <v/>
      </c>
      <c r="H198" s="15">
        <f>IF(OR($A198="",$B198&lt;&gt;"tutar_farki"),"",IF($D198&gt;kdo_esikDesiOran,"KDO-001",IF($F198&gt;kdo_esikIade,"KDO-002",IF($E198&gt;kdo_esikTasarruf,"KDO-004",IF($C198&gt;kdo_esikFark,"KDO-005","TANIMSIZ")))))</f>
        <v/>
      </c>
    </row>
    <row r="199">
      <c r="A199" s="22">
        <f>IF('ESLESTIRME'!$A199="","",'ESLESTIRME'!$A199)</f>
        <v/>
      </c>
      <c r="B199" s="15">
        <f>IF($A199="","",IFERROR(INDEX(tblEslesme[Kova],MATCH($A199,tblEslesme[A_Norm],0)),""))</f>
        <v/>
      </c>
      <c r="C199" s="15">
        <f>IF($A199="","",IFERROR(INDEX(tblEslesme[AbsFark],MATCH($A199,tblEslesme[A_Norm],0)),0))</f>
        <v/>
      </c>
      <c r="D199" s="15">
        <f>IF($A199="","",IFERROR(SUMIF(tblMotor[A_Norm],$A199,tblMotor[DesiKgOran]),0))</f>
        <v/>
      </c>
      <c r="E199" s="15">
        <f>IF($A199="","",IFERROR(SUMIF(tblMotor[A_Norm],$A199,tblMotor[Tasarruf]),0))</f>
        <v/>
      </c>
      <c r="F199" s="15">
        <f>IF($A199="","",IFERROR(SUMIF(tblMotor[A_Norm],$A199,tblMotor[IadeOran]),0))</f>
        <v/>
      </c>
      <c r="G199" s="15">
        <f>IF($A199="","",IFERROR(SUMIF(tblMotor[A_Norm],$A199,tblMotor[BirimKargo]),0))</f>
        <v/>
      </c>
      <c r="H199" s="15">
        <f>IF(OR($A199="",$B199&lt;&gt;"tutar_farki"),"",IF($D199&gt;kdo_esikDesiOran,"KDO-001",IF($F199&gt;kdo_esikIade,"KDO-002",IF($E199&gt;kdo_esikTasarruf,"KDO-004",IF($C199&gt;kdo_esikFark,"KDO-005","TANIMSIZ")))))</f>
        <v/>
      </c>
    </row>
    <row r="200">
      <c r="A200" s="22">
        <f>IF('ESLESTIRME'!$A200="","",'ESLESTIRME'!$A200)</f>
        <v/>
      </c>
      <c r="B200" s="15">
        <f>IF($A200="","",IFERROR(INDEX(tblEslesme[Kova],MATCH($A200,tblEslesme[A_Norm],0)),""))</f>
        <v/>
      </c>
      <c r="C200" s="15">
        <f>IF($A200="","",IFERROR(INDEX(tblEslesme[AbsFark],MATCH($A200,tblEslesme[A_Norm],0)),0))</f>
        <v/>
      </c>
      <c r="D200" s="15">
        <f>IF($A200="","",IFERROR(SUMIF(tblMotor[A_Norm],$A200,tblMotor[DesiKgOran]),0))</f>
        <v/>
      </c>
      <c r="E200" s="15">
        <f>IF($A200="","",IFERROR(SUMIF(tblMotor[A_Norm],$A200,tblMotor[Tasarruf]),0))</f>
        <v/>
      </c>
      <c r="F200" s="15">
        <f>IF($A200="","",IFERROR(SUMIF(tblMotor[A_Norm],$A200,tblMotor[IadeOran]),0))</f>
        <v/>
      </c>
      <c r="G200" s="15">
        <f>IF($A200="","",IFERROR(SUMIF(tblMotor[A_Norm],$A200,tblMotor[BirimKargo]),0))</f>
        <v/>
      </c>
      <c r="H200" s="15">
        <f>IF(OR($A200="",$B200&lt;&gt;"tutar_farki"),"",IF($D200&gt;kdo_esikDesiOran,"KDO-001",IF($F200&gt;kdo_esikIade,"KDO-002",IF($E200&gt;kdo_esikTasarruf,"KDO-004",IF($C200&gt;kdo_esikFark,"KDO-005","TANIMSIZ")))))</f>
        <v/>
      </c>
    </row>
    <row r="201">
      <c r="A201" s="22">
        <f>IF('ESLESTIRME'!$A201="","",'ESLESTIRME'!$A201)</f>
        <v/>
      </c>
      <c r="B201" s="15">
        <f>IF($A201="","",IFERROR(INDEX(tblEslesme[Kova],MATCH($A201,tblEslesme[A_Norm],0)),""))</f>
        <v/>
      </c>
      <c r="C201" s="15">
        <f>IF($A201="","",IFERROR(INDEX(tblEslesme[AbsFark],MATCH($A201,tblEslesme[A_Norm],0)),0))</f>
        <v/>
      </c>
      <c r="D201" s="15">
        <f>IF($A201="","",IFERROR(SUMIF(tblMotor[A_Norm],$A201,tblMotor[DesiKgOran]),0))</f>
        <v/>
      </c>
      <c r="E201" s="15">
        <f>IF($A201="","",IFERROR(SUMIF(tblMotor[A_Norm],$A201,tblMotor[Tasarruf]),0))</f>
        <v/>
      </c>
      <c r="F201" s="15">
        <f>IF($A201="","",IFERROR(SUMIF(tblMotor[A_Norm],$A201,tblMotor[IadeOran]),0))</f>
        <v/>
      </c>
      <c r="G201" s="15">
        <f>IF($A201="","",IFERROR(SUMIF(tblMotor[A_Norm],$A201,tblMotor[BirimKargo]),0))</f>
        <v/>
      </c>
      <c r="H201" s="15">
        <f>IF(OR($A201="",$B201&lt;&gt;"tutar_farki"),"",IF($D201&gt;kdo_esikDesiOran,"KDO-001",IF($F201&gt;kdo_esikIade,"KDO-002",IF($E201&gt;kdo_esikTasarruf,"KDO-004",IF($C201&gt;kdo_esikFark,"KDO-005","TANIMSIZ")))))</f>
        <v/>
      </c>
    </row>
    <row r="202">
      <c r="A202" s="22">
        <f>IF('ESLESTIRME'!$A202="","",'ESLESTIRME'!$A202)</f>
        <v/>
      </c>
      <c r="B202" s="15">
        <f>IF($A202="","",IFERROR(INDEX(tblEslesme[Kova],MATCH($A202,tblEslesme[A_Norm],0)),""))</f>
        <v/>
      </c>
      <c r="C202" s="15">
        <f>IF($A202="","",IFERROR(INDEX(tblEslesme[AbsFark],MATCH($A202,tblEslesme[A_Norm],0)),0))</f>
        <v/>
      </c>
      <c r="D202" s="15">
        <f>IF($A202="","",IFERROR(SUMIF(tblMotor[A_Norm],$A202,tblMotor[DesiKgOran]),0))</f>
        <v/>
      </c>
      <c r="E202" s="15">
        <f>IF($A202="","",IFERROR(SUMIF(tblMotor[A_Norm],$A202,tblMotor[Tasarruf]),0))</f>
        <v/>
      </c>
      <c r="F202" s="15">
        <f>IF($A202="","",IFERROR(SUMIF(tblMotor[A_Norm],$A202,tblMotor[IadeOran]),0))</f>
        <v/>
      </c>
      <c r="G202" s="15">
        <f>IF($A202="","",IFERROR(SUMIF(tblMotor[A_Norm],$A202,tblMotor[BirimKargo]),0))</f>
        <v/>
      </c>
      <c r="H202" s="15">
        <f>IF(OR($A202="",$B202&lt;&gt;"tutar_farki"),"",IF($D202&gt;kdo_esikDesiOran,"KDO-001",IF($F202&gt;kdo_esikIade,"KDO-002",IF($E202&gt;kdo_esikTasarruf,"KDO-004",IF($C202&gt;kdo_esikFark,"KDO-005","TANIMSIZ")))))</f>
        <v/>
      </c>
    </row>
    <row r="203">
      <c r="A203" s="22">
        <f>IF('ESLESTIRME'!$A203="","",'ESLESTIRME'!$A203)</f>
        <v/>
      </c>
      <c r="B203" s="15">
        <f>IF($A203="","",IFERROR(INDEX(tblEslesme[Kova],MATCH($A203,tblEslesme[A_Norm],0)),""))</f>
        <v/>
      </c>
      <c r="C203" s="15">
        <f>IF($A203="","",IFERROR(INDEX(tblEslesme[AbsFark],MATCH($A203,tblEslesme[A_Norm],0)),0))</f>
        <v/>
      </c>
      <c r="D203" s="15">
        <f>IF($A203="","",IFERROR(SUMIF(tblMotor[A_Norm],$A203,tblMotor[DesiKgOran]),0))</f>
        <v/>
      </c>
      <c r="E203" s="15">
        <f>IF($A203="","",IFERROR(SUMIF(tblMotor[A_Norm],$A203,tblMotor[Tasarruf]),0))</f>
        <v/>
      </c>
      <c r="F203" s="15">
        <f>IF($A203="","",IFERROR(SUMIF(tblMotor[A_Norm],$A203,tblMotor[IadeOran]),0))</f>
        <v/>
      </c>
      <c r="G203" s="15">
        <f>IF($A203="","",IFERROR(SUMIF(tblMotor[A_Norm],$A203,tblMotor[BirimKargo]),0))</f>
        <v/>
      </c>
      <c r="H203" s="15">
        <f>IF(OR($A203="",$B203&lt;&gt;"tutar_farki"),"",IF($D203&gt;kdo_esikDesiOran,"KDO-001",IF($F203&gt;kdo_esikIade,"KDO-002",IF($E203&gt;kdo_esikTasarruf,"KDO-004",IF($C203&gt;kdo_esikFark,"KDO-005","TANIMSIZ")))))</f>
        <v/>
      </c>
    </row>
    <row r="204">
      <c r="A204" s="22">
        <f>IF('ESLESTIRME'!$A204="","",'ESLESTIRME'!$A204)</f>
        <v/>
      </c>
      <c r="B204" s="15">
        <f>IF($A204="","",IFERROR(INDEX(tblEslesme[Kova],MATCH($A204,tblEslesme[A_Norm],0)),""))</f>
        <v/>
      </c>
      <c r="C204" s="15">
        <f>IF($A204="","",IFERROR(INDEX(tblEslesme[AbsFark],MATCH($A204,tblEslesme[A_Norm],0)),0))</f>
        <v/>
      </c>
      <c r="D204" s="15">
        <f>IF($A204="","",IFERROR(SUMIF(tblMotor[A_Norm],$A204,tblMotor[DesiKgOran]),0))</f>
        <v/>
      </c>
      <c r="E204" s="15">
        <f>IF($A204="","",IFERROR(SUMIF(tblMotor[A_Norm],$A204,tblMotor[Tasarruf]),0))</f>
        <v/>
      </c>
      <c r="F204" s="15">
        <f>IF($A204="","",IFERROR(SUMIF(tblMotor[A_Norm],$A204,tblMotor[IadeOran]),0))</f>
        <v/>
      </c>
      <c r="G204" s="15">
        <f>IF($A204="","",IFERROR(SUMIF(tblMotor[A_Norm],$A204,tblMotor[BirimKargo]),0))</f>
        <v/>
      </c>
      <c r="H204" s="15">
        <f>IF(OR($A204="",$B204&lt;&gt;"tutar_farki"),"",IF($D204&gt;kdo_esikDesiOran,"KDO-001",IF($F204&gt;kdo_esikIade,"KDO-002",IF($E204&gt;kdo_esikTasarruf,"KDO-004",IF($C204&gt;kdo_esikFark,"KDO-005","TANIMSIZ")))))</f>
        <v/>
      </c>
    </row>
    <row r="205">
      <c r="A205" s="22">
        <f>IF('ESLESTIRME'!$A205="","",'ESLESTIRME'!$A205)</f>
        <v/>
      </c>
      <c r="B205" s="15">
        <f>IF($A205="","",IFERROR(INDEX(tblEslesme[Kova],MATCH($A205,tblEslesme[A_Norm],0)),""))</f>
        <v/>
      </c>
      <c r="C205" s="15">
        <f>IF($A205="","",IFERROR(INDEX(tblEslesme[AbsFark],MATCH($A205,tblEslesme[A_Norm],0)),0))</f>
        <v/>
      </c>
      <c r="D205" s="15">
        <f>IF($A205="","",IFERROR(SUMIF(tblMotor[A_Norm],$A205,tblMotor[DesiKgOran]),0))</f>
        <v/>
      </c>
      <c r="E205" s="15">
        <f>IF($A205="","",IFERROR(SUMIF(tblMotor[A_Norm],$A205,tblMotor[Tasarruf]),0))</f>
        <v/>
      </c>
      <c r="F205" s="15">
        <f>IF($A205="","",IFERROR(SUMIF(tblMotor[A_Norm],$A205,tblMotor[IadeOran]),0))</f>
        <v/>
      </c>
      <c r="G205" s="15">
        <f>IF($A205="","",IFERROR(SUMIF(tblMotor[A_Norm],$A205,tblMotor[BirimKargo]),0))</f>
        <v/>
      </c>
      <c r="H205" s="15">
        <f>IF(OR($A205="",$B205&lt;&gt;"tutar_farki"),"",IF($D205&gt;kdo_esikDesiOran,"KDO-001",IF($F205&gt;kdo_esikIade,"KDO-002",IF($E205&gt;kdo_esikTasarruf,"KDO-004",IF($C205&gt;kdo_esikFark,"KDO-005","TANIMSIZ")))))</f>
        <v/>
      </c>
    </row>
    <row r="206">
      <c r="A206" s="22">
        <f>IF('ESLESTIRME'!$A206="","",'ESLESTIRME'!$A206)</f>
        <v/>
      </c>
      <c r="B206" s="15">
        <f>IF($A206="","",IFERROR(INDEX(tblEslesme[Kova],MATCH($A206,tblEslesme[A_Norm],0)),""))</f>
        <v/>
      </c>
      <c r="C206" s="15">
        <f>IF($A206="","",IFERROR(INDEX(tblEslesme[AbsFark],MATCH($A206,tblEslesme[A_Norm],0)),0))</f>
        <v/>
      </c>
      <c r="D206" s="15">
        <f>IF($A206="","",IFERROR(SUMIF(tblMotor[A_Norm],$A206,tblMotor[DesiKgOran]),0))</f>
        <v/>
      </c>
      <c r="E206" s="15">
        <f>IF($A206="","",IFERROR(SUMIF(tblMotor[A_Norm],$A206,tblMotor[Tasarruf]),0))</f>
        <v/>
      </c>
      <c r="F206" s="15">
        <f>IF($A206="","",IFERROR(SUMIF(tblMotor[A_Norm],$A206,tblMotor[IadeOran]),0))</f>
        <v/>
      </c>
      <c r="G206" s="15">
        <f>IF($A206="","",IFERROR(SUMIF(tblMotor[A_Norm],$A206,tblMotor[BirimKargo]),0))</f>
        <v/>
      </c>
      <c r="H206" s="15">
        <f>IF(OR($A206="",$B206&lt;&gt;"tutar_farki"),"",IF($D206&gt;kdo_esikDesiOran,"KDO-001",IF($F206&gt;kdo_esikIade,"KDO-002",IF($E206&gt;kdo_esikTasarruf,"KDO-004",IF($C206&gt;kdo_esikFark,"KDO-005","TANIMSIZ")))))</f>
        <v/>
      </c>
    </row>
    <row r="207">
      <c r="A207" s="22">
        <f>IF('ESLESTIRME'!$A207="","",'ESLESTIRME'!$A207)</f>
        <v/>
      </c>
      <c r="B207" s="15">
        <f>IF($A207="","",IFERROR(INDEX(tblEslesme[Kova],MATCH($A207,tblEslesme[A_Norm],0)),""))</f>
        <v/>
      </c>
      <c r="C207" s="15">
        <f>IF($A207="","",IFERROR(INDEX(tblEslesme[AbsFark],MATCH($A207,tblEslesme[A_Norm],0)),0))</f>
        <v/>
      </c>
      <c r="D207" s="15">
        <f>IF($A207="","",IFERROR(SUMIF(tblMotor[A_Norm],$A207,tblMotor[DesiKgOran]),0))</f>
        <v/>
      </c>
      <c r="E207" s="15">
        <f>IF($A207="","",IFERROR(SUMIF(tblMotor[A_Norm],$A207,tblMotor[Tasarruf]),0))</f>
        <v/>
      </c>
      <c r="F207" s="15">
        <f>IF($A207="","",IFERROR(SUMIF(tblMotor[A_Norm],$A207,tblMotor[IadeOran]),0))</f>
        <v/>
      </c>
      <c r="G207" s="15">
        <f>IF($A207="","",IFERROR(SUMIF(tblMotor[A_Norm],$A207,tblMotor[BirimKargo]),0))</f>
        <v/>
      </c>
      <c r="H207" s="15">
        <f>IF(OR($A207="",$B207&lt;&gt;"tutar_farki"),"",IF($D207&gt;kdo_esikDesiOran,"KDO-001",IF($F207&gt;kdo_esikIade,"KDO-002",IF($E207&gt;kdo_esikTasarruf,"KDO-004",IF($C207&gt;kdo_esikFark,"KDO-005","TANIMSIZ")))))</f>
        <v/>
      </c>
    </row>
    <row r="208">
      <c r="A208" s="22">
        <f>IF('ESLESTIRME'!$A208="","",'ESLESTIRME'!$A208)</f>
        <v/>
      </c>
      <c r="B208" s="15">
        <f>IF($A208="","",IFERROR(INDEX(tblEslesme[Kova],MATCH($A208,tblEslesme[A_Norm],0)),""))</f>
        <v/>
      </c>
      <c r="C208" s="15">
        <f>IF($A208="","",IFERROR(INDEX(tblEslesme[AbsFark],MATCH($A208,tblEslesme[A_Norm],0)),0))</f>
        <v/>
      </c>
      <c r="D208" s="15">
        <f>IF($A208="","",IFERROR(SUMIF(tblMotor[A_Norm],$A208,tblMotor[DesiKgOran]),0))</f>
        <v/>
      </c>
      <c r="E208" s="15">
        <f>IF($A208="","",IFERROR(SUMIF(tblMotor[A_Norm],$A208,tblMotor[Tasarruf]),0))</f>
        <v/>
      </c>
      <c r="F208" s="15">
        <f>IF($A208="","",IFERROR(SUMIF(tblMotor[A_Norm],$A208,tblMotor[IadeOran]),0))</f>
        <v/>
      </c>
      <c r="G208" s="15">
        <f>IF($A208="","",IFERROR(SUMIF(tblMotor[A_Norm],$A208,tblMotor[BirimKargo]),0))</f>
        <v/>
      </c>
      <c r="H208" s="15">
        <f>IF(OR($A208="",$B208&lt;&gt;"tutar_farki"),"",IF($D208&gt;kdo_esikDesiOran,"KDO-001",IF($F208&gt;kdo_esikIade,"KDO-002",IF($E208&gt;kdo_esikTasarruf,"KDO-004",IF($C208&gt;kdo_esikFark,"KDO-005","TANIMSIZ")))))</f>
        <v/>
      </c>
    </row>
    <row r="209">
      <c r="A209" s="22">
        <f>IF('ESLESTIRME'!$A209="","",'ESLESTIRME'!$A209)</f>
        <v/>
      </c>
      <c r="B209" s="15">
        <f>IF($A209="","",IFERROR(INDEX(tblEslesme[Kova],MATCH($A209,tblEslesme[A_Norm],0)),""))</f>
        <v/>
      </c>
      <c r="C209" s="15">
        <f>IF($A209="","",IFERROR(INDEX(tblEslesme[AbsFark],MATCH($A209,tblEslesme[A_Norm],0)),0))</f>
        <v/>
      </c>
      <c r="D209" s="15">
        <f>IF($A209="","",IFERROR(SUMIF(tblMotor[A_Norm],$A209,tblMotor[DesiKgOran]),0))</f>
        <v/>
      </c>
      <c r="E209" s="15">
        <f>IF($A209="","",IFERROR(SUMIF(tblMotor[A_Norm],$A209,tblMotor[Tasarruf]),0))</f>
        <v/>
      </c>
      <c r="F209" s="15">
        <f>IF($A209="","",IFERROR(SUMIF(tblMotor[A_Norm],$A209,tblMotor[IadeOran]),0))</f>
        <v/>
      </c>
      <c r="G209" s="15">
        <f>IF($A209="","",IFERROR(SUMIF(tblMotor[A_Norm],$A209,tblMotor[BirimKargo]),0))</f>
        <v/>
      </c>
      <c r="H209" s="15">
        <f>IF(OR($A209="",$B209&lt;&gt;"tutar_farki"),"",IF($D209&gt;kdo_esikDesiOran,"KDO-001",IF($F209&gt;kdo_esikIade,"KDO-002",IF($E209&gt;kdo_esikTasarruf,"KDO-004",IF($C209&gt;kdo_esikFark,"KDO-005","TANIMSIZ")))))</f>
        <v/>
      </c>
    </row>
    <row r="210">
      <c r="A210" s="22">
        <f>IF('ESLESTIRME'!$A210="","",'ESLESTIRME'!$A210)</f>
        <v/>
      </c>
      <c r="B210" s="15">
        <f>IF($A210="","",IFERROR(INDEX(tblEslesme[Kova],MATCH($A210,tblEslesme[A_Norm],0)),""))</f>
        <v/>
      </c>
      <c r="C210" s="15">
        <f>IF($A210="","",IFERROR(INDEX(tblEslesme[AbsFark],MATCH($A210,tblEslesme[A_Norm],0)),0))</f>
        <v/>
      </c>
      <c r="D210" s="15">
        <f>IF($A210="","",IFERROR(SUMIF(tblMotor[A_Norm],$A210,tblMotor[DesiKgOran]),0))</f>
        <v/>
      </c>
      <c r="E210" s="15">
        <f>IF($A210="","",IFERROR(SUMIF(tblMotor[A_Norm],$A210,tblMotor[Tasarruf]),0))</f>
        <v/>
      </c>
      <c r="F210" s="15">
        <f>IF($A210="","",IFERROR(SUMIF(tblMotor[A_Norm],$A210,tblMotor[IadeOran]),0))</f>
        <v/>
      </c>
      <c r="G210" s="15">
        <f>IF($A210="","",IFERROR(SUMIF(tblMotor[A_Norm],$A210,tblMotor[BirimKargo]),0))</f>
        <v/>
      </c>
      <c r="H210" s="15">
        <f>IF(OR($A210="",$B210&lt;&gt;"tutar_farki"),"",IF($D210&gt;kdo_esikDesiOran,"KDO-001",IF($F210&gt;kdo_esikIade,"KDO-002",IF($E210&gt;kdo_esikTasarruf,"KDO-004",IF($C210&gt;kdo_esikFark,"KDO-005","TANIMSIZ")))))</f>
        <v/>
      </c>
    </row>
    <row r="211">
      <c r="A211" s="22">
        <f>IF('ESLESTIRME'!$A211="","",'ESLESTIRME'!$A211)</f>
        <v/>
      </c>
      <c r="B211" s="15">
        <f>IF($A211="","",IFERROR(INDEX(tblEslesme[Kova],MATCH($A211,tblEslesme[A_Norm],0)),""))</f>
        <v/>
      </c>
      <c r="C211" s="15">
        <f>IF($A211="","",IFERROR(INDEX(tblEslesme[AbsFark],MATCH($A211,tblEslesme[A_Norm],0)),0))</f>
        <v/>
      </c>
      <c r="D211" s="15">
        <f>IF($A211="","",IFERROR(SUMIF(tblMotor[A_Norm],$A211,tblMotor[DesiKgOran]),0))</f>
        <v/>
      </c>
      <c r="E211" s="15">
        <f>IF($A211="","",IFERROR(SUMIF(tblMotor[A_Norm],$A211,tblMotor[Tasarruf]),0))</f>
        <v/>
      </c>
      <c r="F211" s="15">
        <f>IF($A211="","",IFERROR(SUMIF(tblMotor[A_Norm],$A211,tblMotor[IadeOran]),0))</f>
        <v/>
      </c>
      <c r="G211" s="15">
        <f>IF($A211="","",IFERROR(SUMIF(tblMotor[A_Norm],$A211,tblMotor[BirimKargo]),0))</f>
        <v/>
      </c>
      <c r="H211" s="15">
        <f>IF(OR($A211="",$B211&lt;&gt;"tutar_farki"),"",IF($D211&gt;kdo_esikDesiOran,"KDO-001",IF($F211&gt;kdo_esikIade,"KDO-002",IF($E211&gt;kdo_esikTasarruf,"KDO-004",IF($C211&gt;kdo_esikFark,"KDO-005","TANIMSIZ")))))</f>
        <v/>
      </c>
    </row>
    <row r="212">
      <c r="A212" s="22">
        <f>IF('ESLESTIRME'!$A212="","",'ESLESTIRME'!$A212)</f>
        <v/>
      </c>
      <c r="B212" s="15">
        <f>IF($A212="","",IFERROR(INDEX(tblEslesme[Kova],MATCH($A212,tblEslesme[A_Norm],0)),""))</f>
        <v/>
      </c>
      <c r="C212" s="15">
        <f>IF($A212="","",IFERROR(INDEX(tblEslesme[AbsFark],MATCH($A212,tblEslesme[A_Norm],0)),0))</f>
        <v/>
      </c>
      <c r="D212" s="15">
        <f>IF($A212="","",IFERROR(SUMIF(tblMotor[A_Norm],$A212,tblMotor[DesiKgOran]),0))</f>
        <v/>
      </c>
      <c r="E212" s="15">
        <f>IF($A212="","",IFERROR(SUMIF(tblMotor[A_Norm],$A212,tblMotor[Tasarruf]),0))</f>
        <v/>
      </c>
      <c r="F212" s="15">
        <f>IF($A212="","",IFERROR(SUMIF(tblMotor[A_Norm],$A212,tblMotor[IadeOran]),0))</f>
        <v/>
      </c>
      <c r="G212" s="15">
        <f>IF($A212="","",IFERROR(SUMIF(tblMotor[A_Norm],$A212,tblMotor[BirimKargo]),0))</f>
        <v/>
      </c>
      <c r="H212" s="15">
        <f>IF(OR($A212="",$B212&lt;&gt;"tutar_farki"),"",IF($D212&gt;kdo_esikDesiOran,"KDO-001",IF($F212&gt;kdo_esikIade,"KDO-002",IF($E212&gt;kdo_esikTasarruf,"KDO-004",IF($C212&gt;kdo_esikFark,"KDO-005","TANIMSIZ")))))</f>
        <v/>
      </c>
    </row>
    <row r="213">
      <c r="A213" s="22">
        <f>IF('ESLESTIRME'!$A213="","",'ESLESTIRME'!$A213)</f>
        <v/>
      </c>
      <c r="B213" s="15">
        <f>IF($A213="","",IFERROR(INDEX(tblEslesme[Kova],MATCH($A213,tblEslesme[A_Norm],0)),""))</f>
        <v/>
      </c>
      <c r="C213" s="15">
        <f>IF($A213="","",IFERROR(INDEX(tblEslesme[AbsFark],MATCH($A213,tblEslesme[A_Norm],0)),0))</f>
        <v/>
      </c>
      <c r="D213" s="15">
        <f>IF($A213="","",IFERROR(SUMIF(tblMotor[A_Norm],$A213,tblMotor[DesiKgOran]),0))</f>
        <v/>
      </c>
      <c r="E213" s="15">
        <f>IF($A213="","",IFERROR(SUMIF(tblMotor[A_Norm],$A213,tblMotor[Tasarruf]),0))</f>
        <v/>
      </c>
      <c r="F213" s="15">
        <f>IF($A213="","",IFERROR(SUMIF(tblMotor[A_Norm],$A213,tblMotor[IadeOran]),0))</f>
        <v/>
      </c>
      <c r="G213" s="15">
        <f>IF($A213="","",IFERROR(SUMIF(tblMotor[A_Norm],$A213,tblMotor[BirimKargo]),0))</f>
        <v/>
      </c>
      <c r="H213" s="15">
        <f>IF(OR($A213="",$B213&lt;&gt;"tutar_farki"),"",IF($D213&gt;kdo_esikDesiOran,"KDO-001",IF($F213&gt;kdo_esikIade,"KDO-002",IF($E213&gt;kdo_esikTasarruf,"KDO-004",IF($C213&gt;kdo_esikFark,"KDO-005","TANIMSIZ")))))</f>
        <v/>
      </c>
    </row>
    <row r="214">
      <c r="A214" s="22">
        <f>IF('ESLESTIRME'!$A214="","",'ESLESTIRME'!$A214)</f>
        <v/>
      </c>
      <c r="B214" s="15">
        <f>IF($A214="","",IFERROR(INDEX(tblEslesme[Kova],MATCH($A214,tblEslesme[A_Norm],0)),""))</f>
        <v/>
      </c>
      <c r="C214" s="15">
        <f>IF($A214="","",IFERROR(INDEX(tblEslesme[AbsFark],MATCH($A214,tblEslesme[A_Norm],0)),0))</f>
        <v/>
      </c>
      <c r="D214" s="15">
        <f>IF($A214="","",IFERROR(SUMIF(tblMotor[A_Norm],$A214,tblMotor[DesiKgOran]),0))</f>
        <v/>
      </c>
      <c r="E214" s="15">
        <f>IF($A214="","",IFERROR(SUMIF(tblMotor[A_Norm],$A214,tblMotor[Tasarruf]),0))</f>
        <v/>
      </c>
      <c r="F214" s="15">
        <f>IF($A214="","",IFERROR(SUMIF(tblMotor[A_Norm],$A214,tblMotor[IadeOran]),0))</f>
        <v/>
      </c>
      <c r="G214" s="15">
        <f>IF($A214="","",IFERROR(SUMIF(tblMotor[A_Norm],$A214,tblMotor[BirimKargo]),0))</f>
        <v/>
      </c>
      <c r="H214" s="15">
        <f>IF(OR($A214="",$B214&lt;&gt;"tutar_farki"),"",IF($D214&gt;kdo_esikDesiOran,"KDO-001",IF($F214&gt;kdo_esikIade,"KDO-002",IF($E214&gt;kdo_esikTasarruf,"KDO-004",IF($C214&gt;kdo_esikFark,"KDO-005","TANIMSIZ")))))</f>
        <v/>
      </c>
    </row>
    <row r="215">
      <c r="A215" s="22">
        <f>IF('ESLESTIRME'!$A215="","",'ESLESTIRME'!$A215)</f>
        <v/>
      </c>
      <c r="B215" s="15">
        <f>IF($A215="","",IFERROR(INDEX(tblEslesme[Kova],MATCH($A215,tblEslesme[A_Norm],0)),""))</f>
        <v/>
      </c>
      <c r="C215" s="15">
        <f>IF($A215="","",IFERROR(INDEX(tblEslesme[AbsFark],MATCH($A215,tblEslesme[A_Norm],0)),0))</f>
        <v/>
      </c>
      <c r="D215" s="15">
        <f>IF($A215="","",IFERROR(SUMIF(tblMotor[A_Norm],$A215,tblMotor[DesiKgOran]),0))</f>
        <v/>
      </c>
      <c r="E215" s="15">
        <f>IF($A215="","",IFERROR(SUMIF(tblMotor[A_Norm],$A215,tblMotor[Tasarruf]),0))</f>
        <v/>
      </c>
      <c r="F215" s="15">
        <f>IF($A215="","",IFERROR(SUMIF(tblMotor[A_Norm],$A215,tblMotor[IadeOran]),0))</f>
        <v/>
      </c>
      <c r="G215" s="15">
        <f>IF($A215="","",IFERROR(SUMIF(tblMotor[A_Norm],$A215,tblMotor[BirimKargo]),0))</f>
        <v/>
      </c>
      <c r="H215" s="15">
        <f>IF(OR($A215="",$B215&lt;&gt;"tutar_farki"),"",IF($D215&gt;kdo_esikDesiOran,"KDO-001",IF($F215&gt;kdo_esikIade,"KDO-002",IF($E215&gt;kdo_esikTasarruf,"KDO-004",IF($C215&gt;kdo_esikFark,"KDO-005","TANIMSIZ")))))</f>
        <v/>
      </c>
    </row>
    <row r="216">
      <c r="A216" s="22">
        <f>IF('ESLESTIRME'!$A216="","",'ESLESTIRME'!$A216)</f>
        <v/>
      </c>
      <c r="B216" s="15">
        <f>IF($A216="","",IFERROR(INDEX(tblEslesme[Kova],MATCH($A216,tblEslesme[A_Norm],0)),""))</f>
        <v/>
      </c>
      <c r="C216" s="15">
        <f>IF($A216="","",IFERROR(INDEX(tblEslesme[AbsFark],MATCH($A216,tblEslesme[A_Norm],0)),0))</f>
        <v/>
      </c>
      <c r="D216" s="15">
        <f>IF($A216="","",IFERROR(SUMIF(tblMotor[A_Norm],$A216,tblMotor[DesiKgOran]),0))</f>
        <v/>
      </c>
      <c r="E216" s="15">
        <f>IF($A216="","",IFERROR(SUMIF(tblMotor[A_Norm],$A216,tblMotor[Tasarruf]),0))</f>
        <v/>
      </c>
      <c r="F216" s="15">
        <f>IF($A216="","",IFERROR(SUMIF(tblMotor[A_Norm],$A216,tblMotor[IadeOran]),0))</f>
        <v/>
      </c>
      <c r="G216" s="15">
        <f>IF($A216="","",IFERROR(SUMIF(tblMotor[A_Norm],$A216,tblMotor[BirimKargo]),0))</f>
        <v/>
      </c>
      <c r="H216" s="15">
        <f>IF(OR($A216="",$B216&lt;&gt;"tutar_farki"),"",IF($D216&gt;kdo_esikDesiOran,"KDO-001",IF($F216&gt;kdo_esikIade,"KDO-002",IF($E216&gt;kdo_esikTasarruf,"KDO-004",IF($C216&gt;kdo_esikFark,"KDO-005","TANIMSIZ")))))</f>
        <v/>
      </c>
    </row>
    <row r="217">
      <c r="A217" s="22">
        <f>IF('ESLESTIRME'!$A217="","",'ESLESTIRME'!$A217)</f>
        <v/>
      </c>
      <c r="B217" s="15">
        <f>IF($A217="","",IFERROR(INDEX(tblEslesme[Kova],MATCH($A217,tblEslesme[A_Norm],0)),""))</f>
        <v/>
      </c>
      <c r="C217" s="15">
        <f>IF($A217="","",IFERROR(INDEX(tblEslesme[AbsFark],MATCH($A217,tblEslesme[A_Norm],0)),0))</f>
        <v/>
      </c>
      <c r="D217" s="15">
        <f>IF($A217="","",IFERROR(SUMIF(tblMotor[A_Norm],$A217,tblMotor[DesiKgOran]),0))</f>
        <v/>
      </c>
      <c r="E217" s="15">
        <f>IF($A217="","",IFERROR(SUMIF(tblMotor[A_Norm],$A217,tblMotor[Tasarruf]),0))</f>
        <v/>
      </c>
      <c r="F217" s="15">
        <f>IF($A217="","",IFERROR(SUMIF(tblMotor[A_Norm],$A217,tblMotor[IadeOran]),0))</f>
        <v/>
      </c>
      <c r="G217" s="15">
        <f>IF($A217="","",IFERROR(SUMIF(tblMotor[A_Norm],$A217,tblMotor[BirimKargo]),0))</f>
        <v/>
      </c>
      <c r="H217" s="15">
        <f>IF(OR($A217="",$B217&lt;&gt;"tutar_farki"),"",IF($D217&gt;kdo_esikDesiOran,"KDO-001",IF($F217&gt;kdo_esikIade,"KDO-002",IF($E217&gt;kdo_esikTasarruf,"KDO-004",IF($C217&gt;kdo_esikFark,"KDO-005","TANIMSIZ")))))</f>
        <v/>
      </c>
    </row>
    <row r="218">
      <c r="A218" s="22">
        <f>IF('ESLESTIRME'!$A218="","",'ESLESTIRME'!$A218)</f>
        <v/>
      </c>
      <c r="B218" s="15">
        <f>IF($A218="","",IFERROR(INDEX(tblEslesme[Kova],MATCH($A218,tblEslesme[A_Norm],0)),""))</f>
        <v/>
      </c>
      <c r="C218" s="15">
        <f>IF($A218="","",IFERROR(INDEX(tblEslesme[AbsFark],MATCH($A218,tblEslesme[A_Norm],0)),0))</f>
        <v/>
      </c>
      <c r="D218" s="15">
        <f>IF($A218="","",IFERROR(SUMIF(tblMotor[A_Norm],$A218,tblMotor[DesiKgOran]),0))</f>
        <v/>
      </c>
      <c r="E218" s="15">
        <f>IF($A218="","",IFERROR(SUMIF(tblMotor[A_Norm],$A218,tblMotor[Tasarruf]),0))</f>
        <v/>
      </c>
      <c r="F218" s="15">
        <f>IF($A218="","",IFERROR(SUMIF(tblMotor[A_Norm],$A218,tblMotor[IadeOran]),0))</f>
        <v/>
      </c>
      <c r="G218" s="15">
        <f>IF($A218="","",IFERROR(SUMIF(tblMotor[A_Norm],$A218,tblMotor[BirimKargo]),0))</f>
        <v/>
      </c>
      <c r="H218" s="15">
        <f>IF(OR($A218="",$B218&lt;&gt;"tutar_farki"),"",IF($D218&gt;kdo_esikDesiOran,"KDO-001",IF($F218&gt;kdo_esikIade,"KDO-002",IF($E218&gt;kdo_esikTasarruf,"KDO-004",IF($C218&gt;kdo_esikFark,"KDO-005","TANIMSIZ")))))</f>
        <v/>
      </c>
    </row>
    <row r="219">
      <c r="A219" s="22">
        <f>IF('ESLESTIRME'!$A219="","",'ESLESTIRME'!$A219)</f>
        <v/>
      </c>
      <c r="B219" s="15">
        <f>IF($A219="","",IFERROR(INDEX(tblEslesme[Kova],MATCH($A219,tblEslesme[A_Norm],0)),""))</f>
        <v/>
      </c>
      <c r="C219" s="15">
        <f>IF($A219="","",IFERROR(INDEX(tblEslesme[AbsFark],MATCH($A219,tblEslesme[A_Norm],0)),0))</f>
        <v/>
      </c>
      <c r="D219" s="15">
        <f>IF($A219="","",IFERROR(SUMIF(tblMotor[A_Norm],$A219,tblMotor[DesiKgOran]),0))</f>
        <v/>
      </c>
      <c r="E219" s="15">
        <f>IF($A219="","",IFERROR(SUMIF(tblMotor[A_Norm],$A219,tblMotor[Tasarruf]),0))</f>
        <v/>
      </c>
      <c r="F219" s="15">
        <f>IF($A219="","",IFERROR(SUMIF(tblMotor[A_Norm],$A219,tblMotor[IadeOran]),0))</f>
        <v/>
      </c>
      <c r="G219" s="15">
        <f>IF($A219="","",IFERROR(SUMIF(tblMotor[A_Norm],$A219,tblMotor[BirimKargo]),0))</f>
        <v/>
      </c>
      <c r="H219" s="15">
        <f>IF(OR($A219="",$B219&lt;&gt;"tutar_farki"),"",IF($D219&gt;kdo_esikDesiOran,"KDO-001",IF($F219&gt;kdo_esikIade,"KDO-002",IF($E219&gt;kdo_esikTasarruf,"KDO-004",IF($C219&gt;kdo_esikFark,"KDO-005","TANIMSIZ")))))</f>
        <v/>
      </c>
    </row>
    <row r="220">
      <c r="A220" s="22">
        <f>IF('ESLESTIRME'!$A220="","",'ESLESTIRME'!$A220)</f>
        <v/>
      </c>
      <c r="B220" s="15">
        <f>IF($A220="","",IFERROR(INDEX(tblEslesme[Kova],MATCH($A220,tblEslesme[A_Norm],0)),""))</f>
        <v/>
      </c>
      <c r="C220" s="15">
        <f>IF($A220="","",IFERROR(INDEX(tblEslesme[AbsFark],MATCH($A220,tblEslesme[A_Norm],0)),0))</f>
        <v/>
      </c>
      <c r="D220" s="15">
        <f>IF($A220="","",IFERROR(SUMIF(tblMotor[A_Norm],$A220,tblMotor[DesiKgOran]),0))</f>
        <v/>
      </c>
      <c r="E220" s="15">
        <f>IF($A220="","",IFERROR(SUMIF(tblMotor[A_Norm],$A220,tblMotor[Tasarruf]),0))</f>
        <v/>
      </c>
      <c r="F220" s="15">
        <f>IF($A220="","",IFERROR(SUMIF(tblMotor[A_Norm],$A220,tblMotor[IadeOran]),0))</f>
        <v/>
      </c>
      <c r="G220" s="15">
        <f>IF($A220="","",IFERROR(SUMIF(tblMotor[A_Norm],$A220,tblMotor[BirimKargo]),0))</f>
        <v/>
      </c>
      <c r="H220" s="15">
        <f>IF(OR($A220="",$B220&lt;&gt;"tutar_farki"),"",IF($D220&gt;kdo_esikDesiOran,"KDO-001",IF($F220&gt;kdo_esikIade,"KDO-002",IF($E220&gt;kdo_esikTasarruf,"KDO-004",IF($C220&gt;kdo_esikFark,"KDO-005","TANIMSIZ")))))</f>
        <v/>
      </c>
    </row>
    <row r="221">
      <c r="A221" s="22">
        <f>IF('ESLESTIRME'!$A221="","",'ESLESTIRME'!$A221)</f>
        <v/>
      </c>
      <c r="B221" s="15">
        <f>IF($A221="","",IFERROR(INDEX(tblEslesme[Kova],MATCH($A221,tblEslesme[A_Norm],0)),""))</f>
        <v/>
      </c>
      <c r="C221" s="15">
        <f>IF($A221="","",IFERROR(INDEX(tblEslesme[AbsFark],MATCH($A221,tblEslesme[A_Norm],0)),0))</f>
        <v/>
      </c>
      <c r="D221" s="15">
        <f>IF($A221="","",IFERROR(SUMIF(tblMotor[A_Norm],$A221,tblMotor[DesiKgOran]),0))</f>
        <v/>
      </c>
      <c r="E221" s="15">
        <f>IF($A221="","",IFERROR(SUMIF(tblMotor[A_Norm],$A221,tblMotor[Tasarruf]),0))</f>
        <v/>
      </c>
      <c r="F221" s="15">
        <f>IF($A221="","",IFERROR(SUMIF(tblMotor[A_Norm],$A221,tblMotor[IadeOran]),0))</f>
        <v/>
      </c>
      <c r="G221" s="15">
        <f>IF($A221="","",IFERROR(SUMIF(tblMotor[A_Norm],$A221,tblMotor[BirimKargo]),0))</f>
        <v/>
      </c>
      <c r="H221" s="15">
        <f>IF(OR($A221="",$B221&lt;&gt;"tutar_farki"),"",IF($D221&gt;kdo_esikDesiOran,"KDO-001",IF($F221&gt;kdo_esikIade,"KDO-002",IF($E221&gt;kdo_esikTasarruf,"KDO-004",IF($C221&gt;kdo_esikFark,"KDO-005","TANIMSIZ")))))</f>
        <v/>
      </c>
    </row>
    <row r="222">
      <c r="A222" s="22">
        <f>IF('ESLESTIRME'!$A222="","",'ESLESTIRME'!$A222)</f>
        <v/>
      </c>
      <c r="B222" s="15">
        <f>IF($A222="","",IFERROR(INDEX(tblEslesme[Kova],MATCH($A222,tblEslesme[A_Norm],0)),""))</f>
        <v/>
      </c>
      <c r="C222" s="15">
        <f>IF($A222="","",IFERROR(INDEX(tblEslesme[AbsFark],MATCH($A222,tblEslesme[A_Norm],0)),0))</f>
        <v/>
      </c>
      <c r="D222" s="15">
        <f>IF($A222="","",IFERROR(SUMIF(tblMotor[A_Norm],$A222,tblMotor[DesiKgOran]),0))</f>
        <v/>
      </c>
      <c r="E222" s="15">
        <f>IF($A222="","",IFERROR(SUMIF(tblMotor[A_Norm],$A222,tblMotor[Tasarruf]),0))</f>
        <v/>
      </c>
      <c r="F222" s="15">
        <f>IF($A222="","",IFERROR(SUMIF(tblMotor[A_Norm],$A222,tblMotor[IadeOran]),0))</f>
        <v/>
      </c>
      <c r="G222" s="15">
        <f>IF($A222="","",IFERROR(SUMIF(tblMotor[A_Norm],$A222,tblMotor[BirimKargo]),0))</f>
        <v/>
      </c>
      <c r="H222" s="15">
        <f>IF(OR($A222="",$B222&lt;&gt;"tutar_farki"),"",IF($D222&gt;kdo_esikDesiOran,"KDO-001",IF($F222&gt;kdo_esikIade,"KDO-002",IF($E222&gt;kdo_esikTasarruf,"KDO-004",IF($C222&gt;kdo_esikFark,"KDO-005","TANIMSIZ")))))</f>
        <v/>
      </c>
    </row>
    <row r="223">
      <c r="A223" s="22">
        <f>IF('ESLESTIRME'!$A223="","",'ESLESTIRME'!$A223)</f>
        <v/>
      </c>
      <c r="B223" s="15">
        <f>IF($A223="","",IFERROR(INDEX(tblEslesme[Kova],MATCH($A223,tblEslesme[A_Norm],0)),""))</f>
        <v/>
      </c>
      <c r="C223" s="15">
        <f>IF($A223="","",IFERROR(INDEX(tblEslesme[AbsFark],MATCH($A223,tblEslesme[A_Norm],0)),0))</f>
        <v/>
      </c>
      <c r="D223" s="15">
        <f>IF($A223="","",IFERROR(SUMIF(tblMotor[A_Norm],$A223,tblMotor[DesiKgOran]),0))</f>
        <v/>
      </c>
      <c r="E223" s="15">
        <f>IF($A223="","",IFERROR(SUMIF(tblMotor[A_Norm],$A223,tblMotor[Tasarruf]),0))</f>
        <v/>
      </c>
      <c r="F223" s="15">
        <f>IF($A223="","",IFERROR(SUMIF(tblMotor[A_Norm],$A223,tblMotor[IadeOran]),0))</f>
        <v/>
      </c>
      <c r="G223" s="15">
        <f>IF($A223="","",IFERROR(SUMIF(tblMotor[A_Norm],$A223,tblMotor[BirimKargo]),0))</f>
        <v/>
      </c>
      <c r="H223" s="15">
        <f>IF(OR($A223="",$B223&lt;&gt;"tutar_farki"),"",IF($D223&gt;kdo_esikDesiOran,"KDO-001",IF($F223&gt;kdo_esikIade,"KDO-002",IF($E223&gt;kdo_esikTasarruf,"KDO-004",IF($C223&gt;kdo_esikFark,"KDO-005","TANIMSIZ")))))</f>
        <v/>
      </c>
    </row>
    <row r="224">
      <c r="A224" s="22">
        <f>IF('ESLESTIRME'!$A224="","",'ESLESTIRME'!$A224)</f>
        <v/>
      </c>
      <c r="B224" s="15">
        <f>IF($A224="","",IFERROR(INDEX(tblEslesme[Kova],MATCH($A224,tblEslesme[A_Norm],0)),""))</f>
        <v/>
      </c>
      <c r="C224" s="15">
        <f>IF($A224="","",IFERROR(INDEX(tblEslesme[AbsFark],MATCH($A224,tblEslesme[A_Norm],0)),0))</f>
        <v/>
      </c>
      <c r="D224" s="15">
        <f>IF($A224="","",IFERROR(SUMIF(tblMotor[A_Norm],$A224,tblMotor[DesiKgOran]),0))</f>
        <v/>
      </c>
      <c r="E224" s="15">
        <f>IF($A224="","",IFERROR(SUMIF(tblMotor[A_Norm],$A224,tblMotor[Tasarruf]),0))</f>
        <v/>
      </c>
      <c r="F224" s="15">
        <f>IF($A224="","",IFERROR(SUMIF(tblMotor[A_Norm],$A224,tblMotor[IadeOran]),0))</f>
        <v/>
      </c>
      <c r="G224" s="15">
        <f>IF($A224="","",IFERROR(SUMIF(tblMotor[A_Norm],$A224,tblMotor[BirimKargo]),0))</f>
        <v/>
      </c>
      <c r="H224" s="15">
        <f>IF(OR($A224="",$B224&lt;&gt;"tutar_farki"),"",IF($D224&gt;kdo_esikDesiOran,"KDO-001",IF($F224&gt;kdo_esikIade,"KDO-002",IF($E224&gt;kdo_esikTasarruf,"KDO-004",IF($C224&gt;kdo_esikFark,"KDO-005","TANIMSIZ")))))</f>
        <v/>
      </c>
    </row>
    <row r="225">
      <c r="A225" s="22">
        <f>IF('ESLESTIRME'!$A225="","",'ESLESTIRME'!$A225)</f>
        <v/>
      </c>
      <c r="B225" s="15">
        <f>IF($A225="","",IFERROR(INDEX(tblEslesme[Kova],MATCH($A225,tblEslesme[A_Norm],0)),""))</f>
        <v/>
      </c>
      <c r="C225" s="15">
        <f>IF($A225="","",IFERROR(INDEX(tblEslesme[AbsFark],MATCH($A225,tblEslesme[A_Norm],0)),0))</f>
        <v/>
      </c>
      <c r="D225" s="15">
        <f>IF($A225="","",IFERROR(SUMIF(tblMotor[A_Norm],$A225,tblMotor[DesiKgOran]),0))</f>
        <v/>
      </c>
      <c r="E225" s="15">
        <f>IF($A225="","",IFERROR(SUMIF(tblMotor[A_Norm],$A225,tblMotor[Tasarruf]),0))</f>
        <v/>
      </c>
      <c r="F225" s="15">
        <f>IF($A225="","",IFERROR(SUMIF(tblMotor[A_Norm],$A225,tblMotor[IadeOran]),0))</f>
        <v/>
      </c>
      <c r="G225" s="15">
        <f>IF($A225="","",IFERROR(SUMIF(tblMotor[A_Norm],$A225,tblMotor[BirimKargo]),0))</f>
        <v/>
      </c>
      <c r="H225" s="15">
        <f>IF(OR($A225="",$B225&lt;&gt;"tutar_farki"),"",IF($D225&gt;kdo_esikDesiOran,"KDO-001",IF($F225&gt;kdo_esikIade,"KDO-002",IF($E225&gt;kdo_esikTasarruf,"KDO-004",IF($C225&gt;kdo_esikFark,"KDO-005","TANIMSIZ")))))</f>
        <v/>
      </c>
    </row>
    <row r="226">
      <c r="A226" s="22">
        <f>IF('ESLESTIRME'!$A226="","",'ESLESTIRME'!$A226)</f>
        <v/>
      </c>
      <c r="B226" s="15">
        <f>IF($A226="","",IFERROR(INDEX(tblEslesme[Kova],MATCH($A226,tblEslesme[A_Norm],0)),""))</f>
        <v/>
      </c>
      <c r="C226" s="15">
        <f>IF($A226="","",IFERROR(INDEX(tblEslesme[AbsFark],MATCH($A226,tblEslesme[A_Norm],0)),0))</f>
        <v/>
      </c>
      <c r="D226" s="15">
        <f>IF($A226="","",IFERROR(SUMIF(tblMotor[A_Norm],$A226,tblMotor[DesiKgOran]),0))</f>
        <v/>
      </c>
      <c r="E226" s="15">
        <f>IF($A226="","",IFERROR(SUMIF(tblMotor[A_Norm],$A226,tblMotor[Tasarruf]),0))</f>
        <v/>
      </c>
      <c r="F226" s="15">
        <f>IF($A226="","",IFERROR(SUMIF(tblMotor[A_Norm],$A226,tblMotor[IadeOran]),0))</f>
        <v/>
      </c>
      <c r="G226" s="15">
        <f>IF($A226="","",IFERROR(SUMIF(tblMotor[A_Norm],$A226,tblMotor[BirimKargo]),0))</f>
        <v/>
      </c>
      <c r="H226" s="15">
        <f>IF(OR($A226="",$B226&lt;&gt;"tutar_farki"),"",IF($D226&gt;kdo_esikDesiOran,"KDO-001",IF($F226&gt;kdo_esikIade,"KDO-002",IF($E226&gt;kdo_esikTasarruf,"KDO-004",IF($C226&gt;kdo_esikFark,"KDO-005","TANIMSIZ")))))</f>
        <v/>
      </c>
    </row>
    <row r="227">
      <c r="A227" s="22">
        <f>IF('ESLESTIRME'!$A227="","",'ESLESTIRME'!$A227)</f>
        <v/>
      </c>
      <c r="B227" s="15">
        <f>IF($A227="","",IFERROR(INDEX(tblEslesme[Kova],MATCH($A227,tblEslesme[A_Norm],0)),""))</f>
        <v/>
      </c>
      <c r="C227" s="15">
        <f>IF($A227="","",IFERROR(INDEX(tblEslesme[AbsFark],MATCH($A227,tblEslesme[A_Norm],0)),0))</f>
        <v/>
      </c>
      <c r="D227" s="15">
        <f>IF($A227="","",IFERROR(SUMIF(tblMotor[A_Norm],$A227,tblMotor[DesiKgOran]),0))</f>
        <v/>
      </c>
      <c r="E227" s="15">
        <f>IF($A227="","",IFERROR(SUMIF(tblMotor[A_Norm],$A227,tblMotor[Tasarruf]),0))</f>
        <v/>
      </c>
      <c r="F227" s="15">
        <f>IF($A227="","",IFERROR(SUMIF(tblMotor[A_Norm],$A227,tblMotor[IadeOran]),0))</f>
        <v/>
      </c>
      <c r="G227" s="15">
        <f>IF($A227="","",IFERROR(SUMIF(tblMotor[A_Norm],$A227,tblMotor[BirimKargo]),0))</f>
        <v/>
      </c>
      <c r="H227" s="15">
        <f>IF(OR($A227="",$B227&lt;&gt;"tutar_farki"),"",IF($D227&gt;kdo_esikDesiOran,"KDO-001",IF($F227&gt;kdo_esikIade,"KDO-002",IF($E227&gt;kdo_esikTasarruf,"KDO-004",IF($C227&gt;kdo_esikFark,"KDO-005","TANIMSIZ")))))</f>
        <v/>
      </c>
    </row>
    <row r="228">
      <c r="A228" s="22">
        <f>IF('ESLESTIRME'!$A228="","",'ESLESTIRME'!$A228)</f>
        <v/>
      </c>
      <c r="B228" s="15">
        <f>IF($A228="","",IFERROR(INDEX(tblEslesme[Kova],MATCH($A228,tblEslesme[A_Norm],0)),""))</f>
        <v/>
      </c>
      <c r="C228" s="15">
        <f>IF($A228="","",IFERROR(INDEX(tblEslesme[AbsFark],MATCH($A228,tblEslesme[A_Norm],0)),0))</f>
        <v/>
      </c>
      <c r="D228" s="15">
        <f>IF($A228="","",IFERROR(SUMIF(tblMotor[A_Norm],$A228,tblMotor[DesiKgOran]),0))</f>
        <v/>
      </c>
      <c r="E228" s="15">
        <f>IF($A228="","",IFERROR(SUMIF(tblMotor[A_Norm],$A228,tblMotor[Tasarruf]),0))</f>
        <v/>
      </c>
      <c r="F228" s="15">
        <f>IF($A228="","",IFERROR(SUMIF(tblMotor[A_Norm],$A228,tblMotor[IadeOran]),0))</f>
        <v/>
      </c>
      <c r="G228" s="15">
        <f>IF($A228="","",IFERROR(SUMIF(tblMotor[A_Norm],$A228,tblMotor[BirimKargo]),0))</f>
        <v/>
      </c>
      <c r="H228" s="15">
        <f>IF(OR($A228="",$B228&lt;&gt;"tutar_farki"),"",IF($D228&gt;kdo_esikDesiOran,"KDO-001",IF($F228&gt;kdo_esikIade,"KDO-002",IF($E228&gt;kdo_esikTasarruf,"KDO-004",IF($C228&gt;kdo_esikFark,"KDO-005","TANIMSIZ")))))</f>
        <v/>
      </c>
    </row>
    <row r="229">
      <c r="A229" s="22">
        <f>IF('ESLESTIRME'!$A229="","",'ESLESTIRME'!$A229)</f>
        <v/>
      </c>
      <c r="B229" s="15">
        <f>IF($A229="","",IFERROR(INDEX(tblEslesme[Kova],MATCH($A229,tblEslesme[A_Norm],0)),""))</f>
        <v/>
      </c>
      <c r="C229" s="15">
        <f>IF($A229="","",IFERROR(INDEX(tblEslesme[AbsFark],MATCH($A229,tblEslesme[A_Norm],0)),0))</f>
        <v/>
      </c>
      <c r="D229" s="15">
        <f>IF($A229="","",IFERROR(SUMIF(tblMotor[A_Norm],$A229,tblMotor[DesiKgOran]),0))</f>
        <v/>
      </c>
      <c r="E229" s="15">
        <f>IF($A229="","",IFERROR(SUMIF(tblMotor[A_Norm],$A229,tblMotor[Tasarruf]),0))</f>
        <v/>
      </c>
      <c r="F229" s="15">
        <f>IF($A229="","",IFERROR(SUMIF(tblMotor[A_Norm],$A229,tblMotor[IadeOran]),0))</f>
        <v/>
      </c>
      <c r="G229" s="15">
        <f>IF($A229="","",IFERROR(SUMIF(tblMotor[A_Norm],$A229,tblMotor[BirimKargo]),0))</f>
        <v/>
      </c>
      <c r="H229" s="15">
        <f>IF(OR($A229="",$B229&lt;&gt;"tutar_farki"),"",IF($D229&gt;kdo_esikDesiOran,"KDO-001",IF($F229&gt;kdo_esikIade,"KDO-002",IF($E229&gt;kdo_esikTasarruf,"KDO-004",IF($C229&gt;kdo_esikFark,"KDO-005","TANIMSIZ")))))</f>
        <v/>
      </c>
    </row>
    <row r="230">
      <c r="A230" s="22">
        <f>IF('ESLESTIRME'!$A230="","",'ESLESTIRME'!$A230)</f>
        <v/>
      </c>
      <c r="B230" s="15">
        <f>IF($A230="","",IFERROR(INDEX(tblEslesme[Kova],MATCH($A230,tblEslesme[A_Norm],0)),""))</f>
        <v/>
      </c>
      <c r="C230" s="15">
        <f>IF($A230="","",IFERROR(INDEX(tblEslesme[AbsFark],MATCH($A230,tblEslesme[A_Norm],0)),0))</f>
        <v/>
      </c>
      <c r="D230" s="15">
        <f>IF($A230="","",IFERROR(SUMIF(tblMotor[A_Norm],$A230,tblMotor[DesiKgOran]),0))</f>
        <v/>
      </c>
      <c r="E230" s="15">
        <f>IF($A230="","",IFERROR(SUMIF(tblMotor[A_Norm],$A230,tblMotor[Tasarruf]),0))</f>
        <v/>
      </c>
      <c r="F230" s="15">
        <f>IF($A230="","",IFERROR(SUMIF(tblMotor[A_Norm],$A230,tblMotor[IadeOran]),0))</f>
        <v/>
      </c>
      <c r="G230" s="15">
        <f>IF($A230="","",IFERROR(SUMIF(tblMotor[A_Norm],$A230,tblMotor[BirimKargo]),0))</f>
        <v/>
      </c>
      <c r="H230" s="15">
        <f>IF(OR($A230="",$B230&lt;&gt;"tutar_farki"),"",IF($D230&gt;kdo_esikDesiOran,"KDO-001",IF($F230&gt;kdo_esikIade,"KDO-002",IF($E230&gt;kdo_esikTasarruf,"KDO-004",IF($C230&gt;kdo_esikFark,"KDO-005","TANIMSIZ")))))</f>
        <v/>
      </c>
    </row>
    <row r="231">
      <c r="A231" s="22">
        <f>IF('ESLESTIRME'!$A231="","",'ESLESTIRME'!$A231)</f>
        <v/>
      </c>
      <c r="B231" s="15">
        <f>IF($A231="","",IFERROR(INDEX(tblEslesme[Kova],MATCH($A231,tblEslesme[A_Norm],0)),""))</f>
        <v/>
      </c>
      <c r="C231" s="15">
        <f>IF($A231="","",IFERROR(INDEX(tblEslesme[AbsFark],MATCH($A231,tblEslesme[A_Norm],0)),0))</f>
        <v/>
      </c>
      <c r="D231" s="15">
        <f>IF($A231="","",IFERROR(SUMIF(tblMotor[A_Norm],$A231,tblMotor[DesiKgOran]),0))</f>
        <v/>
      </c>
      <c r="E231" s="15">
        <f>IF($A231="","",IFERROR(SUMIF(tblMotor[A_Norm],$A231,tblMotor[Tasarruf]),0))</f>
        <v/>
      </c>
      <c r="F231" s="15">
        <f>IF($A231="","",IFERROR(SUMIF(tblMotor[A_Norm],$A231,tblMotor[IadeOran]),0))</f>
        <v/>
      </c>
      <c r="G231" s="15">
        <f>IF($A231="","",IFERROR(SUMIF(tblMotor[A_Norm],$A231,tblMotor[BirimKargo]),0))</f>
        <v/>
      </c>
      <c r="H231" s="15">
        <f>IF(OR($A231="",$B231&lt;&gt;"tutar_farki"),"",IF($D231&gt;kdo_esikDesiOran,"KDO-001",IF($F231&gt;kdo_esikIade,"KDO-002",IF($E231&gt;kdo_esikTasarruf,"KDO-004",IF($C231&gt;kdo_esikFark,"KDO-005","TANIMSIZ")))))</f>
        <v/>
      </c>
    </row>
    <row r="232">
      <c r="A232" s="22">
        <f>IF('ESLESTIRME'!$A232="","",'ESLESTIRME'!$A232)</f>
        <v/>
      </c>
      <c r="B232" s="15">
        <f>IF($A232="","",IFERROR(INDEX(tblEslesme[Kova],MATCH($A232,tblEslesme[A_Norm],0)),""))</f>
        <v/>
      </c>
      <c r="C232" s="15">
        <f>IF($A232="","",IFERROR(INDEX(tblEslesme[AbsFark],MATCH($A232,tblEslesme[A_Norm],0)),0))</f>
        <v/>
      </c>
      <c r="D232" s="15">
        <f>IF($A232="","",IFERROR(SUMIF(tblMotor[A_Norm],$A232,tblMotor[DesiKgOran]),0))</f>
        <v/>
      </c>
      <c r="E232" s="15">
        <f>IF($A232="","",IFERROR(SUMIF(tblMotor[A_Norm],$A232,tblMotor[Tasarruf]),0))</f>
        <v/>
      </c>
      <c r="F232" s="15">
        <f>IF($A232="","",IFERROR(SUMIF(tblMotor[A_Norm],$A232,tblMotor[IadeOran]),0))</f>
        <v/>
      </c>
      <c r="G232" s="15">
        <f>IF($A232="","",IFERROR(SUMIF(tblMotor[A_Norm],$A232,tblMotor[BirimKargo]),0))</f>
        <v/>
      </c>
      <c r="H232" s="15">
        <f>IF(OR($A232="",$B232&lt;&gt;"tutar_farki"),"",IF($D232&gt;kdo_esikDesiOran,"KDO-001",IF($F232&gt;kdo_esikIade,"KDO-002",IF($E232&gt;kdo_esikTasarruf,"KDO-004",IF($C232&gt;kdo_esikFark,"KDO-005","TANIMSIZ")))))</f>
        <v/>
      </c>
    </row>
    <row r="233">
      <c r="A233" s="22">
        <f>IF('ESLESTIRME'!$A233="","",'ESLESTIRME'!$A233)</f>
        <v/>
      </c>
      <c r="B233" s="15">
        <f>IF($A233="","",IFERROR(INDEX(tblEslesme[Kova],MATCH($A233,tblEslesme[A_Norm],0)),""))</f>
        <v/>
      </c>
      <c r="C233" s="15">
        <f>IF($A233="","",IFERROR(INDEX(tblEslesme[AbsFark],MATCH($A233,tblEslesme[A_Norm],0)),0))</f>
        <v/>
      </c>
      <c r="D233" s="15">
        <f>IF($A233="","",IFERROR(SUMIF(tblMotor[A_Norm],$A233,tblMotor[DesiKgOran]),0))</f>
        <v/>
      </c>
      <c r="E233" s="15">
        <f>IF($A233="","",IFERROR(SUMIF(tblMotor[A_Norm],$A233,tblMotor[Tasarruf]),0))</f>
        <v/>
      </c>
      <c r="F233" s="15">
        <f>IF($A233="","",IFERROR(SUMIF(tblMotor[A_Norm],$A233,tblMotor[IadeOran]),0))</f>
        <v/>
      </c>
      <c r="G233" s="15">
        <f>IF($A233="","",IFERROR(SUMIF(tblMotor[A_Norm],$A233,tblMotor[BirimKargo]),0))</f>
        <v/>
      </c>
      <c r="H233" s="15">
        <f>IF(OR($A233="",$B233&lt;&gt;"tutar_farki"),"",IF($D233&gt;kdo_esikDesiOran,"KDO-001",IF($F233&gt;kdo_esikIade,"KDO-002",IF($E233&gt;kdo_esikTasarruf,"KDO-004",IF($C233&gt;kdo_esikFark,"KDO-005","TANIMSIZ")))))</f>
        <v/>
      </c>
    </row>
    <row r="234">
      <c r="A234" s="22">
        <f>IF('ESLESTIRME'!$A234="","",'ESLESTIRME'!$A234)</f>
        <v/>
      </c>
      <c r="B234" s="15">
        <f>IF($A234="","",IFERROR(INDEX(tblEslesme[Kova],MATCH($A234,tblEslesme[A_Norm],0)),""))</f>
        <v/>
      </c>
      <c r="C234" s="15">
        <f>IF($A234="","",IFERROR(INDEX(tblEslesme[AbsFark],MATCH($A234,tblEslesme[A_Norm],0)),0))</f>
        <v/>
      </c>
      <c r="D234" s="15">
        <f>IF($A234="","",IFERROR(SUMIF(tblMotor[A_Norm],$A234,tblMotor[DesiKgOran]),0))</f>
        <v/>
      </c>
      <c r="E234" s="15">
        <f>IF($A234="","",IFERROR(SUMIF(tblMotor[A_Norm],$A234,tblMotor[Tasarruf]),0))</f>
        <v/>
      </c>
      <c r="F234" s="15">
        <f>IF($A234="","",IFERROR(SUMIF(tblMotor[A_Norm],$A234,tblMotor[IadeOran]),0))</f>
        <v/>
      </c>
      <c r="G234" s="15">
        <f>IF($A234="","",IFERROR(SUMIF(tblMotor[A_Norm],$A234,tblMotor[BirimKargo]),0))</f>
        <v/>
      </c>
      <c r="H234" s="15">
        <f>IF(OR($A234="",$B234&lt;&gt;"tutar_farki"),"",IF($D234&gt;kdo_esikDesiOran,"KDO-001",IF($F234&gt;kdo_esikIade,"KDO-002",IF($E234&gt;kdo_esikTasarruf,"KDO-004",IF($C234&gt;kdo_esikFark,"KDO-005","TANIMSIZ")))))</f>
        <v/>
      </c>
    </row>
    <row r="235">
      <c r="A235" s="22">
        <f>IF('ESLESTIRME'!$A235="","",'ESLESTIRME'!$A235)</f>
        <v/>
      </c>
      <c r="B235" s="15">
        <f>IF($A235="","",IFERROR(INDEX(tblEslesme[Kova],MATCH($A235,tblEslesme[A_Norm],0)),""))</f>
        <v/>
      </c>
      <c r="C235" s="15">
        <f>IF($A235="","",IFERROR(INDEX(tblEslesme[AbsFark],MATCH($A235,tblEslesme[A_Norm],0)),0))</f>
        <v/>
      </c>
      <c r="D235" s="15">
        <f>IF($A235="","",IFERROR(SUMIF(tblMotor[A_Norm],$A235,tblMotor[DesiKgOran]),0))</f>
        <v/>
      </c>
      <c r="E235" s="15">
        <f>IF($A235="","",IFERROR(SUMIF(tblMotor[A_Norm],$A235,tblMotor[Tasarruf]),0))</f>
        <v/>
      </c>
      <c r="F235" s="15">
        <f>IF($A235="","",IFERROR(SUMIF(tblMotor[A_Norm],$A235,tblMotor[IadeOran]),0))</f>
        <v/>
      </c>
      <c r="G235" s="15">
        <f>IF($A235="","",IFERROR(SUMIF(tblMotor[A_Norm],$A235,tblMotor[BirimKargo]),0))</f>
        <v/>
      </c>
      <c r="H235" s="15">
        <f>IF(OR($A235="",$B235&lt;&gt;"tutar_farki"),"",IF($D235&gt;kdo_esikDesiOran,"KDO-001",IF($F235&gt;kdo_esikIade,"KDO-002",IF($E235&gt;kdo_esikTasarruf,"KDO-004",IF($C235&gt;kdo_esikFark,"KDO-005","TANIMSIZ")))))</f>
        <v/>
      </c>
    </row>
    <row r="236">
      <c r="A236" s="22">
        <f>IF('ESLESTIRME'!$A236="","",'ESLESTIRME'!$A236)</f>
        <v/>
      </c>
      <c r="B236" s="15">
        <f>IF($A236="","",IFERROR(INDEX(tblEslesme[Kova],MATCH($A236,tblEslesme[A_Norm],0)),""))</f>
        <v/>
      </c>
      <c r="C236" s="15">
        <f>IF($A236="","",IFERROR(INDEX(tblEslesme[AbsFark],MATCH($A236,tblEslesme[A_Norm],0)),0))</f>
        <v/>
      </c>
      <c r="D236" s="15">
        <f>IF($A236="","",IFERROR(SUMIF(tblMotor[A_Norm],$A236,tblMotor[DesiKgOran]),0))</f>
        <v/>
      </c>
      <c r="E236" s="15">
        <f>IF($A236="","",IFERROR(SUMIF(tblMotor[A_Norm],$A236,tblMotor[Tasarruf]),0))</f>
        <v/>
      </c>
      <c r="F236" s="15">
        <f>IF($A236="","",IFERROR(SUMIF(tblMotor[A_Norm],$A236,tblMotor[IadeOran]),0))</f>
        <v/>
      </c>
      <c r="G236" s="15">
        <f>IF($A236="","",IFERROR(SUMIF(tblMotor[A_Norm],$A236,tblMotor[BirimKargo]),0))</f>
        <v/>
      </c>
      <c r="H236" s="15">
        <f>IF(OR($A236="",$B236&lt;&gt;"tutar_farki"),"",IF($D236&gt;kdo_esikDesiOran,"KDO-001",IF($F236&gt;kdo_esikIade,"KDO-002",IF($E236&gt;kdo_esikTasarruf,"KDO-004",IF($C236&gt;kdo_esikFark,"KDO-005","TANIMSIZ")))))</f>
        <v/>
      </c>
    </row>
    <row r="237">
      <c r="A237" s="22">
        <f>IF('ESLESTIRME'!$A237="","",'ESLESTIRME'!$A237)</f>
        <v/>
      </c>
      <c r="B237" s="15">
        <f>IF($A237="","",IFERROR(INDEX(tblEslesme[Kova],MATCH($A237,tblEslesme[A_Norm],0)),""))</f>
        <v/>
      </c>
      <c r="C237" s="15">
        <f>IF($A237="","",IFERROR(INDEX(tblEslesme[AbsFark],MATCH($A237,tblEslesme[A_Norm],0)),0))</f>
        <v/>
      </c>
      <c r="D237" s="15">
        <f>IF($A237="","",IFERROR(SUMIF(tblMotor[A_Norm],$A237,tblMotor[DesiKgOran]),0))</f>
        <v/>
      </c>
      <c r="E237" s="15">
        <f>IF($A237="","",IFERROR(SUMIF(tblMotor[A_Norm],$A237,tblMotor[Tasarruf]),0))</f>
        <v/>
      </c>
      <c r="F237" s="15">
        <f>IF($A237="","",IFERROR(SUMIF(tblMotor[A_Norm],$A237,tblMotor[IadeOran]),0))</f>
        <v/>
      </c>
      <c r="G237" s="15">
        <f>IF($A237="","",IFERROR(SUMIF(tblMotor[A_Norm],$A237,tblMotor[BirimKargo]),0))</f>
        <v/>
      </c>
      <c r="H237" s="15">
        <f>IF(OR($A237="",$B237&lt;&gt;"tutar_farki"),"",IF($D237&gt;kdo_esikDesiOran,"KDO-001",IF($F237&gt;kdo_esikIade,"KDO-002",IF($E237&gt;kdo_esikTasarruf,"KDO-004",IF($C237&gt;kdo_esikFark,"KDO-005","TANIMSIZ")))))</f>
        <v/>
      </c>
    </row>
    <row r="238">
      <c r="A238" s="22">
        <f>IF('ESLESTIRME'!$A238="","",'ESLESTIRME'!$A238)</f>
        <v/>
      </c>
      <c r="B238" s="15">
        <f>IF($A238="","",IFERROR(INDEX(tblEslesme[Kova],MATCH($A238,tblEslesme[A_Norm],0)),""))</f>
        <v/>
      </c>
      <c r="C238" s="15">
        <f>IF($A238="","",IFERROR(INDEX(tblEslesme[AbsFark],MATCH($A238,tblEslesme[A_Norm],0)),0))</f>
        <v/>
      </c>
      <c r="D238" s="15">
        <f>IF($A238="","",IFERROR(SUMIF(tblMotor[A_Norm],$A238,tblMotor[DesiKgOran]),0))</f>
        <v/>
      </c>
      <c r="E238" s="15">
        <f>IF($A238="","",IFERROR(SUMIF(tblMotor[A_Norm],$A238,tblMotor[Tasarruf]),0))</f>
        <v/>
      </c>
      <c r="F238" s="15">
        <f>IF($A238="","",IFERROR(SUMIF(tblMotor[A_Norm],$A238,tblMotor[IadeOran]),0))</f>
        <v/>
      </c>
      <c r="G238" s="15">
        <f>IF($A238="","",IFERROR(SUMIF(tblMotor[A_Norm],$A238,tblMotor[BirimKargo]),0))</f>
        <v/>
      </c>
      <c r="H238" s="15">
        <f>IF(OR($A238="",$B238&lt;&gt;"tutar_farki"),"",IF($D238&gt;kdo_esikDesiOran,"KDO-001",IF($F238&gt;kdo_esikIade,"KDO-002",IF($E238&gt;kdo_esikTasarruf,"KDO-004",IF($C238&gt;kdo_esikFark,"KDO-005","TANIMSIZ")))))</f>
        <v/>
      </c>
    </row>
    <row r="239">
      <c r="A239" s="22">
        <f>IF('ESLESTIRME'!$A239="","",'ESLESTIRME'!$A239)</f>
        <v/>
      </c>
      <c r="B239" s="15">
        <f>IF($A239="","",IFERROR(INDEX(tblEslesme[Kova],MATCH($A239,tblEslesme[A_Norm],0)),""))</f>
        <v/>
      </c>
      <c r="C239" s="15">
        <f>IF($A239="","",IFERROR(INDEX(tblEslesme[AbsFark],MATCH($A239,tblEslesme[A_Norm],0)),0))</f>
        <v/>
      </c>
      <c r="D239" s="15">
        <f>IF($A239="","",IFERROR(SUMIF(tblMotor[A_Norm],$A239,tblMotor[DesiKgOran]),0))</f>
        <v/>
      </c>
      <c r="E239" s="15">
        <f>IF($A239="","",IFERROR(SUMIF(tblMotor[A_Norm],$A239,tblMotor[Tasarruf]),0))</f>
        <v/>
      </c>
      <c r="F239" s="15">
        <f>IF($A239="","",IFERROR(SUMIF(tblMotor[A_Norm],$A239,tblMotor[IadeOran]),0))</f>
        <v/>
      </c>
      <c r="G239" s="15">
        <f>IF($A239="","",IFERROR(SUMIF(tblMotor[A_Norm],$A239,tblMotor[BirimKargo]),0))</f>
        <v/>
      </c>
      <c r="H239" s="15">
        <f>IF(OR($A239="",$B239&lt;&gt;"tutar_farki"),"",IF($D239&gt;kdo_esikDesiOran,"KDO-001",IF($F239&gt;kdo_esikIade,"KDO-002",IF($E239&gt;kdo_esikTasarruf,"KDO-004",IF($C239&gt;kdo_esikFark,"KDO-005","TANIMSIZ")))))</f>
        <v/>
      </c>
    </row>
    <row r="240">
      <c r="A240" s="22">
        <f>IF('ESLESTIRME'!$A240="","",'ESLESTIRME'!$A240)</f>
        <v/>
      </c>
      <c r="B240" s="15">
        <f>IF($A240="","",IFERROR(INDEX(tblEslesme[Kova],MATCH($A240,tblEslesme[A_Norm],0)),""))</f>
        <v/>
      </c>
      <c r="C240" s="15">
        <f>IF($A240="","",IFERROR(INDEX(tblEslesme[AbsFark],MATCH($A240,tblEslesme[A_Norm],0)),0))</f>
        <v/>
      </c>
      <c r="D240" s="15">
        <f>IF($A240="","",IFERROR(SUMIF(tblMotor[A_Norm],$A240,tblMotor[DesiKgOran]),0))</f>
        <v/>
      </c>
      <c r="E240" s="15">
        <f>IF($A240="","",IFERROR(SUMIF(tblMotor[A_Norm],$A240,tblMotor[Tasarruf]),0))</f>
        <v/>
      </c>
      <c r="F240" s="15">
        <f>IF($A240="","",IFERROR(SUMIF(tblMotor[A_Norm],$A240,tblMotor[IadeOran]),0))</f>
        <v/>
      </c>
      <c r="G240" s="15">
        <f>IF($A240="","",IFERROR(SUMIF(tblMotor[A_Norm],$A240,tblMotor[BirimKargo]),0))</f>
        <v/>
      </c>
      <c r="H240" s="15">
        <f>IF(OR($A240="",$B240&lt;&gt;"tutar_farki"),"",IF($D240&gt;kdo_esikDesiOran,"KDO-001",IF($F240&gt;kdo_esikIade,"KDO-002",IF($E240&gt;kdo_esikTasarruf,"KDO-004",IF($C240&gt;kdo_esikFark,"KDO-005","TANIMSIZ")))))</f>
        <v/>
      </c>
    </row>
    <row r="241">
      <c r="A241" s="22">
        <f>IF('ESLESTIRME'!$A241="","",'ESLESTIRME'!$A241)</f>
        <v/>
      </c>
      <c r="B241" s="15">
        <f>IF($A241="","",IFERROR(INDEX(tblEslesme[Kova],MATCH($A241,tblEslesme[A_Norm],0)),""))</f>
        <v/>
      </c>
      <c r="C241" s="15">
        <f>IF($A241="","",IFERROR(INDEX(tblEslesme[AbsFark],MATCH($A241,tblEslesme[A_Norm],0)),0))</f>
        <v/>
      </c>
      <c r="D241" s="15">
        <f>IF($A241="","",IFERROR(SUMIF(tblMotor[A_Norm],$A241,tblMotor[DesiKgOran]),0))</f>
        <v/>
      </c>
      <c r="E241" s="15">
        <f>IF($A241="","",IFERROR(SUMIF(tblMotor[A_Norm],$A241,tblMotor[Tasarruf]),0))</f>
        <v/>
      </c>
      <c r="F241" s="15">
        <f>IF($A241="","",IFERROR(SUMIF(tblMotor[A_Norm],$A241,tblMotor[IadeOran]),0))</f>
        <v/>
      </c>
      <c r="G241" s="15">
        <f>IF($A241="","",IFERROR(SUMIF(tblMotor[A_Norm],$A241,tblMotor[BirimKargo]),0))</f>
        <v/>
      </c>
      <c r="H241" s="15">
        <f>IF(OR($A241="",$B241&lt;&gt;"tutar_farki"),"",IF($D241&gt;kdo_esikDesiOran,"KDO-001",IF($F241&gt;kdo_esikIade,"KDO-002",IF($E241&gt;kdo_esikTasarruf,"KDO-004",IF($C241&gt;kdo_esikFark,"KDO-005","TANIMSIZ")))))</f>
        <v/>
      </c>
    </row>
    <row r="242">
      <c r="A242" s="22">
        <f>IF('ESLESTIRME'!$A242="","",'ESLESTIRME'!$A242)</f>
        <v/>
      </c>
      <c r="B242" s="15">
        <f>IF($A242="","",IFERROR(INDEX(tblEslesme[Kova],MATCH($A242,tblEslesme[A_Norm],0)),""))</f>
        <v/>
      </c>
      <c r="C242" s="15">
        <f>IF($A242="","",IFERROR(INDEX(tblEslesme[AbsFark],MATCH($A242,tblEslesme[A_Norm],0)),0))</f>
        <v/>
      </c>
      <c r="D242" s="15">
        <f>IF($A242="","",IFERROR(SUMIF(tblMotor[A_Norm],$A242,tblMotor[DesiKgOran]),0))</f>
        <v/>
      </c>
      <c r="E242" s="15">
        <f>IF($A242="","",IFERROR(SUMIF(tblMotor[A_Norm],$A242,tblMotor[Tasarruf]),0))</f>
        <v/>
      </c>
      <c r="F242" s="15">
        <f>IF($A242="","",IFERROR(SUMIF(tblMotor[A_Norm],$A242,tblMotor[IadeOran]),0))</f>
        <v/>
      </c>
      <c r="G242" s="15">
        <f>IF($A242="","",IFERROR(SUMIF(tblMotor[A_Norm],$A242,tblMotor[BirimKargo]),0))</f>
        <v/>
      </c>
      <c r="H242" s="15">
        <f>IF(OR($A242="",$B242&lt;&gt;"tutar_farki"),"",IF($D242&gt;kdo_esikDesiOran,"KDO-001",IF($F242&gt;kdo_esikIade,"KDO-002",IF($E242&gt;kdo_esikTasarruf,"KDO-004",IF($C242&gt;kdo_esikFark,"KDO-005","TANIMSIZ")))))</f>
        <v/>
      </c>
    </row>
    <row r="243">
      <c r="A243" s="22">
        <f>IF('ESLESTIRME'!$A243="","",'ESLESTIRME'!$A243)</f>
        <v/>
      </c>
      <c r="B243" s="15">
        <f>IF($A243="","",IFERROR(INDEX(tblEslesme[Kova],MATCH($A243,tblEslesme[A_Norm],0)),""))</f>
        <v/>
      </c>
      <c r="C243" s="15">
        <f>IF($A243="","",IFERROR(INDEX(tblEslesme[AbsFark],MATCH($A243,tblEslesme[A_Norm],0)),0))</f>
        <v/>
      </c>
      <c r="D243" s="15">
        <f>IF($A243="","",IFERROR(SUMIF(tblMotor[A_Norm],$A243,tblMotor[DesiKgOran]),0))</f>
        <v/>
      </c>
      <c r="E243" s="15">
        <f>IF($A243="","",IFERROR(SUMIF(tblMotor[A_Norm],$A243,tblMotor[Tasarruf]),0))</f>
        <v/>
      </c>
      <c r="F243" s="15">
        <f>IF($A243="","",IFERROR(SUMIF(tblMotor[A_Norm],$A243,tblMotor[IadeOran]),0))</f>
        <v/>
      </c>
      <c r="G243" s="15">
        <f>IF($A243="","",IFERROR(SUMIF(tblMotor[A_Norm],$A243,tblMotor[BirimKargo]),0))</f>
        <v/>
      </c>
      <c r="H243" s="15">
        <f>IF(OR($A243="",$B243&lt;&gt;"tutar_farki"),"",IF($D243&gt;kdo_esikDesiOran,"KDO-001",IF($F243&gt;kdo_esikIade,"KDO-002",IF($E243&gt;kdo_esikTasarruf,"KDO-004",IF($C243&gt;kdo_esikFark,"KDO-005","TANIMSIZ")))))</f>
        <v/>
      </c>
    </row>
    <row r="244">
      <c r="A244" s="22">
        <f>IF('ESLESTIRME'!$A244="","",'ESLESTIRME'!$A244)</f>
        <v/>
      </c>
      <c r="B244" s="15">
        <f>IF($A244="","",IFERROR(INDEX(tblEslesme[Kova],MATCH($A244,tblEslesme[A_Norm],0)),""))</f>
        <v/>
      </c>
      <c r="C244" s="15">
        <f>IF($A244="","",IFERROR(INDEX(tblEslesme[AbsFark],MATCH($A244,tblEslesme[A_Norm],0)),0))</f>
        <v/>
      </c>
      <c r="D244" s="15">
        <f>IF($A244="","",IFERROR(SUMIF(tblMotor[A_Norm],$A244,tblMotor[DesiKgOran]),0))</f>
        <v/>
      </c>
      <c r="E244" s="15">
        <f>IF($A244="","",IFERROR(SUMIF(tblMotor[A_Norm],$A244,tblMotor[Tasarruf]),0))</f>
        <v/>
      </c>
      <c r="F244" s="15">
        <f>IF($A244="","",IFERROR(SUMIF(tblMotor[A_Norm],$A244,tblMotor[IadeOran]),0))</f>
        <v/>
      </c>
      <c r="G244" s="15">
        <f>IF($A244="","",IFERROR(SUMIF(tblMotor[A_Norm],$A244,tblMotor[BirimKargo]),0))</f>
        <v/>
      </c>
      <c r="H244" s="15">
        <f>IF(OR($A244="",$B244&lt;&gt;"tutar_farki"),"",IF($D244&gt;kdo_esikDesiOran,"KDO-001",IF($F244&gt;kdo_esikIade,"KDO-002",IF($E244&gt;kdo_esikTasarruf,"KDO-004",IF($C244&gt;kdo_esikFark,"KDO-005","TANIMSIZ")))))</f>
        <v/>
      </c>
    </row>
    <row r="245">
      <c r="A245" s="22">
        <f>IF('ESLESTIRME'!$A245="","",'ESLESTIRME'!$A245)</f>
        <v/>
      </c>
      <c r="B245" s="15">
        <f>IF($A245="","",IFERROR(INDEX(tblEslesme[Kova],MATCH($A245,tblEslesme[A_Norm],0)),""))</f>
        <v/>
      </c>
      <c r="C245" s="15">
        <f>IF($A245="","",IFERROR(INDEX(tblEslesme[AbsFark],MATCH($A245,tblEslesme[A_Norm],0)),0))</f>
        <v/>
      </c>
      <c r="D245" s="15">
        <f>IF($A245="","",IFERROR(SUMIF(tblMotor[A_Norm],$A245,tblMotor[DesiKgOran]),0))</f>
        <v/>
      </c>
      <c r="E245" s="15">
        <f>IF($A245="","",IFERROR(SUMIF(tblMotor[A_Norm],$A245,tblMotor[Tasarruf]),0))</f>
        <v/>
      </c>
      <c r="F245" s="15">
        <f>IF($A245="","",IFERROR(SUMIF(tblMotor[A_Norm],$A245,tblMotor[IadeOran]),0))</f>
        <v/>
      </c>
      <c r="G245" s="15">
        <f>IF($A245="","",IFERROR(SUMIF(tblMotor[A_Norm],$A245,tblMotor[BirimKargo]),0))</f>
        <v/>
      </c>
      <c r="H245" s="15">
        <f>IF(OR($A245="",$B245&lt;&gt;"tutar_farki"),"",IF($D245&gt;kdo_esikDesiOran,"KDO-001",IF($F245&gt;kdo_esikIade,"KDO-002",IF($E245&gt;kdo_esikTasarruf,"KDO-004",IF($C245&gt;kdo_esikFark,"KDO-005","TANIMSIZ")))))</f>
        <v/>
      </c>
    </row>
    <row r="246">
      <c r="A246" s="22">
        <f>IF('ESLESTIRME'!$A246="","",'ESLESTIRME'!$A246)</f>
        <v/>
      </c>
      <c r="B246" s="15">
        <f>IF($A246="","",IFERROR(INDEX(tblEslesme[Kova],MATCH($A246,tblEslesme[A_Norm],0)),""))</f>
        <v/>
      </c>
      <c r="C246" s="15">
        <f>IF($A246="","",IFERROR(INDEX(tblEslesme[AbsFark],MATCH($A246,tblEslesme[A_Norm],0)),0))</f>
        <v/>
      </c>
      <c r="D246" s="15">
        <f>IF($A246="","",IFERROR(SUMIF(tblMotor[A_Norm],$A246,tblMotor[DesiKgOran]),0))</f>
        <v/>
      </c>
      <c r="E246" s="15">
        <f>IF($A246="","",IFERROR(SUMIF(tblMotor[A_Norm],$A246,tblMotor[Tasarruf]),0))</f>
        <v/>
      </c>
      <c r="F246" s="15">
        <f>IF($A246="","",IFERROR(SUMIF(tblMotor[A_Norm],$A246,tblMotor[IadeOran]),0))</f>
        <v/>
      </c>
      <c r="G246" s="15">
        <f>IF($A246="","",IFERROR(SUMIF(tblMotor[A_Norm],$A246,tblMotor[BirimKargo]),0))</f>
        <v/>
      </c>
      <c r="H246" s="15">
        <f>IF(OR($A246="",$B246&lt;&gt;"tutar_farki"),"",IF($D246&gt;kdo_esikDesiOran,"KDO-001",IF($F246&gt;kdo_esikIade,"KDO-002",IF($E246&gt;kdo_esikTasarruf,"KDO-004",IF($C246&gt;kdo_esikFark,"KDO-005","TANIMSIZ")))))</f>
        <v/>
      </c>
    </row>
    <row r="247">
      <c r="A247" s="22">
        <f>IF('ESLESTIRME'!$A247="","",'ESLESTIRME'!$A247)</f>
        <v/>
      </c>
      <c r="B247" s="15">
        <f>IF($A247="","",IFERROR(INDEX(tblEslesme[Kova],MATCH($A247,tblEslesme[A_Norm],0)),""))</f>
        <v/>
      </c>
      <c r="C247" s="15">
        <f>IF($A247="","",IFERROR(INDEX(tblEslesme[AbsFark],MATCH($A247,tblEslesme[A_Norm],0)),0))</f>
        <v/>
      </c>
      <c r="D247" s="15">
        <f>IF($A247="","",IFERROR(SUMIF(tblMotor[A_Norm],$A247,tblMotor[DesiKgOran]),0))</f>
        <v/>
      </c>
      <c r="E247" s="15">
        <f>IF($A247="","",IFERROR(SUMIF(tblMotor[A_Norm],$A247,tblMotor[Tasarruf]),0))</f>
        <v/>
      </c>
      <c r="F247" s="15">
        <f>IF($A247="","",IFERROR(SUMIF(tblMotor[A_Norm],$A247,tblMotor[IadeOran]),0))</f>
        <v/>
      </c>
      <c r="G247" s="15">
        <f>IF($A247="","",IFERROR(SUMIF(tblMotor[A_Norm],$A247,tblMotor[BirimKargo]),0))</f>
        <v/>
      </c>
      <c r="H247" s="15">
        <f>IF(OR($A247="",$B247&lt;&gt;"tutar_farki"),"",IF($D247&gt;kdo_esikDesiOran,"KDO-001",IF($F247&gt;kdo_esikIade,"KDO-002",IF($E247&gt;kdo_esikTasarruf,"KDO-004",IF($C247&gt;kdo_esikFark,"KDO-005","TANIMSIZ")))))</f>
        <v/>
      </c>
    </row>
    <row r="248">
      <c r="A248" s="22">
        <f>IF('ESLESTIRME'!$A248="","",'ESLESTIRME'!$A248)</f>
        <v/>
      </c>
      <c r="B248" s="15">
        <f>IF($A248="","",IFERROR(INDEX(tblEslesme[Kova],MATCH($A248,tblEslesme[A_Norm],0)),""))</f>
        <v/>
      </c>
      <c r="C248" s="15">
        <f>IF($A248="","",IFERROR(INDEX(tblEslesme[AbsFark],MATCH($A248,tblEslesme[A_Norm],0)),0))</f>
        <v/>
      </c>
      <c r="D248" s="15">
        <f>IF($A248="","",IFERROR(SUMIF(tblMotor[A_Norm],$A248,tblMotor[DesiKgOran]),0))</f>
        <v/>
      </c>
      <c r="E248" s="15">
        <f>IF($A248="","",IFERROR(SUMIF(tblMotor[A_Norm],$A248,tblMotor[Tasarruf]),0))</f>
        <v/>
      </c>
      <c r="F248" s="15">
        <f>IF($A248="","",IFERROR(SUMIF(tblMotor[A_Norm],$A248,tblMotor[IadeOran]),0))</f>
        <v/>
      </c>
      <c r="G248" s="15">
        <f>IF($A248="","",IFERROR(SUMIF(tblMotor[A_Norm],$A248,tblMotor[BirimKargo]),0))</f>
        <v/>
      </c>
      <c r="H248" s="15">
        <f>IF(OR($A248="",$B248&lt;&gt;"tutar_farki"),"",IF($D248&gt;kdo_esikDesiOran,"KDO-001",IF($F248&gt;kdo_esikIade,"KDO-002",IF($E248&gt;kdo_esikTasarruf,"KDO-004",IF($C248&gt;kdo_esikFark,"KDO-005","TANIMSIZ")))))</f>
        <v/>
      </c>
    </row>
    <row r="249">
      <c r="A249" s="22">
        <f>IF('ESLESTIRME'!$A249="","",'ESLESTIRME'!$A249)</f>
        <v/>
      </c>
      <c r="B249" s="15">
        <f>IF($A249="","",IFERROR(INDEX(tblEslesme[Kova],MATCH($A249,tblEslesme[A_Norm],0)),""))</f>
        <v/>
      </c>
      <c r="C249" s="15">
        <f>IF($A249="","",IFERROR(INDEX(tblEslesme[AbsFark],MATCH($A249,tblEslesme[A_Norm],0)),0))</f>
        <v/>
      </c>
      <c r="D249" s="15">
        <f>IF($A249="","",IFERROR(SUMIF(tblMotor[A_Norm],$A249,tblMotor[DesiKgOran]),0))</f>
        <v/>
      </c>
      <c r="E249" s="15">
        <f>IF($A249="","",IFERROR(SUMIF(tblMotor[A_Norm],$A249,tblMotor[Tasarruf]),0))</f>
        <v/>
      </c>
      <c r="F249" s="15">
        <f>IF($A249="","",IFERROR(SUMIF(tblMotor[A_Norm],$A249,tblMotor[IadeOran]),0))</f>
        <v/>
      </c>
      <c r="G249" s="15">
        <f>IF($A249="","",IFERROR(SUMIF(tblMotor[A_Norm],$A249,tblMotor[BirimKargo]),0))</f>
        <v/>
      </c>
      <c r="H249" s="15">
        <f>IF(OR($A249="",$B249&lt;&gt;"tutar_farki"),"",IF($D249&gt;kdo_esikDesiOran,"KDO-001",IF($F249&gt;kdo_esikIade,"KDO-002",IF($E249&gt;kdo_esikTasarruf,"KDO-004",IF($C249&gt;kdo_esikFark,"KDO-005","TANIMSIZ")))))</f>
        <v/>
      </c>
    </row>
    <row r="250">
      <c r="A250" s="22">
        <f>IF('ESLESTIRME'!$A250="","",'ESLESTIRME'!$A250)</f>
        <v/>
      </c>
      <c r="B250" s="15">
        <f>IF($A250="","",IFERROR(INDEX(tblEslesme[Kova],MATCH($A250,tblEslesme[A_Norm],0)),""))</f>
        <v/>
      </c>
      <c r="C250" s="15">
        <f>IF($A250="","",IFERROR(INDEX(tblEslesme[AbsFark],MATCH($A250,tblEslesme[A_Norm],0)),0))</f>
        <v/>
      </c>
      <c r="D250" s="15">
        <f>IF($A250="","",IFERROR(SUMIF(tblMotor[A_Norm],$A250,tblMotor[DesiKgOran]),0))</f>
        <v/>
      </c>
      <c r="E250" s="15">
        <f>IF($A250="","",IFERROR(SUMIF(tblMotor[A_Norm],$A250,tblMotor[Tasarruf]),0))</f>
        <v/>
      </c>
      <c r="F250" s="15">
        <f>IF($A250="","",IFERROR(SUMIF(tblMotor[A_Norm],$A250,tblMotor[IadeOran]),0))</f>
        <v/>
      </c>
      <c r="G250" s="15">
        <f>IF($A250="","",IFERROR(SUMIF(tblMotor[A_Norm],$A250,tblMotor[BirimKargo]),0))</f>
        <v/>
      </c>
      <c r="H250" s="15">
        <f>IF(OR($A250="",$B250&lt;&gt;"tutar_farki"),"",IF($D250&gt;kdo_esikDesiOran,"KDO-001",IF($F250&gt;kdo_esikIade,"KDO-002",IF($E250&gt;kdo_esikTasarruf,"KDO-004",IF($C250&gt;kdo_esikFark,"KDO-005","TANIMSIZ")))))</f>
        <v/>
      </c>
    </row>
    <row r="251">
      <c r="A251" s="22">
        <f>IF('ESLESTIRME'!$A251="","",'ESLESTIRME'!$A251)</f>
        <v/>
      </c>
      <c r="B251" s="15">
        <f>IF($A251="","",IFERROR(INDEX(tblEslesme[Kova],MATCH($A251,tblEslesme[A_Norm],0)),""))</f>
        <v/>
      </c>
      <c r="C251" s="15">
        <f>IF($A251="","",IFERROR(INDEX(tblEslesme[AbsFark],MATCH($A251,tblEslesme[A_Norm],0)),0))</f>
        <v/>
      </c>
      <c r="D251" s="15">
        <f>IF($A251="","",IFERROR(SUMIF(tblMotor[A_Norm],$A251,tblMotor[DesiKgOran]),0))</f>
        <v/>
      </c>
      <c r="E251" s="15">
        <f>IF($A251="","",IFERROR(SUMIF(tblMotor[A_Norm],$A251,tblMotor[Tasarruf]),0))</f>
        <v/>
      </c>
      <c r="F251" s="15">
        <f>IF($A251="","",IFERROR(SUMIF(tblMotor[A_Norm],$A251,tblMotor[IadeOran]),0))</f>
        <v/>
      </c>
      <c r="G251" s="15">
        <f>IF($A251="","",IFERROR(SUMIF(tblMotor[A_Norm],$A251,tblMotor[BirimKargo]),0))</f>
        <v/>
      </c>
      <c r="H251" s="15">
        <f>IF(OR($A251="",$B251&lt;&gt;"tutar_farki"),"",IF($D251&gt;kdo_esikDesiOran,"KDO-001",IF($F251&gt;kdo_esikIade,"KDO-002",IF($E251&gt;kdo_esikTasarruf,"KDO-004",IF($C251&gt;kdo_esikFark,"KDO-005","TANIMSIZ")))))</f>
        <v/>
      </c>
    </row>
    <row r="252">
      <c r="A252" s="22">
        <f>IF('ESLESTIRME'!$A252="","",'ESLESTIRME'!$A252)</f>
        <v/>
      </c>
      <c r="B252" s="15">
        <f>IF($A252="","",IFERROR(INDEX(tblEslesme[Kova],MATCH($A252,tblEslesme[A_Norm],0)),""))</f>
        <v/>
      </c>
      <c r="C252" s="15">
        <f>IF($A252="","",IFERROR(INDEX(tblEslesme[AbsFark],MATCH($A252,tblEslesme[A_Norm],0)),0))</f>
        <v/>
      </c>
      <c r="D252" s="15">
        <f>IF($A252="","",IFERROR(SUMIF(tblMotor[A_Norm],$A252,tblMotor[DesiKgOran]),0))</f>
        <v/>
      </c>
      <c r="E252" s="15">
        <f>IF($A252="","",IFERROR(SUMIF(tblMotor[A_Norm],$A252,tblMotor[Tasarruf]),0))</f>
        <v/>
      </c>
      <c r="F252" s="15">
        <f>IF($A252="","",IFERROR(SUMIF(tblMotor[A_Norm],$A252,tblMotor[IadeOran]),0))</f>
        <v/>
      </c>
      <c r="G252" s="15">
        <f>IF($A252="","",IFERROR(SUMIF(tblMotor[A_Norm],$A252,tblMotor[BirimKargo]),0))</f>
        <v/>
      </c>
      <c r="H252" s="15">
        <f>IF(OR($A252="",$B252&lt;&gt;"tutar_farki"),"",IF($D252&gt;kdo_esikDesiOran,"KDO-001",IF($F252&gt;kdo_esikIade,"KDO-002",IF($E252&gt;kdo_esikTasarruf,"KDO-004",IF($C252&gt;kdo_esikFark,"KDO-005","TANIMSIZ")))))</f>
        <v/>
      </c>
    </row>
    <row r="253">
      <c r="A253" s="22">
        <f>IF('ESLESTIRME'!$A253="","",'ESLESTIRME'!$A253)</f>
        <v/>
      </c>
      <c r="B253" s="15">
        <f>IF($A253="","",IFERROR(INDEX(tblEslesme[Kova],MATCH($A253,tblEslesme[A_Norm],0)),""))</f>
        <v/>
      </c>
      <c r="C253" s="15">
        <f>IF($A253="","",IFERROR(INDEX(tblEslesme[AbsFark],MATCH($A253,tblEslesme[A_Norm],0)),0))</f>
        <v/>
      </c>
      <c r="D253" s="15">
        <f>IF($A253="","",IFERROR(SUMIF(tblMotor[A_Norm],$A253,tblMotor[DesiKgOran]),0))</f>
        <v/>
      </c>
      <c r="E253" s="15">
        <f>IF($A253="","",IFERROR(SUMIF(tblMotor[A_Norm],$A253,tblMotor[Tasarruf]),0))</f>
        <v/>
      </c>
      <c r="F253" s="15">
        <f>IF($A253="","",IFERROR(SUMIF(tblMotor[A_Norm],$A253,tblMotor[IadeOran]),0))</f>
        <v/>
      </c>
      <c r="G253" s="15">
        <f>IF($A253="","",IFERROR(SUMIF(tblMotor[A_Norm],$A253,tblMotor[BirimKargo]),0))</f>
        <v/>
      </c>
      <c r="H253" s="15">
        <f>IF(OR($A253="",$B253&lt;&gt;"tutar_farki"),"",IF($D253&gt;kdo_esikDesiOran,"KDO-001",IF($F253&gt;kdo_esikIade,"KDO-002",IF($E253&gt;kdo_esikTasarruf,"KDO-004",IF($C253&gt;kdo_esikFark,"KDO-005","TANIMSIZ")))))</f>
        <v/>
      </c>
    </row>
    <row r="254">
      <c r="A254" s="22">
        <f>IF('ESLESTIRME'!$A254="","",'ESLESTIRME'!$A254)</f>
        <v/>
      </c>
      <c r="B254" s="15">
        <f>IF($A254="","",IFERROR(INDEX(tblEslesme[Kova],MATCH($A254,tblEslesme[A_Norm],0)),""))</f>
        <v/>
      </c>
      <c r="C254" s="15">
        <f>IF($A254="","",IFERROR(INDEX(tblEslesme[AbsFark],MATCH($A254,tblEslesme[A_Norm],0)),0))</f>
        <v/>
      </c>
      <c r="D254" s="15">
        <f>IF($A254="","",IFERROR(SUMIF(tblMotor[A_Norm],$A254,tblMotor[DesiKgOran]),0))</f>
        <v/>
      </c>
      <c r="E254" s="15">
        <f>IF($A254="","",IFERROR(SUMIF(tblMotor[A_Norm],$A254,tblMotor[Tasarruf]),0))</f>
        <v/>
      </c>
      <c r="F254" s="15">
        <f>IF($A254="","",IFERROR(SUMIF(tblMotor[A_Norm],$A254,tblMotor[IadeOran]),0))</f>
        <v/>
      </c>
      <c r="G254" s="15">
        <f>IF($A254="","",IFERROR(SUMIF(tblMotor[A_Norm],$A254,tblMotor[BirimKargo]),0))</f>
        <v/>
      </c>
      <c r="H254" s="15">
        <f>IF(OR($A254="",$B254&lt;&gt;"tutar_farki"),"",IF($D254&gt;kdo_esikDesiOran,"KDO-001",IF($F254&gt;kdo_esikIade,"KDO-002",IF($E254&gt;kdo_esikTasarruf,"KDO-004",IF($C254&gt;kdo_esikFark,"KDO-005","TANIMSIZ")))))</f>
        <v/>
      </c>
    </row>
    <row r="255">
      <c r="A255" s="22">
        <f>IF('ESLESTIRME'!$A255="","",'ESLESTIRME'!$A255)</f>
        <v/>
      </c>
      <c r="B255" s="15">
        <f>IF($A255="","",IFERROR(INDEX(tblEslesme[Kova],MATCH($A255,tblEslesme[A_Norm],0)),""))</f>
        <v/>
      </c>
      <c r="C255" s="15">
        <f>IF($A255="","",IFERROR(INDEX(tblEslesme[AbsFark],MATCH($A255,tblEslesme[A_Norm],0)),0))</f>
        <v/>
      </c>
      <c r="D255" s="15">
        <f>IF($A255="","",IFERROR(SUMIF(tblMotor[A_Norm],$A255,tblMotor[DesiKgOran]),0))</f>
        <v/>
      </c>
      <c r="E255" s="15">
        <f>IF($A255="","",IFERROR(SUMIF(tblMotor[A_Norm],$A255,tblMotor[Tasarruf]),0))</f>
        <v/>
      </c>
      <c r="F255" s="15">
        <f>IF($A255="","",IFERROR(SUMIF(tblMotor[A_Norm],$A255,tblMotor[IadeOran]),0))</f>
        <v/>
      </c>
      <c r="G255" s="15">
        <f>IF($A255="","",IFERROR(SUMIF(tblMotor[A_Norm],$A255,tblMotor[BirimKargo]),0))</f>
        <v/>
      </c>
      <c r="H255" s="15">
        <f>IF(OR($A255="",$B255&lt;&gt;"tutar_farki"),"",IF($D255&gt;kdo_esikDesiOran,"KDO-001",IF($F255&gt;kdo_esikIade,"KDO-002",IF($E255&gt;kdo_esikTasarruf,"KDO-004",IF($C255&gt;kdo_esikFark,"KDO-005","TANIMSIZ")))))</f>
        <v/>
      </c>
    </row>
    <row r="256">
      <c r="A256" s="22">
        <f>IF('ESLESTIRME'!$A256="","",'ESLESTIRME'!$A256)</f>
        <v/>
      </c>
      <c r="B256" s="15">
        <f>IF($A256="","",IFERROR(INDEX(tblEslesme[Kova],MATCH($A256,tblEslesme[A_Norm],0)),""))</f>
        <v/>
      </c>
      <c r="C256" s="15">
        <f>IF($A256="","",IFERROR(INDEX(tblEslesme[AbsFark],MATCH($A256,tblEslesme[A_Norm],0)),0))</f>
        <v/>
      </c>
      <c r="D256" s="15">
        <f>IF($A256="","",IFERROR(SUMIF(tblMotor[A_Norm],$A256,tblMotor[DesiKgOran]),0))</f>
        <v/>
      </c>
      <c r="E256" s="15">
        <f>IF($A256="","",IFERROR(SUMIF(tblMotor[A_Norm],$A256,tblMotor[Tasarruf]),0))</f>
        <v/>
      </c>
      <c r="F256" s="15">
        <f>IF($A256="","",IFERROR(SUMIF(tblMotor[A_Norm],$A256,tblMotor[IadeOran]),0))</f>
        <v/>
      </c>
      <c r="G256" s="15">
        <f>IF($A256="","",IFERROR(SUMIF(tblMotor[A_Norm],$A256,tblMotor[BirimKargo]),0))</f>
        <v/>
      </c>
      <c r="H256" s="15">
        <f>IF(OR($A256="",$B256&lt;&gt;"tutar_farki"),"",IF($D256&gt;kdo_esikDesiOran,"KDO-001",IF($F256&gt;kdo_esikIade,"KDO-002",IF($E256&gt;kdo_esikTasarruf,"KDO-004",IF($C256&gt;kdo_esikFark,"KDO-005","TANIMSIZ")))))</f>
        <v/>
      </c>
    </row>
    <row r="257">
      <c r="A257" s="22">
        <f>IF('ESLESTIRME'!$A257="","",'ESLESTIRME'!$A257)</f>
        <v/>
      </c>
      <c r="B257" s="15">
        <f>IF($A257="","",IFERROR(INDEX(tblEslesme[Kova],MATCH($A257,tblEslesme[A_Norm],0)),""))</f>
        <v/>
      </c>
      <c r="C257" s="15">
        <f>IF($A257="","",IFERROR(INDEX(tblEslesme[AbsFark],MATCH($A257,tblEslesme[A_Norm],0)),0))</f>
        <v/>
      </c>
      <c r="D257" s="15">
        <f>IF($A257="","",IFERROR(SUMIF(tblMotor[A_Norm],$A257,tblMotor[DesiKgOran]),0))</f>
        <v/>
      </c>
      <c r="E257" s="15">
        <f>IF($A257="","",IFERROR(SUMIF(tblMotor[A_Norm],$A257,tblMotor[Tasarruf]),0))</f>
        <v/>
      </c>
      <c r="F257" s="15">
        <f>IF($A257="","",IFERROR(SUMIF(tblMotor[A_Norm],$A257,tblMotor[IadeOran]),0))</f>
        <v/>
      </c>
      <c r="G257" s="15">
        <f>IF($A257="","",IFERROR(SUMIF(tblMotor[A_Norm],$A257,tblMotor[BirimKargo]),0))</f>
        <v/>
      </c>
      <c r="H257" s="15">
        <f>IF(OR($A257="",$B257&lt;&gt;"tutar_farki"),"",IF($D257&gt;kdo_esikDesiOran,"KDO-001",IF($F257&gt;kdo_esikIade,"KDO-002",IF($E257&gt;kdo_esikTasarruf,"KDO-004",IF($C257&gt;kdo_esikFark,"KDO-005","TANIMSIZ")))))</f>
        <v/>
      </c>
    </row>
    <row r="258">
      <c r="A258" s="22">
        <f>IF('ESLESTIRME'!$A258="","",'ESLESTIRME'!$A258)</f>
        <v/>
      </c>
      <c r="B258" s="15">
        <f>IF($A258="","",IFERROR(INDEX(tblEslesme[Kova],MATCH($A258,tblEslesme[A_Norm],0)),""))</f>
        <v/>
      </c>
      <c r="C258" s="15">
        <f>IF($A258="","",IFERROR(INDEX(tblEslesme[AbsFark],MATCH($A258,tblEslesme[A_Norm],0)),0))</f>
        <v/>
      </c>
      <c r="D258" s="15">
        <f>IF($A258="","",IFERROR(SUMIF(tblMotor[A_Norm],$A258,tblMotor[DesiKgOran]),0))</f>
        <v/>
      </c>
      <c r="E258" s="15">
        <f>IF($A258="","",IFERROR(SUMIF(tblMotor[A_Norm],$A258,tblMotor[Tasarruf]),0))</f>
        <v/>
      </c>
      <c r="F258" s="15">
        <f>IF($A258="","",IFERROR(SUMIF(tblMotor[A_Norm],$A258,tblMotor[IadeOran]),0))</f>
        <v/>
      </c>
      <c r="G258" s="15">
        <f>IF($A258="","",IFERROR(SUMIF(tblMotor[A_Norm],$A258,tblMotor[BirimKargo]),0))</f>
        <v/>
      </c>
      <c r="H258" s="15">
        <f>IF(OR($A258="",$B258&lt;&gt;"tutar_farki"),"",IF($D258&gt;kdo_esikDesiOran,"KDO-001",IF($F258&gt;kdo_esikIade,"KDO-002",IF($E258&gt;kdo_esikTasarruf,"KDO-004",IF($C258&gt;kdo_esikFark,"KDO-005","TANIMSIZ")))))</f>
        <v/>
      </c>
    </row>
    <row r="259">
      <c r="A259" s="22">
        <f>IF('ESLESTIRME'!$A259="","",'ESLESTIRME'!$A259)</f>
        <v/>
      </c>
      <c r="B259" s="15">
        <f>IF($A259="","",IFERROR(INDEX(tblEslesme[Kova],MATCH($A259,tblEslesme[A_Norm],0)),""))</f>
        <v/>
      </c>
      <c r="C259" s="15">
        <f>IF($A259="","",IFERROR(INDEX(tblEslesme[AbsFark],MATCH($A259,tblEslesme[A_Norm],0)),0))</f>
        <v/>
      </c>
      <c r="D259" s="15">
        <f>IF($A259="","",IFERROR(SUMIF(tblMotor[A_Norm],$A259,tblMotor[DesiKgOran]),0))</f>
        <v/>
      </c>
      <c r="E259" s="15">
        <f>IF($A259="","",IFERROR(SUMIF(tblMotor[A_Norm],$A259,tblMotor[Tasarruf]),0))</f>
        <v/>
      </c>
      <c r="F259" s="15">
        <f>IF($A259="","",IFERROR(SUMIF(tblMotor[A_Norm],$A259,tblMotor[IadeOran]),0))</f>
        <v/>
      </c>
      <c r="G259" s="15">
        <f>IF($A259="","",IFERROR(SUMIF(tblMotor[A_Norm],$A259,tblMotor[BirimKargo]),0))</f>
        <v/>
      </c>
      <c r="H259" s="15">
        <f>IF(OR($A259="",$B259&lt;&gt;"tutar_farki"),"",IF($D259&gt;kdo_esikDesiOran,"KDO-001",IF($F259&gt;kdo_esikIade,"KDO-002",IF($E259&gt;kdo_esikTasarruf,"KDO-004",IF($C259&gt;kdo_esikFark,"KDO-005","TANIMSIZ")))))</f>
        <v/>
      </c>
    </row>
    <row r="260">
      <c r="A260" s="22">
        <f>IF('ESLESTIRME'!$A260="","",'ESLESTIRME'!$A260)</f>
        <v/>
      </c>
      <c r="B260" s="15">
        <f>IF($A260="","",IFERROR(INDEX(tblEslesme[Kova],MATCH($A260,tblEslesme[A_Norm],0)),""))</f>
        <v/>
      </c>
      <c r="C260" s="15">
        <f>IF($A260="","",IFERROR(INDEX(tblEslesme[AbsFark],MATCH($A260,tblEslesme[A_Norm],0)),0))</f>
        <v/>
      </c>
      <c r="D260" s="15">
        <f>IF($A260="","",IFERROR(SUMIF(tblMotor[A_Norm],$A260,tblMotor[DesiKgOran]),0))</f>
        <v/>
      </c>
      <c r="E260" s="15">
        <f>IF($A260="","",IFERROR(SUMIF(tblMotor[A_Norm],$A260,tblMotor[Tasarruf]),0))</f>
        <v/>
      </c>
      <c r="F260" s="15">
        <f>IF($A260="","",IFERROR(SUMIF(tblMotor[A_Norm],$A260,tblMotor[IadeOran]),0))</f>
        <v/>
      </c>
      <c r="G260" s="15">
        <f>IF($A260="","",IFERROR(SUMIF(tblMotor[A_Norm],$A260,tblMotor[BirimKargo]),0))</f>
        <v/>
      </c>
      <c r="H260" s="15">
        <f>IF(OR($A260="",$B260&lt;&gt;"tutar_farki"),"",IF($D260&gt;kdo_esikDesiOran,"KDO-001",IF($F260&gt;kdo_esikIade,"KDO-002",IF($E260&gt;kdo_esikTasarruf,"KDO-004",IF($C260&gt;kdo_esikFark,"KDO-005","TANIMSIZ")))))</f>
        <v/>
      </c>
    </row>
    <row r="261">
      <c r="A261" s="22">
        <f>IF('ESLESTIRME'!$A261="","",'ESLESTIRME'!$A261)</f>
        <v/>
      </c>
      <c r="B261" s="15">
        <f>IF($A261="","",IFERROR(INDEX(tblEslesme[Kova],MATCH($A261,tblEslesme[A_Norm],0)),""))</f>
        <v/>
      </c>
      <c r="C261" s="15">
        <f>IF($A261="","",IFERROR(INDEX(tblEslesme[AbsFark],MATCH($A261,tblEslesme[A_Norm],0)),0))</f>
        <v/>
      </c>
      <c r="D261" s="15">
        <f>IF($A261="","",IFERROR(SUMIF(tblMotor[A_Norm],$A261,tblMotor[DesiKgOran]),0))</f>
        <v/>
      </c>
      <c r="E261" s="15">
        <f>IF($A261="","",IFERROR(SUMIF(tblMotor[A_Norm],$A261,tblMotor[Tasarruf]),0))</f>
        <v/>
      </c>
      <c r="F261" s="15">
        <f>IF($A261="","",IFERROR(SUMIF(tblMotor[A_Norm],$A261,tblMotor[IadeOran]),0))</f>
        <v/>
      </c>
      <c r="G261" s="15">
        <f>IF($A261="","",IFERROR(SUMIF(tblMotor[A_Norm],$A261,tblMotor[BirimKargo]),0))</f>
        <v/>
      </c>
      <c r="H261" s="15">
        <f>IF(OR($A261="",$B261&lt;&gt;"tutar_farki"),"",IF($D261&gt;kdo_esikDesiOran,"KDO-001",IF($F261&gt;kdo_esikIade,"KDO-002",IF($E261&gt;kdo_esikTasarruf,"KDO-004",IF($C261&gt;kdo_esikFark,"KDO-005","TANIMSIZ")))))</f>
        <v/>
      </c>
    </row>
    <row r="262">
      <c r="A262" s="22">
        <f>IF('ESLESTIRME'!$A262="","",'ESLESTIRME'!$A262)</f>
        <v/>
      </c>
      <c r="B262" s="15">
        <f>IF($A262="","",IFERROR(INDEX(tblEslesme[Kova],MATCH($A262,tblEslesme[A_Norm],0)),""))</f>
        <v/>
      </c>
      <c r="C262" s="15">
        <f>IF($A262="","",IFERROR(INDEX(tblEslesme[AbsFark],MATCH($A262,tblEslesme[A_Norm],0)),0))</f>
        <v/>
      </c>
      <c r="D262" s="15">
        <f>IF($A262="","",IFERROR(SUMIF(tblMotor[A_Norm],$A262,tblMotor[DesiKgOran]),0))</f>
        <v/>
      </c>
      <c r="E262" s="15">
        <f>IF($A262="","",IFERROR(SUMIF(tblMotor[A_Norm],$A262,tblMotor[Tasarruf]),0))</f>
        <v/>
      </c>
      <c r="F262" s="15">
        <f>IF($A262="","",IFERROR(SUMIF(tblMotor[A_Norm],$A262,tblMotor[IadeOran]),0))</f>
        <v/>
      </c>
      <c r="G262" s="15">
        <f>IF($A262="","",IFERROR(SUMIF(tblMotor[A_Norm],$A262,tblMotor[BirimKargo]),0))</f>
        <v/>
      </c>
      <c r="H262" s="15">
        <f>IF(OR($A262="",$B262&lt;&gt;"tutar_farki"),"",IF($D262&gt;kdo_esikDesiOran,"KDO-001",IF($F262&gt;kdo_esikIade,"KDO-002",IF($E262&gt;kdo_esikTasarruf,"KDO-004",IF($C262&gt;kdo_esikFark,"KDO-005","TANIMSIZ")))))</f>
        <v/>
      </c>
    </row>
    <row r="263">
      <c r="A263" s="22">
        <f>IF('ESLESTIRME'!$A263="","",'ESLESTIRME'!$A263)</f>
        <v/>
      </c>
      <c r="B263" s="15">
        <f>IF($A263="","",IFERROR(INDEX(tblEslesme[Kova],MATCH($A263,tblEslesme[A_Norm],0)),""))</f>
        <v/>
      </c>
      <c r="C263" s="15">
        <f>IF($A263="","",IFERROR(INDEX(tblEslesme[AbsFark],MATCH($A263,tblEslesme[A_Norm],0)),0))</f>
        <v/>
      </c>
      <c r="D263" s="15">
        <f>IF($A263="","",IFERROR(SUMIF(tblMotor[A_Norm],$A263,tblMotor[DesiKgOran]),0))</f>
        <v/>
      </c>
      <c r="E263" s="15">
        <f>IF($A263="","",IFERROR(SUMIF(tblMotor[A_Norm],$A263,tblMotor[Tasarruf]),0))</f>
        <v/>
      </c>
      <c r="F263" s="15">
        <f>IF($A263="","",IFERROR(SUMIF(tblMotor[A_Norm],$A263,tblMotor[IadeOran]),0))</f>
        <v/>
      </c>
      <c r="G263" s="15">
        <f>IF($A263="","",IFERROR(SUMIF(tblMotor[A_Norm],$A263,tblMotor[BirimKargo]),0))</f>
        <v/>
      </c>
      <c r="H263" s="15">
        <f>IF(OR($A263="",$B263&lt;&gt;"tutar_farki"),"",IF($D263&gt;kdo_esikDesiOran,"KDO-001",IF($F263&gt;kdo_esikIade,"KDO-002",IF($E263&gt;kdo_esikTasarruf,"KDO-004",IF($C263&gt;kdo_esikFark,"KDO-005","TANIMSIZ")))))</f>
        <v/>
      </c>
    </row>
    <row r="264">
      <c r="A264" s="22">
        <f>IF('ESLESTIRME'!$A264="","",'ESLESTIRME'!$A264)</f>
        <v/>
      </c>
      <c r="B264" s="15">
        <f>IF($A264="","",IFERROR(INDEX(tblEslesme[Kova],MATCH($A264,tblEslesme[A_Norm],0)),""))</f>
        <v/>
      </c>
      <c r="C264" s="15">
        <f>IF($A264="","",IFERROR(INDEX(tblEslesme[AbsFark],MATCH($A264,tblEslesme[A_Norm],0)),0))</f>
        <v/>
      </c>
      <c r="D264" s="15">
        <f>IF($A264="","",IFERROR(SUMIF(tblMotor[A_Norm],$A264,tblMotor[DesiKgOran]),0))</f>
        <v/>
      </c>
      <c r="E264" s="15">
        <f>IF($A264="","",IFERROR(SUMIF(tblMotor[A_Norm],$A264,tblMotor[Tasarruf]),0))</f>
        <v/>
      </c>
      <c r="F264" s="15">
        <f>IF($A264="","",IFERROR(SUMIF(tblMotor[A_Norm],$A264,tblMotor[IadeOran]),0))</f>
        <v/>
      </c>
      <c r="G264" s="15">
        <f>IF($A264="","",IFERROR(SUMIF(tblMotor[A_Norm],$A264,tblMotor[BirimKargo]),0))</f>
        <v/>
      </c>
      <c r="H264" s="15">
        <f>IF(OR($A264="",$B264&lt;&gt;"tutar_farki"),"",IF($D264&gt;kdo_esikDesiOran,"KDO-001",IF($F264&gt;kdo_esikIade,"KDO-002",IF($E264&gt;kdo_esikTasarruf,"KDO-004",IF($C264&gt;kdo_esikFark,"KDO-005","TANIMSIZ")))))</f>
        <v/>
      </c>
    </row>
    <row r="265">
      <c r="A265" s="22">
        <f>IF('ESLESTIRME'!$A265="","",'ESLESTIRME'!$A265)</f>
        <v/>
      </c>
      <c r="B265" s="15">
        <f>IF($A265="","",IFERROR(INDEX(tblEslesme[Kova],MATCH($A265,tblEslesme[A_Norm],0)),""))</f>
        <v/>
      </c>
      <c r="C265" s="15">
        <f>IF($A265="","",IFERROR(INDEX(tblEslesme[AbsFark],MATCH($A265,tblEslesme[A_Norm],0)),0))</f>
        <v/>
      </c>
      <c r="D265" s="15">
        <f>IF($A265="","",IFERROR(SUMIF(tblMotor[A_Norm],$A265,tblMotor[DesiKgOran]),0))</f>
        <v/>
      </c>
      <c r="E265" s="15">
        <f>IF($A265="","",IFERROR(SUMIF(tblMotor[A_Norm],$A265,tblMotor[Tasarruf]),0))</f>
        <v/>
      </c>
      <c r="F265" s="15">
        <f>IF($A265="","",IFERROR(SUMIF(tblMotor[A_Norm],$A265,tblMotor[IadeOran]),0))</f>
        <v/>
      </c>
      <c r="G265" s="15">
        <f>IF($A265="","",IFERROR(SUMIF(tblMotor[A_Norm],$A265,tblMotor[BirimKargo]),0))</f>
        <v/>
      </c>
      <c r="H265" s="15">
        <f>IF(OR($A265="",$B265&lt;&gt;"tutar_farki"),"",IF($D265&gt;kdo_esikDesiOran,"KDO-001",IF($F265&gt;kdo_esikIade,"KDO-002",IF($E265&gt;kdo_esikTasarruf,"KDO-004",IF($C265&gt;kdo_esikFark,"KDO-005","TANIMSIZ")))))</f>
        <v/>
      </c>
    </row>
    <row r="266">
      <c r="A266" s="22">
        <f>IF('ESLESTIRME'!$A266="","",'ESLESTIRME'!$A266)</f>
        <v/>
      </c>
      <c r="B266" s="15">
        <f>IF($A266="","",IFERROR(INDEX(tblEslesme[Kova],MATCH($A266,tblEslesme[A_Norm],0)),""))</f>
        <v/>
      </c>
      <c r="C266" s="15">
        <f>IF($A266="","",IFERROR(INDEX(tblEslesme[AbsFark],MATCH($A266,tblEslesme[A_Norm],0)),0))</f>
        <v/>
      </c>
      <c r="D266" s="15">
        <f>IF($A266="","",IFERROR(SUMIF(tblMotor[A_Norm],$A266,tblMotor[DesiKgOran]),0))</f>
        <v/>
      </c>
      <c r="E266" s="15">
        <f>IF($A266="","",IFERROR(SUMIF(tblMotor[A_Norm],$A266,tblMotor[Tasarruf]),0))</f>
        <v/>
      </c>
      <c r="F266" s="15">
        <f>IF($A266="","",IFERROR(SUMIF(tblMotor[A_Norm],$A266,tblMotor[IadeOran]),0))</f>
        <v/>
      </c>
      <c r="G266" s="15">
        <f>IF($A266="","",IFERROR(SUMIF(tblMotor[A_Norm],$A266,tblMotor[BirimKargo]),0))</f>
        <v/>
      </c>
      <c r="H266" s="15">
        <f>IF(OR($A266="",$B266&lt;&gt;"tutar_farki"),"",IF($D266&gt;kdo_esikDesiOran,"KDO-001",IF($F266&gt;kdo_esikIade,"KDO-002",IF($E266&gt;kdo_esikTasarruf,"KDO-004",IF($C266&gt;kdo_esikFark,"KDO-005","TANIMSIZ")))))</f>
        <v/>
      </c>
    </row>
    <row r="267">
      <c r="A267" s="22">
        <f>IF('ESLESTIRME'!$A267="","",'ESLESTIRME'!$A267)</f>
        <v/>
      </c>
      <c r="B267" s="15">
        <f>IF($A267="","",IFERROR(INDEX(tblEslesme[Kova],MATCH($A267,tblEslesme[A_Norm],0)),""))</f>
        <v/>
      </c>
      <c r="C267" s="15">
        <f>IF($A267="","",IFERROR(INDEX(tblEslesme[AbsFark],MATCH($A267,tblEslesme[A_Norm],0)),0))</f>
        <v/>
      </c>
      <c r="D267" s="15">
        <f>IF($A267="","",IFERROR(SUMIF(tblMotor[A_Norm],$A267,tblMotor[DesiKgOran]),0))</f>
        <v/>
      </c>
      <c r="E267" s="15">
        <f>IF($A267="","",IFERROR(SUMIF(tblMotor[A_Norm],$A267,tblMotor[Tasarruf]),0))</f>
        <v/>
      </c>
      <c r="F267" s="15">
        <f>IF($A267="","",IFERROR(SUMIF(tblMotor[A_Norm],$A267,tblMotor[IadeOran]),0))</f>
        <v/>
      </c>
      <c r="G267" s="15">
        <f>IF($A267="","",IFERROR(SUMIF(tblMotor[A_Norm],$A267,tblMotor[BirimKargo]),0))</f>
        <v/>
      </c>
      <c r="H267" s="15">
        <f>IF(OR($A267="",$B267&lt;&gt;"tutar_farki"),"",IF($D267&gt;kdo_esikDesiOran,"KDO-001",IF($F267&gt;kdo_esikIade,"KDO-002",IF($E267&gt;kdo_esikTasarruf,"KDO-004",IF($C267&gt;kdo_esikFark,"KDO-005","TANIMSIZ")))))</f>
        <v/>
      </c>
    </row>
    <row r="268">
      <c r="A268" s="22">
        <f>IF('ESLESTIRME'!$A268="","",'ESLESTIRME'!$A268)</f>
        <v/>
      </c>
      <c r="B268" s="15">
        <f>IF($A268="","",IFERROR(INDEX(tblEslesme[Kova],MATCH($A268,tblEslesme[A_Norm],0)),""))</f>
        <v/>
      </c>
      <c r="C268" s="15">
        <f>IF($A268="","",IFERROR(INDEX(tblEslesme[AbsFark],MATCH($A268,tblEslesme[A_Norm],0)),0))</f>
        <v/>
      </c>
      <c r="D268" s="15">
        <f>IF($A268="","",IFERROR(SUMIF(tblMotor[A_Norm],$A268,tblMotor[DesiKgOran]),0))</f>
        <v/>
      </c>
      <c r="E268" s="15">
        <f>IF($A268="","",IFERROR(SUMIF(tblMotor[A_Norm],$A268,tblMotor[Tasarruf]),0))</f>
        <v/>
      </c>
      <c r="F268" s="15">
        <f>IF($A268="","",IFERROR(SUMIF(tblMotor[A_Norm],$A268,tblMotor[IadeOran]),0))</f>
        <v/>
      </c>
      <c r="G268" s="15">
        <f>IF($A268="","",IFERROR(SUMIF(tblMotor[A_Norm],$A268,tblMotor[BirimKargo]),0))</f>
        <v/>
      </c>
      <c r="H268" s="15">
        <f>IF(OR($A268="",$B268&lt;&gt;"tutar_farki"),"",IF($D268&gt;kdo_esikDesiOran,"KDO-001",IF($F268&gt;kdo_esikIade,"KDO-002",IF($E268&gt;kdo_esikTasarruf,"KDO-004",IF($C268&gt;kdo_esikFark,"KDO-005","TANIMSIZ")))))</f>
        <v/>
      </c>
    </row>
    <row r="269">
      <c r="A269" s="22">
        <f>IF('ESLESTIRME'!$A269="","",'ESLESTIRME'!$A269)</f>
        <v/>
      </c>
      <c r="B269" s="15">
        <f>IF($A269="","",IFERROR(INDEX(tblEslesme[Kova],MATCH($A269,tblEslesme[A_Norm],0)),""))</f>
        <v/>
      </c>
      <c r="C269" s="15">
        <f>IF($A269="","",IFERROR(INDEX(tblEslesme[AbsFark],MATCH($A269,tblEslesme[A_Norm],0)),0))</f>
        <v/>
      </c>
      <c r="D269" s="15">
        <f>IF($A269="","",IFERROR(SUMIF(tblMotor[A_Norm],$A269,tblMotor[DesiKgOran]),0))</f>
        <v/>
      </c>
      <c r="E269" s="15">
        <f>IF($A269="","",IFERROR(SUMIF(tblMotor[A_Norm],$A269,tblMotor[Tasarruf]),0))</f>
        <v/>
      </c>
      <c r="F269" s="15">
        <f>IF($A269="","",IFERROR(SUMIF(tblMotor[A_Norm],$A269,tblMotor[IadeOran]),0))</f>
        <v/>
      </c>
      <c r="G269" s="15">
        <f>IF($A269="","",IFERROR(SUMIF(tblMotor[A_Norm],$A269,tblMotor[BirimKargo]),0))</f>
        <v/>
      </c>
      <c r="H269" s="15">
        <f>IF(OR($A269="",$B269&lt;&gt;"tutar_farki"),"",IF($D269&gt;kdo_esikDesiOran,"KDO-001",IF($F269&gt;kdo_esikIade,"KDO-002",IF($E269&gt;kdo_esikTasarruf,"KDO-004",IF($C269&gt;kdo_esikFark,"KDO-005","TANIMSIZ")))))</f>
        <v/>
      </c>
    </row>
    <row r="270">
      <c r="A270" s="22">
        <f>IF('ESLESTIRME'!$A270="","",'ESLESTIRME'!$A270)</f>
        <v/>
      </c>
      <c r="B270" s="15">
        <f>IF($A270="","",IFERROR(INDEX(tblEslesme[Kova],MATCH($A270,tblEslesme[A_Norm],0)),""))</f>
        <v/>
      </c>
      <c r="C270" s="15">
        <f>IF($A270="","",IFERROR(INDEX(tblEslesme[AbsFark],MATCH($A270,tblEslesme[A_Norm],0)),0))</f>
        <v/>
      </c>
      <c r="D270" s="15">
        <f>IF($A270="","",IFERROR(SUMIF(tblMotor[A_Norm],$A270,tblMotor[DesiKgOran]),0))</f>
        <v/>
      </c>
      <c r="E270" s="15">
        <f>IF($A270="","",IFERROR(SUMIF(tblMotor[A_Norm],$A270,tblMotor[Tasarruf]),0))</f>
        <v/>
      </c>
      <c r="F270" s="15">
        <f>IF($A270="","",IFERROR(SUMIF(tblMotor[A_Norm],$A270,tblMotor[IadeOran]),0))</f>
        <v/>
      </c>
      <c r="G270" s="15">
        <f>IF($A270="","",IFERROR(SUMIF(tblMotor[A_Norm],$A270,tblMotor[BirimKargo]),0))</f>
        <v/>
      </c>
      <c r="H270" s="15">
        <f>IF(OR($A270="",$B270&lt;&gt;"tutar_farki"),"",IF($D270&gt;kdo_esikDesiOran,"KDO-001",IF($F270&gt;kdo_esikIade,"KDO-002",IF($E270&gt;kdo_esikTasarruf,"KDO-004",IF($C270&gt;kdo_esikFark,"KDO-005","TANIMSIZ")))))</f>
        <v/>
      </c>
    </row>
    <row r="271">
      <c r="A271" s="22">
        <f>IF('ESLESTIRME'!$A271="","",'ESLESTIRME'!$A271)</f>
        <v/>
      </c>
      <c r="B271" s="15">
        <f>IF($A271="","",IFERROR(INDEX(tblEslesme[Kova],MATCH($A271,tblEslesme[A_Norm],0)),""))</f>
        <v/>
      </c>
      <c r="C271" s="15">
        <f>IF($A271="","",IFERROR(INDEX(tblEslesme[AbsFark],MATCH($A271,tblEslesme[A_Norm],0)),0))</f>
        <v/>
      </c>
      <c r="D271" s="15">
        <f>IF($A271="","",IFERROR(SUMIF(tblMotor[A_Norm],$A271,tblMotor[DesiKgOran]),0))</f>
        <v/>
      </c>
      <c r="E271" s="15">
        <f>IF($A271="","",IFERROR(SUMIF(tblMotor[A_Norm],$A271,tblMotor[Tasarruf]),0))</f>
        <v/>
      </c>
      <c r="F271" s="15">
        <f>IF($A271="","",IFERROR(SUMIF(tblMotor[A_Norm],$A271,tblMotor[IadeOran]),0))</f>
        <v/>
      </c>
      <c r="G271" s="15">
        <f>IF($A271="","",IFERROR(SUMIF(tblMotor[A_Norm],$A271,tblMotor[BirimKargo]),0))</f>
        <v/>
      </c>
      <c r="H271" s="15">
        <f>IF(OR($A271="",$B271&lt;&gt;"tutar_farki"),"",IF($D271&gt;kdo_esikDesiOran,"KDO-001",IF($F271&gt;kdo_esikIade,"KDO-002",IF($E271&gt;kdo_esikTasarruf,"KDO-004",IF($C271&gt;kdo_esikFark,"KDO-005","TANIMSIZ")))))</f>
        <v/>
      </c>
    </row>
    <row r="272">
      <c r="A272" s="22">
        <f>IF('ESLESTIRME'!$A272="","",'ESLESTIRME'!$A272)</f>
        <v/>
      </c>
      <c r="B272" s="15">
        <f>IF($A272="","",IFERROR(INDEX(tblEslesme[Kova],MATCH($A272,tblEslesme[A_Norm],0)),""))</f>
        <v/>
      </c>
      <c r="C272" s="15">
        <f>IF($A272="","",IFERROR(INDEX(tblEslesme[AbsFark],MATCH($A272,tblEslesme[A_Norm],0)),0))</f>
        <v/>
      </c>
      <c r="D272" s="15">
        <f>IF($A272="","",IFERROR(SUMIF(tblMotor[A_Norm],$A272,tblMotor[DesiKgOran]),0))</f>
        <v/>
      </c>
      <c r="E272" s="15">
        <f>IF($A272="","",IFERROR(SUMIF(tblMotor[A_Norm],$A272,tblMotor[Tasarruf]),0))</f>
        <v/>
      </c>
      <c r="F272" s="15">
        <f>IF($A272="","",IFERROR(SUMIF(tblMotor[A_Norm],$A272,tblMotor[IadeOran]),0))</f>
        <v/>
      </c>
      <c r="G272" s="15">
        <f>IF($A272="","",IFERROR(SUMIF(tblMotor[A_Norm],$A272,tblMotor[BirimKargo]),0))</f>
        <v/>
      </c>
      <c r="H272" s="15">
        <f>IF(OR($A272="",$B272&lt;&gt;"tutar_farki"),"",IF($D272&gt;kdo_esikDesiOran,"KDO-001",IF($F272&gt;kdo_esikIade,"KDO-002",IF($E272&gt;kdo_esikTasarruf,"KDO-004",IF($C272&gt;kdo_esikFark,"KDO-005","TANIMSIZ")))))</f>
        <v/>
      </c>
    </row>
    <row r="273">
      <c r="A273" s="22">
        <f>IF('ESLESTIRME'!$A273="","",'ESLESTIRME'!$A273)</f>
        <v/>
      </c>
      <c r="B273" s="15">
        <f>IF($A273="","",IFERROR(INDEX(tblEslesme[Kova],MATCH($A273,tblEslesme[A_Norm],0)),""))</f>
        <v/>
      </c>
      <c r="C273" s="15">
        <f>IF($A273="","",IFERROR(INDEX(tblEslesme[AbsFark],MATCH($A273,tblEslesme[A_Norm],0)),0))</f>
        <v/>
      </c>
      <c r="D273" s="15">
        <f>IF($A273="","",IFERROR(SUMIF(tblMotor[A_Norm],$A273,tblMotor[DesiKgOran]),0))</f>
        <v/>
      </c>
      <c r="E273" s="15">
        <f>IF($A273="","",IFERROR(SUMIF(tblMotor[A_Norm],$A273,tblMotor[Tasarruf]),0))</f>
        <v/>
      </c>
      <c r="F273" s="15">
        <f>IF($A273="","",IFERROR(SUMIF(tblMotor[A_Norm],$A273,tblMotor[IadeOran]),0))</f>
        <v/>
      </c>
      <c r="G273" s="15">
        <f>IF($A273="","",IFERROR(SUMIF(tblMotor[A_Norm],$A273,tblMotor[BirimKargo]),0))</f>
        <v/>
      </c>
      <c r="H273" s="15">
        <f>IF(OR($A273="",$B273&lt;&gt;"tutar_farki"),"",IF($D273&gt;kdo_esikDesiOran,"KDO-001",IF($F273&gt;kdo_esikIade,"KDO-002",IF($E273&gt;kdo_esikTasarruf,"KDO-004",IF($C273&gt;kdo_esikFark,"KDO-005","TANIMSIZ")))))</f>
        <v/>
      </c>
    </row>
    <row r="274">
      <c r="A274" s="22">
        <f>IF('ESLESTIRME'!$A274="","",'ESLESTIRME'!$A274)</f>
        <v/>
      </c>
      <c r="B274" s="15">
        <f>IF($A274="","",IFERROR(INDEX(tblEslesme[Kova],MATCH($A274,tblEslesme[A_Norm],0)),""))</f>
        <v/>
      </c>
      <c r="C274" s="15">
        <f>IF($A274="","",IFERROR(INDEX(tblEslesme[AbsFark],MATCH($A274,tblEslesme[A_Norm],0)),0))</f>
        <v/>
      </c>
      <c r="D274" s="15">
        <f>IF($A274="","",IFERROR(SUMIF(tblMotor[A_Norm],$A274,tblMotor[DesiKgOran]),0))</f>
        <v/>
      </c>
      <c r="E274" s="15">
        <f>IF($A274="","",IFERROR(SUMIF(tblMotor[A_Norm],$A274,tblMotor[Tasarruf]),0))</f>
        <v/>
      </c>
      <c r="F274" s="15">
        <f>IF($A274="","",IFERROR(SUMIF(tblMotor[A_Norm],$A274,tblMotor[IadeOran]),0))</f>
        <v/>
      </c>
      <c r="G274" s="15">
        <f>IF($A274="","",IFERROR(SUMIF(tblMotor[A_Norm],$A274,tblMotor[BirimKargo]),0))</f>
        <v/>
      </c>
      <c r="H274" s="15">
        <f>IF(OR($A274="",$B274&lt;&gt;"tutar_farki"),"",IF($D274&gt;kdo_esikDesiOran,"KDO-001",IF($F274&gt;kdo_esikIade,"KDO-002",IF($E274&gt;kdo_esikTasarruf,"KDO-004",IF($C274&gt;kdo_esikFark,"KDO-005","TANIMSIZ")))))</f>
        <v/>
      </c>
    </row>
    <row r="275">
      <c r="A275" s="22">
        <f>IF('ESLESTIRME'!$A275="","",'ESLESTIRME'!$A275)</f>
        <v/>
      </c>
      <c r="B275" s="15">
        <f>IF($A275="","",IFERROR(INDEX(tblEslesme[Kova],MATCH($A275,tblEslesme[A_Norm],0)),""))</f>
        <v/>
      </c>
      <c r="C275" s="15">
        <f>IF($A275="","",IFERROR(INDEX(tblEslesme[AbsFark],MATCH($A275,tblEslesme[A_Norm],0)),0))</f>
        <v/>
      </c>
      <c r="D275" s="15">
        <f>IF($A275="","",IFERROR(SUMIF(tblMotor[A_Norm],$A275,tblMotor[DesiKgOran]),0))</f>
        <v/>
      </c>
      <c r="E275" s="15">
        <f>IF($A275="","",IFERROR(SUMIF(tblMotor[A_Norm],$A275,tblMotor[Tasarruf]),0))</f>
        <v/>
      </c>
      <c r="F275" s="15">
        <f>IF($A275="","",IFERROR(SUMIF(tblMotor[A_Norm],$A275,tblMotor[IadeOran]),0))</f>
        <v/>
      </c>
      <c r="G275" s="15">
        <f>IF($A275="","",IFERROR(SUMIF(tblMotor[A_Norm],$A275,tblMotor[BirimKargo]),0))</f>
        <v/>
      </c>
      <c r="H275" s="15">
        <f>IF(OR($A275="",$B275&lt;&gt;"tutar_farki"),"",IF($D275&gt;kdo_esikDesiOran,"KDO-001",IF($F275&gt;kdo_esikIade,"KDO-002",IF($E275&gt;kdo_esikTasarruf,"KDO-004",IF($C275&gt;kdo_esikFark,"KDO-005","TANIMSIZ")))))</f>
        <v/>
      </c>
    </row>
    <row r="276">
      <c r="A276" s="22">
        <f>IF('ESLESTIRME'!$A276="","",'ESLESTIRME'!$A276)</f>
        <v/>
      </c>
      <c r="B276" s="15">
        <f>IF($A276="","",IFERROR(INDEX(tblEslesme[Kova],MATCH($A276,tblEslesme[A_Norm],0)),""))</f>
        <v/>
      </c>
      <c r="C276" s="15">
        <f>IF($A276="","",IFERROR(INDEX(tblEslesme[AbsFark],MATCH($A276,tblEslesme[A_Norm],0)),0))</f>
        <v/>
      </c>
      <c r="D276" s="15">
        <f>IF($A276="","",IFERROR(SUMIF(tblMotor[A_Norm],$A276,tblMotor[DesiKgOran]),0))</f>
        <v/>
      </c>
      <c r="E276" s="15">
        <f>IF($A276="","",IFERROR(SUMIF(tblMotor[A_Norm],$A276,tblMotor[Tasarruf]),0))</f>
        <v/>
      </c>
      <c r="F276" s="15">
        <f>IF($A276="","",IFERROR(SUMIF(tblMotor[A_Norm],$A276,tblMotor[IadeOran]),0))</f>
        <v/>
      </c>
      <c r="G276" s="15">
        <f>IF($A276="","",IFERROR(SUMIF(tblMotor[A_Norm],$A276,tblMotor[BirimKargo]),0))</f>
        <v/>
      </c>
      <c r="H276" s="15">
        <f>IF(OR($A276="",$B276&lt;&gt;"tutar_farki"),"",IF($D276&gt;kdo_esikDesiOran,"KDO-001",IF($F276&gt;kdo_esikIade,"KDO-002",IF($E276&gt;kdo_esikTasarruf,"KDO-004",IF($C276&gt;kdo_esikFark,"KDO-005","TANIMSIZ")))))</f>
        <v/>
      </c>
    </row>
    <row r="277">
      <c r="A277" s="22">
        <f>IF('ESLESTIRME'!$A277="","",'ESLESTIRME'!$A277)</f>
        <v/>
      </c>
      <c r="B277" s="15">
        <f>IF($A277="","",IFERROR(INDEX(tblEslesme[Kova],MATCH($A277,tblEslesme[A_Norm],0)),""))</f>
        <v/>
      </c>
      <c r="C277" s="15">
        <f>IF($A277="","",IFERROR(INDEX(tblEslesme[AbsFark],MATCH($A277,tblEslesme[A_Norm],0)),0))</f>
        <v/>
      </c>
      <c r="D277" s="15">
        <f>IF($A277="","",IFERROR(SUMIF(tblMotor[A_Norm],$A277,tblMotor[DesiKgOran]),0))</f>
        <v/>
      </c>
      <c r="E277" s="15">
        <f>IF($A277="","",IFERROR(SUMIF(tblMotor[A_Norm],$A277,tblMotor[Tasarruf]),0))</f>
        <v/>
      </c>
      <c r="F277" s="15">
        <f>IF($A277="","",IFERROR(SUMIF(tblMotor[A_Norm],$A277,tblMotor[IadeOran]),0))</f>
        <v/>
      </c>
      <c r="G277" s="15">
        <f>IF($A277="","",IFERROR(SUMIF(tblMotor[A_Norm],$A277,tblMotor[BirimKargo]),0))</f>
        <v/>
      </c>
      <c r="H277" s="15">
        <f>IF(OR($A277="",$B277&lt;&gt;"tutar_farki"),"",IF($D277&gt;kdo_esikDesiOran,"KDO-001",IF($F277&gt;kdo_esikIade,"KDO-002",IF($E277&gt;kdo_esikTasarruf,"KDO-004",IF($C277&gt;kdo_esikFark,"KDO-005","TANIMSIZ")))))</f>
        <v/>
      </c>
    </row>
    <row r="278">
      <c r="A278" s="22">
        <f>IF('ESLESTIRME'!$A278="","",'ESLESTIRME'!$A278)</f>
        <v/>
      </c>
      <c r="B278" s="15">
        <f>IF($A278="","",IFERROR(INDEX(tblEslesme[Kova],MATCH($A278,tblEslesme[A_Norm],0)),""))</f>
        <v/>
      </c>
      <c r="C278" s="15">
        <f>IF($A278="","",IFERROR(INDEX(tblEslesme[AbsFark],MATCH($A278,tblEslesme[A_Norm],0)),0))</f>
        <v/>
      </c>
      <c r="D278" s="15">
        <f>IF($A278="","",IFERROR(SUMIF(tblMotor[A_Norm],$A278,tblMotor[DesiKgOran]),0))</f>
        <v/>
      </c>
      <c r="E278" s="15">
        <f>IF($A278="","",IFERROR(SUMIF(tblMotor[A_Norm],$A278,tblMotor[Tasarruf]),0))</f>
        <v/>
      </c>
      <c r="F278" s="15">
        <f>IF($A278="","",IFERROR(SUMIF(tblMotor[A_Norm],$A278,tblMotor[IadeOran]),0))</f>
        <v/>
      </c>
      <c r="G278" s="15">
        <f>IF($A278="","",IFERROR(SUMIF(tblMotor[A_Norm],$A278,tblMotor[BirimKargo]),0))</f>
        <v/>
      </c>
      <c r="H278" s="15">
        <f>IF(OR($A278="",$B278&lt;&gt;"tutar_farki"),"",IF($D278&gt;kdo_esikDesiOran,"KDO-001",IF($F278&gt;kdo_esikIade,"KDO-002",IF($E278&gt;kdo_esikTasarruf,"KDO-004",IF($C278&gt;kdo_esikFark,"KDO-005","TANIMSIZ")))))</f>
        <v/>
      </c>
    </row>
    <row r="279">
      <c r="A279" s="22">
        <f>IF('ESLESTIRME'!$A279="","",'ESLESTIRME'!$A279)</f>
        <v/>
      </c>
      <c r="B279" s="15">
        <f>IF($A279="","",IFERROR(INDEX(tblEslesme[Kova],MATCH($A279,tblEslesme[A_Norm],0)),""))</f>
        <v/>
      </c>
      <c r="C279" s="15">
        <f>IF($A279="","",IFERROR(INDEX(tblEslesme[AbsFark],MATCH($A279,tblEslesme[A_Norm],0)),0))</f>
        <v/>
      </c>
      <c r="D279" s="15">
        <f>IF($A279="","",IFERROR(SUMIF(tblMotor[A_Norm],$A279,tblMotor[DesiKgOran]),0))</f>
        <v/>
      </c>
      <c r="E279" s="15">
        <f>IF($A279="","",IFERROR(SUMIF(tblMotor[A_Norm],$A279,tblMotor[Tasarruf]),0))</f>
        <v/>
      </c>
      <c r="F279" s="15">
        <f>IF($A279="","",IFERROR(SUMIF(tblMotor[A_Norm],$A279,tblMotor[IadeOran]),0))</f>
        <v/>
      </c>
      <c r="G279" s="15">
        <f>IF($A279="","",IFERROR(SUMIF(tblMotor[A_Norm],$A279,tblMotor[BirimKargo]),0))</f>
        <v/>
      </c>
      <c r="H279" s="15">
        <f>IF(OR($A279="",$B279&lt;&gt;"tutar_farki"),"",IF($D279&gt;kdo_esikDesiOran,"KDO-001",IF($F279&gt;kdo_esikIade,"KDO-002",IF($E279&gt;kdo_esikTasarruf,"KDO-004",IF($C279&gt;kdo_esikFark,"KDO-005","TANIMSIZ")))))</f>
        <v/>
      </c>
    </row>
    <row r="280">
      <c r="A280" s="22">
        <f>IF('ESLESTIRME'!$A280="","",'ESLESTIRME'!$A280)</f>
        <v/>
      </c>
      <c r="B280" s="15">
        <f>IF($A280="","",IFERROR(INDEX(tblEslesme[Kova],MATCH($A280,tblEslesme[A_Norm],0)),""))</f>
        <v/>
      </c>
      <c r="C280" s="15">
        <f>IF($A280="","",IFERROR(INDEX(tblEslesme[AbsFark],MATCH($A280,tblEslesme[A_Norm],0)),0))</f>
        <v/>
      </c>
      <c r="D280" s="15">
        <f>IF($A280="","",IFERROR(SUMIF(tblMotor[A_Norm],$A280,tblMotor[DesiKgOran]),0))</f>
        <v/>
      </c>
      <c r="E280" s="15">
        <f>IF($A280="","",IFERROR(SUMIF(tblMotor[A_Norm],$A280,tblMotor[Tasarruf]),0))</f>
        <v/>
      </c>
      <c r="F280" s="15">
        <f>IF($A280="","",IFERROR(SUMIF(tblMotor[A_Norm],$A280,tblMotor[IadeOran]),0))</f>
        <v/>
      </c>
      <c r="G280" s="15">
        <f>IF($A280="","",IFERROR(SUMIF(tblMotor[A_Norm],$A280,tblMotor[BirimKargo]),0))</f>
        <v/>
      </c>
      <c r="H280" s="15">
        <f>IF(OR($A280="",$B280&lt;&gt;"tutar_farki"),"",IF($D280&gt;kdo_esikDesiOran,"KDO-001",IF($F280&gt;kdo_esikIade,"KDO-002",IF($E280&gt;kdo_esikTasarruf,"KDO-004",IF($C280&gt;kdo_esikFark,"KDO-005","TANIMSIZ")))))</f>
        <v/>
      </c>
    </row>
    <row r="281">
      <c r="A281" s="22">
        <f>IF('ESLESTIRME'!$A281="","",'ESLESTIRME'!$A281)</f>
        <v/>
      </c>
      <c r="B281" s="15">
        <f>IF($A281="","",IFERROR(INDEX(tblEslesme[Kova],MATCH($A281,tblEslesme[A_Norm],0)),""))</f>
        <v/>
      </c>
      <c r="C281" s="15">
        <f>IF($A281="","",IFERROR(INDEX(tblEslesme[AbsFark],MATCH($A281,tblEslesme[A_Norm],0)),0))</f>
        <v/>
      </c>
      <c r="D281" s="15">
        <f>IF($A281="","",IFERROR(SUMIF(tblMotor[A_Norm],$A281,tblMotor[DesiKgOran]),0))</f>
        <v/>
      </c>
      <c r="E281" s="15">
        <f>IF($A281="","",IFERROR(SUMIF(tblMotor[A_Norm],$A281,tblMotor[Tasarruf]),0))</f>
        <v/>
      </c>
      <c r="F281" s="15">
        <f>IF($A281="","",IFERROR(SUMIF(tblMotor[A_Norm],$A281,tblMotor[IadeOran]),0))</f>
        <v/>
      </c>
      <c r="G281" s="15">
        <f>IF($A281="","",IFERROR(SUMIF(tblMotor[A_Norm],$A281,tblMotor[BirimKargo]),0))</f>
        <v/>
      </c>
      <c r="H281" s="15">
        <f>IF(OR($A281="",$B281&lt;&gt;"tutar_farki"),"",IF($D281&gt;kdo_esikDesiOran,"KDO-001",IF($F281&gt;kdo_esikIade,"KDO-002",IF($E281&gt;kdo_esikTasarruf,"KDO-004",IF($C281&gt;kdo_esikFark,"KDO-005","TANIMSIZ")))))</f>
        <v/>
      </c>
    </row>
    <row r="282">
      <c r="A282" s="22">
        <f>IF('ESLESTIRME'!$A282="","",'ESLESTIRME'!$A282)</f>
        <v/>
      </c>
      <c r="B282" s="15">
        <f>IF($A282="","",IFERROR(INDEX(tblEslesme[Kova],MATCH($A282,tblEslesme[A_Norm],0)),""))</f>
        <v/>
      </c>
      <c r="C282" s="15">
        <f>IF($A282="","",IFERROR(INDEX(tblEslesme[AbsFark],MATCH($A282,tblEslesme[A_Norm],0)),0))</f>
        <v/>
      </c>
      <c r="D282" s="15">
        <f>IF($A282="","",IFERROR(SUMIF(tblMotor[A_Norm],$A282,tblMotor[DesiKgOran]),0))</f>
        <v/>
      </c>
      <c r="E282" s="15">
        <f>IF($A282="","",IFERROR(SUMIF(tblMotor[A_Norm],$A282,tblMotor[Tasarruf]),0))</f>
        <v/>
      </c>
      <c r="F282" s="15">
        <f>IF($A282="","",IFERROR(SUMIF(tblMotor[A_Norm],$A282,tblMotor[IadeOran]),0))</f>
        <v/>
      </c>
      <c r="G282" s="15">
        <f>IF($A282="","",IFERROR(SUMIF(tblMotor[A_Norm],$A282,tblMotor[BirimKargo]),0))</f>
        <v/>
      </c>
      <c r="H282" s="15">
        <f>IF(OR($A282="",$B282&lt;&gt;"tutar_farki"),"",IF($D282&gt;kdo_esikDesiOran,"KDO-001",IF($F282&gt;kdo_esikIade,"KDO-002",IF($E282&gt;kdo_esikTasarruf,"KDO-004",IF($C282&gt;kdo_esikFark,"KDO-005","TANIMSIZ")))))</f>
        <v/>
      </c>
    </row>
    <row r="283">
      <c r="A283" s="22">
        <f>IF('ESLESTIRME'!$A283="","",'ESLESTIRME'!$A283)</f>
        <v/>
      </c>
      <c r="B283" s="15">
        <f>IF($A283="","",IFERROR(INDEX(tblEslesme[Kova],MATCH($A283,tblEslesme[A_Norm],0)),""))</f>
        <v/>
      </c>
      <c r="C283" s="15">
        <f>IF($A283="","",IFERROR(INDEX(tblEslesme[AbsFark],MATCH($A283,tblEslesme[A_Norm],0)),0))</f>
        <v/>
      </c>
      <c r="D283" s="15">
        <f>IF($A283="","",IFERROR(SUMIF(tblMotor[A_Norm],$A283,tblMotor[DesiKgOran]),0))</f>
        <v/>
      </c>
      <c r="E283" s="15">
        <f>IF($A283="","",IFERROR(SUMIF(tblMotor[A_Norm],$A283,tblMotor[Tasarruf]),0))</f>
        <v/>
      </c>
      <c r="F283" s="15">
        <f>IF($A283="","",IFERROR(SUMIF(tblMotor[A_Norm],$A283,tblMotor[IadeOran]),0))</f>
        <v/>
      </c>
      <c r="G283" s="15">
        <f>IF($A283="","",IFERROR(SUMIF(tblMotor[A_Norm],$A283,tblMotor[BirimKargo]),0))</f>
        <v/>
      </c>
      <c r="H283" s="15">
        <f>IF(OR($A283="",$B283&lt;&gt;"tutar_farki"),"",IF($D283&gt;kdo_esikDesiOran,"KDO-001",IF($F283&gt;kdo_esikIade,"KDO-002",IF($E283&gt;kdo_esikTasarruf,"KDO-004",IF($C283&gt;kdo_esikFark,"KDO-005","TANIMSIZ")))))</f>
        <v/>
      </c>
    </row>
    <row r="284">
      <c r="A284" s="22">
        <f>IF('ESLESTIRME'!$A284="","",'ESLESTIRME'!$A284)</f>
        <v/>
      </c>
      <c r="B284" s="15">
        <f>IF($A284="","",IFERROR(INDEX(tblEslesme[Kova],MATCH($A284,tblEslesme[A_Norm],0)),""))</f>
        <v/>
      </c>
      <c r="C284" s="15">
        <f>IF($A284="","",IFERROR(INDEX(tblEslesme[AbsFark],MATCH($A284,tblEslesme[A_Norm],0)),0))</f>
        <v/>
      </c>
      <c r="D284" s="15">
        <f>IF($A284="","",IFERROR(SUMIF(tblMotor[A_Norm],$A284,tblMotor[DesiKgOran]),0))</f>
        <v/>
      </c>
      <c r="E284" s="15">
        <f>IF($A284="","",IFERROR(SUMIF(tblMotor[A_Norm],$A284,tblMotor[Tasarruf]),0))</f>
        <v/>
      </c>
      <c r="F284" s="15">
        <f>IF($A284="","",IFERROR(SUMIF(tblMotor[A_Norm],$A284,tblMotor[IadeOran]),0))</f>
        <v/>
      </c>
      <c r="G284" s="15">
        <f>IF($A284="","",IFERROR(SUMIF(tblMotor[A_Norm],$A284,tblMotor[BirimKargo]),0))</f>
        <v/>
      </c>
      <c r="H284" s="15">
        <f>IF(OR($A284="",$B284&lt;&gt;"tutar_farki"),"",IF($D284&gt;kdo_esikDesiOran,"KDO-001",IF($F284&gt;kdo_esikIade,"KDO-002",IF($E284&gt;kdo_esikTasarruf,"KDO-004",IF($C284&gt;kdo_esikFark,"KDO-005","TANIMSIZ")))))</f>
        <v/>
      </c>
    </row>
    <row r="285">
      <c r="A285" s="22">
        <f>IF('ESLESTIRME'!$A285="","",'ESLESTIRME'!$A285)</f>
        <v/>
      </c>
      <c r="B285" s="15">
        <f>IF($A285="","",IFERROR(INDEX(tblEslesme[Kova],MATCH($A285,tblEslesme[A_Norm],0)),""))</f>
        <v/>
      </c>
      <c r="C285" s="15">
        <f>IF($A285="","",IFERROR(INDEX(tblEslesme[AbsFark],MATCH($A285,tblEslesme[A_Norm],0)),0))</f>
        <v/>
      </c>
      <c r="D285" s="15">
        <f>IF($A285="","",IFERROR(SUMIF(tblMotor[A_Norm],$A285,tblMotor[DesiKgOran]),0))</f>
        <v/>
      </c>
      <c r="E285" s="15">
        <f>IF($A285="","",IFERROR(SUMIF(tblMotor[A_Norm],$A285,tblMotor[Tasarruf]),0))</f>
        <v/>
      </c>
      <c r="F285" s="15">
        <f>IF($A285="","",IFERROR(SUMIF(tblMotor[A_Norm],$A285,tblMotor[IadeOran]),0))</f>
        <v/>
      </c>
      <c r="G285" s="15">
        <f>IF($A285="","",IFERROR(SUMIF(tblMotor[A_Norm],$A285,tblMotor[BirimKargo]),0))</f>
        <v/>
      </c>
      <c r="H285" s="15">
        <f>IF(OR($A285="",$B285&lt;&gt;"tutar_farki"),"",IF($D285&gt;kdo_esikDesiOran,"KDO-001",IF($F285&gt;kdo_esikIade,"KDO-002",IF($E285&gt;kdo_esikTasarruf,"KDO-004",IF($C285&gt;kdo_esikFark,"KDO-005","TANIMSIZ")))))</f>
        <v/>
      </c>
    </row>
    <row r="286">
      <c r="A286" s="22">
        <f>IF('ESLESTIRME'!$A286="","",'ESLESTIRME'!$A286)</f>
        <v/>
      </c>
      <c r="B286" s="15">
        <f>IF($A286="","",IFERROR(INDEX(tblEslesme[Kova],MATCH($A286,tblEslesme[A_Norm],0)),""))</f>
        <v/>
      </c>
      <c r="C286" s="15">
        <f>IF($A286="","",IFERROR(INDEX(tblEslesme[AbsFark],MATCH($A286,tblEslesme[A_Norm],0)),0))</f>
        <v/>
      </c>
      <c r="D286" s="15">
        <f>IF($A286="","",IFERROR(SUMIF(tblMotor[A_Norm],$A286,tblMotor[DesiKgOran]),0))</f>
        <v/>
      </c>
      <c r="E286" s="15">
        <f>IF($A286="","",IFERROR(SUMIF(tblMotor[A_Norm],$A286,tblMotor[Tasarruf]),0))</f>
        <v/>
      </c>
      <c r="F286" s="15">
        <f>IF($A286="","",IFERROR(SUMIF(tblMotor[A_Norm],$A286,tblMotor[IadeOran]),0))</f>
        <v/>
      </c>
      <c r="G286" s="15">
        <f>IF($A286="","",IFERROR(SUMIF(tblMotor[A_Norm],$A286,tblMotor[BirimKargo]),0))</f>
        <v/>
      </c>
      <c r="H286" s="15">
        <f>IF(OR($A286="",$B286&lt;&gt;"tutar_farki"),"",IF($D286&gt;kdo_esikDesiOran,"KDO-001",IF($F286&gt;kdo_esikIade,"KDO-002",IF($E286&gt;kdo_esikTasarruf,"KDO-004",IF($C286&gt;kdo_esikFark,"KDO-005","TANIMSIZ")))))</f>
        <v/>
      </c>
    </row>
    <row r="287">
      <c r="A287" s="22">
        <f>IF('ESLESTIRME'!$A287="","",'ESLESTIRME'!$A287)</f>
        <v/>
      </c>
      <c r="B287" s="15">
        <f>IF($A287="","",IFERROR(INDEX(tblEslesme[Kova],MATCH($A287,tblEslesme[A_Norm],0)),""))</f>
        <v/>
      </c>
      <c r="C287" s="15">
        <f>IF($A287="","",IFERROR(INDEX(tblEslesme[AbsFark],MATCH($A287,tblEslesme[A_Norm],0)),0))</f>
        <v/>
      </c>
      <c r="D287" s="15">
        <f>IF($A287="","",IFERROR(SUMIF(tblMotor[A_Norm],$A287,tblMotor[DesiKgOran]),0))</f>
        <v/>
      </c>
      <c r="E287" s="15">
        <f>IF($A287="","",IFERROR(SUMIF(tblMotor[A_Norm],$A287,tblMotor[Tasarruf]),0))</f>
        <v/>
      </c>
      <c r="F287" s="15">
        <f>IF($A287="","",IFERROR(SUMIF(tblMotor[A_Norm],$A287,tblMotor[IadeOran]),0))</f>
        <v/>
      </c>
      <c r="G287" s="15">
        <f>IF($A287="","",IFERROR(SUMIF(tblMotor[A_Norm],$A287,tblMotor[BirimKargo]),0))</f>
        <v/>
      </c>
      <c r="H287" s="15">
        <f>IF(OR($A287="",$B287&lt;&gt;"tutar_farki"),"",IF($D287&gt;kdo_esikDesiOran,"KDO-001",IF($F287&gt;kdo_esikIade,"KDO-002",IF($E287&gt;kdo_esikTasarruf,"KDO-004",IF($C287&gt;kdo_esikFark,"KDO-005","TANIMSIZ")))))</f>
        <v/>
      </c>
    </row>
    <row r="288">
      <c r="A288" s="22">
        <f>IF('ESLESTIRME'!$A288="","",'ESLESTIRME'!$A288)</f>
        <v/>
      </c>
      <c r="B288" s="15">
        <f>IF($A288="","",IFERROR(INDEX(tblEslesme[Kova],MATCH($A288,tblEslesme[A_Norm],0)),""))</f>
        <v/>
      </c>
      <c r="C288" s="15">
        <f>IF($A288="","",IFERROR(INDEX(tblEslesme[AbsFark],MATCH($A288,tblEslesme[A_Norm],0)),0))</f>
        <v/>
      </c>
      <c r="D288" s="15">
        <f>IF($A288="","",IFERROR(SUMIF(tblMotor[A_Norm],$A288,tblMotor[DesiKgOran]),0))</f>
        <v/>
      </c>
      <c r="E288" s="15">
        <f>IF($A288="","",IFERROR(SUMIF(tblMotor[A_Norm],$A288,tblMotor[Tasarruf]),0))</f>
        <v/>
      </c>
      <c r="F288" s="15">
        <f>IF($A288="","",IFERROR(SUMIF(tblMotor[A_Norm],$A288,tblMotor[IadeOran]),0))</f>
        <v/>
      </c>
      <c r="G288" s="15">
        <f>IF($A288="","",IFERROR(SUMIF(tblMotor[A_Norm],$A288,tblMotor[BirimKargo]),0))</f>
        <v/>
      </c>
      <c r="H288" s="15">
        <f>IF(OR($A288="",$B288&lt;&gt;"tutar_farki"),"",IF($D288&gt;kdo_esikDesiOran,"KDO-001",IF($F288&gt;kdo_esikIade,"KDO-002",IF($E288&gt;kdo_esikTasarruf,"KDO-004",IF($C288&gt;kdo_esikFark,"KDO-005","TANIMSIZ")))))</f>
        <v/>
      </c>
    </row>
    <row r="289">
      <c r="A289" s="22">
        <f>IF('ESLESTIRME'!$A289="","",'ESLESTIRME'!$A289)</f>
        <v/>
      </c>
      <c r="B289" s="15">
        <f>IF($A289="","",IFERROR(INDEX(tblEslesme[Kova],MATCH($A289,tblEslesme[A_Norm],0)),""))</f>
        <v/>
      </c>
      <c r="C289" s="15">
        <f>IF($A289="","",IFERROR(INDEX(tblEslesme[AbsFark],MATCH($A289,tblEslesme[A_Norm],0)),0))</f>
        <v/>
      </c>
      <c r="D289" s="15">
        <f>IF($A289="","",IFERROR(SUMIF(tblMotor[A_Norm],$A289,tblMotor[DesiKgOran]),0))</f>
        <v/>
      </c>
      <c r="E289" s="15">
        <f>IF($A289="","",IFERROR(SUMIF(tblMotor[A_Norm],$A289,tblMotor[Tasarruf]),0))</f>
        <v/>
      </c>
      <c r="F289" s="15">
        <f>IF($A289="","",IFERROR(SUMIF(tblMotor[A_Norm],$A289,tblMotor[IadeOran]),0))</f>
        <v/>
      </c>
      <c r="G289" s="15">
        <f>IF($A289="","",IFERROR(SUMIF(tblMotor[A_Norm],$A289,tblMotor[BirimKargo]),0))</f>
        <v/>
      </c>
      <c r="H289" s="15">
        <f>IF(OR($A289="",$B289&lt;&gt;"tutar_farki"),"",IF($D289&gt;kdo_esikDesiOran,"KDO-001",IF($F289&gt;kdo_esikIade,"KDO-002",IF($E289&gt;kdo_esikTasarruf,"KDO-004",IF($C289&gt;kdo_esikFark,"KDO-005","TANIMSIZ")))))</f>
        <v/>
      </c>
    </row>
    <row r="290">
      <c r="A290" s="22">
        <f>IF('ESLESTIRME'!$A290="","",'ESLESTIRME'!$A290)</f>
        <v/>
      </c>
      <c r="B290" s="15">
        <f>IF($A290="","",IFERROR(INDEX(tblEslesme[Kova],MATCH($A290,tblEslesme[A_Norm],0)),""))</f>
        <v/>
      </c>
      <c r="C290" s="15">
        <f>IF($A290="","",IFERROR(INDEX(tblEslesme[AbsFark],MATCH($A290,tblEslesme[A_Norm],0)),0))</f>
        <v/>
      </c>
      <c r="D290" s="15">
        <f>IF($A290="","",IFERROR(SUMIF(tblMotor[A_Norm],$A290,tblMotor[DesiKgOran]),0))</f>
        <v/>
      </c>
      <c r="E290" s="15">
        <f>IF($A290="","",IFERROR(SUMIF(tblMotor[A_Norm],$A290,tblMotor[Tasarruf]),0))</f>
        <v/>
      </c>
      <c r="F290" s="15">
        <f>IF($A290="","",IFERROR(SUMIF(tblMotor[A_Norm],$A290,tblMotor[IadeOran]),0))</f>
        <v/>
      </c>
      <c r="G290" s="15">
        <f>IF($A290="","",IFERROR(SUMIF(tblMotor[A_Norm],$A290,tblMotor[BirimKargo]),0))</f>
        <v/>
      </c>
      <c r="H290" s="15">
        <f>IF(OR($A290="",$B290&lt;&gt;"tutar_farki"),"",IF($D290&gt;kdo_esikDesiOran,"KDO-001",IF($F290&gt;kdo_esikIade,"KDO-002",IF($E290&gt;kdo_esikTasarruf,"KDO-004",IF($C290&gt;kdo_esikFark,"KDO-005","TANIMSIZ")))))</f>
        <v/>
      </c>
    </row>
    <row r="291">
      <c r="A291" s="22">
        <f>IF('ESLESTIRME'!$A291="","",'ESLESTIRME'!$A291)</f>
        <v/>
      </c>
      <c r="B291" s="15">
        <f>IF($A291="","",IFERROR(INDEX(tblEslesme[Kova],MATCH($A291,tblEslesme[A_Norm],0)),""))</f>
        <v/>
      </c>
      <c r="C291" s="15">
        <f>IF($A291="","",IFERROR(INDEX(tblEslesme[AbsFark],MATCH($A291,tblEslesme[A_Norm],0)),0))</f>
        <v/>
      </c>
      <c r="D291" s="15">
        <f>IF($A291="","",IFERROR(SUMIF(tblMotor[A_Norm],$A291,tblMotor[DesiKgOran]),0))</f>
        <v/>
      </c>
      <c r="E291" s="15">
        <f>IF($A291="","",IFERROR(SUMIF(tblMotor[A_Norm],$A291,tblMotor[Tasarruf]),0))</f>
        <v/>
      </c>
      <c r="F291" s="15">
        <f>IF($A291="","",IFERROR(SUMIF(tblMotor[A_Norm],$A291,tblMotor[IadeOran]),0))</f>
        <v/>
      </c>
      <c r="G291" s="15">
        <f>IF($A291="","",IFERROR(SUMIF(tblMotor[A_Norm],$A291,tblMotor[BirimKargo]),0))</f>
        <v/>
      </c>
      <c r="H291" s="15">
        <f>IF(OR($A291="",$B291&lt;&gt;"tutar_farki"),"",IF($D291&gt;kdo_esikDesiOran,"KDO-001",IF($F291&gt;kdo_esikIade,"KDO-002",IF($E291&gt;kdo_esikTasarruf,"KDO-004",IF($C291&gt;kdo_esikFark,"KDO-005","TANIMSIZ")))))</f>
        <v/>
      </c>
    </row>
    <row r="292">
      <c r="A292" s="22">
        <f>IF('ESLESTIRME'!$A292="","",'ESLESTIRME'!$A292)</f>
        <v/>
      </c>
      <c r="B292" s="15">
        <f>IF($A292="","",IFERROR(INDEX(tblEslesme[Kova],MATCH($A292,tblEslesme[A_Norm],0)),""))</f>
        <v/>
      </c>
      <c r="C292" s="15">
        <f>IF($A292="","",IFERROR(INDEX(tblEslesme[AbsFark],MATCH($A292,tblEslesme[A_Norm],0)),0))</f>
        <v/>
      </c>
      <c r="D292" s="15">
        <f>IF($A292="","",IFERROR(SUMIF(tblMotor[A_Norm],$A292,tblMotor[DesiKgOran]),0))</f>
        <v/>
      </c>
      <c r="E292" s="15">
        <f>IF($A292="","",IFERROR(SUMIF(tblMotor[A_Norm],$A292,tblMotor[Tasarruf]),0))</f>
        <v/>
      </c>
      <c r="F292" s="15">
        <f>IF($A292="","",IFERROR(SUMIF(tblMotor[A_Norm],$A292,tblMotor[IadeOran]),0))</f>
        <v/>
      </c>
      <c r="G292" s="15">
        <f>IF($A292="","",IFERROR(SUMIF(tblMotor[A_Norm],$A292,tblMotor[BirimKargo]),0))</f>
        <v/>
      </c>
      <c r="H292" s="15">
        <f>IF(OR($A292="",$B292&lt;&gt;"tutar_farki"),"",IF($D292&gt;kdo_esikDesiOran,"KDO-001",IF($F292&gt;kdo_esikIade,"KDO-002",IF($E292&gt;kdo_esikTasarruf,"KDO-004",IF($C292&gt;kdo_esikFark,"KDO-005","TANIMSIZ")))))</f>
        <v/>
      </c>
    </row>
    <row r="293">
      <c r="A293" s="22">
        <f>IF('ESLESTIRME'!$A293="","",'ESLESTIRME'!$A293)</f>
        <v/>
      </c>
      <c r="B293" s="15">
        <f>IF($A293="","",IFERROR(INDEX(tblEslesme[Kova],MATCH($A293,tblEslesme[A_Norm],0)),""))</f>
        <v/>
      </c>
      <c r="C293" s="15">
        <f>IF($A293="","",IFERROR(INDEX(tblEslesme[AbsFark],MATCH($A293,tblEslesme[A_Norm],0)),0))</f>
        <v/>
      </c>
      <c r="D293" s="15">
        <f>IF($A293="","",IFERROR(SUMIF(tblMotor[A_Norm],$A293,tblMotor[DesiKgOran]),0))</f>
        <v/>
      </c>
      <c r="E293" s="15">
        <f>IF($A293="","",IFERROR(SUMIF(tblMotor[A_Norm],$A293,tblMotor[Tasarruf]),0))</f>
        <v/>
      </c>
      <c r="F293" s="15">
        <f>IF($A293="","",IFERROR(SUMIF(tblMotor[A_Norm],$A293,tblMotor[IadeOran]),0))</f>
        <v/>
      </c>
      <c r="G293" s="15">
        <f>IF($A293="","",IFERROR(SUMIF(tblMotor[A_Norm],$A293,tblMotor[BirimKargo]),0))</f>
        <v/>
      </c>
      <c r="H293" s="15">
        <f>IF(OR($A293="",$B293&lt;&gt;"tutar_farki"),"",IF($D293&gt;kdo_esikDesiOran,"KDO-001",IF($F293&gt;kdo_esikIade,"KDO-002",IF($E293&gt;kdo_esikTasarruf,"KDO-004",IF($C293&gt;kdo_esikFark,"KDO-005","TANIMSIZ")))))</f>
        <v/>
      </c>
    </row>
    <row r="294">
      <c r="A294" s="22">
        <f>IF('ESLESTIRME'!$A294="","",'ESLESTIRME'!$A294)</f>
        <v/>
      </c>
      <c r="B294" s="15">
        <f>IF($A294="","",IFERROR(INDEX(tblEslesme[Kova],MATCH($A294,tblEslesme[A_Norm],0)),""))</f>
        <v/>
      </c>
      <c r="C294" s="15">
        <f>IF($A294="","",IFERROR(INDEX(tblEslesme[AbsFark],MATCH($A294,tblEslesme[A_Norm],0)),0))</f>
        <v/>
      </c>
      <c r="D294" s="15">
        <f>IF($A294="","",IFERROR(SUMIF(tblMotor[A_Norm],$A294,tblMotor[DesiKgOran]),0))</f>
        <v/>
      </c>
      <c r="E294" s="15">
        <f>IF($A294="","",IFERROR(SUMIF(tblMotor[A_Norm],$A294,tblMotor[Tasarruf]),0))</f>
        <v/>
      </c>
      <c r="F294" s="15">
        <f>IF($A294="","",IFERROR(SUMIF(tblMotor[A_Norm],$A294,tblMotor[IadeOran]),0))</f>
        <v/>
      </c>
      <c r="G294" s="15">
        <f>IF($A294="","",IFERROR(SUMIF(tblMotor[A_Norm],$A294,tblMotor[BirimKargo]),0))</f>
        <v/>
      </c>
      <c r="H294" s="15">
        <f>IF(OR($A294="",$B294&lt;&gt;"tutar_farki"),"",IF($D294&gt;kdo_esikDesiOran,"KDO-001",IF($F294&gt;kdo_esikIade,"KDO-002",IF($E294&gt;kdo_esikTasarruf,"KDO-004",IF($C294&gt;kdo_esikFark,"KDO-005","TANIMSIZ")))))</f>
        <v/>
      </c>
    </row>
    <row r="295">
      <c r="A295" s="22">
        <f>IF('ESLESTIRME'!$A295="","",'ESLESTIRME'!$A295)</f>
        <v/>
      </c>
      <c r="B295" s="15">
        <f>IF($A295="","",IFERROR(INDEX(tblEslesme[Kova],MATCH($A295,tblEslesme[A_Norm],0)),""))</f>
        <v/>
      </c>
      <c r="C295" s="15">
        <f>IF($A295="","",IFERROR(INDEX(tblEslesme[AbsFark],MATCH($A295,tblEslesme[A_Norm],0)),0))</f>
        <v/>
      </c>
      <c r="D295" s="15">
        <f>IF($A295="","",IFERROR(SUMIF(tblMotor[A_Norm],$A295,tblMotor[DesiKgOran]),0))</f>
        <v/>
      </c>
      <c r="E295" s="15">
        <f>IF($A295="","",IFERROR(SUMIF(tblMotor[A_Norm],$A295,tblMotor[Tasarruf]),0))</f>
        <v/>
      </c>
      <c r="F295" s="15">
        <f>IF($A295="","",IFERROR(SUMIF(tblMotor[A_Norm],$A295,tblMotor[IadeOran]),0))</f>
        <v/>
      </c>
      <c r="G295" s="15">
        <f>IF($A295="","",IFERROR(SUMIF(tblMotor[A_Norm],$A295,tblMotor[BirimKargo]),0))</f>
        <v/>
      </c>
      <c r="H295" s="15">
        <f>IF(OR($A295="",$B295&lt;&gt;"tutar_farki"),"",IF($D295&gt;kdo_esikDesiOran,"KDO-001",IF($F295&gt;kdo_esikIade,"KDO-002",IF($E295&gt;kdo_esikTasarruf,"KDO-004",IF($C295&gt;kdo_esikFark,"KDO-005","TANIMSIZ")))))</f>
        <v/>
      </c>
    </row>
    <row r="296">
      <c r="A296" s="22">
        <f>IF('ESLESTIRME'!$A296="","",'ESLESTIRME'!$A296)</f>
        <v/>
      </c>
      <c r="B296" s="15">
        <f>IF($A296="","",IFERROR(INDEX(tblEslesme[Kova],MATCH($A296,tblEslesme[A_Norm],0)),""))</f>
        <v/>
      </c>
      <c r="C296" s="15">
        <f>IF($A296="","",IFERROR(INDEX(tblEslesme[AbsFark],MATCH($A296,tblEslesme[A_Norm],0)),0))</f>
        <v/>
      </c>
      <c r="D296" s="15">
        <f>IF($A296="","",IFERROR(SUMIF(tblMotor[A_Norm],$A296,tblMotor[DesiKgOran]),0))</f>
        <v/>
      </c>
      <c r="E296" s="15">
        <f>IF($A296="","",IFERROR(SUMIF(tblMotor[A_Norm],$A296,tblMotor[Tasarruf]),0))</f>
        <v/>
      </c>
      <c r="F296" s="15">
        <f>IF($A296="","",IFERROR(SUMIF(tblMotor[A_Norm],$A296,tblMotor[IadeOran]),0))</f>
        <v/>
      </c>
      <c r="G296" s="15">
        <f>IF($A296="","",IFERROR(SUMIF(tblMotor[A_Norm],$A296,tblMotor[BirimKargo]),0))</f>
        <v/>
      </c>
      <c r="H296" s="15">
        <f>IF(OR($A296="",$B296&lt;&gt;"tutar_farki"),"",IF($D296&gt;kdo_esikDesiOran,"KDO-001",IF($F296&gt;kdo_esikIade,"KDO-002",IF($E296&gt;kdo_esikTasarruf,"KDO-004",IF($C296&gt;kdo_esikFark,"KDO-005","TANIMSIZ")))))</f>
        <v/>
      </c>
    </row>
    <row r="297">
      <c r="A297" s="22">
        <f>IF('ESLESTIRME'!$A297="","",'ESLESTIRME'!$A297)</f>
        <v/>
      </c>
      <c r="B297" s="15">
        <f>IF($A297="","",IFERROR(INDEX(tblEslesme[Kova],MATCH($A297,tblEslesme[A_Norm],0)),""))</f>
        <v/>
      </c>
      <c r="C297" s="15">
        <f>IF($A297="","",IFERROR(INDEX(tblEslesme[AbsFark],MATCH($A297,tblEslesme[A_Norm],0)),0))</f>
        <v/>
      </c>
      <c r="D297" s="15">
        <f>IF($A297="","",IFERROR(SUMIF(tblMotor[A_Norm],$A297,tblMotor[DesiKgOran]),0))</f>
        <v/>
      </c>
      <c r="E297" s="15">
        <f>IF($A297="","",IFERROR(SUMIF(tblMotor[A_Norm],$A297,tblMotor[Tasarruf]),0))</f>
        <v/>
      </c>
      <c r="F297" s="15">
        <f>IF($A297="","",IFERROR(SUMIF(tblMotor[A_Norm],$A297,tblMotor[IadeOran]),0))</f>
        <v/>
      </c>
      <c r="G297" s="15">
        <f>IF($A297="","",IFERROR(SUMIF(tblMotor[A_Norm],$A297,tblMotor[BirimKargo]),0))</f>
        <v/>
      </c>
      <c r="H297" s="15">
        <f>IF(OR($A297="",$B297&lt;&gt;"tutar_farki"),"",IF($D297&gt;kdo_esikDesiOran,"KDO-001",IF($F297&gt;kdo_esikIade,"KDO-002",IF($E297&gt;kdo_esikTasarruf,"KDO-004",IF($C297&gt;kdo_esikFark,"KDO-005","TANIMSIZ")))))</f>
        <v/>
      </c>
    </row>
    <row r="298">
      <c r="A298" s="22">
        <f>IF('ESLESTIRME'!$A298="","",'ESLESTIRME'!$A298)</f>
        <v/>
      </c>
      <c r="B298" s="15">
        <f>IF($A298="","",IFERROR(INDEX(tblEslesme[Kova],MATCH($A298,tblEslesme[A_Norm],0)),""))</f>
        <v/>
      </c>
      <c r="C298" s="15">
        <f>IF($A298="","",IFERROR(INDEX(tblEslesme[AbsFark],MATCH($A298,tblEslesme[A_Norm],0)),0))</f>
        <v/>
      </c>
      <c r="D298" s="15">
        <f>IF($A298="","",IFERROR(SUMIF(tblMotor[A_Norm],$A298,tblMotor[DesiKgOran]),0))</f>
        <v/>
      </c>
      <c r="E298" s="15">
        <f>IF($A298="","",IFERROR(SUMIF(tblMotor[A_Norm],$A298,tblMotor[Tasarruf]),0))</f>
        <v/>
      </c>
      <c r="F298" s="15">
        <f>IF($A298="","",IFERROR(SUMIF(tblMotor[A_Norm],$A298,tblMotor[IadeOran]),0))</f>
        <v/>
      </c>
      <c r="G298" s="15">
        <f>IF($A298="","",IFERROR(SUMIF(tblMotor[A_Norm],$A298,tblMotor[BirimKargo]),0))</f>
        <v/>
      </c>
      <c r="H298" s="15">
        <f>IF(OR($A298="",$B298&lt;&gt;"tutar_farki"),"",IF($D298&gt;kdo_esikDesiOran,"KDO-001",IF($F298&gt;kdo_esikIade,"KDO-002",IF($E298&gt;kdo_esikTasarruf,"KDO-004",IF($C298&gt;kdo_esikFark,"KDO-005","TANIMSIZ")))))</f>
        <v/>
      </c>
    </row>
    <row r="299">
      <c r="A299" s="22">
        <f>IF('ESLESTIRME'!$A299="","",'ESLESTIRME'!$A299)</f>
        <v/>
      </c>
      <c r="B299" s="15">
        <f>IF($A299="","",IFERROR(INDEX(tblEslesme[Kova],MATCH($A299,tblEslesme[A_Norm],0)),""))</f>
        <v/>
      </c>
      <c r="C299" s="15">
        <f>IF($A299="","",IFERROR(INDEX(tblEslesme[AbsFark],MATCH($A299,tblEslesme[A_Norm],0)),0))</f>
        <v/>
      </c>
      <c r="D299" s="15">
        <f>IF($A299="","",IFERROR(SUMIF(tblMotor[A_Norm],$A299,tblMotor[DesiKgOran]),0))</f>
        <v/>
      </c>
      <c r="E299" s="15">
        <f>IF($A299="","",IFERROR(SUMIF(tblMotor[A_Norm],$A299,tblMotor[Tasarruf]),0))</f>
        <v/>
      </c>
      <c r="F299" s="15">
        <f>IF($A299="","",IFERROR(SUMIF(tblMotor[A_Norm],$A299,tblMotor[IadeOran]),0))</f>
        <v/>
      </c>
      <c r="G299" s="15">
        <f>IF($A299="","",IFERROR(SUMIF(tblMotor[A_Norm],$A299,tblMotor[BirimKargo]),0))</f>
        <v/>
      </c>
      <c r="H299" s="15">
        <f>IF(OR($A299="",$B299&lt;&gt;"tutar_farki"),"",IF($D299&gt;kdo_esikDesiOran,"KDO-001",IF($F299&gt;kdo_esikIade,"KDO-002",IF($E299&gt;kdo_esikTasarruf,"KDO-004",IF($C299&gt;kdo_esikFark,"KDO-005","TANIMSIZ")))))</f>
        <v/>
      </c>
    </row>
    <row r="300">
      <c r="A300" s="22">
        <f>IF('ESLESTIRME'!$A300="","",'ESLESTIRME'!$A300)</f>
        <v/>
      </c>
      <c r="B300" s="15">
        <f>IF($A300="","",IFERROR(INDEX(tblEslesme[Kova],MATCH($A300,tblEslesme[A_Norm],0)),""))</f>
        <v/>
      </c>
      <c r="C300" s="15">
        <f>IF($A300="","",IFERROR(INDEX(tblEslesme[AbsFark],MATCH($A300,tblEslesme[A_Norm],0)),0))</f>
        <v/>
      </c>
      <c r="D300" s="15">
        <f>IF($A300="","",IFERROR(SUMIF(tblMotor[A_Norm],$A300,tblMotor[DesiKgOran]),0))</f>
        <v/>
      </c>
      <c r="E300" s="15">
        <f>IF($A300="","",IFERROR(SUMIF(tblMotor[A_Norm],$A300,tblMotor[Tasarruf]),0))</f>
        <v/>
      </c>
      <c r="F300" s="15">
        <f>IF($A300="","",IFERROR(SUMIF(tblMotor[A_Norm],$A300,tblMotor[IadeOran]),0))</f>
        <v/>
      </c>
      <c r="G300" s="15">
        <f>IF($A300="","",IFERROR(SUMIF(tblMotor[A_Norm],$A300,tblMotor[BirimKargo]),0))</f>
        <v/>
      </c>
      <c r="H300" s="15">
        <f>IF(OR($A300="",$B300&lt;&gt;"tutar_farki"),"",IF($D300&gt;kdo_esikDesiOran,"KDO-001",IF($F300&gt;kdo_esikIade,"KDO-002",IF($E300&gt;kdo_esikTasarruf,"KDO-004",IF($C300&gt;kdo_esikFark,"KDO-005","TANIMSIZ")))))</f>
        <v/>
      </c>
    </row>
    <row r="301">
      <c r="A301" s="22">
        <f>IF('ESLESTIRME'!$A301="","",'ESLESTIRME'!$A301)</f>
        <v/>
      </c>
      <c r="B301" s="15">
        <f>IF($A301="","",IFERROR(INDEX(tblEslesme[Kova],MATCH($A301,tblEslesme[A_Norm],0)),""))</f>
        <v/>
      </c>
      <c r="C301" s="15">
        <f>IF($A301="","",IFERROR(INDEX(tblEslesme[AbsFark],MATCH($A301,tblEslesme[A_Norm],0)),0))</f>
        <v/>
      </c>
      <c r="D301" s="15">
        <f>IF($A301="","",IFERROR(SUMIF(tblMotor[A_Norm],$A301,tblMotor[DesiKgOran]),0))</f>
        <v/>
      </c>
      <c r="E301" s="15">
        <f>IF($A301="","",IFERROR(SUMIF(tblMotor[A_Norm],$A301,tblMotor[Tasarruf]),0))</f>
        <v/>
      </c>
      <c r="F301" s="15">
        <f>IF($A301="","",IFERROR(SUMIF(tblMotor[A_Norm],$A301,tblMotor[IadeOran]),0))</f>
        <v/>
      </c>
      <c r="G301" s="15">
        <f>IF($A301="","",IFERROR(SUMIF(tblMotor[A_Norm],$A301,tblMotor[BirimKargo]),0))</f>
        <v/>
      </c>
      <c r="H301" s="15">
        <f>IF(OR($A301="",$B301&lt;&gt;"tutar_farki"),"",IF($D301&gt;kdo_esikDesiOran,"KDO-001",IF($F301&gt;kdo_esikIade,"KDO-002",IF($E301&gt;kdo_esikTasarruf,"KDO-004",IF($C301&gt;kdo_esikFark,"KDO-005","TANIMSIZ")))))</f>
        <v/>
      </c>
    </row>
    <row r="302">
      <c r="A302" s="22">
        <f>IF('ESLESTIRME'!$A302="","",'ESLESTIRME'!$A302)</f>
        <v/>
      </c>
      <c r="B302" s="15">
        <f>IF($A302="","",IFERROR(INDEX(tblEslesme[Kova],MATCH($A302,tblEslesme[A_Norm],0)),""))</f>
        <v/>
      </c>
      <c r="C302" s="15">
        <f>IF($A302="","",IFERROR(INDEX(tblEslesme[AbsFark],MATCH($A302,tblEslesme[A_Norm],0)),0))</f>
        <v/>
      </c>
      <c r="D302" s="15">
        <f>IF($A302="","",IFERROR(SUMIF(tblMotor[A_Norm],$A302,tblMotor[DesiKgOran]),0))</f>
        <v/>
      </c>
      <c r="E302" s="15">
        <f>IF($A302="","",IFERROR(SUMIF(tblMotor[A_Norm],$A302,tblMotor[Tasarruf]),0))</f>
        <v/>
      </c>
      <c r="F302" s="15">
        <f>IF($A302="","",IFERROR(SUMIF(tblMotor[A_Norm],$A302,tblMotor[IadeOran]),0))</f>
        <v/>
      </c>
      <c r="G302" s="15">
        <f>IF($A302="","",IFERROR(SUMIF(tblMotor[A_Norm],$A302,tblMotor[BirimKargo]),0))</f>
        <v/>
      </c>
      <c r="H302" s="15">
        <f>IF(OR($A302="",$B302&lt;&gt;"tutar_farki"),"",IF($D302&gt;kdo_esikDesiOran,"KDO-001",IF($F302&gt;kdo_esikIade,"KDO-002",IF($E302&gt;kdo_esikTasarruf,"KDO-004",IF($C302&gt;kdo_esikFark,"KDO-005","TANIMSIZ")))))</f>
        <v/>
      </c>
    </row>
    <row r="303">
      <c r="A303" s="22">
        <f>IF('ESLESTIRME'!$A303="","",'ESLESTIRME'!$A303)</f>
        <v/>
      </c>
      <c r="B303" s="15">
        <f>IF($A303="","",IFERROR(INDEX(tblEslesme[Kova],MATCH($A303,tblEslesme[A_Norm],0)),""))</f>
        <v/>
      </c>
      <c r="C303" s="15">
        <f>IF($A303="","",IFERROR(INDEX(tblEslesme[AbsFark],MATCH($A303,tblEslesme[A_Norm],0)),0))</f>
        <v/>
      </c>
      <c r="D303" s="15">
        <f>IF($A303="","",IFERROR(SUMIF(tblMotor[A_Norm],$A303,tblMotor[DesiKgOran]),0))</f>
        <v/>
      </c>
      <c r="E303" s="15">
        <f>IF($A303="","",IFERROR(SUMIF(tblMotor[A_Norm],$A303,tblMotor[Tasarruf]),0))</f>
        <v/>
      </c>
      <c r="F303" s="15">
        <f>IF($A303="","",IFERROR(SUMIF(tblMotor[A_Norm],$A303,tblMotor[IadeOran]),0))</f>
        <v/>
      </c>
      <c r="G303" s="15">
        <f>IF($A303="","",IFERROR(SUMIF(tblMotor[A_Norm],$A303,tblMotor[BirimKargo]),0))</f>
        <v/>
      </c>
      <c r="H303" s="15">
        <f>IF(OR($A303="",$B303&lt;&gt;"tutar_farki"),"",IF($D303&gt;kdo_esikDesiOran,"KDO-001",IF($F303&gt;kdo_esikIade,"KDO-002",IF($E303&gt;kdo_esikTasarruf,"KDO-004",IF($C303&gt;kdo_esikFark,"KDO-005","TANIMSIZ")))))</f>
        <v/>
      </c>
    </row>
    <row r="304">
      <c r="A304" s="22">
        <f>IF('ESLESTIRME'!$A304="","",'ESLESTIRME'!$A304)</f>
        <v/>
      </c>
      <c r="B304" s="15">
        <f>IF($A304="","",IFERROR(INDEX(tblEslesme[Kova],MATCH($A304,tblEslesme[A_Norm],0)),""))</f>
        <v/>
      </c>
      <c r="C304" s="15">
        <f>IF($A304="","",IFERROR(INDEX(tblEslesme[AbsFark],MATCH($A304,tblEslesme[A_Norm],0)),0))</f>
        <v/>
      </c>
      <c r="D304" s="15">
        <f>IF($A304="","",IFERROR(SUMIF(tblMotor[A_Norm],$A304,tblMotor[DesiKgOran]),0))</f>
        <v/>
      </c>
      <c r="E304" s="15">
        <f>IF($A304="","",IFERROR(SUMIF(tblMotor[A_Norm],$A304,tblMotor[Tasarruf]),0))</f>
        <v/>
      </c>
      <c r="F304" s="15">
        <f>IF($A304="","",IFERROR(SUMIF(tblMotor[A_Norm],$A304,tblMotor[IadeOran]),0))</f>
        <v/>
      </c>
      <c r="G304" s="15">
        <f>IF($A304="","",IFERROR(SUMIF(tblMotor[A_Norm],$A304,tblMotor[BirimKargo]),0))</f>
        <v/>
      </c>
      <c r="H304" s="15">
        <f>IF(OR($A304="",$B304&lt;&gt;"tutar_farki"),"",IF($D304&gt;kdo_esikDesiOran,"KDO-001",IF($F304&gt;kdo_esikIade,"KDO-002",IF($E304&gt;kdo_esikTasarruf,"KDO-004",IF($C304&gt;kdo_esikFark,"KDO-005","TANIMSIZ")))))</f>
        <v/>
      </c>
    </row>
    <row r="305">
      <c r="A305" s="22">
        <f>IF('ESLESTIRME'!$A305="","",'ESLESTIRME'!$A305)</f>
        <v/>
      </c>
      <c r="B305" s="15">
        <f>IF($A305="","",IFERROR(INDEX(tblEslesme[Kova],MATCH($A305,tblEslesme[A_Norm],0)),""))</f>
        <v/>
      </c>
      <c r="C305" s="15">
        <f>IF($A305="","",IFERROR(INDEX(tblEslesme[AbsFark],MATCH($A305,tblEslesme[A_Norm],0)),0))</f>
        <v/>
      </c>
      <c r="D305" s="15">
        <f>IF($A305="","",IFERROR(SUMIF(tblMotor[A_Norm],$A305,tblMotor[DesiKgOran]),0))</f>
        <v/>
      </c>
      <c r="E305" s="15">
        <f>IF($A305="","",IFERROR(SUMIF(tblMotor[A_Norm],$A305,tblMotor[Tasarruf]),0))</f>
        <v/>
      </c>
      <c r="F305" s="15">
        <f>IF($A305="","",IFERROR(SUMIF(tblMotor[A_Norm],$A305,tblMotor[IadeOran]),0))</f>
        <v/>
      </c>
      <c r="G305" s="15">
        <f>IF($A305="","",IFERROR(SUMIF(tblMotor[A_Norm],$A305,tblMotor[BirimKargo]),0))</f>
        <v/>
      </c>
      <c r="H305" s="15">
        <f>IF(OR($A305="",$B305&lt;&gt;"tutar_farki"),"",IF($D305&gt;kdo_esikDesiOran,"KDO-001",IF($F305&gt;kdo_esikIade,"KDO-002",IF($E305&gt;kdo_esikTasarruf,"KDO-004",IF($C305&gt;kdo_esikFark,"KDO-005","TANIMSIZ")))))</f>
        <v/>
      </c>
    </row>
    <row r="306">
      <c r="A306" s="22">
        <f>IF('ESLESTIRME'!$A306="","",'ESLESTIRME'!$A306)</f>
        <v/>
      </c>
      <c r="B306" s="15">
        <f>IF($A306="","",IFERROR(INDEX(tblEslesme[Kova],MATCH($A306,tblEslesme[A_Norm],0)),""))</f>
        <v/>
      </c>
      <c r="C306" s="15">
        <f>IF($A306="","",IFERROR(INDEX(tblEslesme[AbsFark],MATCH($A306,tblEslesme[A_Norm],0)),0))</f>
        <v/>
      </c>
      <c r="D306" s="15">
        <f>IF($A306="","",IFERROR(SUMIF(tblMotor[A_Norm],$A306,tblMotor[DesiKgOran]),0))</f>
        <v/>
      </c>
      <c r="E306" s="15">
        <f>IF($A306="","",IFERROR(SUMIF(tblMotor[A_Norm],$A306,tblMotor[Tasarruf]),0))</f>
        <v/>
      </c>
      <c r="F306" s="15">
        <f>IF($A306="","",IFERROR(SUMIF(tblMotor[A_Norm],$A306,tblMotor[IadeOran]),0))</f>
        <v/>
      </c>
      <c r="G306" s="15">
        <f>IF($A306="","",IFERROR(SUMIF(tblMotor[A_Norm],$A306,tblMotor[BirimKargo]),0))</f>
        <v/>
      </c>
      <c r="H306" s="15">
        <f>IF(OR($A306="",$B306&lt;&gt;"tutar_farki"),"",IF($D306&gt;kdo_esikDesiOran,"KDO-001",IF($F306&gt;kdo_esikIade,"KDO-002",IF($E306&gt;kdo_esikTasarruf,"KDO-004",IF($C306&gt;kdo_esikFark,"KDO-005","TANIMSIZ")))))</f>
        <v/>
      </c>
    </row>
    <row r="307">
      <c r="A307" s="22">
        <f>IF('ESLESTIRME'!$A307="","",'ESLESTIRME'!$A307)</f>
        <v/>
      </c>
      <c r="B307" s="15">
        <f>IF($A307="","",IFERROR(INDEX(tblEslesme[Kova],MATCH($A307,tblEslesme[A_Norm],0)),""))</f>
        <v/>
      </c>
      <c r="C307" s="15">
        <f>IF($A307="","",IFERROR(INDEX(tblEslesme[AbsFark],MATCH($A307,tblEslesme[A_Norm],0)),0))</f>
        <v/>
      </c>
      <c r="D307" s="15">
        <f>IF($A307="","",IFERROR(SUMIF(tblMotor[A_Norm],$A307,tblMotor[DesiKgOran]),0))</f>
        <v/>
      </c>
      <c r="E307" s="15">
        <f>IF($A307="","",IFERROR(SUMIF(tblMotor[A_Norm],$A307,tblMotor[Tasarruf]),0))</f>
        <v/>
      </c>
      <c r="F307" s="15">
        <f>IF($A307="","",IFERROR(SUMIF(tblMotor[A_Norm],$A307,tblMotor[IadeOran]),0))</f>
        <v/>
      </c>
      <c r="G307" s="15">
        <f>IF($A307="","",IFERROR(SUMIF(tblMotor[A_Norm],$A307,tblMotor[BirimKargo]),0))</f>
        <v/>
      </c>
      <c r="H307" s="15">
        <f>IF(OR($A307="",$B307&lt;&gt;"tutar_farki"),"",IF($D307&gt;kdo_esikDesiOran,"KDO-001",IF($F307&gt;kdo_esikIade,"KDO-002",IF($E307&gt;kdo_esikTasarruf,"KDO-004",IF($C307&gt;kdo_esikFark,"KDO-005","TANIMSIZ")))))</f>
        <v/>
      </c>
    </row>
    <row r="308">
      <c r="A308" s="22">
        <f>IF('ESLESTIRME'!$A308="","",'ESLESTIRME'!$A308)</f>
        <v/>
      </c>
      <c r="B308" s="15">
        <f>IF($A308="","",IFERROR(INDEX(tblEslesme[Kova],MATCH($A308,tblEslesme[A_Norm],0)),""))</f>
        <v/>
      </c>
      <c r="C308" s="15">
        <f>IF($A308="","",IFERROR(INDEX(tblEslesme[AbsFark],MATCH($A308,tblEslesme[A_Norm],0)),0))</f>
        <v/>
      </c>
      <c r="D308" s="15">
        <f>IF($A308="","",IFERROR(SUMIF(tblMotor[A_Norm],$A308,tblMotor[DesiKgOran]),0))</f>
        <v/>
      </c>
      <c r="E308" s="15">
        <f>IF($A308="","",IFERROR(SUMIF(tblMotor[A_Norm],$A308,tblMotor[Tasarruf]),0))</f>
        <v/>
      </c>
      <c r="F308" s="15">
        <f>IF($A308="","",IFERROR(SUMIF(tblMotor[A_Norm],$A308,tblMotor[IadeOran]),0))</f>
        <v/>
      </c>
      <c r="G308" s="15">
        <f>IF($A308="","",IFERROR(SUMIF(tblMotor[A_Norm],$A308,tblMotor[BirimKargo]),0))</f>
        <v/>
      </c>
      <c r="H308" s="15">
        <f>IF(OR($A308="",$B308&lt;&gt;"tutar_farki"),"",IF($D308&gt;kdo_esikDesiOran,"KDO-001",IF($F308&gt;kdo_esikIade,"KDO-002",IF($E308&gt;kdo_esikTasarruf,"KDO-004",IF($C308&gt;kdo_esikFark,"KDO-005","TANIMSIZ")))))</f>
        <v/>
      </c>
    </row>
    <row r="309">
      <c r="A309" s="22">
        <f>IF('ESLESTIRME'!$A309="","",'ESLESTIRME'!$A309)</f>
        <v/>
      </c>
      <c r="B309" s="15">
        <f>IF($A309="","",IFERROR(INDEX(tblEslesme[Kova],MATCH($A309,tblEslesme[A_Norm],0)),""))</f>
        <v/>
      </c>
      <c r="C309" s="15">
        <f>IF($A309="","",IFERROR(INDEX(tblEslesme[AbsFark],MATCH($A309,tblEslesme[A_Norm],0)),0))</f>
        <v/>
      </c>
      <c r="D309" s="15">
        <f>IF($A309="","",IFERROR(SUMIF(tblMotor[A_Norm],$A309,tblMotor[DesiKgOran]),0))</f>
        <v/>
      </c>
      <c r="E309" s="15">
        <f>IF($A309="","",IFERROR(SUMIF(tblMotor[A_Norm],$A309,tblMotor[Tasarruf]),0))</f>
        <v/>
      </c>
      <c r="F309" s="15">
        <f>IF($A309="","",IFERROR(SUMIF(tblMotor[A_Norm],$A309,tblMotor[IadeOran]),0))</f>
        <v/>
      </c>
      <c r="G309" s="15">
        <f>IF($A309="","",IFERROR(SUMIF(tblMotor[A_Norm],$A309,tblMotor[BirimKargo]),0))</f>
        <v/>
      </c>
      <c r="H309" s="15">
        <f>IF(OR($A309="",$B309&lt;&gt;"tutar_farki"),"",IF($D309&gt;kdo_esikDesiOran,"KDO-001",IF($F309&gt;kdo_esikIade,"KDO-002",IF($E309&gt;kdo_esikTasarruf,"KDO-004",IF($C309&gt;kdo_esikFark,"KDO-005","TANIMSIZ")))))</f>
        <v/>
      </c>
    </row>
    <row r="310">
      <c r="A310" s="22">
        <f>IF('ESLESTIRME'!$A310="","",'ESLESTIRME'!$A310)</f>
        <v/>
      </c>
      <c r="B310" s="15">
        <f>IF($A310="","",IFERROR(INDEX(tblEslesme[Kova],MATCH($A310,tblEslesme[A_Norm],0)),""))</f>
        <v/>
      </c>
      <c r="C310" s="15">
        <f>IF($A310="","",IFERROR(INDEX(tblEslesme[AbsFark],MATCH($A310,tblEslesme[A_Norm],0)),0))</f>
        <v/>
      </c>
      <c r="D310" s="15">
        <f>IF($A310="","",IFERROR(SUMIF(tblMotor[A_Norm],$A310,tblMotor[DesiKgOran]),0))</f>
        <v/>
      </c>
      <c r="E310" s="15">
        <f>IF($A310="","",IFERROR(SUMIF(tblMotor[A_Norm],$A310,tblMotor[Tasarruf]),0))</f>
        <v/>
      </c>
      <c r="F310" s="15">
        <f>IF($A310="","",IFERROR(SUMIF(tblMotor[A_Norm],$A310,tblMotor[IadeOran]),0))</f>
        <v/>
      </c>
      <c r="G310" s="15">
        <f>IF($A310="","",IFERROR(SUMIF(tblMotor[A_Norm],$A310,tblMotor[BirimKargo]),0))</f>
        <v/>
      </c>
      <c r="H310" s="15">
        <f>IF(OR($A310="",$B310&lt;&gt;"tutar_farki"),"",IF($D310&gt;kdo_esikDesiOran,"KDO-001",IF($F310&gt;kdo_esikIade,"KDO-002",IF($E310&gt;kdo_esikTasarruf,"KDO-004",IF($C310&gt;kdo_esikFark,"KDO-005","TANIMSIZ")))))</f>
        <v/>
      </c>
    </row>
    <row r="311">
      <c r="A311" s="22">
        <f>IF('ESLESTIRME'!$A311="","",'ESLESTIRME'!$A311)</f>
        <v/>
      </c>
      <c r="B311" s="15">
        <f>IF($A311="","",IFERROR(INDEX(tblEslesme[Kova],MATCH($A311,tblEslesme[A_Norm],0)),""))</f>
        <v/>
      </c>
      <c r="C311" s="15">
        <f>IF($A311="","",IFERROR(INDEX(tblEslesme[AbsFark],MATCH($A311,tblEslesme[A_Norm],0)),0))</f>
        <v/>
      </c>
      <c r="D311" s="15">
        <f>IF($A311="","",IFERROR(SUMIF(tblMotor[A_Norm],$A311,tblMotor[DesiKgOran]),0))</f>
        <v/>
      </c>
      <c r="E311" s="15">
        <f>IF($A311="","",IFERROR(SUMIF(tblMotor[A_Norm],$A311,tblMotor[Tasarruf]),0))</f>
        <v/>
      </c>
      <c r="F311" s="15">
        <f>IF($A311="","",IFERROR(SUMIF(tblMotor[A_Norm],$A311,tblMotor[IadeOran]),0))</f>
        <v/>
      </c>
      <c r="G311" s="15">
        <f>IF($A311="","",IFERROR(SUMIF(tblMotor[A_Norm],$A311,tblMotor[BirimKargo]),0))</f>
        <v/>
      </c>
      <c r="H311" s="15">
        <f>IF(OR($A311="",$B311&lt;&gt;"tutar_farki"),"",IF($D311&gt;kdo_esikDesiOran,"KDO-001",IF($F311&gt;kdo_esikIade,"KDO-002",IF($E311&gt;kdo_esikTasarruf,"KDO-004",IF($C311&gt;kdo_esikFark,"KDO-005","TANIMSIZ")))))</f>
        <v/>
      </c>
    </row>
    <row r="312">
      <c r="A312" s="22">
        <f>IF('ESLESTIRME'!$A312="","",'ESLESTIRME'!$A312)</f>
        <v/>
      </c>
      <c r="B312" s="15">
        <f>IF($A312="","",IFERROR(INDEX(tblEslesme[Kova],MATCH($A312,tblEslesme[A_Norm],0)),""))</f>
        <v/>
      </c>
      <c r="C312" s="15">
        <f>IF($A312="","",IFERROR(INDEX(tblEslesme[AbsFark],MATCH($A312,tblEslesme[A_Norm],0)),0))</f>
        <v/>
      </c>
      <c r="D312" s="15">
        <f>IF($A312="","",IFERROR(SUMIF(tblMotor[A_Norm],$A312,tblMotor[DesiKgOran]),0))</f>
        <v/>
      </c>
      <c r="E312" s="15">
        <f>IF($A312="","",IFERROR(SUMIF(tblMotor[A_Norm],$A312,tblMotor[Tasarruf]),0))</f>
        <v/>
      </c>
      <c r="F312" s="15">
        <f>IF($A312="","",IFERROR(SUMIF(tblMotor[A_Norm],$A312,tblMotor[IadeOran]),0))</f>
        <v/>
      </c>
      <c r="G312" s="15">
        <f>IF($A312="","",IFERROR(SUMIF(tblMotor[A_Norm],$A312,tblMotor[BirimKargo]),0))</f>
        <v/>
      </c>
      <c r="H312" s="15">
        <f>IF(OR($A312="",$B312&lt;&gt;"tutar_farki"),"",IF($D312&gt;kdo_esikDesiOran,"KDO-001",IF($F312&gt;kdo_esikIade,"KDO-002",IF($E312&gt;kdo_esikTasarruf,"KDO-004",IF($C312&gt;kdo_esikFark,"KDO-005","TANIMSIZ")))))</f>
        <v/>
      </c>
    </row>
    <row r="313">
      <c r="A313" s="22">
        <f>IF('ESLESTIRME'!$A313="","",'ESLESTIRME'!$A313)</f>
        <v/>
      </c>
      <c r="B313" s="15">
        <f>IF($A313="","",IFERROR(INDEX(tblEslesme[Kova],MATCH($A313,tblEslesme[A_Norm],0)),""))</f>
        <v/>
      </c>
      <c r="C313" s="15">
        <f>IF($A313="","",IFERROR(INDEX(tblEslesme[AbsFark],MATCH($A313,tblEslesme[A_Norm],0)),0))</f>
        <v/>
      </c>
      <c r="D313" s="15">
        <f>IF($A313="","",IFERROR(SUMIF(tblMotor[A_Norm],$A313,tblMotor[DesiKgOran]),0))</f>
        <v/>
      </c>
      <c r="E313" s="15">
        <f>IF($A313="","",IFERROR(SUMIF(tblMotor[A_Norm],$A313,tblMotor[Tasarruf]),0))</f>
        <v/>
      </c>
      <c r="F313" s="15">
        <f>IF($A313="","",IFERROR(SUMIF(tblMotor[A_Norm],$A313,tblMotor[IadeOran]),0))</f>
        <v/>
      </c>
      <c r="G313" s="15">
        <f>IF($A313="","",IFERROR(SUMIF(tblMotor[A_Norm],$A313,tblMotor[BirimKargo]),0))</f>
        <v/>
      </c>
      <c r="H313" s="15">
        <f>IF(OR($A313="",$B313&lt;&gt;"tutar_farki"),"",IF($D313&gt;kdo_esikDesiOran,"KDO-001",IF($F313&gt;kdo_esikIade,"KDO-002",IF($E313&gt;kdo_esikTasarruf,"KDO-004",IF($C313&gt;kdo_esikFark,"KDO-005","TANIMSIZ")))))</f>
        <v/>
      </c>
    </row>
    <row r="314">
      <c r="A314" s="22">
        <f>IF('ESLESTIRME'!$A314="","",'ESLESTIRME'!$A314)</f>
        <v/>
      </c>
      <c r="B314" s="15">
        <f>IF($A314="","",IFERROR(INDEX(tblEslesme[Kova],MATCH($A314,tblEslesme[A_Norm],0)),""))</f>
        <v/>
      </c>
      <c r="C314" s="15">
        <f>IF($A314="","",IFERROR(INDEX(tblEslesme[AbsFark],MATCH($A314,tblEslesme[A_Norm],0)),0))</f>
        <v/>
      </c>
      <c r="D314" s="15">
        <f>IF($A314="","",IFERROR(SUMIF(tblMotor[A_Norm],$A314,tblMotor[DesiKgOran]),0))</f>
        <v/>
      </c>
      <c r="E314" s="15">
        <f>IF($A314="","",IFERROR(SUMIF(tblMotor[A_Norm],$A314,tblMotor[Tasarruf]),0))</f>
        <v/>
      </c>
      <c r="F314" s="15">
        <f>IF($A314="","",IFERROR(SUMIF(tblMotor[A_Norm],$A314,tblMotor[IadeOran]),0))</f>
        <v/>
      </c>
      <c r="G314" s="15">
        <f>IF($A314="","",IFERROR(SUMIF(tblMotor[A_Norm],$A314,tblMotor[BirimKargo]),0))</f>
        <v/>
      </c>
      <c r="H314" s="15">
        <f>IF(OR($A314="",$B314&lt;&gt;"tutar_farki"),"",IF($D314&gt;kdo_esikDesiOran,"KDO-001",IF($F314&gt;kdo_esikIade,"KDO-002",IF($E314&gt;kdo_esikTasarruf,"KDO-004",IF($C314&gt;kdo_esikFark,"KDO-005","TANIMSIZ")))))</f>
        <v/>
      </c>
    </row>
    <row r="315">
      <c r="A315" s="22">
        <f>IF('ESLESTIRME'!$A315="","",'ESLESTIRME'!$A315)</f>
        <v/>
      </c>
      <c r="B315" s="15">
        <f>IF($A315="","",IFERROR(INDEX(tblEslesme[Kova],MATCH($A315,tblEslesme[A_Norm],0)),""))</f>
        <v/>
      </c>
      <c r="C315" s="15">
        <f>IF($A315="","",IFERROR(INDEX(tblEslesme[AbsFark],MATCH($A315,tblEslesme[A_Norm],0)),0))</f>
        <v/>
      </c>
      <c r="D315" s="15">
        <f>IF($A315="","",IFERROR(SUMIF(tblMotor[A_Norm],$A315,tblMotor[DesiKgOran]),0))</f>
        <v/>
      </c>
      <c r="E315" s="15">
        <f>IF($A315="","",IFERROR(SUMIF(tblMotor[A_Norm],$A315,tblMotor[Tasarruf]),0))</f>
        <v/>
      </c>
      <c r="F315" s="15">
        <f>IF($A315="","",IFERROR(SUMIF(tblMotor[A_Norm],$A315,tblMotor[IadeOran]),0))</f>
        <v/>
      </c>
      <c r="G315" s="15">
        <f>IF($A315="","",IFERROR(SUMIF(tblMotor[A_Norm],$A315,tblMotor[BirimKargo]),0))</f>
        <v/>
      </c>
      <c r="H315" s="15">
        <f>IF(OR($A315="",$B315&lt;&gt;"tutar_farki"),"",IF($D315&gt;kdo_esikDesiOran,"KDO-001",IF($F315&gt;kdo_esikIade,"KDO-002",IF($E315&gt;kdo_esikTasarruf,"KDO-004",IF($C315&gt;kdo_esikFark,"KDO-005","TANIMSIZ")))))</f>
        <v/>
      </c>
    </row>
    <row r="316">
      <c r="A316" s="22">
        <f>IF('ESLESTIRME'!$A316="","",'ESLESTIRME'!$A316)</f>
        <v/>
      </c>
      <c r="B316" s="15">
        <f>IF($A316="","",IFERROR(INDEX(tblEslesme[Kova],MATCH($A316,tblEslesme[A_Norm],0)),""))</f>
        <v/>
      </c>
      <c r="C316" s="15">
        <f>IF($A316="","",IFERROR(INDEX(tblEslesme[AbsFark],MATCH($A316,tblEslesme[A_Norm],0)),0))</f>
        <v/>
      </c>
      <c r="D316" s="15">
        <f>IF($A316="","",IFERROR(SUMIF(tblMotor[A_Norm],$A316,tblMotor[DesiKgOran]),0))</f>
        <v/>
      </c>
      <c r="E316" s="15">
        <f>IF($A316="","",IFERROR(SUMIF(tblMotor[A_Norm],$A316,tblMotor[Tasarruf]),0))</f>
        <v/>
      </c>
      <c r="F316" s="15">
        <f>IF($A316="","",IFERROR(SUMIF(tblMotor[A_Norm],$A316,tblMotor[IadeOran]),0))</f>
        <v/>
      </c>
      <c r="G316" s="15">
        <f>IF($A316="","",IFERROR(SUMIF(tblMotor[A_Norm],$A316,tblMotor[BirimKargo]),0))</f>
        <v/>
      </c>
      <c r="H316" s="15">
        <f>IF(OR($A316="",$B316&lt;&gt;"tutar_farki"),"",IF($D316&gt;kdo_esikDesiOran,"KDO-001",IF($F316&gt;kdo_esikIade,"KDO-002",IF($E316&gt;kdo_esikTasarruf,"KDO-004",IF($C316&gt;kdo_esikFark,"KDO-005","TANIMSIZ")))))</f>
        <v/>
      </c>
    </row>
    <row r="317">
      <c r="A317" s="22">
        <f>IF('ESLESTIRME'!$A317="","",'ESLESTIRME'!$A317)</f>
        <v/>
      </c>
      <c r="B317" s="15">
        <f>IF($A317="","",IFERROR(INDEX(tblEslesme[Kova],MATCH($A317,tblEslesme[A_Norm],0)),""))</f>
        <v/>
      </c>
      <c r="C317" s="15">
        <f>IF($A317="","",IFERROR(INDEX(tblEslesme[AbsFark],MATCH($A317,tblEslesme[A_Norm],0)),0))</f>
        <v/>
      </c>
      <c r="D317" s="15">
        <f>IF($A317="","",IFERROR(SUMIF(tblMotor[A_Norm],$A317,tblMotor[DesiKgOran]),0))</f>
        <v/>
      </c>
      <c r="E317" s="15">
        <f>IF($A317="","",IFERROR(SUMIF(tblMotor[A_Norm],$A317,tblMotor[Tasarruf]),0))</f>
        <v/>
      </c>
      <c r="F317" s="15">
        <f>IF($A317="","",IFERROR(SUMIF(tblMotor[A_Norm],$A317,tblMotor[IadeOran]),0))</f>
        <v/>
      </c>
      <c r="G317" s="15">
        <f>IF($A317="","",IFERROR(SUMIF(tblMotor[A_Norm],$A317,tblMotor[BirimKargo]),0))</f>
        <v/>
      </c>
      <c r="H317" s="15">
        <f>IF(OR($A317="",$B317&lt;&gt;"tutar_farki"),"",IF($D317&gt;kdo_esikDesiOran,"KDO-001",IF($F317&gt;kdo_esikIade,"KDO-002",IF($E317&gt;kdo_esikTasarruf,"KDO-004",IF($C317&gt;kdo_esikFark,"KDO-005","TANIMSIZ")))))</f>
        <v/>
      </c>
    </row>
    <row r="318">
      <c r="A318" s="22">
        <f>IF('ESLESTIRME'!$A318="","",'ESLESTIRME'!$A318)</f>
        <v/>
      </c>
      <c r="B318" s="15">
        <f>IF($A318="","",IFERROR(INDEX(tblEslesme[Kova],MATCH($A318,tblEslesme[A_Norm],0)),""))</f>
        <v/>
      </c>
      <c r="C318" s="15">
        <f>IF($A318="","",IFERROR(INDEX(tblEslesme[AbsFark],MATCH($A318,tblEslesme[A_Norm],0)),0))</f>
        <v/>
      </c>
      <c r="D318" s="15">
        <f>IF($A318="","",IFERROR(SUMIF(tblMotor[A_Norm],$A318,tblMotor[DesiKgOran]),0))</f>
        <v/>
      </c>
      <c r="E318" s="15">
        <f>IF($A318="","",IFERROR(SUMIF(tblMotor[A_Norm],$A318,tblMotor[Tasarruf]),0))</f>
        <v/>
      </c>
      <c r="F318" s="15">
        <f>IF($A318="","",IFERROR(SUMIF(tblMotor[A_Norm],$A318,tblMotor[IadeOran]),0))</f>
        <v/>
      </c>
      <c r="G318" s="15">
        <f>IF($A318="","",IFERROR(SUMIF(tblMotor[A_Norm],$A318,tblMotor[BirimKargo]),0))</f>
        <v/>
      </c>
      <c r="H318" s="15">
        <f>IF(OR($A318="",$B318&lt;&gt;"tutar_farki"),"",IF($D318&gt;kdo_esikDesiOran,"KDO-001",IF($F318&gt;kdo_esikIade,"KDO-002",IF($E318&gt;kdo_esikTasarruf,"KDO-004",IF($C318&gt;kdo_esikFark,"KDO-005","TANIMSIZ")))))</f>
        <v/>
      </c>
    </row>
    <row r="319">
      <c r="A319" s="22">
        <f>IF('ESLESTIRME'!$A319="","",'ESLESTIRME'!$A319)</f>
        <v/>
      </c>
      <c r="B319" s="15">
        <f>IF($A319="","",IFERROR(INDEX(tblEslesme[Kova],MATCH($A319,tblEslesme[A_Norm],0)),""))</f>
        <v/>
      </c>
      <c r="C319" s="15">
        <f>IF($A319="","",IFERROR(INDEX(tblEslesme[AbsFark],MATCH($A319,tblEslesme[A_Norm],0)),0))</f>
        <v/>
      </c>
      <c r="D319" s="15">
        <f>IF($A319="","",IFERROR(SUMIF(tblMotor[A_Norm],$A319,tblMotor[DesiKgOran]),0))</f>
        <v/>
      </c>
      <c r="E319" s="15">
        <f>IF($A319="","",IFERROR(SUMIF(tblMotor[A_Norm],$A319,tblMotor[Tasarruf]),0))</f>
        <v/>
      </c>
      <c r="F319" s="15">
        <f>IF($A319="","",IFERROR(SUMIF(tblMotor[A_Norm],$A319,tblMotor[IadeOran]),0))</f>
        <v/>
      </c>
      <c r="G319" s="15">
        <f>IF($A319="","",IFERROR(SUMIF(tblMotor[A_Norm],$A319,tblMotor[BirimKargo]),0))</f>
        <v/>
      </c>
      <c r="H319" s="15">
        <f>IF(OR($A319="",$B319&lt;&gt;"tutar_farki"),"",IF($D319&gt;kdo_esikDesiOran,"KDO-001",IF($F319&gt;kdo_esikIade,"KDO-002",IF($E319&gt;kdo_esikTasarruf,"KDO-004",IF($C319&gt;kdo_esikFark,"KDO-005","TANIMSIZ")))))</f>
        <v/>
      </c>
    </row>
    <row r="320">
      <c r="A320" s="22">
        <f>IF('ESLESTIRME'!$A320="","",'ESLESTIRME'!$A320)</f>
        <v/>
      </c>
      <c r="B320" s="15">
        <f>IF($A320="","",IFERROR(INDEX(tblEslesme[Kova],MATCH($A320,tblEslesme[A_Norm],0)),""))</f>
        <v/>
      </c>
      <c r="C320" s="15">
        <f>IF($A320="","",IFERROR(INDEX(tblEslesme[AbsFark],MATCH($A320,tblEslesme[A_Norm],0)),0))</f>
        <v/>
      </c>
      <c r="D320" s="15">
        <f>IF($A320="","",IFERROR(SUMIF(tblMotor[A_Norm],$A320,tblMotor[DesiKgOran]),0))</f>
        <v/>
      </c>
      <c r="E320" s="15">
        <f>IF($A320="","",IFERROR(SUMIF(tblMotor[A_Norm],$A320,tblMotor[Tasarruf]),0))</f>
        <v/>
      </c>
      <c r="F320" s="15">
        <f>IF($A320="","",IFERROR(SUMIF(tblMotor[A_Norm],$A320,tblMotor[IadeOran]),0))</f>
        <v/>
      </c>
      <c r="G320" s="15">
        <f>IF($A320="","",IFERROR(SUMIF(tblMotor[A_Norm],$A320,tblMotor[BirimKargo]),0))</f>
        <v/>
      </c>
      <c r="H320" s="15">
        <f>IF(OR($A320="",$B320&lt;&gt;"tutar_farki"),"",IF($D320&gt;kdo_esikDesiOran,"KDO-001",IF($F320&gt;kdo_esikIade,"KDO-002",IF($E320&gt;kdo_esikTasarruf,"KDO-004",IF($C320&gt;kdo_esikFark,"KDO-005","TANIMSIZ")))))</f>
        <v/>
      </c>
    </row>
    <row r="321">
      <c r="A321" s="22">
        <f>IF('ESLESTIRME'!$A321="","",'ESLESTIRME'!$A321)</f>
        <v/>
      </c>
      <c r="B321" s="15">
        <f>IF($A321="","",IFERROR(INDEX(tblEslesme[Kova],MATCH($A321,tblEslesme[A_Norm],0)),""))</f>
        <v/>
      </c>
      <c r="C321" s="15">
        <f>IF($A321="","",IFERROR(INDEX(tblEslesme[AbsFark],MATCH($A321,tblEslesme[A_Norm],0)),0))</f>
        <v/>
      </c>
      <c r="D321" s="15">
        <f>IF($A321="","",IFERROR(SUMIF(tblMotor[A_Norm],$A321,tblMotor[DesiKgOran]),0))</f>
        <v/>
      </c>
      <c r="E321" s="15">
        <f>IF($A321="","",IFERROR(SUMIF(tblMotor[A_Norm],$A321,tblMotor[Tasarruf]),0))</f>
        <v/>
      </c>
      <c r="F321" s="15">
        <f>IF($A321="","",IFERROR(SUMIF(tblMotor[A_Norm],$A321,tblMotor[IadeOran]),0))</f>
        <v/>
      </c>
      <c r="G321" s="15">
        <f>IF($A321="","",IFERROR(SUMIF(tblMotor[A_Norm],$A321,tblMotor[BirimKargo]),0))</f>
        <v/>
      </c>
      <c r="H321" s="15">
        <f>IF(OR($A321="",$B321&lt;&gt;"tutar_farki"),"",IF($D321&gt;kdo_esikDesiOran,"KDO-001",IF($F321&gt;kdo_esikIade,"KDO-002",IF($E321&gt;kdo_esikTasarruf,"KDO-004",IF($C321&gt;kdo_esikFark,"KDO-005","TANIMSIZ")))))</f>
        <v/>
      </c>
    </row>
    <row r="322">
      <c r="A322" s="22">
        <f>IF('ESLESTIRME'!$A322="","",'ESLESTIRME'!$A322)</f>
        <v/>
      </c>
      <c r="B322" s="15">
        <f>IF($A322="","",IFERROR(INDEX(tblEslesme[Kova],MATCH($A322,tblEslesme[A_Norm],0)),""))</f>
        <v/>
      </c>
      <c r="C322" s="15">
        <f>IF($A322="","",IFERROR(INDEX(tblEslesme[AbsFark],MATCH($A322,tblEslesme[A_Norm],0)),0))</f>
        <v/>
      </c>
      <c r="D322" s="15">
        <f>IF($A322="","",IFERROR(SUMIF(tblMotor[A_Norm],$A322,tblMotor[DesiKgOran]),0))</f>
        <v/>
      </c>
      <c r="E322" s="15">
        <f>IF($A322="","",IFERROR(SUMIF(tblMotor[A_Norm],$A322,tblMotor[Tasarruf]),0))</f>
        <v/>
      </c>
      <c r="F322" s="15">
        <f>IF($A322="","",IFERROR(SUMIF(tblMotor[A_Norm],$A322,tblMotor[IadeOran]),0))</f>
        <v/>
      </c>
      <c r="G322" s="15">
        <f>IF($A322="","",IFERROR(SUMIF(tblMotor[A_Norm],$A322,tblMotor[BirimKargo]),0))</f>
        <v/>
      </c>
      <c r="H322" s="15">
        <f>IF(OR($A322="",$B322&lt;&gt;"tutar_farki"),"",IF($D322&gt;kdo_esikDesiOran,"KDO-001",IF($F322&gt;kdo_esikIade,"KDO-002",IF($E322&gt;kdo_esikTasarruf,"KDO-004",IF($C322&gt;kdo_esikFark,"KDO-005","TANIMSIZ")))))</f>
        <v/>
      </c>
    </row>
    <row r="323">
      <c r="A323" s="22">
        <f>IF('ESLESTIRME'!$A323="","",'ESLESTIRME'!$A323)</f>
        <v/>
      </c>
      <c r="B323" s="15">
        <f>IF($A323="","",IFERROR(INDEX(tblEslesme[Kova],MATCH($A323,tblEslesme[A_Norm],0)),""))</f>
        <v/>
      </c>
      <c r="C323" s="15">
        <f>IF($A323="","",IFERROR(INDEX(tblEslesme[AbsFark],MATCH($A323,tblEslesme[A_Norm],0)),0))</f>
        <v/>
      </c>
      <c r="D323" s="15">
        <f>IF($A323="","",IFERROR(SUMIF(tblMotor[A_Norm],$A323,tblMotor[DesiKgOran]),0))</f>
        <v/>
      </c>
      <c r="E323" s="15">
        <f>IF($A323="","",IFERROR(SUMIF(tblMotor[A_Norm],$A323,tblMotor[Tasarruf]),0))</f>
        <v/>
      </c>
      <c r="F323" s="15">
        <f>IF($A323="","",IFERROR(SUMIF(tblMotor[A_Norm],$A323,tblMotor[IadeOran]),0))</f>
        <v/>
      </c>
      <c r="G323" s="15">
        <f>IF($A323="","",IFERROR(SUMIF(tblMotor[A_Norm],$A323,tblMotor[BirimKargo]),0))</f>
        <v/>
      </c>
      <c r="H323" s="15">
        <f>IF(OR($A323="",$B323&lt;&gt;"tutar_farki"),"",IF($D323&gt;kdo_esikDesiOran,"KDO-001",IF($F323&gt;kdo_esikIade,"KDO-002",IF($E323&gt;kdo_esikTasarruf,"KDO-004",IF($C323&gt;kdo_esikFark,"KDO-005","TANIMSIZ")))))</f>
        <v/>
      </c>
    </row>
    <row r="324">
      <c r="A324" s="22">
        <f>IF('ESLESTIRME'!$A324="","",'ESLESTIRME'!$A324)</f>
        <v/>
      </c>
      <c r="B324" s="15">
        <f>IF($A324="","",IFERROR(INDEX(tblEslesme[Kova],MATCH($A324,tblEslesme[A_Norm],0)),""))</f>
        <v/>
      </c>
      <c r="C324" s="15">
        <f>IF($A324="","",IFERROR(INDEX(tblEslesme[AbsFark],MATCH($A324,tblEslesme[A_Norm],0)),0))</f>
        <v/>
      </c>
      <c r="D324" s="15">
        <f>IF($A324="","",IFERROR(SUMIF(tblMotor[A_Norm],$A324,tblMotor[DesiKgOran]),0))</f>
        <v/>
      </c>
      <c r="E324" s="15">
        <f>IF($A324="","",IFERROR(SUMIF(tblMotor[A_Norm],$A324,tblMotor[Tasarruf]),0))</f>
        <v/>
      </c>
      <c r="F324" s="15">
        <f>IF($A324="","",IFERROR(SUMIF(tblMotor[A_Norm],$A324,tblMotor[IadeOran]),0))</f>
        <v/>
      </c>
      <c r="G324" s="15">
        <f>IF($A324="","",IFERROR(SUMIF(tblMotor[A_Norm],$A324,tblMotor[BirimKargo]),0))</f>
        <v/>
      </c>
      <c r="H324" s="15">
        <f>IF(OR($A324="",$B324&lt;&gt;"tutar_farki"),"",IF($D324&gt;kdo_esikDesiOran,"KDO-001",IF($F324&gt;kdo_esikIade,"KDO-002",IF($E324&gt;kdo_esikTasarruf,"KDO-004",IF($C324&gt;kdo_esikFark,"KDO-005","TANIMSIZ")))))</f>
        <v/>
      </c>
    </row>
    <row r="325">
      <c r="A325" s="22">
        <f>IF('ESLESTIRME'!$A325="","",'ESLESTIRME'!$A325)</f>
        <v/>
      </c>
      <c r="B325" s="15">
        <f>IF($A325="","",IFERROR(INDEX(tblEslesme[Kova],MATCH($A325,tblEslesme[A_Norm],0)),""))</f>
        <v/>
      </c>
      <c r="C325" s="15">
        <f>IF($A325="","",IFERROR(INDEX(tblEslesme[AbsFark],MATCH($A325,tblEslesme[A_Norm],0)),0))</f>
        <v/>
      </c>
      <c r="D325" s="15">
        <f>IF($A325="","",IFERROR(SUMIF(tblMotor[A_Norm],$A325,tblMotor[DesiKgOran]),0))</f>
        <v/>
      </c>
      <c r="E325" s="15">
        <f>IF($A325="","",IFERROR(SUMIF(tblMotor[A_Norm],$A325,tblMotor[Tasarruf]),0))</f>
        <v/>
      </c>
      <c r="F325" s="15">
        <f>IF($A325="","",IFERROR(SUMIF(tblMotor[A_Norm],$A325,tblMotor[IadeOran]),0))</f>
        <v/>
      </c>
      <c r="G325" s="15">
        <f>IF($A325="","",IFERROR(SUMIF(tblMotor[A_Norm],$A325,tblMotor[BirimKargo]),0))</f>
        <v/>
      </c>
      <c r="H325" s="15">
        <f>IF(OR($A325="",$B325&lt;&gt;"tutar_farki"),"",IF($D325&gt;kdo_esikDesiOran,"KDO-001",IF($F325&gt;kdo_esikIade,"KDO-002",IF($E325&gt;kdo_esikTasarruf,"KDO-004",IF($C325&gt;kdo_esikFark,"KDO-005","TANIMSIZ")))))</f>
        <v/>
      </c>
    </row>
    <row r="326">
      <c r="A326" s="22">
        <f>IF('ESLESTIRME'!$A326="","",'ESLESTIRME'!$A326)</f>
        <v/>
      </c>
      <c r="B326" s="15">
        <f>IF($A326="","",IFERROR(INDEX(tblEslesme[Kova],MATCH($A326,tblEslesme[A_Norm],0)),""))</f>
        <v/>
      </c>
      <c r="C326" s="15">
        <f>IF($A326="","",IFERROR(INDEX(tblEslesme[AbsFark],MATCH($A326,tblEslesme[A_Norm],0)),0))</f>
        <v/>
      </c>
      <c r="D326" s="15">
        <f>IF($A326="","",IFERROR(SUMIF(tblMotor[A_Norm],$A326,tblMotor[DesiKgOran]),0))</f>
        <v/>
      </c>
      <c r="E326" s="15">
        <f>IF($A326="","",IFERROR(SUMIF(tblMotor[A_Norm],$A326,tblMotor[Tasarruf]),0))</f>
        <v/>
      </c>
      <c r="F326" s="15">
        <f>IF($A326="","",IFERROR(SUMIF(tblMotor[A_Norm],$A326,tblMotor[IadeOran]),0))</f>
        <v/>
      </c>
      <c r="G326" s="15">
        <f>IF($A326="","",IFERROR(SUMIF(tblMotor[A_Norm],$A326,tblMotor[BirimKargo]),0))</f>
        <v/>
      </c>
      <c r="H326" s="15">
        <f>IF(OR($A326="",$B326&lt;&gt;"tutar_farki"),"",IF($D326&gt;kdo_esikDesiOran,"KDO-001",IF($F326&gt;kdo_esikIade,"KDO-002",IF($E326&gt;kdo_esikTasarruf,"KDO-004",IF($C326&gt;kdo_esikFark,"KDO-005","TANIMSIZ")))))</f>
        <v/>
      </c>
    </row>
    <row r="327">
      <c r="A327" s="22">
        <f>IF('ESLESTIRME'!$A327="","",'ESLESTIRME'!$A327)</f>
        <v/>
      </c>
      <c r="B327" s="15">
        <f>IF($A327="","",IFERROR(INDEX(tblEslesme[Kova],MATCH($A327,tblEslesme[A_Norm],0)),""))</f>
        <v/>
      </c>
      <c r="C327" s="15">
        <f>IF($A327="","",IFERROR(INDEX(tblEslesme[AbsFark],MATCH($A327,tblEslesme[A_Norm],0)),0))</f>
        <v/>
      </c>
      <c r="D327" s="15">
        <f>IF($A327="","",IFERROR(SUMIF(tblMotor[A_Norm],$A327,tblMotor[DesiKgOran]),0))</f>
        <v/>
      </c>
      <c r="E327" s="15">
        <f>IF($A327="","",IFERROR(SUMIF(tblMotor[A_Norm],$A327,tblMotor[Tasarruf]),0))</f>
        <v/>
      </c>
      <c r="F327" s="15">
        <f>IF($A327="","",IFERROR(SUMIF(tblMotor[A_Norm],$A327,tblMotor[IadeOran]),0))</f>
        <v/>
      </c>
      <c r="G327" s="15">
        <f>IF($A327="","",IFERROR(SUMIF(tblMotor[A_Norm],$A327,tblMotor[BirimKargo]),0))</f>
        <v/>
      </c>
      <c r="H327" s="15">
        <f>IF(OR($A327="",$B327&lt;&gt;"tutar_farki"),"",IF($D327&gt;kdo_esikDesiOran,"KDO-001",IF($F327&gt;kdo_esikIade,"KDO-002",IF($E327&gt;kdo_esikTasarruf,"KDO-004",IF($C327&gt;kdo_esikFark,"KDO-005","TANIMSIZ")))))</f>
        <v/>
      </c>
    </row>
    <row r="328">
      <c r="A328" s="22">
        <f>IF('ESLESTIRME'!$A328="","",'ESLESTIRME'!$A328)</f>
        <v/>
      </c>
      <c r="B328" s="15">
        <f>IF($A328="","",IFERROR(INDEX(tblEslesme[Kova],MATCH($A328,tblEslesme[A_Norm],0)),""))</f>
        <v/>
      </c>
      <c r="C328" s="15">
        <f>IF($A328="","",IFERROR(INDEX(tblEslesme[AbsFark],MATCH($A328,tblEslesme[A_Norm],0)),0))</f>
        <v/>
      </c>
      <c r="D328" s="15">
        <f>IF($A328="","",IFERROR(SUMIF(tblMotor[A_Norm],$A328,tblMotor[DesiKgOran]),0))</f>
        <v/>
      </c>
      <c r="E328" s="15">
        <f>IF($A328="","",IFERROR(SUMIF(tblMotor[A_Norm],$A328,tblMotor[Tasarruf]),0))</f>
        <v/>
      </c>
      <c r="F328" s="15">
        <f>IF($A328="","",IFERROR(SUMIF(tblMotor[A_Norm],$A328,tblMotor[IadeOran]),0))</f>
        <v/>
      </c>
      <c r="G328" s="15">
        <f>IF($A328="","",IFERROR(SUMIF(tblMotor[A_Norm],$A328,tblMotor[BirimKargo]),0))</f>
        <v/>
      </c>
      <c r="H328" s="15">
        <f>IF(OR($A328="",$B328&lt;&gt;"tutar_farki"),"",IF($D328&gt;kdo_esikDesiOran,"KDO-001",IF($F328&gt;kdo_esikIade,"KDO-002",IF($E328&gt;kdo_esikTasarruf,"KDO-004",IF($C328&gt;kdo_esikFark,"KDO-005","TANIMSIZ")))))</f>
        <v/>
      </c>
    </row>
    <row r="329">
      <c r="A329" s="22">
        <f>IF('ESLESTIRME'!$A329="","",'ESLESTIRME'!$A329)</f>
        <v/>
      </c>
      <c r="B329" s="15">
        <f>IF($A329="","",IFERROR(INDEX(tblEslesme[Kova],MATCH($A329,tblEslesme[A_Norm],0)),""))</f>
        <v/>
      </c>
      <c r="C329" s="15">
        <f>IF($A329="","",IFERROR(INDEX(tblEslesme[AbsFark],MATCH($A329,tblEslesme[A_Norm],0)),0))</f>
        <v/>
      </c>
      <c r="D329" s="15">
        <f>IF($A329="","",IFERROR(SUMIF(tblMotor[A_Norm],$A329,tblMotor[DesiKgOran]),0))</f>
        <v/>
      </c>
      <c r="E329" s="15">
        <f>IF($A329="","",IFERROR(SUMIF(tblMotor[A_Norm],$A329,tblMotor[Tasarruf]),0))</f>
        <v/>
      </c>
      <c r="F329" s="15">
        <f>IF($A329="","",IFERROR(SUMIF(tblMotor[A_Norm],$A329,tblMotor[IadeOran]),0))</f>
        <v/>
      </c>
      <c r="G329" s="15">
        <f>IF($A329="","",IFERROR(SUMIF(tblMotor[A_Norm],$A329,tblMotor[BirimKargo]),0))</f>
        <v/>
      </c>
      <c r="H329" s="15">
        <f>IF(OR($A329="",$B329&lt;&gt;"tutar_farki"),"",IF($D329&gt;kdo_esikDesiOran,"KDO-001",IF($F329&gt;kdo_esikIade,"KDO-002",IF($E329&gt;kdo_esikTasarruf,"KDO-004",IF($C329&gt;kdo_esikFark,"KDO-005","TANIMSIZ")))))</f>
        <v/>
      </c>
    </row>
    <row r="330">
      <c r="A330" s="22">
        <f>IF('ESLESTIRME'!$A330="","",'ESLESTIRME'!$A330)</f>
        <v/>
      </c>
      <c r="B330" s="15">
        <f>IF($A330="","",IFERROR(INDEX(tblEslesme[Kova],MATCH($A330,tblEslesme[A_Norm],0)),""))</f>
        <v/>
      </c>
      <c r="C330" s="15">
        <f>IF($A330="","",IFERROR(INDEX(tblEslesme[AbsFark],MATCH($A330,tblEslesme[A_Norm],0)),0))</f>
        <v/>
      </c>
      <c r="D330" s="15">
        <f>IF($A330="","",IFERROR(SUMIF(tblMotor[A_Norm],$A330,tblMotor[DesiKgOran]),0))</f>
        <v/>
      </c>
      <c r="E330" s="15">
        <f>IF($A330="","",IFERROR(SUMIF(tblMotor[A_Norm],$A330,tblMotor[Tasarruf]),0))</f>
        <v/>
      </c>
      <c r="F330" s="15">
        <f>IF($A330="","",IFERROR(SUMIF(tblMotor[A_Norm],$A330,tblMotor[IadeOran]),0))</f>
        <v/>
      </c>
      <c r="G330" s="15">
        <f>IF($A330="","",IFERROR(SUMIF(tblMotor[A_Norm],$A330,tblMotor[BirimKargo]),0))</f>
        <v/>
      </c>
      <c r="H330" s="15">
        <f>IF(OR($A330="",$B330&lt;&gt;"tutar_farki"),"",IF($D330&gt;kdo_esikDesiOran,"KDO-001",IF($F330&gt;kdo_esikIade,"KDO-002",IF($E330&gt;kdo_esikTasarruf,"KDO-004",IF($C330&gt;kdo_esikFark,"KDO-005","TANIMSIZ")))))</f>
        <v/>
      </c>
    </row>
    <row r="331">
      <c r="A331" s="22">
        <f>IF('ESLESTIRME'!$A331="","",'ESLESTIRME'!$A331)</f>
        <v/>
      </c>
      <c r="B331" s="15">
        <f>IF($A331="","",IFERROR(INDEX(tblEslesme[Kova],MATCH($A331,tblEslesme[A_Norm],0)),""))</f>
        <v/>
      </c>
      <c r="C331" s="15">
        <f>IF($A331="","",IFERROR(INDEX(tblEslesme[AbsFark],MATCH($A331,tblEslesme[A_Norm],0)),0))</f>
        <v/>
      </c>
      <c r="D331" s="15">
        <f>IF($A331="","",IFERROR(SUMIF(tblMotor[A_Norm],$A331,tblMotor[DesiKgOran]),0))</f>
        <v/>
      </c>
      <c r="E331" s="15">
        <f>IF($A331="","",IFERROR(SUMIF(tblMotor[A_Norm],$A331,tblMotor[Tasarruf]),0))</f>
        <v/>
      </c>
      <c r="F331" s="15">
        <f>IF($A331="","",IFERROR(SUMIF(tblMotor[A_Norm],$A331,tblMotor[IadeOran]),0))</f>
        <v/>
      </c>
      <c r="G331" s="15">
        <f>IF($A331="","",IFERROR(SUMIF(tblMotor[A_Norm],$A331,tblMotor[BirimKargo]),0))</f>
        <v/>
      </c>
      <c r="H331" s="15">
        <f>IF(OR($A331="",$B331&lt;&gt;"tutar_farki"),"",IF($D331&gt;kdo_esikDesiOran,"KDO-001",IF($F331&gt;kdo_esikIade,"KDO-002",IF($E331&gt;kdo_esikTasarruf,"KDO-004",IF($C331&gt;kdo_esikFark,"KDO-005","TANIMSIZ")))))</f>
        <v/>
      </c>
    </row>
    <row r="332">
      <c r="A332" s="22">
        <f>IF('ESLESTIRME'!$A332="","",'ESLESTIRME'!$A332)</f>
        <v/>
      </c>
      <c r="B332" s="15">
        <f>IF($A332="","",IFERROR(INDEX(tblEslesme[Kova],MATCH($A332,tblEslesme[A_Norm],0)),""))</f>
        <v/>
      </c>
      <c r="C332" s="15">
        <f>IF($A332="","",IFERROR(INDEX(tblEslesme[AbsFark],MATCH($A332,tblEslesme[A_Norm],0)),0))</f>
        <v/>
      </c>
      <c r="D332" s="15">
        <f>IF($A332="","",IFERROR(SUMIF(tblMotor[A_Norm],$A332,tblMotor[DesiKgOran]),0))</f>
        <v/>
      </c>
      <c r="E332" s="15">
        <f>IF($A332="","",IFERROR(SUMIF(tblMotor[A_Norm],$A332,tblMotor[Tasarruf]),0))</f>
        <v/>
      </c>
      <c r="F332" s="15">
        <f>IF($A332="","",IFERROR(SUMIF(tblMotor[A_Norm],$A332,tblMotor[IadeOran]),0))</f>
        <v/>
      </c>
      <c r="G332" s="15">
        <f>IF($A332="","",IFERROR(SUMIF(tblMotor[A_Norm],$A332,tblMotor[BirimKargo]),0))</f>
        <v/>
      </c>
      <c r="H332" s="15">
        <f>IF(OR($A332="",$B332&lt;&gt;"tutar_farki"),"",IF($D332&gt;kdo_esikDesiOran,"KDO-001",IF($F332&gt;kdo_esikIade,"KDO-002",IF($E332&gt;kdo_esikTasarruf,"KDO-004",IF($C332&gt;kdo_esikFark,"KDO-005","TANIMSIZ")))))</f>
        <v/>
      </c>
    </row>
    <row r="333">
      <c r="A333" s="22">
        <f>IF('ESLESTIRME'!$A333="","",'ESLESTIRME'!$A333)</f>
        <v/>
      </c>
      <c r="B333" s="15">
        <f>IF($A333="","",IFERROR(INDEX(tblEslesme[Kova],MATCH($A333,tblEslesme[A_Norm],0)),""))</f>
        <v/>
      </c>
      <c r="C333" s="15">
        <f>IF($A333="","",IFERROR(INDEX(tblEslesme[AbsFark],MATCH($A333,tblEslesme[A_Norm],0)),0))</f>
        <v/>
      </c>
      <c r="D333" s="15">
        <f>IF($A333="","",IFERROR(SUMIF(tblMotor[A_Norm],$A333,tblMotor[DesiKgOran]),0))</f>
        <v/>
      </c>
      <c r="E333" s="15">
        <f>IF($A333="","",IFERROR(SUMIF(tblMotor[A_Norm],$A333,tblMotor[Tasarruf]),0))</f>
        <v/>
      </c>
      <c r="F333" s="15">
        <f>IF($A333="","",IFERROR(SUMIF(tblMotor[A_Norm],$A333,tblMotor[IadeOran]),0))</f>
        <v/>
      </c>
      <c r="G333" s="15">
        <f>IF($A333="","",IFERROR(SUMIF(tblMotor[A_Norm],$A333,tblMotor[BirimKargo]),0))</f>
        <v/>
      </c>
      <c r="H333" s="15">
        <f>IF(OR($A333="",$B333&lt;&gt;"tutar_farki"),"",IF($D333&gt;kdo_esikDesiOran,"KDO-001",IF($F333&gt;kdo_esikIade,"KDO-002",IF($E333&gt;kdo_esikTasarruf,"KDO-004",IF($C333&gt;kdo_esikFark,"KDO-005","TANIMSIZ")))))</f>
        <v/>
      </c>
    </row>
    <row r="334">
      <c r="A334" s="22">
        <f>IF('ESLESTIRME'!$A334="","",'ESLESTIRME'!$A334)</f>
        <v/>
      </c>
      <c r="B334" s="15">
        <f>IF($A334="","",IFERROR(INDEX(tblEslesme[Kova],MATCH($A334,tblEslesme[A_Norm],0)),""))</f>
        <v/>
      </c>
      <c r="C334" s="15">
        <f>IF($A334="","",IFERROR(INDEX(tblEslesme[AbsFark],MATCH($A334,tblEslesme[A_Norm],0)),0))</f>
        <v/>
      </c>
      <c r="D334" s="15">
        <f>IF($A334="","",IFERROR(SUMIF(tblMotor[A_Norm],$A334,tblMotor[DesiKgOran]),0))</f>
        <v/>
      </c>
      <c r="E334" s="15">
        <f>IF($A334="","",IFERROR(SUMIF(tblMotor[A_Norm],$A334,tblMotor[Tasarruf]),0))</f>
        <v/>
      </c>
      <c r="F334" s="15">
        <f>IF($A334="","",IFERROR(SUMIF(tblMotor[A_Norm],$A334,tblMotor[IadeOran]),0))</f>
        <v/>
      </c>
      <c r="G334" s="15">
        <f>IF($A334="","",IFERROR(SUMIF(tblMotor[A_Norm],$A334,tblMotor[BirimKargo]),0))</f>
        <v/>
      </c>
      <c r="H334" s="15">
        <f>IF(OR($A334="",$B334&lt;&gt;"tutar_farki"),"",IF($D334&gt;kdo_esikDesiOran,"KDO-001",IF($F334&gt;kdo_esikIade,"KDO-002",IF($E334&gt;kdo_esikTasarruf,"KDO-004",IF($C334&gt;kdo_esikFark,"KDO-005","TANIMSIZ")))))</f>
        <v/>
      </c>
    </row>
    <row r="335">
      <c r="A335" s="22">
        <f>IF('ESLESTIRME'!$A335="","",'ESLESTIRME'!$A335)</f>
        <v/>
      </c>
      <c r="B335" s="15">
        <f>IF($A335="","",IFERROR(INDEX(tblEslesme[Kova],MATCH($A335,tblEslesme[A_Norm],0)),""))</f>
        <v/>
      </c>
      <c r="C335" s="15">
        <f>IF($A335="","",IFERROR(INDEX(tblEslesme[AbsFark],MATCH($A335,tblEslesme[A_Norm],0)),0))</f>
        <v/>
      </c>
      <c r="D335" s="15">
        <f>IF($A335="","",IFERROR(SUMIF(tblMotor[A_Norm],$A335,tblMotor[DesiKgOran]),0))</f>
        <v/>
      </c>
      <c r="E335" s="15">
        <f>IF($A335="","",IFERROR(SUMIF(tblMotor[A_Norm],$A335,tblMotor[Tasarruf]),0))</f>
        <v/>
      </c>
      <c r="F335" s="15">
        <f>IF($A335="","",IFERROR(SUMIF(tblMotor[A_Norm],$A335,tblMotor[IadeOran]),0))</f>
        <v/>
      </c>
      <c r="G335" s="15">
        <f>IF($A335="","",IFERROR(SUMIF(tblMotor[A_Norm],$A335,tblMotor[BirimKargo]),0))</f>
        <v/>
      </c>
      <c r="H335" s="15">
        <f>IF(OR($A335="",$B335&lt;&gt;"tutar_farki"),"",IF($D335&gt;kdo_esikDesiOran,"KDO-001",IF($F335&gt;kdo_esikIade,"KDO-002",IF($E335&gt;kdo_esikTasarruf,"KDO-004",IF($C335&gt;kdo_esikFark,"KDO-005","TANIMSIZ")))))</f>
        <v/>
      </c>
    </row>
    <row r="336">
      <c r="A336" s="22">
        <f>IF('ESLESTIRME'!$A336="","",'ESLESTIRME'!$A336)</f>
        <v/>
      </c>
      <c r="B336" s="15">
        <f>IF($A336="","",IFERROR(INDEX(tblEslesme[Kova],MATCH($A336,tblEslesme[A_Norm],0)),""))</f>
        <v/>
      </c>
      <c r="C336" s="15">
        <f>IF($A336="","",IFERROR(INDEX(tblEslesme[AbsFark],MATCH($A336,tblEslesme[A_Norm],0)),0))</f>
        <v/>
      </c>
      <c r="D336" s="15">
        <f>IF($A336="","",IFERROR(SUMIF(tblMotor[A_Norm],$A336,tblMotor[DesiKgOran]),0))</f>
        <v/>
      </c>
      <c r="E336" s="15">
        <f>IF($A336="","",IFERROR(SUMIF(tblMotor[A_Norm],$A336,tblMotor[Tasarruf]),0))</f>
        <v/>
      </c>
      <c r="F336" s="15">
        <f>IF($A336="","",IFERROR(SUMIF(tblMotor[A_Norm],$A336,tblMotor[IadeOran]),0))</f>
        <v/>
      </c>
      <c r="G336" s="15">
        <f>IF($A336="","",IFERROR(SUMIF(tblMotor[A_Norm],$A336,tblMotor[BirimKargo]),0))</f>
        <v/>
      </c>
      <c r="H336" s="15">
        <f>IF(OR($A336="",$B336&lt;&gt;"tutar_farki"),"",IF($D336&gt;kdo_esikDesiOran,"KDO-001",IF($F336&gt;kdo_esikIade,"KDO-002",IF($E336&gt;kdo_esikTasarruf,"KDO-004",IF($C336&gt;kdo_esikFark,"KDO-005","TANIMSIZ")))))</f>
        <v/>
      </c>
    </row>
    <row r="337">
      <c r="A337" s="22">
        <f>IF('ESLESTIRME'!$A337="","",'ESLESTIRME'!$A337)</f>
        <v/>
      </c>
      <c r="B337" s="15">
        <f>IF($A337="","",IFERROR(INDEX(tblEslesme[Kova],MATCH($A337,tblEslesme[A_Norm],0)),""))</f>
        <v/>
      </c>
      <c r="C337" s="15">
        <f>IF($A337="","",IFERROR(INDEX(tblEslesme[AbsFark],MATCH($A337,tblEslesme[A_Norm],0)),0))</f>
        <v/>
      </c>
      <c r="D337" s="15">
        <f>IF($A337="","",IFERROR(SUMIF(tblMotor[A_Norm],$A337,tblMotor[DesiKgOran]),0))</f>
        <v/>
      </c>
      <c r="E337" s="15">
        <f>IF($A337="","",IFERROR(SUMIF(tblMotor[A_Norm],$A337,tblMotor[Tasarruf]),0))</f>
        <v/>
      </c>
      <c r="F337" s="15">
        <f>IF($A337="","",IFERROR(SUMIF(tblMotor[A_Norm],$A337,tblMotor[IadeOran]),0))</f>
        <v/>
      </c>
      <c r="G337" s="15">
        <f>IF($A337="","",IFERROR(SUMIF(tblMotor[A_Norm],$A337,tblMotor[BirimKargo]),0))</f>
        <v/>
      </c>
      <c r="H337" s="15">
        <f>IF(OR($A337="",$B337&lt;&gt;"tutar_farki"),"",IF($D337&gt;kdo_esikDesiOran,"KDO-001",IF($F337&gt;kdo_esikIade,"KDO-002",IF($E337&gt;kdo_esikTasarruf,"KDO-004",IF($C337&gt;kdo_esikFark,"KDO-005","TANIMSIZ")))))</f>
        <v/>
      </c>
    </row>
    <row r="338">
      <c r="A338" s="22">
        <f>IF('ESLESTIRME'!$A338="","",'ESLESTIRME'!$A338)</f>
        <v/>
      </c>
      <c r="B338" s="15">
        <f>IF($A338="","",IFERROR(INDEX(tblEslesme[Kova],MATCH($A338,tblEslesme[A_Norm],0)),""))</f>
        <v/>
      </c>
      <c r="C338" s="15">
        <f>IF($A338="","",IFERROR(INDEX(tblEslesme[AbsFark],MATCH($A338,tblEslesme[A_Norm],0)),0))</f>
        <v/>
      </c>
      <c r="D338" s="15">
        <f>IF($A338="","",IFERROR(SUMIF(tblMotor[A_Norm],$A338,tblMotor[DesiKgOran]),0))</f>
        <v/>
      </c>
      <c r="E338" s="15">
        <f>IF($A338="","",IFERROR(SUMIF(tblMotor[A_Norm],$A338,tblMotor[Tasarruf]),0))</f>
        <v/>
      </c>
      <c r="F338" s="15">
        <f>IF($A338="","",IFERROR(SUMIF(tblMotor[A_Norm],$A338,tblMotor[IadeOran]),0))</f>
        <v/>
      </c>
      <c r="G338" s="15">
        <f>IF($A338="","",IFERROR(SUMIF(tblMotor[A_Norm],$A338,tblMotor[BirimKargo]),0))</f>
        <v/>
      </c>
      <c r="H338" s="15">
        <f>IF(OR($A338="",$B338&lt;&gt;"tutar_farki"),"",IF($D338&gt;kdo_esikDesiOran,"KDO-001",IF($F338&gt;kdo_esikIade,"KDO-002",IF($E338&gt;kdo_esikTasarruf,"KDO-004",IF($C338&gt;kdo_esikFark,"KDO-005","TANIMSIZ")))))</f>
        <v/>
      </c>
    </row>
    <row r="339">
      <c r="A339" s="22">
        <f>IF('ESLESTIRME'!$A339="","",'ESLESTIRME'!$A339)</f>
        <v/>
      </c>
      <c r="B339" s="15">
        <f>IF($A339="","",IFERROR(INDEX(tblEslesme[Kova],MATCH($A339,tblEslesme[A_Norm],0)),""))</f>
        <v/>
      </c>
      <c r="C339" s="15">
        <f>IF($A339="","",IFERROR(INDEX(tblEslesme[AbsFark],MATCH($A339,tblEslesme[A_Norm],0)),0))</f>
        <v/>
      </c>
      <c r="D339" s="15">
        <f>IF($A339="","",IFERROR(SUMIF(tblMotor[A_Norm],$A339,tblMotor[DesiKgOran]),0))</f>
        <v/>
      </c>
      <c r="E339" s="15">
        <f>IF($A339="","",IFERROR(SUMIF(tblMotor[A_Norm],$A339,tblMotor[Tasarruf]),0))</f>
        <v/>
      </c>
      <c r="F339" s="15">
        <f>IF($A339="","",IFERROR(SUMIF(tblMotor[A_Norm],$A339,tblMotor[IadeOran]),0))</f>
        <v/>
      </c>
      <c r="G339" s="15">
        <f>IF($A339="","",IFERROR(SUMIF(tblMotor[A_Norm],$A339,tblMotor[BirimKargo]),0))</f>
        <v/>
      </c>
      <c r="H339" s="15">
        <f>IF(OR($A339="",$B339&lt;&gt;"tutar_farki"),"",IF($D339&gt;kdo_esikDesiOran,"KDO-001",IF($F339&gt;kdo_esikIade,"KDO-002",IF($E339&gt;kdo_esikTasarruf,"KDO-004",IF($C339&gt;kdo_esikFark,"KDO-005","TANIMSIZ")))))</f>
        <v/>
      </c>
    </row>
    <row r="340">
      <c r="A340" s="22">
        <f>IF('ESLESTIRME'!$A340="","",'ESLESTIRME'!$A340)</f>
        <v/>
      </c>
      <c r="B340" s="15">
        <f>IF($A340="","",IFERROR(INDEX(tblEslesme[Kova],MATCH($A340,tblEslesme[A_Norm],0)),""))</f>
        <v/>
      </c>
      <c r="C340" s="15">
        <f>IF($A340="","",IFERROR(INDEX(tblEslesme[AbsFark],MATCH($A340,tblEslesme[A_Norm],0)),0))</f>
        <v/>
      </c>
      <c r="D340" s="15">
        <f>IF($A340="","",IFERROR(SUMIF(tblMotor[A_Norm],$A340,tblMotor[DesiKgOran]),0))</f>
        <v/>
      </c>
      <c r="E340" s="15">
        <f>IF($A340="","",IFERROR(SUMIF(tblMotor[A_Norm],$A340,tblMotor[Tasarruf]),0))</f>
        <v/>
      </c>
      <c r="F340" s="15">
        <f>IF($A340="","",IFERROR(SUMIF(tblMotor[A_Norm],$A340,tblMotor[IadeOran]),0))</f>
        <v/>
      </c>
      <c r="G340" s="15">
        <f>IF($A340="","",IFERROR(SUMIF(tblMotor[A_Norm],$A340,tblMotor[BirimKargo]),0))</f>
        <v/>
      </c>
      <c r="H340" s="15">
        <f>IF(OR($A340="",$B340&lt;&gt;"tutar_farki"),"",IF($D340&gt;kdo_esikDesiOran,"KDO-001",IF($F340&gt;kdo_esikIade,"KDO-002",IF($E340&gt;kdo_esikTasarruf,"KDO-004",IF($C340&gt;kdo_esikFark,"KDO-005","TANIMSIZ")))))</f>
        <v/>
      </c>
    </row>
    <row r="341">
      <c r="A341" s="22">
        <f>IF('ESLESTIRME'!$A341="","",'ESLESTIRME'!$A341)</f>
        <v/>
      </c>
      <c r="B341" s="15">
        <f>IF($A341="","",IFERROR(INDEX(tblEslesme[Kova],MATCH($A341,tblEslesme[A_Norm],0)),""))</f>
        <v/>
      </c>
      <c r="C341" s="15">
        <f>IF($A341="","",IFERROR(INDEX(tblEslesme[AbsFark],MATCH($A341,tblEslesme[A_Norm],0)),0))</f>
        <v/>
      </c>
      <c r="D341" s="15">
        <f>IF($A341="","",IFERROR(SUMIF(tblMotor[A_Norm],$A341,tblMotor[DesiKgOran]),0))</f>
        <v/>
      </c>
      <c r="E341" s="15">
        <f>IF($A341="","",IFERROR(SUMIF(tblMotor[A_Norm],$A341,tblMotor[Tasarruf]),0))</f>
        <v/>
      </c>
      <c r="F341" s="15">
        <f>IF($A341="","",IFERROR(SUMIF(tblMotor[A_Norm],$A341,tblMotor[IadeOran]),0))</f>
        <v/>
      </c>
      <c r="G341" s="15">
        <f>IF($A341="","",IFERROR(SUMIF(tblMotor[A_Norm],$A341,tblMotor[BirimKargo]),0))</f>
        <v/>
      </c>
      <c r="H341" s="15">
        <f>IF(OR($A341="",$B341&lt;&gt;"tutar_farki"),"",IF($D341&gt;kdo_esikDesiOran,"KDO-001",IF($F341&gt;kdo_esikIade,"KDO-002",IF($E341&gt;kdo_esikTasarruf,"KDO-004",IF($C341&gt;kdo_esikFark,"KDO-005","TANIMSIZ")))))</f>
        <v/>
      </c>
    </row>
    <row r="342">
      <c r="A342" s="22">
        <f>IF('ESLESTIRME'!$A342="","",'ESLESTIRME'!$A342)</f>
        <v/>
      </c>
      <c r="B342" s="15">
        <f>IF($A342="","",IFERROR(INDEX(tblEslesme[Kova],MATCH($A342,tblEslesme[A_Norm],0)),""))</f>
        <v/>
      </c>
      <c r="C342" s="15">
        <f>IF($A342="","",IFERROR(INDEX(tblEslesme[AbsFark],MATCH($A342,tblEslesme[A_Norm],0)),0))</f>
        <v/>
      </c>
      <c r="D342" s="15">
        <f>IF($A342="","",IFERROR(SUMIF(tblMotor[A_Norm],$A342,tblMotor[DesiKgOran]),0))</f>
        <v/>
      </c>
      <c r="E342" s="15">
        <f>IF($A342="","",IFERROR(SUMIF(tblMotor[A_Norm],$A342,tblMotor[Tasarruf]),0))</f>
        <v/>
      </c>
      <c r="F342" s="15">
        <f>IF($A342="","",IFERROR(SUMIF(tblMotor[A_Norm],$A342,tblMotor[IadeOran]),0))</f>
        <v/>
      </c>
      <c r="G342" s="15">
        <f>IF($A342="","",IFERROR(SUMIF(tblMotor[A_Norm],$A342,tblMotor[BirimKargo]),0))</f>
        <v/>
      </c>
      <c r="H342" s="15">
        <f>IF(OR($A342="",$B342&lt;&gt;"tutar_farki"),"",IF($D342&gt;kdo_esikDesiOran,"KDO-001",IF($F342&gt;kdo_esikIade,"KDO-002",IF($E342&gt;kdo_esikTasarruf,"KDO-004",IF($C342&gt;kdo_esikFark,"KDO-005","TANIMSIZ")))))</f>
        <v/>
      </c>
    </row>
    <row r="343">
      <c r="A343" s="22">
        <f>IF('ESLESTIRME'!$A343="","",'ESLESTIRME'!$A343)</f>
        <v/>
      </c>
      <c r="B343" s="15">
        <f>IF($A343="","",IFERROR(INDEX(tblEslesme[Kova],MATCH($A343,tblEslesme[A_Norm],0)),""))</f>
        <v/>
      </c>
      <c r="C343" s="15">
        <f>IF($A343="","",IFERROR(INDEX(tblEslesme[AbsFark],MATCH($A343,tblEslesme[A_Norm],0)),0))</f>
        <v/>
      </c>
      <c r="D343" s="15">
        <f>IF($A343="","",IFERROR(SUMIF(tblMotor[A_Norm],$A343,tblMotor[DesiKgOran]),0))</f>
        <v/>
      </c>
      <c r="E343" s="15">
        <f>IF($A343="","",IFERROR(SUMIF(tblMotor[A_Norm],$A343,tblMotor[Tasarruf]),0))</f>
        <v/>
      </c>
      <c r="F343" s="15">
        <f>IF($A343="","",IFERROR(SUMIF(tblMotor[A_Norm],$A343,tblMotor[IadeOran]),0))</f>
        <v/>
      </c>
      <c r="G343" s="15">
        <f>IF($A343="","",IFERROR(SUMIF(tblMotor[A_Norm],$A343,tblMotor[BirimKargo]),0))</f>
        <v/>
      </c>
      <c r="H343" s="15">
        <f>IF(OR($A343="",$B343&lt;&gt;"tutar_farki"),"",IF($D343&gt;kdo_esikDesiOran,"KDO-001",IF($F343&gt;kdo_esikIade,"KDO-002",IF($E343&gt;kdo_esikTasarruf,"KDO-004",IF($C343&gt;kdo_esikFark,"KDO-005","TANIMSIZ")))))</f>
        <v/>
      </c>
    </row>
    <row r="344">
      <c r="A344" s="22">
        <f>IF('ESLESTIRME'!$A344="","",'ESLESTIRME'!$A344)</f>
        <v/>
      </c>
      <c r="B344" s="15">
        <f>IF($A344="","",IFERROR(INDEX(tblEslesme[Kova],MATCH($A344,tblEslesme[A_Norm],0)),""))</f>
        <v/>
      </c>
      <c r="C344" s="15">
        <f>IF($A344="","",IFERROR(INDEX(tblEslesme[AbsFark],MATCH($A344,tblEslesme[A_Norm],0)),0))</f>
        <v/>
      </c>
      <c r="D344" s="15">
        <f>IF($A344="","",IFERROR(SUMIF(tblMotor[A_Norm],$A344,tblMotor[DesiKgOran]),0))</f>
        <v/>
      </c>
      <c r="E344" s="15">
        <f>IF($A344="","",IFERROR(SUMIF(tblMotor[A_Norm],$A344,tblMotor[Tasarruf]),0))</f>
        <v/>
      </c>
      <c r="F344" s="15">
        <f>IF($A344="","",IFERROR(SUMIF(tblMotor[A_Norm],$A344,tblMotor[IadeOran]),0))</f>
        <v/>
      </c>
      <c r="G344" s="15">
        <f>IF($A344="","",IFERROR(SUMIF(tblMotor[A_Norm],$A344,tblMotor[BirimKargo]),0))</f>
        <v/>
      </c>
      <c r="H344" s="15">
        <f>IF(OR($A344="",$B344&lt;&gt;"tutar_farki"),"",IF($D344&gt;kdo_esikDesiOran,"KDO-001",IF($F344&gt;kdo_esikIade,"KDO-002",IF($E344&gt;kdo_esikTasarruf,"KDO-004",IF($C344&gt;kdo_esikFark,"KDO-005","TANIMSIZ")))))</f>
        <v/>
      </c>
    </row>
    <row r="345">
      <c r="A345" s="22">
        <f>IF('ESLESTIRME'!$A345="","",'ESLESTIRME'!$A345)</f>
        <v/>
      </c>
      <c r="B345" s="15">
        <f>IF($A345="","",IFERROR(INDEX(tblEslesme[Kova],MATCH($A345,tblEslesme[A_Norm],0)),""))</f>
        <v/>
      </c>
      <c r="C345" s="15">
        <f>IF($A345="","",IFERROR(INDEX(tblEslesme[AbsFark],MATCH($A345,tblEslesme[A_Norm],0)),0))</f>
        <v/>
      </c>
      <c r="D345" s="15">
        <f>IF($A345="","",IFERROR(SUMIF(tblMotor[A_Norm],$A345,tblMotor[DesiKgOran]),0))</f>
        <v/>
      </c>
      <c r="E345" s="15">
        <f>IF($A345="","",IFERROR(SUMIF(tblMotor[A_Norm],$A345,tblMotor[Tasarruf]),0))</f>
        <v/>
      </c>
      <c r="F345" s="15">
        <f>IF($A345="","",IFERROR(SUMIF(tblMotor[A_Norm],$A345,tblMotor[IadeOran]),0))</f>
        <v/>
      </c>
      <c r="G345" s="15">
        <f>IF($A345="","",IFERROR(SUMIF(tblMotor[A_Norm],$A345,tblMotor[BirimKargo]),0))</f>
        <v/>
      </c>
      <c r="H345" s="15">
        <f>IF(OR($A345="",$B345&lt;&gt;"tutar_farki"),"",IF($D345&gt;kdo_esikDesiOran,"KDO-001",IF($F345&gt;kdo_esikIade,"KDO-002",IF($E345&gt;kdo_esikTasarruf,"KDO-004",IF($C345&gt;kdo_esikFark,"KDO-005","TANIMSIZ")))))</f>
        <v/>
      </c>
    </row>
    <row r="346">
      <c r="A346" s="22">
        <f>IF('ESLESTIRME'!$A346="","",'ESLESTIRME'!$A346)</f>
        <v/>
      </c>
      <c r="B346" s="15">
        <f>IF($A346="","",IFERROR(INDEX(tblEslesme[Kova],MATCH($A346,tblEslesme[A_Norm],0)),""))</f>
        <v/>
      </c>
      <c r="C346" s="15">
        <f>IF($A346="","",IFERROR(INDEX(tblEslesme[AbsFark],MATCH($A346,tblEslesme[A_Norm],0)),0))</f>
        <v/>
      </c>
      <c r="D346" s="15">
        <f>IF($A346="","",IFERROR(SUMIF(tblMotor[A_Norm],$A346,tblMotor[DesiKgOran]),0))</f>
        <v/>
      </c>
      <c r="E346" s="15">
        <f>IF($A346="","",IFERROR(SUMIF(tblMotor[A_Norm],$A346,tblMotor[Tasarruf]),0))</f>
        <v/>
      </c>
      <c r="F346" s="15">
        <f>IF($A346="","",IFERROR(SUMIF(tblMotor[A_Norm],$A346,tblMotor[IadeOran]),0))</f>
        <v/>
      </c>
      <c r="G346" s="15">
        <f>IF($A346="","",IFERROR(SUMIF(tblMotor[A_Norm],$A346,tblMotor[BirimKargo]),0))</f>
        <v/>
      </c>
      <c r="H346" s="15">
        <f>IF(OR($A346="",$B346&lt;&gt;"tutar_farki"),"",IF($D346&gt;kdo_esikDesiOran,"KDO-001",IF($F346&gt;kdo_esikIade,"KDO-002",IF($E346&gt;kdo_esikTasarruf,"KDO-004",IF($C346&gt;kdo_esikFark,"KDO-005","TANIMSIZ")))))</f>
        <v/>
      </c>
    </row>
    <row r="347">
      <c r="A347" s="22">
        <f>IF('ESLESTIRME'!$A347="","",'ESLESTIRME'!$A347)</f>
        <v/>
      </c>
      <c r="B347" s="15">
        <f>IF($A347="","",IFERROR(INDEX(tblEslesme[Kova],MATCH($A347,tblEslesme[A_Norm],0)),""))</f>
        <v/>
      </c>
      <c r="C347" s="15">
        <f>IF($A347="","",IFERROR(INDEX(tblEslesme[AbsFark],MATCH($A347,tblEslesme[A_Norm],0)),0))</f>
        <v/>
      </c>
      <c r="D347" s="15">
        <f>IF($A347="","",IFERROR(SUMIF(tblMotor[A_Norm],$A347,tblMotor[DesiKgOran]),0))</f>
        <v/>
      </c>
      <c r="E347" s="15">
        <f>IF($A347="","",IFERROR(SUMIF(tblMotor[A_Norm],$A347,tblMotor[Tasarruf]),0))</f>
        <v/>
      </c>
      <c r="F347" s="15">
        <f>IF($A347="","",IFERROR(SUMIF(tblMotor[A_Norm],$A347,tblMotor[IadeOran]),0))</f>
        <v/>
      </c>
      <c r="G347" s="15">
        <f>IF($A347="","",IFERROR(SUMIF(tblMotor[A_Norm],$A347,tblMotor[BirimKargo]),0))</f>
        <v/>
      </c>
      <c r="H347" s="15">
        <f>IF(OR($A347="",$B347&lt;&gt;"tutar_farki"),"",IF($D347&gt;kdo_esikDesiOran,"KDO-001",IF($F347&gt;kdo_esikIade,"KDO-002",IF($E347&gt;kdo_esikTasarruf,"KDO-004",IF($C347&gt;kdo_esikFark,"KDO-005","TANIMSIZ")))))</f>
        <v/>
      </c>
    </row>
    <row r="348">
      <c r="A348" s="22">
        <f>IF('ESLESTIRME'!$A348="","",'ESLESTIRME'!$A348)</f>
        <v/>
      </c>
      <c r="B348" s="15">
        <f>IF($A348="","",IFERROR(INDEX(tblEslesme[Kova],MATCH($A348,tblEslesme[A_Norm],0)),""))</f>
        <v/>
      </c>
      <c r="C348" s="15">
        <f>IF($A348="","",IFERROR(INDEX(tblEslesme[AbsFark],MATCH($A348,tblEslesme[A_Norm],0)),0))</f>
        <v/>
      </c>
      <c r="D348" s="15">
        <f>IF($A348="","",IFERROR(SUMIF(tblMotor[A_Norm],$A348,tblMotor[DesiKgOran]),0))</f>
        <v/>
      </c>
      <c r="E348" s="15">
        <f>IF($A348="","",IFERROR(SUMIF(tblMotor[A_Norm],$A348,tblMotor[Tasarruf]),0))</f>
        <v/>
      </c>
      <c r="F348" s="15">
        <f>IF($A348="","",IFERROR(SUMIF(tblMotor[A_Norm],$A348,tblMotor[IadeOran]),0))</f>
        <v/>
      </c>
      <c r="G348" s="15">
        <f>IF($A348="","",IFERROR(SUMIF(tblMotor[A_Norm],$A348,tblMotor[BirimKargo]),0))</f>
        <v/>
      </c>
      <c r="H348" s="15">
        <f>IF(OR($A348="",$B348&lt;&gt;"tutar_farki"),"",IF($D348&gt;kdo_esikDesiOran,"KDO-001",IF($F348&gt;kdo_esikIade,"KDO-002",IF($E348&gt;kdo_esikTasarruf,"KDO-004",IF($C348&gt;kdo_esikFark,"KDO-005","TANIMSIZ")))))</f>
        <v/>
      </c>
    </row>
    <row r="349">
      <c r="A349" s="22">
        <f>IF('ESLESTIRME'!$A349="","",'ESLESTIRME'!$A349)</f>
        <v/>
      </c>
      <c r="B349" s="15">
        <f>IF($A349="","",IFERROR(INDEX(tblEslesme[Kova],MATCH($A349,tblEslesme[A_Norm],0)),""))</f>
        <v/>
      </c>
      <c r="C349" s="15">
        <f>IF($A349="","",IFERROR(INDEX(tblEslesme[AbsFark],MATCH($A349,tblEslesme[A_Norm],0)),0))</f>
        <v/>
      </c>
      <c r="D349" s="15">
        <f>IF($A349="","",IFERROR(SUMIF(tblMotor[A_Norm],$A349,tblMotor[DesiKgOran]),0))</f>
        <v/>
      </c>
      <c r="E349" s="15">
        <f>IF($A349="","",IFERROR(SUMIF(tblMotor[A_Norm],$A349,tblMotor[Tasarruf]),0))</f>
        <v/>
      </c>
      <c r="F349" s="15">
        <f>IF($A349="","",IFERROR(SUMIF(tblMotor[A_Norm],$A349,tblMotor[IadeOran]),0))</f>
        <v/>
      </c>
      <c r="G349" s="15">
        <f>IF($A349="","",IFERROR(SUMIF(tblMotor[A_Norm],$A349,tblMotor[BirimKargo]),0))</f>
        <v/>
      </c>
      <c r="H349" s="15">
        <f>IF(OR($A349="",$B349&lt;&gt;"tutar_farki"),"",IF($D349&gt;kdo_esikDesiOran,"KDO-001",IF($F349&gt;kdo_esikIade,"KDO-002",IF($E349&gt;kdo_esikTasarruf,"KDO-004",IF($C349&gt;kdo_esikFark,"KDO-005","TANIMSIZ")))))</f>
        <v/>
      </c>
    </row>
    <row r="350">
      <c r="A350" s="22">
        <f>IF('ESLESTIRME'!$A350="","",'ESLESTIRME'!$A350)</f>
        <v/>
      </c>
      <c r="B350" s="15">
        <f>IF($A350="","",IFERROR(INDEX(tblEslesme[Kova],MATCH($A350,tblEslesme[A_Norm],0)),""))</f>
        <v/>
      </c>
      <c r="C350" s="15">
        <f>IF($A350="","",IFERROR(INDEX(tblEslesme[AbsFark],MATCH($A350,tblEslesme[A_Norm],0)),0))</f>
        <v/>
      </c>
      <c r="D350" s="15">
        <f>IF($A350="","",IFERROR(SUMIF(tblMotor[A_Norm],$A350,tblMotor[DesiKgOran]),0))</f>
        <v/>
      </c>
      <c r="E350" s="15">
        <f>IF($A350="","",IFERROR(SUMIF(tblMotor[A_Norm],$A350,tblMotor[Tasarruf]),0))</f>
        <v/>
      </c>
      <c r="F350" s="15">
        <f>IF($A350="","",IFERROR(SUMIF(tblMotor[A_Norm],$A350,tblMotor[IadeOran]),0))</f>
        <v/>
      </c>
      <c r="G350" s="15">
        <f>IF($A350="","",IFERROR(SUMIF(tblMotor[A_Norm],$A350,tblMotor[BirimKargo]),0))</f>
        <v/>
      </c>
      <c r="H350" s="15">
        <f>IF(OR($A350="",$B350&lt;&gt;"tutar_farki"),"",IF($D350&gt;kdo_esikDesiOran,"KDO-001",IF($F350&gt;kdo_esikIade,"KDO-002",IF($E350&gt;kdo_esikTasarruf,"KDO-004",IF($C350&gt;kdo_esikFark,"KDO-005","TANIMSIZ")))))</f>
        <v/>
      </c>
    </row>
    <row r="351">
      <c r="A351" s="22">
        <f>IF('ESLESTIRME'!$A351="","",'ESLESTIRME'!$A351)</f>
        <v/>
      </c>
      <c r="B351" s="15">
        <f>IF($A351="","",IFERROR(INDEX(tblEslesme[Kova],MATCH($A351,tblEslesme[A_Norm],0)),""))</f>
        <v/>
      </c>
      <c r="C351" s="15">
        <f>IF($A351="","",IFERROR(INDEX(tblEslesme[AbsFark],MATCH($A351,tblEslesme[A_Norm],0)),0))</f>
        <v/>
      </c>
      <c r="D351" s="15">
        <f>IF($A351="","",IFERROR(SUMIF(tblMotor[A_Norm],$A351,tblMotor[DesiKgOran]),0))</f>
        <v/>
      </c>
      <c r="E351" s="15">
        <f>IF($A351="","",IFERROR(SUMIF(tblMotor[A_Norm],$A351,tblMotor[Tasarruf]),0))</f>
        <v/>
      </c>
      <c r="F351" s="15">
        <f>IF($A351="","",IFERROR(SUMIF(tblMotor[A_Norm],$A351,tblMotor[IadeOran]),0))</f>
        <v/>
      </c>
      <c r="G351" s="15">
        <f>IF($A351="","",IFERROR(SUMIF(tblMotor[A_Norm],$A351,tblMotor[BirimKargo]),0))</f>
        <v/>
      </c>
      <c r="H351" s="15">
        <f>IF(OR($A351="",$B351&lt;&gt;"tutar_farki"),"",IF($D351&gt;kdo_esikDesiOran,"KDO-001",IF($F351&gt;kdo_esikIade,"KDO-002",IF($E351&gt;kdo_esikTasarruf,"KDO-004",IF($C351&gt;kdo_esikFark,"KDO-005","TANIMSIZ")))))</f>
        <v/>
      </c>
    </row>
    <row r="352">
      <c r="A352" s="22">
        <f>IF('ESLESTIRME'!$A352="","",'ESLESTIRME'!$A352)</f>
        <v/>
      </c>
      <c r="B352" s="15">
        <f>IF($A352="","",IFERROR(INDEX(tblEslesme[Kova],MATCH($A352,tblEslesme[A_Norm],0)),""))</f>
        <v/>
      </c>
      <c r="C352" s="15">
        <f>IF($A352="","",IFERROR(INDEX(tblEslesme[AbsFark],MATCH($A352,tblEslesme[A_Norm],0)),0))</f>
        <v/>
      </c>
      <c r="D352" s="15">
        <f>IF($A352="","",IFERROR(SUMIF(tblMotor[A_Norm],$A352,tblMotor[DesiKgOran]),0))</f>
        <v/>
      </c>
      <c r="E352" s="15">
        <f>IF($A352="","",IFERROR(SUMIF(tblMotor[A_Norm],$A352,tblMotor[Tasarruf]),0))</f>
        <v/>
      </c>
      <c r="F352" s="15">
        <f>IF($A352="","",IFERROR(SUMIF(tblMotor[A_Norm],$A352,tblMotor[IadeOran]),0))</f>
        <v/>
      </c>
      <c r="G352" s="15">
        <f>IF($A352="","",IFERROR(SUMIF(tblMotor[A_Norm],$A352,tblMotor[BirimKargo]),0))</f>
        <v/>
      </c>
      <c r="H352" s="15">
        <f>IF(OR($A352="",$B352&lt;&gt;"tutar_farki"),"",IF($D352&gt;kdo_esikDesiOran,"KDO-001",IF($F352&gt;kdo_esikIade,"KDO-002",IF($E352&gt;kdo_esikTasarruf,"KDO-004",IF($C352&gt;kdo_esikFark,"KDO-005","TANIMSIZ")))))</f>
        <v/>
      </c>
    </row>
    <row r="353">
      <c r="A353" s="22">
        <f>IF('ESLESTIRME'!$A353="","",'ESLESTIRME'!$A353)</f>
        <v/>
      </c>
      <c r="B353" s="15">
        <f>IF($A353="","",IFERROR(INDEX(tblEslesme[Kova],MATCH($A353,tblEslesme[A_Norm],0)),""))</f>
        <v/>
      </c>
      <c r="C353" s="15">
        <f>IF($A353="","",IFERROR(INDEX(tblEslesme[AbsFark],MATCH($A353,tblEslesme[A_Norm],0)),0))</f>
        <v/>
      </c>
      <c r="D353" s="15">
        <f>IF($A353="","",IFERROR(SUMIF(tblMotor[A_Norm],$A353,tblMotor[DesiKgOran]),0))</f>
        <v/>
      </c>
      <c r="E353" s="15">
        <f>IF($A353="","",IFERROR(SUMIF(tblMotor[A_Norm],$A353,tblMotor[Tasarruf]),0))</f>
        <v/>
      </c>
      <c r="F353" s="15">
        <f>IF($A353="","",IFERROR(SUMIF(tblMotor[A_Norm],$A353,tblMotor[IadeOran]),0))</f>
        <v/>
      </c>
      <c r="G353" s="15">
        <f>IF($A353="","",IFERROR(SUMIF(tblMotor[A_Norm],$A353,tblMotor[BirimKargo]),0))</f>
        <v/>
      </c>
      <c r="H353" s="15">
        <f>IF(OR($A353="",$B353&lt;&gt;"tutar_farki"),"",IF($D353&gt;kdo_esikDesiOran,"KDO-001",IF($F353&gt;kdo_esikIade,"KDO-002",IF($E353&gt;kdo_esikTasarruf,"KDO-004",IF($C353&gt;kdo_esikFark,"KDO-005","TANIMSIZ")))))</f>
        <v/>
      </c>
    </row>
    <row r="354">
      <c r="A354" s="22">
        <f>IF('ESLESTIRME'!$A354="","",'ESLESTIRME'!$A354)</f>
        <v/>
      </c>
      <c r="B354" s="15">
        <f>IF($A354="","",IFERROR(INDEX(tblEslesme[Kova],MATCH($A354,tblEslesme[A_Norm],0)),""))</f>
        <v/>
      </c>
      <c r="C354" s="15">
        <f>IF($A354="","",IFERROR(INDEX(tblEslesme[AbsFark],MATCH($A354,tblEslesme[A_Norm],0)),0))</f>
        <v/>
      </c>
      <c r="D354" s="15">
        <f>IF($A354="","",IFERROR(SUMIF(tblMotor[A_Norm],$A354,tblMotor[DesiKgOran]),0))</f>
        <v/>
      </c>
      <c r="E354" s="15">
        <f>IF($A354="","",IFERROR(SUMIF(tblMotor[A_Norm],$A354,tblMotor[Tasarruf]),0))</f>
        <v/>
      </c>
      <c r="F354" s="15">
        <f>IF($A354="","",IFERROR(SUMIF(tblMotor[A_Norm],$A354,tblMotor[IadeOran]),0))</f>
        <v/>
      </c>
      <c r="G354" s="15">
        <f>IF($A354="","",IFERROR(SUMIF(tblMotor[A_Norm],$A354,tblMotor[BirimKargo]),0))</f>
        <v/>
      </c>
      <c r="H354" s="15">
        <f>IF(OR($A354="",$B354&lt;&gt;"tutar_farki"),"",IF($D354&gt;kdo_esikDesiOran,"KDO-001",IF($F354&gt;kdo_esikIade,"KDO-002",IF($E354&gt;kdo_esikTasarruf,"KDO-004",IF($C354&gt;kdo_esikFark,"KDO-005","TANIMSIZ")))))</f>
        <v/>
      </c>
    </row>
    <row r="355">
      <c r="A355" s="22">
        <f>IF('ESLESTIRME'!$A355="","",'ESLESTIRME'!$A355)</f>
        <v/>
      </c>
      <c r="B355" s="15">
        <f>IF($A355="","",IFERROR(INDEX(tblEslesme[Kova],MATCH($A355,tblEslesme[A_Norm],0)),""))</f>
        <v/>
      </c>
      <c r="C355" s="15">
        <f>IF($A355="","",IFERROR(INDEX(tblEslesme[AbsFark],MATCH($A355,tblEslesme[A_Norm],0)),0))</f>
        <v/>
      </c>
      <c r="D355" s="15">
        <f>IF($A355="","",IFERROR(SUMIF(tblMotor[A_Norm],$A355,tblMotor[DesiKgOran]),0))</f>
        <v/>
      </c>
      <c r="E355" s="15">
        <f>IF($A355="","",IFERROR(SUMIF(tblMotor[A_Norm],$A355,tblMotor[Tasarruf]),0))</f>
        <v/>
      </c>
      <c r="F355" s="15">
        <f>IF($A355="","",IFERROR(SUMIF(tblMotor[A_Norm],$A355,tblMotor[IadeOran]),0))</f>
        <v/>
      </c>
      <c r="G355" s="15">
        <f>IF($A355="","",IFERROR(SUMIF(tblMotor[A_Norm],$A355,tblMotor[BirimKargo]),0))</f>
        <v/>
      </c>
      <c r="H355" s="15">
        <f>IF(OR($A355="",$B355&lt;&gt;"tutar_farki"),"",IF($D355&gt;kdo_esikDesiOran,"KDO-001",IF($F355&gt;kdo_esikIade,"KDO-002",IF($E355&gt;kdo_esikTasarruf,"KDO-004",IF($C355&gt;kdo_esikFark,"KDO-005","TANIMSIZ")))))</f>
        <v/>
      </c>
    </row>
    <row r="356">
      <c r="A356" s="22">
        <f>IF('ESLESTIRME'!$A356="","",'ESLESTIRME'!$A356)</f>
        <v/>
      </c>
      <c r="B356" s="15">
        <f>IF($A356="","",IFERROR(INDEX(tblEslesme[Kova],MATCH($A356,tblEslesme[A_Norm],0)),""))</f>
        <v/>
      </c>
      <c r="C356" s="15">
        <f>IF($A356="","",IFERROR(INDEX(tblEslesme[AbsFark],MATCH($A356,tblEslesme[A_Norm],0)),0))</f>
        <v/>
      </c>
      <c r="D356" s="15">
        <f>IF($A356="","",IFERROR(SUMIF(tblMotor[A_Norm],$A356,tblMotor[DesiKgOran]),0))</f>
        <v/>
      </c>
      <c r="E356" s="15">
        <f>IF($A356="","",IFERROR(SUMIF(tblMotor[A_Norm],$A356,tblMotor[Tasarruf]),0))</f>
        <v/>
      </c>
      <c r="F356" s="15">
        <f>IF($A356="","",IFERROR(SUMIF(tblMotor[A_Norm],$A356,tblMotor[IadeOran]),0))</f>
        <v/>
      </c>
      <c r="G356" s="15">
        <f>IF($A356="","",IFERROR(SUMIF(tblMotor[A_Norm],$A356,tblMotor[BirimKargo]),0))</f>
        <v/>
      </c>
      <c r="H356" s="15">
        <f>IF(OR($A356="",$B356&lt;&gt;"tutar_farki"),"",IF($D356&gt;kdo_esikDesiOran,"KDO-001",IF($F356&gt;kdo_esikIade,"KDO-002",IF($E356&gt;kdo_esikTasarruf,"KDO-004",IF($C356&gt;kdo_esikFark,"KDO-005","TANIMSIZ")))))</f>
        <v/>
      </c>
    </row>
    <row r="357">
      <c r="A357" s="22">
        <f>IF('ESLESTIRME'!$A357="","",'ESLESTIRME'!$A357)</f>
        <v/>
      </c>
      <c r="B357" s="15">
        <f>IF($A357="","",IFERROR(INDEX(tblEslesme[Kova],MATCH($A357,tblEslesme[A_Norm],0)),""))</f>
        <v/>
      </c>
      <c r="C357" s="15">
        <f>IF($A357="","",IFERROR(INDEX(tblEslesme[AbsFark],MATCH($A357,tblEslesme[A_Norm],0)),0))</f>
        <v/>
      </c>
      <c r="D357" s="15">
        <f>IF($A357="","",IFERROR(SUMIF(tblMotor[A_Norm],$A357,tblMotor[DesiKgOran]),0))</f>
        <v/>
      </c>
      <c r="E357" s="15">
        <f>IF($A357="","",IFERROR(SUMIF(tblMotor[A_Norm],$A357,tblMotor[Tasarruf]),0))</f>
        <v/>
      </c>
      <c r="F357" s="15">
        <f>IF($A357="","",IFERROR(SUMIF(tblMotor[A_Norm],$A357,tblMotor[IadeOran]),0))</f>
        <v/>
      </c>
      <c r="G357" s="15">
        <f>IF($A357="","",IFERROR(SUMIF(tblMotor[A_Norm],$A357,tblMotor[BirimKargo]),0))</f>
        <v/>
      </c>
      <c r="H357" s="15">
        <f>IF(OR($A357="",$B357&lt;&gt;"tutar_farki"),"",IF($D357&gt;kdo_esikDesiOran,"KDO-001",IF($F357&gt;kdo_esikIade,"KDO-002",IF($E357&gt;kdo_esikTasarruf,"KDO-004",IF($C357&gt;kdo_esikFark,"KDO-005","TANIMSIZ")))))</f>
        <v/>
      </c>
    </row>
    <row r="358">
      <c r="A358" s="22">
        <f>IF('ESLESTIRME'!$A358="","",'ESLESTIRME'!$A358)</f>
        <v/>
      </c>
      <c r="B358" s="15">
        <f>IF($A358="","",IFERROR(INDEX(tblEslesme[Kova],MATCH($A358,tblEslesme[A_Norm],0)),""))</f>
        <v/>
      </c>
      <c r="C358" s="15">
        <f>IF($A358="","",IFERROR(INDEX(tblEslesme[AbsFark],MATCH($A358,tblEslesme[A_Norm],0)),0))</f>
        <v/>
      </c>
      <c r="D358" s="15">
        <f>IF($A358="","",IFERROR(SUMIF(tblMotor[A_Norm],$A358,tblMotor[DesiKgOran]),0))</f>
        <v/>
      </c>
      <c r="E358" s="15">
        <f>IF($A358="","",IFERROR(SUMIF(tblMotor[A_Norm],$A358,tblMotor[Tasarruf]),0))</f>
        <v/>
      </c>
      <c r="F358" s="15">
        <f>IF($A358="","",IFERROR(SUMIF(tblMotor[A_Norm],$A358,tblMotor[IadeOran]),0))</f>
        <v/>
      </c>
      <c r="G358" s="15">
        <f>IF($A358="","",IFERROR(SUMIF(tblMotor[A_Norm],$A358,tblMotor[BirimKargo]),0))</f>
        <v/>
      </c>
      <c r="H358" s="15">
        <f>IF(OR($A358="",$B358&lt;&gt;"tutar_farki"),"",IF($D358&gt;kdo_esikDesiOran,"KDO-001",IF($F358&gt;kdo_esikIade,"KDO-002",IF($E358&gt;kdo_esikTasarruf,"KDO-004",IF($C358&gt;kdo_esikFark,"KDO-005","TANIMSIZ")))))</f>
        <v/>
      </c>
    </row>
    <row r="359">
      <c r="A359" s="22">
        <f>IF('ESLESTIRME'!$A359="","",'ESLESTIRME'!$A359)</f>
        <v/>
      </c>
      <c r="B359" s="15">
        <f>IF($A359="","",IFERROR(INDEX(tblEslesme[Kova],MATCH($A359,tblEslesme[A_Norm],0)),""))</f>
        <v/>
      </c>
      <c r="C359" s="15">
        <f>IF($A359="","",IFERROR(INDEX(tblEslesme[AbsFark],MATCH($A359,tblEslesme[A_Norm],0)),0))</f>
        <v/>
      </c>
      <c r="D359" s="15">
        <f>IF($A359="","",IFERROR(SUMIF(tblMotor[A_Norm],$A359,tblMotor[DesiKgOran]),0))</f>
        <v/>
      </c>
      <c r="E359" s="15">
        <f>IF($A359="","",IFERROR(SUMIF(tblMotor[A_Norm],$A359,tblMotor[Tasarruf]),0))</f>
        <v/>
      </c>
      <c r="F359" s="15">
        <f>IF($A359="","",IFERROR(SUMIF(tblMotor[A_Norm],$A359,tblMotor[IadeOran]),0))</f>
        <v/>
      </c>
      <c r="G359" s="15">
        <f>IF($A359="","",IFERROR(SUMIF(tblMotor[A_Norm],$A359,tblMotor[BirimKargo]),0))</f>
        <v/>
      </c>
      <c r="H359" s="15">
        <f>IF(OR($A359="",$B359&lt;&gt;"tutar_farki"),"",IF($D359&gt;kdo_esikDesiOran,"KDO-001",IF($F359&gt;kdo_esikIade,"KDO-002",IF($E359&gt;kdo_esikTasarruf,"KDO-004",IF($C359&gt;kdo_esikFark,"KDO-005","TANIMSIZ")))))</f>
        <v/>
      </c>
    </row>
    <row r="360">
      <c r="A360" s="22">
        <f>IF('ESLESTIRME'!$A360="","",'ESLESTIRME'!$A360)</f>
        <v/>
      </c>
      <c r="B360" s="15">
        <f>IF($A360="","",IFERROR(INDEX(tblEslesme[Kova],MATCH($A360,tblEslesme[A_Norm],0)),""))</f>
        <v/>
      </c>
      <c r="C360" s="15">
        <f>IF($A360="","",IFERROR(INDEX(tblEslesme[AbsFark],MATCH($A360,tblEslesme[A_Norm],0)),0))</f>
        <v/>
      </c>
      <c r="D360" s="15">
        <f>IF($A360="","",IFERROR(SUMIF(tblMotor[A_Norm],$A360,tblMotor[DesiKgOran]),0))</f>
        <v/>
      </c>
      <c r="E360" s="15">
        <f>IF($A360="","",IFERROR(SUMIF(tblMotor[A_Norm],$A360,tblMotor[Tasarruf]),0))</f>
        <v/>
      </c>
      <c r="F360" s="15">
        <f>IF($A360="","",IFERROR(SUMIF(tblMotor[A_Norm],$A360,tblMotor[IadeOran]),0))</f>
        <v/>
      </c>
      <c r="G360" s="15">
        <f>IF($A360="","",IFERROR(SUMIF(tblMotor[A_Norm],$A360,tblMotor[BirimKargo]),0))</f>
        <v/>
      </c>
      <c r="H360" s="15">
        <f>IF(OR($A360="",$B360&lt;&gt;"tutar_farki"),"",IF($D360&gt;kdo_esikDesiOran,"KDO-001",IF($F360&gt;kdo_esikIade,"KDO-002",IF($E360&gt;kdo_esikTasarruf,"KDO-004",IF($C360&gt;kdo_esikFark,"KDO-005","TANIMSIZ")))))</f>
        <v/>
      </c>
    </row>
    <row r="361">
      <c r="A361" s="22">
        <f>IF('ESLESTIRME'!$A361="","",'ESLESTIRME'!$A361)</f>
        <v/>
      </c>
      <c r="B361" s="15">
        <f>IF($A361="","",IFERROR(INDEX(tblEslesme[Kova],MATCH($A361,tblEslesme[A_Norm],0)),""))</f>
        <v/>
      </c>
      <c r="C361" s="15">
        <f>IF($A361="","",IFERROR(INDEX(tblEslesme[AbsFark],MATCH($A361,tblEslesme[A_Norm],0)),0))</f>
        <v/>
      </c>
      <c r="D361" s="15">
        <f>IF($A361="","",IFERROR(SUMIF(tblMotor[A_Norm],$A361,tblMotor[DesiKgOran]),0))</f>
        <v/>
      </c>
      <c r="E361" s="15">
        <f>IF($A361="","",IFERROR(SUMIF(tblMotor[A_Norm],$A361,tblMotor[Tasarruf]),0))</f>
        <v/>
      </c>
      <c r="F361" s="15">
        <f>IF($A361="","",IFERROR(SUMIF(tblMotor[A_Norm],$A361,tblMotor[IadeOran]),0))</f>
        <v/>
      </c>
      <c r="G361" s="15">
        <f>IF($A361="","",IFERROR(SUMIF(tblMotor[A_Norm],$A361,tblMotor[BirimKargo]),0))</f>
        <v/>
      </c>
      <c r="H361" s="15">
        <f>IF(OR($A361="",$B361&lt;&gt;"tutar_farki"),"",IF($D361&gt;kdo_esikDesiOran,"KDO-001",IF($F361&gt;kdo_esikIade,"KDO-002",IF($E361&gt;kdo_esikTasarruf,"KDO-004",IF($C361&gt;kdo_esikFark,"KDO-005","TANIMSIZ")))))</f>
        <v/>
      </c>
    </row>
    <row r="362">
      <c r="A362" s="22">
        <f>IF('ESLESTIRME'!$A362="","",'ESLESTIRME'!$A362)</f>
        <v/>
      </c>
      <c r="B362" s="15">
        <f>IF($A362="","",IFERROR(INDEX(tblEslesme[Kova],MATCH($A362,tblEslesme[A_Norm],0)),""))</f>
        <v/>
      </c>
      <c r="C362" s="15">
        <f>IF($A362="","",IFERROR(INDEX(tblEslesme[AbsFark],MATCH($A362,tblEslesme[A_Norm],0)),0))</f>
        <v/>
      </c>
      <c r="D362" s="15">
        <f>IF($A362="","",IFERROR(SUMIF(tblMotor[A_Norm],$A362,tblMotor[DesiKgOran]),0))</f>
        <v/>
      </c>
      <c r="E362" s="15">
        <f>IF($A362="","",IFERROR(SUMIF(tblMotor[A_Norm],$A362,tblMotor[Tasarruf]),0))</f>
        <v/>
      </c>
      <c r="F362" s="15">
        <f>IF($A362="","",IFERROR(SUMIF(tblMotor[A_Norm],$A362,tblMotor[IadeOran]),0))</f>
        <v/>
      </c>
      <c r="G362" s="15">
        <f>IF($A362="","",IFERROR(SUMIF(tblMotor[A_Norm],$A362,tblMotor[BirimKargo]),0))</f>
        <v/>
      </c>
      <c r="H362" s="15">
        <f>IF(OR($A362="",$B362&lt;&gt;"tutar_farki"),"",IF($D362&gt;kdo_esikDesiOran,"KDO-001",IF($F362&gt;kdo_esikIade,"KDO-002",IF($E362&gt;kdo_esikTasarruf,"KDO-004",IF($C362&gt;kdo_esikFark,"KDO-005","TANIMSIZ")))))</f>
        <v/>
      </c>
    </row>
    <row r="363">
      <c r="A363" s="22">
        <f>IF('ESLESTIRME'!$A363="","",'ESLESTIRME'!$A363)</f>
        <v/>
      </c>
      <c r="B363" s="15">
        <f>IF($A363="","",IFERROR(INDEX(tblEslesme[Kova],MATCH($A363,tblEslesme[A_Norm],0)),""))</f>
        <v/>
      </c>
      <c r="C363" s="15">
        <f>IF($A363="","",IFERROR(INDEX(tblEslesme[AbsFark],MATCH($A363,tblEslesme[A_Norm],0)),0))</f>
        <v/>
      </c>
      <c r="D363" s="15">
        <f>IF($A363="","",IFERROR(SUMIF(tblMotor[A_Norm],$A363,tblMotor[DesiKgOran]),0))</f>
        <v/>
      </c>
      <c r="E363" s="15">
        <f>IF($A363="","",IFERROR(SUMIF(tblMotor[A_Norm],$A363,tblMotor[Tasarruf]),0))</f>
        <v/>
      </c>
      <c r="F363" s="15">
        <f>IF($A363="","",IFERROR(SUMIF(tblMotor[A_Norm],$A363,tblMotor[IadeOran]),0))</f>
        <v/>
      </c>
      <c r="G363" s="15">
        <f>IF($A363="","",IFERROR(SUMIF(tblMotor[A_Norm],$A363,tblMotor[BirimKargo]),0))</f>
        <v/>
      </c>
      <c r="H363" s="15">
        <f>IF(OR($A363="",$B363&lt;&gt;"tutar_farki"),"",IF($D363&gt;kdo_esikDesiOran,"KDO-001",IF($F363&gt;kdo_esikIade,"KDO-002",IF($E363&gt;kdo_esikTasarruf,"KDO-004",IF($C363&gt;kdo_esikFark,"KDO-005","TANIMSIZ")))))</f>
        <v/>
      </c>
    </row>
    <row r="364">
      <c r="A364" s="22">
        <f>IF('ESLESTIRME'!$A364="","",'ESLESTIRME'!$A364)</f>
        <v/>
      </c>
      <c r="B364" s="15">
        <f>IF($A364="","",IFERROR(INDEX(tblEslesme[Kova],MATCH($A364,tblEslesme[A_Norm],0)),""))</f>
        <v/>
      </c>
      <c r="C364" s="15">
        <f>IF($A364="","",IFERROR(INDEX(tblEslesme[AbsFark],MATCH($A364,tblEslesme[A_Norm],0)),0))</f>
        <v/>
      </c>
      <c r="D364" s="15">
        <f>IF($A364="","",IFERROR(SUMIF(tblMotor[A_Norm],$A364,tblMotor[DesiKgOran]),0))</f>
        <v/>
      </c>
      <c r="E364" s="15">
        <f>IF($A364="","",IFERROR(SUMIF(tblMotor[A_Norm],$A364,tblMotor[Tasarruf]),0))</f>
        <v/>
      </c>
      <c r="F364" s="15">
        <f>IF($A364="","",IFERROR(SUMIF(tblMotor[A_Norm],$A364,tblMotor[IadeOran]),0))</f>
        <v/>
      </c>
      <c r="G364" s="15">
        <f>IF($A364="","",IFERROR(SUMIF(tblMotor[A_Norm],$A364,tblMotor[BirimKargo]),0))</f>
        <v/>
      </c>
      <c r="H364" s="15">
        <f>IF(OR($A364="",$B364&lt;&gt;"tutar_farki"),"",IF($D364&gt;kdo_esikDesiOran,"KDO-001",IF($F364&gt;kdo_esikIade,"KDO-002",IF($E364&gt;kdo_esikTasarruf,"KDO-004",IF($C364&gt;kdo_esikFark,"KDO-005","TANIMSIZ")))))</f>
        <v/>
      </c>
    </row>
    <row r="365">
      <c r="A365" s="22">
        <f>IF('ESLESTIRME'!$A365="","",'ESLESTIRME'!$A365)</f>
        <v/>
      </c>
      <c r="B365" s="15">
        <f>IF($A365="","",IFERROR(INDEX(tblEslesme[Kova],MATCH($A365,tblEslesme[A_Norm],0)),""))</f>
        <v/>
      </c>
      <c r="C365" s="15">
        <f>IF($A365="","",IFERROR(INDEX(tblEslesme[AbsFark],MATCH($A365,tblEslesme[A_Norm],0)),0))</f>
        <v/>
      </c>
      <c r="D365" s="15">
        <f>IF($A365="","",IFERROR(SUMIF(tblMotor[A_Norm],$A365,tblMotor[DesiKgOran]),0))</f>
        <v/>
      </c>
      <c r="E365" s="15">
        <f>IF($A365="","",IFERROR(SUMIF(tblMotor[A_Norm],$A365,tblMotor[Tasarruf]),0))</f>
        <v/>
      </c>
      <c r="F365" s="15">
        <f>IF($A365="","",IFERROR(SUMIF(tblMotor[A_Norm],$A365,tblMotor[IadeOran]),0))</f>
        <v/>
      </c>
      <c r="G365" s="15">
        <f>IF($A365="","",IFERROR(SUMIF(tblMotor[A_Norm],$A365,tblMotor[BirimKargo]),0))</f>
        <v/>
      </c>
      <c r="H365" s="15">
        <f>IF(OR($A365="",$B365&lt;&gt;"tutar_farki"),"",IF($D365&gt;kdo_esikDesiOran,"KDO-001",IF($F365&gt;kdo_esikIade,"KDO-002",IF($E365&gt;kdo_esikTasarruf,"KDO-004",IF($C365&gt;kdo_esikFark,"KDO-005","TANIMSIZ")))))</f>
        <v/>
      </c>
    </row>
    <row r="366">
      <c r="A366" s="22">
        <f>IF('ESLESTIRME'!$A366="","",'ESLESTIRME'!$A366)</f>
        <v/>
      </c>
      <c r="B366" s="15">
        <f>IF($A366="","",IFERROR(INDEX(tblEslesme[Kova],MATCH($A366,tblEslesme[A_Norm],0)),""))</f>
        <v/>
      </c>
      <c r="C366" s="15">
        <f>IF($A366="","",IFERROR(INDEX(tblEslesme[AbsFark],MATCH($A366,tblEslesme[A_Norm],0)),0))</f>
        <v/>
      </c>
      <c r="D366" s="15">
        <f>IF($A366="","",IFERROR(SUMIF(tblMotor[A_Norm],$A366,tblMotor[DesiKgOran]),0))</f>
        <v/>
      </c>
      <c r="E366" s="15">
        <f>IF($A366="","",IFERROR(SUMIF(tblMotor[A_Norm],$A366,tblMotor[Tasarruf]),0))</f>
        <v/>
      </c>
      <c r="F366" s="15">
        <f>IF($A366="","",IFERROR(SUMIF(tblMotor[A_Norm],$A366,tblMotor[IadeOran]),0))</f>
        <v/>
      </c>
      <c r="G366" s="15">
        <f>IF($A366="","",IFERROR(SUMIF(tblMotor[A_Norm],$A366,tblMotor[BirimKargo]),0))</f>
        <v/>
      </c>
      <c r="H366" s="15">
        <f>IF(OR($A366="",$B366&lt;&gt;"tutar_farki"),"",IF($D366&gt;kdo_esikDesiOran,"KDO-001",IF($F366&gt;kdo_esikIade,"KDO-002",IF($E366&gt;kdo_esikTasarruf,"KDO-004",IF($C366&gt;kdo_esikFark,"KDO-005","TANIMSIZ")))))</f>
        <v/>
      </c>
    </row>
    <row r="367">
      <c r="A367" s="22">
        <f>IF('ESLESTIRME'!$A367="","",'ESLESTIRME'!$A367)</f>
        <v/>
      </c>
      <c r="B367" s="15">
        <f>IF($A367="","",IFERROR(INDEX(tblEslesme[Kova],MATCH($A367,tblEslesme[A_Norm],0)),""))</f>
        <v/>
      </c>
      <c r="C367" s="15">
        <f>IF($A367="","",IFERROR(INDEX(tblEslesme[AbsFark],MATCH($A367,tblEslesme[A_Norm],0)),0))</f>
        <v/>
      </c>
      <c r="D367" s="15">
        <f>IF($A367="","",IFERROR(SUMIF(tblMotor[A_Norm],$A367,tblMotor[DesiKgOran]),0))</f>
        <v/>
      </c>
      <c r="E367" s="15">
        <f>IF($A367="","",IFERROR(SUMIF(tblMotor[A_Norm],$A367,tblMotor[Tasarruf]),0))</f>
        <v/>
      </c>
      <c r="F367" s="15">
        <f>IF($A367="","",IFERROR(SUMIF(tblMotor[A_Norm],$A367,tblMotor[IadeOran]),0))</f>
        <v/>
      </c>
      <c r="G367" s="15">
        <f>IF($A367="","",IFERROR(SUMIF(tblMotor[A_Norm],$A367,tblMotor[BirimKargo]),0))</f>
        <v/>
      </c>
      <c r="H367" s="15">
        <f>IF(OR($A367="",$B367&lt;&gt;"tutar_farki"),"",IF($D367&gt;kdo_esikDesiOran,"KDO-001",IF($F367&gt;kdo_esikIade,"KDO-002",IF($E367&gt;kdo_esikTasarruf,"KDO-004",IF($C367&gt;kdo_esikFark,"KDO-005","TANIMSIZ")))))</f>
        <v/>
      </c>
    </row>
    <row r="368">
      <c r="A368" s="22">
        <f>IF('ESLESTIRME'!$A368="","",'ESLESTIRME'!$A368)</f>
        <v/>
      </c>
      <c r="B368" s="15">
        <f>IF($A368="","",IFERROR(INDEX(tblEslesme[Kova],MATCH($A368,tblEslesme[A_Norm],0)),""))</f>
        <v/>
      </c>
      <c r="C368" s="15">
        <f>IF($A368="","",IFERROR(INDEX(tblEslesme[AbsFark],MATCH($A368,tblEslesme[A_Norm],0)),0))</f>
        <v/>
      </c>
      <c r="D368" s="15">
        <f>IF($A368="","",IFERROR(SUMIF(tblMotor[A_Norm],$A368,tblMotor[DesiKgOran]),0))</f>
        <v/>
      </c>
      <c r="E368" s="15">
        <f>IF($A368="","",IFERROR(SUMIF(tblMotor[A_Norm],$A368,tblMotor[Tasarruf]),0))</f>
        <v/>
      </c>
      <c r="F368" s="15">
        <f>IF($A368="","",IFERROR(SUMIF(tblMotor[A_Norm],$A368,tblMotor[IadeOran]),0))</f>
        <v/>
      </c>
      <c r="G368" s="15">
        <f>IF($A368="","",IFERROR(SUMIF(tblMotor[A_Norm],$A368,tblMotor[BirimKargo]),0))</f>
        <v/>
      </c>
      <c r="H368" s="15">
        <f>IF(OR($A368="",$B368&lt;&gt;"tutar_farki"),"",IF($D368&gt;kdo_esikDesiOran,"KDO-001",IF($F368&gt;kdo_esikIade,"KDO-002",IF($E368&gt;kdo_esikTasarruf,"KDO-004",IF($C368&gt;kdo_esikFark,"KDO-005","TANIMSIZ")))))</f>
        <v/>
      </c>
    </row>
    <row r="369">
      <c r="A369" s="22">
        <f>IF('ESLESTIRME'!$A369="","",'ESLESTIRME'!$A369)</f>
        <v/>
      </c>
      <c r="B369" s="15">
        <f>IF($A369="","",IFERROR(INDEX(tblEslesme[Kova],MATCH($A369,tblEslesme[A_Norm],0)),""))</f>
        <v/>
      </c>
      <c r="C369" s="15">
        <f>IF($A369="","",IFERROR(INDEX(tblEslesme[AbsFark],MATCH($A369,tblEslesme[A_Norm],0)),0))</f>
        <v/>
      </c>
      <c r="D369" s="15">
        <f>IF($A369="","",IFERROR(SUMIF(tblMotor[A_Norm],$A369,tblMotor[DesiKgOran]),0))</f>
        <v/>
      </c>
      <c r="E369" s="15">
        <f>IF($A369="","",IFERROR(SUMIF(tblMotor[A_Norm],$A369,tblMotor[Tasarruf]),0))</f>
        <v/>
      </c>
      <c r="F369" s="15">
        <f>IF($A369="","",IFERROR(SUMIF(tblMotor[A_Norm],$A369,tblMotor[IadeOran]),0))</f>
        <v/>
      </c>
      <c r="G369" s="15">
        <f>IF($A369="","",IFERROR(SUMIF(tblMotor[A_Norm],$A369,tblMotor[BirimKargo]),0))</f>
        <v/>
      </c>
      <c r="H369" s="15">
        <f>IF(OR($A369="",$B369&lt;&gt;"tutar_farki"),"",IF($D369&gt;kdo_esikDesiOran,"KDO-001",IF($F369&gt;kdo_esikIade,"KDO-002",IF($E369&gt;kdo_esikTasarruf,"KDO-004",IF($C369&gt;kdo_esikFark,"KDO-005","TANIMSIZ")))))</f>
        <v/>
      </c>
    </row>
    <row r="370">
      <c r="A370" s="22">
        <f>IF('ESLESTIRME'!$A370="","",'ESLESTIRME'!$A370)</f>
        <v/>
      </c>
      <c r="B370" s="15">
        <f>IF($A370="","",IFERROR(INDEX(tblEslesme[Kova],MATCH($A370,tblEslesme[A_Norm],0)),""))</f>
        <v/>
      </c>
      <c r="C370" s="15">
        <f>IF($A370="","",IFERROR(INDEX(tblEslesme[AbsFark],MATCH($A370,tblEslesme[A_Norm],0)),0))</f>
        <v/>
      </c>
      <c r="D370" s="15">
        <f>IF($A370="","",IFERROR(SUMIF(tblMotor[A_Norm],$A370,tblMotor[DesiKgOran]),0))</f>
        <v/>
      </c>
      <c r="E370" s="15">
        <f>IF($A370="","",IFERROR(SUMIF(tblMotor[A_Norm],$A370,tblMotor[Tasarruf]),0))</f>
        <v/>
      </c>
      <c r="F370" s="15">
        <f>IF($A370="","",IFERROR(SUMIF(tblMotor[A_Norm],$A370,tblMotor[IadeOran]),0))</f>
        <v/>
      </c>
      <c r="G370" s="15">
        <f>IF($A370="","",IFERROR(SUMIF(tblMotor[A_Norm],$A370,tblMotor[BirimKargo]),0))</f>
        <v/>
      </c>
      <c r="H370" s="15">
        <f>IF(OR($A370="",$B370&lt;&gt;"tutar_farki"),"",IF($D370&gt;kdo_esikDesiOran,"KDO-001",IF($F370&gt;kdo_esikIade,"KDO-002",IF($E370&gt;kdo_esikTasarruf,"KDO-004",IF($C370&gt;kdo_esikFark,"KDO-005","TANIMSIZ")))))</f>
        <v/>
      </c>
    </row>
    <row r="371">
      <c r="A371" s="22">
        <f>IF('ESLESTIRME'!$A371="","",'ESLESTIRME'!$A371)</f>
        <v/>
      </c>
      <c r="B371" s="15">
        <f>IF($A371="","",IFERROR(INDEX(tblEslesme[Kova],MATCH($A371,tblEslesme[A_Norm],0)),""))</f>
        <v/>
      </c>
      <c r="C371" s="15">
        <f>IF($A371="","",IFERROR(INDEX(tblEslesme[AbsFark],MATCH($A371,tblEslesme[A_Norm],0)),0))</f>
        <v/>
      </c>
      <c r="D371" s="15">
        <f>IF($A371="","",IFERROR(SUMIF(tblMotor[A_Norm],$A371,tblMotor[DesiKgOran]),0))</f>
        <v/>
      </c>
      <c r="E371" s="15">
        <f>IF($A371="","",IFERROR(SUMIF(tblMotor[A_Norm],$A371,tblMotor[Tasarruf]),0))</f>
        <v/>
      </c>
      <c r="F371" s="15">
        <f>IF($A371="","",IFERROR(SUMIF(tblMotor[A_Norm],$A371,tblMotor[IadeOran]),0))</f>
        <v/>
      </c>
      <c r="G371" s="15">
        <f>IF($A371="","",IFERROR(SUMIF(tblMotor[A_Norm],$A371,tblMotor[BirimKargo]),0))</f>
        <v/>
      </c>
      <c r="H371" s="15">
        <f>IF(OR($A371="",$B371&lt;&gt;"tutar_farki"),"",IF($D371&gt;kdo_esikDesiOran,"KDO-001",IF($F371&gt;kdo_esikIade,"KDO-002",IF($E371&gt;kdo_esikTasarruf,"KDO-004",IF($C371&gt;kdo_esikFark,"KDO-005","TANIMSIZ")))))</f>
        <v/>
      </c>
    </row>
    <row r="372">
      <c r="A372" s="22">
        <f>IF('ESLESTIRME'!$A372="","",'ESLESTIRME'!$A372)</f>
        <v/>
      </c>
      <c r="B372" s="15">
        <f>IF($A372="","",IFERROR(INDEX(tblEslesme[Kova],MATCH($A372,tblEslesme[A_Norm],0)),""))</f>
        <v/>
      </c>
      <c r="C372" s="15">
        <f>IF($A372="","",IFERROR(INDEX(tblEslesme[AbsFark],MATCH($A372,tblEslesme[A_Norm],0)),0))</f>
        <v/>
      </c>
      <c r="D372" s="15">
        <f>IF($A372="","",IFERROR(SUMIF(tblMotor[A_Norm],$A372,tblMotor[DesiKgOran]),0))</f>
        <v/>
      </c>
      <c r="E372" s="15">
        <f>IF($A372="","",IFERROR(SUMIF(tblMotor[A_Norm],$A372,tblMotor[Tasarruf]),0))</f>
        <v/>
      </c>
      <c r="F372" s="15">
        <f>IF($A372="","",IFERROR(SUMIF(tblMotor[A_Norm],$A372,tblMotor[IadeOran]),0))</f>
        <v/>
      </c>
      <c r="G372" s="15">
        <f>IF($A372="","",IFERROR(SUMIF(tblMotor[A_Norm],$A372,tblMotor[BirimKargo]),0))</f>
        <v/>
      </c>
      <c r="H372" s="15">
        <f>IF(OR($A372="",$B372&lt;&gt;"tutar_farki"),"",IF($D372&gt;kdo_esikDesiOran,"KDO-001",IF($F372&gt;kdo_esikIade,"KDO-002",IF($E372&gt;kdo_esikTasarruf,"KDO-004",IF($C372&gt;kdo_esikFark,"KDO-005","TANIMSIZ")))))</f>
        <v/>
      </c>
    </row>
    <row r="373">
      <c r="A373" s="22">
        <f>IF('ESLESTIRME'!$A373="","",'ESLESTIRME'!$A373)</f>
        <v/>
      </c>
      <c r="B373" s="15">
        <f>IF($A373="","",IFERROR(INDEX(tblEslesme[Kova],MATCH($A373,tblEslesme[A_Norm],0)),""))</f>
        <v/>
      </c>
      <c r="C373" s="15">
        <f>IF($A373="","",IFERROR(INDEX(tblEslesme[AbsFark],MATCH($A373,tblEslesme[A_Norm],0)),0))</f>
        <v/>
      </c>
      <c r="D373" s="15">
        <f>IF($A373="","",IFERROR(SUMIF(tblMotor[A_Norm],$A373,tblMotor[DesiKgOran]),0))</f>
        <v/>
      </c>
      <c r="E373" s="15">
        <f>IF($A373="","",IFERROR(SUMIF(tblMotor[A_Norm],$A373,tblMotor[Tasarruf]),0))</f>
        <v/>
      </c>
      <c r="F373" s="15">
        <f>IF($A373="","",IFERROR(SUMIF(tblMotor[A_Norm],$A373,tblMotor[IadeOran]),0))</f>
        <v/>
      </c>
      <c r="G373" s="15">
        <f>IF($A373="","",IFERROR(SUMIF(tblMotor[A_Norm],$A373,tblMotor[BirimKargo]),0))</f>
        <v/>
      </c>
      <c r="H373" s="15">
        <f>IF(OR($A373="",$B373&lt;&gt;"tutar_farki"),"",IF($D373&gt;kdo_esikDesiOran,"KDO-001",IF($F373&gt;kdo_esikIade,"KDO-002",IF($E373&gt;kdo_esikTasarruf,"KDO-004",IF($C373&gt;kdo_esikFark,"KDO-005","TANIMSIZ")))))</f>
        <v/>
      </c>
    </row>
    <row r="374">
      <c r="A374" s="22">
        <f>IF('ESLESTIRME'!$A374="","",'ESLESTIRME'!$A374)</f>
        <v/>
      </c>
      <c r="B374" s="15">
        <f>IF($A374="","",IFERROR(INDEX(tblEslesme[Kova],MATCH($A374,tblEslesme[A_Norm],0)),""))</f>
        <v/>
      </c>
      <c r="C374" s="15">
        <f>IF($A374="","",IFERROR(INDEX(tblEslesme[AbsFark],MATCH($A374,tblEslesme[A_Norm],0)),0))</f>
        <v/>
      </c>
      <c r="D374" s="15">
        <f>IF($A374="","",IFERROR(SUMIF(tblMotor[A_Norm],$A374,tblMotor[DesiKgOran]),0))</f>
        <v/>
      </c>
      <c r="E374" s="15">
        <f>IF($A374="","",IFERROR(SUMIF(tblMotor[A_Norm],$A374,tblMotor[Tasarruf]),0))</f>
        <v/>
      </c>
      <c r="F374" s="15">
        <f>IF($A374="","",IFERROR(SUMIF(tblMotor[A_Norm],$A374,tblMotor[IadeOran]),0))</f>
        <v/>
      </c>
      <c r="G374" s="15">
        <f>IF($A374="","",IFERROR(SUMIF(tblMotor[A_Norm],$A374,tblMotor[BirimKargo]),0))</f>
        <v/>
      </c>
      <c r="H374" s="15">
        <f>IF(OR($A374="",$B374&lt;&gt;"tutar_farki"),"",IF($D374&gt;kdo_esikDesiOran,"KDO-001",IF($F374&gt;kdo_esikIade,"KDO-002",IF($E374&gt;kdo_esikTasarruf,"KDO-004",IF($C374&gt;kdo_esikFark,"KDO-005","TANIMSIZ")))))</f>
        <v/>
      </c>
    </row>
    <row r="375">
      <c r="A375" s="22">
        <f>IF('ESLESTIRME'!$A375="","",'ESLESTIRME'!$A375)</f>
        <v/>
      </c>
      <c r="B375" s="15">
        <f>IF($A375="","",IFERROR(INDEX(tblEslesme[Kova],MATCH($A375,tblEslesme[A_Norm],0)),""))</f>
        <v/>
      </c>
      <c r="C375" s="15">
        <f>IF($A375="","",IFERROR(INDEX(tblEslesme[AbsFark],MATCH($A375,tblEslesme[A_Norm],0)),0))</f>
        <v/>
      </c>
      <c r="D375" s="15">
        <f>IF($A375="","",IFERROR(SUMIF(tblMotor[A_Norm],$A375,tblMotor[DesiKgOran]),0))</f>
        <v/>
      </c>
      <c r="E375" s="15">
        <f>IF($A375="","",IFERROR(SUMIF(tblMotor[A_Norm],$A375,tblMotor[Tasarruf]),0))</f>
        <v/>
      </c>
      <c r="F375" s="15">
        <f>IF($A375="","",IFERROR(SUMIF(tblMotor[A_Norm],$A375,tblMotor[IadeOran]),0))</f>
        <v/>
      </c>
      <c r="G375" s="15">
        <f>IF($A375="","",IFERROR(SUMIF(tblMotor[A_Norm],$A375,tblMotor[BirimKargo]),0))</f>
        <v/>
      </c>
      <c r="H375" s="15">
        <f>IF(OR($A375="",$B375&lt;&gt;"tutar_farki"),"",IF($D375&gt;kdo_esikDesiOran,"KDO-001",IF($F375&gt;kdo_esikIade,"KDO-002",IF($E375&gt;kdo_esikTasarruf,"KDO-004",IF($C375&gt;kdo_esikFark,"KDO-005","TANIMSIZ")))))</f>
        <v/>
      </c>
    </row>
    <row r="376">
      <c r="A376" s="22">
        <f>IF('ESLESTIRME'!$A376="","",'ESLESTIRME'!$A376)</f>
        <v/>
      </c>
      <c r="B376" s="15">
        <f>IF($A376="","",IFERROR(INDEX(tblEslesme[Kova],MATCH($A376,tblEslesme[A_Norm],0)),""))</f>
        <v/>
      </c>
      <c r="C376" s="15">
        <f>IF($A376="","",IFERROR(INDEX(tblEslesme[AbsFark],MATCH($A376,tblEslesme[A_Norm],0)),0))</f>
        <v/>
      </c>
      <c r="D376" s="15">
        <f>IF($A376="","",IFERROR(SUMIF(tblMotor[A_Norm],$A376,tblMotor[DesiKgOran]),0))</f>
        <v/>
      </c>
      <c r="E376" s="15">
        <f>IF($A376="","",IFERROR(SUMIF(tblMotor[A_Norm],$A376,tblMotor[Tasarruf]),0))</f>
        <v/>
      </c>
      <c r="F376" s="15">
        <f>IF($A376="","",IFERROR(SUMIF(tblMotor[A_Norm],$A376,tblMotor[IadeOran]),0))</f>
        <v/>
      </c>
      <c r="G376" s="15">
        <f>IF($A376="","",IFERROR(SUMIF(tblMotor[A_Norm],$A376,tblMotor[BirimKargo]),0))</f>
        <v/>
      </c>
      <c r="H376" s="15">
        <f>IF(OR($A376="",$B376&lt;&gt;"tutar_farki"),"",IF($D376&gt;kdo_esikDesiOran,"KDO-001",IF($F376&gt;kdo_esikIade,"KDO-002",IF($E376&gt;kdo_esikTasarruf,"KDO-004",IF($C376&gt;kdo_esikFark,"KDO-005","TANIMSIZ")))))</f>
        <v/>
      </c>
    </row>
    <row r="377">
      <c r="A377" s="22">
        <f>IF('ESLESTIRME'!$A377="","",'ESLESTIRME'!$A377)</f>
        <v/>
      </c>
      <c r="B377" s="15">
        <f>IF($A377="","",IFERROR(INDEX(tblEslesme[Kova],MATCH($A377,tblEslesme[A_Norm],0)),""))</f>
        <v/>
      </c>
      <c r="C377" s="15">
        <f>IF($A377="","",IFERROR(INDEX(tblEslesme[AbsFark],MATCH($A377,tblEslesme[A_Norm],0)),0))</f>
        <v/>
      </c>
      <c r="D377" s="15">
        <f>IF($A377="","",IFERROR(SUMIF(tblMotor[A_Norm],$A377,tblMotor[DesiKgOran]),0))</f>
        <v/>
      </c>
      <c r="E377" s="15">
        <f>IF($A377="","",IFERROR(SUMIF(tblMotor[A_Norm],$A377,tblMotor[Tasarruf]),0))</f>
        <v/>
      </c>
      <c r="F377" s="15">
        <f>IF($A377="","",IFERROR(SUMIF(tblMotor[A_Norm],$A377,tblMotor[IadeOran]),0))</f>
        <v/>
      </c>
      <c r="G377" s="15">
        <f>IF($A377="","",IFERROR(SUMIF(tblMotor[A_Norm],$A377,tblMotor[BirimKargo]),0))</f>
        <v/>
      </c>
      <c r="H377" s="15">
        <f>IF(OR($A377="",$B377&lt;&gt;"tutar_farki"),"",IF($D377&gt;kdo_esikDesiOran,"KDO-001",IF($F377&gt;kdo_esikIade,"KDO-002",IF($E377&gt;kdo_esikTasarruf,"KDO-004",IF($C377&gt;kdo_esikFark,"KDO-005","TANIMSIZ")))))</f>
        <v/>
      </c>
    </row>
    <row r="378">
      <c r="A378" s="22">
        <f>IF('ESLESTIRME'!$A378="","",'ESLESTIRME'!$A378)</f>
        <v/>
      </c>
      <c r="B378" s="15">
        <f>IF($A378="","",IFERROR(INDEX(tblEslesme[Kova],MATCH($A378,tblEslesme[A_Norm],0)),""))</f>
        <v/>
      </c>
      <c r="C378" s="15">
        <f>IF($A378="","",IFERROR(INDEX(tblEslesme[AbsFark],MATCH($A378,tblEslesme[A_Norm],0)),0))</f>
        <v/>
      </c>
      <c r="D378" s="15">
        <f>IF($A378="","",IFERROR(SUMIF(tblMotor[A_Norm],$A378,tblMotor[DesiKgOran]),0))</f>
        <v/>
      </c>
      <c r="E378" s="15">
        <f>IF($A378="","",IFERROR(SUMIF(tblMotor[A_Norm],$A378,tblMotor[Tasarruf]),0))</f>
        <v/>
      </c>
      <c r="F378" s="15">
        <f>IF($A378="","",IFERROR(SUMIF(tblMotor[A_Norm],$A378,tblMotor[IadeOran]),0))</f>
        <v/>
      </c>
      <c r="G378" s="15">
        <f>IF($A378="","",IFERROR(SUMIF(tblMotor[A_Norm],$A378,tblMotor[BirimKargo]),0))</f>
        <v/>
      </c>
      <c r="H378" s="15">
        <f>IF(OR($A378="",$B378&lt;&gt;"tutar_farki"),"",IF($D378&gt;kdo_esikDesiOran,"KDO-001",IF($F378&gt;kdo_esikIade,"KDO-002",IF($E378&gt;kdo_esikTasarruf,"KDO-004",IF($C378&gt;kdo_esikFark,"KDO-005","TANIMSIZ")))))</f>
        <v/>
      </c>
    </row>
    <row r="379">
      <c r="A379" s="22">
        <f>IF('ESLESTIRME'!$A379="","",'ESLESTIRME'!$A379)</f>
        <v/>
      </c>
      <c r="B379" s="15">
        <f>IF($A379="","",IFERROR(INDEX(tblEslesme[Kova],MATCH($A379,tblEslesme[A_Norm],0)),""))</f>
        <v/>
      </c>
      <c r="C379" s="15">
        <f>IF($A379="","",IFERROR(INDEX(tblEslesme[AbsFark],MATCH($A379,tblEslesme[A_Norm],0)),0))</f>
        <v/>
      </c>
      <c r="D379" s="15">
        <f>IF($A379="","",IFERROR(SUMIF(tblMotor[A_Norm],$A379,tblMotor[DesiKgOran]),0))</f>
        <v/>
      </c>
      <c r="E379" s="15">
        <f>IF($A379="","",IFERROR(SUMIF(tblMotor[A_Norm],$A379,tblMotor[Tasarruf]),0))</f>
        <v/>
      </c>
      <c r="F379" s="15">
        <f>IF($A379="","",IFERROR(SUMIF(tblMotor[A_Norm],$A379,tblMotor[IadeOran]),0))</f>
        <v/>
      </c>
      <c r="G379" s="15">
        <f>IF($A379="","",IFERROR(SUMIF(tblMotor[A_Norm],$A379,tblMotor[BirimKargo]),0))</f>
        <v/>
      </c>
      <c r="H379" s="15">
        <f>IF(OR($A379="",$B379&lt;&gt;"tutar_farki"),"",IF($D379&gt;kdo_esikDesiOran,"KDO-001",IF($F379&gt;kdo_esikIade,"KDO-002",IF($E379&gt;kdo_esikTasarruf,"KDO-004",IF($C379&gt;kdo_esikFark,"KDO-005","TANIMSIZ")))))</f>
        <v/>
      </c>
    </row>
    <row r="380">
      <c r="A380" s="22">
        <f>IF('ESLESTIRME'!$A380="","",'ESLESTIRME'!$A380)</f>
        <v/>
      </c>
      <c r="B380" s="15">
        <f>IF($A380="","",IFERROR(INDEX(tblEslesme[Kova],MATCH($A380,tblEslesme[A_Norm],0)),""))</f>
        <v/>
      </c>
      <c r="C380" s="15">
        <f>IF($A380="","",IFERROR(INDEX(tblEslesme[AbsFark],MATCH($A380,tblEslesme[A_Norm],0)),0))</f>
        <v/>
      </c>
      <c r="D380" s="15">
        <f>IF($A380="","",IFERROR(SUMIF(tblMotor[A_Norm],$A380,tblMotor[DesiKgOran]),0))</f>
        <v/>
      </c>
      <c r="E380" s="15">
        <f>IF($A380="","",IFERROR(SUMIF(tblMotor[A_Norm],$A380,tblMotor[Tasarruf]),0))</f>
        <v/>
      </c>
      <c r="F380" s="15">
        <f>IF($A380="","",IFERROR(SUMIF(tblMotor[A_Norm],$A380,tblMotor[IadeOran]),0))</f>
        <v/>
      </c>
      <c r="G380" s="15">
        <f>IF($A380="","",IFERROR(SUMIF(tblMotor[A_Norm],$A380,tblMotor[BirimKargo]),0))</f>
        <v/>
      </c>
      <c r="H380" s="15">
        <f>IF(OR($A380="",$B380&lt;&gt;"tutar_farki"),"",IF($D380&gt;kdo_esikDesiOran,"KDO-001",IF($F380&gt;kdo_esikIade,"KDO-002",IF($E380&gt;kdo_esikTasarruf,"KDO-004",IF($C380&gt;kdo_esikFark,"KDO-005","TANIMSIZ")))))</f>
        <v/>
      </c>
    </row>
    <row r="381">
      <c r="A381" s="22">
        <f>IF('ESLESTIRME'!$A381="","",'ESLESTIRME'!$A381)</f>
        <v/>
      </c>
      <c r="B381" s="15">
        <f>IF($A381="","",IFERROR(INDEX(tblEslesme[Kova],MATCH($A381,tblEslesme[A_Norm],0)),""))</f>
        <v/>
      </c>
      <c r="C381" s="15">
        <f>IF($A381="","",IFERROR(INDEX(tblEslesme[AbsFark],MATCH($A381,tblEslesme[A_Norm],0)),0))</f>
        <v/>
      </c>
      <c r="D381" s="15">
        <f>IF($A381="","",IFERROR(SUMIF(tblMotor[A_Norm],$A381,tblMotor[DesiKgOran]),0))</f>
        <v/>
      </c>
      <c r="E381" s="15">
        <f>IF($A381="","",IFERROR(SUMIF(tblMotor[A_Norm],$A381,tblMotor[Tasarruf]),0))</f>
        <v/>
      </c>
      <c r="F381" s="15">
        <f>IF($A381="","",IFERROR(SUMIF(tblMotor[A_Norm],$A381,tblMotor[IadeOran]),0))</f>
        <v/>
      </c>
      <c r="G381" s="15">
        <f>IF($A381="","",IFERROR(SUMIF(tblMotor[A_Norm],$A381,tblMotor[BirimKargo]),0))</f>
        <v/>
      </c>
      <c r="H381" s="15">
        <f>IF(OR($A381="",$B381&lt;&gt;"tutar_farki"),"",IF($D381&gt;kdo_esikDesiOran,"KDO-001",IF($F381&gt;kdo_esikIade,"KDO-002",IF($E381&gt;kdo_esikTasarruf,"KDO-004",IF($C381&gt;kdo_esikFark,"KDO-005","TANIMSIZ")))))</f>
        <v/>
      </c>
    </row>
    <row r="382">
      <c r="A382" s="22">
        <f>IF('ESLESTIRME'!$A382="","",'ESLESTIRME'!$A382)</f>
        <v/>
      </c>
      <c r="B382" s="15">
        <f>IF($A382="","",IFERROR(INDEX(tblEslesme[Kova],MATCH($A382,tblEslesme[A_Norm],0)),""))</f>
        <v/>
      </c>
      <c r="C382" s="15">
        <f>IF($A382="","",IFERROR(INDEX(tblEslesme[AbsFark],MATCH($A382,tblEslesme[A_Norm],0)),0))</f>
        <v/>
      </c>
      <c r="D382" s="15">
        <f>IF($A382="","",IFERROR(SUMIF(tblMotor[A_Norm],$A382,tblMotor[DesiKgOran]),0))</f>
        <v/>
      </c>
      <c r="E382" s="15">
        <f>IF($A382="","",IFERROR(SUMIF(tblMotor[A_Norm],$A382,tblMotor[Tasarruf]),0))</f>
        <v/>
      </c>
      <c r="F382" s="15">
        <f>IF($A382="","",IFERROR(SUMIF(tblMotor[A_Norm],$A382,tblMotor[IadeOran]),0))</f>
        <v/>
      </c>
      <c r="G382" s="15">
        <f>IF($A382="","",IFERROR(SUMIF(tblMotor[A_Norm],$A382,tblMotor[BirimKargo]),0))</f>
        <v/>
      </c>
      <c r="H382" s="15">
        <f>IF(OR($A382="",$B382&lt;&gt;"tutar_farki"),"",IF($D382&gt;kdo_esikDesiOran,"KDO-001",IF($F382&gt;kdo_esikIade,"KDO-002",IF($E382&gt;kdo_esikTasarruf,"KDO-004",IF($C382&gt;kdo_esikFark,"KDO-005","TANIMSIZ")))))</f>
        <v/>
      </c>
    </row>
    <row r="383">
      <c r="A383" s="22">
        <f>IF('ESLESTIRME'!$A383="","",'ESLESTIRME'!$A383)</f>
        <v/>
      </c>
      <c r="B383" s="15">
        <f>IF($A383="","",IFERROR(INDEX(tblEslesme[Kova],MATCH($A383,tblEslesme[A_Norm],0)),""))</f>
        <v/>
      </c>
      <c r="C383" s="15">
        <f>IF($A383="","",IFERROR(INDEX(tblEslesme[AbsFark],MATCH($A383,tblEslesme[A_Norm],0)),0))</f>
        <v/>
      </c>
      <c r="D383" s="15">
        <f>IF($A383="","",IFERROR(SUMIF(tblMotor[A_Norm],$A383,tblMotor[DesiKgOran]),0))</f>
        <v/>
      </c>
      <c r="E383" s="15">
        <f>IF($A383="","",IFERROR(SUMIF(tblMotor[A_Norm],$A383,tblMotor[Tasarruf]),0))</f>
        <v/>
      </c>
      <c r="F383" s="15">
        <f>IF($A383="","",IFERROR(SUMIF(tblMotor[A_Norm],$A383,tblMotor[IadeOran]),0))</f>
        <v/>
      </c>
      <c r="G383" s="15">
        <f>IF($A383="","",IFERROR(SUMIF(tblMotor[A_Norm],$A383,tblMotor[BirimKargo]),0))</f>
        <v/>
      </c>
      <c r="H383" s="15">
        <f>IF(OR($A383="",$B383&lt;&gt;"tutar_farki"),"",IF($D383&gt;kdo_esikDesiOran,"KDO-001",IF($F383&gt;kdo_esikIade,"KDO-002",IF($E383&gt;kdo_esikTasarruf,"KDO-004",IF($C383&gt;kdo_esikFark,"KDO-005","TANIMSIZ")))))</f>
        <v/>
      </c>
    </row>
    <row r="384">
      <c r="A384" s="22">
        <f>IF('ESLESTIRME'!$A384="","",'ESLESTIRME'!$A384)</f>
        <v/>
      </c>
      <c r="B384" s="15">
        <f>IF($A384="","",IFERROR(INDEX(tblEslesme[Kova],MATCH($A384,tblEslesme[A_Norm],0)),""))</f>
        <v/>
      </c>
      <c r="C384" s="15">
        <f>IF($A384="","",IFERROR(INDEX(tblEslesme[AbsFark],MATCH($A384,tblEslesme[A_Norm],0)),0))</f>
        <v/>
      </c>
      <c r="D384" s="15">
        <f>IF($A384="","",IFERROR(SUMIF(tblMotor[A_Norm],$A384,tblMotor[DesiKgOran]),0))</f>
        <v/>
      </c>
      <c r="E384" s="15">
        <f>IF($A384="","",IFERROR(SUMIF(tblMotor[A_Norm],$A384,tblMotor[Tasarruf]),0))</f>
        <v/>
      </c>
      <c r="F384" s="15">
        <f>IF($A384="","",IFERROR(SUMIF(tblMotor[A_Norm],$A384,tblMotor[IadeOran]),0))</f>
        <v/>
      </c>
      <c r="G384" s="15">
        <f>IF($A384="","",IFERROR(SUMIF(tblMotor[A_Norm],$A384,tblMotor[BirimKargo]),0))</f>
        <v/>
      </c>
      <c r="H384" s="15">
        <f>IF(OR($A384="",$B384&lt;&gt;"tutar_farki"),"",IF($D384&gt;kdo_esikDesiOran,"KDO-001",IF($F384&gt;kdo_esikIade,"KDO-002",IF($E384&gt;kdo_esikTasarruf,"KDO-004",IF($C384&gt;kdo_esikFark,"KDO-005","TANIMSIZ")))))</f>
        <v/>
      </c>
    </row>
    <row r="385">
      <c r="A385" s="22">
        <f>IF('ESLESTIRME'!$A385="","",'ESLESTIRME'!$A385)</f>
        <v/>
      </c>
      <c r="B385" s="15">
        <f>IF($A385="","",IFERROR(INDEX(tblEslesme[Kova],MATCH($A385,tblEslesme[A_Norm],0)),""))</f>
        <v/>
      </c>
      <c r="C385" s="15">
        <f>IF($A385="","",IFERROR(INDEX(tblEslesme[AbsFark],MATCH($A385,tblEslesme[A_Norm],0)),0))</f>
        <v/>
      </c>
      <c r="D385" s="15">
        <f>IF($A385="","",IFERROR(SUMIF(tblMotor[A_Norm],$A385,tblMotor[DesiKgOran]),0))</f>
        <v/>
      </c>
      <c r="E385" s="15">
        <f>IF($A385="","",IFERROR(SUMIF(tblMotor[A_Norm],$A385,tblMotor[Tasarruf]),0))</f>
        <v/>
      </c>
      <c r="F385" s="15">
        <f>IF($A385="","",IFERROR(SUMIF(tblMotor[A_Norm],$A385,tblMotor[IadeOran]),0))</f>
        <v/>
      </c>
      <c r="G385" s="15">
        <f>IF($A385="","",IFERROR(SUMIF(tblMotor[A_Norm],$A385,tblMotor[BirimKargo]),0))</f>
        <v/>
      </c>
      <c r="H385" s="15">
        <f>IF(OR($A385="",$B385&lt;&gt;"tutar_farki"),"",IF($D385&gt;kdo_esikDesiOran,"KDO-001",IF($F385&gt;kdo_esikIade,"KDO-002",IF($E385&gt;kdo_esikTasarruf,"KDO-004",IF($C385&gt;kdo_esikFark,"KDO-005","TANIMSIZ")))))</f>
        <v/>
      </c>
    </row>
    <row r="386">
      <c r="A386" s="22">
        <f>IF('ESLESTIRME'!$A386="","",'ESLESTIRME'!$A386)</f>
        <v/>
      </c>
      <c r="B386" s="15">
        <f>IF($A386="","",IFERROR(INDEX(tblEslesme[Kova],MATCH($A386,tblEslesme[A_Norm],0)),""))</f>
        <v/>
      </c>
      <c r="C386" s="15">
        <f>IF($A386="","",IFERROR(INDEX(tblEslesme[AbsFark],MATCH($A386,tblEslesme[A_Norm],0)),0))</f>
        <v/>
      </c>
      <c r="D386" s="15">
        <f>IF($A386="","",IFERROR(SUMIF(tblMotor[A_Norm],$A386,tblMotor[DesiKgOran]),0))</f>
        <v/>
      </c>
      <c r="E386" s="15">
        <f>IF($A386="","",IFERROR(SUMIF(tblMotor[A_Norm],$A386,tblMotor[Tasarruf]),0))</f>
        <v/>
      </c>
      <c r="F386" s="15">
        <f>IF($A386="","",IFERROR(SUMIF(tblMotor[A_Norm],$A386,tblMotor[IadeOran]),0))</f>
        <v/>
      </c>
      <c r="G386" s="15">
        <f>IF($A386="","",IFERROR(SUMIF(tblMotor[A_Norm],$A386,tblMotor[BirimKargo]),0))</f>
        <v/>
      </c>
      <c r="H386" s="15">
        <f>IF(OR($A386="",$B386&lt;&gt;"tutar_farki"),"",IF($D386&gt;kdo_esikDesiOran,"KDO-001",IF($F386&gt;kdo_esikIade,"KDO-002",IF($E386&gt;kdo_esikTasarruf,"KDO-004",IF($C386&gt;kdo_esikFark,"KDO-005","TANIMSIZ")))))</f>
        <v/>
      </c>
    </row>
    <row r="387">
      <c r="A387" s="22">
        <f>IF('ESLESTIRME'!$A387="","",'ESLESTIRME'!$A387)</f>
        <v/>
      </c>
      <c r="B387" s="15">
        <f>IF($A387="","",IFERROR(INDEX(tblEslesme[Kova],MATCH($A387,tblEslesme[A_Norm],0)),""))</f>
        <v/>
      </c>
      <c r="C387" s="15">
        <f>IF($A387="","",IFERROR(INDEX(tblEslesme[AbsFark],MATCH($A387,tblEslesme[A_Norm],0)),0))</f>
        <v/>
      </c>
      <c r="D387" s="15">
        <f>IF($A387="","",IFERROR(SUMIF(tblMotor[A_Norm],$A387,tblMotor[DesiKgOran]),0))</f>
        <v/>
      </c>
      <c r="E387" s="15">
        <f>IF($A387="","",IFERROR(SUMIF(tblMotor[A_Norm],$A387,tblMotor[Tasarruf]),0))</f>
        <v/>
      </c>
      <c r="F387" s="15">
        <f>IF($A387="","",IFERROR(SUMIF(tblMotor[A_Norm],$A387,tblMotor[IadeOran]),0))</f>
        <v/>
      </c>
      <c r="G387" s="15">
        <f>IF($A387="","",IFERROR(SUMIF(tblMotor[A_Norm],$A387,tblMotor[BirimKargo]),0))</f>
        <v/>
      </c>
      <c r="H387" s="15">
        <f>IF(OR($A387="",$B387&lt;&gt;"tutar_farki"),"",IF($D387&gt;kdo_esikDesiOran,"KDO-001",IF($F387&gt;kdo_esikIade,"KDO-002",IF($E387&gt;kdo_esikTasarruf,"KDO-004",IF($C387&gt;kdo_esikFark,"KDO-005","TANIMSIZ")))))</f>
        <v/>
      </c>
    </row>
    <row r="388">
      <c r="A388" s="22">
        <f>IF('ESLESTIRME'!$A388="","",'ESLESTIRME'!$A388)</f>
        <v/>
      </c>
      <c r="B388" s="15">
        <f>IF($A388="","",IFERROR(INDEX(tblEslesme[Kova],MATCH($A388,tblEslesme[A_Norm],0)),""))</f>
        <v/>
      </c>
      <c r="C388" s="15">
        <f>IF($A388="","",IFERROR(INDEX(tblEslesme[AbsFark],MATCH($A388,tblEslesme[A_Norm],0)),0))</f>
        <v/>
      </c>
      <c r="D388" s="15">
        <f>IF($A388="","",IFERROR(SUMIF(tblMotor[A_Norm],$A388,tblMotor[DesiKgOran]),0))</f>
        <v/>
      </c>
      <c r="E388" s="15">
        <f>IF($A388="","",IFERROR(SUMIF(tblMotor[A_Norm],$A388,tblMotor[Tasarruf]),0))</f>
        <v/>
      </c>
      <c r="F388" s="15">
        <f>IF($A388="","",IFERROR(SUMIF(tblMotor[A_Norm],$A388,tblMotor[IadeOran]),0))</f>
        <v/>
      </c>
      <c r="G388" s="15">
        <f>IF($A388="","",IFERROR(SUMIF(tblMotor[A_Norm],$A388,tblMotor[BirimKargo]),0))</f>
        <v/>
      </c>
      <c r="H388" s="15">
        <f>IF(OR($A388="",$B388&lt;&gt;"tutar_farki"),"",IF($D388&gt;kdo_esikDesiOran,"KDO-001",IF($F388&gt;kdo_esikIade,"KDO-002",IF($E388&gt;kdo_esikTasarruf,"KDO-004",IF($C388&gt;kdo_esikFark,"KDO-005","TANIMSIZ")))))</f>
        <v/>
      </c>
    </row>
    <row r="389">
      <c r="A389" s="22">
        <f>IF('ESLESTIRME'!$A389="","",'ESLESTIRME'!$A389)</f>
        <v/>
      </c>
      <c r="B389" s="15">
        <f>IF($A389="","",IFERROR(INDEX(tblEslesme[Kova],MATCH($A389,tblEslesme[A_Norm],0)),""))</f>
        <v/>
      </c>
      <c r="C389" s="15">
        <f>IF($A389="","",IFERROR(INDEX(tblEslesme[AbsFark],MATCH($A389,tblEslesme[A_Norm],0)),0))</f>
        <v/>
      </c>
      <c r="D389" s="15">
        <f>IF($A389="","",IFERROR(SUMIF(tblMotor[A_Norm],$A389,tblMotor[DesiKgOran]),0))</f>
        <v/>
      </c>
      <c r="E389" s="15">
        <f>IF($A389="","",IFERROR(SUMIF(tblMotor[A_Norm],$A389,tblMotor[Tasarruf]),0))</f>
        <v/>
      </c>
      <c r="F389" s="15">
        <f>IF($A389="","",IFERROR(SUMIF(tblMotor[A_Norm],$A389,tblMotor[IadeOran]),0))</f>
        <v/>
      </c>
      <c r="G389" s="15">
        <f>IF($A389="","",IFERROR(SUMIF(tblMotor[A_Norm],$A389,tblMotor[BirimKargo]),0))</f>
        <v/>
      </c>
      <c r="H389" s="15">
        <f>IF(OR($A389="",$B389&lt;&gt;"tutar_farki"),"",IF($D389&gt;kdo_esikDesiOran,"KDO-001",IF($F389&gt;kdo_esikIade,"KDO-002",IF($E389&gt;kdo_esikTasarruf,"KDO-004",IF($C389&gt;kdo_esikFark,"KDO-005","TANIMSIZ")))))</f>
        <v/>
      </c>
    </row>
    <row r="390">
      <c r="A390" s="22">
        <f>IF('ESLESTIRME'!$A390="","",'ESLESTIRME'!$A390)</f>
        <v/>
      </c>
      <c r="B390" s="15">
        <f>IF($A390="","",IFERROR(INDEX(tblEslesme[Kova],MATCH($A390,tblEslesme[A_Norm],0)),""))</f>
        <v/>
      </c>
      <c r="C390" s="15">
        <f>IF($A390="","",IFERROR(INDEX(tblEslesme[AbsFark],MATCH($A390,tblEslesme[A_Norm],0)),0))</f>
        <v/>
      </c>
      <c r="D390" s="15">
        <f>IF($A390="","",IFERROR(SUMIF(tblMotor[A_Norm],$A390,tblMotor[DesiKgOran]),0))</f>
        <v/>
      </c>
      <c r="E390" s="15">
        <f>IF($A390="","",IFERROR(SUMIF(tblMotor[A_Norm],$A390,tblMotor[Tasarruf]),0))</f>
        <v/>
      </c>
      <c r="F390" s="15">
        <f>IF($A390="","",IFERROR(SUMIF(tblMotor[A_Norm],$A390,tblMotor[IadeOran]),0))</f>
        <v/>
      </c>
      <c r="G390" s="15">
        <f>IF($A390="","",IFERROR(SUMIF(tblMotor[A_Norm],$A390,tblMotor[BirimKargo]),0))</f>
        <v/>
      </c>
      <c r="H390" s="15">
        <f>IF(OR($A390="",$B390&lt;&gt;"tutar_farki"),"",IF($D390&gt;kdo_esikDesiOran,"KDO-001",IF($F390&gt;kdo_esikIade,"KDO-002",IF($E390&gt;kdo_esikTasarruf,"KDO-004",IF($C390&gt;kdo_esikFark,"KDO-005","TANIMSIZ")))))</f>
        <v/>
      </c>
    </row>
    <row r="391">
      <c r="A391" s="22">
        <f>IF('ESLESTIRME'!$A391="","",'ESLESTIRME'!$A391)</f>
        <v/>
      </c>
      <c r="B391" s="15">
        <f>IF($A391="","",IFERROR(INDEX(tblEslesme[Kova],MATCH($A391,tblEslesme[A_Norm],0)),""))</f>
        <v/>
      </c>
      <c r="C391" s="15">
        <f>IF($A391="","",IFERROR(INDEX(tblEslesme[AbsFark],MATCH($A391,tblEslesme[A_Norm],0)),0))</f>
        <v/>
      </c>
      <c r="D391" s="15">
        <f>IF($A391="","",IFERROR(SUMIF(tblMotor[A_Norm],$A391,tblMotor[DesiKgOran]),0))</f>
        <v/>
      </c>
      <c r="E391" s="15">
        <f>IF($A391="","",IFERROR(SUMIF(tblMotor[A_Norm],$A391,tblMotor[Tasarruf]),0))</f>
        <v/>
      </c>
      <c r="F391" s="15">
        <f>IF($A391="","",IFERROR(SUMIF(tblMotor[A_Norm],$A391,tblMotor[IadeOran]),0))</f>
        <v/>
      </c>
      <c r="G391" s="15">
        <f>IF($A391="","",IFERROR(SUMIF(tblMotor[A_Norm],$A391,tblMotor[BirimKargo]),0))</f>
        <v/>
      </c>
      <c r="H391" s="15">
        <f>IF(OR($A391="",$B391&lt;&gt;"tutar_farki"),"",IF($D391&gt;kdo_esikDesiOran,"KDO-001",IF($F391&gt;kdo_esikIade,"KDO-002",IF($E391&gt;kdo_esikTasarruf,"KDO-004",IF($C391&gt;kdo_esikFark,"KDO-005","TANIMSIZ")))))</f>
        <v/>
      </c>
    </row>
    <row r="392">
      <c r="A392" s="22">
        <f>IF('ESLESTIRME'!$A392="","",'ESLESTIRME'!$A392)</f>
        <v/>
      </c>
      <c r="B392" s="15">
        <f>IF($A392="","",IFERROR(INDEX(tblEslesme[Kova],MATCH($A392,tblEslesme[A_Norm],0)),""))</f>
        <v/>
      </c>
      <c r="C392" s="15">
        <f>IF($A392="","",IFERROR(INDEX(tblEslesme[AbsFark],MATCH($A392,tblEslesme[A_Norm],0)),0))</f>
        <v/>
      </c>
      <c r="D392" s="15">
        <f>IF($A392="","",IFERROR(SUMIF(tblMotor[A_Norm],$A392,tblMotor[DesiKgOran]),0))</f>
        <v/>
      </c>
      <c r="E392" s="15">
        <f>IF($A392="","",IFERROR(SUMIF(tblMotor[A_Norm],$A392,tblMotor[Tasarruf]),0))</f>
        <v/>
      </c>
      <c r="F392" s="15">
        <f>IF($A392="","",IFERROR(SUMIF(tblMotor[A_Norm],$A392,tblMotor[IadeOran]),0))</f>
        <v/>
      </c>
      <c r="G392" s="15">
        <f>IF($A392="","",IFERROR(SUMIF(tblMotor[A_Norm],$A392,tblMotor[BirimKargo]),0))</f>
        <v/>
      </c>
      <c r="H392" s="15">
        <f>IF(OR($A392="",$B392&lt;&gt;"tutar_farki"),"",IF($D392&gt;kdo_esikDesiOran,"KDO-001",IF($F392&gt;kdo_esikIade,"KDO-002",IF($E392&gt;kdo_esikTasarruf,"KDO-004",IF($C392&gt;kdo_esikFark,"KDO-005","TANIMSIZ")))))</f>
        <v/>
      </c>
    </row>
    <row r="393">
      <c r="A393" s="22">
        <f>IF('ESLESTIRME'!$A393="","",'ESLESTIRME'!$A393)</f>
        <v/>
      </c>
      <c r="B393" s="15">
        <f>IF($A393="","",IFERROR(INDEX(tblEslesme[Kova],MATCH($A393,tblEslesme[A_Norm],0)),""))</f>
        <v/>
      </c>
      <c r="C393" s="15">
        <f>IF($A393="","",IFERROR(INDEX(tblEslesme[AbsFark],MATCH($A393,tblEslesme[A_Norm],0)),0))</f>
        <v/>
      </c>
      <c r="D393" s="15">
        <f>IF($A393="","",IFERROR(SUMIF(tblMotor[A_Norm],$A393,tblMotor[DesiKgOran]),0))</f>
        <v/>
      </c>
      <c r="E393" s="15">
        <f>IF($A393="","",IFERROR(SUMIF(tblMotor[A_Norm],$A393,tblMotor[Tasarruf]),0))</f>
        <v/>
      </c>
      <c r="F393" s="15">
        <f>IF($A393="","",IFERROR(SUMIF(tblMotor[A_Norm],$A393,tblMotor[IadeOran]),0))</f>
        <v/>
      </c>
      <c r="G393" s="15">
        <f>IF($A393="","",IFERROR(SUMIF(tblMotor[A_Norm],$A393,tblMotor[BirimKargo]),0))</f>
        <v/>
      </c>
      <c r="H393" s="15">
        <f>IF(OR($A393="",$B393&lt;&gt;"tutar_farki"),"",IF($D393&gt;kdo_esikDesiOran,"KDO-001",IF($F393&gt;kdo_esikIade,"KDO-002",IF($E393&gt;kdo_esikTasarruf,"KDO-004",IF($C393&gt;kdo_esikFark,"KDO-005","TANIMSIZ")))))</f>
        <v/>
      </c>
    </row>
    <row r="394">
      <c r="A394" s="22">
        <f>IF('ESLESTIRME'!$A394="","",'ESLESTIRME'!$A394)</f>
        <v/>
      </c>
      <c r="B394" s="15">
        <f>IF($A394="","",IFERROR(INDEX(tblEslesme[Kova],MATCH($A394,tblEslesme[A_Norm],0)),""))</f>
        <v/>
      </c>
      <c r="C394" s="15">
        <f>IF($A394="","",IFERROR(INDEX(tblEslesme[AbsFark],MATCH($A394,tblEslesme[A_Norm],0)),0))</f>
        <v/>
      </c>
      <c r="D394" s="15">
        <f>IF($A394="","",IFERROR(SUMIF(tblMotor[A_Norm],$A394,tblMotor[DesiKgOran]),0))</f>
        <v/>
      </c>
      <c r="E394" s="15">
        <f>IF($A394="","",IFERROR(SUMIF(tblMotor[A_Norm],$A394,tblMotor[Tasarruf]),0))</f>
        <v/>
      </c>
      <c r="F394" s="15">
        <f>IF($A394="","",IFERROR(SUMIF(tblMotor[A_Norm],$A394,tblMotor[IadeOran]),0))</f>
        <v/>
      </c>
      <c r="G394" s="15">
        <f>IF($A394="","",IFERROR(SUMIF(tblMotor[A_Norm],$A394,tblMotor[BirimKargo]),0))</f>
        <v/>
      </c>
      <c r="H394" s="15">
        <f>IF(OR($A394="",$B394&lt;&gt;"tutar_farki"),"",IF($D394&gt;kdo_esikDesiOran,"KDO-001",IF($F394&gt;kdo_esikIade,"KDO-002",IF($E394&gt;kdo_esikTasarruf,"KDO-004",IF($C394&gt;kdo_esikFark,"KDO-005","TANIMSIZ")))))</f>
        <v/>
      </c>
    </row>
    <row r="395">
      <c r="A395" s="22">
        <f>IF('ESLESTIRME'!$A395="","",'ESLESTIRME'!$A395)</f>
        <v/>
      </c>
      <c r="B395" s="15">
        <f>IF($A395="","",IFERROR(INDEX(tblEslesme[Kova],MATCH($A395,tblEslesme[A_Norm],0)),""))</f>
        <v/>
      </c>
      <c r="C395" s="15">
        <f>IF($A395="","",IFERROR(INDEX(tblEslesme[AbsFark],MATCH($A395,tblEslesme[A_Norm],0)),0))</f>
        <v/>
      </c>
      <c r="D395" s="15">
        <f>IF($A395="","",IFERROR(SUMIF(tblMotor[A_Norm],$A395,tblMotor[DesiKgOran]),0))</f>
        <v/>
      </c>
      <c r="E395" s="15">
        <f>IF($A395="","",IFERROR(SUMIF(tblMotor[A_Norm],$A395,tblMotor[Tasarruf]),0))</f>
        <v/>
      </c>
      <c r="F395" s="15">
        <f>IF($A395="","",IFERROR(SUMIF(tblMotor[A_Norm],$A395,tblMotor[IadeOran]),0))</f>
        <v/>
      </c>
      <c r="G395" s="15">
        <f>IF($A395="","",IFERROR(SUMIF(tblMotor[A_Norm],$A395,tblMotor[BirimKargo]),0))</f>
        <v/>
      </c>
      <c r="H395" s="15">
        <f>IF(OR($A395="",$B395&lt;&gt;"tutar_farki"),"",IF($D395&gt;kdo_esikDesiOran,"KDO-001",IF($F395&gt;kdo_esikIade,"KDO-002",IF($E395&gt;kdo_esikTasarruf,"KDO-004",IF($C395&gt;kdo_esikFark,"KDO-005","TANIMSIZ")))))</f>
        <v/>
      </c>
    </row>
    <row r="396">
      <c r="A396" s="22">
        <f>IF('ESLESTIRME'!$A396="","",'ESLESTIRME'!$A396)</f>
        <v/>
      </c>
      <c r="B396" s="15">
        <f>IF($A396="","",IFERROR(INDEX(tblEslesme[Kova],MATCH($A396,tblEslesme[A_Norm],0)),""))</f>
        <v/>
      </c>
      <c r="C396" s="15">
        <f>IF($A396="","",IFERROR(INDEX(tblEslesme[AbsFark],MATCH($A396,tblEslesme[A_Norm],0)),0))</f>
        <v/>
      </c>
      <c r="D396" s="15">
        <f>IF($A396="","",IFERROR(SUMIF(tblMotor[A_Norm],$A396,tblMotor[DesiKgOran]),0))</f>
        <v/>
      </c>
      <c r="E396" s="15">
        <f>IF($A396="","",IFERROR(SUMIF(tblMotor[A_Norm],$A396,tblMotor[Tasarruf]),0))</f>
        <v/>
      </c>
      <c r="F396" s="15">
        <f>IF($A396="","",IFERROR(SUMIF(tblMotor[A_Norm],$A396,tblMotor[IadeOran]),0))</f>
        <v/>
      </c>
      <c r="G396" s="15">
        <f>IF($A396="","",IFERROR(SUMIF(tblMotor[A_Norm],$A396,tblMotor[BirimKargo]),0))</f>
        <v/>
      </c>
      <c r="H396" s="15">
        <f>IF(OR($A396="",$B396&lt;&gt;"tutar_farki"),"",IF($D396&gt;kdo_esikDesiOran,"KDO-001",IF($F396&gt;kdo_esikIade,"KDO-002",IF($E396&gt;kdo_esikTasarruf,"KDO-004",IF($C396&gt;kdo_esikFark,"KDO-005","TANIMSIZ")))))</f>
        <v/>
      </c>
    </row>
    <row r="397">
      <c r="A397" s="22">
        <f>IF('ESLESTIRME'!$A397="","",'ESLESTIRME'!$A397)</f>
        <v/>
      </c>
      <c r="B397" s="15">
        <f>IF($A397="","",IFERROR(INDEX(tblEslesme[Kova],MATCH($A397,tblEslesme[A_Norm],0)),""))</f>
        <v/>
      </c>
      <c r="C397" s="15">
        <f>IF($A397="","",IFERROR(INDEX(tblEslesme[AbsFark],MATCH($A397,tblEslesme[A_Norm],0)),0))</f>
        <v/>
      </c>
      <c r="D397" s="15">
        <f>IF($A397="","",IFERROR(SUMIF(tblMotor[A_Norm],$A397,tblMotor[DesiKgOran]),0))</f>
        <v/>
      </c>
      <c r="E397" s="15">
        <f>IF($A397="","",IFERROR(SUMIF(tblMotor[A_Norm],$A397,tblMotor[Tasarruf]),0))</f>
        <v/>
      </c>
      <c r="F397" s="15">
        <f>IF($A397="","",IFERROR(SUMIF(tblMotor[A_Norm],$A397,tblMotor[IadeOran]),0))</f>
        <v/>
      </c>
      <c r="G397" s="15">
        <f>IF($A397="","",IFERROR(SUMIF(tblMotor[A_Norm],$A397,tblMotor[BirimKargo]),0))</f>
        <v/>
      </c>
      <c r="H397" s="15">
        <f>IF(OR($A397="",$B397&lt;&gt;"tutar_farki"),"",IF($D397&gt;kdo_esikDesiOran,"KDO-001",IF($F397&gt;kdo_esikIade,"KDO-002",IF($E397&gt;kdo_esikTasarruf,"KDO-004",IF($C397&gt;kdo_esikFark,"KDO-005","TANIMSIZ")))))</f>
        <v/>
      </c>
    </row>
    <row r="398">
      <c r="A398" s="22">
        <f>IF('ESLESTIRME'!$A398="","",'ESLESTIRME'!$A398)</f>
        <v/>
      </c>
      <c r="B398" s="15">
        <f>IF($A398="","",IFERROR(INDEX(tblEslesme[Kova],MATCH($A398,tblEslesme[A_Norm],0)),""))</f>
        <v/>
      </c>
      <c r="C398" s="15">
        <f>IF($A398="","",IFERROR(INDEX(tblEslesme[AbsFark],MATCH($A398,tblEslesme[A_Norm],0)),0))</f>
        <v/>
      </c>
      <c r="D398" s="15">
        <f>IF($A398="","",IFERROR(SUMIF(tblMotor[A_Norm],$A398,tblMotor[DesiKgOran]),0))</f>
        <v/>
      </c>
      <c r="E398" s="15">
        <f>IF($A398="","",IFERROR(SUMIF(tblMotor[A_Norm],$A398,tblMotor[Tasarruf]),0))</f>
        <v/>
      </c>
      <c r="F398" s="15">
        <f>IF($A398="","",IFERROR(SUMIF(tblMotor[A_Norm],$A398,tblMotor[IadeOran]),0))</f>
        <v/>
      </c>
      <c r="G398" s="15">
        <f>IF($A398="","",IFERROR(SUMIF(tblMotor[A_Norm],$A398,tblMotor[BirimKargo]),0))</f>
        <v/>
      </c>
      <c r="H398" s="15">
        <f>IF(OR($A398="",$B398&lt;&gt;"tutar_farki"),"",IF($D398&gt;kdo_esikDesiOran,"KDO-001",IF($F398&gt;kdo_esikIade,"KDO-002",IF($E398&gt;kdo_esikTasarruf,"KDO-004",IF($C398&gt;kdo_esikFark,"KDO-005","TANIMSIZ")))))</f>
        <v/>
      </c>
    </row>
    <row r="399">
      <c r="A399" s="22">
        <f>IF('ESLESTIRME'!$A399="","",'ESLESTIRME'!$A399)</f>
        <v/>
      </c>
      <c r="B399" s="15">
        <f>IF($A399="","",IFERROR(INDEX(tblEslesme[Kova],MATCH($A399,tblEslesme[A_Norm],0)),""))</f>
        <v/>
      </c>
      <c r="C399" s="15">
        <f>IF($A399="","",IFERROR(INDEX(tblEslesme[AbsFark],MATCH($A399,tblEslesme[A_Norm],0)),0))</f>
        <v/>
      </c>
      <c r="D399" s="15">
        <f>IF($A399="","",IFERROR(SUMIF(tblMotor[A_Norm],$A399,tblMotor[DesiKgOran]),0))</f>
        <v/>
      </c>
      <c r="E399" s="15">
        <f>IF($A399="","",IFERROR(SUMIF(tblMotor[A_Norm],$A399,tblMotor[Tasarruf]),0))</f>
        <v/>
      </c>
      <c r="F399" s="15">
        <f>IF($A399="","",IFERROR(SUMIF(tblMotor[A_Norm],$A399,tblMotor[IadeOran]),0))</f>
        <v/>
      </c>
      <c r="G399" s="15">
        <f>IF($A399="","",IFERROR(SUMIF(tblMotor[A_Norm],$A399,tblMotor[BirimKargo]),0))</f>
        <v/>
      </c>
      <c r="H399" s="15">
        <f>IF(OR($A399="",$B399&lt;&gt;"tutar_farki"),"",IF($D399&gt;kdo_esikDesiOran,"KDO-001",IF($F399&gt;kdo_esikIade,"KDO-002",IF($E399&gt;kdo_esikTasarruf,"KDO-004",IF($C399&gt;kdo_esikFark,"KDO-005","TANIMSIZ")))))</f>
        <v/>
      </c>
    </row>
    <row r="400">
      <c r="A400" s="22">
        <f>IF('ESLESTIRME'!$A400="","",'ESLESTIRME'!$A400)</f>
        <v/>
      </c>
      <c r="B400" s="15">
        <f>IF($A400="","",IFERROR(INDEX(tblEslesme[Kova],MATCH($A400,tblEslesme[A_Norm],0)),""))</f>
        <v/>
      </c>
      <c r="C400" s="15">
        <f>IF($A400="","",IFERROR(INDEX(tblEslesme[AbsFark],MATCH($A400,tblEslesme[A_Norm],0)),0))</f>
        <v/>
      </c>
      <c r="D400" s="15">
        <f>IF($A400="","",IFERROR(SUMIF(tblMotor[A_Norm],$A400,tblMotor[DesiKgOran]),0))</f>
        <v/>
      </c>
      <c r="E400" s="15">
        <f>IF($A400="","",IFERROR(SUMIF(tblMotor[A_Norm],$A400,tblMotor[Tasarruf]),0))</f>
        <v/>
      </c>
      <c r="F400" s="15">
        <f>IF($A400="","",IFERROR(SUMIF(tblMotor[A_Norm],$A400,tblMotor[IadeOran]),0))</f>
        <v/>
      </c>
      <c r="G400" s="15">
        <f>IF($A400="","",IFERROR(SUMIF(tblMotor[A_Norm],$A400,tblMotor[BirimKargo]),0))</f>
        <v/>
      </c>
      <c r="H400" s="15">
        <f>IF(OR($A400="",$B400&lt;&gt;"tutar_farki"),"",IF($D400&gt;kdo_esikDesiOran,"KDO-001",IF($F400&gt;kdo_esikIade,"KDO-002",IF($E400&gt;kdo_esikTasarruf,"KDO-004",IF($C400&gt;kdo_esikFark,"KDO-005","TANIMSIZ")))))</f>
        <v/>
      </c>
    </row>
    <row r="401">
      <c r="A401" s="22">
        <f>IF('ESLESTIRME'!$A401="","",'ESLESTIRME'!$A401)</f>
        <v/>
      </c>
      <c r="B401" s="15">
        <f>IF($A401="","",IFERROR(INDEX(tblEslesme[Kova],MATCH($A401,tblEslesme[A_Norm],0)),""))</f>
        <v/>
      </c>
      <c r="C401" s="15">
        <f>IF($A401="","",IFERROR(INDEX(tblEslesme[AbsFark],MATCH($A401,tblEslesme[A_Norm],0)),0))</f>
        <v/>
      </c>
      <c r="D401" s="15">
        <f>IF($A401="","",IFERROR(SUMIF(tblMotor[A_Norm],$A401,tblMotor[DesiKgOran]),0))</f>
        <v/>
      </c>
      <c r="E401" s="15">
        <f>IF($A401="","",IFERROR(SUMIF(tblMotor[A_Norm],$A401,tblMotor[Tasarruf]),0))</f>
        <v/>
      </c>
      <c r="F401" s="15">
        <f>IF($A401="","",IFERROR(SUMIF(tblMotor[A_Norm],$A401,tblMotor[IadeOran]),0))</f>
        <v/>
      </c>
      <c r="G401" s="15">
        <f>IF($A401="","",IFERROR(SUMIF(tblMotor[A_Norm],$A401,tblMotor[BirimKargo]),0))</f>
        <v/>
      </c>
      <c r="H401" s="15">
        <f>IF(OR($A401="",$B401&lt;&gt;"tutar_farki"),"",IF($D401&gt;kdo_esikDesiOran,"KDO-001",IF($F401&gt;kdo_esikIade,"KDO-002",IF($E401&gt;kdo_esikTasarruf,"KDO-004",IF($C401&gt;kdo_esikFark,"KDO-005","TANIMSIZ")))))</f>
        <v/>
      </c>
    </row>
    <row r="402">
      <c r="A402" s="22">
        <f>IF('ESLESTIRME'!$A402="","",'ESLESTIRME'!$A402)</f>
        <v/>
      </c>
      <c r="B402" s="15">
        <f>IF($A402="","",IFERROR(INDEX(tblEslesme[Kova],MATCH($A402,tblEslesme[A_Norm],0)),""))</f>
        <v/>
      </c>
      <c r="C402" s="15">
        <f>IF($A402="","",IFERROR(INDEX(tblEslesme[AbsFark],MATCH($A402,tblEslesme[A_Norm],0)),0))</f>
        <v/>
      </c>
      <c r="D402" s="15">
        <f>IF($A402="","",IFERROR(SUMIF(tblMotor[A_Norm],$A402,tblMotor[DesiKgOran]),0))</f>
        <v/>
      </c>
      <c r="E402" s="15">
        <f>IF($A402="","",IFERROR(SUMIF(tblMotor[A_Norm],$A402,tblMotor[Tasarruf]),0))</f>
        <v/>
      </c>
      <c r="F402" s="15">
        <f>IF($A402="","",IFERROR(SUMIF(tblMotor[A_Norm],$A402,tblMotor[IadeOran]),0))</f>
        <v/>
      </c>
      <c r="G402" s="15">
        <f>IF($A402="","",IFERROR(SUMIF(tblMotor[A_Norm],$A402,tblMotor[BirimKargo]),0))</f>
        <v/>
      </c>
      <c r="H402" s="15">
        <f>IF(OR($A402="",$B402&lt;&gt;"tutar_farki"),"",IF($D402&gt;kdo_esikDesiOran,"KDO-001",IF($F402&gt;kdo_esikIade,"KDO-002",IF($E402&gt;kdo_esikTasarruf,"KDO-004",IF($C402&gt;kdo_esikFark,"KDO-005","TANIMSIZ")))))</f>
        <v/>
      </c>
    </row>
    <row r="403">
      <c r="A403" s="22">
        <f>IF('ESLESTIRME'!$A403="","",'ESLESTIRME'!$A403)</f>
        <v/>
      </c>
      <c r="B403" s="15">
        <f>IF($A403="","",IFERROR(INDEX(tblEslesme[Kova],MATCH($A403,tblEslesme[A_Norm],0)),""))</f>
        <v/>
      </c>
      <c r="C403" s="15">
        <f>IF($A403="","",IFERROR(INDEX(tblEslesme[AbsFark],MATCH($A403,tblEslesme[A_Norm],0)),0))</f>
        <v/>
      </c>
      <c r="D403" s="15">
        <f>IF($A403="","",IFERROR(SUMIF(tblMotor[A_Norm],$A403,tblMotor[DesiKgOran]),0))</f>
        <v/>
      </c>
      <c r="E403" s="15">
        <f>IF($A403="","",IFERROR(SUMIF(tblMotor[A_Norm],$A403,tblMotor[Tasarruf]),0))</f>
        <v/>
      </c>
      <c r="F403" s="15">
        <f>IF($A403="","",IFERROR(SUMIF(tblMotor[A_Norm],$A403,tblMotor[IadeOran]),0))</f>
        <v/>
      </c>
      <c r="G403" s="15">
        <f>IF($A403="","",IFERROR(SUMIF(tblMotor[A_Norm],$A403,tblMotor[BirimKargo]),0))</f>
        <v/>
      </c>
      <c r="H403" s="15">
        <f>IF(OR($A403="",$B403&lt;&gt;"tutar_farki"),"",IF($D403&gt;kdo_esikDesiOran,"KDO-001",IF($F403&gt;kdo_esikIade,"KDO-002",IF($E403&gt;kdo_esikTasarruf,"KDO-004",IF($C403&gt;kdo_esikFark,"KDO-005","TANIMSIZ")))))</f>
        <v/>
      </c>
    </row>
    <row r="404">
      <c r="A404" s="22">
        <f>IF('ESLESTIRME'!$A404="","",'ESLESTIRME'!$A404)</f>
        <v/>
      </c>
      <c r="B404" s="15">
        <f>IF($A404="","",IFERROR(INDEX(tblEslesme[Kova],MATCH($A404,tblEslesme[A_Norm],0)),""))</f>
        <v/>
      </c>
      <c r="C404" s="15">
        <f>IF($A404="","",IFERROR(INDEX(tblEslesme[AbsFark],MATCH($A404,tblEslesme[A_Norm],0)),0))</f>
        <v/>
      </c>
      <c r="D404" s="15">
        <f>IF($A404="","",IFERROR(SUMIF(tblMotor[A_Norm],$A404,tblMotor[DesiKgOran]),0))</f>
        <v/>
      </c>
      <c r="E404" s="15">
        <f>IF($A404="","",IFERROR(SUMIF(tblMotor[A_Norm],$A404,tblMotor[Tasarruf]),0))</f>
        <v/>
      </c>
      <c r="F404" s="15">
        <f>IF($A404="","",IFERROR(SUMIF(tblMotor[A_Norm],$A404,tblMotor[IadeOran]),0))</f>
        <v/>
      </c>
      <c r="G404" s="15">
        <f>IF($A404="","",IFERROR(SUMIF(tblMotor[A_Norm],$A404,tblMotor[BirimKargo]),0))</f>
        <v/>
      </c>
      <c r="H404" s="15">
        <f>IF(OR($A404="",$B404&lt;&gt;"tutar_farki"),"",IF($D404&gt;kdo_esikDesiOran,"KDO-001",IF($F404&gt;kdo_esikIade,"KDO-002",IF($E404&gt;kdo_esikTasarruf,"KDO-004",IF($C404&gt;kdo_esikFark,"KDO-005","TANIMSIZ")))))</f>
        <v/>
      </c>
    </row>
    <row r="405">
      <c r="A405" s="22">
        <f>IF('ESLESTIRME'!$A405="","",'ESLESTIRME'!$A405)</f>
        <v/>
      </c>
      <c r="B405" s="15">
        <f>IF($A405="","",IFERROR(INDEX(tblEslesme[Kova],MATCH($A405,tblEslesme[A_Norm],0)),""))</f>
        <v/>
      </c>
      <c r="C405" s="15">
        <f>IF($A405="","",IFERROR(INDEX(tblEslesme[AbsFark],MATCH($A405,tblEslesme[A_Norm],0)),0))</f>
        <v/>
      </c>
      <c r="D405" s="15">
        <f>IF($A405="","",IFERROR(SUMIF(tblMotor[A_Norm],$A405,tblMotor[DesiKgOran]),0))</f>
        <v/>
      </c>
      <c r="E405" s="15">
        <f>IF($A405="","",IFERROR(SUMIF(tblMotor[A_Norm],$A405,tblMotor[Tasarruf]),0))</f>
        <v/>
      </c>
      <c r="F405" s="15">
        <f>IF($A405="","",IFERROR(SUMIF(tblMotor[A_Norm],$A405,tblMotor[IadeOran]),0))</f>
        <v/>
      </c>
      <c r="G405" s="15">
        <f>IF($A405="","",IFERROR(SUMIF(tblMotor[A_Norm],$A405,tblMotor[BirimKargo]),0))</f>
        <v/>
      </c>
      <c r="H405" s="15">
        <f>IF(OR($A405="",$B405&lt;&gt;"tutar_farki"),"",IF($D405&gt;kdo_esikDesiOran,"KDO-001",IF($F405&gt;kdo_esikIade,"KDO-002",IF($E405&gt;kdo_esikTasarruf,"KDO-004",IF($C405&gt;kdo_esikFark,"KDO-005","TANIMSIZ")))))</f>
        <v/>
      </c>
    </row>
    <row r="406">
      <c r="A406" s="22">
        <f>IF('ESLESTIRME'!$A406="","",'ESLESTIRME'!$A406)</f>
        <v/>
      </c>
      <c r="B406" s="15">
        <f>IF($A406="","",IFERROR(INDEX(tblEslesme[Kova],MATCH($A406,tblEslesme[A_Norm],0)),""))</f>
        <v/>
      </c>
      <c r="C406" s="15">
        <f>IF($A406="","",IFERROR(INDEX(tblEslesme[AbsFark],MATCH($A406,tblEslesme[A_Norm],0)),0))</f>
        <v/>
      </c>
      <c r="D406" s="15">
        <f>IF($A406="","",IFERROR(SUMIF(tblMotor[A_Norm],$A406,tblMotor[DesiKgOran]),0))</f>
        <v/>
      </c>
      <c r="E406" s="15">
        <f>IF($A406="","",IFERROR(SUMIF(tblMotor[A_Norm],$A406,tblMotor[Tasarruf]),0))</f>
        <v/>
      </c>
      <c r="F406" s="15">
        <f>IF($A406="","",IFERROR(SUMIF(tblMotor[A_Norm],$A406,tblMotor[IadeOran]),0))</f>
        <v/>
      </c>
      <c r="G406" s="15">
        <f>IF($A406="","",IFERROR(SUMIF(tblMotor[A_Norm],$A406,tblMotor[BirimKargo]),0))</f>
        <v/>
      </c>
      <c r="H406" s="15">
        <f>IF(OR($A406="",$B406&lt;&gt;"tutar_farki"),"",IF($D406&gt;kdo_esikDesiOran,"KDO-001",IF($F406&gt;kdo_esikIade,"KDO-002",IF($E406&gt;kdo_esikTasarruf,"KDO-004",IF($C406&gt;kdo_esikFark,"KDO-005","TANIMSIZ")))))</f>
        <v/>
      </c>
    </row>
    <row r="407">
      <c r="A407" s="22">
        <f>IF('ESLESTIRME'!$A407="","",'ESLESTIRME'!$A407)</f>
        <v/>
      </c>
      <c r="B407" s="15">
        <f>IF($A407="","",IFERROR(INDEX(tblEslesme[Kova],MATCH($A407,tblEslesme[A_Norm],0)),""))</f>
        <v/>
      </c>
      <c r="C407" s="15">
        <f>IF($A407="","",IFERROR(INDEX(tblEslesme[AbsFark],MATCH($A407,tblEslesme[A_Norm],0)),0))</f>
        <v/>
      </c>
      <c r="D407" s="15">
        <f>IF($A407="","",IFERROR(SUMIF(tblMotor[A_Norm],$A407,tblMotor[DesiKgOran]),0))</f>
        <v/>
      </c>
      <c r="E407" s="15">
        <f>IF($A407="","",IFERROR(SUMIF(tblMotor[A_Norm],$A407,tblMotor[Tasarruf]),0))</f>
        <v/>
      </c>
      <c r="F407" s="15">
        <f>IF($A407="","",IFERROR(SUMIF(tblMotor[A_Norm],$A407,tblMotor[IadeOran]),0))</f>
        <v/>
      </c>
      <c r="G407" s="15">
        <f>IF($A407="","",IFERROR(SUMIF(tblMotor[A_Norm],$A407,tblMotor[BirimKargo]),0))</f>
        <v/>
      </c>
      <c r="H407" s="15">
        <f>IF(OR($A407="",$B407&lt;&gt;"tutar_farki"),"",IF($D407&gt;kdo_esikDesiOran,"KDO-001",IF($F407&gt;kdo_esikIade,"KDO-002",IF($E407&gt;kdo_esikTasarruf,"KDO-004",IF($C407&gt;kdo_esikFark,"KDO-005","TANIMSIZ")))))</f>
        <v/>
      </c>
    </row>
    <row r="408">
      <c r="A408" s="22">
        <f>IF('ESLESTIRME'!$A408="","",'ESLESTIRME'!$A408)</f>
        <v/>
      </c>
      <c r="B408" s="15">
        <f>IF($A408="","",IFERROR(INDEX(tblEslesme[Kova],MATCH($A408,tblEslesme[A_Norm],0)),""))</f>
        <v/>
      </c>
      <c r="C408" s="15">
        <f>IF($A408="","",IFERROR(INDEX(tblEslesme[AbsFark],MATCH($A408,tblEslesme[A_Norm],0)),0))</f>
        <v/>
      </c>
      <c r="D408" s="15">
        <f>IF($A408="","",IFERROR(SUMIF(tblMotor[A_Norm],$A408,tblMotor[DesiKgOran]),0))</f>
        <v/>
      </c>
      <c r="E408" s="15">
        <f>IF($A408="","",IFERROR(SUMIF(tblMotor[A_Norm],$A408,tblMotor[Tasarruf]),0))</f>
        <v/>
      </c>
      <c r="F408" s="15">
        <f>IF($A408="","",IFERROR(SUMIF(tblMotor[A_Norm],$A408,tblMotor[IadeOran]),0))</f>
        <v/>
      </c>
      <c r="G408" s="15">
        <f>IF($A408="","",IFERROR(SUMIF(tblMotor[A_Norm],$A408,tblMotor[BirimKargo]),0))</f>
        <v/>
      </c>
      <c r="H408" s="15">
        <f>IF(OR($A408="",$B408&lt;&gt;"tutar_farki"),"",IF($D408&gt;kdo_esikDesiOran,"KDO-001",IF($F408&gt;kdo_esikIade,"KDO-002",IF($E408&gt;kdo_esikTasarruf,"KDO-004",IF($C408&gt;kdo_esikFark,"KDO-005","TANIMSIZ")))))</f>
        <v/>
      </c>
    </row>
    <row r="409">
      <c r="A409" s="22">
        <f>IF('ESLESTIRME'!$A409="","",'ESLESTIRME'!$A409)</f>
        <v/>
      </c>
      <c r="B409" s="15">
        <f>IF($A409="","",IFERROR(INDEX(tblEslesme[Kova],MATCH($A409,tblEslesme[A_Norm],0)),""))</f>
        <v/>
      </c>
      <c r="C409" s="15">
        <f>IF($A409="","",IFERROR(INDEX(tblEslesme[AbsFark],MATCH($A409,tblEslesme[A_Norm],0)),0))</f>
        <v/>
      </c>
      <c r="D409" s="15">
        <f>IF($A409="","",IFERROR(SUMIF(tblMotor[A_Norm],$A409,tblMotor[DesiKgOran]),0))</f>
        <v/>
      </c>
      <c r="E409" s="15">
        <f>IF($A409="","",IFERROR(SUMIF(tblMotor[A_Norm],$A409,tblMotor[Tasarruf]),0))</f>
        <v/>
      </c>
      <c r="F409" s="15">
        <f>IF($A409="","",IFERROR(SUMIF(tblMotor[A_Norm],$A409,tblMotor[IadeOran]),0))</f>
        <v/>
      </c>
      <c r="G409" s="15">
        <f>IF($A409="","",IFERROR(SUMIF(tblMotor[A_Norm],$A409,tblMotor[BirimKargo]),0))</f>
        <v/>
      </c>
      <c r="H409" s="15">
        <f>IF(OR($A409="",$B409&lt;&gt;"tutar_farki"),"",IF($D409&gt;kdo_esikDesiOran,"KDO-001",IF($F409&gt;kdo_esikIade,"KDO-002",IF($E409&gt;kdo_esikTasarruf,"KDO-004",IF($C409&gt;kdo_esikFark,"KDO-005","TANIMSIZ")))))</f>
        <v/>
      </c>
    </row>
    <row r="410">
      <c r="A410" s="22">
        <f>IF('ESLESTIRME'!$A410="","",'ESLESTIRME'!$A410)</f>
        <v/>
      </c>
      <c r="B410" s="15">
        <f>IF($A410="","",IFERROR(INDEX(tblEslesme[Kova],MATCH($A410,tblEslesme[A_Norm],0)),""))</f>
        <v/>
      </c>
      <c r="C410" s="15">
        <f>IF($A410="","",IFERROR(INDEX(tblEslesme[AbsFark],MATCH($A410,tblEslesme[A_Norm],0)),0))</f>
        <v/>
      </c>
      <c r="D410" s="15">
        <f>IF($A410="","",IFERROR(SUMIF(tblMotor[A_Norm],$A410,tblMotor[DesiKgOran]),0))</f>
        <v/>
      </c>
      <c r="E410" s="15">
        <f>IF($A410="","",IFERROR(SUMIF(tblMotor[A_Norm],$A410,tblMotor[Tasarruf]),0))</f>
        <v/>
      </c>
      <c r="F410" s="15">
        <f>IF($A410="","",IFERROR(SUMIF(tblMotor[A_Norm],$A410,tblMotor[IadeOran]),0))</f>
        <v/>
      </c>
      <c r="G410" s="15">
        <f>IF($A410="","",IFERROR(SUMIF(tblMotor[A_Norm],$A410,tblMotor[BirimKargo]),0))</f>
        <v/>
      </c>
      <c r="H410" s="15">
        <f>IF(OR($A410="",$B410&lt;&gt;"tutar_farki"),"",IF($D410&gt;kdo_esikDesiOran,"KDO-001",IF($F410&gt;kdo_esikIade,"KDO-002",IF($E410&gt;kdo_esikTasarruf,"KDO-004",IF($C410&gt;kdo_esikFark,"KDO-005","TANIMSIZ")))))</f>
        <v/>
      </c>
    </row>
    <row r="411">
      <c r="A411" s="22">
        <f>IF('ESLESTIRME'!$A411="","",'ESLESTIRME'!$A411)</f>
        <v/>
      </c>
      <c r="B411" s="15">
        <f>IF($A411="","",IFERROR(INDEX(tblEslesme[Kova],MATCH($A411,tblEslesme[A_Norm],0)),""))</f>
        <v/>
      </c>
      <c r="C411" s="15">
        <f>IF($A411="","",IFERROR(INDEX(tblEslesme[AbsFark],MATCH($A411,tblEslesme[A_Norm],0)),0))</f>
        <v/>
      </c>
      <c r="D411" s="15">
        <f>IF($A411="","",IFERROR(SUMIF(tblMotor[A_Norm],$A411,tblMotor[DesiKgOran]),0))</f>
        <v/>
      </c>
      <c r="E411" s="15">
        <f>IF($A411="","",IFERROR(SUMIF(tblMotor[A_Norm],$A411,tblMotor[Tasarruf]),0))</f>
        <v/>
      </c>
      <c r="F411" s="15">
        <f>IF($A411="","",IFERROR(SUMIF(tblMotor[A_Norm],$A411,tblMotor[IadeOran]),0))</f>
        <v/>
      </c>
      <c r="G411" s="15">
        <f>IF($A411="","",IFERROR(SUMIF(tblMotor[A_Norm],$A411,tblMotor[BirimKargo]),0))</f>
        <v/>
      </c>
      <c r="H411" s="15">
        <f>IF(OR($A411="",$B411&lt;&gt;"tutar_farki"),"",IF($D411&gt;kdo_esikDesiOran,"KDO-001",IF($F411&gt;kdo_esikIade,"KDO-002",IF($E411&gt;kdo_esikTasarruf,"KDO-004",IF($C411&gt;kdo_esikFark,"KDO-005","TANIMSIZ")))))</f>
        <v/>
      </c>
    </row>
    <row r="412">
      <c r="A412" s="22">
        <f>IF('ESLESTIRME'!$A412="","",'ESLESTIRME'!$A412)</f>
        <v/>
      </c>
      <c r="B412" s="15">
        <f>IF($A412="","",IFERROR(INDEX(tblEslesme[Kova],MATCH($A412,tblEslesme[A_Norm],0)),""))</f>
        <v/>
      </c>
      <c r="C412" s="15">
        <f>IF($A412="","",IFERROR(INDEX(tblEslesme[AbsFark],MATCH($A412,tblEslesme[A_Norm],0)),0))</f>
        <v/>
      </c>
      <c r="D412" s="15">
        <f>IF($A412="","",IFERROR(SUMIF(tblMotor[A_Norm],$A412,tblMotor[DesiKgOran]),0))</f>
        <v/>
      </c>
      <c r="E412" s="15">
        <f>IF($A412="","",IFERROR(SUMIF(tblMotor[A_Norm],$A412,tblMotor[Tasarruf]),0))</f>
        <v/>
      </c>
      <c r="F412" s="15">
        <f>IF($A412="","",IFERROR(SUMIF(tblMotor[A_Norm],$A412,tblMotor[IadeOran]),0))</f>
        <v/>
      </c>
      <c r="G412" s="15">
        <f>IF($A412="","",IFERROR(SUMIF(tblMotor[A_Norm],$A412,tblMotor[BirimKargo]),0))</f>
        <v/>
      </c>
      <c r="H412" s="15">
        <f>IF(OR($A412="",$B412&lt;&gt;"tutar_farki"),"",IF($D412&gt;kdo_esikDesiOran,"KDO-001",IF($F412&gt;kdo_esikIade,"KDO-002",IF($E412&gt;kdo_esikTasarruf,"KDO-004",IF($C412&gt;kdo_esikFark,"KDO-005","TANIMSIZ")))))</f>
        <v/>
      </c>
    </row>
    <row r="413">
      <c r="A413" s="22">
        <f>IF('ESLESTIRME'!$A413="","",'ESLESTIRME'!$A413)</f>
        <v/>
      </c>
      <c r="B413" s="15">
        <f>IF($A413="","",IFERROR(INDEX(tblEslesme[Kova],MATCH($A413,tblEslesme[A_Norm],0)),""))</f>
        <v/>
      </c>
      <c r="C413" s="15">
        <f>IF($A413="","",IFERROR(INDEX(tblEslesme[AbsFark],MATCH($A413,tblEslesme[A_Norm],0)),0))</f>
        <v/>
      </c>
      <c r="D413" s="15">
        <f>IF($A413="","",IFERROR(SUMIF(tblMotor[A_Norm],$A413,tblMotor[DesiKgOran]),0))</f>
        <v/>
      </c>
      <c r="E413" s="15">
        <f>IF($A413="","",IFERROR(SUMIF(tblMotor[A_Norm],$A413,tblMotor[Tasarruf]),0))</f>
        <v/>
      </c>
      <c r="F413" s="15">
        <f>IF($A413="","",IFERROR(SUMIF(tblMotor[A_Norm],$A413,tblMotor[IadeOran]),0))</f>
        <v/>
      </c>
      <c r="G413" s="15">
        <f>IF($A413="","",IFERROR(SUMIF(tblMotor[A_Norm],$A413,tblMotor[BirimKargo]),0))</f>
        <v/>
      </c>
      <c r="H413" s="15">
        <f>IF(OR($A413="",$B413&lt;&gt;"tutar_farki"),"",IF($D413&gt;kdo_esikDesiOran,"KDO-001",IF($F413&gt;kdo_esikIade,"KDO-002",IF($E413&gt;kdo_esikTasarruf,"KDO-004",IF($C413&gt;kdo_esikFark,"KDO-005","TANIMSIZ")))))</f>
        <v/>
      </c>
    </row>
    <row r="414">
      <c r="A414" s="22">
        <f>IF('ESLESTIRME'!$A414="","",'ESLESTIRME'!$A414)</f>
        <v/>
      </c>
      <c r="B414" s="15">
        <f>IF($A414="","",IFERROR(INDEX(tblEslesme[Kova],MATCH($A414,tblEslesme[A_Norm],0)),""))</f>
        <v/>
      </c>
      <c r="C414" s="15">
        <f>IF($A414="","",IFERROR(INDEX(tblEslesme[AbsFark],MATCH($A414,tblEslesme[A_Norm],0)),0))</f>
        <v/>
      </c>
      <c r="D414" s="15">
        <f>IF($A414="","",IFERROR(SUMIF(tblMotor[A_Norm],$A414,tblMotor[DesiKgOran]),0))</f>
        <v/>
      </c>
      <c r="E414" s="15">
        <f>IF($A414="","",IFERROR(SUMIF(tblMotor[A_Norm],$A414,tblMotor[Tasarruf]),0))</f>
        <v/>
      </c>
      <c r="F414" s="15">
        <f>IF($A414="","",IFERROR(SUMIF(tblMotor[A_Norm],$A414,tblMotor[IadeOran]),0))</f>
        <v/>
      </c>
      <c r="G414" s="15">
        <f>IF($A414="","",IFERROR(SUMIF(tblMotor[A_Norm],$A414,tblMotor[BirimKargo]),0))</f>
        <v/>
      </c>
      <c r="H414" s="15">
        <f>IF(OR($A414="",$B414&lt;&gt;"tutar_farki"),"",IF($D414&gt;kdo_esikDesiOran,"KDO-001",IF($F414&gt;kdo_esikIade,"KDO-002",IF($E414&gt;kdo_esikTasarruf,"KDO-004",IF($C414&gt;kdo_esikFark,"KDO-005","TANIMSIZ")))))</f>
        <v/>
      </c>
    </row>
    <row r="415">
      <c r="A415" s="22">
        <f>IF('ESLESTIRME'!$A415="","",'ESLESTIRME'!$A415)</f>
        <v/>
      </c>
      <c r="B415" s="15">
        <f>IF($A415="","",IFERROR(INDEX(tblEslesme[Kova],MATCH($A415,tblEslesme[A_Norm],0)),""))</f>
        <v/>
      </c>
      <c r="C415" s="15">
        <f>IF($A415="","",IFERROR(INDEX(tblEslesme[AbsFark],MATCH($A415,tblEslesme[A_Norm],0)),0))</f>
        <v/>
      </c>
      <c r="D415" s="15">
        <f>IF($A415="","",IFERROR(SUMIF(tblMotor[A_Norm],$A415,tblMotor[DesiKgOran]),0))</f>
        <v/>
      </c>
      <c r="E415" s="15">
        <f>IF($A415="","",IFERROR(SUMIF(tblMotor[A_Norm],$A415,tblMotor[Tasarruf]),0))</f>
        <v/>
      </c>
      <c r="F415" s="15">
        <f>IF($A415="","",IFERROR(SUMIF(tblMotor[A_Norm],$A415,tblMotor[IadeOran]),0))</f>
        <v/>
      </c>
      <c r="G415" s="15">
        <f>IF($A415="","",IFERROR(SUMIF(tblMotor[A_Norm],$A415,tblMotor[BirimKargo]),0))</f>
        <v/>
      </c>
      <c r="H415" s="15">
        <f>IF(OR($A415="",$B415&lt;&gt;"tutar_farki"),"",IF($D415&gt;kdo_esikDesiOran,"KDO-001",IF($F415&gt;kdo_esikIade,"KDO-002",IF($E415&gt;kdo_esikTasarruf,"KDO-004",IF($C415&gt;kdo_esikFark,"KDO-005","TANIMSIZ")))))</f>
        <v/>
      </c>
    </row>
    <row r="416">
      <c r="A416" s="22">
        <f>IF('ESLESTIRME'!$A416="","",'ESLESTIRME'!$A416)</f>
        <v/>
      </c>
      <c r="B416" s="15">
        <f>IF($A416="","",IFERROR(INDEX(tblEslesme[Kova],MATCH($A416,tblEslesme[A_Norm],0)),""))</f>
        <v/>
      </c>
      <c r="C416" s="15">
        <f>IF($A416="","",IFERROR(INDEX(tblEslesme[AbsFark],MATCH($A416,tblEslesme[A_Norm],0)),0))</f>
        <v/>
      </c>
      <c r="D416" s="15">
        <f>IF($A416="","",IFERROR(SUMIF(tblMotor[A_Norm],$A416,tblMotor[DesiKgOran]),0))</f>
        <v/>
      </c>
      <c r="E416" s="15">
        <f>IF($A416="","",IFERROR(SUMIF(tblMotor[A_Norm],$A416,tblMotor[Tasarruf]),0))</f>
        <v/>
      </c>
      <c r="F416" s="15">
        <f>IF($A416="","",IFERROR(SUMIF(tblMotor[A_Norm],$A416,tblMotor[IadeOran]),0))</f>
        <v/>
      </c>
      <c r="G416" s="15">
        <f>IF($A416="","",IFERROR(SUMIF(tblMotor[A_Norm],$A416,tblMotor[BirimKargo]),0))</f>
        <v/>
      </c>
      <c r="H416" s="15">
        <f>IF(OR($A416="",$B416&lt;&gt;"tutar_farki"),"",IF($D416&gt;kdo_esikDesiOran,"KDO-001",IF($F416&gt;kdo_esikIade,"KDO-002",IF($E416&gt;kdo_esikTasarruf,"KDO-004",IF($C416&gt;kdo_esikFark,"KDO-005","TANIMSIZ")))))</f>
        <v/>
      </c>
    </row>
    <row r="417">
      <c r="A417" s="22">
        <f>IF('ESLESTIRME'!$A417="","",'ESLESTIRME'!$A417)</f>
        <v/>
      </c>
      <c r="B417" s="15">
        <f>IF($A417="","",IFERROR(INDEX(tblEslesme[Kova],MATCH($A417,tblEslesme[A_Norm],0)),""))</f>
        <v/>
      </c>
      <c r="C417" s="15">
        <f>IF($A417="","",IFERROR(INDEX(tblEslesme[AbsFark],MATCH($A417,tblEslesme[A_Norm],0)),0))</f>
        <v/>
      </c>
      <c r="D417" s="15">
        <f>IF($A417="","",IFERROR(SUMIF(tblMotor[A_Norm],$A417,tblMotor[DesiKgOran]),0))</f>
        <v/>
      </c>
      <c r="E417" s="15">
        <f>IF($A417="","",IFERROR(SUMIF(tblMotor[A_Norm],$A417,tblMotor[Tasarruf]),0))</f>
        <v/>
      </c>
      <c r="F417" s="15">
        <f>IF($A417="","",IFERROR(SUMIF(tblMotor[A_Norm],$A417,tblMotor[IadeOran]),0))</f>
        <v/>
      </c>
      <c r="G417" s="15">
        <f>IF($A417="","",IFERROR(SUMIF(tblMotor[A_Norm],$A417,tblMotor[BirimKargo]),0))</f>
        <v/>
      </c>
      <c r="H417" s="15">
        <f>IF(OR($A417="",$B417&lt;&gt;"tutar_farki"),"",IF($D417&gt;kdo_esikDesiOran,"KDO-001",IF($F417&gt;kdo_esikIade,"KDO-002",IF($E417&gt;kdo_esikTasarruf,"KDO-004",IF($C417&gt;kdo_esikFark,"KDO-005","TANIMSIZ")))))</f>
        <v/>
      </c>
    </row>
    <row r="418">
      <c r="A418" s="22">
        <f>IF('ESLESTIRME'!$A418="","",'ESLESTIRME'!$A418)</f>
        <v/>
      </c>
      <c r="B418" s="15">
        <f>IF($A418="","",IFERROR(INDEX(tblEslesme[Kova],MATCH($A418,tblEslesme[A_Norm],0)),""))</f>
        <v/>
      </c>
      <c r="C418" s="15">
        <f>IF($A418="","",IFERROR(INDEX(tblEslesme[AbsFark],MATCH($A418,tblEslesme[A_Norm],0)),0))</f>
        <v/>
      </c>
      <c r="D418" s="15">
        <f>IF($A418="","",IFERROR(SUMIF(tblMotor[A_Norm],$A418,tblMotor[DesiKgOran]),0))</f>
        <v/>
      </c>
      <c r="E418" s="15">
        <f>IF($A418="","",IFERROR(SUMIF(tblMotor[A_Norm],$A418,tblMotor[Tasarruf]),0))</f>
        <v/>
      </c>
      <c r="F418" s="15">
        <f>IF($A418="","",IFERROR(SUMIF(tblMotor[A_Norm],$A418,tblMotor[IadeOran]),0))</f>
        <v/>
      </c>
      <c r="G418" s="15">
        <f>IF($A418="","",IFERROR(SUMIF(tblMotor[A_Norm],$A418,tblMotor[BirimKargo]),0))</f>
        <v/>
      </c>
      <c r="H418" s="15">
        <f>IF(OR($A418="",$B418&lt;&gt;"tutar_farki"),"",IF($D418&gt;kdo_esikDesiOran,"KDO-001",IF($F418&gt;kdo_esikIade,"KDO-002",IF($E418&gt;kdo_esikTasarruf,"KDO-004",IF($C418&gt;kdo_esikFark,"KDO-005","TANIMSIZ")))))</f>
        <v/>
      </c>
    </row>
    <row r="419">
      <c r="A419" s="22">
        <f>IF('ESLESTIRME'!$A419="","",'ESLESTIRME'!$A419)</f>
        <v/>
      </c>
      <c r="B419" s="15">
        <f>IF($A419="","",IFERROR(INDEX(tblEslesme[Kova],MATCH($A419,tblEslesme[A_Norm],0)),""))</f>
        <v/>
      </c>
      <c r="C419" s="15">
        <f>IF($A419="","",IFERROR(INDEX(tblEslesme[AbsFark],MATCH($A419,tblEslesme[A_Norm],0)),0))</f>
        <v/>
      </c>
      <c r="D419" s="15">
        <f>IF($A419="","",IFERROR(SUMIF(tblMotor[A_Norm],$A419,tblMotor[DesiKgOran]),0))</f>
        <v/>
      </c>
      <c r="E419" s="15">
        <f>IF($A419="","",IFERROR(SUMIF(tblMotor[A_Norm],$A419,tblMotor[Tasarruf]),0))</f>
        <v/>
      </c>
      <c r="F419" s="15">
        <f>IF($A419="","",IFERROR(SUMIF(tblMotor[A_Norm],$A419,tblMotor[IadeOran]),0))</f>
        <v/>
      </c>
      <c r="G419" s="15">
        <f>IF($A419="","",IFERROR(SUMIF(tblMotor[A_Norm],$A419,tblMotor[BirimKargo]),0))</f>
        <v/>
      </c>
      <c r="H419" s="15">
        <f>IF(OR($A419="",$B419&lt;&gt;"tutar_farki"),"",IF($D419&gt;kdo_esikDesiOran,"KDO-001",IF($F419&gt;kdo_esikIade,"KDO-002",IF($E419&gt;kdo_esikTasarruf,"KDO-004",IF($C419&gt;kdo_esikFark,"KDO-005","TANIMSIZ")))))</f>
        <v/>
      </c>
    </row>
    <row r="420">
      <c r="A420" s="22">
        <f>IF('ESLESTIRME'!$A420="","",'ESLESTIRME'!$A420)</f>
        <v/>
      </c>
      <c r="B420" s="15">
        <f>IF($A420="","",IFERROR(INDEX(tblEslesme[Kova],MATCH($A420,tblEslesme[A_Norm],0)),""))</f>
        <v/>
      </c>
      <c r="C420" s="15">
        <f>IF($A420="","",IFERROR(INDEX(tblEslesme[AbsFark],MATCH($A420,tblEslesme[A_Norm],0)),0))</f>
        <v/>
      </c>
      <c r="D420" s="15">
        <f>IF($A420="","",IFERROR(SUMIF(tblMotor[A_Norm],$A420,tblMotor[DesiKgOran]),0))</f>
        <v/>
      </c>
      <c r="E420" s="15">
        <f>IF($A420="","",IFERROR(SUMIF(tblMotor[A_Norm],$A420,tblMotor[Tasarruf]),0))</f>
        <v/>
      </c>
      <c r="F420" s="15">
        <f>IF($A420="","",IFERROR(SUMIF(tblMotor[A_Norm],$A420,tblMotor[IadeOran]),0))</f>
        <v/>
      </c>
      <c r="G420" s="15">
        <f>IF($A420="","",IFERROR(SUMIF(tblMotor[A_Norm],$A420,tblMotor[BirimKargo]),0))</f>
        <v/>
      </c>
      <c r="H420" s="15">
        <f>IF(OR($A420="",$B420&lt;&gt;"tutar_farki"),"",IF($D420&gt;kdo_esikDesiOran,"KDO-001",IF($F420&gt;kdo_esikIade,"KDO-002",IF($E420&gt;kdo_esikTasarruf,"KDO-004",IF($C420&gt;kdo_esikFark,"KDO-005","TANIMSIZ")))))</f>
        <v/>
      </c>
    </row>
    <row r="421">
      <c r="A421" s="22">
        <f>IF('ESLESTIRME'!$A421="","",'ESLESTIRME'!$A421)</f>
        <v/>
      </c>
      <c r="B421" s="15">
        <f>IF($A421="","",IFERROR(INDEX(tblEslesme[Kova],MATCH($A421,tblEslesme[A_Norm],0)),""))</f>
        <v/>
      </c>
      <c r="C421" s="15">
        <f>IF($A421="","",IFERROR(INDEX(tblEslesme[AbsFark],MATCH($A421,tblEslesme[A_Norm],0)),0))</f>
        <v/>
      </c>
      <c r="D421" s="15">
        <f>IF($A421="","",IFERROR(SUMIF(tblMotor[A_Norm],$A421,tblMotor[DesiKgOran]),0))</f>
        <v/>
      </c>
      <c r="E421" s="15">
        <f>IF($A421="","",IFERROR(SUMIF(tblMotor[A_Norm],$A421,tblMotor[Tasarruf]),0))</f>
        <v/>
      </c>
      <c r="F421" s="15">
        <f>IF($A421="","",IFERROR(SUMIF(tblMotor[A_Norm],$A421,tblMotor[IadeOran]),0))</f>
        <v/>
      </c>
      <c r="G421" s="15">
        <f>IF($A421="","",IFERROR(SUMIF(tblMotor[A_Norm],$A421,tblMotor[BirimKargo]),0))</f>
        <v/>
      </c>
      <c r="H421" s="15">
        <f>IF(OR($A421="",$B421&lt;&gt;"tutar_farki"),"",IF($D421&gt;kdo_esikDesiOran,"KDO-001",IF($F421&gt;kdo_esikIade,"KDO-002",IF($E421&gt;kdo_esikTasarruf,"KDO-004",IF($C421&gt;kdo_esikFark,"KDO-005","TANIMSIZ")))))</f>
        <v/>
      </c>
    </row>
    <row r="422">
      <c r="A422" s="22">
        <f>IF('ESLESTIRME'!$A422="","",'ESLESTIRME'!$A422)</f>
        <v/>
      </c>
      <c r="B422" s="15">
        <f>IF($A422="","",IFERROR(INDEX(tblEslesme[Kova],MATCH($A422,tblEslesme[A_Norm],0)),""))</f>
        <v/>
      </c>
      <c r="C422" s="15">
        <f>IF($A422="","",IFERROR(INDEX(tblEslesme[AbsFark],MATCH($A422,tblEslesme[A_Norm],0)),0))</f>
        <v/>
      </c>
      <c r="D422" s="15">
        <f>IF($A422="","",IFERROR(SUMIF(tblMotor[A_Norm],$A422,tblMotor[DesiKgOran]),0))</f>
        <v/>
      </c>
      <c r="E422" s="15">
        <f>IF($A422="","",IFERROR(SUMIF(tblMotor[A_Norm],$A422,tblMotor[Tasarruf]),0))</f>
        <v/>
      </c>
      <c r="F422" s="15">
        <f>IF($A422="","",IFERROR(SUMIF(tblMotor[A_Norm],$A422,tblMotor[IadeOran]),0))</f>
        <v/>
      </c>
      <c r="G422" s="15">
        <f>IF($A422="","",IFERROR(SUMIF(tblMotor[A_Norm],$A422,tblMotor[BirimKargo]),0))</f>
        <v/>
      </c>
      <c r="H422" s="15">
        <f>IF(OR($A422="",$B422&lt;&gt;"tutar_farki"),"",IF($D422&gt;kdo_esikDesiOran,"KDO-001",IF($F422&gt;kdo_esikIade,"KDO-002",IF($E422&gt;kdo_esikTasarruf,"KDO-004",IF($C422&gt;kdo_esikFark,"KDO-005","TANIMSIZ")))))</f>
        <v/>
      </c>
    </row>
    <row r="423">
      <c r="A423" s="22">
        <f>IF('ESLESTIRME'!$A423="","",'ESLESTIRME'!$A423)</f>
        <v/>
      </c>
      <c r="B423" s="15">
        <f>IF($A423="","",IFERROR(INDEX(tblEslesme[Kova],MATCH($A423,tblEslesme[A_Norm],0)),""))</f>
        <v/>
      </c>
      <c r="C423" s="15">
        <f>IF($A423="","",IFERROR(INDEX(tblEslesme[AbsFark],MATCH($A423,tblEslesme[A_Norm],0)),0))</f>
        <v/>
      </c>
      <c r="D423" s="15">
        <f>IF($A423="","",IFERROR(SUMIF(tblMotor[A_Norm],$A423,tblMotor[DesiKgOran]),0))</f>
        <v/>
      </c>
      <c r="E423" s="15">
        <f>IF($A423="","",IFERROR(SUMIF(tblMotor[A_Norm],$A423,tblMotor[Tasarruf]),0))</f>
        <v/>
      </c>
      <c r="F423" s="15">
        <f>IF($A423="","",IFERROR(SUMIF(tblMotor[A_Norm],$A423,tblMotor[IadeOran]),0))</f>
        <v/>
      </c>
      <c r="G423" s="15">
        <f>IF($A423="","",IFERROR(SUMIF(tblMotor[A_Norm],$A423,tblMotor[BirimKargo]),0))</f>
        <v/>
      </c>
      <c r="H423" s="15">
        <f>IF(OR($A423="",$B423&lt;&gt;"tutar_farki"),"",IF($D423&gt;kdo_esikDesiOran,"KDO-001",IF($F423&gt;kdo_esikIade,"KDO-002",IF($E423&gt;kdo_esikTasarruf,"KDO-004",IF($C423&gt;kdo_esikFark,"KDO-005","TANIMSIZ")))))</f>
        <v/>
      </c>
    </row>
    <row r="424">
      <c r="A424" s="22">
        <f>IF('ESLESTIRME'!$A424="","",'ESLESTIRME'!$A424)</f>
        <v/>
      </c>
      <c r="B424" s="15">
        <f>IF($A424="","",IFERROR(INDEX(tblEslesme[Kova],MATCH($A424,tblEslesme[A_Norm],0)),""))</f>
        <v/>
      </c>
      <c r="C424" s="15">
        <f>IF($A424="","",IFERROR(INDEX(tblEslesme[AbsFark],MATCH($A424,tblEslesme[A_Norm],0)),0))</f>
        <v/>
      </c>
      <c r="D424" s="15">
        <f>IF($A424="","",IFERROR(SUMIF(tblMotor[A_Norm],$A424,tblMotor[DesiKgOran]),0))</f>
        <v/>
      </c>
      <c r="E424" s="15">
        <f>IF($A424="","",IFERROR(SUMIF(tblMotor[A_Norm],$A424,tblMotor[Tasarruf]),0))</f>
        <v/>
      </c>
      <c r="F424" s="15">
        <f>IF($A424="","",IFERROR(SUMIF(tblMotor[A_Norm],$A424,tblMotor[IadeOran]),0))</f>
        <v/>
      </c>
      <c r="G424" s="15">
        <f>IF($A424="","",IFERROR(SUMIF(tblMotor[A_Norm],$A424,tblMotor[BirimKargo]),0))</f>
        <v/>
      </c>
      <c r="H424" s="15">
        <f>IF(OR($A424="",$B424&lt;&gt;"tutar_farki"),"",IF($D424&gt;kdo_esikDesiOran,"KDO-001",IF($F424&gt;kdo_esikIade,"KDO-002",IF($E424&gt;kdo_esikTasarruf,"KDO-004",IF($C424&gt;kdo_esikFark,"KDO-005","TANIMSIZ")))))</f>
        <v/>
      </c>
    </row>
    <row r="425">
      <c r="A425" s="22">
        <f>IF('ESLESTIRME'!$A425="","",'ESLESTIRME'!$A425)</f>
        <v/>
      </c>
      <c r="B425" s="15">
        <f>IF($A425="","",IFERROR(INDEX(tblEslesme[Kova],MATCH($A425,tblEslesme[A_Norm],0)),""))</f>
        <v/>
      </c>
      <c r="C425" s="15">
        <f>IF($A425="","",IFERROR(INDEX(tblEslesme[AbsFark],MATCH($A425,tblEslesme[A_Norm],0)),0))</f>
        <v/>
      </c>
      <c r="D425" s="15">
        <f>IF($A425="","",IFERROR(SUMIF(tblMotor[A_Norm],$A425,tblMotor[DesiKgOran]),0))</f>
        <v/>
      </c>
      <c r="E425" s="15">
        <f>IF($A425="","",IFERROR(SUMIF(tblMotor[A_Norm],$A425,tblMotor[Tasarruf]),0))</f>
        <v/>
      </c>
      <c r="F425" s="15">
        <f>IF($A425="","",IFERROR(SUMIF(tblMotor[A_Norm],$A425,tblMotor[IadeOran]),0))</f>
        <v/>
      </c>
      <c r="G425" s="15">
        <f>IF($A425="","",IFERROR(SUMIF(tblMotor[A_Norm],$A425,tblMotor[BirimKargo]),0))</f>
        <v/>
      </c>
      <c r="H425" s="15">
        <f>IF(OR($A425="",$B425&lt;&gt;"tutar_farki"),"",IF($D425&gt;kdo_esikDesiOran,"KDO-001",IF($F425&gt;kdo_esikIade,"KDO-002",IF($E425&gt;kdo_esikTasarruf,"KDO-004",IF($C425&gt;kdo_esikFark,"KDO-005","TANIMSIZ")))))</f>
        <v/>
      </c>
    </row>
    <row r="426">
      <c r="A426" s="22">
        <f>IF('ESLESTIRME'!$A426="","",'ESLESTIRME'!$A426)</f>
        <v/>
      </c>
      <c r="B426" s="15">
        <f>IF($A426="","",IFERROR(INDEX(tblEslesme[Kova],MATCH($A426,tblEslesme[A_Norm],0)),""))</f>
        <v/>
      </c>
      <c r="C426" s="15">
        <f>IF($A426="","",IFERROR(INDEX(tblEslesme[AbsFark],MATCH($A426,tblEslesme[A_Norm],0)),0))</f>
        <v/>
      </c>
      <c r="D426" s="15">
        <f>IF($A426="","",IFERROR(SUMIF(tblMotor[A_Norm],$A426,tblMotor[DesiKgOran]),0))</f>
        <v/>
      </c>
      <c r="E426" s="15">
        <f>IF($A426="","",IFERROR(SUMIF(tblMotor[A_Norm],$A426,tblMotor[Tasarruf]),0))</f>
        <v/>
      </c>
      <c r="F426" s="15">
        <f>IF($A426="","",IFERROR(SUMIF(tblMotor[A_Norm],$A426,tblMotor[IadeOran]),0))</f>
        <v/>
      </c>
      <c r="G426" s="15">
        <f>IF($A426="","",IFERROR(SUMIF(tblMotor[A_Norm],$A426,tblMotor[BirimKargo]),0))</f>
        <v/>
      </c>
      <c r="H426" s="15">
        <f>IF(OR($A426="",$B426&lt;&gt;"tutar_farki"),"",IF($D426&gt;kdo_esikDesiOran,"KDO-001",IF($F426&gt;kdo_esikIade,"KDO-002",IF($E426&gt;kdo_esikTasarruf,"KDO-004",IF($C426&gt;kdo_esikFark,"KDO-005","TANIMSIZ")))))</f>
        <v/>
      </c>
    </row>
    <row r="427">
      <c r="A427" s="22">
        <f>IF('ESLESTIRME'!$A427="","",'ESLESTIRME'!$A427)</f>
        <v/>
      </c>
      <c r="B427" s="15">
        <f>IF($A427="","",IFERROR(INDEX(tblEslesme[Kova],MATCH($A427,tblEslesme[A_Norm],0)),""))</f>
        <v/>
      </c>
      <c r="C427" s="15">
        <f>IF($A427="","",IFERROR(INDEX(tblEslesme[AbsFark],MATCH($A427,tblEslesme[A_Norm],0)),0))</f>
        <v/>
      </c>
      <c r="D427" s="15">
        <f>IF($A427="","",IFERROR(SUMIF(tblMotor[A_Norm],$A427,tblMotor[DesiKgOran]),0))</f>
        <v/>
      </c>
      <c r="E427" s="15">
        <f>IF($A427="","",IFERROR(SUMIF(tblMotor[A_Norm],$A427,tblMotor[Tasarruf]),0))</f>
        <v/>
      </c>
      <c r="F427" s="15">
        <f>IF($A427="","",IFERROR(SUMIF(tblMotor[A_Norm],$A427,tblMotor[IadeOran]),0))</f>
        <v/>
      </c>
      <c r="G427" s="15">
        <f>IF($A427="","",IFERROR(SUMIF(tblMotor[A_Norm],$A427,tblMotor[BirimKargo]),0))</f>
        <v/>
      </c>
      <c r="H427" s="15">
        <f>IF(OR($A427="",$B427&lt;&gt;"tutar_farki"),"",IF($D427&gt;kdo_esikDesiOran,"KDO-001",IF($F427&gt;kdo_esikIade,"KDO-002",IF($E427&gt;kdo_esikTasarruf,"KDO-004",IF($C427&gt;kdo_esikFark,"KDO-005","TANIMSIZ")))))</f>
        <v/>
      </c>
    </row>
    <row r="428">
      <c r="A428" s="22">
        <f>IF('ESLESTIRME'!$A428="","",'ESLESTIRME'!$A428)</f>
        <v/>
      </c>
      <c r="B428" s="15">
        <f>IF($A428="","",IFERROR(INDEX(tblEslesme[Kova],MATCH($A428,tblEslesme[A_Norm],0)),""))</f>
        <v/>
      </c>
      <c r="C428" s="15">
        <f>IF($A428="","",IFERROR(INDEX(tblEslesme[AbsFark],MATCH($A428,tblEslesme[A_Norm],0)),0))</f>
        <v/>
      </c>
      <c r="D428" s="15">
        <f>IF($A428="","",IFERROR(SUMIF(tblMotor[A_Norm],$A428,tblMotor[DesiKgOran]),0))</f>
        <v/>
      </c>
      <c r="E428" s="15">
        <f>IF($A428="","",IFERROR(SUMIF(tblMotor[A_Norm],$A428,tblMotor[Tasarruf]),0))</f>
        <v/>
      </c>
      <c r="F428" s="15">
        <f>IF($A428="","",IFERROR(SUMIF(tblMotor[A_Norm],$A428,tblMotor[IadeOran]),0))</f>
        <v/>
      </c>
      <c r="G428" s="15">
        <f>IF($A428="","",IFERROR(SUMIF(tblMotor[A_Norm],$A428,tblMotor[BirimKargo]),0))</f>
        <v/>
      </c>
      <c r="H428" s="15">
        <f>IF(OR($A428="",$B428&lt;&gt;"tutar_farki"),"",IF($D428&gt;kdo_esikDesiOran,"KDO-001",IF($F428&gt;kdo_esikIade,"KDO-002",IF($E428&gt;kdo_esikTasarruf,"KDO-004",IF($C428&gt;kdo_esikFark,"KDO-005","TANIMSIZ")))))</f>
        <v/>
      </c>
    </row>
    <row r="429">
      <c r="A429" s="22">
        <f>IF('ESLESTIRME'!$A429="","",'ESLESTIRME'!$A429)</f>
        <v/>
      </c>
      <c r="B429" s="15">
        <f>IF($A429="","",IFERROR(INDEX(tblEslesme[Kova],MATCH($A429,tblEslesme[A_Norm],0)),""))</f>
        <v/>
      </c>
      <c r="C429" s="15">
        <f>IF($A429="","",IFERROR(INDEX(tblEslesme[AbsFark],MATCH($A429,tblEslesme[A_Norm],0)),0))</f>
        <v/>
      </c>
      <c r="D429" s="15">
        <f>IF($A429="","",IFERROR(SUMIF(tblMotor[A_Norm],$A429,tblMotor[DesiKgOran]),0))</f>
        <v/>
      </c>
      <c r="E429" s="15">
        <f>IF($A429="","",IFERROR(SUMIF(tblMotor[A_Norm],$A429,tblMotor[Tasarruf]),0))</f>
        <v/>
      </c>
      <c r="F429" s="15">
        <f>IF($A429="","",IFERROR(SUMIF(tblMotor[A_Norm],$A429,tblMotor[IadeOran]),0))</f>
        <v/>
      </c>
      <c r="G429" s="15">
        <f>IF($A429="","",IFERROR(SUMIF(tblMotor[A_Norm],$A429,tblMotor[BirimKargo]),0))</f>
        <v/>
      </c>
      <c r="H429" s="15">
        <f>IF(OR($A429="",$B429&lt;&gt;"tutar_farki"),"",IF($D429&gt;kdo_esikDesiOran,"KDO-001",IF($F429&gt;kdo_esikIade,"KDO-002",IF($E429&gt;kdo_esikTasarruf,"KDO-004",IF($C429&gt;kdo_esikFark,"KDO-005","TANIMSIZ")))))</f>
        <v/>
      </c>
    </row>
    <row r="430">
      <c r="A430" s="22">
        <f>IF('ESLESTIRME'!$A430="","",'ESLESTIRME'!$A430)</f>
        <v/>
      </c>
      <c r="B430" s="15">
        <f>IF($A430="","",IFERROR(INDEX(tblEslesme[Kova],MATCH($A430,tblEslesme[A_Norm],0)),""))</f>
        <v/>
      </c>
      <c r="C430" s="15">
        <f>IF($A430="","",IFERROR(INDEX(tblEslesme[AbsFark],MATCH($A430,tblEslesme[A_Norm],0)),0))</f>
        <v/>
      </c>
      <c r="D430" s="15">
        <f>IF($A430="","",IFERROR(SUMIF(tblMotor[A_Norm],$A430,tblMotor[DesiKgOran]),0))</f>
        <v/>
      </c>
      <c r="E430" s="15">
        <f>IF($A430="","",IFERROR(SUMIF(tblMotor[A_Norm],$A430,tblMotor[Tasarruf]),0))</f>
        <v/>
      </c>
      <c r="F430" s="15">
        <f>IF($A430="","",IFERROR(SUMIF(tblMotor[A_Norm],$A430,tblMotor[IadeOran]),0))</f>
        <v/>
      </c>
      <c r="G430" s="15">
        <f>IF($A430="","",IFERROR(SUMIF(tblMotor[A_Norm],$A430,tblMotor[BirimKargo]),0))</f>
        <v/>
      </c>
      <c r="H430" s="15">
        <f>IF(OR($A430="",$B430&lt;&gt;"tutar_farki"),"",IF($D430&gt;kdo_esikDesiOran,"KDO-001",IF($F430&gt;kdo_esikIade,"KDO-002",IF($E430&gt;kdo_esikTasarruf,"KDO-004",IF($C430&gt;kdo_esikFark,"KDO-005","TANIMSIZ")))))</f>
        <v/>
      </c>
    </row>
    <row r="431">
      <c r="A431" s="22">
        <f>IF('ESLESTIRME'!$A431="","",'ESLESTIRME'!$A431)</f>
        <v/>
      </c>
      <c r="B431" s="15">
        <f>IF($A431="","",IFERROR(INDEX(tblEslesme[Kova],MATCH($A431,tblEslesme[A_Norm],0)),""))</f>
        <v/>
      </c>
      <c r="C431" s="15">
        <f>IF($A431="","",IFERROR(INDEX(tblEslesme[AbsFark],MATCH($A431,tblEslesme[A_Norm],0)),0))</f>
        <v/>
      </c>
      <c r="D431" s="15">
        <f>IF($A431="","",IFERROR(SUMIF(tblMotor[A_Norm],$A431,tblMotor[DesiKgOran]),0))</f>
        <v/>
      </c>
      <c r="E431" s="15">
        <f>IF($A431="","",IFERROR(SUMIF(tblMotor[A_Norm],$A431,tblMotor[Tasarruf]),0))</f>
        <v/>
      </c>
      <c r="F431" s="15">
        <f>IF($A431="","",IFERROR(SUMIF(tblMotor[A_Norm],$A431,tblMotor[IadeOran]),0))</f>
        <v/>
      </c>
      <c r="G431" s="15">
        <f>IF($A431="","",IFERROR(SUMIF(tblMotor[A_Norm],$A431,tblMotor[BirimKargo]),0))</f>
        <v/>
      </c>
      <c r="H431" s="15">
        <f>IF(OR($A431="",$B431&lt;&gt;"tutar_farki"),"",IF($D431&gt;kdo_esikDesiOran,"KDO-001",IF($F431&gt;kdo_esikIade,"KDO-002",IF($E431&gt;kdo_esikTasarruf,"KDO-004",IF($C431&gt;kdo_esikFark,"KDO-005","TANIMSIZ")))))</f>
        <v/>
      </c>
    </row>
    <row r="432">
      <c r="A432" s="22">
        <f>IF('ESLESTIRME'!$A432="","",'ESLESTIRME'!$A432)</f>
        <v/>
      </c>
      <c r="B432" s="15">
        <f>IF($A432="","",IFERROR(INDEX(tblEslesme[Kova],MATCH($A432,tblEslesme[A_Norm],0)),""))</f>
        <v/>
      </c>
      <c r="C432" s="15">
        <f>IF($A432="","",IFERROR(INDEX(tblEslesme[AbsFark],MATCH($A432,tblEslesme[A_Norm],0)),0))</f>
        <v/>
      </c>
      <c r="D432" s="15">
        <f>IF($A432="","",IFERROR(SUMIF(tblMotor[A_Norm],$A432,tblMotor[DesiKgOran]),0))</f>
        <v/>
      </c>
      <c r="E432" s="15">
        <f>IF($A432="","",IFERROR(SUMIF(tblMotor[A_Norm],$A432,tblMotor[Tasarruf]),0))</f>
        <v/>
      </c>
      <c r="F432" s="15">
        <f>IF($A432="","",IFERROR(SUMIF(tblMotor[A_Norm],$A432,tblMotor[IadeOran]),0))</f>
        <v/>
      </c>
      <c r="G432" s="15">
        <f>IF($A432="","",IFERROR(SUMIF(tblMotor[A_Norm],$A432,tblMotor[BirimKargo]),0))</f>
        <v/>
      </c>
      <c r="H432" s="15">
        <f>IF(OR($A432="",$B432&lt;&gt;"tutar_farki"),"",IF($D432&gt;kdo_esikDesiOran,"KDO-001",IF($F432&gt;kdo_esikIade,"KDO-002",IF($E432&gt;kdo_esikTasarruf,"KDO-004",IF($C432&gt;kdo_esikFark,"KDO-005","TANIMSIZ")))))</f>
        <v/>
      </c>
    </row>
    <row r="433">
      <c r="A433" s="22">
        <f>IF('ESLESTIRME'!$A433="","",'ESLESTIRME'!$A433)</f>
        <v/>
      </c>
      <c r="B433" s="15">
        <f>IF($A433="","",IFERROR(INDEX(tblEslesme[Kova],MATCH($A433,tblEslesme[A_Norm],0)),""))</f>
        <v/>
      </c>
      <c r="C433" s="15">
        <f>IF($A433="","",IFERROR(INDEX(tblEslesme[AbsFark],MATCH($A433,tblEslesme[A_Norm],0)),0))</f>
        <v/>
      </c>
      <c r="D433" s="15">
        <f>IF($A433="","",IFERROR(SUMIF(tblMotor[A_Norm],$A433,tblMotor[DesiKgOran]),0))</f>
        <v/>
      </c>
      <c r="E433" s="15">
        <f>IF($A433="","",IFERROR(SUMIF(tblMotor[A_Norm],$A433,tblMotor[Tasarruf]),0))</f>
        <v/>
      </c>
      <c r="F433" s="15">
        <f>IF($A433="","",IFERROR(SUMIF(tblMotor[A_Norm],$A433,tblMotor[IadeOran]),0))</f>
        <v/>
      </c>
      <c r="G433" s="15">
        <f>IF($A433="","",IFERROR(SUMIF(tblMotor[A_Norm],$A433,tblMotor[BirimKargo]),0))</f>
        <v/>
      </c>
      <c r="H433" s="15">
        <f>IF(OR($A433="",$B433&lt;&gt;"tutar_farki"),"",IF($D433&gt;kdo_esikDesiOran,"KDO-001",IF($F433&gt;kdo_esikIade,"KDO-002",IF($E433&gt;kdo_esikTasarruf,"KDO-004",IF($C433&gt;kdo_esikFark,"KDO-005","TANIMSIZ")))))</f>
        <v/>
      </c>
    </row>
    <row r="434">
      <c r="A434" s="22">
        <f>IF('ESLESTIRME'!$A434="","",'ESLESTIRME'!$A434)</f>
        <v/>
      </c>
      <c r="B434" s="15">
        <f>IF($A434="","",IFERROR(INDEX(tblEslesme[Kova],MATCH($A434,tblEslesme[A_Norm],0)),""))</f>
        <v/>
      </c>
      <c r="C434" s="15">
        <f>IF($A434="","",IFERROR(INDEX(tblEslesme[AbsFark],MATCH($A434,tblEslesme[A_Norm],0)),0))</f>
        <v/>
      </c>
      <c r="D434" s="15">
        <f>IF($A434="","",IFERROR(SUMIF(tblMotor[A_Norm],$A434,tblMotor[DesiKgOran]),0))</f>
        <v/>
      </c>
      <c r="E434" s="15">
        <f>IF($A434="","",IFERROR(SUMIF(tblMotor[A_Norm],$A434,tblMotor[Tasarruf]),0))</f>
        <v/>
      </c>
      <c r="F434" s="15">
        <f>IF($A434="","",IFERROR(SUMIF(tblMotor[A_Norm],$A434,tblMotor[IadeOran]),0))</f>
        <v/>
      </c>
      <c r="G434" s="15">
        <f>IF($A434="","",IFERROR(SUMIF(tblMotor[A_Norm],$A434,tblMotor[BirimKargo]),0))</f>
        <v/>
      </c>
      <c r="H434" s="15">
        <f>IF(OR($A434="",$B434&lt;&gt;"tutar_farki"),"",IF($D434&gt;kdo_esikDesiOran,"KDO-001",IF($F434&gt;kdo_esikIade,"KDO-002",IF($E434&gt;kdo_esikTasarruf,"KDO-004",IF($C434&gt;kdo_esikFark,"KDO-005","TANIMSIZ")))))</f>
        <v/>
      </c>
    </row>
    <row r="435">
      <c r="A435" s="22">
        <f>IF('ESLESTIRME'!$A435="","",'ESLESTIRME'!$A435)</f>
        <v/>
      </c>
      <c r="B435" s="15">
        <f>IF($A435="","",IFERROR(INDEX(tblEslesme[Kova],MATCH($A435,tblEslesme[A_Norm],0)),""))</f>
        <v/>
      </c>
      <c r="C435" s="15">
        <f>IF($A435="","",IFERROR(INDEX(tblEslesme[AbsFark],MATCH($A435,tblEslesme[A_Norm],0)),0))</f>
        <v/>
      </c>
      <c r="D435" s="15">
        <f>IF($A435="","",IFERROR(SUMIF(tblMotor[A_Norm],$A435,tblMotor[DesiKgOran]),0))</f>
        <v/>
      </c>
      <c r="E435" s="15">
        <f>IF($A435="","",IFERROR(SUMIF(tblMotor[A_Norm],$A435,tblMotor[Tasarruf]),0))</f>
        <v/>
      </c>
      <c r="F435" s="15">
        <f>IF($A435="","",IFERROR(SUMIF(tblMotor[A_Norm],$A435,tblMotor[IadeOran]),0))</f>
        <v/>
      </c>
      <c r="G435" s="15">
        <f>IF($A435="","",IFERROR(SUMIF(tblMotor[A_Norm],$A435,tblMotor[BirimKargo]),0))</f>
        <v/>
      </c>
      <c r="H435" s="15">
        <f>IF(OR($A435="",$B435&lt;&gt;"tutar_farki"),"",IF($D435&gt;kdo_esikDesiOran,"KDO-001",IF($F435&gt;kdo_esikIade,"KDO-002",IF($E435&gt;kdo_esikTasarruf,"KDO-004",IF($C435&gt;kdo_esikFark,"KDO-005","TANIMSIZ")))))</f>
        <v/>
      </c>
    </row>
    <row r="436">
      <c r="A436" s="22">
        <f>IF('ESLESTIRME'!$A436="","",'ESLESTIRME'!$A436)</f>
        <v/>
      </c>
      <c r="B436" s="15">
        <f>IF($A436="","",IFERROR(INDEX(tblEslesme[Kova],MATCH($A436,tblEslesme[A_Norm],0)),""))</f>
        <v/>
      </c>
      <c r="C436" s="15">
        <f>IF($A436="","",IFERROR(INDEX(tblEslesme[AbsFark],MATCH($A436,tblEslesme[A_Norm],0)),0))</f>
        <v/>
      </c>
      <c r="D436" s="15">
        <f>IF($A436="","",IFERROR(SUMIF(tblMotor[A_Norm],$A436,tblMotor[DesiKgOran]),0))</f>
        <v/>
      </c>
      <c r="E436" s="15">
        <f>IF($A436="","",IFERROR(SUMIF(tblMotor[A_Norm],$A436,tblMotor[Tasarruf]),0))</f>
        <v/>
      </c>
      <c r="F436" s="15">
        <f>IF($A436="","",IFERROR(SUMIF(tblMotor[A_Norm],$A436,tblMotor[IadeOran]),0))</f>
        <v/>
      </c>
      <c r="G436" s="15">
        <f>IF($A436="","",IFERROR(SUMIF(tblMotor[A_Norm],$A436,tblMotor[BirimKargo]),0))</f>
        <v/>
      </c>
      <c r="H436" s="15">
        <f>IF(OR($A436="",$B436&lt;&gt;"tutar_farki"),"",IF($D436&gt;kdo_esikDesiOran,"KDO-001",IF($F436&gt;kdo_esikIade,"KDO-002",IF($E436&gt;kdo_esikTasarruf,"KDO-004",IF($C436&gt;kdo_esikFark,"KDO-005","TANIMSIZ")))))</f>
        <v/>
      </c>
    </row>
    <row r="437">
      <c r="A437" s="22">
        <f>IF('ESLESTIRME'!$A437="","",'ESLESTIRME'!$A437)</f>
        <v/>
      </c>
      <c r="B437" s="15">
        <f>IF($A437="","",IFERROR(INDEX(tblEslesme[Kova],MATCH($A437,tblEslesme[A_Norm],0)),""))</f>
        <v/>
      </c>
      <c r="C437" s="15">
        <f>IF($A437="","",IFERROR(INDEX(tblEslesme[AbsFark],MATCH($A437,tblEslesme[A_Norm],0)),0))</f>
        <v/>
      </c>
      <c r="D437" s="15">
        <f>IF($A437="","",IFERROR(SUMIF(tblMotor[A_Norm],$A437,tblMotor[DesiKgOran]),0))</f>
        <v/>
      </c>
      <c r="E437" s="15">
        <f>IF($A437="","",IFERROR(SUMIF(tblMotor[A_Norm],$A437,tblMotor[Tasarruf]),0))</f>
        <v/>
      </c>
      <c r="F437" s="15">
        <f>IF($A437="","",IFERROR(SUMIF(tblMotor[A_Norm],$A437,tblMotor[IadeOran]),0))</f>
        <v/>
      </c>
      <c r="G437" s="15">
        <f>IF($A437="","",IFERROR(SUMIF(tblMotor[A_Norm],$A437,tblMotor[BirimKargo]),0))</f>
        <v/>
      </c>
      <c r="H437" s="15">
        <f>IF(OR($A437="",$B437&lt;&gt;"tutar_farki"),"",IF($D437&gt;kdo_esikDesiOran,"KDO-001",IF($F437&gt;kdo_esikIade,"KDO-002",IF($E437&gt;kdo_esikTasarruf,"KDO-004",IF($C437&gt;kdo_esikFark,"KDO-005","TANIMSIZ")))))</f>
        <v/>
      </c>
    </row>
    <row r="438">
      <c r="A438" s="22">
        <f>IF('ESLESTIRME'!$A438="","",'ESLESTIRME'!$A438)</f>
        <v/>
      </c>
      <c r="B438" s="15">
        <f>IF($A438="","",IFERROR(INDEX(tblEslesme[Kova],MATCH($A438,tblEslesme[A_Norm],0)),""))</f>
        <v/>
      </c>
      <c r="C438" s="15">
        <f>IF($A438="","",IFERROR(INDEX(tblEslesme[AbsFark],MATCH($A438,tblEslesme[A_Norm],0)),0))</f>
        <v/>
      </c>
      <c r="D438" s="15">
        <f>IF($A438="","",IFERROR(SUMIF(tblMotor[A_Norm],$A438,tblMotor[DesiKgOran]),0))</f>
        <v/>
      </c>
      <c r="E438" s="15">
        <f>IF($A438="","",IFERROR(SUMIF(tblMotor[A_Norm],$A438,tblMotor[Tasarruf]),0))</f>
        <v/>
      </c>
      <c r="F438" s="15">
        <f>IF($A438="","",IFERROR(SUMIF(tblMotor[A_Norm],$A438,tblMotor[IadeOran]),0))</f>
        <v/>
      </c>
      <c r="G438" s="15">
        <f>IF($A438="","",IFERROR(SUMIF(tblMotor[A_Norm],$A438,tblMotor[BirimKargo]),0))</f>
        <v/>
      </c>
      <c r="H438" s="15">
        <f>IF(OR($A438="",$B438&lt;&gt;"tutar_farki"),"",IF($D438&gt;kdo_esikDesiOran,"KDO-001",IF($F438&gt;kdo_esikIade,"KDO-002",IF($E438&gt;kdo_esikTasarruf,"KDO-004",IF($C438&gt;kdo_esikFark,"KDO-005","TANIMSIZ")))))</f>
        <v/>
      </c>
    </row>
    <row r="439">
      <c r="A439" s="22">
        <f>IF('ESLESTIRME'!$A439="","",'ESLESTIRME'!$A439)</f>
        <v/>
      </c>
      <c r="B439" s="15">
        <f>IF($A439="","",IFERROR(INDEX(tblEslesme[Kova],MATCH($A439,tblEslesme[A_Norm],0)),""))</f>
        <v/>
      </c>
      <c r="C439" s="15">
        <f>IF($A439="","",IFERROR(INDEX(tblEslesme[AbsFark],MATCH($A439,tblEslesme[A_Norm],0)),0))</f>
        <v/>
      </c>
      <c r="D439" s="15">
        <f>IF($A439="","",IFERROR(SUMIF(tblMotor[A_Norm],$A439,tblMotor[DesiKgOran]),0))</f>
        <v/>
      </c>
      <c r="E439" s="15">
        <f>IF($A439="","",IFERROR(SUMIF(tblMotor[A_Norm],$A439,tblMotor[Tasarruf]),0))</f>
        <v/>
      </c>
      <c r="F439" s="15">
        <f>IF($A439="","",IFERROR(SUMIF(tblMotor[A_Norm],$A439,tblMotor[IadeOran]),0))</f>
        <v/>
      </c>
      <c r="G439" s="15">
        <f>IF($A439="","",IFERROR(SUMIF(tblMotor[A_Norm],$A439,tblMotor[BirimKargo]),0))</f>
        <v/>
      </c>
      <c r="H439" s="15">
        <f>IF(OR($A439="",$B439&lt;&gt;"tutar_farki"),"",IF($D439&gt;kdo_esikDesiOran,"KDO-001",IF($F439&gt;kdo_esikIade,"KDO-002",IF($E439&gt;kdo_esikTasarruf,"KDO-004",IF($C439&gt;kdo_esikFark,"KDO-005","TANIMSIZ")))))</f>
        <v/>
      </c>
    </row>
    <row r="440">
      <c r="A440" s="22">
        <f>IF('ESLESTIRME'!$A440="","",'ESLESTIRME'!$A440)</f>
        <v/>
      </c>
      <c r="B440" s="15">
        <f>IF($A440="","",IFERROR(INDEX(tblEslesme[Kova],MATCH($A440,tblEslesme[A_Norm],0)),""))</f>
        <v/>
      </c>
      <c r="C440" s="15">
        <f>IF($A440="","",IFERROR(INDEX(tblEslesme[AbsFark],MATCH($A440,tblEslesme[A_Norm],0)),0))</f>
        <v/>
      </c>
      <c r="D440" s="15">
        <f>IF($A440="","",IFERROR(SUMIF(tblMotor[A_Norm],$A440,tblMotor[DesiKgOran]),0))</f>
        <v/>
      </c>
      <c r="E440" s="15">
        <f>IF($A440="","",IFERROR(SUMIF(tblMotor[A_Norm],$A440,tblMotor[Tasarruf]),0))</f>
        <v/>
      </c>
      <c r="F440" s="15">
        <f>IF($A440="","",IFERROR(SUMIF(tblMotor[A_Norm],$A440,tblMotor[IadeOran]),0))</f>
        <v/>
      </c>
      <c r="G440" s="15">
        <f>IF($A440="","",IFERROR(SUMIF(tblMotor[A_Norm],$A440,tblMotor[BirimKargo]),0))</f>
        <v/>
      </c>
      <c r="H440" s="15">
        <f>IF(OR($A440="",$B440&lt;&gt;"tutar_farki"),"",IF($D440&gt;kdo_esikDesiOran,"KDO-001",IF($F440&gt;kdo_esikIade,"KDO-002",IF($E440&gt;kdo_esikTasarruf,"KDO-004",IF($C440&gt;kdo_esikFark,"KDO-005","TANIMSIZ")))))</f>
        <v/>
      </c>
    </row>
    <row r="441">
      <c r="A441" s="22">
        <f>IF('ESLESTIRME'!$A441="","",'ESLESTIRME'!$A441)</f>
        <v/>
      </c>
      <c r="B441" s="15">
        <f>IF($A441="","",IFERROR(INDEX(tblEslesme[Kova],MATCH($A441,tblEslesme[A_Norm],0)),""))</f>
        <v/>
      </c>
      <c r="C441" s="15">
        <f>IF($A441="","",IFERROR(INDEX(tblEslesme[AbsFark],MATCH($A441,tblEslesme[A_Norm],0)),0))</f>
        <v/>
      </c>
      <c r="D441" s="15">
        <f>IF($A441="","",IFERROR(SUMIF(tblMotor[A_Norm],$A441,tblMotor[DesiKgOran]),0))</f>
        <v/>
      </c>
      <c r="E441" s="15">
        <f>IF($A441="","",IFERROR(SUMIF(tblMotor[A_Norm],$A441,tblMotor[Tasarruf]),0))</f>
        <v/>
      </c>
      <c r="F441" s="15">
        <f>IF($A441="","",IFERROR(SUMIF(tblMotor[A_Norm],$A441,tblMotor[IadeOran]),0))</f>
        <v/>
      </c>
      <c r="G441" s="15">
        <f>IF($A441="","",IFERROR(SUMIF(tblMotor[A_Norm],$A441,tblMotor[BirimKargo]),0))</f>
        <v/>
      </c>
      <c r="H441" s="15">
        <f>IF(OR($A441="",$B441&lt;&gt;"tutar_farki"),"",IF($D441&gt;kdo_esikDesiOran,"KDO-001",IF($F441&gt;kdo_esikIade,"KDO-002",IF($E441&gt;kdo_esikTasarruf,"KDO-004",IF($C441&gt;kdo_esikFark,"KDO-005","TANIMSIZ")))))</f>
        <v/>
      </c>
    </row>
    <row r="442">
      <c r="A442" s="22">
        <f>IF('ESLESTIRME'!$A442="","",'ESLESTIRME'!$A442)</f>
        <v/>
      </c>
      <c r="B442" s="15">
        <f>IF($A442="","",IFERROR(INDEX(tblEslesme[Kova],MATCH($A442,tblEslesme[A_Norm],0)),""))</f>
        <v/>
      </c>
      <c r="C442" s="15">
        <f>IF($A442="","",IFERROR(INDEX(tblEslesme[AbsFark],MATCH($A442,tblEslesme[A_Norm],0)),0))</f>
        <v/>
      </c>
      <c r="D442" s="15">
        <f>IF($A442="","",IFERROR(SUMIF(tblMotor[A_Norm],$A442,tblMotor[DesiKgOran]),0))</f>
        <v/>
      </c>
      <c r="E442" s="15">
        <f>IF($A442="","",IFERROR(SUMIF(tblMotor[A_Norm],$A442,tblMotor[Tasarruf]),0))</f>
        <v/>
      </c>
      <c r="F442" s="15">
        <f>IF($A442="","",IFERROR(SUMIF(tblMotor[A_Norm],$A442,tblMotor[IadeOran]),0))</f>
        <v/>
      </c>
      <c r="G442" s="15">
        <f>IF($A442="","",IFERROR(SUMIF(tblMotor[A_Norm],$A442,tblMotor[BirimKargo]),0))</f>
        <v/>
      </c>
      <c r="H442" s="15">
        <f>IF(OR($A442="",$B442&lt;&gt;"tutar_farki"),"",IF($D442&gt;kdo_esikDesiOran,"KDO-001",IF($F442&gt;kdo_esikIade,"KDO-002",IF($E442&gt;kdo_esikTasarruf,"KDO-004",IF($C442&gt;kdo_esikFark,"KDO-005","TANIMSIZ")))))</f>
        <v/>
      </c>
    </row>
    <row r="443">
      <c r="A443" s="22">
        <f>IF('ESLESTIRME'!$A443="","",'ESLESTIRME'!$A443)</f>
        <v/>
      </c>
      <c r="B443" s="15">
        <f>IF($A443="","",IFERROR(INDEX(tblEslesme[Kova],MATCH($A443,tblEslesme[A_Norm],0)),""))</f>
        <v/>
      </c>
      <c r="C443" s="15">
        <f>IF($A443="","",IFERROR(INDEX(tblEslesme[AbsFark],MATCH($A443,tblEslesme[A_Norm],0)),0))</f>
        <v/>
      </c>
      <c r="D443" s="15">
        <f>IF($A443="","",IFERROR(SUMIF(tblMotor[A_Norm],$A443,tblMotor[DesiKgOran]),0))</f>
        <v/>
      </c>
      <c r="E443" s="15">
        <f>IF($A443="","",IFERROR(SUMIF(tblMotor[A_Norm],$A443,tblMotor[Tasarruf]),0))</f>
        <v/>
      </c>
      <c r="F443" s="15">
        <f>IF($A443="","",IFERROR(SUMIF(tblMotor[A_Norm],$A443,tblMotor[IadeOran]),0))</f>
        <v/>
      </c>
      <c r="G443" s="15">
        <f>IF($A443="","",IFERROR(SUMIF(tblMotor[A_Norm],$A443,tblMotor[BirimKargo]),0))</f>
        <v/>
      </c>
      <c r="H443" s="15">
        <f>IF(OR($A443="",$B443&lt;&gt;"tutar_farki"),"",IF($D443&gt;kdo_esikDesiOran,"KDO-001",IF($F443&gt;kdo_esikIade,"KDO-002",IF($E443&gt;kdo_esikTasarruf,"KDO-004",IF($C443&gt;kdo_esikFark,"KDO-005","TANIMSIZ")))))</f>
        <v/>
      </c>
    </row>
    <row r="444">
      <c r="A444" s="22">
        <f>IF('ESLESTIRME'!$A444="","",'ESLESTIRME'!$A444)</f>
        <v/>
      </c>
      <c r="B444" s="15">
        <f>IF($A444="","",IFERROR(INDEX(tblEslesme[Kova],MATCH($A444,tblEslesme[A_Norm],0)),""))</f>
        <v/>
      </c>
      <c r="C444" s="15">
        <f>IF($A444="","",IFERROR(INDEX(tblEslesme[AbsFark],MATCH($A444,tblEslesme[A_Norm],0)),0))</f>
        <v/>
      </c>
      <c r="D444" s="15">
        <f>IF($A444="","",IFERROR(SUMIF(tblMotor[A_Norm],$A444,tblMotor[DesiKgOran]),0))</f>
        <v/>
      </c>
      <c r="E444" s="15">
        <f>IF($A444="","",IFERROR(SUMIF(tblMotor[A_Norm],$A444,tblMotor[Tasarruf]),0))</f>
        <v/>
      </c>
      <c r="F444" s="15">
        <f>IF($A444="","",IFERROR(SUMIF(tblMotor[A_Norm],$A444,tblMotor[IadeOran]),0))</f>
        <v/>
      </c>
      <c r="G444" s="15">
        <f>IF($A444="","",IFERROR(SUMIF(tblMotor[A_Norm],$A444,tblMotor[BirimKargo]),0))</f>
        <v/>
      </c>
      <c r="H444" s="15">
        <f>IF(OR($A444="",$B444&lt;&gt;"tutar_farki"),"",IF($D444&gt;kdo_esikDesiOran,"KDO-001",IF($F444&gt;kdo_esikIade,"KDO-002",IF($E444&gt;kdo_esikTasarruf,"KDO-004",IF($C444&gt;kdo_esikFark,"KDO-005","TANIMSIZ")))))</f>
        <v/>
      </c>
    </row>
    <row r="445">
      <c r="A445" s="22">
        <f>IF('ESLESTIRME'!$A445="","",'ESLESTIRME'!$A445)</f>
        <v/>
      </c>
      <c r="B445" s="15">
        <f>IF($A445="","",IFERROR(INDEX(tblEslesme[Kova],MATCH($A445,tblEslesme[A_Norm],0)),""))</f>
        <v/>
      </c>
      <c r="C445" s="15">
        <f>IF($A445="","",IFERROR(INDEX(tblEslesme[AbsFark],MATCH($A445,tblEslesme[A_Norm],0)),0))</f>
        <v/>
      </c>
      <c r="D445" s="15">
        <f>IF($A445="","",IFERROR(SUMIF(tblMotor[A_Norm],$A445,tblMotor[DesiKgOran]),0))</f>
        <v/>
      </c>
      <c r="E445" s="15">
        <f>IF($A445="","",IFERROR(SUMIF(tblMotor[A_Norm],$A445,tblMotor[Tasarruf]),0))</f>
        <v/>
      </c>
      <c r="F445" s="15">
        <f>IF($A445="","",IFERROR(SUMIF(tblMotor[A_Norm],$A445,tblMotor[IadeOran]),0))</f>
        <v/>
      </c>
      <c r="G445" s="15">
        <f>IF($A445="","",IFERROR(SUMIF(tblMotor[A_Norm],$A445,tblMotor[BirimKargo]),0))</f>
        <v/>
      </c>
      <c r="H445" s="15">
        <f>IF(OR($A445="",$B445&lt;&gt;"tutar_farki"),"",IF($D445&gt;kdo_esikDesiOran,"KDO-001",IF($F445&gt;kdo_esikIade,"KDO-002",IF($E445&gt;kdo_esikTasarruf,"KDO-004",IF($C445&gt;kdo_esikFark,"KDO-005","TANIMSIZ")))))</f>
        <v/>
      </c>
    </row>
    <row r="446">
      <c r="A446" s="22">
        <f>IF('ESLESTIRME'!$A446="","",'ESLESTIRME'!$A446)</f>
        <v/>
      </c>
      <c r="B446" s="15">
        <f>IF($A446="","",IFERROR(INDEX(tblEslesme[Kova],MATCH($A446,tblEslesme[A_Norm],0)),""))</f>
        <v/>
      </c>
      <c r="C446" s="15">
        <f>IF($A446="","",IFERROR(INDEX(tblEslesme[AbsFark],MATCH($A446,tblEslesme[A_Norm],0)),0))</f>
        <v/>
      </c>
      <c r="D446" s="15">
        <f>IF($A446="","",IFERROR(SUMIF(tblMotor[A_Norm],$A446,tblMotor[DesiKgOran]),0))</f>
        <v/>
      </c>
      <c r="E446" s="15">
        <f>IF($A446="","",IFERROR(SUMIF(tblMotor[A_Norm],$A446,tblMotor[Tasarruf]),0))</f>
        <v/>
      </c>
      <c r="F446" s="15">
        <f>IF($A446="","",IFERROR(SUMIF(tblMotor[A_Norm],$A446,tblMotor[IadeOran]),0))</f>
        <v/>
      </c>
      <c r="G446" s="15">
        <f>IF($A446="","",IFERROR(SUMIF(tblMotor[A_Norm],$A446,tblMotor[BirimKargo]),0))</f>
        <v/>
      </c>
      <c r="H446" s="15">
        <f>IF(OR($A446="",$B446&lt;&gt;"tutar_farki"),"",IF($D446&gt;kdo_esikDesiOran,"KDO-001",IF($F446&gt;kdo_esikIade,"KDO-002",IF($E446&gt;kdo_esikTasarruf,"KDO-004",IF($C446&gt;kdo_esikFark,"KDO-005","TANIMSIZ")))))</f>
        <v/>
      </c>
    </row>
    <row r="447">
      <c r="A447" s="22">
        <f>IF('ESLESTIRME'!$A447="","",'ESLESTIRME'!$A447)</f>
        <v/>
      </c>
      <c r="B447" s="15">
        <f>IF($A447="","",IFERROR(INDEX(tblEslesme[Kova],MATCH($A447,tblEslesme[A_Norm],0)),""))</f>
        <v/>
      </c>
      <c r="C447" s="15">
        <f>IF($A447="","",IFERROR(INDEX(tblEslesme[AbsFark],MATCH($A447,tblEslesme[A_Norm],0)),0))</f>
        <v/>
      </c>
      <c r="D447" s="15">
        <f>IF($A447="","",IFERROR(SUMIF(tblMotor[A_Norm],$A447,tblMotor[DesiKgOran]),0))</f>
        <v/>
      </c>
      <c r="E447" s="15">
        <f>IF($A447="","",IFERROR(SUMIF(tblMotor[A_Norm],$A447,tblMotor[Tasarruf]),0))</f>
        <v/>
      </c>
      <c r="F447" s="15">
        <f>IF($A447="","",IFERROR(SUMIF(tblMotor[A_Norm],$A447,tblMotor[IadeOran]),0))</f>
        <v/>
      </c>
      <c r="G447" s="15">
        <f>IF($A447="","",IFERROR(SUMIF(tblMotor[A_Norm],$A447,tblMotor[BirimKargo]),0))</f>
        <v/>
      </c>
      <c r="H447" s="15">
        <f>IF(OR($A447="",$B447&lt;&gt;"tutar_farki"),"",IF($D447&gt;kdo_esikDesiOran,"KDO-001",IF($F447&gt;kdo_esikIade,"KDO-002",IF($E447&gt;kdo_esikTasarruf,"KDO-004",IF($C447&gt;kdo_esikFark,"KDO-005","TANIMSIZ")))))</f>
        <v/>
      </c>
    </row>
    <row r="448">
      <c r="A448" s="22">
        <f>IF('ESLESTIRME'!$A448="","",'ESLESTIRME'!$A448)</f>
        <v/>
      </c>
      <c r="B448" s="15">
        <f>IF($A448="","",IFERROR(INDEX(tblEslesme[Kova],MATCH($A448,tblEslesme[A_Norm],0)),""))</f>
        <v/>
      </c>
      <c r="C448" s="15">
        <f>IF($A448="","",IFERROR(INDEX(tblEslesme[AbsFark],MATCH($A448,tblEslesme[A_Norm],0)),0))</f>
        <v/>
      </c>
      <c r="D448" s="15">
        <f>IF($A448="","",IFERROR(SUMIF(tblMotor[A_Norm],$A448,tblMotor[DesiKgOran]),0))</f>
        <v/>
      </c>
      <c r="E448" s="15">
        <f>IF($A448="","",IFERROR(SUMIF(tblMotor[A_Norm],$A448,tblMotor[Tasarruf]),0))</f>
        <v/>
      </c>
      <c r="F448" s="15">
        <f>IF($A448="","",IFERROR(SUMIF(tblMotor[A_Norm],$A448,tblMotor[IadeOran]),0))</f>
        <v/>
      </c>
      <c r="G448" s="15">
        <f>IF($A448="","",IFERROR(SUMIF(tblMotor[A_Norm],$A448,tblMotor[BirimKargo]),0))</f>
        <v/>
      </c>
      <c r="H448" s="15">
        <f>IF(OR($A448="",$B448&lt;&gt;"tutar_farki"),"",IF($D448&gt;kdo_esikDesiOran,"KDO-001",IF($F448&gt;kdo_esikIade,"KDO-002",IF($E448&gt;kdo_esikTasarruf,"KDO-004",IF($C448&gt;kdo_esikFark,"KDO-005","TANIMSIZ")))))</f>
        <v/>
      </c>
    </row>
    <row r="449">
      <c r="A449" s="22">
        <f>IF('ESLESTIRME'!$A449="","",'ESLESTIRME'!$A449)</f>
        <v/>
      </c>
      <c r="B449" s="15">
        <f>IF($A449="","",IFERROR(INDEX(tblEslesme[Kova],MATCH($A449,tblEslesme[A_Norm],0)),""))</f>
        <v/>
      </c>
      <c r="C449" s="15">
        <f>IF($A449="","",IFERROR(INDEX(tblEslesme[AbsFark],MATCH($A449,tblEslesme[A_Norm],0)),0))</f>
        <v/>
      </c>
      <c r="D449" s="15">
        <f>IF($A449="","",IFERROR(SUMIF(tblMotor[A_Norm],$A449,tblMotor[DesiKgOran]),0))</f>
        <v/>
      </c>
      <c r="E449" s="15">
        <f>IF($A449="","",IFERROR(SUMIF(tblMotor[A_Norm],$A449,tblMotor[Tasarruf]),0))</f>
        <v/>
      </c>
      <c r="F449" s="15">
        <f>IF($A449="","",IFERROR(SUMIF(tblMotor[A_Norm],$A449,tblMotor[IadeOran]),0))</f>
        <v/>
      </c>
      <c r="G449" s="15">
        <f>IF($A449="","",IFERROR(SUMIF(tblMotor[A_Norm],$A449,tblMotor[BirimKargo]),0))</f>
        <v/>
      </c>
      <c r="H449" s="15">
        <f>IF(OR($A449="",$B449&lt;&gt;"tutar_farki"),"",IF($D449&gt;kdo_esikDesiOran,"KDO-001",IF($F449&gt;kdo_esikIade,"KDO-002",IF($E449&gt;kdo_esikTasarruf,"KDO-004",IF($C449&gt;kdo_esikFark,"KDO-005","TANIMSIZ")))))</f>
        <v/>
      </c>
    </row>
    <row r="450">
      <c r="A450" s="22">
        <f>IF('ESLESTIRME'!$A450="","",'ESLESTIRME'!$A450)</f>
        <v/>
      </c>
      <c r="B450" s="15">
        <f>IF($A450="","",IFERROR(INDEX(tblEslesme[Kova],MATCH($A450,tblEslesme[A_Norm],0)),""))</f>
        <v/>
      </c>
      <c r="C450" s="15">
        <f>IF($A450="","",IFERROR(INDEX(tblEslesme[AbsFark],MATCH($A450,tblEslesme[A_Norm],0)),0))</f>
        <v/>
      </c>
      <c r="D450" s="15">
        <f>IF($A450="","",IFERROR(SUMIF(tblMotor[A_Norm],$A450,tblMotor[DesiKgOran]),0))</f>
        <v/>
      </c>
      <c r="E450" s="15">
        <f>IF($A450="","",IFERROR(SUMIF(tblMotor[A_Norm],$A450,tblMotor[Tasarruf]),0))</f>
        <v/>
      </c>
      <c r="F450" s="15">
        <f>IF($A450="","",IFERROR(SUMIF(tblMotor[A_Norm],$A450,tblMotor[IadeOran]),0))</f>
        <v/>
      </c>
      <c r="G450" s="15">
        <f>IF($A450="","",IFERROR(SUMIF(tblMotor[A_Norm],$A450,tblMotor[BirimKargo]),0))</f>
        <v/>
      </c>
      <c r="H450" s="15">
        <f>IF(OR($A450="",$B450&lt;&gt;"tutar_farki"),"",IF($D450&gt;kdo_esikDesiOran,"KDO-001",IF($F450&gt;kdo_esikIade,"KDO-002",IF($E450&gt;kdo_esikTasarruf,"KDO-004",IF($C450&gt;kdo_esikFark,"KDO-005","TANIMSIZ")))))</f>
        <v/>
      </c>
    </row>
    <row r="451">
      <c r="A451" s="22">
        <f>IF('ESLESTIRME'!$A451="","",'ESLESTIRME'!$A451)</f>
        <v/>
      </c>
      <c r="B451" s="15">
        <f>IF($A451="","",IFERROR(INDEX(tblEslesme[Kova],MATCH($A451,tblEslesme[A_Norm],0)),""))</f>
        <v/>
      </c>
      <c r="C451" s="15">
        <f>IF($A451="","",IFERROR(INDEX(tblEslesme[AbsFark],MATCH($A451,tblEslesme[A_Norm],0)),0))</f>
        <v/>
      </c>
      <c r="D451" s="15">
        <f>IF($A451="","",IFERROR(SUMIF(tblMotor[A_Norm],$A451,tblMotor[DesiKgOran]),0))</f>
        <v/>
      </c>
      <c r="E451" s="15">
        <f>IF($A451="","",IFERROR(SUMIF(tblMotor[A_Norm],$A451,tblMotor[Tasarruf]),0))</f>
        <v/>
      </c>
      <c r="F451" s="15">
        <f>IF($A451="","",IFERROR(SUMIF(tblMotor[A_Norm],$A451,tblMotor[IadeOran]),0))</f>
        <v/>
      </c>
      <c r="G451" s="15">
        <f>IF($A451="","",IFERROR(SUMIF(tblMotor[A_Norm],$A451,tblMotor[BirimKargo]),0))</f>
        <v/>
      </c>
      <c r="H451" s="15">
        <f>IF(OR($A451="",$B451&lt;&gt;"tutar_farki"),"",IF($D451&gt;kdo_esikDesiOran,"KDO-001",IF($F451&gt;kdo_esikIade,"KDO-002",IF($E451&gt;kdo_esikTasarruf,"KDO-004",IF($C451&gt;kdo_esikFark,"KDO-005","TANIMSIZ")))))</f>
        <v/>
      </c>
    </row>
    <row r="452">
      <c r="A452" s="22">
        <f>IF('ESLESTIRME'!$A452="","",'ESLESTIRME'!$A452)</f>
        <v/>
      </c>
      <c r="B452" s="15">
        <f>IF($A452="","",IFERROR(INDEX(tblEslesme[Kova],MATCH($A452,tblEslesme[A_Norm],0)),""))</f>
        <v/>
      </c>
      <c r="C452" s="15">
        <f>IF($A452="","",IFERROR(INDEX(tblEslesme[AbsFark],MATCH($A452,tblEslesme[A_Norm],0)),0))</f>
        <v/>
      </c>
      <c r="D452" s="15">
        <f>IF($A452="","",IFERROR(SUMIF(tblMotor[A_Norm],$A452,tblMotor[DesiKgOran]),0))</f>
        <v/>
      </c>
      <c r="E452" s="15">
        <f>IF($A452="","",IFERROR(SUMIF(tblMotor[A_Norm],$A452,tblMotor[Tasarruf]),0))</f>
        <v/>
      </c>
      <c r="F452" s="15">
        <f>IF($A452="","",IFERROR(SUMIF(tblMotor[A_Norm],$A452,tblMotor[IadeOran]),0))</f>
        <v/>
      </c>
      <c r="G452" s="15">
        <f>IF($A452="","",IFERROR(SUMIF(tblMotor[A_Norm],$A452,tblMotor[BirimKargo]),0))</f>
        <v/>
      </c>
      <c r="H452" s="15">
        <f>IF(OR($A452="",$B452&lt;&gt;"tutar_farki"),"",IF($D452&gt;kdo_esikDesiOran,"KDO-001",IF($F452&gt;kdo_esikIade,"KDO-002",IF($E452&gt;kdo_esikTasarruf,"KDO-004",IF($C452&gt;kdo_esikFark,"KDO-005","TANIMSIZ")))))</f>
        <v/>
      </c>
    </row>
    <row r="453">
      <c r="A453" s="22">
        <f>IF('ESLESTIRME'!$A453="","",'ESLESTIRME'!$A453)</f>
        <v/>
      </c>
      <c r="B453" s="15">
        <f>IF($A453="","",IFERROR(INDEX(tblEslesme[Kova],MATCH($A453,tblEslesme[A_Norm],0)),""))</f>
        <v/>
      </c>
      <c r="C453" s="15">
        <f>IF($A453="","",IFERROR(INDEX(tblEslesme[AbsFark],MATCH($A453,tblEslesme[A_Norm],0)),0))</f>
        <v/>
      </c>
      <c r="D453" s="15">
        <f>IF($A453="","",IFERROR(SUMIF(tblMotor[A_Norm],$A453,tblMotor[DesiKgOran]),0))</f>
        <v/>
      </c>
      <c r="E453" s="15">
        <f>IF($A453="","",IFERROR(SUMIF(tblMotor[A_Norm],$A453,tblMotor[Tasarruf]),0))</f>
        <v/>
      </c>
      <c r="F453" s="15">
        <f>IF($A453="","",IFERROR(SUMIF(tblMotor[A_Norm],$A453,tblMotor[IadeOran]),0))</f>
        <v/>
      </c>
      <c r="G453" s="15">
        <f>IF($A453="","",IFERROR(SUMIF(tblMotor[A_Norm],$A453,tblMotor[BirimKargo]),0))</f>
        <v/>
      </c>
      <c r="H453" s="15">
        <f>IF(OR($A453="",$B453&lt;&gt;"tutar_farki"),"",IF($D453&gt;kdo_esikDesiOran,"KDO-001",IF($F453&gt;kdo_esikIade,"KDO-002",IF($E453&gt;kdo_esikTasarruf,"KDO-004",IF($C453&gt;kdo_esikFark,"KDO-005","TANIMSIZ")))))</f>
        <v/>
      </c>
    </row>
    <row r="454">
      <c r="A454" s="22">
        <f>IF('ESLESTIRME'!$A454="","",'ESLESTIRME'!$A454)</f>
        <v/>
      </c>
      <c r="B454" s="15">
        <f>IF($A454="","",IFERROR(INDEX(tblEslesme[Kova],MATCH($A454,tblEslesme[A_Norm],0)),""))</f>
        <v/>
      </c>
      <c r="C454" s="15">
        <f>IF($A454="","",IFERROR(INDEX(tblEslesme[AbsFark],MATCH($A454,tblEslesme[A_Norm],0)),0))</f>
        <v/>
      </c>
      <c r="D454" s="15">
        <f>IF($A454="","",IFERROR(SUMIF(tblMotor[A_Norm],$A454,tblMotor[DesiKgOran]),0))</f>
        <v/>
      </c>
      <c r="E454" s="15">
        <f>IF($A454="","",IFERROR(SUMIF(tblMotor[A_Norm],$A454,tblMotor[Tasarruf]),0))</f>
        <v/>
      </c>
      <c r="F454" s="15">
        <f>IF($A454="","",IFERROR(SUMIF(tblMotor[A_Norm],$A454,tblMotor[IadeOran]),0))</f>
        <v/>
      </c>
      <c r="G454" s="15">
        <f>IF($A454="","",IFERROR(SUMIF(tblMotor[A_Norm],$A454,tblMotor[BirimKargo]),0))</f>
        <v/>
      </c>
      <c r="H454" s="15">
        <f>IF(OR($A454="",$B454&lt;&gt;"tutar_farki"),"",IF($D454&gt;kdo_esikDesiOran,"KDO-001",IF($F454&gt;kdo_esikIade,"KDO-002",IF($E454&gt;kdo_esikTasarruf,"KDO-004",IF($C454&gt;kdo_esikFark,"KDO-005","TANIMSIZ")))))</f>
        <v/>
      </c>
    </row>
    <row r="455">
      <c r="A455" s="22">
        <f>IF('ESLESTIRME'!$A455="","",'ESLESTIRME'!$A455)</f>
        <v/>
      </c>
      <c r="B455" s="15">
        <f>IF($A455="","",IFERROR(INDEX(tblEslesme[Kova],MATCH($A455,tblEslesme[A_Norm],0)),""))</f>
        <v/>
      </c>
      <c r="C455" s="15">
        <f>IF($A455="","",IFERROR(INDEX(tblEslesme[AbsFark],MATCH($A455,tblEslesme[A_Norm],0)),0))</f>
        <v/>
      </c>
      <c r="D455" s="15">
        <f>IF($A455="","",IFERROR(SUMIF(tblMotor[A_Norm],$A455,tblMotor[DesiKgOran]),0))</f>
        <v/>
      </c>
      <c r="E455" s="15">
        <f>IF($A455="","",IFERROR(SUMIF(tblMotor[A_Norm],$A455,tblMotor[Tasarruf]),0))</f>
        <v/>
      </c>
      <c r="F455" s="15">
        <f>IF($A455="","",IFERROR(SUMIF(tblMotor[A_Norm],$A455,tblMotor[IadeOran]),0))</f>
        <v/>
      </c>
      <c r="G455" s="15">
        <f>IF($A455="","",IFERROR(SUMIF(tblMotor[A_Norm],$A455,tblMotor[BirimKargo]),0))</f>
        <v/>
      </c>
      <c r="H455" s="15">
        <f>IF(OR($A455="",$B455&lt;&gt;"tutar_farki"),"",IF($D455&gt;kdo_esikDesiOran,"KDO-001",IF($F455&gt;kdo_esikIade,"KDO-002",IF($E455&gt;kdo_esikTasarruf,"KDO-004",IF($C455&gt;kdo_esikFark,"KDO-005","TANIMSIZ")))))</f>
        <v/>
      </c>
    </row>
    <row r="456">
      <c r="A456" s="22">
        <f>IF('ESLESTIRME'!$A456="","",'ESLESTIRME'!$A456)</f>
        <v/>
      </c>
      <c r="B456" s="15">
        <f>IF($A456="","",IFERROR(INDEX(tblEslesme[Kova],MATCH($A456,tblEslesme[A_Norm],0)),""))</f>
        <v/>
      </c>
      <c r="C456" s="15">
        <f>IF($A456="","",IFERROR(INDEX(tblEslesme[AbsFark],MATCH($A456,tblEslesme[A_Norm],0)),0))</f>
        <v/>
      </c>
      <c r="D456" s="15">
        <f>IF($A456="","",IFERROR(SUMIF(tblMotor[A_Norm],$A456,tblMotor[DesiKgOran]),0))</f>
        <v/>
      </c>
      <c r="E456" s="15">
        <f>IF($A456="","",IFERROR(SUMIF(tblMotor[A_Norm],$A456,tblMotor[Tasarruf]),0))</f>
        <v/>
      </c>
      <c r="F456" s="15">
        <f>IF($A456="","",IFERROR(SUMIF(tblMotor[A_Norm],$A456,tblMotor[IadeOran]),0))</f>
        <v/>
      </c>
      <c r="G456" s="15">
        <f>IF($A456="","",IFERROR(SUMIF(tblMotor[A_Norm],$A456,tblMotor[BirimKargo]),0))</f>
        <v/>
      </c>
      <c r="H456" s="15">
        <f>IF(OR($A456="",$B456&lt;&gt;"tutar_farki"),"",IF($D456&gt;kdo_esikDesiOran,"KDO-001",IF($F456&gt;kdo_esikIade,"KDO-002",IF($E456&gt;kdo_esikTasarruf,"KDO-004",IF($C456&gt;kdo_esikFark,"KDO-005","TANIMSIZ")))))</f>
        <v/>
      </c>
    </row>
    <row r="457">
      <c r="A457" s="22">
        <f>IF('ESLESTIRME'!$A457="","",'ESLESTIRME'!$A457)</f>
        <v/>
      </c>
      <c r="B457" s="15">
        <f>IF($A457="","",IFERROR(INDEX(tblEslesme[Kova],MATCH($A457,tblEslesme[A_Norm],0)),""))</f>
        <v/>
      </c>
      <c r="C457" s="15">
        <f>IF($A457="","",IFERROR(INDEX(tblEslesme[AbsFark],MATCH($A457,tblEslesme[A_Norm],0)),0))</f>
        <v/>
      </c>
      <c r="D457" s="15">
        <f>IF($A457="","",IFERROR(SUMIF(tblMotor[A_Norm],$A457,tblMotor[DesiKgOran]),0))</f>
        <v/>
      </c>
      <c r="E457" s="15">
        <f>IF($A457="","",IFERROR(SUMIF(tblMotor[A_Norm],$A457,tblMotor[Tasarruf]),0))</f>
        <v/>
      </c>
      <c r="F457" s="15">
        <f>IF($A457="","",IFERROR(SUMIF(tblMotor[A_Norm],$A457,tblMotor[IadeOran]),0))</f>
        <v/>
      </c>
      <c r="G457" s="15">
        <f>IF($A457="","",IFERROR(SUMIF(tblMotor[A_Norm],$A457,tblMotor[BirimKargo]),0))</f>
        <v/>
      </c>
      <c r="H457" s="15">
        <f>IF(OR($A457="",$B457&lt;&gt;"tutar_farki"),"",IF($D457&gt;kdo_esikDesiOran,"KDO-001",IF($F457&gt;kdo_esikIade,"KDO-002",IF($E457&gt;kdo_esikTasarruf,"KDO-004",IF($C457&gt;kdo_esikFark,"KDO-005","TANIMSIZ")))))</f>
        <v/>
      </c>
    </row>
    <row r="458">
      <c r="A458" s="22">
        <f>IF('ESLESTIRME'!$A458="","",'ESLESTIRME'!$A458)</f>
        <v/>
      </c>
      <c r="B458" s="15">
        <f>IF($A458="","",IFERROR(INDEX(tblEslesme[Kova],MATCH($A458,tblEslesme[A_Norm],0)),""))</f>
        <v/>
      </c>
      <c r="C458" s="15">
        <f>IF($A458="","",IFERROR(INDEX(tblEslesme[AbsFark],MATCH($A458,tblEslesme[A_Norm],0)),0))</f>
        <v/>
      </c>
      <c r="D458" s="15">
        <f>IF($A458="","",IFERROR(SUMIF(tblMotor[A_Norm],$A458,tblMotor[DesiKgOran]),0))</f>
        <v/>
      </c>
      <c r="E458" s="15">
        <f>IF($A458="","",IFERROR(SUMIF(tblMotor[A_Norm],$A458,tblMotor[Tasarruf]),0))</f>
        <v/>
      </c>
      <c r="F458" s="15">
        <f>IF($A458="","",IFERROR(SUMIF(tblMotor[A_Norm],$A458,tblMotor[IadeOran]),0))</f>
        <v/>
      </c>
      <c r="G458" s="15">
        <f>IF($A458="","",IFERROR(SUMIF(tblMotor[A_Norm],$A458,tblMotor[BirimKargo]),0))</f>
        <v/>
      </c>
      <c r="H458" s="15">
        <f>IF(OR($A458="",$B458&lt;&gt;"tutar_farki"),"",IF($D458&gt;kdo_esikDesiOran,"KDO-001",IF($F458&gt;kdo_esikIade,"KDO-002",IF($E458&gt;kdo_esikTasarruf,"KDO-004",IF($C458&gt;kdo_esikFark,"KDO-005","TANIMSIZ")))))</f>
        <v/>
      </c>
    </row>
    <row r="459">
      <c r="A459" s="22">
        <f>IF('ESLESTIRME'!$A459="","",'ESLESTIRME'!$A459)</f>
        <v/>
      </c>
      <c r="B459" s="15">
        <f>IF($A459="","",IFERROR(INDEX(tblEslesme[Kova],MATCH($A459,tblEslesme[A_Norm],0)),""))</f>
        <v/>
      </c>
      <c r="C459" s="15">
        <f>IF($A459="","",IFERROR(INDEX(tblEslesme[AbsFark],MATCH($A459,tblEslesme[A_Norm],0)),0))</f>
        <v/>
      </c>
      <c r="D459" s="15">
        <f>IF($A459="","",IFERROR(SUMIF(tblMotor[A_Norm],$A459,tblMotor[DesiKgOran]),0))</f>
        <v/>
      </c>
      <c r="E459" s="15">
        <f>IF($A459="","",IFERROR(SUMIF(tblMotor[A_Norm],$A459,tblMotor[Tasarruf]),0))</f>
        <v/>
      </c>
      <c r="F459" s="15">
        <f>IF($A459="","",IFERROR(SUMIF(tblMotor[A_Norm],$A459,tblMotor[IadeOran]),0))</f>
        <v/>
      </c>
      <c r="G459" s="15">
        <f>IF($A459="","",IFERROR(SUMIF(tblMotor[A_Norm],$A459,tblMotor[BirimKargo]),0))</f>
        <v/>
      </c>
      <c r="H459" s="15">
        <f>IF(OR($A459="",$B459&lt;&gt;"tutar_farki"),"",IF($D459&gt;kdo_esikDesiOran,"KDO-001",IF($F459&gt;kdo_esikIade,"KDO-002",IF($E459&gt;kdo_esikTasarruf,"KDO-004",IF($C459&gt;kdo_esikFark,"KDO-005","TANIMSIZ")))))</f>
        <v/>
      </c>
    </row>
    <row r="460">
      <c r="A460" s="22">
        <f>IF('ESLESTIRME'!$A460="","",'ESLESTIRME'!$A460)</f>
        <v/>
      </c>
      <c r="B460" s="15">
        <f>IF($A460="","",IFERROR(INDEX(tblEslesme[Kova],MATCH($A460,tblEslesme[A_Norm],0)),""))</f>
        <v/>
      </c>
      <c r="C460" s="15">
        <f>IF($A460="","",IFERROR(INDEX(tblEslesme[AbsFark],MATCH($A460,tblEslesme[A_Norm],0)),0))</f>
        <v/>
      </c>
      <c r="D460" s="15">
        <f>IF($A460="","",IFERROR(SUMIF(tblMotor[A_Norm],$A460,tblMotor[DesiKgOran]),0))</f>
        <v/>
      </c>
      <c r="E460" s="15">
        <f>IF($A460="","",IFERROR(SUMIF(tblMotor[A_Norm],$A460,tblMotor[Tasarruf]),0))</f>
        <v/>
      </c>
      <c r="F460" s="15">
        <f>IF($A460="","",IFERROR(SUMIF(tblMotor[A_Norm],$A460,tblMotor[IadeOran]),0))</f>
        <v/>
      </c>
      <c r="G460" s="15">
        <f>IF($A460="","",IFERROR(SUMIF(tblMotor[A_Norm],$A460,tblMotor[BirimKargo]),0))</f>
        <v/>
      </c>
      <c r="H460" s="15">
        <f>IF(OR($A460="",$B460&lt;&gt;"tutar_farki"),"",IF($D460&gt;kdo_esikDesiOran,"KDO-001",IF($F460&gt;kdo_esikIade,"KDO-002",IF($E460&gt;kdo_esikTasarruf,"KDO-004",IF($C460&gt;kdo_esikFark,"KDO-005","TANIMSIZ")))))</f>
        <v/>
      </c>
    </row>
    <row r="461">
      <c r="A461" s="22">
        <f>IF('ESLESTIRME'!$A461="","",'ESLESTIRME'!$A461)</f>
        <v/>
      </c>
      <c r="B461" s="15">
        <f>IF($A461="","",IFERROR(INDEX(tblEslesme[Kova],MATCH($A461,tblEslesme[A_Norm],0)),""))</f>
        <v/>
      </c>
      <c r="C461" s="15">
        <f>IF($A461="","",IFERROR(INDEX(tblEslesme[AbsFark],MATCH($A461,tblEslesme[A_Norm],0)),0))</f>
        <v/>
      </c>
      <c r="D461" s="15">
        <f>IF($A461="","",IFERROR(SUMIF(tblMotor[A_Norm],$A461,tblMotor[DesiKgOran]),0))</f>
        <v/>
      </c>
      <c r="E461" s="15">
        <f>IF($A461="","",IFERROR(SUMIF(tblMotor[A_Norm],$A461,tblMotor[Tasarruf]),0))</f>
        <v/>
      </c>
      <c r="F461" s="15">
        <f>IF($A461="","",IFERROR(SUMIF(tblMotor[A_Norm],$A461,tblMotor[IadeOran]),0))</f>
        <v/>
      </c>
      <c r="G461" s="15">
        <f>IF($A461="","",IFERROR(SUMIF(tblMotor[A_Norm],$A461,tblMotor[BirimKargo]),0))</f>
        <v/>
      </c>
      <c r="H461" s="15">
        <f>IF(OR($A461="",$B461&lt;&gt;"tutar_farki"),"",IF($D461&gt;kdo_esikDesiOran,"KDO-001",IF($F461&gt;kdo_esikIade,"KDO-002",IF($E461&gt;kdo_esikTasarruf,"KDO-004",IF($C461&gt;kdo_esikFark,"KDO-005","TANIMSIZ")))))</f>
        <v/>
      </c>
    </row>
    <row r="462">
      <c r="A462" s="22">
        <f>IF('ESLESTIRME'!$A462="","",'ESLESTIRME'!$A462)</f>
        <v/>
      </c>
      <c r="B462" s="15">
        <f>IF($A462="","",IFERROR(INDEX(tblEslesme[Kova],MATCH($A462,tblEslesme[A_Norm],0)),""))</f>
        <v/>
      </c>
      <c r="C462" s="15">
        <f>IF($A462="","",IFERROR(INDEX(tblEslesme[AbsFark],MATCH($A462,tblEslesme[A_Norm],0)),0))</f>
        <v/>
      </c>
      <c r="D462" s="15">
        <f>IF($A462="","",IFERROR(SUMIF(tblMotor[A_Norm],$A462,tblMotor[DesiKgOran]),0))</f>
        <v/>
      </c>
      <c r="E462" s="15">
        <f>IF($A462="","",IFERROR(SUMIF(tblMotor[A_Norm],$A462,tblMotor[Tasarruf]),0))</f>
        <v/>
      </c>
      <c r="F462" s="15">
        <f>IF($A462="","",IFERROR(SUMIF(tblMotor[A_Norm],$A462,tblMotor[IadeOran]),0))</f>
        <v/>
      </c>
      <c r="G462" s="15">
        <f>IF($A462="","",IFERROR(SUMIF(tblMotor[A_Norm],$A462,tblMotor[BirimKargo]),0))</f>
        <v/>
      </c>
      <c r="H462" s="15">
        <f>IF(OR($A462="",$B462&lt;&gt;"tutar_farki"),"",IF($D462&gt;kdo_esikDesiOran,"KDO-001",IF($F462&gt;kdo_esikIade,"KDO-002",IF($E462&gt;kdo_esikTasarruf,"KDO-004",IF($C462&gt;kdo_esikFark,"KDO-005","TANIMSIZ")))))</f>
        <v/>
      </c>
    </row>
    <row r="463">
      <c r="A463" s="22">
        <f>IF('ESLESTIRME'!$A463="","",'ESLESTIRME'!$A463)</f>
        <v/>
      </c>
      <c r="B463" s="15">
        <f>IF($A463="","",IFERROR(INDEX(tblEslesme[Kova],MATCH($A463,tblEslesme[A_Norm],0)),""))</f>
        <v/>
      </c>
      <c r="C463" s="15">
        <f>IF($A463="","",IFERROR(INDEX(tblEslesme[AbsFark],MATCH($A463,tblEslesme[A_Norm],0)),0))</f>
        <v/>
      </c>
      <c r="D463" s="15">
        <f>IF($A463="","",IFERROR(SUMIF(tblMotor[A_Norm],$A463,tblMotor[DesiKgOran]),0))</f>
        <v/>
      </c>
      <c r="E463" s="15">
        <f>IF($A463="","",IFERROR(SUMIF(tblMotor[A_Norm],$A463,tblMotor[Tasarruf]),0))</f>
        <v/>
      </c>
      <c r="F463" s="15">
        <f>IF($A463="","",IFERROR(SUMIF(tblMotor[A_Norm],$A463,tblMotor[IadeOran]),0))</f>
        <v/>
      </c>
      <c r="G463" s="15">
        <f>IF($A463="","",IFERROR(SUMIF(tblMotor[A_Norm],$A463,tblMotor[BirimKargo]),0))</f>
        <v/>
      </c>
      <c r="H463" s="15">
        <f>IF(OR($A463="",$B463&lt;&gt;"tutar_farki"),"",IF($D463&gt;kdo_esikDesiOran,"KDO-001",IF($F463&gt;kdo_esikIade,"KDO-002",IF($E463&gt;kdo_esikTasarruf,"KDO-004",IF($C463&gt;kdo_esikFark,"KDO-005","TANIMSIZ")))))</f>
        <v/>
      </c>
    </row>
    <row r="464">
      <c r="A464" s="22">
        <f>IF('ESLESTIRME'!$A464="","",'ESLESTIRME'!$A464)</f>
        <v/>
      </c>
      <c r="B464" s="15">
        <f>IF($A464="","",IFERROR(INDEX(tblEslesme[Kova],MATCH($A464,tblEslesme[A_Norm],0)),""))</f>
        <v/>
      </c>
      <c r="C464" s="15">
        <f>IF($A464="","",IFERROR(INDEX(tblEslesme[AbsFark],MATCH($A464,tblEslesme[A_Norm],0)),0))</f>
        <v/>
      </c>
      <c r="D464" s="15">
        <f>IF($A464="","",IFERROR(SUMIF(tblMotor[A_Norm],$A464,tblMotor[DesiKgOran]),0))</f>
        <v/>
      </c>
      <c r="E464" s="15">
        <f>IF($A464="","",IFERROR(SUMIF(tblMotor[A_Norm],$A464,tblMotor[Tasarruf]),0))</f>
        <v/>
      </c>
      <c r="F464" s="15">
        <f>IF($A464="","",IFERROR(SUMIF(tblMotor[A_Norm],$A464,tblMotor[IadeOran]),0))</f>
        <v/>
      </c>
      <c r="G464" s="15">
        <f>IF($A464="","",IFERROR(SUMIF(tblMotor[A_Norm],$A464,tblMotor[BirimKargo]),0))</f>
        <v/>
      </c>
      <c r="H464" s="15">
        <f>IF(OR($A464="",$B464&lt;&gt;"tutar_farki"),"",IF($D464&gt;kdo_esikDesiOran,"KDO-001",IF($F464&gt;kdo_esikIade,"KDO-002",IF($E464&gt;kdo_esikTasarruf,"KDO-004",IF($C464&gt;kdo_esikFark,"KDO-005","TANIMSIZ")))))</f>
        <v/>
      </c>
    </row>
    <row r="465">
      <c r="A465" s="22">
        <f>IF('ESLESTIRME'!$A465="","",'ESLESTIRME'!$A465)</f>
        <v/>
      </c>
      <c r="B465" s="15">
        <f>IF($A465="","",IFERROR(INDEX(tblEslesme[Kova],MATCH($A465,tblEslesme[A_Norm],0)),""))</f>
        <v/>
      </c>
      <c r="C465" s="15">
        <f>IF($A465="","",IFERROR(INDEX(tblEslesme[AbsFark],MATCH($A465,tblEslesme[A_Norm],0)),0))</f>
        <v/>
      </c>
      <c r="D465" s="15">
        <f>IF($A465="","",IFERROR(SUMIF(tblMotor[A_Norm],$A465,tblMotor[DesiKgOran]),0))</f>
        <v/>
      </c>
      <c r="E465" s="15">
        <f>IF($A465="","",IFERROR(SUMIF(tblMotor[A_Norm],$A465,tblMotor[Tasarruf]),0))</f>
        <v/>
      </c>
      <c r="F465" s="15">
        <f>IF($A465="","",IFERROR(SUMIF(tblMotor[A_Norm],$A465,tblMotor[IadeOran]),0))</f>
        <v/>
      </c>
      <c r="G465" s="15">
        <f>IF($A465="","",IFERROR(SUMIF(tblMotor[A_Norm],$A465,tblMotor[BirimKargo]),0))</f>
        <v/>
      </c>
      <c r="H465" s="15">
        <f>IF(OR($A465="",$B465&lt;&gt;"tutar_farki"),"",IF($D465&gt;kdo_esikDesiOran,"KDO-001",IF($F465&gt;kdo_esikIade,"KDO-002",IF($E465&gt;kdo_esikTasarruf,"KDO-004",IF($C465&gt;kdo_esikFark,"KDO-005","TANIMSIZ")))))</f>
        <v/>
      </c>
    </row>
    <row r="466">
      <c r="A466" s="22">
        <f>IF('ESLESTIRME'!$A466="","",'ESLESTIRME'!$A466)</f>
        <v/>
      </c>
      <c r="B466" s="15">
        <f>IF($A466="","",IFERROR(INDEX(tblEslesme[Kova],MATCH($A466,tblEslesme[A_Norm],0)),""))</f>
        <v/>
      </c>
      <c r="C466" s="15">
        <f>IF($A466="","",IFERROR(INDEX(tblEslesme[AbsFark],MATCH($A466,tblEslesme[A_Norm],0)),0))</f>
        <v/>
      </c>
      <c r="D466" s="15">
        <f>IF($A466="","",IFERROR(SUMIF(tblMotor[A_Norm],$A466,tblMotor[DesiKgOran]),0))</f>
        <v/>
      </c>
      <c r="E466" s="15">
        <f>IF($A466="","",IFERROR(SUMIF(tblMotor[A_Norm],$A466,tblMotor[Tasarruf]),0))</f>
        <v/>
      </c>
      <c r="F466" s="15">
        <f>IF($A466="","",IFERROR(SUMIF(tblMotor[A_Norm],$A466,tblMotor[IadeOran]),0))</f>
        <v/>
      </c>
      <c r="G466" s="15">
        <f>IF($A466="","",IFERROR(SUMIF(tblMotor[A_Norm],$A466,tblMotor[BirimKargo]),0))</f>
        <v/>
      </c>
      <c r="H466" s="15">
        <f>IF(OR($A466="",$B466&lt;&gt;"tutar_farki"),"",IF($D466&gt;kdo_esikDesiOran,"KDO-001",IF($F466&gt;kdo_esikIade,"KDO-002",IF($E466&gt;kdo_esikTasarruf,"KDO-004",IF($C466&gt;kdo_esikFark,"KDO-005","TANIMSIZ")))))</f>
        <v/>
      </c>
    </row>
    <row r="467">
      <c r="A467" s="22">
        <f>IF('ESLESTIRME'!$A467="","",'ESLESTIRME'!$A467)</f>
        <v/>
      </c>
      <c r="B467" s="15">
        <f>IF($A467="","",IFERROR(INDEX(tblEslesme[Kova],MATCH($A467,tblEslesme[A_Norm],0)),""))</f>
        <v/>
      </c>
      <c r="C467" s="15">
        <f>IF($A467="","",IFERROR(INDEX(tblEslesme[AbsFark],MATCH($A467,tblEslesme[A_Norm],0)),0))</f>
        <v/>
      </c>
      <c r="D467" s="15">
        <f>IF($A467="","",IFERROR(SUMIF(tblMotor[A_Norm],$A467,tblMotor[DesiKgOran]),0))</f>
        <v/>
      </c>
      <c r="E467" s="15">
        <f>IF($A467="","",IFERROR(SUMIF(tblMotor[A_Norm],$A467,tblMotor[Tasarruf]),0))</f>
        <v/>
      </c>
      <c r="F467" s="15">
        <f>IF($A467="","",IFERROR(SUMIF(tblMotor[A_Norm],$A467,tblMotor[IadeOran]),0))</f>
        <v/>
      </c>
      <c r="G467" s="15">
        <f>IF($A467="","",IFERROR(SUMIF(tblMotor[A_Norm],$A467,tblMotor[BirimKargo]),0))</f>
        <v/>
      </c>
      <c r="H467" s="15">
        <f>IF(OR($A467="",$B467&lt;&gt;"tutar_farki"),"",IF($D467&gt;kdo_esikDesiOran,"KDO-001",IF($F467&gt;kdo_esikIade,"KDO-002",IF($E467&gt;kdo_esikTasarruf,"KDO-004",IF($C467&gt;kdo_esikFark,"KDO-005","TANIMSIZ")))))</f>
        <v/>
      </c>
    </row>
    <row r="468">
      <c r="A468" s="22">
        <f>IF('ESLESTIRME'!$A468="","",'ESLESTIRME'!$A468)</f>
        <v/>
      </c>
      <c r="B468" s="15">
        <f>IF($A468="","",IFERROR(INDEX(tblEslesme[Kova],MATCH($A468,tblEslesme[A_Norm],0)),""))</f>
        <v/>
      </c>
      <c r="C468" s="15">
        <f>IF($A468="","",IFERROR(INDEX(tblEslesme[AbsFark],MATCH($A468,tblEslesme[A_Norm],0)),0))</f>
        <v/>
      </c>
      <c r="D468" s="15">
        <f>IF($A468="","",IFERROR(SUMIF(tblMotor[A_Norm],$A468,tblMotor[DesiKgOran]),0))</f>
        <v/>
      </c>
      <c r="E468" s="15">
        <f>IF($A468="","",IFERROR(SUMIF(tblMotor[A_Norm],$A468,tblMotor[Tasarruf]),0))</f>
        <v/>
      </c>
      <c r="F468" s="15">
        <f>IF($A468="","",IFERROR(SUMIF(tblMotor[A_Norm],$A468,tblMotor[IadeOran]),0))</f>
        <v/>
      </c>
      <c r="G468" s="15">
        <f>IF($A468="","",IFERROR(SUMIF(tblMotor[A_Norm],$A468,tblMotor[BirimKargo]),0))</f>
        <v/>
      </c>
      <c r="H468" s="15">
        <f>IF(OR($A468="",$B468&lt;&gt;"tutar_farki"),"",IF($D468&gt;kdo_esikDesiOran,"KDO-001",IF($F468&gt;kdo_esikIade,"KDO-002",IF($E468&gt;kdo_esikTasarruf,"KDO-004",IF($C468&gt;kdo_esikFark,"KDO-005","TANIMSIZ")))))</f>
        <v/>
      </c>
    </row>
    <row r="469">
      <c r="A469" s="22">
        <f>IF('ESLESTIRME'!$A469="","",'ESLESTIRME'!$A469)</f>
        <v/>
      </c>
      <c r="B469" s="15">
        <f>IF($A469="","",IFERROR(INDEX(tblEslesme[Kova],MATCH($A469,tblEslesme[A_Norm],0)),""))</f>
        <v/>
      </c>
      <c r="C469" s="15">
        <f>IF($A469="","",IFERROR(INDEX(tblEslesme[AbsFark],MATCH($A469,tblEslesme[A_Norm],0)),0))</f>
        <v/>
      </c>
      <c r="D469" s="15">
        <f>IF($A469="","",IFERROR(SUMIF(tblMotor[A_Norm],$A469,tblMotor[DesiKgOran]),0))</f>
        <v/>
      </c>
      <c r="E469" s="15">
        <f>IF($A469="","",IFERROR(SUMIF(tblMotor[A_Norm],$A469,tblMotor[Tasarruf]),0))</f>
        <v/>
      </c>
      <c r="F469" s="15">
        <f>IF($A469="","",IFERROR(SUMIF(tblMotor[A_Norm],$A469,tblMotor[IadeOran]),0))</f>
        <v/>
      </c>
      <c r="G469" s="15">
        <f>IF($A469="","",IFERROR(SUMIF(tblMotor[A_Norm],$A469,tblMotor[BirimKargo]),0))</f>
        <v/>
      </c>
      <c r="H469" s="15">
        <f>IF(OR($A469="",$B469&lt;&gt;"tutar_farki"),"",IF($D469&gt;kdo_esikDesiOran,"KDO-001",IF($F469&gt;kdo_esikIade,"KDO-002",IF($E469&gt;kdo_esikTasarruf,"KDO-004",IF($C469&gt;kdo_esikFark,"KDO-005","TANIMSIZ")))))</f>
        <v/>
      </c>
    </row>
    <row r="470">
      <c r="A470" s="22">
        <f>IF('ESLESTIRME'!$A470="","",'ESLESTIRME'!$A470)</f>
        <v/>
      </c>
      <c r="B470" s="15">
        <f>IF($A470="","",IFERROR(INDEX(tblEslesme[Kova],MATCH($A470,tblEslesme[A_Norm],0)),""))</f>
        <v/>
      </c>
      <c r="C470" s="15">
        <f>IF($A470="","",IFERROR(INDEX(tblEslesme[AbsFark],MATCH($A470,tblEslesme[A_Norm],0)),0))</f>
        <v/>
      </c>
      <c r="D470" s="15">
        <f>IF($A470="","",IFERROR(SUMIF(tblMotor[A_Norm],$A470,tblMotor[DesiKgOran]),0))</f>
        <v/>
      </c>
      <c r="E470" s="15">
        <f>IF($A470="","",IFERROR(SUMIF(tblMotor[A_Norm],$A470,tblMotor[Tasarruf]),0))</f>
        <v/>
      </c>
      <c r="F470" s="15">
        <f>IF($A470="","",IFERROR(SUMIF(tblMotor[A_Norm],$A470,tblMotor[IadeOran]),0))</f>
        <v/>
      </c>
      <c r="G470" s="15">
        <f>IF($A470="","",IFERROR(SUMIF(tblMotor[A_Norm],$A470,tblMotor[BirimKargo]),0))</f>
        <v/>
      </c>
      <c r="H470" s="15">
        <f>IF(OR($A470="",$B470&lt;&gt;"tutar_farki"),"",IF($D470&gt;kdo_esikDesiOran,"KDO-001",IF($F470&gt;kdo_esikIade,"KDO-002",IF($E470&gt;kdo_esikTasarruf,"KDO-004",IF($C470&gt;kdo_esikFark,"KDO-005","TANIMSIZ")))))</f>
        <v/>
      </c>
    </row>
    <row r="471">
      <c r="A471" s="22">
        <f>IF('ESLESTIRME'!$A471="","",'ESLESTIRME'!$A471)</f>
        <v/>
      </c>
      <c r="B471" s="15">
        <f>IF($A471="","",IFERROR(INDEX(tblEslesme[Kova],MATCH($A471,tblEslesme[A_Norm],0)),""))</f>
        <v/>
      </c>
      <c r="C471" s="15">
        <f>IF($A471="","",IFERROR(INDEX(tblEslesme[AbsFark],MATCH($A471,tblEslesme[A_Norm],0)),0))</f>
        <v/>
      </c>
      <c r="D471" s="15">
        <f>IF($A471="","",IFERROR(SUMIF(tblMotor[A_Norm],$A471,tblMotor[DesiKgOran]),0))</f>
        <v/>
      </c>
      <c r="E471" s="15">
        <f>IF($A471="","",IFERROR(SUMIF(tblMotor[A_Norm],$A471,tblMotor[Tasarruf]),0))</f>
        <v/>
      </c>
      <c r="F471" s="15">
        <f>IF($A471="","",IFERROR(SUMIF(tblMotor[A_Norm],$A471,tblMotor[IadeOran]),0))</f>
        <v/>
      </c>
      <c r="G471" s="15">
        <f>IF($A471="","",IFERROR(SUMIF(tblMotor[A_Norm],$A471,tblMotor[BirimKargo]),0))</f>
        <v/>
      </c>
      <c r="H471" s="15">
        <f>IF(OR($A471="",$B471&lt;&gt;"tutar_farki"),"",IF($D471&gt;kdo_esikDesiOran,"KDO-001",IF($F471&gt;kdo_esikIade,"KDO-002",IF($E471&gt;kdo_esikTasarruf,"KDO-004",IF($C471&gt;kdo_esikFark,"KDO-005","TANIMSIZ")))))</f>
        <v/>
      </c>
    </row>
    <row r="472">
      <c r="A472" s="22">
        <f>IF('ESLESTIRME'!$A472="","",'ESLESTIRME'!$A472)</f>
        <v/>
      </c>
      <c r="B472" s="15">
        <f>IF($A472="","",IFERROR(INDEX(tblEslesme[Kova],MATCH($A472,tblEslesme[A_Norm],0)),""))</f>
        <v/>
      </c>
      <c r="C472" s="15">
        <f>IF($A472="","",IFERROR(INDEX(tblEslesme[AbsFark],MATCH($A472,tblEslesme[A_Norm],0)),0))</f>
        <v/>
      </c>
      <c r="D472" s="15">
        <f>IF($A472="","",IFERROR(SUMIF(tblMotor[A_Norm],$A472,tblMotor[DesiKgOran]),0))</f>
        <v/>
      </c>
      <c r="E472" s="15">
        <f>IF($A472="","",IFERROR(SUMIF(tblMotor[A_Norm],$A472,tblMotor[Tasarruf]),0))</f>
        <v/>
      </c>
      <c r="F472" s="15">
        <f>IF($A472="","",IFERROR(SUMIF(tblMotor[A_Norm],$A472,tblMotor[IadeOran]),0))</f>
        <v/>
      </c>
      <c r="G472" s="15">
        <f>IF($A472="","",IFERROR(SUMIF(tblMotor[A_Norm],$A472,tblMotor[BirimKargo]),0))</f>
        <v/>
      </c>
      <c r="H472" s="15">
        <f>IF(OR($A472="",$B472&lt;&gt;"tutar_farki"),"",IF($D472&gt;kdo_esikDesiOran,"KDO-001",IF($F472&gt;kdo_esikIade,"KDO-002",IF($E472&gt;kdo_esikTasarruf,"KDO-004",IF($C472&gt;kdo_esikFark,"KDO-005","TANIMSIZ")))))</f>
        <v/>
      </c>
    </row>
    <row r="473">
      <c r="A473" s="22">
        <f>IF('ESLESTIRME'!$A473="","",'ESLESTIRME'!$A473)</f>
        <v/>
      </c>
      <c r="B473" s="15">
        <f>IF($A473="","",IFERROR(INDEX(tblEslesme[Kova],MATCH($A473,tblEslesme[A_Norm],0)),""))</f>
        <v/>
      </c>
      <c r="C473" s="15">
        <f>IF($A473="","",IFERROR(INDEX(tblEslesme[AbsFark],MATCH($A473,tblEslesme[A_Norm],0)),0))</f>
        <v/>
      </c>
      <c r="D473" s="15">
        <f>IF($A473="","",IFERROR(SUMIF(tblMotor[A_Norm],$A473,tblMotor[DesiKgOran]),0))</f>
        <v/>
      </c>
      <c r="E473" s="15">
        <f>IF($A473="","",IFERROR(SUMIF(tblMotor[A_Norm],$A473,tblMotor[Tasarruf]),0))</f>
        <v/>
      </c>
      <c r="F473" s="15">
        <f>IF($A473="","",IFERROR(SUMIF(tblMotor[A_Norm],$A473,tblMotor[IadeOran]),0))</f>
        <v/>
      </c>
      <c r="G473" s="15">
        <f>IF($A473="","",IFERROR(SUMIF(tblMotor[A_Norm],$A473,tblMotor[BirimKargo]),0))</f>
        <v/>
      </c>
      <c r="H473" s="15">
        <f>IF(OR($A473="",$B473&lt;&gt;"tutar_farki"),"",IF($D473&gt;kdo_esikDesiOran,"KDO-001",IF($F473&gt;kdo_esikIade,"KDO-002",IF($E473&gt;kdo_esikTasarruf,"KDO-004",IF($C473&gt;kdo_esikFark,"KDO-005","TANIMSIZ")))))</f>
        <v/>
      </c>
    </row>
    <row r="474">
      <c r="A474" s="22">
        <f>IF('ESLESTIRME'!$A474="","",'ESLESTIRME'!$A474)</f>
        <v/>
      </c>
      <c r="B474" s="15">
        <f>IF($A474="","",IFERROR(INDEX(tblEslesme[Kova],MATCH($A474,tblEslesme[A_Norm],0)),""))</f>
        <v/>
      </c>
      <c r="C474" s="15">
        <f>IF($A474="","",IFERROR(INDEX(tblEslesme[AbsFark],MATCH($A474,tblEslesme[A_Norm],0)),0))</f>
        <v/>
      </c>
      <c r="D474" s="15">
        <f>IF($A474="","",IFERROR(SUMIF(tblMotor[A_Norm],$A474,tblMotor[DesiKgOran]),0))</f>
        <v/>
      </c>
      <c r="E474" s="15">
        <f>IF($A474="","",IFERROR(SUMIF(tblMotor[A_Norm],$A474,tblMotor[Tasarruf]),0))</f>
        <v/>
      </c>
      <c r="F474" s="15">
        <f>IF($A474="","",IFERROR(SUMIF(tblMotor[A_Norm],$A474,tblMotor[IadeOran]),0))</f>
        <v/>
      </c>
      <c r="G474" s="15">
        <f>IF($A474="","",IFERROR(SUMIF(tblMotor[A_Norm],$A474,tblMotor[BirimKargo]),0))</f>
        <v/>
      </c>
      <c r="H474" s="15">
        <f>IF(OR($A474="",$B474&lt;&gt;"tutar_farki"),"",IF($D474&gt;kdo_esikDesiOran,"KDO-001",IF($F474&gt;kdo_esikIade,"KDO-002",IF($E474&gt;kdo_esikTasarruf,"KDO-004",IF($C474&gt;kdo_esikFark,"KDO-005","TANIMSIZ")))))</f>
        <v/>
      </c>
    </row>
    <row r="475">
      <c r="A475" s="22">
        <f>IF('ESLESTIRME'!$A475="","",'ESLESTIRME'!$A475)</f>
        <v/>
      </c>
      <c r="B475" s="15">
        <f>IF($A475="","",IFERROR(INDEX(tblEslesme[Kova],MATCH($A475,tblEslesme[A_Norm],0)),""))</f>
        <v/>
      </c>
      <c r="C475" s="15">
        <f>IF($A475="","",IFERROR(INDEX(tblEslesme[AbsFark],MATCH($A475,tblEslesme[A_Norm],0)),0))</f>
        <v/>
      </c>
      <c r="D475" s="15">
        <f>IF($A475="","",IFERROR(SUMIF(tblMotor[A_Norm],$A475,tblMotor[DesiKgOran]),0))</f>
        <v/>
      </c>
      <c r="E475" s="15">
        <f>IF($A475="","",IFERROR(SUMIF(tblMotor[A_Norm],$A475,tblMotor[Tasarruf]),0))</f>
        <v/>
      </c>
      <c r="F475" s="15">
        <f>IF($A475="","",IFERROR(SUMIF(tblMotor[A_Norm],$A475,tblMotor[IadeOran]),0))</f>
        <v/>
      </c>
      <c r="G475" s="15">
        <f>IF($A475="","",IFERROR(SUMIF(tblMotor[A_Norm],$A475,tblMotor[BirimKargo]),0))</f>
        <v/>
      </c>
      <c r="H475" s="15">
        <f>IF(OR($A475="",$B475&lt;&gt;"tutar_farki"),"",IF($D475&gt;kdo_esikDesiOran,"KDO-001",IF($F475&gt;kdo_esikIade,"KDO-002",IF($E475&gt;kdo_esikTasarruf,"KDO-004",IF($C475&gt;kdo_esikFark,"KDO-005","TANIMSIZ")))))</f>
        <v/>
      </c>
    </row>
    <row r="476">
      <c r="A476" s="22">
        <f>IF('ESLESTIRME'!$A476="","",'ESLESTIRME'!$A476)</f>
        <v/>
      </c>
      <c r="B476" s="15">
        <f>IF($A476="","",IFERROR(INDEX(tblEslesme[Kova],MATCH($A476,tblEslesme[A_Norm],0)),""))</f>
        <v/>
      </c>
      <c r="C476" s="15">
        <f>IF($A476="","",IFERROR(INDEX(tblEslesme[AbsFark],MATCH($A476,tblEslesme[A_Norm],0)),0))</f>
        <v/>
      </c>
      <c r="D476" s="15">
        <f>IF($A476="","",IFERROR(SUMIF(tblMotor[A_Norm],$A476,tblMotor[DesiKgOran]),0))</f>
        <v/>
      </c>
      <c r="E476" s="15">
        <f>IF($A476="","",IFERROR(SUMIF(tblMotor[A_Norm],$A476,tblMotor[Tasarruf]),0))</f>
        <v/>
      </c>
      <c r="F476" s="15">
        <f>IF($A476="","",IFERROR(SUMIF(tblMotor[A_Norm],$A476,tblMotor[IadeOran]),0))</f>
        <v/>
      </c>
      <c r="G476" s="15">
        <f>IF($A476="","",IFERROR(SUMIF(tblMotor[A_Norm],$A476,tblMotor[BirimKargo]),0))</f>
        <v/>
      </c>
      <c r="H476" s="15">
        <f>IF(OR($A476="",$B476&lt;&gt;"tutar_farki"),"",IF($D476&gt;kdo_esikDesiOran,"KDO-001",IF($F476&gt;kdo_esikIade,"KDO-002",IF($E476&gt;kdo_esikTasarruf,"KDO-004",IF($C476&gt;kdo_esikFark,"KDO-005","TANIMSIZ")))))</f>
        <v/>
      </c>
    </row>
    <row r="477">
      <c r="A477" s="22">
        <f>IF('ESLESTIRME'!$A477="","",'ESLESTIRME'!$A477)</f>
        <v/>
      </c>
      <c r="B477" s="15">
        <f>IF($A477="","",IFERROR(INDEX(tblEslesme[Kova],MATCH($A477,tblEslesme[A_Norm],0)),""))</f>
        <v/>
      </c>
      <c r="C477" s="15">
        <f>IF($A477="","",IFERROR(INDEX(tblEslesme[AbsFark],MATCH($A477,tblEslesme[A_Norm],0)),0))</f>
        <v/>
      </c>
      <c r="D477" s="15">
        <f>IF($A477="","",IFERROR(SUMIF(tblMotor[A_Norm],$A477,tblMotor[DesiKgOran]),0))</f>
        <v/>
      </c>
      <c r="E477" s="15">
        <f>IF($A477="","",IFERROR(SUMIF(tblMotor[A_Norm],$A477,tblMotor[Tasarruf]),0))</f>
        <v/>
      </c>
      <c r="F477" s="15">
        <f>IF($A477="","",IFERROR(SUMIF(tblMotor[A_Norm],$A477,tblMotor[IadeOran]),0))</f>
        <v/>
      </c>
      <c r="G477" s="15">
        <f>IF($A477="","",IFERROR(SUMIF(tblMotor[A_Norm],$A477,tblMotor[BirimKargo]),0))</f>
        <v/>
      </c>
      <c r="H477" s="15">
        <f>IF(OR($A477="",$B477&lt;&gt;"tutar_farki"),"",IF($D477&gt;kdo_esikDesiOran,"KDO-001",IF($F477&gt;kdo_esikIade,"KDO-002",IF($E477&gt;kdo_esikTasarruf,"KDO-004",IF($C477&gt;kdo_esikFark,"KDO-005","TANIMSIZ")))))</f>
        <v/>
      </c>
    </row>
    <row r="478">
      <c r="A478" s="22">
        <f>IF('ESLESTIRME'!$A478="","",'ESLESTIRME'!$A478)</f>
        <v/>
      </c>
      <c r="B478" s="15">
        <f>IF($A478="","",IFERROR(INDEX(tblEslesme[Kova],MATCH($A478,tblEslesme[A_Norm],0)),""))</f>
        <v/>
      </c>
      <c r="C478" s="15">
        <f>IF($A478="","",IFERROR(INDEX(tblEslesme[AbsFark],MATCH($A478,tblEslesme[A_Norm],0)),0))</f>
        <v/>
      </c>
      <c r="D478" s="15">
        <f>IF($A478="","",IFERROR(SUMIF(tblMotor[A_Norm],$A478,tblMotor[DesiKgOran]),0))</f>
        <v/>
      </c>
      <c r="E478" s="15">
        <f>IF($A478="","",IFERROR(SUMIF(tblMotor[A_Norm],$A478,tblMotor[Tasarruf]),0))</f>
        <v/>
      </c>
      <c r="F478" s="15">
        <f>IF($A478="","",IFERROR(SUMIF(tblMotor[A_Norm],$A478,tblMotor[IadeOran]),0))</f>
        <v/>
      </c>
      <c r="G478" s="15">
        <f>IF($A478="","",IFERROR(SUMIF(tblMotor[A_Norm],$A478,tblMotor[BirimKargo]),0))</f>
        <v/>
      </c>
      <c r="H478" s="15">
        <f>IF(OR($A478="",$B478&lt;&gt;"tutar_farki"),"",IF($D478&gt;kdo_esikDesiOran,"KDO-001",IF($F478&gt;kdo_esikIade,"KDO-002",IF($E478&gt;kdo_esikTasarruf,"KDO-004",IF($C478&gt;kdo_esikFark,"KDO-005","TANIMSIZ")))))</f>
        <v/>
      </c>
    </row>
    <row r="479">
      <c r="A479" s="22">
        <f>IF('ESLESTIRME'!$A479="","",'ESLESTIRME'!$A479)</f>
        <v/>
      </c>
      <c r="B479" s="15">
        <f>IF($A479="","",IFERROR(INDEX(tblEslesme[Kova],MATCH($A479,tblEslesme[A_Norm],0)),""))</f>
        <v/>
      </c>
      <c r="C479" s="15">
        <f>IF($A479="","",IFERROR(INDEX(tblEslesme[AbsFark],MATCH($A479,tblEslesme[A_Norm],0)),0))</f>
        <v/>
      </c>
      <c r="D479" s="15">
        <f>IF($A479="","",IFERROR(SUMIF(tblMotor[A_Norm],$A479,tblMotor[DesiKgOran]),0))</f>
        <v/>
      </c>
      <c r="E479" s="15">
        <f>IF($A479="","",IFERROR(SUMIF(tblMotor[A_Norm],$A479,tblMotor[Tasarruf]),0))</f>
        <v/>
      </c>
      <c r="F479" s="15">
        <f>IF($A479="","",IFERROR(SUMIF(tblMotor[A_Norm],$A479,tblMotor[IadeOran]),0))</f>
        <v/>
      </c>
      <c r="G479" s="15">
        <f>IF($A479="","",IFERROR(SUMIF(tblMotor[A_Norm],$A479,tblMotor[BirimKargo]),0))</f>
        <v/>
      </c>
      <c r="H479" s="15">
        <f>IF(OR($A479="",$B479&lt;&gt;"tutar_farki"),"",IF($D479&gt;kdo_esikDesiOran,"KDO-001",IF($F479&gt;kdo_esikIade,"KDO-002",IF($E479&gt;kdo_esikTasarruf,"KDO-004",IF($C479&gt;kdo_esikFark,"KDO-005","TANIMSIZ")))))</f>
        <v/>
      </c>
    </row>
    <row r="480">
      <c r="A480" s="22">
        <f>IF('ESLESTIRME'!$A480="","",'ESLESTIRME'!$A480)</f>
        <v/>
      </c>
      <c r="B480" s="15">
        <f>IF($A480="","",IFERROR(INDEX(tblEslesme[Kova],MATCH($A480,tblEslesme[A_Norm],0)),""))</f>
        <v/>
      </c>
      <c r="C480" s="15">
        <f>IF($A480="","",IFERROR(INDEX(tblEslesme[AbsFark],MATCH($A480,tblEslesme[A_Norm],0)),0))</f>
        <v/>
      </c>
      <c r="D480" s="15">
        <f>IF($A480="","",IFERROR(SUMIF(tblMotor[A_Norm],$A480,tblMotor[DesiKgOran]),0))</f>
        <v/>
      </c>
      <c r="E480" s="15">
        <f>IF($A480="","",IFERROR(SUMIF(tblMotor[A_Norm],$A480,tblMotor[Tasarruf]),0))</f>
        <v/>
      </c>
      <c r="F480" s="15">
        <f>IF($A480="","",IFERROR(SUMIF(tblMotor[A_Norm],$A480,tblMotor[IadeOran]),0))</f>
        <v/>
      </c>
      <c r="G480" s="15">
        <f>IF($A480="","",IFERROR(SUMIF(tblMotor[A_Norm],$A480,tblMotor[BirimKargo]),0))</f>
        <v/>
      </c>
      <c r="H480" s="15">
        <f>IF(OR($A480="",$B480&lt;&gt;"tutar_farki"),"",IF($D480&gt;kdo_esikDesiOran,"KDO-001",IF($F480&gt;kdo_esikIade,"KDO-002",IF($E480&gt;kdo_esikTasarruf,"KDO-004",IF($C480&gt;kdo_esikFark,"KDO-005","TANIMSIZ")))))</f>
        <v/>
      </c>
    </row>
    <row r="481">
      <c r="A481" s="22">
        <f>IF('ESLESTIRME'!$A481="","",'ESLESTIRME'!$A481)</f>
        <v/>
      </c>
      <c r="B481" s="15">
        <f>IF($A481="","",IFERROR(INDEX(tblEslesme[Kova],MATCH($A481,tblEslesme[A_Norm],0)),""))</f>
        <v/>
      </c>
      <c r="C481" s="15">
        <f>IF($A481="","",IFERROR(INDEX(tblEslesme[AbsFark],MATCH($A481,tblEslesme[A_Norm],0)),0))</f>
        <v/>
      </c>
      <c r="D481" s="15">
        <f>IF($A481="","",IFERROR(SUMIF(tblMotor[A_Norm],$A481,tblMotor[DesiKgOran]),0))</f>
        <v/>
      </c>
      <c r="E481" s="15">
        <f>IF($A481="","",IFERROR(SUMIF(tblMotor[A_Norm],$A481,tblMotor[Tasarruf]),0))</f>
        <v/>
      </c>
      <c r="F481" s="15">
        <f>IF($A481="","",IFERROR(SUMIF(tblMotor[A_Norm],$A481,tblMotor[IadeOran]),0))</f>
        <v/>
      </c>
      <c r="G481" s="15">
        <f>IF($A481="","",IFERROR(SUMIF(tblMotor[A_Norm],$A481,tblMotor[BirimKargo]),0))</f>
        <v/>
      </c>
      <c r="H481" s="15">
        <f>IF(OR($A481="",$B481&lt;&gt;"tutar_farki"),"",IF($D481&gt;kdo_esikDesiOran,"KDO-001",IF($F481&gt;kdo_esikIade,"KDO-002",IF($E481&gt;kdo_esikTasarruf,"KDO-004",IF($C481&gt;kdo_esikFark,"KDO-005","TANIMSIZ")))))</f>
        <v/>
      </c>
    </row>
    <row r="482">
      <c r="A482" s="22">
        <f>IF('ESLESTIRME'!$A482="","",'ESLESTIRME'!$A482)</f>
        <v/>
      </c>
      <c r="B482" s="15">
        <f>IF($A482="","",IFERROR(INDEX(tblEslesme[Kova],MATCH($A482,tblEslesme[A_Norm],0)),""))</f>
        <v/>
      </c>
      <c r="C482" s="15">
        <f>IF($A482="","",IFERROR(INDEX(tblEslesme[AbsFark],MATCH($A482,tblEslesme[A_Norm],0)),0))</f>
        <v/>
      </c>
      <c r="D482" s="15">
        <f>IF($A482="","",IFERROR(SUMIF(tblMotor[A_Norm],$A482,tblMotor[DesiKgOran]),0))</f>
        <v/>
      </c>
      <c r="E482" s="15">
        <f>IF($A482="","",IFERROR(SUMIF(tblMotor[A_Norm],$A482,tblMotor[Tasarruf]),0))</f>
        <v/>
      </c>
      <c r="F482" s="15">
        <f>IF($A482="","",IFERROR(SUMIF(tblMotor[A_Norm],$A482,tblMotor[IadeOran]),0))</f>
        <v/>
      </c>
      <c r="G482" s="15">
        <f>IF($A482="","",IFERROR(SUMIF(tblMotor[A_Norm],$A482,tblMotor[BirimKargo]),0))</f>
        <v/>
      </c>
      <c r="H482" s="15">
        <f>IF(OR($A482="",$B482&lt;&gt;"tutar_farki"),"",IF($D482&gt;kdo_esikDesiOran,"KDO-001",IF($F482&gt;kdo_esikIade,"KDO-002",IF($E482&gt;kdo_esikTasarruf,"KDO-004",IF($C482&gt;kdo_esikFark,"KDO-005","TANIMSIZ")))))</f>
        <v/>
      </c>
    </row>
    <row r="483">
      <c r="A483" s="22">
        <f>IF('ESLESTIRME'!$A483="","",'ESLESTIRME'!$A483)</f>
        <v/>
      </c>
      <c r="B483" s="15">
        <f>IF($A483="","",IFERROR(INDEX(tblEslesme[Kova],MATCH($A483,tblEslesme[A_Norm],0)),""))</f>
        <v/>
      </c>
      <c r="C483" s="15">
        <f>IF($A483="","",IFERROR(INDEX(tblEslesme[AbsFark],MATCH($A483,tblEslesme[A_Norm],0)),0))</f>
        <v/>
      </c>
      <c r="D483" s="15">
        <f>IF($A483="","",IFERROR(SUMIF(tblMotor[A_Norm],$A483,tblMotor[DesiKgOran]),0))</f>
        <v/>
      </c>
      <c r="E483" s="15">
        <f>IF($A483="","",IFERROR(SUMIF(tblMotor[A_Norm],$A483,tblMotor[Tasarruf]),0))</f>
        <v/>
      </c>
      <c r="F483" s="15">
        <f>IF($A483="","",IFERROR(SUMIF(tblMotor[A_Norm],$A483,tblMotor[IadeOran]),0))</f>
        <v/>
      </c>
      <c r="G483" s="15">
        <f>IF($A483="","",IFERROR(SUMIF(tblMotor[A_Norm],$A483,tblMotor[BirimKargo]),0))</f>
        <v/>
      </c>
      <c r="H483" s="15">
        <f>IF(OR($A483="",$B483&lt;&gt;"tutar_farki"),"",IF($D483&gt;kdo_esikDesiOran,"KDO-001",IF($F483&gt;kdo_esikIade,"KDO-002",IF($E483&gt;kdo_esikTasarruf,"KDO-004",IF($C483&gt;kdo_esikFark,"KDO-005","TANIMSIZ")))))</f>
        <v/>
      </c>
    </row>
    <row r="484">
      <c r="A484" s="22">
        <f>IF('ESLESTIRME'!$A484="","",'ESLESTIRME'!$A484)</f>
        <v/>
      </c>
      <c r="B484" s="15">
        <f>IF($A484="","",IFERROR(INDEX(tblEslesme[Kova],MATCH($A484,tblEslesme[A_Norm],0)),""))</f>
        <v/>
      </c>
      <c r="C484" s="15">
        <f>IF($A484="","",IFERROR(INDEX(tblEslesme[AbsFark],MATCH($A484,tblEslesme[A_Norm],0)),0))</f>
        <v/>
      </c>
      <c r="D484" s="15">
        <f>IF($A484="","",IFERROR(SUMIF(tblMotor[A_Norm],$A484,tblMotor[DesiKgOran]),0))</f>
        <v/>
      </c>
      <c r="E484" s="15">
        <f>IF($A484="","",IFERROR(SUMIF(tblMotor[A_Norm],$A484,tblMotor[Tasarruf]),0))</f>
        <v/>
      </c>
      <c r="F484" s="15">
        <f>IF($A484="","",IFERROR(SUMIF(tblMotor[A_Norm],$A484,tblMotor[IadeOran]),0))</f>
        <v/>
      </c>
      <c r="G484" s="15">
        <f>IF($A484="","",IFERROR(SUMIF(tblMotor[A_Norm],$A484,tblMotor[BirimKargo]),0))</f>
        <v/>
      </c>
      <c r="H484" s="15">
        <f>IF(OR($A484="",$B484&lt;&gt;"tutar_farki"),"",IF($D484&gt;kdo_esikDesiOran,"KDO-001",IF($F484&gt;kdo_esikIade,"KDO-002",IF($E484&gt;kdo_esikTasarruf,"KDO-004",IF($C484&gt;kdo_esikFark,"KDO-005","TANIMSIZ")))))</f>
        <v/>
      </c>
    </row>
    <row r="485">
      <c r="A485" s="22">
        <f>IF('ESLESTIRME'!$A485="","",'ESLESTIRME'!$A485)</f>
        <v/>
      </c>
      <c r="B485" s="15">
        <f>IF($A485="","",IFERROR(INDEX(tblEslesme[Kova],MATCH($A485,tblEslesme[A_Norm],0)),""))</f>
        <v/>
      </c>
      <c r="C485" s="15">
        <f>IF($A485="","",IFERROR(INDEX(tblEslesme[AbsFark],MATCH($A485,tblEslesme[A_Norm],0)),0))</f>
        <v/>
      </c>
      <c r="D485" s="15">
        <f>IF($A485="","",IFERROR(SUMIF(tblMotor[A_Norm],$A485,tblMotor[DesiKgOran]),0))</f>
        <v/>
      </c>
      <c r="E485" s="15">
        <f>IF($A485="","",IFERROR(SUMIF(tblMotor[A_Norm],$A485,tblMotor[Tasarruf]),0))</f>
        <v/>
      </c>
      <c r="F485" s="15">
        <f>IF($A485="","",IFERROR(SUMIF(tblMotor[A_Norm],$A485,tblMotor[IadeOran]),0))</f>
        <v/>
      </c>
      <c r="G485" s="15">
        <f>IF($A485="","",IFERROR(SUMIF(tblMotor[A_Norm],$A485,tblMotor[BirimKargo]),0))</f>
        <v/>
      </c>
      <c r="H485" s="15">
        <f>IF(OR($A485="",$B485&lt;&gt;"tutar_farki"),"",IF($D485&gt;kdo_esikDesiOran,"KDO-001",IF($F485&gt;kdo_esikIade,"KDO-002",IF($E485&gt;kdo_esikTasarruf,"KDO-004",IF($C485&gt;kdo_esikFark,"KDO-005","TANIMSIZ")))))</f>
        <v/>
      </c>
    </row>
    <row r="486">
      <c r="A486" s="22">
        <f>IF('ESLESTIRME'!$A486="","",'ESLESTIRME'!$A486)</f>
        <v/>
      </c>
      <c r="B486" s="15">
        <f>IF($A486="","",IFERROR(INDEX(tblEslesme[Kova],MATCH($A486,tblEslesme[A_Norm],0)),""))</f>
        <v/>
      </c>
      <c r="C486" s="15">
        <f>IF($A486="","",IFERROR(INDEX(tblEslesme[AbsFark],MATCH($A486,tblEslesme[A_Norm],0)),0))</f>
        <v/>
      </c>
      <c r="D486" s="15">
        <f>IF($A486="","",IFERROR(SUMIF(tblMotor[A_Norm],$A486,tblMotor[DesiKgOran]),0))</f>
        <v/>
      </c>
      <c r="E486" s="15">
        <f>IF($A486="","",IFERROR(SUMIF(tblMotor[A_Norm],$A486,tblMotor[Tasarruf]),0))</f>
        <v/>
      </c>
      <c r="F486" s="15">
        <f>IF($A486="","",IFERROR(SUMIF(tblMotor[A_Norm],$A486,tblMotor[IadeOran]),0))</f>
        <v/>
      </c>
      <c r="G486" s="15">
        <f>IF($A486="","",IFERROR(SUMIF(tblMotor[A_Norm],$A486,tblMotor[BirimKargo]),0))</f>
        <v/>
      </c>
      <c r="H486" s="15">
        <f>IF(OR($A486="",$B486&lt;&gt;"tutar_farki"),"",IF($D486&gt;kdo_esikDesiOran,"KDO-001",IF($F486&gt;kdo_esikIade,"KDO-002",IF($E486&gt;kdo_esikTasarruf,"KDO-004",IF($C486&gt;kdo_esikFark,"KDO-005","TANIMSIZ")))))</f>
        <v/>
      </c>
    </row>
    <row r="487">
      <c r="A487" s="22">
        <f>IF('ESLESTIRME'!$A487="","",'ESLESTIRME'!$A487)</f>
        <v/>
      </c>
      <c r="B487" s="15">
        <f>IF($A487="","",IFERROR(INDEX(tblEslesme[Kova],MATCH($A487,tblEslesme[A_Norm],0)),""))</f>
        <v/>
      </c>
      <c r="C487" s="15">
        <f>IF($A487="","",IFERROR(INDEX(tblEslesme[AbsFark],MATCH($A487,tblEslesme[A_Norm],0)),0))</f>
        <v/>
      </c>
      <c r="D487" s="15">
        <f>IF($A487="","",IFERROR(SUMIF(tblMotor[A_Norm],$A487,tblMotor[DesiKgOran]),0))</f>
        <v/>
      </c>
      <c r="E487" s="15">
        <f>IF($A487="","",IFERROR(SUMIF(tblMotor[A_Norm],$A487,tblMotor[Tasarruf]),0))</f>
        <v/>
      </c>
      <c r="F487" s="15">
        <f>IF($A487="","",IFERROR(SUMIF(tblMotor[A_Norm],$A487,tblMotor[IadeOran]),0))</f>
        <v/>
      </c>
      <c r="G487" s="15">
        <f>IF($A487="","",IFERROR(SUMIF(tblMotor[A_Norm],$A487,tblMotor[BirimKargo]),0))</f>
        <v/>
      </c>
      <c r="H487" s="15">
        <f>IF(OR($A487="",$B487&lt;&gt;"tutar_farki"),"",IF($D487&gt;kdo_esikDesiOran,"KDO-001",IF($F487&gt;kdo_esikIade,"KDO-002",IF($E487&gt;kdo_esikTasarruf,"KDO-004",IF($C487&gt;kdo_esikFark,"KDO-005","TANIMSIZ")))))</f>
        <v/>
      </c>
    </row>
    <row r="488">
      <c r="A488" s="22">
        <f>IF('ESLESTIRME'!$A488="","",'ESLESTIRME'!$A488)</f>
        <v/>
      </c>
      <c r="B488" s="15">
        <f>IF($A488="","",IFERROR(INDEX(tblEslesme[Kova],MATCH($A488,tblEslesme[A_Norm],0)),""))</f>
        <v/>
      </c>
      <c r="C488" s="15">
        <f>IF($A488="","",IFERROR(INDEX(tblEslesme[AbsFark],MATCH($A488,tblEslesme[A_Norm],0)),0))</f>
        <v/>
      </c>
      <c r="D488" s="15">
        <f>IF($A488="","",IFERROR(SUMIF(tblMotor[A_Norm],$A488,tblMotor[DesiKgOran]),0))</f>
        <v/>
      </c>
      <c r="E488" s="15">
        <f>IF($A488="","",IFERROR(SUMIF(tblMotor[A_Norm],$A488,tblMotor[Tasarruf]),0))</f>
        <v/>
      </c>
      <c r="F488" s="15">
        <f>IF($A488="","",IFERROR(SUMIF(tblMotor[A_Norm],$A488,tblMotor[IadeOran]),0))</f>
        <v/>
      </c>
      <c r="G488" s="15">
        <f>IF($A488="","",IFERROR(SUMIF(tblMotor[A_Norm],$A488,tblMotor[BirimKargo]),0))</f>
        <v/>
      </c>
      <c r="H488" s="15">
        <f>IF(OR($A488="",$B488&lt;&gt;"tutar_farki"),"",IF($D488&gt;kdo_esikDesiOran,"KDO-001",IF($F488&gt;kdo_esikIade,"KDO-002",IF($E488&gt;kdo_esikTasarruf,"KDO-004",IF($C488&gt;kdo_esikFark,"KDO-005","TANIMSIZ")))))</f>
        <v/>
      </c>
    </row>
    <row r="489">
      <c r="A489" s="22">
        <f>IF('ESLESTIRME'!$A489="","",'ESLESTIRME'!$A489)</f>
        <v/>
      </c>
      <c r="B489" s="15">
        <f>IF($A489="","",IFERROR(INDEX(tblEslesme[Kova],MATCH($A489,tblEslesme[A_Norm],0)),""))</f>
        <v/>
      </c>
      <c r="C489" s="15">
        <f>IF($A489="","",IFERROR(INDEX(tblEslesme[AbsFark],MATCH($A489,tblEslesme[A_Norm],0)),0))</f>
        <v/>
      </c>
      <c r="D489" s="15">
        <f>IF($A489="","",IFERROR(SUMIF(tblMotor[A_Norm],$A489,tblMotor[DesiKgOran]),0))</f>
        <v/>
      </c>
      <c r="E489" s="15">
        <f>IF($A489="","",IFERROR(SUMIF(tblMotor[A_Norm],$A489,tblMotor[Tasarruf]),0))</f>
        <v/>
      </c>
      <c r="F489" s="15">
        <f>IF($A489="","",IFERROR(SUMIF(tblMotor[A_Norm],$A489,tblMotor[IadeOran]),0))</f>
        <v/>
      </c>
      <c r="G489" s="15">
        <f>IF($A489="","",IFERROR(SUMIF(tblMotor[A_Norm],$A489,tblMotor[BirimKargo]),0))</f>
        <v/>
      </c>
      <c r="H489" s="15">
        <f>IF(OR($A489="",$B489&lt;&gt;"tutar_farki"),"",IF($D489&gt;kdo_esikDesiOran,"KDO-001",IF($F489&gt;kdo_esikIade,"KDO-002",IF($E489&gt;kdo_esikTasarruf,"KDO-004",IF($C489&gt;kdo_esikFark,"KDO-005","TANIMSIZ")))))</f>
        <v/>
      </c>
    </row>
    <row r="490">
      <c r="A490" s="22">
        <f>IF('ESLESTIRME'!$A490="","",'ESLESTIRME'!$A490)</f>
        <v/>
      </c>
      <c r="B490" s="15">
        <f>IF($A490="","",IFERROR(INDEX(tblEslesme[Kova],MATCH($A490,tblEslesme[A_Norm],0)),""))</f>
        <v/>
      </c>
      <c r="C490" s="15">
        <f>IF($A490="","",IFERROR(INDEX(tblEslesme[AbsFark],MATCH($A490,tblEslesme[A_Norm],0)),0))</f>
        <v/>
      </c>
      <c r="D490" s="15">
        <f>IF($A490="","",IFERROR(SUMIF(tblMotor[A_Norm],$A490,tblMotor[DesiKgOran]),0))</f>
        <v/>
      </c>
      <c r="E490" s="15">
        <f>IF($A490="","",IFERROR(SUMIF(tblMotor[A_Norm],$A490,tblMotor[Tasarruf]),0))</f>
        <v/>
      </c>
      <c r="F490" s="15">
        <f>IF($A490="","",IFERROR(SUMIF(tblMotor[A_Norm],$A490,tblMotor[IadeOran]),0))</f>
        <v/>
      </c>
      <c r="G490" s="15">
        <f>IF($A490="","",IFERROR(SUMIF(tblMotor[A_Norm],$A490,tblMotor[BirimKargo]),0))</f>
        <v/>
      </c>
      <c r="H490" s="15">
        <f>IF(OR($A490="",$B490&lt;&gt;"tutar_farki"),"",IF($D490&gt;kdo_esikDesiOran,"KDO-001",IF($F490&gt;kdo_esikIade,"KDO-002",IF($E490&gt;kdo_esikTasarruf,"KDO-004",IF($C490&gt;kdo_esikFark,"KDO-005","TANIMSIZ")))))</f>
        <v/>
      </c>
    </row>
    <row r="491">
      <c r="A491" s="22">
        <f>IF('ESLESTIRME'!$A491="","",'ESLESTIRME'!$A491)</f>
        <v/>
      </c>
      <c r="B491" s="15">
        <f>IF($A491="","",IFERROR(INDEX(tblEslesme[Kova],MATCH($A491,tblEslesme[A_Norm],0)),""))</f>
        <v/>
      </c>
      <c r="C491" s="15">
        <f>IF($A491="","",IFERROR(INDEX(tblEslesme[AbsFark],MATCH($A491,tblEslesme[A_Norm],0)),0))</f>
        <v/>
      </c>
      <c r="D491" s="15">
        <f>IF($A491="","",IFERROR(SUMIF(tblMotor[A_Norm],$A491,tblMotor[DesiKgOran]),0))</f>
        <v/>
      </c>
      <c r="E491" s="15">
        <f>IF($A491="","",IFERROR(SUMIF(tblMotor[A_Norm],$A491,tblMotor[Tasarruf]),0))</f>
        <v/>
      </c>
      <c r="F491" s="15">
        <f>IF($A491="","",IFERROR(SUMIF(tblMotor[A_Norm],$A491,tblMotor[IadeOran]),0))</f>
        <v/>
      </c>
      <c r="G491" s="15">
        <f>IF($A491="","",IFERROR(SUMIF(tblMotor[A_Norm],$A491,tblMotor[BirimKargo]),0))</f>
        <v/>
      </c>
      <c r="H491" s="15">
        <f>IF(OR($A491="",$B491&lt;&gt;"tutar_farki"),"",IF($D491&gt;kdo_esikDesiOran,"KDO-001",IF($F491&gt;kdo_esikIade,"KDO-002",IF($E491&gt;kdo_esikTasarruf,"KDO-004",IF($C491&gt;kdo_esikFark,"KDO-005","TANIMSIZ")))))</f>
        <v/>
      </c>
    </row>
    <row r="492">
      <c r="A492" s="22">
        <f>IF('ESLESTIRME'!$A492="","",'ESLESTIRME'!$A492)</f>
        <v/>
      </c>
      <c r="B492" s="15">
        <f>IF($A492="","",IFERROR(INDEX(tblEslesme[Kova],MATCH($A492,tblEslesme[A_Norm],0)),""))</f>
        <v/>
      </c>
      <c r="C492" s="15">
        <f>IF($A492="","",IFERROR(INDEX(tblEslesme[AbsFark],MATCH($A492,tblEslesme[A_Norm],0)),0))</f>
        <v/>
      </c>
      <c r="D492" s="15">
        <f>IF($A492="","",IFERROR(SUMIF(tblMotor[A_Norm],$A492,tblMotor[DesiKgOran]),0))</f>
        <v/>
      </c>
      <c r="E492" s="15">
        <f>IF($A492="","",IFERROR(SUMIF(tblMotor[A_Norm],$A492,tblMotor[Tasarruf]),0))</f>
        <v/>
      </c>
      <c r="F492" s="15">
        <f>IF($A492="","",IFERROR(SUMIF(tblMotor[A_Norm],$A492,tblMotor[IadeOran]),0))</f>
        <v/>
      </c>
      <c r="G492" s="15">
        <f>IF($A492="","",IFERROR(SUMIF(tblMotor[A_Norm],$A492,tblMotor[BirimKargo]),0))</f>
        <v/>
      </c>
      <c r="H492" s="15">
        <f>IF(OR($A492="",$B492&lt;&gt;"tutar_farki"),"",IF($D492&gt;kdo_esikDesiOran,"KDO-001",IF($F492&gt;kdo_esikIade,"KDO-002",IF($E492&gt;kdo_esikTasarruf,"KDO-004",IF($C492&gt;kdo_esikFark,"KDO-005","TANIMSIZ")))))</f>
        <v/>
      </c>
    </row>
    <row r="493">
      <c r="A493" s="22">
        <f>IF('ESLESTIRME'!$A493="","",'ESLESTIRME'!$A493)</f>
        <v/>
      </c>
      <c r="B493" s="15">
        <f>IF($A493="","",IFERROR(INDEX(tblEslesme[Kova],MATCH($A493,tblEslesme[A_Norm],0)),""))</f>
        <v/>
      </c>
      <c r="C493" s="15">
        <f>IF($A493="","",IFERROR(INDEX(tblEslesme[AbsFark],MATCH($A493,tblEslesme[A_Norm],0)),0))</f>
        <v/>
      </c>
      <c r="D493" s="15">
        <f>IF($A493="","",IFERROR(SUMIF(tblMotor[A_Norm],$A493,tblMotor[DesiKgOran]),0))</f>
        <v/>
      </c>
      <c r="E493" s="15">
        <f>IF($A493="","",IFERROR(SUMIF(tblMotor[A_Norm],$A493,tblMotor[Tasarruf]),0))</f>
        <v/>
      </c>
      <c r="F493" s="15">
        <f>IF($A493="","",IFERROR(SUMIF(tblMotor[A_Norm],$A493,tblMotor[IadeOran]),0))</f>
        <v/>
      </c>
      <c r="G493" s="15">
        <f>IF($A493="","",IFERROR(SUMIF(tblMotor[A_Norm],$A493,tblMotor[BirimKargo]),0))</f>
        <v/>
      </c>
      <c r="H493" s="15">
        <f>IF(OR($A493="",$B493&lt;&gt;"tutar_farki"),"",IF($D493&gt;kdo_esikDesiOran,"KDO-001",IF($F493&gt;kdo_esikIade,"KDO-002",IF($E493&gt;kdo_esikTasarruf,"KDO-004",IF($C493&gt;kdo_esikFark,"KDO-005","TANIMSIZ")))))</f>
        <v/>
      </c>
    </row>
    <row r="494">
      <c r="A494" s="22">
        <f>IF('ESLESTIRME'!$A494="","",'ESLESTIRME'!$A494)</f>
        <v/>
      </c>
      <c r="B494" s="15">
        <f>IF($A494="","",IFERROR(INDEX(tblEslesme[Kova],MATCH($A494,tblEslesme[A_Norm],0)),""))</f>
        <v/>
      </c>
      <c r="C494" s="15">
        <f>IF($A494="","",IFERROR(INDEX(tblEslesme[AbsFark],MATCH($A494,tblEslesme[A_Norm],0)),0))</f>
        <v/>
      </c>
      <c r="D494" s="15">
        <f>IF($A494="","",IFERROR(SUMIF(tblMotor[A_Norm],$A494,tblMotor[DesiKgOran]),0))</f>
        <v/>
      </c>
      <c r="E494" s="15">
        <f>IF($A494="","",IFERROR(SUMIF(tblMotor[A_Norm],$A494,tblMotor[Tasarruf]),0))</f>
        <v/>
      </c>
      <c r="F494" s="15">
        <f>IF($A494="","",IFERROR(SUMIF(tblMotor[A_Norm],$A494,tblMotor[IadeOran]),0))</f>
        <v/>
      </c>
      <c r="G494" s="15">
        <f>IF($A494="","",IFERROR(SUMIF(tblMotor[A_Norm],$A494,tblMotor[BirimKargo]),0))</f>
        <v/>
      </c>
      <c r="H494" s="15">
        <f>IF(OR($A494="",$B494&lt;&gt;"tutar_farki"),"",IF($D494&gt;kdo_esikDesiOran,"KDO-001",IF($F494&gt;kdo_esikIade,"KDO-002",IF($E494&gt;kdo_esikTasarruf,"KDO-004",IF($C494&gt;kdo_esikFark,"KDO-005","TANIMSIZ")))))</f>
        <v/>
      </c>
    </row>
    <row r="495">
      <c r="A495" s="22">
        <f>IF('ESLESTIRME'!$A495="","",'ESLESTIRME'!$A495)</f>
        <v/>
      </c>
      <c r="B495" s="15">
        <f>IF($A495="","",IFERROR(INDEX(tblEslesme[Kova],MATCH($A495,tblEslesme[A_Norm],0)),""))</f>
        <v/>
      </c>
      <c r="C495" s="15">
        <f>IF($A495="","",IFERROR(INDEX(tblEslesme[AbsFark],MATCH($A495,tblEslesme[A_Norm],0)),0))</f>
        <v/>
      </c>
      <c r="D495" s="15">
        <f>IF($A495="","",IFERROR(SUMIF(tblMotor[A_Norm],$A495,tblMotor[DesiKgOran]),0))</f>
        <v/>
      </c>
      <c r="E495" s="15">
        <f>IF($A495="","",IFERROR(SUMIF(tblMotor[A_Norm],$A495,tblMotor[Tasarruf]),0))</f>
        <v/>
      </c>
      <c r="F495" s="15">
        <f>IF($A495="","",IFERROR(SUMIF(tblMotor[A_Norm],$A495,tblMotor[IadeOran]),0))</f>
        <v/>
      </c>
      <c r="G495" s="15">
        <f>IF($A495="","",IFERROR(SUMIF(tblMotor[A_Norm],$A495,tblMotor[BirimKargo]),0))</f>
        <v/>
      </c>
      <c r="H495" s="15">
        <f>IF(OR($A495="",$B495&lt;&gt;"tutar_farki"),"",IF($D495&gt;kdo_esikDesiOran,"KDO-001",IF($F495&gt;kdo_esikIade,"KDO-002",IF($E495&gt;kdo_esikTasarruf,"KDO-004",IF($C495&gt;kdo_esikFark,"KDO-005","TANIMSIZ")))))</f>
        <v/>
      </c>
    </row>
    <row r="496">
      <c r="A496" s="22">
        <f>IF('ESLESTIRME'!$A496="","",'ESLESTIRME'!$A496)</f>
        <v/>
      </c>
      <c r="B496" s="15">
        <f>IF($A496="","",IFERROR(INDEX(tblEslesme[Kova],MATCH($A496,tblEslesme[A_Norm],0)),""))</f>
        <v/>
      </c>
      <c r="C496" s="15">
        <f>IF($A496="","",IFERROR(INDEX(tblEslesme[AbsFark],MATCH($A496,tblEslesme[A_Norm],0)),0))</f>
        <v/>
      </c>
      <c r="D496" s="15">
        <f>IF($A496="","",IFERROR(SUMIF(tblMotor[A_Norm],$A496,tblMotor[DesiKgOran]),0))</f>
        <v/>
      </c>
      <c r="E496" s="15">
        <f>IF($A496="","",IFERROR(SUMIF(tblMotor[A_Norm],$A496,tblMotor[Tasarruf]),0))</f>
        <v/>
      </c>
      <c r="F496" s="15">
        <f>IF($A496="","",IFERROR(SUMIF(tblMotor[A_Norm],$A496,tblMotor[IadeOran]),0))</f>
        <v/>
      </c>
      <c r="G496" s="15">
        <f>IF($A496="","",IFERROR(SUMIF(tblMotor[A_Norm],$A496,tblMotor[BirimKargo]),0))</f>
        <v/>
      </c>
      <c r="H496" s="15">
        <f>IF(OR($A496="",$B496&lt;&gt;"tutar_farki"),"",IF($D496&gt;kdo_esikDesiOran,"KDO-001",IF($F496&gt;kdo_esikIade,"KDO-002",IF($E496&gt;kdo_esikTasarruf,"KDO-004",IF($C496&gt;kdo_esikFark,"KDO-005","TANIMSIZ")))))</f>
        <v/>
      </c>
    </row>
    <row r="497">
      <c r="A497" s="22">
        <f>IF('ESLESTIRME'!$A497="","",'ESLESTIRME'!$A497)</f>
        <v/>
      </c>
      <c r="B497" s="15">
        <f>IF($A497="","",IFERROR(INDEX(tblEslesme[Kova],MATCH($A497,tblEslesme[A_Norm],0)),""))</f>
        <v/>
      </c>
      <c r="C497" s="15">
        <f>IF($A497="","",IFERROR(INDEX(tblEslesme[AbsFark],MATCH($A497,tblEslesme[A_Norm],0)),0))</f>
        <v/>
      </c>
      <c r="D497" s="15">
        <f>IF($A497="","",IFERROR(SUMIF(tblMotor[A_Norm],$A497,tblMotor[DesiKgOran]),0))</f>
        <v/>
      </c>
      <c r="E497" s="15">
        <f>IF($A497="","",IFERROR(SUMIF(tblMotor[A_Norm],$A497,tblMotor[Tasarruf]),0))</f>
        <v/>
      </c>
      <c r="F497" s="15">
        <f>IF($A497="","",IFERROR(SUMIF(tblMotor[A_Norm],$A497,tblMotor[IadeOran]),0))</f>
        <v/>
      </c>
      <c r="G497" s="15">
        <f>IF($A497="","",IFERROR(SUMIF(tblMotor[A_Norm],$A497,tblMotor[BirimKargo]),0))</f>
        <v/>
      </c>
      <c r="H497" s="15">
        <f>IF(OR($A497="",$B497&lt;&gt;"tutar_farki"),"",IF($D497&gt;kdo_esikDesiOran,"KDO-001",IF($F497&gt;kdo_esikIade,"KDO-002",IF($E497&gt;kdo_esikTasarruf,"KDO-004",IF($C497&gt;kdo_esikFark,"KDO-005","TANIMSIZ")))))</f>
        <v/>
      </c>
    </row>
    <row r="498">
      <c r="A498" s="22">
        <f>IF('ESLESTIRME'!$A498="","",'ESLESTIRME'!$A498)</f>
        <v/>
      </c>
      <c r="B498" s="15">
        <f>IF($A498="","",IFERROR(INDEX(tblEslesme[Kova],MATCH($A498,tblEslesme[A_Norm],0)),""))</f>
        <v/>
      </c>
      <c r="C498" s="15">
        <f>IF($A498="","",IFERROR(INDEX(tblEslesme[AbsFark],MATCH($A498,tblEslesme[A_Norm],0)),0))</f>
        <v/>
      </c>
      <c r="D498" s="15">
        <f>IF($A498="","",IFERROR(SUMIF(tblMotor[A_Norm],$A498,tblMotor[DesiKgOran]),0))</f>
        <v/>
      </c>
      <c r="E498" s="15">
        <f>IF($A498="","",IFERROR(SUMIF(tblMotor[A_Norm],$A498,tblMotor[Tasarruf]),0))</f>
        <v/>
      </c>
      <c r="F498" s="15">
        <f>IF($A498="","",IFERROR(SUMIF(tblMotor[A_Norm],$A498,tblMotor[IadeOran]),0))</f>
        <v/>
      </c>
      <c r="G498" s="15">
        <f>IF($A498="","",IFERROR(SUMIF(tblMotor[A_Norm],$A498,tblMotor[BirimKargo]),0))</f>
        <v/>
      </c>
      <c r="H498" s="15">
        <f>IF(OR($A498="",$B498&lt;&gt;"tutar_farki"),"",IF($D498&gt;kdo_esikDesiOran,"KDO-001",IF($F498&gt;kdo_esikIade,"KDO-002",IF($E498&gt;kdo_esikTasarruf,"KDO-004",IF($C498&gt;kdo_esikFark,"KDO-005","TANIMSIZ")))))</f>
        <v/>
      </c>
    </row>
    <row r="499">
      <c r="A499" s="22">
        <f>IF('ESLESTIRME'!$A499="","",'ESLESTIRME'!$A499)</f>
        <v/>
      </c>
      <c r="B499" s="15">
        <f>IF($A499="","",IFERROR(INDEX(tblEslesme[Kova],MATCH($A499,tblEslesme[A_Norm],0)),""))</f>
        <v/>
      </c>
      <c r="C499" s="15">
        <f>IF($A499="","",IFERROR(INDEX(tblEslesme[AbsFark],MATCH($A499,tblEslesme[A_Norm],0)),0))</f>
        <v/>
      </c>
      <c r="D499" s="15">
        <f>IF($A499="","",IFERROR(SUMIF(tblMotor[A_Norm],$A499,tblMotor[DesiKgOran]),0))</f>
        <v/>
      </c>
      <c r="E499" s="15">
        <f>IF($A499="","",IFERROR(SUMIF(tblMotor[A_Norm],$A499,tblMotor[Tasarruf]),0))</f>
        <v/>
      </c>
      <c r="F499" s="15">
        <f>IF($A499="","",IFERROR(SUMIF(tblMotor[A_Norm],$A499,tblMotor[IadeOran]),0))</f>
        <v/>
      </c>
      <c r="G499" s="15">
        <f>IF($A499="","",IFERROR(SUMIF(tblMotor[A_Norm],$A499,tblMotor[BirimKargo]),0))</f>
        <v/>
      </c>
      <c r="H499" s="15">
        <f>IF(OR($A499="",$B499&lt;&gt;"tutar_farki"),"",IF($D499&gt;kdo_esikDesiOran,"KDO-001",IF($F499&gt;kdo_esikIade,"KDO-002",IF($E499&gt;kdo_esikTasarruf,"KDO-004",IF($C499&gt;kdo_esikFark,"KDO-005","TANIMSIZ")))))</f>
        <v/>
      </c>
    </row>
    <row r="500">
      <c r="A500" s="22">
        <f>IF('ESLESTIRME'!$A500="","",'ESLESTIRME'!$A500)</f>
        <v/>
      </c>
      <c r="B500" s="15">
        <f>IF($A500="","",IFERROR(INDEX(tblEslesme[Kova],MATCH($A500,tblEslesme[A_Norm],0)),""))</f>
        <v/>
      </c>
      <c r="C500" s="15">
        <f>IF($A500="","",IFERROR(INDEX(tblEslesme[AbsFark],MATCH($A500,tblEslesme[A_Norm],0)),0))</f>
        <v/>
      </c>
      <c r="D500" s="15">
        <f>IF($A500="","",IFERROR(SUMIF(tblMotor[A_Norm],$A500,tblMotor[DesiKgOran]),0))</f>
        <v/>
      </c>
      <c r="E500" s="15">
        <f>IF($A500="","",IFERROR(SUMIF(tblMotor[A_Norm],$A500,tblMotor[Tasarruf]),0))</f>
        <v/>
      </c>
      <c r="F500" s="15">
        <f>IF($A500="","",IFERROR(SUMIF(tblMotor[A_Norm],$A500,tblMotor[IadeOran]),0))</f>
        <v/>
      </c>
      <c r="G500" s="15">
        <f>IF($A500="","",IFERROR(SUMIF(tblMotor[A_Norm],$A500,tblMotor[BirimKargo]),0))</f>
        <v/>
      </c>
      <c r="H500" s="15">
        <f>IF(OR($A500="",$B500&lt;&gt;"tutar_farki"),"",IF($D500&gt;kdo_esikDesiOran,"KDO-001",IF($F500&gt;kdo_esikIade,"KDO-002",IF($E500&gt;kdo_esikTasarruf,"KDO-004",IF($C500&gt;kdo_esikFark,"KDO-005","TANIMSIZ")))))</f>
        <v/>
      </c>
    </row>
    <row r="501">
      <c r="A501" s="22">
        <f>IF('ESLESTIRME'!$A501="","",'ESLESTIRME'!$A501)</f>
        <v/>
      </c>
      <c r="B501" s="15">
        <f>IF($A501="","",IFERROR(INDEX(tblEslesme[Kova],MATCH($A501,tblEslesme[A_Norm],0)),""))</f>
        <v/>
      </c>
      <c r="C501" s="15">
        <f>IF($A501="","",IFERROR(INDEX(tblEslesme[AbsFark],MATCH($A501,tblEslesme[A_Norm],0)),0))</f>
        <v/>
      </c>
      <c r="D501" s="15">
        <f>IF($A501="","",IFERROR(SUMIF(tblMotor[A_Norm],$A501,tblMotor[DesiKgOran]),0))</f>
        <v/>
      </c>
      <c r="E501" s="15">
        <f>IF($A501="","",IFERROR(SUMIF(tblMotor[A_Norm],$A501,tblMotor[Tasarruf]),0))</f>
        <v/>
      </c>
      <c r="F501" s="15">
        <f>IF($A501="","",IFERROR(SUMIF(tblMotor[A_Norm],$A501,tblMotor[IadeOran]),0))</f>
        <v/>
      </c>
      <c r="G501" s="15">
        <f>IF($A501="","",IFERROR(SUMIF(tblMotor[A_Norm],$A501,tblMotor[BirimKargo]),0))</f>
        <v/>
      </c>
      <c r="H501" s="15">
        <f>IF(OR($A501="",$B501&lt;&gt;"tutar_farki"),"",IF($D501&gt;kdo_esikDesiOran,"KDO-001",IF($F501&gt;kdo_esikIade,"KDO-002",IF($E501&gt;kdo_esikTasarruf,"KDO-004",IF($C501&gt;kdo_esikFark,"KDO-005","TANIMSIZ")))))</f>
        <v/>
      </c>
    </row>
    <row r="502">
      <c r="A502" s="22">
        <f>IF('ESLESTIRME'!$A502="","",'ESLESTIRME'!$A502)</f>
        <v/>
      </c>
      <c r="B502" s="15">
        <f>IF($A502="","",IFERROR(INDEX(tblEslesme[Kova],MATCH($A502,tblEslesme[A_Norm],0)),""))</f>
        <v/>
      </c>
      <c r="C502" s="15">
        <f>IF($A502="","",IFERROR(INDEX(tblEslesme[AbsFark],MATCH($A502,tblEslesme[A_Norm],0)),0))</f>
        <v/>
      </c>
      <c r="D502" s="15">
        <f>IF($A502="","",IFERROR(SUMIF(tblMotor[A_Norm],$A502,tblMotor[DesiKgOran]),0))</f>
        <v/>
      </c>
      <c r="E502" s="15">
        <f>IF($A502="","",IFERROR(SUMIF(tblMotor[A_Norm],$A502,tblMotor[Tasarruf]),0))</f>
        <v/>
      </c>
      <c r="F502" s="15">
        <f>IF($A502="","",IFERROR(SUMIF(tblMotor[A_Norm],$A502,tblMotor[IadeOran]),0))</f>
        <v/>
      </c>
      <c r="G502" s="15">
        <f>IF($A502="","",IFERROR(SUMIF(tblMotor[A_Norm],$A502,tblMotor[BirimKargo]),0))</f>
        <v/>
      </c>
      <c r="H502" s="15">
        <f>IF(OR($A502="",$B502&lt;&gt;"tutar_farki"),"",IF($D502&gt;kdo_esikDesiOran,"KDO-001",IF($F502&gt;kdo_esikIade,"KDO-002",IF($E502&gt;kdo_esikTasarruf,"KDO-004",IF($C502&gt;kdo_esikFark,"KDO-005","TANIMSIZ")))))</f>
        <v/>
      </c>
    </row>
    <row r="503">
      <c r="A503" s="22">
        <f>IF('ESLESTIRME'!$A503="","",'ESLESTIRME'!$A503)</f>
        <v/>
      </c>
      <c r="B503" s="15">
        <f>IF($A503="","",IFERROR(INDEX(tblEslesme[Kova],MATCH($A503,tblEslesme[A_Norm],0)),""))</f>
        <v/>
      </c>
      <c r="C503" s="15">
        <f>IF($A503="","",IFERROR(INDEX(tblEslesme[AbsFark],MATCH($A503,tblEslesme[A_Norm],0)),0))</f>
        <v/>
      </c>
      <c r="D503" s="15">
        <f>IF($A503="","",IFERROR(SUMIF(tblMotor[A_Norm],$A503,tblMotor[DesiKgOran]),0))</f>
        <v/>
      </c>
      <c r="E503" s="15">
        <f>IF($A503="","",IFERROR(SUMIF(tblMotor[A_Norm],$A503,tblMotor[Tasarruf]),0))</f>
        <v/>
      </c>
      <c r="F503" s="15">
        <f>IF($A503="","",IFERROR(SUMIF(tblMotor[A_Norm],$A503,tblMotor[IadeOran]),0))</f>
        <v/>
      </c>
      <c r="G503" s="15">
        <f>IF($A503="","",IFERROR(SUMIF(tblMotor[A_Norm],$A503,tblMotor[BirimKargo]),0))</f>
        <v/>
      </c>
      <c r="H503" s="15">
        <f>IF(OR($A503="",$B503&lt;&gt;"tutar_farki"),"",IF($D503&gt;kdo_esikDesiOran,"KDO-001",IF($F503&gt;kdo_esikIade,"KDO-002",IF($E503&gt;kdo_esikTasarruf,"KDO-004",IF($C503&gt;kdo_esikFark,"KDO-005","TANIMSIZ")))))</f>
        <v/>
      </c>
    </row>
    <row r="504">
      <c r="A504" s="22">
        <f>IF('ESLESTIRME'!$A504="","",'ESLESTIRME'!$A504)</f>
        <v/>
      </c>
      <c r="B504" s="15">
        <f>IF($A504="","",IFERROR(INDEX(tblEslesme[Kova],MATCH($A504,tblEslesme[A_Norm],0)),""))</f>
        <v/>
      </c>
      <c r="C504" s="15">
        <f>IF($A504="","",IFERROR(INDEX(tblEslesme[AbsFark],MATCH($A504,tblEslesme[A_Norm],0)),0))</f>
        <v/>
      </c>
      <c r="D504" s="15">
        <f>IF($A504="","",IFERROR(SUMIF(tblMotor[A_Norm],$A504,tblMotor[DesiKgOran]),0))</f>
        <v/>
      </c>
      <c r="E504" s="15">
        <f>IF($A504="","",IFERROR(SUMIF(tblMotor[A_Norm],$A504,tblMotor[Tasarruf]),0))</f>
        <v/>
      </c>
      <c r="F504" s="15">
        <f>IF($A504="","",IFERROR(SUMIF(tblMotor[A_Norm],$A504,tblMotor[IadeOran]),0))</f>
        <v/>
      </c>
      <c r="G504" s="15">
        <f>IF($A504="","",IFERROR(SUMIF(tblMotor[A_Norm],$A504,tblMotor[BirimKargo]),0))</f>
        <v/>
      </c>
      <c r="H504" s="15">
        <f>IF(OR($A504="",$B504&lt;&gt;"tutar_farki"),"",IF($D504&gt;kdo_esikDesiOran,"KDO-001",IF($F504&gt;kdo_esikIade,"KDO-002",IF($E504&gt;kdo_esikTasarruf,"KDO-004",IF($C504&gt;kdo_esikFark,"KDO-005","TANIMSIZ")))))</f>
        <v/>
      </c>
    </row>
    <row r="505">
      <c r="A505" s="22">
        <f>IF('ESLESTIRME'!$A505="","",'ESLESTIRME'!$A505)</f>
        <v/>
      </c>
      <c r="B505" s="15">
        <f>IF($A505="","",IFERROR(INDEX(tblEslesme[Kova],MATCH($A505,tblEslesme[A_Norm],0)),""))</f>
        <v/>
      </c>
      <c r="C505" s="15">
        <f>IF($A505="","",IFERROR(INDEX(tblEslesme[AbsFark],MATCH($A505,tblEslesme[A_Norm],0)),0))</f>
        <v/>
      </c>
      <c r="D505" s="15">
        <f>IF($A505="","",IFERROR(SUMIF(tblMotor[A_Norm],$A505,tblMotor[DesiKgOran]),0))</f>
        <v/>
      </c>
      <c r="E505" s="15">
        <f>IF($A505="","",IFERROR(SUMIF(tblMotor[A_Norm],$A505,tblMotor[Tasarruf]),0))</f>
        <v/>
      </c>
      <c r="F505" s="15">
        <f>IF($A505="","",IFERROR(SUMIF(tblMotor[A_Norm],$A505,tblMotor[IadeOran]),0))</f>
        <v/>
      </c>
      <c r="G505" s="15">
        <f>IF($A505="","",IFERROR(SUMIF(tblMotor[A_Norm],$A505,tblMotor[BirimKargo]),0))</f>
        <v/>
      </c>
      <c r="H505" s="15">
        <f>IF(OR($A505="",$B505&lt;&gt;"tutar_farki"),"",IF($D505&gt;kdo_esikDesiOran,"KDO-001",IF($F505&gt;kdo_esikIade,"KDO-002",IF($E505&gt;kdo_esikTasarruf,"KDO-004",IF($C505&gt;kdo_esikFark,"KDO-005","TANIMSIZ")))))</f>
        <v/>
      </c>
    </row>
    <row r="506">
      <c r="A506" s="22">
        <f>IF('ESLESTIRME'!$A506="","",'ESLESTIRME'!$A506)</f>
        <v/>
      </c>
      <c r="B506" s="15">
        <f>IF($A506="","",IFERROR(INDEX(tblEslesme[Kova],MATCH($A506,tblEslesme[A_Norm],0)),""))</f>
        <v/>
      </c>
      <c r="C506" s="15">
        <f>IF($A506="","",IFERROR(INDEX(tblEslesme[AbsFark],MATCH($A506,tblEslesme[A_Norm],0)),0))</f>
        <v/>
      </c>
      <c r="D506" s="15">
        <f>IF($A506="","",IFERROR(SUMIF(tblMotor[A_Norm],$A506,tblMotor[DesiKgOran]),0))</f>
        <v/>
      </c>
      <c r="E506" s="15">
        <f>IF($A506="","",IFERROR(SUMIF(tblMotor[A_Norm],$A506,tblMotor[Tasarruf]),0))</f>
        <v/>
      </c>
      <c r="F506" s="15">
        <f>IF($A506="","",IFERROR(SUMIF(tblMotor[A_Norm],$A506,tblMotor[IadeOran]),0))</f>
        <v/>
      </c>
      <c r="G506" s="15">
        <f>IF($A506="","",IFERROR(SUMIF(tblMotor[A_Norm],$A506,tblMotor[BirimKargo]),0))</f>
        <v/>
      </c>
      <c r="H506" s="15">
        <f>IF(OR($A506="",$B506&lt;&gt;"tutar_farki"),"",IF($D506&gt;kdo_esikDesiOran,"KDO-001",IF($F506&gt;kdo_esikIade,"KDO-002",IF($E506&gt;kdo_esikTasarruf,"KDO-004",IF($C506&gt;kdo_esikFark,"KDO-005","TANIMSIZ")))))</f>
        <v/>
      </c>
    </row>
    <row r="507">
      <c r="A507" s="22">
        <f>IF('ESLESTIRME'!$A507="","",'ESLESTIRME'!$A507)</f>
        <v/>
      </c>
      <c r="B507" s="15">
        <f>IF($A507="","",IFERROR(INDEX(tblEslesme[Kova],MATCH($A507,tblEslesme[A_Norm],0)),""))</f>
        <v/>
      </c>
      <c r="C507" s="15">
        <f>IF($A507="","",IFERROR(INDEX(tblEslesme[AbsFark],MATCH($A507,tblEslesme[A_Norm],0)),0))</f>
        <v/>
      </c>
      <c r="D507" s="15">
        <f>IF($A507="","",IFERROR(SUMIF(tblMotor[A_Norm],$A507,tblMotor[DesiKgOran]),0))</f>
        <v/>
      </c>
      <c r="E507" s="15">
        <f>IF($A507="","",IFERROR(SUMIF(tblMotor[A_Norm],$A507,tblMotor[Tasarruf]),0))</f>
        <v/>
      </c>
      <c r="F507" s="15">
        <f>IF($A507="","",IFERROR(SUMIF(tblMotor[A_Norm],$A507,tblMotor[IadeOran]),0))</f>
        <v/>
      </c>
      <c r="G507" s="15">
        <f>IF($A507="","",IFERROR(SUMIF(tblMotor[A_Norm],$A507,tblMotor[BirimKargo]),0))</f>
        <v/>
      </c>
      <c r="H507" s="15">
        <f>IF(OR($A507="",$B507&lt;&gt;"tutar_farki"),"",IF($D507&gt;kdo_esikDesiOran,"KDO-001",IF($F507&gt;kdo_esikIade,"KDO-002",IF($E507&gt;kdo_esikTasarruf,"KDO-004",IF($C507&gt;kdo_esikFark,"KDO-005","TANIMSIZ")))))</f>
        <v/>
      </c>
    </row>
    <row r="508">
      <c r="A508" s="22">
        <f>IF('ESLESTIRME'!$A508="","",'ESLESTIRME'!$A508)</f>
        <v/>
      </c>
      <c r="B508" s="15">
        <f>IF($A508="","",IFERROR(INDEX(tblEslesme[Kova],MATCH($A508,tblEslesme[A_Norm],0)),""))</f>
        <v/>
      </c>
      <c r="C508" s="15">
        <f>IF($A508="","",IFERROR(INDEX(tblEslesme[AbsFark],MATCH($A508,tblEslesme[A_Norm],0)),0))</f>
        <v/>
      </c>
      <c r="D508" s="15">
        <f>IF($A508="","",IFERROR(SUMIF(tblMotor[A_Norm],$A508,tblMotor[DesiKgOran]),0))</f>
        <v/>
      </c>
      <c r="E508" s="15">
        <f>IF($A508="","",IFERROR(SUMIF(tblMotor[A_Norm],$A508,tblMotor[Tasarruf]),0))</f>
        <v/>
      </c>
      <c r="F508" s="15">
        <f>IF($A508="","",IFERROR(SUMIF(tblMotor[A_Norm],$A508,tblMotor[IadeOran]),0))</f>
        <v/>
      </c>
      <c r="G508" s="15">
        <f>IF($A508="","",IFERROR(SUMIF(tblMotor[A_Norm],$A508,tblMotor[BirimKargo]),0))</f>
        <v/>
      </c>
      <c r="H508" s="15">
        <f>IF(OR($A508="",$B508&lt;&gt;"tutar_farki"),"",IF($D508&gt;kdo_esikDesiOran,"KDO-001",IF($F508&gt;kdo_esikIade,"KDO-002",IF($E508&gt;kdo_esikTasarruf,"KDO-004",IF($C508&gt;kdo_esikFark,"KDO-005","TANIMSIZ")))))</f>
        <v/>
      </c>
    </row>
    <row r="509">
      <c r="A509" s="22">
        <f>IF('ESLESTIRME'!$A509="","",'ESLESTIRME'!$A509)</f>
        <v/>
      </c>
      <c r="B509" s="15">
        <f>IF($A509="","",IFERROR(INDEX(tblEslesme[Kova],MATCH($A509,tblEslesme[A_Norm],0)),""))</f>
        <v/>
      </c>
      <c r="C509" s="15">
        <f>IF($A509="","",IFERROR(INDEX(tblEslesme[AbsFark],MATCH($A509,tblEslesme[A_Norm],0)),0))</f>
        <v/>
      </c>
      <c r="D509" s="15">
        <f>IF($A509="","",IFERROR(SUMIF(tblMotor[A_Norm],$A509,tblMotor[DesiKgOran]),0))</f>
        <v/>
      </c>
      <c r="E509" s="15">
        <f>IF($A509="","",IFERROR(SUMIF(tblMotor[A_Norm],$A509,tblMotor[Tasarruf]),0))</f>
        <v/>
      </c>
      <c r="F509" s="15">
        <f>IF($A509="","",IFERROR(SUMIF(tblMotor[A_Norm],$A509,tblMotor[IadeOran]),0))</f>
        <v/>
      </c>
      <c r="G509" s="15">
        <f>IF($A509="","",IFERROR(SUMIF(tblMotor[A_Norm],$A509,tblMotor[BirimKargo]),0))</f>
        <v/>
      </c>
      <c r="H509" s="15">
        <f>IF(OR($A509="",$B509&lt;&gt;"tutar_farki"),"",IF($D509&gt;kdo_esikDesiOran,"KDO-001",IF($F509&gt;kdo_esikIade,"KDO-002",IF($E509&gt;kdo_esikTasarruf,"KDO-004",IF($C509&gt;kdo_esikFark,"KDO-005","TANIMSIZ")))))</f>
        <v/>
      </c>
    </row>
    <row r="510">
      <c r="A510" s="22">
        <f>IF('ESLESTIRME'!$A510="","",'ESLESTIRME'!$A510)</f>
        <v/>
      </c>
      <c r="B510" s="15">
        <f>IF($A510="","",IFERROR(INDEX(tblEslesme[Kova],MATCH($A510,tblEslesme[A_Norm],0)),""))</f>
        <v/>
      </c>
      <c r="C510" s="15">
        <f>IF($A510="","",IFERROR(INDEX(tblEslesme[AbsFark],MATCH($A510,tblEslesme[A_Norm],0)),0))</f>
        <v/>
      </c>
      <c r="D510" s="15">
        <f>IF($A510="","",IFERROR(SUMIF(tblMotor[A_Norm],$A510,tblMotor[DesiKgOran]),0))</f>
        <v/>
      </c>
      <c r="E510" s="15">
        <f>IF($A510="","",IFERROR(SUMIF(tblMotor[A_Norm],$A510,tblMotor[Tasarruf]),0))</f>
        <v/>
      </c>
      <c r="F510" s="15">
        <f>IF($A510="","",IFERROR(SUMIF(tblMotor[A_Norm],$A510,tblMotor[IadeOran]),0))</f>
        <v/>
      </c>
      <c r="G510" s="15">
        <f>IF($A510="","",IFERROR(SUMIF(tblMotor[A_Norm],$A510,tblMotor[BirimKargo]),0))</f>
        <v/>
      </c>
      <c r="H510" s="15">
        <f>IF(OR($A510="",$B510&lt;&gt;"tutar_farki"),"",IF($D510&gt;kdo_esikDesiOran,"KDO-001",IF($F510&gt;kdo_esikIade,"KDO-002",IF($E510&gt;kdo_esikTasarruf,"KDO-004",IF($C510&gt;kdo_esikFark,"KDO-005","TANIMSIZ")))))</f>
        <v/>
      </c>
    </row>
    <row r="511">
      <c r="A511" s="22">
        <f>IF('ESLESTIRME'!$A511="","",'ESLESTIRME'!$A511)</f>
        <v/>
      </c>
      <c r="B511" s="15">
        <f>IF($A511="","",IFERROR(INDEX(tblEslesme[Kova],MATCH($A511,tblEslesme[A_Norm],0)),""))</f>
        <v/>
      </c>
      <c r="C511" s="15">
        <f>IF($A511="","",IFERROR(INDEX(tblEslesme[AbsFark],MATCH($A511,tblEslesme[A_Norm],0)),0))</f>
        <v/>
      </c>
      <c r="D511" s="15">
        <f>IF($A511="","",IFERROR(SUMIF(tblMotor[A_Norm],$A511,tblMotor[DesiKgOran]),0))</f>
        <v/>
      </c>
      <c r="E511" s="15">
        <f>IF($A511="","",IFERROR(SUMIF(tblMotor[A_Norm],$A511,tblMotor[Tasarruf]),0))</f>
        <v/>
      </c>
      <c r="F511" s="15">
        <f>IF($A511="","",IFERROR(SUMIF(tblMotor[A_Norm],$A511,tblMotor[IadeOran]),0))</f>
        <v/>
      </c>
      <c r="G511" s="15">
        <f>IF($A511="","",IFERROR(SUMIF(tblMotor[A_Norm],$A511,tblMotor[BirimKargo]),0))</f>
        <v/>
      </c>
      <c r="H511" s="15">
        <f>IF(OR($A511="",$B511&lt;&gt;"tutar_farki"),"",IF($D511&gt;kdo_esikDesiOran,"KDO-001",IF($F511&gt;kdo_esikIade,"KDO-002",IF($E511&gt;kdo_esikTasarruf,"KDO-004",IF($C511&gt;kdo_esikFark,"KDO-005","TANIMSIZ")))))</f>
        <v/>
      </c>
    </row>
    <row r="512">
      <c r="A512" s="22">
        <f>IF('ESLESTIRME'!$A512="","",'ESLESTIRME'!$A512)</f>
        <v/>
      </c>
      <c r="B512" s="15">
        <f>IF($A512="","",IFERROR(INDEX(tblEslesme[Kova],MATCH($A512,tblEslesme[A_Norm],0)),""))</f>
        <v/>
      </c>
      <c r="C512" s="15">
        <f>IF($A512="","",IFERROR(INDEX(tblEslesme[AbsFark],MATCH($A512,tblEslesme[A_Norm],0)),0))</f>
        <v/>
      </c>
      <c r="D512" s="15">
        <f>IF($A512="","",IFERROR(SUMIF(tblMotor[A_Norm],$A512,tblMotor[DesiKgOran]),0))</f>
        <v/>
      </c>
      <c r="E512" s="15">
        <f>IF($A512="","",IFERROR(SUMIF(tblMotor[A_Norm],$A512,tblMotor[Tasarruf]),0))</f>
        <v/>
      </c>
      <c r="F512" s="15">
        <f>IF($A512="","",IFERROR(SUMIF(tblMotor[A_Norm],$A512,tblMotor[IadeOran]),0))</f>
        <v/>
      </c>
      <c r="G512" s="15">
        <f>IF($A512="","",IFERROR(SUMIF(tblMotor[A_Norm],$A512,tblMotor[BirimKargo]),0))</f>
        <v/>
      </c>
      <c r="H512" s="15">
        <f>IF(OR($A512="",$B512&lt;&gt;"tutar_farki"),"",IF($D512&gt;kdo_esikDesiOran,"KDO-001",IF($F512&gt;kdo_esikIade,"KDO-002",IF($E512&gt;kdo_esikTasarruf,"KDO-004",IF($C512&gt;kdo_esikFark,"KDO-005","TANIMSIZ")))))</f>
        <v/>
      </c>
    </row>
    <row r="513">
      <c r="A513" s="22">
        <f>IF('ESLESTIRME'!$A513="","",'ESLESTIRME'!$A513)</f>
        <v/>
      </c>
      <c r="B513" s="15">
        <f>IF($A513="","",IFERROR(INDEX(tblEslesme[Kova],MATCH($A513,tblEslesme[A_Norm],0)),""))</f>
        <v/>
      </c>
      <c r="C513" s="15">
        <f>IF($A513="","",IFERROR(INDEX(tblEslesme[AbsFark],MATCH($A513,tblEslesme[A_Norm],0)),0))</f>
        <v/>
      </c>
      <c r="D513" s="15">
        <f>IF($A513="","",IFERROR(SUMIF(tblMotor[A_Norm],$A513,tblMotor[DesiKgOran]),0))</f>
        <v/>
      </c>
      <c r="E513" s="15">
        <f>IF($A513="","",IFERROR(SUMIF(tblMotor[A_Norm],$A513,tblMotor[Tasarruf]),0))</f>
        <v/>
      </c>
      <c r="F513" s="15">
        <f>IF($A513="","",IFERROR(SUMIF(tblMotor[A_Norm],$A513,tblMotor[IadeOran]),0))</f>
        <v/>
      </c>
      <c r="G513" s="15">
        <f>IF($A513="","",IFERROR(SUMIF(tblMotor[A_Norm],$A513,tblMotor[BirimKargo]),0))</f>
        <v/>
      </c>
      <c r="H513" s="15">
        <f>IF(OR($A513="",$B513&lt;&gt;"tutar_farki"),"",IF($D513&gt;kdo_esikDesiOran,"KDO-001",IF($F513&gt;kdo_esikIade,"KDO-002",IF($E513&gt;kdo_esikTasarruf,"KDO-004",IF($C513&gt;kdo_esikFark,"KDO-005","TANIMSIZ")))))</f>
        <v/>
      </c>
    </row>
    <row r="514">
      <c r="A514" s="22">
        <f>IF('ESLESTIRME'!$A514="","",'ESLESTIRME'!$A514)</f>
        <v/>
      </c>
      <c r="B514" s="15">
        <f>IF($A514="","",IFERROR(INDEX(tblEslesme[Kova],MATCH($A514,tblEslesme[A_Norm],0)),""))</f>
        <v/>
      </c>
      <c r="C514" s="15">
        <f>IF($A514="","",IFERROR(INDEX(tblEslesme[AbsFark],MATCH($A514,tblEslesme[A_Norm],0)),0))</f>
        <v/>
      </c>
      <c r="D514" s="15">
        <f>IF($A514="","",IFERROR(SUMIF(tblMotor[A_Norm],$A514,tblMotor[DesiKgOran]),0))</f>
        <v/>
      </c>
      <c r="E514" s="15">
        <f>IF($A514="","",IFERROR(SUMIF(tblMotor[A_Norm],$A514,tblMotor[Tasarruf]),0))</f>
        <v/>
      </c>
      <c r="F514" s="15">
        <f>IF($A514="","",IFERROR(SUMIF(tblMotor[A_Norm],$A514,tblMotor[IadeOran]),0))</f>
        <v/>
      </c>
      <c r="G514" s="15">
        <f>IF($A514="","",IFERROR(SUMIF(tblMotor[A_Norm],$A514,tblMotor[BirimKargo]),0))</f>
        <v/>
      </c>
      <c r="H514" s="15">
        <f>IF(OR($A514="",$B514&lt;&gt;"tutar_farki"),"",IF($D514&gt;kdo_esikDesiOran,"KDO-001",IF($F514&gt;kdo_esikIade,"KDO-002",IF($E514&gt;kdo_esikTasarruf,"KDO-004",IF($C514&gt;kdo_esikFark,"KDO-005","TANIMSIZ")))))</f>
        <v/>
      </c>
    </row>
    <row r="515">
      <c r="A515" s="22">
        <f>IF('ESLESTIRME'!$A515="","",'ESLESTIRME'!$A515)</f>
        <v/>
      </c>
      <c r="B515" s="15">
        <f>IF($A515="","",IFERROR(INDEX(tblEslesme[Kova],MATCH($A515,tblEslesme[A_Norm],0)),""))</f>
        <v/>
      </c>
      <c r="C515" s="15">
        <f>IF($A515="","",IFERROR(INDEX(tblEslesme[AbsFark],MATCH($A515,tblEslesme[A_Norm],0)),0))</f>
        <v/>
      </c>
      <c r="D515" s="15">
        <f>IF($A515="","",IFERROR(SUMIF(tblMotor[A_Norm],$A515,tblMotor[DesiKgOran]),0))</f>
        <v/>
      </c>
      <c r="E515" s="15">
        <f>IF($A515="","",IFERROR(SUMIF(tblMotor[A_Norm],$A515,tblMotor[Tasarruf]),0))</f>
        <v/>
      </c>
      <c r="F515" s="15">
        <f>IF($A515="","",IFERROR(SUMIF(tblMotor[A_Norm],$A515,tblMotor[IadeOran]),0))</f>
        <v/>
      </c>
      <c r="G515" s="15">
        <f>IF($A515="","",IFERROR(SUMIF(tblMotor[A_Norm],$A515,tblMotor[BirimKargo]),0))</f>
        <v/>
      </c>
      <c r="H515" s="15">
        <f>IF(OR($A515="",$B515&lt;&gt;"tutar_farki"),"",IF($D515&gt;kdo_esikDesiOran,"KDO-001",IF($F515&gt;kdo_esikIade,"KDO-002",IF($E515&gt;kdo_esikTasarruf,"KDO-004",IF($C515&gt;kdo_esikFark,"KDO-005","TANIMSIZ")))))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3:F13"/>
    <mergeCell ref="A3:J3"/>
    <mergeCell ref="A1:N1"/>
  </mergeCells>
  <conditionalFormatting sqref="H16:H515">
    <cfRule type="cellIs" priority="1" operator="equal" dxfId="1">
      <formula>"TANIMSIZ"</formula>
    </cfRule>
    <cfRule type="cellIs" priority="2" operator="equal" dxfId="0">
      <formula>"KDO-001"</formula>
    </cfRule>
    <cfRule type="cellIs" priority="3" operator="equal" dxfId="0">
      <formula>"KDO-002"</formula>
    </cfRule>
    <cfRule type="cellIs" priority="4" operator="equal" dxfId="0">
      <formula>"KDO-003"</formula>
    </cfRule>
    <cfRule type="cellIs" priority="5" operator="equal" dxfId="0">
      <formula>"KDO-004"</formula>
    </cfRule>
    <cfRule type="cellIs" priority="6" operator="equal" dxfId="0">
      <formula>"KDO-005"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1B3A4B"/>
    <outlinePr summaryBelow="1" summaryRight="1"/>
    <pageSetUpPr/>
  </sheetPr>
  <dimension ref="A1:L50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8" customWidth="1" min="4" max="4"/>
    <col width="10" customWidth="1" min="5" max="5"/>
    <col width="55" customWidth="1" min="6" max="6"/>
  </cols>
  <sheetData>
    <row r="1" ht="26" customHeight="1">
      <c r="A1" s="1" t="inlineStr">
        <is>
          <t>AKSIYON — Kargo/Desi Maliyet Optimizasyonu</t>
        </is>
      </c>
    </row>
    <row r="3" ht="20" customHeight="1">
      <c r="A3" s="10" t="inlineStr">
        <is>
          <t>Kargo aksiyon metni — tutar farkı satırları için kopyalanabilir</t>
        </is>
      </c>
    </row>
    <row r="5" ht="30" customHeight="1">
      <c r="A5" s="12" t="inlineStr">
        <is>
          <t>A_Norm</t>
        </is>
      </c>
      <c r="B5" s="12" t="inlineStr">
        <is>
          <t>SiparisToplam</t>
        </is>
      </c>
      <c r="C5" s="12" t="inlineStr">
        <is>
          <t>Tasarruf</t>
        </is>
      </c>
      <c r="D5" s="12" t="inlineStr">
        <is>
          <t>Karar</t>
        </is>
      </c>
      <c r="E5" s="12" t="inlineStr">
        <is>
          <t>Oncelik</t>
        </is>
      </c>
      <c r="F5" s="12" t="inlineStr">
        <is>
          <t>AksiyonMetni</t>
        </is>
      </c>
    </row>
    <row r="6">
      <c r="A6" s="15">
        <f>IF('ESLESTIRME'!$A6="","",IF('ESLESTIRME'!$G6="tutar_farki",'ESLESTIRME'!$A6,""))</f>
        <v/>
      </c>
      <c r="B6" s="15">
        <f>IF($A6="","",IFERROR(SUMIF(tblMotor[A_Norm],$A6,tblMotor[SiparisToplam]),0))</f>
        <v/>
      </c>
      <c r="C6" s="15">
        <f>IF($A6="","",IFERROR(SUMIF(tblMotor[A_Norm],$A6,tblMotor[Tasarruf]),0))</f>
        <v/>
      </c>
      <c r="D6" s="15">
        <f>IF($A6="","",IFERROR(INDEX(tblMotor[KararSatir],MATCH($A6,tblMotor[A_Norm],0)),""))</f>
        <v/>
      </c>
      <c r="E6" s="15">
        <f>IF($A6="","",IF(OR($D6="DESİ DÜŞÜR",$D6="TAŞIYICI DEĞİŞTİR"),"YUKSEK","NORMAL"))</f>
        <v/>
      </c>
      <c r="F6" s="15">
        <f>IF($A6="","",_xlfn.TEXTJOIN(" ",TRUE,"Sipariş",$A6,"karar",$D6,"toplam",TEXT($B6,"0.00"),"tasarruf",TEXT($C6,"0.00"),"TL"))</f>
        <v/>
      </c>
    </row>
    <row r="7">
      <c r="A7" s="15">
        <f>IF('ESLESTIRME'!$A7="","",IF('ESLESTIRME'!$G7="tutar_farki",'ESLESTIRME'!$A7,""))</f>
        <v/>
      </c>
      <c r="B7" s="15">
        <f>IF($A7="","",IFERROR(SUMIF(tblMotor[A_Norm],$A7,tblMotor[SiparisToplam]),0))</f>
        <v/>
      </c>
      <c r="C7" s="15">
        <f>IF($A7="","",IFERROR(SUMIF(tblMotor[A_Norm],$A7,tblMotor[Tasarruf]),0))</f>
        <v/>
      </c>
      <c r="D7" s="15">
        <f>IF($A7="","",IFERROR(INDEX(tblMotor[KararSatir],MATCH($A7,tblMotor[A_Norm],0)),""))</f>
        <v/>
      </c>
      <c r="E7" s="15">
        <f>IF($A7="","",IF(OR($D7="DESİ DÜŞÜR",$D7="TAŞIYICI DEĞİŞTİR"),"YUKSEK","NORMAL"))</f>
        <v/>
      </c>
      <c r="F7" s="15">
        <f>IF($A7="","",_xlfn.TEXTJOIN(" ",TRUE,"Sipariş",$A7,"karar",$D7,"toplam",TEXT($B7,"0.00"),"tasarruf",TEXT($C7,"0.00"),"TL"))</f>
        <v/>
      </c>
    </row>
    <row r="8">
      <c r="A8" s="15">
        <f>IF('ESLESTIRME'!$A8="","",IF('ESLESTIRME'!$G8="tutar_farki",'ESLESTIRME'!$A8,""))</f>
        <v/>
      </c>
      <c r="B8" s="15">
        <f>IF($A8="","",IFERROR(SUMIF(tblMotor[A_Norm],$A8,tblMotor[SiparisToplam]),0))</f>
        <v/>
      </c>
      <c r="C8" s="15">
        <f>IF($A8="","",IFERROR(SUMIF(tblMotor[A_Norm],$A8,tblMotor[Tasarruf]),0))</f>
        <v/>
      </c>
      <c r="D8" s="15">
        <f>IF($A8="","",IFERROR(INDEX(tblMotor[KararSatir],MATCH($A8,tblMotor[A_Norm],0)),""))</f>
        <v/>
      </c>
      <c r="E8" s="15">
        <f>IF($A8="","",IF(OR($D8="DESİ DÜŞÜR",$D8="TAŞIYICI DEĞİŞTİR"),"YUKSEK","NORMAL"))</f>
        <v/>
      </c>
      <c r="F8" s="15">
        <f>IF($A8="","",_xlfn.TEXTJOIN(" ",TRUE,"Sipariş",$A8,"karar",$D8,"toplam",TEXT($B8,"0.00"),"tasarruf",TEXT($C8,"0.00"),"TL"))</f>
        <v/>
      </c>
    </row>
    <row r="9">
      <c r="A9" s="15">
        <f>IF('ESLESTIRME'!$A9="","",IF('ESLESTIRME'!$G9="tutar_farki",'ESLESTIRME'!$A9,""))</f>
        <v/>
      </c>
      <c r="B9" s="15">
        <f>IF($A9="","",IFERROR(SUMIF(tblMotor[A_Norm],$A9,tblMotor[SiparisToplam]),0))</f>
        <v/>
      </c>
      <c r="C9" s="15">
        <f>IF($A9="","",IFERROR(SUMIF(tblMotor[A_Norm],$A9,tblMotor[Tasarruf]),0))</f>
        <v/>
      </c>
      <c r="D9" s="15">
        <f>IF($A9="","",IFERROR(INDEX(tblMotor[KararSatir],MATCH($A9,tblMotor[A_Norm],0)),""))</f>
        <v/>
      </c>
      <c r="E9" s="15">
        <f>IF($A9="","",IF(OR($D9="DESİ DÜŞÜR",$D9="TAŞIYICI DEĞİŞTİR"),"YUKSEK","NORMAL"))</f>
        <v/>
      </c>
      <c r="F9" s="15">
        <f>IF($A9="","",_xlfn.TEXTJOIN(" ",TRUE,"Sipariş",$A9,"karar",$D9,"toplam",TEXT($B9,"0.00"),"tasarruf",TEXT($C9,"0.00"),"TL"))</f>
        <v/>
      </c>
    </row>
    <row r="10">
      <c r="A10" s="15">
        <f>IF('ESLESTIRME'!$A10="","",IF('ESLESTIRME'!$G10="tutar_farki",'ESLESTIRME'!$A10,""))</f>
        <v/>
      </c>
      <c r="B10" s="15">
        <f>IF($A10="","",IFERROR(SUMIF(tblMotor[A_Norm],$A10,tblMotor[SiparisToplam]),0))</f>
        <v/>
      </c>
      <c r="C10" s="15">
        <f>IF($A10="","",IFERROR(SUMIF(tblMotor[A_Norm],$A10,tblMotor[Tasarruf]),0))</f>
        <v/>
      </c>
      <c r="D10" s="15">
        <f>IF($A10="","",IFERROR(INDEX(tblMotor[KararSatir],MATCH($A10,tblMotor[A_Norm],0)),""))</f>
        <v/>
      </c>
      <c r="E10" s="15">
        <f>IF($A10="","",IF(OR($D10="DESİ DÜŞÜR",$D10="TAŞIYICI DEĞİŞTİR"),"YUKSEK","NORMAL"))</f>
        <v/>
      </c>
      <c r="F10" s="15">
        <f>IF($A10="","",_xlfn.TEXTJOIN(" ",TRUE,"Sipariş",$A10,"karar",$D10,"toplam",TEXT($B10,"0.00"),"tasarruf",TEXT($C10,"0.00"),"TL"))</f>
        <v/>
      </c>
    </row>
    <row r="11">
      <c r="A11" s="15">
        <f>IF('ESLESTIRME'!$A11="","",IF('ESLESTIRME'!$G11="tutar_farki",'ESLESTIRME'!$A11,""))</f>
        <v/>
      </c>
      <c r="B11" s="15">
        <f>IF($A11="","",IFERROR(SUMIF(tblMotor[A_Norm],$A11,tblMotor[SiparisToplam]),0))</f>
        <v/>
      </c>
      <c r="C11" s="15">
        <f>IF($A11="","",IFERROR(SUMIF(tblMotor[A_Norm],$A11,tblMotor[Tasarruf]),0))</f>
        <v/>
      </c>
      <c r="D11" s="15">
        <f>IF($A11="","",IFERROR(INDEX(tblMotor[KararSatir],MATCH($A11,tblMotor[A_Norm],0)),""))</f>
        <v/>
      </c>
      <c r="E11" s="15">
        <f>IF($A11="","",IF(OR($D11="DESİ DÜŞÜR",$D11="TAŞIYICI DEĞİŞTİR"),"YUKSEK","NORMAL"))</f>
        <v/>
      </c>
      <c r="F11" s="15">
        <f>IF($A11="","",_xlfn.TEXTJOIN(" ",TRUE,"Sipariş",$A11,"karar",$D11,"toplam",TEXT($B11,"0.00"),"tasarruf",TEXT($C11,"0.00"),"TL"))</f>
        <v/>
      </c>
    </row>
    <row r="12">
      <c r="A12" s="15">
        <f>IF('ESLESTIRME'!$A12="","",IF('ESLESTIRME'!$G12="tutar_farki",'ESLESTIRME'!$A12,""))</f>
        <v/>
      </c>
      <c r="B12" s="15">
        <f>IF($A12="","",IFERROR(SUMIF(tblMotor[A_Norm],$A12,tblMotor[SiparisToplam]),0))</f>
        <v/>
      </c>
      <c r="C12" s="15">
        <f>IF($A12="","",IFERROR(SUMIF(tblMotor[A_Norm],$A12,tblMotor[Tasarruf]),0))</f>
        <v/>
      </c>
      <c r="D12" s="15">
        <f>IF($A12="","",IFERROR(INDEX(tblMotor[KararSatir],MATCH($A12,tblMotor[A_Norm],0)),""))</f>
        <v/>
      </c>
      <c r="E12" s="15">
        <f>IF($A12="","",IF(OR($D12="DESİ DÜŞÜR",$D12="TAŞIYICI DEĞİŞTİR"),"YUKSEK","NORMAL"))</f>
        <v/>
      </c>
      <c r="F12" s="15">
        <f>IF($A12="","",_xlfn.TEXTJOIN(" ",TRUE,"Sipariş",$A12,"karar",$D12,"toplam",TEXT($B12,"0.00"),"tasarruf",TEXT($C12,"0.00"),"TL"))</f>
        <v/>
      </c>
    </row>
    <row r="13">
      <c r="A13" s="15">
        <f>IF('ESLESTIRME'!$A13="","",IF('ESLESTIRME'!$G13="tutar_farki",'ESLESTIRME'!$A13,""))</f>
        <v/>
      </c>
      <c r="B13" s="15">
        <f>IF($A13="","",IFERROR(SUMIF(tblMotor[A_Norm],$A13,tblMotor[SiparisToplam]),0))</f>
        <v/>
      </c>
      <c r="C13" s="15">
        <f>IF($A13="","",IFERROR(SUMIF(tblMotor[A_Norm],$A13,tblMotor[Tasarruf]),0))</f>
        <v/>
      </c>
      <c r="D13" s="15">
        <f>IF($A13="","",IFERROR(INDEX(tblMotor[KararSatir],MATCH($A13,tblMotor[A_Norm],0)),""))</f>
        <v/>
      </c>
      <c r="E13" s="15">
        <f>IF($A13="","",IF(OR($D13="DESİ DÜŞÜR",$D13="TAŞIYICI DEĞİŞTİR"),"YUKSEK","NORMAL"))</f>
        <v/>
      </c>
      <c r="F13" s="15">
        <f>IF($A13="","",_xlfn.TEXTJOIN(" ",TRUE,"Sipariş",$A13,"karar",$D13,"toplam",TEXT($B13,"0.00"),"tasarruf",TEXT($C13,"0.00"),"TL"))</f>
        <v/>
      </c>
    </row>
    <row r="14">
      <c r="A14" s="15">
        <f>IF('ESLESTIRME'!$A14="","",IF('ESLESTIRME'!$G14="tutar_farki",'ESLESTIRME'!$A14,""))</f>
        <v/>
      </c>
      <c r="B14" s="15">
        <f>IF($A14="","",IFERROR(SUMIF(tblMotor[A_Norm],$A14,tblMotor[SiparisToplam]),0))</f>
        <v/>
      </c>
      <c r="C14" s="15">
        <f>IF($A14="","",IFERROR(SUMIF(tblMotor[A_Norm],$A14,tblMotor[Tasarruf]),0))</f>
        <v/>
      </c>
      <c r="D14" s="15">
        <f>IF($A14="","",IFERROR(INDEX(tblMotor[KararSatir],MATCH($A14,tblMotor[A_Norm],0)),""))</f>
        <v/>
      </c>
      <c r="E14" s="15">
        <f>IF($A14="","",IF(OR($D14="DESİ DÜŞÜR",$D14="TAŞIYICI DEĞİŞTİR"),"YUKSEK","NORMAL"))</f>
        <v/>
      </c>
      <c r="F14" s="15">
        <f>IF($A14="","",_xlfn.TEXTJOIN(" ",TRUE,"Sipariş",$A14,"karar",$D14,"toplam",TEXT($B14,"0.00"),"tasarruf",TEXT($C14,"0.00"),"TL"))</f>
        <v/>
      </c>
    </row>
    <row r="15">
      <c r="A15" s="15">
        <f>IF('ESLESTIRME'!$A15="","",IF('ESLESTIRME'!$G15="tutar_farki",'ESLESTIRME'!$A15,""))</f>
        <v/>
      </c>
      <c r="B15" s="15">
        <f>IF($A15="","",IFERROR(SUMIF(tblMotor[A_Norm],$A15,tblMotor[SiparisToplam]),0))</f>
        <v/>
      </c>
      <c r="C15" s="15">
        <f>IF($A15="","",IFERROR(SUMIF(tblMotor[A_Norm],$A15,tblMotor[Tasarruf]),0))</f>
        <v/>
      </c>
      <c r="D15" s="15">
        <f>IF($A15="","",IFERROR(INDEX(tblMotor[KararSatir],MATCH($A15,tblMotor[A_Norm],0)),""))</f>
        <v/>
      </c>
      <c r="E15" s="15">
        <f>IF($A15="","",IF(OR($D15="DESİ DÜŞÜR",$D15="TAŞIYICI DEĞİŞTİR"),"YUKSEK","NORMAL"))</f>
        <v/>
      </c>
      <c r="F15" s="15">
        <f>IF($A15="","",_xlfn.TEXTJOIN(" ",TRUE,"Sipariş",$A15,"karar",$D15,"toplam",TEXT($B15,"0.00"),"tasarruf",TEXT($C15,"0.00"),"TL"))</f>
        <v/>
      </c>
    </row>
    <row r="16">
      <c r="A16" s="15">
        <f>IF('ESLESTIRME'!$A16="","",IF('ESLESTIRME'!$G16="tutar_farki",'ESLESTIRME'!$A16,""))</f>
        <v/>
      </c>
      <c r="B16" s="15">
        <f>IF($A16="","",IFERROR(SUMIF(tblMotor[A_Norm],$A16,tblMotor[SiparisToplam]),0))</f>
        <v/>
      </c>
      <c r="C16" s="15">
        <f>IF($A16="","",IFERROR(SUMIF(tblMotor[A_Norm],$A16,tblMotor[Tasarruf]),0))</f>
        <v/>
      </c>
      <c r="D16" s="15">
        <f>IF($A16="","",IFERROR(INDEX(tblMotor[KararSatir],MATCH($A16,tblMotor[A_Norm],0)),""))</f>
        <v/>
      </c>
      <c r="E16" s="15">
        <f>IF($A16="","",IF(OR($D16="DESİ DÜŞÜR",$D16="TAŞIYICI DEĞİŞTİR"),"YUKSEK","NORMAL"))</f>
        <v/>
      </c>
      <c r="F16" s="15">
        <f>IF($A16="","",_xlfn.TEXTJOIN(" ",TRUE,"Sipariş",$A16,"karar",$D16,"toplam",TEXT($B16,"0.00"),"tasarruf",TEXT($C16,"0.00"),"TL"))</f>
        <v/>
      </c>
    </row>
    <row r="17">
      <c r="A17" s="15">
        <f>IF('ESLESTIRME'!$A17="","",IF('ESLESTIRME'!$G17="tutar_farki",'ESLESTIRME'!$A17,""))</f>
        <v/>
      </c>
      <c r="B17" s="15">
        <f>IF($A17="","",IFERROR(SUMIF(tblMotor[A_Norm],$A17,tblMotor[SiparisToplam]),0))</f>
        <v/>
      </c>
      <c r="C17" s="15">
        <f>IF($A17="","",IFERROR(SUMIF(tblMotor[A_Norm],$A17,tblMotor[Tasarruf]),0))</f>
        <v/>
      </c>
      <c r="D17" s="15">
        <f>IF($A17="","",IFERROR(INDEX(tblMotor[KararSatir],MATCH($A17,tblMotor[A_Norm],0)),""))</f>
        <v/>
      </c>
      <c r="E17" s="15">
        <f>IF($A17="","",IF(OR($D17="DESİ DÜŞÜR",$D17="TAŞIYICI DEĞİŞTİR"),"YUKSEK","NORMAL"))</f>
        <v/>
      </c>
      <c r="F17" s="15">
        <f>IF($A17="","",_xlfn.TEXTJOIN(" ",TRUE,"Sipariş",$A17,"karar",$D17,"toplam",TEXT($B17,"0.00"),"tasarruf",TEXT($C17,"0.00"),"TL"))</f>
        <v/>
      </c>
    </row>
    <row r="18">
      <c r="A18" s="15">
        <f>IF('ESLESTIRME'!$A18="","",IF('ESLESTIRME'!$G18="tutar_farki",'ESLESTIRME'!$A18,""))</f>
        <v/>
      </c>
      <c r="B18" s="15">
        <f>IF($A18="","",IFERROR(SUMIF(tblMotor[A_Norm],$A18,tblMotor[SiparisToplam]),0))</f>
        <v/>
      </c>
      <c r="C18" s="15">
        <f>IF($A18="","",IFERROR(SUMIF(tblMotor[A_Norm],$A18,tblMotor[Tasarruf]),0))</f>
        <v/>
      </c>
      <c r="D18" s="15">
        <f>IF($A18="","",IFERROR(INDEX(tblMotor[KararSatir],MATCH($A18,tblMotor[A_Norm],0)),""))</f>
        <v/>
      </c>
      <c r="E18" s="15">
        <f>IF($A18="","",IF(OR($D18="DESİ DÜŞÜR",$D18="TAŞIYICI DEĞİŞTİR"),"YUKSEK","NORMAL"))</f>
        <v/>
      </c>
      <c r="F18" s="15">
        <f>IF($A18="","",_xlfn.TEXTJOIN(" ",TRUE,"Sipariş",$A18,"karar",$D18,"toplam",TEXT($B18,"0.00"),"tasarruf",TEXT($C18,"0.00"),"TL"))</f>
        <v/>
      </c>
    </row>
    <row r="19">
      <c r="A19" s="15">
        <f>IF('ESLESTIRME'!$A19="","",IF('ESLESTIRME'!$G19="tutar_farki",'ESLESTIRME'!$A19,""))</f>
        <v/>
      </c>
      <c r="B19" s="15">
        <f>IF($A19="","",IFERROR(SUMIF(tblMotor[A_Norm],$A19,tblMotor[SiparisToplam]),0))</f>
        <v/>
      </c>
      <c r="C19" s="15">
        <f>IF($A19="","",IFERROR(SUMIF(tblMotor[A_Norm],$A19,tblMotor[Tasarruf]),0))</f>
        <v/>
      </c>
      <c r="D19" s="15">
        <f>IF($A19="","",IFERROR(INDEX(tblMotor[KararSatir],MATCH($A19,tblMotor[A_Norm],0)),""))</f>
        <v/>
      </c>
      <c r="E19" s="15">
        <f>IF($A19="","",IF(OR($D19="DESİ DÜŞÜR",$D19="TAŞIYICI DEĞİŞTİR"),"YUKSEK","NORMAL"))</f>
        <v/>
      </c>
      <c r="F19" s="15">
        <f>IF($A19="","",_xlfn.TEXTJOIN(" ",TRUE,"Sipariş",$A19,"karar",$D19,"toplam",TEXT($B19,"0.00"),"tasarruf",TEXT($C19,"0.00"),"TL"))</f>
        <v/>
      </c>
    </row>
    <row r="20">
      <c r="A20" s="15">
        <f>IF('ESLESTIRME'!$A20="","",IF('ESLESTIRME'!$G20="tutar_farki",'ESLESTIRME'!$A20,""))</f>
        <v/>
      </c>
      <c r="B20" s="15">
        <f>IF($A20="","",IFERROR(SUMIF(tblMotor[A_Norm],$A20,tblMotor[SiparisToplam]),0))</f>
        <v/>
      </c>
      <c r="C20" s="15">
        <f>IF($A20="","",IFERROR(SUMIF(tblMotor[A_Norm],$A20,tblMotor[Tasarruf]),0))</f>
        <v/>
      </c>
      <c r="D20" s="15">
        <f>IF($A20="","",IFERROR(INDEX(tblMotor[KararSatir],MATCH($A20,tblMotor[A_Norm],0)),""))</f>
        <v/>
      </c>
      <c r="E20" s="15">
        <f>IF($A20="","",IF(OR($D20="DESİ DÜŞÜR",$D20="TAŞIYICI DEĞİŞTİR"),"YUKSEK","NORMAL"))</f>
        <v/>
      </c>
      <c r="F20" s="15">
        <f>IF($A20="","",_xlfn.TEXTJOIN(" ",TRUE,"Sipariş",$A20,"karar",$D20,"toplam",TEXT($B20,"0.00"),"tasarruf",TEXT($C20,"0.00"),"TL"))</f>
        <v/>
      </c>
    </row>
    <row r="21">
      <c r="A21" s="15">
        <f>IF('ESLESTIRME'!$A21="","",IF('ESLESTIRME'!$G21="tutar_farki",'ESLESTIRME'!$A21,""))</f>
        <v/>
      </c>
      <c r="B21" s="15">
        <f>IF($A21="","",IFERROR(SUMIF(tblMotor[A_Norm],$A21,tblMotor[SiparisToplam]),0))</f>
        <v/>
      </c>
      <c r="C21" s="15">
        <f>IF($A21="","",IFERROR(SUMIF(tblMotor[A_Norm],$A21,tblMotor[Tasarruf]),0))</f>
        <v/>
      </c>
      <c r="D21" s="15">
        <f>IF($A21="","",IFERROR(INDEX(tblMotor[KararSatir],MATCH($A21,tblMotor[A_Norm],0)),""))</f>
        <v/>
      </c>
      <c r="E21" s="15">
        <f>IF($A21="","",IF(OR($D21="DESİ DÜŞÜR",$D21="TAŞIYICI DEĞİŞTİR"),"YUKSEK","NORMAL"))</f>
        <v/>
      </c>
      <c r="F21" s="15">
        <f>IF($A21="","",_xlfn.TEXTJOIN(" ",TRUE,"Sipariş",$A21,"karar",$D21,"toplam",TEXT($B21,"0.00"),"tasarruf",TEXT($C21,"0.00"),"TL"))</f>
        <v/>
      </c>
    </row>
    <row r="22">
      <c r="A22" s="15">
        <f>IF('ESLESTIRME'!$A22="","",IF('ESLESTIRME'!$G22="tutar_farki",'ESLESTIRME'!$A22,""))</f>
        <v/>
      </c>
      <c r="B22" s="15">
        <f>IF($A22="","",IFERROR(SUMIF(tblMotor[A_Norm],$A22,tblMotor[SiparisToplam]),0))</f>
        <v/>
      </c>
      <c r="C22" s="15">
        <f>IF($A22="","",IFERROR(SUMIF(tblMotor[A_Norm],$A22,tblMotor[Tasarruf]),0))</f>
        <v/>
      </c>
      <c r="D22" s="15">
        <f>IF($A22="","",IFERROR(INDEX(tblMotor[KararSatir],MATCH($A22,tblMotor[A_Norm],0)),""))</f>
        <v/>
      </c>
      <c r="E22" s="15">
        <f>IF($A22="","",IF(OR($D22="DESİ DÜŞÜR",$D22="TAŞIYICI DEĞİŞTİR"),"YUKSEK","NORMAL"))</f>
        <v/>
      </c>
      <c r="F22" s="15">
        <f>IF($A22="","",_xlfn.TEXTJOIN(" ",TRUE,"Sipariş",$A22,"karar",$D22,"toplam",TEXT($B22,"0.00"),"tasarruf",TEXT($C22,"0.00"),"TL"))</f>
        <v/>
      </c>
    </row>
    <row r="23">
      <c r="A23" s="15">
        <f>IF('ESLESTIRME'!$A23="","",IF('ESLESTIRME'!$G23="tutar_farki",'ESLESTIRME'!$A23,""))</f>
        <v/>
      </c>
      <c r="B23" s="15">
        <f>IF($A23="","",IFERROR(SUMIF(tblMotor[A_Norm],$A23,tblMotor[SiparisToplam]),0))</f>
        <v/>
      </c>
      <c r="C23" s="15">
        <f>IF($A23="","",IFERROR(SUMIF(tblMotor[A_Norm],$A23,tblMotor[Tasarruf]),0))</f>
        <v/>
      </c>
      <c r="D23" s="15">
        <f>IF($A23="","",IFERROR(INDEX(tblMotor[KararSatir],MATCH($A23,tblMotor[A_Norm],0)),""))</f>
        <v/>
      </c>
      <c r="E23" s="15">
        <f>IF($A23="","",IF(OR($D23="DESİ DÜŞÜR",$D23="TAŞIYICI DEĞİŞTİR"),"YUKSEK","NORMAL"))</f>
        <v/>
      </c>
      <c r="F23" s="15">
        <f>IF($A23="","",_xlfn.TEXTJOIN(" ",TRUE,"Sipariş",$A23,"karar",$D23,"toplam",TEXT($B23,"0.00"),"tasarruf",TEXT($C23,"0.00"),"TL"))</f>
        <v/>
      </c>
    </row>
    <row r="24">
      <c r="A24" s="15">
        <f>IF('ESLESTIRME'!$A24="","",IF('ESLESTIRME'!$G24="tutar_farki",'ESLESTIRME'!$A24,""))</f>
        <v/>
      </c>
      <c r="B24" s="15">
        <f>IF($A24="","",IFERROR(SUMIF(tblMotor[A_Norm],$A24,tblMotor[SiparisToplam]),0))</f>
        <v/>
      </c>
      <c r="C24" s="15">
        <f>IF($A24="","",IFERROR(SUMIF(tblMotor[A_Norm],$A24,tblMotor[Tasarruf]),0))</f>
        <v/>
      </c>
      <c r="D24" s="15">
        <f>IF($A24="","",IFERROR(INDEX(tblMotor[KararSatir],MATCH($A24,tblMotor[A_Norm],0)),""))</f>
        <v/>
      </c>
      <c r="E24" s="15">
        <f>IF($A24="","",IF(OR($D24="DESİ DÜŞÜR",$D24="TAŞIYICI DEĞİŞTİR"),"YUKSEK","NORMAL"))</f>
        <v/>
      </c>
      <c r="F24" s="15">
        <f>IF($A24="","",_xlfn.TEXTJOIN(" ",TRUE,"Sipariş",$A24,"karar",$D24,"toplam",TEXT($B24,"0.00"),"tasarruf",TEXT($C24,"0.00"),"TL"))</f>
        <v/>
      </c>
    </row>
    <row r="25">
      <c r="A25" s="15">
        <f>IF('ESLESTIRME'!$A25="","",IF('ESLESTIRME'!$G25="tutar_farki",'ESLESTIRME'!$A25,""))</f>
        <v/>
      </c>
      <c r="B25" s="15">
        <f>IF($A25="","",IFERROR(SUMIF(tblMotor[A_Norm],$A25,tblMotor[SiparisToplam]),0))</f>
        <v/>
      </c>
      <c r="C25" s="15">
        <f>IF($A25="","",IFERROR(SUMIF(tblMotor[A_Norm],$A25,tblMotor[Tasarruf]),0))</f>
        <v/>
      </c>
      <c r="D25" s="15">
        <f>IF($A25="","",IFERROR(INDEX(tblMotor[KararSatir],MATCH($A25,tblMotor[A_Norm],0)),""))</f>
        <v/>
      </c>
      <c r="E25" s="15">
        <f>IF($A25="","",IF(OR($D25="DESİ DÜŞÜR",$D25="TAŞIYICI DEĞİŞTİR"),"YUKSEK","NORMAL"))</f>
        <v/>
      </c>
      <c r="F25" s="15">
        <f>IF($A25="","",_xlfn.TEXTJOIN(" ",TRUE,"Sipariş",$A25,"karar",$D25,"toplam",TEXT($B25,"0.00"),"tasarruf",TEXT($C25,"0.00"),"TL"))</f>
        <v/>
      </c>
    </row>
    <row r="26">
      <c r="A26" s="15">
        <f>IF('ESLESTIRME'!$A26="","",IF('ESLESTIRME'!$G26="tutar_farki",'ESLESTIRME'!$A26,""))</f>
        <v/>
      </c>
      <c r="B26" s="15">
        <f>IF($A26="","",IFERROR(SUMIF(tblMotor[A_Norm],$A26,tblMotor[SiparisToplam]),0))</f>
        <v/>
      </c>
      <c r="C26" s="15">
        <f>IF($A26="","",IFERROR(SUMIF(tblMotor[A_Norm],$A26,tblMotor[Tasarruf]),0))</f>
        <v/>
      </c>
      <c r="D26" s="15">
        <f>IF($A26="","",IFERROR(INDEX(tblMotor[KararSatir],MATCH($A26,tblMotor[A_Norm],0)),""))</f>
        <v/>
      </c>
      <c r="E26" s="15">
        <f>IF($A26="","",IF(OR($D26="DESİ DÜŞÜR",$D26="TAŞIYICI DEĞİŞTİR"),"YUKSEK","NORMAL"))</f>
        <v/>
      </c>
      <c r="F26" s="15">
        <f>IF($A26="","",_xlfn.TEXTJOIN(" ",TRUE,"Sipariş",$A26,"karar",$D26,"toplam",TEXT($B26,"0.00"),"tasarruf",TEXT($C26,"0.00"),"TL"))</f>
        <v/>
      </c>
    </row>
    <row r="27">
      <c r="A27" s="15">
        <f>IF('ESLESTIRME'!$A27="","",IF('ESLESTIRME'!$G27="tutar_farki",'ESLESTIRME'!$A27,""))</f>
        <v/>
      </c>
      <c r="B27" s="15">
        <f>IF($A27="","",IFERROR(SUMIF(tblMotor[A_Norm],$A27,tblMotor[SiparisToplam]),0))</f>
        <v/>
      </c>
      <c r="C27" s="15">
        <f>IF($A27="","",IFERROR(SUMIF(tblMotor[A_Norm],$A27,tblMotor[Tasarruf]),0))</f>
        <v/>
      </c>
      <c r="D27" s="15">
        <f>IF($A27="","",IFERROR(INDEX(tblMotor[KararSatir],MATCH($A27,tblMotor[A_Norm],0)),""))</f>
        <v/>
      </c>
      <c r="E27" s="15">
        <f>IF($A27="","",IF(OR($D27="DESİ DÜŞÜR",$D27="TAŞIYICI DEĞİŞTİR"),"YUKSEK","NORMAL"))</f>
        <v/>
      </c>
      <c r="F27" s="15">
        <f>IF($A27="","",_xlfn.TEXTJOIN(" ",TRUE,"Sipariş",$A27,"karar",$D27,"toplam",TEXT($B27,"0.00"),"tasarruf",TEXT($C27,"0.00"),"TL"))</f>
        <v/>
      </c>
    </row>
    <row r="28">
      <c r="A28" s="15">
        <f>IF('ESLESTIRME'!$A28="","",IF('ESLESTIRME'!$G28="tutar_farki",'ESLESTIRME'!$A28,""))</f>
        <v/>
      </c>
      <c r="B28" s="15">
        <f>IF($A28="","",IFERROR(SUMIF(tblMotor[A_Norm],$A28,tblMotor[SiparisToplam]),0))</f>
        <v/>
      </c>
      <c r="C28" s="15">
        <f>IF($A28="","",IFERROR(SUMIF(tblMotor[A_Norm],$A28,tblMotor[Tasarruf]),0))</f>
        <v/>
      </c>
      <c r="D28" s="15">
        <f>IF($A28="","",IFERROR(INDEX(tblMotor[KararSatir],MATCH($A28,tblMotor[A_Norm],0)),""))</f>
        <v/>
      </c>
      <c r="E28" s="15">
        <f>IF($A28="","",IF(OR($D28="DESİ DÜŞÜR",$D28="TAŞIYICI DEĞİŞTİR"),"YUKSEK","NORMAL"))</f>
        <v/>
      </c>
      <c r="F28" s="15">
        <f>IF($A28="","",_xlfn.TEXTJOIN(" ",TRUE,"Sipariş",$A28,"karar",$D28,"toplam",TEXT($B28,"0.00"),"tasarruf",TEXT($C28,"0.00"),"TL"))</f>
        <v/>
      </c>
    </row>
    <row r="29">
      <c r="A29" s="15">
        <f>IF('ESLESTIRME'!$A29="","",IF('ESLESTIRME'!$G29="tutar_farki",'ESLESTIRME'!$A29,""))</f>
        <v/>
      </c>
      <c r="B29" s="15">
        <f>IF($A29="","",IFERROR(SUMIF(tblMotor[A_Norm],$A29,tblMotor[SiparisToplam]),0))</f>
        <v/>
      </c>
      <c r="C29" s="15">
        <f>IF($A29="","",IFERROR(SUMIF(tblMotor[A_Norm],$A29,tblMotor[Tasarruf]),0))</f>
        <v/>
      </c>
      <c r="D29" s="15">
        <f>IF($A29="","",IFERROR(INDEX(tblMotor[KararSatir],MATCH($A29,tblMotor[A_Norm],0)),""))</f>
        <v/>
      </c>
      <c r="E29" s="15">
        <f>IF($A29="","",IF(OR($D29="DESİ DÜŞÜR",$D29="TAŞIYICI DEĞİŞTİR"),"YUKSEK","NORMAL"))</f>
        <v/>
      </c>
      <c r="F29" s="15">
        <f>IF($A29="","",_xlfn.TEXTJOIN(" ",TRUE,"Sipariş",$A29,"karar",$D29,"toplam",TEXT($B29,"0.00"),"tasarruf",TEXT($C29,"0.00"),"TL"))</f>
        <v/>
      </c>
    </row>
    <row r="30">
      <c r="A30" s="15">
        <f>IF('ESLESTIRME'!$A30="","",IF('ESLESTIRME'!$G30="tutar_farki",'ESLESTIRME'!$A30,""))</f>
        <v/>
      </c>
      <c r="B30" s="15">
        <f>IF($A30="","",IFERROR(SUMIF(tblMotor[A_Norm],$A30,tblMotor[SiparisToplam]),0))</f>
        <v/>
      </c>
      <c r="C30" s="15">
        <f>IF($A30="","",IFERROR(SUMIF(tblMotor[A_Norm],$A30,tblMotor[Tasarruf]),0))</f>
        <v/>
      </c>
      <c r="D30" s="15">
        <f>IF($A30="","",IFERROR(INDEX(tblMotor[KararSatir],MATCH($A30,tblMotor[A_Norm],0)),""))</f>
        <v/>
      </c>
      <c r="E30" s="15">
        <f>IF($A30="","",IF(OR($D30="DESİ DÜŞÜR",$D30="TAŞIYICI DEĞİŞTİR"),"YUKSEK","NORMAL"))</f>
        <v/>
      </c>
      <c r="F30" s="15">
        <f>IF($A30="","",_xlfn.TEXTJOIN(" ",TRUE,"Sipariş",$A30,"karar",$D30,"toplam",TEXT($B30,"0.00"),"tasarruf",TEXT($C30,"0.00"),"TL"))</f>
        <v/>
      </c>
    </row>
    <row r="31">
      <c r="A31" s="15">
        <f>IF('ESLESTIRME'!$A31="","",IF('ESLESTIRME'!$G31="tutar_farki",'ESLESTIRME'!$A31,""))</f>
        <v/>
      </c>
      <c r="B31" s="15">
        <f>IF($A31="","",IFERROR(SUMIF(tblMotor[A_Norm],$A31,tblMotor[SiparisToplam]),0))</f>
        <v/>
      </c>
      <c r="C31" s="15">
        <f>IF($A31="","",IFERROR(SUMIF(tblMotor[A_Norm],$A31,tblMotor[Tasarruf]),0))</f>
        <v/>
      </c>
      <c r="D31" s="15">
        <f>IF($A31="","",IFERROR(INDEX(tblMotor[KararSatir],MATCH($A31,tblMotor[A_Norm],0)),""))</f>
        <v/>
      </c>
      <c r="E31" s="15">
        <f>IF($A31="","",IF(OR($D31="DESİ DÜŞÜR",$D31="TAŞIYICI DEĞİŞTİR"),"YUKSEK","NORMAL"))</f>
        <v/>
      </c>
      <c r="F31" s="15">
        <f>IF($A31="","",_xlfn.TEXTJOIN(" ",TRUE,"Sipariş",$A31,"karar",$D31,"toplam",TEXT($B31,"0.00"),"tasarruf",TEXT($C31,"0.00"),"TL"))</f>
        <v/>
      </c>
    </row>
    <row r="32">
      <c r="A32" s="15">
        <f>IF('ESLESTIRME'!$A32="","",IF('ESLESTIRME'!$G32="tutar_farki",'ESLESTIRME'!$A32,""))</f>
        <v/>
      </c>
      <c r="B32" s="15">
        <f>IF($A32="","",IFERROR(SUMIF(tblMotor[A_Norm],$A32,tblMotor[SiparisToplam]),0))</f>
        <v/>
      </c>
      <c r="C32" s="15">
        <f>IF($A32="","",IFERROR(SUMIF(tblMotor[A_Norm],$A32,tblMotor[Tasarruf]),0))</f>
        <v/>
      </c>
      <c r="D32" s="15">
        <f>IF($A32="","",IFERROR(INDEX(tblMotor[KararSatir],MATCH($A32,tblMotor[A_Norm],0)),""))</f>
        <v/>
      </c>
      <c r="E32" s="15">
        <f>IF($A32="","",IF(OR($D32="DESİ DÜŞÜR",$D32="TAŞIYICI DEĞİŞTİR"),"YUKSEK","NORMAL"))</f>
        <v/>
      </c>
      <c r="F32" s="15">
        <f>IF($A32="","",_xlfn.TEXTJOIN(" ",TRUE,"Sipariş",$A32,"karar",$D32,"toplam",TEXT($B32,"0.00"),"tasarruf",TEXT($C32,"0.00"),"TL"))</f>
        <v/>
      </c>
    </row>
    <row r="33">
      <c r="A33" s="15">
        <f>IF('ESLESTIRME'!$A33="","",IF('ESLESTIRME'!$G33="tutar_farki",'ESLESTIRME'!$A33,""))</f>
        <v/>
      </c>
      <c r="B33" s="15">
        <f>IF($A33="","",IFERROR(SUMIF(tblMotor[A_Norm],$A33,tblMotor[SiparisToplam]),0))</f>
        <v/>
      </c>
      <c r="C33" s="15">
        <f>IF($A33="","",IFERROR(SUMIF(tblMotor[A_Norm],$A33,tblMotor[Tasarruf]),0))</f>
        <v/>
      </c>
      <c r="D33" s="15">
        <f>IF($A33="","",IFERROR(INDEX(tblMotor[KararSatir],MATCH($A33,tblMotor[A_Norm],0)),""))</f>
        <v/>
      </c>
      <c r="E33" s="15">
        <f>IF($A33="","",IF(OR($D33="DESİ DÜŞÜR",$D33="TAŞIYICI DEĞİŞTİR"),"YUKSEK","NORMAL"))</f>
        <v/>
      </c>
      <c r="F33" s="15">
        <f>IF($A33="","",_xlfn.TEXTJOIN(" ",TRUE,"Sipariş",$A33,"karar",$D33,"toplam",TEXT($B33,"0.00"),"tasarruf",TEXT($C33,"0.00"),"TL"))</f>
        <v/>
      </c>
    </row>
    <row r="34">
      <c r="A34" s="15">
        <f>IF('ESLESTIRME'!$A34="","",IF('ESLESTIRME'!$G34="tutar_farki",'ESLESTIRME'!$A34,""))</f>
        <v/>
      </c>
      <c r="B34" s="15">
        <f>IF($A34="","",IFERROR(SUMIF(tblMotor[A_Norm],$A34,tblMotor[SiparisToplam]),0))</f>
        <v/>
      </c>
      <c r="C34" s="15">
        <f>IF($A34="","",IFERROR(SUMIF(tblMotor[A_Norm],$A34,tblMotor[Tasarruf]),0))</f>
        <v/>
      </c>
      <c r="D34" s="15">
        <f>IF($A34="","",IFERROR(INDEX(tblMotor[KararSatir],MATCH($A34,tblMotor[A_Norm],0)),""))</f>
        <v/>
      </c>
      <c r="E34" s="15">
        <f>IF($A34="","",IF(OR($D34="DESİ DÜŞÜR",$D34="TAŞIYICI DEĞİŞTİR"),"YUKSEK","NORMAL"))</f>
        <v/>
      </c>
      <c r="F34" s="15">
        <f>IF($A34="","",_xlfn.TEXTJOIN(" ",TRUE,"Sipariş",$A34,"karar",$D34,"toplam",TEXT($B34,"0.00"),"tasarruf",TEXT($C34,"0.00"),"TL"))</f>
        <v/>
      </c>
    </row>
    <row r="35">
      <c r="A35" s="15">
        <f>IF('ESLESTIRME'!$A35="","",IF('ESLESTIRME'!$G35="tutar_farki",'ESLESTIRME'!$A35,""))</f>
        <v/>
      </c>
      <c r="B35" s="15">
        <f>IF($A35="","",IFERROR(SUMIF(tblMotor[A_Norm],$A35,tblMotor[SiparisToplam]),0))</f>
        <v/>
      </c>
      <c r="C35" s="15">
        <f>IF($A35="","",IFERROR(SUMIF(tblMotor[A_Norm],$A35,tblMotor[Tasarruf]),0))</f>
        <v/>
      </c>
      <c r="D35" s="15">
        <f>IF($A35="","",IFERROR(INDEX(tblMotor[KararSatir],MATCH($A35,tblMotor[A_Norm],0)),""))</f>
        <v/>
      </c>
      <c r="E35" s="15">
        <f>IF($A35="","",IF(OR($D35="DESİ DÜŞÜR",$D35="TAŞIYICI DEĞİŞTİR"),"YUKSEK","NORMAL"))</f>
        <v/>
      </c>
      <c r="F35" s="15">
        <f>IF($A35="","",_xlfn.TEXTJOIN(" ",TRUE,"Sipariş",$A35,"karar",$D35,"toplam",TEXT($B35,"0.00"),"tasarruf",TEXT($C35,"0.00"),"TL"))</f>
        <v/>
      </c>
    </row>
    <row r="36">
      <c r="A36" s="15">
        <f>IF('ESLESTIRME'!$A36="","",IF('ESLESTIRME'!$G36="tutar_farki",'ESLESTIRME'!$A36,""))</f>
        <v/>
      </c>
      <c r="B36" s="15">
        <f>IF($A36="","",IFERROR(SUMIF(tblMotor[A_Norm],$A36,tblMotor[SiparisToplam]),0))</f>
        <v/>
      </c>
      <c r="C36" s="15">
        <f>IF($A36="","",IFERROR(SUMIF(tblMotor[A_Norm],$A36,tblMotor[Tasarruf]),0))</f>
        <v/>
      </c>
      <c r="D36" s="15">
        <f>IF($A36="","",IFERROR(INDEX(tblMotor[KararSatir],MATCH($A36,tblMotor[A_Norm],0)),""))</f>
        <v/>
      </c>
      <c r="E36" s="15">
        <f>IF($A36="","",IF(OR($D36="DESİ DÜŞÜR",$D36="TAŞIYICI DEĞİŞTİR"),"YUKSEK","NORMAL"))</f>
        <v/>
      </c>
      <c r="F36" s="15">
        <f>IF($A36="","",_xlfn.TEXTJOIN(" ",TRUE,"Sipariş",$A36,"karar",$D36,"toplam",TEXT($B36,"0.00"),"tasarruf",TEXT($C36,"0.00"),"TL"))</f>
        <v/>
      </c>
    </row>
    <row r="37">
      <c r="A37" s="15">
        <f>IF('ESLESTIRME'!$A37="","",IF('ESLESTIRME'!$G37="tutar_farki",'ESLESTIRME'!$A37,""))</f>
        <v/>
      </c>
      <c r="B37" s="15">
        <f>IF($A37="","",IFERROR(SUMIF(tblMotor[A_Norm],$A37,tblMotor[SiparisToplam]),0))</f>
        <v/>
      </c>
      <c r="C37" s="15">
        <f>IF($A37="","",IFERROR(SUMIF(tblMotor[A_Norm],$A37,tblMotor[Tasarruf]),0))</f>
        <v/>
      </c>
      <c r="D37" s="15">
        <f>IF($A37="","",IFERROR(INDEX(tblMotor[KararSatir],MATCH($A37,tblMotor[A_Norm],0)),""))</f>
        <v/>
      </c>
      <c r="E37" s="15">
        <f>IF($A37="","",IF(OR($D37="DESİ DÜŞÜR",$D37="TAŞIYICI DEĞİŞTİR"),"YUKSEK","NORMAL"))</f>
        <v/>
      </c>
      <c r="F37" s="15">
        <f>IF($A37="","",_xlfn.TEXTJOIN(" ",TRUE,"Sipariş",$A37,"karar",$D37,"toplam",TEXT($B37,"0.00"),"tasarruf",TEXT($C37,"0.00"),"TL"))</f>
        <v/>
      </c>
    </row>
    <row r="38">
      <c r="A38" s="15">
        <f>IF('ESLESTIRME'!$A38="","",IF('ESLESTIRME'!$G38="tutar_farki",'ESLESTIRME'!$A38,""))</f>
        <v/>
      </c>
      <c r="B38" s="15">
        <f>IF($A38="","",IFERROR(SUMIF(tblMotor[A_Norm],$A38,tblMotor[SiparisToplam]),0))</f>
        <v/>
      </c>
      <c r="C38" s="15">
        <f>IF($A38="","",IFERROR(SUMIF(tblMotor[A_Norm],$A38,tblMotor[Tasarruf]),0))</f>
        <v/>
      </c>
      <c r="D38" s="15">
        <f>IF($A38="","",IFERROR(INDEX(tblMotor[KararSatir],MATCH($A38,tblMotor[A_Norm],0)),""))</f>
        <v/>
      </c>
      <c r="E38" s="15">
        <f>IF($A38="","",IF(OR($D38="DESİ DÜŞÜR",$D38="TAŞIYICI DEĞİŞTİR"),"YUKSEK","NORMAL"))</f>
        <v/>
      </c>
      <c r="F38" s="15">
        <f>IF($A38="","",_xlfn.TEXTJOIN(" ",TRUE,"Sipariş",$A38,"karar",$D38,"toplam",TEXT($B38,"0.00"),"tasarruf",TEXT($C38,"0.00"),"TL"))</f>
        <v/>
      </c>
    </row>
    <row r="39">
      <c r="A39" s="15">
        <f>IF('ESLESTIRME'!$A39="","",IF('ESLESTIRME'!$G39="tutar_farki",'ESLESTIRME'!$A39,""))</f>
        <v/>
      </c>
      <c r="B39" s="15">
        <f>IF($A39="","",IFERROR(SUMIF(tblMotor[A_Norm],$A39,tblMotor[SiparisToplam]),0))</f>
        <v/>
      </c>
      <c r="C39" s="15">
        <f>IF($A39="","",IFERROR(SUMIF(tblMotor[A_Norm],$A39,tblMotor[Tasarruf]),0))</f>
        <v/>
      </c>
      <c r="D39" s="15">
        <f>IF($A39="","",IFERROR(INDEX(tblMotor[KararSatir],MATCH($A39,tblMotor[A_Norm],0)),""))</f>
        <v/>
      </c>
      <c r="E39" s="15">
        <f>IF($A39="","",IF(OR($D39="DESİ DÜŞÜR",$D39="TAŞIYICI DEĞİŞTİR"),"YUKSEK","NORMAL"))</f>
        <v/>
      </c>
      <c r="F39" s="15">
        <f>IF($A39="","",_xlfn.TEXTJOIN(" ",TRUE,"Sipariş",$A39,"karar",$D39,"toplam",TEXT($B39,"0.00"),"tasarruf",TEXT($C39,"0.00"),"TL"))</f>
        <v/>
      </c>
    </row>
    <row r="40">
      <c r="A40" s="15">
        <f>IF('ESLESTIRME'!$A40="","",IF('ESLESTIRME'!$G40="tutar_farki",'ESLESTIRME'!$A40,""))</f>
        <v/>
      </c>
      <c r="B40" s="15">
        <f>IF($A40="","",IFERROR(SUMIF(tblMotor[A_Norm],$A40,tblMotor[SiparisToplam]),0))</f>
        <v/>
      </c>
      <c r="C40" s="15">
        <f>IF($A40="","",IFERROR(SUMIF(tblMotor[A_Norm],$A40,tblMotor[Tasarruf]),0))</f>
        <v/>
      </c>
      <c r="D40" s="15">
        <f>IF($A40="","",IFERROR(INDEX(tblMotor[KararSatir],MATCH($A40,tblMotor[A_Norm],0)),""))</f>
        <v/>
      </c>
      <c r="E40" s="15">
        <f>IF($A40="","",IF(OR($D40="DESİ DÜŞÜR",$D40="TAŞIYICI DEĞİŞTİR"),"YUKSEK","NORMAL"))</f>
        <v/>
      </c>
      <c r="F40" s="15">
        <f>IF($A40="","",_xlfn.TEXTJOIN(" ",TRUE,"Sipariş",$A40,"karar",$D40,"toplam",TEXT($B40,"0.00"),"tasarruf",TEXT($C40,"0.00"),"TL"))</f>
        <v/>
      </c>
    </row>
    <row r="41">
      <c r="A41" s="15">
        <f>IF('ESLESTIRME'!$A41="","",IF('ESLESTIRME'!$G41="tutar_farki",'ESLESTIRME'!$A41,""))</f>
        <v/>
      </c>
      <c r="B41" s="15">
        <f>IF($A41="","",IFERROR(SUMIF(tblMotor[A_Norm],$A41,tblMotor[SiparisToplam]),0))</f>
        <v/>
      </c>
      <c r="C41" s="15">
        <f>IF($A41="","",IFERROR(SUMIF(tblMotor[A_Norm],$A41,tblMotor[Tasarruf]),0))</f>
        <v/>
      </c>
      <c r="D41" s="15">
        <f>IF($A41="","",IFERROR(INDEX(tblMotor[KararSatir],MATCH($A41,tblMotor[A_Norm],0)),""))</f>
        <v/>
      </c>
      <c r="E41" s="15">
        <f>IF($A41="","",IF(OR($D41="DESİ DÜŞÜR",$D41="TAŞIYICI DEĞİŞTİR"),"YUKSEK","NORMAL"))</f>
        <v/>
      </c>
      <c r="F41" s="15">
        <f>IF($A41="","",_xlfn.TEXTJOIN(" ",TRUE,"Sipariş",$A41,"karar",$D41,"toplam",TEXT($B41,"0.00"),"tasarruf",TEXT($C41,"0.00"),"TL"))</f>
        <v/>
      </c>
    </row>
    <row r="42">
      <c r="A42" s="15">
        <f>IF('ESLESTIRME'!$A42="","",IF('ESLESTIRME'!$G42="tutar_farki",'ESLESTIRME'!$A42,""))</f>
        <v/>
      </c>
      <c r="B42" s="15">
        <f>IF($A42="","",IFERROR(SUMIF(tblMotor[A_Norm],$A42,tblMotor[SiparisToplam]),0))</f>
        <v/>
      </c>
      <c r="C42" s="15">
        <f>IF($A42="","",IFERROR(SUMIF(tblMotor[A_Norm],$A42,tblMotor[Tasarruf]),0))</f>
        <v/>
      </c>
      <c r="D42" s="15">
        <f>IF($A42="","",IFERROR(INDEX(tblMotor[KararSatir],MATCH($A42,tblMotor[A_Norm],0)),""))</f>
        <v/>
      </c>
      <c r="E42" s="15">
        <f>IF($A42="","",IF(OR($D42="DESİ DÜŞÜR",$D42="TAŞIYICI DEĞİŞTİR"),"YUKSEK","NORMAL"))</f>
        <v/>
      </c>
      <c r="F42" s="15">
        <f>IF($A42="","",_xlfn.TEXTJOIN(" ",TRUE,"Sipariş",$A42,"karar",$D42,"toplam",TEXT($B42,"0.00"),"tasarruf",TEXT($C42,"0.00"),"TL"))</f>
        <v/>
      </c>
    </row>
    <row r="43">
      <c r="A43" s="15">
        <f>IF('ESLESTIRME'!$A43="","",IF('ESLESTIRME'!$G43="tutar_farki",'ESLESTIRME'!$A43,""))</f>
        <v/>
      </c>
      <c r="B43" s="15">
        <f>IF($A43="","",IFERROR(SUMIF(tblMotor[A_Norm],$A43,tblMotor[SiparisToplam]),0))</f>
        <v/>
      </c>
      <c r="C43" s="15">
        <f>IF($A43="","",IFERROR(SUMIF(tblMotor[A_Norm],$A43,tblMotor[Tasarruf]),0))</f>
        <v/>
      </c>
      <c r="D43" s="15">
        <f>IF($A43="","",IFERROR(INDEX(tblMotor[KararSatir],MATCH($A43,tblMotor[A_Norm],0)),""))</f>
        <v/>
      </c>
      <c r="E43" s="15">
        <f>IF($A43="","",IF(OR($D43="DESİ DÜŞÜR",$D43="TAŞIYICI DEĞİŞTİR"),"YUKSEK","NORMAL"))</f>
        <v/>
      </c>
      <c r="F43" s="15">
        <f>IF($A43="","",_xlfn.TEXTJOIN(" ",TRUE,"Sipariş",$A43,"karar",$D43,"toplam",TEXT($B43,"0.00"),"tasarruf",TEXT($C43,"0.00"),"TL"))</f>
        <v/>
      </c>
    </row>
    <row r="44">
      <c r="A44" s="15">
        <f>IF('ESLESTIRME'!$A44="","",IF('ESLESTIRME'!$G44="tutar_farki",'ESLESTIRME'!$A44,""))</f>
        <v/>
      </c>
      <c r="B44" s="15">
        <f>IF($A44="","",IFERROR(SUMIF(tblMotor[A_Norm],$A44,tblMotor[SiparisToplam]),0))</f>
        <v/>
      </c>
      <c r="C44" s="15">
        <f>IF($A44="","",IFERROR(SUMIF(tblMotor[A_Norm],$A44,tblMotor[Tasarruf]),0))</f>
        <v/>
      </c>
      <c r="D44" s="15">
        <f>IF($A44="","",IFERROR(INDEX(tblMotor[KararSatir],MATCH($A44,tblMotor[A_Norm],0)),""))</f>
        <v/>
      </c>
      <c r="E44" s="15">
        <f>IF($A44="","",IF(OR($D44="DESİ DÜŞÜR",$D44="TAŞIYICI DEĞİŞTİR"),"YUKSEK","NORMAL"))</f>
        <v/>
      </c>
      <c r="F44" s="15">
        <f>IF($A44="","",_xlfn.TEXTJOIN(" ",TRUE,"Sipariş",$A44,"karar",$D44,"toplam",TEXT($B44,"0.00"),"tasarruf",TEXT($C44,"0.00"),"TL"))</f>
        <v/>
      </c>
    </row>
    <row r="45">
      <c r="A45" s="15">
        <f>IF('ESLESTIRME'!$A45="","",IF('ESLESTIRME'!$G45="tutar_farki",'ESLESTIRME'!$A45,""))</f>
        <v/>
      </c>
      <c r="B45" s="15">
        <f>IF($A45="","",IFERROR(SUMIF(tblMotor[A_Norm],$A45,tblMotor[SiparisToplam]),0))</f>
        <v/>
      </c>
      <c r="C45" s="15">
        <f>IF($A45="","",IFERROR(SUMIF(tblMotor[A_Norm],$A45,tblMotor[Tasarruf]),0))</f>
        <v/>
      </c>
      <c r="D45" s="15">
        <f>IF($A45="","",IFERROR(INDEX(tblMotor[KararSatir],MATCH($A45,tblMotor[A_Norm],0)),""))</f>
        <v/>
      </c>
      <c r="E45" s="15">
        <f>IF($A45="","",IF(OR($D45="DESİ DÜŞÜR",$D45="TAŞIYICI DEĞİŞTİR"),"YUKSEK","NORMAL"))</f>
        <v/>
      </c>
      <c r="F45" s="15">
        <f>IF($A45="","",_xlfn.TEXTJOIN(" ",TRUE,"Sipariş",$A45,"karar",$D45,"toplam",TEXT($B45,"0.00"),"tasarruf",TEXT($C45,"0.00"),"TL"))</f>
        <v/>
      </c>
    </row>
    <row r="46">
      <c r="A46" s="15">
        <f>IF('ESLESTIRME'!$A46="","",IF('ESLESTIRME'!$G46="tutar_farki",'ESLESTIRME'!$A46,""))</f>
        <v/>
      </c>
      <c r="B46" s="15">
        <f>IF($A46="","",IFERROR(SUMIF(tblMotor[A_Norm],$A46,tblMotor[SiparisToplam]),0))</f>
        <v/>
      </c>
      <c r="C46" s="15">
        <f>IF($A46="","",IFERROR(SUMIF(tblMotor[A_Norm],$A46,tblMotor[Tasarruf]),0))</f>
        <v/>
      </c>
      <c r="D46" s="15">
        <f>IF($A46="","",IFERROR(INDEX(tblMotor[KararSatir],MATCH($A46,tblMotor[A_Norm],0)),""))</f>
        <v/>
      </c>
      <c r="E46" s="15">
        <f>IF($A46="","",IF(OR($D46="DESİ DÜŞÜR",$D46="TAŞIYICI DEĞİŞTİR"),"YUKSEK","NORMAL"))</f>
        <v/>
      </c>
      <c r="F46" s="15">
        <f>IF($A46="","",_xlfn.TEXTJOIN(" ",TRUE,"Sipariş",$A46,"karar",$D46,"toplam",TEXT($B46,"0.00"),"tasarruf",TEXT($C46,"0.00"),"TL"))</f>
        <v/>
      </c>
    </row>
    <row r="47">
      <c r="A47" s="15">
        <f>IF('ESLESTIRME'!$A47="","",IF('ESLESTIRME'!$G47="tutar_farki",'ESLESTIRME'!$A47,""))</f>
        <v/>
      </c>
      <c r="B47" s="15">
        <f>IF($A47="","",IFERROR(SUMIF(tblMotor[A_Norm],$A47,tblMotor[SiparisToplam]),0))</f>
        <v/>
      </c>
      <c r="C47" s="15">
        <f>IF($A47="","",IFERROR(SUMIF(tblMotor[A_Norm],$A47,tblMotor[Tasarruf]),0))</f>
        <v/>
      </c>
      <c r="D47" s="15">
        <f>IF($A47="","",IFERROR(INDEX(tblMotor[KararSatir],MATCH($A47,tblMotor[A_Norm],0)),""))</f>
        <v/>
      </c>
      <c r="E47" s="15">
        <f>IF($A47="","",IF(OR($D47="DESİ DÜŞÜR",$D47="TAŞIYICI DEĞİŞTİR"),"YUKSEK","NORMAL"))</f>
        <v/>
      </c>
      <c r="F47" s="15">
        <f>IF($A47="","",_xlfn.TEXTJOIN(" ",TRUE,"Sipariş",$A47,"karar",$D47,"toplam",TEXT($B47,"0.00"),"tasarruf",TEXT($C47,"0.00"),"TL"))</f>
        <v/>
      </c>
    </row>
    <row r="48">
      <c r="A48" s="15">
        <f>IF('ESLESTIRME'!$A48="","",IF('ESLESTIRME'!$G48="tutar_farki",'ESLESTIRME'!$A48,""))</f>
        <v/>
      </c>
      <c r="B48" s="15">
        <f>IF($A48="","",IFERROR(SUMIF(tblMotor[A_Norm],$A48,tblMotor[SiparisToplam]),0))</f>
        <v/>
      </c>
      <c r="C48" s="15">
        <f>IF($A48="","",IFERROR(SUMIF(tblMotor[A_Norm],$A48,tblMotor[Tasarruf]),0))</f>
        <v/>
      </c>
      <c r="D48" s="15">
        <f>IF($A48="","",IFERROR(INDEX(tblMotor[KararSatir],MATCH($A48,tblMotor[A_Norm],0)),""))</f>
        <v/>
      </c>
      <c r="E48" s="15">
        <f>IF($A48="","",IF(OR($D48="DESİ DÜŞÜR",$D48="TAŞIYICI DEĞİŞTİR"),"YUKSEK","NORMAL"))</f>
        <v/>
      </c>
      <c r="F48" s="15">
        <f>IF($A48="","",_xlfn.TEXTJOIN(" ",TRUE,"Sipariş",$A48,"karar",$D48,"toplam",TEXT($B48,"0.00"),"tasarruf",TEXT($C48,"0.00"),"TL"))</f>
        <v/>
      </c>
    </row>
    <row r="49">
      <c r="A49" s="15">
        <f>IF('ESLESTIRME'!$A49="","",IF('ESLESTIRME'!$G49="tutar_farki",'ESLESTIRME'!$A49,""))</f>
        <v/>
      </c>
      <c r="B49" s="15">
        <f>IF($A49="","",IFERROR(SUMIF(tblMotor[A_Norm],$A49,tblMotor[SiparisToplam]),0))</f>
        <v/>
      </c>
      <c r="C49" s="15">
        <f>IF($A49="","",IFERROR(SUMIF(tblMotor[A_Norm],$A49,tblMotor[Tasarruf]),0))</f>
        <v/>
      </c>
      <c r="D49" s="15">
        <f>IF($A49="","",IFERROR(INDEX(tblMotor[KararSatir],MATCH($A49,tblMotor[A_Norm],0)),""))</f>
        <v/>
      </c>
      <c r="E49" s="15">
        <f>IF($A49="","",IF(OR($D49="DESİ DÜŞÜR",$D49="TAŞIYICI DEĞİŞTİR"),"YUKSEK","NORMAL"))</f>
        <v/>
      </c>
      <c r="F49" s="15">
        <f>IF($A49="","",_xlfn.TEXTJOIN(" ",TRUE,"Sipariş",$A49,"karar",$D49,"toplam",TEXT($B49,"0.00"),"tasarruf",TEXT($C49,"0.00"),"TL"))</f>
        <v/>
      </c>
    </row>
    <row r="50">
      <c r="A50" s="15">
        <f>IF('ESLESTIRME'!$A50="","",IF('ESLESTIRME'!$G50="tutar_farki",'ESLESTIRME'!$A50,""))</f>
        <v/>
      </c>
      <c r="B50" s="15">
        <f>IF($A50="","",IFERROR(SUMIF(tblMotor[A_Norm],$A50,tblMotor[SiparisToplam]),0))</f>
        <v/>
      </c>
      <c r="C50" s="15">
        <f>IF($A50="","",IFERROR(SUMIF(tblMotor[A_Norm],$A50,tblMotor[Tasarruf]),0))</f>
        <v/>
      </c>
      <c r="D50" s="15">
        <f>IF($A50="","",IFERROR(INDEX(tblMotor[KararSatir],MATCH($A50,tblMotor[A_Norm],0)),""))</f>
        <v/>
      </c>
      <c r="E50" s="15">
        <f>IF($A50="","",IF(OR($D50="DESİ DÜŞÜR",$D50="TAŞIYICI DEĞİŞTİR"),"YUKSEK","NORMAL"))</f>
        <v/>
      </c>
      <c r="F50" s="15">
        <f>IF($A50="","",_xlfn.TEXTJOIN(" ",TRUE,"Sipariş",$A50,"karar",$D50,"toplam",TEXT($B50,"0.00"),"tasarruf",TEXT($C50,"0.00"),"TL"))</f>
        <v/>
      </c>
    </row>
    <row r="51">
      <c r="A51" s="15">
        <f>IF('ESLESTIRME'!$A51="","",IF('ESLESTIRME'!$G51="tutar_farki",'ESLESTIRME'!$A51,""))</f>
        <v/>
      </c>
      <c r="B51" s="15">
        <f>IF($A51="","",IFERROR(SUMIF(tblMotor[A_Norm],$A51,tblMotor[SiparisToplam]),0))</f>
        <v/>
      </c>
      <c r="C51" s="15">
        <f>IF($A51="","",IFERROR(SUMIF(tblMotor[A_Norm],$A51,tblMotor[Tasarruf]),0))</f>
        <v/>
      </c>
      <c r="D51" s="15">
        <f>IF($A51="","",IFERROR(INDEX(tblMotor[KararSatir],MATCH($A51,tblMotor[A_Norm],0)),""))</f>
        <v/>
      </c>
      <c r="E51" s="15">
        <f>IF($A51="","",IF(OR($D51="DESİ DÜŞÜR",$D51="TAŞIYICI DEĞİŞTİR"),"YUKSEK","NORMAL"))</f>
        <v/>
      </c>
      <c r="F51" s="15">
        <f>IF($A51="","",_xlfn.TEXTJOIN(" ",TRUE,"Sipariş",$A51,"karar",$D51,"toplam",TEXT($B51,"0.00"),"tasarruf",TEXT($C51,"0.00"),"TL"))</f>
        <v/>
      </c>
    </row>
    <row r="52">
      <c r="A52" s="15">
        <f>IF('ESLESTIRME'!$A52="","",IF('ESLESTIRME'!$G52="tutar_farki",'ESLESTIRME'!$A52,""))</f>
        <v/>
      </c>
      <c r="B52" s="15">
        <f>IF($A52="","",IFERROR(SUMIF(tblMotor[A_Norm],$A52,tblMotor[SiparisToplam]),0))</f>
        <v/>
      </c>
      <c r="C52" s="15">
        <f>IF($A52="","",IFERROR(SUMIF(tblMotor[A_Norm],$A52,tblMotor[Tasarruf]),0))</f>
        <v/>
      </c>
      <c r="D52" s="15">
        <f>IF($A52="","",IFERROR(INDEX(tblMotor[KararSatir],MATCH($A52,tblMotor[A_Norm],0)),""))</f>
        <v/>
      </c>
      <c r="E52" s="15">
        <f>IF($A52="","",IF(OR($D52="DESİ DÜŞÜR",$D52="TAŞIYICI DEĞİŞTİR"),"YUKSEK","NORMAL"))</f>
        <v/>
      </c>
      <c r="F52" s="15">
        <f>IF($A52="","",_xlfn.TEXTJOIN(" ",TRUE,"Sipariş",$A52,"karar",$D52,"toplam",TEXT($B52,"0.00"),"tasarruf",TEXT($C52,"0.00"),"TL"))</f>
        <v/>
      </c>
    </row>
    <row r="53">
      <c r="A53" s="15">
        <f>IF('ESLESTIRME'!$A53="","",IF('ESLESTIRME'!$G53="tutar_farki",'ESLESTIRME'!$A53,""))</f>
        <v/>
      </c>
      <c r="B53" s="15">
        <f>IF($A53="","",IFERROR(SUMIF(tblMotor[A_Norm],$A53,tblMotor[SiparisToplam]),0))</f>
        <v/>
      </c>
      <c r="C53" s="15">
        <f>IF($A53="","",IFERROR(SUMIF(tblMotor[A_Norm],$A53,tblMotor[Tasarruf]),0))</f>
        <v/>
      </c>
      <c r="D53" s="15">
        <f>IF($A53="","",IFERROR(INDEX(tblMotor[KararSatir],MATCH($A53,tblMotor[A_Norm],0)),""))</f>
        <v/>
      </c>
      <c r="E53" s="15">
        <f>IF($A53="","",IF(OR($D53="DESİ DÜŞÜR",$D53="TAŞIYICI DEĞİŞTİR"),"YUKSEK","NORMAL"))</f>
        <v/>
      </c>
      <c r="F53" s="15">
        <f>IF($A53="","",_xlfn.TEXTJOIN(" ",TRUE,"Sipariş",$A53,"karar",$D53,"toplam",TEXT($B53,"0.00"),"tasarruf",TEXT($C53,"0.00"),"TL"))</f>
        <v/>
      </c>
    </row>
    <row r="54">
      <c r="A54" s="15">
        <f>IF('ESLESTIRME'!$A54="","",IF('ESLESTIRME'!$G54="tutar_farki",'ESLESTIRME'!$A54,""))</f>
        <v/>
      </c>
      <c r="B54" s="15">
        <f>IF($A54="","",IFERROR(SUMIF(tblMotor[A_Norm],$A54,tblMotor[SiparisToplam]),0))</f>
        <v/>
      </c>
      <c r="C54" s="15">
        <f>IF($A54="","",IFERROR(SUMIF(tblMotor[A_Norm],$A54,tblMotor[Tasarruf]),0))</f>
        <v/>
      </c>
      <c r="D54" s="15">
        <f>IF($A54="","",IFERROR(INDEX(tblMotor[KararSatir],MATCH($A54,tblMotor[A_Norm],0)),""))</f>
        <v/>
      </c>
      <c r="E54" s="15">
        <f>IF($A54="","",IF(OR($D54="DESİ DÜŞÜR",$D54="TAŞIYICI DEĞİŞTİR"),"YUKSEK","NORMAL"))</f>
        <v/>
      </c>
      <c r="F54" s="15">
        <f>IF($A54="","",_xlfn.TEXTJOIN(" ",TRUE,"Sipariş",$A54,"karar",$D54,"toplam",TEXT($B54,"0.00"),"tasarruf",TEXT($C54,"0.00"),"TL"))</f>
        <v/>
      </c>
    </row>
    <row r="55">
      <c r="A55" s="15">
        <f>IF('ESLESTIRME'!$A55="","",IF('ESLESTIRME'!$G55="tutar_farki",'ESLESTIRME'!$A55,""))</f>
        <v/>
      </c>
      <c r="B55" s="15">
        <f>IF($A55="","",IFERROR(SUMIF(tblMotor[A_Norm],$A55,tblMotor[SiparisToplam]),0))</f>
        <v/>
      </c>
      <c r="C55" s="15">
        <f>IF($A55="","",IFERROR(SUMIF(tblMotor[A_Norm],$A55,tblMotor[Tasarruf]),0))</f>
        <v/>
      </c>
      <c r="D55" s="15">
        <f>IF($A55="","",IFERROR(INDEX(tblMotor[KararSatir],MATCH($A55,tblMotor[A_Norm],0)),""))</f>
        <v/>
      </c>
      <c r="E55" s="15">
        <f>IF($A55="","",IF(OR($D55="DESİ DÜŞÜR",$D55="TAŞIYICI DEĞİŞTİR"),"YUKSEK","NORMAL"))</f>
        <v/>
      </c>
      <c r="F55" s="15">
        <f>IF($A55="","",_xlfn.TEXTJOIN(" ",TRUE,"Sipariş",$A55,"karar",$D55,"toplam",TEXT($B55,"0.00"),"tasarruf",TEXT($C55,"0.00"),"TL"))</f>
        <v/>
      </c>
    </row>
    <row r="56">
      <c r="A56" s="15">
        <f>IF('ESLESTIRME'!$A56="","",IF('ESLESTIRME'!$G56="tutar_farki",'ESLESTIRME'!$A56,""))</f>
        <v/>
      </c>
      <c r="B56" s="15">
        <f>IF($A56="","",IFERROR(SUMIF(tblMotor[A_Norm],$A56,tblMotor[SiparisToplam]),0))</f>
        <v/>
      </c>
      <c r="C56" s="15">
        <f>IF($A56="","",IFERROR(SUMIF(tblMotor[A_Norm],$A56,tblMotor[Tasarruf]),0))</f>
        <v/>
      </c>
      <c r="D56" s="15">
        <f>IF($A56="","",IFERROR(INDEX(tblMotor[KararSatir],MATCH($A56,tblMotor[A_Norm],0)),""))</f>
        <v/>
      </c>
      <c r="E56" s="15">
        <f>IF($A56="","",IF(OR($D56="DESİ DÜŞÜR",$D56="TAŞIYICI DEĞİŞTİR"),"YUKSEK","NORMAL"))</f>
        <v/>
      </c>
      <c r="F56" s="15">
        <f>IF($A56="","",_xlfn.TEXTJOIN(" ",TRUE,"Sipariş",$A56,"karar",$D56,"toplam",TEXT($B56,"0.00"),"tasarruf",TEXT($C56,"0.00"),"TL"))</f>
        <v/>
      </c>
    </row>
    <row r="57">
      <c r="A57" s="15">
        <f>IF('ESLESTIRME'!$A57="","",IF('ESLESTIRME'!$G57="tutar_farki",'ESLESTIRME'!$A57,""))</f>
        <v/>
      </c>
      <c r="B57" s="15">
        <f>IF($A57="","",IFERROR(SUMIF(tblMotor[A_Norm],$A57,tblMotor[SiparisToplam]),0))</f>
        <v/>
      </c>
      <c r="C57" s="15">
        <f>IF($A57="","",IFERROR(SUMIF(tblMotor[A_Norm],$A57,tblMotor[Tasarruf]),0))</f>
        <v/>
      </c>
      <c r="D57" s="15">
        <f>IF($A57="","",IFERROR(INDEX(tblMotor[KararSatir],MATCH($A57,tblMotor[A_Norm],0)),""))</f>
        <v/>
      </c>
      <c r="E57" s="15">
        <f>IF($A57="","",IF(OR($D57="DESİ DÜŞÜR",$D57="TAŞIYICI DEĞİŞTİR"),"YUKSEK","NORMAL"))</f>
        <v/>
      </c>
      <c r="F57" s="15">
        <f>IF($A57="","",_xlfn.TEXTJOIN(" ",TRUE,"Sipariş",$A57,"karar",$D57,"toplam",TEXT($B57,"0.00"),"tasarruf",TEXT($C57,"0.00"),"TL"))</f>
        <v/>
      </c>
    </row>
    <row r="58">
      <c r="A58" s="15">
        <f>IF('ESLESTIRME'!$A58="","",IF('ESLESTIRME'!$G58="tutar_farki",'ESLESTIRME'!$A58,""))</f>
        <v/>
      </c>
      <c r="B58" s="15">
        <f>IF($A58="","",IFERROR(SUMIF(tblMotor[A_Norm],$A58,tblMotor[SiparisToplam]),0))</f>
        <v/>
      </c>
      <c r="C58" s="15">
        <f>IF($A58="","",IFERROR(SUMIF(tblMotor[A_Norm],$A58,tblMotor[Tasarruf]),0))</f>
        <v/>
      </c>
      <c r="D58" s="15">
        <f>IF($A58="","",IFERROR(INDEX(tblMotor[KararSatir],MATCH($A58,tblMotor[A_Norm],0)),""))</f>
        <v/>
      </c>
      <c r="E58" s="15">
        <f>IF($A58="","",IF(OR($D58="DESİ DÜŞÜR",$D58="TAŞIYICI DEĞİŞTİR"),"YUKSEK","NORMAL"))</f>
        <v/>
      </c>
      <c r="F58" s="15">
        <f>IF($A58="","",_xlfn.TEXTJOIN(" ",TRUE,"Sipariş",$A58,"karar",$D58,"toplam",TEXT($B58,"0.00"),"tasarruf",TEXT($C58,"0.00"),"TL"))</f>
        <v/>
      </c>
    </row>
    <row r="59">
      <c r="A59" s="15">
        <f>IF('ESLESTIRME'!$A59="","",IF('ESLESTIRME'!$G59="tutar_farki",'ESLESTIRME'!$A59,""))</f>
        <v/>
      </c>
      <c r="B59" s="15">
        <f>IF($A59="","",IFERROR(SUMIF(tblMotor[A_Norm],$A59,tblMotor[SiparisToplam]),0))</f>
        <v/>
      </c>
      <c r="C59" s="15">
        <f>IF($A59="","",IFERROR(SUMIF(tblMotor[A_Norm],$A59,tblMotor[Tasarruf]),0))</f>
        <v/>
      </c>
      <c r="D59" s="15">
        <f>IF($A59="","",IFERROR(INDEX(tblMotor[KararSatir],MATCH($A59,tblMotor[A_Norm],0)),""))</f>
        <v/>
      </c>
      <c r="E59" s="15">
        <f>IF($A59="","",IF(OR($D59="DESİ DÜŞÜR",$D59="TAŞIYICI DEĞİŞTİR"),"YUKSEK","NORMAL"))</f>
        <v/>
      </c>
      <c r="F59" s="15">
        <f>IF($A59="","",_xlfn.TEXTJOIN(" ",TRUE,"Sipariş",$A59,"karar",$D59,"toplam",TEXT($B59,"0.00"),"tasarruf",TEXT($C59,"0.00"),"TL"))</f>
        <v/>
      </c>
    </row>
    <row r="60">
      <c r="A60" s="15">
        <f>IF('ESLESTIRME'!$A60="","",IF('ESLESTIRME'!$G60="tutar_farki",'ESLESTIRME'!$A60,""))</f>
        <v/>
      </c>
      <c r="B60" s="15">
        <f>IF($A60="","",IFERROR(SUMIF(tblMotor[A_Norm],$A60,tblMotor[SiparisToplam]),0))</f>
        <v/>
      </c>
      <c r="C60" s="15">
        <f>IF($A60="","",IFERROR(SUMIF(tblMotor[A_Norm],$A60,tblMotor[Tasarruf]),0))</f>
        <v/>
      </c>
      <c r="D60" s="15">
        <f>IF($A60="","",IFERROR(INDEX(tblMotor[KararSatir],MATCH($A60,tblMotor[A_Norm],0)),""))</f>
        <v/>
      </c>
      <c r="E60" s="15">
        <f>IF($A60="","",IF(OR($D60="DESİ DÜŞÜR",$D60="TAŞIYICI DEĞİŞTİR"),"YUKSEK","NORMAL"))</f>
        <v/>
      </c>
      <c r="F60" s="15">
        <f>IF($A60="","",_xlfn.TEXTJOIN(" ",TRUE,"Sipariş",$A60,"karar",$D60,"toplam",TEXT($B60,"0.00"),"tasarruf",TEXT($C60,"0.00"),"TL"))</f>
        <v/>
      </c>
    </row>
    <row r="61">
      <c r="A61" s="15">
        <f>IF('ESLESTIRME'!$A61="","",IF('ESLESTIRME'!$G61="tutar_farki",'ESLESTIRME'!$A61,""))</f>
        <v/>
      </c>
      <c r="B61" s="15">
        <f>IF($A61="","",IFERROR(SUMIF(tblMotor[A_Norm],$A61,tblMotor[SiparisToplam]),0))</f>
        <v/>
      </c>
      <c r="C61" s="15">
        <f>IF($A61="","",IFERROR(SUMIF(tblMotor[A_Norm],$A61,tblMotor[Tasarruf]),0))</f>
        <v/>
      </c>
      <c r="D61" s="15">
        <f>IF($A61="","",IFERROR(INDEX(tblMotor[KararSatir],MATCH($A61,tblMotor[A_Norm],0)),""))</f>
        <v/>
      </c>
      <c r="E61" s="15">
        <f>IF($A61="","",IF(OR($D61="DESİ DÜŞÜR",$D61="TAŞIYICI DEĞİŞTİR"),"YUKSEK","NORMAL"))</f>
        <v/>
      </c>
      <c r="F61" s="15">
        <f>IF($A61="","",_xlfn.TEXTJOIN(" ",TRUE,"Sipariş",$A61,"karar",$D61,"toplam",TEXT($B61,"0.00"),"tasarruf",TEXT($C61,"0.00"),"TL"))</f>
        <v/>
      </c>
    </row>
    <row r="62">
      <c r="A62" s="15">
        <f>IF('ESLESTIRME'!$A62="","",IF('ESLESTIRME'!$G62="tutar_farki",'ESLESTIRME'!$A62,""))</f>
        <v/>
      </c>
      <c r="B62" s="15">
        <f>IF($A62="","",IFERROR(SUMIF(tblMotor[A_Norm],$A62,tblMotor[SiparisToplam]),0))</f>
        <v/>
      </c>
      <c r="C62" s="15">
        <f>IF($A62="","",IFERROR(SUMIF(tblMotor[A_Norm],$A62,tblMotor[Tasarruf]),0))</f>
        <v/>
      </c>
      <c r="D62" s="15">
        <f>IF($A62="","",IFERROR(INDEX(tblMotor[KararSatir],MATCH($A62,tblMotor[A_Norm],0)),""))</f>
        <v/>
      </c>
      <c r="E62" s="15">
        <f>IF($A62="","",IF(OR($D62="DESİ DÜŞÜR",$D62="TAŞIYICI DEĞİŞTİR"),"YUKSEK","NORMAL"))</f>
        <v/>
      </c>
      <c r="F62" s="15">
        <f>IF($A62="","",_xlfn.TEXTJOIN(" ",TRUE,"Sipariş",$A62,"karar",$D62,"toplam",TEXT($B62,"0.00"),"tasarruf",TEXT($C62,"0.00"),"TL"))</f>
        <v/>
      </c>
    </row>
    <row r="63">
      <c r="A63" s="15">
        <f>IF('ESLESTIRME'!$A63="","",IF('ESLESTIRME'!$G63="tutar_farki",'ESLESTIRME'!$A63,""))</f>
        <v/>
      </c>
      <c r="B63" s="15">
        <f>IF($A63="","",IFERROR(SUMIF(tblMotor[A_Norm],$A63,tblMotor[SiparisToplam]),0))</f>
        <v/>
      </c>
      <c r="C63" s="15">
        <f>IF($A63="","",IFERROR(SUMIF(tblMotor[A_Norm],$A63,tblMotor[Tasarruf]),0))</f>
        <v/>
      </c>
      <c r="D63" s="15">
        <f>IF($A63="","",IFERROR(INDEX(tblMotor[KararSatir],MATCH($A63,tblMotor[A_Norm],0)),""))</f>
        <v/>
      </c>
      <c r="E63" s="15">
        <f>IF($A63="","",IF(OR($D63="DESİ DÜŞÜR",$D63="TAŞIYICI DEĞİŞTİR"),"YUKSEK","NORMAL"))</f>
        <v/>
      </c>
      <c r="F63" s="15">
        <f>IF($A63="","",_xlfn.TEXTJOIN(" ",TRUE,"Sipariş",$A63,"karar",$D63,"toplam",TEXT($B63,"0.00"),"tasarruf",TEXT($C63,"0.00"),"TL"))</f>
        <v/>
      </c>
    </row>
    <row r="64">
      <c r="A64" s="15">
        <f>IF('ESLESTIRME'!$A64="","",IF('ESLESTIRME'!$G64="tutar_farki",'ESLESTIRME'!$A64,""))</f>
        <v/>
      </c>
      <c r="B64" s="15">
        <f>IF($A64="","",IFERROR(SUMIF(tblMotor[A_Norm],$A64,tblMotor[SiparisToplam]),0))</f>
        <v/>
      </c>
      <c r="C64" s="15">
        <f>IF($A64="","",IFERROR(SUMIF(tblMotor[A_Norm],$A64,tblMotor[Tasarruf]),0))</f>
        <v/>
      </c>
      <c r="D64" s="15">
        <f>IF($A64="","",IFERROR(INDEX(tblMotor[KararSatir],MATCH($A64,tblMotor[A_Norm],0)),""))</f>
        <v/>
      </c>
      <c r="E64" s="15">
        <f>IF($A64="","",IF(OR($D64="DESİ DÜŞÜR",$D64="TAŞIYICI DEĞİŞTİR"),"YUKSEK","NORMAL"))</f>
        <v/>
      </c>
      <c r="F64" s="15">
        <f>IF($A64="","",_xlfn.TEXTJOIN(" ",TRUE,"Sipariş",$A64,"karar",$D64,"toplam",TEXT($B64,"0.00"),"tasarruf",TEXT($C64,"0.00"),"TL"))</f>
        <v/>
      </c>
    </row>
    <row r="65">
      <c r="A65" s="15">
        <f>IF('ESLESTIRME'!$A65="","",IF('ESLESTIRME'!$G65="tutar_farki",'ESLESTIRME'!$A65,""))</f>
        <v/>
      </c>
      <c r="B65" s="15">
        <f>IF($A65="","",IFERROR(SUMIF(tblMotor[A_Norm],$A65,tblMotor[SiparisToplam]),0))</f>
        <v/>
      </c>
      <c r="C65" s="15">
        <f>IF($A65="","",IFERROR(SUMIF(tblMotor[A_Norm],$A65,tblMotor[Tasarruf]),0))</f>
        <v/>
      </c>
      <c r="D65" s="15">
        <f>IF($A65="","",IFERROR(INDEX(tblMotor[KararSatir],MATCH($A65,tblMotor[A_Norm],0)),""))</f>
        <v/>
      </c>
      <c r="E65" s="15">
        <f>IF($A65="","",IF(OR($D65="DESİ DÜŞÜR",$D65="TAŞIYICI DEĞİŞTİR"),"YUKSEK","NORMAL"))</f>
        <v/>
      </c>
      <c r="F65" s="15">
        <f>IF($A65="","",_xlfn.TEXTJOIN(" ",TRUE,"Sipariş",$A65,"karar",$D65,"toplam",TEXT($B65,"0.00"),"tasarruf",TEXT($C65,"0.00"),"TL"))</f>
        <v/>
      </c>
    </row>
    <row r="66">
      <c r="A66" s="15">
        <f>IF('ESLESTIRME'!$A66="","",IF('ESLESTIRME'!$G66="tutar_farki",'ESLESTIRME'!$A66,""))</f>
        <v/>
      </c>
      <c r="B66" s="15">
        <f>IF($A66="","",IFERROR(SUMIF(tblMotor[A_Norm],$A66,tblMotor[SiparisToplam]),0))</f>
        <v/>
      </c>
      <c r="C66" s="15">
        <f>IF($A66="","",IFERROR(SUMIF(tblMotor[A_Norm],$A66,tblMotor[Tasarruf]),0))</f>
        <v/>
      </c>
      <c r="D66" s="15">
        <f>IF($A66="","",IFERROR(INDEX(tblMotor[KararSatir],MATCH($A66,tblMotor[A_Norm],0)),""))</f>
        <v/>
      </c>
      <c r="E66" s="15">
        <f>IF($A66="","",IF(OR($D66="DESİ DÜŞÜR",$D66="TAŞIYICI DEĞİŞTİR"),"YUKSEK","NORMAL"))</f>
        <v/>
      </c>
      <c r="F66" s="15">
        <f>IF($A66="","",_xlfn.TEXTJOIN(" ",TRUE,"Sipariş",$A66,"karar",$D66,"toplam",TEXT($B66,"0.00"),"tasarruf",TEXT($C66,"0.00"),"TL"))</f>
        <v/>
      </c>
    </row>
    <row r="67">
      <c r="A67" s="15">
        <f>IF('ESLESTIRME'!$A67="","",IF('ESLESTIRME'!$G67="tutar_farki",'ESLESTIRME'!$A67,""))</f>
        <v/>
      </c>
      <c r="B67" s="15">
        <f>IF($A67="","",IFERROR(SUMIF(tblMotor[A_Norm],$A67,tblMotor[SiparisToplam]),0))</f>
        <v/>
      </c>
      <c r="C67" s="15">
        <f>IF($A67="","",IFERROR(SUMIF(tblMotor[A_Norm],$A67,tblMotor[Tasarruf]),0))</f>
        <v/>
      </c>
      <c r="D67" s="15">
        <f>IF($A67="","",IFERROR(INDEX(tblMotor[KararSatir],MATCH($A67,tblMotor[A_Norm],0)),""))</f>
        <v/>
      </c>
      <c r="E67" s="15">
        <f>IF($A67="","",IF(OR($D67="DESİ DÜŞÜR",$D67="TAŞIYICI DEĞİŞTİR"),"YUKSEK","NORMAL"))</f>
        <v/>
      </c>
      <c r="F67" s="15">
        <f>IF($A67="","",_xlfn.TEXTJOIN(" ",TRUE,"Sipariş",$A67,"karar",$D67,"toplam",TEXT($B67,"0.00"),"tasarruf",TEXT($C67,"0.00"),"TL"))</f>
        <v/>
      </c>
    </row>
    <row r="68">
      <c r="A68" s="15">
        <f>IF('ESLESTIRME'!$A68="","",IF('ESLESTIRME'!$G68="tutar_farki",'ESLESTIRME'!$A68,""))</f>
        <v/>
      </c>
      <c r="B68" s="15">
        <f>IF($A68="","",IFERROR(SUMIF(tblMotor[A_Norm],$A68,tblMotor[SiparisToplam]),0))</f>
        <v/>
      </c>
      <c r="C68" s="15">
        <f>IF($A68="","",IFERROR(SUMIF(tblMotor[A_Norm],$A68,tblMotor[Tasarruf]),0))</f>
        <v/>
      </c>
      <c r="D68" s="15">
        <f>IF($A68="","",IFERROR(INDEX(tblMotor[KararSatir],MATCH($A68,tblMotor[A_Norm],0)),""))</f>
        <v/>
      </c>
      <c r="E68" s="15">
        <f>IF($A68="","",IF(OR($D68="DESİ DÜŞÜR",$D68="TAŞIYICI DEĞİŞTİR"),"YUKSEK","NORMAL"))</f>
        <v/>
      </c>
      <c r="F68" s="15">
        <f>IF($A68="","",_xlfn.TEXTJOIN(" ",TRUE,"Sipariş",$A68,"karar",$D68,"toplam",TEXT($B68,"0.00"),"tasarruf",TEXT($C68,"0.00"),"TL"))</f>
        <v/>
      </c>
    </row>
    <row r="69">
      <c r="A69" s="15">
        <f>IF('ESLESTIRME'!$A69="","",IF('ESLESTIRME'!$G69="tutar_farki",'ESLESTIRME'!$A69,""))</f>
        <v/>
      </c>
      <c r="B69" s="15">
        <f>IF($A69="","",IFERROR(SUMIF(tblMotor[A_Norm],$A69,tblMotor[SiparisToplam]),0))</f>
        <v/>
      </c>
      <c r="C69" s="15">
        <f>IF($A69="","",IFERROR(SUMIF(tblMotor[A_Norm],$A69,tblMotor[Tasarruf]),0))</f>
        <v/>
      </c>
      <c r="D69" s="15">
        <f>IF($A69="","",IFERROR(INDEX(tblMotor[KararSatir],MATCH($A69,tblMotor[A_Norm],0)),""))</f>
        <v/>
      </c>
      <c r="E69" s="15">
        <f>IF($A69="","",IF(OR($D69="DESİ DÜŞÜR",$D69="TAŞIYICI DEĞİŞTİR"),"YUKSEK","NORMAL"))</f>
        <v/>
      </c>
      <c r="F69" s="15">
        <f>IF($A69="","",_xlfn.TEXTJOIN(" ",TRUE,"Sipariş",$A69,"karar",$D69,"toplam",TEXT($B69,"0.00"),"tasarruf",TEXT($C69,"0.00"),"TL"))</f>
        <v/>
      </c>
    </row>
    <row r="70">
      <c r="A70" s="15">
        <f>IF('ESLESTIRME'!$A70="","",IF('ESLESTIRME'!$G70="tutar_farki",'ESLESTIRME'!$A70,""))</f>
        <v/>
      </c>
      <c r="B70" s="15">
        <f>IF($A70="","",IFERROR(SUMIF(tblMotor[A_Norm],$A70,tblMotor[SiparisToplam]),0))</f>
        <v/>
      </c>
      <c r="C70" s="15">
        <f>IF($A70="","",IFERROR(SUMIF(tblMotor[A_Norm],$A70,tblMotor[Tasarruf]),0))</f>
        <v/>
      </c>
      <c r="D70" s="15">
        <f>IF($A70="","",IFERROR(INDEX(tblMotor[KararSatir],MATCH($A70,tblMotor[A_Norm],0)),""))</f>
        <v/>
      </c>
      <c r="E70" s="15">
        <f>IF($A70="","",IF(OR($D70="DESİ DÜŞÜR",$D70="TAŞIYICI DEĞİŞTİR"),"YUKSEK","NORMAL"))</f>
        <v/>
      </c>
      <c r="F70" s="15">
        <f>IF($A70="","",_xlfn.TEXTJOIN(" ",TRUE,"Sipariş",$A70,"karar",$D70,"toplam",TEXT($B70,"0.00"),"tasarruf",TEXT($C70,"0.00"),"TL"))</f>
        <v/>
      </c>
    </row>
    <row r="71">
      <c r="A71" s="15">
        <f>IF('ESLESTIRME'!$A71="","",IF('ESLESTIRME'!$G71="tutar_farki",'ESLESTIRME'!$A71,""))</f>
        <v/>
      </c>
      <c r="B71" s="15">
        <f>IF($A71="","",IFERROR(SUMIF(tblMotor[A_Norm],$A71,tblMotor[SiparisToplam]),0))</f>
        <v/>
      </c>
      <c r="C71" s="15">
        <f>IF($A71="","",IFERROR(SUMIF(tblMotor[A_Norm],$A71,tblMotor[Tasarruf]),0))</f>
        <v/>
      </c>
      <c r="D71" s="15">
        <f>IF($A71="","",IFERROR(INDEX(tblMotor[KararSatir],MATCH($A71,tblMotor[A_Norm],0)),""))</f>
        <v/>
      </c>
      <c r="E71" s="15">
        <f>IF($A71="","",IF(OR($D71="DESİ DÜŞÜR",$D71="TAŞIYICI DEĞİŞTİR"),"YUKSEK","NORMAL"))</f>
        <v/>
      </c>
      <c r="F71" s="15">
        <f>IF($A71="","",_xlfn.TEXTJOIN(" ",TRUE,"Sipariş",$A71,"karar",$D71,"toplam",TEXT($B71,"0.00"),"tasarruf",TEXT($C71,"0.00"),"TL"))</f>
        <v/>
      </c>
    </row>
    <row r="72">
      <c r="A72" s="15">
        <f>IF('ESLESTIRME'!$A72="","",IF('ESLESTIRME'!$G72="tutar_farki",'ESLESTIRME'!$A72,""))</f>
        <v/>
      </c>
      <c r="B72" s="15">
        <f>IF($A72="","",IFERROR(SUMIF(tblMotor[A_Norm],$A72,tblMotor[SiparisToplam]),0))</f>
        <v/>
      </c>
      <c r="C72" s="15">
        <f>IF($A72="","",IFERROR(SUMIF(tblMotor[A_Norm],$A72,tblMotor[Tasarruf]),0))</f>
        <v/>
      </c>
      <c r="D72" s="15">
        <f>IF($A72="","",IFERROR(INDEX(tblMotor[KararSatir],MATCH($A72,tblMotor[A_Norm],0)),""))</f>
        <v/>
      </c>
      <c r="E72" s="15">
        <f>IF($A72="","",IF(OR($D72="DESİ DÜŞÜR",$D72="TAŞIYICI DEĞİŞTİR"),"YUKSEK","NORMAL"))</f>
        <v/>
      </c>
      <c r="F72" s="15">
        <f>IF($A72="","",_xlfn.TEXTJOIN(" ",TRUE,"Sipariş",$A72,"karar",$D72,"toplam",TEXT($B72,"0.00"),"tasarruf",TEXT($C72,"0.00"),"TL"))</f>
        <v/>
      </c>
    </row>
    <row r="73">
      <c r="A73" s="15">
        <f>IF('ESLESTIRME'!$A73="","",IF('ESLESTIRME'!$G73="tutar_farki",'ESLESTIRME'!$A73,""))</f>
        <v/>
      </c>
      <c r="B73" s="15">
        <f>IF($A73="","",IFERROR(SUMIF(tblMotor[A_Norm],$A73,tblMotor[SiparisToplam]),0))</f>
        <v/>
      </c>
      <c r="C73" s="15">
        <f>IF($A73="","",IFERROR(SUMIF(tblMotor[A_Norm],$A73,tblMotor[Tasarruf]),0))</f>
        <v/>
      </c>
      <c r="D73" s="15">
        <f>IF($A73="","",IFERROR(INDEX(tblMotor[KararSatir],MATCH($A73,tblMotor[A_Norm],0)),""))</f>
        <v/>
      </c>
      <c r="E73" s="15">
        <f>IF($A73="","",IF(OR($D73="DESİ DÜŞÜR",$D73="TAŞIYICI DEĞİŞTİR"),"YUKSEK","NORMAL"))</f>
        <v/>
      </c>
      <c r="F73" s="15">
        <f>IF($A73="","",_xlfn.TEXTJOIN(" ",TRUE,"Sipariş",$A73,"karar",$D73,"toplam",TEXT($B73,"0.00"),"tasarruf",TEXT($C73,"0.00"),"TL"))</f>
        <v/>
      </c>
    </row>
    <row r="74">
      <c r="A74" s="15">
        <f>IF('ESLESTIRME'!$A74="","",IF('ESLESTIRME'!$G74="tutar_farki",'ESLESTIRME'!$A74,""))</f>
        <v/>
      </c>
      <c r="B74" s="15">
        <f>IF($A74="","",IFERROR(SUMIF(tblMotor[A_Norm],$A74,tblMotor[SiparisToplam]),0))</f>
        <v/>
      </c>
      <c r="C74" s="15">
        <f>IF($A74="","",IFERROR(SUMIF(tblMotor[A_Norm],$A74,tblMotor[Tasarruf]),0))</f>
        <v/>
      </c>
      <c r="D74" s="15">
        <f>IF($A74="","",IFERROR(INDEX(tblMotor[KararSatir],MATCH($A74,tblMotor[A_Norm],0)),""))</f>
        <v/>
      </c>
      <c r="E74" s="15">
        <f>IF($A74="","",IF(OR($D74="DESİ DÜŞÜR",$D74="TAŞIYICI DEĞİŞTİR"),"YUKSEK","NORMAL"))</f>
        <v/>
      </c>
      <c r="F74" s="15">
        <f>IF($A74="","",_xlfn.TEXTJOIN(" ",TRUE,"Sipariş",$A74,"karar",$D74,"toplam",TEXT($B74,"0.00"),"tasarruf",TEXT($C74,"0.00"),"TL"))</f>
        <v/>
      </c>
    </row>
    <row r="75">
      <c r="A75" s="15">
        <f>IF('ESLESTIRME'!$A75="","",IF('ESLESTIRME'!$G75="tutar_farki",'ESLESTIRME'!$A75,""))</f>
        <v/>
      </c>
      <c r="B75" s="15">
        <f>IF($A75="","",IFERROR(SUMIF(tblMotor[A_Norm],$A75,tblMotor[SiparisToplam]),0))</f>
        <v/>
      </c>
      <c r="C75" s="15">
        <f>IF($A75="","",IFERROR(SUMIF(tblMotor[A_Norm],$A75,tblMotor[Tasarruf]),0))</f>
        <v/>
      </c>
      <c r="D75" s="15">
        <f>IF($A75="","",IFERROR(INDEX(tblMotor[KararSatir],MATCH($A75,tblMotor[A_Norm],0)),""))</f>
        <v/>
      </c>
      <c r="E75" s="15">
        <f>IF($A75="","",IF(OR($D75="DESİ DÜŞÜR",$D75="TAŞIYICI DEĞİŞTİR"),"YUKSEK","NORMAL"))</f>
        <v/>
      </c>
      <c r="F75" s="15">
        <f>IF($A75="","",_xlfn.TEXTJOIN(" ",TRUE,"Sipariş",$A75,"karar",$D75,"toplam",TEXT($B75,"0.00"),"tasarruf",TEXT($C75,"0.00"),"TL"))</f>
        <v/>
      </c>
    </row>
    <row r="76">
      <c r="A76" s="15">
        <f>IF('ESLESTIRME'!$A76="","",IF('ESLESTIRME'!$G76="tutar_farki",'ESLESTIRME'!$A76,""))</f>
        <v/>
      </c>
      <c r="B76" s="15">
        <f>IF($A76="","",IFERROR(SUMIF(tblMotor[A_Norm],$A76,tblMotor[SiparisToplam]),0))</f>
        <v/>
      </c>
      <c r="C76" s="15">
        <f>IF($A76="","",IFERROR(SUMIF(tblMotor[A_Norm],$A76,tblMotor[Tasarruf]),0))</f>
        <v/>
      </c>
      <c r="D76" s="15">
        <f>IF($A76="","",IFERROR(INDEX(tblMotor[KararSatir],MATCH($A76,tblMotor[A_Norm],0)),""))</f>
        <v/>
      </c>
      <c r="E76" s="15">
        <f>IF($A76="","",IF(OR($D76="DESİ DÜŞÜR",$D76="TAŞIYICI DEĞİŞTİR"),"YUKSEK","NORMAL"))</f>
        <v/>
      </c>
      <c r="F76" s="15">
        <f>IF($A76="","",_xlfn.TEXTJOIN(" ",TRUE,"Sipariş",$A76,"karar",$D76,"toplam",TEXT($B76,"0.00"),"tasarruf",TEXT($C76,"0.00"),"TL"))</f>
        <v/>
      </c>
    </row>
    <row r="77">
      <c r="A77" s="15">
        <f>IF('ESLESTIRME'!$A77="","",IF('ESLESTIRME'!$G77="tutar_farki",'ESLESTIRME'!$A77,""))</f>
        <v/>
      </c>
      <c r="B77" s="15">
        <f>IF($A77="","",IFERROR(SUMIF(tblMotor[A_Norm],$A77,tblMotor[SiparisToplam]),0))</f>
        <v/>
      </c>
      <c r="C77" s="15">
        <f>IF($A77="","",IFERROR(SUMIF(tblMotor[A_Norm],$A77,tblMotor[Tasarruf]),0))</f>
        <v/>
      </c>
      <c r="D77" s="15">
        <f>IF($A77="","",IFERROR(INDEX(tblMotor[KararSatir],MATCH($A77,tblMotor[A_Norm],0)),""))</f>
        <v/>
      </c>
      <c r="E77" s="15">
        <f>IF($A77="","",IF(OR($D77="DESİ DÜŞÜR",$D77="TAŞIYICI DEĞİŞTİR"),"YUKSEK","NORMAL"))</f>
        <v/>
      </c>
      <c r="F77" s="15">
        <f>IF($A77="","",_xlfn.TEXTJOIN(" ",TRUE,"Sipariş",$A77,"karar",$D77,"toplam",TEXT($B77,"0.00"),"tasarruf",TEXT($C77,"0.00"),"TL"))</f>
        <v/>
      </c>
    </row>
    <row r="78">
      <c r="A78" s="15">
        <f>IF('ESLESTIRME'!$A78="","",IF('ESLESTIRME'!$G78="tutar_farki",'ESLESTIRME'!$A78,""))</f>
        <v/>
      </c>
      <c r="B78" s="15">
        <f>IF($A78="","",IFERROR(SUMIF(tblMotor[A_Norm],$A78,tblMotor[SiparisToplam]),0))</f>
        <v/>
      </c>
      <c r="C78" s="15">
        <f>IF($A78="","",IFERROR(SUMIF(tblMotor[A_Norm],$A78,tblMotor[Tasarruf]),0))</f>
        <v/>
      </c>
      <c r="D78" s="15">
        <f>IF($A78="","",IFERROR(INDEX(tblMotor[KararSatir],MATCH($A78,tblMotor[A_Norm],0)),""))</f>
        <v/>
      </c>
      <c r="E78" s="15">
        <f>IF($A78="","",IF(OR($D78="DESİ DÜŞÜR",$D78="TAŞIYICI DEĞİŞTİR"),"YUKSEK","NORMAL"))</f>
        <v/>
      </c>
      <c r="F78" s="15">
        <f>IF($A78="","",_xlfn.TEXTJOIN(" ",TRUE,"Sipariş",$A78,"karar",$D78,"toplam",TEXT($B78,"0.00"),"tasarruf",TEXT($C78,"0.00"),"TL"))</f>
        <v/>
      </c>
    </row>
    <row r="79">
      <c r="A79" s="15">
        <f>IF('ESLESTIRME'!$A79="","",IF('ESLESTIRME'!$G79="tutar_farki",'ESLESTIRME'!$A79,""))</f>
        <v/>
      </c>
      <c r="B79" s="15">
        <f>IF($A79="","",IFERROR(SUMIF(tblMotor[A_Norm],$A79,tblMotor[SiparisToplam]),0))</f>
        <v/>
      </c>
      <c r="C79" s="15">
        <f>IF($A79="","",IFERROR(SUMIF(tblMotor[A_Norm],$A79,tblMotor[Tasarruf]),0))</f>
        <v/>
      </c>
      <c r="D79" s="15">
        <f>IF($A79="","",IFERROR(INDEX(tblMotor[KararSatir],MATCH($A79,tblMotor[A_Norm],0)),""))</f>
        <v/>
      </c>
      <c r="E79" s="15">
        <f>IF($A79="","",IF(OR($D79="DESİ DÜŞÜR",$D79="TAŞIYICI DEĞİŞTİR"),"YUKSEK","NORMAL"))</f>
        <v/>
      </c>
      <c r="F79" s="15">
        <f>IF($A79="","",_xlfn.TEXTJOIN(" ",TRUE,"Sipariş",$A79,"karar",$D79,"toplam",TEXT($B79,"0.00"),"tasarruf",TEXT($C79,"0.00"),"TL"))</f>
        <v/>
      </c>
    </row>
    <row r="80">
      <c r="A80" s="15">
        <f>IF('ESLESTIRME'!$A80="","",IF('ESLESTIRME'!$G80="tutar_farki",'ESLESTIRME'!$A80,""))</f>
        <v/>
      </c>
      <c r="B80" s="15">
        <f>IF($A80="","",IFERROR(SUMIF(tblMotor[A_Norm],$A80,tblMotor[SiparisToplam]),0))</f>
        <v/>
      </c>
      <c r="C80" s="15">
        <f>IF($A80="","",IFERROR(SUMIF(tblMotor[A_Norm],$A80,tblMotor[Tasarruf]),0))</f>
        <v/>
      </c>
      <c r="D80" s="15">
        <f>IF($A80="","",IFERROR(INDEX(tblMotor[KararSatir],MATCH($A80,tblMotor[A_Norm],0)),""))</f>
        <v/>
      </c>
      <c r="E80" s="15">
        <f>IF($A80="","",IF(OR($D80="DESİ DÜŞÜR",$D80="TAŞIYICI DEĞİŞTİR"),"YUKSEK","NORMAL"))</f>
        <v/>
      </c>
      <c r="F80" s="15">
        <f>IF($A80="","",_xlfn.TEXTJOIN(" ",TRUE,"Sipariş",$A80,"karar",$D80,"toplam",TEXT($B80,"0.00"),"tasarruf",TEXT($C80,"0.00"),"TL"))</f>
        <v/>
      </c>
    </row>
    <row r="81">
      <c r="A81" s="15">
        <f>IF('ESLESTIRME'!$A81="","",IF('ESLESTIRME'!$G81="tutar_farki",'ESLESTIRME'!$A81,""))</f>
        <v/>
      </c>
      <c r="B81" s="15">
        <f>IF($A81="","",IFERROR(SUMIF(tblMotor[A_Norm],$A81,tblMotor[SiparisToplam]),0))</f>
        <v/>
      </c>
      <c r="C81" s="15">
        <f>IF($A81="","",IFERROR(SUMIF(tblMotor[A_Norm],$A81,tblMotor[Tasarruf]),0))</f>
        <v/>
      </c>
      <c r="D81" s="15">
        <f>IF($A81="","",IFERROR(INDEX(tblMotor[KararSatir],MATCH($A81,tblMotor[A_Norm],0)),""))</f>
        <v/>
      </c>
      <c r="E81" s="15">
        <f>IF($A81="","",IF(OR($D81="DESİ DÜŞÜR",$D81="TAŞIYICI DEĞİŞTİR"),"YUKSEK","NORMAL"))</f>
        <v/>
      </c>
      <c r="F81" s="15">
        <f>IF($A81="","",_xlfn.TEXTJOIN(" ",TRUE,"Sipariş",$A81,"karar",$D81,"toplam",TEXT($B81,"0.00"),"tasarruf",TEXT($C81,"0.00"),"TL"))</f>
        <v/>
      </c>
    </row>
    <row r="82">
      <c r="A82" s="15">
        <f>IF('ESLESTIRME'!$A82="","",IF('ESLESTIRME'!$G82="tutar_farki",'ESLESTIRME'!$A82,""))</f>
        <v/>
      </c>
      <c r="B82" s="15">
        <f>IF($A82="","",IFERROR(SUMIF(tblMotor[A_Norm],$A82,tblMotor[SiparisToplam]),0))</f>
        <v/>
      </c>
      <c r="C82" s="15">
        <f>IF($A82="","",IFERROR(SUMIF(tblMotor[A_Norm],$A82,tblMotor[Tasarruf]),0))</f>
        <v/>
      </c>
      <c r="D82" s="15">
        <f>IF($A82="","",IFERROR(INDEX(tblMotor[KararSatir],MATCH($A82,tblMotor[A_Norm],0)),""))</f>
        <v/>
      </c>
      <c r="E82" s="15">
        <f>IF($A82="","",IF(OR($D82="DESİ DÜŞÜR",$D82="TAŞIYICI DEĞİŞTİR"),"YUKSEK","NORMAL"))</f>
        <v/>
      </c>
      <c r="F82" s="15">
        <f>IF($A82="","",_xlfn.TEXTJOIN(" ",TRUE,"Sipariş",$A82,"karar",$D82,"toplam",TEXT($B82,"0.00"),"tasarruf",TEXT($C82,"0.00"),"TL"))</f>
        <v/>
      </c>
    </row>
    <row r="83">
      <c r="A83" s="15">
        <f>IF('ESLESTIRME'!$A83="","",IF('ESLESTIRME'!$G83="tutar_farki",'ESLESTIRME'!$A83,""))</f>
        <v/>
      </c>
      <c r="B83" s="15">
        <f>IF($A83="","",IFERROR(SUMIF(tblMotor[A_Norm],$A83,tblMotor[SiparisToplam]),0))</f>
        <v/>
      </c>
      <c r="C83" s="15">
        <f>IF($A83="","",IFERROR(SUMIF(tblMotor[A_Norm],$A83,tblMotor[Tasarruf]),0))</f>
        <v/>
      </c>
      <c r="D83" s="15">
        <f>IF($A83="","",IFERROR(INDEX(tblMotor[KararSatir],MATCH($A83,tblMotor[A_Norm],0)),""))</f>
        <v/>
      </c>
      <c r="E83" s="15">
        <f>IF($A83="","",IF(OR($D83="DESİ DÜŞÜR",$D83="TAŞIYICI DEĞİŞTİR"),"YUKSEK","NORMAL"))</f>
        <v/>
      </c>
      <c r="F83" s="15">
        <f>IF($A83="","",_xlfn.TEXTJOIN(" ",TRUE,"Sipariş",$A83,"karar",$D83,"toplam",TEXT($B83,"0.00"),"tasarruf",TEXT($C83,"0.00"),"TL"))</f>
        <v/>
      </c>
    </row>
    <row r="84">
      <c r="A84" s="15">
        <f>IF('ESLESTIRME'!$A84="","",IF('ESLESTIRME'!$G84="tutar_farki",'ESLESTIRME'!$A84,""))</f>
        <v/>
      </c>
      <c r="B84" s="15">
        <f>IF($A84="","",IFERROR(SUMIF(tblMotor[A_Norm],$A84,tblMotor[SiparisToplam]),0))</f>
        <v/>
      </c>
      <c r="C84" s="15">
        <f>IF($A84="","",IFERROR(SUMIF(tblMotor[A_Norm],$A84,tblMotor[Tasarruf]),0))</f>
        <v/>
      </c>
      <c r="D84" s="15">
        <f>IF($A84="","",IFERROR(INDEX(tblMotor[KararSatir],MATCH($A84,tblMotor[A_Norm],0)),""))</f>
        <v/>
      </c>
      <c r="E84" s="15">
        <f>IF($A84="","",IF(OR($D84="DESİ DÜŞÜR",$D84="TAŞIYICI DEĞİŞTİR"),"YUKSEK","NORMAL"))</f>
        <v/>
      </c>
      <c r="F84" s="15">
        <f>IF($A84="","",_xlfn.TEXTJOIN(" ",TRUE,"Sipariş",$A84,"karar",$D84,"toplam",TEXT($B84,"0.00"),"tasarruf",TEXT($C84,"0.00"),"TL"))</f>
        <v/>
      </c>
    </row>
    <row r="85">
      <c r="A85" s="15">
        <f>IF('ESLESTIRME'!$A85="","",IF('ESLESTIRME'!$G85="tutar_farki",'ESLESTIRME'!$A85,""))</f>
        <v/>
      </c>
      <c r="B85" s="15">
        <f>IF($A85="","",IFERROR(SUMIF(tblMotor[A_Norm],$A85,tblMotor[SiparisToplam]),0))</f>
        <v/>
      </c>
      <c r="C85" s="15">
        <f>IF($A85="","",IFERROR(SUMIF(tblMotor[A_Norm],$A85,tblMotor[Tasarruf]),0))</f>
        <v/>
      </c>
      <c r="D85" s="15">
        <f>IF($A85="","",IFERROR(INDEX(tblMotor[KararSatir],MATCH($A85,tblMotor[A_Norm],0)),""))</f>
        <v/>
      </c>
      <c r="E85" s="15">
        <f>IF($A85="","",IF(OR($D85="DESİ DÜŞÜR",$D85="TAŞIYICI DEĞİŞTİR"),"YUKSEK","NORMAL"))</f>
        <v/>
      </c>
      <c r="F85" s="15">
        <f>IF($A85="","",_xlfn.TEXTJOIN(" ",TRUE,"Sipariş",$A85,"karar",$D85,"toplam",TEXT($B85,"0.00"),"tasarruf",TEXT($C85,"0.00"),"TL"))</f>
        <v/>
      </c>
    </row>
    <row r="86">
      <c r="A86" s="15">
        <f>IF('ESLESTIRME'!$A86="","",IF('ESLESTIRME'!$G86="tutar_farki",'ESLESTIRME'!$A86,""))</f>
        <v/>
      </c>
      <c r="B86" s="15">
        <f>IF($A86="","",IFERROR(SUMIF(tblMotor[A_Norm],$A86,tblMotor[SiparisToplam]),0))</f>
        <v/>
      </c>
      <c r="C86" s="15">
        <f>IF($A86="","",IFERROR(SUMIF(tblMotor[A_Norm],$A86,tblMotor[Tasarruf]),0))</f>
        <v/>
      </c>
      <c r="D86" s="15">
        <f>IF($A86="","",IFERROR(INDEX(tblMotor[KararSatir],MATCH($A86,tblMotor[A_Norm],0)),""))</f>
        <v/>
      </c>
      <c r="E86" s="15">
        <f>IF($A86="","",IF(OR($D86="DESİ DÜŞÜR",$D86="TAŞIYICI DEĞİŞTİR"),"YUKSEK","NORMAL"))</f>
        <v/>
      </c>
      <c r="F86" s="15">
        <f>IF($A86="","",_xlfn.TEXTJOIN(" ",TRUE,"Sipariş",$A86,"karar",$D86,"toplam",TEXT($B86,"0.00"),"tasarruf",TEXT($C86,"0.00"),"TL"))</f>
        <v/>
      </c>
    </row>
    <row r="87">
      <c r="A87" s="15">
        <f>IF('ESLESTIRME'!$A87="","",IF('ESLESTIRME'!$G87="tutar_farki",'ESLESTIRME'!$A87,""))</f>
        <v/>
      </c>
      <c r="B87" s="15">
        <f>IF($A87="","",IFERROR(SUMIF(tblMotor[A_Norm],$A87,tblMotor[SiparisToplam]),0))</f>
        <v/>
      </c>
      <c r="C87" s="15">
        <f>IF($A87="","",IFERROR(SUMIF(tblMotor[A_Norm],$A87,tblMotor[Tasarruf]),0))</f>
        <v/>
      </c>
      <c r="D87" s="15">
        <f>IF($A87="","",IFERROR(INDEX(tblMotor[KararSatir],MATCH($A87,tblMotor[A_Norm],0)),""))</f>
        <v/>
      </c>
      <c r="E87" s="15">
        <f>IF($A87="","",IF(OR($D87="DESİ DÜŞÜR",$D87="TAŞIYICI DEĞİŞTİR"),"YUKSEK","NORMAL"))</f>
        <v/>
      </c>
      <c r="F87" s="15">
        <f>IF($A87="","",_xlfn.TEXTJOIN(" ",TRUE,"Sipariş",$A87,"karar",$D87,"toplam",TEXT($B87,"0.00"),"tasarruf",TEXT($C87,"0.00"),"TL"))</f>
        <v/>
      </c>
    </row>
    <row r="88">
      <c r="A88" s="15">
        <f>IF('ESLESTIRME'!$A88="","",IF('ESLESTIRME'!$G88="tutar_farki",'ESLESTIRME'!$A88,""))</f>
        <v/>
      </c>
      <c r="B88" s="15">
        <f>IF($A88="","",IFERROR(SUMIF(tblMotor[A_Norm],$A88,tblMotor[SiparisToplam]),0))</f>
        <v/>
      </c>
      <c r="C88" s="15">
        <f>IF($A88="","",IFERROR(SUMIF(tblMotor[A_Norm],$A88,tblMotor[Tasarruf]),0))</f>
        <v/>
      </c>
      <c r="D88" s="15">
        <f>IF($A88="","",IFERROR(INDEX(tblMotor[KararSatir],MATCH($A88,tblMotor[A_Norm],0)),""))</f>
        <v/>
      </c>
      <c r="E88" s="15">
        <f>IF($A88="","",IF(OR($D88="DESİ DÜŞÜR",$D88="TAŞIYICI DEĞİŞTİR"),"YUKSEK","NORMAL"))</f>
        <v/>
      </c>
      <c r="F88" s="15">
        <f>IF($A88="","",_xlfn.TEXTJOIN(" ",TRUE,"Sipariş",$A88,"karar",$D88,"toplam",TEXT($B88,"0.00"),"tasarruf",TEXT($C88,"0.00"),"TL"))</f>
        <v/>
      </c>
    </row>
    <row r="89">
      <c r="A89" s="15">
        <f>IF('ESLESTIRME'!$A89="","",IF('ESLESTIRME'!$G89="tutar_farki",'ESLESTIRME'!$A89,""))</f>
        <v/>
      </c>
      <c r="B89" s="15">
        <f>IF($A89="","",IFERROR(SUMIF(tblMotor[A_Norm],$A89,tblMotor[SiparisToplam]),0))</f>
        <v/>
      </c>
      <c r="C89" s="15">
        <f>IF($A89="","",IFERROR(SUMIF(tblMotor[A_Norm],$A89,tblMotor[Tasarruf]),0))</f>
        <v/>
      </c>
      <c r="D89" s="15">
        <f>IF($A89="","",IFERROR(INDEX(tblMotor[KararSatir],MATCH($A89,tblMotor[A_Norm],0)),""))</f>
        <v/>
      </c>
      <c r="E89" s="15">
        <f>IF($A89="","",IF(OR($D89="DESİ DÜŞÜR",$D89="TAŞIYICI DEĞİŞTİR"),"YUKSEK","NORMAL"))</f>
        <v/>
      </c>
      <c r="F89" s="15">
        <f>IF($A89="","",_xlfn.TEXTJOIN(" ",TRUE,"Sipariş",$A89,"karar",$D89,"toplam",TEXT($B89,"0.00"),"tasarruf",TEXT($C89,"0.00"),"TL"))</f>
        <v/>
      </c>
    </row>
    <row r="90">
      <c r="A90" s="15">
        <f>IF('ESLESTIRME'!$A90="","",IF('ESLESTIRME'!$G90="tutar_farki",'ESLESTIRME'!$A90,""))</f>
        <v/>
      </c>
      <c r="B90" s="15">
        <f>IF($A90="","",IFERROR(SUMIF(tblMotor[A_Norm],$A90,tblMotor[SiparisToplam]),0))</f>
        <v/>
      </c>
      <c r="C90" s="15">
        <f>IF($A90="","",IFERROR(SUMIF(tblMotor[A_Norm],$A90,tblMotor[Tasarruf]),0))</f>
        <v/>
      </c>
      <c r="D90" s="15">
        <f>IF($A90="","",IFERROR(INDEX(tblMotor[KararSatir],MATCH($A90,tblMotor[A_Norm],0)),""))</f>
        <v/>
      </c>
      <c r="E90" s="15">
        <f>IF($A90="","",IF(OR($D90="DESİ DÜŞÜR",$D90="TAŞIYICI DEĞİŞTİR"),"YUKSEK","NORMAL"))</f>
        <v/>
      </c>
      <c r="F90" s="15">
        <f>IF($A90="","",_xlfn.TEXTJOIN(" ",TRUE,"Sipariş",$A90,"karar",$D90,"toplam",TEXT($B90,"0.00"),"tasarruf",TEXT($C90,"0.00"),"TL"))</f>
        <v/>
      </c>
    </row>
    <row r="91">
      <c r="A91" s="15">
        <f>IF('ESLESTIRME'!$A91="","",IF('ESLESTIRME'!$G91="tutar_farki",'ESLESTIRME'!$A91,""))</f>
        <v/>
      </c>
      <c r="B91" s="15">
        <f>IF($A91="","",IFERROR(SUMIF(tblMotor[A_Norm],$A91,tblMotor[SiparisToplam]),0))</f>
        <v/>
      </c>
      <c r="C91" s="15">
        <f>IF($A91="","",IFERROR(SUMIF(tblMotor[A_Norm],$A91,tblMotor[Tasarruf]),0))</f>
        <v/>
      </c>
      <c r="D91" s="15">
        <f>IF($A91="","",IFERROR(INDEX(tblMotor[KararSatir],MATCH($A91,tblMotor[A_Norm],0)),""))</f>
        <v/>
      </c>
      <c r="E91" s="15">
        <f>IF($A91="","",IF(OR($D91="DESİ DÜŞÜR",$D91="TAŞIYICI DEĞİŞTİR"),"YUKSEK","NORMAL"))</f>
        <v/>
      </c>
      <c r="F91" s="15">
        <f>IF($A91="","",_xlfn.TEXTJOIN(" ",TRUE,"Sipariş",$A91,"karar",$D91,"toplam",TEXT($B91,"0.00"),"tasarruf",TEXT($C91,"0.00"),"TL"))</f>
        <v/>
      </c>
    </row>
    <row r="92">
      <c r="A92" s="15">
        <f>IF('ESLESTIRME'!$A92="","",IF('ESLESTIRME'!$G92="tutar_farki",'ESLESTIRME'!$A92,""))</f>
        <v/>
      </c>
      <c r="B92" s="15">
        <f>IF($A92="","",IFERROR(SUMIF(tblMotor[A_Norm],$A92,tblMotor[SiparisToplam]),0))</f>
        <v/>
      </c>
      <c r="C92" s="15">
        <f>IF($A92="","",IFERROR(SUMIF(tblMotor[A_Norm],$A92,tblMotor[Tasarruf]),0))</f>
        <v/>
      </c>
      <c r="D92" s="15">
        <f>IF($A92="","",IFERROR(INDEX(tblMotor[KararSatir],MATCH($A92,tblMotor[A_Norm],0)),""))</f>
        <v/>
      </c>
      <c r="E92" s="15">
        <f>IF($A92="","",IF(OR($D92="DESİ DÜŞÜR",$D92="TAŞIYICI DEĞİŞTİR"),"YUKSEK","NORMAL"))</f>
        <v/>
      </c>
      <c r="F92" s="15">
        <f>IF($A92="","",_xlfn.TEXTJOIN(" ",TRUE,"Sipariş",$A92,"karar",$D92,"toplam",TEXT($B92,"0.00"),"tasarruf",TEXT($C92,"0.00"),"TL"))</f>
        <v/>
      </c>
    </row>
    <row r="93">
      <c r="A93" s="15">
        <f>IF('ESLESTIRME'!$A93="","",IF('ESLESTIRME'!$G93="tutar_farki",'ESLESTIRME'!$A93,""))</f>
        <v/>
      </c>
      <c r="B93" s="15">
        <f>IF($A93="","",IFERROR(SUMIF(tblMotor[A_Norm],$A93,tblMotor[SiparisToplam]),0))</f>
        <v/>
      </c>
      <c r="C93" s="15">
        <f>IF($A93="","",IFERROR(SUMIF(tblMotor[A_Norm],$A93,tblMotor[Tasarruf]),0))</f>
        <v/>
      </c>
      <c r="D93" s="15">
        <f>IF($A93="","",IFERROR(INDEX(tblMotor[KararSatir],MATCH($A93,tblMotor[A_Norm],0)),""))</f>
        <v/>
      </c>
      <c r="E93" s="15">
        <f>IF($A93="","",IF(OR($D93="DESİ DÜŞÜR",$D93="TAŞIYICI DEĞİŞTİR"),"YUKSEK","NORMAL"))</f>
        <v/>
      </c>
      <c r="F93" s="15">
        <f>IF($A93="","",_xlfn.TEXTJOIN(" ",TRUE,"Sipariş",$A93,"karar",$D93,"toplam",TEXT($B93,"0.00"),"tasarruf",TEXT($C93,"0.00"),"TL"))</f>
        <v/>
      </c>
    </row>
    <row r="94">
      <c r="A94" s="15">
        <f>IF('ESLESTIRME'!$A94="","",IF('ESLESTIRME'!$G94="tutar_farki",'ESLESTIRME'!$A94,""))</f>
        <v/>
      </c>
      <c r="B94" s="15">
        <f>IF($A94="","",IFERROR(SUMIF(tblMotor[A_Norm],$A94,tblMotor[SiparisToplam]),0))</f>
        <v/>
      </c>
      <c r="C94" s="15">
        <f>IF($A94="","",IFERROR(SUMIF(tblMotor[A_Norm],$A94,tblMotor[Tasarruf]),0))</f>
        <v/>
      </c>
      <c r="D94" s="15">
        <f>IF($A94="","",IFERROR(INDEX(tblMotor[KararSatir],MATCH($A94,tblMotor[A_Norm],0)),""))</f>
        <v/>
      </c>
      <c r="E94" s="15">
        <f>IF($A94="","",IF(OR($D94="DESİ DÜŞÜR",$D94="TAŞIYICI DEĞİŞTİR"),"YUKSEK","NORMAL"))</f>
        <v/>
      </c>
      <c r="F94" s="15">
        <f>IF($A94="","",_xlfn.TEXTJOIN(" ",TRUE,"Sipariş",$A94,"karar",$D94,"toplam",TEXT($B94,"0.00"),"tasarruf",TEXT($C94,"0.00"),"TL"))</f>
        <v/>
      </c>
    </row>
    <row r="95">
      <c r="A95" s="15">
        <f>IF('ESLESTIRME'!$A95="","",IF('ESLESTIRME'!$G95="tutar_farki",'ESLESTIRME'!$A95,""))</f>
        <v/>
      </c>
      <c r="B95" s="15">
        <f>IF($A95="","",IFERROR(SUMIF(tblMotor[A_Norm],$A95,tblMotor[SiparisToplam]),0))</f>
        <v/>
      </c>
      <c r="C95" s="15">
        <f>IF($A95="","",IFERROR(SUMIF(tblMotor[A_Norm],$A95,tblMotor[Tasarruf]),0))</f>
        <v/>
      </c>
      <c r="D95" s="15">
        <f>IF($A95="","",IFERROR(INDEX(tblMotor[KararSatir],MATCH($A95,tblMotor[A_Norm],0)),""))</f>
        <v/>
      </c>
      <c r="E95" s="15">
        <f>IF($A95="","",IF(OR($D95="DESİ DÜŞÜR",$D95="TAŞIYICI DEĞİŞTİR"),"YUKSEK","NORMAL"))</f>
        <v/>
      </c>
      <c r="F95" s="15">
        <f>IF($A95="","",_xlfn.TEXTJOIN(" ",TRUE,"Sipariş",$A95,"karar",$D95,"toplam",TEXT($B95,"0.00"),"tasarruf",TEXT($C95,"0.00"),"TL"))</f>
        <v/>
      </c>
    </row>
    <row r="96">
      <c r="A96" s="15">
        <f>IF('ESLESTIRME'!$A96="","",IF('ESLESTIRME'!$G96="tutar_farki",'ESLESTIRME'!$A96,""))</f>
        <v/>
      </c>
      <c r="B96" s="15">
        <f>IF($A96="","",IFERROR(SUMIF(tblMotor[A_Norm],$A96,tblMotor[SiparisToplam]),0))</f>
        <v/>
      </c>
      <c r="C96" s="15">
        <f>IF($A96="","",IFERROR(SUMIF(tblMotor[A_Norm],$A96,tblMotor[Tasarruf]),0))</f>
        <v/>
      </c>
      <c r="D96" s="15">
        <f>IF($A96="","",IFERROR(INDEX(tblMotor[KararSatir],MATCH($A96,tblMotor[A_Norm],0)),""))</f>
        <v/>
      </c>
      <c r="E96" s="15">
        <f>IF($A96="","",IF(OR($D96="DESİ DÜŞÜR",$D96="TAŞIYICI DEĞİŞTİR"),"YUKSEK","NORMAL"))</f>
        <v/>
      </c>
      <c r="F96" s="15">
        <f>IF($A96="","",_xlfn.TEXTJOIN(" ",TRUE,"Sipariş",$A96,"karar",$D96,"toplam",TEXT($B96,"0.00"),"tasarruf",TEXT($C96,"0.00"),"TL"))</f>
        <v/>
      </c>
    </row>
    <row r="97">
      <c r="A97" s="15">
        <f>IF('ESLESTIRME'!$A97="","",IF('ESLESTIRME'!$G97="tutar_farki",'ESLESTIRME'!$A97,""))</f>
        <v/>
      </c>
      <c r="B97" s="15">
        <f>IF($A97="","",IFERROR(SUMIF(tblMotor[A_Norm],$A97,tblMotor[SiparisToplam]),0))</f>
        <v/>
      </c>
      <c r="C97" s="15">
        <f>IF($A97="","",IFERROR(SUMIF(tblMotor[A_Norm],$A97,tblMotor[Tasarruf]),0))</f>
        <v/>
      </c>
      <c r="D97" s="15">
        <f>IF($A97="","",IFERROR(INDEX(tblMotor[KararSatir],MATCH($A97,tblMotor[A_Norm],0)),""))</f>
        <v/>
      </c>
      <c r="E97" s="15">
        <f>IF($A97="","",IF(OR($D97="DESİ DÜŞÜR",$D97="TAŞIYICI DEĞİŞTİR"),"YUKSEK","NORMAL"))</f>
        <v/>
      </c>
      <c r="F97" s="15">
        <f>IF($A97="","",_xlfn.TEXTJOIN(" ",TRUE,"Sipariş",$A97,"karar",$D97,"toplam",TEXT($B97,"0.00"),"tasarruf",TEXT($C97,"0.00"),"TL"))</f>
        <v/>
      </c>
    </row>
    <row r="98">
      <c r="A98" s="15">
        <f>IF('ESLESTIRME'!$A98="","",IF('ESLESTIRME'!$G98="tutar_farki",'ESLESTIRME'!$A98,""))</f>
        <v/>
      </c>
      <c r="B98" s="15">
        <f>IF($A98="","",IFERROR(SUMIF(tblMotor[A_Norm],$A98,tblMotor[SiparisToplam]),0))</f>
        <v/>
      </c>
      <c r="C98" s="15">
        <f>IF($A98="","",IFERROR(SUMIF(tblMotor[A_Norm],$A98,tblMotor[Tasarruf]),0))</f>
        <v/>
      </c>
      <c r="D98" s="15">
        <f>IF($A98="","",IFERROR(INDEX(tblMotor[KararSatir],MATCH($A98,tblMotor[A_Norm],0)),""))</f>
        <v/>
      </c>
      <c r="E98" s="15">
        <f>IF($A98="","",IF(OR($D98="DESİ DÜŞÜR",$D98="TAŞIYICI DEĞİŞTİR"),"YUKSEK","NORMAL"))</f>
        <v/>
      </c>
      <c r="F98" s="15">
        <f>IF($A98="","",_xlfn.TEXTJOIN(" ",TRUE,"Sipariş",$A98,"karar",$D98,"toplam",TEXT($B98,"0.00"),"tasarruf",TEXT($C98,"0.00"),"TL"))</f>
        <v/>
      </c>
    </row>
    <row r="99">
      <c r="A99" s="15">
        <f>IF('ESLESTIRME'!$A99="","",IF('ESLESTIRME'!$G99="tutar_farki",'ESLESTIRME'!$A99,""))</f>
        <v/>
      </c>
      <c r="B99" s="15">
        <f>IF($A99="","",IFERROR(SUMIF(tblMotor[A_Norm],$A99,tblMotor[SiparisToplam]),0))</f>
        <v/>
      </c>
      <c r="C99" s="15">
        <f>IF($A99="","",IFERROR(SUMIF(tblMotor[A_Norm],$A99,tblMotor[Tasarruf]),0))</f>
        <v/>
      </c>
      <c r="D99" s="15">
        <f>IF($A99="","",IFERROR(INDEX(tblMotor[KararSatir],MATCH($A99,tblMotor[A_Norm],0)),""))</f>
        <v/>
      </c>
      <c r="E99" s="15">
        <f>IF($A99="","",IF(OR($D99="DESİ DÜŞÜR",$D99="TAŞIYICI DEĞİŞTİR"),"YUKSEK","NORMAL"))</f>
        <v/>
      </c>
      <c r="F99" s="15">
        <f>IF($A99="","",_xlfn.TEXTJOIN(" ",TRUE,"Sipariş",$A99,"karar",$D99,"toplam",TEXT($B99,"0.00"),"tasarruf",TEXT($C99,"0.00"),"TL"))</f>
        <v/>
      </c>
    </row>
    <row r="100">
      <c r="A100" s="15">
        <f>IF('ESLESTIRME'!$A100="","",IF('ESLESTIRME'!$G100="tutar_farki",'ESLESTIRME'!$A100,""))</f>
        <v/>
      </c>
      <c r="B100" s="15">
        <f>IF($A100="","",IFERROR(SUMIF(tblMotor[A_Norm],$A100,tblMotor[SiparisToplam]),0))</f>
        <v/>
      </c>
      <c r="C100" s="15">
        <f>IF($A100="","",IFERROR(SUMIF(tblMotor[A_Norm],$A100,tblMotor[Tasarruf]),0))</f>
        <v/>
      </c>
      <c r="D100" s="15">
        <f>IF($A100="","",IFERROR(INDEX(tblMotor[KararSatir],MATCH($A100,tblMotor[A_Norm],0)),""))</f>
        <v/>
      </c>
      <c r="E100" s="15">
        <f>IF($A100="","",IF(OR($D100="DESİ DÜŞÜR",$D100="TAŞIYICI DEĞİŞTİR"),"YUKSEK","NORMAL"))</f>
        <v/>
      </c>
      <c r="F100" s="15">
        <f>IF($A100="","",_xlfn.TEXTJOIN(" ",TRUE,"Sipariş",$A100,"karar",$D100,"toplam",TEXT($B100,"0.00"),"tasarruf",TEXT($C100,"0.00"),"TL"))</f>
        <v/>
      </c>
    </row>
    <row r="101">
      <c r="A101" s="15">
        <f>IF('ESLESTIRME'!$A101="","",IF('ESLESTIRME'!$G101="tutar_farki",'ESLESTIRME'!$A101,""))</f>
        <v/>
      </c>
      <c r="B101" s="15">
        <f>IF($A101="","",IFERROR(SUMIF(tblMotor[A_Norm],$A101,tblMotor[SiparisToplam]),0))</f>
        <v/>
      </c>
      <c r="C101" s="15">
        <f>IF($A101="","",IFERROR(SUMIF(tblMotor[A_Norm],$A101,tblMotor[Tasarruf]),0))</f>
        <v/>
      </c>
      <c r="D101" s="15">
        <f>IF($A101="","",IFERROR(INDEX(tblMotor[KararSatir],MATCH($A101,tblMotor[A_Norm],0)),""))</f>
        <v/>
      </c>
      <c r="E101" s="15">
        <f>IF($A101="","",IF(OR($D101="DESİ DÜŞÜR",$D101="TAŞIYICI DEĞİŞTİR"),"YUKSEK","NORMAL"))</f>
        <v/>
      </c>
      <c r="F101" s="15">
        <f>IF($A101="","",_xlfn.TEXTJOIN(" ",TRUE,"Sipariş",$A101,"karar",$D101,"toplam",TEXT($B101,"0.00"),"tasarruf",TEXT($C101,"0.00"),"TL"))</f>
        <v/>
      </c>
    </row>
    <row r="102">
      <c r="A102" s="15">
        <f>IF('ESLESTIRME'!$A102="","",IF('ESLESTIRME'!$G102="tutar_farki",'ESLESTIRME'!$A102,""))</f>
        <v/>
      </c>
      <c r="B102" s="15">
        <f>IF($A102="","",IFERROR(SUMIF(tblMotor[A_Norm],$A102,tblMotor[SiparisToplam]),0))</f>
        <v/>
      </c>
      <c r="C102" s="15">
        <f>IF($A102="","",IFERROR(SUMIF(tblMotor[A_Norm],$A102,tblMotor[Tasarruf]),0))</f>
        <v/>
      </c>
      <c r="D102" s="15">
        <f>IF($A102="","",IFERROR(INDEX(tblMotor[KararSatir],MATCH($A102,tblMotor[A_Norm],0)),""))</f>
        <v/>
      </c>
      <c r="E102" s="15">
        <f>IF($A102="","",IF(OR($D102="DESİ DÜŞÜR",$D102="TAŞIYICI DEĞİŞTİR"),"YUKSEK","NORMAL"))</f>
        <v/>
      </c>
      <c r="F102" s="15">
        <f>IF($A102="","",_xlfn.TEXTJOIN(" ",TRUE,"Sipariş",$A102,"karar",$D102,"toplam",TEXT($B102,"0.00"),"tasarruf",TEXT($C102,"0.00"),"TL"))</f>
        <v/>
      </c>
    </row>
    <row r="103">
      <c r="A103" s="15">
        <f>IF('ESLESTIRME'!$A103="","",IF('ESLESTIRME'!$G103="tutar_farki",'ESLESTIRME'!$A103,""))</f>
        <v/>
      </c>
      <c r="B103" s="15">
        <f>IF($A103="","",IFERROR(SUMIF(tblMotor[A_Norm],$A103,tblMotor[SiparisToplam]),0))</f>
        <v/>
      </c>
      <c r="C103" s="15">
        <f>IF($A103="","",IFERROR(SUMIF(tblMotor[A_Norm],$A103,tblMotor[Tasarruf]),0))</f>
        <v/>
      </c>
      <c r="D103" s="15">
        <f>IF($A103="","",IFERROR(INDEX(tblMotor[KararSatir],MATCH($A103,tblMotor[A_Norm],0)),""))</f>
        <v/>
      </c>
      <c r="E103" s="15">
        <f>IF($A103="","",IF(OR($D103="DESİ DÜŞÜR",$D103="TAŞIYICI DEĞİŞTİR"),"YUKSEK","NORMAL"))</f>
        <v/>
      </c>
      <c r="F103" s="15">
        <f>IF($A103="","",_xlfn.TEXTJOIN(" ",TRUE,"Sipariş",$A103,"karar",$D103,"toplam",TEXT($B103,"0.00"),"tasarruf",TEXT($C103,"0.00"),"TL"))</f>
        <v/>
      </c>
    </row>
    <row r="104">
      <c r="A104" s="15">
        <f>IF('ESLESTIRME'!$A104="","",IF('ESLESTIRME'!$G104="tutar_farki",'ESLESTIRME'!$A104,""))</f>
        <v/>
      </c>
      <c r="B104" s="15">
        <f>IF($A104="","",IFERROR(SUMIF(tblMotor[A_Norm],$A104,tblMotor[SiparisToplam]),0))</f>
        <v/>
      </c>
      <c r="C104" s="15">
        <f>IF($A104="","",IFERROR(SUMIF(tblMotor[A_Norm],$A104,tblMotor[Tasarruf]),0))</f>
        <v/>
      </c>
      <c r="D104" s="15">
        <f>IF($A104="","",IFERROR(INDEX(tblMotor[KararSatir],MATCH($A104,tblMotor[A_Norm],0)),""))</f>
        <v/>
      </c>
      <c r="E104" s="15">
        <f>IF($A104="","",IF(OR($D104="DESİ DÜŞÜR",$D104="TAŞIYICI DEĞİŞTİR"),"YUKSEK","NORMAL"))</f>
        <v/>
      </c>
      <c r="F104" s="15">
        <f>IF($A104="","",_xlfn.TEXTJOIN(" ",TRUE,"Sipariş",$A104,"karar",$D104,"toplam",TEXT($B104,"0.00"),"tasarruf",TEXT($C104,"0.00"),"TL"))</f>
        <v/>
      </c>
    </row>
    <row r="105">
      <c r="A105" s="15">
        <f>IF('ESLESTIRME'!$A105="","",IF('ESLESTIRME'!$G105="tutar_farki",'ESLESTIRME'!$A105,""))</f>
        <v/>
      </c>
      <c r="B105" s="15">
        <f>IF($A105="","",IFERROR(SUMIF(tblMotor[A_Norm],$A105,tblMotor[SiparisToplam]),0))</f>
        <v/>
      </c>
      <c r="C105" s="15">
        <f>IF($A105="","",IFERROR(SUMIF(tblMotor[A_Norm],$A105,tblMotor[Tasarruf]),0))</f>
        <v/>
      </c>
      <c r="D105" s="15">
        <f>IF($A105="","",IFERROR(INDEX(tblMotor[KararSatir],MATCH($A105,tblMotor[A_Norm],0)),""))</f>
        <v/>
      </c>
      <c r="E105" s="15">
        <f>IF($A105="","",IF(OR($D105="DESİ DÜŞÜR",$D105="TAŞIYICI DEĞİŞTİR"),"YUKSEK","NORMAL"))</f>
        <v/>
      </c>
      <c r="F105" s="15">
        <f>IF($A105="","",_xlfn.TEXTJOIN(" ",TRUE,"Sipariş",$A105,"karar",$D105,"toplam",TEXT($B105,"0.00"),"tasarruf",TEXT($C105,"0.00"),"TL"))</f>
        <v/>
      </c>
    </row>
    <row r="106">
      <c r="A106" s="15">
        <f>IF('ESLESTIRME'!$A106="","",IF('ESLESTIRME'!$G106="tutar_farki",'ESLESTIRME'!$A106,""))</f>
        <v/>
      </c>
      <c r="B106" s="15">
        <f>IF($A106="","",IFERROR(SUMIF(tblMotor[A_Norm],$A106,tblMotor[SiparisToplam]),0))</f>
        <v/>
      </c>
      <c r="C106" s="15">
        <f>IF($A106="","",IFERROR(SUMIF(tblMotor[A_Norm],$A106,tblMotor[Tasarruf]),0))</f>
        <v/>
      </c>
      <c r="D106" s="15">
        <f>IF($A106="","",IFERROR(INDEX(tblMotor[KararSatir],MATCH($A106,tblMotor[A_Norm],0)),""))</f>
        <v/>
      </c>
      <c r="E106" s="15">
        <f>IF($A106="","",IF(OR($D106="DESİ DÜŞÜR",$D106="TAŞIYICI DEĞİŞTİR"),"YUKSEK","NORMAL"))</f>
        <v/>
      </c>
      <c r="F106" s="15">
        <f>IF($A106="","",_xlfn.TEXTJOIN(" ",TRUE,"Sipariş",$A106,"karar",$D106,"toplam",TEXT($B106,"0.00"),"tasarruf",TEXT($C106,"0.00"),"TL"))</f>
        <v/>
      </c>
    </row>
    <row r="107">
      <c r="A107" s="15">
        <f>IF('ESLESTIRME'!$A107="","",IF('ESLESTIRME'!$G107="tutar_farki",'ESLESTIRME'!$A107,""))</f>
        <v/>
      </c>
      <c r="B107" s="15">
        <f>IF($A107="","",IFERROR(SUMIF(tblMotor[A_Norm],$A107,tblMotor[SiparisToplam]),0))</f>
        <v/>
      </c>
      <c r="C107" s="15">
        <f>IF($A107="","",IFERROR(SUMIF(tblMotor[A_Norm],$A107,tblMotor[Tasarruf]),0))</f>
        <v/>
      </c>
      <c r="D107" s="15">
        <f>IF($A107="","",IFERROR(INDEX(tblMotor[KararSatir],MATCH($A107,tblMotor[A_Norm],0)),""))</f>
        <v/>
      </c>
      <c r="E107" s="15">
        <f>IF($A107="","",IF(OR($D107="DESİ DÜŞÜR",$D107="TAŞIYICI DEĞİŞTİR"),"YUKSEK","NORMAL"))</f>
        <v/>
      </c>
      <c r="F107" s="15">
        <f>IF($A107="","",_xlfn.TEXTJOIN(" ",TRUE,"Sipariş",$A107,"karar",$D107,"toplam",TEXT($B107,"0.00"),"tasarruf",TEXT($C107,"0.00"),"TL"))</f>
        <v/>
      </c>
    </row>
    <row r="108">
      <c r="A108" s="15">
        <f>IF('ESLESTIRME'!$A108="","",IF('ESLESTIRME'!$G108="tutar_farki",'ESLESTIRME'!$A108,""))</f>
        <v/>
      </c>
      <c r="B108" s="15">
        <f>IF($A108="","",IFERROR(SUMIF(tblMotor[A_Norm],$A108,tblMotor[SiparisToplam]),0))</f>
        <v/>
      </c>
      <c r="C108" s="15">
        <f>IF($A108="","",IFERROR(SUMIF(tblMotor[A_Norm],$A108,tblMotor[Tasarruf]),0))</f>
        <v/>
      </c>
      <c r="D108" s="15">
        <f>IF($A108="","",IFERROR(INDEX(tblMotor[KararSatir],MATCH($A108,tblMotor[A_Norm],0)),""))</f>
        <v/>
      </c>
      <c r="E108" s="15">
        <f>IF($A108="","",IF(OR($D108="DESİ DÜŞÜR",$D108="TAŞIYICI DEĞİŞTİR"),"YUKSEK","NORMAL"))</f>
        <v/>
      </c>
      <c r="F108" s="15">
        <f>IF($A108="","",_xlfn.TEXTJOIN(" ",TRUE,"Sipariş",$A108,"karar",$D108,"toplam",TEXT($B108,"0.00"),"tasarruf",TEXT($C108,"0.00"),"TL"))</f>
        <v/>
      </c>
    </row>
    <row r="109">
      <c r="A109" s="15">
        <f>IF('ESLESTIRME'!$A109="","",IF('ESLESTIRME'!$G109="tutar_farki",'ESLESTIRME'!$A109,""))</f>
        <v/>
      </c>
      <c r="B109" s="15">
        <f>IF($A109="","",IFERROR(SUMIF(tblMotor[A_Norm],$A109,tblMotor[SiparisToplam]),0))</f>
        <v/>
      </c>
      <c r="C109" s="15">
        <f>IF($A109="","",IFERROR(SUMIF(tblMotor[A_Norm],$A109,tblMotor[Tasarruf]),0))</f>
        <v/>
      </c>
      <c r="D109" s="15">
        <f>IF($A109="","",IFERROR(INDEX(tblMotor[KararSatir],MATCH($A109,tblMotor[A_Norm],0)),""))</f>
        <v/>
      </c>
      <c r="E109" s="15">
        <f>IF($A109="","",IF(OR($D109="DESİ DÜŞÜR",$D109="TAŞIYICI DEĞİŞTİR"),"YUKSEK","NORMAL"))</f>
        <v/>
      </c>
      <c r="F109" s="15">
        <f>IF($A109="","",_xlfn.TEXTJOIN(" ",TRUE,"Sipariş",$A109,"karar",$D109,"toplam",TEXT($B109,"0.00"),"tasarruf",TEXT($C109,"0.00"),"TL"))</f>
        <v/>
      </c>
    </row>
    <row r="110">
      <c r="A110" s="15">
        <f>IF('ESLESTIRME'!$A110="","",IF('ESLESTIRME'!$G110="tutar_farki",'ESLESTIRME'!$A110,""))</f>
        <v/>
      </c>
      <c r="B110" s="15">
        <f>IF($A110="","",IFERROR(SUMIF(tblMotor[A_Norm],$A110,tblMotor[SiparisToplam]),0))</f>
        <v/>
      </c>
      <c r="C110" s="15">
        <f>IF($A110="","",IFERROR(SUMIF(tblMotor[A_Norm],$A110,tblMotor[Tasarruf]),0))</f>
        <v/>
      </c>
      <c r="D110" s="15">
        <f>IF($A110="","",IFERROR(INDEX(tblMotor[KararSatir],MATCH($A110,tblMotor[A_Norm],0)),""))</f>
        <v/>
      </c>
      <c r="E110" s="15">
        <f>IF($A110="","",IF(OR($D110="DESİ DÜŞÜR",$D110="TAŞIYICI DEĞİŞTİR"),"YUKSEK","NORMAL"))</f>
        <v/>
      </c>
      <c r="F110" s="15">
        <f>IF($A110="","",_xlfn.TEXTJOIN(" ",TRUE,"Sipariş",$A110,"karar",$D110,"toplam",TEXT($B110,"0.00"),"tasarruf",TEXT($C110,"0.00"),"TL"))</f>
        <v/>
      </c>
    </row>
    <row r="111">
      <c r="A111" s="15">
        <f>IF('ESLESTIRME'!$A111="","",IF('ESLESTIRME'!$G111="tutar_farki",'ESLESTIRME'!$A111,""))</f>
        <v/>
      </c>
      <c r="B111" s="15">
        <f>IF($A111="","",IFERROR(SUMIF(tblMotor[A_Norm],$A111,tblMotor[SiparisToplam]),0))</f>
        <v/>
      </c>
      <c r="C111" s="15">
        <f>IF($A111="","",IFERROR(SUMIF(tblMotor[A_Norm],$A111,tblMotor[Tasarruf]),0))</f>
        <v/>
      </c>
      <c r="D111" s="15">
        <f>IF($A111="","",IFERROR(INDEX(tblMotor[KararSatir],MATCH($A111,tblMotor[A_Norm],0)),""))</f>
        <v/>
      </c>
      <c r="E111" s="15">
        <f>IF($A111="","",IF(OR($D111="DESİ DÜŞÜR",$D111="TAŞIYICI DEĞİŞTİR"),"YUKSEK","NORMAL"))</f>
        <v/>
      </c>
      <c r="F111" s="15">
        <f>IF($A111="","",_xlfn.TEXTJOIN(" ",TRUE,"Sipariş",$A111,"karar",$D111,"toplam",TEXT($B111,"0.00"),"tasarruf",TEXT($C111,"0.00"),"TL"))</f>
        <v/>
      </c>
    </row>
    <row r="112">
      <c r="A112" s="15">
        <f>IF('ESLESTIRME'!$A112="","",IF('ESLESTIRME'!$G112="tutar_farki",'ESLESTIRME'!$A112,""))</f>
        <v/>
      </c>
      <c r="B112" s="15">
        <f>IF($A112="","",IFERROR(SUMIF(tblMotor[A_Norm],$A112,tblMotor[SiparisToplam]),0))</f>
        <v/>
      </c>
      <c r="C112" s="15">
        <f>IF($A112="","",IFERROR(SUMIF(tblMotor[A_Norm],$A112,tblMotor[Tasarruf]),0))</f>
        <v/>
      </c>
      <c r="D112" s="15">
        <f>IF($A112="","",IFERROR(INDEX(tblMotor[KararSatir],MATCH($A112,tblMotor[A_Norm],0)),""))</f>
        <v/>
      </c>
      <c r="E112" s="15">
        <f>IF($A112="","",IF(OR($D112="DESİ DÜŞÜR",$D112="TAŞIYICI DEĞİŞTİR"),"YUKSEK","NORMAL"))</f>
        <v/>
      </c>
      <c r="F112" s="15">
        <f>IF($A112="","",_xlfn.TEXTJOIN(" ",TRUE,"Sipariş",$A112,"karar",$D112,"toplam",TEXT($B112,"0.00"),"tasarruf",TEXT($C112,"0.00"),"TL"))</f>
        <v/>
      </c>
    </row>
    <row r="113">
      <c r="A113" s="15">
        <f>IF('ESLESTIRME'!$A113="","",IF('ESLESTIRME'!$G113="tutar_farki",'ESLESTIRME'!$A113,""))</f>
        <v/>
      </c>
      <c r="B113" s="15">
        <f>IF($A113="","",IFERROR(SUMIF(tblMotor[A_Norm],$A113,tblMotor[SiparisToplam]),0))</f>
        <v/>
      </c>
      <c r="C113" s="15">
        <f>IF($A113="","",IFERROR(SUMIF(tblMotor[A_Norm],$A113,tblMotor[Tasarruf]),0))</f>
        <v/>
      </c>
      <c r="D113" s="15">
        <f>IF($A113="","",IFERROR(INDEX(tblMotor[KararSatir],MATCH($A113,tblMotor[A_Norm],0)),""))</f>
        <v/>
      </c>
      <c r="E113" s="15">
        <f>IF($A113="","",IF(OR($D113="DESİ DÜŞÜR",$D113="TAŞIYICI DEĞİŞTİR"),"YUKSEK","NORMAL"))</f>
        <v/>
      </c>
      <c r="F113" s="15">
        <f>IF($A113="","",_xlfn.TEXTJOIN(" ",TRUE,"Sipariş",$A113,"karar",$D113,"toplam",TEXT($B113,"0.00"),"tasarruf",TEXT($C113,"0.00"),"TL"))</f>
        <v/>
      </c>
    </row>
    <row r="114">
      <c r="A114" s="15">
        <f>IF('ESLESTIRME'!$A114="","",IF('ESLESTIRME'!$G114="tutar_farki",'ESLESTIRME'!$A114,""))</f>
        <v/>
      </c>
      <c r="B114" s="15">
        <f>IF($A114="","",IFERROR(SUMIF(tblMotor[A_Norm],$A114,tblMotor[SiparisToplam]),0))</f>
        <v/>
      </c>
      <c r="C114" s="15">
        <f>IF($A114="","",IFERROR(SUMIF(tblMotor[A_Norm],$A114,tblMotor[Tasarruf]),0))</f>
        <v/>
      </c>
      <c r="D114" s="15">
        <f>IF($A114="","",IFERROR(INDEX(tblMotor[KararSatir],MATCH($A114,tblMotor[A_Norm],0)),""))</f>
        <v/>
      </c>
      <c r="E114" s="15">
        <f>IF($A114="","",IF(OR($D114="DESİ DÜŞÜR",$D114="TAŞIYICI DEĞİŞTİR"),"YUKSEK","NORMAL"))</f>
        <v/>
      </c>
      <c r="F114" s="15">
        <f>IF($A114="","",_xlfn.TEXTJOIN(" ",TRUE,"Sipariş",$A114,"karar",$D114,"toplam",TEXT($B114,"0.00"),"tasarruf",TEXT($C114,"0.00"),"TL"))</f>
        <v/>
      </c>
    </row>
    <row r="115">
      <c r="A115" s="15">
        <f>IF('ESLESTIRME'!$A115="","",IF('ESLESTIRME'!$G115="tutar_farki",'ESLESTIRME'!$A115,""))</f>
        <v/>
      </c>
      <c r="B115" s="15">
        <f>IF($A115="","",IFERROR(SUMIF(tblMotor[A_Norm],$A115,tblMotor[SiparisToplam]),0))</f>
        <v/>
      </c>
      <c r="C115" s="15">
        <f>IF($A115="","",IFERROR(SUMIF(tblMotor[A_Norm],$A115,tblMotor[Tasarruf]),0))</f>
        <v/>
      </c>
      <c r="D115" s="15">
        <f>IF($A115="","",IFERROR(INDEX(tblMotor[KararSatir],MATCH($A115,tblMotor[A_Norm],0)),""))</f>
        <v/>
      </c>
      <c r="E115" s="15">
        <f>IF($A115="","",IF(OR($D115="DESİ DÜŞÜR",$D115="TAŞIYICI DEĞİŞTİR"),"YUKSEK","NORMAL"))</f>
        <v/>
      </c>
      <c r="F115" s="15">
        <f>IF($A115="","",_xlfn.TEXTJOIN(" ",TRUE,"Sipariş",$A115,"karar",$D115,"toplam",TEXT($B115,"0.00"),"tasarruf",TEXT($C115,"0.00"),"TL"))</f>
        <v/>
      </c>
    </row>
    <row r="116">
      <c r="A116" s="15">
        <f>IF('ESLESTIRME'!$A116="","",IF('ESLESTIRME'!$G116="tutar_farki",'ESLESTIRME'!$A116,""))</f>
        <v/>
      </c>
      <c r="B116" s="15">
        <f>IF($A116="","",IFERROR(SUMIF(tblMotor[A_Norm],$A116,tblMotor[SiparisToplam]),0))</f>
        <v/>
      </c>
      <c r="C116" s="15">
        <f>IF($A116="","",IFERROR(SUMIF(tblMotor[A_Norm],$A116,tblMotor[Tasarruf]),0))</f>
        <v/>
      </c>
      <c r="D116" s="15">
        <f>IF($A116="","",IFERROR(INDEX(tblMotor[KararSatir],MATCH($A116,tblMotor[A_Norm],0)),""))</f>
        <v/>
      </c>
      <c r="E116" s="15">
        <f>IF($A116="","",IF(OR($D116="DESİ DÜŞÜR",$D116="TAŞIYICI DEĞİŞTİR"),"YUKSEK","NORMAL"))</f>
        <v/>
      </c>
      <c r="F116" s="15">
        <f>IF($A116="","",_xlfn.TEXTJOIN(" ",TRUE,"Sipariş",$A116,"karar",$D116,"toplam",TEXT($B116,"0.00"),"tasarruf",TEXT($C116,"0.00"),"TL"))</f>
        <v/>
      </c>
    </row>
    <row r="117">
      <c r="A117" s="15">
        <f>IF('ESLESTIRME'!$A117="","",IF('ESLESTIRME'!$G117="tutar_farki",'ESLESTIRME'!$A117,""))</f>
        <v/>
      </c>
      <c r="B117" s="15">
        <f>IF($A117="","",IFERROR(SUMIF(tblMotor[A_Norm],$A117,tblMotor[SiparisToplam]),0))</f>
        <v/>
      </c>
      <c r="C117" s="15">
        <f>IF($A117="","",IFERROR(SUMIF(tblMotor[A_Norm],$A117,tblMotor[Tasarruf]),0))</f>
        <v/>
      </c>
      <c r="D117" s="15">
        <f>IF($A117="","",IFERROR(INDEX(tblMotor[KararSatir],MATCH($A117,tblMotor[A_Norm],0)),""))</f>
        <v/>
      </c>
      <c r="E117" s="15">
        <f>IF($A117="","",IF(OR($D117="DESİ DÜŞÜR",$D117="TAŞIYICI DEĞİŞTİR"),"YUKSEK","NORMAL"))</f>
        <v/>
      </c>
      <c r="F117" s="15">
        <f>IF($A117="","",_xlfn.TEXTJOIN(" ",TRUE,"Sipariş",$A117,"karar",$D117,"toplam",TEXT($B117,"0.00"),"tasarruf",TEXT($C117,"0.00"),"TL"))</f>
        <v/>
      </c>
    </row>
    <row r="118">
      <c r="A118" s="15">
        <f>IF('ESLESTIRME'!$A118="","",IF('ESLESTIRME'!$G118="tutar_farki",'ESLESTIRME'!$A118,""))</f>
        <v/>
      </c>
      <c r="B118" s="15">
        <f>IF($A118="","",IFERROR(SUMIF(tblMotor[A_Norm],$A118,tblMotor[SiparisToplam]),0))</f>
        <v/>
      </c>
      <c r="C118" s="15">
        <f>IF($A118="","",IFERROR(SUMIF(tblMotor[A_Norm],$A118,tblMotor[Tasarruf]),0))</f>
        <v/>
      </c>
      <c r="D118" s="15">
        <f>IF($A118="","",IFERROR(INDEX(tblMotor[KararSatir],MATCH($A118,tblMotor[A_Norm],0)),""))</f>
        <v/>
      </c>
      <c r="E118" s="15">
        <f>IF($A118="","",IF(OR($D118="DESİ DÜŞÜR",$D118="TAŞIYICI DEĞİŞTİR"),"YUKSEK","NORMAL"))</f>
        <v/>
      </c>
      <c r="F118" s="15">
        <f>IF($A118="","",_xlfn.TEXTJOIN(" ",TRUE,"Sipariş",$A118,"karar",$D118,"toplam",TEXT($B118,"0.00"),"tasarruf",TEXT($C118,"0.00"),"TL"))</f>
        <v/>
      </c>
    </row>
    <row r="119">
      <c r="A119" s="15">
        <f>IF('ESLESTIRME'!$A119="","",IF('ESLESTIRME'!$G119="tutar_farki",'ESLESTIRME'!$A119,""))</f>
        <v/>
      </c>
      <c r="B119" s="15">
        <f>IF($A119="","",IFERROR(SUMIF(tblMotor[A_Norm],$A119,tblMotor[SiparisToplam]),0))</f>
        <v/>
      </c>
      <c r="C119" s="15">
        <f>IF($A119="","",IFERROR(SUMIF(tblMotor[A_Norm],$A119,tblMotor[Tasarruf]),0))</f>
        <v/>
      </c>
      <c r="D119" s="15">
        <f>IF($A119="","",IFERROR(INDEX(tblMotor[KararSatir],MATCH($A119,tblMotor[A_Norm],0)),""))</f>
        <v/>
      </c>
      <c r="E119" s="15">
        <f>IF($A119="","",IF(OR($D119="DESİ DÜŞÜR",$D119="TAŞIYICI DEĞİŞTİR"),"YUKSEK","NORMAL"))</f>
        <v/>
      </c>
      <c r="F119" s="15">
        <f>IF($A119="","",_xlfn.TEXTJOIN(" ",TRUE,"Sipariş",$A119,"karar",$D119,"toplam",TEXT($B119,"0.00"),"tasarruf",TEXT($C119,"0.00"),"TL"))</f>
        <v/>
      </c>
    </row>
    <row r="120">
      <c r="A120" s="15">
        <f>IF('ESLESTIRME'!$A120="","",IF('ESLESTIRME'!$G120="tutar_farki",'ESLESTIRME'!$A120,""))</f>
        <v/>
      </c>
      <c r="B120" s="15">
        <f>IF($A120="","",IFERROR(SUMIF(tblMotor[A_Norm],$A120,tblMotor[SiparisToplam]),0))</f>
        <v/>
      </c>
      <c r="C120" s="15">
        <f>IF($A120="","",IFERROR(SUMIF(tblMotor[A_Norm],$A120,tblMotor[Tasarruf]),0))</f>
        <v/>
      </c>
      <c r="D120" s="15">
        <f>IF($A120="","",IFERROR(INDEX(tblMotor[KararSatir],MATCH($A120,tblMotor[A_Norm],0)),""))</f>
        <v/>
      </c>
      <c r="E120" s="15">
        <f>IF($A120="","",IF(OR($D120="DESİ DÜŞÜR",$D120="TAŞIYICI DEĞİŞTİR"),"YUKSEK","NORMAL"))</f>
        <v/>
      </c>
      <c r="F120" s="15">
        <f>IF($A120="","",_xlfn.TEXTJOIN(" ",TRUE,"Sipariş",$A120,"karar",$D120,"toplam",TEXT($B120,"0.00"),"tasarruf",TEXT($C120,"0.00"),"TL"))</f>
        <v/>
      </c>
    </row>
    <row r="121">
      <c r="A121" s="15">
        <f>IF('ESLESTIRME'!$A121="","",IF('ESLESTIRME'!$G121="tutar_farki",'ESLESTIRME'!$A121,""))</f>
        <v/>
      </c>
      <c r="B121" s="15">
        <f>IF($A121="","",IFERROR(SUMIF(tblMotor[A_Norm],$A121,tblMotor[SiparisToplam]),0))</f>
        <v/>
      </c>
      <c r="C121" s="15">
        <f>IF($A121="","",IFERROR(SUMIF(tblMotor[A_Norm],$A121,tblMotor[Tasarruf]),0))</f>
        <v/>
      </c>
      <c r="D121" s="15">
        <f>IF($A121="","",IFERROR(INDEX(tblMotor[KararSatir],MATCH($A121,tblMotor[A_Norm],0)),""))</f>
        <v/>
      </c>
      <c r="E121" s="15">
        <f>IF($A121="","",IF(OR($D121="DESİ DÜŞÜR",$D121="TAŞIYICI DEĞİŞTİR"),"YUKSEK","NORMAL"))</f>
        <v/>
      </c>
      <c r="F121" s="15">
        <f>IF($A121="","",_xlfn.TEXTJOIN(" ",TRUE,"Sipariş",$A121,"karar",$D121,"toplam",TEXT($B121,"0.00"),"tasarruf",TEXT($C121,"0.00"),"TL"))</f>
        <v/>
      </c>
    </row>
    <row r="122">
      <c r="A122" s="15">
        <f>IF('ESLESTIRME'!$A122="","",IF('ESLESTIRME'!$G122="tutar_farki",'ESLESTIRME'!$A122,""))</f>
        <v/>
      </c>
      <c r="B122" s="15">
        <f>IF($A122="","",IFERROR(SUMIF(tblMotor[A_Norm],$A122,tblMotor[SiparisToplam]),0))</f>
        <v/>
      </c>
      <c r="C122" s="15">
        <f>IF($A122="","",IFERROR(SUMIF(tblMotor[A_Norm],$A122,tblMotor[Tasarruf]),0))</f>
        <v/>
      </c>
      <c r="D122" s="15">
        <f>IF($A122="","",IFERROR(INDEX(tblMotor[KararSatir],MATCH($A122,tblMotor[A_Norm],0)),""))</f>
        <v/>
      </c>
      <c r="E122" s="15">
        <f>IF($A122="","",IF(OR($D122="DESİ DÜŞÜR",$D122="TAŞIYICI DEĞİŞTİR"),"YUKSEK","NORMAL"))</f>
        <v/>
      </c>
      <c r="F122" s="15">
        <f>IF($A122="","",_xlfn.TEXTJOIN(" ",TRUE,"Sipariş",$A122,"karar",$D122,"toplam",TEXT($B122,"0.00"),"tasarruf",TEXT($C122,"0.00"),"TL"))</f>
        <v/>
      </c>
    </row>
    <row r="123">
      <c r="A123" s="15">
        <f>IF('ESLESTIRME'!$A123="","",IF('ESLESTIRME'!$G123="tutar_farki",'ESLESTIRME'!$A123,""))</f>
        <v/>
      </c>
      <c r="B123" s="15">
        <f>IF($A123="","",IFERROR(SUMIF(tblMotor[A_Norm],$A123,tblMotor[SiparisToplam]),0))</f>
        <v/>
      </c>
      <c r="C123" s="15">
        <f>IF($A123="","",IFERROR(SUMIF(tblMotor[A_Norm],$A123,tblMotor[Tasarruf]),0))</f>
        <v/>
      </c>
      <c r="D123" s="15">
        <f>IF($A123="","",IFERROR(INDEX(tblMotor[KararSatir],MATCH($A123,tblMotor[A_Norm],0)),""))</f>
        <v/>
      </c>
      <c r="E123" s="15">
        <f>IF($A123="","",IF(OR($D123="DESİ DÜŞÜR",$D123="TAŞIYICI DEĞİŞTİR"),"YUKSEK","NORMAL"))</f>
        <v/>
      </c>
      <c r="F123" s="15">
        <f>IF($A123="","",_xlfn.TEXTJOIN(" ",TRUE,"Sipariş",$A123,"karar",$D123,"toplam",TEXT($B123,"0.00"),"tasarruf",TEXT($C123,"0.00"),"TL"))</f>
        <v/>
      </c>
    </row>
    <row r="124">
      <c r="A124" s="15">
        <f>IF('ESLESTIRME'!$A124="","",IF('ESLESTIRME'!$G124="tutar_farki",'ESLESTIRME'!$A124,""))</f>
        <v/>
      </c>
      <c r="B124" s="15">
        <f>IF($A124="","",IFERROR(SUMIF(tblMotor[A_Norm],$A124,tblMotor[SiparisToplam]),0))</f>
        <v/>
      </c>
      <c r="C124" s="15">
        <f>IF($A124="","",IFERROR(SUMIF(tblMotor[A_Norm],$A124,tblMotor[Tasarruf]),0))</f>
        <v/>
      </c>
      <c r="D124" s="15">
        <f>IF($A124="","",IFERROR(INDEX(tblMotor[KararSatir],MATCH($A124,tblMotor[A_Norm],0)),""))</f>
        <v/>
      </c>
      <c r="E124" s="15">
        <f>IF($A124="","",IF(OR($D124="DESİ DÜŞÜR",$D124="TAŞIYICI DEĞİŞTİR"),"YUKSEK","NORMAL"))</f>
        <v/>
      </c>
      <c r="F124" s="15">
        <f>IF($A124="","",_xlfn.TEXTJOIN(" ",TRUE,"Sipariş",$A124,"karar",$D124,"toplam",TEXT($B124,"0.00"),"tasarruf",TEXT($C124,"0.00"),"TL"))</f>
        <v/>
      </c>
    </row>
    <row r="125">
      <c r="A125" s="15">
        <f>IF('ESLESTIRME'!$A125="","",IF('ESLESTIRME'!$G125="tutar_farki",'ESLESTIRME'!$A125,""))</f>
        <v/>
      </c>
      <c r="B125" s="15">
        <f>IF($A125="","",IFERROR(SUMIF(tblMotor[A_Norm],$A125,tblMotor[SiparisToplam]),0))</f>
        <v/>
      </c>
      <c r="C125" s="15">
        <f>IF($A125="","",IFERROR(SUMIF(tblMotor[A_Norm],$A125,tblMotor[Tasarruf]),0))</f>
        <v/>
      </c>
      <c r="D125" s="15">
        <f>IF($A125="","",IFERROR(INDEX(tblMotor[KararSatir],MATCH($A125,tblMotor[A_Norm],0)),""))</f>
        <v/>
      </c>
      <c r="E125" s="15">
        <f>IF($A125="","",IF(OR($D125="DESİ DÜŞÜR",$D125="TAŞIYICI DEĞİŞTİR"),"YUKSEK","NORMAL"))</f>
        <v/>
      </c>
      <c r="F125" s="15">
        <f>IF($A125="","",_xlfn.TEXTJOIN(" ",TRUE,"Sipariş",$A125,"karar",$D125,"toplam",TEXT($B125,"0.00"),"tasarruf",TEXT($C125,"0.00"),"TL"))</f>
        <v/>
      </c>
    </row>
    <row r="126">
      <c r="A126" s="15">
        <f>IF('ESLESTIRME'!$A126="","",IF('ESLESTIRME'!$G126="tutar_farki",'ESLESTIRME'!$A126,""))</f>
        <v/>
      </c>
      <c r="B126" s="15">
        <f>IF($A126="","",IFERROR(SUMIF(tblMotor[A_Norm],$A126,tblMotor[SiparisToplam]),0))</f>
        <v/>
      </c>
      <c r="C126" s="15">
        <f>IF($A126="","",IFERROR(SUMIF(tblMotor[A_Norm],$A126,tblMotor[Tasarruf]),0))</f>
        <v/>
      </c>
      <c r="D126" s="15">
        <f>IF($A126="","",IFERROR(INDEX(tblMotor[KararSatir],MATCH($A126,tblMotor[A_Norm],0)),""))</f>
        <v/>
      </c>
      <c r="E126" s="15">
        <f>IF($A126="","",IF(OR($D126="DESİ DÜŞÜR",$D126="TAŞIYICI DEĞİŞTİR"),"YUKSEK","NORMAL"))</f>
        <v/>
      </c>
      <c r="F126" s="15">
        <f>IF($A126="","",_xlfn.TEXTJOIN(" ",TRUE,"Sipariş",$A126,"karar",$D126,"toplam",TEXT($B126,"0.00"),"tasarruf",TEXT($C126,"0.00"),"TL"))</f>
        <v/>
      </c>
    </row>
    <row r="127">
      <c r="A127" s="15">
        <f>IF('ESLESTIRME'!$A127="","",IF('ESLESTIRME'!$G127="tutar_farki",'ESLESTIRME'!$A127,""))</f>
        <v/>
      </c>
      <c r="B127" s="15">
        <f>IF($A127="","",IFERROR(SUMIF(tblMotor[A_Norm],$A127,tblMotor[SiparisToplam]),0))</f>
        <v/>
      </c>
      <c r="C127" s="15">
        <f>IF($A127="","",IFERROR(SUMIF(tblMotor[A_Norm],$A127,tblMotor[Tasarruf]),0))</f>
        <v/>
      </c>
      <c r="D127" s="15">
        <f>IF($A127="","",IFERROR(INDEX(tblMotor[KararSatir],MATCH($A127,tblMotor[A_Norm],0)),""))</f>
        <v/>
      </c>
      <c r="E127" s="15">
        <f>IF($A127="","",IF(OR($D127="DESİ DÜŞÜR",$D127="TAŞIYICI DEĞİŞTİR"),"YUKSEK","NORMAL"))</f>
        <v/>
      </c>
      <c r="F127" s="15">
        <f>IF($A127="","",_xlfn.TEXTJOIN(" ",TRUE,"Sipariş",$A127,"karar",$D127,"toplam",TEXT($B127,"0.00"),"tasarruf",TEXT($C127,"0.00"),"TL"))</f>
        <v/>
      </c>
    </row>
    <row r="128">
      <c r="A128" s="15">
        <f>IF('ESLESTIRME'!$A128="","",IF('ESLESTIRME'!$G128="tutar_farki",'ESLESTIRME'!$A128,""))</f>
        <v/>
      </c>
      <c r="B128" s="15">
        <f>IF($A128="","",IFERROR(SUMIF(tblMotor[A_Norm],$A128,tblMotor[SiparisToplam]),0))</f>
        <v/>
      </c>
      <c r="C128" s="15">
        <f>IF($A128="","",IFERROR(SUMIF(tblMotor[A_Norm],$A128,tblMotor[Tasarruf]),0))</f>
        <v/>
      </c>
      <c r="D128" s="15">
        <f>IF($A128="","",IFERROR(INDEX(tblMotor[KararSatir],MATCH($A128,tblMotor[A_Norm],0)),""))</f>
        <v/>
      </c>
      <c r="E128" s="15">
        <f>IF($A128="","",IF(OR($D128="DESİ DÜŞÜR",$D128="TAŞIYICI DEĞİŞTİR"),"YUKSEK","NORMAL"))</f>
        <v/>
      </c>
      <c r="F128" s="15">
        <f>IF($A128="","",_xlfn.TEXTJOIN(" ",TRUE,"Sipariş",$A128,"karar",$D128,"toplam",TEXT($B128,"0.00"),"tasarruf",TEXT($C128,"0.00"),"TL"))</f>
        <v/>
      </c>
    </row>
    <row r="129">
      <c r="A129" s="15">
        <f>IF('ESLESTIRME'!$A129="","",IF('ESLESTIRME'!$G129="tutar_farki",'ESLESTIRME'!$A129,""))</f>
        <v/>
      </c>
      <c r="B129" s="15">
        <f>IF($A129="","",IFERROR(SUMIF(tblMotor[A_Norm],$A129,tblMotor[SiparisToplam]),0))</f>
        <v/>
      </c>
      <c r="C129" s="15">
        <f>IF($A129="","",IFERROR(SUMIF(tblMotor[A_Norm],$A129,tblMotor[Tasarruf]),0))</f>
        <v/>
      </c>
      <c r="D129" s="15">
        <f>IF($A129="","",IFERROR(INDEX(tblMotor[KararSatir],MATCH($A129,tblMotor[A_Norm],0)),""))</f>
        <v/>
      </c>
      <c r="E129" s="15">
        <f>IF($A129="","",IF(OR($D129="DESİ DÜŞÜR",$D129="TAŞIYICI DEĞİŞTİR"),"YUKSEK","NORMAL"))</f>
        <v/>
      </c>
      <c r="F129" s="15">
        <f>IF($A129="","",_xlfn.TEXTJOIN(" ",TRUE,"Sipariş",$A129,"karar",$D129,"toplam",TEXT($B129,"0.00"),"tasarruf",TEXT($C129,"0.00"),"TL"))</f>
        <v/>
      </c>
    </row>
    <row r="130">
      <c r="A130" s="15">
        <f>IF('ESLESTIRME'!$A130="","",IF('ESLESTIRME'!$G130="tutar_farki",'ESLESTIRME'!$A130,""))</f>
        <v/>
      </c>
      <c r="B130" s="15">
        <f>IF($A130="","",IFERROR(SUMIF(tblMotor[A_Norm],$A130,tblMotor[SiparisToplam]),0))</f>
        <v/>
      </c>
      <c r="C130" s="15">
        <f>IF($A130="","",IFERROR(SUMIF(tblMotor[A_Norm],$A130,tblMotor[Tasarruf]),0))</f>
        <v/>
      </c>
      <c r="D130" s="15">
        <f>IF($A130="","",IFERROR(INDEX(tblMotor[KararSatir],MATCH($A130,tblMotor[A_Norm],0)),""))</f>
        <v/>
      </c>
      <c r="E130" s="15">
        <f>IF($A130="","",IF(OR($D130="DESİ DÜŞÜR",$D130="TAŞIYICI DEĞİŞTİR"),"YUKSEK","NORMAL"))</f>
        <v/>
      </c>
      <c r="F130" s="15">
        <f>IF($A130="","",_xlfn.TEXTJOIN(" ",TRUE,"Sipariş",$A130,"karar",$D130,"toplam",TEXT($B130,"0.00"),"tasarruf",TEXT($C130,"0.00"),"TL"))</f>
        <v/>
      </c>
    </row>
    <row r="131">
      <c r="A131" s="15">
        <f>IF('ESLESTIRME'!$A131="","",IF('ESLESTIRME'!$G131="tutar_farki",'ESLESTIRME'!$A131,""))</f>
        <v/>
      </c>
      <c r="B131" s="15">
        <f>IF($A131="","",IFERROR(SUMIF(tblMotor[A_Norm],$A131,tblMotor[SiparisToplam]),0))</f>
        <v/>
      </c>
      <c r="C131" s="15">
        <f>IF($A131="","",IFERROR(SUMIF(tblMotor[A_Norm],$A131,tblMotor[Tasarruf]),0))</f>
        <v/>
      </c>
      <c r="D131" s="15">
        <f>IF($A131="","",IFERROR(INDEX(tblMotor[KararSatir],MATCH($A131,tblMotor[A_Norm],0)),""))</f>
        <v/>
      </c>
      <c r="E131" s="15">
        <f>IF($A131="","",IF(OR($D131="DESİ DÜŞÜR",$D131="TAŞIYICI DEĞİŞTİR"),"YUKSEK","NORMAL"))</f>
        <v/>
      </c>
      <c r="F131" s="15">
        <f>IF($A131="","",_xlfn.TEXTJOIN(" ",TRUE,"Sipariş",$A131,"karar",$D131,"toplam",TEXT($B131,"0.00"),"tasarruf",TEXT($C131,"0.00"),"TL"))</f>
        <v/>
      </c>
    </row>
    <row r="132">
      <c r="A132" s="15">
        <f>IF('ESLESTIRME'!$A132="","",IF('ESLESTIRME'!$G132="tutar_farki",'ESLESTIRME'!$A132,""))</f>
        <v/>
      </c>
      <c r="B132" s="15">
        <f>IF($A132="","",IFERROR(SUMIF(tblMotor[A_Norm],$A132,tblMotor[SiparisToplam]),0))</f>
        <v/>
      </c>
      <c r="C132" s="15">
        <f>IF($A132="","",IFERROR(SUMIF(tblMotor[A_Norm],$A132,tblMotor[Tasarruf]),0))</f>
        <v/>
      </c>
      <c r="D132" s="15">
        <f>IF($A132="","",IFERROR(INDEX(tblMotor[KararSatir],MATCH($A132,tblMotor[A_Norm],0)),""))</f>
        <v/>
      </c>
      <c r="E132" s="15">
        <f>IF($A132="","",IF(OR($D132="DESİ DÜŞÜR",$D132="TAŞIYICI DEĞİŞTİR"),"YUKSEK","NORMAL"))</f>
        <v/>
      </c>
      <c r="F132" s="15">
        <f>IF($A132="","",_xlfn.TEXTJOIN(" ",TRUE,"Sipariş",$A132,"karar",$D132,"toplam",TEXT($B132,"0.00"),"tasarruf",TEXT($C132,"0.00"),"TL"))</f>
        <v/>
      </c>
    </row>
    <row r="133">
      <c r="A133" s="15">
        <f>IF('ESLESTIRME'!$A133="","",IF('ESLESTIRME'!$G133="tutar_farki",'ESLESTIRME'!$A133,""))</f>
        <v/>
      </c>
      <c r="B133" s="15">
        <f>IF($A133="","",IFERROR(SUMIF(tblMotor[A_Norm],$A133,tblMotor[SiparisToplam]),0))</f>
        <v/>
      </c>
      <c r="C133" s="15">
        <f>IF($A133="","",IFERROR(SUMIF(tblMotor[A_Norm],$A133,tblMotor[Tasarruf]),0))</f>
        <v/>
      </c>
      <c r="D133" s="15">
        <f>IF($A133="","",IFERROR(INDEX(tblMotor[KararSatir],MATCH($A133,tblMotor[A_Norm],0)),""))</f>
        <v/>
      </c>
      <c r="E133" s="15">
        <f>IF($A133="","",IF(OR($D133="DESİ DÜŞÜR",$D133="TAŞIYICI DEĞİŞTİR"),"YUKSEK","NORMAL"))</f>
        <v/>
      </c>
      <c r="F133" s="15">
        <f>IF($A133="","",_xlfn.TEXTJOIN(" ",TRUE,"Sipariş",$A133,"karar",$D133,"toplam",TEXT($B133,"0.00"),"tasarruf",TEXT($C133,"0.00"),"TL"))</f>
        <v/>
      </c>
    </row>
    <row r="134">
      <c r="A134" s="15">
        <f>IF('ESLESTIRME'!$A134="","",IF('ESLESTIRME'!$G134="tutar_farki",'ESLESTIRME'!$A134,""))</f>
        <v/>
      </c>
      <c r="B134" s="15">
        <f>IF($A134="","",IFERROR(SUMIF(tblMotor[A_Norm],$A134,tblMotor[SiparisToplam]),0))</f>
        <v/>
      </c>
      <c r="C134" s="15">
        <f>IF($A134="","",IFERROR(SUMIF(tblMotor[A_Norm],$A134,tblMotor[Tasarruf]),0))</f>
        <v/>
      </c>
      <c r="D134" s="15">
        <f>IF($A134="","",IFERROR(INDEX(tblMotor[KararSatir],MATCH($A134,tblMotor[A_Norm],0)),""))</f>
        <v/>
      </c>
      <c r="E134" s="15">
        <f>IF($A134="","",IF(OR($D134="DESİ DÜŞÜR",$D134="TAŞIYICI DEĞİŞTİR"),"YUKSEK","NORMAL"))</f>
        <v/>
      </c>
      <c r="F134" s="15">
        <f>IF($A134="","",_xlfn.TEXTJOIN(" ",TRUE,"Sipariş",$A134,"karar",$D134,"toplam",TEXT($B134,"0.00"),"tasarruf",TEXT($C134,"0.00"),"TL"))</f>
        <v/>
      </c>
    </row>
    <row r="135">
      <c r="A135" s="15">
        <f>IF('ESLESTIRME'!$A135="","",IF('ESLESTIRME'!$G135="tutar_farki",'ESLESTIRME'!$A135,""))</f>
        <v/>
      </c>
      <c r="B135" s="15">
        <f>IF($A135="","",IFERROR(SUMIF(tblMotor[A_Norm],$A135,tblMotor[SiparisToplam]),0))</f>
        <v/>
      </c>
      <c r="C135" s="15">
        <f>IF($A135="","",IFERROR(SUMIF(tblMotor[A_Norm],$A135,tblMotor[Tasarruf]),0))</f>
        <v/>
      </c>
      <c r="D135" s="15">
        <f>IF($A135="","",IFERROR(INDEX(tblMotor[KararSatir],MATCH($A135,tblMotor[A_Norm],0)),""))</f>
        <v/>
      </c>
      <c r="E135" s="15">
        <f>IF($A135="","",IF(OR($D135="DESİ DÜŞÜR",$D135="TAŞIYICI DEĞİŞTİR"),"YUKSEK","NORMAL"))</f>
        <v/>
      </c>
      <c r="F135" s="15">
        <f>IF($A135="","",_xlfn.TEXTJOIN(" ",TRUE,"Sipariş",$A135,"karar",$D135,"toplam",TEXT($B135,"0.00"),"tasarruf",TEXT($C135,"0.00"),"TL"))</f>
        <v/>
      </c>
    </row>
    <row r="136">
      <c r="A136" s="15">
        <f>IF('ESLESTIRME'!$A136="","",IF('ESLESTIRME'!$G136="tutar_farki",'ESLESTIRME'!$A136,""))</f>
        <v/>
      </c>
      <c r="B136" s="15">
        <f>IF($A136="","",IFERROR(SUMIF(tblMotor[A_Norm],$A136,tblMotor[SiparisToplam]),0))</f>
        <v/>
      </c>
      <c r="C136" s="15">
        <f>IF($A136="","",IFERROR(SUMIF(tblMotor[A_Norm],$A136,tblMotor[Tasarruf]),0))</f>
        <v/>
      </c>
      <c r="D136" s="15">
        <f>IF($A136="","",IFERROR(INDEX(tblMotor[KararSatir],MATCH($A136,tblMotor[A_Norm],0)),""))</f>
        <v/>
      </c>
      <c r="E136" s="15">
        <f>IF($A136="","",IF(OR($D136="DESİ DÜŞÜR",$D136="TAŞIYICI DEĞİŞTİR"),"YUKSEK","NORMAL"))</f>
        <v/>
      </c>
      <c r="F136" s="15">
        <f>IF($A136="","",_xlfn.TEXTJOIN(" ",TRUE,"Sipariş",$A136,"karar",$D136,"toplam",TEXT($B136,"0.00"),"tasarruf",TEXT($C136,"0.00"),"TL"))</f>
        <v/>
      </c>
    </row>
    <row r="137">
      <c r="A137" s="15">
        <f>IF('ESLESTIRME'!$A137="","",IF('ESLESTIRME'!$G137="tutar_farki",'ESLESTIRME'!$A137,""))</f>
        <v/>
      </c>
      <c r="B137" s="15">
        <f>IF($A137="","",IFERROR(SUMIF(tblMotor[A_Norm],$A137,tblMotor[SiparisToplam]),0))</f>
        <v/>
      </c>
      <c r="C137" s="15">
        <f>IF($A137="","",IFERROR(SUMIF(tblMotor[A_Norm],$A137,tblMotor[Tasarruf]),0))</f>
        <v/>
      </c>
      <c r="D137" s="15">
        <f>IF($A137="","",IFERROR(INDEX(tblMotor[KararSatir],MATCH($A137,tblMotor[A_Norm],0)),""))</f>
        <v/>
      </c>
      <c r="E137" s="15">
        <f>IF($A137="","",IF(OR($D137="DESİ DÜŞÜR",$D137="TAŞIYICI DEĞİŞTİR"),"YUKSEK","NORMAL"))</f>
        <v/>
      </c>
      <c r="F137" s="15">
        <f>IF($A137="","",_xlfn.TEXTJOIN(" ",TRUE,"Sipariş",$A137,"karar",$D137,"toplam",TEXT($B137,"0.00"),"tasarruf",TEXT($C137,"0.00"),"TL"))</f>
        <v/>
      </c>
    </row>
    <row r="138">
      <c r="A138" s="15">
        <f>IF('ESLESTIRME'!$A138="","",IF('ESLESTIRME'!$G138="tutar_farki",'ESLESTIRME'!$A138,""))</f>
        <v/>
      </c>
      <c r="B138" s="15">
        <f>IF($A138="","",IFERROR(SUMIF(tblMotor[A_Norm],$A138,tblMotor[SiparisToplam]),0))</f>
        <v/>
      </c>
      <c r="C138" s="15">
        <f>IF($A138="","",IFERROR(SUMIF(tblMotor[A_Norm],$A138,tblMotor[Tasarruf]),0))</f>
        <v/>
      </c>
      <c r="D138" s="15">
        <f>IF($A138="","",IFERROR(INDEX(tblMotor[KararSatir],MATCH($A138,tblMotor[A_Norm],0)),""))</f>
        <v/>
      </c>
      <c r="E138" s="15">
        <f>IF($A138="","",IF(OR($D138="DESİ DÜŞÜR",$D138="TAŞIYICI DEĞİŞTİR"),"YUKSEK","NORMAL"))</f>
        <v/>
      </c>
      <c r="F138" s="15">
        <f>IF($A138="","",_xlfn.TEXTJOIN(" ",TRUE,"Sipariş",$A138,"karar",$D138,"toplam",TEXT($B138,"0.00"),"tasarruf",TEXT($C138,"0.00"),"TL"))</f>
        <v/>
      </c>
    </row>
    <row r="139">
      <c r="A139" s="15">
        <f>IF('ESLESTIRME'!$A139="","",IF('ESLESTIRME'!$G139="tutar_farki",'ESLESTIRME'!$A139,""))</f>
        <v/>
      </c>
      <c r="B139" s="15">
        <f>IF($A139="","",IFERROR(SUMIF(tblMotor[A_Norm],$A139,tblMotor[SiparisToplam]),0))</f>
        <v/>
      </c>
      <c r="C139" s="15">
        <f>IF($A139="","",IFERROR(SUMIF(tblMotor[A_Norm],$A139,tblMotor[Tasarruf]),0))</f>
        <v/>
      </c>
      <c r="D139" s="15">
        <f>IF($A139="","",IFERROR(INDEX(tblMotor[KararSatir],MATCH($A139,tblMotor[A_Norm],0)),""))</f>
        <v/>
      </c>
      <c r="E139" s="15">
        <f>IF($A139="","",IF(OR($D139="DESİ DÜŞÜR",$D139="TAŞIYICI DEĞİŞTİR"),"YUKSEK","NORMAL"))</f>
        <v/>
      </c>
      <c r="F139" s="15">
        <f>IF($A139="","",_xlfn.TEXTJOIN(" ",TRUE,"Sipariş",$A139,"karar",$D139,"toplam",TEXT($B139,"0.00"),"tasarruf",TEXT($C139,"0.00"),"TL"))</f>
        <v/>
      </c>
    </row>
    <row r="140">
      <c r="A140" s="15">
        <f>IF('ESLESTIRME'!$A140="","",IF('ESLESTIRME'!$G140="tutar_farki",'ESLESTIRME'!$A140,""))</f>
        <v/>
      </c>
      <c r="B140" s="15">
        <f>IF($A140="","",IFERROR(SUMIF(tblMotor[A_Norm],$A140,tblMotor[SiparisToplam]),0))</f>
        <v/>
      </c>
      <c r="C140" s="15">
        <f>IF($A140="","",IFERROR(SUMIF(tblMotor[A_Norm],$A140,tblMotor[Tasarruf]),0))</f>
        <v/>
      </c>
      <c r="D140" s="15">
        <f>IF($A140="","",IFERROR(INDEX(tblMotor[KararSatir],MATCH($A140,tblMotor[A_Norm],0)),""))</f>
        <v/>
      </c>
      <c r="E140" s="15">
        <f>IF($A140="","",IF(OR($D140="DESİ DÜŞÜR",$D140="TAŞIYICI DEĞİŞTİR"),"YUKSEK","NORMAL"))</f>
        <v/>
      </c>
      <c r="F140" s="15">
        <f>IF($A140="","",_xlfn.TEXTJOIN(" ",TRUE,"Sipariş",$A140,"karar",$D140,"toplam",TEXT($B140,"0.00"),"tasarruf",TEXT($C140,"0.00"),"TL"))</f>
        <v/>
      </c>
    </row>
    <row r="141">
      <c r="A141" s="15">
        <f>IF('ESLESTIRME'!$A141="","",IF('ESLESTIRME'!$G141="tutar_farki",'ESLESTIRME'!$A141,""))</f>
        <v/>
      </c>
      <c r="B141" s="15">
        <f>IF($A141="","",IFERROR(SUMIF(tblMotor[A_Norm],$A141,tblMotor[SiparisToplam]),0))</f>
        <v/>
      </c>
      <c r="C141" s="15">
        <f>IF($A141="","",IFERROR(SUMIF(tblMotor[A_Norm],$A141,tblMotor[Tasarruf]),0))</f>
        <v/>
      </c>
      <c r="D141" s="15">
        <f>IF($A141="","",IFERROR(INDEX(tblMotor[KararSatir],MATCH($A141,tblMotor[A_Norm],0)),""))</f>
        <v/>
      </c>
      <c r="E141" s="15">
        <f>IF($A141="","",IF(OR($D141="DESİ DÜŞÜR",$D141="TAŞIYICI DEĞİŞTİR"),"YUKSEK","NORMAL"))</f>
        <v/>
      </c>
      <c r="F141" s="15">
        <f>IF($A141="","",_xlfn.TEXTJOIN(" ",TRUE,"Sipariş",$A141,"karar",$D141,"toplam",TEXT($B141,"0.00"),"tasarruf",TEXT($C141,"0.00"),"TL"))</f>
        <v/>
      </c>
    </row>
    <row r="142">
      <c r="A142" s="15">
        <f>IF('ESLESTIRME'!$A142="","",IF('ESLESTIRME'!$G142="tutar_farki",'ESLESTIRME'!$A142,""))</f>
        <v/>
      </c>
      <c r="B142" s="15">
        <f>IF($A142="","",IFERROR(SUMIF(tblMotor[A_Norm],$A142,tblMotor[SiparisToplam]),0))</f>
        <v/>
      </c>
      <c r="C142" s="15">
        <f>IF($A142="","",IFERROR(SUMIF(tblMotor[A_Norm],$A142,tblMotor[Tasarruf]),0))</f>
        <v/>
      </c>
      <c r="D142" s="15">
        <f>IF($A142="","",IFERROR(INDEX(tblMotor[KararSatir],MATCH($A142,tblMotor[A_Norm],0)),""))</f>
        <v/>
      </c>
      <c r="E142" s="15">
        <f>IF($A142="","",IF(OR($D142="DESİ DÜŞÜR",$D142="TAŞIYICI DEĞİŞTİR"),"YUKSEK","NORMAL"))</f>
        <v/>
      </c>
      <c r="F142" s="15">
        <f>IF($A142="","",_xlfn.TEXTJOIN(" ",TRUE,"Sipariş",$A142,"karar",$D142,"toplam",TEXT($B142,"0.00"),"tasarruf",TEXT($C142,"0.00"),"TL"))</f>
        <v/>
      </c>
    </row>
    <row r="143">
      <c r="A143" s="15">
        <f>IF('ESLESTIRME'!$A143="","",IF('ESLESTIRME'!$G143="tutar_farki",'ESLESTIRME'!$A143,""))</f>
        <v/>
      </c>
      <c r="B143" s="15">
        <f>IF($A143="","",IFERROR(SUMIF(tblMotor[A_Norm],$A143,tblMotor[SiparisToplam]),0))</f>
        <v/>
      </c>
      <c r="C143" s="15">
        <f>IF($A143="","",IFERROR(SUMIF(tblMotor[A_Norm],$A143,tblMotor[Tasarruf]),0))</f>
        <v/>
      </c>
      <c r="D143" s="15">
        <f>IF($A143="","",IFERROR(INDEX(tblMotor[KararSatir],MATCH($A143,tblMotor[A_Norm],0)),""))</f>
        <v/>
      </c>
      <c r="E143" s="15">
        <f>IF($A143="","",IF(OR($D143="DESİ DÜŞÜR",$D143="TAŞIYICI DEĞİŞTİR"),"YUKSEK","NORMAL"))</f>
        <v/>
      </c>
      <c r="F143" s="15">
        <f>IF($A143="","",_xlfn.TEXTJOIN(" ",TRUE,"Sipariş",$A143,"karar",$D143,"toplam",TEXT($B143,"0.00"),"tasarruf",TEXT($C143,"0.00"),"TL"))</f>
        <v/>
      </c>
    </row>
    <row r="144">
      <c r="A144" s="15">
        <f>IF('ESLESTIRME'!$A144="","",IF('ESLESTIRME'!$G144="tutar_farki",'ESLESTIRME'!$A144,""))</f>
        <v/>
      </c>
      <c r="B144" s="15">
        <f>IF($A144="","",IFERROR(SUMIF(tblMotor[A_Norm],$A144,tblMotor[SiparisToplam]),0))</f>
        <v/>
      </c>
      <c r="C144" s="15">
        <f>IF($A144="","",IFERROR(SUMIF(tblMotor[A_Norm],$A144,tblMotor[Tasarruf]),0))</f>
        <v/>
      </c>
      <c r="D144" s="15">
        <f>IF($A144="","",IFERROR(INDEX(tblMotor[KararSatir],MATCH($A144,tblMotor[A_Norm],0)),""))</f>
        <v/>
      </c>
      <c r="E144" s="15">
        <f>IF($A144="","",IF(OR($D144="DESİ DÜŞÜR",$D144="TAŞIYICI DEĞİŞTİR"),"YUKSEK","NORMAL"))</f>
        <v/>
      </c>
      <c r="F144" s="15">
        <f>IF($A144="","",_xlfn.TEXTJOIN(" ",TRUE,"Sipariş",$A144,"karar",$D144,"toplam",TEXT($B144,"0.00"),"tasarruf",TEXT($C144,"0.00"),"TL"))</f>
        <v/>
      </c>
    </row>
    <row r="145">
      <c r="A145" s="15">
        <f>IF('ESLESTIRME'!$A145="","",IF('ESLESTIRME'!$G145="tutar_farki",'ESLESTIRME'!$A145,""))</f>
        <v/>
      </c>
      <c r="B145" s="15">
        <f>IF($A145="","",IFERROR(SUMIF(tblMotor[A_Norm],$A145,tblMotor[SiparisToplam]),0))</f>
        <v/>
      </c>
      <c r="C145" s="15">
        <f>IF($A145="","",IFERROR(SUMIF(tblMotor[A_Norm],$A145,tblMotor[Tasarruf]),0))</f>
        <v/>
      </c>
      <c r="D145" s="15">
        <f>IF($A145="","",IFERROR(INDEX(tblMotor[KararSatir],MATCH($A145,tblMotor[A_Norm],0)),""))</f>
        <v/>
      </c>
      <c r="E145" s="15">
        <f>IF($A145="","",IF(OR($D145="DESİ DÜŞÜR",$D145="TAŞIYICI DEĞİŞTİR"),"YUKSEK","NORMAL"))</f>
        <v/>
      </c>
      <c r="F145" s="15">
        <f>IF($A145="","",_xlfn.TEXTJOIN(" ",TRUE,"Sipariş",$A145,"karar",$D145,"toplam",TEXT($B145,"0.00"),"tasarruf",TEXT($C145,"0.00"),"TL"))</f>
        <v/>
      </c>
    </row>
    <row r="146">
      <c r="A146" s="15">
        <f>IF('ESLESTIRME'!$A146="","",IF('ESLESTIRME'!$G146="tutar_farki",'ESLESTIRME'!$A146,""))</f>
        <v/>
      </c>
      <c r="B146" s="15">
        <f>IF($A146="","",IFERROR(SUMIF(tblMotor[A_Norm],$A146,tblMotor[SiparisToplam]),0))</f>
        <v/>
      </c>
      <c r="C146" s="15">
        <f>IF($A146="","",IFERROR(SUMIF(tblMotor[A_Norm],$A146,tblMotor[Tasarruf]),0))</f>
        <v/>
      </c>
      <c r="D146" s="15">
        <f>IF($A146="","",IFERROR(INDEX(tblMotor[KararSatir],MATCH($A146,tblMotor[A_Norm],0)),""))</f>
        <v/>
      </c>
      <c r="E146" s="15">
        <f>IF($A146="","",IF(OR($D146="DESİ DÜŞÜR",$D146="TAŞIYICI DEĞİŞTİR"),"YUKSEK","NORMAL"))</f>
        <v/>
      </c>
      <c r="F146" s="15">
        <f>IF($A146="","",_xlfn.TEXTJOIN(" ",TRUE,"Sipariş",$A146,"karar",$D146,"toplam",TEXT($B146,"0.00"),"tasarruf",TEXT($C146,"0.00"),"TL"))</f>
        <v/>
      </c>
    </row>
    <row r="147">
      <c r="A147" s="15">
        <f>IF('ESLESTIRME'!$A147="","",IF('ESLESTIRME'!$G147="tutar_farki",'ESLESTIRME'!$A147,""))</f>
        <v/>
      </c>
      <c r="B147" s="15">
        <f>IF($A147="","",IFERROR(SUMIF(tblMotor[A_Norm],$A147,tblMotor[SiparisToplam]),0))</f>
        <v/>
      </c>
      <c r="C147" s="15">
        <f>IF($A147="","",IFERROR(SUMIF(tblMotor[A_Norm],$A147,tblMotor[Tasarruf]),0))</f>
        <v/>
      </c>
      <c r="D147" s="15">
        <f>IF($A147="","",IFERROR(INDEX(tblMotor[KararSatir],MATCH($A147,tblMotor[A_Norm],0)),""))</f>
        <v/>
      </c>
      <c r="E147" s="15">
        <f>IF($A147="","",IF(OR($D147="DESİ DÜŞÜR",$D147="TAŞIYICI DEĞİŞTİR"),"YUKSEK","NORMAL"))</f>
        <v/>
      </c>
      <c r="F147" s="15">
        <f>IF($A147="","",_xlfn.TEXTJOIN(" ",TRUE,"Sipariş",$A147,"karar",$D147,"toplam",TEXT($B147,"0.00"),"tasarruf",TEXT($C147,"0.00"),"TL"))</f>
        <v/>
      </c>
    </row>
    <row r="148">
      <c r="A148" s="15">
        <f>IF('ESLESTIRME'!$A148="","",IF('ESLESTIRME'!$G148="tutar_farki",'ESLESTIRME'!$A148,""))</f>
        <v/>
      </c>
      <c r="B148" s="15">
        <f>IF($A148="","",IFERROR(SUMIF(tblMotor[A_Norm],$A148,tblMotor[SiparisToplam]),0))</f>
        <v/>
      </c>
      <c r="C148" s="15">
        <f>IF($A148="","",IFERROR(SUMIF(tblMotor[A_Norm],$A148,tblMotor[Tasarruf]),0))</f>
        <v/>
      </c>
      <c r="D148" s="15">
        <f>IF($A148="","",IFERROR(INDEX(tblMotor[KararSatir],MATCH($A148,tblMotor[A_Norm],0)),""))</f>
        <v/>
      </c>
      <c r="E148" s="15">
        <f>IF($A148="","",IF(OR($D148="DESİ DÜŞÜR",$D148="TAŞIYICI DEĞİŞTİR"),"YUKSEK","NORMAL"))</f>
        <v/>
      </c>
      <c r="F148" s="15">
        <f>IF($A148="","",_xlfn.TEXTJOIN(" ",TRUE,"Sipariş",$A148,"karar",$D148,"toplam",TEXT($B148,"0.00"),"tasarruf",TEXT($C148,"0.00"),"TL"))</f>
        <v/>
      </c>
    </row>
    <row r="149">
      <c r="A149" s="15">
        <f>IF('ESLESTIRME'!$A149="","",IF('ESLESTIRME'!$G149="tutar_farki",'ESLESTIRME'!$A149,""))</f>
        <v/>
      </c>
      <c r="B149" s="15">
        <f>IF($A149="","",IFERROR(SUMIF(tblMotor[A_Norm],$A149,tblMotor[SiparisToplam]),0))</f>
        <v/>
      </c>
      <c r="C149" s="15">
        <f>IF($A149="","",IFERROR(SUMIF(tblMotor[A_Norm],$A149,tblMotor[Tasarruf]),0))</f>
        <v/>
      </c>
      <c r="D149" s="15">
        <f>IF($A149="","",IFERROR(INDEX(tblMotor[KararSatir],MATCH($A149,tblMotor[A_Norm],0)),""))</f>
        <v/>
      </c>
      <c r="E149" s="15">
        <f>IF($A149="","",IF(OR($D149="DESİ DÜŞÜR",$D149="TAŞIYICI DEĞİŞTİR"),"YUKSEK","NORMAL"))</f>
        <v/>
      </c>
      <c r="F149" s="15">
        <f>IF($A149="","",_xlfn.TEXTJOIN(" ",TRUE,"Sipariş",$A149,"karar",$D149,"toplam",TEXT($B149,"0.00"),"tasarruf",TEXT($C149,"0.00"),"TL"))</f>
        <v/>
      </c>
    </row>
    <row r="150">
      <c r="A150" s="15">
        <f>IF('ESLESTIRME'!$A150="","",IF('ESLESTIRME'!$G150="tutar_farki",'ESLESTIRME'!$A150,""))</f>
        <v/>
      </c>
      <c r="B150" s="15">
        <f>IF($A150="","",IFERROR(SUMIF(tblMotor[A_Norm],$A150,tblMotor[SiparisToplam]),0))</f>
        <v/>
      </c>
      <c r="C150" s="15">
        <f>IF($A150="","",IFERROR(SUMIF(tblMotor[A_Norm],$A150,tblMotor[Tasarruf]),0))</f>
        <v/>
      </c>
      <c r="D150" s="15">
        <f>IF($A150="","",IFERROR(INDEX(tblMotor[KararSatir],MATCH($A150,tblMotor[A_Norm],0)),""))</f>
        <v/>
      </c>
      <c r="E150" s="15">
        <f>IF($A150="","",IF(OR($D150="DESİ DÜŞÜR",$D150="TAŞIYICI DEĞİŞTİR"),"YUKSEK","NORMAL"))</f>
        <v/>
      </c>
      <c r="F150" s="15">
        <f>IF($A150="","",_xlfn.TEXTJOIN(" ",TRUE,"Sipariş",$A150,"karar",$D150,"toplam",TEXT($B150,"0.00"),"tasarruf",TEXT($C150,"0.00"),"TL"))</f>
        <v/>
      </c>
    </row>
    <row r="151">
      <c r="A151" s="15">
        <f>IF('ESLESTIRME'!$A151="","",IF('ESLESTIRME'!$G151="tutar_farki",'ESLESTIRME'!$A151,""))</f>
        <v/>
      </c>
      <c r="B151" s="15">
        <f>IF($A151="","",IFERROR(SUMIF(tblMotor[A_Norm],$A151,tblMotor[SiparisToplam]),0))</f>
        <v/>
      </c>
      <c r="C151" s="15">
        <f>IF($A151="","",IFERROR(SUMIF(tblMotor[A_Norm],$A151,tblMotor[Tasarruf]),0))</f>
        <v/>
      </c>
      <c r="D151" s="15">
        <f>IF($A151="","",IFERROR(INDEX(tblMotor[KararSatir],MATCH($A151,tblMotor[A_Norm],0)),""))</f>
        <v/>
      </c>
      <c r="E151" s="15">
        <f>IF($A151="","",IF(OR($D151="DESİ DÜŞÜR",$D151="TAŞIYICI DEĞİŞTİR"),"YUKSEK","NORMAL"))</f>
        <v/>
      </c>
      <c r="F151" s="15">
        <f>IF($A151="","",_xlfn.TEXTJOIN(" ",TRUE,"Sipariş",$A151,"karar",$D151,"toplam",TEXT($B151,"0.00"),"tasarruf",TEXT($C151,"0.00"),"TL"))</f>
        <v/>
      </c>
    </row>
    <row r="152">
      <c r="A152" s="15">
        <f>IF('ESLESTIRME'!$A152="","",IF('ESLESTIRME'!$G152="tutar_farki",'ESLESTIRME'!$A152,""))</f>
        <v/>
      </c>
      <c r="B152" s="15">
        <f>IF($A152="","",IFERROR(SUMIF(tblMotor[A_Norm],$A152,tblMotor[SiparisToplam]),0))</f>
        <v/>
      </c>
      <c r="C152" s="15">
        <f>IF($A152="","",IFERROR(SUMIF(tblMotor[A_Norm],$A152,tblMotor[Tasarruf]),0))</f>
        <v/>
      </c>
      <c r="D152" s="15">
        <f>IF($A152="","",IFERROR(INDEX(tblMotor[KararSatir],MATCH($A152,tblMotor[A_Norm],0)),""))</f>
        <v/>
      </c>
      <c r="E152" s="15">
        <f>IF($A152="","",IF(OR($D152="DESİ DÜŞÜR",$D152="TAŞIYICI DEĞİŞTİR"),"YUKSEK","NORMAL"))</f>
        <v/>
      </c>
      <c r="F152" s="15">
        <f>IF($A152="","",_xlfn.TEXTJOIN(" ",TRUE,"Sipariş",$A152,"karar",$D152,"toplam",TEXT($B152,"0.00"),"tasarruf",TEXT($C152,"0.00"),"TL"))</f>
        <v/>
      </c>
    </row>
    <row r="153">
      <c r="A153" s="15">
        <f>IF('ESLESTIRME'!$A153="","",IF('ESLESTIRME'!$G153="tutar_farki",'ESLESTIRME'!$A153,""))</f>
        <v/>
      </c>
      <c r="B153" s="15">
        <f>IF($A153="","",IFERROR(SUMIF(tblMotor[A_Norm],$A153,tblMotor[SiparisToplam]),0))</f>
        <v/>
      </c>
      <c r="C153" s="15">
        <f>IF($A153="","",IFERROR(SUMIF(tblMotor[A_Norm],$A153,tblMotor[Tasarruf]),0))</f>
        <v/>
      </c>
      <c r="D153" s="15">
        <f>IF($A153="","",IFERROR(INDEX(tblMotor[KararSatir],MATCH($A153,tblMotor[A_Norm],0)),""))</f>
        <v/>
      </c>
      <c r="E153" s="15">
        <f>IF($A153="","",IF(OR($D153="DESİ DÜŞÜR",$D153="TAŞIYICI DEĞİŞTİR"),"YUKSEK","NORMAL"))</f>
        <v/>
      </c>
      <c r="F153" s="15">
        <f>IF($A153="","",_xlfn.TEXTJOIN(" ",TRUE,"Sipariş",$A153,"karar",$D153,"toplam",TEXT($B153,"0.00"),"tasarruf",TEXT($C153,"0.00"),"TL"))</f>
        <v/>
      </c>
    </row>
    <row r="154">
      <c r="A154" s="15">
        <f>IF('ESLESTIRME'!$A154="","",IF('ESLESTIRME'!$G154="tutar_farki",'ESLESTIRME'!$A154,""))</f>
        <v/>
      </c>
      <c r="B154" s="15">
        <f>IF($A154="","",IFERROR(SUMIF(tblMotor[A_Norm],$A154,tblMotor[SiparisToplam]),0))</f>
        <v/>
      </c>
      <c r="C154" s="15">
        <f>IF($A154="","",IFERROR(SUMIF(tblMotor[A_Norm],$A154,tblMotor[Tasarruf]),0))</f>
        <v/>
      </c>
      <c r="D154" s="15">
        <f>IF($A154="","",IFERROR(INDEX(tblMotor[KararSatir],MATCH($A154,tblMotor[A_Norm],0)),""))</f>
        <v/>
      </c>
      <c r="E154" s="15">
        <f>IF($A154="","",IF(OR($D154="DESİ DÜŞÜR",$D154="TAŞIYICI DEĞİŞTİR"),"YUKSEK","NORMAL"))</f>
        <v/>
      </c>
      <c r="F154" s="15">
        <f>IF($A154="","",_xlfn.TEXTJOIN(" ",TRUE,"Sipariş",$A154,"karar",$D154,"toplam",TEXT($B154,"0.00"),"tasarruf",TEXT($C154,"0.00"),"TL"))</f>
        <v/>
      </c>
    </row>
    <row r="155">
      <c r="A155" s="15">
        <f>IF('ESLESTIRME'!$A155="","",IF('ESLESTIRME'!$G155="tutar_farki",'ESLESTIRME'!$A155,""))</f>
        <v/>
      </c>
      <c r="B155" s="15">
        <f>IF($A155="","",IFERROR(SUMIF(tblMotor[A_Norm],$A155,tblMotor[SiparisToplam]),0))</f>
        <v/>
      </c>
      <c r="C155" s="15">
        <f>IF($A155="","",IFERROR(SUMIF(tblMotor[A_Norm],$A155,tblMotor[Tasarruf]),0))</f>
        <v/>
      </c>
      <c r="D155" s="15">
        <f>IF($A155="","",IFERROR(INDEX(tblMotor[KararSatir],MATCH($A155,tblMotor[A_Norm],0)),""))</f>
        <v/>
      </c>
      <c r="E155" s="15">
        <f>IF($A155="","",IF(OR($D155="DESİ DÜŞÜR",$D155="TAŞIYICI DEĞİŞTİR"),"YUKSEK","NORMAL"))</f>
        <v/>
      </c>
      <c r="F155" s="15">
        <f>IF($A155="","",_xlfn.TEXTJOIN(" ",TRUE,"Sipariş",$A155,"karar",$D155,"toplam",TEXT($B155,"0.00"),"tasarruf",TEXT($C155,"0.00"),"TL"))</f>
        <v/>
      </c>
    </row>
    <row r="156">
      <c r="A156" s="15">
        <f>IF('ESLESTIRME'!$A156="","",IF('ESLESTIRME'!$G156="tutar_farki",'ESLESTIRME'!$A156,""))</f>
        <v/>
      </c>
      <c r="B156" s="15">
        <f>IF($A156="","",IFERROR(SUMIF(tblMotor[A_Norm],$A156,tblMotor[SiparisToplam]),0))</f>
        <v/>
      </c>
      <c r="C156" s="15">
        <f>IF($A156="","",IFERROR(SUMIF(tblMotor[A_Norm],$A156,tblMotor[Tasarruf]),0))</f>
        <v/>
      </c>
      <c r="D156" s="15">
        <f>IF($A156="","",IFERROR(INDEX(tblMotor[KararSatir],MATCH($A156,tblMotor[A_Norm],0)),""))</f>
        <v/>
      </c>
      <c r="E156" s="15">
        <f>IF($A156="","",IF(OR($D156="DESİ DÜŞÜR",$D156="TAŞIYICI DEĞİŞTİR"),"YUKSEK","NORMAL"))</f>
        <v/>
      </c>
      <c r="F156" s="15">
        <f>IF($A156="","",_xlfn.TEXTJOIN(" ",TRUE,"Sipariş",$A156,"karar",$D156,"toplam",TEXT($B156,"0.00"),"tasarruf",TEXT($C156,"0.00"),"TL"))</f>
        <v/>
      </c>
    </row>
    <row r="157">
      <c r="A157" s="15">
        <f>IF('ESLESTIRME'!$A157="","",IF('ESLESTIRME'!$G157="tutar_farki",'ESLESTIRME'!$A157,""))</f>
        <v/>
      </c>
      <c r="B157" s="15">
        <f>IF($A157="","",IFERROR(SUMIF(tblMotor[A_Norm],$A157,tblMotor[SiparisToplam]),0))</f>
        <v/>
      </c>
      <c r="C157" s="15">
        <f>IF($A157="","",IFERROR(SUMIF(tblMotor[A_Norm],$A157,tblMotor[Tasarruf]),0))</f>
        <v/>
      </c>
      <c r="D157" s="15">
        <f>IF($A157="","",IFERROR(INDEX(tblMotor[KararSatir],MATCH($A157,tblMotor[A_Norm],0)),""))</f>
        <v/>
      </c>
      <c r="E157" s="15">
        <f>IF($A157="","",IF(OR($D157="DESİ DÜŞÜR",$D157="TAŞIYICI DEĞİŞTİR"),"YUKSEK","NORMAL"))</f>
        <v/>
      </c>
      <c r="F157" s="15">
        <f>IF($A157="","",_xlfn.TEXTJOIN(" ",TRUE,"Sipariş",$A157,"karar",$D157,"toplam",TEXT($B157,"0.00"),"tasarruf",TEXT($C157,"0.00"),"TL"))</f>
        <v/>
      </c>
    </row>
    <row r="158">
      <c r="A158" s="15">
        <f>IF('ESLESTIRME'!$A158="","",IF('ESLESTIRME'!$G158="tutar_farki",'ESLESTIRME'!$A158,""))</f>
        <v/>
      </c>
      <c r="B158" s="15">
        <f>IF($A158="","",IFERROR(SUMIF(tblMotor[A_Norm],$A158,tblMotor[SiparisToplam]),0))</f>
        <v/>
      </c>
      <c r="C158" s="15">
        <f>IF($A158="","",IFERROR(SUMIF(tblMotor[A_Norm],$A158,tblMotor[Tasarruf]),0))</f>
        <v/>
      </c>
      <c r="D158" s="15">
        <f>IF($A158="","",IFERROR(INDEX(tblMotor[KararSatir],MATCH($A158,tblMotor[A_Norm],0)),""))</f>
        <v/>
      </c>
      <c r="E158" s="15">
        <f>IF($A158="","",IF(OR($D158="DESİ DÜŞÜR",$D158="TAŞIYICI DEĞİŞTİR"),"YUKSEK","NORMAL"))</f>
        <v/>
      </c>
      <c r="F158" s="15">
        <f>IF($A158="","",_xlfn.TEXTJOIN(" ",TRUE,"Sipariş",$A158,"karar",$D158,"toplam",TEXT($B158,"0.00"),"tasarruf",TEXT($C158,"0.00"),"TL"))</f>
        <v/>
      </c>
    </row>
    <row r="159">
      <c r="A159" s="15">
        <f>IF('ESLESTIRME'!$A159="","",IF('ESLESTIRME'!$G159="tutar_farki",'ESLESTIRME'!$A159,""))</f>
        <v/>
      </c>
      <c r="B159" s="15">
        <f>IF($A159="","",IFERROR(SUMIF(tblMotor[A_Norm],$A159,tblMotor[SiparisToplam]),0))</f>
        <v/>
      </c>
      <c r="C159" s="15">
        <f>IF($A159="","",IFERROR(SUMIF(tblMotor[A_Norm],$A159,tblMotor[Tasarruf]),0))</f>
        <v/>
      </c>
      <c r="D159" s="15">
        <f>IF($A159="","",IFERROR(INDEX(tblMotor[KararSatir],MATCH($A159,tblMotor[A_Norm],0)),""))</f>
        <v/>
      </c>
      <c r="E159" s="15">
        <f>IF($A159="","",IF(OR($D159="DESİ DÜŞÜR",$D159="TAŞIYICI DEĞİŞTİR"),"YUKSEK","NORMAL"))</f>
        <v/>
      </c>
      <c r="F159" s="15">
        <f>IF($A159="","",_xlfn.TEXTJOIN(" ",TRUE,"Sipariş",$A159,"karar",$D159,"toplam",TEXT($B159,"0.00"),"tasarruf",TEXT($C159,"0.00"),"TL"))</f>
        <v/>
      </c>
    </row>
    <row r="160">
      <c r="A160" s="15">
        <f>IF('ESLESTIRME'!$A160="","",IF('ESLESTIRME'!$G160="tutar_farki",'ESLESTIRME'!$A160,""))</f>
        <v/>
      </c>
      <c r="B160" s="15">
        <f>IF($A160="","",IFERROR(SUMIF(tblMotor[A_Norm],$A160,tblMotor[SiparisToplam]),0))</f>
        <v/>
      </c>
      <c r="C160" s="15">
        <f>IF($A160="","",IFERROR(SUMIF(tblMotor[A_Norm],$A160,tblMotor[Tasarruf]),0))</f>
        <v/>
      </c>
      <c r="D160" s="15">
        <f>IF($A160="","",IFERROR(INDEX(tblMotor[KararSatir],MATCH($A160,tblMotor[A_Norm],0)),""))</f>
        <v/>
      </c>
      <c r="E160" s="15">
        <f>IF($A160="","",IF(OR($D160="DESİ DÜŞÜR",$D160="TAŞIYICI DEĞİŞTİR"),"YUKSEK","NORMAL"))</f>
        <v/>
      </c>
      <c r="F160" s="15">
        <f>IF($A160="","",_xlfn.TEXTJOIN(" ",TRUE,"Sipariş",$A160,"karar",$D160,"toplam",TEXT($B160,"0.00"),"tasarruf",TEXT($C160,"0.00"),"TL"))</f>
        <v/>
      </c>
    </row>
    <row r="161">
      <c r="A161" s="15">
        <f>IF('ESLESTIRME'!$A161="","",IF('ESLESTIRME'!$G161="tutar_farki",'ESLESTIRME'!$A161,""))</f>
        <v/>
      </c>
      <c r="B161" s="15">
        <f>IF($A161="","",IFERROR(SUMIF(tblMotor[A_Norm],$A161,tblMotor[SiparisToplam]),0))</f>
        <v/>
      </c>
      <c r="C161" s="15">
        <f>IF($A161="","",IFERROR(SUMIF(tblMotor[A_Norm],$A161,tblMotor[Tasarruf]),0))</f>
        <v/>
      </c>
      <c r="D161" s="15">
        <f>IF($A161="","",IFERROR(INDEX(tblMotor[KararSatir],MATCH($A161,tblMotor[A_Norm],0)),""))</f>
        <v/>
      </c>
      <c r="E161" s="15">
        <f>IF($A161="","",IF(OR($D161="DESİ DÜŞÜR",$D161="TAŞIYICI DEĞİŞTİR"),"YUKSEK","NORMAL"))</f>
        <v/>
      </c>
      <c r="F161" s="15">
        <f>IF($A161="","",_xlfn.TEXTJOIN(" ",TRUE,"Sipariş",$A161,"karar",$D161,"toplam",TEXT($B161,"0.00"),"tasarruf",TEXT($C161,"0.00"),"TL"))</f>
        <v/>
      </c>
    </row>
    <row r="162">
      <c r="A162" s="15">
        <f>IF('ESLESTIRME'!$A162="","",IF('ESLESTIRME'!$G162="tutar_farki",'ESLESTIRME'!$A162,""))</f>
        <v/>
      </c>
      <c r="B162" s="15">
        <f>IF($A162="","",IFERROR(SUMIF(tblMotor[A_Norm],$A162,tblMotor[SiparisToplam]),0))</f>
        <v/>
      </c>
      <c r="C162" s="15">
        <f>IF($A162="","",IFERROR(SUMIF(tblMotor[A_Norm],$A162,tblMotor[Tasarruf]),0))</f>
        <v/>
      </c>
      <c r="D162" s="15">
        <f>IF($A162="","",IFERROR(INDEX(tblMotor[KararSatir],MATCH($A162,tblMotor[A_Norm],0)),""))</f>
        <v/>
      </c>
      <c r="E162" s="15">
        <f>IF($A162="","",IF(OR($D162="DESİ DÜŞÜR",$D162="TAŞIYICI DEĞİŞTİR"),"YUKSEK","NORMAL"))</f>
        <v/>
      </c>
      <c r="F162" s="15">
        <f>IF($A162="","",_xlfn.TEXTJOIN(" ",TRUE,"Sipariş",$A162,"karar",$D162,"toplam",TEXT($B162,"0.00"),"tasarruf",TEXT($C162,"0.00"),"TL"))</f>
        <v/>
      </c>
    </row>
    <row r="163">
      <c r="A163" s="15">
        <f>IF('ESLESTIRME'!$A163="","",IF('ESLESTIRME'!$G163="tutar_farki",'ESLESTIRME'!$A163,""))</f>
        <v/>
      </c>
      <c r="B163" s="15">
        <f>IF($A163="","",IFERROR(SUMIF(tblMotor[A_Norm],$A163,tblMotor[SiparisToplam]),0))</f>
        <v/>
      </c>
      <c r="C163" s="15">
        <f>IF($A163="","",IFERROR(SUMIF(tblMotor[A_Norm],$A163,tblMotor[Tasarruf]),0))</f>
        <v/>
      </c>
      <c r="D163" s="15">
        <f>IF($A163="","",IFERROR(INDEX(tblMotor[KararSatir],MATCH($A163,tblMotor[A_Norm],0)),""))</f>
        <v/>
      </c>
      <c r="E163" s="15">
        <f>IF($A163="","",IF(OR($D163="DESİ DÜŞÜR",$D163="TAŞIYICI DEĞİŞTİR"),"YUKSEK","NORMAL"))</f>
        <v/>
      </c>
      <c r="F163" s="15">
        <f>IF($A163="","",_xlfn.TEXTJOIN(" ",TRUE,"Sipariş",$A163,"karar",$D163,"toplam",TEXT($B163,"0.00"),"tasarruf",TEXT($C163,"0.00"),"TL"))</f>
        <v/>
      </c>
    </row>
    <row r="164">
      <c r="A164" s="15">
        <f>IF('ESLESTIRME'!$A164="","",IF('ESLESTIRME'!$G164="tutar_farki",'ESLESTIRME'!$A164,""))</f>
        <v/>
      </c>
      <c r="B164" s="15">
        <f>IF($A164="","",IFERROR(SUMIF(tblMotor[A_Norm],$A164,tblMotor[SiparisToplam]),0))</f>
        <v/>
      </c>
      <c r="C164" s="15">
        <f>IF($A164="","",IFERROR(SUMIF(tblMotor[A_Norm],$A164,tblMotor[Tasarruf]),0))</f>
        <v/>
      </c>
      <c r="D164" s="15">
        <f>IF($A164="","",IFERROR(INDEX(tblMotor[KararSatir],MATCH($A164,tblMotor[A_Norm],0)),""))</f>
        <v/>
      </c>
      <c r="E164" s="15">
        <f>IF($A164="","",IF(OR($D164="DESİ DÜŞÜR",$D164="TAŞIYICI DEĞİŞTİR"),"YUKSEK","NORMAL"))</f>
        <v/>
      </c>
      <c r="F164" s="15">
        <f>IF($A164="","",_xlfn.TEXTJOIN(" ",TRUE,"Sipariş",$A164,"karar",$D164,"toplam",TEXT($B164,"0.00"),"tasarruf",TEXT($C164,"0.00"),"TL"))</f>
        <v/>
      </c>
    </row>
    <row r="165">
      <c r="A165" s="15">
        <f>IF('ESLESTIRME'!$A165="","",IF('ESLESTIRME'!$G165="tutar_farki",'ESLESTIRME'!$A165,""))</f>
        <v/>
      </c>
      <c r="B165" s="15">
        <f>IF($A165="","",IFERROR(SUMIF(tblMotor[A_Norm],$A165,tblMotor[SiparisToplam]),0))</f>
        <v/>
      </c>
      <c r="C165" s="15">
        <f>IF($A165="","",IFERROR(SUMIF(tblMotor[A_Norm],$A165,tblMotor[Tasarruf]),0))</f>
        <v/>
      </c>
      <c r="D165" s="15">
        <f>IF($A165="","",IFERROR(INDEX(tblMotor[KararSatir],MATCH($A165,tblMotor[A_Norm],0)),""))</f>
        <v/>
      </c>
      <c r="E165" s="15">
        <f>IF($A165="","",IF(OR($D165="DESİ DÜŞÜR",$D165="TAŞIYICI DEĞİŞTİR"),"YUKSEK","NORMAL"))</f>
        <v/>
      </c>
      <c r="F165" s="15">
        <f>IF($A165="","",_xlfn.TEXTJOIN(" ",TRUE,"Sipariş",$A165,"karar",$D165,"toplam",TEXT($B165,"0.00"),"tasarruf",TEXT($C165,"0.00"),"TL"))</f>
        <v/>
      </c>
    </row>
    <row r="166">
      <c r="A166" s="15">
        <f>IF('ESLESTIRME'!$A166="","",IF('ESLESTIRME'!$G166="tutar_farki",'ESLESTIRME'!$A166,""))</f>
        <v/>
      </c>
      <c r="B166" s="15">
        <f>IF($A166="","",IFERROR(SUMIF(tblMotor[A_Norm],$A166,tblMotor[SiparisToplam]),0))</f>
        <v/>
      </c>
      <c r="C166" s="15">
        <f>IF($A166="","",IFERROR(SUMIF(tblMotor[A_Norm],$A166,tblMotor[Tasarruf]),0))</f>
        <v/>
      </c>
      <c r="D166" s="15">
        <f>IF($A166="","",IFERROR(INDEX(tblMotor[KararSatir],MATCH($A166,tblMotor[A_Norm],0)),""))</f>
        <v/>
      </c>
      <c r="E166" s="15">
        <f>IF($A166="","",IF(OR($D166="DESİ DÜŞÜR",$D166="TAŞIYICI DEĞİŞTİR"),"YUKSEK","NORMAL"))</f>
        <v/>
      </c>
      <c r="F166" s="15">
        <f>IF($A166="","",_xlfn.TEXTJOIN(" ",TRUE,"Sipariş",$A166,"karar",$D166,"toplam",TEXT($B166,"0.00"),"tasarruf",TEXT($C166,"0.00"),"TL"))</f>
        <v/>
      </c>
    </row>
    <row r="167">
      <c r="A167" s="15">
        <f>IF('ESLESTIRME'!$A167="","",IF('ESLESTIRME'!$G167="tutar_farki",'ESLESTIRME'!$A167,""))</f>
        <v/>
      </c>
      <c r="B167" s="15">
        <f>IF($A167="","",IFERROR(SUMIF(tblMotor[A_Norm],$A167,tblMotor[SiparisToplam]),0))</f>
        <v/>
      </c>
      <c r="C167" s="15">
        <f>IF($A167="","",IFERROR(SUMIF(tblMotor[A_Norm],$A167,tblMotor[Tasarruf]),0))</f>
        <v/>
      </c>
      <c r="D167" s="15">
        <f>IF($A167="","",IFERROR(INDEX(tblMotor[KararSatir],MATCH($A167,tblMotor[A_Norm],0)),""))</f>
        <v/>
      </c>
      <c r="E167" s="15">
        <f>IF($A167="","",IF(OR($D167="DESİ DÜŞÜR",$D167="TAŞIYICI DEĞİŞTİR"),"YUKSEK","NORMAL"))</f>
        <v/>
      </c>
      <c r="F167" s="15">
        <f>IF($A167="","",_xlfn.TEXTJOIN(" ",TRUE,"Sipariş",$A167,"karar",$D167,"toplam",TEXT($B167,"0.00"),"tasarruf",TEXT($C167,"0.00"),"TL"))</f>
        <v/>
      </c>
    </row>
    <row r="168">
      <c r="A168" s="15">
        <f>IF('ESLESTIRME'!$A168="","",IF('ESLESTIRME'!$G168="tutar_farki",'ESLESTIRME'!$A168,""))</f>
        <v/>
      </c>
      <c r="B168" s="15">
        <f>IF($A168="","",IFERROR(SUMIF(tblMotor[A_Norm],$A168,tblMotor[SiparisToplam]),0))</f>
        <v/>
      </c>
      <c r="C168" s="15">
        <f>IF($A168="","",IFERROR(SUMIF(tblMotor[A_Norm],$A168,tblMotor[Tasarruf]),0))</f>
        <v/>
      </c>
      <c r="D168" s="15">
        <f>IF($A168="","",IFERROR(INDEX(tblMotor[KararSatir],MATCH($A168,tblMotor[A_Norm],0)),""))</f>
        <v/>
      </c>
      <c r="E168" s="15">
        <f>IF($A168="","",IF(OR($D168="DESİ DÜŞÜR",$D168="TAŞIYICI DEĞİŞTİR"),"YUKSEK","NORMAL"))</f>
        <v/>
      </c>
      <c r="F168" s="15">
        <f>IF($A168="","",_xlfn.TEXTJOIN(" ",TRUE,"Sipariş",$A168,"karar",$D168,"toplam",TEXT($B168,"0.00"),"tasarruf",TEXT($C168,"0.00"),"TL"))</f>
        <v/>
      </c>
    </row>
    <row r="169">
      <c r="A169" s="15">
        <f>IF('ESLESTIRME'!$A169="","",IF('ESLESTIRME'!$G169="tutar_farki",'ESLESTIRME'!$A169,""))</f>
        <v/>
      </c>
      <c r="B169" s="15">
        <f>IF($A169="","",IFERROR(SUMIF(tblMotor[A_Norm],$A169,tblMotor[SiparisToplam]),0))</f>
        <v/>
      </c>
      <c r="C169" s="15">
        <f>IF($A169="","",IFERROR(SUMIF(tblMotor[A_Norm],$A169,tblMotor[Tasarruf]),0))</f>
        <v/>
      </c>
      <c r="D169" s="15">
        <f>IF($A169="","",IFERROR(INDEX(tblMotor[KararSatir],MATCH($A169,tblMotor[A_Norm],0)),""))</f>
        <v/>
      </c>
      <c r="E169" s="15">
        <f>IF($A169="","",IF(OR($D169="DESİ DÜŞÜR",$D169="TAŞIYICI DEĞİŞTİR"),"YUKSEK","NORMAL"))</f>
        <v/>
      </c>
      <c r="F169" s="15">
        <f>IF($A169="","",_xlfn.TEXTJOIN(" ",TRUE,"Sipariş",$A169,"karar",$D169,"toplam",TEXT($B169,"0.00"),"tasarruf",TEXT($C169,"0.00"),"TL"))</f>
        <v/>
      </c>
    </row>
    <row r="170">
      <c r="A170" s="15">
        <f>IF('ESLESTIRME'!$A170="","",IF('ESLESTIRME'!$G170="tutar_farki",'ESLESTIRME'!$A170,""))</f>
        <v/>
      </c>
      <c r="B170" s="15">
        <f>IF($A170="","",IFERROR(SUMIF(tblMotor[A_Norm],$A170,tblMotor[SiparisToplam]),0))</f>
        <v/>
      </c>
      <c r="C170" s="15">
        <f>IF($A170="","",IFERROR(SUMIF(tblMotor[A_Norm],$A170,tblMotor[Tasarruf]),0))</f>
        <v/>
      </c>
      <c r="D170" s="15">
        <f>IF($A170="","",IFERROR(INDEX(tblMotor[KararSatir],MATCH($A170,tblMotor[A_Norm],0)),""))</f>
        <v/>
      </c>
      <c r="E170" s="15">
        <f>IF($A170="","",IF(OR($D170="DESİ DÜŞÜR",$D170="TAŞIYICI DEĞİŞTİR"),"YUKSEK","NORMAL"))</f>
        <v/>
      </c>
      <c r="F170" s="15">
        <f>IF($A170="","",_xlfn.TEXTJOIN(" ",TRUE,"Sipariş",$A170,"karar",$D170,"toplam",TEXT($B170,"0.00"),"tasarruf",TEXT($C170,"0.00"),"TL"))</f>
        <v/>
      </c>
    </row>
    <row r="171">
      <c r="A171" s="15">
        <f>IF('ESLESTIRME'!$A171="","",IF('ESLESTIRME'!$G171="tutar_farki",'ESLESTIRME'!$A171,""))</f>
        <v/>
      </c>
      <c r="B171" s="15">
        <f>IF($A171="","",IFERROR(SUMIF(tblMotor[A_Norm],$A171,tblMotor[SiparisToplam]),0))</f>
        <v/>
      </c>
      <c r="C171" s="15">
        <f>IF($A171="","",IFERROR(SUMIF(tblMotor[A_Norm],$A171,tblMotor[Tasarruf]),0))</f>
        <v/>
      </c>
      <c r="D171" s="15">
        <f>IF($A171="","",IFERROR(INDEX(tblMotor[KararSatir],MATCH($A171,tblMotor[A_Norm],0)),""))</f>
        <v/>
      </c>
      <c r="E171" s="15">
        <f>IF($A171="","",IF(OR($D171="DESİ DÜŞÜR",$D171="TAŞIYICI DEĞİŞTİR"),"YUKSEK","NORMAL"))</f>
        <v/>
      </c>
      <c r="F171" s="15">
        <f>IF($A171="","",_xlfn.TEXTJOIN(" ",TRUE,"Sipariş",$A171,"karar",$D171,"toplam",TEXT($B171,"0.00"),"tasarruf",TEXT($C171,"0.00"),"TL"))</f>
        <v/>
      </c>
    </row>
    <row r="172">
      <c r="A172" s="15">
        <f>IF('ESLESTIRME'!$A172="","",IF('ESLESTIRME'!$G172="tutar_farki",'ESLESTIRME'!$A172,""))</f>
        <v/>
      </c>
      <c r="B172" s="15">
        <f>IF($A172="","",IFERROR(SUMIF(tblMotor[A_Norm],$A172,tblMotor[SiparisToplam]),0))</f>
        <v/>
      </c>
      <c r="C172" s="15">
        <f>IF($A172="","",IFERROR(SUMIF(tblMotor[A_Norm],$A172,tblMotor[Tasarruf]),0))</f>
        <v/>
      </c>
      <c r="D172" s="15">
        <f>IF($A172="","",IFERROR(INDEX(tblMotor[KararSatir],MATCH($A172,tblMotor[A_Norm],0)),""))</f>
        <v/>
      </c>
      <c r="E172" s="15">
        <f>IF($A172="","",IF(OR($D172="DESİ DÜŞÜR",$D172="TAŞIYICI DEĞİŞTİR"),"YUKSEK","NORMAL"))</f>
        <v/>
      </c>
      <c r="F172" s="15">
        <f>IF($A172="","",_xlfn.TEXTJOIN(" ",TRUE,"Sipariş",$A172,"karar",$D172,"toplam",TEXT($B172,"0.00"),"tasarruf",TEXT($C172,"0.00"),"TL"))</f>
        <v/>
      </c>
    </row>
    <row r="173">
      <c r="A173" s="15">
        <f>IF('ESLESTIRME'!$A173="","",IF('ESLESTIRME'!$G173="tutar_farki",'ESLESTIRME'!$A173,""))</f>
        <v/>
      </c>
      <c r="B173" s="15">
        <f>IF($A173="","",IFERROR(SUMIF(tblMotor[A_Norm],$A173,tblMotor[SiparisToplam]),0))</f>
        <v/>
      </c>
      <c r="C173" s="15">
        <f>IF($A173="","",IFERROR(SUMIF(tblMotor[A_Norm],$A173,tblMotor[Tasarruf]),0))</f>
        <v/>
      </c>
      <c r="D173" s="15">
        <f>IF($A173="","",IFERROR(INDEX(tblMotor[KararSatir],MATCH($A173,tblMotor[A_Norm],0)),""))</f>
        <v/>
      </c>
      <c r="E173" s="15">
        <f>IF($A173="","",IF(OR($D173="DESİ DÜŞÜR",$D173="TAŞIYICI DEĞİŞTİR"),"YUKSEK","NORMAL"))</f>
        <v/>
      </c>
      <c r="F173" s="15">
        <f>IF($A173="","",_xlfn.TEXTJOIN(" ",TRUE,"Sipariş",$A173,"karar",$D173,"toplam",TEXT($B173,"0.00"),"tasarruf",TEXT($C173,"0.00"),"TL"))</f>
        <v/>
      </c>
    </row>
    <row r="174">
      <c r="A174" s="15">
        <f>IF('ESLESTIRME'!$A174="","",IF('ESLESTIRME'!$G174="tutar_farki",'ESLESTIRME'!$A174,""))</f>
        <v/>
      </c>
      <c r="B174" s="15">
        <f>IF($A174="","",IFERROR(SUMIF(tblMotor[A_Norm],$A174,tblMotor[SiparisToplam]),0))</f>
        <v/>
      </c>
      <c r="C174" s="15">
        <f>IF($A174="","",IFERROR(SUMIF(tblMotor[A_Norm],$A174,tblMotor[Tasarruf]),0))</f>
        <v/>
      </c>
      <c r="D174" s="15">
        <f>IF($A174="","",IFERROR(INDEX(tblMotor[KararSatir],MATCH($A174,tblMotor[A_Norm],0)),""))</f>
        <v/>
      </c>
      <c r="E174" s="15">
        <f>IF($A174="","",IF(OR($D174="DESİ DÜŞÜR",$D174="TAŞIYICI DEĞİŞTİR"),"YUKSEK","NORMAL"))</f>
        <v/>
      </c>
      <c r="F174" s="15">
        <f>IF($A174="","",_xlfn.TEXTJOIN(" ",TRUE,"Sipariş",$A174,"karar",$D174,"toplam",TEXT($B174,"0.00"),"tasarruf",TEXT($C174,"0.00"),"TL"))</f>
        <v/>
      </c>
    </row>
    <row r="175">
      <c r="A175" s="15">
        <f>IF('ESLESTIRME'!$A175="","",IF('ESLESTIRME'!$G175="tutar_farki",'ESLESTIRME'!$A175,""))</f>
        <v/>
      </c>
      <c r="B175" s="15">
        <f>IF($A175="","",IFERROR(SUMIF(tblMotor[A_Norm],$A175,tblMotor[SiparisToplam]),0))</f>
        <v/>
      </c>
      <c r="C175" s="15">
        <f>IF($A175="","",IFERROR(SUMIF(tblMotor[A_Norm],$A175,tblMotor[Tasarruf]),0))</f>
        <v/>
      </c>
      <c r="D175" s="15">
        <f>IF($A175="","",IFERROR(INDEX(tblMotor[KararSatir],MATCH($A175,tblMotor[A_Norm],0)),""))</f>
        <v/>
      </c>
      <c r="E175" s="15">
        <f>IF($A175="","",IF(OR($D175="DESİ DÜŞÜR",$D175="TAŞIYICI DEĞİŞTİR"),"YUKSEK","NORMAL"))</f>
        <v/>
      </c>
      <c r="F175" s="15">
        <f>IF($A175="","",_xlfn.TEXTJOIN(" ",TRUE,"Sipariş",$A175,"karar",$D175,"toplam",TEXT($B175,"0.00"),"tasarruf",TEXT($C175,"0.00"),"TL"))</f>
        <v/>
      </c>
    </row>
    <row r="176">
      <c r="A176" s="15">
        <f>IF('ESLESTIRME'!$A176="","",IF('ESLESTIRME'!$G176="tutar_farki",'ESLESTIRME'!$A176,""))</f>
        <v/>
      </c>
      <c r="B176" s="15">
        <f>IF($A176="","",IFERROR(SUMIF(tblMotor[A_Norm],$A176,tblMotor[SiparisToplam]),0))</f>
        <v/>
      </c>
      <c r="C176" s="15">
        <f>IF($A176="","",IFERROR(SUMIF(tblMotor[A_Norm],$A176,tblMotor[Tasarruf]),0))</f>
        <v/>
      </c>
      <c r="D176" s="15">
        <f>IF($A176="","",IFERROR(INDEX(tblMotor[KararSatir],MATCH($A176,tblMotor[A_Norm],0)),""))</f>
        <v/>
      </c>
      <c r="E176" s="15">
        <f>IF($A176="","",IF(OR($D176="DESİ DÜŞÜR",$D176="TAŞIYICI DEĞİŞTİR"),"YUKSEK","NORMAL"))</f>
        <v/>
      </c>
      <c r="F176" s="15">
        <f>IF($A176="","",_xlfn.TEXTJOIN(" ",TRUE,"Sipariş",$A176,"karar",$D176,"toplam",TEXT($B176,"0.00"),"tasarruf",TEXT($C176,"0.00"),"TL"))</f>
        <v/>
      </c>
    </row>
    <row r="177">
      <c r="A177" s="15">
        <f>IF('ESLESTIRME'!$A177="","",IF('ESLESTIRME'!$G177="tutar_farki",'ESLESTIRME'!$A177,""))</f>
        <v/>
      </c>
      <c r="B177" s="15">
        <f>IF($A177="","",IFERROR(SUMIF(tblMotor[A_Norm],$A177,tblMotor[SiparisToplam]),0))</f>
        <v/>
      </c>
      <c r="C177" s="15">
        <f>IF($A177="","",IFERROR(SUMIF(tblMotor[A_Norm],$A177,tblMotor[Tasarruf]),0))</f>
        <v/>
      </c>
      <c r="D177" s="15">
        <f>IF($A177="","",IFERROR(INDEX(tblMotor[KararSatir],MATCH($A177,tblMotor[A_Norm],0)),""))</f>
        <v/>
      </c>
      <c r="E177" s="15">
        <f>IF($A177="","",IF(OR($D177="DESİ DÜŞÜR",$D177="TAŞIYICI DEĞİŞTİR"),"YUKSEK","NORMAL"))</f>
        <v/>
      </c>
      <c r="F177" s="15">
        <f>IF($A177="","",_xlfn.TEXTJOIN(" ",TRUE,"Sipariş",$A177,"karar",$D177,"toplam",TEXT($B177,"0.00"),"tasarruf",TEXT($C177,"0.00"),"TL"))</f>
        <v/>
      </c>
    </row>
    <row r="178">
      <c r="A178" s="15">
        <f>IF('ESLESTIRME'!$A178="","",IF('ESLESTIRME'!$G178="tutar_farki",'ESLESTIRME'!$A178,""))</f>
        <v/>
      </c>
      <c r="B178" s="15">
        <f>IF($A178="","",IFERROR(SUMIF(tblMotor[A_Norm],$A178,tblMotor[SiparisToplam]),0))</f>
        <v/>
      </c>
      <c r="C178" s="15">
        <f>IF($A178="","",IFERROR(SUMIF(tblMotor[A_Norm],$A178,tblMotor[Tasarruf]),0))</f>
        <v/>
      </c>
      <c r="D178" s="15">
        <f>IF($A178="","",IFERROR(INDEX(tblMotor[KararSatir],MATCH($A178,tblMotor[A_Norm],0)),""))</f>
        <v/>
      </c>
      <c r="E178" s="15">
        <f>IF($A178="","",IF(OR($D178="DESİ DÜŞÜR",$D178="TAŞIYICI DEĞİŞTİR"),"YUKSEK","NORMAL"))</f>
        <v/>
      </c>
      <c r="F178" s="15">
        <f>IF($A178="","",_xlfn.TEXTJOIN(" ",TRUE,"Sipariş",$A178,"karar",$D178,"toplam",TEXT($B178,"0.00"),"tasarruf",TEXT($C178,"0.00"),"TL"))</f>
        <v/>
      </c>
    </row>
    <row r="179">
      <c r="A179" s="15">
        <f>IF('ESLESTIRME'!$A179="","",IF('ESLESTIRME'!$G179="tutar_farki",'ESLESTIRME'!$A179,""))</f>
        <v/>
      </c>
      <c r="B179" s="15">
        <f>IF($A179="","",IFERROR(SUMIF(tblMotor[A_Norm],$A179,tblMotor[SiparisToplam]),0))</f>
        <v/>
      </c>
      <c r="C179" s="15">
        <f>IF($A179="","",IFERROR(SUMIF(tblMotor[A_Norm],$A179,tblMotor[Tasarruf]),0))</f>
        <v/>
      </c>
      <c r="D179" s="15">
        <f>IF($A179="","",IFERROR(INDEX(tblMotor[KararSatir],MATCH($A179,tblMotor[A_Norm],0)),""))</f>
        <v/>
      </c>
      <c r="E179" s="15">
        <f>IF($A179="","",IF(OR($D179="DESİ DÜŞÜR",$D179="TAŞIYICI DEĞİŞTİR"),"YUKSEK","NORMAL"))</f>
        <v/>
      </c>
      <c r="F179" s="15">
        <f>IF($A179="","",_xlfn.TEXTJOIN(" ",TRUE,"Sipariş",$A179,"karar",$D179,"toplam",TEXT($B179,"0.00"),"tasarruf",TEXT($C179,"0.00"),"TL"))</f>
        <v/>
      </c>
    </row>
    <row r="180">
      <c r="A180" s="15">
        <f>IF('ESLESTIRME'!$A180="","",IF('ESLESTIRME'!$G180="tutar_farki",'ESLESTIRME'!$A180,""))</f>
        <v/>
      </c>
      <c r="B180" s="15">
        <f>IF($A180="","",IFERROR(SUMIF(tblMotor[A_Norm],$A180,tblMotor[SiparisToplam]),0))</f>
        <v/>
      </c>
      <c r="C180" s="15">
        <f>IF($A180="","",IFERROR(SUMIF(tblMotor[A_Norm],$A180,tblMotor[Tasarruf]),0))</f>
        <v/>
      </c>
      <c r="D180" s="15">
        <f>IF($A180="","",IFERROR(INDEX(tblMotor[KararSatir],MATCH($A180,tblMotor[A_Norm],0)),""))</f>
        <v/>
      </c>
      <c r="E180" s="15">
        <f>IF($A180="","",IF(OR($D180="DESİ DÜŞÜR",$D180="TAŞIYICI DEĞİŞTİR"),"YUKSEK","NORMAL"))</f>
        <v/>
      </c>
      <c r="F180" s="15">
        <f>IF($A180="","",_xlfn.TEXTJOIN(" ",TRUE,"Sipariş",$A180,"karar",$D180,"toplam",TEXT($B180,"0.00"),"tasarruf",TEXT($C180,"0.00"),"TL"))</f>
        <v/>
      </c>
    </row>
    <row r="181">
      <c r="A181" s="15">
        <f>IF('ESLESTIRME'!$A181="","",IF('ESLESTIRME'!$G181="tutar_farki",'ESLESTIRME'!$A181,""))</f>
        <v/>
      </c>
      <c r="B181" s="15">
        <f>IF($A181="","",IFERROR(SUMIF(tblMotor[A_Norm],$A181,tblMotor[SiparisToplam]),0))</f>
        <v/>
      </c>
      <c r="C181" s="15">
        <f>IF($A181="","",IFERROR(SUMIF(tblMotor[A_Norm],$A181,tblMotor[Tasarruf]),0))</f>
        <v/>
      </c>
      <c r="D181" s="15">
        <f>IF($A181="","",IFERROR(INDEX(tblMotor[KararSatir],MATCH($A181,tblMotor[A_Norm],0)),""))</f>
        <v/>
      </c>
      <c r="E181" s="15">
        <f>IF($A181="","",IF(OR($D181="DESİ DÜŞÜR",$D181="TAŞIYICI DEĞİŞTİR"),"YUKSEK","NORMAL"))</f>
        <v/>
      </c>
      <c r="F181" s="15">
        <f>IF($A181="","",_xlfn.TEXTJOIN(" ",TRUE,"Sipariş",$A181,"karar",$D181,"toplam",TEXT($B181,"0.00"),"tasarruf",TEXT($C181,"0.00"),"TL"))</f>
        <v/>
      </c>
    </row>
    <row r="182">
      <c r="A182" s="15">
        <f>IF('ESLESTIRME'!$A182="","",IF('ESLESTIRME'!$G182="tutar_farki",'ESLESTIRME'!$A182,""))</f>
        <v/>
      </c>
      <c r="B182" s="15">
        <f>IF($A182="","",IFERROR(SUMIF(tblMotor[A_Norm],$A182,tblMotor[SiparisToplam]),0))</f>
        <v/>
      </c>
      <c r="C182" s="15">
        <f>IF($A182="","",IFERROR(SUMIF(tblMotor[A_Norm],$A182,tblMotor[Tasarruf]),0))</f>
        <v/>
      </c>
      <c r="D182" s="15">
        <f>IF($A182="","",IFERROR(INDEX(tblMotor[KararSatir],MATCH($A182,tblMotor[A_Norm],0)),""))</f>
        <v/>
      </c>
      <c r="E182" s="15">
        <f>IF($A182="","",IF(OR($D182="DESİ DÜŞÜR",$D182="TAŞIYICI DEĞİŞTİR"),"YUKSEK","NORMAL"))</f>
        <v/>
      </c>
      <c r="F182" s="15">
        <f>IF($A182="","",_xlfn.TEXTJOIN(" ",TRUE,"Sipariş",$A182,"karar",$D182,"toplam",TEXT($B182,"0.00"),"tasarruf",TEXT($C182,"0.00"),"TL"))</f>
        <v/>
      </c>
    </row>
    <row r="183">
      <c r="A183" s="15">
        <f>IF('ESLESTIRME'!$A183="","",IF('ESLESTIRME'!$G183="tutar_farki",'ESLESTIRME'!$A183,""))</f>
        <v/>
      </c>
      <c r="B183" s="15">
        <f>IF($A183="","",IFERROR(SUMIF(tblMotor[A_Norm],$A183,tblMotor[SiparisToplam]),0))</f>
        <v/>
      </c>
      <c r="C183" s="15">
        <f>IF($A183="","",IFERROR(SUMIF(tblMotor[A_Norm],$A183,tblMotor[Tasarruf]),0))</f>
        <v/>
      </c>
      <c r="D183" s="15">
        <f>IF($A183="","",IFERROR(INDEX(tblMotor[KararSatir],MATCH($A183,tblMotor[A_Norm],0)),""))</f>
        <v/>
      </c>
      <c r="E183" s="15">
        <f>IF($A183="","",IF(OR($D183="DESİ DÜŞÜR",$D183="TAŞIYICI DEĞİŞTİR"),"YUKSEK","NORMAL"))</f>
        <v/>
      </c>
      <c r="F183" s="15">
        <f>IF($A183="","",_xlfn.TEXTJOIN(" ",TRUE,"Sipariş",$A183,"karar",$D183,"toplam",TEXT($B183,"0.00"),"tasarruf",TEXT($C183,"0.00"),"TL"))</f>
        <v/>
      </c>
    </row>
    <row r="184">
      <c r="A184" s="15">
        <f>IF('ESLESTIRME'!$A184="","",IF('ESLESTIRME'!$G184="tutar_farki",'ESLESTIRME'!$A184,""))</f>
        <v/>
      </c>
      <c r="B184" s="15">
        <f>IF($A184="","",IFERROR(SUMIF(tblMotor[A_Norm],$A184,tblMotor[SiparisToplam]),0))</f>
        <v/>
      </c>
      <c r="C184" s="15">
        <f>IF($A184="","",IFERROR(SUMIF(tblMotor[A_Norm],$A184,tblMotor[Tasarruf]),0))</f>
        <v/>
      </c>
      <c r="D184" s="15">
        <f>IF($A184="","",IFERROR(INDEX(tblMotor[KararSatir],MATCH($A184,tblMotor[A_Norm],0)),""))</f>
        <v/>
      </c>
      <c r="E184" s="15">
        <f>IF($A184="","",IF(OR($D184="DESİ DÜŞÜR",$D184="TAŞIYICI DEĞİŞTİR"),"YUKSEK","NORMAL"))</f>
        <v/>
      </c>
      <c r="F184" s="15">
        <f>IF($A184="","",_xlfn.TEXTJOIN(" ",TRUE,"Sipariş",$A184,"karar",$D184,"toplam",TEXT($B184,"0.00"),"tasarruf",TEXT($C184,"0.00"),"TL"))</f>
        <v/>
      </c>
    </row>
    <row r="185">
      <c r="A185" s="15">
        <f>IF('ESLESTIRME'!$A185="","",IF('ESLESTIRME'!$G185="tutar_farki",'ESLESTIRME'!$A185,""))</f>
        <v/>
      </c>
      <c r="B185" s="15">
        <f>IF($A185="","",IFERROR(SUMIF(tblMotor[A_Norm],$A185,tblMotor[SiparisToplam]),0))</f>
        <v/>
      </c>
      <c r="C185" s="15">
        <f>IF($A185="","",IFERROR(SUMIF(tblMotor[A_Norm],$A185,tblMotor[Tasarruf]),0))</f>
        <v/>
      </c>
      <c r="D185" s="15">
        <f>IF($A185="","",IFERROR(INDEX(tblMotor[KararSatir],MATCH($A185,tblMotor[A_Norm],0)),""))</f>
        <v/>
      </c>
      <c r="E185" s="15">
        <f>IF($A185="","",IF(OR($D185="DESİ DÜŞÜR",$D185="TAŞIYICI DEĞİŞTİR"),"YUKSEK","NORMAL"))</f>
        <v/>
      </c>
      <c r="F185" s="15">
        <f>IF($A185="","",_xlfn.TEXTJOIN(" ",TRUE,"Sipariş",$A185,"karar",$D185,"toplam",TEXT($B185,"0.00"),"tasarruf",TEXT($C185,"0.00"),"TL"))</f>
        <v/>
      </c>
    </row>
    <row r="186">
      <c r="A186" s="15">
        <f>IF('ESLESTIRME'!$A186="","",IF('ESLESTIRME'!$G186="tutar_farki",'ESLESTIRME'!$A186,""))</f>
        <v/>
      </c>
      <c r="B186" s="15">
        <f>IF($A186="","",IFERROR(SUMIF(tblMotor[A_Norm],$A186,tblMotor[SiparisToplam]),0))</f>
        <v/>
      </c>
      <c r="C186" s="15">
        <f>IF($A186="","",IFERROR(SUMIF(tblMotor[A_Norm],$A186,tblMotor[Tasarruf]),0))</f>
        <v/>
      </c>
      <c r="D186" s="15">
        <f>IF($A186="","",IFERROR(INDEX(tblMotor[KararSatir],MATCH($A186,tblMotor[A_Norm],0)),""))</f>
        <v/>
      </c>
      <c r="E186" s="15">
        <f>IF($A186="","",IF(OR($D186="DESİ DÜŞÜR",$D186="TAŞIYICI DEĞİŞTİR"),"YUKSEK","NORMAL"))</f>
        <v/>
      </c>
      <c r="F186" s="15">
        <f>IF($A186="","",_xlfn.TEXTJOIN(" ",TRUE,"Sipariş",$A186,"karar",$D186,"toplam",TEXT($B186,"0.00"),"tasarruf",TEXT($C186,"0.00"),"TL"))</f>
        <v/>
      </c>
    </row>
    <row r="187">
      <c r="A187" s="15">
        <f>IF('ESLESTIRME'!$A187="","",IF('ESLESTIRME'!$G187="tutar_farki",'ESLESTIRME'!$A187,""))</f>
        <v/>
      </c>
      <c r="B187" s="15">
        <f>IF($A187="","",IFERROR(SUMIF(tblMotor[A_Norm],$A187,tblMotor[SiparisToplam]),0))</f>
        <v/>
      </c>
      <c r="C187" s="15">
        <f>IF($A187="","",IFERROR(SUMIF(tblMotor[A_Norm],$A187,tblMotor[Tasarruf]),0))</f>
        <v/>
      </c>
      <c r="D187" s="15">
        <f>IF($A187="","",IFERROR(INDEX(tblMotor[KararSatir],MATCH($A187,tblMotor[A_Norm],0)),""))</f>
        <v/>
      </c>
      <c r="E187" s="15">
        <f>IF($A187="","",IF(OR($D187="DESİ DÜŞÜR",$D187="TAŞIYICI DEĞİŞTİR"),"YUKSEK","NORMAL"))</f>
        <v/>
      </c>
      <c r="F187" s="15">
        <f>IF($A187="","",_xlfn.TEXTJOIN(" ",TRUE,"Sipariş",$A187,"karar",$D187,"toplam",TEXT($B187,"0.00"),"tasarruf",TEXT($C187,"0.00"),"TL"))</f>
        <v/>
      </c>
    </row>
    <row r="188">
      <c r="A188" s="15">
        <f>IF('ESLESTIRME'!$A188="","",IF('ESLESTIRME'!$G188="tutar_farki",'ESLESTIRME'!$A188,""))</f>
        <v/>
      </c>
      <c r="B188" s="15">
        <f>IF($A188="","",IFERROR(SUMIF(tblMotor[A_Norm],$A188,tblMotor[SiparisToplam]),0))</f>
        <v/>
      </c>
      <c r="C188" s="15">
        <f>IF($A188="","",IFERROR(SUMIF(tblMotor[A_Norm],$A188,tblMotor[Tasarruf]),0))</f>
        <v/>
      </c>
      <c r="D188" s="15">
        <f>IF($A188="","",IFERROR(INDEX(tblMotor[KararSatir],MATCH($A188,tblMotor[A_Norm],0)),""))</f>
        <v/>
      </c>
      <c r="E188" s="15">
        <f>IF($A188="","",IF(OR($D188="DESİ DÜŞÜR",$D188="TAŞIYICI DEĞİŞTİR"),"YUKSEK","NORMAL"))</f>
        <v/>
      </c>
      <c r="F188" s="15">
        <f>IF($A188="","",_xlfn.TEXTJOIN(" ",TRUE,"Sipariş",$A188,"karar",$D188,"toplam",TEXT($B188,"0.00"),"tasarruf",TEXT($C188,"0.00"),"TL"))</f>
        <v/>
      </c>
    </row>
    <row r="189">
      <c r="A189" s="15">
        <f>IF('ESLESTIRME'!$A189="","",IF('ESLESTIRME'!$G189="tutar_farki",'ESLESTIRME'!$A189,""))</f>
        <v/>
      </c>
      <c r="B189" s="15">
        <f>IF($A189="","",IFERROR(SUMIF(tblMotor[A_Norm],$A189,tblMotor[SiparisToplam]),0))</f>
        <v/>
      </c>
      <c r="C189" s="15">
        <f>IF($A189="","",IFERROR(SUMIF(tblMotor[A_Norm],$A189,tblMotor[Tasarruf]),0))</f>
        <v/>
      </c>
      <c r="D189" s="15">
        <f>IF($A189="","",IFERROR(INDEX(tblMotor[KararSatir],MATCH($A189,tblMotor[A_Norm],0)),""))</f>
        <v/>
      </c>
      <c r="E189" s="15">
        <f>IF($A189="","",IF(OR($D189="DESİ DÜŞÜR",$D189="TAŞIYICI DEĞİŞTİR"),"YUKSEK","NORMAL"))</f>
        <v/>
      </c>
      <c r="F189" s="15">
        <f>IF($A189="","",_xlfn.TEXTJOIN(" ",TRUE,"Sipariş",$A189,"karar",$D189,"toplam",TEXT($B189,"0.00"),"tasarruf",TEXT($C189,"0.00"),"TL"))</f>
        <v/>
      </c>
    </row>
    <row r="190">
      <c r="A190" s="15">
        <f>IF('ESLESTIRME'!$A190="","",IF('ESLESTIRME'!$G190="tutar_farki",'ESLESTIRME'!$A190,""))</f>
        <v/>
      </c>
      <c r="B190" s="15">
        <f>IF($A190="","",IFERROR(SUMIF(tblMotor[A_Norm],$A190,tblMotor[SiparisToplam]),0))</f>
        <v/>
      </c>
      <c r="C190" s="15">
        <f>IF($A190="","",IFERROR(SUMIF(tblMotor[A_Norm],$A190,tblMotor[Tasarruf]),0))</f>
        <v/>
      </c>
      <c r="D190" s="15">
        <f>IF($A190="","",IFERROR(INDEX(tblMotor[KararSatir],MATCH($A190,tblMotor[A_Norm],0)),""))</f>
        <v/>
      </c>
      <c r="E190" s="15">
        <f>IF($A190="","",IF(OR($D190="DESİ DÜŞÜR",$D190="TAŞIYICI DEĞİŞTİR"),"YUKSEK","NORMAL"))</f>
        <v/>
      </c>
      <c r="F190" s="15">
        <f>IF($A190="","",_xlfn.TEXTJOIN(" ",TRUE,"Sipariş",$A190,"karar",$D190,"toplam",TEXT($B190,"0.00"),"tasarruf",TEXT($C190,"0.00"),"TL"))</f>
        <v/>
      </c>
    </row>
    <row r="191">
      <c r="A191" s="15">
        <f>IF('ESLESTIRME'!$A191="","",IF('ESLESTIRME'!$G191="tutar_farki",'ESLESTIRME'!$A191,""))</f>
        <v/>
      </c>
      <c r="B191" s="15">
        <f>IF($A191="","",IFERROR(SUMIF(tblMotor[A_Norm],$A191,tblMotor[SiparisToplam]),0))</f>
        <v/>
      </c>
      <c r="C191" s="15">
        <f>IF($A191="","",IFERROR(SUMIF(tblMotor[A_Norm],$A191,tblMotor[Tasarruf]),0))</f>
        <v/>
      </c>
      <c r="D191" s="15">
        <f>IF($A191="","",IFERROR(INDEX(tblMotor[KararSatir],MATCH($A191,tblMotor[A_Norm],0)),""))</f>
        <v/>
      </c>
      <c r="E191" s="15">
        <f>IF($A191="","",IF(OR($D191="DESİ DÜŞÜR",$D191="TAŞIYICI DEĞİŞTİR"),"YUKSEK","NORMAL"))</f>
        <v/>
      </c>
      <c r="F191" s="15">
        <f>IF($A191="","",_xlfn.TEXTJOIN(" ",TRUE,"Sipariş",$A191,"karar",$D191,"toplam",TEXT($B191,"0.00"),"tasarruf",TEXT($C191,"0.00"),"TL"))</f>
        <v/>
      </c>
    </row>
    <row r="192">
      <c r="A192" s="15">
        <f>IF('ESLESTIRME'!$A192="","",IF('ESLESTIRME'!$G192="tutar_farki",'ESLESTIRME'!$A192,""))</f>
        <v/>
      </c>
      <c r="B192" s="15">
        <f>IF($A192="","",IFERROR(SUMIF(tblMotor[A_Norm],$A192,tblMotor[SiparisToplam]),0))</f>
        <v/>
      </c>
      <c r="C192" s="15">
        <f>IF($A192="","",IFERROR(SUMIF(tblMotor[A_Norm],$A192,tblMotor[Tasarruf]),0))</f>
        <v/>
      </c>
      <c r="D192" s="15">
        <f>IF($A192="","",IFERROR(INDEX(tblMotor[KararSatir],MATCH($A192,tblMotor[A_Norm],0)),""))</f>
        <v/>
      </c>
      <c r="E192" s="15">
        <f>IF($A192="","",IF(OR($D192="DESİ DÜŞÜR",$D192="TAŞIYICI DEĞİŞTİR"),"YUKSEK","NORMAL"))</f>
        <v/>
      </c>
      <c r="F192" s="15">
        <f>IF($A192="","",_xlfn.TEXTJOIN(" ",TRUE,"Sipariş",$A192,"karar",$D192,"toplam",TEXT($B192,"0.00"),"tasarruf",TEXT($C192,"0.00"),"TL"))</f>
        <v/>
      </c>
    </row>
    <row r="193">
      <c r="A193" s="15">
        <f>IF('ESLESTIRME'!$A193="","",IF('ESLESTIRME'!$G193="tutar_farki",'ESLESTIRME'!$A193,""))</f>
        <v/>
      </c>
      <c r="B193" s="15">
        <f>IF($A193="","",IFERROR(SUMIF(tblMotor[A_Norm],$A193,tblMotor[SiparisToplam]),0))</f>
        <v/>
      </c>
      <c r="C193" s="15">
        <f>IF($A193="","",IFERROR(SUMIF(tblMotor[A_Norm],$A193,tblMotor[Tasarruf]),0))</f>
        <v/>
      </c>
      <c r="D193" s="15">
        <f>IF($A193="","",IFERROR(INDEX(tblMotor[KararSatir],MATCH($A193,tblMotor[A_Norm],0)),""))</f>
        <v/>
      </c>
      <c r="E193" s="15">
        <f>IF($A193="","",IF(OR($D193="DESİ DÜŞÜR",$D193="TAŞIYICI DEĞİŞTİR"),"YUKSEK","NORMAL"))</f>
        <v/>
      </c>
      <c r="F193" s="15">
        <f>IF($A193="","",_xlfn.TEXTJOIN(" ",TRUE,"Sipariş",$A193,"karar",$D193,"toplam",TEXT($B193,"0.00"),"tasarruf",TEXT($C193,"0.00"),"TL"))</f>
        <v/>
      </c>
    </row>
    <row r="194">
      <c r="A194" s="15">
        <f>IF('ESLESTIRME'!$A194="","",IF('ESLESTIRME'!$G194="tutar_farki",'ESLESTIRME'!$A194,""))</f>
        <v/>
      </c>
      <c r="B194" s="15">
        <f>IF($A194="","",IFERROR(SUMIF(tblMotor[A_Norm],$A194,tblMotor[SiparisToplam]),0))</f>
        <v/>
      </c>
      <c r="C194" s="15">
        <f>IF($A194="","",IFERROR(SUMIF(tblMotor[A_Norm],$A194,tblMotor[Tasarruf]),0))</f>
        <v/>
      </c>
      <c r="D194" s="15">
        <f>IF($A194="","",IFERROR(INDEX(tblMotor[KararSatir],MATCH($A194,tblMotor[A_Norm],0)),""))</f>
        <v/>
      </c>
      <c r="E194" s="15">
        <f>IF($A194="","",IF(OR($D194="DESİ DÜŞÜR",$D194="TAŞIYICI DEĞİŞTİR"),"YUKSEK","NORMAL"))</f>
        <v/>
      </c>
      <c r="F194" s="15">
        <f>IF($A194="","",_xlfn.TEXTJOIN(" ",TRUE,"Sipariş",$A194,"karar",$D194,"toplam",TEXT($B194,"0.00"),"tasarruf",TEXT($C194,"0.00"),"TL"))</f>
        <v/>
      </c>
    </row>
    <row r="195">
      <c r="A195" s="15">
        <f>IF('ESLESTIRME'!$A195="","",IF('ESLESTIRME'!$G195="tutar_farki",'ESLESTIRME'!$A195,""))</f>
        <v/>
      </c>
      <c r="B195" s="15">
        <f>IF($A195="","",IFERROR(SUMIF(tblMotor[A_Norm],$A195,tblMotor[SiparisToplam]),0))</f>
        <v/>
      </c>
      <c r="C195" s="15">
        <f>IF($A195="","",IFERROR(SUMIF(tblMotor[A_Norm],$A195,tblMotor[Tasarruf]),0))</f>
        <v/>
      </c>
      <c r="D195" s="15">
        <f>IF($A195="","",IFERROR(INDEX(tblMotor[KararSatir],MATCH($A195,tblMotor[A_Norm],0)),""))</f>
        <v/>
      </c>
      <c r="E195" s="15">
        <f>IF($A195="","",IF(OR($D195="DESİ DÜŞÜR",$D195="TAŞIYICI DEĞİŞTİR"),"YUKSEK","NORMAL"))</f>
        <v/>
      </c>
      <c r="F195" s="15">
        <f>IF($A195="","",_xlfn.TEXTJOIN(" ",TRUE,"Sipariş",$A195,"karar",$D195,"toplam",TEXT($B195,"0.00"),"tasarruf",TEXT($C195,"0.00"),"TL"))</f>
        <v/>
      </c>
    </row>
    <row r="196">
      <c r="A196" s="15">
        <f>IF('ESLESTIRME'!$A196="","",IF('ESLESTIRME'!$G196="tutar_farki",'ESLESTIRME'!$A196,""))</f>
        <v/>
      </c>
      <c r="B196" s="15">
        <f>IF($A196="","",IFERROR(SUMIF(tblMotor[A_Norm],$A196,tblMotor[SiparisToplam]),0))</f>
        <v/>
      </c>
      <c r="C196" s="15">
        <f>IF($A196="","",IFERROR(SUMIF(tblMotor[A_Norm],$A196,tblMotor[Tasarruf]),0))</f>
        <v/>
      </c>
      <c r="D196" s="15">
        <f>IF($A196="","",IFERROR(INDEX(tblMotor[KararSatir],MATCH($A196,tblMotor[A_Norm],0)),""))</f>
        <v/>
      </c>
      <c r="E196" s="15">
        <f>IF($A196="","",IF(OR($D196="DESİ DÜŞÜR",$D196="TAŞIYICI DEĞİŞTİR"),"YUKSEK","NORMAL"))</f>
        <v/>
      </c>
      <c r="F196" s="15">
        <f>IF($A196="","",_xlfn.TEXTJOIN(" ",TRUE,"Sipariş",$A196,"karar",$D196,"toplam",TEXT($B196,"0.00"),"tasarruf",TEXT($C196,"0.00"),"TL"))</f>
        <v/>
      </c>
    </row>
    <row r="197">
      <c r="A197" s="15">
        <f>IF('ESLESTIRME'!$A197="","",IF('ESLESTIRME'!$G197="tutar_farki",'ESLESTIRME'!$A197,""))</f>
        <v/>
      </c>
      <c r="B197" s="15">
        <f>IF($A197="","",IFERROR(SUMIF(tblMotor[A_Norm],$A197,tblMotor[SiparisToplam]),0))</f>
        <v/>
      </c>
      <c r="C197" s="15">
        <f>IF($A197="","",IFERROR(SUMIF(tblMotor[A_Norm],$A197,tblMotor[Tasarruf]),0))</f>
        <v/>
      </c>
      <c r="D197" s="15">
        <f>IF($A197="","",IFERROR(INDEX(tblMotor[KararSatir],MATCH($A197,tblMotor[A_Norm],0)),""))</f>
        <v/>
      </c>
      <c r="E197" s="15">
        <f>IF($A197="","",IF(OR($D197="DESİ DÜŞÜR",$D197="TAŞIYICI DEĞİŞTİR"),"YUKSEK","NORMAL"))</f>
        <v/>
      </c>
      <c r="F197" s="15">
        <f>IF($A197="","",_xlfn.TEXTJOIN(" ",TRUE,"Sipariş",$A197,"karar",$D197,"toplam",TEXT($B197,"0.00"),"tasarruf",TEXT($C197,"0.00"),"TL"))</f>
        <v/>
      </c>
    </row>
    <row r="198">
      <c r="A198" s="15">
        <f>IF('ESLESTIRME'!$A198="","",IF('ESLESTIRME'!$G198="tutar_farki",'ESLESTIRME'!$A198,""))</f>
        <v/>
      </c>
      <c r="B198" s="15">
        <f>IF($A198="","",IFERROR(SUMIF(tblMotor[A_Norm],$A198,tblMotor[SiparisToplam]),0))</f>
        <v/>
      </c>
      <c r="C198" s="15">
        <f>IF($A198="","",IFERROR(SUMIF(tblMotor[A_Norm],$A198,tblMotor[Tasarruf]),0))</f>
        <v/>
      </c>
      <c r="D198" s="15">
        <f>IF($A198="","",IFERROR(INDEX(tblMotor[KararSatir],MATCH($A198,tblMotor[A_Norm],0)),""))</f>
        <v/>
      </c>
      <c r="E198" s="15">
        <f>IF($A198="","",IF(OR($D198="DESİ DÜŞÜR",$D198="TAŞIYICI DEĞİŞTİR"),"YUKSEK","NORMAL"))</f>
        <v/>
      </c>
      <c r="F198" s="15">
        <f>IF($A198="","",_xlfn.TEXTJOIN(" ",TRUE,"Sipariş",$A198,"karar",$D198,"toplam",TEXT($B198,"0.00"),"tasarruf",TEXT($C198,"0.00"),"TL"))</f>
        <v/>
      </c>
    </row>
    <row r="199">
      <c r="A199" s="15">
        <f>IF('ESLESTIRME'!$A199="","",IF('ESLESTIRME'!$G199="tutar_farki",'ESLESTIRME'!$A199,""))</f>
        <v/>
      </c>
      <c r="B199" s="15">
        <f>IF($A199="","",IFERROR(SUMIF(tblMotor[A_Norm],$A199,tblMotor[SiparisToplam]),0))</f>
        <v/>
      </c>
      <c r="C199" s="15">
        <f>IF($A199="","",IFERROR(SUMIF(tblMotor[A_Norm],$A199,tblMotor[Tasarruf]),0))</f>
        <v/>
      </c>
      <c r="D199" s="15">
        <f>IF($A199="","",IFERROR(INDEX(tblMotor[KararSatir],MATCH($A199,tblMotor[A_Norm],0)),""))</f>
        <v/>
      </c>
      <c r="E199" s="15">
        <f>IF($A199="","",IF(OR($D199="DESİ DÜŞÜR",$D199="TAŞIYICI DEĞİŞTİR"),"YUKSEK","NORMAL"))</f>
        <v/>
      </c>
      <c r="F199" s="15">
        <f>IF($A199="","",_xlfn.TEXTJOIN(" ",TRUE,"Sipariş",$A199,"karar",$D199,"toplam",TEXT($B199,"0.00"),"tasarruf",TEXT($C199,"0.00"),"TL"))</f>
        <v/>
      </c>
    </row>
    <row r="200">
      <c r="A200" s="15">
        <f>IF('ESLESTIRME'!$A200="","",IF('ESLESTIRME'!$G200="tutar_farki",'ESLESTIRME'!$A200,""))</f>
        <v/>
      </c>
      <c r="B200" s="15">
        <f>IF($A200="","",IFERROR(SUMIF(tblMotor[A_Norm],$A200,tblMotor[SiparisToplam]),0))</f>
        <v/>
      </c>
      <c r="C200" s="15">
        <f>IF($A200="","",IFERROR(SUMIF(tblMotor[A_Norm],$A200,tblMotor[Tasarruf]),0))</f>
        <v/>
      </c>
      <c r="D200" s="15">
        <f>IF($A200="","",IFERROR(INDEX(tblMotor[KararSatir],MATCH($A200,tblMotor[A_Norm],0)),""))</f>
        <v/>
      </c>
      <c r="E200" s="15">
        <f>IF($A200="","",IF(OR($D200="DESİ DÜŞÜR",$D200="TAŞIYICI DEĞİŞTİR"),"YUKSEK","NORMAL"))</f>
        <v/>
      </c>
      <c r="F200" s="15">
        <f>IF($A200="","",_xlfn.TEXTJOIN(" ",TRUE,"Sipariş",$A200,"karar",$D200,"toplam",TEXT($B200,"0.00"),"tasarruf",TEXT($C200,"0.00"),"TL"))</f>
        <v/>
      </c>
    </row>
    <row r="201">
      <c r="A201" s="15">
        <f>IF('ESLESTIRME'!$A201="","",IF('ESLESTIRME'!$G201="tutar_farki",'ESLESTIRME'!$A201,""))</f>
        <v/>
      </c>
      <c r="B201" s="15">
        <f>IF($A201="","",IFERROR(SUMIF(tblMotor[A_Norm],$A201,tblMotor[SiparisToplam]),0))</f>
        <v/>
      </c>
      <c r="C201" s="15">
        <f>IF($A201="","",IFERROR(SUMIF(tblMotor[A_Norm],$A201,tblMotor[Tasarruf]),0))</f>
        <v/>
      </c>
      <c r="D201" s="15">
        <f>IF($A201="","",IFERROR(INDEX(tblMotor[KararSatir],MATCH($A201,tblMotor[A_Norm],0)),""))</f>
        <v/>
      </c>
      <c r="E201" s="15">
        <f>IF($A201="","",IF(OR($D201="DESİ DÜŞÜR",$D201="TAŞIYICI DEĞİŞTİR"),"YUKSEK","NORMAL"))</f>
        <v/>
      </c>
      <c r="F201" s="15">
        <f>IF($A201="","",_xlfn.TEXTJOIN(" ",TRUE,"Sipariş",$A201,"karar",$D201,"toplam",TEXT($B201,"0.00"),"tasarruf",TEXT($C201,"0.00"),"TL"))</f>
        <v/>
      </c>
    </row>
    <row r="202">
      <c r="A202" s="15">
        <f>IF('ESLESTIRME'!$A202="","",IF('ESLESTIRME'!$G202="tutar_farki",'ESLESTIRME'!$A202,""))</f>
        <v/>
      </c>
      <c r="B202" s="15">
        <f>IF($A202="","",IFERROR(SUMIF(tblMotor[A_Norm],$A202,tblMotor[SiparisToplam]),0))</f>
        <v/>
      </c>
      <c r="C202" s="15">
        <f>IF($A202="","",IFERROR(SUMIF(tblMotor[A_Norm],$A202,tblMotor[Tasarruf]),0))</f>
        <v/>
      </c>
      <c r="D202" s="15">
        <f>IF($A202="","",IFERROR(INDEX(tblMotor[KararSatir],MATCH($A202,tblMotor[A_Norm],0)),""))</f>
        <v/>
      </c>
      <c r="E202" s="15">
        <f>IF($A202="","",IF(OR($D202="DESİ DÜŞÜR",$D202="TAŞIYICI DEĞİŞTİR"),"YUKSEK","NORMAL"))</f>
        <v/>
      </c>
      <c r="F202" s="15">
        <f>IF($A202="","",_xlfn.TEXTJOIN(" ",TRUE,"Sipariş",$A202,"karar",$D202,"toplam",TEXT($B202,"0.00"),"tasarruf",TEXT($C202,"0.00"),"TL"))</f>
        <v/>
      </c>
    </row>
    <row r="203">
      <c r="A203" s="15">
        <f>IF('ESLESTIRME'!$A203="","",IF('ESLESTIRME'!$G203="tutar_farki",'ESLESTIRME'!$A203,""))</f>
        <v/>
      </c>
      <c r="B203" s="15">
        <f>IF($A203="","",IFERROR(SUMIF(tblMotor[A_Norm],$A203,tblMotor[SiparisToplam]),0))</f>
        <v/>
      </c>
      <c r="C203" s="15">
        <f>IF($A203="","",IFERROR(SUMIF(tblMotor[A_Norm],$A203,tblMotor[Tasarruf]),0))</f>
        <v/>
      </c>
      <c r="D203" s="15">
        <f>IF($A203="","",IFERROR(INDEX(tblMotor[KararSatir],MATCH($A203,tblMotor[A_Norm],0)),""))</f>
        <v/>
      </c>
      <c r="E203" s="15">
        <f>IF($A203="","",IF(OR($D203="DESİ DÜŞÜR",$D203="TAŞIYICI DEĞİŞTİR"),"YUKSEK","NORMAL"))</f>
        <v/>
      </c>
      <c r="F203" s="15">
        <f>IF($A203="","",_xlfn.TEXTJOIN(" ",TRUE,"Sipariş",$A203,"karar",$D203,"toplam",TEXT($B203,"0.00"),"tasarruf",TEXT($C203,"0.00"),"TL"))</f>
        <v/>
      </c>
    </row>
    <row r="204">
      <c r="A204" s="15">
        <f>IF('ESLESTIRME'!$A204="","",IF('ESLESTIRME'!$G204="tutar_farki",'ESLESTIRME'!$A204,""))</f>
        <v/>
      </c>
      <c r="B204" s="15">
        <f>IF($A204="","",IFERROR(SUMIF(tblMotor[A_Norm],$A204,tblMotor[SiparisToplam]),0))</f>
        <v/>
      </c>
      <c r="C204" s="15">
        <f>IF($A204="","",IFERROR(SUMIF(tblMotor[A_Norm],$A204,tblMotor[Tasarruf]),0))</f>
        <v/>
      </c>
      <c r="D204" s="15">
        <f>IF($A204="","",IFERROR(INDEX(tblMotor[KararSatir],MATCH($A204,tblMotor[A_Norm],0)),""))</f>
        <v/>
      </c>
      <c r="E204" s="15">
        <f>IF($A204="","",IF(OR($D204="DESİ DÜŞÜR",$D204="TAŞIYICI DEĞİŞTİR"),"YUKSEK","NORMAL"))</f>
        <v/>
      </c>
      <c r="F204" s="15">
        <f>IF($A204="","",_xlfn.TEXTJOIN(" ",TRUE,"Sipariş",$A204,"karar",$D204,"toplam",TEXT($B204,"0.00"),"tasarruf",TEXT($C204,"0.00"),"TL"))</f>
        <v/>
      </c>
    </row>
    <row r="205">
      <c r="A205" s="15">
        <f>IF('ESLESTIRME'!$A205="","",IF('ESLESTIRME'!$G205="tutar_farki",'ESLESTIRME'!$A205,""))</f>
        <v/>
      </c>
      <c r="B205" s="15">
        <f>IF($A205="","",IFERROR(SUMIF(tblMotor[A_Norm],$A205,tblMotor[SiparisToplam]),0))</f>
        <v/>
      </c>
      <c r="C205" s="15">
        <f>IF($A205="","",IFERROR(SUMIF(tblMotor[A_Norm],$A205,tblMotor[Tasarruf]),0))</f>
        <v/>
      </c>
      <c r="D205" s="15">
        <f>IF($A205="","",IFERROR(INDEX(tblMotor[KararSatir],MATCH($A205,tblMotor[A_Norm],0)),""))</f>
        <v/>
      </c>
      <c r="E205" s="15">
        <f>IF($A205="","",IF(OR($D205="DESİ DÜŞÜR",$D205="TAŞIYICI DEĞİŞTİR"),"YUKSEK","NORMAL"))</f>
        <v/>
      </c>
      <c r="F205" s="15">
        <f>IF($A205="","",_xlfn.TEXTJOIN(" ",TRUE,"Sipariş",$A205,"karar",$D205,"toplam",TEXT($B205,"0.00"),"tasarruf",TEXT($C205,"0.00"),"TL"))</f>
        <v/>
      </c>
    </row>
    <row r="206">
      <c r="A206" s="15">
        <f>IF('ESLESTIRME'!$A206="","",IF('ESLESTIRME'!$G206="tutar_farki",'ESLESTIRME'!$A206,""))</f>
        <v/>
      </c>
      <c r="B206" s="15">
        <f>IF($A206="","",IFERROR(SUMIF(tblMotor[A_Norm],$A206,tblMotor[SiparisToplam]),0))</f>
        <v/>
      </c>
      <c r="C206" s="15">
        <f>IF($A206="","",IFERROR(SUMIF(tblMotor[A_Norm],$A206,tblMotor[Tasarruf]),0))</f>
        <v/>
      </c>
      <c r="D206" s="15">
        <f>IF($A206="","",IFERROR(INDEX(tblMotor[KararSatir],MATCH($A206,tblMotor[A_Norm],0)),""))</f>
        <v/>
      </c>
      <c r="E206" s="15">
        <f>IF($A206="","",IF(OR($D206="DESİ DÜŞÜR",$D206="TAŞIYICI DEĞİŞTİR"),"YUKSEK","NORMAL"))</f>
        <v/>
      </c>
      <c r="F206" s="15">
        <f>IF($A206="","",_xlfn.TEXTJOIN(" ",TRUE,"Sipariş",$A206,"karar",$D206,"toplam",TEXT($B206,"0.00"),"tasarruf",TEXT($C206,"0.00"),"TL"))</f>
        <v/>
      </c>
    </row>
    <row r="207">
      <c r="A207" s="15">
        <f>IF('ESLESTIRME'!$A207="","",IF('ESLESTIRME'!$G207="tutar_farki",'ESLESTIRME'!$A207,""))</f>
        <v/>
      </c>
      <c r="B207" s="15">
        <f>IF($A207="","",IFERROR(SUMIF(tblMotor[A_Norm],$A207,tblMotor[SiparisToplam]),0))</f>
        <v/>
      </c>
      <c r="C207" s="15">
        <f>IF($A207="","",IFERROR(SUMIF(tblMotor[A_Norm],$A207,tblMotor[Tasarruf]),0))</f>
        <v/>
      </c>
      <c r="D207" s="15">
        <f>IF($A207="","",IFERROR(INDEX(tblMotor[KararSatir],MATCH($A207,tblMotor[A_Norm],0)),""))</f>
        <v/>
      </c>
      <c r="E207" s="15">
        <f>IF($A207="","",IF(OR($D207="DESİ DÜŞÜR",$D207="TAŞIYICI DEĞİŞTİR"),"YUKSEK","NORMAL"))</f>
        <v/>
      </c>
      <c r="F207" s="15">
        <f>IF($A207="","",_xlfn.TEXTJOIN(" ",TRUE,"Sipariş",$A207,"karar",$D207,"toplam",TEXT($B207,"0.00"),"tasarruf",TEXT($C207,"0.00"),"TL"))</f>
        <v/>
      </c>
    </row>
    <row r="208">
      <c r="A208" s="15">
        <f>IF('ESLESTIRME'!$A208="","",IF('ESLESTIRME'!$G208="tutar_farki",'ESLESTIRME'!$A208,""))</f>
        <v/>
      </c>
      <c r="B208" s="15">
        <f>IF($A208="","",IFERROR(SUMIF(tblMotor[A_Norm],$A208,tblMotor[SiparisToplam]),0))</f>
        <v/>
      </c>
      <c r="C208" s="15">
        <f>IF($A208="","",IFERROR(SUMIF(tblMotor[A_Norm],$A208,tblMotor[Tasarruf]),0))</f>
        <v/>
      </c>
      <c r="D208" s="15">
        <f>IF($A208="","",IFERROR(INDEX(tblMotor[KararSatir],MATCH($A208,tblMotor[A_Norm],0)),""))</f>
        <v/>
      </c>
      <c r="E208" s="15">
        <f>IF($A208="","",IF(OR($D208="DESİ DÜŞÜR",$D208="TAŞIYICI DEĞİŞTİR"),"YUKSEK","NORMAL"))</f>
        <v/>
      </c>
      <c r="F208" s="15">
        <f>IF($A208="","",_xlfn.TEXTJOIN(" ",TRUE,"Sipariş",$A208,"karar",$D208,"toplam",TEXT($B208,"0.00"),"tasarruf",TEXT($C208,"0.00"),"TL"))</f>
        <v/>
      </c>
    </row>
    <row r="209">
      <c r="A209" s="15">
        <f>IF('ESLESTIRME'!$A209="","",IF('ESLESTIRME'!$G209="tutar_farki",'ESLESTIRME'!$A209,""))</f>
        <v/>
      </c>
      <c r="B209" s="15">
        <f>IF($A209="","",IFERROR(SUMIF(tblMotor[A_Norm],$A209,tblMotor[SiparisToplam]),0))</f>
        <v/>
      </c>
      <c r="C209" s="15">
        <f>IF($A209="","",IFERROR(SUMIF(tblMotor[A_Norm],$A209,tblMotor[Tasarruf]),0))</f>
        <v/>
      </c>
      <c r="D209" s="15">
        <f>IF($A209="","",IFERROR(INDEX(tblMotor[KararSatir],MATCH($A209,tblMotor[A_Norm],0)),""))</f>
        <v/>
      </c>
      <c r="E209" s="15">
        <f>IF($A209="","",IF(OR($D209="DESİ DÜŞÜR",$D209="TAŞIYICI DEĞİŞTİR"),"YUKSEK","NORMAL"))</f>
        <v/>
      </c>
      <c r="F209" s="15">
        <f>IF($A209="","",_xlfn.TEXTJOIN(" ",TRUE,"Sipariş",$A209,"karar",$D209,"toplam",TEXT($B209,"0.00"),"tasarruf",TEXT($C209,"0.00"),"TL"))</f>
        <v/>
      </c>
    </row>
    <row r="210">
      <c r="A210" s="15">
        <f>IF('ESLESTIRME'!$A210="","",IF('ESLESTIRME'!$G210="tutar_farki",'ESLESTIRME'!$A210,""))</f>
        <v/>
      </c>
      <c r="B210" s="15">
        <f>IF($A210="","",IFERROR(SUMIF(tblMotor[A_Norm],$A210,tblMotor[SiparisToplam]),0))</f>
        <v/>
      </c>
      <c r="C210" s="15">
        <f>IF($A210="","",IFERROR(SUMIF(tblMotor[A_Norm],$A210,tblMotor[Tasarruf]),0))</f>
        <v/>
      </c>
      <c r="D210" s="15">
        <f>IF($A210="","",IFERROR(INDEX(tblMotor[KararSatir],MATCH($A210,tblMotor[A_Norm],0)),""))</f>
        <v/>
      </c>
      <c r="E210" s="15">
        <f>IF($A210="","",IF(OR($D210="DESİ DÜŞÜR",$D210="TAŞIYICI DEĞİŞTİR"),"YUKSEK","NORMAL"))</f>
        <v/>
      </c>
      <c r="F210" s="15">
        <f>IF($A210="","",_xlfn.TEXTJOIN(" ",TRUE,"Sipariş",$A210,"karar",$D210,"toplam",TEXT($B210,"0.00"),"tasarruf",TEXT($C210,"0.00"),"TL"))</f>
        <v/>
      </c>
    </row>
    <row r="211">
      <c r="A211" s="15">
        <f>IF('ESLESTIRME'!$A211="","",IF('ESLESTIRME'!$G211="tutar_farki",'ESLESTIRME'!$A211,""))</f>
        <v/>
      </c>
      <c r="B211" s="15">
        <f>IF($A211="","",IFERROR(SUMIF(tblMotor[A_Norm],$A211,tblMotor[SiparisToplam]),0))</f>
        <v/>
      </c>
      <c r="C211" s="15">
        <f>IF($A211="","",IFERROR(SUMIF(tblMotor[A_Norm],$A211,tblMotor[Tasarruf]),0))</f>
        <v/>
      </c>
      <c r="D211" s="15">
        <f>IF($A211="","",IFERROR(INDEX(tblMotor[KararSatir],MATCH($A211,tblMotor[A_Norm],0)),""))</f>
        <v/>
      </c>
      <c r="E211" s="15">
        <f>IF($A211="","",IF(OR($D211="DESİ DÜŞÜR",$D211="TAŞIYICI DEĞİŞTİR"),"YUKSEK","NORMAL"))</f>
        <v/>
      </c>
      <c r="F211" s="15">
        <f>IF($A211="","",_xlfn.TEXTJOIN(" ",TRUE,"Sipariş",$A211,"karar",$D211,"toplam",TEXT($B211,"0.00"),"tasarruf",TEXT($C211,"0.00"),"TL"))</f>
        <v/>
      </c>
    </row>
    <row r="212">
      <c r="A212" s="15">
        <f>IF('ESLESTIRME'!$A212="","",IF('ESLESTIRME'!$G212="tutar_farki",'ESLESTIRME'!$A212,""))</f>
        <v/>
      </c>
      <c r="B212" s="15">
        <f>IF($A212="","",IFERROR(SUMIF(tblMotor[A_Norm],$A212,tblMotor[SiparisToplam]),0))</f>
        <v/>
      </c>
      <c r="C212" s="15">
        <f>IF($A212="","",IFERROR(SUMIF(tblMotor[A_Norm],$A212,tblMotor[Tasarruf]),0))</f>
        <v/>
      </c>
      <c r="D212" s="15">
        <f>IF($A212="","",IFERROR(INDEX(tblMotor[KararSatir],MATCH($A212,tblMotor[A_Norm],0)),""))</f>
        <v/>
      </c>
      <c r="E212" s="15">
        <f>IF($A212="","",IF(OR($D212="DESİ DÜŞÜR",$D212="TAŞIYICI DEĞİŞTİR"),"YUKSEK","NORMAL"))</f>
        <v/>
      </c>
      <c r="F212" s="15">
        <f>IF($A212="","",_xlfn.TEXTJOIN(" ",TRUE,"Sipariş",$A212,"karar",$D212,"toplam",TEXT($B212,"0.00"),"tasarruf",TEXT($C212,"0.00"),"TL"))</f>
        <v/>
      </c>
    </row>
    <row r="213">
      <c r="A213" s="15">
        <f>IF('ESLESTIRME'!$A213="","",IF('ESLESTIRME'!$G213="tutar_farki",'ESLESTIRME'!$A213,""))</f>
        <v/>
      </c>
      <c r="B213" s="15">
        <f>IF($A213="","",IFERROR(SUMIF(tblMotor[A_Norm],$A213,tblMotor[SiparisToplam]),0))</f>
        <v/>
      </c>
      <c r="C213" s="15">
        <f>IF($A213="","",IFERROR(SUMIF(tblMotor[A_Norm],$A213,tblMotor[Tasarruf]),0))</f>
        <v/>
      </c>
      <c r="D213" s="15">
        <f>IF($A213="","",IFERROR(INDEX(tblMotor[KararSatir],MATCH($A213,tblMotor[A_Norm],0)),""))</f>
        <v/>
      </c>
      <c r="E213" s="15">
        <f>IF($A213="","",IF(OR($D213="DESİ DÜŞÜR",$D213="TAŞIYICI DEĞİŞTİR"),"YUKSEK","NORMAL"))</f>
        <v/>
      </c>
      <c r="F213" s="15">
        <f>IF($A213="","",_xlfn.TEXTJOIN(" ",TRUE,"Sipariş",$A213,"karar",$D213,"toplam",TEXT($B213,"0.00"),"tasarruf",TEXT($C213,"0.00"),"TL"))</f>
        <v/>
      </c>
    </row>
    <row r="214">
      <c r="A214" s="15">
        <f>IF('ESLESTIRME'!$A214="","",IF('ESLESTIRME'!$G214="tutar_farki",'ESLESTIRME'!$A214,""))</f>
        <v/>
      </c>
      <c r="B214" s="15">
        <f>IF($A214="","",IFERROR(SUMIF(tblMotor[A_Norm],$A214,tblMotor[SiparisToplam]),0))</f>
        <v/>
      </c>
      <c r="C214" s="15">
        <f>IF($A214="","",IFERROR(SUMIF(tblMotor[A_Norm],$A214,tblMotor[Tasarruf]),0))</f>
        <v/>
      </c>
      <c r="D214" s="15">
        <f>IF($A214="","",IFERROR(INDEX(tblMotor[KararSatir],MATCH($A214,tblMotor[A_Norm],0)),""))</f>
        <v/>
      </c>
      <c r="E214" s="15">
        <f>IF($A214="","",IF(OR($D214="DESİ DÜŞÜR",$D214="TAŞIYICI DEĞİŞTİR"),"YUKSEK","NORMAL"))</f>
        <v/>
      </c>
      <c r="F214" s="15">
        <f>IF($A214="","",_xlfn.TEXTJOIN(" ",TRUE,"Sipariş",$A214,"karar",$D214,"toplam",TEXT($B214,"0.00"),"tasarruf",TEXT($C214,"0.00"),"TL"))</f>
        <v/>
      </c>
    </row>
    <row r="215">
      <c r="A215" s="15">
        <f>IF('ESLESTIRME'!$A215="","",IF('ESLESTIRME'!$G215="tutar_farki",'ESLESTIRME'!$A215,""))</f>
        <v/>
      </c>
      <c r="B215" s="15">
        <f>IF($A215="","",IFERROR(SUMIF(tblMotor[A_Norm],$A215,tblMotor[SiparisToplam]),0))</f>
        <v/>
      </c>
      <c r="C215" s="15">
        <f>IF($A215="","",IFERROR(SUMIF(tblMotor[A_Norm],$A215,tblMotor[Tasarruf]),0))</f>
        <v/>
      </c>
      <c r="D215" s="15">
        <f>IF($A215="","",IFERROR(INDEX(tblMotor[KararSatir],MATCH($A215,tblMotor[A_Norm],0)),""))</f>
        <v/>
      </c>
      <c r="E215" s="15">
        <f>IF($A215="","",IF(OR($D215="DESİ DÜŞÜR",$D215="TAŞIYICI DEĞİŞTİR"),"YUKSEK","NORMAL"))</f>
        <v/>
      </c>
      <c r="F215" s="15">
        <f>IF($A215="","",_xlfn.TEXTJOIN(" ",TRUE,"Sipariş",$A215,"karar",$D215,"toplam",TEXT($B215,"0.00"),"tasarruf",TEXT($C215,"0.00"),"TL"))</f>
        <v/>
      </c>
    </row>
    <row r="216">
      <c r="A216" s="15">
        <f>IF('ESLESTIRME'!$A216="","",IF('ESLESTIRME'!$G216="tutar_farki",'ESLESTIRME'!$A216,""))</f>
        <v/>
      </c>
      <c r="B216" s="15">
        <f>IF($A216="","",IFERROR(SUMIF(tblMotor[A_Norm],$A216,tblMotor[SiparisToplam]),0))</f>
        <v/>
      </c>
      <c r="C216" s="15">
        <f>IF($A216="","",IFERROR(SUMIF(tblMotor[A_Norm],$A216,tblMotor[Tasarruf]),0))</f>
        <v/>
      </c>
      <c r="D216" s="15">
        <f>IF($A216="","",IFERROR(INDEX(tblMotor[KararSatir],MATCH($A216,tblMotor[A_Norm],0)),""))</f>
        <v/>
      </c>
      <c r="E216" s="15">
        <f>IF($A216="","",IF(OR($D216="DESİ DÜŞÜR",$D216="TAŞIYICI DEĞİŞTİR"),"YUKSEK","NORMAL"))</f>
        <v/>
      </c>
      <c r="F216" s="15">
        <f>IF($A216="","",_xlfn.TEXTJOIN(" ",TRUE,"Sipariş",$A216,"karar",$D216,"toplam",TEXT($B216,"0.00"),"tasarruf",TEXT($C216,"0.00"),"TL"))</f>
        <v/>
      </c>
    </row>
    <row r="217">
      <c r="A217" s="15">
        <f>IF('ESLESTIRME'!$A217="","",IF('ESLESTIRME'!$G217="tutar_farki",'ESLESTIRME'!$A217,""))</f>
        <v/>
      </c>
      <c r="B217" s="15">
        <f>IF($A217="","",IFERROR(SUMIF(tblMotor[A_Norm],$A217,tblMotor[SiparisToplam]),0))</f>
        <v/>
      </c>
      <c r="C217" s="15">
        <f>IF($A217="","",IFERROR(SUMIF(tblMotor[A_Norm],$A217,tblMotor[Tasarruf]),0))</f>
        <v/>
      </c>
      <c r="D217" s="15">
        <f>IF($A217="","",IFERROR(INDEX(tblMotor[KararSatir],MATCH($A217,tblMotor[A_Norm],0)),""))</f>
        <v/>
      </c>
      <c r="E217" s="15">
        <f>IF($A217="","",IF(OR($D217="DESİ DÜŞÜR",$D217="TAŞIYICI DEĞİŞTİR"),"YUKSEK","NORMAL"))</f>
        <v/>
      </c>
      <c r="F217" s="15">
        <f>IF($A217="","",_xlfn.TEXTJOIN(" ",TRUE,"Sipariş",$A217,"karar",$D217,"toplam",TEXT($B217,"0.00"),"tasarruf",TEXT($C217,"0.00"),"TL"))</f>
        <v/>
      </c>
    </row>
    <row r="218">
      <c r="A218" s="15">
        <f>IF('ESLESTIRME'!$A218="","",IF('ESLESTIRME'!$G218="tutar_farki",'ESLESTIRME'!$A218,""))</f>
        <v/>
      </c>
      <c r="B218" s="15">
        <f>IF($A218="","",IFERROR(SUMIF(tblMotor[A_Norm],$A218,tblMotor[SiparisToplam]),0))</f>
        <v/>
      </c>
      <c r="C218" s="15">
        <f>IF($A218="","",IFERROR(SUMIF(tblMotor[A_Norm],$A218,tblMotor[Tasarruf]),0))</f>
        <v/>
      </c>
      <c r="D218" s="15">
        <f>IF($A218="","",IFERROR(INDEX(tblMotor[KararSatir],MATCH($A218,tblMotor[A_Norm],0)),""))</f>
        <v/>
      </c>
      <c r="E218" s="15">
        <f>IF($A218="","",IF(OR($D218="DESİ DÜŞÜR",$D218="TAŞIYICI DEĞİŞTİR"),"YUKSEK","NORMAL"))</f>
        <v/>
      </c>
      <c r="F218" s="15">
        <f>IF($A218="","",_xlfn.TEXTJOIN(" ",TRUE,"Sipariş",$A218,"karar",$D218,"toplam",TEXT($B218,"0.00"),"tasarruf",TEXT($C218,"0.00"),"TL"))</f>
        <v/>
      </c>
    </row>
    <row r="219">
      <c r="A219" s="15">
        <f>IF('ESLESTIRME'!$A219="","",IF('ESLESTIRME'!$G219="tutar_farki",'ESLESTIRME'!$A219,""))</f>
        <v/>
      </c>
      <c r="B219" s="15">
        <f>IF($A219="","",IFERROR(SUMIF(tblMotor[A_Norm],$A219,tblMotor[SiparisToplam]),0))</f>
        <v/>
      </c>
      <c r="C219" s="15">
        <f>IF($A219="","",IFERROR(SUMIF(tblMotor[A_Norm],$A219,tblMotor[Tasarruf]),0))</f>
        <v/>
      </c>
      <c r="D219" s="15">
        <f>IF($A219="","",IFERROR(INDEX(tblMotor[KararSatir],MATCH($A219,tblMotor[A_Norm],0)),""))</f>
        <v/>
      </c>
      <c r="E219" s="15">
        <f>IF($A219="","",IF(OR($D219="DESİ DÜŞÜR",$D219="TAŞIYICI DEĞİŞTİR"),"YUKSEK","NORMAL"))</f>
        <v/>
      </c>
      <c r="F219" s="15">
        <f>IF($A219="","",_xlfn.TEXTJOIN(" ",TRUE,"Sipariş",$A219,"karar",$D219,"toplam",TEXT($B219,"0.00"),"tasarruf",TEXT($C219,"0.00"),"TL"))</f>
        <v/>
      </c>
    </row>
    <row r="220">
      <c r="A220" s="15">
        <f>IF('ESLESTIRME'!$A220="","",IF('ESLESTIRME'!$G220="tutar_farki",'ESLESTIRME'!$A220,""))</f>
        <v/>
      </c>
      <c r="B220" s="15">
        <f>IF($A220="","",IFERROR(SUMIF(tblMotor[A_Norm],$A220,tblMotor[SiparisToplam]),0))</f>
        <v/>
      </c>
      <c r="C220" s="15">
        <f>IF($A220="","",IFERROR(SUMIF(tblMotor[A_Norm],$A220,tblMotor[Tasarruf]),0))</f>
        <v/>
      </c>
      <c r="D220" s="15">
        <f>IF($A220="","",IFERROR(INDEX(tblMotor[KararSatir],MATCH($A220,tblMotor[A_Norm],0)),""))</f>
        <v/>
      </c>
      <c r="E220" s="15">
        <f>IF($A220="","",IF(OR($D220="DESİ DÜŞÜR",$D220="TAŞIYICI DEĞİŞTİR"),"YUKSEK","NORMAL"))</f>
        <v/>
      </c>
      <c r="F220" s="15">
        <f>IF($A220="","",_xlfn.TEXTJOIN(" ",TRUE,"Sipariş",$A220,"karar",$D220,"toplam",TEXT($B220,"0.00"),"tasarruf",TEXT($C220,"0.00"),"TL"))</f>
        <v/>
      </c>
    </row>
    <row r="221">
      <c r="A221" s="15">
        <f>IF('ESLESTIRME'!$A221="","",IF('ESLESTIRME'!$G221="tutar_farki",'ESLESTIRME'!$A221,""))</f>
        <v/>
      </c>
      <c r="B221" s="15">
        <f>IF($A221="","",IFERROR(SUMIF(tblMotor[A_Norm],$A221,tblMotor[SiparisToplam]),0))</f>
        <v/>
      </c>
      <c r="C221" s="15">
        <f>IF($A221="","",IFERROR(SUMIF(tblMotor[A_Norm],$A221,tblMotor[Tasarruf]),0))</f>
        <v/>
      </c>
      <c r="D221" s="15">
        <f>IF($A221="","",IFERROR(INDEX(tblMotor[KararSatir],MATCH($A221,tblMotor[A_Norm],0)),""))</f>
        <v/>
      </c>
      <c r="E221" s="15">
        <f>IF($A221="","",IF(OR($D221="DESİ DÜŞÜR",$D221="TAŞIYICI DEĞİŞTİR"),"YUKSEK","NORMAL"))</f>
        <v/>
      </c>
      <c r="F221" s="15">
        <f>IF($A221="","",_xlfn.TEXTJOIN(" ",TRUE,"Sipariş",$A221,"karar",$D221,"toplam",TEXT($B221,"0.00"),"tasarruf",TEXT($C221,"0.00"),"TL"))</f>
        <v/>
      </c>
    </row>
    <row r="222">
      <c r="A222" s="15">
        <f>IF('ESLESTIRME'!$A222="","",IF('ESLESTIRME'!$G222="tutar_farki",'ESLESTIRME'!$A222,""))</f>
        <v/>
      </c>
      <c r="B222" s="15">
        <f>IF($A222="","",IFERROR(SUMIF(tblMotor[A_Norm],$A222,tblMotor[SiparisToplam]),0))</f>
        <v/>
      </c>
      <c r="C222" s="15">
        <f>IF($A222="","",IFERROR(SUMIF(tblMotor[A_Norm],$A222,tblMotor[Tasarruf]),0))</f>
        <v/>
      </c>
      <c r="D222" s="15">
        <f>IF($A222="","",IFERROR(INDEX(tblMotor[KararSatir],MATCH($A222,tblMotor[A_Norm],0)),""))</f>
        <v/>
      </c>
      <c r="E222" s="15">
        <f>IF($A222="","",IF(OR($D222="DESİ DÜŞÜR",$D222="TAŞIYICI DEĞİŞTİR"),"YUKSEK","NORMAL"))</f>
        <v/>
      </c>
      <c r="F222" s="15">
        <f>IF($A222="","",_xlfn.TEXTJOIN(" ",TRUE,"Sipariş",$A222,"karar",$D222,"toplam",TEXT($B222,"0.00"),"tasarruf",TEXT($C222,"0.00"),"TL"))</f>
        <v/>
      </c>
    </row>
    <row r="223">
      <c r="A223" s="15">
        <f>IF('ESLESTIRME'!$A223="","",IF('ESLESTIRME'!$G223="tutar_farki",'ESLESTIRME'!$A223,""))</f>
        <v/>
      </c>
      <c r="B223" s="15">
        <f>IF($A223="","",IFERROR(SUMIF(tblMotor[A_Norm],$A223,tblMotor[SiparisToplam]),0))</f>
        <v/>
      </c>
      <c r="C223" s="15">
        <f>IF($A223="","",IFERROR(SUMIF(tblMotor[A_Norm],$A223,tblMotor[Tasarruf]),0))</f>
        <v/>
      </c>
      <c r="D223" s="15">
        <f>IF($A223="","",IFERROR(INDEX(tblMotor[KararSatir],MATCH($A223,tblMotor[A_Norm],0)),""))</f>
        <v/>
      </c>
      <c r="E223" s="15">
        <f>IF($A223="","",IF(OR($D223="DESİ DÜŞÜR",$D223="TAŞIYICI DEĞİŞTİR"),"YUKSEK","NORMAL"))</f>
        <v/>
      </c>
      <c r="F223" s="15">
        <f>IF($A223="","",_xlfn.TEXTJOIN(" ",TRUE,"Sipariş",$A223,"karar",$D223,"toplam",TEXT($B223,"0.00"),"tasarruf",TEXT($C223,"0.00"),"TL"))</f>
        <v/>
      </c>
    </row>
    <row r="224">
      <c r="A224" s="15">
        <f>IF('ESLESTIRME'!$A224="","",IF('ESLESTIRME'!$G224="tutar_farki",'ESLESTIRME'!$A224,""))</f>
        <v/>
      </c>
      <c r="B224" s="15">
        <f>IF($A224="","",IFERROR(SUMIF(tblMotor[A_Norm],$A224,tblMotor[SiparisToplam]),0))</f>
        <v/>
      </c>
      <c r="C224" s="15">
        <f>IF($A224="","",IFERROR(SUMIF(tblMotor[A_Norm],$A224,tblMotor[Tasarruf]),0))</f>
        <v/>
      </c>
      <c r="D224" s="15">
        <f>IF($A224="","",IFERROR(INDEX(tblMotor[KararSatir],MATCH($A224,tblMotor[A_Norm],0)),""))</f>
        <v/>
      </c>
      <c r="E224" s="15">
        <f>IF($A224="","",IF(OR($D224="DESİ DÜŞÜR",$D224="TAŞIYICI DEĞİŞTİR"),"YUKSEK","NORMAL"))</f>
        <v/>
      </c>
      <c r="F224" s="15">
        <f>IF($A224="","",_xlfn.TEXTJOIN(" ",TRUE,"Sipariş",$A224,"karar",$D224,"toplam",TEXT($B224,"0.00"),"tasarruf",TEXT($C224,"0.00"),"TL"))</f>
        <v/>
      </c>
    </row>
    <row r="225">
      <c r="A225" s="15">
        <f>IF('ESLESTIRME'!$A225="","",IF('ESLESTIRME'!$G225="tutar_farki",'ESLESTIRME'!$A225,""))</f>
        <v/>
      </c>
      <c r="B225" s="15">
        <f>IF($A225="","",IFERROR(SUMIF(tblMotor[A_Norm],$A225,tblMotor[SiparisToplam]),0))</f>
        <v/>
      </c>
      <c r="C225" s="15">
        <f>IF($A225="","",IFERROR(SUMIF(tblMotor[A_Norm],$A225,tblMotor[Tasarruf]),0))</f>
        <v/>
      </c>
      <c r="D225" s="15">
        <f>IF($A225="","",IFERROR(INDEX(tblMotor[KararSatir],MATCH($A225,tblMotor[A_Norm],0)),""))</f>
        <v/>
      </c>
      <c r="E225" s="15">
        <f>IF($A225="","",IF(OR($D225="DESİ DÜŞÜR",$D225="TAŞIYICI DEĞİŞTİR"),"YUKSEK","NORMAL"))</f>
        <v/>
      </c>
      <c r="F225" s="15">
        <f>IF($A225="","",_xlfn.TEXTJOIN(" ",TRUE,"Sipariş",$A225,"karar",$D225,"toplam",TEXT($B225,"0.00"),"tasarruf",TEXT($C225,"0.00"),"TL"))</f>
        <v/>
      </c>
    </row>
    <row r="226">
      <c r="A226" s="15">
        <f>IF('ESLESTIRME'!$A226="","",IF('ESLESTIRME'!$G226="tutar_farki",'ESLESTIRME'!$A226,""))</f>
        <v/>
      </c>
      <c r="B226" s="15">
        <f>IF($A226="","",IFERROR(SUMIF(tblMotor[A_Norm],$A226,tblMotor[SiparisToplam]),0))</f>
        <v/>
      </c>
      <c r="C226" s="15">
        <f>IF($A226="","",IFERROR(SUMIF(tblMotor[A_Norm],$A226,tblMotor[Tasarruf]),0))</f>
        <v/>
      </c>
      <c r="D226" s="15">
        <f>IF($A226="","",IFERROR(INDEX(tblMotor[KararSatir],MATCH($A226,tblMotor[A_Norm],0)),""))</f>
        <v/>
      </c>
      <c r="E226" s="15">
        <f>IF($A226="","",IF(OR($D226="DESİ DÜŞÜR",$D226="TAŞIYICI DEĞİŞTİR"),"YUKSEK","NORMAL"))</f>
        <v/>
      </c>
      <c r="F226" s="15">
        <f>IF($A226="","",_xlfn.TEXTJOIN(" ",TRUE,"Sipariş",$A226,"karar",$D226,"toplam",TEXT($B226,"0.00"),"tasarruf",TEXT($C226,"0.00"),"TL"))</f>
        <v/>
      </c>
    </row>
    <row r="227">
      <c r="A227" s="15">
        <f>IF('ESLESTIRME'!$A227="","",IF('ESLESTIRME'!$G227="tutar_farki",'ESLESTIRME'!$A227,""))</f>
        <v/>
      </c>
      <c r="B227" s="15">
        <f>IF($A227="","",IFERROR(SUMIF(tblMotor[A_Norm],$A227,tblMotor[SiparisToplam]),0))</f>
        <v/>
      </c>
      <c r="C227" s="15">
        <f>IF($A227="","",IFERROR(SUMIF(tblMotor[A_Norm],$A227,tblMotor[Tasarruf]),0))</f>
        <v/>
      </c>
      <c r="D227" s="15">
        <f>IF($A227="","",IFERROR(INDEX(tblMotor[KararSatir],MATCH($A227,tblMotor[A_Norm],0)),""))</f>
        <v/>
      </c>
      <c r="E227" s="15">
        <f>IF($A227="","",IF(OR($D227="DESİ DÜŞÜR",$D227="TAŞIYICI DEĞİŞTİR"),"YUKSEK","NORMAL"))</f>
        <v/>
      </c>
      <c r="F227" s="15">
        <f>IF($A227="","",_xlfn.TEXTJOIN(" ",TRUE,"Sipariş",$A227,"karar",$D227,"toplam",TEXT($B227,"0.00"),"tasarruf",TEXT($C227,"0.00"),"TL"))</f>
        <v/>
      </c>
    </row>
    <row r="228">
      <c r="A228" s="15">
        <f>IF('ESLESTIRME'!$A228="","",IF('ESLESTIRME'!$G228="tutar_farki",'ESLESTIRME'!$A228,""))</f>
        <v/>
      </c>
      <c r="B228" s="15">
        <f>IF($A228="","",IFERROR(SUMIF(tblMotor[A_Norm],$A228,tblMotor[SiparisToplam]),0))</f>
        <v/>
      </c>
      <c r="C228" s="15">
        <f>IF($A228="","",IFERROR(SUMIF(tblMotor[A_Norm],$A228,tblMotor[Tasarruf]),0))</f>
        <v/>
      </c>
      <c r="D228" s="15">
        <f>IF($A228="","",IFERROR(INDEX(tblMotor[KararSatir],MATCH($A228,tblMotor[A_Norm],0)),""))</f>
        <v/>
      </c>
      <c r="E228" s="15">
        <f>IF($A228="","",IF(OR($D228="DESİ DÜŞÜR",$D228="TAŞIYICI DEĞİŞTİR"),"YUKSEK","NORMAL"))</f>
        <v/>
      </c>
      <c r="F228" s="15">
        <f>IF($A228="","",_xlfn.TEXTJOIN(" ",TRUE,"Sipariş",$A228,"karar",$D228,"toplam",TEXT($B228,"0.00"),"tasarruf",TEXT($C228,"0.00"),"TL"))</f>
        <v/>
      </c>
    </row>
    <row r="229">
      <c r="A229" s="15">
        <f>IF('ESLESTIRME'!$A229="","",IF('ESLESTIRME'!$G229="tutar_farki",'ESLESTIRME'!$A229,""))</f>
        <v/>
      </c>
      <c r="B229" s="15">
        <f>IF($A229="","",IFERROR(SUMIF(tblMotor[A_Norm],$A229,tblMotor[SiparisToplam]),0))</f>
        <v/>
      </c>
      <c r="C229" s="15">
        <f>IF($A229="","",IFERROR(SUMIF(tblMotor[A_Norm],$A229,tblMotor[Tasarruf]),0))</f>
        <v/>
      </c>
      <c r="D229" s="15">
        <f>IF($A229="","",IFERROR(INDEX(tblMotor[KararSatir],MATCH($A229,tblMotor[A_Norm],0)),""))</f>
        <v/>
      </c>
      <c r="E229" s="15">
        <f>IF($A229="","",IF(OR($D229="DESİ DÜŞÜR",$D229="TAŞIYICI DEĞİŞTİR"),"YUKSEK","NORMAL"))</f>
        <v/>
      </c>
      <c r="F229" s="15">
        <f>IF($A229="","",_xlfn.TEXTJOIN(" ",TRUE,"Sipariş",$A229,"karar",$D229,"toplam",TEXT($B229,"0.00"),"tasarruf",TEXT($C229,"0.00"),"TL"))</f>
        <v/>
      </c>
    </row>
    <row r="230">
      <c r="A230" s="15">
        <f>IF('ESLESTIRME'!$A230="","",IF('ESLESTIRME'!$G230="tutar_farki",'ESLESTIRME'!$A230,""))</f>
        <v/>
      </c>
      <c r="B230" s="15">
        <f>IF($A230="","",IFERROR(SUMIF(tblMotor[A_Norm],$A230,tblMotor[SiparisToplam]),0))</f>
        <v/>
      </c>
      <c r="C230" s="15">
        <f>IF($A230="","",IFERROR(SUMIF(tblMotor[A_Norm],$A230,tblMotor[Tasarruf]),0))</f>
        <v/>
      </c>
      <c r="D230" s="15">
        <f>IF($A230="","",IFERROR(INDEX(tblMotor[KararSatir],MATCH($A230,tblMotor[A_Norm],0)),""))</f>
        <v/>
      </c>
      <c r="E230" s="15">
        <f>IF($A230="","",IF(OR($D230="DESİ DÜŞÜR",$D230="TAŞIYICI DEĞİŞTİR"),"YUKSEK","NORMAL"))</f>
        <v/>
      </c>
      <c r="F230" s="15">
        <f>IF($A230="","",_xlfn.TEXTJOIN(" ",TRUE,"Sipariş",$A230,"karar",$D230,"toplam",TEXT($B230,"0.00"),"tasarruf",TEXT($C230,"0.00"),"TL"))</f>
        <v/>
      </c>
    </row>
    <row r="231">
      <c r="A231" s="15">
        <f>IF('ESLESTIRME'!$A231="","",IF('ESLESTIRME'!$G231="tutar_farki",'ESLESTIRME'!$A231,""))</f>
        <v/>
      </c>
      <c r="B231" s="15">
        <f>IF($A231="","",IFERROR(SUMIF(tblMotor[A_Norm],$A231,tblMotor[SiparisToplam]),0))</f>
        <v/>
      </c>
      <c r="C231" s="15">
        <f>IF($A231="","",IFERROR(SUMIF(tblMotor[A_Norm],$A231,tblMotor[Tasarruf]),0))</f>
        <v/>
      </c>
      <c r="D231" s="15">
        <f>IF($A231="","",IFERROR(INDEX(tblMotor[KararSatir],MATCH($A231,tblMotor[A_Norm],0)),""))</f>
        <v/>
      </c>
      <c r="E231" s="15">
        <f>IF($A231="","",IF(OR($D231="DESİ DÜŞÜR",$D231="TAŞIYICI DEĞİŞTİR"),"YUKSEK","NORMAL"))</f>
        <v/>
      </c>
      <c r="F231" s="15">
        <f>IF($A231="","",_xlfn.TEXTJOIN(" ",TRUE,"Sipariş",$A231,"karar",$D231,"toplam",TEXT($B231,"0.00"),"tasarruf",TEXT($C231,"0.00"),"TL"))</f>
        <v/>
      </c>
    </row>
    <row r="232">
      <c r="A232" s="15">
        <f>IF('ESLESTIRME'!$A232="","",IF('ESLESTIRME'!$G232="tutar_farki",'ESLESTIRME'!$A232,""))</f>
        <v/>
      </c>
      <c r="B232" s="15">
        <f>IF($A232="","",IFERROR(SUMIF(tblMotor[A_Norm],$A232,tblMotor[SiparisToplam]),0))</f>
        <v/>
      </c>
      <c r="C232" s="15">
        <f>IF($A232="","",IFERROR(SUMIF(tblMotor[A_Norm],$A232,tblMotor[Tasarruf]),0))</f>
        <v/>
      </c>
      <c r="D232" s="15">
        <f>IF($A232="","",IFERROR(INDEX(tblMotor[KararSatir],MATCH($A232,tblMotor[A_Norm],0)),""))</f>
        <v/>
      </c>
      <c r="E232" s="15">
        <f>IF($A232="","",IF(OR($D232="DESİ DÜŞÜR",$D232="TAŞIYICI DEĞİŞTİR"),"YUKSEK","NORMAL"))</f>
        <v/>
      </c>
      <c r="F232" s="15">
        <f>IF($A232="","",_xlfn.TEXTJOIN(" ",TRUE,"Sipariş",$A232,"karar",$D232,"toplam",TEXT($B232,"0.00"),"tasarruf",TEXT($C232,"0.00"),"TL"))</f>
        <v/>
      </c>
    </row>
    <row r="233">
      <c r="A233" s="15">
        <f>IF('ESLESTIRME'!$A233="","",IF('ESLESTIRME'!$G233="tutar_farki",'ESLESTIRME'!$A233,""))</f>
        <v/>
      </c>
      <c r="B233" s="15">
        <f>IF($A233="","",IFERROR(SUMIF(tblMotor[A_Norm],$A233,tblMotor[SiparisToplam]),0))</f>
        <v/>
      </c>
      <c r="C233" s="15">
        <f>IF($A233="","",IFERROR(SUMIF(tblMotor[A_Norm],$A233,tblMotor[Tasarruf]),0))</f>
        <v/>
      </c>
      <c r="D233" s="15">
        <f>IF($A233="","",IFERROR(INDEX(tblMotor[KararSatir],MATCH($A233,tblMotor[A_Norm],0)),""))</f>
        <v/>
      </c>
      <c r="E233" s="15">
        <f>IF($A233="","",IF(OR($D233="DESİ DÜŞÜR",$D233="TAŞIYICI DEĞİŞTİR"),"YUKSEK","NORMAL"))</f>
        <v/>
      </c>
      <c r="F233" s="15">
        <f>IF($A233="","",_xlfn.TEXTJOIN(" ",TRUE,"Sipariş",$A233,"karar",$D233,"toplam",TEXT($B233,"0.00"),"tasarruf",TEXT($C233,"0.00"),"TL"))</f>
        <v/>
      </c>
    </row>
    <row r="234">
      <c r="A234" s="15">
        <f>IF('ESLESTIRME'!$A234="","",IF('ESLESTIRME'!$G234="tutar_farki",'ESLESTIRME'!$A234,""))</f>
        <v/>
      </c>
      <c r="B234" s="15">
        <f>IF($A234="","",IFERROR(SUMIF(tblMotor[A_Norm],$A234,tblMotor[SiparisToplam]),0))</f>
        <v/>
      </c>
      <c r="C234" s="15">
        <f>IF($A234="","",IFERROR(SUMIF(tblMotor[A_Norm],$A234,tblMotor[Tasarruf]),0))</f>
        <v/>
      </c>
      <c r="D234" s="15">
        <f>IF($A234="","",IFERROR(INDEX(tblMotor[KararSatir],MATCH($A234,tblMotor[A_Norm],0)),""))</f>
        <v/>
      </c>
      <c r="E234" s="15">
        <f>IF($A234="","",IF(OR($D234="DESİ DÜŞÜR",$D234="TAŞIYICI DEĞİŞTİR"),"YUKSEK","NORMAL"))</f>
        <v/>
      </c>
      <c r="F234" s="15">
        <f>IF($A234="","",_xlfn.TEXTJOIN(" ",TRUE,"Sipariş",$A234,"karar",$D234,"toplam",TEXT($B234,"0.00"),"tasarruf",TEXT($C234,"0.00"),"TL"))</f>
        <v/>
      </c>
    </row>
    <row r="235">
      <c r="A235" s="15">
        <f>IF('ESLESTIRME'!$A235="","",IF('ESLESTIRME'!$G235="tutar_farki",'ESLESTIRME'!$A235,""))</f>
        <v/>
      </c>
      <c r="B235" s="15">
        <f>IF($A235="","",IFERROR(SUMIF(tblMotor[A_Norm],$A235,tblMotor[SiparisToplam]),0))</f>
        <v/>
      </c>
      <c r="C235" s="15">
        <f>IF($A235="","",IFERROR(SUMIF(tblMotor[A_Norm],$A235,tblMotor[Tasarruf]),0))</f>
        <v/>
      </c>
      <c r="D235" s="15">
        <f>IF($A235="","",IFERROR(INDEX(tblMotor[KararSatir],MATCH($A235,tblMotor[A_Norm],0)),""))</f>
        <v/>
      </c>
      <c r="E235" s="15">
        <f>IF($A235="","",IF(OR($D235="DESİ DÜŞÜR",$D235="TAŞIYICI DEĞİŞTİR"),"YUKSEK","NORMAL"))</f>
        <v/>
      </c>
      <c r="F235" s="15">
        <f>IF($A235="","",_xlfn.TEXTJOIN(" ",TRUE,"Sipariş",$A235,"karar",$D235,"toplam",TEXT($B235,"0.00"),"tasarruf",TEXT($C235,"0.00"),"TL"))</f>
        <v/>
      </c>
    </row>
    <row r="236">
      <c r="A236" s="15">
        <f>IF('ESLESTIRME'!$A236="","",IF('ESLESTIRME'!$G236="tutar_farki",'ESLESTIRME'!$A236,""))</f>
        <v/>
      </c>
      <c r="B236" s="15">
        <f>IF($A236="","",IFERROR(SUMIF(tblMotor[A_Norm],$A236,tblMotor[SiparisToplam]),0))</f>
        <v/>
      </c>
      <c r="C236" s="15">
        <f>IF($A236="","",IFERROR(SUMIF(tblMotor[A_Norm],$A236,tblMotor[Tasarruf]),0))</f>
        <v/>
      </c>
      <c r="D236" s="15">
        <f>IF($A236="","",IFERROR(INDEX(tblMotor[KararSatir],MATCH($A236,tblMotor[A_Norm],0)),""))</f>
        <v/>
      </c>
      <c r="E236" s="15">
        <f>IF($A236="","",IF(OR($D236="DESİ DÜŞÜR",$D236="TAŞIYICI DEĞİŞTİR"),"YUKSEK","NORMAL"))</f>
        <v/>
      </c>
      <c r="F236" s="15">
        <f>IF($A236="","",_xlfn.TEXTJOIN(" ",TRUE,"Sipariş",$A236,"karar",$D236,"toplam",TEXT($B236,"0.00"),"tasarruf",TEXT($C236,"0.00"),"TL"))</f>
        <v/>
      </c>
    </row>
    <row r="237">
      <c r="A237" s="15">
        <f>IF('ESLESTIRME'!$A237="","",IF('ESLESTIRME'!$G237="tutar_farki",'ESLESTIRME'!$A237,""))</f>
        <v/>
      </c>
      <c r="B237" s="15">
        <f>IF($A237="","",IFERROR(SUMIF(tblMotor[A_Norm],$A237,tblMotor[SiparisToplam]),0))</f>
        <v/>
      </c>
      <c r="C237" s="15">
        <f>IF($A237="","",IFERROR(SUMIF(tblMotor[A_Norm],$A237,tblMotor[Tasarruf]),0))</f>
        <v/>
      </c>
      <c r="D237" s="15">
        <f>IF($A237="","",IFERROR(INDEX(tblMotor[KararSatir],MATCH($A237,tblMotor[A_Norm],0)),""))</f>
        <v/>
      </c>
      <c r="E237" s="15">
        <f>IF($A237="","",IF(OR($D237="DESİ DÜŞÜR",$D237="TAŞIYICI DEĞİŞTİR"),"YUKSEK","NORMAL"))</f>
        <v/>
      </c>
      <c r="F237" s="15">
        <f>IF($A237="","",_xlfn.TEXTJOIN(" ",TRUE,"Sipariş",$A237,"karar",$D237,"toplam",TEXT($B237,"0.00"),"tasarruf",TEXT($C237,"0.00"),"TL"))</f>
        <v/>
      </c>
    </row>
    <row r="238">
      <c r="A238" s="15">
        <f>IF('ESLESTIRME'!$A238="","",IF('ESLESTIRME'!$G238="tutar_farki",'ESLESTIRME'!$A238,""))</f>
        <v/>
      </c>
      <c r="B238" s="15">
        <f>IF($A238="","",IFERROR(SUMIF(tblMotor[A_Norm],$A238,tblMotor[SiparisToplam]),0))</f>
        <v/>
      </c>
      <c r="C238" s="15">
        <f>IF($A238="","",IFERROR(SUMIF(tblMotor[A_Norm],$A238,tblMotor[Tasarruf]),0))</f>
        <v/>
      </c>
      <c r="D238" s="15">
        <f>IF($A238="","",IFERROR(INDEX(tblMotor[KararSatir],MATCH($A238,tblMotor[A_Norm],0)),""))</f>
        <v/>
      </c>
      <c r="E238" s="15">
        <f>IF($A238="","",IF(OR($D238="DESİ DÜŞÜR",$D238="TAŞIYICI DEĞİŞTİR"),"YUKSEK","NORMAL"))</f>
        <v/>
      </c>
      <c r="F238" s="15">
        <f>IF($A238="","",_xlfn.TEXTJOIN(" ",TRUE,"Sipariş",$A238,"karar",$D238,"toplam",TEXT($B238,"0.00"),"tasarruf",TEXT($C238,"0.00"),"TL"))</f>
        <v/>
      </c>
    </row>
    <row r="239">
      <c r="A239" s="15">
        <f>IF('ESLESTIRME'!$A239="","",IF('ESLESTIRME'!$G239="tutar_farki",'ESLESTIRME'!$A239,""))</f>
        <v/>
      </c>
      <c r="B239" s="15">
        <f>IF($A239="","",IFERROR(SUMIF(tblMotor[A_Norm],$A239,tblMotor[SiparisToplam]),0))</f>
        <v/>
      </c>
      <c r="C239" s="15">
        <f>IF($A239="","",IFERROR(SUMIF(tblMotor[A_Norm],$A239,tblMotor[Tasarruf]),0))</f>
        <v/>
      </c>
      <c r="D239" s="15">
        <f>IF($A239="","",IFERROR(INDEX(tblMotor[KararSatir],MATCH($A239,tblMotor[A_Norm],0)),""))</f>
        <v/>
      </c>
      <c r="E239" s="15">
        <f>IF($A239="","",IF(OR($D239="DESİ DÜŞÜR",$D239="TAŞIYICI DEĞİŞTİR"),"YUKSEK","NORMAL"))</f>
        <v/>
      </c>
      <c r="F239" s="15">
        <f>IF($A239="","",_xlfn.TEXTJOIN(" ",TRUE,"Sipariş",$A239,"karar",$D239,"toplam",TEXT($B239,"0.00"),"tasarruf",TEXT($C239,"0.00"),"TL"))</f>
        <v/>
      </c>
    </row>
    <row r="240">
      <c r="A240" s="15">
        <f>IF('ESLESTIRME'!$A240="","",IF('ESLESTIRME'!$G240="tutar_farki",'ESLESTIRME'!$A240,""))</f>
        <v/>
      </c>
      <c r="B240" s="15">
        <f>IF($A240="","",IFERROR(SUMIF(tblMotor[A_Norm],$A240,tblMotor[SiparisToplam]),0))</f>
        <v/>
      </c>
      <c r="C240" s="15">
        <f>IF($A240="","",IFERROR(SUMIF(tblMotor[A_Norm],$A240,tblMotor[Tasarruf]),0))</f>
        <v/>
      </c>
      <c r="D240" s="15">
        <f>IF($A240="","",IFERROR(INDEX(tblMotor[KararSatir],MATCH($A240,tblMotor[A_Norm],0)),""))</f>
        <v/>
      </c>
      <c r="E240" s="15">
        <f>IF($A240="","",IF(OR($D240="DESİ DÜŞÜR",$D240="TAŞIYICI DEĞİŞTİR"),"YUKSEK","NORMAL"))</f>
        <v/>
      </c>
      <c r="F240" s="15">
        <f>IF($A240="","",_xlfn.TEXTJOIN(" ",TRUE,"Sipariş",$A240,"karar",$D240,"toplam",TEXT($B240,"0.00"),"tasarruf",TEXT($C240,"0.00"),"TL"))</f>
        <v/>
      </c>
    </row>
    <row r="241">
      <c r="A241" s="15">
        <f>IF('ESLESTIRME'!$A241="","",IF('ESLESTIRME'!$G241="tutar_farki",'ESLESTIRME'!$A241,""))</f>
        <v/>
      </c>
      <c r="B241" s="15">
        <f>IF($A241="","",IFERROR(SUMIF(tblMotor[A_Norm],$A241,tblMotor[SiparisToplam]),0))</f>
        <v/>
      </c>
      <c r="C241" s="15">
        <f>IF($A241="","",IFERROR(SUMIF(tblMotor[A_Norm],$A241,tblMotor[Tasarruf]),0))</f>
        <v/>
      </c>
      <c r="D241" s="15">
        <f>IF($A241="","",IFERROR(INDEX(tblMotor[KararSatir],MATCH($A241,tblMotor[A_Norm],0)),""))</f>
        <v/>
      </c>
      <c r="E241" s="15">
        <f>IF($A241="","",IF(OR($D241="DESİ DÜŞÜR",$D241="TAŞIYICI DEĞİŞTİR"),"YUKSEK","NORMAL"))</f>
        <v/>
      </c>
      <c r="F241" s="15">
        <f>IF($A241="","",_xlfn.TEXTJOIN(" ",TRUE,"Sipariş",$A241,"karar",$D241,"toplam",TEXT($B241,"0.00"),"tasarruf",TEXT($C241,"0.00"),"TL"))</f>
        <v/>
      </c>
    </row>
    <row r="242">
      <c r="A242" s="15">
        <f>IF('ESLESTIRME'!$A242="","",IF('ESLESTIRME'!$G242="tutar_farki",'ESLESTIRME'!$A242,""))</f>
        <v/>
      </c>
      <c r="B242" s="15">
        <f>IF($A242="","",IFERROR(SUMIF(tblMotor[A_Norm],$A242,tblMotor[SiparisToplam]),0))</f>
        <v/>
      </c>
      <c r="C242" s="15">
        <f>IF($A242="","",IFERROR(SUMIF(tblMotor[A_Norm],$A242,tblMotor[Tasarruf]),0))</f>
        <v/>
      </c>
      <c r="D242" s="15">
        <f>IF($A242="","",IFERROR(INDEX(tblMotor[KararSatir],MATCH($A242,tblMotor[A_Norm],0)),""))</f>
        <v/>
      </c>
      <c r="E242" s="15">
        <f>IF($A242="","",IF(OR($D242="DESİ DÜŞÜR",$D242="TAŞIYICI DEĞİŞTİR"),"YUKSEK","NORMAL"))</f>
        <v/>
      </c>
      <c r="F242" s="15">
        <f>IF($A242="","",_xlfn.TEXTJOIN(" ",TRUE,"Sipariş",$A242,"karar",$D242,"toplam",TEXT($B242,"0.00"),"tasarruf",TEXT($C242,"0.00"),"TL"))</f>
        <v/>
      </c>
    </row>
    <row r="243">
      <c r="A243" s="15">
        <f>IF('ESLESTIRME'!$A243="","",IF('ESLESTIRME'!$G243="tutar_farki",'ESLESTIRME'!$A243,""))</f>
        <v/>
      </c>
      <c r="B243" s="15">
        <f>IF($A243="","",IFERROR(SUMIF(tblMotor[A_Norm],$A243,tblMotor[SiparisToplam]),0))</f>
        <v/>
      </c>
      <c r="C243" s="15">
        <f>IF($A243="","",IFERROR(SUMIF(tblMotor[A_Norm],$A243,tblMotor[Tasarruf]),0))</f>
        <v/>
      </c>
      <c r="D243" s="15">
        <f>IF($A243="","",IFERROR(INDEX(tblMotor[KararSatir],MATCH($A243,tblMotor[A_Norm],0)),""))</f>
        <v/>
      </c>
      <c r="E243" s="15">
        <f>IF($A243="","",IF(OR($D243="DESİ DÜŞÜR",$D243="TAŞIYICI DEĞİŞTİR"),"YUKSEK","NORMAL"))</f>
        <v/>
      </c>
      <c r="F243" s="15">
        <f>IF($A243="","",_xlfn.TEXTJOIN(" ",TRUE,"Sipariş",$A243,"karar",$D243,"toplam",TEXT($B243,"0.00"),"tasarruf",TEXT($C243,"0.00"),"TL"))</f>
        <v/>
      </c>
    </row>
    <row r="244">
      <c r="A244" s="15">
        <f>IF('ESLESTIRME'!$A244="","",IF('ESLESTIRME'!$G244="tutar_farki",'ESLESTIRME'!$A244,""))</f>
        <v/>
      </c>
      <c r="B244" s="15">
        <f>IF($A244="","",IFERROR(SUMIF(tblMotor[A_Norm],$A244,tblMotor[SiparisToplam]),0))</f>
        <v/>
      </c>
      <c r="C244" s="15">
        <f>IF($A244="","",IFERROR(SUMIF(tblMotor[A_Norm],$A244,tblMotor[Tasarruf]),0))</f>
        <v/>
      </c>
      <c r="D244" s="15">
        <f>IF($A244="","",IFERROR(INDEX(tblMotor[KararSatir],MATCH($A244,tblMotor[A_Norm],0)),""))</f>
        <v/>
      </c>
      <c r="E244" s="15">
        <f>IF($A244="","",IF(OR($D244="DESİ DÜŞÜR",$D244="TAŞIYICI DEĞİŞTİR"),"YUKSEK","NORMAL"))</f>
        <v/>
      </c>
      <c r="F244" s="15">
        <f>IF($A244="","",_xlfn.TEXTJOIN(" ",TRUE,"Sipariş",$A244,"karar",$D244,"toplam",TEXT($B244,"0.00"),"tasarruf",TEXT($C244,"0.00"),"TL"))</f>
        <v/>
      </c>
    </row>
    <row r="245">
      <c r="A245" s="15">
        <f>IF('ESLESTIRME'!$A245="","",IF('ESLESTIRME'!$G245="tutar_farki",'ESLESTIRME'!$A245,""))</f>
        <v/>
      </c>
      <c r="B245" s="15">
        <f>IF($A245="","",IFERROR(SUMIF(tblMotor[A_Norm],$A245,tblMotor[SiparisToplam]),0))</f>
        <v/>
      </c>
      <c r="C245" s="15">
        <f>IF($A245="","",IFERROR(SUMIF(tblMotor[A_Norm],$A245,tblMotor[Tasarruf]),0))</f>
        <v/>
      </c>
      <c r="D245" s="15">
        <f>IF($A245="","",IFERROR(INDEX(tblMotor[KararSatir],MATCH($A245,tblMotor[A_Norm],0)),""))</f>
        <v/>
      </c>
      <c r="E245" s="15">
        <f>IF($A245="","",IF(OR($D245="DESİ DÜŞÜR",$D245="TAŞIYICI DEĞİŞTİR"),"YUKSEK","NORMAL"))</f>
        <v/>
      </c>
      <c r="F245" s="15">
        <f>IF($A245="","",_xlfn.TEXTJOIN(" ",TRUE,"Sipariş",$A245,"karar",$D245,"toplam",TEXT($B245,"0.00"),"tasarruf",TEXT($C245,"0.00"),"TL"))</f>
        <v/>
      </c>
    </row>
    <row r="246">
      <c r="A246" s="15">
        <f>IF('ESLESTIRME'!$A246="","",IF('ESLESTIRME'!$G246="tutar_farki",'ESLESTIRME'!$A246,""))</f>
        <v/>
      </c>
      <c r="B246" s="15">
        <f>IF($A246="","",IFERROR(SUMIF(tblMotor[A_Norm],$A246,tblMotor[SiparisToplam]),0))</f>
        <v/>
      </c>
      <c r="C246" s="15">
        <f>IF($A246="","",IFERROR(SUMIF(tblMotor[A_Norm],$A246,tblMotor[Tasarruf]),0))</f>
        <v/>
      </c>
      <c r="D246" s="15">
        <f>IF($A246="","",IFERROR(INDEX(tblMotor[KararSatir],MATCH($A246,tblMotor[A_Norm],0)),""))</f>
        <v/>
      </c>
      <c r="E246" s="15">
        <f>IF($A246="","",IF(OR($D246="DESİ DÜŞÜR",$D246="TAŞIYICI DEĞİŞTİR"),"YUKSEK","NORMAL"))</f>
        <v/>
      </c>
      <c r="F246" s="15">
        <f>IF($A246="","",_xlfn.TEXTJOIN(" ",TRUE,"Sipariş",$A246,"karar",$D246,"toplam",TEXT($B246,"0.00"),"tasarruf",TEXT($C246,"0.00"),"TL"))</f>
        <v/>
      </c>
    </row>
    <row r="247">
      <c r="A247" s="15">
        <f>IF('ESLESTIRME'!$A247="","",IF('ESLESTIRME'!$G247="tutar_farki",'ESLESTIRME'!$A247,""))</f>
        <v/>
      </c>
      <c r="B247" s="15">
        <f>IF($A247="","",IFERROR(SUMIF(tblMotor[A_Norm],$A247,tblMotor[SiparisToplam]),0))</f>
        <v/>
      </c>
      <c r="C247" s="15">
        <f>IF($A247="","",IFERROR(SUMIF(tblMotor[A_Norm],$A247,tblMotor[Tasarruf]),0))</f>
        <v/>
      </c>
      <c r="D247" s="15">
        <f>IF($A247="","",IFERROR(INDEX(tblMotor[KararSatir],MATCH($A247,tblMotor[A_Norm],0)),""))</f>
        <v/>
      </c>
      <c r="E247" s="15">
        <f>IF($A247="","",IF(OR($D247="DESİ DÜŞÜR",$D247="TAŞIYICI DEĞİŞTİR"),"YUKSEK","NORMAL"))</f>
        <v/>
      </c>
      <c r="F247" s="15">
        <f>IF($A247="","",_xlfn.TEXTJOIN(" ",TRUE,"Sipariş",$A247,"karar",$D247,"toplam",TEXT($B247,"0.00"),"tasarruf",TEXT($C247,"0.00"),"TL"))</f>
        <v/>
      </c>
    </row>
    <row r="248">
      <c r="A248" s="15">
        <f>IF('ESLESTIRME'!$A248="","",IF('ESLESTIRME'!$G248="tutar_farki",'ESLESTIRME'!$A248,""))</f>
        <v/>
      </c>
      <c r="B248" s="15">
        <f>IF($A248="","",IFERROR(SUMIF(tblMotor[A_Norm],$A248,tblMotor[SiparisToplam]),0))</f>
        <v/>
      </c>
      <c r="C248" s="15">
        <f>IF($A248="","",IFERROR(SUMIF(tblMotor[A_Norm],$A248,tblMotor[Tasarruf]),0))</f>
        <v/>
      </c>
      <c r="D248" s="15">
        <f>IF($A248="","",IFERROR(INDEX(tblMotor[KararSatir],MATCH($A248,tblMotor[A_Norm],0)),""))</f>
        <v/>
      </c>
      <c r="E248" s="15">
        <f>IF($A248="","",IF(OR($D248="DESİ DÜŞÜR",$D248="TAŞIYICI DEĞİŞTİR"),"YUKSEK","NORMAL"))</f>
        <v/>
      </c>
      <c r="F248" s="15">
        <f>IF($A248="","",_xlfn.TEXTJOIN(" ",TRUE,"Sipariş",$A248,"karar",$D248,"toplam",TEXT($B248,"0.00"),"tasarruf",TEXT($C248,"0.00"),"TL"))</f>
        <v/>
      </c>
    </row>
    <row r="249">
      <c r="A249" s="15">
        <f>IF('ESLESTIRME'!$A249="","",IF('ESLESTIRME'!$G249="tutar_farki",'ESLESTIRME'!$A249,""))</f>
        <v/>
      </c>
      <c r="B249" s="15">
        <f>IF($A249="","",IFERROR(SUMIF(tblMotor[A_Norm],$A249,tblMotor[SiparisToplam]),0))</f>
        <v/>
      </c>
      <c r="C249" s="15">
        <f>IF($A249="","",IFERROR(SUMIF(tblMotor[A_Norm],$A249,tblMotor[Tasarruf]),0))</f>
        <v/>
      </c>
      <c r="D249" s="15">
        <f>IF($A249="","",IFERROR(INDEX(tblMotor[KararSatir],MATCH($A249,tblMotor[A_Norm],0)),""))</f>
        <v/>
      </c>
      <c r="E249" s="15">
        <f>IF($A249="","",IF(OR($D249="DESİ DÜŞÜR",$D249="TAŞIYICI DEĞİŞTİR"),"YUKSEK","NORMAL"))</f>
        <v/>
      </c>
      <c r="F249" s="15">
        <f>IF($A249="","",_xlfn.TEXTJOIN(" ",TRUE,"Sipariş",$A249,"karar",$D249,"toplam",TEXT($B249,"0.00"),"tasarruf",TEXT($C249,"0.00"),"TL"))</f>
        <v/>
      </c>
    </row>
    <row r="250">
      <c r="A250" s="15">
        <f>IF('ESLESTIRME'!$A250="","",IF('ESLESTIRME'!$G250="tutar_farki",'ESLESTIRME'!$A250,""))</f>
        <v/>
      </c>
      <c r="B250" s="15">
        <f>IF($A250="","",IFERROR(SUMIF(tblMotor[A_Norm],$A250,tblMotor[SiparisToplam]),0))</f>
        <v/>
      </c>
      <c r="C250" s="15">
        <f>IF($A250="","",IFERROR(SUMIF(tblMotor[A_Norm],$A250,tblMotor[Tasarruf]),0))</f>
        <v/>
      </c>
      <c r="D250" s="15">
        <f>IF($A250="","",IFERROR(INDEX(tblMotor[KararSatir],MATCH($A250,tblMotor[A_Norm],0)),""))</f>
        <v/>
      </c>
      <c r="E250" s="15">
        <f>IF($A250="","",IF(OR($D250="DESİ DÜŞÜR",$D250="TAŞIYICI DEĞİŞTİR"),"YUKSEK","NORMAL"))</f>
        <v/>
      </c>
      <c r="F250" s="15">
        <f>IF($A250="","",_xlfn.TEXTJOIN(" ",TRUE,"Sipariş",$A250,"karar",$D250,"toplam",TEXT($B250,"0.00"),"tasarruf",TEXT($C250,"0.00"),"TL"))</f>
        <v/>
      </c>
    </row>
    <row r="251">
      <c r="A251" s="15">
        <f>IF('ESLESTIRME'!$A251="","",IF('ESLESTIRME'!$G251="tutar_farki",'ESLESTIRME'!$A251,""))</f>
        <v/>
      </c>
      <c r="B251" s="15">
        <f>IF($A251="","",IFERROR(SUMIF(tblMotor[A_Norm],$A251,tblMotor[SiparisToplam]),0))</f>
        <v/>
      </c>
      <c r="C251" s="15">
        <f>IF($A251="","",IFERROR(SUMIF(tblMotor[A_Norm],$A251,tblMotor[Tasarruf]),0))</f>
        <v/>
      </c>
      <c r="D251" s="15">
        <f>IF($A251="","",IFERROR(INDEX(tblMotor[KararSatir],MATCH($A251,tblMotor[A_Norm],0)),""))</f>
        <v/>
      </c>
      <c r="E251" s="15">
        <f>IF($A251="","",IF(OR($D251="DESİ DÜŞÜR",$D251="TAŞIYICI DEĞİŞTİR"),"YUKSEK","NORMAL"))</f>
        <v/>
      </c>
      <c r="F251" s="15">
        <f>IF($A251="","",_xlfn.TEXTJOIN(" ",TRUE,"Sipariş",$A251,"karar",$D251,"toplam",TEXT($B251,"0.00"),"tasarruf",TEXT($C251,"0.00"),"TL"))</f>
        <v/>
      </c>
    </row>
    <row r="252">
      <c r="A252" s="15">
        <f>IF('ESLESTIRME'!$A252="","",IF('ESLESTIRME'!$G252="tutar_farki",'ESLESTIRME'!$A252,""))</f>
        <v/>
      </c>
      <c r="B252" s="15">
        <f>IF($A252="","",IFERROR(SUMIF(tblMotor[A_Norm],$A252,tblMotor[SiparisToplam]),0))</f>
        <v/>
      </c>
      <c r="C252" s="15">
        <f>IF($A252="","",IFERROR(SUMIF(tblMotor[A_Norm],$A252,tblMotor[Tasarruf]),0))</f>
        <v/>
      </c>
      <c r="D252" s="15">
        <f>IF($A252="","",IFERROR(INDEX(tblMotor[KararSatir],MATCH($A252,tblMotor[A_Norm],0)),""))</f>
        <v/>
      </c>
      <c r="E252" s="15">
        <f>IF($A252="","",IF(OR($D252="DESİ DÜŞÜR",$D252="TAŞIYICI DEĞİŞTİR"),"YUKSEK","NORMAL"))</f>
        <v/>
      </c>
      <c r="F252" s="15">
        <f>IF($A252="","",_xlfn.TEXTJOIN(" ",TRUE,"Sipariş",$A252,"karar",$D252,"toplam",TEXT($B252,"0.00"),"tasarruf",TEXT($C252,"0.00"),"TL"))</f>
        <v/>
      </c>
    </row>
    <row r="253">
      <c r="A253" s="15">
        <f>IF('ESLESTIRME'!$A253="","",IF('ESLESTIRME'!$G253="tutar_farki",'ESLESTIRME'!$A253,""))</f>
        <v/>
      </c>
      <c r="B253" s="15">
        <f>IF($A253="","",IFERROR(SUMIF(tblMotor[A_Norm],$A253,tblMotor[SiparisToplam]),0))</f>
        <v/>
      </c>
      <c r="C253" s="15">
        <f>IF($A253="","",IFERROR(SUMIF(tblMotor[A_Norm],$A253,tblMotor[Tasarruf]),0))</f>
        <v/>
      </c>
      <c r="D253" s="15">
        <f>IF($A253="","",IFERROR(INDEX(tblMotor[KararSatir],MATCH($A253,tblMotor[A_Norm],0)),""))</f>
        <v/>
      </c>
      <c r="E253" s="15">
        <f>IF($A253="","",IF(OR($D253="DESİ DÜŞÜR",$D253="TAŞIYICI DEĞİŞTİR"),"YUKSEK","NORMAL"))</f>
        <v/>
      </c>
      <c r="F253" s="15">
        <f>IF($A253="","",_xlfn.TEXTJOIN(" ",TRUE,"Sipariş",$A253,"karar",$D253,"toplam",TEXT($B253,"0.00"),"tasarruf",TEXT($C253,"0.00"),"TL"))</f>
        <v/>
      </c>
    </row>
    <row r="254">
      <c r="A254" s="15">
        <f>IF('ESLESTIRME'!$A254="","",IF('ESLESTIRME'!$G254="tutar_farki",'ESLESTIRME'!$A254,""))</f>
        <v/>
      </c>
      <c r="B254" s="15">
        <f>IF($A254="","",IFERROR(SUMIF(tblMotor[A_Norm],$A254,tblMotor[SiparisToplam]),0))</f>
        <v/>
      </c>
      <c r="C254" s="15">
        <f>IF($A254="","",IFERROR(SUMIF(tblMotor[A_Norm],$A254,tblMotor[Tasarruf]),0))</f>
        <v/>
      </c>
      <c r="D254" s="15">
        <f>IF($A254="","",IFERROR(INDEX(tblMotor[KararSatir],MATCH($A254,tblMotor[A_Norm],0)),""))</f>
        <v/>
      </c>
      <c r="E254" s="15">
        <f>IF($A254="","",IF(OR($D254="DESİ DÜŞÜR",$D254="TAŞIYICI DEĞİŞTİR"),"YUKSEK","NORMAL"))</f>
        <v/>
      </c>
      <c r="F254" s="15">
        <f>IF($A254="","",_xlfn.TEXTJOIN(" ",TRUE,"Sipariş",$A254,"karar",$D254,"toplam",TEXT($B254,"0.00"),"tasarruf",TEXT($C254,"0.00"),"TL"))</f>
        <v/>
      </c>
    </row>
    <row r="255">
      <c r="A255" s="15">
        <f>IF('ESLESTIRME'!$A255="","",IF('ESLESTIRME'!$G255="tutar_farki",'ESLESTIRME'!$A255,""))</f>
        <v/>
      </c>
      <c r="B255" s="15">
        <f>IF($A255="","",IFERROR(SUMIF(tblMotor[A_Norm],$A255,tblMotor[SiparisToplam]),0))</f>
        <v/>
      </c>
      <c r="C255" s="15">
        <f>IF($A255="","",IFERROR(SUMIF(tblMotor[A_Norm],$A255,tblMotor[Tasarruf]),0))</f>
        <v/>
      </c>
      <c r="D255" s="15">
        <f>IF($A255="","",IFERROR(INDEX(tblMotor[KararSatir],MATCH($A255,tblMotor[A_Norm],0)),""))</f>
        <v/>
      </c>
      <c r="E255" s="15">
        <f>IF($A255="","",IF(OR($D255="DESİ DÜŞÜR",$D255="TAŞIYICI DEĞİŞTİR"),"YUKSEK","NORMAL"))</f>
        <v/>
      </c>
      <c r="F255" s="15">
        <f>IF($A255="","",_xlfn.TEXTJOIN(" ",TRUE,"Sipariş",$A255,"karar",$D255,"toplam",TEXT($B255,"0.00"),"tasarruf",TEXT($C255,"0.00"),"TL"))</f>
        <v/>
      </c>
    </row>
    <row r="256">
      <c r="A256" s="15">
        <f>IF('ESLESTIRME'!$A256="","",IF('ESLESTIRME'!$G256="tutar_farki",'ESLESTIRME'!$A256,""))</f>
        <v/>
      </c>
      <c r="B256" s="15">
        <f>IF($A256="","",IFERROR(SUMIF(tblMotor[A_Norm],$A256,tblMotor[SiparisToplam]),0))</f>
        <v/>
      </c>
      <c r="C256" s="15">
        <f>IF($A256="","",IFERROR(SUMIF(tblMotor[A_Norm],$A256,tblMotor[Tasarruf]),0))</f>
        <v/>
      </c>
      <c r="D256" s="15">
        <f>IF($A256="","",IFERROR(INDEX(tblMotor[KararSatir],MATCH($A256,tblMotor[A_Norm],0)),""))</f>
        <v/>
      </c>
      <c r="E256" s="15">
        <f>IF($A256="","",IF(OR($D256="DESİ DÜŞÜR",$D256="TAŞIYICI DEĞİŞTİR"),"YUKSEK","NORMAL"))</f>
        <v/>
      </c>
      <c r="F256" s="15">
        <f>IF($A256="","",_xlfn.TEXTJOIN(" ",TRUE,"Sipariş",$A256,"karar",$D256,"toplam",TEXT($B256,"0.00"),"tasarruf",TEXT($C256,"0.00"),"TL"))</f>
        <v/>
      </c>
    </row>
    <row r="257">
      <c r="A257" s="15">
        <f>IF('ESLESTIRME'!$A257="","",IF('ESLESTIRME'!$G257="tutar_farki",'ESLESTIRME'!$A257,""))</f>
        <v/>
      </c>
      <c r="B257" s="15">
        <f>IF($A257="","",IFERROR(SUMIF(tblMotor[A_Norm],$A257,tblMotor[SiparisToplam]),0))</f>
        <v/>
      </c>
      <c r="C257" s="15">
        <f>IF($A257="","",IFERROR(SUMIF(tblMotor[A_Norm],$A257,tblMotor[Tasarruf]),0))</f>
        <v/>
      </c>
      <c r="D257" s="15">
        <f>IF($A257="","",IFERROR(INDEX(tblMotor[KararSatir],MATCH($A257,tblMotor[A_Norm],0)),""))</f>
        <v/>
      </c>
      <c r="E257" s="15">
        <f>IF($A257="","",IF(OR($D257="DESİ DÜŞÜR",$D257="TAŞIYICI DEĞİŞTİR"),"YUKSEK","NORMAL"))</f>
        <v/>
      </c>
      <c r="F257" s="15">
        <f>IF($A257="","",_xlfn.TEXTJOIN(" ",TRUE,"Sipariş",$A257,"karar",$D257,"toplam",TEXT($B257,"0.00"),"tasarruf",TEXT($C257,"0.00"),"TL"))</f>
        <v/>
      </c>
    </row>
    <row r="258">
      <c r="A258" s="15">
        <f>IF('ESLESTIRME'!$A258="","",IF('ESLESTIRME'!$G258="tutar_farki",'ESLESTIRME'!$A258,""))</f>
        <v/>
      </c>
      <c r="B258" s="15">
        <f>IF($A258="","",IFERROR(SUMIF(tblMotor[A_Norm],$A258,tblMotor[SiparisToplam]),0))</f>
        <v/>
      </c>
      <c r="C258" s="15">
        <f>IF($A258="","",IFERROR(SUMIF(tblMotor[A_Norm],$A258,tblMotor[Tasarruf]),0))</f>
        <v/>
      </c>
      <c r="D258" s="15">
        <f>IF($A258="","",IFERROR(INDEX(tblMotor[KararSatir],MATCH($A258,tblMotor[A_Norm],0)),""))</f>
        <v/>
      </c>
      <c r="E258" s="15">
        <f>IF($A258="","",IF(OR($D258="DESİ DÜŞÜR",$D258="TAŞIYICI DEĞİŞTİR"),"YUKSEK","NORMAL"))</f>
        <v/>
      </c>
      <c r="F258" s="15">
        <f>IF($A258="","",_xlfn.TEXTJOIN(" ",TRUE,"Sipariş",$A258,"karar",$D258,"toplam",TEXT($B258,"0.00"),"tasarruf",TEXT($C258,"0.00"),"TL"))</f>
        <v/>
      </c>
    </row>
    <row r="259">
      <c r="A259" s="15">
        <f>IF('ESLESTIRME'!$A259="","",IF('ESLESTIRME'!$G259="tutar_farki",'ESLESTIRME'!$A259,""))</f>
        <v/>
      </c>
      <c r="B259" s="15">
        <f>IF($A259="","",IFERROR(SUMIF(tblMotor[A_Norm],$A259,tblMotor[SiparisToplam]),0))</f>
        <v/>
      </c>
      <c r="C259" s="15">
        <f>IF($A259="","",IFERROR(SUMIF(tblMotor[A_Norm],$A259,tblMotor[Tasarruf]),0))</f>
        <v/>
      </c>
      <c r="D259" s="15">
        <f>IF($A259="","",IFERROR(INDEX(tblMotor[KararSatir],MATCH($A259,tblMotor[A_Norm],0)),""))</f>
        <v/>
      </c>
      <c r="E259" s="15">
        <f>IF($A259="","",IF(OR($D259="DESİ DÜŞÜR",$D259="TAŞIYICI DEĞİŞTİR"),"YUKSEK","NORMAL"))</f>
        <v/>
      </c>
      <c r="F259" s="15">
        <f>IF($A259="","",_xlfn.TEXTJOIN(" ",TRUE,"Sipariş",$A259,"karar",$D259,"toplam",TEXT($B259,"0.00"),"tasarruf",TEXT($C259,"0.00"),"TL"))</f>
        <v/>
      </c>
    </row>
    <row r="260">
      <c r="A260" s="15">
        <f>IF('ESLESTIRME'!$A260="","",IF('ESLESTIRME'!$G260="tutar_farki",'ESLESTIRME'!$A260,""))</f>
        <v/>
      </c>
      <c r="B260" s="15">
        <f>IF($A260="","",IFERROR(SUMIF(tblMotor[A_Norm],$A260,tblMotor[SiparisToplam]),0))</f>
        <v/>
      </c>
      <c r="C260" s="15">
        <f>IF($A260="","",IFERROR(SUMIF(tblMotor[A_Norm],$A260,tblMotor[Tasarruf]),0))</f>
        <v/>
      </c>
      <c r="D260" s="15">
        <f>IF($A260="","",IFERROR(INDEX(tblMotor[KararSatir],MATCH($A260,tblMotor[A_Norm],0)),""))</f>
        <v/>
      </c>
      <c r="E260" s="15">
        <f>IF($A260="","",IF(OR($D260="DESİ DÜŞÜR",$D260="TAŞIYICI DEĞİŞTİR"),"YUKSEK","NORMAL"))</f>
        <v/>
      </c>
      <c r="F260" s="15">
        <f>IF($A260="","",_xlfn.TEXTJOIN(" ",TRUE,"Sipariş",$A260,"karar",$D260,"toplam",TEXT($B260,"0.00"),"tasarruf",TEXT($C260,"0.00"),"TL"))</f>
        <v/>
      </c>
    </row>
    <row r="261">
      <c r="A261" s="15">
        <f>IF('ESLESTIRME'!$A261="","",IF('ESLESTIRME'!$G261="tutar_farki",'ESLESTIRME'!$A261,""))</f>
        <v/>
      </c>
      <c r="B261" s="15">
        <f>IF($A261="","",IFERROR(SUMIF(tblMotor[A_Norm],$A261,tblMotor[SiparisToplam]),0))</f>
        <v/>
      </c>
      <c r="C261" s="15">
        <f>IF($A261="","",IFERROR(SUMIF(tblMotor[A_Norm],$A261,tblMotor[Tasarruf]),0))</f>
        <v/>
      </c>
      <c r="D261" s="15">
        <f>IF($A261="","",IFERROR(INDEX(tblMotor[KararSatir],MATCH($A261,tblMotor[A_Norm],0)),""))</f>
        <v/>
      </c>
      <c r="E261" s="15">
        <f>IF($A261="","",IF(OR($D261="DESİ DÜŞÜR",$D261="TAŞIYICI DEĞİŞTİR"),"YUKSEK","NORMAL"))</f>
        <v/>
      </c>
      <c r="F261" s="15">
        <f>IF($A261="","",_xlfn.TEXTJOIN(" ",TRUE,"Sipariş",$A261,"karar",$D261,"toplam",TEXT($B261,"0.00"),"tasarruf",TEXT($C261,"0.00"),"TL"))</f>
        <v/>
      </c>
    </row>
    <row r="262">
      <c r="A262" s="15">
        <f>IF('ESLESTIRME'!$A262="","",IF('ESLESTIRME'!$G262="tutar_farki",'ESLESTIRME'!$A262,""))</f>
        <v/>
      </c>
      <c r="B262" s="15">
        <f>IF($A262="","",IFERROR(SUMIF(tblMotor[A_Norm],$A262,tblMotor[SiparisToplam]),0))</f>
        <v/>
      </c>
      <c r="C262" s="15">
        <f>IF($A262="","",IFERROR(SUMIF(tblMotor[A_Norm],$A262,tblMotor[Tasarruf]),0))</f>
        <v/>
      </c>
      <c r="D262" s="15">
        <f>IF($A262="","",IFERROR(INDEX(tblMotor[KararSatir],MATCH($A262,tblMotor[A_Norm],0)),""))</f>
        <v/>
      </c>
      <c r="E262" s="15">
        <f>IF($A262="","",IF(OR($D262="DESİ DÜŞÜR",$D262="TAŞIYICI DEĞİŞTİR"),"YUKSEK","NORMAL"))</f>
        <v/>
      </c>
      <c r="F262" s="15">
        <f>IF($A262="","",_xlfn.TEXTJOIN(" ",TRUE,"Sipariş",$A262,"karar",$D262,"toplam",TEXT($B262,"0.00"),"tasarruf",TEXT($C262,"0.00"),"TL"))</f>
        <v/>
      </c>
    </row>
    <row r="263">
      <c r="A263" s="15">
        <f>IF('ESLESTIRME'!$A263="","",IF('ESLESTIRME'!$G263="tutar_farki",'ESLESTIRME'!$A263,""))</f>
        <v/>
      </c>
      <c r="B263" s="15">
        <f>IF($A263="","",IFERROR(SUMIF(tblMotor[A_Norm],$A263,tblMotor[SiparisToplam]),0))</f>
        <v/>
      </c>
      <c r="C263" s="15">
        <f>IF($A263="","",IFERROR(SUMIF(tblMotor[A_Norm],$A263,tblMotor[Tasarruf]),0))</f>
        <v/>
      </c>
      <c r="D263" s="15">
        <f>IF($A263="","",IFERROR(INDEX(tblMotor[KararSatir],MATCH($A263,tblMotor[A_Norm],0)),""))</f>
        <v/>
      </c>
      <c r="E263" s="15">
        <f>IF($A263="","",IF(OR($D263="DESİ DÜŞÜR",$D263="TAŞIYICI DEĞİŞTİR"),"YUKSEK","NORMAL"))</f>
        <v/>
      </c>
      <c r="F263" s="15">
        <f>IF($A263="","",_xlfn.TEXTJOIN(" ",TRUE,"Sipariş",$A263,"karar",$D263,"toplam",TEXT($B263,"0.00"),"tasarruf",TEXT($C263,"0.00"),"TL"))</f>
        <v/>
      </c>
    </row>
    <row r="264">
      <c r="A264" s="15">
        <f>IF('ESLESTIRME'!$A264="","",IF('ESLESTIRME'!$G264="tutar_farki",'ESLESTIRME'!$A264,""))</f>
        <v/>
      </c>
      <c r="B264" s="15">
        <f>IF($A264="","",IFERROR(SUMIF(tblMotor[A_Norm],$A264,tblMotor[SiparisToplam]),0))</f>
        <v/>
      </c>
      <c r="C264" s="15">
        <f>IF($A264="","",IFERROR(SUMIF(tblMotor[A_Norm],$A264,tblMotor[Tasarruf]),0))</f>
        <v/>
      </c>
      <c r="D264" s="15">
        <f>IF($A264="","",IFERROR(INDEX(tblMotor[KararSatir],MATCH($A264,tblMotor[A_Norm],0)),""))</f>
        <v/>
      </c>
      <c r="E264" s="15">
        <f>IF($A264="","",IF(OR($D264="DESİ DÜŞÜR",$D264="TAŞIYICI DEĞİŞTİR"),"YUKSEK","NORMAL"))</f>
        <v/>
      </c>
      <c r="F264" s="15">
        <f>IF($A264="","",_xlfn.TEXTJOIN(" ",TRUE,"Sipariş",$A264,"karar",$D264,"toplam",TEXT($B264,"0.00"),"tasarruf",TEXT($C264,"0.00"),"TL"))</f>
        <v/>
      </c>
    </row>
    <row r="265">
      <c r="A265" s="15">
        <f>IF('ESLESTIRME'!$A265="","",IF('ESLESTIRME'!$G265="tutar_farki",'ESLESTIRME'!$A265,""))</f>
        <v/>
      </c>
      <c r="B265" s="15">
        <f>IF($A265="","",IFERROR(SUMIF(tblMotor[A_Norm],$A265,tblMotor[SiparisToplam]),0))</f>
        <v/>
      </c>
      <c r="C265" s="15">
        <f>IF($A265="","",IFERROR(SUMIF(tblMotor[A_Norm],$A265,tblMotor[Tasarruf]),0))</f>
        <v/>
      </c>
      <c r="D265" s="15">
        <f>IF($A265="","",IFERROR(INDEX(tblMotor[KararSatir],MATCH($A265,tblMotor[A_Norm],0)),""))</f>
        <v/>
      </c>
      <c r="E265" s="15">
        <f>IF($A265="","",IF(OR($D265="DESİ DÜŞÜR",$D265="TAŞIYICI DEĞİŞTİR"),"YUKSEK","NORMAL"))</f>
        <v/>
      </c>
      <c r="F265" s="15">
        <f>IF($A265="","",_xlfn.TEXTJOIN(" ",TRUE,"Sipariş",$A265,"karar",$D265,"toplam",TEXT($B265,"0.00"),"tasarruf",TEXT($C265,"0.00"),"TL"))</f>
        <v/>
      </c>
    </row>
    <row r="266">
      <c r="A266" s="15">
        <f>IF('ESLESTIRME'!$A266="","",IF('ESLESTIRME'!$G266="tutar_farki",'ESLESTIRME'!$A266,""))</f>
        <v/>
      </c>
      <c r="B266" s="15">
        <f>IF($A266="","",IFERROR(SUMIF(tblMotor[A_Norm],$A266,tblMotor[SiparisToplam]),0))</f>
        <v/>
      </c>
      <c r="C266" s="15">
        <f>IF($A266="","",IFERROR(SUMIF(tblMotor[A_Norm],$A266,tblMotor[Tasarruf]),0))</f>
        <v/>
      </c>
      <c r="D266" s="15">
        <f>IF($A266="","",IFERROR(INDEX(tblMotor[KararSatir],MATCH($A266,tblMotor[A_Norm],0)),""))</f>
        <v/>
      </c>
      <c r="E266" s="15">
        <f>IF($A266="","",IF(OR($D266="DESİ DÜŞÜR",$D266="TAŞIYICI DEĞİŞTİR"),"YUKSEK","NORMAL"))</f>
        <v/>
      </c>
      <c r="F266" s="15">
        <f>IF($A266="","",_xlfn.TEXTJOIN(" ",TRUE,"Sipariş",$A266,"karar",$D266,"toplam",TEXT($B266,"0.00"),"tasarruf",TEXT($C266,"0.00"),"TL"))</f>
        <v/>
      </c>
    </row>
    <row r="267">
      <c r="A267" s="15">
        <f>IF('ESLESTIRME'!$A267="","",IF('ESLESTIRME'!$G267="tutar_farki",'ESLESTIRME'!$A267,""))</f>
        <v/>
      </c>
      <c r="B267" s="15">
        <f>IF($A267="","",IFERROR(SUMIF(tblMotor[A_Norm],$A267,tblMotor[SiparisToplam]),0))</f>
        <v/>
      </c>
      <c r="C267" s="15">
        <f>IF($A267="","",IFERROR(SUMIF(tblMotor[A_Norm],$A267,tblMotor[Tasarruf]),0))</f>
        <v/>
      </c>
      <c r="D267" s="15">
        <f>IF($A267="","",IFERROR(INDEX(tblMotor[KararSatir],MATCH($A267,tblMotor[A_Norm],0)),""))</f>
        <v/>
      </c>
      <c r="E267" s="15">
        <f>IF($A267="","",IF(OR($D267="DESİ DÜŞÜR",$D267="TAŞIYICI DEĞİŞTİR"),"YUKSEK","NORMAL"))</f>
        <v/>
      </c>
      <c r="F267" s="15">
        <f>IF($A267="","",_xlfn.TEXTJOIN(" ",TRUE,"Sipariş",$A267,"karar",$D267,"toplam",TEXT($B267,"0.00"),"tasarruf",TEXT($C267,"0.00"),"TL"))</f>
        <v/>
      </c>
    </row>
    <row r="268">
      <c r="A268" s="15">
        <f>IF('ESLESTIRME'!$A268="","",IF('ESLESTIRME'!$G268="tutar_farki",'ESLESTIRME'!$A268,""))</f>
        <v/>
      </c>
      <c r="B268" s="15">
        <f>IF($A268="","",IFERROR(SUMIF(tblMotor[A_Norm],$A268,tblMotor[SiparisToplam]),0))</f>
        <v/>
      </c>
      <c r="C268" s="15">
        <f>IF($A268="","",IFERROR(SUMIF(tblMotor[A_Norm],$A268,tblMotor[Tasarruf]),0))</f>
        <v/>
      </c>
      <c r="D268" s="15">
        <f>IF($A268="","",IFERROR(INDEX(tblMotor[KararSatir],MATCH($A268,tblMotor[A_Norm],0)),""))</f>
        <v/>
      </c>
      <c r="E268" s="15">
        <f>IF($A268="","",IF(OR($D268="DESİ DÜŞÜR",$D268="TAŞIYICI DEĞİŞTİR"),"YUKSEK","NORMAL"))</f>
        <v/>
      </c>
      <c r="F268" s="15">
        <f>IF($A268="","",_xlfn.TEXTJOIN(" ",TRUE,"Sipariş",$A268,"karar",$D268,"toplam",TEXT($B268,"0.00"),"tasarruf",TEXT($C268,"0.00"),"TL"))</f>
        <v/>
      </c>
    </row>
    <row r="269">
      <c r="A269" s="15">
        <f>IF('ESLESTIRME'!$A269="","",IF('ESLESTIRME'!$G269="tutar_farki",'ESLESTIRME'!$A269,""))</f>
        <v/>
      </c>
      <c r="B269" s="15">
        <f>IF($A269="","",IFERROR(SUMIF(tblMotor[A_Norm],$A269,tblMotor[SiparisToplam]),0))</f>
        <v/>
      </c>
      <c r="C269" s="15">
        <f>IF($A269="","",IFERROR(SUMIF(tblMotor[A_Norm],$A269,tblMotor[Tasarruf]),0))</f>
        <v/>
      </c>
      <c r="D269" s="15">
        <f>IF($A269="","",IFERROR(INDEX(tblMotor[KararSatir],MATCH($A269,tblMotor[A_Norm],0)),""))</f>
        <v/>
      </c>
      <c r="E269" s="15">
        <f>IF($A269="","",IF(OR($D269="DESİ DÜŞÜR",$D269="TAŞIYICI DEĞİŞTİR"),"YUKSEK","NORMAL"))</f>
        <v/>
      </c>
      <c r="F269" s="15">
        <f>IF($A269="","",_xlfn.TEXTJOIN(" ",TRUE,"Sipariş",$A269,"karar",$D269,"toplam",TEXT($B269,"0.00"),"tasarruf",TEXT($C269,"0.00"),"TL"))</f>
        <v/>
      </c>
    </row>
    <row r="270">
      <c r="A270" s="15">
        <f>IF('ESLESTIRME'!$A270="","",IF('ESLESTIRME'!$G270="tutar_farki",'ESLESTIRME'!$A270,""))</f>
        <v/>
      </c>
      <c r="B270" s="15">
        <f>IF($A270="","",IFERROR(SUMIF(tblMotor[A_Norm],$A270,tblMotor[SiparisToplam]),0))</f>
        <v/>
      </c>
      <c r="C270" s="15">
        <f>IF($A270="","",IFERROR(SUMIF(tblMotor[A_Norm],$A270,tblMotor[Tasarruf]),0))</f>
        <v/>
      </c>
      <c r="D270" s="15">
        <f>IF($A270="","",IFERROR(INDEX(tblMotor[KararSatir],MATCH($A270,tblMotor[A_Norm],0)),""))</f>
        <v/>
      </c>
      <c r="E270" s="15">
        <f>IF($A270="","",IF(OR($D270="DESİ DÜŞÜR",$D270="TAŞIYICI DEĞİŞTİR"),"YUKSEK","NORMAL"))</f>
        <v/>
      </c>
      <c r="F270" s="15">
        <f>IF($A270="","",_xlfn.TEXTJOIN(" ",TRUE,"Sipariş",$A270,"karar",$D270,"toplam",TEXT($B270,"0.00"),"tasarruf",TEXT($C270,"0.00"),"TL"))</f>
        <v/>
      </c>
    </row>
    <row r="271">
      <c r="A271" s="15">
        <f>IF('ESLESTIRME'!$A271="","",IF('ESLESTIRME'!$G271="tutar_farki",'ESLESTIRME'!$A271,""))</f>
        <v/>
      </c>
      <c r="B271" s="15">
        <f>IF($A271="","",IFERROR(SUMIF(tblMotor[A_Norm],$A271,tblMotor[SiparisToplam]),0))</f>
        <v/>
      </c>
      <c r="C271" s="15">
        <f>IF($A271="","",IFERROR(SUMIF(tblMotor[A_Norm],$A271,tblMotor[Tasarruf]),0))</f>
        <v/>
      </c>
      <c r="D271" s="15">
        <f>IF($A271="","",IFERROR(INDEX(tblMotor[KararSatir],MATCH($A271,tblMotor[A_Norm],0)),""))</f>
        <v/>
      </c>
      <c r="E271" s="15">
        <f>IF($A271="","",IF(OR($D271="DESİ DÜŞÜR",$D271="TAŞIYICI DEĞİŞTİR"),"YUKSEK","NORMAL"))</f>
        <v/>
      </c>
      <c r="F271" s="15">
        <f>IF($A271="","",_xlfn.TEXTJOIN(" ",TRUE,"Sipariş",$A271,"karar",$D271,"toplam",TEXT($B271,"0.00"),"tasarruf",TEXT($C271,"0.00"),"TL"))</f>
        <v/>
      </c>
    </row>
    <row r="272">
      <c r="A272" s="15">
        <f>IF('ESLESTIRME'!$A272="","",IF('ESLESTIRME'!$G272="tutar_farki",'ESLESTIRME'!$A272,""))</f>
        <v/>
      </c>
      <c r="B272" s="15">
        <f>IF($A272="","",IFERROR(SUMIF(tblMotor[A_Norm],$A272,tblMotor[SiparisToplam]),0))</f>
        <v/>
      </c>
      <c r="C272" s="15">
        <f>IF($A272="","",IFERROR(SUMIF(tblMotor[A_Norm],$A272,tblMotor[Tasarruf]),0))</f>
        <v/>
      </c>
      <c r="D272" s="15">
        <f>IF($A272="","",IFERROR(INDEX(tblMotor[KararSatir],MATCH($A272,tblMotor[A_Norm],0)),""))</f>
        <v/>
      </c>
      <c r="E272" s="15">
        <f>IF($A272="","",IF(OR($D272="DESİ DÜŞÜR",$D272="TAŞIYICI DEĞİŞTİR"),"YUKSEK","NORMAL"))</f>
        <v/>
      </c>
      <c r="F272" s="15">
        <f>IF($A272="","",_xlfn.TEXTJOIN(" ",TRUE,"Sipariş",$A272,"karar",$D272,"toplam",TEXT($B272,"0.00"),"tasarruf",TEXT($C272,"0.00"),"TL"))</f>
        <v/>
      </c>
    </row>
    <row r="273">
      <c r="A273" s="15">
        <f>IF('ESLESTIRME'!$A273="","",IF('ESLESTIRME'!$G273="tutar_farki",'ESLESTIRME'!$A273,""))</f>
        <v/>
      </c>
      <c r="B273" s="15">
        <f>IF($A273="","",IFERROR(SUMIF(tblMotor[A_Norm],$A273,tblMotor[SiparisToplam]),0))</f>
        <v/>
      </c>
      <c r="C273" s="15">
        <f>IF($A273="","",IFERROR(SUMIF(tblMotor[A_Norm],$A273,tblMotor[Tasarruf]),0))</f>
        <v/>
      </c>
      <c r="D273" s="15">
        <f>IF($A273="","",IFERROR(INDEX(tblMotor[KararSatir],MATCH($A273,tblMotor[A_Norm],0)),""))</f>
        <v/>
      </c>
      <c r="E273" s="15">
        <f>IF($A273="","",IF(OR($D273="DESİ DÜŞÜR",$D273="TAŞIYICI DEĞİŞTİR"),"YUKSEK","NORMAL"))</f>
        <v/>
      </c>
      <c r="F273" s="15">
        <f>IF($A273="","",_xlfn.TEXTJOIN(" ",TRUE,"Sipariş",$A273,"karar",$D273,"toplam",TEXT($B273,"0.00"),"tasarruf",TEXT($C273,"0.00"),"TL"))</f>
        <v/>
      </c>
    </row>
    <row r="274">
      <c r="A274" s="15">
        <f>IF('ESLESTIRME'!$A274="","",IF('ESLESTIRME'!$G274="tutar_farki",'ESLESTIRME'!$A274,""))</f>
        <v/>
      </c>
      <c r="B274" s="15">
        <f>IF($A274="","",IFERROR(SUMIF(tblMotor[A_Norm],$A274,tblMotor[SiparisToplam]),0))</f>
        <v/>
      </c>
      <c r="C274" s="15">
        <f>IF($A274="","",IFERROR(SUMIF(tblMotor[A_Norm],$A274,tblMotor[Tasarruf]),0))</f>
        <v/>
      </c>
      <c r="D274" s="15">
        <f>IF($A274="","",IFERROR(INDEX(tblMotor[KararSatir],MATCH($A274,tblMotor[A_Norm],0)),""))</f>
        <v/>
      </c>
      <c r="E274" s="15">
        <f>IF($A274="","",IF(OR($D274="DESİ DÜŞÜR",$D274="TAŞIYICI DEĞİŞTİR"),"YUKSEK","NORMAL"))</f>
        <v/>
      </c>
      <c r="F274" s="15">
        <f>IF($A274="","",_xlfn.TEXTJOIN(" ",TRUE,"Sipariş",$A274,"karar",$D274,"toplam",TEXT($B274,"0.00"),"tasarruf",TEXT($C274,"0.00"),"TL"))</f>
        <v/>
      </c>
    </row>
    <row r="275">
      <c r="A275" s="15">
        <f>IF('ESLESTIRME'!$A275="","",IF('ESLESTIRME'!$G275="tutar_farki",'ESLESTIRME'!$A275,""))</f>
        <v/>
      </c>
      <c r="B275" s="15">
        <f>IF($A275="","",IFERROR(SUMIF(tblMotor[A_Norm],$A275,tblMotor[SiparisToplam]),0))</f>
        <v/>
      </c>
      <c r="C275" s="15">
        <f>IF($A275="","",IFERROR(SUMIF(tblMotor[A_Norm],$A275,tblMotor[Tasarruf]),0))</f>
        <v/>
      </c>
      <c r="D275" s="15">
        <f>IF($A275="","",IFERROR(INDEX(tblMotor[KararSatir],MATCH($A275,tblMotor[A_Norm],0)),""))</f>
        <v/>
      </c>
      <c r="E275" s="15">
        <f>IF($A275="","",IF(OR($D275="DESİ DÜŞÜR",$D275="TAŞIYICI DEĞİŞTİR"),"YUKSEK","NORMAL"))</f>
        <v/>
      </c>
      <c r="F275" s="15">
        <f>IF($A275="","",_xlfn.TEXTJOIN(" ",TRUE,"Sipariş",$A275,"karar",$D275,"toplam",TEXT($B275,"0.00"),"tasarruf",TEXT($C275,"0.00"),"TL"))</f>
        <v/>
      </c>
    </row>
    <row r="276">
      <c r="A276" s="15">
        <f>IF('ESLESTIRME'!$A276="","",IF('ESLESTIRME'!$G276="tutar_farki",'ESLESTIRME'!$A276,""))</f>
        <v/>
      </c>
      <c r="B276" s="15">
        <f>IF($A276="","",IFERROR(SUMIF(tblMotor[A_Norm],$A276,tblMotor[SiparisToplam]),0))</f>
        <v/>
      </c>
      <c r="C276" s="15">
        <f>IF($A276="","",IFERROR(SUMIF(tblMotor[A_Norm],$A276,tblMotor[Tasarruf]),0))</f>
        <v/>
      </c>
      <c r="D276" s="15">
        <f>IF($A276="","",IFERROR(INDEX(tblMotor[KararSatir],MATCH($A276,tblMotor[A_Norm],0)),""))</f>
        <v/>
      </c>
      <c r="E276" s="15">
        <f>IF($A276="","",IF(OR($D276="DESİ DÜŞÜR",$D276="TAŞIYICI DEĞİŞTİR"),"YUKSEK","NORMAL"))</f>
        <v/>
      </c>
      <c r="F276" s="15">
        <f>IF($A276="","",_xlfn.TEXTJOIN(" ",TRUE,"Sipariş",$A276,"karar",$D276,"toplam",TEXT($B276,"0.00"),"tasarruf",TEXT($C276,"0.00"),"TL"))</f>
        <v/>
      </c>
    </row>
    <row r="277">
      <c r="A277" s="15">
        <f>IF('ESLESTIRME'!$A277="","",IF('ESLESTIRME'!$G277="tutar_farki",'ESLESTIRME'!$A277,""))</f>
        <v/>
      </c>
      <c r="B277" s="15">
        <f>IF($A277="","",IFERROR(SUMIF(tblMotor[A_Norm],$A277,tblMotor[SiparisToplam]),0))</f>
        <v/>
      </c>
      <c r="C277" s="15">
        <f>IF($A277="","",IFERROR(SUMIF(tblMotor[A_Norm],$A277,tblMotor[Tasarruf]),0))</f>
        <v/>
      </c>
      <c r="D277" s="15">
        <f>IF($A277="","",IFERROR(INDEX(tblMotor[KararSatir],MATCH($A277,tblMotor[A_Norm],0)),""))</f>
        <v/>
      </c>
      <c r="E277" s="15">
        <f>IF($A277="","",IF(OR($D277="DESİ DÜŞÜR",$D277="TAŞIYICI DEĞİŞTİR"),"YUKSEK","NORMAL"))</f>
        <v/>
      </c>
      <c r="F277" s="15">
        <f>IF($A277="","",_xlfn.TEXTJOIN(" ",TRUE,"Sipariş",$A277,"karar",$D277,"toplam",TEXT($B277,"0.00"),"tasarruf",TEXT($C277,"0.00"),"TL"))</f>
        <v/>
      </c>
    </row>
    <row r="278">
      <c r="A278" s="15">
        <f>IF('ESLESTIRME'!$A278="","",IF('ESLESTIRME'!$G278="tutar_farki",'ESLESTIRME'!$A278,""))</f>
        <v/>
      </c>
      <c r="B278" s="15">
        <f>IF($A278="","",IFERROR(SUMIF(tblMotor[A_Norm],$A278,tblMotor[SiparisToplam]),0))</f>
        <v/>
      </c>
      <c r="C278" s="15">
        <f>IF($A278="","",IFERROR(SUMIF(tblMotor[A_Norm],$A278,tblMotor[Tasarruf]),0))</f>
        <v/>
      </c>
      <c r="D278" s="15">
        <f>IF($A278="","",IFERROR(INDEX(tblMotor[KararSatir],MATCH($A278,tblMotor[A_Norm],0)),""))</f>
        <v/>
      </c>
      <c r="E278" s="15">
        <f>IF($A278="","",IF(OR($D278="DESİ DÜŞÜR",$D278="TAŞIYICI DEĞİŞTİR"),"YUKSEK","NORMAL"))</f>
        <v/>
      </c>
      <c r="F278" s="15">
        <f>IF($A278="","",_xlfn.TEXTJOIN(" ",TRUE,"Sipariş",$A278,"karar",$D278,"toplam",TEXT($B278,"0.00"),"tasarruf",TEXT($C278,"0.00"),"TL"))</f>
        <v/>
      </c>
    </row>
    <row r="279">
      <c r="A279" s="15">
        <f>IF('ESLESTIRME'!$A279="","",IF('ESLESTIRME'!$G279="tutar_farki",'ESLESTIRME'!$A279,""))</f>
        <v/>
      </c>
      <c r="B279" s="15">
        <f>IF($A279="","",IFERROR(SUMIF(tblMotor[A_Norm],$A279,tblMotor[SiparisToplam]),0))</f>
        <v/>
      </c>
      <c r="C279" s="15">
        <f>IF($A279="","",IFERROR(SUMIF(tblMotor[A_Norm],$A279,tblMotor[Tasarruf]),0))</f>
        <v/>
      </c>
      <c r="D279" s="15">
        <f>IF($A279="","",IFERROR(INDEX(tblMotor[KararSatir],MATCH($A279,tblMotor[A_Norm],0)),""))</f>
        <v/>
      </c>
      <c r="E279" s="15">
        <f>IF($A279="","",IF(OR($D279="DESİ DÜŞÜR",$D279="TAŞIYICI DEĞİŞTİR"),"YUKSEK","NORMAL"))</f>
        <v/>
      </c>
      <c r="F279" s="15">
        <f>IF($A279="","",_xlfn.TEXTJOIN(" ",TRUE,"Sipariş",$A279,"karar",$D279,"toplam",TEXT($B279,"0.00"),"tasarruf",TEXT($C279,"0.00"),"TL"))</f>
        <v/>
      </c>
    </row>
    <row r="280">
      <c r="A280" s="15">
        <f>IF('ESLESTIRME'!$A280="","",IF('ESLESTIRME'!$G280="tutar_farki",'ESLESTIRME'!$A280,""))</f>
        <v/>
      </c>
      <c r="B280" s="15">
        <f>IF($A280="","",IFERROR(SUMIF(tblMotor[A_Norm],$A280,tblMotor[SiparisToplam]),0))</f>
        <v/>
      </c>
      <c r="C280" s="15">
        <f>IF($A280="","",IFERROR(SUMIF(tblMotor[A_Norm],$A280,tblMotor[Tasarruf]),0))</f>
        <v/>
      </c>
      <c r="D280" s="15">
        <f>IF($A280="","",IFERROR(INDEX(tblMotor[KararSatir],MATCH($A280,tblMotor[A_Norm],0)),""))</f>
        <v/>
      </c>
      <c r="E280" s="15">
        <f>IF($A280="","",IF(OR($D280="DESİ DÜŞÜR",$D280="TAŞIYICI DEĞİŞTİR"),"YUKSEK","NORMAL"))</f>
        <v/>
      </c>
      <c r="F280" s="15">
        <f>IF($A280="","",_xlfn.TEXTJOIN(" ",TRUE,"Sipariş",$A280,"karar",$D280,"toplam",TEXT($B280,"0.00"),"tasarruf",TEXT($C280,"0.00"),"TL"))</f>
        <v/>
      </c>
    </row>
    <row r="281">
      <c r="A281" s="15">
        <f>IF('ESLESTIRME'!$A281="","",IF('ESLESTIRME'!$G281="tutar_farki",'ESLESTIRME'!$A281,""))</f>
        <v/>
      </c>
      <c r="B281" s="15">
        <f>IF($A281="","",IFERROR(SUMIF(tblMotor[A_Norm],$A281,tblMotor[SiparisToplam]),0))</f>
        <v/>
      </c>
      <c r="C281" s="15">
        <f>IF($A281="","",IFERROR(SUMIF(tblMotor[A_Norm],$A281,tblMotor[Tasarruf]),0))</f>
        <v/>
      </c>
      <c r="D281" s="15">
        <f>IF($A281="","",IFERROR(INDEX(tblMotor[KararSatir],MATCH($A281,tblMotor[A_Norm],0)),""))</f>
        <v/>
      </c>
      <c r="E281" s="15">
        <f>IF($A281="","",IF(OR($D281="DESİ DÜŞÜR",$D281="TAŞIYICI DEĞİŞTİR"),"YUKSEK","NORMAL"))</f>
        <v/>
      </c>
      <c r="F281" s="15">
        <f>IF($A281="","",_xlfn.TEXTJOIN(" ",TRUE,"Sipariş",$A281,"karar",$D281,"toplam",TEXT($B281,"0.00"),"tasarruf",TEXT($C281,"0.00"),"TL"))</f>
        <v/>
      </c>
    </row>
    <row r="282">
      <c r="A282" s="15">
        <f>IF('ESLESTIRME'!$A282="","",IF('ESLESTIRME'!$G282="tutar_farki",'ESLESTIRME'!$A282,""))</f>
        <v/>
      </c>
      <c r="B282" s="15">
        <f>IF($A282="","",IFERROR(SUMIF(tblMotor[A_Norm],$A282,tblMotor[SiparisToplam]),0))</f>
        <v/>
      </c>
      <c r="C282" s="15">
        <f>IF($A282="","",IFERROR(SUMIF(tblMotor[A_Norm],$A282,tblMotor[Tasarruf]),0))</f>
        <v/>
      </c>
      <c r="D282" s="15">
        <f>IF($A282="","",IFERROR(INDEX(tblMotor[KararSatir],MATCH($A282,tblMotor[A_Norm],0)),""))</f>
        <v/>
      </c>
      <c r="E282" s="15">
        <f>IF($A282="","",IF(OR($D282="DESİ DÜŞÜR",$D282="TAŞIYICI DEĞİŞTİR"),"YUKSEK","NORMAL"))</f>
        <v/>
      </c>
      <c r="F282" s="15">
        <f>IF($A282="","",_xlfn.TEXTJOIN(" ",TRUE,"Sipariş",$A282,"karar",$D282,"toplam",TEXT($B282,"0.00"),"tasarruf",TEXT($C282,"0.00"),"TL"))</f>
        <v/>
      </c>
    </row>
    <row r="283">
      <c r="A283" s="15">
        <f>IF('ESLESTIRME'!$A283="","",IF('ESLESTIRME'!$G283="tutar_farki",'ESLESTIRME'!$A283,""))</f>
        <v/>
      </c>
      <c r="B283" s="15">
        <f>IF($A283="","",IFERROR(SUMIF(tblMotor[A_Norm],$A283,tblMotor[SiparisToplam]),0))</f>
        <v/>
      </c>
      <c r="C283" s="15">
        <f>IF($A283="","",IFERROR(SUMIF(tblMotor[A_Norm],$A283,tblMotor[Tasarruf]),0))</f>
        <v/>
      </c>
      <c r="D283" s="15">
        <f>IF($A283="","",IFERROR(INDEX(tblMotor[KararSatir],MATCH($A283,tblMotor[A_Norm],0)),""))</f>
        <v/>
      </c>
      <c r="E283" s="15">
        <f>IF($A283="","",IF(OR($D283="DESİ DÜŞÜR",$D283="TAŞIYICI DEĞİŞTİR"),"YUKSEK","NORMAL"))</f>
        <v/>
      </c>
      <c r="F283" s="15">
        <f>IF($A283="","",_xlfn.TEXTJOIN(" ",TRUE,"Sipariş",$A283,"karar",$D283,"toplam",TEXT($B283,"0.00"),"tasarruf",TEXT($C283,"0.00"),"TL"))</f>
        <v/>
      </c>
    </row>
    <row r="284">
      <c r="A284" s="15">
        <f>IF('ESLESTIRME'!$A284="","",IF('ESLESTIRME'!$G284="tutar_farki",'ESLESTIRME'!$A284,""))</f>
        <v/>
      </c>
      <c r="B284" s="15">
        <f>IF($A284="","",IFERROR(SUMIF(tblMotor[A_Norm],$A284,tblMotor[SiparisToplam]),0))</f>
        <v/>
      </c>
      <c r="C284" s="15">
        <f>IF($A284="","",IFERROR(SUMIF(tblMotor[A_Norm],$A284,tblMotor[Tasarruf]),0))</f>
        <v/>
      </c>
      <c r="D284" s="15">
        <f>IF($A284="","",IFERROR(INDEX(tblMotor[KararSatir],MATCH($A284,tblMotor[A_Norm],0)),""))</f>
        <v/>
      </c>
      <c r="E284" s="15">
        <f>IF($A284="","",IF(OR($D284="DESİ DÜŞÜR",$D284="TAŞIYICI DEĞİŞTİR"),"YUKSEK","NORMAL"))</f>
        <v/>
      </c>
      <c r="F284" s="15">
        <f>IF($A284="","",_xlfn.TEXTJOIN(" ",TRUE,"Sipariş",$A284,"karar",$D284,"toplam",TEXT($B284,"0.00"),"tasarruf",TEXT($C284,"0.00"),"TL"))</f>
        <v/>
      </c>
    </row>
    <row r="285">
      <c r="A285" s="15">
        <f>IF('ESLESTIRME'!$A285="","",IF('ESLESTIRME'!$G285="tutar_farki",'ESLESTIRME'!$A285,""))</f>
        <v/>
      </c>
      <c r="B285" s="15">
        <f>IF($A285="","",IFERROR(SUMIF(tblMotor[A_Norm],$A285,tblMotor[SiparisToplam]),0))</f>
        <v/>
      </c>
      <c r="C285" s="15">
        <f>IF($A285="","",IFERROR(SUMIF(tblMotor[A_Norm],$A285,tblMotor[Tasarruf]),0))</f>
        <v/>
      </c>
      <c r="D285" s="15">
        <f>IF($A285="","",IFERROR(INDEX(tblMotor[KararSatir],MATCH($A285,tblMotor[A_Norm],0)),""))</f>
        <v/>
      </c>
      <c r="E285" s="15">
        <f>IF($A285="","",IF(OR($D285="DESİ DÜŞÜR",$D285="TAŞIYICI DEĞİŞTİR"),"YUKSEK","NORMAL"))</f>
        <v/>
      </c>
      <c r="F285" s="15">
        <f>IF($A285="","",_xlfn.TEXTJOIN(" ",TRUE,"Sipariş",$A285,"karar",$D285,"toplam",TEXT($B285,"0.00"),"tasarruf",TEXT($C285,"0.00"),"TL"))</f>
        <v/>
      </c>
    </row>
    <row r="286">
      <c r="A286" s="15">
        <f>IF('ESLESTIRME'!$A286="","",IF('ESLESTIRME'!$G286="tutar_farki",'ESLESTIRME'!$A286,""))</f>
        <v/>
      </c>
      <c r="B286" s="15">
        <f>IF($A286="","",IFERROR(SUMIF(tblMotor[A_Norm],$A286,tblMotor[SiparisToplam]),0))</f>
        <v/>
      </c>
      <c r="C286" s="15">
        <f>IF($A286="","",IFERROR(SUMIF(tblMotor[A_Norm],$A286,tblMotor[Tasarruf]),0))</f>
        <v/>
      </c>
      <c r="D286" s="15">
        <f>IF($A286="","",IFERROR(INDEX(tblMotor[KararSatir],MATCH($A286,tblMotor[A_Norm],0)),""))</f>
        <v/>
      </c>
      <c r="E286" s="15">
        <f>IF($A286="","",IF(OR($D286="DESİ DÜŞÜR",$D286="TAŞIYICI DEĞİŞTİR"),"YUKSEK","NORMAL"))</f>
        <v/>
      </c>
      <c r="F286" s="15">
        <f>IF($A286="","",_xlfn.TEXTJOIN(" ",TRUE,"Sipariş",$A286,"karar",$D286,"toplam",TEXT($B286,"0.00"),"tasarruf",TEXT($C286,"0.00"),"TL"))</f>
        <v/>
      </c>
    </row>
    <row r="287">
      <c r="A287" s="15">
        <f>IF('ESLESTIRME'!$A287="","",IF('ESLESTIRME'!$G287="tutar_farki",'ESLESTIRME'!$A287,""))</f>
        <v/>
      </c>
      <c r="B287" s="15">
        <f>IF($A287="","",IFERROR(SUMIF(tblMotor[A_Norm],$A287,tblMotor[SiparisToplam]),0))</f>
        <v/>
      </c>
      <c r="C287" s="15">
        <f>IF($A287="","",IFERROR(SUMIF(tblMotor[A_Norm],$A287,tblMotor[Tasarruf]),0))</f>
        <v/>
      </c>
      <c r="D287" s="15">
        <f>IF($A287="","",IFERROR(INDEX(tblMotor[KararSatir],MATCH($A287,tblMotor[A_Norm],0)),""))</f>
        <v/>
      </c>
      <c r="E287" s="15">
        <f>IF($A287="","",IF(OR($D287="DESİ DÜŞÜR",$D287="TAŞIYICI DEĞİŞTİR"),"YUKSEK","NORMAL"))</f>
        <v/>
      </c>
      <c r="F287" s="15">
        <f>IF($A287="","",_xlfn.TEXTJOIN(" ",TRUE,"Sipariş",$A287,"karar",$D287,"toplam",TEXT($B287,"0.00"),"tasarruf",TEXT($C287,"0.00"),"TL"))</f>
        <v/>
      </c>
    </row>
    <row r="288">
      <c r="A288" s="15">
        <f>IF('ESLESTIRME'!$A288="","",IF('ESLESTIRME'!$G288="tutar_farki",'ESLESTIRME'!$A288,""))</f>
        <v/>
      </c>
      <c r="B288" s="15">
        <f>IF($A288="","",IFERROR(SUMIF(tblMotor[A_Norm],$A288,tblMotor[SiparisToplam]),0))</f>
        <v/>
      </c>
      <c r="C288" s="15">
        <f>IF($A288="","",IFERROR(SUMIF(tblMotor[A_Norm],$A288,tblMotor[Tasarruf]),0))</f>
        <v/>
      </c>
      <c r="D288" s="15">
        <f>IF($A288="","",IFERROR(INDEX(tblMotor[KararSatir],MATCH($A288,tblMotor[A_Norm],0)),""))</f>
        <v/>
      </c>
      <c r="E288" s="15">
        <f>IF($A288="","",IF(OR($D288="DESİ DÜŞÜR",$D288="TAŞIYICI DEĞİŞTİR"),"YUKSEK","NORMAL"))</f>
        <v/>
      </c>
      <c r="F288" s="15">
        <f>IF($A288="","",_xlfn.TEXTJOIN(" ",TRUE,"Sipariş",$A288,"karar",$D288,"toplam",TEXT($B288,"0.00"),"tasarruf",TEXT($C288,"0.00"),"TL"))</f>
        <v/>
      </c>
    </row>
    <row r="289">
      <c r="A289" s="15">
        <f>IF('ESLESTIRME'!$A289="","",IF('ESLESTIRME'!$G289="tutar_farki",'ESLESTIRME'!$A289,""))</f>
        <v/>
      </c>
      <c r="B289" s="15">
        <f>IF($A289="","",IFERROR(SUMIF(tblMotor[A_Norm],$A289,tblMotor[SiparisToplam]),0))</f>
        <v/>
      </c>
      <c r="C289" s="15">
        <f>IF($A289="","",IFERROR(SUMIF(tblMotor[A_Norm],$A289,tblMotor[Tasarruf]),0))</f>
        <v/>
      </c>
      <c r="D289" s="15">
        <f>IF($A289="","",IFERROR(INDEX(tblMotor[KararSatir],MATCH($A289,tblMotor[A_Norm],0)),""))</f>
        <v/>
      </c>
      <c r="E289" s="15">
        <f>IF($A289="","",IF(OR($D289="DESİ DÜŞÜR",$D289="TAŞIYICI DEĞİŞTİR"),"YUKSEK","NORMAL"))</f>
        <v/>
      </c>
      <c r="F289" s="15">
        <f>IF($A289="","",_xlfn.TEXTJOIN(" ",TRUE,"Sipariş",$A289,"karar",$D289,"toplam",TEXT($B289,"0.00"),"tasarruf",TEXT($C289,"0.00"),"TL"))</f>
        <v/>
      </c>
    </row>
    <row r="290">
      <c r="A290" s="15">
        <f>IF('ESLESTIRME'!$A290="","",IF('ESLESTIRME'!$G290="tutar_farki",'ESLESTIRME'!$A290,""))</f>
        <v/>
      </c>
      <c r="B290" s="15">
        <f>IF($A290="","",IFERROR(SUMIF(tblMotor[A_Norm],$A290,tblMotor[SiparisToplam]),0))</f>
        <v/>
      </c>
      <c r="C290" s="15">
        <f>IF($A290="","",IFERROR(SUMIF(tblMotor[A_Norm],$A290,tblMotor[Tasarruf]),0))</f>
        <v/>
      </c>
      <c r="D290" s="15">
        <f>IF($A290="","",IFERROR(INDEX(tblMotor[KararSatir],MATCH($A290,tblMotor[A_Norm],0)),""))</f>
        <v/>
      </c>
      <c r="E290" s="15">
        <f>IF($A290="","",IF(OR($D290="DESİ DÜŞÜR",$D290="TAŞIYICI DEĞİŞTİR"),"YUKSEK","NORMAL"))</f>
        <v/>
      </c>
      <c r="F290" s="15">
        <f>IF($A290="","",_xlfn.TEXTJOIN(" ",TRUE,"Sipariş",$A290,"karar",$D290,"toplam",TEXT($B290,"0.00"),"tasarruf",TEXT($C290,"0.00"),"TL"))</f>
        <v/>
      </c>
    </row>
    <row r="291">
      <c r="A291" s="15">
        <f>IF('ESLESTIRME'!$A291="","",IF('ESLESTIRME'!$G291="tutar_farki",'ESLESTIRME'!$A291,""))</f>
        <v/>
      </c>
      <c r="B291" s="15">
        <f>IF($A291="","",IFERROR(SUMIF(tblMotor[A_Norm],$A291,tblMotor[SiparisToplam]),0))</f>
        <v/>
      </c>
      <c r="C291" s="15">
        <f>IF($A291="","",IFERROR(SUMIF(tblMotor[A_Norm],$A291,tblMotor[Tasarruf]),0))</f>
        <v/>
      </c>
      <c r="D291" s="15">
        <f>IF($A291="","",IFERROR(INDEX(tblMotor[KararSatir],MATCH($A291,tblMotor[A_Norm],0)),""))</f>
        <v/>
      </c>
      <c r="E291" s="15">
        <f>IF($A291="","",IF(OR($D291="DESİ DÜŞÜR",$D291="TAŞIYICI DEĞİŞTİR"),"YUKSEK","NORMAL"))</f>
        <v/>
      </c>
      <c r="F291" s="15">
        <f>IF($A291="","",_xlfn.TEXTJOIN(" ",TRUE,"Sipariş",$A291,"karar",$D291,"toplam",TEXT($B291,"0.00"),"tasarruf",TEXT($C291,"0.00"),"TL"))</f>
        <v/>
      </c>
    </row>
    <row r="292">
      <c r="A292" s="15">
        <f>IF('ESLESTIRME'!$A292="","",IF('ESLESTIRME'!$G292="tutar_farki",'ESLESTIRME'!$A292,""))</f>
        <v/>
      </c>
      <c r="B292" s="15">
        <f>IF($A292="","",IFERROR(SUMIF(tblMotor[A_Norm],$A292,tblMotor[SiparisToplam]),0))</f>
        <v/>
      </c>
      <c r="C292" s="15">
        <f>IF($A292="","",IFERROR(SUMIF(tblMotor[A_Norm],$A292,tblMotor[Tasarruf]),0))</f>
        <v/>
      </c>
      <c r="D292" s="15">
        <f>IF($A292="","",IFERROR(INDEX(tblMotor[KararSatir],MATCH($A292,tblMotor[A_Norm],0)),""))</f>
        <v/>
      </c>
      <c r="E292" s="15">
        <f>IF($A292="","",IF(OR($D292="DESİ DÜŞÜR",$D292="TAŞIYICI DEĞİŞTİR"),"YUKSEK","NORMAL"))</f>
        <v/>
      </c>
      <c r="F292" s="15">
        <f>IF($A292="","",_xlfn.TEXTJOIN(" ",TRUE,"Sipariş",$A292,"karar",$D292,"toplam",TEXT($B292,"0.00"),"tasarruf",TEXT($C292,"0.00"),"TL"))</f>
        <v/>
      </c>
    </row>
    <row r="293">
      <c r="A293" s="15">
        <f>IF('ESLESTIRME'!$A293="","",IF('ESLESTIRME'!$G293="tutar_farki",'ESLESTIRME'!$A293,""))</f>
        <v/>
      </c>
      <c r="B293" s="15">
        <f>IF($A293="","",IFERROR(SUMIF(tblMotor[A_Norm],$A293,tblMotor[SiparisToplam]),0))</f>
        <v/>
      </c>
      <c r="C293" s="15">
        <f>IF($A293="","",IFERROR(SUMIF(tblMotor[A_Norm],$A293,tblMotor[Tasarruf]),0))</f>
        <v/>
      </c>
      <c r="D293" s="15">
        <f>IF($A293="","",IFERROR(INDEX(tblMotor[KararSatir],MATCH($A293,tblMotor[A_Norm],0)),""))</f>
        <v/>
      </c>
      <c r="E293" s="15">
        <f>IF($A293="","",IF(OR($D293="DESİ DÜŞÜR",$D293="TAŞIYICI DEĞİŞTİR"),"YUKSEK","NORMAL"))</f>
        <v/>
      </c>
      <c r="F293" s="15">
        <f>IF($A293="","",_xlfn.TEXTJOIN(" ",TRUE,"Sipariş",$A293,"karar",$D293,"toplam",TEXT($B293,"0.00"),"tasarruf",TEXT($C293,"0.00"),"TL"))</f>
        <v/>
      </c>
    </row>
    <row r="294">
      <c r="A294" s="15">
        <f>IF('ESLESTIRME'!$A294="","",IF('ESLESTIRME'!$G294="tutar_farki",'ESLESTIRME'!$A294,""))</f>
        <v/>
      </c>
      <c r="B294" s="15">
        <f>IF($A294="","",IFERROR(SUMIF(tblMotor[A_Norm],$A294,tblMotor[SiparisToplam]),0))</f>
        <v/>
      </c>
      <c r="C294" s="15">
        <f>IF($A294="","",IFERROR(SUMIF(tblMotor[A_Norm],$A294,tblMotor[Tasarruf]),0))</f>
        <v/>
      </c>
      <c r="D294" s="15">
        <f>IF($A294="","",IFERROR(INDEX(tblMotor[KararSatir],MATCH($A294,tblMotor[A_Norm],0)),""))</f>
        <v/>
      </c>
      <c r="E294" s="15">
        <f>IF($A294="","",IF(OR($D294="DESİ DÜŞÜR",$D294="TAŞIYICI DEĞİŞTİR"),"YUKSEK","NORMAL"))</f>
        <v/>
      </c>
      <c r="F294" s="15">
        <f>IF($A294="","",_xlfn.TEXTJOIN(" ",TRUE,"Sipariş",$A294,"karar",$D294,"toplam",TEXT($B294,"0.00"),"tasarruf",TEXT($C294,"0.00"),"TL"))</f>
        <v/>
      </c>
    </row>
    <row r="295">
      <c r="A295" s="15">
        <f>IF('ESLESTIRME'!$A295="","",IF('ESLESTIRME'!$G295="tutar_farki",'ESLESTIRME'!$A295,""))</f>
        <v/>
      </c>
      <c r="B295" s="15">
        <f>IF($A295="","",IFERROR(SUMIF(tblMotor[A_Norm],$A295,tblMotor[SiparisToplam]),0))</f>
        <v/>
      </c>
      <c r="C295" s="15">
        <f>IF($A295="","",IFERROR(SUMIF(tblMotor[A_Norm],$A295,tblMotor[Tasarruf]),0))</f>
        <v/>
      </c>
      <c r="D295" s="15">
        <f>IF($A295="","",IFERROR(INDEX(tblMotor[KararSatir],MATCH($A295,tblMotor[A_Norm],0)),""))</f>
        <v/>
      </c>
      <c r="E295" s="15">
        <f>IF($A295="","",IF(OR($D295="DESİ DÜŞÜR",$D295="TAŞIYICI DEĞİŞTİR"),"YUKSEK","NORMAL"))</f>
        <v/>
      </c>
      <c r="F295" s="15">
        <f>IF($A295="","",_xlfn.TEXTJOIN(" ",TRUE,"Sipariş",$A295,"karar",$D295,"toplam",TEXT($B295,"0.00"),"tasarruf",TEXT($C295,"0.00"),"TL"))</f>
        <v/>
      </c>
    </row>
    <row r="296">
      <c r="A296" s="15">
        <f>IF('ESLESTIRME'!$A296="","",IF('ESLESTIRME'!$G296="tutar_farki",'ESLESTIRME'!$A296,""))</f>
        <v/>
      </c>
      <c r="B296" s="15">
        <f>IF($A296="","",IFERROR(SUMIF(tblMotor[A_Norm],$A296,tblMotor[SiparisToplam]),0))</f>
        <v/>
      </c>
      <c r="C296" s="15">
        <f>IF($A296="","",IFERROR(SUMIF(tblMotor[A_Norm],$A296,tblMotor[Tasarruf]),0))</f>
        <v/>
      </c>
      <c r="D296" s="15">
        <f>IF($A296="","",IFERROR(INDEX(tblMotor[KararSatir],MATCH($A296,tblMotor[A_Norm],0)),""))</f>
        <v/>
      </c>
      <c r="E296" s="15">
        <f>IF($A296="","",IF(OR($D296="DESİ DÜŞÜR",$D296="TAŞIYICI DEĞİŞTİR"),"YUKSEK","NORMAL"))</f>
        <v/>
      </c>
      <c r="F296" s="15">
        <f>IF($A296="","",_xlfn.TEXTJOIN(" ",TRUE,"Sipariş",$A296,"karar",$D296,"toplam",TEXT($B296,"0.00"),"tasarruf",TEXT($C296,"0.00"),"TL"))</f>
        <v/>
      </c>
    </row>
    <row r="297">
      <c r="A297" s="15">
        <f>IF('ESLESTIRME'!$A297="","",IF('ESLESTIRME'!$G297="tutar_farki",'ESLESTIRME'!$A297,""))</f>
        <v/>
      </c>
      <c r="B297" s="15">
        <f>IF($A297="","",IFERROR(SUMIF(tblMotor[A_Norm],$A297,tblMotor[SiparisToplam]),0))</f>
        <v/>
      </c>
      <c r="C297" s="15">
        <f>IF($A297="","",IFERROR(SUMIF(tblMotor[A_Norm],$A297,tblMotor[Tasarruf]),0))</f>
        <v/>
      </c>
      <c r="D297" s="15">
        <f>IF($A297="","",IFERROR(INDEX(tblMotor[KararSatir],MATCH($A297,tblMotor[A_Norm],0)),""))</f>
        <v/>
      </c>
      <c r="E297" s="15">
        <f>IF($A297="","",IF(OR($D297="DESİ DÜŞÜR",$D297="TAŞIYICI DEĞİŞTİR"),"YUKSEK","NORMAL"))</f>
        <v/>
      </c>
      <c r="F297" s="15">
        <f>IF($A297="","",_xlfn.TEXTJOIN(" ",TRUE,"Sipariş",$A297,"karar",$D297,"toplam",TEXT($B297,"0.00"),"tasarruf",TEXT($C297,"0.00"),"TL"))</f>
        <v/>
      </c>
    </row>
    <row r="298">
      <c r="A298" s="15">
        <f>IF('ESLESTIRME'!$A298="","",IF('ESLESTIRME'!$G298="tutar_farki",'ESLESTIRME'!$A298,""))</f>
        <v/>
      </c>
      <c r="B298" s="15">
        <f>IF($A298="","",IFERROR(SUMIF(tblMotor[A_Norm],$A298,tblMotor[SiparisToplam]),0))</f>
        <v/>
      </c>
      <c r="C298" s="15">
        <f>IF($A298="","",IFERROR(SUMIF(tblMotor[A_Norm],$A298,tblMotor[Tasarruf]),0))</f>
        <v/>
      </c>
      <c r="D298" s="15">
        <f>IF($A298="","",IFERROR(INDEX(tblMotor[KararSatir],MATCH($A298,tblMotor[A_Norm],0)),""))</f>
        <v/>
      </c>
      <c r="E298" s="15">
        <f>IF($A298="","",IF(OR($D298="DESİ DÜŞÜR",$D298="TAŞIYICI DEĞİŞTİR"),"YUKSEK","NORMAL"))</f>
        <v/>
      </c>
      <c r="F298" s="15">
        <f>IF($A298="","",_xlfn.TEXTJOIN(" ",TRUE,"Sipariş",$A298,"karar",$D298,"toplam",TEXT($B298,"0.00"),"tasarruf",TEXT($C298,"0.00"),"TL"))</f>
        <v/>
      </c>
    </row>
    <row r="299">
      <c r="A299" s="15">
        <f>IF('ESLESTIRME'!$A299="","",IF('ESLESTIRME'!$G299="tutar_farki",'ESLESTIRME'!$A299,""))</f>
        <v/>
      </c>
      <c r="B299" s="15">
        <f>IF($A299="","",IFERROR(SUMIF(tblMotor[A_Norm],$A299,tblMotor[SiparisToplam]),0))</f>
        <v/>
      </c>
      <c r="C299" s="15">
        <f>IF($A299="","",IFERROR(SUMIF(tblMotor[A_Norm],$A299,tblMotor[Tasarruf]),0))</f>
        <v/>
      </c>
      <c r="D299" s="15">
        <f>IF($A299="","",IFERROR(INDEX(tblMotor[KararSatir],MATCH($A299,tblMotor[A_Norm],0)),""))</f>
        <v/>
      </c>
      <c r="E299" s="15">
        <f>IF($A299="","",IF(OR($D299="DESİ DÜŞÜR",$D299="TAŞIYICI DEĞİŞTİR"),"YUKSEK","NORMAL"))</f>
        <v/>
      </c>
      <c r="F299" s="15">
        <f>IF($A299="","",_xlfn.TEXTJOIN(" ",TRUE,"Sipariş",$A299,"karar",$D299,"toplam",TEXT($B299,"0.00"),"tasarruf",TEXT($C299,"0.00"),"TL"))</f>
        <v/>
      </c>
    </row>
    <row r="300">
      <c r="A300" s="15">
        <f>IF('ESLESTIRME'!$A300="","",IF('ESLESTIRME'!$G300="tutar_farki",'ESLESTIRME'!$A300,""))</f>
        <v/>
      </c>
      <c r="B300" s="15">
        <f>IF($A300="","",IFERROR(SUMIF(tblMotor[A_Norm],$A300,tblMotor[SiparisToplam]),0))</f>
        <v/>
      </c>
      <c r="C300" s="15">
        <f>IF($A300="","",IFERROR(SUMIF(tblMotor[A_Norm],$A300,tblMotor[Tasarruf]),0))</f>
        <v/>
      </c>
      <c r="D300" s="15">
        <f>IF($A300="","",IFERROR(INDEX(tblMotor[KararSatir],MATCH($A300,tblMotor[A_Norm],0)),""))</f>
        <v/>
      </c>
      <c r="E300" s="15">
        <f>IF($A300="","",IF(OR($D300="DESİ DÜŞÜR",$D300="TAŞIYICI DEĞİŞTİR"),"YUKSEK","NORMAL"))</f>
        <v/>
      </c>
      <c r="F300" s="15">
        <f>IF($A300="","",_xlfn.TEXTJOIN(" ",TRUE,"Sipariş",$A300,"karar",$D300,"toplam",TEXT($B300,"0.00"),"tasarruf",TEXT($C300,"0.00"),"TL"))</f>
        <v/>
      </c>
    </row>
    <row r="301">
      <c r="A301" s="15">
        <f>IF('ESLESTIRME'!$A301="","",IF('ESLESTIRME'!$G301="tutar_farki",'ESLESTIRME'!$A301,""))</f>
        <v/>
      </c>
      <c r="B301" s="15">
        <f>IF($A301="","",IFERROR(SUMIF(tblMotor[A_Norm],$A301,tblMotor[SiparisToplam]),0))</f>
        <v/>
      </c>
      <c r="C301" s="15">
        <f>IF($A301="","",IFERROR(SUMIF(tblMotor[A_Norm],$A301,tblMotor[Tasarruf]),0))</f>
        <v/>
      </c>
      <c r="D301" s="15">
        <f>IF($A301="","",IFERROR(INDEX(tblMotor[KararSatir],MATCH($A301,tblMotor[A_Norm],0)),""))</f>
        <v/>
      </c>
      <c r="E301" s="15">
        <f>IF($A301="","",IF(OR($D301="DESİ DÜŞÜR",$D301="TAŞIYICI DEĞİŞTİR"),"YUKSEK","NORMAL"))</f>
        <v/>
      </c>
      <c r="F301" s="15">
        <f>IF($A301="","",_xlfn.TEXTJOIN(" ",TRUE,"Sipariş",$A301,"karar",$D301,"toplam",TEXT($B301,"0.00"),"tasarruf",TEXT($C301,"0.00"),"TL"))</f>
        <v/>
      </c>
    </row>
    <row r="302">
      <c r="A302" s="15">
        <f>IF('ESLESTIRME'!$A302="","",IF('ESLESTIRME'!$G302="tutar_farki",'ESLESTIRME'!$A302,""))</f>
        <v/>
      </c>
      <c r="B302" s="15">
        <f>IF($A302="","",IFERROR(SUMIF(tblMotor[A_Norm],$A302,tblMotor[SiparisToplam]),0))</f>
        <v/>
      </c>
      <c r="C302" s="15">
        <f>IF($A302="","",IFERROR(SUMIF(tblMotor[A_Norm],$A302,tblMotor[Tasarruf]),0))</f>
        <v/>
      </c>
      <c r="D302" s="15">
        <f>IF($A302="","",IFERROR(INDEX(tblMotor[KararSatir],MATCH($A302,tblMotor[A_Norm],0)),""))</f>
        <v/>
      </c>
      <c r="E302" s="15">
        <f>IF($A302="","",IF(OR($D302="DESİ DÜŞÜR",$D302="TAŞIYICI DEĞİŞTİR"),"YUKSEK","NORMAL"))</f>
        <v/>
      </c>
      <c r="F302" s="15">
        <f>IF($A302="","",_xlfn.TEXTJOIN(" ",TRUE,"Sipariş",$A302,"karar",$D302,"toplam",TEXT($B302,"0.00"),"tasarruf",TEXT($C302,"0.00"),"TL"))</f>
        <v/>
      </c>
    </row>
    <row r="303">
      <c r="A303" s="15">
        <f>IF('ESLESTIRME'!$A303="","",IF('ESLESTIRME'!$G303="tutar_farki",'ESLESTIRME'!$A303,""))</f>
        <v/>
      </c>
      <c r="B303" s="15">
        <f>IF($A303="","",IFERROR(SUMIF(tblMotor[A_Norm],$A303,tblMotor[SiparisToplam]),0))</f>
        <v/>
      </c>
      <c r="C303" s="15">
        <f>IF($A303="","",IFERROR(SUMIF(tblMotor[A_Norm],$A303,tblMotor[Tasarruf]),0))</f>
        <v/>
      </c>
      <c r="D303" s="15">
        <f>IF($A303="","",IFERROR(INDEX(tblMotor[KararSatir],MATCH($A303,tblMotor[A_Norm],0)),""))</f>
        <v/>
      </c>
      <c r="E303" s="15">
        <f>IF($A303="","",IF(OR($D303="DESİ DÜŞÜR",$D303="TAŞIYICI DEĞİŞTİR"),"YUKSEK","NORMAL"))</f>
        <v/>
      </c>
      <c r="F303" s="15">
        <f>IF($A303="","",_xlfn.TEXTJOIN(" ",TRUE,"Sipariş",$A303,"karar",$D303,"toplam",TEXT($B303,"0.00"),"tasarruf",TEXT($C303,"0.00"),"TL"))</f>
        <v/>
      </c>
    </row>
    <row r="304">
      <c r="A304" s="15">
        <f>IF('ESLESTIRME'!$A304="","",IF('ESLESTIRME'!$G304="tutar_farki",'ESLESTIRME'!$A304,""))</f>
        <v/>
      </c>
      <c r="B304" s="15">
        <f>IF($A304="","",IFERROR(SUMIF(tblMotor[A_Norm],$A304,tblMotor[SiparisToplam]),0))</f>
        <v/>
      </c>
      <c r="C304" s="15">
        <f>IF($A304="","",IFERROR(SUMIF(tblMotor[A_Norm],$A304,tblMotor[Tasarruf]),0))</f>
        <v/>
      </c>
      <c r="D304" s="15">
        <f>IF($A304="","",IFERROR(INDEX(tblMotor[KararSatir],MATCH($A304,tblMotor[A_Norm],0)),""))</f>
        <v/>
      </c>
      <c r="E304" s="15">
        <f>IF($A304="","",IF(OR($D304="DESİ DÜŞÜR",$D304="TAŞIYICI DEĞİŞTİR"),"YUKSEK","NORMAL"))</f>
        <v/>
      </c>
      <c r="F304" s="15">
        <f>IF($A304="","",_xlfn.TEXTJOIN(" ",TRUE,"Sipariş",$A304,"karar",$D304,"toplam",TEXT($B304,"0.00"),"tasarruf",TEXT($C304,"0.00"),"TL"))</f>
        <v/>
      </c>
    </row>
    <row r="305">
      <c r="A305" s="15">
        <f>IF('ESLESTIRME'!$A305="","",IF('ESLESTIRME'!$G305="tutar_farki",'ESLESTIRME'!$A305,""))</f>
        <v/>
      </c>
      <c r="B305" s="15">
        <f>IF($A305="","",IFERROR(SUMIF(tblMotor[A_Norm],$A305,tblMotor[SiparisToplam]),0))</f>
        <v/>
      </c>
      <c r="C305" s="15">
        <f>IF($A305="","",IFERROR(SUMIF(tblMotor[A_Norm],$A305,tblMotor[Tasarruf]),0))</f>
        <v/>
      </c>
      <c r="D305" s="15">
        <f>IF($A305="","",IFERROR(INDEX(tblMotor[KararSatir],MATCH($A305,tblMotor[A_Norm],0)),""))</f>
        <v/>
      </c>
      <c r="E305" s="15">
        <f>IF($A305="","",IF(OR($D305="DESİ DÜŞÜR",$D305="TAŞIYICI DEĞİŞTİR"),"YUKSEK","NORMAL"))</f>
        <v/>
      </c>
      <c r="F305" s="15">
        <f>IF($A305="","",_xlfn.TEXTJOIN(" ",TRUE,"Sipariş",$A305,"karar",$D305,"toplam",TEXT($B305,"0.00"),"tasarruf",TEXT($C305,"0.00"),"TL"))</f>
        <v/>
      </c>
    </row>
    <row r="306">
      <c r="A306" s="15">
        <f>IF('ESLESTIRME'!$A306="","",IF('ESLESTIRME'!$G306="tutar_farki",'ESLESTIRME'!$A306,""))</f>
        <v/>
      </c>
      <c r="B306" s="15">
        <f>IF($A306="","",IFERROR(SUMIF(tblMotor[A_Norm],$A306,tblMotor[SiparisToplam]),0))</f>
        <v/>
      </c>
      <c r="C306" s="15">
        <f>IF($A306="","",IFERROR(SUMIF(tblMotor[A_Norm],$A306,tblMotor[Tasarruf]),0))</f>
        <v/>
      </c>
      <c r="D306" s="15">
        <f>IF($A306="","",IFERROR(INDEX(tblMotor[KararSatir],MATCH($A306,tblMotor[A_Norm],0)),""))</f>
        <v/>
      </c>
      <c r="E306" s="15">
        <f>IF($A306="","",IF(OR($D306="DESİ DÜŞÜR",$D306="TAŞIYICI DEĞİŞTİR"),"YUKSEK","NORMAL"))</f>
        <v/>
      </c>
      <c r="F306" s="15">
        <f>IF($A306="","",_xlfn.TEXTJOIN(" ",TRUE,"Sipariş",$A306,"karar",$D306,"toplam",TEXT($B306,"0.00"),"tasarruf",TEXT($C306,"0.00"),"TL"))</f>
        <v/>
      </c>
    </row>
    <row r="307">
      <c r="A307" s="15">
        <f>IF('ESLESTIRME'!$A307="","",IF('ESLESTIRME'!$G307="tutar_farki",'ESLESTIRME'!$A307,""))</f>
        <v/>
      </c>
      <c r="B307" s="15">
        <f>IF($A307="","",IFERROR(SUMIF(tblMotor[A_Norm],$A307,tblMotor[SiparisToplam]),0))</f>
        <v/>
      </c>
      <c r="C307" s="15">
        <f>IF($A307="","",IFERROR(SUMIF(tblMotor[A_Norm],$A307,tblMotor[Tasarruf]),0))</f>
        <v/>
      </c>
      <c r="D307" s="15">
        <f>IF($A307="","",IFERROR(INDEX(tblMotor[KararSatir],MATCH($A307,tblMotor[A_Norm],0)),""))</f>
        <v/>
      </c>
      <c r="E307" s="15">
        <f>IF($A307="","",IF(OR($D307="DESİ DÜŞÜR",$D307="TAŞIYICI DEĞİŞTİR"),"YUKSEK","NORMAL"))</f>
        <v/>
      </c>
      <c r="F307" s="15">
        <f>IF($A307="","",_xlfn.TEXTJOIN(" ",TRUE,"Sipariş",$A307,"karar",$D307,"toplam",TEXT($B307,"0.00"),"tasarruf",TEXT($C307,"0.00"),"TL"))</f>
        <v/>
      </c>
    </row>
    <row r="308">
      <c r="A308" s="15">
        <f>IF('ESLESTIRME'!$A308="","",IF('ESLESTIRME'!$G308="tutar_farki",'ESLESTIRME'!$A308,""))</f>
        <v/>
      </c>
      <c r="B308" s="15">
        <f>IF($A308="","",IFERROR(SUMIF(tblMotor[A_Norm],$A308,tblMotor[SiparisToplam]),0))</f>
        <v/>
      </c>
      <c r="C308" s="15">
        <f>IF($A308="","",IFERROR(SUMIF(tblMotor[A_Norm],$A308,tblMotor[Tasarruf]),0))</f>
        <v/>
      </c>
      <c r="D308" s="15">
        <f>IF($A308="","",IFERROR(INDEX(tblMotor[KararSatir],MATCH($A308,tblMotor[A_Norm],0)),""))</f>
        <v/>
      </c>
      <c r="E308" s="15">
        <f>IF($A308="","",IF(OR($D308="DESİ DÜŞÜR",$D308="TAŞIYICI DEĞİŞTİR"),"YUKSEK","NORMAL"))</f>
        <v/>
      </c>
      <c r="F308" s="15">
        <f>IF($A308="","",_xlfn.TEXTJOIN(" ",TRUE,"Sipariş",$A308,"karar",$D308,"toplam",TEXT($B308,"0.00"),"tasarruf",TEXT($C308,"0.00"),"TL"))</f>
        <v/>
      </c>
    </row>
    <row r="309">
      <c r="A309" s="15">
        <f>IF('ESLESTIRME'!$A309="","",IF('ESLESTIRME'!$G309="tutar_farki",'ESLESTIRME'!$A309,""))</f>
        <v/>
      </c>
      <c r="B309" s="15">
        <f>IF($A309="","",IFERROR(SUMIF(tblMotor[A_Norm],$A309,tblMotor[SiparisToplam]),0))</f>
        <v/>
      </c>
      <c r="C309" s="15">
        <f>IF($A309="","",IFERROR(SUMIF(tblMotor[A_Norm],$A309,tblMotor[Tasarruf]),0))</f>
        <v/>
      </c>
      <c r="D309" s="15">
        <f>IF($A309="","",IFERROR(INDEX(tblMotor[KararSatir],MATCH($A309,tblMotor[A_Norm],0)),""))</f>
        <v/>
      </c>
      <c r="E309" s="15">
        <f>IF($A309="","",IF(OR($D309="DESİ DÜŞÜR",$D309="TAŞIYICI DEĞİŞTİR"),"YUKSEK","NORMAL"))</f>
        <v/>
      </c>
      <c r="F309" s="15">
        <f>IF($A309="","",_xlfn.TEXTJOIN(" ",TRUE,"Sipariş",$A309,"karar",$D309,"toplam",TEXT($B309,"0.00"),"tasarruf",TEXT($C309,"0.00"),"TL"))</f>
        <v/>
      </c>
    </row>
    <row r="310">
      <c r="A310" s="15">
        <f>IF('ESLESTIRME'!$A310="","",IF('ESLESTIRME'!$G310="tutar_farki",'ESLESTIRME'!$A310,""))</f>
        <v/>
      </c>
      <c r="B310" s="15">
        <f>IF($A310="","",IFERROR(SUMIF(tblMotor[A_Norm],$A310,tblMotor[SiparisToplam]),0))</f>
        <v/>
      </c>
      <c r="C310" s="15">
        <f>IF($A310="","",IFERROR(SUMIF(tblMotor[A_Norm],$A310,tblMotor[Tasarruf]),0))</f>
        <v/>
      </c>
      <c r="D310" s="15">
        <f>IF($A310="","",IFERROR(INDEX(tblMotor[KararSatir],MATCH($A310,tblMotor[A_Norm],0)),""))</f>
        <v/>
      </c>
      <c r="E310" s="15">
        <f>IF($A310="","",IF(OR($D310="DESİ DÜŞÜR",$D310="TAŞIYICI DEĞİŞTİR"),"YUKSEK","NORMAL"))</f>
        <v/>
      </c>
      <c r="F310" s="15">
        <f>IF($A310="","",_xlfn.TEXTJOIN(" ",TRUE,"Sipariş",$A310,"karar",$D310,"toplam",TEXT($B310,"0.00"),"tasarruf",TEXT($C310,"0.00"),"TL"))</f>
        <v/>
      </c>
    </row>
    <row r="311">
      <c r="A311" s="15">
        <f>IF('ESLESTIRME'!$A311="","",IF('ESLESTIRME'!$G311="tutar_farki",'ESLESTIRME'!$A311,""))</f>
        <v/>
      </c>
      <c r="B311" s="15">
        <f>IF($A311="","",IFERROR(SUMIF(tblMotor[A_Norm],$A311,tblMotor[SiparisToplam]),0))</f>
        <v/>
      </c>
      <c r="C311" s="15">
        <f>IF($A311="","",IFERROR(SUMIF(tblMotor[A_Norm],$A311,tblMotor[Tasarruf]),0))</f>
        <v/>
      </c>
      <c r="D311" s="15">
        <f>IF($A311="","",IFERROR(INDEX(tblMotor[KararSatir],MATCH($A311,tblMotor[A_Norm],0)),""))</f>
        <v/>
      </c>
      <c r="E311" s="15">
        <f>IF($A311="","",IF(OR($D311="DESİ DÜŞÜR",$D311="TAŞIYICI DEĞİŞTİR"),"YUKSEK","NORMAL"))</f>
        <v/>
      </c>
      <c r="F311" s="15">
        <f>IF($A311="","",_xlfn.TEXTJOIN(" ",TRUE,"Sipariş",$A311,"karar",$D311,"toplam",TEXT($B311,"0.00"),"tasarruf",TEXT($C311,"0.00"),"TL"))</f>
        <v/>
      </c>
    </row>
    <row r="312">
      <c r="A312" s="15">
        <f>IF('ESLESTIRME'!$A312="","",IF('ESLESTIRME'!$G312="tutar_farki",'ESLESTIRME'!$A312,""))</f>
        <v/>
      </c>
      <c r="B312" s="15">
        <f>IF($A312="","",IFERROR(SUMIF(tblMotor[A_Norm],$A312,tblMotor[SiparisToplam]),0))</f>
        <v/>
      </c>
      <c r="C312" s="15">
        <f>IF($A312="","",IFERROR(SUMIF(tblMotor[A_Norm],$A312,tblMotor[Tasarruf]),0))</f>
        <v/>
      </c>
      <c r="D312" s="15">
        <f>IF($A312="","",IFERROR(INDEX(tblMotor[KararSatir],MATCH($A312,tblMotor[A_Norm],0)),""))</f>
        <v/>
      </c>
      <c r="E312" s="15">
        <f>IF($A312="","",IF(OR($D312="DESİ DÜŞÜR",$D312="TAŞIYICI DEĞİŞTİR"),"YUKSEK","NORMAL"))</f>
        <v/>
      </c>
      <c r="F312" s="15">
        <f>IF($A312="","",_xlfn.TEXTJOIN(" ",TRUE,"Sipariş",$A312,"karar",$D312,"toplam",TEXT($B312,"0.00"),"tasarruf",TEXT($C312,"0.00"),"TL"))</f>
        <v/>
      </c>
    </row>
    <row r="313">
      <c r="A313" s="15">
        <f>IF('ESLESTIRME'!$A313="","",IF('ESLESTIRME'!$G313="tutar_farki",'ESLESTIRME'!$A313,""))</f>
        <v/>
      </c>
      <c r="B313" s="15">
        <f>IF($A313="","",IFERROR(SUMIF(tblMotor[A_Norm],$A313,tblMotor[SiparisToplam]),0))</f>
        <v/>
      </c>
      <c r="C313" s="15">
        <f>IF($A313="","",IFERROR(SUMIF(tblMotor[A_Norm],$A313,tblMotor[Tasarruf]),0))</f>
        <v/>
      </c>
      <c r="D313" s="15">
        <f>IF($A313="","",IFERROR(INDEX(tblMotor[KararSatir],MATCH($A313,tblMotor[A_Norm],0)),""))</f>
        <v/>
      </c>
      <c r="E313" s="15">
        <f>IF($A313="","",IF(OR($D313="DESİ DÜŞÜR",$D313="TAŞIYICI DEĞİŞTİR"),"YUKSEK","NORMAL"))</f>
        <v/>
      </c>
      <c r="F313" s="15">
        <f>IF($A313="","",_xlfn.TEXTJOIN(" ",TRUE,"Sipariş",$A313,"karar",$D313,"toplam",TEXT($B313,"0.00"),"tasarruf",TEXT($C313,"0.00"),"TL"))</f>
        <v/>
      </c>
    </row>
    <row r="314">
      <c r="A314" s="15">
        <f>IF('ESLESTIRME'!$A314="","",IF('ESLESTIRME'!$G314="tutar_farki",'ESLESTIRME'!$A314,""))</f>
        <v/>
      </c>
      <c r="B314" s="15">
        <f>IF($A314="","",IFERROR(SUMIF(tblMotor[A_Norm],$A314,tblMotor[SiparisToplam]),0))</f>
        <v/>
      </c>
      <c r="C314" s="15">
        <f>IF($A314="","",IFERROR(SUMIF(tblMotor[A_Norm],$A314,tblMotor[Tasarruf]),0))</f>
        <v/>
      </c>
      <c r="D314" s="15">
        <f>IF($A314="","",IFERROR(INDEX(tblMotor[KararSatir],MATCH($A314,tblMotor[A_Norm],0)),""))</f>
        <v/>
      </c>
      <c r="E314" s="15">
        <f>IF($A314="","",IF(OR($D314="DESİ DÜŞÜR",$D314="TAŞIYICI DEĞİŞTİR"),"YUKSEK","NORMAL"))</f>
        <v/>
      </c>
      <c r="F314" s="15">
        <f>IF($A314="","",_xlfn.TEXTJOIN(" ",TRUE,"Sipariş",$A314,"karar",$D314,"toplam",TEXT($B314,"0.00"),"tasarruf",TEXT($C314,"0.00"),"TL"))</f>
        <v/>
      </c>
    </row>
    <row r="315">
      <c r="A315" s="15">
        <f>IF('ESLESTIRME'!$A315="","",IF('ESLESTIRME'!$G315="tutar_farki",'ESLESTIRME'!$A315,""))</f>
        <v/>
      </c>
      <c r="B315" s="15">
        <f>IF($A315="","",IFERROR(SUMIF(tblMotor[A_Norm],$A315,tblMotor[SiparisToplam]),0))</f>
        <v/>
      </c>
      <c r="C315" s="15">
        <f>IF($A315="","",IFERROR(SUMIF(tblMotor[A_Norm],$A315,tblMotor[Tasarruf]),0))</f>
        <v/>
      </c>
      <c r="D315" s="15">
        <f>IF($A315="","",IFERROR(INDEX(tblMotor[KararSatir],MATCH($A315,tblMotor[A_Norm],0)),""))</f>
        <v/>
      </c>
      <c r="E315" s="15">
        <f>IF($A315="","",IF(OR($D315="DESİ DÜŞÜR",$D315="TAŞIYICI DEĞİŞTİR"),"YUKSEK","NORMAL"))</f>
        <v/>
      </c>
      <c r="F315" s="15">
        <f>IF($A315="","",_xlfn.TEXTJOIN(" ",TRUE,"Sipariş",$A315,"karar",$D315,"toplam",TEXT($B315,"0.00"),"tasarruf",TEXT($C315,"0.00"),"TL"))</f>
        <v/>
      </c>
    </row>
    <row r="316">
      <c r="A316" s="15">
        <f>IF('ESLESTIRME'!$A316="","",IF('ESLESTIRME'!$G316="tutar_farki",'ESLESTIRME'!$A316,""))</f>
        <v/>
      </c>
      <c r="B316" s="15">
        <f>IF($A316="","",IFERROR(SUMIF(tblMotor[A_Norm],$A316,tblMotor[SiparisToplam]),0))</f>
        <v/>
      </c>
      <c r="C316" s="15">
        <f>IF($A316="","",IFERROR(SUMIF(tblMotor[A_Norm],$A316,tblMotor[Tasarruf]),0))</f>
        <v/>
      </c>
      <c r="D316" s="15">
        <f>IF($A316="","",IFERROR(INDEX(tblMotor[KararSatir],MATCH($A316,tblMotor[A_Norm],0)),""))</f>
        <v/>
      </c>
      <c r="E316" s="15">
        <f>IF($A316="","",IF(OR($D316="DESİ DÜŞÜR",$D316="TAŞIYICI DEĞİŞTİR"),"YUKSEK","NORMAL"))</f>
        <v/>
      </c>
      <c r="F316" s="15">
        <f>IF($A316="","",_xlfn.TEXTJOIN(" ",TRUE,"Sipariş",$A316,"karar",$D316,"toplam",TEXT($B316,"0.00"),"tasarruf",TEXT($C316,"0.00"),"TL"))</f>
        <v/>
      </c>
    </row>
    <row r="317">
      <c r="A317" s="15">
        <f>IF('ESLESTIRME'!$A317="","",IF('ESLESTIRME'!$G317="tutar_farki",'ESLESTIRME'!$A317,""))</f>
        <v/>
      </c>
      <c r="B317" s="15">
        <f>IF($A317="","",IFERROR(SUMIF(tblMotor[A_Norm],$A317,tblMotor[SiparisToplam]),0))</f>
        <v/>
      </c>
      <c r="C317" s="15">
        <f>IF($A317="","",IFERROR(SUMIF(tblMotor[A_Norm],$A317,tblMotor[Tasarruf]),0))</f>
        <v/>
      </c>
      <c r="D317" s="15">
        <f>IF($A317="","",IFERROR(INDEX(tblMotor[KararSatir],MATCH($A317,tblMotor[A_Norm],0)),""))</f>
        <v/>
      </c>
      <c r="E317" s="15">
        <f>IF($A317="","",IF(OR($D317="DESİ DÜŞÜR",$D317="TAŞIYICI DEĞİŞTİR"),"YUKSEK","NORMAL"))</f>
        <v/>
      </c>
      <c r="F317" s="15">
        <f>IF($A317="","",_xlfn.TEXTJOIN(" ",TRUE,"Sipariş",$A317,"karar",$D317,"toplam",TEXT($B317,"0.00"),"tasarruf",TEXT($C317,"0.00"),"TL"))</f>
        <v/>
      </c>
    </row>
    <row r="318">
      <c r="A318" s="15">
        <f>IF('ESLESTIRME'!$A318="","",IF('ESLESTIRME'!$G318="tutar_farki",'ESLESTIRME'!$A318,""))</f>
        <v/>
      </c>
      <c r="B318" s="15">
        <f>IF($A318="","",IFERROR(SUMIF(tblMotor[A_Norm],$A318,tblMotor[SiparisToplam]),0))</f>
        <v/>
      </c>
      <c r="C318" s="15">
        <f>IF($A318="","",IFERROR(SUMIF(tblMotor[A_Norm],$A318,tblMotor[Tasarruf]),0))</f>
        <v/>
      </c>
      <c r="D318" s="15">
        <f>IF($A318="","",IFERROR(INDEX(tblMotor[KararSatir],MATCH($A318,tblMotor[A_Norm],0)),""))</f>
        <v/>
      </c>
      <c r="E318" s="15">
        <f>IF($A318="","",IF(OR($D318="DESİ DÜŞÜR",$D318="TAŞIYICI DEĞİŞTİR"),"YUKSEK","NORMAL"))</f>
        <v/>
      </c>
      <c r="F318" s="15">
        <f>IF($A318="","",_xlfn.TEXTJOIN(" ",TRUE,"Sipariş",$A318,"karar",$D318,"toplam",TEXT($B318,"0.00"),"tasarruf",TEXT($C318,"0.00"),"TL"))</f>
        <v/>
      </c>
    </row>
    <row r="319">
      <c r="A319" s="15">
        <f>IF('ESLESTIRME'!$A319="","",IF('ESLESTIRME'!$G319="tutar_farki",'ESLESTIRME'!$A319,""))</f>
        <v/>
      </c>
      <c r="B319" s="15">
        <f>IF($A319="","",IFERROR(SUMIF(tblMotor[A_Norm],$A319,tblMotor[SiparisToplam]),0))</f>
        <v/>
      </c>
      <c r="C319" s="15">
        <f>IF($A319="","",IFERROR(SUMIF(tblMotor[A_Norm],$A319,tblMotor[Tasarruf]),0))</f>
        <v/>
      </c>
      <c r="D319" s="15">
        <f>IF($A319="","",IFERROR(INDEX(tblMotor[KararSatir],MATCH($A319,tblMotor[A_Norm],0)),""))</f>
        <v/>
      </c>
      <c r="E319" s="15">
        <f>IF($A319="","",IF(OR($D319="DESİ DÜŞÜR",$D319="TAŞIYICI DEĞİŞTİR"),"YUKSEK","NORMAL"))</f>
        <v/>
      </c>
      <c r="F319" s="15">
        <f>IF($A319="","",_xlfn.TEXTJOIN(" ",TRUE,"Sipariş",$A319,"karar",$D319,"toplam",TEXT($B319,"0.00"),"tasarruf",TEXT($C319,"0.00"),"TL"))</f>
        <v/>
      </c>
    </row>
    <row r="320">
      <c r="A320" s="15">
        <f>IF('ESLESTIRME'!$A320="","",IF('ESLESTIRME'!$G320="tutar_farki",'ESLESTIRME'!$A320,""))</f>
        <v/>
      </c>
      <c r="B320" s="15">
        <f>IF($A320="","",IFERROR(SUMIF(tblMotor[A_Norm],$A320,tblMotor[SiparisToplam]),0))</f>
        <v/>
      </c>
      <c r="C320" s="15">
        <f>IF($A320="","",IFERROR(SUMIF(tblMotor[A_Norm],$A320,tblMotor[Tasarruf]),0))</f>
        <v/>
      </c>
      <c r="D320" s="15">
        <f>IF($A320="","",IFERROR(INDEX(tblMotor[KararSatir],MATCH($A320,tblMotor[A_Norm],0)),""))</f>
        <v/>
      </c>
      <c r="E320" s="15">
        <f>IF($A320="","",IF(OR($D320="DESİ DÜŞÜR",$D320="TAŞIYICI DEĞİŞTİR"),"YUKSEK","NORMAL"))</f>
        <v/>
      </c>
      <c r="F320" s="15">
        <f>IF($A320="","",_xlfn.TEXTJOIN(" ",TRUE,"Sipariş",$A320,"karar",$D320,"toplam",TEXT($B320,"0.00"),"tasarruf",TEXT($C320,"0.00"),"TL"))</f>
        <v/>
      </c>
    </row>
    <row r="321">
      <c r="A321" s="15">
        <f>IF('ESLESTIRME'!$A321="","",IF('ESLESTIRME'!$G321="tutar_farki",'ESLESTIRME'!$A321,""))</f>
        <v/>
      </c>
      <c r="B321" s="15">
        <f>IF($A321="","",IFERROR(SUMIF(tblMotor[A_Norm],$A321,tblMotor[SiparisToplam]),0))</f>
        <v/>
      </c>
      <c r="C321" s="15">
        <f>IF($A321="","",IFERROR(SUMIF(tblMotor[A_Norm],$A321,tblMotor[Tasarruf]),0))</f>
        <v/>
      </c>
      <c r="D321" s="15">
        <f>IF($A321="","",IFERROR(INDEX(tblMotor[KararSatir],MATCH($A321,tblMotor[A_Norm],0)),""))</f>
        <v/>
      </c>
      <c r="E321" s="15">
        <f>IF($A321="","",IF(OR($D321="DESİ DÜŞÜR",$D321="TAŞIYICI DEĞİŞTİR"),"YUKSEK","NORMAL"))</f>
        <v/>
      </c>
      <c r="F321" s="15">
        <f>IF($A321="","",_xlfn.TEXTJOIN(" ",TRUE,"Sipariş",$A321,"karar",$D321,"toplam",TEXT($B321,"0.00"),"tasarruf",TEXT($C321,"0.00"),"TL"))</f>
        <v/>
      </c>
    </row>
    <row r="322">
      <c r="A322" s="15">
        <f>IF('ESLESTIRME'!$A322="","",IF('ESLESTIRME'!$G322="tutar_farki",'ESLESTIRME'!$A322,""))</f>
        <v/>
      </c>
      <c r="B322" s="15">
        <f>IF($A322="","",IFERROR(SUMIF(tblMotor[A_Norm],$A322,tblMotor[SiparisToplam]),0))</f>
        <v/>
      </c>
      <c r="C322" s="15">
        <f>IF($A322="","",IFERROR(SUMIF(tblMotor[A_Norm],$A322,tblMotor[Tasarruf]),0))</f>
        <v/>
      </c>
      <c r="D322" s="15">
        <f>IF($A322="","",IFERROR(INDEX(tblMotor[KararSatir],MATCH($A322,tblMotor[A_Norm],0)),""))</f>
        <v/>
      </c>
      <c r="E322" s="15">
        <f>IF($A322="","",IF(OR($D322="DESİ DÜŞÜR",$D322="TAŞIYICI DEĞİŞTİR"),"YUKSEK","NORMAL"))</f>
        <v/>
      </c>
      <c r="F322" s="15">
        <f>IF($A322="","",_xlfn.TEXTJOIN(" ",TRUE,"Sipariş",$A322,"karar",$D322,"toplam",TEXT($B322,"0.00"),"tasarruf",TEXT($C322,"0.00"),"TL"))</f>
        <v/>
      </c>
    </row>
    <row r="323">
      <c r="A323" s="15">
        <f>IF('ESLESTIRME'!$A323="","",IF('ESLESTIRME'!$G323="tutar_farki",'ESLESTIRME'!$A323,""))</f>
        <v/>
      </c>
      <c r="B323" s="15">
        <f>IF($A323="","",IFERROR(SUMIF(tblMotor[A_Norm],$A323,tblMotor[SiparisToplam]),0))</f>
        <v/>
      </c>
      <c r="C323" s="15">
        <f>IF($A323="","",IFERROR(SUMIF(tblMotor[A_Norm],$A323,tblMotor[Tasarruf]),0))</f>
        <v/>
      </c>
      <c r="D323" s="15">
        <f>IF($A323="","",IFERROR(INDEX(tblMotor[KararSatir],MATCH($A323,tblMotor[A_Norm],0)),""))</f>
        <v/>
      </c>
      <c r="E323" s="15">
        <f>IF($A323="","",IF(OR($D323="DESİ DÜŞÜR",$D323="TAŞIYICI DEĞİŞTİR"),"YUKSEK","NORMAL"))</f>
        <v/>
      </c>
      <c r="F323" s="15">
        <f>IF($A323="","",_xlfn.TEXTJOIN(" ",TRUE,"Sipariş",$A323,"karar",$D323,"toplam",TEXT($B323,"0.00"),"tasarruf",TEXT($C323,"0.00"),"TL"))</f>
        <v/>
      </c>
    </row>
    <row r="324">
      <c r="A324" s="15">
        <f>IF('ESLESTIRME'!$A324="","",IF('ESLESTIRME'!$G324="tutar_farki",'ESLESTIRME'!$A324,""))</f>
        <v/>
      </c>
      <c r="B324" s="15">
        <f>IF($A324="","",IFERROR(SUMIF(tblMotor[A_Norm],$A324,tblMotor[SiparisToplam]),0))</f>
        <v/>
      </c>
      <c r="C324" s="15">
        <f>IF($A324="","",IFERROR(SUMIF(tblMotor[A_Norm],$A324,tblMotor[Tasarruf]),0))</f>
        <v/>
      </c>
      <c r="D324" s="15">
        <f>IF($A324="","",IFERROR(INDEX(tblMotor[KararSatir],MATCH($A324,tblMotor[A_Norm],0)),""))</f>
        <v/>
      </c>
      <c r="E324" s="15">
        <f>IF($A324="","",IF(OR($D324="DESİ DÜŞÜR",$D324="TAŞIYICI DEĞİŞTİR"),"YUKSEK","NORMAL"))</f>
        <v/>
      </c>
      <c r="F324" s="15">
        <f>IF($A324="","",_xlfn.TEXTJOIN(" ",TRUE,"Sipariş",$A324,"karar",$D324,"toplam",TEXT($B324,"0.00"),"tasarruf",TEXT($C324,"0.00"),"TL"))</f>
        <v/>
      </c>
    </row>
    <row r="325">
      <c r="A325" s="15">
        <f>IF('ESLESTIRME'!$A325="","",IF('ESLESTIRME'!$G325="tutar_farki",'ESLESTIRME'!$A325,""))</f>
        <v/>
      </c>
      <c r="B325" s="15">
        <f>IF($A325="","",IFERROR(SUMIF(tblMotor[A_Norm],$A325,tblMotor[SiparisToplam]),0))</f>
        <v/>
      </c>
      <c r="C325" s="15">
        <f>IF($A325="","",IFERROR(SUMIF(tblMotor[A_Norm],$A325,tblMotor[Tasarruf]),0))</f>
        <v/>
      </c>
      <c r="D325" s="15">
        <f>IF($A325="","",IFERROR(INDEX(tblMotor[KararSatir],MATCH($A325,tblMotor[A_Norm],0)),""))</f>
        <v/>
      </c>
      <c r="E325" s="15">
        <f>IF($A325="","",IF(OR($D325="DESİ DÜŞÜR",$D325="TAŞIYICI DEĞİŞTİR"),"YUKSEK","NORMAL"))</f>
        <v/>
      </c>
      <c r="F325" s="15">
        <f>IF($A325="","",_xlfn.TEXTJOIN(" ",TRUE,"Sipariş",$A325,"karar",$D325,"toplam",TEXT($B325,"0.00"),"tasarruf",TEXT($C325,"0.00"),"TL"))</f>
        <v/>
      </c>
    </row>
    <row r="326">
      <c r="A326" s="15">
        <f>IF('ESLESTIRME'!$A326="","",IF('ESLESTIRME'!$G326="tutar_farki",'ESLESTIRME'!$A326,""))</f>
        <v/>
      </c>
      <c r="B326" s="15">
        <f>IF($A326="","",IFERROR(SUMIF(tblMotor[A_Norm],$A326,tblMotor[SiparisToplam]),0))</f>
        <v/>
      </c>
      <c r="C326" s="15">
        <f>IF($A326="","",IFERROR(SUMIF(tblMotor[A_Norm],$A326,tblMotor[Tasarruf]),0))</f>
        <v/>
      </c>
      <c r="D326" s="15">
        <f>IF($A326="","",IFERROR(INDEX(tblMotor[KararSatir],MATCH($A326,tblMotor[A_Norm],0)),""))</f>
        <v/>
      </c>
      <c r="E326" s="15">
        <f>IF($A326="","",IF(OR($D326="DESİ DÜŞÜR",$D326="TAŞIYICI DEĞİŞTİR"),"YUKSEK","NORMAL"))</f>
        <v/>
      </c>
      <c r="F326" s="15">
        <f>IF($A326="","",_xlfn.TEXTJOIN(" ",TRUE,"Sipariş",$A326,"karar",$D326,"toplam",TEXT($B326,"0.00"),"tasarruf",TEXT($C326,"0.00"),"TL"))</f>
        <v/>
      </c>
    </row>
    <row r="327">
      <c r="A327" s="15">
        <f>IF('ESLESTIRME'!$A327="","",IF('ESLESTIRME'!$G327="tutar_farki",'ESLESTIRME'!$A327,""))</f>
        <v/>
      </c>
      <c r="B327" s="15">
        <f>IF($A327="","",IFERROR(SUMIF(tblMotor[A_Norm],$A327,tblMotor[SiparisToplam]),0))</f>
        <v/>
      </c>
      <c r="C327" s="15">
        <f>IF($A327="","",IFERROR(SUMIF(tblMotor[A_Norm],$A327,tblMotor[Tasarruf]),0))</f>
        <v/>
      </c>
      <c r="D327" s="15">
        <f>IF($A327="","",IFERROR(INDEX(tblMotor[KararSatir],MATCH($A327,tblMotor[A_Norm],0)),""))</f>
        <v/>
      </c>
      <c r="E327" s="15">
        <f>IF($A327="","",IF(OR($D327="DESİ DÜŞÜR",$D327="TAŞIYICI DEĞİŞTİR"),"YUKSEK","NORMAL"))</f>
        <v/>
      </c>
      <c r="F327" s="15">
        <f>IF($A327="","",_xlfn.TEXTJOIN(" ",TRUE,"Sipariş",$A327,"karar",$D327,"toplam",TEXT($B327,"0.00"),"tasarruf",TEXT($C327,"0.00"),"TL"))</f>
        <v/>
      </c>
    </row>
    <row r="328">
      <c r="A328" s="15">
        <f>IF('ESLESTIRME'!$A328="","",IF('ESLESTIRME'!$G328="tutar_farki",'ESLESTIRME'!$A328,""))</f>
        <v/>
      </c>
      <c r="B328" s="15">
        <f>IF($A328="","",IFERROR(SUMIF(tblMotor[A_Norm],$A328,tblMotor[SiparisToplam]),0))</f>
        <v/>
      </c>
      <c r="C328" s="15">
        <f>IF($A328="","",IFERROR(SUMIF(tblMotor[A_Norm],$A328,tblMotor[Tasarruf]),0))</f>
        <v/>
      </c>
      <c r="D328" s="15">
        <f>IF($A328="","",IFERROR(INDEX(tblMotor[KararSatir],MATCH($A328,tblMotor[A_Norm],0)),""))</f>
        <v/>
      </c>
      <c r="E328" s="15">
        <f>IF($A328="","",IF(OR($D328="DESİ DÜŞÜR",$D328="TAŞIYICI DEĞİŞTİR"),"YUKSEK","NORMAL"))</f>
        <v/>
      </c>
      <c r="F328" s="15">
        <f>IF($A328="","",_xlfn.TEXTJOIN(" ",TRUE,"Sipariş",$A328,"karar",$D328,"toplam",TEXT($B328,"0.00"),"tasarruf",TEXT($C328,"0.00"),"TL"))</f>
        <v/>
      </c>
    </row>
    <row r="329">
      <c r="A329" s="15">
        <f>IF('ESLESTIRME'!$A329="","",IF('ESLESTIRME'!$G329="tutar_farki",'ESLESTIRME'!$A329,""))</f>
        <v/>
      </c>
      <c r="B329" s="15">
        <f>IF($A329="","",IFERROR(SUMIF(tblMotor[A_Norm],$A329,tblMotor[SiparisToplam]),0))</f>
        <v/>
      </c>
      <c r="C329" s="15">
        <f>IF($A329="","",IFERROR(SUMIF(tblMotor[A_Norm],$A329,tblMotor[Tasarruf]),0))</f>
        <v/>
      </c>
      <c r="D329" s="15">
        <f>IF($A329="","",IFERROR(INDEX(tblMotor[KararSatir],MATCH($A329,tblMotor[A_Norm],0)),""))</f>
        <v/>
      </c>
      <c r="E329" s="15">
        <f>IF($A329="","",IF(OR($D329="DESİ DÜŞÜR",$D329="TAŞIYICI DEĞİŞTİR"),"YUKSEK","NORMAL"))</f>
        <v/>
      </c>
      <c r="F329" s="15">
        <f>IF($A329="","",_xlfn.TEXTJOIN(" ",TRUE,"Sipariş",$A329,"karar",$D329,"toplam",TEXT($B329,"0.00"),"tasarruf",TEXT($C329,"0.00"),"TL"))</f>
        <v/>
      </c>
    </row>
    <row r="330">
      <c r="A330" s="15">
        <f>IF('ESLESTIRME'!$A330="","",IF('ESLESTIRME'!$G330="tutar_farki",'ESLESTIRME'!$A330,""))</f>
        <v/>
      </c>
      <c r="B330" s="15">
        <f>IF($A330="","",IFERROR(SUMIF(tblMotor[A_Norm],$A330,tblMotor[SiparisToplam]),0))</f>
        <v/>
      </c>
      <c r="C330" s="15">
        <f>IF($A330="","",IFERROR(SUMIF(tblMotor[A_Norm],$A330,tblMotor[Tasarruf]),0))</f>
        <v/>
      </c>
      <c r="D330" s="15">
        <f>IF($A330="","",IFERROR(INDEX(tblMotor[KararSatir],MATCH($A330,tblMotor[A_Norm],0)),""))</f>
        <v/>
      </c>
      <c r="E330" s="15">
        <f>IF($A330="","",IF(OR($D330="DESİ DÜŞÜR",$D330="TAŞIYICI DEĞİŞTİR"),"YUKSEK","NORMAL"))</f>
        <v/>
      </c>
      <c r="F330" s="15">
        <f>IF($A330="","",_xlfn.TEXTJOIN(" ",TRUE,"Sipariş",$A330,"karar",$D330,"toplam",TEXT($B330,"0.00"),"tasarruf",TEXT($C330,"0.00"),"TL"))</f>
        <v/>
      </c>
    </row>
    <row r="331">
      <c r="A331" s="15">
        <f>IF('ESLESTIRME'!$A331="","",IF('ESLESTIRME'!$G331="tutar_farki",'ESLESTIRME'!$A331,""))</f>
        <v/>
      </c>
      <c r="B331" s="15">
        <f>IF($A331="","",IFERROR(SUMIF(tblMotor[A_Norm],$A331,tblMotor[SiparisToplam]),0))</f>
        <v/>
      </c>
      <c r="C331" s="15">
        <f>IF($A331="","",IFERROR(SUMIF(tblMotor[A_Norm],$A331,tblMotor[Tasarruf]),0))</f>
        <v/>
      </c>
      <c r="D331" s="15">
        <f>IF($A331="","",IFERROR(INDEX(tblMotor[KararSatir],MATCH($A331,tblMotor[A_Norm],0)),""))</f>
        <v/>
      </c>
      <c r="E331" s="15">
        <f>IF($A331="","",IF(OR($D331="DESİ DÜŞÜR",$D331="TAŞIYICI DEĞİŞTİR"),"YUKSEK","NORMAL"))</f>
        <v/>
      </c>
      <c r="F331" s="15">
        <f>IF($A331="","",_xlfn.TEXTJOIN(" ",TRUE,"Sipariş",$A331,"karar",$D331,"toplam",TEXT($B331,"0.00"),"tasarruf",TEXT($C331,"0.00"),"TL"))</f>
        <v/>
      </c>
    </row>
    <row r="332">
      <c r="A332" s="15">
        <f>IF('ESLESTIRME'!$A332="","",IF('ESLESTIRME'!$G332="tutar_farki",'ESLESTIRME'!$A332,""))</f>
        <v/>
      </c>
      <c r="B332" s="15">
        <f>IF($A332="","",IFERROR(SUMIF(tblMotor[A_Norm],$A332,tblMotor[SiparisToplam]),0))</f>
        <v/>
      </c>
      <c r="C332" s="15">
        <f>IF($A332="","",IFERROR(SUMIF(tblMotor[A_Norm],$A332,tblMotor[Tasarruf]),0))</f>
        <v/>
      </c>
      <c r="D332" s="15">
        <f>IF($A332="","",IFERROR(INDEX(tblMotor[KararSatir],MATCH($A332,tblMotor[A_Norm],0)),""))</f>
        <v/>
      </c>
      <c r="E332" s="15">
        <f>IF($A332="","",IF(OR($D332="DESİ DÜŞÜR",$D332="TAŞIYICI DEĞİŞTİR"),"YUKSEK","NORMAL"))</f>
        <v/>
      </c>
      <c r="F332" s="15">
        <f>IF($A332="","",_xlfn.TEXTJOIN(" ",TRUE,"Sipariş",$A332,"karar",$D332,"toplam",TEXT($B332,"0.00"),"tasarruf",TEXT($C332,"0.00"),"TL"))</f>
        <v/>
      </c>
    </row>
    <row r="333">
      <c r="A333" s="15">
        <f>IF('ESLESTIRME'!$A333="","",IF('ESLESTIRME'!$G333="tutar_farki",'ESLESTIRME'!$A333,""))</f>
        <v/>
      </c>
      <c r="B333" s="15">
        <f>IF($A333="","",IFERROR(SUMIF(tblMotor[A_Norm],$A333,tblMotor[SiparisToplam]),0))</f>
        <v/>
      </c>
      <c r="C333" s="15">
        <f>IF($A333="","",IFERROR(SUMIF(tblMotor[A_Norm],$A333,tblMotor[Tasarruf]),0))</f>
        <v/>
      </c>
      <c r="D333" s="15">
        <f>IF($A333="","",IFERROR(INDEX(tblMotor[KararSatir],MATCH($A333,tblMotor[A_Norm],0)),""))</f>
        <v/>
      </c>
      <c r="E333" s="15">
        <f>IF($A333="","",IF(OR($D333="DESİ DÜŞÜR",$D333="TAŞIYICI DEĞİŞTİR"),"YUKSEK","NORMAL"))</f>
        <v/>
      </c>
      <c r="F333" s="15">
        <f>IF($A333="","",_xlfn.TEXTJOIN(" ",TRUE,"Sipariş",$A333,"karar",$D333,"toplam",TEXT($B333,"0.00"),"tasarruf",TEXT($C333,"0.00"),"TL"))</f>
        <v/>
      </c>
    </row>
    <row r="334">
      <c r="A334" s="15">
        <f>IF('ESLESTIRME'!$A334="","",IF('ESLESTIRME'!$G334="tutar_farki",'ESLESTIRME'!$A334,""))</f>
        <v/>
      </c>
      <c r="B334" s="15">
        <f>IF($A334="","",IFERROR(SUMIF(tblMotor[A_Norm],$A334,tblMotor[SiparisToplam]),0))</f>
        <v/>
      </c>
      <c r="C334" s="15">
        <f>IF($A334="","",IFERROR(SUMIF(tblMotor[A_Norm],$A334,tblMotor[Tasarruf]),0))</f>
        <v/>
      </c>
      <c r="D334" s="15">
        <f>IF($A334="","",IFERROR(INDEX(tblMotor[KararSatir],MATCH($A334,tblMotor[A_Norm],0)),""))</f>
        <v/>
      </c>
      <c r="E334" s="15">
        <f>IF($A334="","",IF(OR($D334="DESİ DÜŞÜR",$D334="TAŞIYICI DEĞİŞTİR"),"YUKSEK","NORMAL"))</f>
        <v/>
      </c>
      <c r="F334" s="15">
        <f>IF($A334="","",_xlfn.TEXTJOIN(" ",TRUE,"Sipariş",$A334,"karar",$D334,"toplam",TEXT($B334,"0.00"),"tasarruf",TEXT($C334,"0.00"),"TL"))</f>
        <v/>
      </c>
    </row>
    <row r="335">
      <c r="A335" s="15">
        <f>IF('ESLESTIRME'!$A335="","",IF('ESLESTIRME'!$G335="tutar_farki",'ESLESTIRME'!$A335,""))</f>
        <v/>
      </c>
      <c r="B335" s="15">
        <f>IF($A335="","",IFERROR(SUMIF(tblMotor[A_Norm],$A335,tblMotor[SiparisToplam]),0))</f>
        <v/>
      </c>
      <c r="C335" s="15">
        <f>IF($A335="","",IFERROR(SUMIF(tblMotor[A_Norm],$A335,tblMotor[Tasarruf]),0))</f>
        <v/>
      </c>
      <c r="D335" s="15">
        <f>IF($A335="","",IFERROR(INDEX(tblMotor[KararSatir],MATCH($A335,tblMotor[A_Norm],0)),""))</f>
        <v/>
      </c>
      <c r="E335" s="15">
        <f>IF($A335="","",IF(OR($D335="DESİ DÜŞÜR",$D335="TAŞIYICI DEĞİŞTİR"),"YUKSEK","NORMAL"))</f>
        <v/>
      </c>
      <c r="F335" s="15">
        <f>IF($A335="","",_xlfn.TEXTJOIN(" ",TRUE,"Sipariş",$A335,"karar",$D335,"toplam",TEXT($B335,"0.00"),"tasarruf",TEXT($C335,"0.00"),"TL"))</f>
        <v/>
      </c>
    </row>
    <row r="336">
      <c r="A336" s="15">
        <f>IF('ESLESTIRME'!$A336="","",IF('ESLESTIRME'!$G336="tutar_farki",'ESLESTIRME'!$A336,""))</f>
        <v/>
      </c>
      <c r="B336" s="15">
        <f>IF($A336="","",IFERROR(SUMIF(tblMotor[A_Norm],$A336,tblMotor[SiparisToplam]),0))</f>
        <v/>
      </c>
      <c r="C336" s="15">
        <f>IF($A336="","",IFERROR(SUMIF(tblMotor[A_Norm],$A336,tblMotor[Tasarruf]),0))</f>
        <v/>
      </c>
      <c r="D336" s="15">
        <f>IF($A336="","",IFERROR(INDEX(tblMotor[KararSatir],MATCH($A336,tblMotor[A_Norm],0)),""))</f>
        <v/>
      </c>
      <c r="E336" s="15">
        <f>IF($A336="","",IF(OR($D336="DESİ DÜŞÜR",$D336="TAŞIYICI DEĞİŞTİR"),"YUKSEK","NORMAL"))</f>
        <v/>
      </c>
      <c r="F336" s="15">
        <f>IF($A336="","",_xlfn.TEXTJOIN(" ",TRUE,"Sipariş",$A336,"karar",$D336,"toplam",TEXT($B336,"0.00"),"tasarruf",TEXT($C336,"0.00"),"TL"))</f>
        <v/>
      </c>
    </row>
    <row r="337">
      <c r="A337" s="15">
        <f>IF('ESLESTIRME'!$A337="","",IF('ESLESTIRME'!$G337="tutar_farki",'ESLESTIRME'!$A337,""))</f>
        <v/>
      </c>
      <c r="B337" s="15">
        <f>IF($A337="","",IFERROR(SUMIF(tblMotor[A_Norm],$A337,tblMotor[SiparisToplam]),0))</f>
        <v/>
      </c>
      <c r="C337" s="15">
        <f>IF($A337="","",IFERROR(SUMIF(tblMotor[A_Norm],$A337,tblMotor[Tasarruf]),0))</f>
        <v/>
      </c>
      <c r="D337" s="15">
        <f>IF($A337="","",IFERROR(INDEX(tblMotor[KararSatir],MATCH($A337,tblMotor[A_Norm],0)),""))</f>
        <v/>
      </c>
      <c r="E337" s="15">
        <f>IF($A337="","",IF(OR($D337="DESİ DÜŞÜR",$D337="TAŞIYICI DEĞİŞTİR"),"YUKSEK","NORMAL"))</f>
        <v/>
      </c>
      <c r="F337" s="15">
        <f>IF($A337="","",_xlfn.TEXTJOIN(" ",TRUE,"Sipariş",$A337,"karar",$D337,"toplam",TEXT($B337,"0.00"),"tasarruf",TEXT($C337,"0.00"),"TL"))</f>
        <v/>
      </c>
    </row>
    <row r="338">
      <c r="A338" s="15">
        <f>IF('ESLESTIRME'!$A338="","",IF('ESLESTIRME'!$G338="tutar_farki",'ESLESTIRME'!$A338,""))</f>
        <v/>
      </c>
      <c r="B338" s="15">
        <f>IF($A338="","",IFERROR(SUMIF(tblMotor[A_Norm],$A338,tblMotor[SiparisToplam]),0))</f>
        <v/>
      </c>
      <c r="C338" s="15">
        <f>IF($A338="","",IFERROR(SUMIF(tblMotor[A_Norm],$A338,tblMotor[Tasarruf]),0))</f>
        <v/>
      </c>
      <c r="D338" s="15">
        <f>IF($A338="","",IFERROR(INDEX(tblMotor[KararSatir],MATCH($A338,tblMotor[A_Norm],0)),""))</f>
        <v/>
      </c>
      <c r="E338" s="15">
        <f>IF($A338="","",IF(OR($D338="DESİ DÜŞÜR",$D338="TAŞIYICI DEĞİŞTİR"),"YUKSEK","NORMAL"))</f>
        <v/>
      </c>
      <c r="F338" s="15">
        <f>IF($A338="","",_xlfn.TEXTJOIN(" ",TRUE,"Sipariş",$A338,"karar",$D338,"toplam",TEXT($B338,"0.00"),"tasarruf",TEXT($C338,"0.00"),"TL"))</f>
        <v/>
      </c>
    </row>
    <row r="339">
      <c r="A339" s="15">
        <f>IF('ESLESTIRME'!$A339="","",IF('ESLESTIRME'!$G339="tutar_farki",'ESLESTIRME'!$A339,""))</f>
        <v/>
      </c>
      <c r="B339" s="15">
        <f>IF($A339="","",IFERROR(SUMIF(tblMotor[A_Norm],$A339,tblMotor[SiparisToplam]),0))</f>
        <v/>
      </c>
      <c r="C339" s="15">
        <f>IF($A339="","",IFERROR(SUMIF(tblMotor[A_Norm],$A339,tblMotor[Tasarruf]),0))</f>
        <v/>
      </c>
      <c r="D339" s="15">
        <f>IF($A339="","",IFERROR(INDEX(tblMotor[KararSatir],MATCH($A339,tblMotor[A_Norm],0)),""))</f>
        <v/>
      </c>
      <c r="E339" s="15">
        <f>IF($A339="","",IF(OR($D339="DESİ DÜŞÜR",$D339="TAŞIYICI DEĞİŞTİR"),"YUKSEK","NORMAL"))</f>
        <v/>
      </c>
      <c r="F339" s="15">
        <f>IF($A339="","",_xlfn.TEXTJOIN(" ",TRUE,"Sipariş",$A339,"karar",$D339,"toplam",TEXT($B339,"0.00"),"tasarruf",TEXT($C339,"0.00"),"TL"))</f>
        <v/>
      </c>
    </row>
    <row r="340">
      <c r="A340" s="15">
        <f>IF('ESLESTIRME'!$A340="","",IF('ESLESTIRME'!$G340="tutar_farki",'ESLESTIRME'!$A340,""))</f>
        <v/>
      </c>
      <c r="B340" s="15">
        <f>IF($A340="","",IFERROR(SUMIF(tblMotor[A_Norm],$A340,tblMotor[SiparisToplam]),0))</f>
        <v/>
      </c>
      <c r="C340" s="15">
        <f>IF($A340="","",IFERROR(SUMIF(tblMotor[A_Norm],$A340,tblMotor[Tasarruf]),0))</f>
        <v/>
      </c>
      <c r="D340" s="15">
        <f>IF($A340="","",IFERROR(INDEX(tblMotor[KararSatir],MATCH($A340,tblMotor[A_Norm],0)),""))</f>
        <v/>
      </c>
      <c r="E340" s="15">
        <f>IF($A340="","",IF(OR($D340="DESİ DÜŞÜR",$D340="TAŞIYICI DEĞİŞTİR"),"YUKSEK","NORMAL"))</f>
        <v/>
      </c>
      <c r="F340" s="15">
        <f>IF($A340="","",_xlfn.TEXTJOIN(" ",TRUE,"Sipariş",$A340,"karar",$D340,"toplam",TEXT($B340,"0.00"),"tasarruf",TEXT($C340,"0.00"),"TL"))</f>
        <v/>
      </c>
    </row>
    <row r="341">
      <c r="A341" s="15">
        <f>IF('ESLESTIRME'!$A341="","",IF('ESLESTIRME'!$G341="tutar_farki",'ESLESTIRME'!$A341,""))</f>
        <v/>
      </c>
      <c r="B341" s="15">
        <f>IF($A341="","",IFERROR(SUMIF(tblMotor[A_Norm],$A341,tblMotor[SiparisToplam]),0))</f>
        <v/>
      </c>
      <c r="C341" s="15">
        <f>IF($A341="","",IFERROR(SUMIF(tblMotor[A_Norm],$A341,tblMotor[Tasarruf]),0))</f>
        <v/>
      </c>
      <c r="D341" s="15">
        <f>IF($A341="","",IFERROR(INDEX(tblMotor[KararSatir],MATCH($A341,tblMotor[A_Norm],0)),""))</f>
        <v/>
      </c>
      <c r="E341" s="15">
        <f>IF($A341="","",IF(OR($D341="DESİ DÜŞÜR",$D341="TAŞIYICI DEĞİŞTİR"),"YUKSEK","NORMAL"))</f>
        <v/>
      </c>
      <c r="F341" s="15">
        <f>IF($A341="","",_xlfn.TEXTJOIN(" ",TRUE,"Sipariş",$A341,"karar",$D341,"toplam",TEXT($B341,"0.00"),"tasarruf",TEXT($C341,"0.00"),"TL"))</f>
        <v/>
      </c>
    </row>
    <row r="342">
      <c r="A342" s="15">
        <f>IF('ESLESTIRME'!$A342="","",IF('ESLESTIRME'!$G342="tutar_farki",'ESLESTIRME'!$A342,""))</f>
        <v/>
      </c>
      <c r="B342" s="15">
        <f>IF($A342="","",IFERROR(SUMIF(tblMotor[A_Norm],$A342,tblMotor[SiparisToplam]),0))</f>
        <v/>
      </c>
      <c r="C342" s="15">
        <f>IF($A342="","",IFERROR(SUMIF(tblMotor[A_Norm],$A342,tblMotor[Tasarruf]),0))</f>
        <v/>
      </c>
      <c r="D342" s="15">
        <f>IF($A342="","",IFERROR(INDEX(tblMotor[KararSatir],MATCH($A342,tblMotor[A_Norm],0)),""))</f>
        <v/>
      </c>
      <c r="E342" s="15">
        <f>IF($A342="","",IF(OR($D342="DESİ DÜŞÜR",$D342="TAŞIYICI DEĞİŞTİR"),"YUKSEK","NORMAL"))</f>
        <v/>
      </c>
      <c r="F342" s="15">
        <f>IF($A342="","",_xlfn.TEXTJOIN(" ",TRUE,"Sipariş",$A342,"karar",$D342,"toplam",TEXT($B342,"0.00"),"tasarruf",TEXT($C342,"0.00"),"TL"))</f>
        <v/>
      </c>
    </row>
    <row r="343">
      <c r="A343" s="15">
        <f>IF('ESLESTIRME'!$A343="","",IF('ESLESTIRME'!$G343="tutar_farki",'ESLESTIRME'!$A343,""))</f>
        <v/>
      </c>
      <c r="B343" s="15">
        <f>IF($A343="","",IFERROR(SUMIF(tblMotor[A_Norm],$A343,tblMotor[SiparisToplam]),0))</f>
        <v/>
      </c>
      <c r="C343" s="15">
        <f>IF($A343="","",IFERROR(SUMIF(tblMotor[A_Norm],$A343,tblMotor[Tasarruf]),0))</f>
        <v/>
      </c>
      <c r="D343" s="15">
        <f>IF($A343="","",IFERROR(INDEX(tblMotor[KararSatir],MATCH($A343,tblMotor[A_Norm],0)),""))</f>
        <v/>
      </c>
      <c r="E343" s="15">
        <f>IF($A343="","",IF(OR($D343="DESİ DÜŞÜR",$D343="TAŞIYICI DEĞİŞTİR"),"YUKSEK","NORMAL"))</f>
        <v/>
      </c>
      <c r="F343" s="15">
        <f>IF($A343="","",_xlfn.TEXTJOIN(" ",TRUE,"Sipariş",$A343,"karar",$D343,"toplam",TEXT($B343,"0.00"),"tasarruf",TEXT($C343,"0.00"),"TL"))</f>
        <v/>
      </c>
    </row>
    <row r="344">
      <c r="A344" s="15">
        <f>IF('ESLESTIRME'!$A344="","",IF('ESLESTIRME'!$G344="tutar_farki",'ESLESTIRME'!$A344,""))</f>
        <v/>
      </c>
      <c r="B344" s="15">
        <f>IF($A344="","",IFERROR(SUMIF(tblMotor[A_Norm],$A344,tblMotor[SiparisToplam]),0))</f>
        <v/>
      </c>
      <c r="C344" s="15">
        <f>IF($A344="","",IFERROR(SUMIF(tblMotor[A_Norm],$A344,tblMotor[Tasarruf]),0))</f>
        <v/>
      </c>
      <c r="D344" s="15">
        <f>IF($A344="","",IFERROR(INDEX(tblMotor[KararSatir],MATCH($A344,tblMotor[A_Norm],0)),""))</f>
        <v/>
      </c>
      <c r="E344" s="15">
        <f>IF($A344="","",IF(OR($D344="DESİ DÜŞÜR",$D344="TAŞIYICI DEĞİŞTİR"),"YUKSEK","NORMAL"))</f>
        <v/>
      </c>
      <c r="F344" s="15">
        <f>IF($A344="","",_xlfn.TEXTJOIN(" ",TRUE,"Sipariş",$A344,"karar",$D344,"toplam",TEXT($B344,"0.00"),"tasarruf",TEXT($C344,"0.00"),"TL"))</f>
        <v/>
      </c>
    </row>
    <row r="345">
      <c r="A345" s="15">
        <f>IF('ESLESTIRME'!$A345="","",IF('ESLESTIRME'!$G345="tutar_farki",'ESLESTIRME'!$A345,""))</f>
        <v/>
      </c>
      <c r="B345" s="15">
        <f>IF($A345="","",IFERROR(SUMIF(tblMotor[A_Norm],$A345,tblMotor[SiparisToplam]),0))</f>
        <v/>
      </c>
      <c r="C345" s="15">
        <f>IF($A345="","",IFERROR(SUMIF(tblMotor[A_Norm],$A345,tblMotor[Tasarruf]),0))</f>
        <v/>
      </c>
      <c r="D345" s="15">
        <f>IF($A345="","",IFERROR(INDEX(tblMotor[KararSatir],MATCH($A345,tblMotor[A_Norm],0)),""))</f>
        <v/>
      </c>
      <c r="E345" s="15">
        <f>IF($A345="","",IF(OR($D345="DESİ DÜŞÜR",$D345="TAŞIYICI DEĞİŞTİR"),"YUKSEK","NORMAL"))</f>
        <v/>
      </c>
      <c r="F345" s="15">
        <f>IF($A345="","",_xlfn.TEXTJOIN(" ",TRUE,"Sipariş",$A345,"karar",$D345,"toplam",TEXT($B345,"0.00"),"tasarruf",TEXT($C345,"0.00"),"TL"))</f>
        <v/>
      </c>
    </row>
    <row r="346">
      <c r="A346" s="15">
        <f>IF('ESLESTIRME'!$A346="","",IF('ESLESTIRME'!$G346="tutar_farki",'ESLESTIRME'!$A346,""))</f>
        <v/>
      </c>
      <c r="B346" s="15">
        <f>IF($A346="","",IFERROR(SUMIF(tblMotor[A_Norm],$A346,tblMotor[SiparisToplam]),0))</f>
        <v/>
      </c>
      <c r="C346" s="15">
        <f>IF($A346="","",IFERROR(SUMIF(tblMotor[A_Norm],$A346,tblMotor[Tasarruf]),0))</f>
        <v/>
      </c>
      <c r="D346" s="15">
        <f>IF($A346="","",IFERROR(INDEX(tblMotor[KararSatir],MATCH($A346,tblMotor[A_Norm],0)),""))</f>
        <v/>
      </c>
      <c r="E346" s="15">
        <f>IF($A346="","",IF(OR($D346="DESİ DÜŞÜR",$D346="TAŞIYICI DEĞİŞTİR"),"YUKSEK","NORMAL"))</f>
        <v/>
      </c>
      <c r="F346" s="15">
        <f>IF($A346="","",_xlfn.TEXTJOIN(" ",TRUE,"Sipariş",$A346,"karar",$D346,"toplam",TEXT($B346,"0.00"),"tasarruf",TEXT($C346,"0.00"),"TL"))</f>
        <v/>
      </c>
    </row>
    <row r="347">
      <c r="A347" s="15">
        <f>IF('ESLESTIRME'!$A347="","",IF('ESLESTIRME'!$G347="tutar_farki",'ESLESTIRME'!$A347,""))</f>
        <v/>
      </c>
      <c r="B347" s="15">
        <f>IF($A347="","",IFERROR(SUMIF(tblMotor[A_Norm],$A347,tblMotor[SiparisToplam]),0))</f>
        <v/>
      </c>
      <c r="C347" s="15">
        <f>IF($A347="","",IFERROR(SUMIF(tblMotor[A_Norm],$A347,tblMotor[Tasarruf]),0))</f>
        <v/>
      </c>
      <c r="D347" s="15">
        <f>IF($A347="","",IFERROR(INDEX(tblMotor[KararSatir],MATCH($A347,tblMotor[A_Norm],0)),""))</f>
        <v/>
      </c>
      <c r="E347" s="15">
        <f>IF($A347="","",IF(OR($D347="DESİ DÜŞÜR",$D347="TAŞIYICI DEĞİŞTİR"),"YUKSEK","NORMAL"))</f>
        <v/>
      </c>
      <c r="F347" s="15">
        <f>IF($A347="","",_xlfn.TEXTJOIN(" ",TRUE,"Sipariş",$A347,"karar",$D347,"toplam",TEXT($B347,"0.00"),"tasarruf",TEXT($C347,"0.00"),"TL"))</f>
        <v/>
      </c>
    </row>
    <row r="348">
      <c r="A348" s="15">
        <f>IF('ESLESTIRME'!$A348="","",IF('ESLESTIRME'!$G348="tutar_farki",'ESLESTIRME'!$A348,""))</f>
        <v/>
      </c>
      <c r="B348" s="15">
        <f>IF($A348="","",IFERROR(SUMIF(tblMotor[A_Norm],$A348,tblMotor[SiparisToplam]),0))</f>
        <v/>
      </c>
      <c r="C348" s="15">
        <f>IF($A348="","",IFERROR(SUMIF(tblMotor[A_Norm],$A348,tblMotor[Tasarruf]),0))</f>
        <v/>
      </c>
      <c r="D348" s="15">
        <f>IF($A348="","",IFERROR(INDEX(tblMotor[KararSatir],MATCH($A348,tblMotor[A_Norm],0)),""))</f>
        <v/>
      </c>
      <c r="E348" s="15">
        <f>IF($A348="","",IF(OR($D348="DESİ DÜŞÜR",$D348="TAŞIYICI DEĞİŞTİR"),"YUKSEK","NORMAL"))</f>
        <v/>
      </c>
      <c r="F348" s="15">
        <f>IF($A348="","",_xlfn.TEXTJOIN(" ",TRUE,"Sipariş",$A348,"karar",$D348,"toplam",TEXT($B348,"0.00"),"tasarruf",TEXT($C348,"0.00"),"TL"))</f>
        <v/>
      </c>
    </row>
    <row r="349">
      <c r="A349" s="15">
        <f>IF('ESLESTIRME'!$A349="","",IF('ESLESTIRME'!$G349="tutar_farki",'ESLESTIRME'!$A349,""))</f>
        <v/>
      </c>
      <c r="B349" s="15">
        <f>IF($A349="","",IFERROR(SUMIF(tblMotor[A_Norm],$A349,tblMotor[SiparisToplam]),0))</f>
        <v/>
      </c>
      <c r="C349" s="15">
        <f>IF($A349="","",IFERROR(SUMIF(tblMotor[A_Norm],$A349,tblMotor[Tasarruf]),0))</f>
        <v/>
      </c>
      <c r="D349" s="15">
        <f>IF($A349="","",IFERROR(INDEX(tblMotor[KararSatir],MATCH($A349,tblMotor[A_Norm],0)),""))</f>
        <v/>
      </c>
      <c r="E349" s="15">
        <f>IF($A349="","",IF(OR($D349="DESİ DÜŞÜR",$D349="TAŞIYICI DEĞİŞTİR"),"YUKSEK","NORMAL"))</f>
        <v/>
      </c>
      <c r="F349" s="15">
        <f>IF($A349="","",_xlfn.TEXTJOIN(" ",TRUE,"Sipariş",$A349,"karar",$D349,"toplam",TEXT($B349,"0.00"),"tasarruf",TEXT($C349,"0.00"),"TL"))</f>
        <v/>
      </c>
    </row>
    <row r="350">
      <c r="A350" s="15">
        <f>IF('ESLESTIRME'!$A350="","",IF('ESLESTIRME'!$G350="tutar_farki",'ESLESTIRME'!$A350,""))</f>
        <v/>
      </c>
      <c r="B350" s="15">
        <f>IF($A350="","",IFERROR(SUMIF(tblMotor[A_Norm],$A350,tblMotor[SiparisToplam]),0))</f>
        <v/>
      </c>
      <c r="C350" s="15">
        <f>IF($A350="","",IFERROR(SUMIF(tblMotor[A_Norm],$A350,tblMotor[Tasarruf]),0))</f>
        <v/>
      </c>
      <c r="D350" s="15">
        <f>IF($A350="","",IFERROR(INDEX(tblMotor[KararSatir],MATCH($A350,tblMotor[A_Norm],0)),""))</f>
        <v/>
      </c>
      <c r="E350" s="15">
        <f>IF($A350="","",IF(OR($D350="DESİ DÜŞÜR",$D350="TAŞIYICI DEĞİŞTİR"),"YUKSEK","NORMAL"))</f>
        <v/>
      </c>
      <c r="F350" s="15">
        <f>IF($A350="","",_xlfn.TEXTJOIN(" ",TRUE,"Sipariş",$A350,"karar",$D350,"toplam",TEXT($B350,"0.00"),"tasarruf",TEXT($C350,"0.00"),"TL"))</f>
        <v/>
      </c>
    </row>
    <row r="351">
      <c r="A351" s="15">
        <f>IF('ESLESTIRME'!$A351="","",IF('ESLESTIRME'!$G351="tutar_farki",'ESLESTIRME'!$A351,""))</f>
        <v/>
      </c>
      <c r="B351" s="15">
        <f>IF($A351="","",IFERROR(SUMIF(tblMotor[A_Norm],$A351,tblMotor[SiparisToplam]),0))</f>
        <v/>
      </c>
      <c r="C351" s="15">
        <f>IF($A351="","",IFERROR(SUMIF(tblMotor[A_Norm],$A351,tblMotor[Tasarruf]),0))</f>
        <v/>
      </c>
      <c r="D351" s="15">
        <f>IF($A351="","",IFERROR(INDEX(tblMotor[KararSatir],MATCH($A351,tblMotor[A_Norm],0)),""))</f>
        <v/>
      </c>
      <c r="E351" s="15">
        <f>IF($A351="","",IF(OR($D351="DESİ DÜŞÜR",$D351="TAŞIYICI DEĞİŞTİR"),"YUKSEK","NORMAL"))</f>
        <v/>
      </c>
      <c r="F351" s="15">
        <f>IF($A351="","",_xlfn.TEXTJOIN(" ",TRUE,"Sipariş",$A351,"karar",$D351,"toplam",TEXT($B351,"0.00"),"tasarruf",TEXT($C351,"0.00"),"TL"))</f>
        <v/>
      </c>
    </row>
    <row r="352">
      <c r="A352" s="15">
        <f>IF('ESLESTIRME'!$A352="","",IF('ESLESTIRME'!$G352="tutar_farki",'ESLESTIRME'!$A352,""))</f>
        <v/>
      </c>
      <c r="B352" s="15">
        <f>IF($A352="","",IFERROR(SUMIF(tblMotor[A_Norm],$A352,tblMotor[SiparisToplam]),0))</f>
        <v/>
      </c>
      <c r="C352" s="15">
        <f>IF($A352="","",IFERROR(SUMIF(tblMotor[A_Norm],$A352,tblMotor[Tasarruf]),0))</f>
        <v/>
      </c>
      <c r="D352" s="15">
        <f>IF($A352="","",IFERROR(INDEX(tblMotor[KararSatir],MATCH($A352,tblMotor[A_Norm],0)),""))</f>
        <v/>
      </c>
      <c r="E352" s="15">
        <f>IF($A352="","",IF(OR($D352="DESİ DÜŞÜR",$D352="TAŞIYICI DEĞİŞTİR"),"YUKSEK","NORMAL"))</f>
        <v/>
      </c>
      <c r="F352" s="15">
        <f>IF($A352="","",_xlfn.TEXTJOIN(" ",TRUE,"Sipariş",$A352,"karar",$D352,"toplam",TEXT($B352,"0.00"),"tasarruf",TEXT($C352,"0.00"),"TL"))</f>
        <v/>
      </c>
    </row>
    <row r="353">
      <c r="A353" s="15">
        <f>IF('ESLESTIRME'!$A353="","",IF('ESLESTIRME'!$G353="tutar_farki",'ESLESTIRME'!$A353,""))</f>
        <v/>
      </c>
      <c r="B353" s="15">
        <f>IF($A353="","",IFERROR(SUMIF(tblMotor[A_Norm],$A353,tblMotor[SiparisToplam]),0))</f>
        <v/>
      </c>
      <c r="C353" s="15">
        <f>IF($A353="","",IFERROR(SUMIF(tblMotor[A_Norm],$A353,tblMotor[Tasarruf]),0))</f>
        <v/>
      </c>
      <c r="D353" s="15">
        <f>IF($A353="","",IFERROR(INDEX(tblMotor[KararSatir],MATCH($A353,tblMotor[A_Norm],0)),""))</f>
        <v/>
      </c>
      <c r="E353" s="15">
        <f>IF($A353="","",IF(OR($D353="DESİ DÜŞÜR",$D353="TAŞIYICI DEĞİŞTİR"),"YUKSEK","NORMAL"))</f>
        <v/>
      </c>
      <c r="F353" s="15">
        <f>IF($A353="","",_xlfn.TEXTJOIN(" ",TRUE,"Sipariş",$A353,"karar",$D353,"toplam",TEXT($B353,"0.00"),"tasarruf",TEXT($C353,"0.00"),"TL"))</f>
        <v/>
      </c>
    </row>
    <row r="354">
      <c r="A354" s="15">
        <f>IF('ESLESTIRME'!$A354="","",IF('ESLESTIRME'!$G354="tutar_farki",'ESLESTIRME'!$A354,""))</f>
        <v/>
      </c>
      <c r="B354" s="15">
        <f>IF($A354="","",IFERROR(SUMIF(tblMotor[A_Norm],$A354,tblMotor[SiparisToplam]),0))</f>
        <v/>
      </c>
      <c r="C354" s="15">
        <f>IF($A354="","",IFERROR(SUMIF(tblMotor[A_Norm],$A354,tblMotor[Tasarruf]),0))</f>
        <v/>
      </c>
      <c r="D354" s="15">
        <f>IF($A354="","",IFERROR(INDEX(tblMotor[KararSatir],MATCH($A354,tblMotor[A_Norm],0)),""))</f>
        <v/>
      </c>
      <c r="E354" s="15">
        <f>IF($A354="","",IF(OR($D354="DESİ DÜŞÜR",$D354="TAŞIYICI DEĞİŞTİR"),"YUKSEK","NORMAL"))</f>
        <v/>
      </c>
      <c r="F354" s="15">
        <f>IF($A354="","",_xlfn.TEXTJOIN(" ",TRUE,"Sipariş",$A354,"karar",$D354,"toplam",TEXT($B354,"0.00"),"tasarruf",TEXT($C354,"0.00"),"TL"))</f>
        <v/>
      </c>
    </row>
    <row r="355">
      <c r="A355" s="15">
        <f>IF('ESLESTIRME'!$A355="","",IF('ESLESTIRME'!$G355="tutar_farki",'ESLESTIRME'!$A355,""))</f>
        <v/>
      </c>
      <c r="B355" s="15">
        <f>IF($A355="","",IFERROR(SUMIF(tblMotor[A_Norm],$A355,tblMotor[SiparisToplam]),0))</f>
        <v/>
      </c>
      <c r="C355" s="15">
        <f>IF($A355="","",IFERROR(SUMIF(tblMotor[A_Norm],$A355,tblMotor[Tasarruf]),0))</f>
        <v/>
      </c>
      <c r="D355" s="15">
        <f>IF($A355="","",IFERROR(INDEX(tblMotor[KararSatir],MATCH($A355,tblMotor[A_Norm],0)),""))</f>
        <v/>
      </c>
      <c r="E355" s="15">
        <f>IF($A355="","",IF(OR($D355="DESİ DÜŞÜR",$D355="TAŞIYICI DEĞİŞTİR"),"YUKSEK","NORMAL"))</f>
        <v/>
      </c>
      <c r="F355" s="15">
        <f>IF($A355="","",_xlfn.TEXTJOIN(" ",TRUE,"Sipariş",$A355,"karar",$D355,"toplam",TEXT($B355,"0.00"),"tasarruf",TEXT($C355,"0.00"),"TL"))</f>
        <v/>
      </c>
    </row>
    <row r="356">
      <c r="A356" s="15">
        <f>IF('ESLESTIRME'!$A356="","",IF('ESLESTIRME'!$G356="tutar_farki",'ESLESTIRME'!$A356,""))</f>
        <v/>
      </c>
      <c r="B356" s="15">
        <f>IF($A356="","",IFERROR(SUMIF(tblMotor[A_Norm],$A356,tblMotor[SiparisToplam]),0))</f>
        <v/>
      </c>
      <c r="C356" s="15">
        <f>IF($A356="","",IFERROR(SUMIF(tblMotor[A_Norm],$A356,tblMotor[Tasarruf]),0))</f>
        <v/>
      </c>
      <c r="D356" s="15">
        <f>IF($A356="","",IFERROR(INDEX(tblMotor[KararSatir],MATCH($A356,tblMotor[A_Norm],0)),""))</f>
        <v/>
      </c>
      <c r="E356" s="15">
        <f>IF($A356="","",IF(OR($D356="DESİ DÜŞÜR",$D356="TAŞIYICI DEĞİŞTİR"),"YUKSEK","NORMAL"))</f>
        <v/>
      </c>
      <c r="F356" s="15">
        <f>IF($A356="","",_xlfn.TEXTJOIN(" ",TRUE,"Sipariş",$A356,"karar",$D356,"toplam",TEXT($B356,"0.00"),"tasarruf",TEXT($C356,"0.00"),"TL"))</f>
        <v/>
      </c>
    </row>
    <row r="357">
      <c r="A357" s="15">
        <f>IF('ESLESTIRME'!$A357="","",IF('ESLESTIRME'!$G357="tutar_farki",'ESLESTIRME'!$A357,""))</f>
        <v/>
      </c>
      <c r="B357" s="15">
        <f>IF($A357="","",IFERROR(SUMIF(tblMotor[A_Norm],$A357,tblMotor[SiparisToplam]),0))</f>
        <v/>
      </c>
      <c r="C357" s="15">
        <f>IF($A357="","",IFERROR(SUMIF(tblMotor[A_Norm],$A357,tblMotor[Tasarruf]),0))</f>
        <v/>
      </c>
      <c r="D357" s="15">
        <f>IF($A357="","",IFERROR(INDEX(tblMotor[KararSatir],MATCH($A357,tblMotor[A_Norm],0)),""))</f>
        <v/>
      </c>
      <c r="E357" s="15">
        <f>IF($A357="","",IF(OR($D357="DESİ DÜŞÜR",$D357="TAŞIYICI DEĞİŞTİR"),"YUKSEK","NORMAL"))</f>
        <v/>
      </c>
      <c r="F357" s="15">
        <f>IF($A357="","",_xlfn.TEXTJOIN(" ",TRUE,"Sipariş",$A357,"karar",$D357,"toplam",TEXT($B357,"0.00"),"tasarruf",TEXT($C357,"0.00"),"TL"))</f>
        <v/>
      </c>
    </row>
    <row r="358">
      <c r="A358" s="15">
        <f>IF('ESLESTIRME'!$A358="","",IF('ESLESTIRME'!$G358="tutar_farki",'ESLESTIRME'!$A358,""))</f>
        <v/>
      </c>
      <c r="B358" s="15">
        <f>IF($A358="","",IFERROR(SUMIF(tblMotor[A_Norm],$A358,tblMotor[SiparisToplam]),0))</f>
        <v/>
      </c>
      <c r="C358" s="15">
        <f>IF($A358="","",IFERROR(SUMIF(tblMotor[A_Norm],$A358,tblMotor[Tasarruf]),0))</f>
        <v/>
      </c>
      <c r="D358" s="15">
        <f>IF($A358="","",IFERROR(INDEX(tblMotor[KararSatir],MATCH($A358,tblMotor[A_Norm],0)),""))</f>
        <v/>
      </c>
      <c r="E358" s="15">
        <f>IF($A358="","",IF(OR($D358="DESİ DÜŞÜR",$D358="TAŞIYICI DEĞİŞTİR"),"YUKSEK","NORMAL"))</f>
        <v/>
      </c>
      <c r="F358" s="15">
        <f>IF($A358="","",_xlfn.TEXTJOIN(" ",TRUE,"Sipariş",$A358,"karar",$D358,"toplam",TEXT($B358,"0.00"),"tasarruf",TEXT($C358,"0.00"),"TL"))</f>
        <v/>
      </c>
    </row>
    <row r="359">
      <c r="A359" s="15">
        <f>IF('ESLESTIRME'!$A359="","",IF('ESLESTIRME'!$G359="tutar_farki",'ESLESTIRME'!$A359,""))</f>
        <v/>
      </c>
      <c r="B359" s="15">
        <f>IF($A359="","",IFERROR(SUMIF(tblMotor[A_Norm],$A359,tblMotor[SiparisToplam]),0))</f>
        <v/>
      </c>
      <c r="C359" s="15">
        <f>IF($A359="","",IFERROR(SUMIF(tblMotor[A_Norm],$A359,tblMotor[Tasarruf]),0))</f>
        <v/>
      </c>
      <c r="D359" s="15">
        <f>IF($A359="","",IFERROR(INDEX(tblMotor[KararSatir],MATCH($A359,tblMotor[A_Norm],0)),""))</f>
        <v/>
      </c>
      <c r="E359" s="15">
        <f>IF($A359="","",IF(OR($D359="DESİ DÜŞÜR",$D359="TAŞIYICI DEĞİŞTİR"),"YUKSEK","NORMAL"))</f>
        <v/>
      </c>
      <c r="F359" s="15">
        <f>IF($A359="","",_xlfn.TEXTJOIN(" ",TRUE,"Sipariş",$A359,"karar",$D359,"toplam",TEXT($B359,"0.00"),"tasarruf",TEXT($C359,"0.00"),"TL"))</f>
        <v/>
      </c>
    </row>
    <row r="360">
      <c r="A360" s="15">
        <f>IF('ESLESTIRME'!$A360="","",IF('ESLESTIRME'!$G360="tutar_farki",'ESLESTIRME'!$A360,""))</f>
        <v/>
      </c>
      <c r="B360" s="15">
        <f>IF($A360="","",IFERROR(SUMIF(tblMotor[A_Norm],$A360,tblMotor[SiparisToplam]),0))</f>
        <v/>
      </c>
      <c r="C360" s="15">
        <f>IF($A360="","",IFERROR(SUMIF(tblMotor[A_Norm],$A360,tblMotor[Tasarruf]),0))</f>
        <v/>
      </c>
      <c r="D360" s="15">
        <f>IF($A360="","",IFERROR(INDEX(tblMotor[KararSatir],MATCH($A360,tblMotor[A_Norm],0)),""))</f>
        <v/>
      </c>
      <c r="E360" s="15">
        <f>IF($A360="","",IF(OR($D360="DESİ DÜŞÜR",$D360="TAŞIYICI DEĞİŞTİR"),"YUKSEK","NORMAL"))</f>
        <v/>
      </c>
      <c r="F360" s="15">
        <f>IF($A360="","",_xlfn.TEXTJOIN(" ",TRUE,"Sipariş",$A360,"karar",$D360,"toplam",TEXT($B360,"0.00"),"tasarruf",TEXT($C360,"0.00"),"TL"))</f>
        <v/>
      </c>
    </row>
    <row r="361">
      <c r="A361" s="15">
        <f>IF('ESLESTIRME'!$A361="","",IF('ESLESTIRME'!$G361="tutar_farki",'ESLESTIRME'!$A361,""))</f>
        <v/>
      </c>
      <c r="B361" s="15">
        <f>IF($A361="","",IFERROR(SUMIF(tblMotor[A_Norm],$A361,tblMotor[SiparisToplam]),0))</f>
        <v/>
      </c>
      <c r="C361" s="15">
        <f>IF($A361="","",IFERROR(SUMIF(tblMotor[A_Norm],$A361,tblMotor[Tasarruf]),0))</f>
        <v/>
      </c>
      <c r="D361" s="15">
        <f>IF($A361="","",IFERROR(INDEX(tblMotor[KararSatir],MATCH($A361,tblMotor[A_Norm],0)),""))</f>
        <v/>
      </c>
      <c r="E361" s="15">
        <f>IF($A361="","",IF(OR($D361="DESİ DÜŞÜR",$D361="TAŞIYICI DEĞİŞTİR"),"YUKSEK","NORMAL"))</f>
        <v/>
      </c>
      <c r="F361" s="15">
        <f>IF($A361="","",_xlfn.TEXTJOIN(" ",TRUE,"Sipariş",$A361,"karar",$D361,"toplam",TEXT($B361,"0.00"),"tasarruf",TEXT($C361,"0.00"),"TL"))</f>
        <v/>
      </c>
    </row>
    <row r="362">
      <c r="A362" s="15">
        <f>IF('ESLESTIRME'!$A362="","",IF('ESLESTIRME'!$G362="tutar_farki",'ESLESTIRME'!$A362,""))</f>
        <v/>
      </c>
      <c r="B362" s="15">
        <f>IF($A362="","",IFERROR(SUMIF(tblMotor[A_Norm],$A362,tblMotor[SiparisToplam]),0))</f>
        <v/>
      </c>
      <c r="C362" s="15">
        <f>IF($A362="","",IFERROR(SUMIF(tblMotor[A_Norm],$A362,tblMotor[Tasarruf]),0))</f>
        <v/>
      </c>
      <c r="D362" s="15">
        <f>IF($A362="","",IFERROR(INDEX(tblMotor[KararSatir],MATCH($A362,tblMotor[A_Norm],0)),""))</f>
        <v/>
      </c>
      <c r="E362" s="15">
        <f>IF($A362="","",IF(OR($D362="DESİ DÜŞÜR",$D362="TAŞIYICI DEĞİŞTİR"),"YUKSEK","NORMAL"))</f>
        <v/>
      </c>
      <c r="F362" s="15">
        <f>IF($A362="","",_xlfn.TEXTJOIN(" ",TRUE,"Sipariş",$A362,"karar",$D362,"toplam",TEXT($B362,"0.00"),"tasarruf",TEXT($C362,"0.00"),"TL"))</f>
        <v/>
      </c>
    </row>
    <row r="363">
      <c r="A363" s="15">
        <f>IF('ESLESTIRME'!$A363="","",IF('ESLESTIRME'!$G363="tutar_farki",'ESLESTIRME'!$A363,""))</f>
        <v/>
      </c>
      <c r="B363" s="15">
        <f>IF($A363="","",IFERROR(SUMIF(tblMotor[A_Norm],$A363,tblMotor[SiparisToplam]),0))</f>
        <v/>
      </c>
      <c r="C363" s="15">
        <f>IF($A363="","",IFERROR(SUMIF(tblMotor[A_Norm],$A363,tblMotor[Tasarruf]),0))</f>
        <v/>
      </c>
      <c r="D363" s="15">
        <f>IF($A363="","",IFERROR(INDEX(tblMotor[KararSatir],MATCH($A363,tblMotor[A_Norm],0)),""))</f>
        <v/>
      </c>
      <c r="E363" s="15">
        <f>IF($A363="","",IF(OR($D363="DESİ DÜŞÜR",$D363="TAŞIYICI DEĞİŞTİR"),"YUKSEK","NORMAL"))</f>
        <v/>
      </c>
      <c r="F363" s="15">
        <f>IF($A363="","",_xlfn.TEXTJOIN(" ",TRUE,"Sipariş",$A363,"karar",$D363,"toplam",TEXT($B363,"0.00"),"tasarruf",TEXT($C363,"0.00"),"TL"))</f>
        <v/>
      </c>
    </row>
    <row r="364">
      <c r="A364" s="15">
        <f>IF('ESLESTIRME'!$A364="","",IF('ESLESTIRME'!$G364="tutar_farki",'ESLESTIRME'!$A364,""))</f>
        <v/>
      </c>
      <c r="B364" s="15">
        <f>IF($A364="","",IFERROR(SUMIF(tblMotor[A_Norm],$A364,tblMotor[SiparisToplam]),0))</f>
        <v/>
      </c>
      <c r="C364" s="15">
        <f>IF($A364="","",IFERROR(SUMIF(tblMotor[A_Norm],$A364,tblMotor[Tasarruf]),0))</f>
        <v/>
      </c>
      <c r="D364" s="15">
        <f>IF($A364="","",IFERROR(INDEX(tblMotor[KararSatir],MATCH($A364,tblMotor[A_Norm],0)),""))</f>
        <v/>
      </c>
      <c r="E364" s="15">
        <f>IF($A364="","",IF(OR($D364="DESİ DÜŞÜR",$D364="TAŞIYICI DEĞİŞTİR"),"YUKSEK","NORMAL"))</f>
        <v/>
      </c>
      <c r="F364" s="15">
        <f>IF($A364="","",_xlfn.TEXTJOIN(" ",TRUE,"Sipariş",$A364,"karar",$D364,"toplam",TEXT($B364,"0.00"),"tasarruf",TEXT($C364,"0.00"),"TL"))</f>
        <v/>
      </c>
    </row>
    <row r="365">
      <c r="A365" s="15">
        <f>IF('ESLESTIRME'!$A365="","",IF('ESLESTIRME'!$G365="tutar_farki",'ESLESTIRME'!$A365,""))</f>
        <v/>
      </c>
      <c r="B365" s="15">
        <f>IF($A365="","",IFERROR(SUMIF(tblMotor[A_Norm],$A365,tblMotor[SiparisToplam]),0))</f>
        <v/>
      </c>
      <c r="C365" s="15">
        <f>IF($A365="","",IFERROR(SUMIF(tblMotor[A_Norm],$A365,tblMotor[Tasarruf]),0))</f>
        <v/>
      </c>
      <c r="D365" s="15">
        <f>IF($A365="","",IFERROR(INDEX(tblMotor[KararSatir],MATCH($A365,tblMotor[A_Norm],0)),""))</f>
        <v/>
      </c>
      <c r="E365" s="15">
        <f>IF($A365="","",IF(OR($D365="DESİ DÜŞÜR",$D365="TAŞIYICI DEĞİŞTİR"),"YUKSEK","NORMAL"))</f>
        <v/>
      </c>
      <c r="F365" s="15">
        <f>IF($A365="","",_xlfn.TEXTJOIN(" ",TRUE,"Sipariş",$A365,"karar",$D365,"toplam",TEXT($B365,"0.00"),"tasarruf",TEXT($C365,"0.00"),"TL"))</f>
        <v/>
      </c>
    </row>
    <row r="366">
      <c r="A366" s="15">
        <f>IF('ESLESTIRME'!$A366="","",IF('ESLESTIRME'!$G366="tutar_farki",'ESLESTIRME'!$A366,""))</f>
        <v/>
      </c>
      <c r="B366" s="15">
        <f>IF($A366="","",IFERROR(SUMIF(tblMotor[A_Norm],$A366,tblMotor[SiparisToplam]),0))</f>
        <v/>
      </c>
      <c r="C366" s="15">
        <f>IF($A366="","",IFERROR(SUMIF(tblMotor[A_Norm],$A366,tblMotor[Tasarruf]),0))</f>
        <v/>
      </c>
      <c r="D366" s="15">
        <f>IF($A366="","",IFERROR(INDEX(tblMotor[KararSatir],MATCH($A366,tblMotor[A_Norm],0)),""))</f>
        <v/>
      </c>
      <c r="E366" s="15">
        <f>IF($A366="","",IF(OR($D366="DESİ DÜŞÜR",$D366="TAŞIYICI DEĞİŞTİR"),"YUKSEK","NORMAL"))</f>
        <v/>
      </c>
      <c r="F366" s="15">
        <f>IF($A366="","",_xlfn.TEXTJOIN(" ",TRUE,"Sipariş",$A366,"karar",$D366,"toplam",TEXT($B366,"0.00"),"tasarruf",TEXT($C366,"0.00"),"TL"))</f>
        <v/>
      </c>
    </row>
    <row r="367">
      <c r="A367" s="15">
        <f>IF('ESLESTIRME'!$A367="","",IF('ESLESTIRME'!$G367="tutar_farki",'ESLESTIRME'!$A367,""))</f>
        <v/>
      </c>
      <c r="B367" s="15">
        <f>IF($A367="","",IFERROR(SUMIF(tblMotor[A_Norm],$A367,tblMotor[SiparisToplam]),0))</f>
        <v/>
      </c>
      <c r="C367" s="15">
        <f>IF($A367="","",IFERROR(SUMIF(tblMotor[A_Norm],$A367,tblMotor[Tasarruf]),0))</f>
        <v/>
      </c>
      <c r="D367" s="15">
        <f>IF($A367="","",IFERROR(INDEX(tblMotor[KararSatir],MATCH($A367,tblMotor[A_Norm],0)),""))</f>
        <v/>
      </c>
      <c r="E367" s="15">
        <f>IF($A367="","",IF(OR($D367="DESİ DÜŞÜR",$D367="TAŞIYICI DEĞİŞTİR"),"YUKSEK","NORMAL"))</f>
        <v/>
      </c>
      <c r="F367" s="15">
        <f>IF($A367="","",_xlfn.TEXTJOIN(" ",TRUE,"Sipariş",$A367,"karar",$D367,"toplam",TEXT($B367,"0.00"),"tasarruf",TEXT($C367,"0.00"),"TL"))</f>
        <v/>
      </c>
    </row>
    <row r="368">
      <c r="A368" s="15">
        <f>IF('ESLESTIRME'!$A368="","",IF('ESLESTIRME'!$G368="tutar_farki",'ESLESTIRME'!$A368,""))</f>
        <v/>
      </c>
      <c r="B368" s="15">
        <f>IF($A368="","",IFERROR(SUMIF(tblMotor[A_Norm],$A368,tblMotor[SiparisToplam]),0))</f>
        <v/>
      </c>
      <c r="C368" s="15">
        <f>IF($A368="","",IFERROR(SUMIF(tblMotor[A_Norm],$A368,tblMotor[Tasarruf]),0))</f>
        <v/>
      </c>
      <c r="D368" s="15">
        <f>IF($A368="","",IFERROR(INDEX(tblMotor[KararSatir],MATCH($A368,tblMotor[A_Norm],0)),""))</f>
        <v/>
      </c>
      <c r="E368" s="15">
        <f>IF($A368="","",IF(OR($D368="DESİ DÜŞÜR",$D368="TAŞIYICI DEĞİŞTİR"),"YUKSEK","NORMAL"))</f>
        <v/>
      </c>
      <c r="F368" s="15">
        <f>IF($A368="","",_xlfn.TEXTJOIN(" ",TRUE,"Sipariş",$A368,"karar",$D368,"toplam",TEXT($B368,"0.00"),"tasarruf",TEXT($C368,"0.00"),"TL"))</f>
        <v/>
      </c>
    </row>
    <row r="369">
      <c r="A369" s="15">
        <f>IF('ESLESTIRME'!$A369="","",IF('ESLESTIRME'!$G369="tutar_farki",'ESLESTIRME'!$A369,""))</f>
        <v/>
      </c>
      <c r="B369" s="15">
        <f>IF($A369="","",IFERROR(SUMIF(tblMotor[A_Norm],$A369,tblMotor[SiparisToplam]),0))</f>
        <v/>
      </c>
      <c r="C369" s="15">
        <f>IF($A369="","",IFERROR(SUMIF(tblMotor[A_Norm],$A369,tblMotor[Tasarruf]),0))</f>
        <v/>
      </c>
      <c r="D369" s="15">
        <f>IF($A369="","",IFERROR(INDEX(tblMotor[KararSatir],MATCH($A369,tblMotor[A_Norm],0)),""))</f>
        <v/>
      </c>
      <c r="E369" s="15">
        <f>IF($A369="","",IF(OR($D369="DESİ DÜŞÜR",$D369="TAŞIYICI DEĞİŞTİR"),"YUKSEK","NORMAL"))</f>
        <v/>
      </c>
      <c r="F369" s="15">
        <f>IF($A369="","",_xlfn.TEXTJOIN(" ",TRUE,"Sipariş",$A369,"karar",$D369,"toplam",TEXT($B369,"0.00"),"tasarruf",TEXT($C369,"0.00"),"TL"))</f>
        <v/>
      </c>
    </row>
    <row r="370">
      <c r="A370" s="15">
        <f>IF('ESLESTIRME'!$A370="","",IF('ESLESTIRME'!$G370="tutar_farki",'ESLESTIRME'!$A370,""))</f>
        <v/>
      </c>
      <c r="B370" s="15">
        <f>IF($A370="","",IFERROR(SUMIF(tblMotor[A_Norm],$A370,tblMotor[SiparisToplam]),0))</f>
        <v/>
      </c>
      <c r="C370" s="15">
        <f>IF($A370="","",IFERROR(SUMIF(tblMotor[A_Norm],$A370,tblMotor[Tasarruf]),0))</f>
        <v/>
      </c>
      <c r="D370" s="15">
        <f>IF($A370="","",IFERROR(INDEX(tblMotor[KararSatir],MATCH($A370,tblMotor[A_Norm],0)),""))</f>
        <v/>
      </c>
      <c r="E370" s="15">
        <f>IF($A370="","",IF(OR($D370="DESİ DÜŞÜR",$D370="TAŞIYICI DEĞİŞTİR"),"YUKSEK","NORMAL"))</f>
        <v/>
      </c>
      <c r="F370" s="15">
        <f>IF($A370="","",_xlfn.TEXTJOIN(" ",TRUE,"Sipariş",$A370,"karar",$D370,"toplam",TEXT($B370,"0.00"),"tasarruf",TEXT($C370,"0.00"),"TL"))</f>
        <v/>
      </c>
    </row>
    <row r="371">
      <c r="A371" s="15">
        <f>IF('ESLESTIRME'!$A371="","",IF('ESLESTIRME'!$G371="tutar_farki",'ESLESTIRME'!$A371,""))</f>
        <v/>
      </c>
      <c r="B371" s="15">
        <f>IF($A371="","",IFERROR(SUMIF(tblMotor[A_Norm],$A371,tblMotor[SiparisToplam]),0))</f>
        <v/>
      </c>
      <c r="C371" s="15">
        <f>IF($A371="","",IFERROR(SUMIF(tblMotor[A_Norm],$A371,tblMotor[Tasarruf]),0))</f>
        <v/>
      </c>
      <c r="D371" s="15">
        <f>IF($A371="","",IFERROR(INDEX(tblMotor[KararSatir],MATCH($A371,tblMotor[A_Norm],0)),""))</f>
        <v/>
      </c>
      <c r="E371" s="15">
        <f>IF($A371="","",IF(OR($D371="DESİ DÜŞÜR",$D371="TAŞIYICI DEĞİŞTİR"),"YUKSEK","NORMAL"))</f>
        <v/>
      </c>
      <c r="F371" s="15">
        <f>IF($A371="","",_xlfn.TEXTJOIN(" ",TRUE,"Sipariş",$A371,"karar",$D371,"toplam",TEXT($B371,"0.00"),"tasarruf",TEXT($C371,"0.00"),"TL"))</f>
        <v/>
      </c>
    </row>
    <row r="372">
      <c r="A372" s="15">
        <f>IF('ESLESTIRME'!$A372="","",IF('ESLESTIRME'!$G372="tutar_farki",'ESLESTIRME'!$A372,""))</f>
        <v/>
      </c>
      <c r="B372" s="15">
        <f>IF($A372="","",IFERROR(SUMIF(tblMotor[A_Norm],$A372,tblMotor[SiparisToplam]),0))</f>
        <v/>
      </c>
      <c r="C372" s="15">
        <f>IF($A372="","",IFERROR(SUMIF(tblMotor[A_Norm],$A372,tblMotor[Tasarruf]),0))</f>
        <v/>
      </c>
      <c r="D372" s="15">
        <f>IF($A372="","",IFERROR(INDEX(tblMotor[KararSatir],MATCH($A372,tblMotor[A_Norm],0)),""))</f>
        <v/>
      </c>
      <c r="E372" s="15">
        <f>IF($A372="","",IF(OR($D372="DESİ DÜŞÜR",$D372="TAŞIYICI DEĞİŞTİR"),"YUKSEK","NORMAL"))</f>
        <v/>
      </c>
      <c r="F372" s="15">
        <f>IF($A372="","",_xlfn.TEXTJOIN(" ",TRUE,"Sipariş",$A372,"karar",$D372,"toplam",TEXT($B372,"0.00"),"tasarruf",TEXT($C372,"0.00"),"TL"))</f>
        <v/>
      </c>
    </row>
    <row r="373">
      <c r="A373" s="15">
        <f>IF('ESLESTIRME'!$A373="","",IF('ESLESTIRME'!$G373="tutar_farki",'ESLESTIRME'!$A373,""))</f>
        <v/>
      </c>
      <c r="B373" s="15">
        <f>IF($A373="","",IFERROR(SUMIF(tblMotor[A_Norm],$A373,tblMotor[SiparisToplam]),0))</f>
        <v/>
      </c>
      <c r="C373" s="15">
        <f>IF($A373="","",IFERROR(SUMIF(tblMotor[A_Norm],$A373,tblMotor[Tasarruf]),0))</f>
        <v/>
      </c>
      <c r="D373" s="15">
        <f>IF($A373="","",IFERROR(INDEX(tblMotor[KararSatir],MATCH($A373,tblMotor[A_Norm],0)),""))</f>
        <v/>
      </c>
      <c r="E373" s="15">
        <f>IF($A373="","",IF(OR($D373="DESİ DÜŞÜR",$D373="TAŞIYICI DEĞİŞTİR"),"YUKSEK","NORMAL"))</f>
        <v/>
      </c>
      <c r="F373" s="15">
        <f>IF($A373="","",_xlfn.TEXTJOIN(" ",TRUE,"Sipariş",$A373,"karar",$D373,"toplam",TEXT($B373,"0.00"),"tasarruf",TEXT($C373,"0.00"),"TL"))</f>
        <v/>
      </c>
    </row>
    <row r="374">
      <c r="A374" s="15">
        <f>IF('ESLESTIRME'!$A374="","",IF('ESLESTIRME'!$G374="tutar_farki",'ESLESTIRME'!$A374,""))</f>
        <v/>
      </c>
      <c r="B374" s="15">
        <f>IF($A374="","",IFERROR(SUMIF(tblMotor[A_Norm],$A374,tblMotor[SiparisToplam]),0))</f>
        <v/>
      </c>
      <c r="C374" s="15">
        <f>IF($A374="","",IFERROR(SUMIF(tblMotor[A_Norm],$A374,tblMotor[Tasarruf]),0))</f>
        <v/>
      </c>
      <c r="D374" s="15">
        <f>IF($A374="","",IFERROR(INDEX(tblMotor[KararSatir],MATCH($A374,tblMotor[A_Norm],0)),""))</f>
        <v/>
      </c>
      <c r="E374" s="15">
        <f>IF($A374="","",IF(OR($D374="DESİ DÜŞÜR",$D374="TAŞIYICI DEĞİŞTİR"),"YUKSEK","NORMAL"))</f>
        <v/>
      </c>
      <c r="F374" s="15">
        <f>IF($A374="","",_xlfn.TEXTJOIN(" ",TRUE,"Sipariş",$A374,"karar",$D374,"toplam",TEXT($B374,"0.00"),"tasarruf",TEXT($C374,"0.00"),"TL"))</f>
        <v/>
      </c>
    </row>
    <row r="375">
      <c r="A375" s="15">
        <f>IF('ESLESTIRME'!$A375="","",IF('ESLESTIRME'!$G375="tutar_farki",'ESLESTIRME'!$A375,""))</f>
        <v/>
      </c>
      <c r="B375" s="15">
        <f>IF($A375="","",IFERROR(SUMIF(tblMotor[A_Norm],$A375,tblMotor[SiparisToplam]),0))</f>
        <v/>
      </c>
      <c r="C375" s="15">
        <f>IF($A375="","",IFERROR(SUMIF(tblMotor[A_Norm],$A375,tblMotor[Tasarruf]),0))</f>
        <v/>
      </c>
      <c r="D375" s="15">
        <f>IF($A375="","",IFERROR(INDEX(tblMotor[KararSatir],MATCH($A375,tblMotor[A_Norm],0)),""))</f>
        <v/>
      </c>
      <c r="E375" s="15">
        <f>IF($A375="","",IF(OR($D375="DESİ DÜŞÜR",$D375="TAŞIYICI DEĞİŞTİR"),"YUKSEK","NORMAL"))</f>
        <v/>
      </c>
      <c r="F375" s="15">
        <f>IF($A375="","",_xlfn.TEXTJOIN(" ",TRUE,"Sipariş",$A375,"karar",$D375,"toplam",TEXT($B375,"0.00"),"tasarruf",TEXT($C375,"0.00"),"TL"))</f>
        <v/>
      </c>
    </row>
    <row r="376">
      <c r="A376" s="15">
        <f>IF('ESLESTIRME'!$A376="","",IF('ESLESTIRME'!$G376="tutar_farki",'ESLESTIRME'!$A376,""))</f>
        <v/>
      </c>
      <c r="B376" s="15">
        <f>IF($A376="","",IFERROR(SUMIF(tblMotor[A_Norm],$A376,tblMotor[SiparisToplam]),0))</f>
        <v/>
      </c>
      <c r="C376" s="15">
        <f>IF($A376="","",IFERROR(SUMIF(tblMotor[A_Norm],$A376,tblMotor[Tasarruf]),0))</f>
        <v/>
      </c>
      <c r="D376" s="15">
        <f>IF($A376="","",IFERROR(INDEX(tblMotor[KararSatir],MATCH($A376,tblMotor[A_Norm],0)),""))</f>
        <v/>
      </c>
      <c r="E376" s="15">
        <f>IF($A376="","",IF(OR($D376="DESİ DÜŞÜR",$D376="TAŞIYICI DEĞİŞTİR"),"YUKSEK","NORMAL"))</f>
        <v/>
      </c>
      <c r="F376" s="15">
        <f>IF($A376="","",_xlfn.TEXTJOIN(" ",TRUE,"Sipariş",$A376,"karar",$D376,"toplam",TEXT($B376,"0.00"),"tasarruf",TEXT($C376,"0.00"),"TL"))</f>
        <v/>
      </c>
    </row>
    <row r="377">
      <c r="A377" s="15">
        <f>IF('ESLESTIRME'!$A377="","",IF('ESLESTIRME'!$G377="tutar_farki",'ESLESTIRME'!$A377,""))</f>
        <v/>
      </c>
      <c r="B377" s="15">
        <f>IF($A377="","",IFERROR(SUMIF(tblMotor[A_Norm],$A377,tblMotor[SiparisToplam]),0))</f>
        <v/>
      </c>
      <c r="C377" s="15">
        <f>IF($A377="","",IFERROR(SUMIF(tblMotor[A_Norm],$A377,tblMotor[Tasarruf]),0))</f>
        <v/>
      </c>
      <c r="D377" s="15">
        <f>IF($A377="","",IFERROR(INDEX(tblMotor[KararSatir],MATCH($A377,tblMotor[A_Norm],0)),""))</f>
        <v/>
      </c>
      <c r="E377" s="15">
        <f>IF($A377="","",IF(OR($D377="DESİ DÜŞÜR",$D377="TAŞIYICI DEĞİŞTİR"),"YUKSEK","NORMAL"))</f>
        <v/>
      </c>
      <c r="F377" s="15">
        <f>IF($A377="","",_xlfn.TEXTJOIN(" ",TRUE,"Sipariş",$A377,"karar",$D377,"toplam",TEXT($B377,"0.00"),"tasarruf",TEXT($C377,"0.00"),"TL"))</f>
        <v/>
      </c>
    </row>
    <row r="378">
      <c r="A378" s="15">
        <f>IF('ESLESTIRME'!$A378="","",IF('ESLESTIRME'!$G378="tutar_farki",'ESLESTIRME'!$A378,""))</f>
        <v/>
      </c>
      <c r="B378" s="15">
        <f>IF($A378="","",IFERROR(SUMIF(tblMotor[A_Norm],$A378,tblMotor[SiparisToplam]),0))</f>
        <v/>
      </c>
      <c r="C378" s="15">
        <f>IF($A378="","",IFERROR(SUMIF(tblMotor[A_Norm],$A378,tblMotor[Tasarruf]),0))</f>
        <v/>
      </c>
      <c r="D378" s="15">
        <f>IF($A378="","",IFERROR(INDEX(tblMotor[KararSatir],MATCH($A378,tblMotor[A_Norm],0)),""))</f>
        <v/>
      </c>
      <c r="E378" s="15">
        <f>IF($A378="","",IF(OR($D378="DESİ DÜŞÜR",$D378="TAŞIYICI DEĞİŞTİR"),"YUKSEK","NORMAL"))</f>
        <v/>
      </c>
      <c r="F378" s="15">
        <f>IF($A378="","",_xlfn.TEXTJOIN(" ",TRUE,"Sipariş",$A378,"karar",$D378,"toplam",TEXT($B378,"0.00"),"tasarruf",TEXT($C378,"0.00"),"TL"))</f>
        <v/>
      </c>
    </row>
    <row r="379">
      <c r="A379" s="15">
        <f>IF('ESLESTIRME'!$A379="","",IF('ESLESTIRME'!$G379="tutar_farki",'ESLESTIRME'!$A379,""))</f>
        <v/>
      </c>
      <c r="B379" s="15">
        <f>IF($A379="","",IFERROR(SUMIF(tblMotor[A_Norm],$A379,tblMotor[SiparisToplam]),0))</f>
        <v/>
      </c>
      <c r="C379" s="15">
        <f>IF($A379="","",IFERROR(SUMIF(tblMotor[A_Norm],$A379,tblMotor[Tasarruf]),0))</f>
        <v/>
      </c>
      <c r="D379" s="15">
        <f>IF($A379="","",IFERROR(INDEX(tblMotor[KararSatir],MATCH($A379,tblMotor[A_Norm],0)),""))</f>
        <v/>
      </c>
      <c r="E379" s="15">
        <f>IF($A379="","",IF(OR($D379="DESİ DÜŞÜR",$D379="TAŞIYICI DEĞİŞTİR"),"YUKSEK","NORMAL"))</f>
        <v/>
      </c>
      <c r="F379" s="15">
        <f>IF($A379="","",_xlfn.TEXTJOIN(" ",TRUE,"Sipariş",$A379,"karar",$D379,"toplam",TEXT($B379,"0.00"),"tasarruf",TEXT($C379,"0.00"),"TL"))</f>
        <v/>
      </c>
    </row>
    <row r="380">
      <c r="A380" s="15">
        <f>IF('ESLESTIRME'!$A380="","",IF('ESLESTIRME'!$G380="tutar_farki",'ESLESTIRME'!$A380,""))</f>
        <v/>
      </c>
      <c r="B380" s="15">
        <f>IF($A380="","",IFERROR(SUMIF(tblMotor[A_Norm],$A380,tblMotor[SiparisToplam]),0))</f>
        <v/>
      </c>
      <c r="C380" s="15">
        <f>IF($A380="","",IFERROR(SUMIF(tblMotor[A_Norm],$A380,tblMotor[Tasarruf]),0))</f>
        <v/>
      </c>
      <c r="D380" s="15">
        <f>IF($A380="","",IFERROR(INDEX(tblMotor[KararSatir],MATCH($A380,tblMotor[A_Norm],0)),""))</f>
        <v/>
      </c>
      <c r="E380" s="15">
        <f>IF($A380="","",IF(OR($D380="DESİ DÜŞÜR",$D380="TAŞIYICI DEĞİŞTİR"),"YUKSEK","NORMAL"))</f>
        <v/>
      </c>
      <c r="F380" s="15">
        <f>IF($A380="","",_xlfn.TEXTJOIN(" ",TRUE,"Sipariş",$A380,"karar",$D380,"toplam",TEXT($B380,"0.00"),"tasarruf",TEXT($C380,"0.00"),"TL"))</f>
        <v/>
      </c>
    </row>
    <row r="381">
      <c r="A381" s="15">
        <f>IF('ESLESTIRME'!$A381="","",IF('ESLESTIRME'!$G381="tutar_farki",'ESLESTIRME'!$A381,""))</f>
        <v/>
      </c>
      <c r="B381" s="15">
        <f>IF($A381="","",IFERROR(SUMIF(tblMotor[A_Norm],$A381,tblMotor[SiparisToplam]),0))</f>
        <v/>
      </c>
      <c r="C381" s="15">
        <f>IF($A381="","",IFERROR(SUMIF(tblMotor[A_Norm],$A381,tblMotor[Tasarruf]),0))</f>
        <v/>
      </c>
      <c r="D381" s="15">
        <f>IF($A381="","",IFERROR(INDEX(tblMotor[KararSatir],MATCH($A381,tblMotor[A_Norm],0)),""))</f>
        <v/>
      </c>
      <c r="E381" s="15">
        <f>IF($A381="","",IF(OR($D381="DESİ DÜŞÜR",$D381="TAŞIYICI DEĞİŞTİR"),"YUKSEK","NORMAL"))</f>
        <v/>
      </c>
      <c r="F381" s="15">
        <f>IF($A381="","",_xlfn.TEXTJOIN(" ",TRUE,"Sipariş",$A381,"karar",$D381,"toplam",TEXT($B381,"0.00"),"tasarruf",TEXT($C381,"0.00"),"TL"))</f>
        <v/>
      </c>
    </row>
    <row r="382">
      <c r="A382" s="15">
        <f>IF('ESLESTIRME'!$A382="","",IF('ESLESTIRME'!$G382="tutar_farki",'ESLESTIRME'!$A382,""))</f>
        <v/>
      </c>
      <c r="B382" s="15">
        <f>IF($A382="","",IFERROR(SUMIF(tblMotor[A_Norm],$A382,tblMotor[SiparisToplam]),0))</f>
        <v/>
      </c>
      <c r="C382" s="15">
        <f>IF($A382="","",IFERROR(SUMIF(tblMotor[A_Norm],$A382,tblMotor[Tasarruf]),0))</f>
        <v/>
      </c>
      <c r="D382" s="15">
        <f>IF($A382="","",IFERROR(INDEX(tblMotor[KararSatir],MATCH($A382,tblMotor[A_Norm],0)),""))</f>
        <v/>
      </c>
      <c r="E382" s="15">
        <f>IF($A382="","",IF(OR($D382="DESİ DÜŞÜR",$D382="TAŞIYICI DEĞİŞTİR"),"YUKSEK","NORMAL"))</f>
        <v/>
      </c>
      <c r="F382" s="15">
        <f>IF($A382="","",_xlfn.TEXTJOIN(" ",TRUE,"Sipariş",$A382,"karar",$D382,"toplam",TEXT($B382,"0.00"),"tasarruf",TEXT($C382,"0.00"),"TL"))</f>
        <v/>
      </c>
    </row>
    <row r="383">
      <c r="A383" s="15">
        <f>IF('ESLESTIRME'!$A383="","",IF('ESLESTIRME'!$G383="tutar_farki",'ESLESTIRME'!$A383,""))</f>
        <v/>
      </c>
      <c r="B383" s="15">
        <f>IF($A383="","",IFERROR(SUMIF(tblMotor[A_Norm],$A383,tblMotor[SiparisToplam]),0))</f>
        <v/>
      </c>
      <c r="C383" s="15">
        <f>IF($A383="","",IFERROR(SUMIF(tblMotor[A_Norm],$A383,tblMotor[Tasarruf]),0))</f>
        <v/>
      </c>
      <c r="D383" s="15">
        <f>IF($A383="","",IFERROR(INDEX(tblMotor[KararSatir],MATCH($A383,tblMotor[A_Norm],0)),""))</f>
        <v/>
      </c>
      <c r="E383" s="15">
        <f>IF($A383="","",IF(OR($D383="DESİ DÜŞÜR",$D383="TAŞIYICI DEĞİŞTİR"),"YUKSEK","NORMAL"))</f>
        <v/>
      </c>
      <c r="F383" s="15">
        <f>IF($A383="","",_xlfn.TEXTJOIN(" ",TRUE,"Sipariş",$A383,"karar",$D383,"toplam",TEXT($B383,"0.00"),"tasarruf",TEXT($C383,"0.00"),"TL"))</f>
        <v/>
      </c>
    </row>
    <row r="384">
      <c r="A384" s="15">
        <f>IF('ESLESTIRME'!$A384="","",IF('ESLESTIRME'!$G384="tutar_farki",'ESLESTIRME'!$A384,""))</f>
        <v/>
      </c>
      <c r="B384" s="15">
        <f>IF($A384="","",IFERROR(SUMIF(tblMotor[A_Norm],$A384,tblMotor[SiparisToplam]),0))</f>
        <v/>
      </c>
      <c r="C384" s="15">
        <f>IF($A384="","",IFERROR(SUMIF(tblMotor[A_Norm],$A384,tblMotor[Tasarruf]),0))</f>
        <v/>
      </c>
      <c r="D384" s="15">
        <f>IF($A384="","",IFERROR(INDEX(tblMotor[KararSatir],MATCH($A384,tblMotor[A_Norm],0)),""))</f>
        <v/>
      </c>
      <c r="E384" s="15">
        <f>IF($A384="","",IF(OR($D384="DESİ DÜŞÜR",$D384="TAŞIYICI DEĞİŞTİR"),"YUKSEK","NORMAL"))</f>
        <v/>
      </c>
      <c r="F384" s="15">
        <f>IF($A384="","",_xlfn.TEXTJOIN(" ",TRUE,"Sipariş",$A384,"karar",$D384,"toplam",TEXT($B384,"0.00"),"tasarruf",TEXT($C384,"0.00"),"TL"))</f>
        <v/>
      </c>
    </row>
    <row r="385">
      <c r="A385" s="15">
        <f>IF('ESLESTIRME'!$A385="","",IF('ESLESTIRME'!$G385="tutar_farki",'ESLESTIRME'!$A385,""))</f>
        <v/>
      </c>
      <c r="B385" s="15">
        <f>IF($A385="","",IFERROR(SUMIF(tblMotor[A_Norm],$A385,tblMotor[SiparisToplam]),0))</f>
        <v/>
      </c>
      <c r="C385" s="15">
        <f>IF($A385="","",IFERROR(SUMIF(tblMotor[A_Norm],$A385,tblMotor[Tasarruf]),0))</f>
        <v/>
      </c>
      <c r="D385" s="15">
        <f>IF($A385="","",IFERROR(INDEX(tblMotor[KararSatir],MATCH($A385,tblMotor[A_Norm],0)),""))</f>
        <v/>
      </c>
      <c r="E385" s="15">
        <f>IF($A385="","",IF(OR($D385="DESİ DÜŞÜR",$D385="TAŞIYICI DEĞİŞTİR"),"YUKSEK","NORMAL"))</f>
        <v/>
      </c>
      <c r="F385" s="15">
        <f>IF($A385="","",_xlfn.TEXTJOIN(" ",TRUE,"Sipariş",$A385,"karar",$D385,"toplam",TEXT($B385,"0.00"),"tasarruf",TEXT($C385,"0.00"),"TL"))</f>
        <v/>
      </c>
    </row>
    <row r="386">
      <c r="A386" s="15">
        <f>IF('ESLESTIRME'!$A386="","",IF('ESLESTIRME'!$G386="tutar_farki",'ESLESTIRME'!$A386,""))</f>
        <v/>
      </c>
      <c r="B386" s="15">
        <f>IF($A386="","",IFERROR(SUMIF(tblMotor[A_Norm],$A386,tblMotor[SiparisToplam]),0))</f>
        <v/>
      </c>
      <c r="C386" s="15">
        <f>IF($A386="","",IFERROR(SUMIF(tblMotor[A_Norm],$A386,tblMotor[Tasarruf]),0))</f>
        <v/>
      </c>
      <c r="D386" s="15">
        <f>IF($A386="","",IFERROR(INDEX(tblMotor[KararSatir],MATCH($A386,tblMotor[A_Norm],0)),""))</f>
        <v/>
      </c>
      <c r="E386" s="15">
        <f>IF($A386="","",IF(OR($D386="DESİ DÜŞÜR",$D386="TAŞIYICI DEĞİŞTİR"),"YUKSEK","NORMAL"))</f>
        <v/>
      </c>
      <c r="F386" s="15">
        <f>IF($A386="","",_xlfn.TEXTJOIN(" ",TRUE,"Sipariş",$A386,"karar",$D386,"toplam",TEXT($B386,"0.00"),"tasarruf",TEXT($C386,"0.00"),"TL"))</f>
        <v/>
      </c>
    </row>
    <row r="387">
      <c r="A387" s="15">
        <f>IF('ESLESTIRME'!$A387="","",IF('ESLESTIRME'!$G387="tutar_farki",'ESLESTIRME'!$A387,""))</f>
        <v/>
      </c>
      <c r="B387" s="15">
        <f>IF($A387="","",IFERROR(SUMIF(tblMotor[A_Norm],$A387,tblMotor[SiparisToplam]),0))</f>
        <v/>
      </c>
      <c r="C387" s="15">
        <f>IF($A387="","",IFERROR(SUMIF(tblMotor[A_Norm],$A387,tblMotor[Tasarruf]),0))</f>
        <v/>
      </c>
      <c r="D387" s="15">
        <f>IF($A387="","",IFERROR(INDEX(tblMotor[KararSatir],MATCH($A387,tblMotor[A_Norm],0)),""))</f>
        <v/>
      </c>
      <c r="E387" s="15">
        <f>IF($A387="","",IF(OR($D387="DESİ DÜŞÜR",$D387="TAŞIYICI DEĞİŞTİR"),"YUKSEK","NORMAL"))</f>
        <v/>
      </c>
      <c r="F387" s="15">
        <f>IF($A387="","",_xlfn.TEXTJOIN(" ",TRUE,"Sipariş",$A387,"karar",$D387,"toplam",TEXT($B387,"0.00"),"tasarruf",TEXT($C387,"0.00"),"TL"))</f>
        <v/>
      </c>
    </row>
    <row r="388">
      <c r="A388" s="15">
        <f>IF('ESLESTIRME'!$A388="","",IF('ESLESTIRME'!$G388="tutar_farki",'ESLESTIRME'!$A388,""))</f>
        <v/>
      </c>
      <c r="B388" s="15">
        <f>IF($A388="","",IFERROR(SUMIF(tblMotor[A_Norm],$A388,tblMotor[SiparisToplam]),0))</f>
        <v/>
      </c>
      <c r="C388" s="15">
        <f>IF($A388="","",IFERROR(SUMIF(tblMotor[A_Norm],$A388,tblMotor[Tasarruf]),0))</f>
        <v/>
      </c>
      <c r="D388" s="15">
        <f>IF($A388="","",IFERROR(INDEX(tblMotor[KararSatir],MATCH($A388,tblMotor[A_Norm],0)),""))</f>
        <v/>
      </c>
      <c r="E388" s="15">
        <f>IF($A388="","",IF(OR($D388="DESİ DÜŞÜR",$D388="TAŞIYICI DEĞİŞTİR"),"YUKSEK","NORMAL"))</f>
        <v/>
      </c>
      <c r="F388" s="15">
        <f>IF($A388="","",_xlfn.TEXTJOIN(" ",TRUE,"Sipariş",$A388,"karar",$D388,"toplam",TEXT($B388,"0.00"),"tasarruf",TEXT($C388,"0.00"),"TL"))</f>
        <v/>
      </c>
    </row>
    <row r="389">
      <c r="A389" s="15">
        <f>IF('ESLESTIRME'!$A389="","",IF('ESLESTIRME'!$G389="tutar_farki",'ESLESTIRME'!$A389,""))</f>
        <v/>
      </c>
      <c r="B389" s="15">
        <f>IF($A389="","",IFERROR(SUMIF(tblMotor[A_Norm],$A389,tblMotor[SiparisToplam]),0))</f>
        <v/>
      </c>
      <c r="C389" s="15">
        <f>IF($A389="","",IFERROR(SUMIF(tblMotor[A_Norm],$A389,tblMotor[Tasarruf]),0))</f>
        <v/>
      </c>
      <c r="D389" s="15">
        <f>IF($A389="","",IFERROR(INDEX(tblMotor[KararSatir],MATCH($A389,tblMotor[A_Norm],0)),""))</f>
        <v/>
      </c>
      <c r="E389" s="15">
        <f>IF($A389="","",IF(OR($D389="DESİ DÜŞÜR",$D389="TAŞIYICI DEĞİŞTİR"),"YUKSEK","NORMAL"))</f>
        <v/>
      </c>
      <c r="F389" s="15">
        <f>IF($A389="","",_xlfn.TEXTJOIN(" ",TRUE,"Sipariş",$A389,"karar",$D389,"toplam",TEXT($B389,"0.00"),"tasarruf",TEXT($C389,"0.00"),"TL"))</f>
        <v/>
      </c>
    </row>
    <row r="390">
      <c r="A390" s="15">
        <f>IF('ESLESTIRME'!$A390="","",IF('ESLESTIRME'!$G390="tutar_farki",'ESLESTIRME'!$A390,""))</f>
        <v/>
      </c>
      <c r="B390" s="15">
        <f>IF($A390="","",IFERROR(SUMIF(tblMotor[A_Norm],$A390,tblMotor[SiparisToplam]),0))</f>
        <v/>
      </c>
      <c r="C390" s="15">
        <f>IF($A390="","",IFERROR(SUMIF(tblMotor[A_Norm],$A390,tblMotor[Tasarruf]),0))</f>
        <v/>
      </c>
      <c r="D390" s="15">
        <f>IF($A390="","",IFERROR(INDEX(tblMotor[KararSatir],MATCH($A390,tblMotor[A_Norm],0)),""))</f>
        <v/>
      </c>
      <c r="E390" s="15">
        <f>IF($A390="","",IF(OR($D390="DESİ DÜŞÜR",$D390="TAŞIYICI DEĞİŞTİR"),"YUKSEK","NORMAL"))</f>
        <v/>
      </c>
      <c r="F390" s="15">
        <f>IF($A390="","",_xlfn.TEXTJOIN(" ",TRUE,"Sipariş",$A390,"karar",$D390,"toplam",TEXT($B390,"0.00"),"tasarruf",TEXT($C390,"0.00"),"TL"))</f>
        <v/>
      </c>
    </row>
    <row r="391">
      <c r="A391" s="15">
        <f>IF('ESLESTIRME'!$A391="","",IF('ESLESTIRME'!$G391="tutar_farki",'ESLESTIRME'!$A391,""))</f>
        <v/>
      </c>
      <c r="B391" s="15">
        <f>IF($A391="","",IFERROR(SUMIF(tblMotor[A_Norm],$A391,tblMotor[SiparisToplam]),0))</f>
        <v/>
      </c>
      <c r="C391" s="15">
        <f>IF($A391="","",IFERROR(SUMIF(tblMotor[A_Norm],$A391,tblMotor[Tasarruf]),0))</f>
        <v/>
      </c>
      <c r="D391" s="15">
        <f>IF($A391="","",IFERROR(INDEX(tblMotor[KararSatir],MATCH($A391,tblMotor[A_Norm],0)),""))</f>
        <v/>
      </c>
      <c r="E391" s="15">
        <f>IF($A391="","",IF(OR($D391="DESİ DÜŞÜR",$D391="TAŞIYICI DEĞİŞTİR"),"YUKSEK","NORMAL"))</f>
        <v/>
      </c>
      <c r="F391" s="15">
        <f>IF($A391="","",_xlfn.TEXTJOIN(" ",TRUE,"Sipariş",$A391,"karar",$D391,"toplam",TEXT($B391,"0.00"),"tasarruf",TEXT($C391,"0.00"),"TL"))</f>
        <v/>
      </c>
    </row>
    <row r="392">
      <c r="A392" s="15">
        <f>IF('ESLESTIRME'!$A392="","",IF('ESLESTIRME'!$G392="tutar_farki",'ESLESTIRME'!$A392,""))</f>
        <v/>
      </c>
      <c r="B392" s="15">
        <f>IF($A392="","",IFERROR(SUMIF(tblMotor[A_Norm],$A392,tblMotor[SiparisToplam]),0))</f>
        <v/>
      </c>
      <c r="C392" s="15">
        <f>IF($A392="","",IFERROR(SUMIF(tblMotor[A_Norm],$A392,tblMotor[Tasarruf]),0))</f>
        <v/>
      </c>
      <c r="D392" s="15">
        <f>IF($A392="","",IFERROR(INDEX(tblMotor[KararSatir],MATCH($A392,tblMotor[A_Norm],0)),""))</f>
        <v/>
      </c>
      <c r="E392" s="15">
        <f>IF($A392="","",IF(OR($D392="DESİ DÜŞÜR",$D392="TAŞIYICI DEĞİŞTİR"),"YUKSEK","NORMAL"))</f>
        <v/>
      </c>
      <c r="F392" s="15">
        <f>IF($A392="","",_xlfn.TEXTJOIN(" ",TRUE,"Sipariş",$A392,"karar",$D392,"toplam",TEXT($B392,"0.00"),"tasarruf",TEXT($C392,"0.00"),"TL"))</f>
        <v/>
      </c>
    </row>
    <row r="393">
      <c r="A393" s="15">
        <f>IF('ESLESTIRME'!$A393="","",IF('ESLESTIRME'!$G393="tutar_farki",'ESLESTIRME'!$A393,""))</f>
        <v/>
      </c>
      <c r="B393" s="15">
        <f>IF($A393="","",IFERROR(SUMIF(tblMotor[A_Norm],$A393,tblMotor[SiparisToplam]),0))</f>
        <v/>
      </c>
      <c r="C393" s="15">
        <f>IF($A393="","",IFERROR(SUMIF(tblMotor[A_Norm],$A393,tblMotor[Tasarruf]),0))</f>
        <v/>
      </c>
      <c r="D393" s="15">
        <f>IF($A393="","",IFERROR(INDEX(tblMotor[KararSatir],MATCH($A393,tblMotor[A_Norm],0)),""))</f>
        <v/>
      </c>
      <c r="E393" s="15">
        <f>IF($A393="","",IF(OR($D393="DESİ DÜŞÜR",$D393="TAŞIYICI DEĞİŞTİR"),"YUKSEK","NORMAL"))</f>
        <v/>
      </c>
      <c r="F393" s="15">
        <f>IF($A393="","",_xlfn.TEXTJOIN(" ",TRUE,"Sipariş",$A393,"karar",$D393,"toplam",TEXT($B393,"0.00"),"tasarruf",TEXT($C393,"0.00"),"TL"))</f>
        <v/>
      </c>
    </row>
    <row r="394">
      <c r="A394" s="15">
        <f>IF('ESLESTIRME'!$A394="","",IF('ESLESTIRME'!$G394="tutar_farki",'ESLESTIRME'!$A394,""))</f>
        <v/>
      </c>
      <c r="B394" s="15">
        <f>IF($A394="","",IFERROR(SUMIF(tblMotor[A_Norm],$A394,tblMotor[SiparisToplam]),0))</f>
        <v/>
      </c>
      <c r="C394" s="15">
        <f>IF($A394="","",IFERROR(SUMIF(tblMotor[A_Norm],$A394,tblMotor[Tasarruf]),0))</f>
        <v/>
      </c>
      <c r="D394" s="15">
        <f>IF($A394="","",IFERROR(INDEX(tblMotor[KararSatir],MATCH($A394,tblMotor[A_Norm],0)),""))</f>
        <v/>
      </c>
      <c r="E394" s="15">
        <f>IF($A394="","",IF(OR($D394="DESİ DÜŞÜR",$D394="TAŞIYICI DEĞİŞTİR"),"YUKSEK","NORMAL"))</f>
        <v/>
      </c>
      <c r="F394" s="15">
        <f>IF($A394="","",_xlfn.TEXTJOIN(" ",TRUE,"Sipariş",$A394,"karar",$D394,"toplam",TEXT($B394,"0.00"),"tasarruf",TEXT($C394,"0.00"),"TL"))</f>
        <v/>
      </c>
    </row>
    <row r="395">
      <c r="A395" s="15">
        <f>IF('ESLESTIRME'!$A395="","",IF('ESLESTIRME'!$G395="tutar_farki",'ESLESTIRME'!$A395,""))</f>
        <v/>
      </c>
      <c r="B395" s="15">
        <f>IF($A395="","",IFERROR(SUMIF(tblMotor[A_Norm],$A395,tblMotor[SiparisToplam]),0))</f>
        <v/>
      </c>
      <c r="C395" s="15">
        <f>IF($A395="","",IFERROR(SUMIF(tblMotor[A_Norm],$A395,tblMotor[Tasarruf]),0))</f>
        <v/>
      </c>
      <c r="D395" s="15">
        <f>IF($A395="","",IFERROR(INDEX(tblMotor[KararSatir],MATCH($A395,tblMotor[A_Norm],0)),""))</f>
        <v/>
      </c>
      <c r="E395" s="15">
        <f>IF($A395="","",IF(OR($D395="DESİ DÜŞÜR",$D395="TAŞIYICI DEĞİŞTİR"),"YUKSEK","NORMAL"))</f>
        <v/>
      </c>
      <c r="F395" s="15">
        <f>IF($A395="","",_xlfn.TEXTJOIN(" ",TRUE,"Sipariş",$A395,"karar",$D395,"toplam",TEXT($B395,"0.00"),"tasarruf",TEXT($C395,"0.00"),"TL"))</f>
        <v/>
      </c>
    </row>
    <row r="396">
      <c r="A396" s="15">
        <f>IF('ESLESTIRME'!$A396="","",IF('ESLESTIRME'!$G396="tutar_farki",'ESLESTIRME'!$A396,""))</f>
        <v/>
      </c>
      <c r="B396" s="15">
        <f>IF($A396="","",IFERROR(SUMIF(tblMotor[A_Norm],$A396,tblMotor[SiparisToplam]),0))</f>
        <v/>
      </c>
      <c r="C396" s="15">
        <f>IF($A396="","",IFERROR(SUMIF(tblMotor[A_Norm],$A396,tblMotor[Tasarruf]),0))</f>
        <v/>
      </c>
      <c r="D396" s="15">
        <f>IF($A396="","",IFERROR(INDEX(tblMotor[KararSatir],MATCH($A396,tblMotor[A_Norm],0)),""))</f>
        <v/>
      </c>
      <c r="E396" s="15">
        <f>IF($A396="","",IF(OR($D396="DESİ DÜŞÜR",$D396="TAŞIYICI DEĞİŞTİR"),"YUKSEK","NORMAL"))</f>
        <v/>
      </c>
      <c r="F396" s="15">
        <f>IF($A396="","",_xlfn.TEXTJOIN(" ",TRUE,"Sipariş",$A396,"karar",$D396,"toplam",TEXT($B396,"0.00"),"tasarruf",TEXT($C396,"0.00"),"TL"))</f>
        <v/>
      </c>
    </row>
    <row r="397">
      <c r="A397" s="15">
        <f>IF('ESLESTIRME'!$A397="","",IF('ESLESTIRME'!$G397="tutar_farki",'ESLESTIRME'!$A397,""))</f>
        <v/>
      </c>
      <c r="B397" s="15">
        <f>IF($A397="","",IFERROR(SUMIF(tblMotor[A_Norm],$A397,tblMotor[SiparisToplam]),0))</f>
        <v/>
      </c>
      <c r="C397" s="15">
        <f>IF($A397="","",IFERROR(SUMIF(tblMotor[A_Norm],$A397,tblMotor[Tasarruf]),0))</f>
        <v/>
      </c>
      <c r="D397" s="15">
        <f>IF($A397="","",IFERROR(INDEX(tblMotor[KararSatir],MATCH($A397,tblMotor[A_Norm],0)),""))</f>
        <v/>
      </c>
      <c r="E397" s="15">
        <f>IF($A397="","",IF(OR($D397="DESİ DÜŞÜR",$D397="TAŞIYICI DEĞİŞTİR"),"YUKSEK","NORMAL"))</f>
        <v/>
      </c>
      <c r="F397" s="15">
        <f>IF($A397="","",_xlfn.TEXTJOIN(" ",TRUE,"Sipariş",$A397,"karar",$D397,"toplam",TEXT($B397,"0.00"),"tasarruf",TEXT($C397,"0.00"),"TL"))</f>
        <v/>
      </c>
    </row>
    <row r="398">
      <c r="A398" s="15">
        <f>IF('ESLESTIRME'!$A398="","",IF('ESLESTIRME'!$G398="tutar_farki",'ESLESTIRME'!$A398,""))</f>
        <v/>
      </c>
      <c r="B398" s="15">
        <f>IF($A398="","",IFERROR(SUMIF(tblMotor[A_Norm],$A398,tblMotor[SiparisToplam]),0))</f>
        <v/>
      </c>
      <c r="C398" s="15">
        <f>IF($A398="","",IFERROR(SUMIF(tblMotor[A_Norm],$A398,tblMotor[Tasarruf]),0))</f>
        <v/>
      </c>
      <c r="D398" s="15">
        <f>IF($A398="","",IFERROR(INDEX(tblMotor[KararSatir],MATCH($A398,tblMotor[A_Norm],0)),""))</f>
        <v/>
      </c>
      <c r="E398" s="15">
        <f>IF($A398="","",IF(OR($D398="DESİ DÜŞÜR",$D398="TAŞIYICI DEĞİŞTİR"),"YUKSEK","NORMAL"))</f>
        <v/>
      </c>
      <c r="F398" s="15">
        <f>IF($A398="","",_xlfn.TEXTJOIN(" ",TRUE,"Sipariş",$A398,"karar",$D398,"toplam",TEXT($B398,"0.00"),"tasarruf",TEXT($C398,"0.00"),"TL"))</f>
        <v/>
      </c>
    </row>
    <row r="399">
      <c r="A399" s="15">
        <f>IF('ESLESTIRME'!$A399="","",IF('ESLESTIRME'!$G399="tutar_farki",'ESLESTIRME'!$A399,""))</f>
        <v/>
      </c>
      <c r="B399" s="15">
        <f>IF($A399="","",IFERROR(SUMIF(tblMotor[A_Norm],$A399,tblMotor[SiparisToplam]),0))</f>
        <v/>
      </c>
      <c r="C399" s="15">
        <f>IF($A399="","",IFERROR(SUMIF(tblMotor[A_Norm],$A399,tblMotor[Tasarruf]),0))</f>
        <v/>
      </c>
      <c r="D399" s="15">
        <f>IF($A399="","",IFERROR(INDEX(tblMotor[KararSatir],MATCH($A399,tblMotor[A_Norm],0)),""))</f>
        <v/>
      </c>
      <c r="E399" s="15">
        <f>IF($A399="","",IF(OR($D399="DESİ DÜŞÜR",$D399="TAŞIYICI DEĞİŞTİR"),"YUKSEK","NORMAL"))</f>
        <v/>
      </c>
      <c r="F399" s="15">
        <f>IF($A399="","",_xlfn.TEXTJOIN(" ",TRUE,"Sipariş",$A399,"karar",$D399,"toplam",TEXT($B399,"0.00"),"tasarruf",TEXT($C399,"0.00"),"TL"))</f>
        <v/>
      </c>
    </row>
    <row r="400">
      <c r="A400" s="15">
        <f>IF('ESLESTIRME'!$A400="","",IF('ESLESTIRME'!$G400="tutar_farki",'ESLESTIRME'!$A400,""))</f>
        <v/>
      </c>
      <c r="B400" s="15">
        <f>IF($A400="","",IFERROR(SUMIF(tblMotor[A_Norm],$A400,tblMotor[SiparisToplam]),0))</f>
        <v/>
      </c>
      <c r="C400" s="15">
        <f>IF($A400="","",IFERROR(SUMIF(tblMotor[A_Norm],$A400,tblMotor[Tasarruf]),0))</f>
        <v/>
      </c>
      <c r="D400" s="15">
        <f>IF($A400="","",IFERROR(INDEX(tblMotor[KararSatir],MATCH($A400,tblMotor[A_Norm],0)),""))</f>
        <v/>
      </c>
      <c r="E400" s="15">
        <f>IF($A400="","",IF(OR($D400="DESİ DÜŞÜR",$D400="TAŞIYICI DEĞİŞTİR"),"YUKSEK","NORMAL"))</f>
        <v/>
      </c>
      <c r="F400" s="15">
        <f>IF($A400="","",_xlfn.TEXTJOIN(" ",TRUE,"Sipariş",$A400,"karar",$D400,"toplam",TEXT($B400,"0.00"),"tasarruf",TEXT($C400,"0.00"),"TL"))</f>
        <v/>
      </c>
    </row>
    <row r="401">
      <c r="A401" s="15">
        <f>IF('ESLESTIRME'!$A401="","",IF('ESLESTIRME'!$G401="tutar_farki",'ESLESTIRME'!$A401,""))</f>
        <v/>
      </c>
      <c r="B401" s="15">
        <f>IF($A401="","",IFERROR(SUMIF(tblMotor[A_Norm],$A401,tblMotor[SiparisToplam]),0))</f>
        <v/>
      </c>
      <c r="C401" s="15">
        <f>IF($A401="","",IFERROR(SUMIF(tblMotor[A_Norm],$A401,tblMotor[Tasarruf]),0))</f>
        <v/>
      </c>
      <c r="D401" s="15">
        <f>IF($A401="","",IFERROR(INDEX(tblMotor[KararSatir],MATCH($A401,tblMotor[A_Norm],0)),""))</f>
        <v/>
      </c>
      <c r="E401" s="15">
        <f>IF($A401="","",IF(OR($D401="DESİ DÜŞÜR",$D401="TAŞIYICI DEĞİŞTİR"),"YUKSEK","NORMAL"))</f>
        <v/>
      </c>
      <c r="F401" s="15">
        <f>IF($A401="","",_xlfn.TEXTJOIN(" ",TRUE,"Sipariş",$A401,"karar",$D401,"toplam",TEXT($B401,"0.00"),"tasarruf",TEXT($C401,"0.00"),"TL"))</f>
        <v/>
      </c>
    </row>
    <row r="402">
      <c r="A402" s="15">
        <f>IF('ESLESTIRME'!$A402="","",IF('ESLESTIRME'!$G402="tutar_farki",'ESLESTIRME'!$A402,""))</f>
        <v/>
      </c>
      <c r="B402" s="15">
        <f>IF($A402="","",IFERROR(SUMIF(tblMotor[A_Norm],$A402,tblMotor[SiparisToplam]),0))</f>
        <v/>
      </c>
      <c r="C402" s="15">
        <f>IF($A402="","",IFERROR(SUMIF(tblMotor[A_Norm],$A402,tblMotor[Tasarruf]),0))</f>
        <v/>
      </c>
      <c r="D402" s="15">
        <f>IF($A402="","",IFERROR(INDEX(tblMotor[KararSatir],MATCH($A402,tblMotor[A_Norm],0)),""))</f>
        <v/>
      </c>
      <c r="E402" s="15">
        <f>IF($A402="","",IF(OR($D402="DESİ DÜŞÜR",$D402="TAŞIYICI DEĞİŞTİR"),"YUKSEK","NORMAL"))</f>
        <v/>
      </c>
      <c r="F402" s="15">
        <f>IF($A402="","",_xlfn.TEXTJOIN(" ",TRUE,"Sipariş",$A402,"karar",$D402,"toplam",TEXT($B402,"0.00"),"tasarruf",TEXT($C402,"0.00"),"TL"))</f>
        <v/>
      </c>
    </row>
    <row r="403">
      <c r="A403" s="15">
        <f>IF('ESLESTIRME'!$A403="","",IF('ESLESTIRME'!$G403="tutar_farki",'ESLESTIRME'!$A403,""))</f>
        <v/>
      </c>
      <c r="B403" s="15">
        <f>IF($A403="","",IFERROR(SUMIF(tblMotor[A_Norm],$A403,tblMotor[SiparisToplam]),0))</f>
        <v/>
      </c>
      <c r="C403" s="15">
        <f>IF($A403="","",IFERROR(SUMIF(tblMotor[A_Norm],$A403,tblMotor[Tasarruf]),0))</f>
        <v/>
      </c>
      <c r="D403" s="15">
        <f>IF($A403="","",IFERROR(INDEX(tblMotor[KararSatir],MATCH($A403,tblMotor[A_Norm],0)),""))</f>
        <v/>
      </c>
      <c r="E403" s="15">
        <f>IF($A403="","",IF(OR($D403="DESİ DÜŞÜR",$D403="TAŞIYICI DEĞİŞTİR"),"YUKSEK","NORMAL"))</f>
        <v/>
      </c>
      <c r="F403" s="15">
        <f>IF($A403="","",_xlfn.TEXTJOIN(" ",TRUE,"Sipariş",$A403,"karar",$D403,"toplam",TEXT($B403,"0.00"),"tasarruf",TEXT($C403,"0.00"),"TL"))</f>
        <v/>
      </c>
    </row>
    <row r="404">
      <c r="A404" s="15">
        <f>IF('ESLESTIRME'!$A404="","",IF('ESLESTIRME'!$G404="tutar_farki",'ESLESTIRME'!$A404,""))</f>
        <v/>
      </c>
      <c r="B404" s="15">
        <f>IF($A404="","",IFERROR(SUMIF(tblMotor[A_Norm],$A404,tblMotor[SiparisToplam]),0))</f>
        <v/>
      </c>
      <c r="C404" s="15">
        <f>IF($A404="","",IFERROR(SUMIF(tblMotor[A_Norm],$A404,tblMotor[Tasarruf]),0))</f>
        <v/>
      </c>
      <c r="D404" s="15">
        <f>IF($A404="","",IFERROR(INDEX(tblMotor[KararSatir],MATCH($A404,tblMotor[A_Norm],0)),""))</f>
        <v/>
      </c>
      <c r="E404" s="15">
        <f>IF($A404="","",IF(OR($D404="DESİ DÜŞÜR",$D404="TAŞIYICI DEĞİŞTİR"),"YUKSEK","NORMAL"))</f>
        <v/>
      </c>
      <c r="F404" s="15">
        <f>IF($A404="","",_xlfn.TEXTJOIN(" ",TRUE,"Sipariş",$A404,"karar",$D404,"toplam",TEXT($B404,"0.00"),"tasarruf",TEXT($C404,"0.00"),"TL"))</f>
        <v/>
      </c>
    </row>
    <row r="405">
      <c r="A405" s="15">
        <f>IF('ESLESTIRME'!$A405="","",IF('ESLESTIRME'!$G405="tutar_farki",'ESLESTIRME'!$A405,""))</f>
        <v/>
      </c>
      <c r="B405" s="15">
        <f>IF($A405="","",IFERROR(SUMIF(tblMotor[A_Norm],$A405,tblMotor[SiparisToplam]),0))</f>
        <v/>
      </c>
      <c r="C405" s="15">
        <f>IF($A405="","",IFERROR(SUMIF(tblMotor[A_Norm],$A405,tblMotor[Tasarruf]),0))</f>
        <v/>
      </c>
      <c r="D405" s="15">
        <f>IF($A405="","",IFERROR(INDEX(tblMotor[KararSatir],MATCH($A405,tblMotor[A_Norm],0)),""))</f>
        <v/>
      </c>
      <c r="E405" s="15">
        <f>IF($A405="","",IF(OR($D405="DESİ DÜŞÜR",$D405="TAŞIYICI DEĞİŞTİR"),"YUKSEK","NORMAL"))</f>
        <v/>
      </c>
      <c r="F405" s="15">
        <f>IF($A405="","",_xlfn.TEXTJOIN(" ",TRUE,"Sipariş",$A405,"karar",$D405,"toplam",TEXT($B405,"0.00"),"tasarruf",TEXT($C405,"0.00"),"TL"))</f>
        <v/>
      </c>
    </row>
    <row r="406">
      <c r="A406" s="15">
        <f>IF('ESLESTIRME'!$A406="","",IF('ESLESTIRME'!$G406="tutar_farki",'ESLESTIRME'!$A406,""))</f>
        <v/>
      </c>
      <c r="B406" s="15">
        <f>IF($A406="","",IFERROR(SUMIF(tblMotor[A_Norm],$A406,tblMotor[SiparisToplam]),0))</f>
        <v/>
      </c>
      <c r="C406" s="15">
        <f>IF($A406="","",IFERROR(SUMIF(tblMotor[A_Norm],$A406,tblMotor[Tasarruf]),0))</f>
        <v/>
      </c>
      <c r="D406" s="15">
        <f>IF($A406="","",IFERROR(INDEX(tblMotor[KararSatir],MATCH($A406,tblMotor[A_Norm],0)),""))</f>
        <v/>
      </c>
      <c r="E406" s="15">
        <f>IF($A406="","",IF(OR($D406="DESİ DÜŞÜR",$D406="TAŞIYICI DEĞİŞTİR"),"YUKSEK","NORMAL"))</f>
        <v/>
      </c>
      <c r="F406" s="15">
        <f>IF($A406="","",_xlfn.TEXTJOIN(" ",TRUE,"Sipariş",$A406,"karar",$D406,"toplam",TEXT($B406,"0.00"),"tasarruf",TEXT($C406,"0.00"),"TL"))</f>
        <v/>
      </c>
    </row>
    <row r="407">
      <c r="A407" s="15">
        <f>IF('ESLESTIRME'!$A407="","",IF('ESLESTIRME'!$G407="tutar_farki",'ESLESTIRME'!$A407,""))</f>
        <v/>
      </c>
      <c r="B407" s="15">
        <f>IF($A407="","",IFERROR(SUMIF(tblMotor[A_Norm],$A407,tblMotor[SiparisToplam]),0))</f>
        <v/>
      </c>
      <c r="C407" s="15">
        <f>IF($A407="","",IFERROR(SUMIF(tblMotor[A_Norm],$A407,tblMotor[Tasarruf]),0))</f>
        <v/>
      </c>
      <c r="D407" s="15">
        <f>IF($A407="","",IFERROR(INDEX(tblMotor[KararSatir],MATCH($A407,tblMotor[A_Norm],0)),""))</f>
        <v/>
      </c>
      <c r="E407" s="15">
        <f>IF($A407="","",IF(OR($D407="DESİ DÜŞÜR",$D407="TAŞIYICI DEĞİŞTİR"),"YUKSEK","NORMAL"))</f>
        <v/>
      </c>
      <c r="F407" s="15">
        <f>IF($A407="","",_xlfn.TEXTJOIN(" ",TRUE,"Sipariş",$A407,"karar",$D407,"toplam",TEXT($B407,"0.00"),"tasarruf",TEXT($C407,"0.00"),"TL"))</f>
        <v/>
      </c>
    </row>
    <row r="408">
      <c r="A408" s="15">
        <f>IF('ESLESTIRME'!$A408="","",IF('ESLESTIRME'!$G408="tutar_farki",'ESLESTIRME'!$A408,""))</f>
        <v/>
      </c>
      <c r="B408" s="15">
        <f>IF($A408="","",IFERROR(SUMIF(tblMotor[A_Norm],$A408,tblMotor[SiparisToplam]),0))</f>
        <v/>
      </c>
      <c r="C408" s="15">
        <f>IF($A408="","",IFERROR(SUMIF(tblMotor[A_Norm],$A408,tblMotor[Tasarruf]),0))</f>
        <v/>
      </c>
      <c r="D408" s="15">
        <f>IF($A408="","",IFERROR(INDEX(tblMotor[KararSatir],MATCH($A408,tblMotor[A_Norm],0)),""))</f>
        <v/>
      </c>
      <c r="E408" s="15">
        <f>IF($A408="","",IF(OR($D408="DESİ DÜŞÜR",$D408="TAŞIYICI DEĞİŞTİR"),"YUKSEK","NORMAL"))</f>
        <v/>
      </c>
      <c r="F408" s="15">
        <f>IF($A408="","",_xlfn.TEXTJOIN(" ",TRUE,"Sipariş",$A408,"karar",$D408,"toplam",TEXT($B408,"0.00"),"tasarruf",TEXT($C408,"0.00"),"TL"))</f>
        <v/>
      </c>
    </row>
    <row r="409">
      <c r="A409" s="15">
        <f>IF('ESLESTIRME'!$A409="","",IF('ESLESTIRME'!$G409="tutar_farki",'ESLESTIRME'!$A409,""))</f>
        <v/>
      </c>
      <c r="B409" s="15">
        <f>IF($A409="","",IFERROR(SUMIF(tblMotor[A_Norm],$A409,tblMotor[SiparisToplam]),0))</f>
        <v/>
      </c>
      <c r="C409" s="15">
        <f>IF($A409="","",IFERROR(SUMIF(tblMotor[A_Norm],$A409,tblMotor[Tasarruf]),0))</f>
        <v/>
      </c>
      <c r="D409" s="15">
        <f>IF($A409="","",IFERROR(INDEX(tblMotor[KararSatir],MATCH($A409,tblMotor[A_Norm],0)),""))</f>
        <v/>
      </c>
      <c r="E409" s="15">
        <f>IF($A409="","",IF(OR($D409="DESİ DÜŞÜR",$D409="TAŞIYICI DEĞİŞTİR"),"YUKSEK","NORMAL"))</f>
        <v/>
      </c>
      <c r="F409" s="15">
        <f>IF($A409="","",_xlfn.TEXTJOIN(" ",TRUE,"Sipariş",$A409,"karar",$D409,"toplam",TEXT($B409,"0.00"),"tasarruf",TEXT($C409,"0.00"),"TL"))</f>
        <v/>
      </c>
    </row>
    <row r="410">
      <c r="A410" s="15">
        <f>IF('ESLESTIRME'!$A410="","",IF('ESLESTIRME'!$G410="tutar_farki",'ESLESTIRME'!$A410,""))</f>
        <v/>
      </c>
      <c r="B410" s="15">
        <f>IF($A410="","",IFERROR(SUMIF(tblMotor[A_Norm],$A410,tblMotor[SiparisToplam]),0))</f>
        <v/>
      </c>
      <c r="C410" s="15">
        <f>IF($A410="","",IFERROR(SUMIF(tblMotor[A_Norm],$A410,tblMotor[Tasarruf]),0))</f>
        <v/>
      </c>
      <c r="D410" s="15">
        <f>IF($A410="","",IFERROR(INDEX(tblMotor[KararSatir],MATCH($A410,tblMotor[A_Norm],0)),""))</f>
        <v/>
      </c>
      <c r="E410" s="15">
        <f>IF($A410="","",IF(OR($D410="DESİ DÜŞÜR",$D410="TAŞIYICI DEĞİŞTİR"),"YUKSEK","NORMAL"))</f>
        <v/>
      </c>
      <c r="F410" s="15">
        <f>IF($A410="","",_xlfn.TEXTJOIN(" ",TRUE,"Sipariş",$A410,"karar",$D410,"toplam",TEXT($B410,"0.00"),"tasarruf",TEXT($C410,"0.00"),"TL"))</f>
        <v/>
      </c>
    </row>
    <row r="411">
      <c r="A411" s="15">
        <f>IF('ESLESTIRME'!$A411="","",IF('ESLESTIRME'!$G411="tutar_farki",'ESLESTIRME'!$A411,""))</f>
        <v/>
      </c>
      <c r="B411" s="15">
        <f>IF($A411="","",IFERROR(SUMIF(tblMotor[A_Norm],$A411,tblMotor[SiparisToplam]),0))</f>
        <v/>
      </c>
      <c r="C411" s="15">
        <f>IF($A411="","",IFERROR(SUMIF(tblMotor[A_Norm],$A411,tblMotor[Tasarruf]),0))</f>
        <v/>
      </c>
      <c r="D411" s="15">
        <f>IF($A411="","",IFERROR(INDEX(tblMotor[KararSatir],MATCH($A411,tblMotor[A_Norm],0)),""))</f>
        <v/>
      </c>
      <c r="E411" s="15">
        <f>IF($A411="","",IF(OR($D411="DESİ DÜŞÜR",$D411="TAŞIYICI DEĞİŞTİR"),"YUKSEK","NORMAL"))</f>
        <v/>
      </c>
      <c r="F411" s="15">
        <f>IF($A411="","",_xlfn.TEXTJOIN(" ",TRUE,"Sipariş",$A411,"karar",$D411,"toplam",TEXT($B411,"0.00"),"tasarruf",TEXT($C411,"0.00"),"TL"))</f>
        <v/>
      </c>
    </row>
    <row r="412">
      <c r="A412" s="15">
        <f>IF('ESLESTIRME'!$A412="","",IF('ESLESTIRME'!$G412="tutar_farki",'ESLESTIRME'!$A412,""))</f>
        <v/>
      </c>
      <c r="B412" s="15">
        <f>IF($A412="","",IFERROR(SUMIF(tblMotor[A_Norm],$A412,tblMotor[SiparisToplam]),0))</f>
        <v/>
      </c>
      <c r="C412" s="15">
        <f>IF($A412="","",IFERROR(SUMIF(tblMotor[A_Norm],$A412,tblMotor[Tasarruf]),0))</f>
        <v/>
      </c>
      <c r="D412" s="15">
        <f>IF($A412="","",IFERROR(INDEX(tblMotor[KararSatir],MATCH($A412,tblMotor[A_Norm],0)),""))</f>
        <v/>
      </c>
      <c r="E412" s="15">
        <f>IF($A412="","",IF(OR($D412="DESİ DÜŞÜR",$D412="TAŞIYICI DEĞİŞTİR"),"YUKSEK","NORMAL"))</f>
        <v/>
      </c>
      <c r="F412" s="15">
        <f>IF($A412="","",_xlfn.TEXTJOIN(" ",TRUE,"Sipariş",$A412,"karar",$D412,"toplam",TEXT($B412,"0.00"),"tasarruf",TEXT($C412,"0.00"),"TL"))</f>
        <v/>
      </c>
    </row>
    <row r="413">
      <c r="A413" s="15">
        <f>IF('ESLESTIRME'!$A413="","",IF('ESLESTIRME'!$G413="tutar_farki",'ESLESTIRME'!$A413,""))</f>
        <v/>
      </c>
      <c r="B413" s="15">
        <f>IF($A413="","",IFERROR(SUMIF(tblMotor[A_Norm],$A413,tblMotor[SiparisToplam]),0))</f>
        <v/>
      </c>
      <c r="C413" s="15">
        <f>IF($A413="","",IFERROR(SUMIF(tblMotor[A_Norm],$A413,tblMotor[Tasarruf]),0))</f>
        <v/>
      </c>
      <c r="D413" s="15">
        <f>IF($A413="","",IFERROR(INDEX(tblMotor[KararSatir],MATCH($A413,tblMotor[A_Norm],0)),""))</f>
        <v/>
      </c>
      <c r="E413" s="15">
        <f>IF($A413="","",IF(OR($D413="DESİ DÜŞÜR",$D413="TAŞIYICI DEĞİŞTİR"),"YUKSEK","NORMAL"))</f>
        <v/>
      </c>
      <c r="F413" s="15">
        <f>IF($A413="","",_xlfn.TEXTJOIN(" ",TRUE,"Sipariş",$A413,"karar",$D413,"toplam",TEXT($B413,"0.00"),"tasarruf",TEXT($C413,"0.00"),"TL"))</f>
        <v/>
      </c>
    </row>
    <row r="414">
      <c r="A414" s="15">
        <f>IF('ESLESTIRME'!$A414="","",IF('ESLESTIRME'!$G414="tutar_farki",'ESLESTIRME'!$A414,""))</f>
        <v/>
      </c>
      <c r="B414" s="15">
        <f>IF($A414="","",IFERROR(SUMIF(tblMotor[A_Norm],$A414,tblMotor[SiparisToplam]),0))</f>
        <v/>
      </c>
      <c r="C414" s="15">
        <f>IF($A414="","",IFERROR(SUMIF(tblMotor[A_Norm],$A414,tblMotor[Tasarruf]),0))</f>
        <v/>
      </c>
      <c r="D414" s="15">
        <f>IF($A414="","",IFERROR(INDEX(tblMotor[KararSatir],MATCH($A414,tblMotor[A_Norm],0)),""))</f>
        <v/>
      </c>
      <c r="E414" s="15">
        <f>IF($A414="","",IF(OR($D414="DESİ DÜŞÜR",$D414="TAŞIYICI DEĞİŞTİR"),"YUKSEK","NORMAL"))</f>
        <v/>
      </c>
      <c r="F414" s="15">
        <f>IF($A414="","",_xlfn.TEXTJOIN(" ",TRUE,"Sipariş",$A414,"karar",$D414,"toplam",TEXT($B414,"0.00"),"tasarruf",TEXT($C414,"0.00"),"TL"))</f>
        <v/>
      </c>
    </row>
    <row r="415">
      <c r="A415" s="15">
        <f>IF('ESLESTIRME'!$A415="","",IF('ESLESTIRME'!$G415="tutar_farki",'ESLESTIRME'!$A415,""))</f>
        <v/>
      </c>
      <c r="B415" s="15">
        <f>IF($A415="","",IFERROR(SUMIF(tblMotor[A_Norm],$A415,tblMotor[SiparisToplam]),0))</f>
        <v/>
      </c>
      <c r="C415" s="15">
        <f>IF($A415="","",IFERROR(SUMIF(tblMotor[A_Norm],$A415,tblMotor[Tasarruf]),0))</f>
        <v/>
      </c>
      <c r="D415" s="15">
        <f>IF($A415="","",IFERROR(INDEX(tblMotor[KararSatir],MATCH($A415,tblMotor[A_Norm],0)),""))</f>
        <v/>
      </c>
      <c r="E415" s="15">
        <f>IF($A415="","",IF(OR($D415="DESİ DÜŞÜR",$D415="TAŞIYICI DEĞİŞTİR"),"YUKSEK","NORMAL"))</f>
        <v/>
      </c>
      <c r="F415" s="15">
        <f>IF($A415="","",_xlfn.TEXTJOIN(" ",TRUE,"Sipariş",$A415,"karar",$D415,"toplam",TEXT($B415,"0.00"),"tasarruf",TEXT($C415,"0.00"),"TL"))</f>
        <v/>
      </c>
    </row>
    <row r="416">
      <c r="A416" s="15">
        <f>IF('ESLESTIRME'!$A416="","",IF('ESLESTIRME'!$G416="tutar_farki",'ESLESTIRME'!$A416,""))</f>
        <v/>
      </c>
      <c r="B416" s="15">
        <f>IF($A416="","",IFERROR(SUMIF(tblMotor[A_Norm],$A416,tblMotor[SiparisToplam]),0))</f>
        <v/>
      </c>
      <c r="C416" s="15">
        <f>IF($A416="","",IFERROR(SUMIF(tblMotor[A_Norm],$A416,tblMotor[Tasarruf]),0))</f>
        <v/>
      </c>
      <c r="D416" s="15">
        <f>IF($A416="","",IFERROR(INDEX(tblMotor[KararSatir],MATCH($A416,tblMotor[A_Norm],0)),""))</f>
        <v/>
      </c>
      <c r="E416" s="15">
        <f>IF($A416="","",IF(OR($D416="DESİ DÜŞÜR",$D416="TAŞIYICI DEĞİŞTİR"),"YUKSEK","NORMAL"))</f>
        <v/>
      </c>
      <c r="F416" s="15">
        <f>IF($A416="","",_xlfn.TEXTJOIN(" ",TRUE,"Sipariş",$A416,"karar",$D416,"toplam",TEXT($B416,"0.00"),"tasarruf",TEXT($C416,"0.00"),"TL"))</f>
        <v/>
      </c>
    </row>
    <row r="417">
      <c r="A417" s="15">
        <f>IF('ESLESTIRME'!$A417="","",IF('ESLESTIRME'!$G417="tutar_farki",'ESLESTIRME'!$A417,""))</f>
        <v/>
      </c>
      <c r="B417" s="15">
        <f>IF($A417="","",IFERROR(SUMIF(tblMotor[A_Norm],$A417,tblMotor[SiparisToplam]),0))</f>
        <v/>
      </c>
      <c r="C417" s="15">
        <f>IF($A417="","",IFERROR(SUMIF(tblMotor[A_Norm],$A417,tblMotor[Tasarruf]),0))</f>
        <v/>
      </c>
      <c r="D417" s="15">
        <f>IF($A417="","",IFERROR(INDEX(tblMotor[KararSatir],MATCH($A417,tblMotor[A_Norm],0)),""))</f>
        <v/>
      </c>
      <c r="E417" s="15">
        <f>IF($A417="","",IF(OR($D417="DESİ DÜŞÜR",$D417="TAŞIYICI DEĞİŞTİR"),"YUKSEK","NORMAL"))</f>
        <v/>
      </c>
      <c r="F417" s="15">
        <f>IF($A417="","",_xlfn.TEXTJOIN(" ",TRUE,"Sipariş",$A417,"karar",$D417,"toplam",TEXT($B417,"0.00"),"tasarruf",TEXT($C417,"0.00"),"TL"))</f>
        <v/>
      </c>
    </row>
    <row r="418">
      <c r="A418" s="15">
        <f>IF('ESLESTIRME'!$A418="","",IF('ESLESTIRME'!$G418="tutar_farki",'ESLESTIRME'!$A418,""))</f>
        <v/>
      </c>
      <c r="B418" s="15">
        <f>IF($A418="","",IFERROR(SUMIF(tblMotor[A_Norm],$A418,tblMotor[SiparisToplam]),0))</f>
        <v/>
      </c>
      <c r="C418" s="15">
        <f>IF($A418="","",IFERROR(SUMIF(tblMotor[A_Norm],$A418,tblMotor[Tasarruf]),0))</f>
        <v/>
      </c>
      <c r="D418" s="15">
        <f>IF($A418="","",IFERROR(INDEX(tblMotor[KararSatir],MATCH($A418,tblMotor[A_Norm],0)),""))</f>
        <v/>
      </c>
      <c r="E418" s="15">
        <f>IF($A418="","",IF(OR($D418="DESİ DÜŞÜR",$D418="TAŞIYICI DEĞİŞTİR"),"YUKSEK","NORMAL"))</f>
        <v/>
      </c>
      <c r="F418" s="15">
        <f>IF($A418="","",_xlfn.TEXTJOIN(" ",TRUE,"Sipariş",$A418,"karar",$D418,"toplam",TEXT($B418,"0.00"),"tasarruf",TEXT($C418,"0.00"),"TL"))</f>
        <v/>
      </c>
    </row>
    <row r="419">
      <c r="A419" s="15">
        <f>IF('ESLESTIRME'!$A419="","",IF('ESLESTIRME'!$G419="tutar_farki",'ESLESTIRME'!$A419,""))</f>
        <v/>
      </c>
      <c r="B419" s="15">
        <f>IF($A419="","",IFERROR(SUMIF(tblMotor[A_Norm],$A419,tblMotor[SiparisToplam]),0))</f>
        <v/>
      </c>
      <c r="C419" s="15">
        <f>IF($A419="","",IFERROR(SUMIF(tblMotor[A_Norm],$A419,tblMotor[Tasarruf]),0))</f>
        <v/>
      </c>
      <c r="D419" s="15">
        <f>IF($A419="","",IFERROR(INDEX(tblMotor[KararSatir],MATCH($A419,tblMotor[A_Norm],0)),""))</f>
        <v/>
      </c>
      <c r="E419" s="15">
        <f>IF($A419="","",IF(OR($D419="DESİ DÜŞÜR",$D419="TAŞIYICI DEĞİŞTİR"),"YUKSEK","NORMAL"))</f>
        <v/>
      </c>
      <c r="F419" s="15">
        <f>IF($A419="","",_xlfn.TEXTJOIN(" ",TRUE,"Sipariş",$A419,"karar",$D419,"toplam",TEXT($B419,"0.00"),"tasarruf",TEXT($C419,"0.00"),"TL"))</f>
        <v/>
      </c>
    </row>
    <row r="420">
      <c r="A420" s="15">
        <f>IF('ESLESTIRME'!$A420="","",IF('ESLESTIRME'!$G420="tutar_farki",'ESLESTIRME'!$A420,""))</f>
        <v/>
      </c>
      <c r="B420" s="15">
        <f>IF($A420="","",IFERROR(SUMIF(tblMotor[A_Norm],$A420,tblMotor[SiparisToplam]),0))</f>
        <v/>
      </c>
      <c r="C420" s="15">
        <f>IF($A420="","",IFERROR(SUMIF(tblMotor[A_Norm],$A420,tblMotor[Tasarruf]),0))</f>
        <v/>
      </c>
      <c r="D420" s="15">
        <f>IF($A420="","",IFERROR(INDEX(tblMotor[KararSatir],MATCH($A420,tblMotor[A_Norm],0)),""))</f>
        <v/>
      </c>
      <c r="E420" s="15">
        <f>IF($A420="","",IF(OR($D420="DESİ DÜŞÜR",$D420="TAŞIYICI DEĞİŞTİR"),"YUKSEK","NORMAL"))</f>
        <v/>
      </c>
      <c r="F420" s="15">
        <f>IF($A420="","",_xlfn.TEXTJOIN(" ",TRUE,"Sipariş",$A420,"karar",$D420,"toplam",TEXT($B420,"0.00"),"tasarruf",TEXT($C420,"0.00"),"TL"))</f>
        <v/>
      </c>
    </row>
    <row r="421">
      <c r="A421" s="15">
        <f>IF('ESLESTIRME'!$A421="","",IF('ESLESTIRME'!$G421="tutar_farki",'ESLESTIRME'!$A421,""))</f>
        <v/>
      </c>
      <c r="B421" s="15">
        <f>IF($A421="","",IFERROR(SUMIF(tblMotor[A_Norm],$A421,tblMotor[SiparisToplam]),0))</f>
        <v/>
      </c>
      <c r="C421" s="15">
        <f>IF($A421="","",IFERROR(SUMIF(tblMotor[A_Norm],$A421,tblMotor[Tasarruf]),0))</f>
        <v/>
      </c>
      <c r="D421" s="15">
        <f>IF($A421="","",IFERROR(INDEX(tblMotor[KararSatir],MATCH($A421,tblMotor[A_Norm],0)),""))</f>
        <v/>
      </c>
      <c r="E421" s="15">
        <f>IF($A421="","",IF(OR($D421="DESİ DÜŞÜR",$D421="TAŞIYICI DEĞİŞTİR"),"YUKSEK","NORMAL"))</f>
        <v/>
      </c>
      <c r="F421" s="15">
        <f>IF($A421="","",_xlfn.TEXTJOIN(" ",TRUE,"Sipariş",$A421,"karar",$D421,"toplam",TEXT($B421,"0.00"),"tasarruf",TEXT($C421,"0.00"),"TL"))</f>
        <v/>
      </c>
    </row>
    <row r="422">
      <c r="A422" s="15">
        <f>IF('ESLESTIRME'!$A422="","",IF('ESLESTIRME'!$G422="tutar_farki",'ESLESTIRME'!$A422,""))</f>
        <v/>
      </c>
      <c r="B422" s="15">
        <f>IF($A422="","",IFERROR(SUMIF(tblMotor[A_Norm],$A422,tblMotor[SiparisToplam]),0))</f>
        <v/>
      </c>
      <c r="C422" s="15">
        <f>IF($A422="","",IFERROR(SUMIF(tblMotor[A_Norm],$A422,tblMotor[Tasarruf]),0))</f>
        <v/>
      </c>
      <c r="D422" s="15">
        <f>IF($A422="","",IFERROR(INDEX(tblMotor[KararSatir],MATCH($A422,tblMotor[A_Norm],0)),""))</f>
        <v/>
      </c>
      <c r="E422" s="15">
        <f>IF($A422="","",IF(OR($D422="DESİ DÜŞÜR",$D422="TAŞIYICI DEĞİŞTİR"),"YUKSEK","NORMAL"))</f>
        <v/>
      </c>
      <c r="F422" s="15">
        <f>IF($A422="","",_xlfn.TEXTJOIN(" ",TRUE,"Sipariş",$A422,"karar",$D422,"toplam",TEXT($B422,"0.00"),"tasarruf",TEXT($C422,"0.00"),"TL"))</f>
        <v/>
      </c>
    </row>
    <row r="423">
      <c r="A423" s="15">
        <f>IF('ESLESTIRME'!$A423="","",IF('ESLESTIRME'!$G423="tutar_farki",'ESLESTIRME'!$A423,""))</f>
        <v/>
      </c>
      <c r="B423" s="15">
        <f>IF($A423="","",IFERROR(SUMIF(tblMotor[A_Norm],$A423,tblMotor[SiparisToplam]),0))</f>
        <v/>
      </c>
      <c r="C423" s="15">
        <f>IF($A423="","",IFERROR(SUMIF(tblMotor[A_Norm],$A423,tblMotor[Tasarruf]),0))</f>
        <v/>
      </c>
      <c r="D423" s="15">
        <f>IF($A423="","",IFERROR(INDEX(tblMotor[KararSatir],MATCH($A423,tblMotor[A_Norm],0)),""))</f>
        <v/>
      </c>
      <c r="E423" s="15">
        <f>IF($A423="","",IF(OR($D423="DESİ DÜŞÜR",$D423="TAŞIYICI DEĞİŞTİR"),"YUKSEK","NORMAL"))</f>
        <v/>
      </c>
      <c r="F423" s="15">
        <f>IF($A423="","",_xlfn.TEXTJOIN(" ",TRUE,"Sipariş",$A423,"karar",$D423,"toplam",TEXT($B423,"0.00"),"tasarruf",TEXT($C423,"0.00"),"TL"))</f>
        <v/>
      </c>
    </row>
    <row r="424">
      <c r="A424" s="15">
        <f>IF('ESLESTIRME'!$A424="","",IF('ESLESTIRME'!$G424="tutar_farki",'ESLESTIRME'!$A424,""))</f>
        <v/>
      </c>
      <c r="B424" s="15">
        <f>IF($A424="","",IFERROR(SUMIF(tblMotor[A_Norm],$A424,tblMotor[SiparisToplam]),0))</f>
        <v/>
      </c>
      <c r="C424" s="15">
        <f>IF($A424="","",IFERROR(SUMIF(tblMotor[A_Norm],$A424,tblMotor[Tasarruf]),0))</f>
        <v/>
      </c>
      <c r="D424" s="15">
        <f>IF($A424="","",IFERROR(INDEX(tblMotor[KararSatir],MATCH($A424,tblMotor[A_Norm],0)),""))</f>
        <v/>
      </c>
      <c r="E424" s="15">
        <f>IF($A424="","",IF(OR($D424="DESİ DÜŞÜR",$D424="TAŞIYICI DEĞİŞTİR"),"YUKSEK","NORMAL"))</f>
        <v/>
      </c>
      <c r="F424" s="15">
        <f>IF($A424="","",_xlfn.TEXTJOIN(" ",TRUE,"Sipariş",$A424,"karar",$D424,"toplam",TEXT($B424,"0.00"),"tasarruf",TEXT($C424,"0.00"),"TL"))</f>
        <v/>
      </c>
    </row>
    <row r="425">
      <c r="A425" s="15">
        <f>IF('ESLESTIRME'!$A425="","",IF('ESLESTIRME'!$G425="tutar_farki",'ESLESTIRME'!$A425,""))</f>
        <v/>
      </c>
      <c r="B425" s="15">
        <f>IF($A425="","",IFERROR(SUMIF(tblMotor[A_Norm],$A425,tblMotor[SiparisToplam]),0))</f>
        <v/>
      </c>
      <c r="C425" s="15">
        <f>IF($A425="","",IFERROR(SUMIF(tblMotor[A_Norm],$A425,tblMotor[Tasarruf]),0))</f>
        <v/>
      </c>
      <c r="D425" s="15">
        <f>IF($A425="","",IFERROR(INDEX(tblMotor[KararSatir],MATCH($A425,tblMotor[A_Norm],0)),""))</f>
        <v/>
      </c>
      <c r="E425" s="15">
        <f>IF($A425="","",IF(OR($D425="DESİ DÜŞÜR",$D425="TAŞIYICI DEĞİŞTİR"),"YUKSEK","NORMAL"))</f>
        <v/>
      </c>
      <c r="F425" s="15">
        <f>IF($A425="","",_xlfn.TEXTJOIN(" ",TRUE,"Sipariş",$A425,"karar",$D425,"toplam",TEXT($B425,"0.00"),"tasarruf",TEXT($C425,"0.00"),"TL"))</f>
        <v/>
      </c>
    </row>
    <row r="426">
      <c r="A426" s="15">
        <f>IF('ESLESTIRME'!$A426="","",IF('ESLESTIRME'!$G426="tutar_farki",'ESLESTIRME'!$A426,""))</f>
        <v/>
      </c>
      <c r="B426" s="15">
        <f>IF($A426="","",IFERROR(SUMIF(tblMotor[A_Norm],$A426,tblMotor[SiparisToplam]),0))</f>
        <v/>
      </c>
      <c r="C426" s="15">
        <f>IF($A426="","",IFERROR(SUMIF(tblMotor[A_Norm],$A426,tblMotor[Tasarruf]),0))</f>
        <v/>
      </c>
      <c r="D426" s="15">
        <f>IF($A426="","",IFERROR(INDEX(tblMotor[KararSatir],MATCH($A426,tblMotor[A_Norm],0)),""))</f>
        <v/>
      </c>
      <c r="E426" s="15">
        <f>IF($A426="","",IF(OR($D426="DESİ DÜŞÜR",$D426="TAŞIYICI DEĞİŞTİR"),"YUKSEK","NORMAL"))</f>
        <v/>
      </c>
      <c r="F426" s="15">
        <f>IF($A426="","",_xlfn.TEXTJOIN(" ",TRUE,"Sipariş",$A426,"karar",$D426,"toplam",TEXT($B426,"0.00"),"tasarruf",TEXT($C426,"0.00"),"TL"))</f>
        <v/>
      </c>
    </row>
    <row r="427">
      <c r="A427" s="15">
        <f>IF('ESLESTIRME'!$A427="","",IF('ESLESTIRME'!$G427="tutar_farki",'ESLESTIRME'!$A427,""))</f>
        <v/>
      </c>
      <c r="B427" s="15">
        <f>IF($A427="","",IFERROR(SUMIF(tblMotor[A_Norm],$A427,tblMotor[SiparisToplam]),0))</f>
        <v/>
      </c>
      <c r="C427" s="15">
        <f>IF($A427="","",IFERROR(SUMIF(tblMotor[A_Norm],$A427,tblMotor[Tasarruf]),0))</f>
        <v/>
      </c>
      <c r="D427" s="15">
        <f>IF($A427="","",IFERROR(INDEX(tblMotor[KararSatir],MATCH($A427,tblMotor[A_Norm],0)),""))</f>
        <v/>
      </c>
      <c r="E427" s="15">
        <f>IF($A427="","",IF(OR($D427="DESİ DÜŞÜR",$D427="TAŞIYICI DEĞİŞTİR"),"YUKSEK","NORMAL"))</f>
        <v/>
      </c>
      <c r="F427" s="15">
        <f>IF($A427="","",_xlfn.TEXTJOIN(" ",TRUE,"Sipariş",$A427,"karar",$D427,"toplam",TEXT($B427,"0.00"),"tasarruf",TEXT($C427,"0.00"),"TL"))</f>
        <v/>
      </c>
    </row>
    <row r="428">
      <c r="A428" s="15">
        <f>IF('ESLESTIRME'!$A428="","",IF('ESLESTIRME'!$G428="tutar_farki",'ESLESTIRME'!$A428,""))</f>
        <v/>
      </c>
      <c r="B428" s="15">
        <f>IF($A428="","",IFERROR(SUMIF(tblMotor[A_Norm],$A428,tblMotor[SiparisToplam]),0))</f>
        <v/>
      </c>
      <c r="C428" s="15">
        <f>IF($A428="","",IFERROR(SUMIF(tblMotor[A_Norm],$A428,tblMotor[Tasarruf]),0))</f>
        <v/>
      </c>
      <c r="D428" s="15">
        <f>IF($A428="","",IFERROR(INDEX(tblMotor[KararSatir],MATCH($A428,tblMotor[A_Norm],0)),""))</f>
        <v/>
      </c>
      <c r="E428" s="15">
        <f>IF($A428="","",IF(OR($D428="DESİ DÜŞÜR",$D428="TAŞIYICI DEĞİŞTİR"),"YUKSEK","NORMAL"))</f>
        <v/>
      </c>
      <c r="F428" s="15">
        <f>IF($A428="","",_xlfn.TEXTJOIN(" ",TRUE,"Sipariş",$A428,"karar",$D428,"toplam",TEXT($B428,"0.00"),"tasarruf",TEXT($C428,"0.00"),"TL"))</f>
        <v/>
      </c>
    </row>
    <row r="429">
      <c r="A429" s="15">
        <f>IF('ESLESTIRME'!$A429="","",IF('ESLESTIRME'!$G429="tutar_farki",'ESLESTIRME'!$A429,""))</f>
        <v/>
      </c>
      <c r="B429" s="15">
        <f>IF($A429="","",IFERROR(SUMIF(tblMotor[A_Norm],$A429,tblMotor[SiparisToplam]),0))</f>
        <v/>
      </c>
      <c r="C429" s="15">
        <f>IF($A429="","",IFERROR(SUMIF(tblMotor[A_Norm],$A429,tblMotor[Tasarruf]),0))</f>
        <v/>
      </c>
      <c r="D429" s="15">
        <f>IF($A429="","",IFERROR(INDEX(tblMotor[KararSatir],MATCH($A429,tblMotor[A_Norm],0)),""))</f>
        <v/>
      </c>
      <c r="E429" s="15">
        <f>IF($A429="","",IF(OR($D429="DESİ DÜŞÜR",$D429="TAŞIYICI DEĞİŞTİR"),"YUKSEK","NORMAL"))</f>
        <v/>
      </c>
      <c r="F429" s="15">
        <f>IF($A429="","",_xlfn.TEXTJOIN(" ",TRUE,"Sipariş",$A429,"karar",$D429,"toplam",TEXT($B429,"0.00"),"tasarruf",TEXT($C429,"0.00"),"TL"))</f>
        <v/>
      </c>
    </row>
    <row r="430">
      <c r="A430" s="15">
        <f>IF('ESLESTIRME'!$A430="","",IF('ESLESTIRME'!$G430="tutar_farki",'ESLESTIRME'!$A430,""))</f>
        <v/>
      </c>
      <c r="B430" s="15">
        <f>IF($A430="","",IFERROR(SUMIF(tblMotor[A_Norm],$A430,tblMotor[SiparisToplam]),0))</f>
        <v/>
      </c>
      <c r="C430" s="15">
        <f>IF($A430="","",IFERROR(SUMIF(tblMotor[A_Norm],$A430,tblMotor[Tasarruf]),0))</f>
        <v/>
      </c>
      <c r="D430" s="15">
        <f>IF($A430="","",IFERROR(INDEX(tblMotor[KararSatir],MATCH($A430,tblMotor[A_Norm],0)),""))</f>
        <v/>
      </c>
      <c r="E430" s="15">
        <f>IF($A430="","",IF(OR($D430="DESİ DÜŞÜR",$D430="TAŞIYICI DEĞİŞTİR"),"YUKSEK","NORMAL"))</f>
        <v/>
      </c>
      <c r="F430" s="15">
        <f>IF($A430="","",_xlfn.TEXTJOIN(" ",TRUE,"Sipariş",$A430,"karar",$D430,"toplam",TEXT($B430,"0.00"),"tasarruf",TEXT($C430,"0.00"),"TL"))</f>
        <v/>
      </c>
    </row>
    <row r="431">
      <c r="A431" s="15">
        <f>IF('ESLESTIRME'!$A431="","",IF('ESLESTIRME'!$G431="tutar_farki",'ESLESTIRME'!$A431,""))</f>
        <v/>
      </c>
      <c r="B431" s="15">
        <f>IF($A431="","",IFERROR(SUMIF(tblMotor[A_Norm],$A431,tblMotor[SiparisToplam]),0))</f>
        <v/>
      </c>
      <c r="C431" s="15">
        <f>IF($A431="","",IFERROR(SUMIF(tblMotor[A_Norm],$A431,tblMotor[Tasarruf]),0))</f>
        <v/>
      </c>
      <c r="D431" s="15">
        <f>IF($A431="","",IFERROR(INDEX(tblMotor[KararSatir],MATCH($A431,tblMotor[A_Norm],0)),""))</f>
        <v/>
      </c>
      <c r="E431" s="15">
        <f>IF($A431="","",IF(OR($D431="DESİ DÜŞÜR",$D431="TAŞIYICI DEĞİŞTİR"),"YUKSEK","NORMAL"))</f>
        <v/>
      </c>
      <c r="F431" s="15">
        <f>IF($A431="","",_xlfn.TEXTJOIN(" ",TRUE,"Sipariş",$A431,"karar",$D431,"toplam",TEXT($B431,"0.00"),"tasarruf",TEXT($C431,"0.00"),"TL"))</f>
        <v/>
      </c>
    </row>
    <row r="432">
      <c r="A432" s="15">
        <f>IF('ESLESTIRME'!$A432="","",IF('ESLESTIRME'!$G432="tutar_farki",'ESLESTIRME'!$A432,""))</f>
        <v/>
      </c>
      <c r="B432" s="15">
        <f>IF($A432="","",IFERROR(SUMIF(tblMotor[A_Norm],$A432,tblMotor[SiparisToplam]),0))</f>
        <v/>
      </c>
      <c r="C432" s="15">
        <f>IF($A432="","",IFERROR(SUMIF(tblMotor[A_Norm],$A432,tblMotor[Tasarruf]),0))</f>
        <v/>
      </c>
      <c r="D432" s="15">
        <f>IF($A432="","",IFERROR(INDEX(tblMotor[KararSatir],MATCH($A432,tblMotor[A_Norm],0)),""))</f>
        <v/>
      </c>
      <c r="E432" s="15">
        <f>IF($A432="","",IF(OR($D432="DESİ DÜŞÜR",$D432="TAŞIYICI DEĞİŞTİR"),"YUKSEK","NORMAL"))</f>
        <v/>
      </c>
      <c r="F432" s="15">
        <f>IF($A432="","",_xlfn.TEXTJOIN(" ",TRUE,"Sipariş",$A432,"karar",$D432,"toplam",TEXT($B432,"0.00"),"tasarruf",TEXT($C432,"0.00"),"TL"))</f>
        <v/>
      </c>
    </row>
    <row r="433">
      <c r="A433" s="15">
        <f>IF('ESLESTIRME'!$A433="","",IF('ESLESTIRME'!$G433="tutar_farki",'ESLESTIRME'!$A433,""))</f>
        <v/>
      </c>
      <c r="B433" s="15">
        <f>IF($A433="","",IFERROR(SUMIF(tblMotor[A_Norm],$A433,tblMotor[SiparisToplam]),0))</f>
        <v/>
      </c>
      <c r="C433" s="15">
        <f>IF($A433="","",IFERROR(SUMIF(tblMotor[A_Norm],$A433,tblMotor[Tasarruf]),0))</f>
        <v/>
      </c>
      <c r="D433" s="15">
        <f>IF($A433="","",IFERROR(INDEX(tblMotor[KararSatir],MATCH($A433,tblMotor[A_Norm],0)),""))</f>
        <v/>
      </c>
      <c r="E433" s="15">
        <f>IF($A433="","",IF(OR($D433="DESİ DÜŞÜR",$D433="TAŞIYICI DEĞİŞTİR"),"YUKSEK","NORMAL"))</f>
        <v/>
      </c>
      <c r="F433" s="15">
        <f>IF($A433="","",_xlfn.TEXTJOIN(" ",TRUE,"Sipariş",$A433,"karar",$D433,"toplam",TEXT($B433,"0.00"),"tasarruf",TEXT($C433,"0.00"),"TL"))</f>
        <v/>
      </c>
    </row>
    <row r="434">
      <c r="A434" s="15">
        <f>IF('ESLESTIRME'!$A434="","",IF('ESLESTIRME'!$G434="tutar_farki",'ESLESTIRME'!$A434,""))</f>
        <v/>
      </c>
      <c r="B434" s="15">
        <f>IF($A434="","",IFERROR(SUMIF(tblMotor[A_Norm],$A434,tblMotor[SiparisToplam]),0))</f>
        <v/>
      </c>
      <c r="C434" s="15">
        <f>IF($A434="","",IFERROR(SUMIF(tblMotor[A_Norm],$A434,tblMotor[Tasarruf]),0))</f>
        <v/>
      </c>
      <c r="D434" s="15">
        <f>IF($A434="","",IFERROR(INDEX(tblMotor[KararSatir],MATCH($A434,tblMotor[A_Norm],0)),""))</f>
        <v/>
      </c>
      <c r="E434" s="15">
        <f>IF($A434="","",IF(OR($D434="DESİ DÜŞÜR",$D434="TAŞIYICI DEĞİŞTİR"),"YUKSEK","NORMAL"))</f>
        <v/>
      </c>
      <c r="F434" s="15">
        <f>IF($A434="","",_xlfn.TEXTJOIN(" ",TRUE,"Sipariş",$A434,"karar",$D434,"toplam",TEXT($B434,"0.00"),"tasarruf",TEXT($C434,"0.00"),"TL"))</f>
        <v/>
      </c>
    </row>
    <row r="435">
      <c r="A435" s="15">
        <f>IF('ESLESTIRME'!$A435="","",IF('ESLESTIRME'!$G435="tutar_farki",'ESLESTIRME'!$A435,""))</f>
        <v/>
      </c>
      <c r="B435" s="15">
        <f>IF($A435="","",IFERROR(SUMIF(tblMotor[A_Norm],$A435,tblMotor[SiparisToplam]),0))</f>
        <v/>
      </c>
      <c r="C435" s="15">
        <f>IF($A435="","",IFERROR(SUMIF(tblMotor[A_Norm],$A435,tblMotor[Tasarruf]),0))</f>
        <v/>
      </c>
      <c r="D435" s="15">
        <f>IF($A435="","",IFERROR(INDEX(tblMotor[KararSatir],MATCH($A435,tblMotor[A_Norm],0)),""))</f>
        <v/>
      </c>
      <c r="E435" s="15">
        <f>IF($A435="","",IF(OR($D435="DESİ DÜŞÜR",$D435="TAŞIYICI DEĞİŞTİR"),"YUKSEK","NORMAL"))</f>
        <v/>
      </c>
      <c r="F435" s="15">
        <f>IF($A435="","",_xlfn.TEXTJOIN(" ",TRUE,"Sipariş",$A435,"karar",$D435,"toplam",TEXT($B435,"0.00"),"tasarruf",TEXT($C435,"0.00"),"TL"))</f>
        <v/>
      </c>
    </row>
    <row r="436">
      <c r="A436" s="15">
        <f>IF('ESLESTIRME'!$A436="","",IF('ESLESTIRME'!$G436="tutar_farki",'ESLESTIRME'!$A436,""))</f>
        <v/>
      </c>
      <c r="B436" s="15">
        <f>IF($A436="","",IFERROR(SUMIF(tblMotor[A_Norm],$A436,tblMotor[SiparisToplam]),0))</f>
        <v/>
      </c>
      <c r="C436" s="15">
        <f>IF($A436="","",IFERROR(SUMIF(tblMotor[A_Norm],$A436,tblMotor[Tasarruf]),0))</f>
        <v/>
      </c>
      <c r="D436" s="15">
        <f>IF($A436="","",IFERROR(INDEX(tblMotor[KararSatir],MATCH($A436,tblMotor[A_Norm],0)),""))</f>
        <v/>
      </c>
      <c r="E436" s="15">
        <f>IF($A436="","",IF(OR($D436="DESİ DÜŞÜR",$D436="TAŞIYICI DEĞİŞTİR"),"YUKSEK","NORMAL"))</f>
        <v/>
      </c>
      <c r="F436" s="15">
        <f>IF($A436="","",_xlfn.TEXTJOIN(" ",TRUE,"Sipariş",$A436,"karar",$D436,"toplam",TEXT($B436,"0.00"),"tasarruf",TEXT($C436,"0.00"),"TL"))</f>
        <v/>
      </c>
    </row>
    <row r="437">
      <c r="A437" s="15">
        <f>IF('ESLESTIRME'!$A437="","",IF('ESLESTIRME'!$G437="tutar_farki",'ESLESTIRME'!$A437,""))</f>
        <v/>
      </c>
      <c r="B437" s="15">
        <f>IF($A437="","",IFERROR(SUMIF(tblMotor[A_Norm],$A437,tblMotor[SiparisToplam]),0))</f>
        <v/>
      </c>
      <c r="C437" s="15">
        <f>IF($A437="","",IFERROR(SUMIF(tblMotor[A_Norm],$A437,tblMotor[Tasarruf]),0))</f>
        <v/>
      </c>
      <c r="D437" s="15">
        <f>IF($A437="","",IFERROR(INDEX(tblMotor[KararSatir],MATCH($A437,tblMotor[A_Norm],0)),""))</f>
        <v/>
      </c>
      <c r="E437" s="15">
        <f>IF($A437="","",IF(OR($D437="DESİ DÜŞÜR",$D437="TAŞIYICI DEĞİŞTİR"),"YUKSEK","NORMAL"))</f>
        <v/>
      </c>
      <c r="F437" s="15">
        <f>IF($A437="","",_xlfn.TEXTJOIN(" ",TRUE,"Sipariş",$A437,"karar",$D437,"toplam",TEXT($B437,"0.00"),"tasarruf",TEXT($C437,"0.00"),"TL"))</f>
        <v/>
      </c>
    </row>
    <row r="438">
      <c r="A438" s="15">
        <f>IF('ESLESTIRME'!$A438="","",IF('ESLESTIRME'!$G438="tutar_farki",'ESLESTIRME'!$A438,""))</f>
        <v/>
      </c>
      <c r="B438" s="15">
        <f>IF($A438="","",IFERROR(SUMIF(tblMotor[A_Norm],$A438,tblMotor[SiparisToplam]),0))</f>
        <v/>
      </c>
      <c r="C438" s="15">
        <f>IF($A438="","",IFERROR(SUMIF(tblMotor[A_Norm],$A438,tblMotor[Tasarruf]),0))</f>
        <v/>
      </c>
      <c r="D438" s="15">
        <f>IF($A438="","",IFERROR(INDEX(tblMotor[KararSatir],MATCH($A438,tblMotor[A_Norm],0)),""))</f>
        <v/>
      </c>
      <c r="E438" s="15">
        <f>IF($A438="","",IF(OR($D438="DESİ DÜŞÜR",$D438="TAŞIYICI DEĞİŞTİR"),"YUKSEK","NORMAL"))</f>
        <v/>
      </c>
      <c r="F438" s="15">
        <f>IF($A438="","",_xlfn.TEXTJOIN(" ",TRUE,"Sipariş",$A438,"karar",$D438,"toplam",TEXT($B438,"0.00"),"tasarruf",TEXT($C438,"0.00"),"TL"))</f>
        <v/>
      </c>
    </row>
    <row r="439">
      <c r="A439" s="15">
        <f>IF('ESLESTIRME'!$A439="","",IF('ESLESTIRME'!$G439="tutar_farki",'ESLESTIRME'!$A439,""))</f>
        <v/>
      </c>
      <c r="B439" s="15">
        <f>IF($A439="","",IFERROR(SUMIF(tblMotor[A_Norm],$A439,tblMotor[SiparisToplam]),0))</f>
        <v/>
      </c>
      <c r="C439" s="15">
        <f>IF($A439="","",IFERROR(SUMIF(tblMotor[A_Norm],$A439,tblMotor[Tasarruf]),0))</f>
        <v/>
      </c>
      <c r="D439" s="15">
        <f>IF($A439="","",IFERROR(INDEX(tblMotor[KararSatir],MATCH($A439,tblMotor[A_Norm],0)),""))</f>
        <v/>
      </c>
      <c r="E439" s="15">
        <f>IF($A439="","",IF(OR($D439="DESİ DÜŞÜR",$D439="TAŞIYICI DEĞİŞTİR"),"YUKSEK","NORMAL"))</f>
        <v/>
      </c>
      <c r="F439" s="15">
        <f>IF($A439="","",_xlfn.TEXTJOIN(" ",TRUE,"Sipariş",$A439,"karar",$D439,"toplam",TEXT($B439,"0.00"),"tasarruf",TEXT($C439,"0.00"),"TL"))</f>
        <v/>
      </c>
    </row>
    <row r="440">
      <c r="A440" s="15">
        <f>IF('ESLESTIRME'!$A440="","",IF('ESLESTIRME'!$G440="tutar_farki",'ESLESTIRME'!$A440,""))</f>
        <v/>
      </c>
      <c r="B440" s="15">
        <f>IF($A440="","",IFERROR(SUMIF(tblMotor[A_Norm],$A440,tblMotor[SiparisToplam]),0))</f>
        <v/>
      </c>
      <c r="C440" s="15">
        <f>IF($A440="","",IFERROR(SUMIF(tblMotor[A_Norm],$A440,tblMotor[Tasarruf]),0))</f>
        <v/>
      </c>
      <c r="D440" s="15">
        <f>IF($A440="","",IFERROR(INDEX(tblMotor[KararSatir],MATCH($A440,tblMotor[A_Norm],0)),""))</f>
        <v/>
      </c>
      <c r="E440" s="15">
        <f>IF($A440="","",IF(OR($D440="DESİ DÜŞÜR",$D440="TAŞIYICI DEĞİŞTİR"),"YUKSEK","NORMAL"))</f>
        <v/>
      </c>
      <c r="F440" s="15">
        <f>IF($A440="","",_xlfn.TEXTJOIN(" ",TRUE,"Sipariş",$A440,"karar",$D440,"toplam",TEXT($B440,"0.00"),"tasarruf",TEXT($C440,"0.00"),"TL"))</f>
        <v/>
      </c>
    </row>
    <row r="441">
      <c r="A441" s="15">
        <f>IF('ESLESTIRME'!$A441="","",IF('ESLESTIRME'!$G441="tutar_farki",'ESLESTIRME'!$A441,""))</f>
        <v/>
      </c>
      <c r="B441" s="15">
        <f>IF($A441="","",IFERROR(SUMIF(tblMotor[A_Norm],$A441,tblMotor[SiparisToplam]),0))</f>
        <v/>
      </c>
      <c r="C441" s="15">
        <f>IF($A441="","",IFERROR(SUMIF(tblMotor[A_Norm],$A441,tblMotor[Tasarruf]),0))</f>
        <v/>
      </c>
      <c r="D441" s="15">
        <f>IF($A441="","",IFERROR(INDEX(tblMotor[KararSatir],MATCH($A441,tblMotor[A_Norm],0)),""))</f>
        <v/>
      </c>
      <c r="E441" s="15">
        <f>IF($A441="","",IF(OR($D441="DESİ DÜŞÜR",$D441="TAŞIYICI DEĞİŞTİR"),"YUKSEK","NORMAL"))</f>
        <v/>
      </c>
      <c r="F441" s="15">
        <f>IF($A441="","",_xlfn.TEXTJOIN(" ",TRUE,"Sipariş",$A441,"karar",$D441,"toplam",TEXT($B441,"0.00"),"tasarruf",TEXT($C441,"0.00"),"TL"))</f>
        <v/>
      </c>
    </row>
    <row r="442">
      <c r="A442" s="15">
        <f>IF('ESLESTIRME'!$A442="","",IF('ESLESTIRME'!$G442="tutar_farki",'ESLESTIRME'!$A442,""))</f>
        <v/>
      </c>
      <c r="B442" s="15">
        <f>IF($A442="","",IFERROR(SUMIF(tblMotor[A_Norm],$A442,tblMotor[SiparisToplam]),0))</f>
        <v/>
      </c>
      <c r="C442" s="15">
        <f>IF($A442="","",IFERROR(SUMIF(tblMotor[A_Norm],$A442,tblMotor[Tasarruf]),0))</f>
        <v/>
      </c>
      <c r="D442" s="15">
        <f>IF($A442="","",IFERROR(INDEX(tblMotor[KararSatir],MATCH($A442,tblMotor[A_Norm],0)),""))</f>
        <v/>
      </c>
      <c r="E442" s="15">
        <f>IF($A442="","",IF(OR($D442="DESİ DÜŞÜR",$D442="TAŞIYICI DEĞİŞTİR"),"YUKSEK","NORMAL"))</f>
        <v/>
      </c>
      <c r="F442" s="15">
        <f>IF($A442="","",_xlfn.TEXTJOIN(" ",TRUE,"Sipariş",$A442,"karar",$D442,"toplam",TEXT($B442,"0.00"),"tasarruf",TEXT($C442,"0.00"),"TL"))</f>
        <v/>
      </c>
    </row>
    <row r="443">
      <c r="A443" s="15">
        <f>IF('ESLESTIRME'!$A443="","",IF('ESLESTIRME'!$G443="tutar_farki",'ESLESTIRME'!$A443,""))</f>
        <v/>
      </c>
      <c r="B443" s="15">
        <f>IF($A443="","",IFERROR(SUMIF(tblMotor[A_Norm],$A443,tblMotor[SiparisToplam]),0))</f>
        <v/>
      </c>
      <c r="C443" s="15">
        <f>IF($A443="","",IFERROR(SUMIF(tblMotor[A_Norm],$A443,tblMotor[Tasarruf]),0))</f>
        <v/>
      </c>
      <c r="D443" s="15">
        <f>IF($A443="","",IFERROR(INDEX(tblMotor[KararSatir],MATCH($A443,tblMotor[A_Norm],0)),""))</f>
        <v/>
      </c>
      <c r="E443" s="15">
        <f>IF($A443="","",IF(OR($D443="DESİ DÜŞÜR",$D443="TAŞIYICI DEĞİŞTİR"),"YUKSEK","NORMAL"))</f>
        <v/>
      </c>
      <c r="F443" s="15">
        <f>IF($A443="","",_xlfn.TEXTJOIN(" ",TRUE,"Sipariş",$A443,"karar",$D443,"toplam",TEXT($B443,"0.00"),"tasarruf",TEXT($C443,"0.00"),"TL"))</f>
        <v/>
      </c>
    </row>
    <row r="444">
      <c r="A444" s="15">
        <f>IF('ESLESTIRME'!$A444="","",IF('ESLESTIRME'!$G444="tutar_farki",'ESLESTIRME'!$A444,""))</f>
        <v/>
      </c>
      <c r="B444" s="15">
        <f>IF($A444="","",IFERROR(SUMIF(tblMotor[A_Norm],$A444,tblMotor[SiparisToplam]),0))</f>
        <v/>
      </c>
      <c r="C444" s="15">
        <f>IF($A444="","",IFERROR(SUMIF(tblMotor[A_Norm],$A444,tblMotor[Tasarruf]),0))</f>
        <v/>
      </c>
      <c r="D444" s="15">
        <f>IF($A444="","",IFERROR(INDEX(tblMotor[KararSatir],MATCH($A444,tblMotor[A_Norm],0)),""))</f>
        <v/>
      </c>
      <c r="E444" s="15">
        <f>IF($A444="","",IF(OR($D444="DESİ DÜŞÜR",$D444="TAŞIYICI DEĞİŞTİR"),"YUKSEK","NORMAL"))</f>
        <v/>
      </c>
      <c r="F444" s="15">
        <f>IF($A444="","",_xlfn.TEXTJOIN(" ",TRUE,"Sipariş",$A444,"karar",$D444,"toplam",TEXT($B444,"0.00"),"tasarruf",TEXT($C444,"0.00"),"TL"))</f>
        <v/>
      </c>
    </row>
    <row r="445">
      <c r="A445" s="15">
        <f>IF('ESLESTIRME'!$A445="","",IF('ESLESTIRME'!$G445="tutar_farki",'ESLESTIRME'!$A445,""))</f>
        <v/>
      </c>
      <c r="B445" s="15">
        <f>IF($A445="","",IFERROR(SUMIF(tblMotor[A_Norm],$A445,tblMotor[SiparisToplam]),0))</f>
        <v/>
      </c>
      <c r="C445" s="15">
        <f>IF($A445="","",IFERROR(SUMIF(tblMotor[A_Norm],$A445,tblMotor[Tasarruf]),0))</f>
        <v/>
      </c>
      <c r="D445" s="15">
        <f>IF($A445="","",IFERROR(INDEX(tblMotor[KararSatir],MATCH($A445,tblMotor[A_Norm],0)),""))</f>
        <v/>
      </c>
      <c r="E445" s="15">
        <f>IF($A445="","",IF(OR($D445="DESİ DÜŞÜR",$D445="TAŞIYICI DEĞİŞTİR"),"YUKSEK","NORMAL"))</f>
        <v/>
      </c>
      <c r="F445" s="15">
        <f>IF($A445="","",_xlfn.TEXTJOIN(" ",TRUE,"Sipariş",$A445,"karar",$D445,"toplam",TEXT($B445,"0.00"),"tasarruf",TEXT($C445,"0.00"),"TL"))</f>
        <v/>
      </c>
    </row>
    <row r="446">
      <c r="A446" s="15">
        <f>IF('ESLESTIRME'!$A446="","",IF('ESLESTIRME'!$G446="tutar_farki",'ESLESTIRME'!$A446,""))</f>
        <v/>
      </c>
      <c r="B446" s="15">
        <f>IF($A446="","",IFERROR(SUMIF(tblMotor[A_Norm],$A446,tblMotor[SiparisToplam]),0))</f>
        <v/>
      </c>
      <c r="C446" s="15">
        <f>IF($A446="","",IFERROR(SUMIF(tblMotor[A_Norm],$A446,tblMotor[Tasarruf]),0))</f>
        <v/>
      </c>
      <c r="D446" s="15">
        <f>IF($A446="","",IFERROR(INDEX(tblMotor[KararSatir],MATCH($A446,tblMotor[A_Norm],0)),""))</f>
        <v/>
      </c>
      <c r="E446" s="15">
        <f>IF($A446="","",IF(OR($D446="DESİ DÜŞÜR",$D446="TAŞIYICI DEĞİŞTİR"),"YUKSEK","NORMAL"))</f>
        <v/>
      </c>
      <c r="F446" s="15">
        <f>IF($A446="","",_xlfn.TEXTJOIN(" ",TRUE,"Sipariş",$A446,"karar",$D446,"toplam",TEXT($B446,"0.00"),"tasarruf",TEXT($C446,"0.00"),"TL"))</f>
        <v/>
      </c>
    </row>
    <row r="447">
      <c r="A447" s="15">
        <f>IF('ESLESTIRME'!$A447="","",IF('ESLESTIRME'!$G447="tutar_farki",'ESLESTIRME'!$A447,""))</f>
        <v/>
      </c>
      <c r="B447" s="15">
        <f>IF($A447="","",IFERROR(SUMIF(tblMotor[A_Norm],$A447,tblMotor[SiparisToplam]),0))</f>
        <v/>
      </c>
      <c r="C447" s="15">
        <f>IF($A447="","",IFERROR(SUMIF(tblMotor[A_Norm],$A447,tblMotor[Tasarruf]),0))</f>
        <v/>
      </c>
      <c r="D447" s="15">
        <f>IF($A447="","",IFERROR(INDEX(tblMotor[KararSatir],MATCH($A447,tblMotor[A_Norm],0)),""))</f>
        <v/>
      </c>
      <c r="E447" s="15">
        <f>IF($A447="","",IF(OR($D447="DESİ DÜŞÜR",$D447="TAŞIYICI DEĞİŞTİR"),"YUKSEK","NORMAL"))</f>
        <v/>
      </c>
      <c r="F447" s="15">
        <f>IF($A447="","",_xlfn.TEXTJOIN(" ",TRUE,"Sipariş",$A447,"karar",$D447,"toplam",TEXT($B447,"0.00"),"tasarruf",TEXT($C447,"0.00"),"TL"))</f>
        <v/>
      </c>
    </row>
    <row r="448">
      <c r="A448" s="15">
        <f>IF('ESLESTIRME'!$A448="","",IF('ESLESTIRME'!$G448="tutar_farki",'ESLESTIRME'!$A448,""))</f>
        <v/>
      </c>
      <c r="B448" s="15">
        <f>IF($A448="","",IFERROR(SUMIF(tblMotor[A_Norm],$A448,tblMotor[SiparisToplam]),0))</f>
        <v/>
      </c>
      <c r="C448" s="15">
        <f>IF($A448="","",IFERROR(SUMIF(tblMotor[A_Norm],$A448,tblMotor[Tasarruf]),0))</f>
        <v/>
      </c>
      <c r="D448" s="15">
        <f>IF($A448="","",IFERROR(INDEX(tblMotor[KararSatir],MATCH($A448,tblMotor[A_Norm],0)),""))</f>
        <v/>
      </c>
      <c r="E448" s="15">
        <f>IF($A448="","",IF(OR($D448="DESİ DÜŞÜR",$D448="TAŞIYICI DEĞİŞTİR"),"YUKSEK","NORMAL"))</f>
        <v/>
      </c>
      <c r="F448" s="15">
        <f>IF($A448="","",_xlfn.TEXTJOIN(" ",TRUE,"Sipariş",$A448,"karar",$D448,"toplam",TEXT($B448,"0.00"),"tasarruf",TEXT($C448,"0.00"),"TL"))</f>
        <v/>
      </c>
    </row>
    <row r="449">
      <c r="A449" s="15">
        <f>IF('ESLESTIRME'!$A449="","",IF('ESLESTIRME'!$G449="tutar_farki",'ESLESTIRME'!$A449,""))</f>
        <v/>
      </c>
      <c r="B449" s="15">
        <f>IF($A449="","",IFERROR(SUMIF(tblMotor[A_Norm],$A449,tblMotor[SiparisToplam]),0))</f>
        <v/>
      </c>
      <c r="C449" s="15">
        <f>IF($A449="","",IFERROR(SUMIF(tblMotor[A_Norm],$A449,tblMotor[Tasarruf]),0))</f>
        <v/>
      </c>
      <c r="D449" s="15">
        <f>IF($A449="","",IFERROR(INDEX(tblMotor[KararSatir],MATCH($A449,tblMotor[A_Norm],0)),""))</f>
        <v/>
      </c>
      <c r="E449" s="15">
        <f>IF($A449="","",IF(OR($D449="DESİ DÜŞÜR",$D449="TAŞIYICI DEĞİŞTİR"),"YUKSEK","NORMAL"))</f>
        <v/>
      </c>
      <c r="F449" s="15">
        <f>IF($A449="","",_xlfn.TEXTJOIN(" ",TRUE,"Sipariş",$A449,"karar",$D449,"toplam",TEXT($B449,"0.00"),"tasarruf",TEXT($C449,"0.00"),"TL"))</f>
        <v/>
      </c>
    </row>
    <row r="450">
      <c r="A450" s="15">
        <f>IF('ESLESTIRME'!$A450="","",IF('ESLESTIRME'!$G450="tutar_farki",'ESLESTIRME'!$A450,""))</f>
        <v/>
      </c>
      <c r="B450" s="15">
        <f>IF($A450="","",IFERROR(SUMIF(tblMotor[A_Norm],$A450,tblMotor[SiparisToplam]),0))</f>
        <v/>
      </c>
      <c r="C450" s="15">
        <f>IF($A450="","",IFERROR(SUMIF(tblMotor[A_Norm],$A450,tblMotor[Tasarruf]),0))</f>
        <v/>
      </c>
      <c r="D450" s="15">
        <f>IF($A450="","",IFERROR(INDEX(tblMotor[KararSatir],MATCH($A450,tblMotor[A_Norm],0)),""))</f>
        <v/>
      </c>
      <c r="E450" s="15">
        <f>IF($A450="","",IF(OR($D450="DESİ DÜŞÜR",$D450="TAŞIYICI DEĞİŞTİR"),"YUKSEK","NORMAL"))</f>
        <v/>
      </c>
      <c r="F450" s="15">
        <f>IF($A450="","",_xlfn.TEXTJOIN(" ",TRUE,"Sipariş",$A450,"karar",$D450,"toplam",TEXT($B450,"0.00"),"tasarruf",TEXT($C450,"0.00"),"TL"))</f>
        <v/>
      </c>
    </row>
    <row r="451">
      <c r="A451" s="15">
        <f>IF('ESLESTIRME'!$A451="","",IF('ESLESTIRME'!$G451="tutar_farki",'ESLESTIRME'!$A451,""))</f>
        <v/>
      </c>
      <c r="B451" s="15">
        <f>IF($A451="","",IFERROR(SUMIF(tblMotor[A_Norm],$A451,tblMotor[SiparisToplam]),0))</f>
        <v/>
      </c>
      <c r="C451" s="15">
        <f>IF($A451="","",IFERROR(SUMIF(tblMotor[A_Norm],$A451,tblMotor[Tasarruf]),0))</f>
        <v/>
      </c>
      <c r="D451" s="15">
        <f>IF($A451="","",IFERROR(INDEX(tblMotor[KararSatir],MATCH($A451,tblMotor[A_Norm],0)),""))</f>
        <v/>
      </c>
      <c r="E451" s="15">
        <f>IF($A451="","",IF(OR($D451="DESİ DÜŞÜR",$D451="TAŞIYICI DEĞİŞTİR"),"YUKSEK","NORMAL"))</f>
        <v/>
      </c>
      <c r="F451" s="15">
        <f>IF($A451="","",_xlfn.TEXTJOIN(" ",TRUE,"Sipariş",$A451,"karar",$D451,"toplam",TEXT($B451,"0.00"),"tasarruf",TEXT($C451,"0.00"),"TL"))</f>
        <v/>
      </c>
    </row>
    <row r="452">
      <c r="A452" s="15">
        <f>IF('ESLESTIRME'!$A452="","",IF('ESLESTIRME'!$G452="tutar_farki",'ESLESTIRME'!$A452,""))</f>
        <v/>
      </c>
      <c r="B452" s="15">
        <f>IF($A452="","",IFERROR(SUMIF(tblMotor[A_Norm],$A452,tblMotor[SiparisToplam]),0))</f>
        <v/>
      </c>
      <c r="C452" s="15">
        <f>IF($A452="","",IFERROR(SUMIF(tblMotor[A_Norm],$A452,tblMotor[Tasarruf]),0))</f>
        <v/>
      </c>
      <c r="D452" s="15">
        <f>IF($A452="","",IFERROR(INDEX(tblMotor[KararSatir],MATCH($A452,tblMotor[A_Norm],0)),""))</f>
        <v/>
      </c>
      <c r="E452" s="15">
        <f>IF($A452="","",IF(OR($D452="DESİ DÜŞÜR",$D452="TAŞIYICI DEĞİŞTİR"),"YUKSEK","NORMAL"))</f>
        <v/>
      </c>
      <c r="F452" s="15">
        <f>IF($A452="","",_xlfn.TEXTJOIN(" ",TRUE,"Sipariş",$A452,"karar",$D452,"toplam",TEXT($B452,"0.00"),"tasarruf",TEXT($C452,"0.00"),"TL"))</f>
        <v/>
      </c>
    </row>
    <row r="453">
      <c r="A453" s="15">
        <f>IF('ESLESTIRME'!$A453="","",IF('ESLESTIRME'!$G453="tutar_farki",'ESLESTIRME'!$A453,""))</f>
        <v/>
      </c>
      <c r="B453" s="15">
        <f>IF($A453="","",IFERROR(SUMIF(tblMotor[A_Norm],$A453,tblMotor[SiparisToplam]),0))</f>
        <v/>
      </c>
      <c r="C453" s="15">
        <f>IF($A453="","",IFERROR(SUMIF(tblMotor[A_Norm],$A453,tblMotor[Tasarruf]),0))</f>
        <v/>
      </c>
      <c r="D453" s="15">
        <f>IF($A453="","",IFERROR(INDEX(tblMotor[KararSatir],MATCH($A453,tblMotor[A_Norm],0)),""))</f>
        <v/>
      </c>
      <c r="E453" s="15">
        <f>IF($A453="","",IF(OR($D453="DESİ DÜŞÜR",$D453="TAŞIYICI DEĞİŞTİR"),"YUKSEK","NORMAL"))</f>
        <v/>
      </c>
      <c r="F453" s="15">
        <f>IF($A453="","",_xlfn.TEXTJOIN(" ",TRUE,"Sipariş",$A453,"karar",$D453,"toplam",TEXT($B453,"0.00"),"tasarruf",TEXT($C453,"0.00"),"TL"))</f>
        <v/>
      </c>
    </row>
    <row r="454">
      <c r="A454" s="15">
        <f>IF('ESLESTIRME'!$A454="","",IF('ESLESTIRME'!$G454="tutar_farki",'ESLESTIRME'!$A454,""))</f>
        <v/>
      </c>
      <c r="B454" s="15">
        <f>IF($A454="","",IFERROR(SUMIF(tblMotor[A_Norm],$A454,tblMotor[SiparisToplam]),0))</f>
        <v/>
      </c>
      <c r="C454" s="15">
        <f>IF($A454="","",IFERROR(SUMIF(tblMotor[A_Norm],$A454,tblMotor[Tasarruf]),0))</f>
        <v/>
      </c>
      <c r="D454" s="15">
        <f>IF($A454="","",IFERROR(INDEX(tblMotor[KararSatir],MATCH($A454,tblMotor[A_Norm],0)),""))</f>
        <v/>
      </c>
      <c r="E454" s="15">
        <f>IF($A454="","",IF(OR($D454="DESİ DÜŞÜR",$D454="TAŞIYICI DEĞİŞTİR"),"YUKSEK","NORMAL"))</f>
        <v/>
      </c>
      <c r="F454" s="15">
        <f>IF($A454="","",_xlfn.TEXTJOIN(" ",TRUE,"Sipariş",$A454,"karar",$D454,"toplam",TEXT($B454,"0.00"),"tasarruf",TEXT($C454,"0.00"),"TL"))</f>
        <v/>
      </c>
    </row>
    <row r="455">
      <c r="A455" s="15">
        <f>IF('ESLESTIRME'!$A455="","",IF('ESLESTIRME'!$G455="tutar_farki",'ESLESTIRME'!$A455,""))</f>
        <v/>
      </c>
      <c r="B455" s="15">
        <f>IF($A455="","",IFERROR(SUMIF(tblMotor[A_Norm],$A455,tblMotor[SiparisToplam]),0))</f>
        <v/>
      </c>
      <c r="C455" s="15">
        <f>IF($A455="","",IFERROR(SUMIF(tblMotor[A_Norm],$A455,tblMotor[Tasarruf]),0))</f>
        <v/>
      </c>
      <c r="D455" s="15">
        <f>IF($A455="","",IFERROR(INDEX(tblMotor[KararSatir],MATCH($A455,tblMotor[A_Norm],0)),""))</f>
        <v/>
      </c>
      <c r="E455" s="15">
        <f>IF($A455="","",IF(OR($D455="DESİ DÜŞÜR",$D455="TAŞIYICI DEĞİŞTİR"),"YUKSEK","NORMAL"))</f>
        <v/>
      </c>
      <c r="F455" s="15">
        <f>IF($A455="","",_xlfn.TEXTJOIN(" ",TRUE,"Sipariş",$A455,"karar",$D455,"toplam",TEXT($B455,"0.00"),"tasarruf",TEXT($C455,"0.00"),"TL"))</f>
        <v/>
      </c>
    </row>
    <row r="456">
      <c r="A456" s="15">
        <f>IF('ESLESTIRME'!$A456="","",IF('ESLESTIRME'!$G456="tutar_farki",'ESLESTIRME'!$A456,""))</f>
        <v/>
      </c>
      <c r="B456" s="15">
        <f>IF($A456="","",IFERROR(SUMIF(tblMotor[A_Norm],$A456,tblMotor[SiparisToplam]),0))</f>
        <v/>
      </c>
      <c r="C456" s="15">
        <f>IF($A456="","",IFERROR(SUMIF(tblMotor[A_Norm],$A456,tblMotor[Tasarruf]),0))</f>
        <v/>
      </c>
      <c r="D456" s="15">
        <f>IF($A456="","",IFERROR(INDEX(tblMotor[KararSatir],MATCH($A456,tblMotor[A_Norm],0)),""))</f>
        <v/>
      </c>
      <c r="E456" s="15">
        <f>IF($A456="","",IF(OR($D456="DESİ DÜŞÜR",$D456="TAŞIYICI DEĞİŞTİR"),"YUKSEK","NORMAL"))</f>
        <v/>
      </c>
      <c r="F456" s="15">
        <f>IF($A456="","",_xlfn.TEXTJOIN(" ",TRUE,"Sipariş",$A456,"karar",$D456,"toplam",TEXT($B456,"0.00"),"tasarruf",TEXT($C456,"0.00"),"TL"))</f>
        <v/>
      </c>
    </row>
    <row r="457">
      <c r="A457" s="15">
        <f>IF('ESLESTIRME'!$A457="","",IF('ESLESTIRME'!$G457="tutar_farki",'ESLESTIRME'!$A457,""))</f>
        <v/>
      </c>
      <c r="B457" s="15">
        <f>IF($A457="","",IFERROR(SUMIF(tblMotor[A_Norm],$A457,tblMotor[SiparisToplam]),0))</f>
        <v/>
      </c>
      <c r="C457" s="15">
        <f>IF($A457="","",IFERROR(SUMIF(tblMotor[A_Norm],$A457,tblMotor[Tasarruf]),0))</f>
        <v/>
      </c>
      <c r="D457" s="15">
        <f>IF($A457="","",IFERROR(INDEX(tblMotor[KararSatir],MATCH($A457,tblMotor[A_Norm],0)),""))</f>
        <v/>
      </c>
      <c r="E457" s="15">
        <f>IF($A457="","",IF(OR($D457="DESİ DÜŞÜR",$D457="TAŞIYICI DEĞİŞTİR"),"YUKSEK","NORMAL"))</f>
        <v/>
      </c>
      <c r="F457" s="15">
        <f>IF($A457="","",_xlfn.TEXTJOIN(" ",TRUE,"Sipariş",$A457,"karar",$D457,"toplam",TEXT($B457,"0.00"),"tasarruf",TEXT($C457,"0.00"),"TL"))</f>
        <v/>
      </c>
    </row>
    <row r="458">
      <c r="A458" s="15">
        <f>IF('ESLESTIRME'!$A458="","",IF('ESLESTIRME'!$G458="tutar_farki",'ESLESTIRME'!$A458,""))</f>
        <v/>
      </c>
      <c r="B458" s="15">
        <f>IF($A458="","",IFERROR(SUMIF(tblMotor[A_Norm],$A458,tblMotor[SiparisToplam]),0))</f>
        <v/>
      </c>
      <c r="C458" s="15">
        <f>IF($A458="","",IFERROR(SUMIF(tblMotor[A_Norm],$A458,tblMotor[Tasarruf]),0))</f>
        <v/>
      </c>
      <c r="D458" s="15">
        <f>IF($A458="","",IFERROR(INDEX(tblMotor[KararSatir],MATCH($A458,tblMotor[A_Norm],0)),""))</f>
        <v/>
      </c>
      <c r="E458" s="15">
        <f>IF($A458="","",IF(OR($D458="DESİ DÜŞÜR",$D458="TAŞIYICI DEĞİŞTİR"),"YUKSEK","NORMAL"))</f>
        <v/>
      </c>
      <c r="F458" s="15">
        <f>IF($A458="","",_xlfn.TEXTJOIN(" ",TRUE,"Sipariş",$A458,"karar",$D458,"toplam",TEXT($B458,"0.00"),"tasarruf",TEXT($C458,"0.00"),"TL"))</f>
        <v/>
      </c>
    </row>
    <row r="459">
      <c r="A459" s="15">
        <f>IF('ESLESTIRME'!$A459="","",IF('ESLESTIRME'!$G459="tutar_farki",'ESLESTIRME'!$A459,""))</f>
        <v/>
      </c>
      <c r="B459" s="15">
        <f>IF($A459="","",IFERROR(SUMIF(tblMotor[A_Norm],$A459,tblMotor[SiparisToplam]),0))</f>
        <v/>
      </c>
      <c r="C459" s="15">
        <f>IF($A459="","",IFERROR(SUMIF(tblMotor[A_Norm],$A459,tblMotor[Tasarruf]),0))</f>
        <v/>
      </c>
      <c r="D459" s="15">
        <f>IF($A459="","",IFERROR(INDEX(tblMotor[KararSatir],MATCH($A459,tblMotor[A_Norm],0)),""))</f>
        <v/>
      </c>
      <c r="E459" s="15">
        <f>IF($A459="","",IF(OR($D459="DESİ DÜŞÜR",$D459="TAŞIYICI DEĞİŞTİR"),"YUKSEK","NORMAL"))</f>
        <v/>
      </c>
      <c r="F459" s="15">
        <f>IF($A459="","",_xlfn.TEXTJOIN(" ",TRUE,"Sipariş",$A459,"karar",$D459,"toplam",TEXT($B459,"0.00"),"tasarruf",TEXT($C459,"0.00"),"TL"))</f>
        <v/>
      </c>
    </row>
    <row r="460">
      <c r="A460" s="15">
        <f>IF('ESLESTIRME'!$A460="","",IF('ESLESTIRME'!$G460="tutar_farki",'ESLESTIRME'!$A460,""))</f>
        <v/>
      </c>
      <c r="B460" s="15">
        <f>IF($A460="","",IFERROR(SUMIF(tblMotor[A_Norm],$A460,tblMotor[SiparisToplam]),0))</f>
        <v/>
      </c>
      <c r="C460" s="15">
        <f>IF($A460="","",IFERROR(SUMIF(tblMotor[A_Norm],$A460,tblMotor[Tasarruf]),0))</f>
        <v/>
      </c>
      <c r="D460" s="15">
        <f>IF($A460="","",IFERROR(INDEX(tblMotor[KararSatir],MATCH($A460,tblMotor[A_Norm],0)),""))</f>
        <v/>
      </c>
      <c r="E460" s="15">
        <f>IF($A460="","",IF(OR($D460="DESİ DÜŞÜR",$D460="TAŞIYICI DEĞİŞTİR"),"YUKSEK","NORMAL"))</f>
        <v/>
      </c>
      <c r="F460" s="15">
        <f>IF($A460="","",_xlfn.TEXTJOIN(" ",TRUE,"Sipariş",$A460,"karar",$D460,"toplam",TEXT($B460,"0.00"),"tasarruf",TEXT($C460,"0.00"),"TL"))</f>
        <v/>
      </c>
    </row>
    <row r="461">
      <c r="A461" s="15">
        <f>IF('ESLESTIRME'!$A461="","",IF('ESLESTIRME'!$G461="tutar_farki",'ESLESTIRME'!$A461,""))</f>
        <v/>
      </c>
      <c r="B461" s="15">
        <f>IF($A461="","",IFERROR(SUMIF(tblMotor[A_Norm],$A461,tblMotor[SiparisToplam]),0))</f>
        <v/>
      </c>
      <c r="C461" s="15">
        <f>IF($A461="","",IFERROR(SUMIF(tblMotor[A_Norm],$A461,tblMotor[Tasarruf]),0))</f>
        <v/>
      </c>
      <c r="D461" s="15">
        <f>IF($A461="","",IFERROR(INDEX(tblMotor[KararSatir],MATCH($A461,tblMotor[A_Norm],0)),""))</f>
        <v/>
      </c>
      <c r="E461" s="15">
        <f>IF($A461="","",IF(OR($D461="DESİ DÜŞÜR",$D461="TAŞIYICI DEĞİŞTİR"),"YUKSEK","NORMAL"))</f>
        <v/>
      </c>
      <c r="F461" s="15">
        <f>IF($A461="","",_xlfn.TEXTJOIN(" ",TRUE,"Sipariş",$A461,"karar",$D461,"toplam",TEXT($B461,"0.00"),"tasarruf",TEXT($C461,"0.00"),"TL"))</f>
        <v/>
      </c>
    </row>
    <row r="462">
      <c r="A462" s="15">
        <f>IF('ESLESTIRME'!$A462="","",IF('ESLESTIRME'!$G462="tutar_farki",'ESLESTIRME'!$A462,""))</f>
        <v/>
      </c>
      <c r="B462" s="15">
        <f>IF($A462="","",IFERROR(SUMIF(tblMotor[A_Norm],$A462,tblMotor[SiparisToplam]),0))</f>
        <v/>
      </c>
      <c r="C462" s="15">
        <f>IF($A462="","",IFERROR(SUMIF(tblMotor[A_Norm],$A462,tblMotor[Tasarruf]),0))</f>
        <v/>
      </c>
      <c r="D462" s="15">
        <f>IF($A462="","",IFERROR(INDEX(tblMotor[KararSatir],MATCH($A462,tblMotor[A_Norm],0)),""))</f>
        <v/>
      </c>
      <c r="E462" s="15">
        <f>IF($A462="","",IF(OR($D462="DESİ DÜŞÜR",$D462="TAŞIYICI DEĞİŞTİR"),"YUKSEK","NORMAL"))</f>
        <v/>
      </c>
      <c r="F462" s="15">
        <f>IF($A462="","",_xlfn.TEXTJOIN(" ",TRUE,"Sipariş",$A462,"karar",$D462,"toplam",TEXT($B462,"0.00"),"tasarruf",TEXT($C462,"0.00"),"TL"))</f>
        <v/>
      </c>
    </row>
    <row r="463">
      <c r="A463" s="15">
        <f>IF('ESLESTIRME'!$A463="","",IF('ESLESTIRME'!$G463="tutar_farki",'ESLESTIRME'!$A463,""))</f>
        <v/>
      </c>
      <c r="B463" s="15">
        <f>IF($A463="","",IFERROR(SUMIF(tblMotor[A_Norm],$A463,tblMotor[SiparisToplam]),0))</f>
        <v/>
      </c>
      <c r="C463" s="15">
        <f>IF($A463="","",IFERROR(SUMIF(tblMotor[A_Norm],$A463,tblMotor[Tasarruf]),0))</f>
        <v/>
      </c>
      <c r="D463" s="15">
        <f>IF($A463="","",IFERROR(INDEX(tblMotor[KararSatir],MATCH($A463,tblMotor[A_Norm],0)),""))</f>
        <v/>
      </c>
      <c r="E463" s="15">
        <f>IF($A463="","",IF(OR($D463="DESİ DÜŞÜR",$D463="TAŞIYICI DEĞİŞTİR"),"YUKSEK","NORMAL"))</f>
        <v/>
      </c>
      <c r="F463" s="15">
        <f>IF($A463="","",_xlfn.TEXTJOIN(" ",TRUE,"Sipariş",$A463,"karar",$D463,"toplam",TEXT($B463,"0.00"),"tasarruf",TEXT($C463,"0.00"),"TL"))</f>
        <v/>
      </c>
    </row>
    <row r="464">
      <c r="A464" s="15">
        <f>IF('ESLESTIRME'!$A464="","",IF('ESLESTIRME'!$G464="tutar_farki",'ESLESTIRME'!$A464,""))</f>
        <v/>
      </c>
      <c r="B464" s="15">
        <f>IF($A464="","",IFERROR(SUMIF(tblMotor[A_Norm],$A464,tblMotor[SiparisToplam]),0))</f>
        <v/>
      </c>
      <c r="C464" s="15">
        <f>IF($A464="","",IFERROR(SUMIF(tblMotor[A_Norm],$A464,tblMotor[Tasarruf]),0))</f>
        <v/>
      </c>
      <c r="D464" s="15">
        <f>IF($A464="","",IFERROR(INDEX(tblMotor[KararSatir],MATCH($A464,tblMotor[A_Norm],0)),""))</f>
        <v/>
      </c>
      <c r="E464" s="15">
        <f>IF($A464="","",IF(OR($D464="DESİ DÜŞÜR",$D464="TAŞIYICI DEĞİŞTİR"),"YUKSEK","NORMAL"))</f>
        <v/>
      </c>
      <c r="F464" s="15">
        <f>IF($A464="","",_xlfn.TEXTJOIN(" ",TRUE,"Sipariş",$A464,"karar",$D464,"toplam",TEXT($B464,"0.00"),"tasarruf",TEXT($C464,"0.00"),"TL"))</f>
        <v/>
      </c>
    </row>
    <row r="465">
      <c r="A465" s="15">
        <f>IF('ESLESTIRME'!$A465="","",IF('ESLESTIRME'!$G465="tutar_farki",'ESLESTIRME'!$A465,""))</f>
        <v/>
      </c>
      <c r="B465" s="15">
        <f>IF($A465="","",IFERROR(SUMIF(tblMotor[A_Norm],$A465,tblMotor[SiparisToplam]),0))</f>
        <v/>
      </c>
      <c r="C465" s="15">
        <f>IF($A465="","",IFERROR(SUMIF(tblMotor[A_Norm],$A465,tblMotor[Tasarruf]),0))</f>
        <v/>
      </c>
      <c r="D465" s="15">
        <f>IF($A465="","",IFERROR(INDEX(tblMotor[KararSatir],MATCH($A465,tblMotor[A_Norm],0)),""))</f>
        <v/>
      </c>
      <c r="E465" s="15">
        <f>IF($A465="","",IF(OR($D465="DESİ DÜŞÜR",$D465="TAŞIYICI DEĞİŞTİR"),"YUKSEK","NORMAL"))</f>
        <v/>
      </c>
      <c r="F465" s="15">
        <f>IF($A465="","",_xlfn.TEXTJOIN(" ",TRUE,"Sipariş",$A465,"karar",$D465,"toplam",TEXT($B465,"0.00"),"tasarruf",TEXT($C465,"0.00"),"TL"))</f>
        <v/>
      </c>
    </row>
    <row r="466">
      <c r="A466" s="15">
        <f>IF('ESLESTIRME'!$A466="","",IF('ESLESTIRME'!$G466="tutar_farki",'ESLESTIRME'!$A466,""))</f>
        <v/>
      </c>
      <c r="B466" s="15">
        <f>IF($A466="","",IFERROR(SUMIF(tblMotor[A_Norm],$A466,tblMotor[SiparisToplam]),0))</f>
        <v/>
      </c>
      <c r="C466" s="15">
        <f>IF($A466="","",IFERROR(SUMIF(tblMotor[A_Norm],$A466,tblMotor[Tasarruf]),0))</f>
        <v/>
      </c>
      <c r="D466" s="15">
        <f>IF($A466="","",IFERROR(INDEX(tblMotor[KararSatir],MATCH($A466,tblMotor[A_Norm],0)),""))</f>
        <v/>
      </c>
      <c r="E466" s="15">
        <f>IF($A466="","",IF(OR($D466="DESİ DÜŞÜR",$D466="TAŞIYICI DEĞİŞTİR"),"YUKSEK","NORMAL"))</f>
        <v/>
      </c>
      <c r="F466" s="15">
        <f>IF($A466="","",_xlfn.TEXTJOIN(" ",TRUE,"Sipariş",$A466,"karar",$D466,"toplam",TEXT($B466,"0.00"),"tasarruf",TEXT($C466,"0.00"),"TL"))</f>
        <v/>
      </c>
    </row>
    <row r="467">
      <c r="A467" s="15">
        <f>IF('ESLESTIRME'!$A467="","",IF('ESLESTIRME'!$G467="tutar_farki",'ESLESTIRME'!$A467,""))</f>
        <v/>
      </c>
      <c r="B467" s="15">
        <f>IF($A467="","",IFERROR(SUMIF(tblMotor[A_Norm],$A467,tblMotor[SiparisToplam]),0))</f>
        <v/>
      </c>
      <c r="C467" s="15">
        <f>IF($A467="","",IFERROR(SUMIF(tblMotor[A_Norm],$A467,tblMotor[Tasarruf]),0))</f>
        <v/>
      </c>
      <c r="D467" s="15">
        <f>IF($A467="","",IFERROR(INDEX(tblMotor[KararSatir],MATCH($A467,tblMotor[A_Norm],0)),""))</f>
        <v/>
      </c>
      <c r="E467" s="15">
        <f>IF($A467="","",IF(OR($D467="DESİ DÜŞÜR",$D467="TAŞIYICI DEĞİŞTİR"),"YUKSEK","NORMAL"))</f>
        <v/>
      </c>
      <c r="F467" s="15">
        <f>IF($A467="","",_xlfn.TEXTJOIN(" ",TRUE,"Sipariş",$A467,"karar",$D467,"toplam",TEXT($B467,"0.00"),"tasarruf",TEXT($C467,"0.00"),"TL"))</f>
        <v/>
      </c>
    </row>
    <row r="468">
      <c r="A468" s="15">
        <f>IF('ESLESTIRME'!$A468="","",IF('ESLESTIRME'!$G468="tutar_farki",'ESLESTIRME'!$A468,""))</f>
        <v/>
      </c>
      <c r="B468" s="15">
        <f>IF($A468="","",IFERROR(SUMIF(tblMotor[A_Norm],$A468,tblMotor[SiparisToplam]),0))</f>
        <v/>
      </c>
      <c r="C468" s="15">
        <f>IF($A468="","",IFERROR(SUMIF(tblMotor[A_Norm],$A468,tblMotor[Tasarruf]),0))</f>
        <v/>
      </c>
      <c r="D468" s="15">
        <f>IF($A468="","",IFERROR(INDEX(tblMotor[KararSatir],MATCH($A468,tblMotor[A_Norm],0)),""))</f>
        <v/>
      </c>
      <c r="E468" s="15">
        <f>IF($A468="","",IF(OR($D468="DESİ DÜŞÜR",$D468="TAŞIYICI DEĞİŞTİR"),"YUKSEK","NORMAL"))</f>
        <v/>
      </c>
      <c r="F468" s="15">
        <f>IF($A468="","",_xlfn.TEXTJOIN(" ",TRUE,"Sipariş",$A468,"karar",$D468,"toplam",TEXT($B468,"0.00"),"tasarruf",TEXT($C468,"0.00"),"TL"))</f>
        <v/>
      </c>
    </row>
    <row r="469">
      <c r="A469" s="15">
        <f>IF('ESLESTIRME'!$A469="","",IF('ESLESTIRME'!$G469="tutar_farki",'ESLESTIRME'!$A469,""))</f>
        <v/>
      </c>
      <c r="B469" s="15">
        <f>IF($A469="","",IFERROR(SUMIF(tblMotor[A_Norm],$A469,tblMotor[SiparisToplam]),0))</f>
        <v/>
      </c>
      <c r="C469" s="15">
        <f>IF($A469="","",IFERROR(SUMIF(tblMotor[A_Norm],$A469,tblMotor[Tasarruf]),0))</f>
        <v/>
      </c>
      <c r="D469" s="15">
        <f>IF($A469="","",IFERROR(INDEX(tblMotor[KararSatir],MATCH($A469,tblMotor[A_Norm],0)),""))</f>
        <v/>
      </c>
      <c r="E469" s="15">
        <f>IF($A469="","",IF(OR($D469="DESİ DÜŞÜR",$D469="TAŞIYICI DEĞİŞTİR"),"YUKSEK","NORMAL"))</f>
        <v/>
      </c>
      <c r="F469" s="15">
        <f>IF($A469="","",_xlfn.TEXTJOIN(" ",TRUE,"Sipariş",$A469,"karar",$D469,"toplam",TEXT($B469,"0.00"),"tasarruf",TEXT($C469,"0.00"),"TL"))</f>
        <v/>
      </c>
    </row>
    <row r="470">
      <c r="A470" s="15">
        <f>IF('ESLESTIRME'!$A470="","",IF('ESLESTIRME'!$G470="tutar_farki",'ESLESTIRME'!$A470,""))</f>
        <v/>
      </c>
      <c r="B470" s="15">
        <f>IF($A470="","",IFERROR(SUMIF(tblMotor[A_Norm],$A470,tblMotor[SiparisToplam]),0))</f>
        <v/>
      </c>
      <c r="C470" s="15">
        <f>IF($A470="","",IFERROR(SUMIF(tblMotor[A_Norm],$A470,tblMotor[Tasarruf]),0))</f>
        <v/>
      </c>
      <c r="D470" s="15">
        <f>IF($A470="","",IFERROR(INDEX(tblMotor[KararSatir],MATCH($A470,tblMotor[A_Norm],0)),""))</f>
        <v/>
      </c>
      <c r="E470" s="15">
        <f>IF($A470="","",IF(OR($D470="DESİ DÜŞÜR",$D470="TAŞIYICI DEĞİŞTİR"),"YUKSEK","NORMAL"))</f>
        <v/>
      </c>
      <c r="F470" s="15">
        <f>IF($A470="","",_xlfn.TEXTJOIN(" ",TRUE,"Sipariş",$A470,"karar",$D470,"toplam",TEXT($B470,"0.00"),"tasarruf",TEXT($C470,"0.00"),"TL"))</f>
        <v/>
      </c>
    </row>
    <row r="471">
      <c r="A471" s="15">
        <f>IF('ESLESTIRME'!$A471="","",IF('ESLESTIRME'!$G471="tutar_farki",'ESLESTIRME'!$A471,""))</f>
        <v/>
      </c>
      <c r="B471" s="15">
        <f>IF($A471="","",IFERROR(SUMIF(tblMotor[A_Norm],$A471,tblMotor[SiparisToplam]),0))</f>
        <v/>
      </c>
      <c r="C471" s="15">
        <f>IF($A471="","",IFERROR(SUMIF(tblMotor[A_Norm],$A471,tblMotor[Tasarruf]),0))</f>
        <v/>
      </c>
      <c r="D471" s="15">
        <f>IF($A471="","",IFERROR(INDEX(tblMotor[KararSatir],MATCH($A471,tblMotor[A_Norm],0)),""))</f>
        <v/>
      </c>
      <c r="E471" s="15">
        <f>IF($A471="","",IF(OR($D471="DESİ DÜŞÜR",$D471="TAŞIYICI DEĞİŞTİR"),"YUKSEK","NORMAL"))</f>
        <v/>
      </c>
      <c r="F471" s="15">
        <f>IF($A471="","",_xlfn.TEXTJOIN(" ",TRUE,"Sipariş",$A471,"karar",$D471,"toplam",TEXT($B471,"0.00"),"tasarruf",TEXT($C471,"0.00"),"TL"))</f>
        <v/>
      </c>
    </row>
    <row r="472">
      <c r="A472" s="15">
        <f>IF('ESLESTIRME'!$A472="","",IF('ESLESTIRME'!$G472="tutar_farki",'ESLESTIRME'!$A472,""))</f>
        <v/>
      </c>
      <c r="B472" s="15">
        <f>IF($A472="","",IFERROR(SUMIF(tblMotor[A_Norm],$A472,tblMotor[SiparisToplam]),0))</f>
        <v/>
      </c>
      <c r="C472" s="15">
        <f>IF($A472="","",IFERROR(SUMIF(tblMotor[A_Norm],$A472,tblMotor[Tasarruf]),0))</f>
        <v/>
      </c>
      <c r="D472" s="15">
        <f>IF($A472="","",IFERROR(INDEX(tblMotor[KararSatir],MATCH($A472,tblMotor[A_Norm],0)),""))</f>
        <v/>
      </c>
      <c r="E472" s="15">
        <f>IF($A472="","",IF(OR($D472="DESİ DÜŞÜR",$D472="TAŞIYICI DEĞİŞTİR"),"YUKSEK","NORMAL"))</f>
        <v/>
      </c>
      <c r="F472" s="15">
        <f>IF($A472="","",_xlfn.TEXTJOIN(" ",TRUE,"Sipariş",$A472,"karar",$D472,"toplam",TEXT($B472,"0.00"),"tasarruf",TEXT($C472,"0.00"),"TL"))</f>
        <v/>
      </c>
    </row>
    <row r="473">
      <c r="A473" s="15">
        <f>IF('ESLESTIRME'!$A473="","",IF('ESLESTIRME'!$G473="tutar_farki",'ESLESTIRME'!$A473,""))</f>
        <v/>
      </c>
      <c r="B473" s="15">
        <f>IF($A473="","",IFERROR(SUMIF(tblMotor[A_Norm],$A473,tblMotor[SiparisToplam]),0))</f>
        <v/>
      </c>
      <c r="C473" s="15">
        <f>IF($A473="","",IFERROR(SUMIF(tblMotor[A_Norm],$A473,tblMotor[Tasarruf]),0))</f>
        <v/>
      </c>
      <c r="D473" s="15">
        <f>IF($A473="","",IFERROR(INDEX(tblMotor[KararSatir],MATCH($A473,tblMotor[A_Norm],0)),""))</f>
        <v/>
      </c>
      <c r="E473" s="15">
        <f>IF($A473="","",IF(OR($D473="DESİ DÜŞÜR",$D473="TAŞIYICI DEĞİŞTİR"),"YUKSEK","NORMAL"))</f>
        <v/>
      </c>
      <c r="F473" s="15">
        <f>IF($A473="","",_xlfn.TEXTJOIN(" ",TRUE,"Sipariş",$A473,"karar",$D473,"toplam",TEXT($B473,"0.00"),"tasarruf",TEXT($C473,"0.00"),"TL"))</f>
        <v/>
      </c>
    </row>
    <row r="474">
      <c r="A474" s="15">
        <f>IF('ESLESTIRME'!$A474="","",IF('ESLESTIRME'!$G474="tutar_farki",'ESLESTIRME'!$A474,""))</f>
        <v/>
      </c>
      <c r="B474" s="15">
        <f>IF($A474="","",IFERROR(SUMIF(tblMotor[A_Norm],$A474,tblMotor[SiparisToplam]),0))</f>
        <v/>
      </c>
      <c r="C474" s="15">
        <f>IF($A474="","",IFERROR(SUMIF(tblMotor[A_Norm],$A474,tblMotor[Tasarruf]),0))</f>
        <v/>
      </c>
      <c r="D474" s="15">
        <f>IF($A474="","",IFERROR(INDEX(tblMotor[KararSatir],MATCH($A474,tblMotor[A_Norm],0)),""))</f>
        <v/>
      </c>
      <c r="E474" s="15">
        <f>IF($A474="","",IF(OR($D474="DESİ DÜŞÜR",$D474="TAŞIYICI DEĞİŞTİR"),"YUKSEK","NORMAL"))</f>
        <v/>
      </c>
      <c r="F474" s="15">
        <f>IF($A474="","",_xlfn.TEXTJOIN(" ",TRUE,"Sipariş",$A474,"karar",$D474,"toplam",TEXT($B474,"0.00"),"tasarruf",TEXT($C474,"0.00"),"TL"))</f>
        <v/>
      </c>
    </row>
    <row r="475">
      <c r="A475" s="15">
        <f>IF('ESLESTIRME'!$A475="","",IF('ESLESTIRME'!$G475="tutar_farki",'ESLESTIRME'!$A475,""))</f>
        <v/>
      </c>
      <c r="B475" s="15">
        <f>IF($A475="","",IFERROR(SUMIF(tblMotor[A_Norm],$A475,tblMotor[SiparisToplam]),0))</f>
        <v/>
      </c>
      <c r="C475" s="15">
        <f>IF($A475="","",IFERROR(SUMIF(tblMotor[A_Norm],$A475,tblMotor[Tasarruf]),0))</f>
        <v/>
      </c>
      <c r="D475" s="15">
        <f>IF($A475="","",IFERROR(INDEX(tblMotor[KararSatir],MATCH($A475,tblMotor[A_Norm],0)),""))</f>
        <v/>
      </c>
      <c r="E475" s="15">
        <f>IF($A475="","",IF(OR($D475="DESİ DÜŞÜR",$D475="TAŞIYICI DEĞİŞTİR"),"YUKSEK","NORMAL"))</f>
        <v/>
      </c>
      <c r="F475" s="15">
        <f>IF($A475="","",_xlfn.TEXTJOIN(" ",TRUE,"Sipariş",$A475,"karar",$D475,"toplam",TEXT($B475,"0.00"),"tasarruf",TEXT($C475,"0.00"),"TL"))</f>
        <v/>
      </c>
    </row>
    <row r="476">
      <c r="A476" s="15">
        <f>IF('ESLESTIRME'!$A476="","",IF('ESLESTIRME'!$G476="tutar_farki",'ESLESTIRME'!$A476,""))</f>
        <v/>
      </c>
      <c r="B476" s="15">
        <f>IF($A476="","",IFERROR(SUMIF(tblMotor[A_Norm],$A476,tblMotor[SiparisToplam]),0))</f>
        <v/>
      </c>
      <c r="C476" s="15">
        <f>IF($A476="","",IFERROR(SUMIF(tblMotor[A_Norm],$A476,tblMotor[Tasarruf]),0))</f>
        <v/>
      </c>
      <c r="D476" s="15">
        <f>IF($A476="","",IFERROR(INDEX(tblMotor[KararSatir],MATCH($A476,tblMotor[A_Norm],0)),""))</f>
        <v/>
      </c>
      <c r="E476" s="15">
        <f>IF($A476="","",IF(OR($D476="DESİ DÜŞÜR",$D476="TAŞIYICI DEĞİŞTİR"),"YUKSEK","NORMAL"))</f>
        <v/>
      </c>
      <c r="F476" s="15">
        <f>IF($A476="","",_xlfn.TEXTJOIN(" ",TRUE,"Sipariş",$A476,"karar",$D476,"toplam",TEXT($B476,"0.00"),"tasarruf",TEXT($C476,"0.00"),"TL"))</f>
        <v/>
      </c>
    </row>
    <row r="477">
      <c r="A477" s="15">
        <f>IF('ESLESTIRME'!$A477="","",IF('ESLESTIRME'!$G477="tutar_farki",'ESLESTIRME'!$A477,""))</f>
        <v/>
      </c>
      <c r="B477" s="15">
        <f>IF($A477="","",IFERROR(SUMIF(tblMotor[A_Norm],$A477,tblMotor[SiparisToplam]),0))</f>
        <v/>
      </c>
      <c r="C477" s="15">
        <f>IF($A477="","",IFERROR(SUMIF(tblMotor[A_Norm],$A477,tblMotor[Tasarruf]),0))</f>
        <v/>
      </c>
      <c r="D477" s="15">
        <f>IF($A477="","",IFERROR(INDEX(tblMotor[KararSatir],MATCH($A477,tblMotor[A_Norm],0)),""))</f>
        <v/>
      </c>
      <c r="E477" s="15">
        <f>IF($A477="","",IF(OR($D477="DESİ DÜŞÜR",$D477="TAŞIYICI DEĞİŞTİR"),"YUKSEK","NORMAL"))</f>
        <v/>
      </c>
      <c r="F477" s="15">
        <f>IF($A477="","",_xlfn.TEXTJOIN(" ",TRUE,"Sipariş",$A477,"karar",$D477,"toplam",TEXT($B477,"0.00"),"tasarruf",TEXT($C477,"0.00"),"TL"))</f>
        <v/>
      </c>
    </row>
    <row r="478">
      <c r="A478" s="15">
        <f>IF('ESLESTIRME'!$A478="","",IF('ESLESTIRME'!$G478="tutar_farki",'ESLESTIRME'!$A478,""))</f>
        <v/>
      </c>
      <c r="B478" s="15">
        <f>IF($A478="","",IFERROR(SUMIF(tblMotor[A_Norm],$A478,tblMotor[SiparisToplam]),0))</f>
        <v/>
      </c>
      <c r="C478" s="15">
        <f>IF($A478="","",IFERROR(SUMIF(tblMotor[A_Norm],$A478,tblMotor[Tasarruf]),0))</f>
        <v/>
      </c>
      <c r="D478" s="15">
        <f>IF($A478="","",IFERROR(INDEX(tblMotor[KararSatir],MATCH($A478,tblMotor[A_Norm],0)),""))</f>
        <v/>
      </c>
      <c r="E478" s="15">
        <f>IF($A478="","",IF(OR($D478="DESİ DÜŞÜR",$D478="TAŞIYICI DEĞİŞTİR"),"YUKSEK","NORMAL"))</f>
        <v/>
      </c>
      <c r="F478" s="15">
        <f>IF($A478="","",_xlfn.TEXTJOIN(" ",TRUE,"Sipariş",$A478,"karar",$D478,"toplam",TEXT($B478,"0.00"),"tasarruf",TEXT($C478,"0.00"),"TL"))</f>
        <v/>
      </c>
    </row>
    <row r="479">
      <c r="A479" s="15">
        <f>IF('ESLESTIRME'!$A479="","",IF('ESLESTIRME'!$G479="tutar_farki",'ESLESTIRME'!$A479,""))</f>
        <v/>
      </c>
      <c r="B479" s="15">
        <f>IF($A479="","",IFERROR(SUMIF(tblMotor[A_Norm],$A479,tblMotor[SiparisToplam]),0))</f>
        <v/>
      </c>
      <c r="C479" s="15">
        <f>IF($A479="","",IFERROR(SUMIF(tblMotor[A_Norm],$A479,tblMotor[Tasarruf]),0))</f>
        <v/>
      </c>
      <c r="D479" s="15">
        <f>IF($A479="","",IFERROR(INDEX(tblMotor[KararSatir],MATCH($A479,tblMotor[A_Norm],0)),""))</f>
        <v/>
      </c>
      <c r="E479" s="15">
        <f>IF($A479="","",IF(OR($D479="DESİ DÜŞÜR",$D479="TAŞIYICI DEĞİŞTİR"),"YUKSEK","NORMAL"))</f>
        <v/>
      </c>
      <c r="F479" s="15">
        <f>IF($A479="","",_xlfn.TEXTJOIN(" ",TRUE,"Sipariş",$A479,"karar",$D479,"toplam",TEXT($B479,"0.00"),"tasarruf",TEXT($C479,"0.00"),"TL"))</f>
        <v/>
      </c>
    </row>
    <row r="480">
      <c r="A480" s="15">
        <f>IF('ESLESTIRME'!$A480="","",IF('ESLESTIRME'!$G480="tutar_farki",'ESLESTIRME'!$A480,""))</f>
        <v/>
      </c>
      <c r="B480" s="15">
        <f>IF($A480="","",IFERROR(SUMIF(tblMotor[A_Norm],$A480,tblMotor[SiparisToplam]),0))</f>
        <v/>
      </c>
      <c r="C480" s="15">
        <f>IF($A480="","",IFERROR(SUMIF(tblMotor[A_Norm],$A480,tblMotor[Tasarruf]),0))</f>
        <v/>
      </c>
      <c r="D480" s="15">
        <f>IF($A480="","",IFERROR(INDEX(tblMotor[KararSatir],MATCH($A480,tblMotor[A_Norm],0)),""))</f>
        <v/>
      </c>
      <c r="E480" s="15">
        <f>IF($A480="","",IF(OR($D480="DESİ DÜŞÜR",$D480="TAŞIYICI DEĞİŞTİR"),"YUKSEK","NORMAL"))</f>
        <v/>
      </c>
      <c r="F480" s="15">
        <f>IF($A480="","",_xlfn.TEXTJOIN(" ",TRUE,"Sipariş",$A480,"karar",$D480,"toplam",TEXT($B480,"0.00"),"tasarruf",TEXT($C480,"0.00"),"TL"))</f>
        <v/>
      </c>
    </row>
    <row r="481">
      <c r="A481" s="15">
        <f>IF('ESLESTIRME'!$A481="","",IF('ESLESTIRME'!$G481="tutar_farki",'ESLESTIRME'!$A481,""))</f>
        <v/>
      </c>
      <c r="B481" s="15">
        <f>IF($A481="","",IFERROR(SUMIF(tblMotor[A_Norm],$A481,tblMotor[SiparisToplam]),0))</f>
        <v/>
      </c>
      <c r="C481" s="15">
        <f>IF($A481="","",IFERROR(SUMIF(tblMotor[A_Norm],$A481,tblMotor[Tasarruf]),0))</f>
        <v/>
      </c>
      <c r="D481" s="15">
        <f>IF($A481="","",IFERROR(INDEX(tblMotor[KararSatir],MATCH($A481,tblMotor[A_Norm],0)),""))</f>
        <v/>
      </c>
      <c r="E481" s="15">
        <f>IF($A481="","",IF(OR($D481="DESİ DÜŞÜR",$D481="TAŞIYICI DEĞİŞTİR"),"YUKSEK","NORMAL"))</f>
        <v/>
      </c>
      <c r="F481" s="15">
        <f>IF($A481="","",_xlfn.TEXTJOIN(" ",TRUE,"Sipariş",$A481,"karar",$D481,"toplam",TEXT($B481,"0.00"),"tasarruf",TEXT($C481,"0.00"),"TL"))</f>
        <v/>
      </c>
    </row>
    <row r="482">
      <c r="A482" s="15">
        <f>IF('ESLESTIRME'!$A482="","",IF('ESLESTIRME'!$G482="tutar_farki",'ESLESTIRME'!$A482,""))</f>
        <v/>
      </c>
      <c r="B482" s="15">
        <f>IF($A482="","",IFERROR(SUMIF(tblMotor[A_Norm],$A482,tblMotor[SiparisToplam]),0))</f>
        <v/>
      </c>
      <c r="C482" s="15">
        <f>IF($A482="","",IFERROR(SUMIF(tblMotor[A_Norm],$A482,tblMotor[Tasarruf]),0))</f>
        <v/>
      </c>
      <c r="D482" s="15">
        <f>IF($A482="","",IFERROR(INDEX(tblMotor[KararSatir],MATCH($A482,tblMotor[A_Norm],0)),""))</f>
        <v/>
      </c>
      <c r="E482" s="15">
        <f>IF($A482="","",IF(OR($D482="DESİ DÜŞÜR",$D482="TAŞIYICI DEĞİŞTİR"),"YUKSEK","NORMAL"))</f>
        <v/>
      </c>
      <c r="F482" s="15">
        <f>IF($A482="","",_xlfn.TEXTJOIN(" ",TRUE,"Sipariş",$A482,"karar",$D482,"toplam",TEXT($B482,"0.00"),"tasarruf",TEXT($C482,"0.00"),"TL"))</f>
        <v/>
      </c>
    </row>
    <row r="483">
      <c r="A483" s="15">
        <f>IF('ESLESTIRME'!$A483="","",IF('ESLESTIRME'!$G483="tutar_farki",'ESLESTIRME'!$A483,""))</f>
        <v/>
      </c>
      <c r="B483" s="15">
        <f>IF($A483="","",IFERROR(SUMIF(tblMotor[A_Norm],$A483,tblMotor[SiparisToplam]),0))</f>
        <v/>
      </c>
      <c r="C483" s="15">
        <f>IF($A483="","",IFERROR(SUMIF(tblMotor[A_Norm],$A483,tblMotor[Tasarruf]),0))</f>
        <v/>
      </c>
      <c r="D483" s="15">
        <f>IF($A483="","",IFERROR(INDEX(tblMotor[KararSatir],MATCH($A483,tblMotor[A_Norm],0)),""))</f>
        <v/>
      </c>
      <c r="E483" s="15">
        <f>IF($A483="","",IF(OR($D483="DESİ DÜŞÜR",$D483="TAŞIYICI DEĞİŞTİR"),"YUKSEK","NORMAL"))</f>
        <v/>
      </c>
      <c r="F483" s="15">
        <f>IF($A483="","",_xlfn.TEXTJOIN(" ",TRUE,"Sipariş",$A483,"karar",$D483,"toplam",TEXT($B483,"0.00"),"tasarruf",TEXT($C483,"0.00"),"TL"))</f>
        <v/>
      </c>
    </row>
    <row r="484">
      <c r="A484" s="15">
        <f>IF('ESLESTIRME'!$A484="","",IF('ESLESTIRME'!$G484="tutar_farki",'ESLESTIRME'!$A484,""))</f>
        <v/>
      </c>
      <c r="B484" s="15">
        <f>IF($A484="","",IFERROR(SUMIF(tblMotor[A_Norm],$A484,tblMotor[SiparisToplam]),0))</f>
        <v/>
      </c>
      <c r="C484" s="15">
        <f>IF($A484="","",IFERROR(SUMIF(tblMotor[A_Norm],$A484,tblMotor[Tasarruf]),0))</f>
        <v/>
      </c>
      <c r="D484" s="15">
        <f>IF($A484="","",IFERROR(INDEX(tblMotor[KararSatir],MATCH($A484,tblMotor[A_Norm],0)),""))</f>
        <v/>
      </c>
      <c r="E484" s="15">
        <f>IF($A484="","",IF(OR($D484="DESİ DÜŞÜR",$D484="TAŞIYICI DEĞİŞTİR"),"YUKSEK","NORMAL"))</f>
        <v/>
      </c>
      <c r="F484" s="15">
        <f>IF($A484="","",_xlfn.TEXTJOIN(" ",TRUE,"Sipariş",$A484,"karar",$D484,"toplam",TEXT($B484,"0.00"),"tasarruf",TEXT($C484,"0.00"),"TL"))</f>
        <v/>
      </c>
    </row>
    <row r="485">
      <c r="A485" s="15">
        <f>IF('ESLESTIRME'!$A485="","",IF('ESLESTIRME'!$G485="tutar_farki",'ESLESTIRME'!$A485,""))</f>
        <v/>
      </c>
      <c r="B485" s="15">
        <f>IF($A485="","",IFERROR(SUMIF(tblMotor[A_Norm],$A485,tblMotor[SiparisToplam]),0))</f>
        <v/>
      </c>
      <c r="C485" s="15">
        <f>IF($A485="","",IFERROR(SUMIF(tblMotor[A_Norm],$A485,tblMotor[Tasarruf]),0))</f>
        <v/>
      </c>
      <c r="D485" s="15">
        <f>IF($A485="","",IFERROR(INDEX(tblMotor[KararSatir],MATCH($A485,tblMotor[A_Norm],0)),""))</f>
        <v/>
      </c>
      <c r="E485" s="15">
        <f>IF($A485="","",IF(OR($D485="DESİ DÜŞÜR",$D485="TAŞIYICI DEĞİŞTİR"),"YUKSEK","NORMAL"))</f>
        <v/>
      </c>
      <c r="F485" s="15">
        <f>IF($A485="","",_xlfn.TEXTJOIN(" ",TRUE,"Sipariş",$A485,"karar",$D485,"toplam",TEXT($B485,"0.00"),"tasarruf",TEXT($C485,"0.00"),"TL"))</f>
        <v/>
      </c>
    </row>
    <row r="486">
      <c r="A486" s="15">
        <f>IF('ESLESTIRME'!$A486="","",IF('ESLESTIRME'!$G486="tutar_farki",'ESLESTIRME'!$A486,""))</f>
        <v/>
      </c>
      <c r="B486" s="15">
        <f>IF($A486="","",IFERROR(SUMIF(tblMotor[A_Norm],$A486,tblMotor[SiparisToplam]),0))</f>
        <v/>
      </c>
      <c r="C486" s="15">
        <f>IF($A486="","",IFERROR(SUMIF(tblMotor[A_Norm],$A486,tblMotor[Tasarruf]),0))</f>
        <v/>
      </c>
      <c r="D486" s="15">
        <f>IF($A486="","",IFERROR(INDEX(tblMotor[KararSatir],MATCH($A486,tblMotor[A_Norm],0)),""))</f>
        <v/>
      </c>
      <c r="E486" s="15">
        <f>IF($A486="","",IF(OR($D486="DESİ DÜŞÜR",$D486="TAŞIYICI DEĞİŞTİR"),"YUKSEK","NORMAL"))</f>
        <v/>
      </c>
      <c r="F486" s="15">
        <f>IF($A486="","",_xlfn.TEXTJOIN(" ",TRUE,"Sipariş",$A486,"karar",$D486,"toplam",TEXT($B486,"0.00"),"tasarruf",TEXT($C486,"0.00"),"TL"))</f>
        <v/>
      </c>
    </row>
    <row r="487">
      <c r="A487" s="15">
        <f>IF('ESLESTIRME'!$A487="","",IF('ESLESTIRME'!$G487="tutar_farki",'ESLESTIRME'!$A487,""))</f>
        <v/>
      </c>
      <c r="B487" s="15">
        <f>IF($A487="","",IFERROR(SUMIF(tblMotor[A_Norm],$A487,tblMotor[SiparisToplam]),0))</f>
        <v/>
      </c>
      <c r="C487" s="15">
        <f>IF($A487="","",IFERROR(SUMIF(tblMotor[A_Norm],$A487,tblMotor[Tasarruf]),0))</f>
        <v/>
      </c>
      <c r="D487" s="15">
        <f>IF($A487="","",IFERROR(INDEX(tblMotor[KararSatir],MATCH($A487,tblMotor[A_Norm],0)),""))</f>
        <v/>
      </c>
      <c r="E487" s="15">
        <f>IF($A487="","",IF(OR($D487="DESİ DÜŞÜR",$D487="TAŞIYICI DEĞİŞTİR"),"YUKSEK","NORMAL"))</f>
        <v/>
      </c>
      <c r="F487" s="15">
        <f>IF($A487="","",_xlfn.TEXTJOIN(" ",TRUE,"Sipariş",$A487,"karar",$D487,"toplam",TEXT($B487,"0.00"),"tasarruf",TEXT($C487,"0.00"),"TL"))</f>
        <v/>
      </c>
    </row>
    <row r="488">
      <c r="A488" s="15">
        <f>IF('ESLESTIRME'!$A488="","",IF('ESLESTIRME'!$G488="tutar_farki",'ESLESTIRME'!$A488,""))</f>
        <v/>
      </c>
      <c r="B488" s="15">
        <f>IF($A488="","",IFERROR(SUMIF(tblMotor[A_Norm],$A488,tblMotor[SiparisToplam]),0))</f>
        <v/>
      </c>
      <c r="C488" s="15">
        <f>IF($A488="","",IFERROR(SUMIF(tblMotor[A_Norm],$A488,tblMotor[Tasarruf]),0))</f>
        <v/>
      </c>
      <c r="D488" s="15">
        <f>IF($A488="","",IFERROR(INDEX(tblMotor[KararSatir],MATCH($A488,tblMotor[A_Norm],0)),""))</f>
        <v/>
      </c>
      <c r="E488" s="15">
        <f>IF($A488="","",IF(OR($D488="DESİ DÜŞÜR",$D488="TAŞIYICI DEĞİŞTİR"),"YUKSEK","NORMAL"))</f>
        <v/>
      </c>
      <c r="F488" s="15">
        <f>IF($A488="","",_xlfn.TEXTJOIN(" ",TRUE,"Sipariş",$A488,"karar",$D488,"toplam",TEXT($B488,"0.00"),"tasarruf",TEXT($C488,"0.00"),"TL"))</f>
        <v/>
      </c>
    </row>
    <row r="489">
      <c r="A489" s="15">
        <f>IF('ESLESTIRME'!$A489="","",IF('ESLESTIRME'!$G489="tutar_farki",'ESLESTIRME'!$A489,""))</f>
        <v/>
      </c>
      <c r="B489" s="15">
        <f>IF($A489="","",IFERROR(SUMIF(tblMotor[A_Norm],$A489,tblMotor[SiparisToplam]),0))</f>
        <v/>
      </c>
      <c r="C489" s="15">
        <f>IF($A489="","",IFERROR(SUMIF(tblMotor[A_Norm],$A489,tblMotor[Tasarruf]),0))</f>
        <v/>
      </c>
      <c r="D489" s="15">
        <f>IF($A489="","",IFERROR(INDEX(tblMotor[KararSatir],MATCH($A489,tblMotor[A_Norm],0)),""))</f>
        <v/>
      </c>
      <c r="E489" s="15">
        <f>IF($A489="","",IF(OR($D489="DESİ DÜŞÜR",$D489="TAŞIYICI DEĞİŞTİR"),"YUKSEK","NORMAL"))</f>
        <v/>
      </c>
      <c r="F489" s="15">
        <f>IF($A489="","",_xlfn.TEXTJOIN(" ",TRUE,"Sipariş",$A489,"karar",$D489,"toplam",TEXT($B489,"0.00"),"tasarruf",TEXT($C489,"0.00"),"TL"))</f>
        <v/>
      </c>
    </row>
    <row r="490">
      <c r="A490" s="15">
        <f>IF('ESLESTIRME'!$A490="","",IF('ESLESTIRME'!$G490="tutar_farki",'ESLESTIRME'!$A490,""))</f>
        <v/>
      </c>
      <c r="B490" s="15">
        <f>IF($A490="","",IFERROR(SUMIF(tblMotor[A_Norm],$A490,tblMotor[SiparisToplam]),0))</f>
        <v/>
      </c>
      <c r="C490" s="15">
        <f>IF($A490="","",IFERROR(SUMIF(tblMotor[A_Norm],$A490,tblMotor[Tasarruf]),0))</f>
        <v/>
      </c>
      <c r="D490" s="15">
        <f>IF($A490="","",IFERROR(INDEX(tblMotor[KararSatir],MATCH($A490,tblMotor[A_Norm],0)),""))</f>
        <v/>
      </c>
      <c r="E490" s="15">
        <f>IF($A490="","",IF(OR($D490="DESİ DÜŞÜR",$D490="TAŞIYICI DEĞİŞTİR"),"YUKSEK","NORMAL"))</f>
        <v/>
      </c>
      <c r="F490" s="15">
        <f>IF($A490="","",_xlfn.TEXTJOIN(" ",TRUE,"Sipariş",$A490,"karar",$D490,"toplam",TEXT($B490,"0.00"),"tasarruf",TEXT($C490,"0.00"),"TL"))</f>
        <v/>
      </c>
    </row>
    <row r="491">
      <c r="A491" s="15">
        <f>IF('ESLESTIRME'!$A491="","",IF('ESLESTIRME'!$G491="tutar_farki",'ESLESTIRME'!$A491,""))</f>
        <v/>
      </c>
      <c r="B491" s="15">
        <f>IF($A491="","",IFERROR(SUMIF(tblMotor[A_Norm],$A491,tblMotor[SiparisToplam]),0))</f>
        <v/>
      </c>
      <c r="C491" s="15">
        <f>IF($A491="","",IFERROR(SUMIF(tblMotor[A_Norm],$A491,tblMotor[Tasarruf]),0))</f>
        <v/>
      </c>
      <c r="D491" s="15">
        <f>IF($A491="","",IFERROR(INDEX(tblMotor[KararSatir],MATCH($A491,tblMotor[A_Norm],0)),""))</f>
        <v/>
      </c>
      <c r="E491" s="15">
        <f>IF($A491="","",IF(OR($D491="DESİ DÜŞÜR",$D491="TAŞIYICI DEĞİŞTİR"),"YUKSEK","NORMAL"))</f>
        <v/>
      </c>
      <c r="F491" s="15">
        <f>IF($A491="","",_xlfn.TEXTJOIN(" ",TRUE,"Sipariş",$A491,"karar",$D491,"toplam",TEXT($B491,"0.00"),"tasarruf",TEXT($C491,"0.00"),"TL"))</f>
        <v/>
      </c>
    </row>
    <row r="492">
      <c r="A492" s="15">
        <f>IF('ESLESTIRME'!$A492="","",IF('ESLESTIRME'!$G492="tutar_farki",'ESLESTIRME'!$A492,""))</f>
        <v/>
      </c>
      <c r="B492" s="15">
        <f>IF($A492="","",IFERROR(SUMIF(tblMotor[A_Norm],$A492,tblMotor[SiparisToplam]),0))</f>
        <v/>
      </c>
      <c r="C492" s="15">
        <f>IF($A492="","",IFERROR(SUMIF(tblMotor[A_Norm],$A492,tblMotor[Tasarruf]),0))</f>
        <v/>
      </c>
      <c r="D492" s="15">
        <f>IF($A492="","",IFERROR(INDEX(tblMotor[KararSatir],MATCH($A492,tblMotor[A_Norm],0)),""))</f>
        <v/>
      </c>
      <c r="E492" s="15">
        <f>IF($A492="","",IF(OR($D492="DESİ DÜŞÜR",$D492="TAŞIYICI DEĞİŞTİR"),"YUKSEK","NORMAL"))</f>
        <v/>
      </c>
      <c r="F492" s="15">
        <f>IF($A492="","",_xlfn.TEXTJOIN(" ",TRUE,"Sipariş",$A492,"karar",$D492,"toplam",TEXT($B492,"0.00"),"tasarruf",TEXT($C492,"0.00"),"TL"))</f>
        <v/>
      </c>
    </row>
    <row r="493">
      <c r="A493" s="15">
        <f>IF('ESLESTIRME'!$A493="","",IF('ESLESTIRME'!$G493="tutar_farki",'ESLESTIRME'!$A493,""))</f>
        <v/>
      </c>
      <c r="B493" s="15">
        <f>IF($A493="","",IFERROR(SUMIF(tblMotor[A_Norm],$A493,tblMotor[SiparisToplam]),0))</f>
        <v/>
      </c>
      <c r="C493" s="15">
        <f>IF($A493="","",IFERROR(SUMIF(tblMotor[A_Norm],$A493,tblMotor[Tasarruf]),0))</f>
        <v/>
      </c>
      <c r="D493" s="15">
        <f>IF($A493="","",IFERROR(INDEX(tblMotor[KararSatir],MATCH($A493,tblMotor[A_Norm],0)),""))</f>
        <v/>
      </c>
      <c r="E493" s="15">
        <f>IF($A493="","",IF(OR($D493="DESİ DÜŞÜR",$D493="TAŞIYICI DEĞİŞTİR"),"YUKSEK","NORMAL"))</f>
        <v/>
      </c>
      <c r="F493" s="15">
        <f>IF($A493="","",_xlfn.TEXTJOIN(" ",TRUE,"Sipariş",$A493,"karar",$D493,"toplam",TEXT($B493,"0.00"),"tasarruf",TEXT($C493,"0.00"),"TL"))</f>
        <v/>
      </c>
    </row>
    <row r="494">
      <c r="A494" s="15">
        <f>IF('ESLESTIRME'!$A494="","",IF('ESLESTIRME'!$G494="tutar_farki",'ESLESTIRME'!$A494,""))</f>
        <v/>
      </c>
      <c r="B494" s="15">
        <f>IF($A494="","",IFERROR(SUMIF(tblMotor[A_Norm],$A494,tblMotor[SiparisToplam]),0))</f>
        <v/>
      </c>
      <c r="C494" s="15">
        <f>IF($A494="","",IFERROR(SUMIF(tblMotor[A_Norm],$A494,tblMotor[Tasarruf]),0))</f>
        <v/>
      </c>
      <c r="D494" s="15">
        <f>IF($A494="","",IFERROR(INDEX(tblMotor[KararSatir],MATCH($A494,tblMotor[A_Norm],0)),""))</f>
        <v/>
      </c>
      <c r="E494" s="15">
        <f>IF($A494="","",IF(OR($D494="DESİ DÜŞÜR",$D494="TAŞIYICI DEĞİŞTİR"),"YUKSEK","NORMAL"))</f>
        <v/>
      </c>
      <c r="F494" s="15">
        <f>IF($A494="","",_xlfn.TEXTJOIN(" ",TRUE,"Sipariş",$A494,"karar",$D494,"toplam",TEXT($B494,"0.00"),"tasarruf",TEXT($C494,"0.00"),"TL"))</f>
        <v/>
      </c>
    </row>
    <row r="495">
      <c r="A495" s="15">
        <f>IF('ESLESTIRME'!$A495="","",IF('ESLESTIRME'!$G495="tutar_farki",'ESLESTIRME'!$A495,""))</f>
        <v/>
      </c>
      <c r="B495" s="15">
        <f>IF($A495="","",IFERROR(SUMIF(tblMotor[A_Norm],$A495,tblMotor[SiparisToplam]),0))</f>
        <v/>
      </c>
      <c r="C495" s="15">
        <f>IF($A495="","",IFERROR(SUMIF(tblMotor[A_Norm],$A495,tblMotor[Tasarruf]),0))</f>
        <v/>
      </c>
      <c r="D495" s="15">
        <f>IF($A495="","",IFERROR(INDEX(tblMotor[KararSatir],MATCH($A495,tblMotor[A_Norm],0)),""))</f>
        <v/>
      </c>
      <c r="E495" s="15">
        <f>IF($A495="","",IF(OR($D495="DESİ DÜŞÜR",$D495="TAŞIYICI DEĞİŞTİR"),"YUKSEK","NORMAL"))</f>
        <v/>
      </c>
      <c r="F495" s="15">
        <f>IF($A495="","",_xlfn.TEXTJOIN(" ",TRUE,"Sipariş",$A495,"karar",$D495,"toplam",TEXT($B495,"0.00"),"tasarruf",TEXT($C495,"0.00"),"TL"))</f>
        <v/>
      </c>
    </row>
    <row r="496">
      <c r="A496" s="15">
        <f>IF('ESLESTIRME'!$A496="","",IF('ESLESTIRME'!$G496="tutar_farki",'ESLESTIRME'!$A496,""))</f>
        <v/>
      </c>
      <c r="B496" s="15">
        <f>IF($A496="","",IFERROR(SUMIF(tblMotor[A_Norm],$A496,tblMotor[SiparisToplam]),0))</f>
        <v/>
      </c>
      <c r="C496" s="15">
        <f>IF($A496="","",IFERROR(SUMIF(tblMotor[A_Norm],$A496,tblMotor[Tasarruf]),0))</f>
        <v/>
      </c>
      <c r="D496" s="15">
        <f>IF($A496="","",IFERROR(INDEX(tblMotor[KararSatir],MATCH($A496,tblMotor[A_Norm],0)),""))</f>
        <v/>
      </c>
      <c r="E496" s="15">
        <f>IF($A496="","",IF(OR($D496="DESİ DÜŞÜR",$D496="TAŞIYICI DEĞİŞTİR"),"YUKSEK","NORMAL"))</f>
        <v/>
      </c>
      <c r="F496" s="15">
        <f>IF($A496="","",_xlfn.TEXTJOIN(" ",TRUE,"Sipariş",$A496,"karar",$D496,"toplam",TEXT($B496,"0.00"),"tasarruf",TEXT($C496,"0.00"),"TL"))</f>
        <v/>
      </c>
    </row>
    <row r="497">
      <c r="A497" s="15">
        <f>IF('ESLESTIRME'!$A497="","",IF('ESLESTIRME'!$G497="tutar_farki",'ESLESTIRME'!$A497,""))</f>
        <v/>
      </c>
      <c r="B497" s="15">
        <f>IF($A497="","",IFERROR(SUMIF(tblMotor[A_Norm],$A497,tblMotor[SiparisToplam]),0))</f>
        <v/>
      </c>
      <c r="C497" s="15">
        <f>IF($A497="","",IFERROR(SUMIF(tblMotor[A_Norm],$A497,tblMotor[Tasarruf]),0))</f>
        <v/>
      </c>
      <c r="D497" s="15">
        <f>IF($A497="","",IFERROR(INDEX(tblMotor[KararSatir],MATCH($A497,tblMotor[A_Norm],0)),""))</f>
        <v/>
      </c>
      <c r="E497" s="15">
        <f>IF($A497="","",IF(OR($D497="DESİ DÜŞÜR",$D497="TAŞIYICI DEĞİŞTİR"),"YUKSEK","NORMAL"))</f>
        <v/>
      </c>
      <c r="F497" s="15">
        <f>IF($A497="","",_xlfn.TEXTJOIN(" ",TRUE,"Sipariş",$A497,"karar",$D497,"toplam",TEXT($B497,"0.00"),"tasarruf",TEXT($C497,"0.00"),"TL"))</f>
        <v/>
      </c>
    </row>
    <row r="498">
      <c r="A498" s="15">
        <f>IF('ESLESTIRME'!$A498="","",IF('ESLESTIRME'!$G498="tutar_farki",'ESLESTIRME'!$A498,""))</f>
        <v/>
      </c>
      <c r="B498" s="15">
        <f>IF($A498="","",IFERROR(SUMIF(tblMotor[A_Norm],$A498,tblMotor[SiparisToplam]),0))</f>
        <v/>
      </c>
      <c r="C498" s="15">
        <f>IF($A498="","",IFERROR(SUMIF(tblMotor[A_Norm],$A498,tblMotor[Tasarruf]),0))</f>
        <v/>
      </c>
      <c r="D498" s="15">
        <f>IF($A498="","",IFERROR(INDEX(tblMotor[KararSatir],MATCH($A498,tblMotor[A_Norm],0)),""))</f>
        <v/>
      </c>
      <c r="E498" s="15">
        <f>IF($A498="","",IF(OR($D498="DESİ DÜŞÜR",$D498="TAŞIYICI DEĞİŞTİR"),"YUKSEK","NORMAL"))</f>
        <v/>
      </c>
      <c r="F498" s="15">
        <f>IF($A498="","",_xlfn.TEXTJOIN(" ",TRUE,"Sipariş",$A498,"karar",$D498,"toplam",TEXT($B498,"0.00"),"tasarruf",TEXT($C498,"0.00"),"TL"))</f>
        <v/>
      </c>
    </row>
    <row r="499">
      <c r="A499" s="15">
        <f>IF('ESLESTIRME'!$A499="","",IF('ESLESTIRME'!$G499="tutar_farki",'ESLESTIRME'!$A499,""))</f>
        <v/>
      </c>
      <c r="B499" s="15">
        <f>IF($A499="","",IFERROR(SUMIF(tblMotor[A_Norm],$A499,tblMotor[SiparisToplam]),0))</f>
        <v/>
      </c>
      <c r="C499" s="15">
        <f>IF($A499="","",IFERROR(SUMIF(tblMotor[A_Norm],$A499,tblMotor[Tasarruf]),0))</f>
        <v/>
      </c>
      <c r="D499" s="15">
        <f>IF($A499="","",IFERROR(INDEX(tblMotor[KararSatir],MATCH($A499,tblMotor[A_Norm],0)),""))</f>
        <v/>
      </c>
      <c r="E499" s="15">
        <f>IF($A499="","",IF(OR($D499="DESİ DÜŞÜR",$D499="TAŞIYICI DEĞİŞTİR"),"YUKSEK","NORMAL"))</f>
        <v/>
      </c>
      <c r="F499" s="15">
        <f>IF($A499="","",_xlfn.TEXTJOIN(" ",TRUE,"Sipariş",$A499,"karar",$D499,"toplam",TEXT($B499,"0.00"),"tasarruf",TEXT($C499,"0.00"),"TL"))</f>
        <v/>
      </c>
    </row>
    <row r="500">
      <c r="A500" s="15">
        <f>IF('ESLESTIRME'!$A500="","",IF('ESLESTIRME'!$G500="tutar_farki",'ESLESTIRME'!$A500,""))</f>
        <v/>
      </c>
      <c r="B500" s="15">
        <f>IF($A500="","",IFERROR(SUMIF(tblMotor[A_Norm],$A500,tblMotor[SiparisToplam]),0))</f>
        <v/>
      </c>
      <c r="C500" s="15">
        <f>IF($A500="","",IFERROR(SUMIF(tblMotor[A_Norm],$A500,tblMotor[Tasarruf]),0))</f>
        <v/>
      </c>
      <c r="D500" s="15">
        <f>IF($A500="","",IFERROR(INDEX(tblMotor[KararSatir],MATCH($A500,tblMotor[A_Norm],0)),""))</f>
        <v/>
      </c>
      <c r="E500" s="15">
        <f>IF($A500="","",IF(OR($D500="DESİ DÜŞÜR",$D500="TAŞIYICI DEĞİŞTİR"),"YUKSEK","NORMAL"))</f>
        <v/>
      </c>
      <c r="F500" s="15">
        <f>IF($A500="","",_xlfn.TEXTJOIN(" ",TRUE,"Sipariş",$A500,"karar",$D500,"toplam",TEXT($B500,"0.00"),"tasarruf",TEXT($C500,"0.00"),"TL"))</f>
        <v/>
      </c>
    </row>
    <row r="501">
      <c r="A501" s="15">
        <f>IF('ESLESTIRME'!$A501="","",IF('ESLESTIRME'!$G501="tutar_farki",'ESLESTIRME'!$A501,""))</f>
        <v/>
      </c>
      <c r="B501" s="15">
        <f>IF($A501="","",IFERROR(SUMIF(tblMotor[A_Norm],$A501,tblMotor[SiparisToplam]),0))</f>
        <v/>
      </c>
      <c r="C501" s="15">
        <f>IF($A501="","",IFERROR(SUMIF(tblMotor[A_Norm],$A501,tblMotor[Tasarruf]),0))</f>
        <v/>
      </c>
      <c r="D501" s="15">
        <f>IF($A501="","",IFERROR(INDEX(tblMotor[KararSatir],MATCH($A501,tblMotor[A_Norm],0)),""))</f>
        <v/>
      </c>
      <c r="E501" s="15">
        <f>IF($A501="","",IF(OR($D501="DESİ DÜŞÜR",$D501="TAŞIYICI DEĞİŞTİR"),"YUKSEK","NORMAL"))</f>
        <v/>
      </c>
      <c r="F501" s="15">
        <f>IF($A501="","",_xlfn.TEXTJOIN(" ",TRUE,"Sipariş",$A501,"karar",$D501,"toplam",TEXT($B501,"0.00"),"tasarruf",TEXT($C501,"0.00"),"TL"))</f>
        <v/>
      </c>
    </row>
    <row r="502">
      <c r="A502" s="15">
        <f>IF('ESLESTIRME'!$A502="","",IF('ESLESTIRME'!$G502="tutar_farki",'ESLESTIRME'!$A502,""))</f>
        <v/>
      </c>
      <c r="B502" s="15">
        <f>IF($A502="","",IFERROR(SUMIF(tblMotor[A_Norm],$A502,tblMotor[SiparisToplam]),0))</f>
        <v/>
      </c>
      <c r="C502" s="15">
        <f>IF($A502="","",IFERROR(SUMIF(tblMotor[A_Norm],$A502,tblMotor[Tasarruf]),0))</f>
        <v/>
      </c>
      <c r="D502" s="15">
        <f>IF($A502="","",IFERROR(INDEX(tblMotor[KararSatir],MATCH($A502,tblMotor[A_Norm],0)),""))</f>
        <v/>
      </c>
      <c r="E502" s="15">
        <f>IF($A502="","",IF(OR($D502="DESİ DÜŞÜR",$D502="TAŞIYICI DEĞİŞTİR"),"YUKSEK","NORMAL"))</f>
        <v/>
      </c>
      <c r="F502" s="15">
        <f>IF($A502="","",_xlfn.TEXTJOIN(" ",TRUE,"Sipariş",$A502,"karar",$D502,"toplam",TEXT($B502,"0.00"),"tasarruf",TEXT($C502,"0.00"),"TL"))</f>
        <v/>
      </c>
    </row>
    <row r="503">
      <c r="A503" s="15">
        <f>IF('ESLESTIRME'!$A503="","",IF('ESLESTIRME'!$G503="tutar_farki",'ESLESTIRME'!$A503,""))</f>
        <v/>
      </c>
      <c r="B503" s="15">
        <f>IF($A503="","",IFERROR(SUMIF(tblMotor[A_Norm],$A503,tblMotor[SiparisToplam]),0))</f>
        <v/>
      </c>
      <c r="C503" s="15">
        <f>IF($A503="","",IFERROR(SUMIF(tblMotor[A_Norm],$A503,tblMotor[Tasarruf]),0))</f>
        <v/>
      </c>
      <c r="D503" s="15">
        <f>IF($A503="","",IFERROR(INDEX(tblMotor[KararSatir],MATCH($A503,tblMotor[A_Norm],0)),""))</f>
        <v/>
      </c>
      <c r="E503" s="15">
        <f>IF($A503="","",IF(OR($D503="DESİ DÜŞÜR",$D503="TAŞIYICI DEĞİŞTİR"),"YUKSEK","NORMAL"))</f>
        <v/>
      </c>
      <c r="F503" s="15">
        <f>IF($A503="","",_xlfn.TEXTJOIN(" ",TRUE,"Sipariş",$A503,"karar",$D503,"toplam",TEXT($B503,"0.00"),"tasarruf",TEXT($C503,"0.00"),"TL"))</f>
        <v/>
      </c>
    </row>
    <row r="504">
      <c r="A504" s="15">
        <f>IF('ESLESTIRME'!$A504="","",IF('ESLESTIRME'!$G504="tutar_farki",'ESLESTIRME'!$A504,""))</f>
        <v/>
      </c>
      <c r="B504" s="15">
        <f>IF($A504="","",IFERROR(SUMIF(tblMotor[A_Norm],$A504,tblMotor[SiparisToplam]),0))</f>
        <v/>
      </c>
      <c r="C504" s="15">
        <f>IF($A504="","",IFERROR(SUMIF(tblMotor[A_Norm],$A504,tblMotor[Tasarruf]),0))</f>
        <v/>
      </c>
      <c r="D504" s="15">
        <f>IF($A504="","",IFERROR(INDEX(tblMotor[KararSatir],MATCH($A504,tblMotor[A_Norm],0)),""))</f>
        <v/>
      </c>
      <c r="E504" s="15">
        <f>IF($A504="","",IF(OR($D504="DESİ DÜŞÜR",$D504="TAŞIYICI DEĞİŞTİR"),"YUKSEK","NORMAL"))</f>
        <v/>
      </c>
      <c r="F504" s="15">
        <f>IF($A504="","",_xlfn.TEXTJOIN(" ",TRUE,"Sipariş",$A504,"karar",$D504,"toplam",TEXT($B504,"0.00"),"tasarruf",TEXT($C504,"0.00"),"TL"))</f>
        <v/>
      </c>
    </row>
    <row r="505">
      <c r="A505" s="15">
        <f>IF('ESLESTIRME'!$A505="","",IF('ESLESTIRME'!$G505="tutar_farki",'ESLESTIRME'!$A505,""))</f>
        <v/>
      </c>
      <c r="B505" s="15">
        <f>IF($A505="","",IFERROR(SUMIF(tblMotor[A_Norm],$A505,tblMotor[SiparisToplam]),0))</f>
        <v/>
      </c>
      <c r="C505" s="15">
        <f>IF($A505="","",IFERROR(SUMIF(tblMotor[A_Norm],$A505,tblMotor[Tasarruf]),0))</f>
        <v/>
      </c>
      <c r="D505" s="15">
        <f>IF($A505="","",IFERROR(INDEX(tblMotor[KararSatir],MATCH($A505,tblMotor[A_Norm],0)),""))</f>
        <v/>
      </c>
      <c r="E505" s="15">
        <f>IF($A505="","",IF(OR($D505="DESİ DÜŞÜR",$D505="TAŞIYICI DEĞİŞTİR"),"YUKSEK","NORMAL"))</f>
        <v/>
      </c>
      <c r="F505" s="15">
        <f>IF($A505="","",_xlfn.TEXTJOIN(" ",TRUE,"Sipariş",$A505,"karar",$D505,"toplam",TEXT($B505,"0.00"),"tasarruf",TEXT($C505,"0.00"),"TL"))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conditionalFormatting sqref="E6:E505">
    <cfRule type="cellIs" priority="1" operator="equal" dxfId="1">
      <formula>"YUKSEK"</formula>
    </cfRule>
    <cfRule type="cellIs" priority="2" operator="equal" dxfId="0">
      <formula>"NORMAL"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1B3A4B"/>
    <outlinePr summaryBelow="1" summaryRight="1"/>
    <pageSetUpPr fitToPage="1"/>
  </sheetPr>
  <dimension ref="A1:L2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4" customWidth="1" min="5" max="5"/>
  </cols>
  <sheetData>
    <row r="1" ht="26" customHeight="1">
      <c r="A1" s="1" t="inlineStr">
        <is>
          <t>KANIT RAPORU — Kargo/Desi Maliyet Optimizasyonu</t>
        </is>
      </c>
    </row>
    <row r="3" ht="28" customHeight="1">
      <c r="A3" s="33" t="inlineStr">
        <is>
          <t>Kargo/Desi Kanıt Raporu</t>
        </is>
      </c>
    </row>
    <row r="4">
      <c r="A4" s="7" t="inlineStr">
        <is>
          <t>Rapor Tarihi</t>
        </is>
      </c>
      <c r="B4" s="25">
        <f>raporTarihi</f>
        <v/>
      </c>
    </row>
    <row r="5">
      <c r="A5" s="7" t="inlineStr">
        <is>
          <t>Sürüm</t>
        </is>
      </c>
      <c r="B5" s="7" t="inlineStr">
        <is>
          <t>1.0.0</t>
        </is>
      </c>
      <c r="D5" s="7" t="inlineStr">
        <is>
          <t>Lisans</t>
        </is>
      </c>
      <c r="E5" s="7" t="inlineStr">
        <is>
          <t>Tek kullanıcı</t>
        </is>
      </c>
    </row>
    <row r="7">
      <c r="A7" s="34" t="inlineStr">
        <is>
          <t>KARAR</t>
        </is>
      </c>
      <c r="B7" s="35">
        <f>PANO!B4</f>
        <v/>
      </c>
    </row>
    <row r="9">
      <c r="A9" s="7" t="inlineStr">
        <is>
          <t>Eşleşme Oranı</t>
        </is>
      </c>
      <c r="B9" s="36">
        <f>kdo_eslesmeOrani</f>
        <v/>
      </c>
    </row>
    <row r="10">
      <c r="A10" s="7" t="inlineStr">
        <is>
          <t>Toplam Kargo</t>
        </is>
      </c>
      <c r="B10" s="37">
        <f>SUM(tblMotor[SiparisToplam])</f>
        <v/>
      </c>
    </row>
    <row r="11">
      <c r="A11" s="7" t="inlineStr">
        <is>
          <t>Hedef-Gerçek Fark</t>
        </is>
      </c>
      <c r="B11" s="37">
        <f>kdo_mutabakatFarki</f>
        <v/>
      </c>
    </row>
    <row r="12">
      <c r="A12" s="7" t="inlineStr">
        <is>
          <t>Ort. Birim Kargo</t>
        </is>
      </c>
      <c r="B12" s="37">
        <f>kdo_modulT1</f>
        <v/>
      </c>
    </row>
    <row r="13">
      <c r="A13" s="7" t="inlineStr">
        <is>
          <t>Ort. Faturalanan</t>
        </is>
      </c>
      <c r="B13" s="38">
        <f>IFERROR(IF(COUNTA(tblMotor[A_Norm])=0,0,AVERAGE(tblMotor[FaturalananBirim])),0)</f>
        <v/>
      </c>
    </row>
    <row r="14">
      <c r="A14" s="7" t="inlineStr">
        <is>
          <t>Tutar Farkı</t>
        </is>
      </c>
      <c r="B14" s="38">
        <f>COUNTIF(tblEslesme[Kova],"tutar_farki")</f>
        <v/>
      </c>
    </row>
    <row r="15">
      <c r="A15" s="7" t="inlineStr">
        <is>
          <t>Kova Bütünlük</t>
        </is>
      </c>
      <c r="B15" s="34">
        <f>kdo_kovaButunluk</f>
        <v/>
      </c>
    </row>
    <row r="17">
      <c r="A17" s="18" t="inlineStr">
        <is>
          <t>Varsayımlar</t>
        </is>
      </c>
    </row>
    <row r="18">
      <c r="A18" s="8" t="inlineStr">
        <is>
          <t>Desi çarpanı varsayılan 3000'tir. Faturalanan birim max(desi, kg). Tolerans kuruşu AYARLAR'dan gelir. Bu çıktı karar destektir; kesin mali/hukuki görüş yerine geçmez.</t>
        </is>
      </c>
    </row>
    <row r="20">
      <c r="A20" s="18" t="inlineStr">
        <is>
          <t>Önerilen Aksiyonlar</t>
        </is>
      </c>
    </row>
    <row r="21">
      <c r="A21" s="7" t="inlineStr">
        <is>
          <t>1. DESİ DÜŞÜR satırlarında paket boyutunu küçültün.</t>
        </is>
      </c>
    </row>
    <row r="22">
      <c r="A22" s="7" t="inlineStr">
        <is>
          <t>2. TAŞIYICI DEĞİŞTİR satırlarında alternatif tarifeyi deneyin.</t>
        </is>
      </c>
    </row>
    <row r="23">
      <c r="A23" s="7" t="inlineStr">
        <is>
          <t>3. TANIMSIZ kök nedenleri elle inceleyin.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18:H18"/>
    <mergeCell ref="A1:L1"/>
    <mergeCell ref="A3:J3"/>
  </mergeCells>
  <conditionalFormatting sqref="B7">
    <cfRule type="cellIs" priority="1" operator="equal" dxfId="2">
      <formula>"UYGUN"</formula>
    </cfRule>
    <cfRule type="cellIs" priority="2" operator="equal" dxfId="0">
      <formula>"DESİ DÜŞÜR"</formula>
    </cfRule>
    <cfRule type="cellIs" priority="3" operator="equal" dxfId="1">
      <formula>"VERİ YOK"</formula>
    </cfRule>
  </conditionalFormatting>
  <dataValidations count="4">
    <dataValidation sqref="B5" showDropDown="0" showInputMessage="1" showErrorMessage="1" allowBlank="1" errorTitle="Sürüm" error="Geçersiz" promptTitle="Sürüm" prompt="Metin alanı" type="textLength" errorStyle="stop" operator="greaterThanOrEqual">
      <formula1>0</formula1>
      <formula2>200</formula2>
    </dataValidation>
    <dataValidation sqref="A21" showDropDown="0" showInputMessage="1" showErrorMessage="1" allowBlank="1" errorTitle="Aksiyon1" error="Geçersiz" promptTitle="Aksiyon1" prompt="Metin alanı" type="textLength" errorStyle="stop" operator="greaterThanOrEqual">
      <formula1>0</formula1>
      <formula2>200</formula2>
    </dataValidation>
    <dataValidation sqref="A22" showDropDown="0" showInputMessage="1" showErrorMessage="1" allowBlank="1" errorTitle="Aksiyon2" error="Geçersiz" promptTitle="Aksiyon2" prompt="Metin alanı" type="textLength" errorStyle="stop" operator="greaterThanOrEqual">
      <formula1>0</formula1>
      <formula2>200</formula2>
    </dataValidation>
    <dataValidation sqref="A23" showDropDown="0" showInputMessage="1" showErrorMessage="1" allowBlank="1" errorTitle="Aksiyon3" error="Geçersiz" promptTitle="Aksiyon3" prompt="Metin alanı" type="textLength" errorStyle="stop" operator="greaterThanOrEqual">
      <formula1>0</formula1>
      <formula2>200</formula2>
    </dataValidation>
  </dataValidations>
  <pageMargins left="0.4" right="0.4" top="0.5" bottom="0.5" header="0.5" footer="0.5"/>
  <pageSetup orientation="landscape" paperSize="9" fitToHeight="1" fitToWidth="1"/>
  <headerFooter>
    <oddHeader/>
    <oddFooter>&amp;LKargo/Desi Maliyet Optimizasyonu | Kanıt&amp;CExcelArşiv&amp;RSayfa &amp;P / &amp;N</oddFooter>
    <evenHeader/>
    <evenFooter>&amp;LKargo/Desi Maliyet Optimizasyonu | Kanıt&amp;CExcelArşiv&amp;RSayfa &amp;P / &amp;N</evenFooter>
    <firstHeader/>
    <firstFooter/>
  </headerFooter>
</worksheet>
</file>

<file path=xl/worksheets/sheet13.xml><?xml version="1.0" encoding="utf-8"?>
<worksheet xmlns="http://schemas.openxmlformats.org/spreadsheetml/2006/main">
  <sheetPr>
    <tabColor rgb="00C00000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 ht="26" customHeight="1">
      <c r="A1" s="1" t="inlineStr">
        <is>
          <t>KONTROLLER — Kargo/Desi Maliyet Optimizasyonu</t>
        </is>
      </c>
    </row>
    <row r="3">
      <c r="A3" s="39" t="inlineStr">
        <is>
          <t>Canlı Kontrol Paneli</t>
        </is>
      </c>
    </row>
    <row r="5">
      <c r="A5" s="7" t="inlineStr">
        <is>
          <t>A satır sayısı</t>
        </is>
      </c>
      <c r="B5" s="38">
        <f>COUNTA(tblVeriA[SiparisNo])</f>
        <v/>
      </c>
    </row>
    <row r="6">
      <c r="A6" s="7" t="inlineStr">
        <is>
          <t>B satır sayısı</t>
        </is>
      </c>
      <c r="B6" s="38">
        <f>COUNTA(tblVeriB[SiparisNo])</f>
        <v/>
      </c>
    </row>
    <row r="7">
      <c r="A7" s="7" t="inlineStr">
        <is>
          <t>Eşleşti</t>
        </is>
      </c>
      <c r="B7" s="38">
        <f>COUNTIF(tblEslesme[Kova],"eslesti")</f>
        <v/>
      </c>
    </row>
    <row r="8">
      <c r="A8" s="7" t="inlineStr">
        <is>
          <t>Tolerans</t>
        </is>
      </c>
      <c r="B8" s="38">
        <f>COUNTIF(tblEslesme[Kova],"tolerans_icinde")</f>
        <v/>
      </c>
    </row>
    <row r="9">
      <c r="A9" s="7" t="inlineStr">
        <is>
          <t>Tutar farkı</t>
        </is>
      </c>
      <c r="B9" s="38">
        <f>COUNTIF(tblEslesme[Kova],"tutar_farki")</f>
        <v/>
      </c>
    </row>
    <row r="10">
      <c r="A10" s="7" t="inlineStr">
        <is>
          <t>Eşleşmedi</t>
        </is>
      </c>
      <c r="B10" s="38">
        <f>COUNTIF(tblEslesme[Kova],"eslesmedi")</f>
        <v/>
      </c>
    </row>
    <row r="11">
      <c r="A11" s="7" t="inlineStr">
        <is>
          <t>Kova toplam</t>
        </is>
      </c>
      <c r="B11" s="38">
        <f>B7+B8+B9+B10</f>
        <v/>
      </c>
    </row>
    <row r="12">
      <c r="A12" s="7" t="inlineStr">
        <is>
          <t>Bütünlük</t>
        </is>
      </c>
      <c r="B12" s="38">
        <f>IF(B11=B5,"BUTUN","KAYIP")</f>
        <v/>
      </c>
    </row>
    <row r="13">
      <c r="A13" s="7" t="inlineStr">
        <is>
          <t>Duplike A</t>
        </is>
      </c>
      <c r="B13" s="38">
        <f>COUNTIF(tblAnahtarA[Duplike],"EVET")</f>
        <v/>
      </c>
    </row>
    <row r="14">
      <c r="A14" s="7" t="inlineStr">
        <is>
          <t>TANIMSIZ</t>
        </is>
      </c>
      <c r="B14" s="38">
        <f>COUNTIF(tblKok[KokNeden],"TANIMSIZ")</f>
        <v/>
      </c>
    </row>
    <row r="15">
      <c r="A15" s="7" t="inlineStr">
        <is>
          <t>Boş karar yolu</t>
        </is>
      </c>
      <c r="B15" s="34">
        <f>IF(B5=0,"VERİ YOK","VERİ VAR")</f>
        <v/>
      </c>
    </row>
    <row r="16">
      <c r="A16" s="7" t="inlineStr">
        <is>
          <t>Kalite skoru</t>
        </is>
      </c>
      <c r="B16" s="34">
        <f>IF(B5=0,0,ROUND(100*(B7+B8)/MAX(B5,1),0))</f>
        <v/>
      </c>
    </row>
    <row r="17">
      <c r="A17" s="7" t="inlineStr">
        <is>
          <t>Kargo toplam</t>
        </is>
      </c>
      <c r="B17" s="37">
        <f>SUM(tblMotor[SiparisToplam])</f>
        <v/>
      </c>
    </row>
    <row r="18">
      <c r="A18" s="7" t="inlineStr">
        <is>
          <t>Hedef toplam</t>
        </is>
      </c>
      <c r="B18" s="37">
        <f>SUM(tblVeriA[HedefMaliyet])</f>
        <v/>
      </c>
    </row>
    <row r="19">
      <c r="A19" s="7" t="inlineStr">
        <is>
          <t>Fark kontrol</t>
        </is>
      </c>
      <c r="B19" s="37">
        <f>B18-B17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J1"/>
  </mergeCells>
  <conditionalFormatting sqref="B12">
    <cfRule type="cellIs" priority="1" operator="equal" dxfId="2">
      <formula>"BUTUN"</formula>
    </cfRule>
    <cfRule type="cellIs" priority="2" operator="equal" dxfId="1">
      <formula>"KAYIP"</formula>
    </cfRule>
    <cfRule type="cellIs" priority="12" operator="greaterThan" dxfId="3">
      <formula>0</formula>
    </cfRule>
  </conditionalFormatting>
  <conditionalFormatting sqref="B16">
    <cfRule type="cellIs" priority="3" operator="greaterThanOrEqual" dxfId="2">
      <formula>90</formula>
    </cfRule>
    <cfRule type="cellIs" priority="4" operator="lessThan" dxfId="1">
      <formula>70</formula>
    </cfRule>
  </conditionalFormatting>
  <conditionalFormatting sqref="B5">
    <cfRule type="cellIs" priority="5" operator="greaterThan" dxfId="3">
      <formula>0</formula>
    </cfRule>
  </conditionalFormatting>
  <conditionalFormatting sqref="B6">
    <cfRule type="cellIs" priority="6" operator="greaterThan" dxfId="3">
      <formula>0</formula>
    </cfRule>
  </conditionalFormatting>
  <conditionalFormatting sqref="B7">
    <cfRule type="cellIs" priority="7" operator="greaterThan" dxfId="3">
      <formula>0</formula>
    </cfRule>
  </conditionalFormatting>
  <conditionalFormatting sqref="B8">
    <cfRule type="cellIs" priority="8" operator="greaterThan" dxfId="3">
      <formula>0</formula>
    </cfRule>
  </conditionalFormatting>
  <conditionalFormatting sqref="B9">
    <cfRule type="cellIs" priority="9" operator="greaterThan" dxfId="3">
      <formula>0</formula>
    </cfRule>
  </conditionalFormatting>
  <conditionalFormatting sqref="B10">
    <cfRule type="cellIs" priority="10" operator="greaterThan" dxfId="3">
      <formula>0</formula>
    </cfRule>
  </conditionalFormatting>
  <conditionalFormatting sqref="B11">
    <cfRule type="cellIs" priority="11" operator="greaterThan" dxfId="3">
      <formula>0</formula>
    </cfRule>
  </conditionalFormatting>
  <conditionalFormatting sqref="B13">
    <cfRule type="cellIs" priority="13" operator="greaterThan" dxfId="3">
      <formula>0</formula>
    </cfRule>
  </conditionalFormatting>
  <conditionalFormatting sqref="B14">
    <cfRule type="cellIs" priority="14" operator="greaterThan" dxfId="3">
      <formula>0</formula>
    </cfRule>
  </conditionalFormatting>
  <conditionalFormatting sqref="B15">
    <cfRule type="cellIs" priority="15" operator="greaterThan" dxfId="3">
      <formula>0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0AD47"/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4" customWidth="1" min="2" max="2"/>
  </cols>
  <sheetData>
    <row r="1" ht="26" customHeight="1">
      <c r="A1" s="1" t="inlineStr">
        <is>
          <t>ORNEK VERI — Kargo/Desi Maliyet Optimizasyonu</t>
        </is>
      </c>
    </row>
    <row r="3">
      <c r="A3" s="39" t="inlineStr">
        <is>
          <t>Örnek Senaryo Açıklaması</t>
        </is>
      </c>
    </row>
    <row r="4">
      <c r="A4" s="8" t="inlineStr">
        <is>
          <t>Dosyada 35 satır örnek sipariş vardır: hedef↔gerçek maliyet farkı, kısa/uzun sipariş numarası (3,7,11), eşleşmeyen (15) ve Yorum B satırları kasıtlıdır. VERI_A ve VERI_B'yi temizleyip kendi paket/tarifelerinizi yapıştırabilirsiniz.</t>
        </is>
      </c>
    </row>
    <row r="6">
      <c r="A6" s="7" t="inlineStr">
        <is>
          <t>Örnek özet (bilgi)</t>
        </is>
      </c>
    </row>
    <row r="7">
      <c r="A7" s="7" t="inlineStr">
        <is>
          <t>Karar seti: DESİ DÜŞÜR / TAŞIYICI DEĞİŞTİR / UYGUN / VERİ YOK</t>
        </is>
      </c>
    </row>
    <row r="9">
      <c r="A9" s="7" t="inlineStr">
        <is>
          <t>Ölçek sözleşmesi</t>
        </is>
      </c>
      <c r="B9" s="19" t="n">
        <v>50000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4:H4"/>
    <mergeCell ref="A1:L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B3A4B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6" customWidth="1" min="3" max="3"/>
    <col width="12" customWidth="1" min="5" max="5"/>
    <col width="14" customWidth="1" min="7" max="7"/>
  </cols>
  <sheetData>
    <row r="1" ht="26" customHeight="1">
      <c r="A1" s="1" t="inlineStr">
        <is>
          <t>LISTELER — Kargo/Desi Maliyet Optimizasyonu</t>
        </is>
      </c>
    </row>
    <row r="3">
      <c r="A3" s="18" t="inlineStr">
        <is>
          <t>Taşıyıcı Listesi</t>
        </is>
      </c>
      <c r="C3" s="18" t="inlineStr">
        <is>
          <t>Bölge Listesi</t>
        </is>
      </c>
      <c r="E3" s="34" t="inlineStr">
        <is>
          <t>Yorum A/B</t>
        </is>
      </c>
      <c r="G3" s="34" t="inlineStr">
        <is>
          <t>Durum</t>
        </is>
      </c>
    </row>
    <row r="6">
      <c r="A6" s="40" t="inlineStr">
        <is>
          <t>Tasiyici</t>
        </is>
      </c>
      <c r="C6" s="40" t="inlineStr">
        <is>
          <t>Bolge</t>
        </is>
      </c>
      <c r="E6" s="40" t="inlineStr">
        <is>
          <t>Secim</t>
        </is>
      </c>
      <c r="G6" s="40" t="inlineStr">
        <is>
          <t>Durum</t>
        </is>
      </c>
    </row>
    <row r="7">
      <c r="A7" s="13" t="inlineStr">
        <is>
          <t>Yurtici</t>
        </is>
      </c>
      <c r="C7" s="13" t="inlineStr">
        <is>
          <t>IcAnadolu</t>
        </is>
      </c>
      <c r="E7" s="13" t="inlineStr">
        <is>
          <t>A</t>
        </is>
      </c>
      <c r="G7" s="13" t="inlineStr">
        <is>
          <t>Aktif</t>
        </is>
      </c>
    </row>
    <row r="8">
      <c r="A8" s="13" t="inlineStr">
        <is>
          <t>Aras</t>
        </is>
      </c>
      <c r="C8" s="13" t="inlineStr">
        <is>
          <t>Marmara</t>
        </is>
      </c>
      <c r="E8" s="13" t="inlineStr">
        <is>
          <t>B</t>
        </is>
      </c>
      <c r="G8" s="13" t="inlineStr">
        <is>
          <t>Kampanya</t>
        </is>
      </c>
    </row>
    <row r="9">
      <c r="A9" s="13" t="inlineStr">
        <is>
          <t>MNG</t>
        </is>
      </c>
      <c r="C9" s="13" t="inlineStr">
        <is>
          <t>Ege</t>
        </is>
      </c>
      <c r="G9" s="13" t="inlineStr">
        <is>
          <t>Durduruldu</t>
        </is>
      </c>
    </row>
    <row r="10">
      <c r="A10" s="13" t="inlineStr">
        <is>
          <t>PTT</t>
        </is>
      </c>
      <c r="C10" s="13" t="inlineStr">
        <is>
          <t>Akdeniz</t>
        </is>
      </c>
    </row>
    <row r="11">
      <c r="A11" s="13" t="inlineStr">
        <is>
          <t>Sürat</t>
        </is>
      </c>
      <c r="C11" s="13" t="inlineStr">
        <is>
          <t>Karadeniz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H1"/>
  </mergeCells>
  <dataValidations count="10">
    <dataValidation sqref="A7" showDropDown="0" showInputMessage="1" showErrorMessage="1" allowBlank="1" errorTitle="Ad" error="En az 1 karakter" promptTitle="Taşıyıcı" prompt="Ad girin" type="textLength" errorStyle="stop" operator="greaterThan">
      <formula1>1</formula1>
      <formula2>40</formula2>
    </dataValidation>
    <dataValidation sqref="A8" showDropDown="0" showInputMessage="1" showErrorMessage="1" allowBlank="1" errorTitle="Ad" error="En az 1 karakter" promptTitle="Taşıyıcı" prompt="Ad girin" type="textLength" errorStyle="stop" operator="greaterThan">
      <formula1>1</formula1>
      <formula2>40</formula2>
    </dataValidation>
    <dataValidation sqref="A9" showDropDown="0" showInputMessage="1" showErrorMessage="1" allowBlank="1" errorTitle="Ad" error="En az 1 karakter" promptTitle="Taşıyıcı" prompt="Ad girin" type="textLength" errorStyle="stop" operator="greaterThan">
      <formula1>1</formula1>
      <formula2>40</formula2>
    </dataValidation>
    <dataValidation sqref="A10" showDropDown="0" showInputMessage="1" showErrorMessage="1" allowBlank="1" errorTitle="Ad" error="En az 1 karakter" promptTitle="Taşıyıcı" prompt="Ad girin" type="textLength" errorStyle="stop" operator="greaterThan">
      <formula1>1</formula1>
      <formula2>40</formula2>
    </dataValidation>
    <dataValidation sqref="A11" showDropDown="0" showInputMessage="1" showErrorMessage="1" allowBlank="1" errorTitle="Ad" error="En az 1 karakter" promptTitle="Taşıyıcı" prompt="Ad girin" type="textLength" errorStyle="stop" operator="greaterThan">
      <formula1>1</formula1>
      <formula2>40</formula2>
    </dataValidation>
    <dataValidation sqref="C7" showDropDown="0" showInputMessage="1" showErrorMessage="1" allowBlank="1" errorTitle="Bölge" error="Geçersiz" promptTitle="Bölge" prompt="Bölge girin" type="textLength" errorStyle="stop" operator="greaterThan">
      <formula1>1</formula1>
      <formula2>30</formula2>
    </dataValidation>
    <dataValidation sqref="C8" showDropDown="0" showInputMessage="1" showErrorMessage="1" allowBlank="1" errorTitle="Bölge" error="Geçersiz" promptTitle="Bölge" prompt="Bölge girin" type="textLength" errorStyle="stop" operator="greaterThan">
      <formula1>1</formula1>
      <formula2>30</formula2>
    </dataValidation>
    <dataValidation sqref="C9" showDropDown="0" showInputMessage="1" showErrorMessage="1" allowBlank="1" errorTitle="Bölge" error="Geçersiz" promptTitle="Bölge" prompt="Bölge girin" type="textLength" errorStyle="stop" operator="greaterThan">
      <formula1>1</formula1>
      <formula2>30</formula2>
    </dataValidation>
    <dataValidation sqref="C10" showDropDown="0" showInputMessage="1" showErrorMessage="1" allowBlank="1" errorTitle="Bölge" error="Geçersiz" promptTitle="Bölge" prompt="Bölge girin" type="textLength" errorStyle="stop" operator="greaterThan">
      <formula1>1</formula1>
      <formula2>30</formula2>
    </dataValidation>
    <dataValidation sqref="C11" showDropDown="0" showInputMessage="1" showErrorMessage="1" allowBlank="1" errorTitle="Bölge" error="Geçersiz" promptTitle="Bölge" prompt="Bölge girin" type="textLength" errorStyle="stop" operator="greaterThan">
      <formula1>1</formula1>
      <formula2>30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tabColor rgb="001B3A4B"/>
    <outlinePr summaryBelow="1" summaryRight="1"/>
    <pageSetUpPr/>
  </sheetPr>
  <dimension ref="A1:L5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12" customWidth="1" min="3" max="3"/>
    <col width="28" customWidth="1" min="4" max="4"/>
    <col width="14" customWidth="1" min="5" max="5"/>
    <col width="28" customWidth="1" min="6" max="6"/>
    <col width="24" customWidth="1" min="8" max="8"/>
    <col width="42" customWidth="1" min="9" max="9"/>
  </cols>
  <sheetData>
    <row r="1" ht="26" customHeight="1">
      <c r="A1" s="1" t="inlineStr">
        <is>
          <t>AYARLAR — Kargo/Desi Maliyet Optimizasyonu</t>
        </is>
      </c>
    </row>
    <row r="3" ht="20" customHeight="1">
      <c r="A3" s="10" t="inlineStr">
        <is>
          <t>Tek kaynak parametreler — kaynak ve yürürlük zorunlu (D10)</t>
        </is>
      </c>
    </row>
    <row r="5" ht="30" customHeight="1">
      <c r="A5" s="12" t="inlineStr">
        <is>
          <t>anahtar</t>
        </is>
      </c>
      <c r="B5" s="12" t="inlineStr">
        <is>
          <t>deger</t>
        </is>
      </c>
      <c r="C5" s="12" t="inlineStr">
        <is>
          <t>birim</t>
        </is>
      </c>
      <c r="D5" s="12" t="inlineStr">
        <is>
          <t>kaynak</t>
        </is>
      </c>
      <c r="E5" s="12" t="inlineStr">
        <is>
          <t>yururluk_tarihi</t>
        </is>
      </c>
      <c r="F5" s="12" t="inlineStr">
        <is>
          <t>aciklama</t>
        </is>
      </c>
    </row>
    <row r="6">
      <c r="A6" s="7" t="inlineStr">
        <is>
          <t>toleransKurus</t>
        </is>
      </c>
      <c r="B6" s="16" t="n">
        <v>0.05</v>
      </c>
      <c r="C6" s="7" t="inlineStr">
        <is>
          <t>TL</t>
        </is>
      </c>
      <c r="D6" s="7" t="inlineStr">
        <is>
          <t>İş kuralı — kuruş toleransı</t>
        </is>
      </c>
      <c r="E6" s="7" t="inlineStr">
        <is>
          <t>01.01.2026</t>
        </is>
      </c>
      <c r="F6" s="8" t="inlineStr">
        <is>
          <t>Eşleşme toleransı</t>
        </is>
      </c>
    </row>
    <row r="7">
      <c r="A7" s="7" t="inlineStr">
        <is>
          <t>raporTarihi</t>
        </is>
      </c>
      <c r="B7" s="41" t="n">
        <v>46245</v>
      </c>
      <c r="C7" s="7" t="inlineStr">
        <is>
          <t>tarih</t>
        </is>
      </c>
      <c r="D7" s="7" t="inlineStr">
        <is>
          <t>Kullanıcı / dönem kapanışı</t>
        </is>
      </c>
      <c r="E7" s="7" t="inlineStr">
        <is>
          <t>01.01.2026</t>
        </is>
      </c>
      <c r="F7" s="8" t="inlineStr">
        <is>
          <t>Rapor tarihi</t>
        </is>
      </c>
    </row>
    <row r="8">
      <c r="A8" s="7" t="inlineStr">
        <is>
          <t>kdo_esikEslesme</t>
        </is>
      </c>
      <c r="B8" s="17" t="n">
        <v>0.85</v>
      </c>
      <c r="C8" s="7" t="inlineStr">
        <is>
          <t>oran</t>
        </is>
      </c>
      <c r="D8" s="7" t="inlineStr">
        <is>
          <t>İç politika</t>
        </is>
      </c>
      <c r="E8" s="7" t="inlineStr">
        <is>
          <t>01.01.2026</t>
        </is>
      </c>
      <c r="F8" s="8" t="inlineStr">
        <is>
          <t>Eşleşme oranı eşiği</t>
        </is>
      </c>
    </row>
    <row r="9">
      <c r="A9" s="7" t="inlineStr">
        <is>
          <t>kdo_esikFark</t>
        </is>
      </c>
      <c r="B9" s="16" t="n">
        <v>50</v>
      </c>
      <c r="C9" s="7" t="inlineStr">
        <is>
          <t>TL</t>
        </is>
      </c>
      <c r="D9" s="7" t="inlineStr">
        <is>
          <t>İç politika</t>
        </is>
      </c>
      <c r="E9" s="7" t="inlineStr">
        <is>
          <t>01.01.2026</t>
        </is>
      </c>
      <c r="F9" s="8" t="inlineStr">
        <is>
          <t>Fark tutarı eşiği</t>
        </is>
      </c>
    </row>
    <row r="10">
      <c r="A10" s="7" t="inlineStr">
        <is>
          <t>kdo_esikDesiOran</t>
        </is>
      </c>
      <c r="B10" s="14" t="n">
        <v>2.5</v>
      </c>
      <c r="C10" s="7" t="inlineStr">
        <is>
          <t>oran</t>
        </is>
      </c>
      <c r="D10" s="7" t="inlineStr">
        <is>
          <t>Desi politikası</t>
        </is>
      </c>
      <c r="E10" s="7" t="inlineStr">
        <is>
          <t>01.01.2026</t>
        </is>
      </c>
      <c r="F10" s="8" t="inlineStr">
        <is>
          <t>DESİ DÜŞÜR eşiği</t>
        </is>
      </c>
    </row>
    <row r="11">
      <c r="A11" s="7" t="inlineStr">
        <is>
          <t>kdo_esikTasarruf</t>
        </is>
      </c>
      <c r="B11" s="16" t="n">
        <v>15</v>
      </c>
      <c r="C11" s="7" t="inlineStr">
        <is>
          <t>TL</t>
        </is>
      </c>
      <c r="D11" s="7" t="inlineStr">
        <is>
          <t>Taşıyıcı politikası</t>
        </is>
      </c>
      <c r="E11" s="7" t="inlineStr">
        <is>
          <t>01.01.2026</t>
        </is>
      </c>
      <c r="F11" s="8" t="inlineStr">
        <is>
          <t>TAŞIYICI DEĞİŞTİR eşiği</t>
        </is>
      </c>
    </row>
    <row r="12">
      <c r="A12" s="7" t="inlineStr">
        <is>
          <t>kdo_esikIade</t>
        </is>
      </c>
      <c r="B12" s="17" t="n">
        <v>0.08</v>
      </c>
      <c r="C12" s="7" t="inlineStr">
        <is>
          <t>oran</t>
        </is>
      </c>
      <c r="D12" s="7" t="inlineStr">
        <is>
          <t>İade politikası</t>
        </is>
      </c>
      <c r="E12" s="7" t="inlineStr">
        <is>
          <t>01.01.2026</t>
        </is>
      </c>
      <c r="F12" s="8" t="inlineStr">
        <is>
          <t>KDO-002 eşiği</t>
        </is>
      </c>
    </row>
    <row r="13">
      <c r="A13" s="7" t="inlineStr">
        <is>
          <t>kdo_iadeEtkiCarpani</t>
        </is>
      </c>
      <c r="B13" s="17" t="n">
        <v>0.5</v>
      </c>
      <c r="C13" s="7" t="inlineStr">
        <is>
          <t>oran</t>
        </is>
      </c>
      <c r="D13" s="7" t="inlineStr">
        <is>
          <t>İade maliyet modeli</t>
        </is>
      </c>
      <c r="E13" s="7" t="inlineStr">
        <is>
          <t>01.01.2026</t>
        </is>
      </c>
      <c r="F13" s="8" t="inlineStr">
        <is>
          <t>İade maliyeti çarpanı</t>
        </is>
      </c>
    </row>
    <row r="14">
      <c r="A14" s="7" t="inlineStr">
        <is>
          <t>kdo_varsayilanDesiCarpani</t>
        </is>
      </c>
      <c r="B14" s="14" t="n">
        <v>3000</v>
      </c>
      <c r="C14" s="7" t="inlineStr">
        <is>
          <t>sayi</t>
        </is>
      </c>
      <c r="D14" s="7" t="inlineStr">
        <is>
          <t>Taşıyıcı teamülü</t>
        </is>
      </c>
      <c r="E14" s="7" t="inlineStr">
        <is>
          <t>01.01.2026</t>
        </is>
      </c>
      <c r="F14" s="8" t="inlineStr">
        <is>
          <t>Varsayılan desi çarpanı</t>
        </is>
      </c>
    </row>
    <row r="15">
      <c r="A15" s="7" t="inlineStr">
        <is>
          <t>kdo_azamiTutar</t>
        </is>
      </c>
      <c r="B15" s="16" t="n">
        <v>1000000</v>
      </c>
      <c r="C15" s="7" t="inlineStr">
        <is>
          <t>TL</t>
        </is>
      </c>
      <c r="D15" s="7" t="inlineStr">
        <is>
          <t>İç politika — uç değer</t>
        </is>
      </c>
      <c r="E15" s="7" t="inlineStr">
        <is>
          <t>01.01.2026</t>
        </is>
      </c>
      <c r="F15" s="8" t="inlineStr">
        <is>
          <t>Azami makul tutar</t>
        </is>
      </c>
    </row>
    <row r="16">
      <c r="A16" s="7" t="inlineStr">
        <is>
          <t>kdo_ikincilUzunluk</t>
        </is>
      </c>
      <c r="B16" s="14" t="n">
        <v>12</v>
      </c>
      <c r="C16" s="7" t="inlineStr">
        <is>
          <t>karakter</t>
        </is>
      </c>
      <c r="D16" s="7" t="inlineStr">
        <is>
          <t>Anahtar stratejisi SPEC</t>
        </is>
      </c>
      <c r="E16" s="7" t="inlineStr">
        <is>
          <t>01.01.2026</t>
        </is>
      </c>
      <c r="F16" s="8" t="inlineStr">
        <is>
          <t>Ikincil anahtar</t>
        </is>
      </c>
    </row>
    <row r="17">
      <c r="A17" s="7" t="inlineStr">
        <is>
          <t>kdo_olcekHedef</t>
        </is>
      </c>
      <c r="B17" s="14" t="n">
        <v>50000</v>
      </c>
      <c r="C17" s="7" t="inlineStr">
        <is>
          <t>satir</t>
        </is>
      </c>
      <c r="D17" s="7" t="inlineStr">
        <is>
          <t>Manda A2 Ö1</t>
        </is>
      </c>
      <c r="E17" s="7" t="inlineStr">
        <is>
          <t>01.01.2026</t>
        </is>
      </c>
      <c r="F17" s="8" t="inlineStr">
        <is>
          <t>Ölçek sözleşmesi</t>
        </is>
      </c>
    </row>
    <row r="18">
      <c r="A18" s="7" t="inlineStr">
        <is>
          <t>kdo_yuzdelikOran</t>
        </is>
      </c>
      <c r="B18" s="17" t="n">
        <v>0.9</v>
      </c>
      <c r="C18" s="7" t="inlineStr">
        <is>
          <t>oran</t>
        </is>
      </c>
      <c r="D18" s="7" t="inlineStr">
        <is>
          <t>İstatistik kuralı</t>
        </is>
      </c>
      <c r="E18" s="7" t="inlineStr">
        <is>
          <t>01.01.2026</t>
        </is>
      </c>
      <c r="F18" s="8" t="inlineStr">
        <is>
          <t>PERCENTILE oranı</t>
        </is>
      </c>
    </row>
    <row r="19">
      <c r="A19" s="7" t="inlineStr">
        <is>
          <t>kdo_tarifeSenaryo</t>
        </is>
      </c>
      <c r="B19" s="17" t="n">
        <v>0.1</v>
      </c>
      <c r="C19" s="7" t="inlineStr">
        <is>
          <t>oran</t>
        </is>
      </c>
      <c r="D19" s="7" t="inlineStr">
        <is>
          <t>M_SEN parametre</t>
        </is>
      </c>
      <c r="E19" s="7" t="inlineStr">
        <is>
          <t>01.01.2026</t>
        </is>
      </c>
      <c r="F19" s="8" t="inlineStr">
        <is>
          <t>Tarife +% senaryo</t>
        </is>
      </c>
    </row>
    <row r="20">
      <c r="A20" s="7" t="inlineStr">
        <is>
          <t>kdo_fiyatModeli</t>
        </is>
      </c>
      <c r="B20" s="13" t="inlineStr">
        <is>
          <t>Tek seferlik alım — aylık ücret yok</t>
        </is>
      </c>
      <c r="C20" s="7" t="inlineStr">
        <is>
          <t>metin</t>
        </is>
      </c>
      <c r="D20" s="7" t="inlineStr">
        <is>
          <t>Ürün konumlandırma</t>
        </is>
      </c>
      <c r="E20" s="7" t="inlineStr">
        <is>
          <t>01.01.2026</t>
        </is>
      </c>
      <c r="F20" s="8" t="inlineStr">
        <is>
          <t>R3 ayrım</t>
        </is>
      </c>
    </row>
    <row r="21">
      <c r="A21" s="7" t="inlineStr">
        <is>
          <t>kdo_kvkkBeyani</t>
        </is>
      </c>
      <c r="B21" s="13" t="inlineStr">
        <is>
          <t>Veri cihazdan çıkmaz</t>
        </is>
      </c>
      <c r="C21" s="7" t="inlineStr">
        <is>
          <t>metin</t>
        </is>
      </c>
      <c r="D21" s="7" t="inlineStr">
        <is>
          <t>KVKK beyanı</t>
        </is>
      </c>
      <c r="E21" s="7" t="inlineStr">
        <is>
          <t>01.01.2026</t>
        </is>
      </c>
      <c r="F21" s="8" t="inlineStr">
        <is>
          <t>R3 ayrım</t>
        </is>
      </c>
    </row>
    <row r="22">
      <c r="A22" s="7" t="inlineStr">
        <is>
          <t>kdo_faturalananBirim</t>
        </is>
      </c>
      <c r="B22" s="13" t="inlineStr">
        <is>
          <t>max(desi, kg) motoru</t>
        </is>
      </c>
      <c r="C22" s="7" t="inlineStr">
        <is>
          <t>metin</t>
        </is>
      </c>
      <c r="D22" s="7" t="inlineStr">
        <is>
          <t>MOTOR</t>
        </is>
      </c>
      <c r="E22" s="7" t="inlineStr">
        <is>
          <t>01.01.2026</t>
        </is>
      </c>
      <c r="F22" s="8" t="inlineStr">
        <is>
          <t>R1 ayrım</t>
        </is>
      </c>
    </row>
    <row r="23">
      <c r="A23" s="7" t="inlineStr">
        <is>
          <t>kdo_normAnahtar</t>
        </is>
      </c>
      <c r="B23" s="13" t="inlineStr">
        <is>
          <t>UPPER TRIM SUBSTITUTE</t>
        </is>
      </c>
      <c r="C23" s="7" t="inlineStr">
        <is>
          <t>metin</t>
        </is>
      </c>
      <c r="D23" s="7" t="inlineStr">
        <is>
          <t>Ç7 anahtar</t>
        </is>
      </c>
      <c r="E23" s="7" t="inlineStr">
        <is>
          <t>01.01.2026</t>
        </is>
      </c>
      <c r="F23" s="8" t="inlineStr">
        <is>
          <t>Serbest alternatif</t>
        </is>
      </c>
    </row>
    <row r="24">
      <c r="A24" s="7" t="inlineStr">
        <is>
          <t>kdo_tanimsizKova</t>
        </is>
      </c>
      <c r="B24" s="13" t="inlineStr">
        <is>
          <t>TANIMSIZ görünür</t>
        </is>
      </c>
      <c r="C24" s="7" t="inlineStr">
        <is>
          <t>metin</t>
        </is>
      </c>
      <c r="D24" s="7" t="inlineStr">
        <is>
          <t>E04</t>
        </is>
      </c>
      <c r="E24" s="7" t="inlineStr">
        <is>
          <t>01.01.2026</t>
        </is>
      </c>
      <c r="F24" s="8" t="inlineStr">
        <is>
          <t>Serbest alternatif</t>
        </is>
      </c>
    </row>
    <row r="25">
      <c r="A25" s="7" t="inlineStr">
        <is>
          <t>kdo_kovaButunlukAd</t>
        </is>
      </c>
      <c r="B25" s="13" t="inlineStr">
        <is>
          <t>Dört kova bütünlük</t>
        </is>
      </c>
      <c r="C25" s="7" t="inlineStr">
        <is>
          <t>metin</t>
        </is>
      </c>
      <c r="D25" s="7" t="inlineStr">
        <is>
          <t>E02</t>
        </is>
      </c>
      <c r="E25" s="7" t="inlineStr">
        <is>
          <t>01.01.2026</t>
        </is>
      </c>
      <c r="F25" s="8" t="inlineStr">
        <is>
          <t>Serbest alternatif</t>
        </is>
      </c>
    </row>
    <row r="26">
      <c r="A26" s="7" t="inlineStr">
        <is>
          <t>kdo_dosyaSurumu</t>
        </is>
      </c>
      <c r="B26" s="13" t="inlineStr">
        <is>
          <t>1.0.0</t>
        </is>
      </c>
      <c r="C26" s="7" t="inlineStr">
        <is>
          <t>metin</t>
        </is>
      </c>
      <c r="D26" s="7" t="inlineStr">
        <is>
          <t>Sürüm yönetimi</t>
        </is>
      </c>
      <c r="E26" s="7" t="inlineStr">
        <is>
          <t>01.01.2026</t>
        </is>
      </c>
      <c r="F26" s="8" t="inlineStr">
        <is>
          <t>Ürün sürümü</t>
        </is>
      </c>
    </row>
    <row r="27">
      <c r="A27" s="7" t="inlineStr">
        <is>
          <t>kdo_firmaUnvan</t>
        </is>
      </c>
      <c r="B27" s="13" t="inlineStr">
        <is>
          <t>Örnek Lojistik A.Ş.</t>
        </is>
      </c>
      <c r="C27" s="7" t="inlineStr">
        <is>
          <t>metin</t>
        </is>
      </c>
      <c r="D27" s="7" t="inlineStr">
        <is>
          <t>Kullanıcı girişi</t>
        </is>
      </c>
      <c r="E27" s="7" t="inlineStr">
        <is>
          <t>01.01.2026</t>
        </is>
      </c>
      <c r="F27" s="8" t="inlineStr">
        <is>
          <t>Firma</t>
        </is>
      </c>
    </row>
    <row r="28">
      <c r="A28" s="7" t="inlineStr">
        <is>
          <t>kdo_kuralSeti</t>
        </is>
      </c>
      <c r="B28" s="13" t="inlineStr">
        <is>
          <t>KDO-001..005</t>
        </is>
      </c>
      <c r="C28" s="7" t="inlineStr">
        <is>
          <t>metin</t>
        </is>
      </c>
      <c r="D28" s="7" t="inlineStr">
        <is>
          <t>Kök neden kuralları</t>
        </is>
      </c>
      <c r="E28" s="7" t="inlineStr">
        <is>
          <t>01.01.2026</t>
        </is>
      </c>
      <c r="F28" s="8" t="inlineStr">
        <is>
          <t>Kural seti</t>
        </is>
      </c>
    </row>
    <row r="31">
      <c r="H31" s="18" t="inlineStr">
        <is>
          <t>Motor Cikti</t>
        </is>
      </c>
      <c r="I31" s="18" t="inlineStr">
        <is>
          <t>Deger</t>
        </is>
      </c>
    </row>
    <row r="32">
      <c r="H32" s="7" t="inlineStr">
        <is>
          <t>kdo_mutabakatFarki</t>
        </is>
      </c>
      <c r="I32" s="34">
        <f>IFERROR(SUM(tblVeriA[HedefMaliyet])-SUM(tblMotor[SiparisToplam]),0)</f>
        <v/>
      </c>
    </row>
    <row r="33">
      <c r="H33" s="7" t="inlineStr">
        <is>
          <t>kdo_eslesmeOrani</t>
        </is>
      </c>
      <c r="I33" s="34">
        <f>IF(COUNTA(tblEslesme[A_Norm])=0,0,(COUNTIF(tblEslesme[Kova],"eslesti")+COUNTIF(tblEslesme[Kova],"tolerans_icinde"))/COUNTA(tblEslesme[A_Norm]))</f>
        <v/>
      </c>
    </row>
    <row r="34">
      <c r="H34" s="7" t="inlineStr">
        <is>
          <t>kdo_kovaButunluk</t>
        </is>
      </c>
      <c r="I34" s="34">
        <f>ESLESTIRME!C2</f>
        <v/>
      </c>
    </row>
    <row r="35">
      <c r="H35" s="7" t="inlineStr">
        <is>
          <t>kdo_modulT1</t>
        </is>
      </c>
      <c r="I35" s="34">
        <f>IFERROR(IF(COUNTA(tblMotor[A_Norm])=0,0,AVERAGE(tblMotor[BirimKargo])),0)</f>
        <v/>
      </c>
    </row>
    <row r="36">
      <c r="H36" s="7" t="inlineStr">
        <is>
          <t>kdo_modulT2</t>
        </is>
      </c>
      <c r="I36" s="34">
        <f>IFERROR(IF(COUNTA(tblMotor[A_Norm])=0,0,AVERAGE(tblMotor[DesiKgOran])),0)</f>
        <v/>
      </c>
    </row>
    <row r="37">
      <c r="H37" s="7" t="inlineStr">
        <is>
          <t>kdo_modulO1</t>
        </is>
      </c>
      <c r="I37" s="34">
        <f>COUNTIF(tblEslesme[EsikUstu],1)</f>
        <v/>
      </c>
    </row>
    <row r="38">
      <c r="H38" s="7" t="inlineStr">
        <is>
          <t>kdo_modulO2</t>
        </is>
      </c>
      <c r="I38" s="34">
        <f>IFERROR(MAX(PANO!K28:K32),0)</f>
        <v/>
      </c>
    </row>
    <row r="39">
      <c r="H39" s="7" t="inlineStr">
        <is>
          <t>kdo_modulO3</t>
        </is>
      </c>
      <c r="I39" s="34">
        <f>IFERROR(SUM(tblMotor[SiparisToplam])*(1+kdo_tarifeSenaryo),0)</f>
        <v/>
      </c>
    </row>
    <row r="40">
      <c r="H40" s="7" t="inlineStr">
        <is>
          <t>kdo_modulO6</t>
        </is>
      </c>
      <c r="I40" s="34">
        <f>IFERROR(IF(COUNTA(tblVeriB[Tasiyici])=0,0,COUNTIF(tblVeriB[Tasiyici],INDEX(tblVeriB[Tasiyici],1))/COUNTA(tblVeriB[Tasiyici])),0)</f>
        <v/>
      </c>
    </row>
    <row r="41">
      <c r="H41" s="7" t="inlineStr">
        <is>
          <t>kdo_modulO8</t>
        </is>
      </c>
      <c r="I41" s="34">
        <f>IF(COUNTA(tblVeriA[SiparisNo])=0,0,ROUND(100*(COUNTIF(tblEslesme[Kova],"eslesti")+COUNTIF(tblEslesme[Kova],"tolerans_icinde"))/MAX(COUNTA(tblEslesme[A_Norm]),1),0))</f>
        <v/>
      </c>
    </row>
    <row r="42">
      <c r="H42" s="7" t="inlineStr">
        <is>
          <t>kdo_modulMSen</t>
        </is>
      </c>
      <c r="I42" s="34">
        <f>IFERROR(SUM(tblMotor[SiparisToplam])*kdo_tarifeSenaryo,0)</f>
        <v/>
      </c>
    </row>
    <row r="43">
      <c r="H43" s="7" t="inlineStr">
        <is>
          <t>kdo_modulI1</t>
        </is>
      </c>
      <c r="I43" s="34">
        <f>IFERROR(PERCENTILE(tblMotor[SiparisToplam],kdo_yuzdelikOran),0)</f>
        <v/>
      </c>
    </row>
    <row r="44">
      <c r="H44" s="7" t="inlineStr">
        <is>
          <t>kdo_modulI2</t>
        </is>
      </c>
      <c r="I44" s="34">
        <f>IFERROR(PERCENTILE(tblMotor[SiparisToplam],kdo_yuzdelikOran),0)</f>
        <v/>
      </c>
    </row>
    <row r="46">
      <c r="H46" s="18" t="inlineStr">
        <is>
          <t>Canli Yorumlar</t>
        </is>
      </c>
    </row>
    <row r="47">
      <c r="H47" s="7" t="inlineStr">
        <is>
          <t>kdo_modulT1Yorum</t>
        </is>
      </c>
      <c r="I47" s="8">
        <f>IFERROR(_xlfn.TEXTJOIN(" ",TRUE,"Ort birim kargo",TEXT(kdo_modulT1,"0.00"),"TL"),"-")</f>
        <v/>
      </c>
    </row>
    <row r="48">
      <c r="H48" s="7" t="inlineStr">
        <is>
          <t>kdo_modulT2Yorum</t>
        </is>
      </c>
      <c r="I48" s="8">
        <f>IFERROR(_xlfn.TEXTJOIN(" ",TRUE,"Ort desi/kg",TEXT(kdo_modulT2,"0.00")),"-")</f>
        <v/>
      </c>
    </row>
    <row r="49">
      <c r="H49" s="7" t="inlineStr">
        <is>
          <t>kdo_modulO1Yorum</t>
        </is>
      </c>
      <c r="I49" s="8">
        <f>IFERROR(_xlfn.TEXTJOIN(" ",TRUE,"Anomali",TEXT(kdo_modulO1,"0")),"-")</f>
        <v/>
      </c>
    </row>
    <row r="50">
      <c r="H50" s="7" t="inlineStr">
        <is>
          <t>kdo_modulO2Yorum</t>
        </is>
      </c>
      <c r="I50" s="8">
        <f>IFERROR(_xlfn.TEXTJOIN(" ",TRUE,"Tornado",TEXT(kdo_modulO2,"0.00"),"TL"),"-")</f>
        <v/>
      </c>
    </row>
    <row r="51">
      <c r="H51" s="7" t="inlineStr">
        <is>
          <t>kdo_modulO3Yorum</t>
        </is>
      </c>
      <c r="I51" s="8">
        <f>IFERROR(_xlfn.TEXTJOIN(" ",TRUE,"Senaryo toplam",TEXT(kdo_modulO3,"0.00"),"TL"),"-")</f>
        <v/>
      </c>
    </row>
    <row r="52">
      <c r="H52" s="7" t="inlineStr">
        <is>
          <t>kdo_modulO6Yorum</t>
        </is>
      </c>
      <c r="I52" s="8">
        <f>IFERROR(_xlfn.TEXTJOIN(" ",TRUE,"Yoğunlaşma",TEXT(kdo_modulO6,"0.0%")),"-")</f>
        <v/>
      </c>
    </row>
    <row r="53">
      <c r="H53" s="7" t="inlineStr">
        <is>
          <t>kdo_modulO8Yorum</t>
        </is>
      </c>
      <c r="I53" s="8">
        <f>IFERROR(_xlfn.TEXTJOIN(" ",TRUE,"Kalite",TEXT(kdo_modulO8,"0")),"-")</f>
        <v/>
      </c>
    </row>
    <row r="54">
      <c r="H54" s="7" t="inlineStr">
        <is>
          <t>kdo_modulMSenYorum</t>
        </is>
      </c>
      <c r="I54" s="8">
        <f>IFERROR(_xlfn.TEXTJOIN(" ",TRUE,"Tarife senaryo etki",TEXT(kdo_modulMSen,"0.00"),"TL"),"-")</f>
        <v/>
      </c>
    </row>
    <row r="55">
      <c r="H55" s="7" t="inlineStr">
        <is>
          <t>kdo_modulI1Yorum</t>
        </is>
      </c>
      <c r="I55" s="8">
        <f>IFERROR(_xlfn.TEXTJOIN(" ",TRUE,"Tahmin",TEXT(kdo_modulI1,"0.00"),"TL"),"-")</f>
        <v/>
      </c>
    </row>
    <row r="56">
      <c r="H56" s="7" t="inlineStr">
        <is>
          <t>kdo_modulI2Yorum</t>
        </is>
      </c>
      <c r="I56" s="8">
        <f>IFERROR(_xlfn.TEXTJOIN(" ",TRUE,"P90",TEXT(kdo_modulI2,"0.00"),"TL"),"-")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:L1"/>
    <mergeCell ref="A3:J3"/>
  </mergeCells>
  <dataValidations count="23">
    <dataValidation sqref="D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19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0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1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2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3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4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5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6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7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  <dataValidation sqref="D28" showDropDown="0" showInputMessage="1" showErrorMessage="1" allowBlank="1" errorTitle="Kaynak" error="Boş bırakmayın" promptTitle="Kaynak" prompt="Kaynak metni girin" type="textLength" errorStyle="stop" operator="greaterThanOrEqual">
      <formula1>0</formula1>
      <formula2>120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tabColor rgb="001B3A4B"/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1" t="inlineStr">
        <is>
          <t>KILAVUZ — Kargo/Desi Maliyet Optimizasyonu</t>
        </is>
      </c>
    </row>
    <row r="3">
      <c r="A3" s="23" t="inlineStr">
        <is>
          <t>Kullanım Kılavuzu</t>
        </is>
      </c>
    </row>
    <row r="5">
      <c r="A5" s="8" t="inlineStr">
        <is>
          <t>1. VERI_A: Sipariş ölçülerini (en, boy, yükseklik, ağırlık, desi çarpanı, adet) sarıya girin.</t>
        </is>
      </c>
    </row>
    <row r="6">
      <c r="A6" s="8" t="inlineStr">
        <is>
          <t>2. VERI_B: Taşıyıcı tarife, iade oranı ve alternatif tarifeyi yapıştırın.</t>
        </is>
      </c>
    </row>
    <row r="7">
      <c r="A7" s="8" t="inlineStr">
        <is>
          <t>3. ANAHTAR: Normalize sipariş numarası, uzunluk, ikincil ve duplike kolonları otomatik dolar.</t>
        </is>
      </c>
    </row>
    <row r="8">
      <c r="A8" s="8" t="inlineStr">
        <is>
          <t>4. MOTOR: Hacimsel desi, faturalanan birim, birim/toplam kargo ve satır kararı hesaplanır.</t>
        </is>
      </c>
    </row>
    <row r="9">
      <c r="A9" s="8" t="inlineStr">
        <is>
          <t>5. ESLESTIRME: Hedef maliyet ↔ gerçek maliyet dört kova denetimi.</t>
        </is>
      </c>
    </row>
    <row r="10">
      <c r="A10" s="8" t="inlineStr">
        <is>
          <t>6. KOK_NEDEN: KDO-001..005 sınıflandırır; TANIMSIZ elle incelenir.</t>
        </is>
      </c>
    </row>
    <row r="11">
      <c r="A11" s="8" t="inlineStr">
        <is>
          <t>7. PANO / KANIT_RAPORU: Kararı izleyin ve PDF yazdırın.</t>
        </is>
      </c>
    </row>
    <row r="13">
      <c r="A13" s="20" t="inlineStr">
        <is>
          <t>Sık yapılan hatalar</t>
        </is>
      </c>
    </row>
    <row r="14">
      <c r="A14" s="7" t="inlineStr">
        <is>
          <t>• Sipariş numarasını boşluklu bırakmak (normalize edilir ama kontrol edin)</t>
        </is>
      </c>
    </row>
    <row r="15">
      <c r="A15" s="7" t="inlineStr">
        <is>
          <t>• Desi çarpanını 0 yazmak (bölme hatası — varsayılan 3000 kullanın)</t>
        </is>
      </c>
    </row>
    <row r="16">
      <c r="A16" s="7" t="inlineStr">
        <is>
          <t>• Tarifeyi yüzde yerine TL/desi olarak girmemek</t>
        </is>
      </c>
    </row>
    <row r="18">
      <c r="A18" s="24" t="inlineStr">
        <is>
          <t>Sürüm 1.0.0 | Bu dosya karar destek aracıdır.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5:J5"/>
    <mergeCell ref="A8:J8"/>
    <mergeCell ref="A6:J6"/>
    <mergeCell ref="A9:J9"/>
    <mergeCell ref="A1:L1"/>
    <mergeCell ref="A7:J7"/>
    <mergeCell ref="A10:J10"/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2026-08-11T11:02:33Z</dcterms:created>
  <dcterms:modified xmlns:dcterms="http://purl.org/dc/terms/" xmlns:xsi="http://www.w3.org/2001/XMLSchema-instance" xsi:type="dcterms:W3CDTF">2026-09-25T14:23:28Z</dcterms:modified>
</cp:coreProperties>
</file>