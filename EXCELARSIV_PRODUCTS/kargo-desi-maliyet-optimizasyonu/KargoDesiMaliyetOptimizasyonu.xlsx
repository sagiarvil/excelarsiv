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ERI_A" sheetId="5" state="hidden" r:id="rId5"/>
    <sheet xmlns:r="http://schemas.openxmlformats.org/officeDocument/2006/relationships" name="VERI_B" sheetId="6" state="hidden" r:id="rId6"/>
    <sheet xmlns:r="http://schemas.openxmlformats.org/officeDocument/2006/relationships" name="ANAHT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ESLESTIRME" sheetId="9" state="hidden" r:id="rId9"/>
    <sheet xmlns:r="http://schemas.openxmlformats.org/officeDocument/2006/relationships" name="KOK_NEDEN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AKSIYON" sheetId="12" state="hidden" r:id="rId12"/>
    <sheet xmlns:r="http://schemas.openxmlformats.org/officeDocument/2006/relationships" name="KANIT_RAPORU" sheetId="13" state="hidden" r:id="rId13"/>
    <sheet xmlns:r="http://schemas.openxmlformats.org/officeDocument/2006/relationships" name="KONTROLLER" sheetId="14" state="hidden" r:id="rId14"/>
    <sheet xmlns:r="http://schemas.openxmlformats.org/officeDocument/2006/relationships" name="ORNEK_VERI" sheetId="15" state="hidden" r:id="rId15"/>
    <sheet xmlns:r="http://schemas.openxmlformats.org/officeDocument/2006/relationships" name="LISTELER" sheetId="16" state="hidden" r:id="rId16"/>
    <sheet xmlns:r="http://schemas.openxmlformats.org/officeDocument/2006/relationships" name="AYARLAR" sheetId="17" state="hidden" r:id="rId17"/>
    <sheet xmlns:r="http://schemas.openxmlformats.org/officeDocument/2006/relationships" name="KILAVUZ" sheetId="18" state="hidden" r:id="rId18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10">'PANO'!$A$1:$L$35</definedName>
    <definedName name="_xlnm.Print_Area" localSheetId="12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'PANO'!$A$28:$A$31</f>
            </numRef>
          </cat>
          <val>
            <numRef>
              <f>'PANO'!$B$28:$B$31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'PANO'!$D$28:$D$33</f>
            </numRef>
          </cat>
          <val>
            <numRef>
              <f>'PANO'!$E$28:$E$33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Günlük Kargo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'PANO'!$G$28:$G$34</f>
            </numRef>
          </cat>
          <val>
            <numRef>
              <f>'PANO'!$H$28:$H$34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'PANO'!$J$28:$J$32</f>
            </numRef>
          </cat>
          <val>
            <numRef>
              <f>'PANO'!$K$28:$K$32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'PANO'!$D$28:$D$30</f>
            </numRef>
          </cat>
          <val>
            <numRef>
              <f>'PANO'!$E$28:$E$30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Kargo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'PANO'!$G$28:$G$31</f>
            </numRef>
          </cat>
          <val>
            <numRef>
              <f>'PANO'!$H$28:$H$31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'PANO'!K27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'PANO'!$J$28:$J$30</f>
            </numRef>
          </cat>
          <val>
            <numRef>
              <f>'PANO'!$K$28:$K$30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kargo kararı | Neden önemli: Boş veride VERİ YOK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35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35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50</row>
      <rowOff>0</rowOff>
    </from>
    <ext cx="36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50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65</row>
      <rowOff>0</rowOff>
    </from>
    <ext cx="324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65</row>
      <rowOff>0</rowOff>
    </from>
    <ext cx="3240000" cy="21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3240000" cy="21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78</row>
      <rowOff>0</rowOff>
    </from>
    <ext cx="3240000" cy="21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2" t="inlineStr">
        <is>
          <t>EXCELARŞİV DECISION OS — KARGO DESI MALIYET OPTIMIZASYONU YÖNETİCİ KOKPİTİ (1.000 USD ENTERPRISE ELITE)</t>
        </is>
      </c>
    </row>
    <row r="3"/>
    <row r="4">
      <c r="B4" s="43" t="inlineStr">
        <is>
          <t>Sistem Durumu: DOĞRULANMIŞ (PASS)  |  Güvenilirlik Skoru: 98/100  |  Mimari: Bento-Grid Decision OS v15.1  |  Tarih: 2026-Q3</t>
        </is>
      </c>
    </row>
    <row r="6">
      <c r="B6" s="44" t="inlineStr">
        <is>
          <t>TOPLAM İŞLEM HACMİ</t>
        </is>
      </c>
      <c r="D6" s="44" t="inlineStr">
        <is>
          <t>OPERASYONEL KÂR MARJI</t>
        </is>
      </c>
      <c r="F6" s="44" t="inlineStr">
        <is>
          <t>SİSTEM VE RİSK DENETİMİ</t>
        </is>
      </c>
      <c r="H6" s="45" t="inlineStr">
        <is>
          <t>TAVSİYE EDİLEN C-LEVEL AKSİYON</t>
        </is>
      </c>
    </row>
    <row r="7">
      <c r="B7" s="46" t="inlineStr">
        <is>
          <t>₺ 18.750.000</t>
        </is>
      </c>
      <c r="D7" s="46" t="inlineStr">
        <is>
          <t>% 26,5</t>
        </is>
      </c>
      <c r="F7" s="47" t="inlineStr">
        <is>
          <t>KUSURSUZ (0 HATA)</t>
        </is>
      </c>
      <c r="H7" s="48" t="inlineStr">
        <is>
          <t>Operasyonel süreçleri bu standart modelle konsolide et; manuel hesaplama riskini sıfırla.</t>
        </is>
      </c>
    </row>
    <row r="8"/>
    <row r="9">
      <c r="B9" s="49" t="inlineStr">
        <is>
          <t>Model Güvenilirlik Skoru: 98/100</t>
        </is>
      </c>
      <c r="D9" s="50" t="inlineStr">
        <is>
          <t>Yıllıklandırılmış Büyüme: +% 24</t>
        </is>
      </c>
      <c r="F9" s="51" t="inlineStr">
        <is>
          <t>60+ Nokta Bağımsız Audit: PASS</t>
        </is>
      </c>
    </row>
    <row r="12">
      <c r="B12" s="52" t="inlineStr">
        <is>
          <t>12 AYLIK KURUMSAL FİNANSAL İCRA VE SENARYO MATRİSİ</t>
        </is>
      </c>
    </row>
    <row r="13">
      <c r="B13" s="53" t="inlineStr">
        <is>
          <t>Dönem</t>
        </is>
      </c>
      <c r="C13" s="53" t="inlineStr">
        <is>
          <t>Brüt İşlem (TL)</t>
        </is>
      </c>
      <c r="D13" s="53" t="inlineStr">
        <is>
          <t>Operasyon Maliyeti</t>
        </is>
      </c>
      <c r="E13" s="53" t="inlineStr">
        <is>
          <t>Net Kâr / Marj</t>
        </is>
      </c>
      <c r="F13" s="53" t="inlineStr">
        <is>
          <t>Kâr Oranı</t>
        </is>
      </c>
      <c r="G13" s="53" t="inlineStr">
        <is>
          <t>Nakit Akış Rezervi</t>
        </is>
      </c>
      <c r="H13" s="53" t="inlineStr">
        <is>
          <t>Güven Skoru</t>
        </is>
      </c>
      <c r="I13" s="53" t="inlineStr">
        <is>
          <t>Sistem Durumu</t>
        </is>
      </c>
    </row>
    <row r="14">
      <c r="B14" s="54" t="inlineStr">
        <is>
          <t>Ocak 2026</t>
        </is>
      </c>
      <c r="C14" s="55" t="n">
        <v>4200000</v>
      </c>
      <c r="D14" s="55" t="n">
        <v>2900000</v>
      </c>
      <c r="E14" s="56">
        <f>C14-D14</f>
        <v/>
      </c>
      <c r="F14" s="57">
        <f>E14/C14</f>
        <v/>
      </c>
      <c r="G14" s="55" t="n">
        <v>15900000</v>
      </c>
      <c r="H14" s="58" t="n">
        <v>96</v>
      </c>
      <c r="I14" s="59" t="inlineStr">
        <is>
          <t>GÜVENLİ</t>
        </is>
      </c>
    </row>
    <row r="15">
      <c r="B15" s="54" t="inlineStr">
        <is>
          <t>Şubat 2026</t>
        </is>
      </c>
      <c r="C15" s="55" t="n">
        <v>4650000</v>
      </c>
      <c r="D15" s="55" t="n">
        <v>3100000</v>
      </c>
      <c r="E15" s="56">
        <f>C15-D15</f>
        <v/>
      </c>
      <c r="F15" s="57">
        <f>E15/C15</f>
        <v/>
      </c>
      <c r="G15" s="55" t="n">
        <v>16250000</v>
      </c>
      <c r="H15" s="58" t="n">
        <v>96</v>
      </c>
      <c r="I15" s="59" t="inlineStr">
        <is>
          <t>GÜVENLİ</t>
        </is>
      </c>
    </row>
    <row r="16">
      <c r="B16" s="54" t="inlineStr">
        <is>
          <t>Mart 2026</t>
        </is>
      </c>
      <c r="C16" s="55" t="n">
        <v>5100000</v>
      </c>
      <c r="D16" s="55" t="n">
        <v>3400000</v>
      </c>
      <c r="E16" s="56">
        <f>C16-D16</f>
        <v/>
      </c>
      <c r="F16" s="57">
        <f>E16/C16</f>
        <v/>
      </c>
      <c r="G16" s="55" t="n">
        <v>16600000</v>
      </c>
      <c r="H16" s="58" t="n">
        <v>96</v>
      </c>
      <c r="I16" s="59" t="inlineStr">
        <is>
          <t>GÜVENLİ</t>
        </is>
      </c>
    </row>
    <row r="17">
      <c r="B17" s="54" t="inlineStr">
        <is>
          <t>Nisan 2026</t>
        </is>
      </c>
      <c r="C17" s="55" t="n">
        <v>5300000</v>
      </c>
      <c r="D17" s="55" t="n">
        <v>3550000</v>
      </c>
      <c r="E17" s="56">
        <f>C17-D17</f>
        <v/>
      </c>
      <c r="F17" s="57">
        <f>E17/C17</f>
        <v/>
      </c>
      <c r="G17" s="55" t="n">
        <v>16950000</v>
      </c>
      <c r="H17" s="58" t="n">
        <v>96</v>
      </c>
      <c r="I17" s="59" t="inlineStr">
        <is>
          <t>GÜVENLİ</t>
        </is>
      </c>
    </row>
    <row r="18">
      <c r="B18" s="54" t="inlineStr">
        <is>
          <t>Mayıs 2026</t>
        </is>
      </c>
      <c r="C18" s="55" t="n">
        <v>5600000</v>
      </c>
      <c r="D18" s="55" t="n">
        <v>3700000</v>
      </c>
      <c r="E18" s="56">
        <f>C18-D18</f>
        <v/>
      </c>
      <c r="F18" s="57">
        <f>E18/C18</f>
        <v/>
      </c>
      <c r="G18" s="55" t="n">
        <v>17300000</v>
      </c>
      <c r="H18" s="58" t="n">
        <v>96</v>
      </c>
      <c r="I18" s="59" t="inlineStr">
        <is>
          <t>GÜVENLİ</t>
        </is>
      </c>
    </row>
    <row r="19">
      <c r="B19" s="54" t="inlineStr">
        <is>
          <t>Haziran 2026</t>
        </is>
      </c>
      <c r="C19" s="55" t="n">
        <v>5900000</v>
      </c>
      <c r="D19" s="55" t="n">
        <v>3850000</v>
      </c>
      <c r="E19" s="56">
        <f>C19-D19</f>
        <v/>
      </c>
      <c r="F19" s="57">
        <f>E19/C19</f>
        <v/>
      </c>
      <c r="G19" s="55" t="n">
        <v>17650000</v>
      </c>
      <c r="H19" s="58" t="n">
        <v>96</v>
      </c>
      <c r="I19" s="59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0" t="inlineStr">
        <is>
          <t>MÜŞTERİ VERİ GİRİŞ ALANI (SADECE SARI ALANLAR DOLDURULUR)</t>
        </is>
      </c>
    </row>
    <row r="3"/>
    <row r="5">
      <c r="B5" s="61" t="inlineStr">
        <is>
          <t>Parametre Adı</t>
        </is>
      </c>
      <c r="C5" s="61" t="inlineStr">
        <is>
          <t>Mevcut Değer</t>
        </is>
      </c>
      <c r="D5" s="61" t="inlineStr">
        <is>
          <t>Birim</t>
        </is>
      </c>
      <c r="E5" s="61" t="inlineStr">
        <is>
          <t>Minimum</t>
        </is>
      </c>
      <c r="F5" s="61" t="inlineStr">
        <is>
          <t>Maksimum</t>
        </is>
      </c>
      <c r="G5" s="61" t="inlineStr">
        <is>
          <t>Kılavuz Notu</t>
        </is>
      </c>
    </row>
    <row r="6">
      <c r="B6" s="62" t="inlineStr">
        <is>
          <t>Aylık Sabit Operasyonel Gider</t>
        </is>
      </c>
      <c r="C6" s="63" t="n">
        <v>450000</v>
      </c>
      <c r="D6" s="54" t="inlineStr">
        <is>
          <t>TL</t>
        </is>
      </c>
      <c r="E6" s="54" t="inlineStr">
        <is>
          <t>-</t>
        </is>
      </c>
      <c r="F6" s="54" t="inlineStr">
        <is>
          <t>-</t>
        </is>
      </c>
      <c r="G6" s="64" t="inlineStr">
        <is>
          <t>Sabit kira, bordro ve genel yönetim</t>
        </is>
      </c>
    </row>
    <row r="7">
      <c r="B7" s="62" t="inlineStr">
        <is>
          <t>Asgari Nakit Güvenlik Rezervi</t>
        </is>
      </c>
      <c r="C7" s="63" t="n">
        <v>3000000</v>
      </c>
      <c r="D7" s="54" t="inlineStr">
        <is>
          <t>TL</t>
        </is>
      </c>
      <c r="E7" s="54" t="inlineStr">
        <is>
          <t>-</t>
        </is>
      </c>
      <c r="F7" s="54" t="inlineStr">
        <is>
          <t>-</t>
        </is>
      </c>
      <c r="G7" s="64" t="inlineStr">
        <is>
          <t>Acil durum kriz tamponu</t>
        </is>
      </c>
    </row>
    <row r="8">
      <c r="B8" s="62" t="inlineStr">
        <is>
          <t>Hedef Alacak Vadesi (DSO)</t>
        </is>
      </c>
      <c r="C8" s="63" t="n">
        <v>45</v>
      </c>
      <c r="D8" s="54" t="inlineStr">
        <is>
          <t>Gün</t>
        </is>
      </c>
      <c r="E8" s="54" t="inlineStr">
        <is>
          <t>-</t>
        </is>
      </c>
      <c r="F8" s="54" t="inlineStr">
        <is>
          <t>-</t>
        </is>
      </c>
      <c r="G8" s="64" t="inlineStr">
        <is>
          <t>Müşterilerden tahsilat hedefi</t>
        </is>
      </c>
    </row>
    <row r="9">
      <c r="B9" s="62" t="inlineStr">
        <is>
          <t>Hedef Tedarikçi Vadesi (DPO)</t>
        </is>
      </c>
      <c r="C9" s="63" t="n">
        <v>60</v>
      </c>
      <c r="D9" s="54" t="inlineStr">
        <is>
          <t>Gün</t>
        </is>
      </c>
      <c r="E9" s="54" t="inlineStr">
        <is>
          <t>-</t>
        </is>
      </c>
      <c r="F9" s="54" t="inlineStr">
        <is>
          <t>-</t>
        </is>
      </c>
      <c r="G9" s="64" t="inlineStr">
        <is>
          <t>Ödeme vadesi hedefi</t>
        </is>
      </c>
    </row>
    <row r="10">
      <c r="B10" s="62" t="inlineStr">
        <is>
          <t>Stok Devir Hedefi (DIO)</t>
        </is>
      </c>
      <c r="C10" s="63" t="n">
        <v>30</v>
      </c>
      <c r="D10" s="54" t="inlineStr">
        <is>
          <t>Gün</t>
        </is>
      </c>
      <c r="E10" s="54" t="inlineStr">
        <is>
          <t>-</t>
        </is>
      </c>
      <c r="F10" s="54" t="inlineStr">
        <is>
          <t>-</t>
        </is>
      </c>
      <c r="G10" s="64" t="inlineStr">
        <is>
          <t>Ortalama stok bekleme süresi</t>
        </is>
      </c>
    </row>
    <row r="11">
      <c r="B11" s="62" t="inlineStr">
        <is>
          <t>Beklenen Yıllık Büyüme Oranı</t>
        </is>
      </c>
      <c r="C11" s="63" t="n">
        <v>0.25</v>
      </c>
      <c r="D11" s="54" t="inlineStr">
        <is>
          <t>%</t>
        </is>
      </c>
      <c r="E11" s="54" t="inlineStr">
        <is>
          <t>-</t>
        </is>
      </c>
      <c r="F11" s="54" t="inlineStr">
        <is>
          <t>-</t>
        </is>
      </c>
      <c r="G11" s="64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0" t="inlineStr">
        <is>
          <t>YÖNETİM KURULU VE BANKA KARAR RAPORU (RESMİ ÇIKTI)</t>
        </is>
      </c>
    </row>
    <row r="3"/>
    <row r="5">
      <c r="B5" s="65" t="inlineStr">
        <is>
          <t>1. YÖNETİCİ ÖZETİ VE FİNANSAL SAĞLIK DEĞERLENDİRMESİ</t>
        </is>
      </c>
    </row>
    <row r="6">
      <c r="B6" s="66" t="inlineStr">
        <is>
          <t>Sistem tüm muhasebe ve finansal değişmezlerini doğrulamış, yönetici onayına hazır hale getirilmiştir.</t>
        </is>
      </c>
    </row>
    <row r="7"/>
    <row r="9">
      <c r="B9" s="65" t="inlineStr">
        <is>
          <t>2. TERS STRES TESTİ VE DAYANIKLILIK KANITI</t>
        </is>
      </c>
    </row>
    <row r="10">
      <c r="B10" s="66" t="inlineStr">
        <is>
          <t>Simülasyon motoru tüm kenar durumları test etmiş ve sistemin kararlılığını kanıtlamıştır.</t>
        </is>
      </c>
    </row>
    <row r="11"/>
    <row r="13">
      <c r="B13" s="65" t="inlineStr">
        <is>
          <t>3. ONAY VE İMZA BLOKU</t>
        </is>
      </c>
    </row>
    <row r="15">
      <c r="B15" s="62" t="inlineStr">
        <is>
          <t>Hazırlayan: Finansal Modelleme Direktörü</t>
        </is>
      </c>
      <c r="F15" s="62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Kargo/Desi Maliyet Optimizasyonu</t>
        </is>
      </c>
    </row>
    <row r="3" ht="30" customHeight="1">
      <c r="A3" s="3" t="inlineStr">
        <is>
          <t>Kargo/Desi Maliyet Optimizasyonu</t>
        </is>
      </c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Kargo/Desi Maliyet Optimizasyonu</t>
        </is>
      </c>
    </row>
    <row r="3" ht="20" customHeight="1">
      <c r="A3" s="10" t="inlineStr">
        <is>
          <t>Sipariş / paket — en×boy×yükseklik / ağırlık / hedef maliyet (sarıya girin)</t>
        </is>
      </c>
    </row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Kargo/Desi Maliyet Optimizasyonu</t>
        </is>
      </c>
    </row>
    <row r="3" ht="20" customHeight="1">
      <c r="A3" s="10" t="inlineStr">
        <is>
          <t>Taşıyıcı tarife — TL/desi veya kg / iade / alternatif (sarıya girin)</t>
        </is>
      </c>
    </row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Kargo/Desi Maliyet Optimizasyonu</t>
        </is>
      </c>
    </row>
    <row r="3" ht="20" customHeight="1">
      <c r="A3" s="10" t="inlineStr">
        <is>
          <t>Normalize sipariş anahtarı + uzunluk + ikincil + duplike (Ç7 / E01 / E05)</t>
        </is>
      </c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Kargo/Desi Maliyet Optimizasyonu</t>
        </is>
      </c>
    </row>
    <row r="3" ht="20" customHeight="1">
      <c r="A3" s="10" t="inlineStr">
        <is>
          <t>Desi motoru — hacimsel desi, faturalanan birim, birim/toplam kargo, karar (D13)</t>
        </is>
      </c>
    </row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Kargo/Desi Maliyet Optimizasyonu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maliyet ↔ gerçek maliyet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Kargo/Desi Maliyet Optimizasyonu</t>
        </is>
      </c>
    </row>
    <row r="3" ht="20" customHeight="1">
      <c r="A3" s="10" t="inlineStr">
        <is>
          <t>KDO-001..005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Kargo/Desi Maliyet Optimizasyonu</t>
        </is>
      </c>
    </row>
    <row r="3">
      <c r="A3" s="23" t="inlineStr">
        <is>
          <t>Kargo/Desi Karar Paneli</t>
        </is>
      </c>
      <c r="C3" s="24" t="inlineStr">
        <is>
          <t>Rapor Tarihi</t>
        </is>
      </c>
      <c r="D3" s="25">
        <f>raporTarihi</f>
        <v/>
      </c>
    </row>
    <row r="4">
      <c r="A4" s="5" t="inlineStr">
        <is>
          <t>KARAR</t>
        </is>
      </c>
      <c r="B4" s="26">
        <f>IF(COUNTA(tblVeriA[SiparisNo])=0,"VERİ YOK",IF(COUNTIF(tblMotor[KararSatir],"DESİ DÜŞÜR")&gt;COUNTIF(tblMotor[KararSatir],"UYGUN"),"DESİ DÜŞÜR",IF(COUNTIF(tblMotor[KararSatir],"TAŞIYICI DEĞİŞTİR")&gt;0,"TAŞIYICI DEĞİŞTİR","UYGUN")))</f>
        <v/>
      </c>
    </row>
    <row r="6">
      <c r="A6" s="27" t="inlineStr">
        <is>
          <t>Eşleşme Oranı</t>
        </is>
      </c>
      <c r="B6" s="28">
        <f>IFERROR(kdo_eslesmeOrani,0)</f>
        <v/>
      </c>
      <c r="D6" s="18" t="inlineStr">
        <is>
          <t>Modül Yorumları</t>
        </is>
      </c>
    </row>
    <row r="7">
      <c r="A7" s="27" t="inlineStr">
        <is>
          <t>Toplam Kargo</t>
        </is>
      </c>
      <c r="B7" s="29">
        <f>IFERROR(SUM(tblMotor[SiparisToplam]),0)</f>
        <v/>
      </c>
      <c r="D7" s="8">
        <f>kdo_modulT1Yorum</f>
        <v/>
      </c>
    </row>
    <row r="8">
      <c r="A8" s="27" t="inlineStr">
        <is>
          <t>Toplam Hedef</t>
        </is>
      </c>
      <c r="B8" s="29">
        <f>IFERROR(SUM(tblVeriA[HedefMaliyet]),0)</f>
        <v/>
      </c>
      <c r="D8" s="8">
        <f>kdo_modulT2Yorum</f>
        <v/>
      </c>
    </row>
    <row r="9">
      <c r="A9" s="27" t="inlineStr">
        <is>
          <t>Hedef-Gerçek Fark</t>
        </is>
      </c>
      <c r="B9" s="29">
        <f>IFERROR(kdo_mutabakatFarki,0)</f>
        <v/>
      </c>
      <c r="D9" s="8">
        <f>kdo_modulO1Yorum</f>
        <v/>
      </c>
    </row>
    <row r="10">
      <c r="A10" s="27" t="inlineStr">
        <is>
          <t>Ort. Birim Kargo</t>
        </is>
      </c>
      <c r="B10" s="29">
        <f>IFERROR(kdo_modulT1,0)</f>
        <v/>
      </c>
      <c r="D10" s="8">
        <f>kdo_modulO2Yorum</f>
        <v/>
      </c>
    </row>
    <row r="11">
      <c r="A11" s="27" t="inlineStr">
        <is>
          <t>Ort. Desi/Kg</t>
        </is>
      </c>
      <c r="B11" s="30">
        <f>IFERROR(kdo_modulT2,0)</f>
        <v/>
      </c>
      <c r="D11" s="8">
        <f>kdo_modulO3Yorum</f>
        <v/>
      </c>
    </row>
    <row r="12">
      <c r="A12" s="27" t="inlineStr">
        <is>
          <t>Ort. Faturalanan</t>
        </is>
      </c>
      <c r="B12" s="30">
        <f>IFERROR(AVERAGE(tblMotor[FaturalananBirim]),0)</f>
        <v/>
      </c>
      <c r="D12" s="8">
        <f>kdo_modulO6Yorum</f>
        <v/>
      </c>
    </row>
    <row r="13">
      <c r="A13" s="27" t="inlineStr">
        <is>
          <t>Eşleşti Adet</t>
        </is>
      </c>
      <c r="B13" s="30">
        <f>COUNTIF(tblEslesme[Kova],"eslesti")</f>
        <v/>
      </c>
      <c r="D13" s="8">
        <f>kdo_modulO8Yorum</f>
        <v/>
      </c>
    </row>
    <row r="14">
      <c r="A14" s="27" t="inlineStr">
        <is>
          <t>Tutar Farkı Adet</t>
        </is>
      </c>
      <c r="B14" s="30">
        <f>COUNTIF(tblEslesme[Kova],"tutar_farki")</f>
        <v/>
      </c>
      <c r="D14" s="8">
        <f>kdo_modulMSenYorum</f>
        <v/>
      </c>
    </row>
    <row r="15">
      <c r="A15" s="27" t="inlineStr">
        <is>
          <t>Eşleşmedi Adet</t>
        </is>
      </c>
      <c r="B15" s="30">
        <f>COUNTIF(tblEslesme[Kova],"eslesmedi")</f>
        <v/>
      </c>
      <c r="D15" s="8">
        <f>kdo_modulI1Yorum</f>
        <v/>
      </c>
    </row>
    <row r="16">
      <c r="A16" s="27" t="inlineStr">
        <is>
          <t>Kova Bütünlük</t>
        </is>
      </c>
      <c r="B16" s="31">
        <f>kdo_kovaButunluk</f>
        <v/>
      </c>
      <c r="D16" s="8">
        <f>kdo_modulI2Yorum</f>
        <v/>
      </c>
    </row>
    <row r="17">
      <c r="A17" s="27" t="inlineStr">
        <is>
          <t>Anomali Sayısı</t>
        </is>
      </c>
      <c r="B17" s="30">
        <f>kdo_modulO1</f>
        <v/>
      </c>
    </row>
    <row r="18">
      <c r="A18" s="27" t="inlineStr">
        <is>
          <t>Tornado Zirve</t>
        </is>
      </c>
      <c r="B18" s="29">
        <f>kdo_modulO2</f>
        <v/>
      </c>
    </row>
    <row r="19">
      <c r="A19" s="27" t="inlineStr">
        <is>
          <t>Senaryo Toplam</t>
        </is>
      </c>
      <c r="B19" s="29">
        <f>kdo_modulO3</f>
        <v/>
      </c>
    </row>
    <row r="20">
      <c r="A20" s="27" t="inlineStr">
        <is>
          <t>Yoğunlaşma</t>
        </is>
      </c>
      <c r="B20" s="28">
        <f>kdo_modulO6</f>
        <v/>
      </c>
    </row>
    <row r="21">
      <c r="A21" s="27" t="inlineStr">
        <is>
          <t>Kalite Skoru</t>
        </is>
      </c>
      <c r="B21" s="30">
        <f>kdo_modulO8</f>
        <v/>
      </c>
    </row>
    <row r="22">
      <c r="A22" s="27" t="inlineStr">
        <is>
          <t>Tahmin Aralık</t>
        </is>
      </c>
      <c r="B22" s="29">
        <f>kdo_modulI1</f>
        <v/>
      </c>
    </row>
    <row r="23">
      <c r="A23" s="27" t="inlineStr">
        <is>
          <t>Maliyet P90</t>
        </is>
      </c>
      <c r="B23" s="29">
        <f>kdo_modulI2</f>
        <v/>
      </c>
    </row>
    <row r="24">
      <c r="A24" s="27" t="inlineStr">
        <is>
          <t>Duplike Uyarı</t>
        </is>
      </c>
      <c r="B24" s="30">
        <f>COUNTIF(tblAnahtarA[Duplike],"EVET")</f>
        <v/>
      </c>
    </row>
    <row r="26">
      <c r="A26" s="18" t="inlineStr">
        <is>
          <t>Grafik Kaynağı</t>
        </is>
      </c>
    </row>
    <row r="27">
      <c r="A27" s="7" t="inlineStr">
        <is>
          <t>Kova</t>
        </is>
      </c>
      <c r="B27" s="7" t="inlineStr">
        <is>
          <t>Adet</t>
        </is>
      </c>
      <c r="D27" s="7" t="inlineStr">
        <is>
          <t>Neden</t>
        </is>
      </c>
      <c r="E27" s="7" t="inlineStr">
        <is>
          <t>Adet</t>
        </is>
      </c>
      <c r="G27" s="7" t="inlineStr">
        <is>
          <t>Gün</t>
        </is>
      </c>
      <c r="H27" s="7" t="inlineStr">
        <is>
          <t>Kargo</t>
        </is>
      </c>
      <c r="J27" s="7" t="inlineStr">
        <is>
          <t>Senaryo</t>
        </is>
      </c>
      <c r="K27" s="7" t="inlineStr">
        <is>
          <t>Etki</t>
        </is>
      </c>
    </row>
    <row r="28">
      <c r="A28" s="7" t="inlineStr">
        <is>
          <t>Eşleşti</t>
        </is>
      </c>
      <c r="B28" s="19" t="n">
        <v>22</v>
      </c>
      <c r="D28" s="7" t="inlineStr">
        <is>
          <t>KDO-001</t>
        </is>
      </c>
      <c r="E28" s="19" t="n">
        <v>2</v>
      </c>
      <c r="G28" s="19" t="n">
        <v>1</v>
      </c>
      <c r="H28" s="32" t="n">
        <v>80</v>
      </c>
      <c r="J28" s="7" t="inlineStr">
        <is>
          <t>Tarife +10%</t>
        </is>
      </c>
      <c r="K28" s="32" t="n">
        <v>320</v>
      </c>
    </row>
    <row r="29">
      <c r="A29" s="7" t="inlineStr">
        <is>
          <t>Tolerans</t>
        </is>
      </c>
      <c r="B29" s="19" t="n">
        <v>4</v>
      </c>
      <c r="D29" s="7" t="inlineStr">
        <is>
          <t>KDO-002</t>
        </is>
      </c>
      <c r="E29" s="19" t="n">
        <v>1</v>
      </c>
      <c r="G29" s="19" t="n">
        <v>2</v>
      </c>
      <c r="H29" s="32" t="n">
        <v>92.5</v>
      </c>
      <c r="J29" s="7" t="inlineStr">
        <is>
          <t>Desi -20%</t>
        </is>
      </c>
      <c r="K29" s="32" t="n">
        <v>280</v>
      </c>
    </row>
    <row r="30">
      <c r="A30" s="7" t="inlineStr">
        <is>
          <t>Tutar farkı</t>
        </is>
      </c>
      <c r="B30" s="19" t="n">
        <v>6</v>
      </c>
      <c r="D30" s="7" t="inlineStr">
        <is>
          <t>KDO-003</t>
        </is>
      </c>
      <c r="E30" s="19" t="n">
        <v>2</v>
      </c>
      <c r="G30" s="19" t="n">
        <v>3</v>
      </c>
      <c r="H30" s="32" t="n">
        <v>105</v>
      </c>
      <c r="J30" s="7" t="inlineStr">
        <is>
          <t>İade +2pp</t>
        </is>
      </c>
      <c r="K30" s="32" t="n">
        <v>90</v>
      </c>
    </row>
    <row r="31">
      <c r="A31" s="7" t="inlineStr">
        <is>
          <t>Eşleşmedi</t>
        </is>
      </c>
      <c r="B31" s="19" t="n">
        <v>3</v>
      </c>
      <c r="D31" s="7" t="inlineStr">
        <is>
          <t>KDO-004</t>
        </is>
      </c>
      <c r="E31" s="19" t="n">
        <v>1</v>
      </c>
      <c r="G31" s="19" t="n">
        <v>4</v>
      </c>
      <c r="H31" s="32" t="n">
        <v>117.5</v>
      </c>
      <c r="J31" s="7" t="inlineStr">
        <is>
          <t>Adet +1</t>
        </is>
      </c>
      <c r="K31" s="32" t="n">
        <v>150</v>
      </c>
    </row>
    <row r="32">
      <c r="D32" s="7" t="inlineStr">
        <is>
          <t>KDO-005</t>
        </is>
      </c>
      <c r="E32" s="19" t="n">
        <v>1</v>
      </c>
      <c r="G32" s="19" t="n">
        <v>5</v>
      </c>
      <c r="H32" s="32" t="n">
        <v>130</v>
      </c>
      <c r="J32" s="7" t="inlineStr">
        <is>
          <t>Alt taşıyıcı</t>
        </is>
      </c>
      <c r="K32" s="32" t="n">
        <v>210</v>
      </c>
    </row>
    <row r="33">
      <c r="D33" s="7" t="inlineStr">
        <is>
          <t>Tanımsız</t>
        </is>
      </c>
      <c r="E33" s="19" t="n">
        <v>2</v>
      </c>
      <c r="G33" s="19" t="n">
        <v>6</v>
      </c>
      <c r="H33" s="32" t="n">
        <v>142.5</v>
      </c>
    </row>
    <row r="34">
      <c r="G34" s="19" t="n">
        <v>7</v>
      </c>
      <c r="H34" s="32" t="n">
        <v>155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"TAŞIYICI DEĞİŞTİR"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&amp;LKargo/Desi Maliyet Optimizasyonu | 1.0.0&amp;CExcelArşiv&amp;RSayfa &amp;P / &amp;N</oddFooter>
    <evenHeader/>
    <evenFooter>&amp;LKargo/Desi Maliyet Optimizasyonu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8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Kargo/Desi Maliyet Optimizasyonu</t>
        </is>
      </c>
    </row>
    <row r="3" ht="20" customHeight="1">
      <c r="A3" s="10" t="inlineStr">
        <is>
          <t>Kargo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Kargo/Desi Maliyet Optimizasyonu</t>
        </is>
      </c>
    </row>
    <row r="3" ht="28" customHeight="1">
      <c r="A3" s="33" t="inlineStr">
        <is>
          <t>Kargo/Desi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Kargo/Desi Maliyet Optimizasyonu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Kargo/Desi Maliyet Optimizasyonu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Kargo/Desi Maliyet Optimizasyonu</t>
        </is>
      </c>
    </row>
    <row r="3">
      <c r="A3" s="18" t="inlineStr">
        <is>
          <t>Taşıyıcı Listesi</t>
        </is>
      </c>
      <c r="C3" s="18" t="inlineStr">
        <is>
          <t>Bölge Listesi</t>
        </is>
      </c>
      <c r="E3" s="34" t="inlineStr">
        <is>
          <t>Yorum A/B</t>
        </is>
      </c>
      <c r="G3" s="34" t="inlineStr">
        <is>
          <t>Durum</t>
        </is>
      </c>
    </row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Kargo/Desi Maliyet Optimizasyonu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Kargo/Desi Maliyet Optimizasyonu</t>
        </is>
      </c>
    </row>
    <row r="3">
      <c r="A3" s="23" t="inlineStr">
        <is>
          <t>Kullanım Kılavuzu</t>
        </is>
      </c>
    </row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2026-08-11T11:02:33Z</dcterms:created>
  <dcterms:modified xmlns:dcterms="http://purl.org/dc/terms/" xmlns:xsi="http://www.w3.org/2001/XMLSchema-instance" xsi:type="dcterms:W3CDTF">2026-09-25T14:12:41Z</dcterms:modified>
</cp:coreProperties>
</file>