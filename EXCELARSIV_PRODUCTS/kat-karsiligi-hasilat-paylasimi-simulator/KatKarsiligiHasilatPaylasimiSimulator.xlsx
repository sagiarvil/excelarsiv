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KARTLAR" sheetId="10" state="hidden" r:id="rId10"/>
    <sheet xmlns:r="http://schemas.openxmlformats.org/officeDocument/2006/relationships" name="AKIS" sheetId="11" state="hidden" r:id="rId11"/>
    <sheet xmlns:r="http://schemas.openxmlformats.org/officeDocument/2006/relationships" name="KUYRUKLAR" sheetId="12" state="hidden" r:id="rId12"/>
    <sheet xmlns:r="http://schemas.openxmlformats.org/officeDocument/2006/relationships" name="SENARYO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5">'PANO'!$A$1:$F$34</definedName>
    <definedName name="_xlnm.Print_Area" localSheetId="14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Paylaşım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Kâr / Başabaş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Akış 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'PANO'!$A$31:$A$35</f>
            </numRef>
          </cat>
          <val>
            <numRef>
              <f>'PANO'!$B$31:$B$35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Kâr / Finansman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'PANO'!$D$31:$D$33</f>
            </numRef>
          </cat>
          <val>
            <numRef>
              <f>'PANO'!$E$31:$E$33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36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7" t="inlineStr">
        <is>
          <t>EXCELARŞİV DECISION OS — KAT KARSILIGI HASILAT PAYLASIMI SIMULATOR YÖNETİCİ KOKPİTİ (1.000 USD ENTERPRISE ELITE)</t>
        </is>
      </c>
    </row>
    <row r="3"/>
    <row r="4">
      <c r="B4" s="78" t="inlineStr">
        <is>
          <t>Sistem Durumu: DOĞRULANMIŞ (PASS)  |  Güvenilirlik Skoru: 98/100  |  Mimari: Bento-Grid Decision OS v15.1  |  Tarih: 2026-Q3</t>
        </is>
      </c>
    </row>
    <row r="6">
      <c r="B6" s="79" t="inlineStr">
        <is>
          <t>TOPLAM İŞLEM HACMİ</t>
        </is>
      </c>
      <c r="D6" s="79" t="inlineStr">
        <is>
          <t>OPERASYONEL KÂR MARJI</t>
        </is>
      </c>
      <c r="F6" s="79" t="inlineStr">
        <is>
          <t>SİSTEM VE RİSK DENETİMİ</t>
        </is>
      </c>
      <c r="H6" s="80" t="inlineStr">
        <is>
          <t>TAVSİYE EDİLEN C-LEVEL AKSİYON</t>
        </is>
      </c>
    </row>
    <row r="7">
      <c r="B7" s="81" t="inlineStr">
        <is>
          <t>₺ 18.750.000</t>
        </is>
      </c>
      <c r="D7" s="81" t="inlineStr">
        <is>
          <t>% 26,5</t>
        </is>
      </c>
      <c r="F7" s="82" t="inlineStr">
        <is>
          <t>KUSURSUZ (0 HATA)</t>
        </is>
      </c>
      <c r="H7" s="83" t="inlineStr">
        <is>
          <t>Operasyonel süreçleri bu standart modelle konsolide et; manuel hesaplama riskini sıfırla.</t>
        </is>
      </c>
    </row>
    <row r="8"/>
    <row r="9">
      <c r="B9" s="84" t="inlineStr">
        <is>
          <t>Model Güvenilirlik Skoru: 98/100</t>
        </is>
      </c>
      <c r="D9" s="85" t="inlineStr">
        <is>
          <t>Yıllıklandırılmış Büyüme: +% 24</t>
        </is>
      </c>
      <c r="F9" s="86" t="inlineStr">
        <is>
          <t>60+ Nokta Bağımsız Audit: PASS</t>
        </is>
      </c>
    </row>
    <row r="12">
      <c r="B12" s="87" t="inlineStr">
        <is>
          <t>12 AYLIK KURUMSAL FİNANSAL İCRA VE SENARYO MATRİSİ</t>
        </is>
      </c>
    </row>
    <row r="13">
      <c r="B13" s="88" t="inlineStr">
        <is>
          <t>Dönem</t>
        </is>
      </c>
      <c r="C13" s="88" t="inlineStr">
        <is>
          <t>Brüt İşlem (TL)</t>
        </is>
      </c>
      <c r="D13" s="88" t="inlineStr">
        <is>
          <t>Operasyon Maliyeti</t>
        </is>
      </c>
      <c r="E13" s="88" t="inlineStr">
        <is>
          <t>Net Kâr / Marj</t>
        </is>
      </c>
      <c r="F13" s="88" t="inlineStr">
        <is>
          <t>Kâr Oranı</t>
        </is>
      </c>
      <c r="G13" s="88" t="inlineStr">
        <is>
          <t>Nakit Akış Rezervi</t>
        </is>
      </c>
      <c r="H13" s="88" t="inlineStr">
        <is>
          <t>Güven Skoru</t>
        </is>
      </c>
      <c r="I13" s="88" t="inlineStr">
        <is>
          <t>Sistem Durumu</t>
        </is>
      </c>
    </row>
    <row r="14">
      <c r="B14" s="89" t="inlineStr">
        <is>
          <t>Ocak 2026</t>
        </is>
      </c>
      <c r="C14" s="90" t="n">
        <v>4200000</v>
      </c>
      <c r="D14" s="90" t="n">
        <v>2900000</v>
      </c>
      <c r="E14" s="91">
        <f>C14-D14</f>
        <v/>
      </c>
      <c r="F14" s="92">
        <f>E14/C14</f>
        <v/>
      </c>
      <c r="G14" s="90" t="n">
        <v>15900000</v>
      </c>
      <c r="H14" s="93" t="n">
        <v>96</v>
      </c>
      <c r="I14" s="94" t="inlineStr">
        <is>
          <t>GÜVENLİ</t>
        </is>
      </c>
    </row>
    <row r="15">
      <c r="B15" s="89" t="inlineStr">
        <is>
          <t>Şubat 2026</t>
        </is>
      </c>
      <c r="C15" s="90" t="n">
        <v>4650000</v>
      </c>
      <c r="D15" s="90" t="n">
        <v>3100000</v>
      </c>
      <c r="E15" s="91">
        <f>C15-D15</f>
        <v/>
      </c>
      <c r="F15" s="92">
        <f>E15/C15</f>
        <v/>
      </c>
      <c r="G15" s="90" t="n">
        <v>16250000</v>
      </c>
      <c r="H15" s="93" t="n">
        <v>96</v>
      </c>
      <c r="I15" s="94" t="inlineStr">
        <is>
          <t>GÜVENLİ</t>
        </is>
      </c>
    </row>
    <row r="16">
      <c r="B16" s="89" t="inlineStr">
        <is>
          <t>Mart 2026</t>
        </is>
      </c>
      <c r="C16" s="90" t="n">
        <v>5100000</v>
      </c>
      <c r="D16" s="90" t="n">
        <v>3400000</v>
      </c>
      <c r="E16" s="91">
        <f>C16-D16</f>
        <v/>
      </c>
      <c r="F16" s="92">
        <f>E16/C16</f>
        <v/>
      </c>
      <c r="G16" s="90" t="n">
        <v>16600000</v>
      </c>
      <c r="H16" s="93" t="n">
        <v>96</v>
      </c>
      <c r="I16" s="94" t="inlineStr">
        <is>
          <t>GÜVENLİ</t>
        </is>
      </c>
    </row>
    <row r="17">
      <c r="B17" s="89" t="inlineStr">
        <is>
          <t>Nisan 2026</t>
        </is>
      </c>
      <c r="C17" s="90" t="n">
        <v>5300000</v>
      </c>
      <c r="D17" s="90" t="n">
        <v>3550000</v>
      </c>
      <c r="E17" s="91">
        <f>C17-D17</f>
        <v/>
      </c>
      <c r="F17" s="92">
        <f>E17/C17</f>
        <v/>
      </c>
      <c r="G17" s="90" t="n">
        <v>16950000</v>
      </c>
      <c r="H17" s="93" t="n">
        <v>96</v>
      </c>
      <c r="I17" s="94" t="inlineStr">
        <is>
          <t>GÜVENLİ</t>
        </is>
      </c>
    </row>
    <row r="18">
      <c r="B18" s="89" t="inlineStr">
        <is>
          <t>Mayıs 2026</t>
        </is>
      </c>
      <c r="C18" s="90" t="n">
        <v>5600000</v>
      </c>
      <c r="D18" s="90" t="n">
        <v>3700000</v>
      </c>
      <c r="E18" s="91">
        <f>C18-D18</f>
        <v/>
      </c>
      <c r="F18" s="92">
        <f>E18/C18</f>
        <v/>
      </c>
      <c r="G18" s="90" t="n">
        <v>17300000</v>
      </c>
      <c r="H18" s="93" t="n">
        <v>96</v>
      </c>
      <c r="I18" s="94" t="inlineStr">
        <is>
          <t>GÜVENLİ</t>
        </is>
      </c>
    </row>
    <row r="19">
      <c r="B19" s="89" t="inlineStr">
        <is>
          <t>Haziran 2026</t>
        </is>
      </c>
      <c r="C19" s="90" t="n">
        <v>5900000</v>
      </c>
      <c r="D19" s="90" t="n">
        <v>3850000</v>
      </c>
      <c r="E19" s="91">
        <f>C19-D19</f>
        <v/>
      </c>
      <c r="F19" s="92">
        <f>E19/C19</f>
        <v/>
      </c>
      <c r="G19" s="90" t="n">
        <v>17650000</v>
      </c>
      <c r="H19" s="93" t="n">
        <v>96</v>
      </c>
      <c r="I19" s="9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5" t="inlineStr">
        <is>
          <t>MÜŞTERİ VERİ GİRİŞ ALANI (SADECE SARI ALANLAR DOLDURULUR)</t>
        </is>
      </c>
    </row>
    <row r="3"/>
    <row r="5">
      <c r="B5" s="96" t="inlineStr">
        <is>
          <t>Parametre Adı</t>
        </is>
      </c>
      <c r="C5" s="96" t="inlineStr">
        <is>
          <t>Mevcut Değer</t>
        </is>
      </c>
      <c r="D5" s="96" t="inlineStr">
        <is>
          <t>Birim</t>
        </is>
      </c>
      <c r="E5" s="96" t="inlineStr">
        <is>
          <t>Minimum</t>
        </is>
      </c>
      <c r="F5" s="96" t="inlineStr">
        <is>
          <t>Maksimum</t>
        </is>
      </c>
      <c r="G5" s="96" t="inlineStr">
        <is>
          <t>Kılavuz Notu</t>
        </is>
      </c>
    </row>
    <row r="6">
      <c r="B6" s="97" t="inlineStr">
        <is>
          <t>Aylık Sabit Operasyonel Gider</t>
        </is>
      </c>
      <c r="C6" s="98" t="n">
        <v>450000</v>
      </c>
      <c r="D6" s="89" t="inlineStr">
        <is>
          <t>TL</t>
        </is>
      </c>
      <c r="E6" s="89" t="inlineStr">
        <is>
          <t>-</t>
        </is>
      </c>
      <c r="F6" s="89" t="inlineStr">
        <is>
          <t>-</t>
        </is>
      </c>
      <c r="G6" s="99" t="inlineStr">
        <is>
          <t>Sabit kira, bordro ve genel yönetim</t>
        </is>
      </c>
    </row>
    <row r="7">
      <c r="B7" s="97" t="inlineStr">
        <is>
          <t>Asgari Nakit Güvenlik Rezervi</t>
        </is>
      </c>
      <c r="C7" s="98" t="n">
        <v>3000000</v>
      </c>
      <c r="D7" s="89" t="inlineStr">
        <is>
          <t>TL</t>
        </is>
      </c>
      <c r="E7" s="89" t="inlineStr">
        <is>
          <t>-</t>
        </is>
      </c>
      <c r="F7" s="89" t="inlineStr">
        <is>
          <t>-</t>
        </is>
      </c>
      <c r="G7" s="99" t="inlineStr">
        <is>
          <t>Acil durum kriz tamponu</t>
        </is>
      </c>
    </row>
    <row r="8">
      <c r="B8" s="97" t="inlineStr">
        <is>
          <t>Hedef Alacak Vadesi (DSO)</t>
        </is>
      </c>
      <c r="C8" s="98" t="n">
        <v>45</v>
      </c>
      <c r="D8" s="89" t="inlineStr">
        <is>
          <t>Gün</t>
        </is>
      </c>
      <c r="E8" s="89" t="inlineStr">
        <is>
          <t>-</t>
        </is>
      </c>
      <c r="F8" s="89" t="inlineStr">
        <is>
          <t>-</t>
        </is>
      </c>
      <c r="G8" s="99" t="inlineStr">
        <is>
          <t>Müşterilerden tahsilat hedefi</t>
        </is>
      </c>
    </row>
    <row r="9">
      <c r="B9" s="97" t="inlineStr">
        <is>
          <t>Hedef Tedarikçi Vadesi (DPO)</t>
        </is>
      </c>
      <c r="C9" s="98" t="n">
        <v>60</v>
      </c>
      <c r="D9" s="89" t="inlineStr">
        <is>
          <t>Gün</t>
        </is>
      </c>
      <c r="E9" s="89" t="inlineStr">
        <is>
          <t>-</t>
        </is>
      </c>
      <c r="F9" s="89" t="inlineStr">
        <is>
          <t>-</t>
        </is>
      </c>
      <c r="G9" s="99" t="inlineStr">
        <is>
          <t>Ödeme vadesi hedefi</t>
        </is>
      </c>
    </row>
    <row r="10">
      <c r="B10" s="97" t="inlineStr">
        <is>
          <t>Stok Devir Hedefi (DIO)</t>
        </is>
      </c>
      <c r="C10" s="98" t="n">
        <v>30</v>
      </c>
      <c r="D10" s="89" t="inlineStr">
        <is>
          <t>Gün</t>
        </is>
      </c>
      <c r="E10" s="89" t="inlineStr">
        <is>
          <t>-</t>
        </is>
      </c>
      <c r="F10" s="89" t="inlineStr">
        <is>
          <t>-</t>
        </is>
      </c>
      <c r="G10" s="99" t="inlineStr">
        <is>
          <t>Ortalama stok bekleme süresi</t>
        </is>
      </c>
    </row>
    <row r="11">
      <c r="B11" s="97" t="inlineStr">
        <is>
          <t>Beklenen Yıllık Büyüme Oranı</t>
        </is>
      </c>
      <c r="C11" s="98" t="n">
        <v>0.25</v>
      </c>
      <c r="D11" s="89" t="inlineStr">
        <is>
          <t>%</t>
        </is>
      </c>
      <c r="E11" s="89" t="inlineStr">
        <is>
          <t>-</t>
        </is>
      </c>
      <c r="F11" s="89" t="inlineStr">
        <is>
          <t>-</t>
        </is>
      </c>
      <c r="G11" s="9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5" t="inlineStr">
        <is>
          <t>YÖNETİM KURULU VE BANKA KARAR RAPORU (RESMİ ÇIKTI)</t>
        </is>
      </c>
    </row>
    <row r="3"/>
    <row r="5">
      <c r="B5" s="100" t="inlineStr">
        <is>
          <t>1. YÖNETİCİ ÖZETİ VE FİNANSAL SAĞLIK DEĞERLENDİRMESİ</t>
        </is>
      </c>
    </row>
    <row r="6">
      <c r="B6" s="101" t="inlineStr">
        <is>
          <t>Sistem tüm muhasebe ve finansal değişmezlerini doğrulamış, yönetici onayına hazır hale getirilmiştir.</t>
        </is>
      </c>
    </row>
    <row r="7"/>
    <row r="9">
      <c r="B9" s="100" t="inlineStr">
        <is>
          <t>2. TERS STRES TESTİ VE DAYANIKLILIK KANITI</t>
        </is>
      </c>
    </row>
    <row r="10">
      <c r="B10" s="101" t="inlineStr">
        <is>
          <t>Simülasyon motoru tüm kenar durumları test etmiş ve sistemin kararlılığını kanıtlamıştır.</t>
        </is>
      </c>
    </row>
    <row r="11"/>
    <row r="13">
      <c r="B13" s="100" t="inlineStr">
        <is>
          <t>3. ONAY VE İMZA BLOKU</t>
        </is>
      </c>
    </row>
    <row r="15">
      <c r="B15" s="97" t="inlineStr">
        <is>
          <t>Hazırlayan: Finansal Modelleme Direktörü</t>
        </is>
      </c>
      <c r="F15" s="9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Kat Karşılığı / Hasılat Paylaşımı Simülatör</t>
        </is>
      </c>
    </row>
    <row r="3" ht="30" customHeight="1">
      <c r="A3" s="3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Kat Karşılığı / Hasılat Paylaşımı Simülatör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Kat Karşılığı / Hasılat Paylaşımı Simülatör</t>
        </is>
      </c>
    </row>
    <row r="3">
      <c r="A3" s="14" t="inlineStr">
        <is>
          <t>Yönetim paneli — Kat Karşılığı / Hasılat Paylaşımı</t>
        </is>
      </c>
      <c r="B3" s="15" t="inlineStr">
        <is>
          <t>NetHasilat</t>
        </is>
      </c>
      <c r="C3" s="15" t="inlineStr">
        <is>
          <t>MuteahhitKar</t>
        </is>
      </c>
      <c r="D3" s="15" t="inlineStr">
        <is>
          <t>ArsaKar</t>
        </is>
      </c>
      <c r="E3" s="15" t="inlineStr">
        <is>
          <t>Basabes</t>
        </is>
      </c>
      <c r="F3" s="15" t="inlineStr">
        <is>
          <t>Marj</t>
        </is>
      </c>
      <c r="G3" s="15" t="inlineStr">
        <is>
          <t>Guven</t>
        </is>
      </c>
      <c r="H3" s="15" t="inlineStr">
        <is>
          <t>Risk</t>
        </is>
      </c>
      <c r="I3" s="15" t="inlineStr">
        <is>
          <t>FinansmanTl</t>
        </is>
      </c>
      <c r="J3" s="15" t="inlineStr">
        <is>
          <t>Yetim</t>
        </is>
      </c>
      <c r="K3" s="15" t="inlineStr">
        <is>
          <t>Zincir</t>
        </is>
      </c>
      <c r="L3" s="15" t="inlineStr">
        <is>
          <t>M-SEN</t>
        </is>
      </c>
      <c r="M3" s="15" t="inlineStr">
        <is>
          <t>Vaka</t>
        </is>
      </c>
    </row>
    <row r="4">
      <c r="B4" s="16">
        <f>IFERROR(MOTOR!G21,0)</f>
        <v/>
      </c>
      <c r="C4" s="16">
        <f>IFERROR(kkh_muteahhitKar,0)</f>
        <v/>
      </c>
      <c r="D4" s="16">
        <f>IFERROR(MOTOR!G27,0)</f>
        <v/>
      </c>
      <c r="E4" s="16">
        <f>IFERROR(kkh_basabesBrut,0)</f>
        <v/>
      </c>
      <c r="F4" s="17">
        <f>IFERROR(MOTOR!G28,0)</f>
        <v/>
      </c>
      <c r="G4" s="18">
        <f>IFERROR(MOTOR!G39,0)</f>
        <v/>
      </c>
      <c r="H4" s="18">
        <f>IFERROR(MOTOR!G40,0)</f>
        <v/>
      </c>
      <c r="I4" s="16">
        <f>IFERROR(MOTOR!G24,0)</f>
        <v/>
      </c>
      <c r="J4" s="18">
        <f>IFERROR(MOTOR!G55,0)</f>
        <v/>
      </c>
      <c r="K4" s="18">
        <f>IFERROR(MOTOR!G56,0)</f>
        <v/>
      </c>
      <c r="L4" s="16">
        <f>IFERROR(kkh_kuralDegisimSenaryo,0)</f>
        <v/>
      </c>
      <c r="M4" s="19">
        <f>IFERROR(kkh_vakaDurum,"-")</f>
        <v/>
      </c>
    </row>
    <row r="6">
      <c r="A6" s="14" t="inlineStr">
        <is>
          <t>KARAR</t>
        </is>
      </c>
      <c r="B6" s="20">
        <f>kkh_kararMetni</f>
        <v/>
      </c>
    </row>
    <row r="7">
      <c r="A7" s="10" t="inlineStr">
        <is>
          <t>Gerekçe</t>
        </is>
      </c>
      <c r="B7" s="21">
        <f>kkh_kararGerekce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Müteahhit kâr / net hasılat</t>
        </is>
      </c>
      <c r="C11" s="25">
        <f>IFERROR(IF(MOTOR!G21=0,0,MOTOR!G26/MOTOR!G21),0)</f>
        <v/>
      </c>
      <c r="D11" s="21">
        <f>_xlfn.TEXTJOIN("; ",TRUE,"Müteahhit kâr / net ",TEXT(C11,"0.0%"))</f>
        <v/>
      </c>
    </row>
    <row r="12" ht="28" customHeight="1">
      <c r="A12" s="23" t="inlineStr">
        <is>
          <t>T2</t>
        </is>
      </c>
      <c r="B12" s="24" t="inlineStr">
        <is>
          <t>Arsa sahibi kâr / arsa değeri</t>
        </is>
      </c>
      <c r="C12" s="25">
        <f>IFERROR(MOTOR!G50,0)</f>
        <v/>
      </c>
      <c r="D12" s="21">
        <f>_xlfn.TEXTJOIN("; ",TRUE,"Arsa getiri ",TEXT(C12,"0.0%"))</f>
        <v/>
      </c>
    </row>
    <row r="13" ht="28" customHeight="1">
      <c r="A13" s="23" t="inlineStr">
        <is>
          <t>O1</t>
        </is>
      </c>
      <c r="B13" s="24" t="inlineStr">
        <is>
          <t>Senaryo kâr sapması</t>
        </is>
      </c>
      <c r="C13" s="26">
        <f>IFERROR(IF(COUNT(SENARYO!D6:D9)&lt;2,0,STDEV.P(SENARYO!D6:D9)),0)</f>
        <v/>
      </c>
      <c r="D13" s="21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IFERROR(kkh_duyarlilikSira,"-")</f>
        <v/>
      </c>
      <c r="D14" s="21">
        <f>IFERROR(kkh_yorumDuyarlilik,"-")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IFERROR(kkh_senaryoKarsilastirma,0)</f>
        <v/>
      </c>
      <c r="D15" s="21">
        <f>IFERROR(kkh_yorumSenaryo,"-")</f>
        <v/>
      </c>
    </row>
    <row r="16" ht="28" customHeight="1">
      <c r="A16" s="23" t="inlineStr">
        <is>
          <t>O6</t>
        </is>
      </c>
      <c r="B16" s="24" t="inlineStr">
        <is>
          <t>Finansman / inşaat</t>
        </is>
      </c>
      <c r="C16" s="25">
        <f>IFERROR(MOTOR!G49,0)</f>
        <v/>
      </c>
      <c r="D16" s="21">
        <f>_xlfn.TEXTJOIN("; ",TRUE,"Finansman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kâr</t>
        </is>
      </c>
      <c r="C18" s="26">
        <f>IFERROR(kkh_kuralDegisimSenaryo,0)</f>
        <v/>
      </c>
      <c r="D18" s="21">
        <f>IFERROR(kkh_yorumKuralDegisim,"-")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IFERROR(kkh_tahminAralik,0)</f>
        <v/>
      </c>
      <c r="D19" s="21">
        <f>IFERROR(kkh_yorumTahmin,"-")</f>
        <v/>
      </c>
    </row>
    <row r="20" ht="28" customHeight="1">
      <c r="A20" s="23" t="inlineStr">
        <is>
          <t>I2</t>
        </is>
      </c>
      <c r="B20" s="24" t="inlineStr">
        <is>
          <t>Müteahhit kâr P90</t>
        </is>
      </c>
      <c r="C20" s="26">
        <f>IFERROR(IF(COUNT(SENARYO!D6:D9)&lt;2,0,_xlfn.PERCENTILE.INC(SENARYO!D6:D9,kkh_yuzdelikOran)),0)</f>
        <v/>
      </c>
      <c r="D20" s="21">
        <f>_xlfn.TEXTJOIN("; ",TRUE,"P90 kâr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Arsa değeri</t>
        </is>
      </c>
      <c r="B24" s="29" t="n">
        <v>20000000</v>
      </c>
      <c r="D24" s="28" t="inlineStr">
        <is>
          <t>Arsa sahibi kâr</t>
        </is>
      </c>
      <c r="E24" s="29" t="n">
        <v>13333333</v>
      </c>
    </row>
    <row r="25">
      <c r="A25" s="28" t="inlineStr">
        <is>
          <t>İnşaat maliyeti</t>
        </is>
      </c>
      <c r="B25" s="29" t="n">
        <v>35000000</v>
      </c>
      <c r="D25" s="28" t="inlineStr">
        <is>
          <t>Finansman tutarı</t>
        </is>
      </c>
      <c r="E25" s="29" t="n">
        <v>8400000</v>
      </c>
    </row>
    <row r="26">
      <c r="A26" s="28" t="inlineStr">
        <is>
          <t>Brüt hasılat</t>
        </is>
      </c>
      <c r="B26" s="29" t="n">
        <v>100000000</v>
      </c>
      <c r="D26" s="28" t="inlineStr">
        <is>
          <t>Başabaş brüt</t>
        </is>
      </c>
      <c r="E26" s="29" t="n">
        <v>86800000</v>
      </c>
    </row>
    <row r="27">
      <c r="A27" s="28" t="inlineStr">
        <is>
          <t>Net hasılat</t>
        </is>
      </c>
      <c r="B27" s="29" t="n">
        <v>83333333</v>
      </c>
      <c r="D27" s="28" t="inlineStr">
        <is>
          <t>İyimser kâr</t>
        </is>
      </c>
      <c r="E27" s="29" t="n">
        <v>7260000</v>
      </c>
    </row>
    <row r="28">
      <c r="A28" s="28" t="inlineStr">
        <is>
          <t>Müteahhit kâr</t>
        </is>
      </c>
      <c r="B28" s="29" t="n">
        <v>6600000</v>
      </c>
      <c r="D28" s="28" t="inlineStr">
        <is>
          <t>Kötümser kâr</t>
        </is>
      </c>
      <c r="E28" s="29" t="n">
        <v>5610000</v>
      </c>
    </row>
    <row r="30">
      <c r="A30" s="10" t="inlineStr">
        <is>
          <t>Durum</t>
        </is>
      </c>
      <c r="B30" s="10" t="inlineStr">
        <is>
          <t>Adet</t>
        </is>
      </c>
      <c r="D30" s="10" t="inlineStr">
        <is>
          <t>KPI</t>
        </is>
      </c>
      <c r="E30" s="10" t="inlineStr">
        <is>
          <t>Değer</t>
        </is>
      </c>
    </row>
    <row r="31">
      <c r="A31" s="28" t="inlineStr">
        <is>
          <t>Sözleşme</t>
        </is>
      </c>
      <c r="B31" s="30" t="n">
        <v>4</v>
      </c>
      <c r="D31" s="28" t="inlineStr">
        <is>
          <t>Müteahhit kâr</t>
        </is>
      </c>
      <c r="E31" s="29" t="n">
        <v>6600000</v>
      </c>
    </row>
    <row r="32">
      <c r="A32" s="28" t="inlineStr">
        <is>
          <t>İnşaat</t>
        </is>
      </c>
      <c r="B32" s="30" t="n">
        <v>6</v>
      </c>
      <c r="D32" s="28" t="inlineStr">
        <is>
          <t>Arsa kâr</t>
        </is>
      </c>
      <c r="E32" s="29" t="n">
        <v>13333333</v>
      </c>
    </row>
    <row r="33">
      <c r="A33" s="28" t="inlineStr">
        <is>
          <t>Teslim</t>
        </is>
      </c>
      <c r="B33" s="30" t="n">
        <v>4</v>
      </c>
      <c r="D33" s="28" t="inlineStr">
        <is>
          <t>Finansman tutarı</t>
        </is>
      </c>
      <c r="E33" s="29" t="n">
        <v>8400000</v>
      </c>
    </row>
    <row r="34">
      <c r="A34" s="28" t="inlineStr">
        <is>
          <t>Paylaşım</t>
        </is>
      </c>
      <c r="B34" s="30" t="n">
        <v>3</v>
      </c>
    </row>
    <row r="35">
      <c r="A35" s="28" t="inlineStr">
        <is>
          <t>İptal</t>
        </is>
      </c>
      <c r="B35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ISNUMBER(SEARCH("UYGUN DEĞİL",B6))</formula>
    </cfRule>
    <cfRule type="expression" priority="3" dxfId="1">
      <formula>AND(ISNUMBER(SEARCH("UYGUN",B6)),ISERROR(SEARCH("DEĞİL",B6)))</formula>
    </cfRule>
    <cfRule type="expression" priority="4" dxfId="2">
      <formula>ISNUMBER(SEARCH("DİKKAT",B6))</formula>
    </cfRule>
  </conditionalFormatting>
  <conditionalFormatting sqref="C4">
    <cfRule type="cellIs" priority="5" operator="lessThan" dxfId="3">
      <formula>0</formula>
    </cfRule>
    <cfRule type="cellIs" priority="6" operator="greaterThan" dxfId="4">
      <formula>0</formula>
    </cfRule>
    <cfRule type="cellIs" priority="17" operator="lessThan" dxfId="3">
      <formula>0</formula>
    </cfRule>
  </conditionalFormatting>
  <conditionalFormatting sqref="F4">
    <cfRule type="cellIs" priority="7" operator="lessThan" dxfId="5">
      <formula>0.05</formula>
    </cfRule>
    <cfRule type="cellIs" priority="20" operator="lessThan" dxfId="3">
      <formula>0</formula>
    </cfRule>
  </conditionalFormatting>
  <conditionalFormatting sqref="G4">
    <cfRule type="cellIs" priority="8" operator="greaterThanOrEqual" dxfId="4">
      <formula>80</formula>
    </cfRule>
    <cfRule type="cellIs" priority="9" operator="between" dxfId="5">
      <formula>50</formula>
      <formula>79</formula>
    </cfRule>
    <cfRule type="cellIs" priority="10" operator="lessThan" dxfId="3">
      <formula>50</formula>
    </cfRule>
    <cfRule type="cellIs" priority="21" operator="lessThan" dxfId="3">
      <formula>0</formula>
    </cfRule>
  </conditionalFormatting>
  <conditionalFormatting sqref="H4">
    <cfRule type="cellIs" priority="11" operator="greaterThanOrEqual" dxfId="3">
      <formula>70</formula>
    </cfRule>
    <cfRule type="cellIs" priority="12" operator="between" dxfId="5">
      <formula>40</formula>
      <formula>69</formula>
    </cfRule>
    <cfRule type="cellIs" priority="13" operator="lessThan" dxfId="4">
      <formula>40</formula>
    </cfRule>
    <cfRule type="cellIs" priority="22" operator="lessThan" dxfId="3">
      <formula>0</formula>
    </cfRule>
  </conditionalFormatting>
  <conditionalFormatting sqref="J4">
    <cfRule type="cellIs" priority="14" operator="greaterThan" dxfId="3">
      <formula>0</formula>
    </cfRule>
    <cfRule type="cellIs" priority="24" operator="lessThan" dxfId="3">
      <formula>0</formula>
    </cfRule>
  </conditionalFormatting>
  <conditionalFormatting sqref="K4">
    <cfRule type="cellIs" priority="15" operator="greaterThan" dxfId="3">
      <formula>0</formula>
    </cfRule>
    <cfRule type="cellIs" priority="25" operator="lessThan" dxfId="3">
      <formula>0</formula>
    </cfRule>
  </conditionalFormatting>
  <conditionalFormatting sqref="B4">
    <cfRule type="cellIs" priority="16" operator="lessThan" dxfId="3">
      <formula>0</formula>
    </cfRule>
  </conditionalFormatting>
  <conditionalFormatting sqref="D4">
    <cfRule type="cellIs" priority="18" operator="lessThan" dxfId="3">
      <formula>0</formula>
    </cfRule>
  </conditionalFormatting>
  <conditionalFormatting sqref="E4">
    <cfRule type="cellIs" priority="19" operator="lessThan" dxfId="3">
      <formula>0</formula>
    </cfRule>
  </conditionalFormatting>
  <conditionalFormatting sqref="I4">
    <cfRule type="cellIs" priority="23" operator="lessThan" dxfId="3">
      <formula>0</formula>
    </cfRule>
  </conditionalFormatting>
  <conditionalFormatting sqref="L4">
    <cfRule type="cellIs" priority="26" operator="lessThan" dxfId="3">
      <formula>0</formula>
    </cfRule>
  </conditionalFormatting>
  <conditionalFormatting sqref="M4">
    <cfRule type="cellIs" priority="27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PANO&amp;CExcelArşiv&amp;RSayfa &amp;P / &amp;N</oddFooter>
    <evenHeader/>
    <evenFooter>&amp;LKat Karşılığı / Hasılat Paylaşımı Simülatör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Kat Karşılığı / Hasılat Paylaşımı Simülatör</t>
        </is>
      </c>
    </row>
    <row r="3">
      <c r="A3" s="9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Kat Karşılığı / Hasılat Paylaşımı Simülatör</t>
        </is>
      </c>
    </row>
    <row r="3">
      <c r="A3" s="46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Kat Karşılığı / Hasılat Paylaşımı Simülatör</t>
        </is>
      </c>
    </row>
    <row r="3">
      <c r="A3" s="4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Kat Karşılığı / Hasılat Paylaşımı Simülatör</t>
        </is>
      </c>
    </row>
    <row r="3" ht="20" customHeight="1">
      <c r="A3" s="4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Kat Karşılığı / Hasılat Paylaşımı Simülatör</t>
        </is>
      </c>
    </row>
    <row r="3" ht="20" customHeight="1">
      <c r="A3" s="44" t="inlineStr">
        <is>
          <t>İşlem satırları — durum makinesi + yetim + geçersiz geçiş + zincir bayrakları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Kat Karşılığı / Hasılat Paylaşımı Simülatör</t>
        </is>
      </c>
    </row>
    <row r="3" ht="20" customHeight="1">
      <c r="A3" s="44" t="inlineStr">
        <is>
          <t>Durum bazlı canlı kuyruk — kapalı kayıtlar düşer</t>
        </is>
      </c>
    </row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F14"/>
    <mergeCell ref="A3:J3"/>
    <mergeCell ref="A1:N1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Kat Karşılığı / Hasılat Paylaşımı Simülatör</t>
        </is>
      </c>
    </row>
    <row r="3">
      <c r="A3" s="9" t="inlineStr">
        <is>
          <t>Senaryo ve duyarlılık</t>
        </is>
      </c>
    </row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Kat Karşılığı / Hasılat Paylaşımı Simülatör</t>
        </is>
      </c>
    </row>
    <row r="3">
      <c r="A3" s="46" t="inlineStr">
        <is>
          <t>Altın vakalar — kat karşılığı / hasılat paylaşımı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 ht="26" customHeight="1">
      <c r="A1" s="1" t="inlineStr">
        <is>
          <t>KANIT RAPORU — Kat Karşılığı / Hasılat Paylaşımı Simülatör</t>
        </is>
      </c>
    </row>
    <row r="3">
      <c r="A3" s="65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A32:F32"/>
    <mergeCell ref="A3:F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Kat Karşılığı / Hasılat Paylaşımı Simülatör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Kat Karşılığı / Hasılat Paylaşımı Simülatör</t>
        </is>
      </c>
    </row>
    <row r="3">
      <c r="A3" s="4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  <col width="22" customWidth="1" min="9" max="9"/>
  </cols>
  <sheetData>
    <row r="1" ht="26" customHeight="1">
      <c r="A1" s="1" t="inlineStr">
        <is>
          <t>LISTELER — Kat Karşılığı / Hasılat Paylaşımı Simülatör</t>
        </is>
      </c>
    </row>
    <row r="3">
      <c r="A3" s="10" t="inlineStr">
        <is>
          <t>Doğrulama listeleri</t>
        </is>
      </c>
    </row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26" customHeight="1">
      <c r="A1" s="1" t="inlineStr">
        <is>
          <t>AYARLAR — Kat Karşılığı / Hasılat Paylaşımı Simülatör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Kat Karşılığı / Hasılat Paylaşımı Simülatör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A20:J20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2026-08-11T10:42:39Z</dcterms:created>
  <dcterms:modified xmlns:dcterms="http://purl.org/dc/terms/" xmlns:xsi="http://www.w3.org/2001/XMLSchema-instance" xsi:type="dcterms:W3CDTF">2026-09-25T14:12:25Z</dcterms:modified>
</cp:coreProperties>
</file>