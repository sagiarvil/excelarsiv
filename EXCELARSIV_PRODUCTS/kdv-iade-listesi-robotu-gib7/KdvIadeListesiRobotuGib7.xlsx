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11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comments/comment3.xml" ContentType="application/vnd.openxmlformats-officedocument.spreadsheetml.comments+xml"/>
  <Override PartName="/xl/worksheets/sheet14.xml" ContentType="application/vnd.openxmlformats-officedocument.spreadsheetml.worksheet+xml"/>
  <Override PartName="/xl/drawings/drawing2.xml" ContentType="application/vnd.openxmlformats-officedocument.drawing+xml"/>
  <Override PartName="/xl/comments/comment4.xml" ContentType="application/vnd.openxmlformats-officedocument.spreadsheetml.comments+xml"/>
  <Override PartName="/xl/worksheets/sheet15.xml" ContentType="application/vnd.openxmlformats-officedocument.spreadsheetml.worksheet+xml"/>
  <Override PartName="/xl/drawings/drawing3.xml" ContentType="application/vnd.openxmlformats-officedocument.drawing+xml"/>
  <Override PartName="/xl/comments/comment5.xml" ContentType="application/vnd.openxmlformats-officedocument.spreadsheetml.comments+xml"/>
  <Override PartName="/xl/worksheets/sheet16.xml" ContentType="application/vnd.openxmlformats-officedocument.spreadsheetml.worksheet+xml"/>
  <Override PartName="/xl/comments/comment6.xml" ContentType="application/vnd.openxmlformats-officedocument.spreadsheetml.comments+xml"/>
  <Override PartName="/xl/worksheets/sheet17.xml" ContentType="application/vnd.openxmlformats-officedocument.spreadsheetml.worksheet+xml"/>
  <Override PartName="/xl/comments/comment7.xml" ContentType="application/vnd.openxmlformats-officedocument.spreadsheetml.comments+xml"/>
  <Override PartName="/xl/worksheets/sheet18.xml" ContentType="application/vnd.openxmlformats-officedocument.spreadsheetml.worksheet+xml"/>
  <Override PartName="/xl/drawings/drawing4.xml" ContentType="application/vnd.openxmlformats-officedocument.drawing+xml"/>
  <Override PartName="/xl/comments/comment8.xml" ContentType="application/vnd.openxmlformats-officedocument.spreadsheetml.comments+xml"/>
  <Override PartName="/xl/worksheets/sheet19.xml" ContentType="application/vnd.openxmlformats-officedocument.spreadsheetml.worksheet+xml"/>
  <Override PartName="/xl/comments/comment9.xml" ContentType="application/vnd.openxmlformats-officedocument.spreadsheetml.comments+xml"/>
  <Override PartName="/xl/worksheets/sheet20.xml" ContentType="application/vnd.openxmlformats-officedocument.spreadsheetml.worksheet+xml"/>
  <Override PartName="/xl/drawings/drawing5.xml" ContentType="application/vnd.openxmlformats-officedocument.drawing+xml"/>
  <Override PartName="/xl/worksheets/sheet21.xml" ContentType="application/vnd.openxmlformats-officedocument.spreadsheetml.worksheet+xml"/>
  <Override PartName="/xl/drawings/drawing6.xml" ContentType="application/vnd.openxmlformats-officedocument.drawing+xml"/>
  <Override PartName="/xl/tables/table3.xml" ContentType="application/vnd.openxmlformats-officedocument.spreadsheetml.table+xml"/>
  <Override PartName="/xl/worksheets/sheet22.xml" ContentType="application/vnd.openxmlformats-officedocument.spreadsheetml.worksheet+xml"/>
  <Override PartName="/xl/comments/comment10.xml" ContentType="application/vnd.openxmlformats-officedocument.spreadsheetml.comments+xml"/>
  <Override PartName="/xl/worksheets/sheet23.xml" ContentType="application/vnd.openxmlformats-officedocument.spreadsheetml.worksheet+xml"/>
  <Override PartName="/xl/comments/comment11.xml" ContentType="application/vnd.openxmlformats-officedocument.spreadsheetml.comments+xml"/>
  <Override PartName="/xl/worksheets/sheet24.xml" ContentType="application/vnd.openxmlformats-officedocument.spreadsheetml.worksheet+xml"/>
  <Override PartName="/xl/comments/comment12.xml" ContentType="application/vnd.openxmlformats-officedocument.spreadsheetml.comments+xml"/>
  <Override PartName="/xl/tables/table4.xml" ContentType="application/vnd.openxmlformats-officedocument.spreadsheetml.table+xml"/>
  <Override PartName="/xl/worksheets/sheet25.xml" ContentType="application/vnd.openxmlformats-officedocument.spreadsheetml.worksheet+xml"/>
  <Override PartName="/xl/comments/comment13.xml" ContentType="application/vnd.openxmlformats-officedocument.spreadsheetml.comments+xml"/>
  <Override PartName="/xl/worksheets/sheet26.xml" ContentType="application/vnd.openxmlformats-officedocument.spreadsheetml.worksheet+xml"/>
  <Override PartName="/xl/comments/comment14.xml" ContentType="application/vnd.openxmlformats-officedocument.spreadsheetml.comments+xml"/>
  <Override PartName="/xl/worksheets/sheet2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PANO" sheetId="2" state="visible" r:id="rId2"/>
    <sheet xmlns:r="http://schemas.openxmlformats.org/officeDocument/2006/relationships" name="GİRDİLER" sheetId="3" state="visible" r:id="rId3"/>
    <sheet xmlns:r="http://schemas.openxmlformats.org/officeDocument/2006/relationships" name="YÖNETİM_RAPORU" sheetId="4" state="visible" r:id="rId4"/>
    <sheet xmlns:r="http://schemas.openxmlformats.org/officeDocument/2006/relationships" name="01_YURUTME_CEKIRDEGI" sheetId="5" state="visible" r:id="rId5"/>
    <sheet xmlns:r="http://schemas.openxmlformats.org/officeDocument/2006/relationships" name="02_KONTROL_LISTESI" sheetId="6" state="visible" r:id="rId6"/>
    <sheet xmlns:r="http://schemas.openxmlformats.org/officeDocument/2006/relationships" name="03_GORSEL_TASARIM" sheetId="7" state="visible" r:id="rId7"/>
    <sheet xmlns:r="http://schemas.openxmlformats.org/officeDocument/2006/relationships" name="04_MUHASEBE_THP" sheetId="8" state="visible" r:id="rId8"/>
    <sheet xmlns:r="http://schemas.openxmlformats.org/officeDocument/2006/relationships" name="05_KARAR_SATIS" sheetId="9" state="visible" r:id="rId9"/>
    <sheet xmlns:r="http://schemas.openxmlformats.org/officeDocument/2006/relationships" name="GIRDI" sheetId="10" state="visible" r:id="rId10"/>
    <sheet xmlns:r="http://schemas.openxmlformats.org/officeDocument/2006/relationships" name="KURALLAR" sheetId="11" state="visible" r:id="rId11"/>
    <sheet xmlns:r="http://schemas.openxmlformats.org/officeDocument/2006/relationships" name="MOTOR" sheetId="12" state="visible" r:id="rId12"/>
    <sheet xmlns:r="http://schemas.openxmlformats.org/officeDocument/2006/relationships" name="LISTE_1" sheetId="13" state="visible" r:id="rId13"/>
    <sheet xmlns:r="http://schemas.openxmlformats.org/officeDocument/2006/relationships" name="LISTE_2" sheetId="14" state="visible" r:id="rId14"/>
    <sheet xmlns:r="http://schemas.openxmlformats.org/officeDocument/2006/relationships" name="LISTE_3" sheetId="15" state="visible" r:id="rId15"/>
    <sheet xmlns:r="http://schemas.openxmlformats.org/officeDocument/2006/relationships" name="LISTE_4" sheetId="16" state="visible" r:id="rId16"/>
    <sheet xmlns:r="http://schemas.openxmlformats.org/officeDocument/2006/relationships" name="LISTE_5" sheetId="17" state="visible" r:id="rId17"/>
    <sheet xmlns:r="http://schemas.openxmlformats.org/officeDocument/2006/relationships" name="LISTE_6" sheetId="18" state="visible" r:id="rId18"/>
    <sheet xmlns:r="http://schemas.openxmlformats.org/officeDocument/2006/relationships" name="LISTE_7" sheetId="19" state="visible" r:id="rId19"/>
    <sheet xmlns:r="http://schemas.openxmlformats.org/officeDocument/2006/relationships" name="SENARYO" sheetId="20" state="visible" r:id="rId20"/>
    <sheet xmlns:r="http://schemas.openxmlformats.org/officeDocument/2006/relationships" name="VAKALAR" sheetId="21" state="visible" r:id="rId21"/>
    <sheet xmlns:r="http://schemas.openxmlformats.org/officeDocument/2006/relationships" name="KANIT_RAPORU" sheetId="22" state="visible" r:id="rId22"/>
    <sheet xmlns:r="http://schemas.openxmlformats.org/officeDocument/2006/relationships" name="KONTROLLER" sheetId="23" state="visible" r:id="rId23"/>
    <sheet xmlns:r="http://schemas.openxmlformats.org/officeDocument/2006/relationships" name="ORNEK_VERI" sheetId="24" state="visible" r:id="rId24"/>
    <sheet xmlns:r="http://schemas.openxmlformats.org/officeDocument/2006/relationships" name="LISTELER" sheetId="25" state="visible" r:id="rId25"/>
    <sheet xmlns:r="http://schemas.openxmlformats.org/officeDocument/2006/relationships" name="AYARLAR" sheetId="26" state="visible" r:id="rId26"/>
    <sheet xmlns:r="http://schemas.openxmlformats.org/officeDocument/2006/relationships" name="KILAVUZ" sheetId="27" state="visible" r:id="rId27"/>
  </sheets>
  <definedNames>
    <definedName name="hesapYili">GIRDI!$B$8</definedName>
    <definedName name="raporTarihi">AYARLAR!$B$7</definedName>
    <definedName name="kil_iadeSecili">MOTOR!$G$25</definedName>
    <definedName name="kil_kararMetni">MOTOR!$G$28</definedName>
    <definedName name="kil_kararGerekce">MOTOR!$G$29</definedName>
    <definedName name="kil_kararKapi">MOTOR!$G$28</definedName>
    <definedName name="kil_maddeAtifMetni">MOTOR!$G$50</definedName>
    <definedName name="kil_kanitRaporu">MOTOR!$G$51</definedName>
    <definedName name="kil_yediListe">MOTOR!$G$53</definedName>
    <definedName name="kil_listeSayfalari">MOTOR!$G$54</definedName>
    <definedName name="kil_kuralYilMatris">KURALLAR!$B$17</definedName>
    <definedName name="kil_parmakIzi">AYARLAR!$B$20</definedName>
    <definedName name="kil_liste1">MOTOR!$G$43</definedName>
    <definedName name="kil_liste2">MOTOR!$G$44</definedName>
    <definedName name="kil_liste3">MOTOR!$G$45</definedName>
    <definedName name="kil_liste4">MOTOR!$G$46</definedName>
    <definedName name="kil_liste5">MOTOR!$G$47</definedName>
    <definedName name="kil_liste6">MOTOR!$G$48</definedName>
    <definedName name="kil_liste7">MOTOR!$G$49</definedName>
    <definedName name="kil_senaryoKarsilastirma">SENARYO!$B$11</definedName>
    <definedName name="kil_yorumSenaryo">SENARYO!$B$12</definedName>
    <definedName name="kil_duyarlilikSira">SENARYO!$B$19</definedName>
    <definedName name="kil_yorumDuyarlilik">SENARYO!$B$20</definedName>
    <definedName name="kil_kuralDegisimSenaryo">SENARYO!$B$22</definedName>
    <definedName name="kil_yorumKuralDegisim">SENARYO!$B$23</definedName>
    <definedName name="kil_tahminAralik">SENARYO!$B$32</definedName>
    <definedName name="kil_yorumTahmin">SENARYO!$B$33</definedName>
    <definedName name="kil_vakaDurum">VAKALAR!$B$12</definedName>
    <definedName name="kil_vakaFark">VAKALAR!$B$13</definedName>
    <definedName name="kil_tolerans">AYARLAR!$B$8</definedName>
    <definedName name="kil_iadeEsik">AYARLAR!$B$9</definedName>
    <definedName name="kil_belgeLimit">AYARLAR!$B$10</definedName>
    <definedName name="kil_senaryoIyi">AYARLAR!$B$11</definedName>
    <definedName name="kil_senaryoKotu">AYARLAR!$B$12</definedName>
    <definedName name="kil_oranArtisPuan">AYARLAR!$B$13</definedName>
    <definedName name="kil_tahminAlt">AYARLAR!$B$14</definedName>
    <definedName name="kil_tahminUst">AYARLAR!$B$15</definedName>
    <definedName name="kil_tornadoYuklenen">AYARLAR!$B$16</definedName>
    <definedName name="kil_tornadoIhrac">AYARLAR!$B$17</definedName>
    <definedName name="kil_tornadoGcb">AYARLAR!$B$18</definedName>
    <definedName name="kil_yuzdelikOran">AYARLAR!$B$19</definedName>
    <definedName name="kil_girisBeklenen">AYARLAR!$B$22</definedName>
    <definedName name="kil_riskDusuk">AYARLAR!$B$23</definedName>
    <definedName name="kil_riskOrta">AYARLAR!$B$24</definedName>
    <definedName name="kil_riskYuksek">AYARLAR!$B$25</definedName>
    <definedName name="kil_yilTaban">AYARLAR!$B$26</definedName>
    <definedName name="kil_yuvarMax">AYARLAR!$B$27</definedName>
    <definedName name="vaka_indirilecek">AYARLAR!$B$28</definedName>
    <definedName name="vaka_yuklenen">AYARLAR!$B$29</definedName>
    <definedName name="vaka_ihrac">AYARLAR!$B$30</definedName>
    <definedName name="vaka_gcb">AYARLAR!$B$31</definedName>
    <definedName name="kil_modulT1">PANO!$C$12</definedName>
    <definedName name="kil_modulT1Yorum">PANO!$D$12</definedName>
    <definedName name="kil_modulT2">PANO!$C$13</definedName>
    <definedName name="kil_modulT2Yorum">PANO!$D$13</definedName>
    <definedName name="kil_modulO1">PANO!$C$14</definedName>
    <definedName name="kil_modulO1Yorum">PANO!$D$14</definedName>
    <definedName name="kil_modulO6">PANO!$C$17</definedName>
    <definedName name="kil_modulO6Yorum">PANO!$D$17</definedName>
    <definedName name="kil_modulO8">PANO!$C$18</definedName>
    <definedName name="kil_modulO8Yorum">PANO!$D$18</definedName>
    <definedName name="kil_modulI2">PANO!$C$21</definedName>
    <definedName name="kil_modulI2Yorum">PANO!$D$21</definedName>
    <definedName name="ListeYillar">LISTELER!$A$6:$A$8</definedName>
    <definedName name="ListeYorumAB">LISTELER!$C$6:$C$7</definedName>
    <definedName name="ListeEvetHayir">LISTELER!$E$6:$E$7</definedName>
    <definedName name="_xlnm.Print_Area" localSheetId="21">'KANIT_RAPORU'!$A$1:$F$35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₺ #,##0;[Red](₺ #,##0);-"/>
    <numFmt numFmtId="165" formatCode="0.0%;[Red](0.0%);-"/>
    <numFmt numFmtId="166" formatCode="dd.mm.yyyy"/>
    <numFmt numFmtId="167" formatCode="#,##0 &quot;TL&quot;"/>
    <numFmt numFmtId="168" formatCode="0.0%"/>
    <numFmt numFmtId="169" formatCode="₺#,##0"/>
  </numFmts>
  <fonts count="85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0F2742"/>
      <sz val="14"/>
    </font>
    <font>
      <name val="Segoe UI"/>
      <b val="1"/>
      <color rgb="00FFFFFF"/>
      <sz val="9"/>
    </font>
    <font>
      <name val="Segoe UI"/>
      <b val="1"/>
      <color rgb="00006100"/>
      <sz val="11"/>
    </font>
    <font>
      <name val="Segoe UI"/>
      <b val="1"/>
      <color rgb="00006100"/>
      <sz val="14"/>
    </font>
    <font>
      <name val="Segoe UI"/>
      <b val="1"/>
      <color rgb="000F2742"/>
      <sz val="10"/>
    </font>
    <font>
      <name val="Segoe UI"/>
      <color rgb="00006100"/>
      <sz val="10"/>
    </font>
    <font>
      <name val="Segoe UI"/>
      <b val="1"/>
      <color rgb="000F2742"/>
      <sz val="12"/>
    </font>
    <font>
      <name val="Segoe UI"/>
      <b val="1"/>
      <color rgb="00FFFFFF"/>
      <sz val="10"/>
    </font>
    <font>
      <name val="Segoe UI"/>
      <b val="1"/>
      <color rgb="00B08948"/>
      <sz val="10"/>
    </font>
    <font>
      <name val="Segoe UI"/>
      <color rgb="00000000"/>
      <sz val="10"/>
    </font>
    <font>
      <name val="Segoe UI"/>
      <color rgb="00595959"/>
      <sz val="10"/>
    </font>
    <font>
      <name val="Segoe UI"/>
      <b val="1"/>
      <color rgb="000F2742"/>
      <sz val="13"/>
    </font>
    <font>
      <name val="Segoe UI"/>
      <color rgb="00333333"/>
      <sz val="10"/>
    </font>
    <font>
      <name val="Segoe UI"/>
      <color rgb="001F4E79"/>
      <sz val="10"/>
    </font>
    <font>
      <name val="Segoe UI"/>
      <b val="1"/>
      <color rgb="00006100"/>
      <sz val="10"/>
    </font>
    <font>
      <name val="Segoe UI"/>
      <b val="1"/>
      <color rgb="00006100"/>
      <sz val="12"/>
    </font>
    <font>
      <name val="Segoe UI"/>
      <color rgb="00595959"/>
      <sz val="9"/>
    </font>
    <font>
      <name val="Segoe UI"/>
      <b val="1"/>
      <color rgb="00B3261E"/>
      <sz val="12"/>
    </font>
    <font>
      <name val="Segoe UI"/>
      <color rgb="00B3261E"/>
      <sz val="10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FFFFFF"/>
      <sz val="11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17324D"/>
      <sz val="11"/>
    </font>
    <font>
      <name val="Carlito"/>
      <sz val="11"/>
    </font>
    <font>
      <name val="Carlito"/>
      <b val="1"/>
      <color rgb="FF6B4F1D"/>
      <sz val="10"/>
    </font>
    <font>
      <name val="Carlito"/>
      <b val="1"/>
      <color rgb="FF0F6E56"/>
      <sz val="11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</fonts>
  <fills count="34">
    <fill>
      <patternFill/>
    </fill>
    <fill>
      <patternFill patternType="gray125"/>
    </fill>
    <fill>
      <patternFill patternType="solid">
        <fgColor rgb="000F2742"/>
        <bgColor rgb="000F2742"/>
      </patternFill>
    </fill>
    <fill>
      <patternFill patternType="solid">
        <fgColor rgb="001F4E79"/>
        <bgColor rgb="001F4E79"/>
      </patternFill>
    </fill>
    <fill>
      <patternFill patternType="solid">
        <fgColor rgb="FFFFF2CC"/>
        <bgColor rgb="FFFFF2CC"/>
      </patternFill>
    </fill>
    <fill>
      <patternFill patternType="solid">
        <fgColor rgb="00DDEBF7"/>
        <bgColor rgb="00DDEBF7"/>
      </patternFill>
    </fill>
    <fill>
      <patternFill patternType="solid">
        <fgColor rgb="00EEF2F7"/>
        <bgColor rgb="00EEF2F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E7F5EF"/>
      </patternFill>
    </fill>
    <fill>
      <patternFill patternType="solid">
        <fgColor rgb="FF0F6E56"/>
      </patternFill>
    </fill>
    <fill>
      <patternFill patternType="solid">
        <fgColor rgb="FF5B2C83"/>
      </patternFill>
    </fill>
    <fill>
      <patternFill patternType="solid">
        <fgColor rgb="FFF0E6F7"/>
      </patternFill>
    </fill>
  </fills>
  <borders count="35">
    <border>
      <left/>
      <right/>
      <top/>
      <bottom/>
      <diagonal/>
    </border>
    <border/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/>
      <right/>
      <top style="thin">
        <color rgb="00A7F3D0"/>
      </top>
      <bottom/>
      <diagonal/>
    </border>
    <border>
      <left style="thin">
        <color rgb="00A7F3D0"/>
      </left>
      <right/>
      <top/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/>
      <bottom/>
      <diagonal/>
    </border>
    <border>
      <left style="thin">
        <color rgb="00A7F3D0"/>
      </left>
      <right/>
      <top/>
      <bottom style="thin">
        <color rgb="00A7F3D0"/>
      </bottom>
      <diagonal/>
    </border>
    <border>
      <left/>
      <right/>
      <top/>
      <bottom style="thin">
        <color rgb="00A7F3D0"/>
      </bottom>
      <diagonal/>
    </border>
    <border>
      <left/>
      <right style="thin">
        <color rgb="00A7F3D0"/>
      </right>
      <top/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FECACA"/>
      </top>
      <bottom/>
      <diagonal/>
    </border>
    <border>
      <left style="thin">
        <color rgb="00FECACA"/>
      </left>
      <right/>
      <top/>
      <bottom/>
      <diagonal/>
    </border>
    <border>
      <left/>
      <right style="thin">
        <color rgb="00FECACA"/>
      </right>
      <top style="thin">
        <color rgb="00FECACA"/>
      </top>
      <bottom/>
      <diagonal/>
    </border>
    <border>
      <left/>
      <right style="thin">
        <color rgb="00FECACA"/>
      </right>
      <top/>
      <bottom/>
      <diagonal/>
    </border>
    <border>
      <left style="thin">
        <color rgb="00FECACA"/>
      </left>
      <right/>
      <top/>
      <bottom style="thin">
        <color rgb="00FECACA"/>
      </bottom>
      <diagonal/>
    </border>
    <border>
      <left/>
      <right/>
      <top/>
      <bottom style="thin">
        <color rgb="00FECACA"/>
      </bottom>
      <diagonal/>
    </border>
    <border>
      <left/>
      <right style="thin">
        <color rgb="00FECACA"/>
      </right>
      <top/>
      <bottom style="thin">
        <color rgb="00FECACA"/>
      </bottom>
      <diagonal/>
    </border>
    <border>
      <left/>
      <right/>
      <top style="thin">
        <color rgb="00BFDBFE"/>
      </top>
      <bottom/>
      <diagonal/>
    </border>
    <border>
      <left style="thin">
        <color rgb="00BFDBFE"/>
      </left>
      <right/>
      <top/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/>
      <bottom/>
      <diagonal/>
    </border>
    <border>
      <left style="thin">
        <color rgb="00BFDBFE"/>
      </left>
      <right/>
      <top/>
      <bottom style="thin">
        <color rgb="00BFDBFE"/>
      </bottom>
      <diagonal/>
    </border>
    <border>
      <left/>
      <right/>
      <top/>
      <bottom style="thin">
        <color rgb="00BFDBFE"/>
      </bottom>
      <diagonal/>
    </border>
    <border>
      <left/>
      <right style="thin">
        <color rgb="00BFDBFE"/>
      </right>
      <top/>
      <bottom style="thin">
        <color rgb="00BFDBFE"/>
      </bottom>
      <diagonal/>
    </border>
  </borders>
  <cellStyleXfs count="1">
    <xf numFmtId="0" fontId="0" fillId="0" borderId="0"/>
  </cellStyleXfs>
  <cellXfs count="19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 wrapText="1"/>
    </xf>
    <xf numFmtId="164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165" fontId="7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164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15" fillId="4" borderId="0" applyAlignment="1" applyProtection="1" pivotButton="0" quotePrefix="0" xfId="0">
      <alignment horizontal="left" vertical="center"/>
      <protection locked="0" hidden="0"/>
    </xf>
    <xf numFmtId="3" fontId="15" fillId="4" borderId="0" applyAlignment="1" applyProtection="1" pivotButton="0" quotePrefix="0" xfId="0">
      <alignment horizontal="left" vertical="center"/>
      <protection locked="0" hidden="0"/>
    </xf>
    <xf numFmtId="164" fontId="15" fillId="4" borderId="0" applyAlignment="1" applyProtection="1" pivotButton="0" quotePrefix="0" xfId="0">
      <alignment horizontal="left" vertical="center"/>
      <protection locked="0" hidden="0"/>
    </xf>
    <xf numFmtId="164" fontId="16" fillId="0" borderId="0" applyAlignment="1" pivotButton="0" quotePrefix="0" xfId="0">
      <alignment horizontal="left" vertical="center"/>
    </xf>
    <xf numFmtId="3" fontId="7" fillId="0" borderId="0" applyAlignment="1" pivotButton="0" quotePrefix="0" xfId="0">
      <alignment horizontal="left" vertical="center"/>
    </xf>
    <xf numFmtId="0" fontId="0" fillId="4" borderId="0" applyProtection="1" pivotButton="0" quotePrefix="0" xfId="0">
      <protection locked="0" hidden="0"/>
    </xf>
    <xf numFmtId="0" fontId="0" fillId="6" borderId="0" pivotButton="0" quotePrefix="0" xfId="0"/>
    <xf numFmtId="3" fontId="0" fillId="4" borderId="0" applyProtection="1" pivotButton="0" quotePrefix="0" xfId="0">
      <protection locked="0" hidden="0"/>
    </xf>
    <xf numFmtId="164" fontId="0" fillId="4" borderId="0" applyProtection="1" pivotButton="0" quotePrefix="0" xfId="0">
      <protection locked="0" hidden="0"/>
    </xf>
    <xf numFmtId="0" fontId="15" fillId="5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13" fillId="0" borderId="0" applyAlignment="1" pivotButton="0" quotePrefix="0" xfId="0">
      <alignment horizontal="left" vertical="center" wrapText="1"/>
    </xf>
    <xf numFmtId="165" fontId="14" fillId="4" borderId="0" applyAlignment="1" applyProtection="1" pivotButton="0" quotePrefix="0" xfId="0">
      <alignment horizontal="left" vertical="center"/>
      <protection locked="0" hidden="0"/>
    </xf>
    <xf numFmtId="164" fontId="14" fillId="4" borderId="0" applyAlignment="1" applyProtection="1" pivotButton="0" quotePrefix="0" xfId="0">
      <alignment horizontal="left" vertical="center"/>
      <protection locked="0" hidden="0"/>
    </xf>
    <xf numFmtId="3" fontId="14" fillId="4" borderId="0" applyAlignment="1" applyProtection="1" pivotButton="0" quotePrefix="0" xfId="0">
      <alignment horizontal="left" vertical="center"/>
      <protection locked="0" hidden="0"/>
    </xf>
    <xf numFmtId="3" fontId="11" fillId="0" borderId="0" applyAlignment="1" pivotButton="0" quotePrefix="0" xfId="0">
      <alignment horizontal="center" vertical="center"/>
    </xf>
    <xf numFmtId="3" fontId="7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 wrapText="1"/>
    </xf>
    <xf numFmtId="165" fontId="7" fillId="0" borderId="0" applyAlignment="1" pivotButton="0" quotePrefix="0" xfId="0">
      <alignment horizontal="left" vertical="center" wrapText="1"/>
    </xf>
    <xf numFmtId="164" fontId="7" fillId="0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/>
    </xf>
    <xf numFmtId="3" fontId="11" fillId="4" borderId="0" applyAlignment="1" applyProtection="1" pivotButton="0" quotePrefix="0" xfId="0">
      <alignment horizontal="left" vertical="center"/>
      <protection locked="0" hidden="0"/>
    </xf>
    <xf numFmtId="0" fontId="11" fillId="4" borderId="0" applyAlignment="1" applyProtection="1" pivotButton="0" quotePrefix="0" xfId="0">
      <alignment horizontal="left" vertical="center"/>
      <protection locked="0" hidden="0"/>
    </xf>
    <xf numFmtId="164" fontId="11" fillId="4" borderId="0" applyAlignment="1" applyProtection="1" pivotButton="0" quotePrefix="0" xfId="0">
      <alignment horizontal="left" vertical="center"/>
      <protection locked="0" hidden="0"/>
    </xf>
    <xf numFmtId="3" fontId="11" fillId="0" borderId="0" applyAlignment="1" pivotButton="0" quotePrefix="0" xfId="0">
      <alignment horizontal="left" vertical="center"/>
    </xf>
    <xf numFmtId="164" fontId="14" fillId="0" borderId="0" applyAlignment="1" pivotButton="0" quotePrefix="0" xfId="0">
      <alignment horizontal="left" vertical="center"/>
    </xf>
    <xf numFmtId="164" fontId="7" fillId="6" borderId="0" applyAlignment="1" pivotButton="0" quotePrefix="0" xfId="0">
      <alignment horizontal="left" vertical="center"/>
    </xf>
    <xf numFmtId="0" fontId="7" fillId="6" borderId="0" applyAlignment="1" pivotButton="0" quotePrefix="0" xfId="0">
      <alignment horizontal="left" vertical="center"/>
    </xf>
    <xf numFmtId="165" fontId="14" fillId="0" borderId="0" applyAlignment="1" pivotButton="0" quotePrefix="0" xfId="0">
      <alignment horizontal="left" vertical="center"/>
    </xf>
    <xf numFmtId="165" fontId="7" fillId="6" borderId="0" applyAlignment="1" pivotButton="0" quotePrefix="0" xfId="0">
      <alignment horizontal="left" vertical="center"/>
    </xf>
    <xf numFmtId="165" fontId="12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166" fontId="7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 wrapText="1"/>
    </xf>
    <xf numFmtId="3" fontId="1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166" fontId="14" fillId="4" borderId="0" applyAlignment="1" applyProtection="1" pivotButton="0" quotePrefix="0" xfId="0">
      <alignment horizontal="left" vertical="center"/>
      <protection locked="0" hidden="0"/>
    </xf>
    <xf numFmtId="0" fontId="14" fillId="4" borderId="0" applyAlignment="1" applyProtection="1" pivotButton="0" quotePrefix="0" xfId="0">
      <alignment horizontal="left" vertical="center"/>
      <protection locked="0" hidden="0"/>
    </xf>
    <xf numFmtId="0" fontId="6" fillId="0" borderId="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/>
    </xf>
    <xf numFmtId="0" fontId="21" fillId="7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3" fillId="0" borderId="0" pivotButton="0" quotePrefix="0" xfId="0"/>
    <xf numFmtId="0" fontId="29" fillId="0" borderId="0" pivotButton="0" quotePrefix="0" xfId="0"/>
    <xf numFmtId="0" fontId="24" fillId="0" borderId="0" applyAlignment="1" pivotButton="0" quotePrefix="0" xfId="0">
      <alignment vertical="center"/>
    </xf>
    <xf numFmtId="0" fontId="27" fillId="0" borderId="0" applyAlignment="1" pivotButton="0" quotePrefix="0" xfId="0">
      <alignment vertical="center"/>
    </xf>
    <xf numFmtId="0" fontId="29" fillId="8" borderId="0" applyAlignment="1" pivotButton="0" quotePrefix="0" xfId="0">
      <alignment horizontal="center" vertical="center" wrapText="1"/>
    </xf>
    <xf numFmtId="0" fontId="25" fillId="0" borderId="0" pivotButton="0" quotePrefix="0" xfId="0"/>
    <xf numFmtId="0" fontId="26" fillId="0" borderId="0" pivotButton="0" quotePrefix="0" xfId="0"/>
    <xf numFmtId="0" fontId="28" fillId="0" borderId="0" pivotButton="0" quotePrefix="0" xfId="0"/>
    <xf numFmtId="0" fontId="30" fillId="0" borderId="0" pivotButton="0" quotePrefix="0" xfId="0"/>
    <xf numFmtId="0" fontId="3" fillId="7" borderId="0" applyAlignment="1" pivotButton="0" quotePrefix="0" xfId="0">
      <alignment horizontal="center" vertical="center"/>
    </xf>
    <xf numFmtId="0" fontId="31" fillId="0" borderId="0" pivotButton="0" quotePrefix="0" xfId="0"/>
    <xf numFmtId="167" fontId="31" fillId="0" borderId="0" pivotButton="0" quotePrefix="0" xfId="0"/>
    <xf numFmtId="167" fontId="32" fillId="0" borderId="0" pivotButton="0" quotePrefix="0" xfId="0"/>
    <xf numFmtId="168" fontId="31" fillId="0" borderId="0" pivotButton="0" quotePrefix="0" xfId="0"/>
    <xf numFmtId="0" fontId="33" fillId="0" borderId="0" pivotButton="0" quotePrefix="0" xfId="0"/>
    <xf numFmtId="0" fontId="34" fillId="0" borderId="0" pivotButton="0" quotePrefix="0" xfId="0"/>
    <xf numFmtId="0" fontId="35" fillId="7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/>
    </xf>
    <xf numFmtId="0" fontId="32" fillId="0" borderId="0" pivotButton="0" quotePrefix="0" xfId="0"/>
    <xf numFmtId="0" fontId="36" fillId="9" borderId="2" pivotButton="0" quotePrefix="0" xfId="0"/>
    <xf numFmtId="0" fontId="37" fillId="0" borderId="0" pivotButton="0" quotePrefix="0" xfId="0"/>
    <xf numFmtId="0" fontId="38" fillId="0" borderId="0" pivotButton="0" quotePrefix="0" xfId="0"/>
    <xf numFmtId="0" fontId="31" fillId="0" borderId="0" applyAlignment="1" pivotButton="0" quotePrefix="0" xfId="0">
      <alignment wrapText="1"/>
    </xf>
    <xf numFmtId="0" fontId="39" fillId="0" borderId="0" pivotButton="0" quotePrefix="0" xfId="0"/>
    <xf numFmtId="0" fontId="40" fillId="0" borderId="2" applyAlignment="1" pivotButton="0" quotePrefix="0" xfId="0">
      <alignment horizontal="center" vertical="center"/>
    </xf>
    <xf numFmtId="0" fontId="3" fillId="10" borderId="0" applyAlignment="1" pivotButton="0" quotePrefix="0" xfId="0">
      <alignment horizontal="center" vertical="center"/>
    </xf>
    <xf numFmtId="0" fontId="22" fillId="0" borderId="0" pivotButton="0" quotePrefix="0" xfId="0"/>
    <xf numFmtId="0" fontId="28" fillId="0" borderId="3" pivotButton="0" quotePrefix="0" xfId="0"/>
    <xf numFmtId="0" fontId="0" fillId="0" borderId="2" pivotButton="0" quotePrefix="0" xfId="0"/>
    <xf numFmtId="0" fontId="41" fillId="11" borderId="2" applyAlignment="1" pivotButton="0" quotePrefix="0" xfId="0">
      <alignment horizontal="center"/>
    </xf>
    <xf numFmtId="0" fontId="28" fillId="0" borderId="4" pivotButton="0" quotePrefix="0" xfId="0"/>
    <xf numFmtId="0" fontId="43" fillId="12" borderId="2" applyAlignment="1" pivotButton="0" quotePrefix="0" xfId="0">
      <alignment horizontal="center"/>
    </xf>
    <xf numFmtId="0" fontId="42" fillId="13" borderId="2" applyAlignment="1" pivotButton="0" quotePrefix="0" xfId="0">
      <alignment horizontal="center"/>
    </xf>
    <xf numFmtId="0" fontId="28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4" fillId="0" borderId="3" pivotButton="0" quotePrefix="0" xfId="0"/>
    <xf numFmtId="0" fontId="44" fillId="0" borderId="4" pivotButton="0" quotePrefix="0" xfId="0"/>
    <xf numFmtId="0" fontId="45" fillId="0" borderId="5" pivotButton="0" quotePrefix="0" xfId="0"/>
    <xf numFmtId="0" fontId="42" fillId="0" borderId="3" pivotButton="0" quotePrefix="0" xfId="0"/>
    <xf numFmtId="0" fontId="37" fillId="0" borderId="4" pivotButton="0" quotePrefix="0" xfId="0"/>
    <xf numFmtId="0" fontId="42" fillId="0" borderId="5" pivotButton="0" quotePrefix="0" xfId="0"/>
    <xf numFmtId="0" fontId="46" fillId="14" borderId="0" applyAlignment="1" pivotButton="0" quotePrefix="0" xfId="0">
      <alignment horizontal="center"/>
    </xf>
    <xf numFmtId="0" fontId="47" fillId="0" borderId="0" pivotButton="0" quotePrefix="0" xfId="0"/>
    <xf numFmtId="0" fontId="46" fillId="15" borderId="0" applyAlignment="1" pivotButton="0" quotePrefix="0" xfId="0">
      <alignment horizontal="center" vertical="center"/>
    </xf>
    <xf numFmtId="0" fontId="47" fillId="0" borderId="2" pivotButton="0" quotePrefix="0" xfId="0"/>
    <xf numFmtId="0" fontId="48" fillId="0" borderId="2" pivotButton="0" quotePrefix="0" xfId="0"/>
    <xf numFmtId="0" fontId="49" fillId="0" borderId="2" pivotButton="0" quotePrefix="0" xfId="0"/>
    <xf numFmtId="0" fontId="50" fillId="16" borderId="2" applyAlignment="1" pivotButton="0" quotePrefix="0" xfId="0">
      <alignment horizontal="center"/>
    </xf>
    <xf numFmtId="0" fontId="46" fillId="7" borderId="0" pivotButton="0" quotePrefix="0" xfId="0"/>
    <xf numFmtId="0" fontId="51" fillId="7" borderId="0" pivotButton="0" quotePrefix="0" xfId="0"/>
    <xf numFmtId="0" fontId="52" fillId="7" borderId="0" pivotButton="0" quotePrefix="0" xfId="0"/>
    <xf numFmtId="0" fontId="0" fillId="7" borderId="0" pivotButton="0" quotePrefix="0" xfId="0"/>
    <xf numFmtId="0" fontId="25" fillId="7" borderId="0" applyAlignment="1" pivotButton="0" quotePrefix="0" xfId="0">
      <alignment horizontal="center"/>
    </xf>
    <xf numFmtId="0" fontId="40" fillId="0" borderId="0" pivotButton="0" quotePrefix="0" xfId="0"/>
    <xf numFmtId="0" fontId="55" fillId="17" borderId="0" pivotButton="0" quotePrefix="0" xfId="0"/>
    <xf numFmtId="0" fontId="0" fillId="17" borderId="0" pivotButton="0" quotePrefix="0" xfId="0"/>
    <xf numFmtId="0" fontId="42" fillId="0" borderId="0" pivotButton="0" quotePrefix="0" xfId="0"/>
    <xf numFmtId="0" fontId="3" fillId="17" borderId="0" pivotButton="0" quotePrefix="0" xfId="0"/>
    <xf numFmtId="0" fontId="56" fillId="17" borderId="0" applyAlignment="1" pivotButton="0" quotePrefix="0" xfId="0">
      <alignment wrapText="1"/>
    </xf>
    <xf numFmtId="0" fontId="53" fillId="0" borderId="0" pivotButton="0" quotePrefix="0" xfId="0"/>
    <xf numFmtId="0" fontId="54" fillId="0" borderId="0" pivotButton="0" quotePrefix="0" xfId="0"/>
    <xf numFmtId="0" fontId="42" fillId="13" borderId="6" applyAlignment="1" pivotButton="0" quotePrefix="0" xfId="0">
      <alignment horizontal="center" vertical="center"/>
    </xf>
    <xf numFmtId="0" fontId="57" fillId="18" borderId="0" applyAlignment="1" pivotButton="0" quotePrefix="0" xfId="0">
      <alignment horizontal="center" vertical="center"/>
    </xf>
    <xf numFmtId="0" fontId="22" fillId="19" borderId="2" applyAlignment="1" pivotButton="0" quotePrefix="0" xfId="0">
      <alignment vertical="center"/>
    </xf>
    <xf numFmtId="0" fontId="41" fillId="11" borderId="0" applyAlignment="1" pivotButton="0" quotePrefix="0" xfId="0">
      <alignment horizontal="center" vertical="center"/>
    </xf>
    <xf numFmtId="0" fontId="42" fillId="13" borderId="0" applyAlignment="1" pivotButton="0" quotePrefix="0" xfId="0">
      <alignment horizontal="center" vertical="center"/>
    </xf>
    <xf numFmtId="0" fontId="58" fillId="7" borderId="0" applyAlignment="1" pivotButton="0" quotePrefix="0" xfId="0">
      <alignment horizontal="center" vertical="center"/>
    </xf>
    <xf numFmtId="0" fontId="59" fillId="19" borderId="2" applyAlignment="1" pivotButton="0" quotePrefix="0" xfId="0">
      <alignment horizontal="center"/>
    </xf>
    <xf numFmtId="0" fontId="60" fillId="19" borderId="2" applyAlignment="1" pivotButton="0" quotePrefix="0" xfId="0">
      <alignment horizontal="center"/>
    </xf>
    <xf numFmtId="0" fontId="59" fillId="19" borderId="2" pivotButton="0" quotePrefix="0" xfId="0"/>
    <xf numFmtId="169" fontId="60" fillId="19" borderId="2" applyAlignment="1" pivotButton="0" quotePrefix="0" xfId="0">
      <alignment horizontal="right"/>
    </xf>
    <xf numFmtId="9" fontId="59" fillId="19" borderId="2" applyAlignment="1" pivotButton="0" quotePrefix="0" xfId="0">
      <alignment horizontal="center"/>
    </xf>
    <xf numFmtId="169" fontId="59" fillId="19" borderId="2" applyAlignment="1" pivotButton="0" quotePrefix="0" xfId="0">
      <alignment horizontal="right"/>
    </xf>
    <xf numFmtId="0" fontId="42" fillId="19" borderId="2" applyAlignment="1" pivotButton="0" quotePrefix="0" xfId="0">
      <alignment horizontal="center"/>
    </xf>
    <xf numFmtId="0" fontId="59" fillId="18" borderId="2" applyAlignment="1" pivotButton="0" quotePrefix="0" xfId="0">
      <alignment horizontal="center"/>
    </xf>
    <xf numFmtId="0" fontId="60" fillId="18" borderId="2" applyAlignment="1" pivotButton="0" quotePrefix="0" xfId="0">
      <alignment horizontal="center"/>
    </xf>
    <xf numFmtId="0" fontId="59" fillId="18" borderId="2" pivotButton="0" quotePrefix="0" xfId="0"/>
    <xf numFmtId="169" fontId="60" fillId="18" borderId="2" applyAlignment="1" pivotButton="0" quotePrefix="0" xfId="0">
      <alignment horizontal="right"/>
    </xf>
    <xf numFmtId="9" fontId="59" fillId="18" borderId="2" applyAlignment="1" pivotButton="0" quotePrefix="0" xfId="0">
      <alignment horizontal="center"/>
    </xf>
    <xf numFmtId="169" fontId="59" fillId="18" borderId="2" applyAlignment="1" pivotButton="0" quotePrefix="0" xfId="0">
      <alignment horizontal="right"/>
    </xf>
    <xf numFmtId="0" fontId="47" fillId="18" borderId="2" applyAlignment="1" pivotButton="0" quotePrefix="0" xfId="0">
      <alignment horizontal="center"/>
    </xf>
    <xf numFmtId="0" fontId="42" fillId="18" borderId="2" applyAlignment="1" pivotButton="0" quotePrefix="0" xfId="0">
      <alignment horizontal="center"/>
    </xf>
    <xf numFmtId="0" fontId="43" fillId="18" borderId="2" applyAlignment="1" pivotButton="0" quotePrefix="0" xfId="0">
      <alignment horizontal="center"/>
    </xf>
    <xf numFmtId="0" fontId="3" fillId="7" borderId="0" applyAlignment="1" pivotButton="0" quotePrefix="0" xfId="0">
      <alignment vertical="center" indent="1"/>
    </xf>
    <xf numFmtId="169" fontId="61" fillId="7" borderId="0" applyAlignment="1" pivotButton="0" quotePrefix="0" xfId="0">
      <alignment horizontal="right" vertical="center"/>
    </xf>
    <xf numFmtId="0" fontId="62" fillId="0" borderId="7" pivotButton="0" quotePrefix="0" xfId="0"/>
    <xf numFmtId="0" fontId="63" fillId="0" borderId="7" pivotButton="0" quotePrefix="0" xfId="0"/>
    <xf numFmtId="0" fontId="64" fillId="0" borderId="7" pivotButton="0" quotePrefix="0" xfId="0"/>
    <xf numFmtId="0" fontId="65" fillId="20" borderId="2" applyAlignment="1" pivotButton="0" quotePrefix="0" xfId="0">
      <alignment horizontal="center" vertical="center"/>
    </xf>
    <xf numFmtId="0" fontId="69" fillId="11" borderId="2" applyAlignment="1" pivotButton="0" quotePrefix="0" xfId="0">
      <alignment horizontal="center" vertical="center"/>
    </xf>
    <xf numFmtId="0" fontId="66" fillId="0" borderId="2" pivotButton="0" quotePrefix="0" xfId="0"/>
    <xf numFmtId="0" fontId="65" fillId="0" borderId="2" applyAlignment="1" pivotButton="0" quotePrefix="0" xfId="0">
      <alignment horizontal="right"/>
    </xf>
    <xf numFmtId="0" fontId="69" fillId="0" borderId="2" applyAlignment="1" pivotButton="0" quotePrefix="0" xfId="0">
      <alignment horizontal="right"/>
    </xf>
    <xf numFmtId="0" fontId="40" fillId="0" borderId="2" applyAlignment="1" pivotButton="0" quotePrefix="0" xfId="0">
      <alignment horizontal="right"/>
    </xf>
    <xf numFmtId="0" fontId="67" fillId="0" borderId="2" applyAlignment="1" pivotButton="0" quotePrefix="0" xfId="0">
      <alignment horizontal="right"/>
    </xf>
    <xf numFmtId="0" fontId="68" fillId="12" borderId="8" applyAlignment="1" pivotButton="0" quotePrefix="0" xfId="0">
      <alignment horizontal="center" vertical="center"/>
    </xf>
    <xf numFmtId="0" fontId="70" fillId="11" borderId="9" applyAlignment="1" pivotButton="0" quotePrefix="0" xfId="0">
      <alignment horizontal="center" vertical="center"/>
    </xf>
    <xf numFmtId="0" fontId="66" fillId="0" borderId="0" pivotButton="0" quotePrefix="0" xfId="0"/>
    <xf numFmtId="0" fontId="71" fillId="21" borderId="0" applyAlignment="1" pivotButton="0" quotePrefix="0" xfId="0">
      <alignment horizontal="left" vertical="center" wrapText="1"/>
    </xf>
    <xf numFmtId="0" fontId="72" fillId="22" borderId="0" applyAlignment="1" pivotButton="0" quotePrefix="0" xfId="0">
      <alignment vertical="center" wrapText="1"/>
    </xf>
    <xf numFmtId="0" fontId="73" fillId="23" borderId="0" applyAlignment="1" pivotButton="0" quotePrefix="0" xfId="0">
      <alignment vertical="top" wrapText="1"/>
    </xf>
    <xf numFmtId="0" fontId="74" fillId="0" borderId="0" applyAlignment="1" pivotButton="0" quotePrefix="0" xfId="0">
      <alignment vertical="top" wrapText="1"/>
    </xf>
    <xf numFmtId="0" fontId="75" fillId="21" borderId="0" applyAlignment="1" pivotButton="0" quotePrefix="0" xfId="0">
      <alignment horizontal="left" vertical="center" wrapText="1"/>
    </xf>
    <xf numFmtId="0" fontId="71" fillId="24" borderId="0" applyAlignment="1" pivotButton="0" quotePrefix="0" xfId="0">
      <alignment horizontal="left" vertical="center" wrapText="1"/>
    </xf>
    <xf numFmtId="0" fontId="72" fillId="24" borderId="0" applyAlignment="1" pivotButton="0" quotePrefix="0" xfId="0">
      <alignment vertical="center" wrapText="1"/>
    </xf>
    <xf numFmtId="0" fontId="76" fillId="25" borderId="0" applyAlignment="1" pivotButton="0" quotePrefix="0" xfId="0">
      <alignment vertical="top" wrapText="1"/>
    </xf>
    <xf numFmtId="0" fontId="71" fillId="26" borderId="0" applyAlignment="1" pivotButton="0" quotePrefix="0" xfId="0">
      <alignment horizontal="left" vertical="center" wrapText="1"/>
    </xf>
    <xf numFmtId="0" fontId="72" fillId="26" borderId="0" applyAlignment="1" pivotButton="0" quotePrefix="0" xfId="0">
      <alignment vertical="center" wrapText="1"/>
    </xf>
    <xf numFmtId="0" fontId="77" fillId="27" borderId="0" applyAlignment="1" pivotButton="0" quotePrefix="0" xfId="0">
      <alignment vertical="top" wrapText="1"/>
    </xf>
    <xf numFmtId="0" fontId="78" fillId="25" borderId="0" applyAlignment="1" pivotButton="0" quotePrefix="0" xfId="0">
      <alignment vertical="top" wrapText="1"/>
    </xf>
    <xf numFmtId="0" fontId="79" fillId="0" borderId="0" applyAlignment="1" pivotButton="0" quotePrefix="0" xfId="0">
      <alignment vertical="top" wrapText="1"/>
    </xf>
    <xf numFmtId="0" fontId="71" fillId="28" borderId="0" applyAlignment="1" pivotButton="0" quotePrefix="0" xfId="0">
      <alignment horizontal="left" vertical="center"/>
    </xf>
    <xf numFmtId="0" fontId="72" fillId="28" borderId="0" applyAlignment="1" pivotButton="0" quotePrefix="0" xfId="0">
      <alignment vertical="center" wrapText="1"/>
    </xf>
    <xf numFmtId="0" fontId="80" fillId="29" borderId="0" applyAlignment="1" pivotButton="0" quotePrefix="0" xfId="0">
      <alignment vertical="top" wrapText="1"/>
    </xf>
    <xf numFmtId="0" fontId="81" fillId="30" borderId="0" applyAlignment="1" pivotButton="0" quotePrefix="0" xfId="0">
      <alignment vertical="top" wrapText="1"/>
    </xf>
    <xf numFmtId="0" fontId="71" fillId="31" borderId="0" applyAlignment="1" pivotButton="0" quotePrefix="0" xfId="0">
      <alignment horizontal="left" vertical="center"/>
    </xf>
    <xf numFmtId="0" fontId="72" fillId="31" borderId="0" applyAlignment="1" pivotButton="0" quotePrefix="0" xfId="0">
      <alignment vertical="center" wrapText="1"/>
    </xf>
    <xf numFmtId="0" fontId="82" fillId="30" borderId="0" applyAlignment="1" pivotButton="0" quotePrefix="0" xfId="0">
      <alignment vertical="top" wrapText="1"/>
    </xf>
    <xf numFmtId="0" fontId="71" fillId="32" borderId="0" applyAlignment="1" pivotButton="0" quotePrefix="0" xfId="0">
      <alignment horizontal="left" vertical="center"/>
    </xf>
    <xf numFmtId="0" fontId="72" fillId="32" borderId="0" applyAlignment="1" pivotButton="0" quotePrefix="0" xfId="0">
      <alignment vertical="center" wrapText="1"/>
    </xf>
    <xf numFmtId="0" fontId="83" fillId="33" borderId="0" applyAlignment="1" pivotButton="0" quotePrefix="0" xfId="0">
      <alignment vertical="top" wrapText="1"/>
    </xf>
    <xf numFmtId="0" fontId="84" fillId="0" borderId="0" applyAlignment="1" pivotButton="0" quotePrefix="0" xfId="0">
      <alignment vertical="top" wrapText="1"/>
    </xf>
  </cellXfs>
  <cellStyles count="1">
    <cellStyle name="Normal" xfId="0" builtinId="0" hidden="0"/>
  </cellStyles>
  <dxfs count="7">
    <dxf>
      <font>
        <b val="1"/>
        <color rgb="001F7A4D"/>
      </font>
      <fill>
        <patternFill patternType="solid">
          <fgColor rgb="00E2EFDA"/>
        </patternFill>
      </fill>
    </dxf>
    <dxf>
      <font>
        <b val="1"/>
        <color rgb="00B3261E"/>
      </font>
      <fill>
        <patternFill patternType="solid">
          <fgColor rgb="00FDE9E9"/>
        </patternFill>
      </fill>
    </dxf>
    <dxf>
      <font>
        <b val="1"/>
        <color rgb="00B7791F"/>
      </font>
      <fill>
        <patternFill patternType="solid">
          <fgColor rgb="00FFF2CC"/>
        </patternFill>
      </fill>
    </dxf>
    <dxf>
      <font>
        <b val="1"/>
        <color rgb="00B7791F"/>
      </font>
    </dxf>
    <dxf>
      <font>
        <b val="1"/>
        <color rgb="00B3261E"/>
      </font>
    </dxf>
    <dxf>
      <font>
        <b val="1"/>
        <color rgb="001F7A4D"/>
      </font>
    </dxf>
    <dxf>
      <font>
        <b val="1"/>
        <color rgb="00B08948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İndirilecek KDV Satırları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'LISTE_1'!M6</f>
            </strRef>
          </tx>
          <spPr>
            <a:ln xmlns:a="http://schemas.openxmlformats.org/drawingml/2006/main">
              <a:prstDash val="solid"/>
            </a:ln>
          </spPr>
          <cat>
            <numRef>
              <f>'LISTE_1'!$B$7:$B$9</f>
            </numRef>
          </cat>
          <val>
            <numRef>
              <f>'LISTE_1'!$M$7:$M$9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Yüklenilen KDV Satırları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'LISTE_2'!M6</f>
            </strRef>
          </tx>
          <spPr>
            <a:ln xmlns:a="http://schemas.openxmlformats.org/drawingml/2006/main">
              <a:prstDash val="solid"/>
            </a:ln>
          </spPr>
          <cat>
            <numRef>
              <f>'LISTE_2'!$B$7:$B$9</f>
            </numRef>
          </cat>
          <val>
            <numRef>
              <f>'LISTE_2'!$M$7:$M$9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GÇB Hasılat Dağılımı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'LISTE_3'!M6</f>
            </strRef>
          </tx>
          <spPr>
            <a:ln xmlns:a="http://schemas.openxmlformats.org/drawingml/2006/main">
              <a:prstDash val="solid"/>
            </a:ln>
          </spPr>
          <cat>
            <numRef>
              <f>'LISTE_3'!$B$7:$B$9</f>
            </numRef>
          </cat>
          <val>
            <numRef>
              <f>'LISTE_3'!$M$7:$M$9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İade Hesap Cetveli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'LISTE_6'!M6</f>
            </strRef>
          </tx>
          <spPr>
            <a:ln xmlns:a="http://schemas.openxmlformats.org/drawingml/2006/main">
              <a:prstDash val="solid"/>
            </a:ln>
          </spPr>
          <cat>
            <numRef>
              <f>'LISTE_6'!$B$7:$B$11</f>
            </numRef>
          </cat>
          <val>
            <numRef>
              <f>'LISTE_6'!$M$7:$M$11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Senaryo İade Karşılaştırması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'SENARYO'!G5</f>
            </strRef>
          </tx>
          <spPr>
            <a:ln xmlns:a="http://schemas.openxmlformats.org/drawingml/2006/main">
              <a:prstDash val="solid"/>
            </a:ln>
          </spPr>
          <cat>
            <numRef>
              <f>'SENARYO'!$A$6:$A$9</f>
            </numRef>
          </cat>
          <val>
            <numRef>
              <f>'SENARYO'!$G$6:$G$9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Duyarlılık Tornado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'SENARYO'!E15</f>
            </strRef>
          </tx>
          <spPr>
            <a:ln xmlns:a="http://schemas.openxmlformats.org/drawingml/2006/main">
              <a:prstDash val="solid"/>
            </a:ln>
          </spPr>
          <cat>
            <numRef>
              <f>'SENARYO'!$A$16:$A$18</f>
            </numRef>
          </cat>
          <val>
            <numRef>
              <f>'SENARYO'!$E$16:$E$18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Senaryo İade Trendi</a:t>
            </a:r>
          </a:p>
        </rich>
      </tx>
    </title>
    <plotArea>
      <lineChart>
        <grouping val="standard"/>
        <ser>
          <idx val="0"/>
          <order val="0"/>
          <tx>
            <strRef>
              <f>'SENARYO'!D27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'SENARYO'!$A$28:$A$31</f>
            </numRef>
          </cat>
          <val>
            <numRef>
              <f>'SENARYO'!$D$28:$D$31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Vaka Beklenen vs Hesaplanan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'VAKALAR'!J5</f>
            </strRef>
          </tx>
          <spPr>
            <a:ln xmlns:a="http://schemas.openxmlformats.org/drawingml/2006/main">
              <a:prstDash val="solid"/>
            </a:ln>
          </spPr>
          <cat>
            <numRef>
              <f>'VAKALAR'!$A$6:$A$8</f>
            </numRef>
          </cat>
          <val>
            <numRef>
              <f>'VAKALAR'!$J$6:$J$8</f>
            </numRef>
          </val>
        </ser>
        <ser>
          <idx val="1"/>
          <order val="1"/>
          <tx>
            <strRef>
              <f>'VAKALAR'!K5</f>
            </strRef>
          </tx>
          <spPr>
            <a:ln xmlns:a="http://schemas.openxmlformats.org/drawingml/2006/main">
              <a:prstDash val="solid"/>
            </a:ln>
          </spPr>
          <cat>
            <numRef>
              <f>'VAKALAR'!$A$6:$A$8</f>
            </numRef>
          </cat>
          <val>
            <numRef>
              <f>'VAKALAR'!$K$6:$K$8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ExcelArşiv</author>
  </authors>
  <commentList>
    <comment ref="B6" authorId="0" shapeId="0">
      <text>
        <t>Tanım: Mükellef Adı | Neden önemli: GİB 7 liste iade kararını etkiler | Doğru kullanım: Mükellefin resmi unvanını yazın. | Örnek: demo satırına bakın | Yanlışsa: Liste tutarlılığı ve karar kapısı bozulur | Kaynak: KDVK / GİB iade listeleri</t>
      </text>
    </comment>
    <comment ref="B7" authorId="0" shapeId="0">
      <text>
        <t>Tanım: Dönem | Neden önemli: GİB 7 liste iade kararını etkiler | Doğru kullanım: KDV iade dönemi etiketini yazın (ör. 2026-06). | Örnek: demo satırına bakın | Yanlışsa: Liste tutarlılığı ve karar kapısı bozulur | Kaynak: KDVK / GİB iade listeleri</t>
      </text>
    </comment>
    <comment ref="B8" authorId="0" shapeId="0">
      <text>
        <t>Tanım: Hesap Yılı | Neden önemli: GİB 7 liste iade kararını etkiler | Doğru kullanım: 2025, 2026 veya 2027 seçin. | Örnek: demo satırına bakın | Yanlışsa: Liste tutarlılığı ve karar kapısı bozulur | Kaynak: KDVK / GİB iade listeleri</t>
      </text>
    </comment>
    <comment ref="B9" authorId="0" shapeId="0">
      <text>
        <t>Tanım: İndirilecek KDV [₺] | Neden önemli: GİB 7 liste iade kararını etkiler | Doğru kullanım: Dönem indirilecek KDV toplamını TL girin (LISTE_1). | Örnek: demo satırına bakın | Yanlışsa: Liste tutarlılığı ve karar kapısı bozulur | Kaynak: KDVK / GİB iade listeleri</t>
      </text>
    </comment>
    <comment ref="B10" authorId="0" shapeId="0">
      <text>
        <t>Tanım: Yüklenilen KDV [₺] | Neden önemli: GİB 7 liste iade kararını etkiler | Doğru kullanım: Yüklenilen KDV toplamını TL girin (LISTE_2). | Örnek: demo satırına bakın | Yanlışsa: Liste tutarlılığı ve karar kapısı bozulur | Kaynak: KDVK / GİB iade listeleri</t>
      </text>
    </comment>
    <comment ref="B11" authorId="0" shapeId="0">
      <text>
        <t>Tanım: GÇB Tutarı [₺] | Neden önemli: GİB 7 liste iade kararını etkiler | Doğru kullanım: Gümrük çıkış beyannamesi hasılatını KDV hariç TL girin (LISTE_3). | Örnek: demo satırına bakın | Yanlışsa: Liste tutarlılığı ve karar kapısı bozulur | Kaynak: KDVK / GİB iade listeleri</t>
      </text>
    </comment>
    <comment ref="B12" authorId="0" shapeId="0">
      <text>
        <t>Tanım: İhraç Hasılatı [₺] | Neden önemli: GİB 7 liste iade kararını etkiler | Doğru kullanım: İhraç hasılatını KDV hariç TL girin. | Örnek: demo satırına bakın | Yanlışsa: Liste tutarlılığı ve karar kapısı bozulur | Kaynak: KDVK / GİB iade listeleri</t>
      </text>
    </comment>
    <comment ref="B13" authorId="0" shapeId="0">
      <text>
        <t>Tanım: Belge Eksik Adet | Neden önemli: GİB 7 liste iade kararını etkiler | Doğru kullanım: Eksik belge sayısını girin (0 = eksik yok). | Örnek: demo satırına bakın | Yanlışsa: Liste tutarlılığı ve karar kapısı bozulur | Kaynak: KDVK / GİB iade listeleri</t>
      </text>
    </comment>
    <comment ref="B14" authorId="0" shapeId="0">
      <text>
        <t>Tanım: İade Talep [₺] | Neden önemli: GİB 7 liste iade kararını etkiler | Doğru kullanım: Talep edilen iade tutarını TL girin. | Örnek: demo satırına bakın | Yanlışsa: Liste tutarlılığı ve karar kapısı bozulur | Kaynak: KDVK / GİB iade listeleri</t>
      </text>
    </comment>
    <comment ref="B15" authorId="0" shapeId="0">
      <text>
        <t>Tanım: Liste Yorumu (A/B) | Neden önemli: GİB 7 liste iade kararını etkiler | Doğru kullanım: Liste sırası belirsizliğinde A veya B seçin. | Örnek: demo satırına bakın | Yanlışsa: Liste tutarlılığı ve karar kapısı bozulur | Kaynak: KDVK / GİB iade listeleri</t>
      </text>
    </comment>
    <comment ref="A24" authorId="0" shapeId="0">
      <text>
        <t>Tanım: mukellef_adi | Neden önemli: GİB 7 liste iade kararını etkiler | Doğru kullanım: Tablo girişi; PANO ile senkron tutun | Örnek: demo satırına bakın | Yanlışsa: Liste tutarlılığı ve karar kapısı bozulur | Kaynak: KDVK / GİB iade listeleri</t>
      </text>
    </comment>
    <comment ref="B24" authorId="0" shapeId="0">
      <text>
        <t>Tanım: mukellef_adi | Neden önemli: GİB 7 liste iade kararını etkiler | Doğru kullanım: Tablo girişi; PANO ile senkron tutun | Örnek: demo satırına bakın | Yanlışsa: Liste tutarlılığı ve karar kapısı bozulur | Kaynak: KDVK / GİB iade listeleri</t>
      </text>
    </comment>
    <comment ref="C24" authorId="0" shapeId="0">
      <text>
        <t>Tanım: mukellef_adi | Neden önemli: GİB 7 liste iade kararını etkiler | Doğru kullanım: Tablo girişi; PANO ile senkron tutun | Örnek: demo satırına bakın | Yanlışsa: Liste tutarlılığı ve karar kapısı bozulur | Kaynak: KDVK / GİB iade listeleri</t>
      </text>
    </comment>
    <comment ref="D24" authorId="0" shapeId="0">
      <text>
        <t>Tanım: mukellef_adi | Neden önemli: GİB 7 liste iade kararını etkiler | Doğru kullanım: Tablo girişi; PANO ile senkron tutun | Örnek: demo satırına bakın | Yanlışsa: Liste tutarlılığı ve karar kapısı bozulur | Kaynak: KDVK / GİB iade listeleri</t>
      </text>
    </comment>
    <comment ref="E24" authorId="0" shapeId="0">
      <text>
        <t>Tanım: mukellef_adi | Neden önemli: GİB 7 liste iade kararını etkiler | Doğru kullanım: Tablo girişi; PANO ile senkron tutun | Örnek: demo satırına bakın | Yanlışsa: Liste tutarlılığı ve karar kapısı bozulur | Kaynak: KDVK / GİB iade listeleri</t>
      </text>
    </comment>
    <comment ref="A25" authorId="0" shapeId="0">
      <text>
        <t>Tanım: donem | Neden önemli: GİB 7 liste iade kararını etkiler | Doğru kullanım: Tablo girişi; PANO ile senkron tutun | Örnek: demo satırına bakın | Yanlışsa: Liste tutarlılığı ve karar kapısı bozulur | Kaynak: KDVK / GİB iade listeleri</t>
      </text>
    </comment>
    <comment ref="B25" authorId="0" shapeId="0">
      <text>
        <t>Tanım: donem | Neden önemli: GİB 7 liste iade kararını etkiler | Doğru kullanım: Tablo girişi; PANO ile senkron tutun | Örnek: demo satırına bakın | Yanlışsa: Liste tutarlılığı ve karar kapısı bozulur | Kaynak: KDVK / GİB iade listeleri</t>
      </text>
    </comment>
    <comment ref="C25" authorId="0" shapeId="0">
      <text>
        <t>Tanım: donem | Neden önemli: GİB 7 liste iade kararını etkiler | Doğru kullanım: Tablo girişi; PANO ile senkron tutun | Örnek: demo satırına bakın | Yanlışsa: Liste tutarlılığı ve karar kapısı bozulur | Kaynak: KDVK / GİB iade listeleri</t>
      </text>
    </comment>
    <comment ref="D25" authorId="0" shapeId="0">
      <text>
        <t>Tanım: donem | Neden önemli: GİB 7 liste iade kararını etkiler | Doğru kullanım: Tablo girişi; PANO ile senkron tutun | Örnek: demo satırına bakın | Yanlışsa: Liste tutarlılığı ve karar kapısı bozulur | Kaynak: KDVK / GİB iade listeleri</t>
      </text>
    </comment>
    <comment ref="E25" authorId="0" shapeId="0">
      <text>
        <t>Tanım: donem | Neden önemli: GİB 7 liste iade kararını etkiler | Doğru kullanım: Tablo girişi; PANO ile senkron tutun | Örnek: demo satırına bakın | Yanlışsa: Liste tutarlılığı ve karar kapısı bozulur | Kaynak: KDVK / GİB iade listeleri</t>
      </text>
    </comment>
    <comment ref="A26" authorId="0" shapeId="0">
      <text>
        <t>Tanım: hesapYili | Neden önemli: GİB 7 liste iade kararını etkiler | Doğru kullanım: Tablo girişi; PANO ile senkron tutun | Örnek: demo satırına bakın | Yanlışsa: Liste tutarlılığı ve karar kapısı bozulur | Kaynak: KDVK / GİB iade listeleri</t>
      </text>
    </comment>
    <comment ref="B26" authorId="0" shapeId="0">
      <text>
        <t>Tanım: hesapYili | Neden önemli: GİB 7 liste iade kararını etkiler | Doğru kullanım: Tablo girişi; PANO ile senkron tutun | Örnek: demo satırına bakın | Yanlışsa: Liste tutarlılığı ve karar kapısı bozulur | Kaynak: KDVK / GİB iade listeleri</t>
      </text>
    </comment>
    <comment ref="C26" authorId="0" shapeId="0">
      <text>
        <t>Tanım: hesapYili | Neden önemli: GİB 7 liste iade kararını etkiler | Doğru kullanım: Tablo girişi; PANO ile senkron tutun | Örnek: demo satırına bakın | Yanlışsa: Liste tutarlılığı ve karar kapısı bozulur | Kaynak: KDVK / GİB iade listeleri</t>
      </text>
    </comment>
    <comment ref="D26" authorId="0" shapeId="0">
      <text>
        <t>Tanım: hesapYili | Neden önemli: GİB 7 liste iade kararını etkiler | Doğru kullanım: Tablo girişi; PANO ile senkron tutun | Örnek: demo satırına bakın | Yanlışsa: Liste tutarlılığı ve karar kapısı bozulur | Kaynak: KDVK / GİB iade listeleri</t>
      </text>
    </comment>
    <comment ref="E26" authorId="0" shapeId="0">
      <text>
        <t>Tanım: hesapYili | Neden önemli: GİB 7 liste iade kararını etkiler | Doğru kullanım: Tablo girişi; PANO ile senkron tutun | Örnek: demo satırına bakın | Yanlışsa: Liste tutarlılığı ve karar kapısı bozulur | Kaynak: KDVK / GİB iade listeleri</t>
      </text>
    </comment>
    <comment ref="A27" authorId="0" shapeId="0">
      <text>
        <t>Tanım: indirilecek_kdv | Neden önemli: GİB 7 liste iade kararını etkiler | Doğru kullanım: Tablo girişi; PANO ile senkron tutun | Örnek: demo satırına bakın | Yanlışsa: Liste tutarlılığı ve karar kapısı bozulur | Kaynak: KDVK / GİB iade listeleri</t>
      </text>
    </comment>
    <comment ref="B27" authorId="0" shapeId="0">
      <text>
        <t>Tanım: indirilecek_kdv | Neden önemli: GİB 7 liste iade kararını etkiler | Doğru kullanım: Tablo girişi; PANO ile senkron tutun | Örnek: demo satırına bakın | Yanlışsa: Liste tutarlılığı ve karar kapısı bozulur | Kaynak: KDVK / GİB iade listeleri</t>
      </text>
    </comment>
    <comment ref="C27" authorId="0" shapeId="0">
      <text>
        <t>Tanım: indirilecek_kdv | Neden önemli: GİB 7 liste iade kararını etkiler | Doğru kullanım: Tablo girişi; PANO ile senkron tutun | Örnek: demo satırına bakın | Yanlışsa: Liste tutarlılığı ve karar kapısı bozulur | Kaynak: KDVK / GİB iade listeleri</t>
      </text>
    </comment>
    <comment ref="D27" authorId="0" shapeId="0">
      <text>
        <t>Tanım: indirilecek_kdv | Neden önemli: GİB 7 liste iade kararını etkiler | Doğru kullanım: Tablo girişi; PANO ile senkron tutun | Örnek: demo satırına bakın | Yanlışsa: Liste tutarlılığı ve karar kapısı bozulur | Kaynak: KDVK / GİB iade listeleri</t>
      </text>
    </comment>
    <comment ref="E27" authorId="0" shapeId="0">
      <text>
        <t>Tanım: indirilecek_kdv | Neden önemli: GİB 7 liste iade kararını etkiler | Doğru kullanım: Tablo girişi; PANO ile senkron tutun | Örnek: demo satırına bakın | Yanlışsa: Liste tutarlılığı ve karar kapısı bozulur | Kaynak: KDVK / GİB iade listeleri</t>
      </text>
    </comment>
    <comment ref="A28" authorId="0" shapeId="0">
      <text>
        <t>Tanım: yuklenilen_kdv | Neden önemli: GİB 7 liste iade kararını etkiler | Doğru kullanım: Tablo girişi; PANO ile senkron tutun | Örnek: demo satırına bakın | Yanlışsa: Liste tutarlılığı ve karar kapısı bozulur | Kaynak: KDVK / GİB iade listeleri</t>
      </text>
    </comment>
    <comment ref="B28" authorId="0" shapeId="0">
      <text>
        <t>Tanım: yuklenilen_kdv | Neden önemli: GİB 7 liste iade kararını etkiler | Doğru kullanım: Tablo girişi; PANO ile senkron tutun | Örnek: demo satırına bakın | Yanlışsa: Liste tutarlılığı ve karar kapısı bozulur | Kaynak: KDVK / GİB iade listeleri</t>
      </text>
    </comment>
    <comment ref="C28" authorId="0" shapeId="0">
      <text>
        <t>Tanım: yuklenilen_kdv | Neden önemli: GİB 7 liste iade kararını etkiler | Doğru kullanım: Tablo girişi; PANO ile senkron tutun | Örnek: demo satırına bakın | Yanlışsa: Liste tutarlılığı ve karar kapısı bozulur | Kaynak: KDVK / GİB iade listeleri</t>
      </text>
    </comment>
    <comment ref="D28" authorId="0" shapeId="0">
      <text>
        <t>Tanım: yuklenilen_kdv | Neden önemli: GİB 7 liste iade kararını etkiler | Doğru kullanım: Tablo girişi; PANO ile senkron tutun | Örnek: demo satırına bakın | Yanlışsa: Liste tutarlılığı ve karar kapısı bozulur | Kaynak: KDVK / GİB iade listeleri</t>
      </text>
    </comment>
    <comment ref="E28" authorId="0" shapeId="0">
      <text>
        <t>Tanım: yuklenilen_kdv | Neden önemli: GİB 7 liste iade kararını etkiler | Doğru kullanım: Tablo girişi; PANO ile senkron tutun | Örnek: demo satırına bakın | Yanlışsa: Liste tutarlılığı ve karar kapısı bozulur | Kaynak: KDVK / GİB iade listeleri</t>
      </text>
    </comment>
    <comment ref="A29" authorId="0" shapeId="0">
      <text>
        <t>Tanım: gcb_tutari | Neden önemli: GİB 7 liste iade kararını etkiler | Doğru kullanım: Tablo girişi; PANO ile senkron tutun | Örnek: demo satırına bakın | Yanlışsa: Liste tutarlılığı ve karar kapısı bozulur | Kaynak: KDVK / GİB iade listeleri</t>
      </text>
    </comment>
    <comment ref="B29" authorId="0" shapeId="0">
      <text>
        <t>Tanım: gcb_tutari | Neden önemli: GİB 7 liste iade kararını etkiler | Doğru kullanım: Tablo girişi; PANO ile senkron tutun | Örnek: demo satırına bakın | Yanlışsa: Liste tutarlılığı ve karar kapısı bozulur | Kaynak: KDVK / GİB iade listeleri</t>
      </text>
    </comment>
    <comment ref="C29" authorId="0" shapeId="0">
      <text>
        <t>Tanım: gcb_tutari | Neden önemli: GİB 7 liste iade kararını etkiler | Doğru kullanım: Tablo girişi; PANO ile senkron tutun | Örnek: demo satırına bakın | Yanlışsa: Liste tutarlılığı ve karar kapısı bozulur | Kaynak: KDVK / GİB iade listeleri</t>
      </text>
    </comment>
    <comment ref="D29" authorId="0" shapeId="0">
      <text>
        <t>Tanım: gcb_tutari | Neden önemli: GİB 7 liste iade kararını etkiler | Doğru kullanım: Tablo girişi; PANO ile senkron tutun | Örnek: demo satırına bakın | Yanlışsa: Liste tutarlılığı ve karar kapısı bozulur | Kaynak: KDVK / GİB iade listeleri</t>
      </text>
    </comment>
    <comment ref="E29" authorId="0" shapeId="0">
      <text>
        <t>Tanım: gcb_tutari | Neden önemli: GİB 7 liste iade kararını etkiler | Doğru kullanım: Tablo girişi; PANO ile senkron tutun | Örnek: demo satırına bakın | Yanlışsa: Liste tutarlılığı ve karar kapısı bozulur | Kaynak: KDVK / GİB iade listeleri</t>
      </text>
    </comment>
    <comment ref="A30" authorId="0" shapeId="0">
      <text>
        <t>Tanım: ihrac_hasilati | Neden önemli: GİB 7 liste iade kararını etkiler | Doğru kullanım: Tablo girişi; PANO ile senkron tutun | Örnek: demo satırına bakın | Yanlışsa: Liste tutarlılığı ve karar kapısı bozulur | Kaynak: KDVK / GİB iade listeleri</t>
      </text>
    </comment>
    <comment ref="B30" authorId="0" shapeId="0">
      <text>
        <t>Tanım: ihrac_hasilati | Neden önemli: GİB 7 liste iade kararını etkiler | Doğru kullanım: Tablo girişi; PANO ile senkron tutun | Örnek: demo satırına bakın | Yanlışsa: Liste tutarlılığı ve karar kapısı bozulur | Kaynak: KDVK / GİB iade listeleri</t>
      </text>
    </comment>
    <comment ref="C30" authorId="0" shapeId="0">
      <text>
        <t>Tanım: ihrac_hasilati | Neden önemli: GİB 7 liste iade kararını etkiler | Doğru kullanım: Tablo girişi; PANO ile senkron tutun | Örnek: demo satırına bakın | Yanlışsa: Liste tutarlılığı ve karar kapısı bozulur | Kaynak: KDVK / GİB iade listeleri</t>
      </text>
    </comment>
    <comment ref="D30" authorId="0" shapeId="0">
      <text>
        <t>Tanım: ihrac_hasilati | Neden önemli: GİB 7 liste iade kararını etkiler | Doğru kullanım: Tablo girişi; PANO ile senkron tutun | Örnek: demo satırına bakın | Yanlışsa: Liste tutarlılığı ve karar kapısı bozulur | Kaynak: KDVK / GİB iade listeleri</t>
      </text>
    </comment>
    <comment ref="E30" authorId="0" shapeId="0">
      <text>
        <t>Tanım: ihrac_hasilati | Neden önemli: GİB 7 liste iade kararını etkiler | Doğru kullanım: Tablo girişi; PANO ile senkron tutun | Örnek: demo satırına bakın | Yanlışsa: Liste tutarlılığı ve karar kapısı bozulur | Kaynak: KDVK / GİB iade listeleri</t>
      </text>
    </comment>
    <comment ref="A31" authorId="0" shapeId="0">
      <text>
        <t>Tanım: belge_eksik_adet | Neden önemli: GİB 7 liste iade kararını etkiler | Doğru kullanım: Tablo girişi; PANO ile senkron tutun | Örnek: demo satırına bakın | Yanlışsa: Liste tutarlılığı ve karar kapısı bozulur | Kaynak: KDVK / GİB iade listeleri</t>
      </text>
    </comment>
    <comment ref="B31" authorId="0" shapeId="0">
      <text>
        <t>Tanım: belge_eksik_adet | Neden önemli: GİB 7 liste iade kararını etkiler | Doğru kullanım: Tablo girişi; PANO ile senkron tutun | Örnek: demo satırına bakın | Yanlışsa: Liste tutarlılığı ve karar kapısı bozulur | Kaynak: KDVK / GİB iade listeleri</t>
      </text>
    </comment>
    <comment ref="C31" authorId="0" shapeId="0">
      <text>
        <t>Tanım: belge_eksik_adet | Neden önemli: GİB 7 liste iade kararını etkiler | Doğru kullanım: Tablo girişi; PANO ile senkron tutun | Örnek: demo satırına bakın | Yanlışsa: Liste tutarlılığı ve karar kapısı bozulur | Kaynak: KDVK / GİB iade listeleri</t>
      </text>
    </comment>
    <comment ref="D31" authorId="0" shapeId="0">
      <text>
        <t>Tanım: belge_eksik_adet | Neden önemli: GİB 7 liste iade kararını etkiler | Doğru kullanım: Tablo girişi; PANO ile senkron tutun | Örnek: demo satırına bakın | Yanlışsa: Liste tutarlılığı ve karar kapısı bozulur | Kaynak: KDVK / GİB iade listeleri</t>
      </text>
    </comment>
    <comment ref="E31" authorId="0" shapeId="0">
      <text>
        <t>Tanım: belge_eksik_adet | Neden önemli: GİB 7 liste iade kararını etkiler | Doğru kullanım: Tablo girişi; PANO ile senkron tutun | Örnek: demo satırına bakın | Yanlışsa: Liste tutarlılığı ve karar kapısı bozulur | Kaynak: KDVK / GİB iade listeleri</t>
      </text>
    </comment>
    <comment ref="A32" authorId="0" shapeId="0">
      <text>
        <t>Tanım: iade_talep | Neden önemli: GİB 7 liste iade kararını etkiler | Doğru kullanım: Tablo girişi; PANO ile senkron tutun | Örnek: demo satırına bakın | Yanlışsa: Liste tutarlılığı ve karar kapısı bozulur | Kaynak: KDVK / GİB iade listeleri</t>
      </text>
    </comment>
    <comment ref="B32" authorId="0" shapeId="0">
      <text>
        <t>Tanım: iade_talep | Neden önemli: GİB 7 liste iade kararını etkiler | Doğru kullanım: Tablo girişi; PANO ile senkron tutun | Örnek: demo satırına bakın | Yanlışsa: Liste tutarlılığı ve karar kapısı bozulur | Kaynak: KDVK / GİB iade listeleri</t>
      </text>
    </comment>
    <comment ref="C32" authorId="0" shapeId="0">
      <text>
        <t>Tanım: iade_talep | Neden önemli: GİB 7 liste iade kararını etkiler | Doğru kullanım: Tablo girişi; PANO ile senkron tutun | Örnek: demo satırına bakın | Yanlışsa: Liste tutarlılığı ve karar kapısı bozulur | Kaynak: KDVK / GİB iade listeleri</t>
      </text>
    </comment>
    <comment ref="D32" authorId="0" shapeId="0">
      <text>
        <t>Tanım: iade_talep | Neden önemli: GİB 7 liste iade kararını etkiler | Doğru kullanım: Tablo girişi; PANO ile senkron tutun | Örnek: demo satırına bakın | Yanlışsa: Liste tutarlılığı ve karar kapısı bozulur | Kaynak: KDVK / GİB iade listeleri</t>
      </text>
    </comment>
    <comment ref="E32" authorId="0" shapeId="0">
      <text>
        <t>Tanım: iade_talep | Neden önemli: GİB 7 liste iade kararını etkiler | Doğru kullanım: Tablo girişi; PANO ile senkron tutun | Örnek: demo satırına bakın | Yanlışsa: Liste tutarlılığı ve karar kapısı bozulur | Kaynak: KDVK / GİB iade listeleri</t>
      </text>
    </comment>
    <comment ref="A33" authorId="0" shapeId="0">
      <text>
        <t>Tanım: liste_yorumu | Neden önemli: GİB 7 liste iade kararını etkiler | Doğru kullanım: Tablo girişi; PANO ile senkron tutun | Örnek: demo satırına bakın | Yanlışsa: Liste tutarlılığı ve karar kapısı bozulur | Kaynak: KDVK / GİB iade listeleri</t>
      </text>
    </comment>
    <comment ref="B33" authorId="0" shapeId="0">
      <text>
        <t>Tanım: liste_yorumu | Neden önemli: GİB 7 liste iade kararını etkiler | Doğru kullanım: Tablo girişi; PANO ile senkron tutun | Örnek: demo satırına bakın | Yanlışsa: Liste tutarlılığı ve karar kapısı bozulur | Kaynak: KDVK / GİB iade listeleri</t>
      </text>
    </comment>
    <comment ref="C33" authorId="0" shapeId="0">
      <text>
        <t>Tanım: liste_yorumu | Neden önemli: GİB 7 liste iade kararını etkiler | Doğru kullanım: Tablo girişi; PANO ile senkron tutun | Örnek: demo satırına bakın | Yanlışsa: Liste tutarlılığı ve karar kapısı bozulur | Kaynak: KDVK / GİB iade listeleri</t>
      </text>
    </comment>
    <comment ref="D33" authorId="0" shapeId="0">
      <text>
        <t>Tanım: liste_yorumu | Neden önemli: GİB 7 liste iade kararını etkiler | Doğru kullanım: Tablo girişi; PANO ile senkron tutun | Örnek: demo satırına bakın | Yanlışsa: Liste tutarlılığı ve karar kapısı bozulur | Kaynak: KDVK / GİB iade listeleri</t>
      </text>
    </comment>
    <comment ref="E33" authorId="0" shapeId="0">
      <text>
        <t>Tanım: liste_yorumu | Neden önemli: GİB 7 liste iade kararını etkiler | Doğru kullanım: Tablo girişi; PANO ile senkron tutun | Örnek: demo satırına bakın | Yanlışsa: Liste tutarlılığı ve karar kapısı bozulur | Kaynak: KDVK / GİB iade listeleri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F7" authorId="0" shapeId="0">
      <text>
        <t>Tanım: kdv_genel_oran | Neden önemli: GİB 7 liste iade kararını etkiler | Doğru kullanım: Yıl bazlı parametre; kaynak kolonuna bakın | Örnek: demo satırına bakın | Yanlışsa: Liste tutarlılığı ve karar kapısı bozulur | Kaynak: KDVK / GİB iade listeleri</t>
      </text>
    </comment>
    <comment ref="G7" authorId="0" shapeId="0">
      <text>
        <t>Tanım: kdv_genel_oran | Neden önemli: GİB 7 liste iade kararını etkiler | Doğru kullanım: Yıl bazlı parametre; kaynak kolonuna bakın | Örnek: demo satırına bakın | Yanlışsa: Liste tutarlılığı ve karar kapısı bozulur | Kaynak: KDVK / GİB iade listeleri</t>
      </text>
    </comment>
    <comment ref="H7" authorId="0" shapeId="0">
      <text>
        <t>Tanım: kdv_genel_oran | Neden önemli: GİB 7 liste iade kararını etkiler | Doğru kullanım: Yıl bazlı parametre; kaynak kolonuna bakın | Örnek: demo satırına bakın | Yanlışsa: Liste tutarlılığı ve karar kapısı bozulur | Kaynak: KDVK / GİB iade listeleri</t>
      </text>
    </comment>
    <comment ref="F8" authorId="0" shapeId="0">
      <text>
        <t>Tanım: iade_esik | Neden önemli: GİB 7 liste iade kararını etkiler | Doğru kullanım: Yıl bazlı parametre; kaynak kolonuna bakın | Örnek: demo satırına bakın | Yanlışsa: Liste tutarlılığı ve karar kapısı bozulur | Kaynak: KDVK / GİB iade listeleri</t>
      </text>
    </comment>
    <comment ref="G8" authorId="0" shapeId="0">
      <text>
        <t>Tanım: iade_esik | Neden önemli: GİB 7 liste iade kararını etkiler | Doğru kullanım: Yıl bazlı parametre; kaynak kolonuna bakın | Örnek: demo satırına bakın | Yanlışsa: Liste tutarlılığı ve karar kapısı bozulur | Kaynak: KDVK / GİB iade listeleri</t>
      </text>
    </comment>
    <comment ref="H8" authorId="0" shapeId="0">
      <text>
        <t>Tanım: iade_esik | Neden önemli: GİB 7 liste iade kararını etkiler | Doğru kullanım: Yıl bazlı parametre; kaynak kolonuna bakın | Örnek: demo satırına bakın | Yanlışsa: Liste tutarlılığı ve karar kapısı bozulur | Kaynak: KDVK / GİB iade listeleri</t>
      </text>
    </comment>
    <comment ref="F9" authorId="0" shapeId="0">
      <text>
        <t>Tanım: sapma_tolerans | Neden önemli: GİB 7 liste iade kararını etkiler | Doğru kullanım: Yıl bazlı parametre; kaynak kolonuna bakın | Örnek: demo satırına bakın | Yanlışsa: Liste tutarlılığı ve karar kapısı bozulur | Kaynak: KDVK / GİB iade listeleri</t>
      </text>
    </comment>
    <comment ref="G9" authorId="0" shapeId="0">
      <text>
        <t>Tanım: sapma_tolerans | Neden önemli: GİB 7 liste iade kararını etkiler | Doğru kullanım: Yıl bazlı parametre; kaynak kolonuna bakın | Örnek: demo satırına bakın | Yanlışsa: Liste tutarlılığı ve karar kapısı bozulur | Kaynak: KDVK / GİB iade listeleri</t>
      </text>
    </comment>
    <comment ref="H9" authorId="0" shapeId="0">
      <text>
        <t>Tanım: sapma_tolerans | Neden önemli: GİB 7 liste iade kararını etkiler | Doğru kullanım: Yıl bazlı parametre; kaynak kolonuna bakın | Örnek: demo satırına bakın | Yanlışsa: Liste tutarlılığı ve karar kapısı bozulur | Kaynak: KDVK / GİB iade listeleri</t>
      </text>
    </comment>
    <comment ref="F10" authorId="0" shapeId="0">
      <text>
        <t>Tanım: belge_limit | Neden önemli: GİB 7 liste iade kararını etkiler | Doğru kullanım: Yıl bazlı parametre; kaynak kolonuna bakın | Örnek: demo satırına bakın | Yanlışsa: Liste tutarlılığı ve karar kapısı bozulur | Kaynak: KDVK / GİB iade listeleri</t>
      </text>
    </comment>
    <comment ref="G10" authorId="0" shapeId="0">
      <text>
        <t>Tanım: belge_limit | Neden önemli: GİB 7 liste iade kararını etkiler | Doğru kullanım: Yıl bazlı parametre; kaynak kolonuna bakın | Örnek: demo satırına bakın | Yanlışsa: Liste tutarlılığı ve karar kapısı bozulur | Kaynak: KDVK / GİB iade listeleri</t>
      </text>
    </comment>
    <comment ref="H10" authorId="0" shapeId="0">
      <text>
        <t>Tanım: belge_limit | Neden önemli: GİB 7 liste iade kararını etkiler | Doğru kullanım: Yıl bazlı parametre; kaynak kolonuna bakın | Örnek: demo satırına bakın | Yanlışsa: Liste tutarlılığı ve karar kapısı bozulur | Kaynak: KDVK / GİB iade listeleri</t>
      </text>
    </comment>
    <comment ref="F11" authorId="0" shapeId="0">
      <text>
        <t>Tanım: yuvarlama | Neden önemli: GİB 7 liste iade kararını etkiler | Doğru kullanım: Yıl bazlı parametre; kaynak kolonuna bakın | Örnek: demo satırına bakın | Yanlışsa: Liste tutarlılığı ve karar kapısı bozulur | Kaynak: KDVK / GİB iade listeleri</t>
      </text>
    </comment>
    <comment ref="G11" authorId="0" shapeId="0">
      <text>
        <t>Tanım: yuvarlama | Neden önemli: GİB 7 liste iade kararını etkiler | Doğru kullanım: Yıl bazlı parametre; kaynak kolonuna bakın | Örnek: demo satırına bakın | Yanlışsa: Liste tutarlılığı ve karar kapısı bozulur | Kaynak: KDVK / GİB iade listeleri</t>
      </text>
    </comment>
    <comment ref="H11" authorId="0" shapeId="0">
      <text>
        <t>Tanım: yuvarlama | Neden önemli: GİB 7 liste iade kararını etkiler | Doğru kullanım: Yıl bazlı parametre; kaynak kolonuna bakın | Örnek: demo satırına bakın | Yanlışsa: Liste tutarlılığı ve karar kapısı bozulur | Kaynak: KDVK / GİB iade listeleri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A7" authorId="0" shapeId="0">
      <text>
        <t>Tanım: Satır Numarası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B7" authorId="0" shapeId="0">
      <text>
        <t>Tanım: Belge/Kalem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C7" authorId="0" shapeId="0">
      <text>
        <t>Tanım: Tutar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D7" authorId="0" shapeId="0">
      <text>
        <t>Tanım: KDV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E7" authorId="0" shapeId="0">
      <text>
        <t>Tanım: Kaynak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F7" authorId="0" shapeId="0">
      <text>
        <t>Tanım: Durum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G7" authorId="0" shapeId="0">
      <text>
        <t>Tanım: Not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H7" authorId="0" shapeId="0">
      <text>
        <t>Tanım: Kontrol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A8" authorId="0" shapeId="0">
      <text>
        <t>Tanım: Satır Numarası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B8" authorId="0" shapeId="0">
      <text>
        <t>Tanım: Belge/Kalem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C8" authorId="0" shapeId="0">
      <text>
        <t>Tanım: Tutar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D8" authorId="0" shapeId="0">
      <text>
        <t>Tanım: KDV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E8" authorId="0" shapeId="0">
      <text>
        <t>Tanım: Kaynak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F8" authorId="0" shapeId="0">
      <text>
        <t>Tanım: Durum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G8" authorId="0" shapeId="0">
      <text>
        <t>Tanım: Not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H8" authorId="0" shapeId="0">
      <text>
        <t>Tanım: Kontrol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A9" authorId="0" shapeId="0">
      <text>
        <t>Tanım: Satır Numarası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B9" authorId="0" shapeId="0">
      <text>
        <t>Tanım: Belge/Kalem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C9" authorId="0" shapeId="0">
      <text>
        <t>Tanım: Tutar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D9" authorId="0" shapeId="0">
      <text>
        <t>Tanım: KDV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E9" authorId="0" shapeId="0">
      <text>
        <t>Tanım: Kaynak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F9" authorId="0" shapeId="0">
      <text>
        <t>Tanım: Durum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G9" authorId="0" shapeId="0">
      <text>
        <t>Tanım: Not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H9" authorId="0" shapeId="0">
      <text>
        <t>Tanım: Kontrol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A10" authorId="0" shapeId="0">
      <text>
        <t>Tanım: Satır Numarası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B10" authorId="0" shapeId="0">
      <text>
        <t>Tanım: Belge/Kalem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C10" authorId="0" shapeId="0">
      <text>
        <t>Tanım: Tutar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D10" authorId="0" shapeId="0">
      <text>
        <t>Tanım: KDV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E10" authorId="0" shapeId="0">
      <text>
        <t>Tanım: Kaynak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F10" authorId="0" shapeId="0">
      <text>
        <t>Tanım: Durum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G10" authorId="0" shapeId="0">
      <text>
        <t>Tanım: Not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H10" authorId="0" shapeId="0">
      <text>
        <t>Tanım: Kontrol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A11" authorId="0" shapeId="0">
      <text>
        <t>Tanım: Satır Numarası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B11" authorId="0" shapeId="0">
      <text>
        <t>Tanım: Belge/Kalem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C11" authorId="0" shapeId="0">
      <text>
        <t>Tanım: Tutar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D11" authorId="0" shapeId="0">
      <text>
        <t>Tanım: KDV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E11" authorId="0" shapeId="0">
      <text>
        <t>Tanım: Kaynak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F11" authorId="0" shapeId="0">
      <text>
        <t>Tanım: Durum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G11" authorId="0" shapeId="0">
      <text>
        <t>Tanım: Not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H11" authorId="0" shapeId="0">
      <text>
        <t>Tanım: Kontrol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A12" authorId="0" shapeId="0">
      <text>
        <t>Tanım: Satır Numarası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B12" authorId="0" shapeId="0">
      <text>
        <t>Tanım: Belge/Kalem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C12" authorId="0" shapeId="0">
      <text>
        <t>Tanım: Tutar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D12" authorId="0" shapeId="0">
      <text>
        <t>Tanım: KDV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E12" authorId="0" shapeId="0">
      <text>
        <t>Tanım: Kaynak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F12" authorId="0" shapeId="0">
      <text>
        <t>Tanım: Durum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G12" authorId="0" shapeId="0">
      <text>
        <t>Tanım: Not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H12" authorId="0" shapeId="0">
      <text>
        <t>Tanım: Kontrol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A13" authorId="0" shapeId="0">
      <text>
        <t>Tanım: Satır Numarası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B13" authorId="0" shapeId="0">
      <text>
        <t>Tanım: Belge/Kalem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C13" authorId="0" shapeId="0">
      <text>
        <t>Tanım: Tutar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D13" authorId="0" shapeId="0">
      <text>
        <t>Tanım: KDV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E13" authorId="0" shapeId="0">
      <text>
        <t>Tanım: Kaynak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F13" authorId="0" shapeId="0">
      <text>
        <t>Tanım: Durum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G13" authorId="0" shapeId="0">
      <text>
        <t>Tanım: Not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H13" authorId="0" shapeId="0">
      <text>
        <t>Tanım: Kontrol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A14" authorId="0" shapeId="0">
      <text>
        <t>Tanım: Satır Numarası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B14" authorId="0" shapeId="0">
      <text>
        <t>Tanım: Belge/Kalem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C14" authorId="0" shapeId="0">
      <text>
        <t>Tanım: Tutar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D14" authorId="0" shapeId="0">
      <text>
        <t>Tanım: KDV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E14" authorId="0" shapeId="0">
      <text>
        <t>Tanım: Kaynak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F14" authorId="0" shapeId="0">
      <text>
        <t>Tanım: Durum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G14" authorId="0" shapeId="0">
      <text>
        <t>Tanım: Not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H14" authorId="0" shapeId="0">
      <text>
        <t>Tanım: Kontrol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A15" authorId="0" shapeId="0">
      <text>
        <t>Tanım: Satır Numarası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B15" authorId="0" shapeId="0">
      <text>
        <t>Tanım: Belge/Kalem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C15" authorId="0" shapeId="0">
      <text>
        <t>Tanım: Tutar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D15" authorId="0" shapeId="0">
      <text>
        <t>Tanım: KDV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E15" authorId="0" shapeId="0">
      <text>
        <t>Tanım: Kaynak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F15" authorId="0" shapeId="0">
      <text>
        <t>Tanım: Durum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G15" authorId="0" shapeId="0">
      <text>
        <t>Tanım: Not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H15" authorId="0" shapeId="0">
      <text>
        <t>Tanım: Kontrol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A16" authorId="0" shapeId="0">
      <text>
        <t>Tanım: Satır Numarası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B16" authorId="0" shapeId="0">
      <text>
        <t>Tanım: Belge/Kalem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C16" authorId="0" shapeId="0">
      <text>
        <t>Tanım: Tutar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D16" authorId="0" shapeId="0">
      <text>
        <t>Tanım: KDV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E16" authorId="0" shapeId="0">
      <text>
        <t>Tanım: Kaynak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F16" authorId="0" shapeId="0">
      <text>
        <t>Tanım: Durum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G16" authorId="0" shapeId="0">
      <text>
        <t>Tanım: Not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H16" authorId="0" shapeId="0">
      <text>
        <t>Tanım: Kontrol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A17" authorId="0" shapeId="0">
      <text>
        <t>Tanım: Satır Numarası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B17" authorId="0" shapeId="0">
      <text>
        <t>Tanım: Belge/Kalem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C17" authorId="0" shapeId="0">
      <text>
        <t>Tanım: Tutar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D17" authorId="0" shapeId="0">
      <text>
        <t>Tanım: KDV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E17" authorId="0" shapeId="0">
      <text>
        <t>Tanım: Kaynak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F17" authorId="0" shapeId="0">
      <text>
        <t>Tanım: Durum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G17" authorId="0" shapeId="0">
      <text>
        <t>Tanım: Not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H17" authorId="0" shapeId="0">
      <text>
        <t>Tanım: Kontrol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A18" authorId="0" shapeId="0">
      <text>
        <t>Tanım: Satır Numarası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B18" authorId="0" shapeId="0">
      <text>
        <t>Tanım: Belge/Kalem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C18" authorId="0" shapeId="0">
      <text>
        <t>Tanım: Tutar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D18" authorId="0" shapeId="0">
      <text>
        <t>Tanım: KDV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E18" authorId="0" shapeId="0">
      <text>
        <t>Tanım: Kaynak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F18" authorId="0" shapeId="0">
      <text>
        <t>Tanım: Durum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G18" authorId="0" shapeId="0">
      <text>
        <t>Tanım: Not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H18" authorId="0" shapeId="0">
      <text>
        <t>Tanım: Kontrol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A19" authorId="0" shapeId="0">
      <text>
        <t>Tanım: Satır Numarası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B19" authorId="0" shapeId="0">
      <text>
        <t>Tanım: Belge/Kalem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C19" authorId="0" shapeId="0">
      <text>
        <t>Tanım: Tutar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D19" authorId="0" shapeId="0">
      <text>
        <t>Tanım: KDV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E19" authorId="0" shapeId="0">
      <text>
        <t>Tanım: Kaynak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F19" authorId="0" shapeId="0">
      <text>
        <t>Tanım: Durum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G19" authorId="0" shapeId="0">
      <text>
        <t>Tanım: Not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H19" authorId="0" shapeId="0">
      <text>
        <t>Tanım: Kontrol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A20" authorId="0" shapeId="0">
      <text>
        <t>Tanım: Satır Numarası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B20" authorId="0" shapeId="0">
      <text>
        <t>Tanım: Belge/Kalem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C20" authorId="0" shapeId="0">
      <text>
        <t>Tanım: Tutar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D20" authorId="0" shapeId="0">
      <text>
        <t>Tanım: KDV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E20" authorId="0" shapeId="0">
      <text>
        <t>Tanım: Kaynak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F20" authorId="0" shapeId="0">
      <text>
        <t>Tanım: Durum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G20" authorId="0" shapeId="0">
      <text>
        <t>Tanım: Not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H20" authorId="0" shapeId="0">
      <text>
        <t>Tanım: Kontrol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A21" authorId="0" shapeId="0">
      <text>
        <t>Tanım: Satır Numarası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B21" authorId="0" shapeId="0">
      <text>
        <t>Tanım: Belge/Kalem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C21" authorId="0" shapeId="0">
      <text>
        <t>Tanım: Tutar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D21" authorId="0" shapeId="0">
      <text>
        <t>Tanım: KDV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E21" authorId="0" shapeId="0">
      <text>
        <t>Tanım: Kaynak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F21" authorId="0" shapeId="0">
      <text>
        <t>Tanım: Durum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G21" authorId="0" shapeId="0">
      <text>
        <t>Tanım: Not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H21" authorId="0" shapeId="0">
      <text>
        <t>Tanım: Kontrol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A22" authorId="0" shapeId="0">
      <text>
        <t>Tanım: Satır Numarası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B22" authorId="0" shapeId="0">
      <text>
        <t>Tanım: Belge/Kalem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C22" authorId="0" shapeId="0">
      <text>
        <t>Tanım: Tutar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D22" authorId="0" shapeId="0">
      <text>
        <t>Tanım: KDV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E22" authorId="0" shapeId="0">
      <text>
        <t>Tanım: Kaynak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F22" authorId="0" shapeId="0">
      <text>
        <t>Tanım: Durum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G22" authorId="0" shapeId="0">
      <text>
        <t>Tanım: Not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H22" authorId="0" shapeId="0">
      <text>
        <t>Tanım: Kontrol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A23" authorId="0" shapeId="0">
      <text>
        <t>Tanım: Satır Numarası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B23" authorId="0" shapeId="0">
      <text>
        <t>Tanım: Belge/Kalem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C23" authorId="0" shapeId="0">
      <text>
        <t>Tanım: Tutar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D23" authorId="0" shapeId="0">
      <text>
        <t>Tanım: KDV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E23" authorId="0" shapeId="0">
      <text>
        <t>Tanım: Kaynak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F23" authorId="0" shapeId="0">
      <text>
        <t>Tanım: Durum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G23" authorId="0" shapeId="0">
      <text>
        <t>Tanım: Not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H23" authorId="0" shapeId="0">
      <text>
        <t>Tanım: Kontrol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A24" authorId="0" shapeId="0">
      <text>
        <t>Tanım: Satır Numarası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B24" authorId="0" shapeId="0">
      <text>
        <t>Tanım: Belge/Kalem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C24" authorId="0" shapeId="0">
      <text>
        <t>Tanım: Tutar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D24" authorId="0" shapeId="0">
      <text>
        <t>Tanım: KDV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E24" authorId="0" shapeId="0">
      <text>
        <t>Tanım: Kaynak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F24" authorId="0" shapeId="0">
      <text>
        <t>Tanım: Durum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G24" authorId="0" shapeId="0">
      <text>
        <t>Tanım: Not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H24" authorId="0" shapeId="0">
      <text>
        <t>Tanım: Kontrol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A25" authorId="0" shapeId="0">
      <text>
        <t>Tanım: Satır Numarası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B25" authorId="0" shapeId="0">
      <text>
        <t>Tanım: Belge/Kalem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C25" authorId="0" shapeId="0">
      <text>
        <t>Tanım: Tutar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D25" authorId="0" shapeId="0">
      <text>
        <t>Tanım: KDV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E25" authorId="0" shapeId="0">
      <text>
        <t>Tanım: Kaynak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F25" authorId="0" shapeId="0">
      <text>
        <t>Tanım: Durum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G25" authorId="0" shapeId="0">
      <text>
        <t>Tanım: Not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H25" authorId="0" shapeId="0">
      <text>
        <t>Tanım: Kontrol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A26" authorId="0" shapeId="0">
      <text>
        <t>Tanım: Satır Numarası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B26" authorId="0" shapeId="0">
      <text>
        <t>Tanım: Belge/Kalem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C26" authorId="0" shapeId="0">
      <text>
        <t>Tanım: Tutar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D26" authorId="0" shapeId="0">
      <text>
        <t>Tanım: KDV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E26" authorId="0" shapeId="0">
      <text>
        <t>Tanım: Kaynak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F26" authorId="0" shapeId="0">
      <text>
        <t>Tanım: Durum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G26" authorId="0" shapeId="0">
      <text>
        <t>Tanım: Not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H26" authorId="0" shapeId="0">
      <text>
        <t>Tanım: Kontrol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A27" authorId="0" shapeId="0">
      <text>
        <t>Tanım: Satır Numarası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B27" authorId="0" shapeId="0">
      <text>
        <t>Tanım: Belge/Kalem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C27" authorId="0" shapeId="0">
      <text>
        <t>Tanım: Tutar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D27" authorId="0" shapeId="0">
      <text>
        <t>Tanım: KDV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E27" authorId="0" shapeId="0">
      <text>
        <t>Tanım: Kaynak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F27" authorId="0" shapeId="0">
      <text>
        <t>Tanım: Durum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G27" authorId="0" shapeId="0">
      <text>
        <t>Tanım: Not | Neden önemli: GİB 7 liste iade kararını etkiler | Doğru kullanım: İndirilecek KDV Listesi satırı | Örnek: demo satırına bakın | Yanlışsa: Liste tutarlılığı ve karar kapısı bozulur | Kaynak: KDVK / GİB iade listeleri</t>
      </text>
    </comment>
    <comment ref="H27" authorId="0" shapeId="0">
      <text>
        <t>Tanım: Kontrol | Neden önemli: GİB 7 liste iade kararını etkiler | Doğru kullanım: İndirilecek KDV Listesi satırı | Örnek: demo satırına bakın | Yanlışsa: Liste tutarlılığı ve karar kapısı bozulur | Kaynak: KDVK / GİB iade listeleri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A7" authorId="0" shapeId="0">
      <text>
        <t>Tanım: Satır Numarası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B7" authorId="0" shapeId="0">
      <text>
        <t>Tanım: Belge/Kalem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C7" authorId="0" shapeId="0">
      <text>
        <t>Tanım: Tutar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D7" authorId="0" shapeId="0">
      <text>
        <t>Tanım: KDV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E7" authorId="0" shapeId="0">
      <text>
        <t>Tanım: Kaynak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F7" authorId="0" shapeId="0">
      <text>
        <t>Tanım: Durum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G7" authorId="0" shapeId="0">
      <text>
        <t>Tanım: Not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H7" authorId="0" shapeId="0">
      <text>
        <t>Tanım: Kontrol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A8" authorId="0" shapeId="0">
      <text>
        <t>Tanım: Satır Numarası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B8" authorId="0" shapeId="0">
      <text>
        <t>Tanım: Belge/Kalem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C8" authorId="0" shapeId="0">
      <text>
        <t>Tanım: Tutar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D8" authorId="0" shapeId="0">
      <text>
        <t>Tanım: KDV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E8" authorId="0" shapeId="0">
      <text>
        <t>Tanım: Kaynak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F8" authorId="0" shapeId="0">
      <text>
        <t>Tanım: Durum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G8" authorId="0" shapeId="0">
      <text>
        <t>Tanım: Not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H8" authorId="0" shapeId="0">
      <text>
        <t>Tanım: Kontrol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A9" authorId="0" shapeId="0">
      <text>
        <t>Tanım: Satır Numarası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B9" authorId="0" shapeId="0">
      <text>
        <t>Tanım: Belge/Kalem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C9" authorId="0" shapeId="0">
      <text>
        <t>Tanım: Tutar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D9" authorId="0" shapeId="0">
      <text>
        <t>Tanım: KDV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E9" authorId="0" shapeId="0">
      <text>
        <t>Tanım: Kaynak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F9" authorId="0" shapeId="0">
      <text>
        <t>Tanım: Durum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G9" authorId="0" shapeId="0">
      <text>
        <t>Tanım: Not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H9" authorId="0" shapeId="0">
      <text>
        <t>Tanım: Kontrol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A10" authorId="0" shapeId="0">
      <text>
        <t>Tanım: Satır Numarası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B10" authorId="0" shapeId="0">
      <text>
        <t>Tanım: Belge/Kalem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C10" authorId="0" shapeId="0">
      <text>
        <t>Tanım: Tutar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D10" authorId="0" shapeId="0">
      <text>
        <t>Tanım: KDV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E10" authorId="0" shapeId="0">
      <text>
        <t>Tanım: Kaynak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F10" authorId="0" shapeId="0">
      <text>
        <t>Tanım: Durum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G10" authorId="0" shapeId="0">
      <text>
        <t>Tanım: Not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H10" authorId="0" shapeId="0">
      <text>
        <t>Tanım: Kontrol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A11" authorId="0" shapeId="0">
      <text>
        <t>Tanım: Satır Numarası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B11" authorId="0" shapeId="0">
      <text>
        <t>Tanım: Belge/Kalem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C11" authorId="0" shapeId="0">
      <text>
        <t>Tanım: Tutar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D11" authorId="0" shapeId="0">
      <text>
        <t>Tanım: KDV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E11" authorId="0" shapeId="0">
      <text>
        <t>Tanım: Kaynak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F11" authorId="0" shapeId="0">
      <text>
        <t>Tanım: Durum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G11" authorId="0" shapeId="0">
      <text>
        <t>Tanım: Not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H11" authorId="0" shapeId="0">
      <text>
        <t>Tanım: Kontrol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A12" authorId="0" shapeId="0">
      <text>
        <t>Tanım: Satır Numarası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B12" authorId="0" shapeId="0">
      <text>
        <t>Tanım: Belge/Kalem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C12" authorId="0" shapeId="0">
      <text>
        <t>Tanım: Tutar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D12" authorId="0" shapeId="0">
      <text>
        <t>Tanım: KDV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E12" authorId="0" shapeId="0">
      <text>
        <t>Tanım: Kaynak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F12" authorId="0" shapeId="0">
      <text>
        <t>Tanım: Durum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G12" authorId="0" shapeId="0">
      <text>
        <t>Tanım: Not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H12" authorId="0" shapeId="0">
      <text>
        <t>Tanım: Kontrol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A13" authorId="0" shapeId="0">
      <text>
        <t>Tanım: Satır Numarası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B13" authorId="0" shapeId="0">
      <text>
        <t>Tanım: Belge/Kalem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C13" authorId="0" shapeId="0">
      <text>
        <t>Tanım: Tutar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D13" authorId="0" shapeId="0">
      <text>
        <t>Tanım: KDV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E13" authorId="0" shapeId="0">
      <text>
        <t>Tanım: Kaynak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F13" authorId="0" shapeId="0">
      <text>
        <t>Tanım: Durum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G13" authorId="0" shapeId="0">
      <text>
        <t>Tanım: Not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H13" authorId="0" shapeId="0">
      <text>
        <t>Tanım: Kontrol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A14" authorId="0" shapeId="0">
      <text>
        <t>Tanım: Satır Numarası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B14" authorId="0" shapeId="0">
      <text>
        <t>Tanım: Belge/Kalem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C14" authorId="0" shapeId="0">
      <text>
        <t>Tanım: Tutar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D14" authorId="0" shapeId="0">
      <text>
        <t>Tanım: KDV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E14" authorId="0" shapeId="0">
      <text>
        <t>Tanım: Kaynak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F14" authorId="0" shapeId="0">
      <text>
        <t>Tanım: Durum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G14" authorId="0" shapeId="0">
      <text>
        <t>Tanım: Not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H14" authorId="0" shapeId="0">
      <text>
        <t>Tanım: Kontrol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A15" authorId="0" shapeId="0">
      <text>
        <t>Tanım: Satır Numarası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B15" authorId="0" shapeId="0">
      <text>
        <t>Tanım: Belge/Kalem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C15" authorId="0" shapeId="0">
      <text>
        <t>Tanım: Tutar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D15" authorId="0" shapeId="0">
      <text>
        <t>Tanım: KDV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E15" authorId="0" shapeId="0">
      <text>
        <t>Tanım: Kaynak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F15" authorId="0" shapeId="0">
      <text>
        <t>Tanım: Durum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G15" authorId="0" shapeId="0">
      <text>
        <t>Tanım: Not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H15" authorId="0" shapeId="0">
      <text>
        <t>Tanım: Kontrol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A16" authorId="0" shapeId="0">
      <text>
        <t>Tanım: Satır Numarası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B16" authorId="0" shapeId="0">
      <text>
        <t>Tanım: Belge/Kalem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C16" authorId="0" shapeId="0">
      <text>
        <t>Tanım: Tutar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D16" authorId="0" shapeId="0">
      <text>
        <t>Tanım: KDV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E16" authorId="0" shapeId="0">
      <text>
        <t>Tanım: Kaynak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F16" authorId="0" shapeId="0">
      <text>
        <t>Tanım: Durum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G16" authorId="0" shapeId="0">
      <text>
        <t>Tanım: Not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H16" authorId="0" shapeId="0">
      <text>
        <t>Tanım: Kontrol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A17" authorId="0" shapeId="0">
      <text>
        <t>Tanım: Satır Numarası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B17" authorId="0" shapeId="0">
      <text>
        <t>Tanım: Belge/Kalem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C17" authorId="0" shapeId="0">
      <text>
        <t>Tanım: Tutar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D17" authorId="0" shapeId="0">
      <text>
        <t>Tanım: KDV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E17" authorId="0" shapeId="0">
      <text>
        <t>Tanım: Kaynak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F17" authorId="0" shapeId="0">
      <text>
        <t>Tanım: Durum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G17" authorId="0" shapeId="0">
      <text>
        <t>Tanım: Not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H17" authorId="0" shapeId="0">
      <text>
        <t>Tanım: Kontrol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A18" authorId="0" shapeId="0">
      <text>
        <t>Tanım: Satır Numarası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B18" authorId="0" shapeId="0">
      <text>
        <t>Tanım: Belge/Kalem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C18" authorId="0" shapeId="0">
      <text>
        <t>Tanım: Tutar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D18" authorId="0" shapeId="0">
      <text>
        <t>Tanım: KDV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E18" authorId="0" shapeId="0">
      <text>
        <t>Tanım: Kaynak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F18" authorId="0" shapeId="0">
      <text>
        <t>Tanım: Durum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G18" authorId="0" shapeId="0">
      <text>
        <t>Tanım: Not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H18" authorId="0" shapeId="0">
      <text>
        <t>Tanım: Kontrol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A19" authorId="0" shapeId="0">
      <text>
        <t>Tanım: Satır Numarası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B19" authorId="0" shapeId="0">
      <text>
        <t>Tanım: Belge/Kalem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C19" authorId="0" shapeId="0">
      <text>
        <t>Tanım: Tutar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D19" authorId="0" shapeId="0">
      <text>
        <t>Tanım: KDV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E19" authorId="0" shapeId="0">
      <text>
        <t>Tanım: Kaynak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F19" authorId="0" shapeId="0">
      <text>
        <t>Tanım: Durum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G19" authorId="0" shapeId="0">
      <text>
        <t>Tanım: Not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H19" authorId="0" shapeId="0">
      <text>
        <t>Tanım: Kontrol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A20" authorId="0" shapeId="0">
      <text>
        <t>Tanım: Satır Numarası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B20" authorId="0" shapeId="0">
      <text>
        <t>Tanım: Belge/Kalem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C20" authorId="0" shapeId="0">
      <text>
        <t>Tanım: Tutar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D20" authorId="0" shapeId="0">
      <text>
        <t>Tanım: KDV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E20" authorId="0" shapeId="0">
      <text>
        <t>Tanım: Kaynak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F20" authorId="0" shapeId="0">
      <text>
        <t>Tanım: Durum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G20" authorId="0" shapeId="0">
      <text>
        <t>Tanım: Not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H20" authorId="0" shapeId="0">
      <text>
        <t>Tanım: Kontrol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A21" authorId="0" shapeId="0">
      <text>
        <t>Tanım: Satır Numarası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B21" authorId="0" shapeId="0">
      <text>
        <t>Tanım: Belge/Kalem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C21" authorId="0" shapeId="0">
      <text>
        <t>Tanım: Tutar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D21" authorId="0" shapeId="0">
      <text>
        <t>Tanım: KDV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E21" authorId="0" shapeId="0">
      <text>
        <t>Tanım: Kaynak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F21" authorId="0" shapeId="0">
      <text>
        <t>Tanım: Durum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G21" authorId="0" shapeId="0">
      <text>
        <t>Tanım: Not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H21" authorId="0" shapeId="0">
      <text>
        <t>Tanım: Kontrol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A22" authorId="0" shapeId="0">
      <text>
        <t>Tanım: Satır Numarası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B22" authorId="0" shapeId="0">
      <text>
        <t>Tanım: Belge/Kalem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C22" authorId="0" shapeId="0">
      <text>
        <t>Tanım: Tutar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D22" authorId="0" shapeId="0">
      <text>
        <t>Tanım: KDV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E22" authorId="0" shapeId="0">
      <text>
        <t>Tanım: Kaynak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F22" authorId="0" shapeId="0">
      <text>
        <t>Tanım: Durum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G22" authorId="0" shapeId="0">
      <text>
        <t>Tanım: Not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H22" authorId="0" shapeId="0">
      <text>
        <t>Tanım: Kontrol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A23" authorId="0" shapeId="0">
      <text>
        <t>Tanım: Satır Numarası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B23" authorId="0" shapeId="0">
      <text>
        <t>Tanım: Belge/Kalem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C23" authorId="0" shapeId="0">
      <text>
        <t>Tanım: Tutar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D23" authorId="0" shapeId="0">
      <text>
        <t>Tanım: KDV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E23" authorId="0" shapeId="0">
      <text>
        <t>Tanım: Kaynak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F23" authorId="0" shapeId="0">
      <text>
        <t>Tanım: Durum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G23" authorId="0" shapeId="0">
      <text>
        <t>Tanım: Not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H23" authorId="0" shapeId="0">
      <text>
        <t>Tanım: Kontrol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A24" authorId="0" shapeId="0">
      <text>
        <t>Tanım: Satır Numarası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B24" authorId="0" shapeId="0">
      <text>
        <t>Tanım: Belge/Kalem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C24" authorId="0" shapeId="0">
      <text>
        <t>Tanım: Tutar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D24" authorId="0" shapeId="0">
      <text>
        <t>Tanım: KDV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E24" authorId="0" shapeId="0">
      <text>
        <t>Tanım: Kaynak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F24" authorId="0" shapeId="0">
      <text>
        <t>Tanım: Durum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G24" authorId="0" shapeId="0">
      <text>
        <t>Tanım: Not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H24" authorId="0" shapeId="0">
      <text>
        <t>Tanım: Kontrol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A25" authorId="0" shapeId="0">
      <text>
        <t>Tanım: Satır Numarası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B25" authorId="0" shapeId="0">
      <text>
        <t>Tanım: Belge/Kalem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C25" authorId="0" shapeId="0">
      <text>
        <t>Tanım: Tutar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D25" authorId="0" shapeId="0">
      <text>
        <t>Tanım: KDV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E25" authorId="0" shapeId="0">
      <text>
        <t>Tanım: Kaynak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F25" authorId="0" shapeId="0">
      <text>
        <t>Tanım: Durum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G25" authorId="0" shapeId="0">
      <text>
        <t>Tanım: Not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H25" authorId="0" shapeId="0">
      <text>
        <t>Tanım: Kontrol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A26" authorId="0" shapeId="0">
      <text>
        <t>Tanım: Satır Numarası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B26" authorId="0" shapeId="0">
      <text>
        <t>Tanım: Belge/Kalem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C26" authorId="0" shapeId="0">
      <text>
        <t>Tanım: Tutar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D26" authorId="0" shapeId="0">
      <text>
        <t>Tanım: KDV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E26" authorId="0" shapeId="0">
      <text>
        <t>Tanım: Kaynak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F26" authorId="0" shapeId="0">
      <text>
        <t>Tanım: Durum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G26" authorId="0" shapeId="0">
      <text>
        <t>Tanım: Not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H26" authorId="0" shapeId="0">
      <text>
        <t>Tanım: Kontrol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A27" authorId="0" shapeId="0">
      <text>
        <t>Tanım: Satır Numarası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B27" authorId="0" shapeId="0">
      <text>
        <t>Tanım: Belge/Kalem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C27" authorId="0" shapeId="0">
      <text>
        <t>Tanım: Tutar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D27" authorId="0" shapeId="0">
      <text>
        <t>Tanım: KDV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E27" authorId="0" shapeId="0">
      <text>
        <t>Tanım: Kaynak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F27" authorId="0" shapeId="0">
      <text>
        <t>Tanım: Durum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G27" authorId="0" shapeId="0">
      <text>
        <t>Tanım: Not | Neden önemli: GİB 7 liste iade kararını etkiler | Doğru kullanım: Yüklenilen KDV Listesi satırı | Örnek: demo satırına bakın | Yanlışsa: Liste tutarlılığı ve karar kapısı bozulur | Kaynak: KDVK / GİB iade listeleri</t>
      </text>
    </comment>
    <comment ref="H27" authorId="0" shapeId="0">
      <text>
        <t>Tanım: Kontrol | Neden önemli: GİB 7 liste iade kararını etkiler | Doğru kullanım: Yüklenilen KDV Listesi satırı | Örnek: demo satırına bakın | Yanlışsa: Liste tutarlılığı ve karar kapısı bozulur | Kaynak: KDVK / GİB iade listeleri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A7" authorId="0" shapeId="0">
      <text>
        <t>Tanım: Satır Numarası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B7" authorId="0" shapeId="0">
      <text>
        <t>Tanım: Belge/Kalem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C7" authorId="0" shapeId="0">
      <text>
        <t>Tanım: Tutar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D7" authorId="0" shapeId="0">
      <text>
        <t>Tanım: KDV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E7" authorId="0" shapeId="0">
      <text>
        <t>Tanım: Kaynak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F7" authorId="0" shapeId="0">
      <text>
        <t>Tanım: Durum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G7" authorId="0" shapeId="0">
      <text>
        <t>Tanım: Not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H7" authorId="0" shapeId="0">
      <text>
        <t>Tanım: Kontrol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A8" authorId="0" shapeId="0">
      <text>
        <t>Tanım: Satır Numarası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B8" authorId="0" shapeId="0">
      <text>
        <t>Tanım: Belge/Kalem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C8" authorId="0" shapeId="0">
      <text>
        <t>Tanım: Tutar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D8" authorId="0" shapeId="0">
      <text>
        <t>Tanım: KDV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E8" authorId="0" shapeId="0">
      <text>
        <t>Tanım: Kaynak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F8" authorId="0" shapeId="0">
      <text>
        <t>Tanım: Durum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G8" authorId="0" shapeId="0">
      <text>
        <t>Tanım: Not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H8" authorId="0" shapeId="0">
      <text>
        <t>Tanım: Kontrol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A9" authorId="0" shapeId="0">
      <text>
        <t>Tanım: Satır Numarası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B9" authorId="0" shapeId="0">
      <text>
        <t>Tanım: Belge/Kalem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C9" authorId="0" shapeId="0">
      <text>
        <t>Tanım: Tutar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D9" authorId="0" shapeId="0">
      <text>
        <t>Tanım: KDV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E9" authorId="0" shapeId="0">
      <text>
        <t>Tanım: Kaynak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F9" authorId="0" shapeId="0">
      <text>
        <t>Tanım: Durum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G9" authorId="0" shapeId="0">
      <text>
        <t>Tanım: Not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H9" authorId="0" shapeId="0">
      <text>
        <t>Tanım: Kontrol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A10" authorId="0" shapeId="0">
      <text>
        <t>Tanım: Satır Numarası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B10" authorId="0" shapeId="0">
      <text>
        <t>Tanım: Belge/Kalem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C10" authorId="0" shapeId="0">
      <text>
        <t>Tanım: Tutar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D10" authorId="0" shapeId="0">
      <text>
        <t>Tanım: KDV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E10" authorId="0" shapeId="0">
      <text>
        <t>Tanım: Kaynak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F10" authorId="0" shapeId="0">
      <text>
        <t>Tanım: Durum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G10" authorId="0" shapeId="0">
      <text>
        <t>Tanım: Not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H10" authorId="0" shapeId="0">
      <text>
        <t>Tanım: Kontrol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A11" authorId="0" shapeId="0">
      <text>
        <t>Tanım: Satır Numarası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B11" authorId="0" shapeId="0">
      <text>
        <t>Tanım: Belge/Kalem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C11" authorId="0" shapeId="0">
      <text>
        <t>Tanım: Tutar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D11" authorId="0" shapeId="0">
      <text>
        <t>Tanım: KDV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E11" authorId="0" shapeId="0">
      <text>
        <t>Tanım: Kaynak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F11" authorId="0" shapeId="0">
      <text>
        <t>Tanım: Durum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G11" authorId="0" shapeId="0">
      <text>
        <t>Tanım: Not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H11" authorId="0" shapeId="0">
      <text>
        <t>Tanım: Kontrol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A12" authorId="0" shapeId="0">
      <text>
        <t>Tanım: Satır Numarası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B12" authorId="0" shapeId="0">
      <text>
        <t>Tanım: Belge/Kalem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C12" authorId="0" shapeId="0">
      <text>
        <t>Tanım: Tutar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D12" authorId="0" shapeId="0">
      <text>
        <t>Tanım: KDV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E12" authorId="0" shapeId="0">
      <text>
        <t>Tanım: Kaynak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F12" authorId="0" shapeId="0">
      <text>
        <t>Tanım: Durum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G12" authorId="0" shapeId="0">
      <text>
        <t>Tanım: Not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H12" authorId="0" shapeId="0">
      <text>
        <t>Tanım: Kontrol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A13" authorId="0" shapeId="0">
      <text>
        <t>Tanım: Satır Numarası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B13" authorId="0" shapeId="0">
      <text>
        <t>Tanım: Belge/Kalem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C13" authorId="0" shapeId="0">
      <text>
        <t>Tanım: Tutar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D13" authorId="0" shapeId="0">
      <text>
        <t>Tanım: KDV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E13" authorId="0" shapeId="0">
      <text>
        <t>Tanım: Kaynak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F13" authorId="0" shapeId="0">
      <text>
        <t>Tanım: Durum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G13" authorId="0" shapeId="0">
      <text>
        <t>Tanım: Not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H13" authorId="0" shapeId="0">
      <text>
        <t>Tanım: Kontrol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A14" authorId="0" shapeId="0">
      <text>
        <t>Tanım: Satır Numarası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B14" authorId="0" shapeId="0">
      <text>
        <t>Tanım: Belge/Kalem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C14" authorId="0" shapeId="0">
      <text>
        <t>Tanım: Tutar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D14" authorId="0" shapeId="0">
      <text>
        <t>Tanım: KDV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E14" authorId="0" shapeId="0">
      <text>
        <t>Tanım: Kaynak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F14" authorId="0" shapeId="0">
      <text>
        <t>Tanım: Durum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G14" authorId="0" shapeId="0">
      <text>
        <t>Tanım: Not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H14" authorId="0" shapeId="0">
      <text>
        <t>Tanım: Kontrol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A15" authorId="0" shapeId="0">
      <text>
        <t>Tanım: Satır Numarası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B15" authorId="0" shapeId="0">
      <text>
        <t>Tanım: Belge/Kalem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C15" authorId="0" shapeId="0">
      <text>
        <t>Tanım: Tutar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D15" authorId="0" shapeId="0">
      <text>
        <t>Tanım: KDV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E15" authorId="0" shapeId="0">
      <text>
        <t>Tanım: Kaynak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F15" authorId="0" shapeId="0">
      <text>
        <t>Tanım: Durum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G15" authorId="0" shapeId="0">
      <text>
        <t>Tanım: Not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H15" authorId="0" shapeId="0">
      <text>
        <t>Tanım: Kontrol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A16" authorId="0" shapeId="0">
      <text>
        <t>Tanım: Satır Numarası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B16" authorId="0" shapeId="0">
      <text>
        <t>Tanım: Belge/Kalem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C16" authorId="0" shapeId="0">
      <text>
        <t>Tanım: Tutar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D16" authorId="0" shapeId="0">
      <text>
        <t>Tanım: KDV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E16" authorId="0" shapeId="0">
      <text>
        <t>Tanım: Kaynak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F16" authorId="0" shapeId="0">
      <text>
        <t>Tanım: Durum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G16" authorId="0" shapeId="0">
      <text>
        <t>Tanım: Not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H16" authorId="0" shapeId="0">
      <text>
        <t>Tanım: Kontrol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A17" authorId="0" shapeId="0">
      <text>
        <t>Tanım: Satır Numarası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B17" authorId="0" shapeId="0">
      <text>
        <t>Tanım: Belge/Kalem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C17" authorId="0" shapeId="0">
      <text>
        <t>Tanım: Tutar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D17" authorId="0" shapeId="0">
      <text>
        <t>Tanım: KDV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E17" authorId="0" shapeId="0">
      <text>
        <t>Tanım: Kaynak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F17" authorId="0" shapeId="0">
      <text>
        <t>Tanım: Durum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G17" authorId="0" shapeId="0">
      <text>
        <t>Tanım: Not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H17" authorId="0" shapeId="0">
      <text>
        <t>Tanım: Kontrol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A18" authorId="0" shapeId="0">
      <text>
        <t>Tanım: Satır Numarası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B18" authorId="0" shapeId="0">
      <text>
        <t>Tanım: Belge/Kalem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C18" authorId="0" shapeId="0">
      <text>
        <t>Tanım: Tutar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D18" authorId="0" shapeId="0">
      <text>
        <t>Tanım: KDV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E18" authorId="0" shapeId="0">
      <text>
        <t>Tanım: Kaynak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F18" authorId="0" shapeId="0">
      <text>
        <t>Tanım: Durum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G18" authorId="0" shapeId="0">
      <text>
        <t>Tanım: Not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H18" authorId="0" shapeId="0">
      <text>
        <t>Tanım: Kontrol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A19" authorId="0" shapeId="0">
      <text>
        <t>Tanım: Satır Numarası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B19" authorId="0" shapeId="0">
      <text>
        <t>Tanım: Belge/Kalem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C19" authorId="0" shapeId="0">
      <text>
        <t>Tanım: Tutar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D19" authorId="0" shapeId="0">
      <text>
        <t>Tanım: KDV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E19" authorId="0" shapeId="0">
      <text>
        <t>Tanım: Kaynak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F19" authorId="0" shapeId="0">
      <text>
        <t>Tanım: Durum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G19" authorId="0" shapeId="0">
      <text>
        <t>Tanım: Not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H19" authorId="0" shapeId="0">
      <text>
        <t>Tanım: Kontrol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A20" authorId="0" shapeId="0">
      <text>
        <t>Tanım: Satır Numarası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B20" authorId="0" shapeId="0">
      <text>
        <t>Tanım: Belge/Kalem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C20" authorId="0" shapeId="0">
      <text>
        <t>Tanım: Tutar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D20" authorId="0" shapeId="0">
      <text>
        <t>Tanım: KDV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E20" authorId="0" shapeId="0">
      <text>
        <t>Tanım: Kaynak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F20" authorId="0" shapeId="0">
      <text>
        <t>Tanım: Durum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G20" authorId="0" shapeId="0">
      <text>
        <t>Tanım: Not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H20" authorId="0" shapeId="0">
      <text>
        <t>Tanım: Kontrol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A21" authorId="0" shapeId="0">
      <text>
        <t>Tanım: Satır Numarası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B21" authorId="0" shapeId="0">
      <text>
        <t>Tanım: Belge/Kalem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C21" authorId="0" shapeId="0">
      <text>
        <t>Tanım: Tutar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D21" authorId="0" shapeId="0">
      <text>
        <t>Tanım: KDV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E21" authorId="0" shapeId="0">
      <text>
        <t>Tanım: Kaynak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F21" authorId="0" shapeId="0">
      <text>
        <t>Tanım: Durum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G21" authorId="0" shapeId="0">
      <text>
        <t>Tanım: Not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H21" authorId="0" shapeId="0">
      <text>
        <t>Tanım: Kontrol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A22" authorId="0" shapeId="0">
      <text>
        <t>Tanım: Satır Numarası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B22" authorId="0" shapeId="0">
      <text>
        <t>Tanım: Belge/Kalem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C22" authorId="0" shapeId="0">
      <text>
        <t>Tanım: Tutar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D22" authorId="0" shapeId="0">
      <text>
        <t>Tanım: KDV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E22" authorId="0" shapeId="0">
      <text>
        <t>Tanım: Kaynak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F22" authorId="0" shapeId="0">
      <text>
        <t>Tanım: Durum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G22" authorId="0" shapeId="0">
      <text>
        <t>Tanım: Not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H22" authorId="0" shapeId="0">
      <text>
        <t>Tanım: Kontrol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A23" authorId="0" shapeId="0">
      <text>
        <t>Tanım: Satır Numarası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B23" authorId="0" shapeId="0">
      <text>
        <t>Tanım: Belge/Kalem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C23" authorId="0" shapeId="0">
      <text>
        <t>Tanım: Tutar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D23" authorId="0" shapeId="0">
      <text>
        <t>Tanım: KDV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E23" authorId="0" shapeId="0">
      <text>
        <t>Tanım: Kaynak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F23" authorId="0" shapeId="0">
      <text>
        <t>Tanım: Durum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G23" authorId="0" shapeId="0">
      <text>
        <t>Tanım: Not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H23" authorId="0" shapeId="0">
      <text>
        <t>Tanım: Kontrol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A24" authorId="0" shapeId="0">
      <text>
        <t>Tanım: Satır Numarası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B24" authorId="0" shapeId="0">
      <text>
        <t>Tanım: Belge/Kalem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C24" authorId="0" shapeId="0">
      <text>
        <t>Tanım: Tutar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D24" authorId="0" shapeId="0">
      <text>
        <t>Tanım: KDV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E24" authorId="0" shapeId="0">
      <text>
        <t>Tanım: Kaynak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F24" authorId="0" shapeId="0">
      <text>
        <t>Tanım: Durum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G24" authorId="0" shapeId="0">
      <text>
        <t>Tanım: Not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H24" authorId="0" shapeId="0">
      <text>
        <t>Tanım: Kontrol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A25" authorId="0" shapeId="0">
      <text>
        <t>Tanım: Satır Numarası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B25" authorId="0" shapeId="0">
      <text>
        <t>Tanım: Belge/Kalem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C25" authorId="0" shapeId="0">
      <text>
        <t>Tanım: Tutar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D25" authorId="0" shapeId="0">
      <text>
        <t>Tanım: KDV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E25" authorId="0" shapeId="0">
      <text>
        <t>Tanım: Kaynak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F25" authorId="0" shapeId="0">
      <text>
        <t>Tanım: Durum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G25" authorId="0" shapeId="0">
      <text>
        <t>Tanım: Not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H25" authorId="0" shapeId="0">
      <text>
        <t>Tanım: Kontrol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A26" authorId="0" shapeId="0">
      <text>
        <t>Tanım: Satır Numarası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B26" authorId="0" shapeId="0">
      <text>
        <t>Tanım: Belge/Kalem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C26" authorId="0" shapeId="0">
      <text>
        <t>Tanım: Tutar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D26" authorId="0" shapeId="0">
      <text>
        <t>Tanım: KDV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E26" authorId="0" shapeId="0">
      <text>
        <t>Tanım: Kaynak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F26" authorId="0" shapeId="0">
      <text>
        <t>Tanım: Durum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G26" authorId="0" shapeId="0">
      <text>
        <t>Tanım: Not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H26" authorId="0" shapeId="0">
      <text>
        <t>Tanım: Kontrol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A27" authorId="0" shapeId="0">
      <text>
        <t>Tanım: Satır Numarası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B27" authorId="0" shapeId="0">
      <text>
        <t>Tanım: Belge/Kalem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C27" authorId="0" shapeId="0">
      <text>
        <t>Tanım: Tutar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D27" authorId="0" shapeId="0">
      <text>
        <t>Tanım: KDV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E27" authorId="0" shapeId="0">
      <text>
        <t>Tanım: Kaynak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F27" authorId="0" shapeId="0">
      <text>
        <t>Tanım: Durum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G27" authorId="0" shapeId="0">
      <text>
        <t>Tanım: Not | Neden önemli: GİB 7 liste iade kararını etkiler | Doğru kullanım: GÇB Listesi satırı | Örnek: demo satırına bakın | Yanlışsa: Liste tutarlılığı ve karar kapısı bozulur | Kaynak: KDVK / GİB iade listeleri</t>
      </text>
    </comment>
    <comment ref="H27" authorId="0" shapeId="0">
      <text>
        <t>Tanım: Kontrol | Neden önemli: GİB 7 liste iade kararını etkiler | Doğru kullanım: GÇB Listesi satırı | Örnek: demo satırına bakın | Yanlışsa: Liste tutarlılığı ve karar kapısı bozulur | Kaynak: KDVK / GİB iade listeleri</t>
      </text>
    </comment>
  </commentList>
</comments>
</file>

<file path=xl/comments/comment6.xml><?xml version="1.0" encoding="utf-8"?>
<comments xmlns="http://schemas.openxmlformats.org/spreadsheetml/2006/main">
  <authors>
    <author>ExcelArşiv</author>
  </authors>
  <commentList>
    <comment ref="A7" authorId="0" shapeId="0">
      <text>
        <t>Tanım: Satır Numarası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B7" authorId="0" shapeId="0">
      <text>
        <t>Tanım: Belge/Kalem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C7" authorId="0" shapeId="0">
      <text>
        <t>Tanım: Tutar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D7" authorId="0" shapeId="0">
      <text>
        <t>Tanım: KDV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E7" authorId="0" shapeId="0">
      <text>
        <t>Tanım: Kaynak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F7" authorId="0" shapeId="0">
      <text>
        <t>Tanım: Durum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G7" authorId="0" shapeId="0">
      <text>
        <t>Tanım: Not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H7" authorId="0" shapeId="0">
      <text>
        <t>Tanım: Kontrol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A8" authorId="0" shapeId="0">
      <text>
        <t>Tanım: Satır Numarası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B8" authorId="0" shapeId="0">
      <text>
        <t>Tanım: Belge/Kalem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C8" authorId="0" shapeId="0">
      <text>
        <t>Tanım: Tutar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D8" authorId="0" shapeId="0">
      <text>
        <t>Tanım: KDV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E8" authorId="0" shapeId="0">
      <text>
        <t>Tanım: Kaynak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F8" authorId="0" shapeId="0">
      <text>
        <t>Tanım: Durum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G8" authorId="0" shapeId="0">
      <text>
        <t>Tanım: Not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H8" authorId="0" shapeId="0">
      <text>
        <t>Tanım: Kontrol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A9" authorId="0" shapeId="0">
      <text>
        <t>Tanım: Satır Numarası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B9" authorId="0" shapeId="0">
      <text>
        <t>Tanım: Belge/Kalem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C9" authorId="0" shapeId="0">
      <text>
        <t>Tanım: Tutar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D9" authorId="0" shapeId="0">
      <text>
        <t>Tanım: KDV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E9" authorId="0" shapeId="0">
      <text>
        <t>Tanım: Kaynak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F9" authorId="0" shapeId="0">
      <text>
        <t>Tanım: Durum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G9" authorId="0" shapeId="0">
      <text>
        <t>Tanım: Not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H9" authorId="0" shapeId="0">
      <text>
        <t>Tanım: Kontrol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A10" authorId="0" shapeId="0">
      <text>
        <t>Tanım: Satır Numarası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B10" authorId="0" shapeId="0">
      <text>
        <t>Tanım: Belge/Kalem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C10" authorId="0" shapeId="0">
      <text>
        <t>Tanım: Tutar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D10" authorId="0" shapeId="0">
      <text>
        <t>Tanım: KDV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E10" authorId="0" shapeId="0">
      <text>
        <t>Tanım: Kaynak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F10" authorId="0" shapeId="0">
      <text>
        <t>Tanım: Durum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G10" authorId="0" shapeId="0">
      <text>
        <t>Tanım: Not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H10" authorId="0" shapeId="0">
      <text>
        <t>Tanım: Kontrol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A11" authorId="0" shapeId="0">
      <text>
        <t>Tanım: Satır Numarası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B11" authorId="0" shapeId="0">
      <text>
        <t>Tanım: Belge/Kalem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C11" authorId="0" shapeId="0">
      <text>
        <t>Tanım: Tutar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D11" authorId="0" shapeId="0">
      <text>
        <t>Tanım: KDV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E11" authorId="0" shapeId="0">
      <text>
        <t>Tanım: Kaynak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F11" authorId="0" shapeId="0">
      <text>
        <t>Tanım: Durum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G11" authorId="0" shapeId="0">
      <text>
        <t>Tanım: Not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H11" authorId="0" shapeId="0">
      <text>
        <t>Tanım: Kontrol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A12" authorId="0" shapeId="0">
      <text>
        <t>Tanım: Satır Numarası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B12" authorId="0" shapeId="0">
      <text>
        <t>Tanım: Belge/Kalem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C12" authorId="0" shapeId="0">
      <text>
        <t>Tanım: Tutar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D12" authorId="0" shapeId="0">
      <text>
        <t>Tanım: KDV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E12" authorId="0" shapeId="0">
      <text>
        <t>Tanım: Kaynak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F12" authorId="0" shapeId="0">
      <text>
        <t>Tanım: Durum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G12" authorId="0" shapeId="0">
      <text>
        <t>Tanım: Not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H12" authorId="0" shapeId="0">
      <text>
        <t>Tanım: Kontrol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A13" authorId="0" shapeId="0">
      <text>
        <t>Tanım: Satır Numarası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B13" authorId="0" shapeId="0">
      <text>
        <t>Tanım: Belge/Kalem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C13" authorId="0" shapeId="0">
      <text>
        <t>Tanım: Tutar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D13" authorId="0" shapeId="0">
      <text>
        <t>Tanım: KDV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E13" authorId="0" shapeId="0">
      <text>
        <t>Tanım: Kaynak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F13" authorId="0" shapeId="0">
      <text>
        <t>Tanım: Durum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G13" authorId="0" shapeId="0">
      <text>
        <t>Tanım: Not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H13" authorId="0" shapeId="0">
      <text>
        <t>Tanım: Kontrol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A14" authorId="0" shapeId="0">
      <text>
        <t>Tanım: Satır Numarası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B14" authorId="0" shapeId="0">
      <text>
        <t>Tanım: Belge/Kalem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C14" authorId="0" shapeId="0">
      <text>
        <t>Tanım: Tutar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D14" authorId="0" shapeId="0">
      <text>
        <t>Tanım: KDV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E14" authorId="0" shapeId="0">
      <text>
        <t>Tanım: Kaynak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F14" authorId="0" shapeId="0">
      <text>
        <t>Tanım: Durum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G14" authorId="0" shapeId="0">
      <text>
        <t>Tanım: Not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H14" authorId="0" shapeId="0">
      <text>
        <t>Tanım: Kontrol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A15" authorId="0" shapeId="0">
      <text>
        <t>Tanım: Satır Numarası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B15" authorId="0" shapeId="0">
      <text>
        <t>Tanım: Belge/Kalem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C15" authorId="0" shapeId="0">
      <text>
        <t>Tanım: Tutar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D15" authorId="0" shapeId="0">
      <text>
        <t>Tanım: KDV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E15" authorId="0" shapeId="0">
      <text>
        <t>Tanım: Kaynak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F15" authorId="0" shapeId="0">
      <text>
        <t>Tanım: Durum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G15" authorId="0" shapeId="0">
      <text>
        <t>Tanım: Not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H15" authorId="0" shapeId="0">
      <text>
        <t>Tanım: Kontrol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A16" authorId="0" shapeId="0">
      <text>
        <t>Tanım: Satır Numarası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B16" authorId="0" shapeId="0">
      <text>
        <t>Tanım: Belge/Kalem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C16" authorId="0" shapeId="0">
      <text>
        <t>Tanım: Tutar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D16" authorId="0" shapeId="0">
      <text>
        <t>Tanım: KDV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E16" authorId="0" shapeId="0">
      <text>
        <t>Tanım: Kaynak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F16" authorId="0" shapeId="0">
      <text>
        <t>Tanım: Durum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G16" authorId="0" shapeId="0">
      <text>
        <t>Tanım: Not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H16" authorId="0" shapeId="0">
      <text>
        <t>Tanım: Kontrol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A17" authorId="0" shapeId="0">
      <text>
        <t>Tanım: Satır Numarası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B17" authorId="0" shapeId="0">
      <text>
        <t>Tanım: Belge/Kalem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C17" authorId="0" shapeId="0">
      <text>
        <t>Tanım: Tutar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D17" authorId="0" shapeId="0">
      <text>
        <t>Tanım: KDV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E17" authorId="0" shapeId="0">
      <text>
        <t>Tanım: Kaynak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F17" authorId="0" shapeId="0">
      <text>
        <t>Tanım: Durum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G17" authorId="0" shapeId="0">
      <text>
        <t>Tanım: Not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H17" authorId="0" shapeId="0">
      <text>
        <t>Tanım: Kontrol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A18" authorId="0" shapeId="0">
      <text>
        <t>Tanım: Satır Numarası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B18" authorId="0" shapeId="0">
      <text>
        <t>Tanım: Belge/Kalem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C18" authorId="0" shapeId="0">
      <text>
        <t>Tanım: Tutar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D18" authorId="0" shapeId="0">
      <text>
        <t>Tanım: KDV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E18" authorId="0" shapeId="0">
      <text>
        <t>Tanım: Kaynak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F18" authorId="0" shapeId="0">
      <text>
        <t>Tanım: Durum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G18" authorId="0" shapeId="0">
      <text>
        <t>Tanım: Not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H18" authorId="0" shapeId="0">
      <text>
        <t>Tanım: Kontrol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A19" authorId="0" shapeId="0">
      <text>
        <t>Tanım: Satır Numarası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B19" authorId="0" shapeId="0">
      <text>
        <t>Tanım: Belge/Kalem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C19" authorId="0" shapeId="0">
      <text>
        <t>Tanım: Tutar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D19" authorId="0" shapeId="0">
      <text>
        <t>Tanım: KDV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E19" authorId="0" shapeId="0">
      <text>
        <t>Tanım: Kaynak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F19" authorId="0" shapeId="0">
      <text>
        <t>Tanım: Durum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G19" authorId="0" shapeId="0">
      <text>
        <t>Tanım: Not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H19" authorId="0" shapeId="0">
      <text>
        <t>Tanım: Kontrol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A20" authorId="0" shapeId="0">
      <text>
        <t>Tanım: Satır Numarası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B20" authorId="0" shapeId="0">
      <text>
        <t>Tanım: Belge/Kalem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C20" authorId="0" shapeId="0">
      <text>
        <t>Tanım: Tutar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D20" authorId="0" shapeId="0">
      <text>
        <t>Tanım: KDV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E20" authorId="0" shapeId="0">
      <text>
        <t>Tanım: Kaynak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F20" authorId="0" shapeId="0">
      <text>
        <t>Tanım: Durum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G20" authorId="0" shapeId="0">
      <text>
        <t>Tanım: Not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H20" authorId="0" shapeId="0">
      <text>
        <t>Tanım: Kontrol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A21" authorId="0" shapeId="0">
      <text>
        <t>Tanım: Satır Numarası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B21" authorId="0" shapeId="0">
      <text>
        <t>Tanım: Belge/Kalem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C21" authorId="0" shapeId="0">
      <text>
        <t>Tanım: Tutar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D21" authorId="0" shapeId="0">
      <text>
        <t>Tanım: KDV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E21" authorId="0" shapeId="0">
      <text>
        <t>Tanım: Kaynak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F21" authorId="0" shapeId="0">
      <text>
        <t>Tanım: Durum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G21" authorId="0" shapeId="0">
      <text>
        <t>Tanım: Not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H21" authorId="0" shapeId="0">
      <text>
        <t>Tanım: Kontrol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A22" authorId="0" shapeId="0">
      <text>
        <t>Tanım: Satır Numarası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B22" authorId="0" shapeId="0">
      <text>
        <t>Tanım: Belge/Kalem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C22" authorId="0" shapeId="0">
      <text>
        <t>Tanım: Tutar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D22" authorId="0" shapeId="0">
      <text>
        <t>Tanım: KDV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E22" authorId="0" shapeId="0">
      <text>
        <t>Tanım: Kaynak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F22" authorId="0" shapeId="0">
      <text>
        <t>Tanım: Durum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G22" authorId="0" shapeId="0">
      <text>
        <t>Tanım: Not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H22" authorId="0" shapeId="0">
      <text>
        <t>Tanım: Kontrol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A23" authorId="0" shapeId="0">
      <text>
        <t>Tanım: Satır Numarası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B23" authorId="0" shapeId="0">
      <text>
        <t>Tanım: Belge/Kalem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C23" authorId="0" shapeId="0">
      <text>
        <t>Tanım: Tutar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D23" authorId="0" shapeId="0">
      <text>
        <t>Tanım: KDV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E23" authorId="0" shapeId="0">
      <text>
        <t>Tanım: Kaynak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F23" authorId="0" shapeId="0">
      <text>
        <t>Tanım: Durum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G23" authorId="0" shapeId="0">
      <text>
        <t>Tanım: Not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H23" authorId="0" shapeId="0">
      <text>
        <t>Tanım: Kontrol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A24" authorId="0" shapeId="0">
      <text>
        <t>Tanım: Satır Numarası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B24" authorId="0" shapeId="0">
      <text>
        <t>Tanım: Belge/Kalem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C24" authorId="0" shapeId="0">
      <text>
        <t>Tanım: Tutar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D24" authorId="0" shapeId="0">
      <text>
        <t>Tanım: KDV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E24" authorId="0" shapeId="0">
      <text>
        <t>Tanım: Kaynak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F24" authorId="0" shapeId="0">
      <text>
        <t>Tanım: Durum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G24" authorId="0" shapeId="0">
      <text>
        <t>Tanım: Not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H24" authorId="0" shapeId="0">
      <text>
        <t>Tanım: Kontrol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A25" authorId="0" shapeId="0">
      <text>
        <t>Tanım: Satır Numarası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B25" authorId="0" shapeId="0">
      <text>
        <t>Tanım: Belge/Kalem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C25" authorId="0" shapeId="0">
      <text>
        <t>Tanım: Tutar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D25" authorId="0" shapeId="0">
      <text>
        <t>Tanım: KDV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E25" authorId="0" shapeId="0">
      <text>
        <t>Tanım: Kaynak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F25" authorId="0" shapeId="0">
      <text>
        <t>Tanım: Durum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G25" authorId="0" shapeId="0">
      <text>
        <t>Tanım: Not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H25" authorId="0" shapeId="0">
      <text>
        <t>Tanım: Kontrol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A26" authorId="0" shapeId="0">
      <text>
        <t>Tanım: Satır Numarası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B26" authorId="0" shapeId="0">
      <text>
        <t>Tanım: Belge/Kalem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C26" authorId="0" shapeId="0">
      <text>
        <t>Tanım: Tutar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D26" authorId="0" shapeId="0">
      <text>
        <t>Tanım: KDV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E26" authorId="0" shapeId="0">
      <text>
        <t>Tanım: Kaynak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F26" authorId="0" shapeId="0">
      <text>
        <t>Tanım: Durum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G26" authorId="0" shapeId="0">
      <text>
        <t>Tanım: Not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H26" authorId="0" shapeId="0">
      <text>
        <t>Tanım: Kontrol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A27" authorId="0" shapeId="0">
      <text>
        <t>Tanım: Satır Numarası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B27" authorId="0" shapeId="0">
      <text>
        <t>Tanım: Belge/Kalem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C27" authorId="0" shapeId="0">
      <text>
        <t>Tanım: Tutar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D27" authorId="0" shapeId="0">
      <text>
        <t>Tanım: KDV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E27" authorId="0" shapeId="0">
      <text>
        <t>Tanım: Kaynak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F27" authorId="0" shapeId="0">
      <text>
        <t>Tanım: Durum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G27" authorId="0" shapeId="0">
      <text>
        <t>Tanım: Not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  <comment ref="H27" authorId="0" shapeId="0">
      <text>
        <t>Tanım: Kontrol | Neden önemli: GİB 7 liste iade kararını etkiler | Doğru kullanım: Satış Faturaları Listesi satırı | Örnek: demo satırına bakın | Yanlışsa: Liste tutarlılığı ve karar kapısı bozulur | Kaynak: KDVK / GİB iade listeleri</t>
      </text>
    </comment>
  </commentList>
</comments>
</file>

<file path=xl/comments/comment7.xml><?xml version="1.0" encoding="utf-8"?>
<comments xmlns="http://schemas.openxmlformats.org/spreadsheetml/2006/main">
  <authors>
    <author>ExcelArşiv</author>
  </authors>
  <commentList>
    <comment ref="A7" authorId="0" shapeId="0">
      <text>
        <t>Tanım: Satır Numarası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B7" authorId="0" shapeId="0">
      <text>
        <t>Tanım: Belge/Kalem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C7" authorId="0" shapeId="0">
      <text>
        <t>Tanım: Tutar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D7" authorId="0" shapeId="0">
      <text>
        <t>Tanım: KDV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E7" authorId="0" shapeId="0">
      <text>
        <t>Tanım: Kaynak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F7" authorId="0" shapeId="0">
      <text>
        <t>Tanım: Durum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G7" authorId="0" shapeId="0">
      <text>
        <t>Tanım: Not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H7" authorId="0" shapeId="0">
      <text>
        <t>Tanım: Kontrol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A8" authorId="0" shapeId="0">
      <text>
        <t>Tanım: Satır Numarası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B8" authorId="0" shapeId="0">
      <text>
        <t>Tanım: Belge/Kalem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C8" authorId="0" shapeId="0">
      <text>
        <t>Tanım: Tutar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D8" authorId="0" shapeId="0">
      <text>
        <t>Tanım: KDV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E8" authorId="0" shapeId="0">
      <text>
        <t>Tanım: Kaynak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F8" authorId="0" shapeId="0">
      <text>
        <t>Tanım: Durum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G8" authorId="0" shapeId="0">
      <text>
        <t>Tanım: Not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H8" authorId="0" shapeId="0">
      <text>
        <t>Tanım: Kontrol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A9" authorId="0" shapeId="0">
      <text>
        <t>Tanım: Satır Numarası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B9" authorId="0" shapeId="0">
      <text>
        <t>Tanım: Belge/Kalem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C9" authorId="0" shapeId="0">
      <text>
        <t>Tanım: Tutar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D9" authorId="0" shapeId="0">
      <text>
        <t>Tanım: KDV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E9" authorId="0" shapeId="0">
      <text>
        <t>Tanım: Kaynak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F9" authorId="0" shapeId="0">
      <text>
        <t>Tanım: Durum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G9" authorId="0" shapeId="0">
      <text>
        <t>Tanım: Not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H9" authorId="0" shapeId="0">
      <text>
        <t>Tanım: Kontrol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A10" authorId="0" shapeId="0">
      <text>
        <t>Tanım: Satır Numarası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B10" authorId="0" shapeId="0">
      <text>
        <t>Tanım: Belge/Kalem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C10" authorId="0" shapeId="0">
      <text>
        <t>Tanım: Tutar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D10" authorId="0" shapeId="0">
      <text>
        <t>Tanım: KDV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E10" authorId="0" shapeId="0">
      <text>
        <t>Tanım: Kaynak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F10" authorId="0" shapeId="0">
      <text>
        <t>Tanım: Durum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G10" authorId="0" shapeId="0">
      <text>
        <t>Tanım: Not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H10" authorId="0" shapeId="0">
      <text>
        <t>Tanım: Kontrol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A11" authorId="0" shapeId="0">
      <text>
        <t>Tanım: Satır Numarası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B11" authorId="0" shapeId="0">
      <text>
        <t>Tanım: Belge/Kalem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C11" authorId="0" shapeId="0">
      <text>
        <t>Tanım: Tutar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D11" authorId="0" shapeId="0">
      <text>
        <t>Tanım: KDV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E11" authorId="0" shapeId="0">
      <text>
        <t>Tanım: Kaynak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F11" authorId="0" shapeId="0">
      <text>
        <t>Tanım: Durum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G11" authorId="0" shapeId="0">
      <text>
        <t>Tanım: Not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H11" authorId="0" shapeId="0">
      <text>
        <t>Tanım: Kontrol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A12" authorId="0" shapeId="0">
      <text>
        <t>Tanım: Satır Numarası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B12" authorId="0" shapeId="0">
      <text>
        <t>Tanım: Belge/Kalem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C12" authorId="0" shapeId="0">
      <text>
        <t>Tanım: Tutar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D12" authorId="0" shapeId="0">
      <text>
        <t>Tanım: KDV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E12" authorId="0" shapeId="0">
      <text>
        <t>Tanım: Kaynak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F12" authorId="0" shapeId="0">
      <text>
        <t>Tanım: Durum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G12" authorId="0" shapeId="0">
      <text>
        <t>Tanım: Not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H12" authorId="0" shapeId="0">
      <text>
        <t>Tanım: Kontrol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A13" authorId="0" shapeId="0">
      <text>
        <t>Tanım: Satır Numarası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B13" authorId="0" shapeId="0">
      <text>
        <t>Tanım: Belge/Kalem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C13" authorId="0" shapeId="0">
      <text>
        <t>Tanım: Tutar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D13" authorId="0" shapeId="0">
      <text>
        <t>Tanım: KDV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E13" authorId="0" shapeId="0">
      <text>
        <t>Tanım: Kaynak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F13" authorId="0" shapeId="0">
      <text>
        <t>Tanım: Durum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G13" authorId="0" shapeId="0">
      <text>
        <t>Tanım: Not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H13" authorId="0" shapeId="0">
      <text>
        <t>Tanım: Kontrol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A14" authorId="0" shapeId="0">
      <text>
        <t>Tanım: Satır Numarası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B14" authorId="0" shapeId="0">
      <text>
        <t>Tanım: Belge/Kalem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C14" authorId="0" shapeId="0">
      <text>
        <t>Tanım: Tutar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D14" authorId="0" shapeId="0">
      <text>
        <t>Tanım: KDV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E14" authorId="0" shapeId="0">
      <text>
        <t>Tanım: Kaynak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F14" authorId="0" shapeId="0">
      <text>
        <t>Tanım: Durum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G14" authorId="0" shapeId="0">
      <text>
        <t>Tanım: Not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H14" authorId="0" shapeId="0">
      <text>
        <t>Tanım: Kontrol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A15" authorId="0" shapeId="0">
      <text>
        <t>Tanım: Satır Numarası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B15" authorId="0" shapeId="0">
      <text>
        <t>Tanım: Belge/Kalem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C15" authorId="0" shapeId="0">
      <text>
        <t>Tanım: Tutar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D15" authorId="0" shapeId="0">
      <text>
        <t>Tanım: KDV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E15" authorId="0" shapeId="0">
      <text>
        <t>Tanım: Kaynak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F15" authorId="0" shapeId="0">
      <text>
        <t>Tanım: Durum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G15" authorId="0" shapeId="0">
      <text>
        <t>Tanım: Not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H15" authorId="0" shapeId="0">
      <text>
        <t>Tanım: Kontrol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A16" authorId="0" shapeId="0">
      <text>
        <t>Tanım: Satır Numarası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B16" authorId="0" shapeId="0">
      <text>
        <t>Tanım: Belge/Kalem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C16" authorId="0" shapeId="0">
      <text>
        <t>Tanım: Tutar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D16" authorId="0" shapeId="0">
      <text>
        <t>Tanım: KDV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E16" authorId="0" shapeId="0">
      <text>
        <t>Tanım: Kaynak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F16" authorId="0" shapeId="0">
      <text>
        <t>Tanım: Durum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G16" authorId="0" shapeId="0">
      <text>
        <t>Tanım: Not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H16" authorId="0" shapeId="0">
      <text>
        <t>Tanım: Kontrol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A17" authorId="0" shapeId="0">
      <text>
        <t>Tanım: Satır Numarası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B17" authorId="0" shapeId="0">
      <text>
        <t>Tanım: Belge/Kalem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C17" authorId="0" shapeId="0">
      <text>
        <t>Tanım: Tutar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D17" authorId="0" shapeId="0">
      <text>
        <t>Tanım: KDV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E17" authorId="0" shapeId="0">
      <text>
        <t>Tanım: Kaynak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F17" authorId="0" shapeId="0">
      <text>
        <t>Tanım: Durum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G17" authorId="0" shapeId="0">
      <text>
        <t>Tanım: Not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H17" authorId="0" shapeId="0">
      <text>
        <t>Tanım: Kontrol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A18" authorId="0" shapeId="0">
      <text>
        <t>Tanım: Satır Numarası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B18" authorId="0" shapeId="0">
      <text>
        <t>Tanım: Belge/Kalem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C18" authorId="0" shapeId="0">
      <text>
        <t>Tanım: Tutar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D18" authorId="0" shapeId="0">
      <text>
        <t>Tanım: KDV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E18" authorId="0" shapeId="0">
      <text>
        <t>Tanım: Kaynak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F18" authorId="0" shapeId="0">
      <text>
        <t>Tanım: Durum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G18" authorId="0" shapeId="0">
      <text>
        <t>Tanım: Not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H18" authorId="0" shapeId="0">
      <text>
        <t>Tanım: Kontrol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A19" authorId="0" shapeId="0">
      <text>
        <t>Tanım: Satır Numarası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B19" authorId="0" shapeId="0">
      <text>
        <t>Tanım: Belge/Kalem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C19" authorId="0" shapeId="0">
      <text>
        <t>Tanım: Tutar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D19" authorId="0" shapeId="0">
      <text>
        <t>Tanım: KDV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E19" authorId="0" shapeId="0">
      <text>
        <t>Tanım: Kaynak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F19" authorId="0" shapeId="0">
      <text>
        <t>Tanım: Durum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G19" authorId="0" shapeId="0">
      <text>
        <t>Tanım: Not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H19" authorId="0" shapeId="0">
      <text>
        <t>Tanım: Kontrol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A20" authorId="0" shapeId="0">
      <text>
        <t>Tanım: Satır Numarası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B20" authorId="0" shapeId="0">
      <text>
        <t>Tanım: Belge/Kalem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C20" authorId="0" shapeId="0">
      <text>
        <t>Tanım: Tutar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D20" authorId="0" shapeId="0">
      <text>
        <t>Tanım: KDV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E20" authorId="0" shapeId="0">
      <text>
        <t>Tanım: Kaynak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F20" authorId="0" shapeId="0">
      <text>
        <t>Tanım: Durum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G20" authorId="0" shapeId="0">
      <text>
        <t>Tanım: Not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H20" authorId="0" shapeId="0">
      <text>
        <t>Tanım: Kontrol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A21" authorId="0" shapeId="0">
      <text>
        <t>Tanım: Satır Numarası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B21" authorId="0" shapeId="0">
      <text>
        <t>Tanım: Belge/Kalem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C21" authorId="0" shapeId="0">
      <text>
        <t>Tanım: Tutar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D21" authorId="0" shapeId="0">
      <text>
        <t>Tanım: KDV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E21" authorId="0" shapeId="0">
      <text>
        <t>Tanım: Kaynak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F21" authorId="0" shapeId="0">
      <text>
        <t>Tanım: Durum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G21" authorId="0" shapeId="0">
      <text>
        <t>Tanım: Not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H21" authorId="0" shapeId="0">
      <text>
        <t>Tanım: Kontrol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A22" authorId="0" shapeId="0">
      <text>
        <t>Tanım: Satır Numarası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B22" authorId="0" shapeId="0">
      <text>
        <t>Tanım: Belge/Kalem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C22" authorId="0" shapeId="0">
      <text>
        <t>Tanım: Tutar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D22" authorId="0" shapeId="0">
      <text>
        <t>Tanım: KDV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E22" authorId="0" shapeId="0">
      <text>
        <t>Tanım: Kaynak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F22" authorId="0" shapeId="0">
      <text>
        <t>Tanım: Durum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G22" authorId="0" shapeId="0">
      <text>
        <t>Tanım: Not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H22" authorId="0" shapeId="0">
      <text>
        <t>Tanım: Kontrol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A23" authorId="0" shapeId="0">
      <text>
        <t>Tanım: Satır Numarası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B23" authorId="0" shapeId="0">
      <text>
        <t>Tanım: Belge/Kalem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C23" authorId="0" shapeId="0">
      <text>
        <t>Tanım: Tutar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D23" authorId="0" shapeId="0">
      <text>
        <t>Tanım: KDV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E23" authorId="0" shapeId="0">
      <text>
        <t>Tanım: Kaynak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F23" authorId="0" shapeId="0">
      <text>
        <t>Tanım: Durum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G23" authorId="0" shapeId="0">
      <text>
        <t>Tanım: Not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H23" authorId="0" shapeId="0">
      <text>
        <t>Tanım: Kontrol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A24" authorId="0" shapeId="0">
      <text>
        <t>Tanım: Satır Numarası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B24" authorId="0" shapeId="0">
      <text>
        <t>Tanım: Belge/Kalem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C24" authorId="0" shapeId="0">
      <text>
        <t>Tanım: Tutar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D24" authorId="0" shapeId="0">
      <text>
        <t>Tanım: KDV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E24" authorId="0" shapeId="0">
      <text>
        <t>Tanım: Kaynak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F24" authorId="0" shapeId="0">
      <text>
        <t>Tanım: Durum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G24" authorId="0" shapeId="0">
      <text>
        <t>Tanım: Not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H24" authorId="0" shapeId="0">
      <text>
        <t>Tanım: Kontrol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A25" authorId="0" shapeId="0">
      <text>
        <t>Tanım: Satır Numarası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B25" authorId="0" shapeId="0">
      <text>
        <t>Tanım: Belge/Kalem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C25" authorId="0" shapeId="0">
      <text>
        <t>Tanım: Tutar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D25" authorId="0" shapeId="0">
      <text>
        <t>Tanım: KDV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E25" authorId="0" shapeId="0">
      <text>
        <t>Tanım: Kaynak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F25" authorId="0" shapeId="0">
      <text>
        <t>Tanım: Durum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G25" authorId="0" shapeId="0">
      <text>
        <t>Tanım: Not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H25" authorId="0" shapeId="0">
      <text>
        <t>Tanım: Kontrol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A26" authorId="0" shapeId="0">
      <text>
        <t>Tanım: Satır Numarası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B26" authorId="0" shapeId="0">
      <text>
        <t>Tanım: Belge/Kalem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C26" authorId="0" shapeId="0">
      <text>
        <t>Tanım: Tutar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D26" authorId="0" shapeId="0">
      <text>
        <t>Tanım: KDV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E26" authorId="0" shapeId="0">
      <text>
        <t>Tanım: Kaynak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F26" authorId="0" shapeId="0">
      <text>
        <t>Tanım: Durum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G26" authorId="0" shapeId="0">
      <text>
        <t>Tanım: Not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H26" authorId="0" shapeId="0">
      <text>
        <t>Tanım: Kontrol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A27" authorId="0" shapeId="0">
      <text>
        <t>Tanım: Satır Numarası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B27" authorId="0" shapeId="0">
      <text>
        <t>Tanım: Belge/Kalem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C27" authorId="0" shapeId="0">
      <text>
        <t>Tanım: Tutar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D27" authorId="0" shapeId="0">
      <text>
        <t>Tanım: KDV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E27" authorId="0" shapeId="0">
      <text>
        <t>Tanım: Kaynak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F27" authorId="0" shapeId="0">
      <text>
        <t>Tanım: Durum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G27" authorId="0" shapeId="0">
      <text>
        <t>Tanım: Not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  <comment ref="H27" authorId="0" shapeId="0">
      <text>
        <t>Tanım: Kontrol | Neden önemli: GİB 7 liste iade kararını etkiler | Doğru kullanım: Alış Faturaları Listesi satırı | Örnek: demo satırına bakın | Yanlışsa: Liste tutarlılığı ve karar kapısı bozulur | Kaynak: KDVK / GİB iade listeleri</t>
      </text>
    </comment>
  </commentList>
</comments>
</file>

<file path=xl/comments/comment8.xml><?xml version="1.0" encoding="utf-8"?>
<comments xmlns="http://schemas.openxmlformats.org/spreadsheetml/2006/main">
  <authors>
    <author>ExcelArşiv</author>
  </authors>
  <commentList>
    <comment ref="A7" authorId="0" shapeId="0">
      <text>
        <t>Tanım: Satır Numarası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B7" authorId="0" shapeId="0">
      <text>
        <t>Tanım: Belge/Kalem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C7" authorId="0" shapeId="0">
      <text>
        <t>Tanım: Tutar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D7" authorId="0" shapeId="0">
      <text>
        <t>Tanım: KDV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E7" authorId="0" shapeId="0">
      <text>
        <t>Tanım: Kaynak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F7" authorId="0" shapeId="0">
      <text>
        <t>Tanım: Durum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G7" authorId="0" shapeId="0">
      <text>
        <t>Tanım: Not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H7" authorId="0" shapeId="0">
      <text>
        <t>Tanım: Kontrol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A8" authorId="0" shapeId="0">
      <text>
        <t>Tanım: Satır Numarası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B8" authorId="0" shapeId="0">
      <text>
        <t>Tanım: Belge/Kalem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C8" authorId="0" shapeId="0">
      <text>
        <t>Tanım: Tutar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D8" authorId="0" shapeId="0">
      <text>
        <t>Tanım: KDV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E8" authorId="0" shapeId="0">
      <text>
        <t>Tanım: Kaynak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F8" authorId="0" shapeId="0">
      <text>
        <t>Tanım: Durum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G8" authorId="0" shapeId="0">
      <text>
        <t>Tanım: Not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H8" authorId="0" shapeId="0">
      <text>
        <t>Tanım: Kontrol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A9" authorId="0" shapeId="0">
      <text>
        <t>Tanım: Satır Numarası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B9" authorId="0" shapeId="0">
      <text>
        <t>Tanım: Belge/Kalem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C9" authorId="0" shapeId="0">
      <text>
        <t>Tanım: Tutar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D9" authorId="0" shapeId="0">
      <text>
        <t>Tanım: KDV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E9" authorId="0" shapeId="0">
      <text>
        <t>Tanım: Kaynak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F9" authorId="0" shapeId="0">
      <text>
        <t>Tanım: Durum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G9" authorId="0" shapeId="0">
      <text>
        <t>Tanım: Not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H9" authorId="0" shapeId="0">
      <text>
        <t>Tanım: Kontrol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A10" authorId="0" shapeId="0">
      <text>
        <t>Tanım: Satır Numarası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B10" authorId="0" shapeId="0">
      <text>
        <t>Tanım: Belge/Kalem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C10" authorId="0" shapeId="0">
      <text>
        <t>Tanım: Tutar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D10" authorId="0" shapeId="0">
      <text>
        <t>Tanım: KDV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E10" authorId="0" shapeId="0">
      <text>
        <t>Tanım: Kaynak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F10" authorId="0" shapeId="0">
      <text>
        <t>Tanım: Durum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G10" authorId="0" shapeId="0">
      <text>
        <t>Tanım: Not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H10" authorId="0" shapeId="0">
      <text>
        <t>Tanım: Kontrol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A11" authorId="0" shapeId="0">
      <text>
        <t>Tanım: Satır Numarası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B11" authorId="0" shapeId="0">
      <text>
        <t>Tanım: Belge/Kalem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C11" authorId="0" shapeId="0">
      <text>
        <t>Tanım: Tutar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D11" authorId="0" shapeId="0">
      <text>
        <t>Tanım: KDV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E11" authorId="0" shapeId="0">
      <text>
        <t>Tanım: Kaynak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F11" authorId="0" shapeId="0">
      <text>
        <t>Tanım: Durum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G11" authorId="0" shapeId="0">
      <text>
        <t>Tanım: Not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H11" authorId="0" shapeId="0">
      <text>
        <t>Tanım: Kontrol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A12" authorId="0" shapeId="0">
      <text>
        <t>Tanım: Satır Numarası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B12" authorId="0" shapeId="0">
      <text>
        <t>Tanım: Belge/Kalem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C12" authorId="0" shapeId="0">
      <text>
        <t>Tanım: Tutar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D12" authorId="0" shapeId="0">
      <text>
        <t>Tanım: KDV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E12" authorId="0" shapeId="0">
      <text>
        <t>Tanım: Kaynak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F12" authorId="0" shapeId="0">
      <text>
        <t>Tanım: Durum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G12" authorId="0" shapeId="0">
      <text>
        <t>Tanım: Not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H12" authorId="0" shapeId="0">
      <text>
        <t>Tanım: Kontrol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A13" authorId="0" shapeId="0">
      <text>
        <t>Tanım: Satır Numarası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B13" authorId="0" shapeId="0">
      <text>
        <t>Tanım: Belge/Kalem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C13" authorId="0" shapeId="0">
      <text>
        <t>Tanım: Tutar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D13" authorId="0" shapeId="0">
      <text>
        <t>Tanım: KDV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E13" authorId="0" shapeId="0">
      <text>
        <t>Tanım: Kaynak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F13" authorId="0" shapeId="0">
      <text>
        <t>Tanım: Durum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G13" authorId="0" shapeId="0">
      <text>
        <t>Tanım: Not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H13" authorId="0" shapeId="0">
      <text>
        <t>Tanım: Kontrol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A14" authorId="0" shapeId="0">
      <text>
        <t>Tanım: Satır Numarası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B14" authorId="0" shapeId="0">
      <text>
        <t>Tanım: Belge/Kalem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C14" authorId="0" shapeId="0">
      <text>
        <t>Tanım: Tutar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D14" authorId="0" shapeId="0">
      <text>
        <t>Tanım: KDV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E14" authorId="0" shapeId="0">
      <text>
        <t>Tanım: Kaynak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F14" authorId="0" shapeId="0">
      <text>
        <t>Tanım: Durum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G14" authorId="0" shapeId="0">
      <text>
        <t>Tanım: Not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H14" authorId="0" shapeId="0">
      <text>
        <t>Tanım: Kontrol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A15" authorId="0" shapeId="0">
      <text>
        <t>Tanım: Satır Numarası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B15" authorId="0" shapeId="0">
      <text>
        <t>Tanım: Belge/Kalem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C15" authorId="0" shapeId="0">
      <text>
        <t>Tanım: Tutar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D15" authorId="0" shapeId="0">
      <text>
        <t>Tanım: KDV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E15" authorId="0" shapeId="0">
      <text>
        <t>Tanım: Kaynak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F15" authorId="0" shapeId="0">
      <text>
        <t>Tanım: Durum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G15" authorId="0" shapeId="0">
      <text>
        <t>Tanım: Not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H15" authorId="0" shapeId="0">
      <text>
        <t>Tanım: Kontrol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A16" authorId="0" shapeId="0">
      <text>
        <t>Tanım: Satır Numarası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B16" authorId="0" shapeId="0">
      <text>
        <t>Tanım: Belge/Kalem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C16" authorId="0" shapeId="0">
      <text>
        <t>Tanım: Tutar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D16" authorId="0" shapeId="0">
      <text>
        <t>Tanım: KDV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E16" authorId="0" shapeId="0">
      <text>
        <t>Tanım: Kaynak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F16" authorId="0" shapeId="0">
      <text>
        <t>Tanım: Durum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G16" authorId="0" shapeId="0">
      <text>
        <t>Tanım: Not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H16" authorId="0" shapeId="0">
      <text>
        <t>Tanım: Kontrol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A17" authorId="0" shapeId="0">
      <text>
        <t>Tanım: Satır Numarası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B17" authorId="0" shapeId="0">
      <text>
        <t>Tanım: Belge/Kalem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C17" authorId="0" shapeId="0">
      <text>
        <t>Tanım: Tutar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D17" authorId="0" shapeId="0">
      <text>
        <t>Tanım: KDV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E17" authorId="0" shapeId="0">
      <text>
        <t>Tanım: Kaynak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F17" authorId="0" shapeId="0">
      <text>
        <t>Tanım: Durum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G17" authorId="0" shapeId="0">
      <text>
        <t>Tanım: Not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H17" authorId="0" shapeId="0">
      <text>
        <t>Tanım: Kontrol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A18" authorId="0" shapeId="0">
      <text>
        <t>Tanım: Satır Numarası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B18" authorId="0" shapeId="0">
      <text>
        <t>Tanım: Belge/Kalem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C18" authorId="0" shapeId="0">
      <text>
        <t>Tanım: Tutar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D18" authorId="0" shapeId="0">
      <text>
        <t>Tanım: KDV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E18" authorId="0" shapeId="0">
      <text>
        <t>Tanım: Kaynak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F18" authorId="0" shapeId="0">
      <text>
        <t>Tanım: Durum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G18" authorId="0" shapeId="0">
      <text>
        <t>Tanım: Not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H18" authorId="0" shapeId="0">
      <text>
        <t>Tanım: Kontrol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A19" authorId="0" shapeId="0">
      <text>
        <t>Tanım: Satır Numarası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B19" authorId="0" shapeId="0">
      <text>
        <t>Tanım: Belge/Kalem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C19" authorId="0" shapeId="0">
      <text>
        <t>Tanım: Tutar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D19" authorId="0" shapeId="0">
      <text>
        <t>Tanım: KDV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E19" authorId="0" shapeId="0">
      <text>
        <t>Tanım: Kaynak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F19" authorId="0" shapeId="0">
      <text>
        <t>Tanım: Durum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G19" authorId="0" shapeId="0">
      <text>
        <t>Tanım: Not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H19" authorId="0" shapeId="0">
      <text>
        <t>Tanım: Kontrol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A20" authorId="0" shapeId="0">
      <text>
        <t>Tanım: Satır Numarası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B20" authorId="0" shapeId="0">
      <text>
        <t>Tanım: Belge/Kalem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C20" authorId="0" shapeId="0">
      <text>
        <t>Tanım: Tutar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D20" authorId="0" shapeId="0">
      <text>
        <t>Tanım: KDV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E20" authorId="0" shapeId="0">
      <text>
        <t>Tanım: Kaynak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F20" authorId="0" shapeId="0">
      <text>
        <t>Tanım: Durum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G20" authorId="0" shapeId="0">
      <text>
        <t>Tanım: Not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H20" authorId="0" shapeId="0">
      <text>
        <t>Tanım: Kontrol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A21" authorId="0" shapeId="0">
      <text>
        <t>Tanım: Satır Numarası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B21" authorId="0" shapeId="0">
      <text>
        <t>Tanım: Belge/Kalem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C21" authorId="0" shapeId="0">
      <text>
        <t>Tanım: Tutar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D21" authorId="0" shapeId="0">
      <text>
        <t>Tanım: KDV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E21" authorId="0" shapeId="0">
      <text>
        <t>Tanım: Kaynak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F21" authorId="0" shapeId="0">
      <text>
        <t>Tanım: Durum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G21" authorId="0" shapeId="0">
      <text>
        <t>Tanım: Not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H21" authorId="0" shapeId="0">
      <text>
        <t>Tanım: Kontrol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A22" authorId="0" shapeId="0">
      <text>
        <t>Tanım: Satır Numarası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B22" authorId="0" shapeId="0">
      <text>
        <t>Tanım: Belge/Kalem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C22" authorId="0" shapeId="0">
      <text>
        <t>Tanım: Tutar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D22" authorId="0" shapeId="0">
      <text>
        <t>Tanım: KDV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E22" authorId="0" shapeId="0">
      <text>
        <t>Tanım: Kaynak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F22" authorId="0" shapeId="0">
      <text>
        <t>Tanım: Durum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G22" authorId="0" shapeId="0">
      <text>
        <t>Tanım: Not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H22" authorId="0" shapeId="0">
      <text>
        <t>Tanım: Kontrol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A23" authorId="0" shapeId="0">
      <text>
        <t>Tanım: Satır Numarası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B23" authorId="0" shapeId="0">
      <text>
        <t>Tanım: Belge/Kalem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C23" authorId="0" shapeId="0">
      <text>
        <t>Tanım: Tutar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D23" authorId="0" shapeId="0">
      <text>
        <t>Tanım: KDV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E23" authorId="0" shapeId="0">
      <text>
        <t>Tanım: Kaynak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F23" authorId="0" shapeId="0">
      <text>
        <t>Tanım: Durum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G23" authorId="0" shapeId="0">
      <text>
        <t>Tanım: Not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H23" authorId="0" shapeId="0">
      <text>
        <t>Tanım: Kontrol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A24" authorId="0" shapeId="0">
      <text>
        <t>Tanım: Satır Numarası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B24" authorId="0" shapeId="0">
      <text>
        <t>Tanım: Belge/Kalem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C24" authorId="0" shapeId="0">
      <text>
        <t>Tanım: Tutar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D24" authorId="0" shapeId="0">
      <text>
        <t>Tanım: KDV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E24" authorId="0" shapeId="0">
      <text>
        <t>Tanım: Kaynak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F24" authorId="0" shapeId="0">
      <text>
        <t>Tanım: Durum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G24" authorId="0" shapeId="0">
      <text>
        <t>Tanım: Not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H24" authorId="0" shapeId="0">
      <text>
        <t>Tanım: Kontrol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A25" authorId="0" shapeId="0">
      <text>
        <t>Tanım: Satır Numarası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B25" authorId="0" shapeId="0">
      <text>
        <t>Tanım: Belge/Kalem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C25" authorId="0" shapeId="0">
      <text>
        <t>Tanım: Tutar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D25" authorId="0" shapeId="0">
      <text>
        <t>Tanım: KDV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E25" authorId="0" shapeId="0">
      <text>
        <t>Tanım: Kaynak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F25" authorId="0" shapeId="0">
      <text>
        <t>Tanım: Durum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G25" authorId="0" shapeId="0">
      <text>
        <t>Tanım: Not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H25" authorId="0" shapeId="0">
      <text>
        <t>Tanım: Kontrol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A26" authorId="0" shapeId="0">
      <text>
        <t>Tanım: Satır Numarası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B26" authorId="0" shapeId="0">
      <text>
        <t>Tanım: Belge/Kalem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C26" authorId="0" shapeId="0">
      <text>
        <t>Tanım: Tutar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D26" authorId="0" shapeId="0">
      <text>
        <t>Tanım: KDV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E26" authorId="0" shapeId="0">
      <text>
        <t>Tanım: Kaynak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F26" authorId="0" shapeId="0">
      <text>
        <t>Tanım: Durum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G26" authorId="0" shapeId="0">
      <text>
        <t>Tanım: Not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H26" authorId="0" shapeId="0">
      <text>
        <t>Tanım: Kontrol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A27" authorId="0" shapeId="0">
      <text>
        <t>Tanım: Satır Numarası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B27" authorId="0" shapeId="0">
      <text>
        <t>Tanım: Belge/Kalem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C27" authorId="0" shapeId="0">
      <text>
        <t>Tanım: Tutar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D27" authorId="0" shapeId="0">
      <text>
        <t>Tanım: KDV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E27" authorId="0" shapeId="0">
      <text>
        <t>Tanım: Kaynak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F27" authorId="0" shapeId="0">
      <text>
        <t>Tanım: Durum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G27" authorId="0" shapeId="0">
      <text>
        <t>Tanım: Not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H27" authorId="0" shapeId="0">
      <text>
        <t>Tanım: Kontrol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A28" authorId="0" shapeId="0">
      <text>
        <t>Tanım: Satır Numarası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B28" authorId="0" shapeId="0">
      <text>
        <t>Tanım: Belge/Kalem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C28" authorId="0" shapeId="0">
      <text>
        <t>Tanım: Tutar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D28" authorId="0" shapeId="0">
      <text>
        <t>Tanım: KDV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E28" authorId="0" shapeId="0">
      <text>
        <t>Tanım: Kaynak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F28" authorId="0" shapeId="0">
      <text>
        <t>Tanım: Durum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G28" authorId="0" shapeId="0">
      <text>
        <t>Tanım: Not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H28" authorId="0" shapeId="0">
      <text>
        <t>Tanım: Kontrol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A29" authorId="0" shapeId="0">
      <text>
        <t>Tanım: Satır Numarası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B29" authorId="0" shapeId="0">
      <text>
        <t>Tanım: Belge/Kalem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C29" authorId="0" shapeId="0">
      <text>
        <t>Tanım: Tutar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D29" authorId="0" shapeId="0">
      <text>
        <t>Tanım: KDV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E29" authorId="0" shapeId="0">
      <text>
        <t>Tanım: Kaynak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F29" authorId="0" shapeId="0">
      <text>
        <t>Tanım: Durum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G29" authorId="0" shapeId="0">
      <text>
        <t>Tanım: Not | Neden önemli: GİB 7 liste iade kararını etkiler | Doğru kullanım: İade Hesap Cetveli satırı | Örnek: demo satırına bakın | Yanlışsa: Liste tutarlılığı ve karar kapısı bozulur | Kaynak: KDVK / GİB iade listeleri</t>
      </text>
    </comment>
    <comment ref="H29" authorId="0" shapeId="0">
      <text>
        <t>Tanım: Kontrol | Neden önemli: GİB 7 liste iade kararını etkiler | Doğru kullanım: İade Hesap Cetveli satırı | Örnek: demo satırına bakın | Yanlışsa: Liste tutarlılığı ve karar kapısı bozulur | Kaynak: KDVK / GİB iade listeleri</t>
      </text>
    </comment>
  </commentList>
</comments>
</file>

<file path=xl/comments/comment9.xml><?xml version="1.0" encoding="utf-8"?>
<comments xmlns="http://schemas.openxmlformats.org/spreadsheetml/2006/main">
  <authors>
    <author>ExcelArşiv</author>
  </authors>
  <commentList>
    <comment ref="A7" authorId="0" shapeId="0">
      <text>
        <t>Tanım: Satır Numarası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B7" authorId="0" shapeId="0">
      <text>
        <t>Tanım: Belge/Kalem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C7" authorId="0" shapeId="0">
      <text>
        <t>Tanım: Tutar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D7" authorId="0" shapeId="0">
      <text>
        <t>Tanım: KDV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E7" authorId="0" shapeId="0">
      <text>
        <t>Tanım: Kaynak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F7" authorId="0" shapeId="0">
      <text>
        <t>Tanım: Durum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G7" authorId="0" shapeId="0">
      <text>
        <t>Tanım: Not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H7" authorId="0" shapeId="0">
      <text>
        <t>Tanım: Kontrol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A8" authorId="0" shapeId="0">
      <text>
        <t>Tanım: Satır Numarası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B8" authorId="0" shapeId="0">
      <text>
        <t>Tanım: Belge/Kalem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C8" authorId="0" shapeId="0">
      <text>
        <t>Tanım: Tutar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D8" authorId="0" shapeId="0">
      <text>
        <t>Tanım: KDV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E8" authorId="0" shapeId="0">
      <text>
        <t>Tanım: Kaynak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F8" authorId="0" shapeId="0">
      <text>
        <t>Tanım: Durum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G8" authorId="0" shapeId="0">
      <text>
        <t>Tanım: Not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H8" authorId="0" shapeId="0">
      <text>
        <t>Tanım: Kontrol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A9" authorId="0" shapeId="0">
      <text>
        <t>Tanım: Satır Numarası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B9" authorId="0" shapeId="0">
      <text>
        <t>Tanım: Belge/Kalem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C9" authorId="0" shapeId="0">
      <text>
        <t>Tanım: Tutar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D9" authorId="0" shapeId="0">
      <text>
        <t>Tanım: KDV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E9" authorId="0" shapeId="0">
      <text>
        <t>Tanım: Kaynak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F9" authorId="0" shapeId="0">
      <text>
        <t>Tanım: Durum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G9" authorId="0" shapeId="0">
      <text>
        <t>Tanım: Not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H9" authorId="0" shapeId="0">
      <text>
        <t>Tanım: Kontrol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A10" authorId="0" shapeId="0">
      <text>
        <t>Tanım: Satır Numarası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B10" authorId="0" shapeId="0">
      <text>
        <t>Tanım: Belge/Kalem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C10" authorId="0" shapeId="0">
      <text>
        <t>Tanım: Tutar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D10" authorId="0" shapeId="0">
      <text>
        <t>Tanım: KDV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E10" authorId="0" shapeId="0">
      <text>
        <t>Tanım: Kaynak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F10" authorId="0" shapeId="0">
      <text>
        <t>Tanım: Durum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G10" authorId="0" shapeId="0">
      <text>
        <t>Tanım: Not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H10" authorId="0" shapeId="0">
      <text>
        <t>Tanım: Kontrol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A11" authorId="0" shapeId="0">
      <text>
        <t>Tanım: Satır Numarası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B11" authorId="0" shapeId="0">
      <text>
        <t>Tanım: Belge/Kalem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C11" authorId="0" shapeId="0">
      <text>
        <t>Tanım: Tutar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D11" authorId="0" shapeId="0">
      <text>
        <t>Tanım: KDV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E11" authorId="0" shapeId="0">
      <text>
        <t>Tanım: Kaynak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F11" authorId="0" shapeId="0">
      <text>
        <t>Tanım: Durum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G11" authorId="0" shapeId="0">
      <text>
        <t>Tanım: Not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H11" authorId="0" shapeId="0">
      <text>
        <t>Tanım: Kontrol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A12" authorId="0" shapeId="0">
      <text>
        <t>Tanım: Satır Numarası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B12" authorId="0" shapeId="0">
      <text>
        <t>Tanım: Belge/Kalem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C12" authorId="0" shapeId="0">
      <text>
        <t>Tanım: Tutar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D12" authorId="0" shapeId="0">
      <text>
        <t>Tanım: KDV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E12" authorId="0" shapeId="0">
      <text>
        <t>Tanım: Kaynak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F12" authorId="0" shapeId="0">
      <text>
        <t>Tanım: Durum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G12" authorId="0" shapeId="0">
      <text>
        <t>Tanım: Not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H12" authorId="0" shapeId="0">
      <text>
        <t>Tanım: Kontrol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A13" authorId="0" shapeId="0">
      <text>
        <t>Tanım: Satır Numarası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B13" authorId="0" shapeId="0">
      <text>
        <t>Tanım: Belge/Kalem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C13" authorId="0" shapeId="0">
      <text>
        <t>Tanım: Tutar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D13" authorId="0" shapeId="0">
      <text>
        <t>Tanım: KDV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E13" authorId="0" shapeId="0">
      <text>
        <t>Tanım: Kaynak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F13" authorId="0" shapeId="0">
      <text>
        <t>Tanım: Durum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G13" authorId="0" shapeId="0">
      <text>
        <t>Tanım: Not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H13" authorId="0" shapeId="0">
      <text>
        <t>Tanım: Kontrol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A14" authorId="0" shapeId="0">
      <text>
        <t>Tanım: Satır Numarası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B14" authorId="0" shapeId="0">
      <text>
        <t>Tanım: Belge/Kalem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C14" authorId="0" shapeId="0">
      <text>
        <t>Tanım: Tutar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D14" authorId="0" shapeId="0">
      <text>
        <t>Tanım: KDV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E14" authorId="0" shapeId="0">
      <text>
        <t>Tanım: Kaynak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F14" authorId="0" shapeId="0">
      <text>
        <t>Tanım: Durum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G14" authorId="0" shapeId="0">
      <text>
        <t>Tanım: Not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H14" authorId="0" shapeId="0">
      <text>
        <t>Tanım: Kontrol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A15" authorId="0" shapeId="0">
      <text>
        <t>Tanım: Satır Numarası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B15" authorId="0" shapeId="0">
      <text>
        <t>Tanım: Belge/Kalem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C15" authorId="0" shapeId="0">
      <text>
        <t>Tanım: Tutar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D15" authorId="0" shapeId="0">
      <text>
        <t>Tanım: KDV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E15" authorId="0" shapeId="0">
      <text>
        <t>Tanım: Kaynak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F15" authorId="0" shapeId="0">
      <text>
        <t>Tanım: Durum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G15" authorId="0" shapeId="0">
      <text>
        <t>Tanım: Not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H15" authorId="0" shapeId="0">
      <text>
        <t>Tanım: Kontrol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A16" authorId="0" shapeId="0">
      <text>
        <t>Tanım: Satır Numarası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B16" authorId="0" shapeId="0">
      <text>
        <t>Tanım: Belge/Kalem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C16" authorId="0" shapeId="0">
      <text>
        <t>Tanım: Tutar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D16" authorId="0" shapeId="0">
      <text>
        <t>Tanım: KDV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E16" authorId="0" shapeId="0">
      <text>
        <t>Tanım: Kaynak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F16" authorId="0" shapeId="0">
      <text>
        <t>Tanım: Durum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G16" authorId="0" shapeId="0">
      <text>
        <t>Tanım: Not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H16" authorId="0" shapeId="0">
      <text>
        <t>Tanım: Kontrol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A17" authorId="0" shapeId="0">
      <text>
        <t>Tanım: Satır Numarası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B17" authorId="0" shapeId="0">
      <text>
        <t>Tanım: Belge/Kalem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C17" authorId="0" shapeId="0">
      <text>
        <t>Tanım: Tutar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D17" authorId="0" shapeId="0">
      <text>
        <t>Tanım: KDV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E17" authorId="0" shapeId="0">
      <text>
        <t>Tanım: Kaynak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F17" authorId="0" shapeId="0">
      <text>
        <t>Tanım: Durum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G17" authorId="0" shapeId="0">
      <text>
        <t>Tanım: Not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H17" authorId="0" shapeId="0">
      <text>
        <t>Tanım: Kontrol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A18" authorId="0" shapeId="0">
      <text>
        <t>Tanım: Satır Numarası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B18" authorId="0" shapeId="0">
      <text>
        <t>Tanım: Belge/Kalem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C18" authorId="0" shapeId="0">
      <text>
        <t>Tanım: Tutar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D18" authorId="0" shapeId="0">
      <text>
        <t>Tanım: KDV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E18" authorId="0" shapeId="0">
      <text>
        <t>Tanım: Kaynak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F18" authorId="0" shapeId="0">
      <text>
        <t>Tanım: Durum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G18" authorId="0" shapeId="0">
      <text>
        <t>Tanım: Not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H18" authorId="0" shapeId="0">
      <text>
        <t>Tanım: Kontrol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A19" authorId="0" shapeId="0">
      <text>
        <t>Tanım: Satır Numarası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B19" authorId="0" shapeId="0">
      <text>
        <t>Tanım: Belge/Kalem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C19" authorId="0" shapeId="0">
      <text>
        <t>Tanım: Tutar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D19" authorId="0" shapeId="0">
      <text>
        <t>Tanım: KDV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E19" authorId="0" shapeId="0">
      <text>
        <t>Tanım: Kaynak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F19" authorId="0" shapeId="0">
      <text>
        <t>Tanım: Durum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G19" authorId="0" shapeId="0">
      <text>
        <t>Tanım: Not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H19" authorId="0" shapeId="0">
      <text>
        <t>Tanım: Kontrol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A20" authorId="0" shapeId="0">
      <text>
        <t>Tanım: Satır Numarası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B20" authorId="0" shapeId="0">
      <text>
        <t>Tanım: Belge/Kalem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C20" authorId="0" shapeId="0">
      <text>
        <t>Tanım: Tutar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D20" authorId="0" shapeId="0">
      <text>
        <t>Tanım: KDV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E20" authorId="0" shapeId="0">
      <text>
        <t>Tanım: Kaynak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F20" authorId="0" shapeId="0">
      <text>
        <t>Tanım: Durum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G20" authorId="0" shapeId="0">
      <text>
        <t>Tanım: Not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H20" authorId="0" shapeId="0">
      <text>
        <t>Tanım: Kontrol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A21" authorId="0" shapeId="0">
      <text>
        <t>Tanım: Satır Numarası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B21" authorId="0" shapeId="0">
      <text>
        <t>Tanım: Belge/Kalem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C21" authorId="0" shapeId="0">
      <text>
        <t>Tanım: Tutar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D21" authorId="0" shapeId="0">
      <text>
        <t>Tanım: KDV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E21" authorId="0" shapeId="0">
      <text>
        <t>Tanım: Kaynak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F21" authorId="0" shapeId="0">
      <text>
        <t>Tanım: Durum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G21" authorId="0" shapeId="0">
      <text>
        <t>Tanım: Not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H21" authorId="0" shapeId="0">
      <text>
        <t>Tanım: Kontrol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A22" authorId="0" shapeId="0">
      <text>
        <t>Tanım: Satır Numarası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B22" authorId="0" shapeId="0">
      <text>
        <t>Tanım: Belge/Kalem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C22" authorId="0" shapeId="0">
      <text>
        <t>Tanım: Tutar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D22" authorId="0" shapeId="0">
      <text>
        <t>Tanım: KDV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E22" authorId="0" shapeId="0">
      <text>
        <t>Tanım: Kaynak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F22" authorId="0" shapeId="0">
      <text>
        <t>Tanım: Durum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G22" authorId="0" shapeId="0">
      <text>
        <t>Tanım: Not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H22" authorId="0" shapeId="0">
      <text>
        <t>Tanım: Kontrol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A23" authorId="0" shapeId="0">
      <text>
        <t>Tanım: Satır Numarası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B23" authorId="0" shapeId="0">
      <text>
        <t>Tanım: Belge/Kalem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C23" authorId="0" shapeId="0">
      <text>
        <t>Tanım: Tutar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D23" authorId="0" shapeId="0">
      <text>
        <t>Tanım: KDV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E23" authorId="0" shapeId="0">
      <text>
        <t>Tanım: Kaynak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F23" authorId="0" shapeId="0">
      <text>
        <t>Tanım: Durum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G23" authorId="0" shapeId="0">
      <text>
        <t>Tanım: Not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H23" authorId="0" shapeId="0">
      <text>
        <t>Tanım: Kontrol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A24" authorId="0" shapeId="0">
      <text>
        <t>Tanım: Satır Numarası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B24" authorId="0" shapeId="0">
      <text>
        <t>Tanım: Belge/Kalem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C24" authorId="0" shapeId="0">
      <text>
        <t>Tanım: Tutar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D24" authorId="0" shapeId="0">
      <text>
        <t>Tanım: KDV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E24" authorId="0" shapeId="0">
      <text>
        <t>Tanım: Kaynak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F24" authorId="0" shapeId="0">
      <text>
        <t>Tanım: Durum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G24" authorId="0" shapeId="0">
      <text>
        <t>Tanım: Not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H24" authorId="0" shapeId="0">
      <text>
        <t>Tanım: Kontrol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A25" authorId="0" shapeId="0">
      <text>
        <t>Tanım: Satır Numarası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B25" authorId="0" shapeId="0">
      <text>
        <t>Tanım: Belge/Kalem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C25" authorId="0" shapeId="0">
      <text>
        <t>Tanım: Tutar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D25" authorId="0" shapeId="0">
      <text>
        <t>Tanım: KDV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E25" authorId="0" shapeId="0">
      <text>
        <t>Tanım: Kaynak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F25" authorId="0" shapeId="0">
      <text>
        <t>Tanım: Durum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G25" authorId="0" shapeId="0">
      <text>
        <t>Tanım: Not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H25" authorId="0" shapeId="0">
      <text>
        <t>Tanım: Kontrol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A26" authorId="0" shapeId="0">
      <text>
        <t>Tanım: Satır Numarası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B26" authorId="0" shapeId="0">
      <text>
        <t>Tanım: Belge/Kalem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C26" authorId="0" shapeId="0">
      <text>
        <t>Tanım: Tutar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D26" authorId="0" shapeId="0">
      <text>
        <t>Tanım: KDV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E26" authorId="0" shapeId="0">
      <text>
        <t>Tanım: Kaynak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F26" authorId="0" shapeId="0">
      <text>
        <t>Tanım: Durum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G26" authorId="0" shapeId="0">
      <text>
        <t>Tanım: Not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H26" authorId="0" shapeId="0">
      <text>
        <t>Tanım: Kontrol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A27" authorId="0" shapeId="0">
      <text>
        <t>Tanım: Satır Numarası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B27" authorId="0" shapeId="0">
      <text>
        <t>Tanım: Belge/Kalem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C27" authorId="0" shapeId="0">
      <text>
        <t>Tanım: Tutar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D27" authorId="0" shapeId="0">
      <text>
        <t>Tanım: KDV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E27" authorId="0" shapeId="0">
      <text>
        <t>Tanım: Kaynak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F27" authorId="0" shapeId="0">
      <text>
        <t>Tanım: Durum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G27" authorId="0" shapeId="0">
      <text>
        <t>Tanım: Not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  <comment ref="H27" authorId="0" shapeId="0">
      <text>
        <t>Tanım: Kontrol | Neden önemli: GİB 7 liste iade kararını etkiler | Doğru kullanım: Ek Belge / Tamamlayıcı Liste satırı | Örnek: demo satırına bakın | Yanlışsa: Liste tutarlılığı ve karar kapısı bozulur | Kaynak: KDVK / GİB iade listeleri</t>
      </text>
    </comment>
  </commentList>
</comments>
</file>

<file path=xl/comments/comment10.xml><?xml version="1.0" encoding="utf-8"?>
<comments xmlns="http://schemas.openxmlformats.org/spreadsheetml/2006/main">
  <authors>
    <author>ExcelArşiv</author>
  </authors>
  <commentList>
    <comment ref="B31" authorId="0" shapeId="0">
      <text>
        <t>Tanım: İmza | Neden önemli: GİB 7 liste iade kararını etkiler | Doğru kullanım: Raporu hazırlayan kişinin adını yazın. | Örnek: demo satırına bakın | Yanlışsa: Liste tutarlılığı ve karar kapısı bozulur | Kaynak: KDVK / GİB iade listeleri</t>
      </text>
    </comment>
    <comment ref="B32" authorId="0" shapeId="0">
      <text>
        <t>Tanım: Onay | Neden önemli: GİB 7 liste iade kararını etkiler | Doğru kullanım: Onaylayan kişinin adını yazın. | Örnek: demo satırına bakın | Yanlışsa: Liste tutarlılığı ve karar kapısı bozulur | Kaynak: KDVK / GİB iade listeleri</t>
      </text>
    </comment>
  </commentList>
</comments>
</file>

<file path=xl/comments/comment11.xml><?xml version="1.0" encoding="utf-8"?>
<comments xmlns="http://schemas.openxmlformats.org/spreadsheetml/2006/main">
  <authors>
    <author>ExcelArşiv</author>
  </authors>
  <commentList>
    <comment ref="B5" authorId="0" shapeId="0">
      <text>
        <t>Tanım: Giriş tablosu boş mu? | Canlı formül | Değiştirmeyin</t>
      </text>
    </comment>
    <comment ref="B6" authorId="0" shapeId="0">
      <text>
        <t>Tanım: Negatif KDV tutarı var mı? | Canlı formül | Değiştirmeyin</t>
      </text>
    </comment>
    <comment ref="B7" authorId="0" shapeId="0">
      <text>
        <t>Tanım: Hesap yılı geçerli mi? | Canlı formül | Değiştirmeyin</t>
      </text>
    </comment>
    <comment ref="B8" authorId="0" shapeId="0">
      <text>
        <t>Tanım: İade seçili sıfır mı? | Canlı formül | Değiştirmeyin</t>
      </text>
    </comment>
    <comment ref="B9" authorId="0" shapeId="0">
      <text>
        <t>Tanım: Vaka kırık mı? | Canlı formül | Değiştirmeyin</t>
      </text>
    </comment>
    <comment ref="B10" authorId="0" shapeId="0">
      <text>
        <t>Tanım: İade eşiği aşıyor mu? | Canlı formül | Değiştirmeyin</t>
      </text>
    </comment>
    <comment ref="B11" authorId="0" shapeId="0">
      <text>
        <t>Tanım: Belge eksik mi? | Canlı formül | Değiştirmeyin</t>
      </text>
    </comment>
    <comment ref="B12" authorId="0" shapeId="0">
      <text>
        <t>Tanım: Yorum A/B seçili mi? | Canlı formül | Değiştirmeyin</t>
      </text>
    </comment>
    <comment ref="B13" authorId="0" shapeId="0">
      <text>
        <t>Tanım: Motor adım sayısı | Canlı formül | Değiştirmeyin</t>
      </text>
    </comment>
    <comment ref="B14" authorId="0" shapeId="0">
      <text>
        <t>Tanım: Yedi liste metni dolu mu? | Canlı formül | Değiştirmeyin</t>
      </text>
    </comment>
  </commentList>
</comments>
</file>

<file path=xl/comments/comment12.xml><?xml version="1.0" encoding="utf-8"?>
<comments xmlns="http://schemas.openxmlformats.org/spreadsheetml/2006/main">
  <authors>
    <author>ExcelArşiv</author>
  </authors>
  <commentList>
    <comment ref="A6" authorId="0" shapeId="0">
      <text>
        <t>Tanım: Senaryo | Neden önemli: GİB 7 liste iade kararını etkiler | Doğru kullanım: Örnek senaryo satırı | Örnek: demo satırına bakın | Yanlışsa: Liste tutarlılığı ve karar kapısı bozulur | Kaynak: KDVK / GİB iade listeleri</t>
      </text>
    </comment>
    <comment ref="B6" authorId="0" shapeId="0">
      <text>
        <t>Tanım: İndirilecek | Neden önemli: GİB 7 liste iade kararını etkiler | Doğru kullanım: Örnek senaryo satırı | Örnek: demo satırına bakın | Yanlışsa: Liste tutarlılığı ve karar kapısı bozulur | Kaynak: KDVK / GİB iade listeleri</t>
      </text>
    </comment>
    <comment ref="C6" authorId="0" shapeId="0">
      <text>
        <t>Tanım: Yüklenilen | Neden önemli: GİB 7 liste iade kararını etkiler | Doğru kullanım: Örnek senaryo satırı | Örnek: demo satırına bakın | Yanlışsa: Liste tutarlılığı ve karar kapısı bozulur | Kaynak: KDVK / GİB iade listeleri</t>
      </text>
    </comment>
    <comment ref="D6" authorId="0" shapeId="0">
      <text>
        <t>Tanım: GÇB | Neden önemli: GİB 7 liste iade kararını etkiler | Doğru kullanım: Örnek senaryo satırı | Örnek: demo satırına bakın | Yanlışsa: Liste tutarlılığı ve karar kapısı bozulur | Kaynak: KDVK / GİB iade listeleri</t>
      </text>
    </comment>
    <comment ref="E6" authorId="0" shapeId="0">
      <text>
        <t>Tanım: İhraç | Neden önemli: GİB 7 liste iade kararını etkiler | Doğru kullanım: Örnek senaryo satırı | Örnek: demo satırına bakın | Yanlışsa: Liste tutarlılığı ve karar kapısı bozulur | Kaynak: KDVK / GİB iade listeleri</t>
      </text>
    </comment>
    <comment ref="F6" authorId="0" shapeId="0">
      <text>
        <t>Tanım: Belge Eksik | Neden önemli: GİB 7 liste iade kararını etkiler | Doğru kullanım: Örnek senaryo satırı | Örnek: demo satırına bakın | Yanlışsa: Liste tutarlılığı ve karar kapısı bozulur | Kaynak: KDVK / GİB iade listeleri</t>
      </text>
    </comment>
    <comment ref="G6" authorId="0" shapeId="0">
      <text>
        <t>Tanım: İade Talep | Neden önemli: GİB 7 liste iade kararını etkiler | Doğru kullanım: Örnek senaryo satırı | Örnek: demo satırına bakın | Yanlışsa: Liste tutarlılığı ve karar kapısı bozulur | Kaynak: KDVK / GİB iade listeleri</t>
      </text>
    </comment>
    <comment ref="H6" authorId="0" shapeId="0">
      <text>
        <t>Tanım: Yorum | Neden önemli: GİB 7 liste iade kararını etkiler | Doğru kullanım: Örnek senaryo satırı | Örnek: demo satırına bakın | Yanlışsa: Liste tutarlılığı ve karar kapısı bozulur | Kaynak: KDVK / GİB iade listeleri</t>
      </text>
    </comment>
    <comment ref="I6" authorId="0" shapeId="0">
      <text>
        <t>Tanım: İade Seçili | Neden önemli: GİB 7 liste iade kararını etkiler | Doğru kullanım: Örnek senaryo satırı | Örnek: demo satırına bakın | Yanlışsa: Liste tutarlılığı ve karar kapısı bozulur | Kaynak: KDVK / GİB iade listeleri</t>
      </text>
    </comment>
    <comment ref="A7" authorId="0" shapeId="0">
      <text>
        <t>Tanım: Senaryo | Neden önemli: GİB 7 liste iade kararını etkiler | Doğru kullanım: Örnek senaryo satırı | Örnek: demo satırına bakın | Yanlışsa: Liste tutarlılığı ve karar kapısı bozulur | Kaynak: KDVK / GİB iade listeleri</t>
      </text>
    </comment>
    <comment ref="B7" authorId="0" shapeId="0">
      <text>
        <t>Tanım: İndirilecek | Neden önemli: GİB 7 liste iade kararını etkiler | Doğru kullanım: Örnek senaryo satırı | Örnek: demo satırına bakın | Yanlışsa: Liste tutarlılığı ve karar kapısı bozulur | Kaynak: KDVK / GİB iade listeleri</t>
      </text>
    </comment>
    <comment ref="C7" authorId="0" shapeId="0">
      <text>
        <t>Tanım: Yüklenilen | Neden önemli: GİB 7 liste iade kararını etkiler | Doğru kullanım: Örnek senaryo satırı | Örnek: demo satırına bakın | Yanlışsa: Liste tutarlılığı ve karar kapısı bozulur | Kaynak: KDVK / GİB iade listeleri</t>
      </text>
    </comment>
    <comment ref="D7" authorId="0" shapeId="0">
      <text>
        <t>Tanım: GÇB | Neden önemli: GİB 7 liste iade kararını etkiler | Doğru kullanım: Örnek senaryo satırı | Örnek: demo satırına bakın | Yanlışsa: Liste tutarlılığı ve karar kapısı bozulur | Kaynak: KDVK / GİB iade listeleri</t>
      </text>
    </comment>
    <comment ref="E7" authorId="0" shapeId="0">
      <text>
        <t>Tanım: İhraç | Neden önemli: GİB 7 liste iade kararını etkiler | Doğru kullanım: Örnek senaryo satırı | Örnek: demo satırına bakın | Yanlışsa: Liste tutarlılığı ve karar kapısı bozulur | Kaynak: KDVK / GİB iade listeleri</t>
      </text>
    </comment>
    <comment ref="F7" authorId="0" shapeId="0">
      <text>
        <t>Tanım: Belge Eksik | Neden önemli: GİB 7 liste iade kararını etkiler | Doğru kullanım: Örnek senaryo satırı | Örnek: demo satırına bakın | Yanlışsa: Liste tutarlılığı ve karar kapısı bozulur | Kaynak: KDVK / GİB iade listeleri</t>
      </text>
    </comment>
    <comment ref="G7" authorId="0" shapeId="0">
      <text>
        <t>Tanım: İade Talep | Neden önemli: GİB 7 liste iade kararını etkiler | Doğru kullanım: Örnek senaryo satırı | Örnek: demo satırına bakın | Yanlışsa: Liste tutarlılığı ve karar kapısı bozulur | Kaynak: KDVK / GİB iade listeleri</t>
      </text>
    </comment>
    <comment ref="H7" authorId="0" shapeId="0">
      <text>
        <t>Tanım: Yorum | Neden önemli: GİB 7 liste iade kararını etkiler | Doğru kullanım: Örnek senaryo satırı | Örnek: demo satırına bakın | Yanlışsa: Liste tutarlılığı ve karar kapısı bozulur | Kaynak: KDVK / GİB iade listeleri</t>
      </text>
    </comment>
    <comment ref="I7" authorId="0" shapeId="0">
      <text>
        <t>Tanım: İade Seçili | Neden önemli: GİB 7 liste iade kararını etkiler | Doğru kullanım: Örnek senaryo satırı | Örnek: demo satırına bakın | Yanlışsa: Liste tutarlılığı ve karar kapısı bozulur | Kaynak: KDVK / GİB iade listeleri</t>
      </text>
    </comment>
    <comment ref="A8" authorId="0" shapeId="0">
      <text>
        <t>Tanım: Senaryo | Neden önemli: GİB 7 liste iade kararını etkiler | Doğru kullanım: Örnek senaryo satırı | Örnek: demo satırına bakın | Yanlışsa: Liste tutarlılığı ve karar kapısı bozulur | Kaynak: KDVK / GİB iade listeleri</t>
      </text>
    </comment>
    <comment ref="B8" authorId="0" shapeId="0">
      <text>
        <t>Tanım: İndirilecek | Neden önemli: GİB 7 liste iade kararını etkiler | Doğru kullanım: Örnek senaryo satırı | Örnek: demo satırına bakın | Yanlışsa: Liste tutarlılığı ve karar kapısı bozulur | Kaynak: KDVK / GİB iade listeleri</t>
      </text>
    </comment>
    <comment ref="C8" authorId="0" shapeId="0">
      <text>
        <t>Tanım: Yüklenilen | Neden önemli: GİB 7 liste iade kararını etkiler | Doğru kullanım: Örnek senaryo satırı | Örnek: demo satırına bakın | Yanlışsa: Liste tutarlılığı ve karar kapısı bozulur | Kaynak: KDVK / GİB iade listeleri</t>
      </text>
    </comment>
    <comment ref="D8" authorId="0" shapeId="0">
      <text>
        <t>Tanım: GÇB | Neden önemli: GİB 7 liste iade kararını etkiler | Doğru kullanım: Örnek senaryo satırı | Örnek: demo satırına bakın | Yanlışsa: Liste tutarlılığı ve karar kapısı bozulur | Kaynak: KDVK / GİB iade listeleri</t>
      </text>
    </comment>
    <comment ref="E8" authorId="0" shapeId="0">
      <text>
        <t>Tanım: İhraç | Neden önemli: GİB 7 liste iade kararını etkiler | Doğru kullanım: Örnek senaryo satırı | Örnek: demo satırına bakın | Yanlışsa: Liste tutarlılığı ve karar kapısı bozulur | Kaynak: KDVK / GİB iade listeleri</t>
      </text>
    </comment>
    <comment ref="F8" authorId="0" shapeId="0">
      <text>
        <t>Tanım: Belge Eksik | Neden önemli: GİB 7 liste iade kararını etkiler | Doğru kullanım: Örnek senaryo satırı | Örnek: demo satırına bakın | Yanlışsa: Liste tutarlılığı ve karar kapısı bozulur | Kaynak: KDVK / GİB iade listeleri</t>
      </text>
    </comment>
    <comment ref="G8" authorId="0" shapeId="0">
      <text>
        <t>Tanım: İade Talep | Neden önemli: GİB 7 liste iade kararını etkiler | Doğru kullanım: Örnek senaryo satırı | Örnek: demo satırına bakın | Yanlışsa: Liste tutarlılığı ve karar kapısı bozulur | Kaynak: KDVK / GİB iade listeleri</t>
      </text>
    </comment>
    <comment ref="H8" authorId="0" shapeId="0">
      <text>
        <t>Tanım: Yorum | Neden önemli: GİB 7 liste iade kararını etkiler | Doğru kullanım: Örnek senaryo satırı | Örnek: demo satırına bakın | Yanlışsa: Liste tutarlılığı ve karar kapısı bozulur | Kaynak: KDVK / GİB iade listeleri</t>
      </text>
    </comment>
    <comment ref="I8" authorId="0" shapeId="0">
      <text>
        <t>Tanım: İade Seçili | Neden önemli: GİB 7 liste iade kararını etkiler | Doğru kullanım: Örnek senaryo satırı | Örnek: demo satırına bakın | Yanlışsa: Liste tutarlılığı ve karar kapısı bozulur | Kaynak: KDVK / GİB iade listeleri</t>
      </text>
    </comment>
    <comment ref="A9" authorId="0" shapeId="0">
      <text>
        <t>Tanım: Senaryo | Neden önemli: GİB 7 liste iade kararını etkiler | Doğru kullanım: Örnek senaryo satırı | Örnek: demo satırına bakın | Yanlışsa: Liste tutarlılığı ve karar kapısı bozulur | Kaynak: KDVK / GİB iade listeleri</t>
      </text>
    </comment>
    <comment ref="B9" authorId="0" shapeId="0">
      <text>
        <t>Tanım: İndirilecek | Neden önemli: GİB 7 liste iade kararını etkiler | Doğru kullanım: Örnek senaryo satırı | Örnek: demo satırına bakın | Yanlışsa: Liste tutarlılığı ve karar kapısı bozulur | Kaynak: KDVK / GİB iade listeleri</t>
      </text>
    </comment>
    <comment ref="C9" authorId="0" shapeId="0">
      <text>
        <t>Tanım: Yüklenilen | Neden önemli: GİB 7 liste iade kararını etkiler | Doğru kullanım: Örnek senaryo satırı | Örnek: demo satırına bakın | Yanlışsa: Liste tutarlılığı ve karar kapısı bozulur | Kaynak: KDVK / GİB iade listeleri</t>
      </text>
    </comment>
    <comment ref="D9" authorId="0" shapeId="0">
      <text>
        <t>Tanım: GÇB | Neden önemli: GİB 7 liste iade kararını etkiler | Doğru kullanım: Örnek senaryo satırı | Örnek: demo satırına bakın | Yanlışsa: Liste tutarlılığı ve karar kapısı bozulur | Kaynak: KDVK / GİB iade listeleri</t>
      </text>
    </comment>
    <comment ref="E9" authorId="0" shapeId="0">
      <text>
        <t>Tanım: İhraç | Neden önemli: GİB 7 liste iade kararını etkiler | Doğru kullanım: Örnek senaryo satırı | Örnek: demo satırına bakın | Yanlışsa: Liste tutarlılığı ve karar kapısı bozulur | Kaynak: KDVK / GİB iade listeleri</t>
      </text>
    </comment>
    <comment ref="F9" authorId="0" shapeId="0">
      <text>
        <t>Tanım: Belge Eksik | Neden önemli: GİB 7 liste iade kararını etkiler | Doğru kullanım: Örnek senaryo satırı | Örnek: demo satırına bakın | Yanlışsa: Liste tutarlılığı ve karar kapısı bozulur | Kaynak: KDVK / GİB iade listeleri</t>
      </text>
    </comment>
    <comment ref="G9" authorId="0" shapeId="0">
      <text>
        <t>Tanım: İade Talep | Neden önemli: GİB 7 liste iade kararını etkiler | Doğru kullanım: Örnek senaryo satırı | Örnek: demo satırına bakın | Yanlışsa: Liste tutarlılığı ve karar kapısı bozulur | Kaynak: KDVK / GİB iade listeleri</t>
      </text>
    </comment>
    <comment ref="H9" authorId="0" shapeId="0">
      <text>
        <t>Tanım: Yorum | Neden önemli: GİB 7 liste iade kararını etkiler | Doğru kullanım: Örnek senaryo satırı | Örnek: demo satırına bakın | Yanlışsa: Liste tutarlılığı ve karar kapısı bozulur | Kaynak: KDVK / GİB iade listeleri</t>
      </text>
    </comment>
    <comment ref="I9" authorId="0" shapeId="0">
      <text>
        <t>Tanım: İade Seçili | Neden önemli: GİB 7 liste iade kararını etkiler | Doğru kullanım: Örnek senaryo satırı | Örnek: demo satırına bakın | Yanlışsa: Liste tutarlılığı ve karar kapısı bozulur | Kaynak: KDVK / GİB iade listeleri</t>
      </text>
    </comment>
    <comment ref="A10" authorId="0" shapeId="0">
      <text>
        <t>Tanım: Senaryo | Neden önemli: GİB 7 liste iade kararını etkiler | Doğru kullanım: Örnek senaryo satırı | Örnek: demo satırına bakın | Yanlışsa: Liste tutarlılığı ve karar kapısı bozulur | Kaynak: KDVK / GİB iade listeleri</t>
      </text>
    </comment>
    <comment ref="B10" authorId="0" shapeId="0">
      <text>
        <t>Tanım: İndirilecek | Neden önemli: GİB 7 liste iade kararını etkiler | Doğru kullanım: Örnek senaryo satırı | Örnek: demo satırına bakın | Yanlışsa: Liste tutarlılığı ve karar kapısı bozulur | Kaynak: KDVK / GİB iade listeleri</t>
      </text>
    </comment>
    <comment ref="C10" authorId="0" shapeId="0">
      <text>
        <t>Tanım: Yüklenilen | Neden önemli: GİB 7 liste iade kararını etkiler | Doğru kullanım: Örnek senaryo satırı | Örnek: demo satırına bakın | Yanlışsa: Liste tutarlılığı ve karar kapısı bozulur | Kaynak: KDVK / GİB iade listeleri</t>
      </text>
    </comment>
    <comment ref="D10" authorId="0" shapeId="0">
      <text>
        <t>Tanım: GÇB | Neden önemli: GİB 7 liste iade kararını etkiler | Doğru kullanım: Örnek senaryo satırı | Örnek: demo satırına bakın | Yanlışsa: Liste tutarlılığı ve karar kapısı bozulur | Kaynak: KDVK / GİB iade listeleri</t>
      </text>
    </comment>
    <comment ref="E10" authorId="0" shapeId="0">
      <text>
        <t>Tanım: İhraç | Neden önemli: GİB 7 liste iade kararını etkiler | Doğru kullanım: Örnek senaryo satırı | Örnek: demo satırına bakın | Yanlışsa: Liste tutarlılığı ve karar kapısı bozulur | Kaynak: KDVK / GİB iade listeleri</t>
      </text>
    </comment>
    <comment ref="F10" authorId="0" shapeId="0">
      <text>
        <t>Tanım: Belge Eksik | Neden önemli: GİB 7 liste iade kararını etkiler | Doğru kullanım: Örnek senaryo satırı | Örnek: demo satırına bakın | Yanlışsa: Liste tutarlılığı ve karar kapısı bozulur | Kaynak: KDVK / GİB iade listeleri</t>
      </text>
    </comment>
    <comment ref="G10" authorId="0" shapeId="0">
      <text>
        <t>Tanım: İade Talep | Neden önemli: GİB 7 liste iade kararını etkiler | Doğru kullanım: Örnek senaryo satırı | Örnek: demo satırına bakın | Yanlışsa: Liste tutarlılığı ve karar kapısı bozulur | Kaynak: KDVK / GİB iade listeleri</t>
      </text>
    </comment>
    <comment ref="H10" authorId="0" shapeId="0">
      <text>
        <t>Tanım: Yorum | Neden önemli: GİB 7 liste iade kararını etkiler | Doğru kullanım: Örnek senaryo satırı | Örnek: demo satırına bakın | Yanlışsa: Liste tutarlılığı ve karar kapısı bozulur | Kaynak: KDVK / GİB iade listeleri</t>
      </text>
    </comment>
    <comment ref="I10" authorId="0" shapeId="0">
      <text>
        <t>Tanım: İade Seçili | Neden önemli: GİB 7 liste iade kararını etkiler | Doğru kullanım: Örnek senaryo satırı | Örnek: demo satırına bakın | Yanlışsa: Liste tutarlılığı ve karar kapısı bozulur | Kaynak: KDVK / GİB iade listeleri</t>
      </text>
    </comment>
    <comment ref="A11" authorId="0" shapeId="0">
      <text>
        <t>Tanım: Senaryo | Neden önemli: GİB 7 liste iade kararını etkiler | Doğru kullanım: Örnek satır | Örnek: demo satırına bakın | Yanlışsa: Liste tutarlılığı ve karar kapısı bozulur | Kaynak: KDVK / GİB iade listeleri</t>
      </text>
    </comment>
    <comment ref="B11" authorId="0" shapeId="0">
      <text>
        <t>Tanım: İndirilecek | Neden önemli: GİB 7 liste iade kararını etkiler | Doğru kullanım: Örnek satır | Örnek: demo satırına bakın | Yanlışsa: Liste tutarlılığı ve karar kapısı bozulur | Kaynak: KDVK / GİB iade listeleri</t>
      </text>
    </comment>
    <comment ref="C11" authorId="0" shapeId="0">
      <text>
        <t>Tanım: Yüklenilen | Neden önemli: GİB 7 liste iade kararını etkiler | Doğru kullanım: Örnek satır | Örnek: demo satırına bakın | Yanlışsa: Liste tutarlılığı ve karar kapısı bozulur | Kaynak: KDVK / GİB iade listeleri</t>
      </text>
    </comment>
    <comment ref="D11" authorId="0" shapeId="0">
      <text>
        <t>Tanım: GÇB | Neden önemli: GİB 7 liste iade kararını etkiler | Doğru kullanım: Örnek satır | Örnek: demo satırına bakın | Yanlışsa: Liste tutarlılığı ve karar kapısı bozulur | Kaynak: KDVK / GİB iade listeleri</t>
      </text>
    </comment>
    <comment ref="E11" authorId="0" shapeId="0">
      <text>
        <t>Tanım: İhraç | Neden önemli: GİB 7 liste iade kararını etkiler | Doğru kullanım: Örnek satır | Örnek: demo satırına bakın | Yanlışsa: Liste tutarlılığı ve karar kapısı bozulur | Kaynak: KDVK / GİB iade listeleri</t>
      </text>
    </comment>
    <comment ref="F11" authorId="0" shapeId="0">
      <text>
        <t>Tanım: Belge Eksik | Neden önemli: GİB 7 liste iade kararını etkiler | Doğru kullanım: Örnek satır | Örnek: demo satırına bakın | Yanlışsa: Liste tutarlılığı ve karar kapısı bozulur | Kaynak: KDVK / GİB iade listeleri</t>
      </text>
    </comment>
    <comment ref="G11" authorId="0" shapeId="0">
      <text>
        <t>Tanım: İade Talep | Neden önemli: GİB 7 liste iade kararını etkiler | Doğru kullanım: Örnek satır | Örnek: demo satırına bakın | Yanlışsa: Liste tutarlılığı ve karar kapısı bozulur | Kaynak: KDVK / GİB iade listeleri</t>
      </text>
    </comment>
    <comment ref="H11" authorId="0" shapeId="0">
      <text>
        <t>Tanım: Yorum | Neden önemli: GİB 7 liste iade kararını etkiler | Doğru kullanım: Örnek satır | Örnek: demo satırına bakın | Yanlışsa: Liste tutarlılığı ve karar kapısı bozulur | Kaynak: KDVK / GİB iade listeleri</t>
      </text>
    </comment>
    <comment ref="I11" authorId="0" shapeId="0">
      <text>
        <t>Tanım: İade Seçili | Neden önemli: GİB 7 liste iade kararını etkiler | Doğru kullanım: Örnek satır | Örnek: demo satırına bakın | Yanlışsa: Liste tutarlılığı ve karar kapısı bozulur | Kaynak: KDVK / GİB iade listeleri</t>
      </text>
    </comment>
    <comment ref="A12" authorId="0" shapeId="0">
      <text>
        <t>Tanım: Senaryo | Neden önemli: GİB 7 liste iade kararını etkiler | Doğru kullanım: Örnek satır | Örnek: demo satırına bakın | Yanlışsa: Liste tutarlılığı ve karar kapısı bozulur | Kaynak: KDVK / GİB iade listeleri</t>
      </text>
    </comment>
    <comment ref="B12" authorId="0" shapeId="0">
      <text>
        <t>Tanım: İndirilecek | Neden önemli: GİB 7 liste iade kararını etkiler | Doğru kullanım: Örnek satır | Örnek: demo satırına bakın | Yanlışsa: Liste tutarlılığı ve karar kapısı bozulur | Kaynak: KDVK / GİB iade listeleri</t>
      </text>
    </comment>
    <comment ref="C12" authorId="0" shapeId="0">
      <text>
        <t>Tanım: Yüklenilen | Neden önemli: GİB 7 liste iade kararını etkiler | Doğru kullanım: Örnek satır | Örnek: demo satırına bakın | Yanlışsa: Liste tutarlılığı ve karar kapısı bozulur | Kaynak: KDVK / GİB iade listeleri</t>
      </text>
    </comment>
    <comment ref="D12" authorId="0" shapeId="0">
      <text>
        <t>Tanım: GÇB | Neden önemli: GİB 7 liste iade kararını etkiler | Doğru kullanım: Örnek satır | Örnek: demo satırına bakın | Yanlışsa: Liste tutarlılığı ve karar kapısı bozulur | Kaynak: KDVK / GİB iade listeleri</t>
      </text>
    </comment>
    <comment ref="E12" authorId="0" shapeId="0">
      <text>
        <t>Tanım: İhraç | Neden önemli: GİB 7 liste iade kararını etkiler | Doğru kullanım: Örnek satır | Örnek: demo satırına bakın | Yanlışsa: Liste tutarlılığı ve karar kapısı bozulur | Kaynak: KDVK / GİB iade listeleri</t>
      </text>
    </comment>
    <comment ref="F12" authorId="0" shapeId="0">
      <text>
        <t>Tanım: Belge Eksik | Neden önemli: GİB 7 liste iade kararını etkiler | Doğru kullanım: Örnek satır | Örnek: demo satırına bakın | Yanlışsa: Liste tutarlılığı ve karar kapısı bozulur | Kaynak: KDVK / GİB iade listeleri</t>
      </text>
    </comment>
    <comment ref="G12" authorId="0" shapeId="0">
      <text>
        <t>Tanım: İade Talep | Neden önemli: GİB 7 liste iade kararını etkiler | Doğru kullanım: Örnek satır | Örnek: demo satırına bakın | Yanlışsa: Liste tutarlılığı ve karar kapısı bozulur | Kaynak: KDVK / GİB iade listeleri</t>
      </text>
    </comment>
    <comment ref="H12" authorId="0" shapeId="0">
      <text>
        <t>Tanım: Yorum | Neden önemli: GİB 7 liste iade kararını etkiler | Doğru kullanım: Örnek satır | Örnek: demo satırına bakın | Yanlışsa: Liste tutarlılığı ve karar kapısı bozulur | Kaynak: KDVK / GİB iade listeleri</t>
      </text>
    </comment>
    <comment ref="I12" authorId="0" shapeId="0">
      <text>
        <t>Tanım: İade Seçili | Neden önemli: GİB 7 liste iade kararını etkiler | Doğru kullanım: Örnek satır | Örnek: demo satırına bakın | Yanlışsa: Liste tutarlılığı ve karar kapısı bozulur | Kaynak: KDVK / GİB iade listeleri</t>
      </text>
    </comment>
    <comment ref="A13" authorId="0" shapeId="0">
      <text>
        <t>Tanım: Senaryo | Neden önemli: GİB 7 liste iade kararını etkiler | Doğru kullanım: Örnek satır | Örnek: demo satırına bakın | Yanlışsa: Liste tutarlılığı ve karar kapısı bozulur | Kaynak: KDVK / GİB iade listeleri</t>
      </text>
    </comment>
    <comment ref="B13" authorId="0" shapeId="0">
      <text>
        <t>Tanım: İndirilecek | Neden önemli: GİB 7 liste iade kararını etkiler | Doğru kullanım: Örnek satır | Örnek: demo satırına bakın | Yanlışsa: Liste tutarlılığı ve karar kapısı bozulur | Kaynak: KDVK / GİB iade listeleri</t>
      </text>
    </comment>
    <comment ref="C13" authorId="0" shapeId="0">
      <text>
        <t>Tanım: Yüklenilen | Neden önemli: GİB 7 liste iade kararını etkiler | Doğru kullanım: Örnek satır | Örnek: demo satırına bakın | Yanlışsa: Liste tutarlılığı ve karar kapısı bozulur | Kaynak: KDVK / GİB iade listeleri</t>
      </text>
    </comment>
    <comment ref="D13" authorId="0" shapeId="0">
      <text>
        <t>Tanım: GÇB | Neden önemli: GİB 7 liste iade kararını etkiler | Doğru kullanım: Örnek satır | Örnek: demo satırına bakın | Yanlışsa: Liste tutarlılığı ve karar kapısı bozulur | Kaynak: KDVK / GİB iade listeleri</t>
      </text>
    </comment>
    <comment ref="E13" authorId="0" shapeId="0">
      <text>
        <t>Tanım: İhraç | Neden önemli: GİB 7 liste iade kararını etkiler | Doğru kullanım: Örnek satır | Örnek: demo satırına bakın | Yanlışsa: Liste tutarlılığı ve karar kapısı bozulur | Kaynak: KDVK / GİB iade listeleri</t>
      </text>
    </comment>
    <comment ref="F13" authorId="0" shapeId="0">
      <text>
        <t>Tanım: Belge Eksik | Neden önemli: GİB 7 liste iade kararını etkiler | Doğru kullanım: Örnek satır | Örnek: demo satırına bakın | Yanlışsa: Liste tutarlılığı ve karar kapısı bozulur | Kaynak: KDVK / GİB iade listeleri</t>
      </text>
    </comment>
    <comment ref="G13" authorId="0" shapeId="0">
      <text>
        <t>Tanım: İade Talep | Neden önemli: GİB 7 liste iade kararını etkiler | Doğru kullanım: Örnek satır | Örnek: demo satırına bakın | Yanlışsa: Liste tutarlılığı ve karar kapısı bozulur | Kaynak: KDVK / GİB iade listeleri</t>
      </text>
    </comment>
    <comment ref="H13" authorId="0" shapeId="0">
      <text>
        <t>Tanım: Yorum | Neden önemli: GİB 7 liste iade kararını etkiler | Doğru kullanım: Örnek satır | Örnek: demo satırına bakın | Yanlışsa: Liste tutarlılığı ve karar kapısı bozulur | Kaynak: KDVK / GİB iade listeleri</t>
      </text>
    </comment>
    <comment ref="I13" authorId="0" shapeId="0">
      <text>
        <t>Tanım: İade Seçili | Neden önemli: GİB 7 liste iade kararını etkiler | Doğru kullanım: Örnek satır | Örnek: demo satırına bakın | Yanlışsa: Liste tutarlılığı ve karar kapısı bozulur | Kaynak: KDVK / GİB iade listeleri</t>
      </text>
    </comment>
    <comment ref="A14" authorId="0" shapeId="0">
      <text>
        <t>Tanım: Senaryo | Neden önemli: GİB 7 liste iade kararını etkiler | Doğru kullanım: Örnek satır | Örnek: demo satırına bakın | Yanlışsa: Liste tutarlılığı ve karar kapısı bozulur | Kaynak: KDVK / GİB iade listeleri</t>
      </text>
    </comment>
    <comment ref="B14" authorId="0" shapeId="0">
      <text>
        <t>Tanım: İndirilecek | Neden önemli: GİB 7 liste iade kararını etkiler | Doğru kullanım: Örnek satır | Örnek: demo satırına bakın | Yanlışsa: Liste tutarlılığı ve karar kapısı bozulur | Kaynak: KDVK / GİB iade listeleri</t>
      </text>
    </comment>
    <comment ref="C14" authorId="0" shapeId="0">
      <text>
        <t>Tanım: Yüklenilen | Neden önemli: GİB 7 liste iade kararını etkiler | Doğru kullanım: Örnek satır | Örnek: demo satırına bakın | Yanlışsa: Liste tutarlılığı ve karar kapısı bozulur | Kaynak: KDVK / GİB iade listeleri</t>
      </text>
    </comment>
    <comment ref="D14" authorId="0" shapeId="0">
      <text>
        <t>Tanım: GÇB | Neden önemli: GİB 7 liste iade kararını etkiler | Doğru kullanım: Örnek satır | Örnek: demo satırına bakın | Yanlışsa: Liste tutarlılığı ve karar kapısı bozulur | Kaynak: KDVK / GİB iade listeleri</t>
      </text>
    </comment>
    <comment ref="E14" authorId="0" shapeId="0">
      <text>
        <t>Tanım: İhraç | Neden önemli: GİB 7 liste iade kararını etkiler | Doğru kullanım: Örnek satır | Örnek: demo satırına bakın | Yanlışsa: Liste tutarlılığı ve karar kapısı bozulur | Kaynak: KDVK / GİB iade listeleri</t>
      </text>
    </comment>
    <comment ref="F14" authorId="0" shapeId="0">
      <text>
        <t>Tanım: Belge Eksik | Neden önemli: GİB 7 liste iade kararını etkiler | Doğru kullanım: Örnek satır | Örnek: demo satırına bakın | Yanlışsa: Liste tutarlılığı ve karar kapısı bozulur | Kaynak: KDVK / GİB iade listeleri</t>
      </text>
    </comment>
    <comment ref="G14" authorId="0" shapeId="0">
      <text>
        <t>Tanım: İade Talep | Neden önemli: GİB 7 liste iade kararını etkiler | Doğru kullanım: Örnek satır | Örnek: demo satırına bakın | Yanlışsa: Liste tutarlılığı ve karar kapısı bozulur | Kaynak: KDVK / GİB iade listeleri</t>
      </text>
    </comment>
    <comment ref="H14" authorId="0" shapeId="0">
      <text>
        <t>Tanım: Yorum | Neden önemli: GİB 7 liste iade kararını etkiler | Doğru kullanım: Örnek satır | Örnek: demo satırına bakın | Yanlışsa: Liste tutarlılığı ve karar kapısı bozulur | Kaynak: KDVK / GİB iade listeleri</t>
      </text>
    </comment>
    <comment ref="I14" authorId="0" shapeId="0">
      <text>
        <t>Tanım: İade Seçili | Neden önemli: GİB 7 liste iade kararını etkiler | Doğru kullanım: Örnek satır | Örnek: demo satırına bakın | Yanlışsa: Liste tutarlılığı ve karar kapısı bozulur | Kaynak: KDVK / GİB iade listeleri</t>
      </text>
    </comment>
    <comment ref="A15" authorId="0" shapeId="0">
      <text>
        <t>Tanım: Senaryo | Neden önemli: GİB 7 liste iade kararını etkiler | Doğru kullanım: Örnek satır | Örnek: demo satırına bakın | Yanlışsa: Liste tutarlılığı ve karar kapısı bozulur | Kaynak: KDVK / GİB iade listeleri</t>
      </text>
    </comment>
    <comment ref="B15" authorId="0" shapeId="0">
      <text>
        <t>Tanım: İndirilecek | Neden önemli: GİB 7 liste iade kararını etkiler | Doğru kullanım: Örnek satır | Örnek: demo satırına bakın | Yanlışsa: Liste tutarlılığı ve karar kapısı bozulur | Kaynak: KDVK / GİB iade listeleri</t>
      </text>
    </comment>
    <comment ref="C15" authorId="0" shapeId="0">
      <text>
        <t>Tanım: Yüklenilen | Neden önemli: GİB 7 liste iade kararını etkiler | Doğru kullanım: Örnek satır | Örnek: demo satırına bakın | Yanlışsa: Liste tutarlılığı ve karar kapısı bozulur | Kaynak: KDVK / GİB iade listeleri</t>
      </text>
    </comment>
    <comment ref="D15" authorId="0" shapeId="0">
      <text>
        <t>Tanım: GÇB | Neden önemli: GİB 7 liste iade kararını etkiler | Doğru kullanım: Örnek satır | Örnek: demo satırına bakın | Yanlışsa: Liste tutarlılığı ve karar kapısı bozulur | Kaynak: KDVK / GİB iade listeleri</t>
      </text>
    </comment>
    <comment ref="E15" authorId="0" shapeId="0">
      <text>
        <t>Tanım: İhraç | Neden önemli: GİB 7 liste iade kararını etkiler | Doğru kullanım: Örnek satır | Örnek: demo satırına bakın | Yanlışsa: Liste tutarlılığı ve karar kapısı bozulur | Kaynak: KDVK / GİB iade listeleri</t>
      </text>
    </comment>
    <comment ref="F15" authorId="0" shapeId="0">
      <text>
        <t>Tanım: Belge Eksik | Neden önemli: GİB 7 liste iade kararını etkiler | Doğru kullanım: Örnek satır | Örnek: demo satırına bakın | Yanlışsa: Liste tutarlılığı ve karar kapısı bozulur | Kaynak: KDVK / GİB iade listeleri</t>
      </text>
    </comment>
    <comment ref="G15" authorId="0" shapeId="0">
      <text>
        <t>Tanım: İade Talep | Neden önemli: GİB 7 liste iade kararını etkiler | Doğru kullanım: Örnek satır | Örnek: demo satırına bakın | Yanlışsa: Liste tutarlılığı ve karar kapısı bozulur | Kaynak: KDVK / GİB iade listeleri</t>
      </text>
    </comment>
    <comment ref="H15" authorId="0" shapeId="0">
      <text>
        <t>Tanım: Yorum | Neden önemli: GİB 7 liste iade kararını etkiler | Doğru kullanım: Örnek satır | Örnek: demo satırına bakın | Yanlışsa: Liste tutarlılığı ve karar kapısı bozulur | Kaynak: KDVK / GİB iade listeleri</t>
      </text>
    </comment>
    <comment ref="I15" authorId="0" shapeId="0">
      <text>
        <t>Tanım: İade Seçili | Neden önemli: GİB 7 liste iade kararını etkiler | Doğru kullanım: Örnek satır | Örnek: demo satırına bakın | Yanlışsa: Liste tutarlılığı ve karar kapısı bozulur | Kaynak: KDVK / GİB iade listeleri</t>
      </text>
    </comment>
    <comment ref="A16" authorId="0" shapeId="0">
      <text>
        <t>Tanım: Senaryo | Neden önemli: GİB 7 liste iade kararını etkiler | Doğru kullanım: Örnek satır | Örnek: demo satırına bakın | Yanlışsa: Liste tutarlılığı ve karar kapısı bozulur | Kaynak: KDVK / GİB iade listeleri</t>
      </text>
    </comment>
    <comment ref="B16" authorId="0" shapeId="0">
      <text>
        <t>Tanım: İndirilecek | Neden önemli: GİB 7 liste iade kararını etkiler | Doğru kullanım: Örnek satır | Örnek: demo satırına bakın | Yanlışsa: Liste tutarlılığı ve karar kapısı bozulur | Kaynak: KDVK / GİB iade listeleri</t>
      </text>
    </comment>
    <comment ref="C16" authorId="0" shapeId="0">
      <text>
        <t>Tanım: Yüklenilen | Neden önemli: GİB 7 liste iade kararını etkiler | Doğru kullanım: Örnek satır | Örnek: demo satırına bakın | Yanlışsa: Liste tutarlılığı ve karar kapısı bozulur | Kaynak: KDVK / GİB iade listeleri</t>
      </text>
    </comment>
    <comment ref="D16" authorId="0" shapeId="0">
      <text>
        <t>Tanım: GÇB | Neden önemli: GİB 7 liste iade kararını etkiler | Doğru kullanım: Örnek satır | Örnek: demo satırına bakın | Yanlışsa: Liste tutarlılığı ve karar kapısı bozulur | Kaynak: KDVK / GİB iade listeleri</t>
      </text>
    </comment>
    <comment ref="E16" authorId="0" shapeId="0">
      <text>
        <t>Tanım: İhraç | Neden önemli: GİB 7 liste iade kararını etkiler | Doğru kullanım: Örnek satır | Örnek: demo satırına bakın | Yanlışsa: Liste tutarlılığı ve karar kapısı bozulur | Kaynak: KDVK / GİB iade listeleri</t>
      </text>
    </comment>
    <comment ref="F16" authorId="0" shapeId="0">
      <text>
        <t>Tanım: Belge Eksik | Neden önemli: GİB 7 liste iade kararını etkiler | Doğru kullanım: Örnek satır | Örnek: demo satırına bakın | Yanlışsa: Liste tutarlılığı ve karar kapısı bozulur | Kaynak: KDVK / GİB iade listeleri</t>
      </text>
    </comment>
    <comment ref="G16" authorId="0" shapeId="0">
      <text>
        <t>Tanım: İade Talep | Neden önemli: GİB 7 liste iade kararını etkiler | Doğru kullanım: Örnek satır | Örnek: demo satırına bakın | Yanlışsa: Liste tutarlılığı ve karar kapısı bozulur | Kaynak: KDVK / GİB iade listeleri</t>
      </text>
    </comment>
    <comment ref="H16" authorId="0" shapeId="0">
      <text>
        <t>Tanım: Yorum | Neden önemli: GİB 7 liste iade kararını etkiler | Doğru kullanım: Örnek satır | Örnek: demo satırına bakın | Yanlışsa: Liste tutarlılığı ve karar kapısı bozulur | Kaynak: KDVK / GİB iade listeleri</t>
      </text>
    </comment>
    <comment ref="I16" authorId="0" shapeId="0">
      <text>
        <t>Tanım: İade Seçili | Neden önemli: GİB 7 liste iade kararını etkiler | Doğru kullanım: Örnek satır | Örnek: demo satırına bakın | Yanlışsa: Liste tutarlılığı ve karar kapısı bozulur | Kaynak: KDVK / GİB iade listeleri</t>
      </text>
    </comment>
    <comment ref="A17" authorId="0" shapeId="0">
      <text>
        <t>Tanım: Senaryo | Neden önemli: GİB 7 liste iade kararını etkiler | Doğru kullanım: Örnek satır | Örnek: demo satırına bakın | Yanlışsa: Liste tutarlılığı ve karar kapısı bozulur | Kaynak: KDVK / GİB iade listeleri</t>
      </text>
    </comment>
    <comment ref="B17" authorId="0" shapeId="0">
      <text>
        <t>Tanım: İndirilecek | Neden önemli: GİB 7 liste iade kararını etkiler | Doğru kullanım: Örnek satır | Örnek: demo satırına bakın | Yanlışsa: Liste tutarlılığı ve karar kapısı bozulur | Kaynak: KDVK / GİB iade listeleri</t>
      </text>
    </comment>
    <comment ref="C17" authorId="0" shapeId="0">
      <text>
        <t>Tanım: Yüklenilen | Neden önemli: GİB 7 liste iade kararını etkiler | Doğru kullanım: Örnek satır | Örnek: demo satırına bakın | Yanlışsa: Liste tutarlılığı ve karar kapısı bozulur | Kaynak: KDVK / GİB iade listeleri</t>
      </text>
    </comment>
    <comment ref="D17" authorId="0" shapeId="0">
      <text>
        <t>Tanım: GÇB | Neden önemli: GİB 7 liste iade kararını etkiler | Doğru kullanım: Örnek satır | Örnek: demo satırına bakın | Yanlışsa: Liste tutarlılığı ve karar kapısı bozulur | Kaynak: KDVK / GİB iade listeleri</t>
      </text>
    </comment>
    <comment ref="E17" authorId="0" shapeId="0">
      <text>
        <t>Tanım: İhraç | Neden önemli: GİB 7 liste iade kararını etkiler | Doğru kullanım: Örnek satır | Örnek: demo satırına bakın | Yanlışsa: Liste tutarlılığı ve karar kapısı bozulur | Kaynak: KDVK / GİB iade listeleri</t>
      </text>
    </comment>
    <comment ref="F17" authorId="0" shapeId="0">
      <text>
        <t>Tanım: Belge Eksik | Neden önemli: GİB 7 liste iade kararını etkiler | Doğru kullanım: Örnek satır | Örnek: demo satırına bakın | Yanlışsa: Liste tutarlılığı ve karar kapısı bozulur | Kaynak: KDVK / GİB iade listeleri</t>
      </text>
    </comment>
    <comment ref="G17" authorId="0" shapeId="0">
      <text>
        <t>Tanım: İade Talep | Neden önemli: GİB 7 liste iade kararını etkiler | Doğru kullanım: Örnek satır | Örnek: demo satırına bakın | Yanlışsa: Liste tutarlılığı ve karar kapısı bozulur | Kaynak: KDVK / GİB iade listeleri</t>
      </text>
    </comment>
    <comment ref="H17" authorId="0" shapeId="0">
      <text>
        <t>Tanım: Yorum | Neden önemli: GİB 7 liste iade kararını etkiler | Doğru kullanım: Örnek satır | Örnek: demo satırına bakın | Yanlışsa: Liste tutarlılığı ve karar kapısı bozulur | Kaynak: KDVK / GİB iade listeleri</t>
      </text>
    </comment>
    <comment ref="I17" authorId="0" shapeId="0">
      <text>
        <t>Tanım: İade Seçili | Neden önemli: GİB 7 liste iade kararını etkiler | Doğru kullanım: Örnek satır | Örnek: demo satırına bakın | Yanlışsa: Liste tutarlılığı ve karar kapısı bozulur | Kaynak: KDVK / GİB iade listeleri</t>
      </text>
    </comment>
    <comment ref="A18" authorId="0" shapeId="0">
      <text>
        <t>Tanım: Senaryo | Neden önemli: GİB 7 liste iade kararını etkiler | Doğru kullanım: Örnek satır | Örnek: demo satırına bakın | Yanlışsa: Liste tutarlılığı ve karar kapısı bozulur | Kaynak: KDVK / GİB iade listeleri</t>
      </text>
    </comment>
    <comment ref="B18" authorId="0" shapeId="0">
      <text>
        <t>Tanım: İndirilecek | Neden önemli: GİB 7 liste iade kararını etkiler | Doğru kullanım: Örnek satır | Örnek: demo satırına bakın | Yanlışsa: Liste tutarlılığı ve karar kapısı bozulur | Kaynak: KDVK / GİB iade listeleri</t>
      </text>
    </comment>
    <comment ref="C18" authorId="0" shapeId="0">
      <text>
        <t>Tanım: Yüklenilen | Neden önemli: GİB 7 liste iade kararını etkiler | Doğru kullanım: Örnek satır | Örnek: demo satırına bakın | Yanlışsa: Liste tutarlılığı ve karar kapısı bozulur | Kaynak: KDVK / GİB iade listeleri</t>
      </text>
    </comment>
    <comment ref="D18" authorId="0" shapeId="0">
      <text>
        <t>Tanım: GÇB | Neden önemli: GİB 7 liste iade kararını etkiler | Doğru kullanım: Örnek satır | Örnek: demo satırına bakın | Yanlışsa: Liste tutarlılığı ve karar kapısı bozulur | Kaynak: KDVK / GİB iade listeleri</t>
      </text>
    </comment>
    <comment ref="E18" authorId="0" shapeId="0">
      <text>
        <t>Tanım: İhraç | Neden önemli: GİB 7 liste iade kararını etkiler | Doğru kullanım: Örnek satır | Örnek: demo satırına bakın | Yanlışsa: Liste tutarlılığı ve karar kapısı bozulur | Kaynak: KDVK / GİB iade listeleri</t>
      </text>
    </comment>
    <comment ref="F18" authorId="0" shapeId="0">
      <text>
        <t>Tanım: Belge Eksik | Neden önemli: GİB 7 liste iade kararını etkiler | Doğru kullanım: Örnek satır | Örnek: demo satırına bakın | Yanlışsa: Liste tutarlılığı ve karar kapısı bozulur | Kaynak: KDVK / GİB iade listeleri</t>
      </text>
    </comment>
    <comment ref="G18" authorId="0" shapeId="0">
      <text>
        <t>Tanım: İade Talep | Neden önemli: GİB 7 liste iade kararını etkiler | Doğru kullanım: Örnek satır | Örnek: demo satırına bakın | Yanlışsa: Liste tutarlılığı ve karar kapısı bozulur | Kaynak: KDVK / GİB iade listeleri</t>
      </text>
    </comment>
    <comment ref="H18" authorId="0" shapeId="0">
      <text>
        <t>Tanım: Yorum | Neden önemli: GİB 7 liste iade kararını etkiler | Doğru kullanım: Örnek satır | Örnek: demo satırına bakın | Yanlışsa: Liste tutarlılığı ve karar kapısı bozulur | Kaynak: KDVK / GİB iade listeleri</t>
      </text>
    </comment>
    <comment ref="I18" authorId="0" shapeId="0">
      <text>
        <t>Tanım: İade Seçili | Neden önemli: GİB 7 liste iade kararını etkiler | Doğru kullanım: Örnek satır | Örnek: demo satırına bakın | Yanlışsa: Liste tutarlılığı ve karar kapısı bozulur | Kaynak: KDVK / GİB iade listeleri</t>
      </text>
    </comment>
    <comment ref="A19" authorId="0" shapeId="0">
      <text>
        <t>Tanım: Senaryo | Neden önemli: GİB 7 liste iade kararını etkiler | Doğru kullanım: Örnek satır | Örnek: demo satırına bakın | Yanlışsa: Liste tutarlılığı ve karar kapısı bozulur | Kaynak: KDVK / GİB iade listeleri</t>
      </text>
    </comment>
    <comment ref="B19" authorId="0" shapeId="0">
      <text>
        <t>Tanım: İndirilecek | Neden önemli: GİB 7 liste iade kararını etkiler | Doğru kullanım: Örnek satır | Örnek: demo satırına bakın | Yanlışsa: Liste tutarlılığı ve karar kapısı bozulur | Kaynak: KDVK / GİB iade listeleri</t>
      </text>
    </comment>
    <comment ref="C19" authorId="0" shapeId="0">
      <text>
        <t>Tanım: Yüklenilen | Neden önemli: GİB 7 liste iade kararını etkiler | Doğru kullanım: Örnek satır | Örnek: demo satırına bakın | Yanlışsa: Liste tutarlılığı ve karar kapısı bozulur | Kaynak: KDVK / GİB iade listeleri</t>
      </text>
    </comment>
    <comment ref="D19" authorId="0" shapeId="0">
      <text>
        <t>Tanım: GÇB | Neden önemli: GİB 7 liste iade kararını etkiler | Doğru kullanım: Örnek satır | Örnek: demo satırına bakın | Yanlışsa: Liste tutarlılığı ve karar kapısı bozulur | Kaynak: KDVK / GİB iade listeleri</t>
      </text>
    </comment>
    <comment ref="E19" authorId="0" shapeId="0">
      <text>
        <t>Tanım: İhraç | Neden önemli: GİB 7 liste iade kararını etkiler | Doğru kullanım: Örnek satır | Örnek: demo satırına bakın | Yanlışsa: Liste tutarlılığı ve karar kapısı bozulur | Kaynak: KDVK / GİB iade listeleri</t>
      </text>
    </comment>
    <comment ref="F19" authorId="0" shapeId="0">
      <text>
        <t>Tanım: Belge Eksik | Neden önemli: GİB 7 liste iade kararını etkiler | Doğru kullanım: Örnek satır | Örnek: demo satırına bakın | Yanlışsa: Liste tutarlılığı ve karar kapısı bozulur | Kaynak: KDVK / GİB iade listeleri</t>
      </text>
    </comment>
    <comment ref="G19" authorId="0" shapeId="0">
      <text>
        <t>Tanım: İade Talep | Neden önemli: GİB 7 liste iade kararını etkiler | Doğru kullanım: Örnek satır | Örnek: demo satırına bakın | Yanlışsa: Liste tutarlılığı ve karar kapısı bozulur | Kaynak: KDVK / GİB iade listeleri</t>
      </text>
    </comment>
    <comment ref="H19" authorId="0" shapeId="0">
      <text>
        <t>Tanım: Yorum | Neden önemli: GİB 7 liste iade kararını etkiler | Doğru kullanım: Örnek satır | Örnek: demo satırına bakın | Yanlışsa: Liste tutarlılığı ve karar kapısı bozulur | Kaynak: KDVK / GİB iade listeleri</t>
      </text>
    </comment>
    <comment ref="I19" authorId="0" shapeId="0">
      <text>
        <t>Tanım: İade Seçili | Neden önemli: GİB 7 liste iade kararını etkiler | Doğru kullanım: Örnek satır | Örnek: demo satırına bakın | Yanlışsa: Liste tutarlılığı ve karar kapısı bozulur | Kaynak: KDVK / GİB iade listeleri</t>
      </text>
    </comment>
    <comment ref="A20" authorId="0" shapeId="0">
      <text>
        <t>Tanım: Senaryo | Neden önemli: GİB 7 liste iade kararını etkiler | Doğru kullanım: Örnek satır | Örnek: demo satırına bakın | Yanlışsa: Liste tutarlılığı ve karar kapısı bozulur | Kaynak: KDVK / GİB iade listeleri</t>
      </text>
    </comment>
    <comment ref="B20" authorId="0" shapeId="0">
      <text>
        <t>Tanım: İndirilecek | Neden önemli: GİB 7 liste iade kararını etkiler | Doğru kullanım: Örnek satır | Örnek: demo satırına bakın | Yanlışsa: Liste tutarlılığı ve karar kapısı bozulur | Kaynak: KDVK / GİB iade listeleri</t>
      </text>
    </comment>
    <comment ref="C20" authorId="0" shapeId="0">
      <text>
        <t>Tanım: Yüklenilen | Neden önemli: GİB 7 liste iade kararını etkiler | Doğru kullanım: Örnek satır | Örnek: demo satırına bakın | Yanlışsa: Liste tutarlılığı ve karar kapısı bozulur | Kaynak: KDVK / GİB iade listeleri</t>
      </text>
    </comment>
    <comment ref="D20" authorId="0" shapeId="0">
      <text>
        <t>Tanım: GÇB | Neden önemli: GİB 7 liste iade kararını etkiler | Doğru kullanım: Örnek satır | Örnek: demo satırına bakın | Yanlışsa: Liste tutarlılığı ve karar kapısı bozulur | Kaynak: KDVK / GİB iade listeleri</t>
      </text>
    </comment>
    <comment ref="E20" authorId="0" shapeId="0">
      <text>
        <t>Tanım: İhraç | Neden önemli: GİB 7 liste iade kararını etkiler | Doğru kullanım: Örnek satır | Örnek: demo satırına bakın | Yanlışsa: Liste tutarlılığı ve karar kapısı bozulur | Kaynak: KDVK / GİB iade listeleri</t>
      </text>
    </comment>
    <comment ref="F20" authorId="0" shapeId="0">
      <text>
        <t>Tanım: Belge Eksik | Neden önemli: GİB 7 liste iade kararını etkiler | Doğru kullanım: Örnek satır | Örnek: demo satırına bakın | Yanlışsa: Liste tutarlılığı ve karar kapısı bozulur | Kaynak: KDVK / GİB iade listeleri</t>
      </text>
    </comment>
    <comment ref="G20" authorId="0" shapeId="0">
      <text>
        <t>Tanım: İade Talep | Neden önemli: GİB 7 liste iade kararını etkiler | Doğru kullanım: Örnek satır | Örnek: demo satırına bakın | Yanlışsa: Liste tutarlılığı ve karar kapısı bozulur | Kaynak: KDVK / GİB iade listeleri</t>
      </text>
    </comment>
    <comment ref="H20" authorId="0" shapeId="0">
      <text>
        <t>Tanım: Yorum | Neden önemli: GİB 7 liste iade kararını etkiler | Doğru kullanım: Örnek satır | Örnek: demo satırına bakın | Yanlışsa: Liste tutarlılığı ve karar kapısı bozulur | Kaynak: KDVK / GİB iade listeleri</t>
      </text>
    </comment>
    <comment ref="I20" authorId="0" shapeId="0">
      <text>
        <t>Tanım: İade Seçili | Neden önemli: GİB 7 liste iade kararını etkiler | Doğru kullanım: Örnek satır | Örnek: demo satırına bakın | Yanlışsa: Liste tutarlılığı ve karar kapısı bozulur | Kaynak: KDVK / GİB iade listeleri</t>
      </text>
    </comment>
    <comment ref="A21" authorId="0" shapeId="0">
      <text>
        <t>Tanım: Senaryo | Neden önemli: GİB 7 liste iade kararını etkiler | Doğru kullanım: Örnek satır | Örnek: demo satırına bakın | Yanlışsa: Liste tutarlılığı ve karar kapısı bozulur | Kaynak: KDVK / GİB iade listeleri</t>
      </text>
    </comment>
    <comment ref="B21" authorId="0" shapeId="0">
      <text>
        <t>Tanım: İndirilecek | Neden önemli: GİB 7 liste iade kararını etkiler | Doğru kullanım: Örnek satır | Örnek: demo satırına bakın | Yanlışsa: Liste tutarlılığı ve karar kapısı bozulur | Kaynak: KDVK / GİB iade listeleri</t>
      </text>
    </comment>
    <comment ref="C21" authorId="0" shapeId="0">
      <text>
        <t>Tanım: Yüklenilen | Neden önemli: GİB 7 liste iade kararını etkiler | Doğru kullanım: Örnek satır | Örnek: demo satırına bakın | Yanlışsa: Liste tutarlılığı ve karar kapısı bozulur | Kaynak: KDVK / GİB iade listeleri</t>
      </text>
    </comment>
    <comment ref="D21" authorId="0" shapeId="0">
      <text>
        <t>Tanım: GÇB | Neden önemli: GİB 7 liste iade kararını etkiler | Doğru kullanım: Örnek satır | Örnek: demo satırına bakın | Yanlışsa: Liste tutarlılığı ve karar kapısı bozulur | Kaynak: KDVK / GİB iade listeleri</t>
      </text>
    </comment>
    <comment ref="E21" authorId="0" shapeId="0">
      <text>
        <t>Tanım: İhraç | Neden önemli: GİB 7 liste iade kararını etkiler | Doğru kullanım: Örnek satır | Örnek: demo satırına bakın | Yanlışsa: Liste tutarlılığı ve karar kapısı bozulur | Kaynak: KDVK / GİB iade listeleri</t>
      </text>
    </comment>
    <comment ref="F21" authorId="0" shapeId="0">
      <text>
        <t>Tanım: Belge Eksik | Neden önemli: GİB 7 liste iade kararını etkiler | Doğru kullanım: Örnek satır | Örnek: demo satırına bakın | Yanlışsa: Liste tutarlılığı ve karar kapısı bozulur | Kaynak: KDVK / GİB iade listeleri</t>
      </text>
    </comment>
    <comment ref="G21" authorId="0" shapeId="0">
      <text>
        <t>Tanım: İade Talep | Neden önemli: GİB 7 liste iade kararını etkiler | Doğru kullanım: Örnek satır | Örnek: demo satırına bakın | Yanlışsa: Liste tutarlılığı ve karar kapısı bozulur | Kaynak: KDVK / GİB iade listeleri</t>
      </text>
    </comment>
    <comment ref="H21" authorId="0" shapeId="0">
      <text>
        <t>Tanım: Yorum | Neden önemli: GİB 7 liste iade kararını etkiler | Doğru kullanım: Örnek satır | Örnek: demo satırına bakın | Yanlışsa: Liste tutarlılığı ve karar kapısı bozulur | Kaynak: KDVK / GİB iade listeleri</t>
      </text>
    </comment>
    <comment ref="I21" authorId="0" shapeId="0">
      <text>
        <t>Tanım: İade Seçili | Neden önemli: GİB 7 liste iade kararını etkiler | Doğru kullanım: Örnek satır | Örnek: demo satırına bakın | Yanlışsa: Liste tutarlılığı ve karar kapısı bozulur | Kaynak: KDVK / GİB iade listeleri</t>
      </text>
    </comment>
    <comment ref="A22" authorId="0" shapeId="0">
      <text>
        <t>Tanım: Senaryo | Neden önemli: GİB 7 liste iade kararını etkiler | Doğru kullanım: Örnek satır | Örnek: demo satırına bakın | Yanlışsa: Liste tutarlılığı ve karar kapısı bozulur | Kaynak: KDVK / GİB iade listeleri</t>
      </text>
    </comment>
    <comment ref="B22" authorId="0" shapeId="0">
      <text>
        <t>Tanım: İndirilecek | Neden önemli: GİB 7 liste iade kararını etkiler | Doğru kullanım: Örnek satır | Örnek: demo satırına bakın | Yanlışsa: Liste tutarlılığı ve karar kapısı bozulur | Kaynak: KDVK / GİB iade listeleri</t>
      </text>
    </comment>
    <comment ref="C22" authorId="0" shapeId="0">
      <text>
        <t>Tanım: Yüklenilen | Neden önemli: GİB 7 liste iade kararını etkiler | Doğru kullanım: Örnek satır | Örnek: demo satırına bakın | Yanlışsa: Liste tutarlılığı ve karar kapısı bozulur | Kaynak: KDVK / GİB iade listeleri</t>
      </text>
    </comment>
    <comment ref="D22" authorId="0" shapeId="0">
      <text>
        <t>Tanım: GÇB | Neden önemli: GİB 7 liste iade kararını etkiler | Doğru kullanım: Örnek satır | Örnek: demo satırına bakın | Yanlışsa: Liste tutarlılığı ve karar kapısı bozulur | Kaynak: KDVK / GİB iade listeleri</t>
      </text>
    </comment>
    <comment ref="E22" authorId="0" shapeId="0">
      <text>
        <t>Tanım: İhraç | Neden önemli: GİB 7 liste iade kararını etkiler | Doğru kullanım: Örnek satır | Örnek: demo satırına bakın | Yanlışsa: Liste tutarlılığı ve karar kapısı bozulur | Kaynak: KDVK / GİB iade listeleri</t>
      </text>
    </comment>
    <comment ref="F22" authorId="0" shapeId="0">
      <text>
        <t>Tanım: Belge Eksik | Neden önemli: GİB 7 liste iade kararını etkiler | Doğru kullanım: Örnek satır | Örnek: demo satırına bakın | Yanlışsa: Liste tutarlılığı ve karar kapısı bozulur | Kaynak: KDVK / GİB iade listeleri</t>
      </text>
    </comment>
    <comment ref="G22" authorId="0" shapeId="0">
      <text>
        <t>Tanım: İade Talep | Neden önemli: GİB 7 liste iade kararını etkiler | Doğru kullanım: Örnek satır | Örnek: demo satırına bakın | Yanlışsa: Liste tutarlılığı ve karar kapısı bozulur | Kaynak: KDVK / GİB iade listeleri</t>
      </text>
    </comment>
    <comment ref="H22" authorId="0" shapeId="0">
      <text>
        <t>Tanım: Yorum | Neden önemli: GİB 7 liste iade kararını etkiler | Doğru kullanım: Örnek satır | Örnek: demo satırına bakın | Yanlışsa: Liste tutarlılığı ve karar kapısı bozulur | Kaynak: KDVK / GİB iade listeleri</t>
      </text>
    </comment>
    <comment ref="I22" authorId="0" shapeId="0">
      <text>
        <t>Tanım: İade Seçili | Neden önemli: GİB 7 liste iade kararını etkiler | Doğru kullanım: Örnek satır | Örnek: demo satırına bakın | Yanlışsa: Liste tutarlılığı ve karar kapısı bozulur | Kaynak: KDVK / GİB iade listeleri</t>
      </text>
    </comment>
    <comment ref="A23" authorId="0" shapeId="0">
      <text>
        <t>Tanım: Senaryo | Neden önemli: GİB 7 liste iade kararını etkiler | Doğru kullanım: Örnek satır | Örnek: demo satırına bakın | Yanlışsa: Liste tutarlılığı ve karar kapısı bozulur | Kaynak: KDVK / GİB iade listeleri</t>
      </text>
    </comment>
    <comment ref="B23" authorId="0" shapeId="0">
      <text>
        <t>Tanım: İndirilecek | Neden önemli: GİB 7 liste iade kararını etkiler | Doğru kullanım: Örnek satır | Örnek: demo satırına bakın | Yanlışsa: Liste tutarlılığı ve karar kapısı bozulur | Kaynak: KDVK / GİB iade listeleri</t>
      </text>
    </comment>
    <comment ref="C23" authorId="0" shapeId="0">
      <text>
        <t>Tanım: Yüklenilen | Neden önemli: GİB 7 liste iade kararını etkiler | Doğru kullanım: Örnek satır | Örnek: demo satırına bakın | Yanlışsa: Liste tutarlılığı ve karar kapısı bozulur | Kaynak: KDVK / GİB iade listeleri</t>
      </text>
    </comment>
    <comment ref="D23" authorId="0" shapeId="0">
      <text>
        <t>Tanım: GÇB | Neden önemli: GİB 7 liste iade kararını etkiler | Doğru kullanım: Örnek satır | Örnek: demo satırına bakın | Yanlışsa: Liste tutarlılığı ve karar kapısı bozulur | Kaynak: KDVK / GİB iade listeleri</t>
      </text>
    </comment>
    <comment ref="E23" authorId="0" shapeId="0">
      <text>
        <t>Tanım: İhraç | Neden önemli: GİB 7 liste iade kararını etkiler | Doğru kullanım: Örnek satır | Örnek: demo satırına bakın | Yanlışsa: Liste tutarlılığı ve karar kapısı bozulur | Kaynak: KDVK / GİB iade listeleri</t>
      </text>
    </comment>
    <comment ref="F23" authorId="0" shapeId="0">
      <text>
        <t>Tanım: Belge Eksik | Neden önemli: GİB 7 liste iade kararını etkiler | Doğru kullanım: Örnek satır | Örnek: demo satırına bakın | Yanlışsa: Liste tutarlılığı ve karar kapısı bozulur | Kaynak: KDVK / GİB iade listeleri</t>
      </text>
    </comment>
    <comment ref="G23" authorId="0" shapeId="0">
      <text>
        <t>Tanım: İade Talep | Neden önemli: GİB 7 liste iade kararını etkiler | Doğru kullanım: Örnek satır | Örnek: demo satırına bakın | Yanlışsa: Liste tutarlılığı ve karar kapısı bozulur | Kaynak: KDVK / GİB iade listeleri</t>
      </text>
    </comment>
    <comment ref="H23" authorId="0" shapeId="0">
      <text>
        <t>Tanım: Yorum | Neden önemli: GİB 7 liste iade kararını etkiler | Doğru kullanım: Örnek satır | Örnek: demo satırına bakın | Yanlışsa: Liste tutarlılığı ve karar kapısı bozulur | Kaynak: KDVK / GİB iade listeleri</t>
      </text>
    </comment>
    <comment ref="I23" authorId="0" shapeId="0">
      <text>
        <t>Tanım: İade Seçili | Neden önemli: GİB 7 liste iade kararını etkiler | Doğru kullanım: Örnek satır | Örnek: demo satırına bakın | Yanlışsa: Liste tutarlılığı ve karar kapısı bozulur | Kaynak: KDVK / GİB iade listeleri</t>
      </text>
    </comment>
    <comment ref="A24" authorId="0" shapeId="0">
      <text>
        <t>Tanım: Senaryo | Neden önemli: GİB 7 liste iade kararını etkiler | Doğru kullanım: Örnek satır | Örnek: demo satırına bakın | Yanlışsa: Liste tutarlılığı ve karar kapısı bozulur | Kaynak: KDVK / GİB iade listeleri</t>
      </text>
    </comment>
    <comment ref="B24" authorId="0" shapeId="0">
      <text>
        <t>Tanım: İndirilecek | Neden önemli: GİB 7 liste iade kararını etkiler | Doğru kullanım: Örnek satır | Örnek: demo satırına bakın | Yanlışsa: Liste tutarlılığı ve karar kapısı bozulur | Kaynak: KDVK / GİB iade listeleri</t>
      </text>
    </comment>
    <comment ref="C24" authorId="0" shapeId="0">
      <text>
        <t>Tanım: Yüklenilen | Neden önemli: GİB 7 liste iade kararını etkiler | Doğru kullanım: Örnek satır | Örnek: demo satırına bakın | Yanlışsa: Liste tutarlılığı ve karar kapısı bozulur | Kaynak: KDVK / GİB iade listeleri</t>
      </text>
    </comment>
    <comment ref="D24" authorId="0" shapeId="0">
      <text>
        <t>Tanım: GÇB | Neden önemli: GİB 7 liste iade kararını etkiler | Doğru kullanım: Örnek satır | Örnek: demo satırına bakın | Yanlışsa: Liste tutarlılığı ve karar kapısı bozulur | Kaynak: KDVK / GİB iade listeleri</t>
      </text>
    </comment>
    <comment ref="E24" authorId="0" shapeId="0">
      <text>
        <t>Tanım: İhraç | Neden önemli: GİB 7 liste iade kararını etkiler | Doğru kullanım: Örnek satır | Örnek: demo satırına bakın | Yanlışsa: Liste tutarlılığı ve karar kapısı bozulur | Kaynak: KDVK / GİB iade listeleri</t>
      </text>
    </comment>
    <comment ref="F24" authorId="0" shapeId="0">
      <text>
        <t>Tanım: Belge Eksik | Neden önemli: GİB 7 liste iade kararını etkiler | Doğru kullanım: Örnek satır | Örnek: demo satırına bakın | Yanlışsa: Liste tutarlılığı ve karar kapısı bozulur | Kaynak: KDVK / GİB iade listeleri</t>
      </text>
    </comment>
    <comment ref="G24" authorId="0" shapeId="0">
      <text>
        <t>Tanım: İade Talep | Neden önemli: GİB 7 liste iade kararını etkiler | Doğru kullanım: Örnek satır | Örnek: demo satırına bakın | Yanlışsa: Liste tutarlılığı ve karar kapısı bozulur | Kaynak: KDVK / GİB iade listeleri</t>
      </text>
    </comment>
    <comment ref="H24" authorId="0" shapeId="0">
      <text>
        <t>Tanım: Yorum | Neden önemli: GİB 7 liste iade kararını etkiler | Doğru kullanım: Örnek satır | Örnek: demo satırına bakın | Yanlışsa: Liste tutarlılığı ve karar kapısı bozulur | Kaynak: KDVK / GİB iade listeleri</t>
      </text>
    </comment>
    <comment ref="I24" authorId="0" shapeId="0">
      <text>
        <t>Tanım: İade Seçili | Neden önemli: GİB 7 liste iade kararını etkiler | Doğru kullanım: Örnek satır | Örnek: demo satırına bakın | Yanlışsa: Liste tutarlılığı ve karar kapısı bozulur | Kaynak: KDVK / GİB iade listeleri</t>
      </text>
    </comment>
    <comment ref="A25" authorId="0" shapeId="0">
      <text>
        <t>Tanım: Senaryo | Neden önemli: GİB 7 liste iade kararını etkiler | Doğru kullanım: Örnek satır | Örnek: demo satırına bakın | Yanlışsa: Liste tutarlılığı ve karar kapısı bozulur | Kaynak: KDVK / GİB iade listeleri</t>
      </text>
    </comment>
    <comment ref="B25" authorId="0" shapeId="0">
      <text>
        <t>Tanım: İndirilecek | Neden önemli: GİB 7 liste iade kararını etkiler | Doğru kullanım: Örnek satır | Örnek: demo satırına bakın | Yanlışsa: Liste tutarlılığı ve karar kapısı bozulur | Kaynak: KDVK / GİB iade listeleri</t>
      </text>
    </comment>
    <comment ref="C25" authorId="0" shapeId="0">
      <text>
        <t>Tanım: Yüklenilen | Neden önemli: GİB 7 liste iade kararını etkiler | Doğru kullanım: Örnek satır | Örnek: demo satırına bakın | Yanlışsa: Liste tutarlılığı ve karar kapısı bozulur | Kaynak: KDVK / GİB iade listeleri</t>
      </text>
    </comment>
    <comment ref="D25" authorId="0" shapeId="0">
      <text>
        <t>Tanım: GÇB | Neden önemli: GİB 7 liste iade kararını etkiler | Doğru kullanım: Örnek satır | Örnek: demo satırına bakın | Yanlışsa: Liste tutarlılığı ve karar kapısı bozulur | Kaynak: KDVK / GİB iade listeleri</t>
      </text>
    </comment>
    <comment ref="E25" authorId="0" shapeId="0">
      <text>
        <t>Tanım: İhraç | Neden önemli: GİB 7 liste iade kararını etkiler | Doğru kullanım: Örnek satır | Örnek: demo satırına bakın | Yanlışsa: Liste tutarlılığı ve karar kapısı bozulur | Kaynak: KDVK / GİB iade listeleri</t>
      </text>
    </comment>
    <comment ref="F25" authorId="0" shapeId="0">
      <text>
        <t>Tanım: Belge Eksik | Neden önemli: GİB 7 liste iade kararını etkiler | Doğru kullanım: Örnek satır | Örnek: demo satırına bakın | Yanlışsa: Liste tutarlılığı ve karar kapısı bozulur | Kaynak: KDVK / GİB iade listeleri</t>
      </text>
    </comment>
    <comment ref="G25" authorId="0" shapeId="0">
      <text>
        <t>Tanım: İade Talep | Neden önemli: GİB 7 liste iade kararını etkiler | Doğru kullanım: Örnek satır | Örnek: demo satırına bakın | Yanlışsa: Liste tutarlılığı ve karar kapısı bozulur | Kaynak: KDVK / GİB iade listeleri</t>
      </text>
    </comment>
    <comment ref="H25" authorId="0" shapeId="0">
      <text>
        <t>Tanım: Yorum | Neden önemli: GİB 7 liste iade kararını etkiler | Doğru kullanım: Örnek satır | Örnek: demo satırına bakın | Yanlışsa: Liste tutarlılığı ve karar kapısı bozulur | Kaynak: KDVK / GİB iade listeleri</t>
      </text>
    </comment>
    <comment ref="I25" authorId="0" shapeId="0">
      <text>
        <t>Tanım: İade Seçili | Neden önemli: GİB 7 liste iade kararını etkiler | Doğru kullanım: Örnek satır | Örnek: demo satırına bakın | Yanlışsa: Liste tutarlılığı ve karar kapısı bozulur | Kaynak: KDVK / GİB iade listeleri</t>
      </text>
    </comment>
  </commentList>
</comments>
</file>

<file path=xl/comments/comment13.xml><?xml version="1.0" encoding="utf-8"?>
<comments xmlns="http://schemas.openxmlformats.org/spreadsheetml/2006/main">
  <authors>
    <author>ExcelArşiv</author>
  </authors>
  <commentList>
    <comment ref="A6" authorId="0" shapeId="0">
      <text>
        <t>Tanım: Yıl | Neden önemli: GİB 7 liste iade kararını etkiler | Doğru kullanım: Hesap yılı listesi | Örnek: demo satırına bakın | Yanlışsa: Liste tutarlılığı ve karar kapısı bozulur | Kaynak: KDVK / GİB iade listeleri</t>
      </text>
    </comment>
    <comment ref="C6" authorId="0" shapeId="0">
      <text>
        <t>Tanım: Yorum | Neden önemli: GİB 7 liste iade kararını etkiler | Doğru kullanım: Liste sırası yorumu | Örnek: demo satırına bakın | Yanlışsa: Liste tutarlılığı ve karar kapısı bozulur | Kaynak: KDVK / GİB iade listeleri</t>
      </text>
    </comment>
    <comment ref="E6" authorId="0" shapeId="0">
      <text>
        <t>Tanım: Seçim | Neden önemli: GİB 7 liste iade kararını etkiler | Doğru kullanım: Evet veya Hayır | Örnek: demo satırına bakın | Yanlışsa: Liste tutarlılığı ve karar kapısı bozulur | Kaynak: KDVK / GİB iade listeleri</t>
      </text>
    </comment>
    <comment ref="A7" authorId="0" shapeId="0">
      <text>
        <t>Tanım: Yıl | Neden önemli: GİB 7 liste iade kararını etkiler | Doğru kullanım: Hesap yılı listesi | Örnek: demo satırına bakın | Yanlışsa: Liste tutarlılığı ve karar kapısı bozulur | Kaynak: KDVK / GİB iade listeleri</t>
      </text>
    </comment>
    <comment ref="C7" authorId="0" shapeId="0">
      <text>
        <t>Tanım: Yorum | Neden önemli: GİB 7 liste iade kararını etkiler | Doğru kullanım: Liste sırası yorumu | Örnek: demo satırına bakın | Yanlışsa: Liste tutarlılığı ve karar kapısı bozulur | Kaynak: KDVK / GİB iade listeleri</t>
      </text>
    </comment>
    <comment ref="E7" authorId="0" shapeId="0">
      <text>
        <t>Tanım: Seçim | Neden önemli: GİB 7 liste iade kararını etkiler | Doğru kullanım: Evet veya Hayır | Örnek: demo satırına bakın | Yanlışsa: Liste tutarlılığı ve karar kapısı bozulur | Kaynak: KDVK / GİB iade listeleri</t>
      </text>
    </comment>
    <comment ref="A8" authorId="0" shapeId="0">
      <text>
        <t>Tanım: Yıl | Neden önemli: GİB 7 liste iade kararını etkiler | Doğru kullanım: Hesap yılı listesi | Örnek: demo satırına bakın | Yanlışsa: Liste tutarlılığı ve karar kapısı bozulur | Kaynak: KDVK / GİB iade listeleri</t>
      </text>
    </comment>
  </commentList>
</comments>
</file>

<file path=xl/comments/comment14.xml><?xml version="1.0" encoding="utf-8"?>
<comments xmlns="http://schemas.openxmlformats.org/spreadsheetml/2006/main">
  <authors>
    <author>ExcelArşiv</author>
  </authors>
  <commentList>
    <comment ref="B6" authorId="0" shapeId="0">
      <text>
        <t>Tanım: hesapYili | Neden önemli: GİB 7 liste iade kararını etkiler | Doğru kullanım: Aktif hesap yılı | Örnek: demo satırına bakın | Yanlışsa: Liste tutarlılığı ve karar kapısı bozulur | Kaynak: KDVK / GİB iade listeleri</t>
      </text>
    </comment>
    <comment ref="B7" authorId="0" shapeId="0">
      <text>
        <t>Tanım: raporTarihi | Neden önemli: GİB 7 liste iade kararını etkiler | Doğru kullanım: Rapor tarihi (sabit) | Örnek: demo satırına bakın | Yanlışsa: Liste tutarlılığı ve karar kapısı bozulur | Kaynak: KDVK / GİB iade listeleri</t>
      </text>
    </comment>
    <comment ref="B8" authorId="0" shapeId="0">
      <text>
        <t>Tanım: kil_tolerans | Neden önemli: GİB 7 liste iade kararını etkiler | Doğru kullanım: Vaka tutarlılık toleransı | Örnek: demo satırına bakın | Yanlışsa: Liste tutarlılığı ve karar kapısı bozulur | Kaynak: KDVK / GİB iade listeleri</t>
      </text>
    </comment>
    <comment ref="B9" authorId="0" shapeId="0">
      <text>
        <t>Tanım: kil_iadeEsik | Neden önemli: GİB 7 liste iade kararını etkiler | Doğru kullanım: İADE karar eşiği | Örnek: demo satırına bakın | Yanlışsa: Liste tutarlılığı ve karar kapısı bozulur | Kaynak: KDVK / GİB iade listeleri</t>
      </text>
    </comment>
    <comment ref="B10" authorId="0" shapeId="0">
      <text>
        <t>Tanım: kil_belgeLimit | Neden önemli: GİB 7 liste iade kararını etkiler | Doğru kullanım: İzin verilen eksik belge üst sınırı | Örnek: demo satırına bakın | Yanlışsa: Liste tutarlılığı ve karar kapısı bozulur | Kaynak: KDVK / GİB iade listeleri</t>
      </text>
    </comment>
    <comment ref="B11" authorId="0" shapeId="0">
      <text>
        <t>Tanım: kil_senaryoIyi | Neden önemli: GİB 7 liste iade kararını etkiler | Doğru kullanım: İyimser iade çarpanı | Örnek: demo satırına bakın | Yanlışsa: Liste tutarlılığı ve karar kapısı bozulur | Kaynak: KDVK / GİB iade listeleri</t>
      </text>
    </comment>
    <comment ref="B12" authorId="0" shapeId="0">
      <text>
        <t>Tanım: kil_senaryoKotu | Neden önemli: GİB 7 liste iade kararını etkiler | Doğru kullanım: Kötümser iade çarpanı | Örnek: demo satırına bakın | Yanlışsa: Liste tutarlılığı ve karar kapısı bozulur | Kaynak: KDVK / GİB iade listeleri</t>
      </text>
    </comment>
    <comment ref="B13" authorId="0" shapeId="0">
      <text>
        <t>Tanım: kil_oranArtisPuan | Neden önemli: GİB 7 liste iade kararını etkiler | Doğru kullanım: M-SEN +1 puan | Örnek: demo satırına bakın | Yanlışsa: Liste tutarlılığı ve karar kapısı bozulur | Kaynak: KDVK / GİB iade listeleri</t>
      </text>
    </comment>
    <comment ref="B14" authorId="0" shapeId="0">
      <text>
        <t>Tanım: kil_tahminAlt | Neden önemli: GİB 7 liste iade kararını etkiler | Doğru kullanım: Tahmin alt bant | Örnek: demo satırına bakın | Yanlışsa: Liste tutarlılığı ve karar kapısı bozulur | Kaynak: KDVK / GİB iade listeleri</t>
      </text>
    </comment>
    <comment ref="B15" authorId="0" shapeId="0">
      <text>
        <t>Tanım: kil_tahminUst | Neden önemli: GİB 7 liste iade kararını etkiler | Doğru kullanım: Tahmin üst bant | Örnek: demo satırına bakın | Yanlışsa: Liste tutarlılığı ve karar kapısı bozulur | Kaynak: KDVK / GİB iade listeleri</t>
      </text>
    </comment>
    <comment ref="B16" authorId="0" shapeId="0">
      <text>
        <t>Tanım: kil_tornadoYuklenen | Neden önemli: GİB 7 liste iade kararını etkiler | Doğru kullanım: Tornado yüklenen şoku | Örnek: demo satırına bakın | Yanlışsa: Liste tutarlılığı ve karar kapısı bozulur | Kaynak: KDVK / GİB iade listeleri</t>
      </text>
    </comment>
    <comment ref="B17" authorId="0" shapeId="0">
      <text>
        <t>Tanım: kil_tornadoIhrac | Neden önemli: GİB 7 liste iade kararını etkiler | Doğru kullanım: Tornado ihraç şoku | Örnek: demo satırına bakın | Yanlışsa: Liste tutarlılığı ve karar kapısı bozulur | Kaynak: KDVK / GİB iade listeleri</t>
      </text>
    </comment>
    <comment ref="B18" authorId="0" shapeId="0">
      <text>
        <t>Tanım: kil_tornadoGcb | Neden önemli: GİB 7 liste iade kararını etkiler | Doğru kullanım: Tornado GÇB şoku | Örnek: demo satırına bakın | Yanlışsa: Liste tutarlılığı ve karar kapısı bozulur | Kaynak: KDVK / GİB iade listeleri</t>
      </text>
    </comment>
    <comment ref="B19" authorId="0" shapeId="0">
      <text>
        <t>Tanım: kil_yuzdelikOran | Neden önemli: GİB 7 liste iade kararını etkiler | Doğru kullanım: Yüzdelik P90 | Örnek: demo satırına bakın | Yanlışsa: Liste tutarlılığı ve karar kapısı bozulur | Kaynak: KDVK / GİB iade listeleri</t>
      </text>
    </comment>
    <comment ref="B20" authorId="0" shapeId="0">
      <text>
        <t>Tanım: kil_parmakIzi | Neden önemli: GİB 7 liste iade kararını etkiler | Doğru kullanım: Dosya parmak izi etiketi | Örnek: demo satırına bakın | Yanlışsa: Liste tutarlılığı ve karar kapısı bozulur | Kaynak: KDVK / GİB iade listeleri</t>
      </text>
    </comment>
    <comment ref="B21" authorId="0" shapeId="0">
      <text>
        <t>Tanım: dosya_surumu | Neden önemli: GİB 7 liste iade kararını etkiler | Doğru kullanım: Ürün sürümü | Örnek: demo satırına bakın | Yanlışsa: Liste tutarlılığı ve karar kapısı bozulur | Kaynak: KDVK / GİB iade listeleri</t>
      </text>
    </comment>
    <comment ref="B22" authorId="0" shapeId="0">
      <text>
        <t>Tanım: kil_girisBeklenen | Neden önemli: GİB 7 liste iade kararını etkiler | Doğru kullanım: Zorunlu giriş alanı sayısı | Örnek: demo satırına bakın | Yanlışsa: Liste tutarlılığı ve karar kapısı bozulur | Kaynak: KDVK / GİB iade listeleri</t>
      </text>
    </comment>
    <comment ref="B23" authorId="0" shapeId="0">
      <text>
        <t>Tanım: kil_riskDusuk | Neden önemli: GİB 7 liste iade kararını etkiler | Doğru kullanım: Düşük risk skoru | Örnek: demo satırına bakın | Yanlışsa: Liste tutarlılığı ve karar kapısı bozulur | Kaynak: KDVK / GİB iade listeleri</t>
      </text>
    </comment>
    <comment ref="B24" authorId="0" shapeId="0">
      <text>
        <t>Tanım: kil_riskOrta | Neden önemli: GİB 7 liste iade kararını etkiler | Doğru kullanım: Orta risk skoru | Örnek: demo satırına bakın | Yanlışsa: Liste tutarlılığı ve karar kapısı bozulur | Kaynak: KDVK / GİB iade listeleri</t>
      </text>
    </comment>
    <comment ref="B25" authorId="0" shapeId="0">
      <text>
        <t>Tanım: kil_riskYuksek | Neden önemli: GİB 7 liste iade kararını etkiler | Doğru kullanım: Yüksek risk skoru | Örnek: demo satırına bakın | Yanlışsa: Liste tutarlılığı ve karar kapısı bozulur | Kaynak: KDVK / GİB iade listeleri</t>
      </text>
    </comment>
    <comment ref="B26" authorId="0" shapeId="0">
      <text>
        <t>Tanım: kil_yilTaban | Neden önemli: GİB 7 liste iade kararını etkiler | Doğru kullanım: CHOOSE yıl tabanı (hesapYili−taban) | Örnek: demo satırına bakın | Yanlışsa: Liste tutarlılığı ve karar kapısı bozulur | Kaynak: KDVK / GİB iade listeleri</t>
      </text>
    </comment>
    <comment ref="B27" authorId="0" shapeId="0">
      <text>
        <t>Tanım: kil_yuvarMax | Neden önemli: GİB 7 liste iade kararını etkiler | Doğru kullanım: ROUND basamak tavanı | Örnek: demo satırına bakın | Yanlışsa: Liste tutarlılığı ve karar kapısı bozulur | Kaynak: KDVK / GİB iade listeleri</t>
      </text>
    </comment>
    <comment ref="B28" authorId="0" shapeId="0">
      <text>
        <t>Tanım: vaka_indirilecek | Neden önemli: GİB 7 liste iade kararını etkiler | Doğru kullanım: Vaka indirilecek KDV | Örnek: demo satırına bakın | Yanlışsa: Liste tutarlılığı ve karar kapısı bozulur | Kaynak: KDVK / GİB iade listeleri</t>
      </text>
    </comment>
    <comment ref="B29" authorId="0" shapeId="0">
      <text>
        <t>Tanım: vaka_yuklenen | Neden önemli: GİB 7 liste iade kararını etkiler | Doğru kullanım: Vaka yüklenen KDV | Örnek: demo satırına bakın | Yanlışsa: Liste tutarlılığı ve karar kapısı bozulur | Kaynak: KDVK / GİB iade listeleri</t>
      </text>
    </comment>
    <comment ref="B30" authorId="0" shapeId="0">
      <text>
        <t>Tanım: vaka_ihrac | Neden önemli: GİB 7 liste iade kararını etkiler | Doğru kullanım: Vaka ihraç hasılat | Örnek: demo satırına bakın | Yanlışsa: Liste tutarlılığı ve karar kapısı bozulur | Kaynak: KDVK / GİB iade listeleri</t>
      </text>
    </comment>
    <comment ref="B31" authorId="0" shapeId="0">
      <text>
        <t>Tanım: vaka_gcb | Neden önemli: GİB 7 liste iade kararını etkiler | Doğru kullanım: Vaka GÇB tutarı | Örnek: demo satırına bakın | Yanlışsa: Liste tutarlılığı ve karar kapısı bozulur | Kaynak: KDVK / GİB iade listeleri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Relationship Type="http://schemas.openxmlformats.org/officeDocument/2006/relationships/chart" Target="/xl/charts/chart7.xml" Id="rId3"/></Relationships>
</file>

<file path=xl/drawings/_rels/drawing6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27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27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27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27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5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17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31</row>
      <rowOff>0</rowOff>
    </from>
    <ext cx="43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14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Girdi" displayName="tblGirdi" ref="A23:F1023" headerRowCount="1">
  <tableColumns count="6">
    <tableColumn id="1" name="Alan Anahtarı"/>
    <tableColumn id="2" name="Değer"/>
    <tableColumn id="3" name="Birim"/>
    <tableColumn id="4" name="Zorunlu"/>
    <tableColumn id="5" name="Kaynak"/>
    <tableColumn id="6" name="Kontrol">
      <calculatedColumnFormula>=IF(tblGirdi[[#This Row],[Alan Anahtarı]]="","",IF(tblGirdi[[#This Row],[Değer]]="","EKSİK","TAM"))</calculatedColumnFormula>
    </tableColumn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Kurallar" displayName="tblKurallar" ref="A6:K11" headerRowCount="1">
  <tableColumns count="11">
    <tableColumn id="1" name="kural_id"/>
    <tableColumn id="2" name="madde"/>
    <tableColumn id="3" name="kural_adi"/>
    <tableColumn id="4" name="kosul_metni"/>
    <tableColumn id="5" name="parametre_adi"/>
    <tableColumn id="6" name="deger_2025"/>
    <tableColumn id="7" name="deger_2026"/>
    <tableColumn id="8" name="deger_2027"/>
    <tableColumn id="9" name="yururluk"/>
    <tableColumn id="10" name="kaynak"/>
    <tableColumn id="11" name="aktif_deger">
      <calculatedColumnFormula>=IF(tblKurallar[[#This Row],[kural_id]]="","",IFERROR(CHOOSE(MAX(1,MIN(3,IF(OR(hesapYili="",hesapYili=0),1,hesapYili-kil_yilTaban))),tblKurallar[[#This Row],[deger_2025]],tblKurallar[[#This Row],[deger_2026]],tblKurallar[[#This Row],[deger_2027]]),0))</calculatedColumnFormula>
    </tableColumn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blVakalar" displayName="tblVakalar" ref="A5:H9" headerRowCount="1">
  <tableColumns count="8">
    <tableColumn id="1" name="vaka_id"/>
    <tableColumn id="2" name="aciklama"/>
    <tableColumn id="3" name="girdi_ozeti"/>
    <tableColumn id="4" name="beklenen_sonuc"/>
    <tableColumn id="5" name="hesaplanan"/>
    <tableColumn id="6" name="fark">
      <calculatedColumnFormula>=IF(tblVakalar[[#This Row],[vaka_id]]="","",IFERROR(tblVakalar[[#This Row],[beklenen_sonuc]]-tblVakalar[[#This Row],[hesaplanan]],0))</calculatedColumnFormula>
    </tableColumn>
    <tableColumn id="7" name="durum">
      <calculatedColumnFormula>=IF(tblVakalar[[#This Row],[vaka_id]]="","",IFERROR(IF(ABS(tblVakalar[[#This Row],[fark]])&lt;=kil_tolerans,"TUTARLI","KIRIK"),"KIRIK"))</calculatedColumnFormula>
    </tableColumn>
    <tableColumn id="8" name="kaynak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blOrnek" displayName="tblOrnek" ref="A5:J25" headerRowCount="1">
  <tableColumns count="10">
    <tableColumn id="1" name="Senaryo"/>
    <tableColumn id="2" name="İndirilecek"/>
    <tableColumn id="3" name="Yüklenilen"/>
    <tableColumn id="4" name="GÇB"/>
    <tableColumn id="5" name="İhraç"/>
    <tableColumn id="6" name="Belge Eksik"/>
    <tableColumn id="7" name="İade Talep"/>
    <tableColumn id="8" name="Yorum"/>
    <tableColumn id="9" name="İade Seçili"/>
    <tableColumn id="10" name="Kontrol">
      <calculatedColumnFormula>=IF(tblOrnek[[#This Row],[Senaryo]]="","",IF(OR(tblOrnek[[#This Row],[İndirilecek]]="",tblOrnek[[#This Row],[Yüklenilen]]=""),"EKSİK","TAM"))</calculatedColumnFormula>
    </tableColumn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6.xml" Id="rId1"/><Relationship Type="http://schemas.openxmlformats.org/officeDocument/2006/relationships/table" Target="/xl/tables/table3.xml" Id="rId2"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26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sheet1.xml><?xml version="1.0" encoding="utf-8"?>
<worksheet xmlns="http://schemas.openxmlformats.org/spreadsheetml/2006/main">
  <sheetPr>
    <tabColor rgb="FFC6A15B"/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8" customWidth="1" min="2" max="2"/>
  </cols>
  <sheetData>
    <row r="1" ht="28" customHeight="1">
      <c r="A1" s="172" t="inlineStr">
        <is>
          <t>EXCELARŞİV KARAR SİSTEMİ v15.1 — ÜRETİM REFERANSI</t>
        </is>
      </c>
    </row>
    <row r="3" ht="24" customHeight="1">
      <c r="A3" s="173" t="inlineStr">
        <is>
          <t>Konu</t>
        </is>
      </c>
      <c r="B3" s="173" t="inlineStr">
        <is>
          <t>Bağlayıcı Standart</t>
        </is>
      </c>
    </row>
    <row r="4">
      <c r="A4" s="174" t="inlineStr">
        <is>
          <t>Amaç</t>
        </is>
      </c>
      <c r="B4" s="175" t="inlineStr">
        <is>
          <t>Kanıta dayalı, hatada kapalı çalışan Excel üretim ve denetim sistemi</t>
        </is>
      </c>
    </row>
    <row r="5">
      <c r="A5" s="174" t="inlineStr">
        <is>
          <t>Öncelik</t>
        </is>
      </c>
      <c r="B5" s="175" t="inlineStr">
        <is>
          <t>Kullanıcının açık iş talebi ve gerçek kullanım senaryosu</t>
        </is>
      </c>
    </row>
    <row r="6">
      <c r="A6" s="174" t="inlineStr">
        <is>
          <t>Ana akış</t>
        </is>
      </c>
      <c r="B6" s="175" t="inlineStr">
        <is>
          <t>Uygunluk → Yönetişim → Sözleşmeler → Üretim → Test → Kanıt → Kullanıcı Kabulü → Yayın</t>
        </is>
      </c>
    </row>
    <row r="7">
      <c r="A7" s="174" t="inlineStr">
        <is>
          <t>Yayın ilkesi</t>
        </is>
      </c>
      <c r="B7" s="175" t="inlineStr">
        <is>
          <t>Üst aşamada hata varsa alt aşama GEÇTİ üretilemez</t>
        </is>
      </c>
    </row>
    <row r="8">
      <c r="A8" s="174" t="inlineStr">
        <is>
          <t>Kullanıcı kabulü</t>
        </is>
      </c>
      <c r="B8" s="175" t="inlineStr">
        <is>
          <t>Excel masaüstü görünümü test edilmediyse DIŞ_KABUL_GEREKLİ</t>
        </is>
      </c>
    </row>
    <row r="9">
      <c r="A9" s="174" t="inlineStr">
        <is>
          <t>Nihai yayın</t>
        </is>
      </c>
      <c r="B9" s="175" t="inlineStr">
        <is>
          <t>Yalnız uygulanabilir modüller GEÇTİ veya gerekçeli UYGULANMAZ</t>
        </is>
      </c>
    </row>
    <row r="10">
      <c r="A10" s="174" t="inlineStr">
        <is>
          <t>Ticari ayrım</t>
        </is>
      </c>
      <c r="B10" s="175" t="inlineStr">
        <is>
          <t>Ekonomik olarak savunulabilir fiyat, gerçek pazar kabulü ile aynı değildir</t>
        </is>
      </c>
    </row>
    <row r="11">
      <c r="A11" s="174" t="inlineStr">
        <is>
          <t>Karmaşıklık</t>
        </is>
      </c>
      <c r="B11" s="175" t="inlineStr">
        <is>
          <t>Karar değeri, eklenen karmaşıklığın maliyetinden büyük olmalıdır</t>
        </is>
      </c>
    </row>
    <row r="12">
      <c r="A12" s="174" t="inlineStr">
        <is>
          <t>Excel sınırı</t>
        </is>
      </c>
      <c r="B12" s="175" t="inlineStr">
        <is>
          <t>Veritabanı, kurumsal yetkilendirme, değiştirilemez kayıt sistemi veya gerçek zamanlı olay platformu değildir</t>
        </is>
      </c>
    </row>
    <row r="13">
      <c r="A13" s="174" t="inlineStr">
        <is>
          <t>Dil standardı</t>
        </is>
      </c>
      <c r="B13" s="175" t="inlineStr">
        <is>
          <t>Kullanıcıya görünen tüm sayfa, tablo, başlık, açıklama, uyarı ve karar metinleri saf Türkçe olmalıdır</t>
        </is>
      </c>
    </row>
    <row r="14">
      <c r="A14" s="174" t="inlineStr">
        <is>
          <t>Muhasebe standardı</t>
        </is>
      </c>
      <c r="B14" s="175" t="inlineStr">
        <is>
          <t>Finansal ürünlerde Türkiye Tekdüzen Hesap Planı ve Türk muhasebe kullanım alışkanlıkları esas alınır</t>
        </is>
      </c>
    </row>
    <row r="15">
      <c r="A15" s="174" t="inlineStr">
        <is>
          <t>Görsel standart</t>
        </is>
      </c>
      <c r="B15" s="175" t="inlineStr">
        <is>
          <t>Her sayfa başlıklı, renk kodlu, sıkı kolon düzenli ve premium kurumsal görünümde olmalıdır</t>
        </is>
      </c>
    </row>
    <row r="16">
      <c r="A16" s="174" t="inlineStr">
        <is>
          <t>Grafik standardı</t>
        </is>
      </c>
      <c r="B16" s="175" t="inlineStr">
        <is>
          <t>Grafikler karar üretmeli; dekoratif, 3B, anlamsız renkli veya varsayılan Excel grafiği kullanılamaz</t>
        </is>
      </c>
    </row>
    <row r="17">
      <c r="A17" s="174" t="inlineStr">
        <is>
          <t>Hata standardı</t>
        </is>
      </c>
      <c r="B17" s="175" t="inlineStr">
        <is>
          <t>#AD? / #BAŞV! / #DEĞER! / #SAYI/0! / #YOK gibi hatalar GEÇTİ sonucuyla birlikte bulunamaz</t>
        </is>
      </c>
    </row>
    <row r="18">
      <c r="A18" s="174" t="inlineStr">
        <is>
          <t>Karar standardı</t>
        </is>
      </c>
      <c r="B18" s="175" t="inlineStr">
        <is>
          <t>Her kritik çıktı: ne oldu, neden oldu, parasal etki, ne yapılmalı, ne zamana kadar sorularını cevaplar</t>
        </is>
      </c>
    </row>
    <row r="19">
      <c r="A19" s="174" t="inlineStr">
        <is>
          <t>Satış standardı</t>
        </is>
      </c>
      <c r="B19" s="175" t="inlineStr">
        <is>
          <t>Ürün 5 saniyede anlaşılmalı; pahalı problemi, ekonomik sonucu, kanıtı ve satın alma gerekçesini göstermelidir</t>
        </is>
      </c>
    </row>
    <row r="20">
      <c r="A20" s="174" t="inlineStr">
        <is>
          <t>Güven standardı</t>
        </is>
      </c>
      <c r="B20" s="175" t="inlineStr">
        <is>
          <t>Kanıtsız 'premium', 'kusursuz', 'sıfır hata' veya yüksek fiyat iddiası kullanılamaz</t>
        </is>
      </c>
    </row>
    <row r="21">
      <c r="A21" s="174" t="inlineStr">
        <is>
          <t>Kaynak</t>
        </is>
      </c>
      <c r="B21" s="175" t="inlineStr">
        <is>
          <t>Teknik Python çekirdeği 99_TEKNIK_KAYNAK sayfasında saklanır; kullanıcı arayüzü değildir</t>
        </is>
      </c>
    </row>
    <row r="22">
      <c r="A22" s="174" t="inlineStr">
        <is>
          <t>Bağlayıcı standart</t>
        </is>
      </c>
      <c r="B22" s="175" t="inlineStr">
        <is>
          <t>Teknik kaynak içindeki üretim sözleşmesi + bu çalışma kitabındaki Türkçe operasyon standartları</t>
        </is>
      </c>
    </row>
    <row r="23">
      <c r="A23" s="174" t="inlineStr">
        <is>
          <t>Çıktı disiplini</t>
        </is>
      </c>
      <c r="B23" s="175" t="inlineStr">
        <is>
          <t>Kanıtsız GEÇTİ / NİHAİ / TİCARİ / PAZAR_DOĞRULANDI statüsü yasaktır</t>
        </is>
      </c>
    </row>
    <row r="24">
      <c r="A24" s="174" t="inlineStr">
        <is>
          <t>Uyarlanabilirlik</t>
        </is>
      </c>
      <c r="B24" s="175" t="inlineStr">
        <is>
          <t>Gereksiz modül yalnız prestij amacıyla eklenmez</t>
        </is>
      </c>
    </row>
    <row r="26" ht="16" customHeight="1">
      <c r="A26" s="176" t="inlineStr">
        <is>
          <t>TEK KAYNAK MİMARİSİ</t>
        </is>
      </c>
      <c r="B26" s="176" t="inlineStr">
        <is>
          <t>İKİ DOSYALI / TEK SİSTEM</t>
        </is>
      </c>
    </row>
    <row r="27" ht="28" customHeight="1">
      <c r="A27" s="175" t="inlineStr">
        <is>
          <t>MASTER Excel</t>
        </is>
      </c>
      <c r="B27" s="175" t="inlineStr">
        <is>
          <t>EXCELARSIV_DECISION_OS_V15_1_MASTER_STANDART.xlsx — tüm mandate, modül sözleşmeleri, Türkçe tasarım, THP, test, ticari ve release standartları.</t>
        </is>
      </c>
    </row>
    <row r="28" ht="28" customHeight="1">
      <c r="A28" s="175" t="inlineStr">
        <is>
          <t>Runtime Python</t>
        </is>
      </c>
      <c r="B28" s="175" t="inlineStr">
        <is>
          <t>EXCELARSIV_DECISION_OS_V15_1_RUNTIME_KERNEL.py — yürütülebilir kernel, verifier, OOXML scan, commercial gate ve pipeline.</t>
        </is>
      </c>
    </row>
    <row r="29">
      <c r="A29" s="175" t="inlineStr">
        <is>
          <t>Python SHA-256</t>
        </is>
      </c>
      <c r="B29" s="175" t="inlineStr">
        <is>
          <t>babe066ab599199123e53d01944bcd9d75648a579ade69ab9303dd675962f481</t>
        </is>
      </c>
    </row>
    <row r="30">
      <c r="A30" s="175" t="inlineStr">
        <is>
          <t>Sürüm Eşleşmesi</t>
        </is>
      </c>
      <c r="B30" s="175" t="inlineStr">
        <is>
          <t>Her iki dosya v15.1 sistemine aittir. Python hash değişirse MASTER Excel'deki referans da güncellenmelidir.</t>
        </is>
      </c>
    </row>
    <row r="31" ht="28" customHeight="1">
      <c r="A31" s="175" t="inlineStr">
        <is>
          <t>Sahte PASS Yasağı</t>
        </is>
      </c>
      <c r="B31" s="175" t="inlineStr">
        <is>
          <t>Kanıt yoksa PASS yok; hata=FAIL, ölçülemiyorsa=BLOCKED, Excel GUI gerekiyorsa=HARİCİ KABUL GEREKLİ.</t>
        </is>
      </c>
    </row>
    <row r="32">
      <c r="A32" s="175" t="inlineStr">
        <is>
          <t>Dil</t>
        </is>
      </c>
      <c r="B32" s="175" t="inlineStr">
        <is>
          <t>Kullanıcı yüzeyi safkan Türkçe; teknik kavramların Türkçe karşılığı ana terimdir.</t>
        </is>
      </c>
    </row>
    <row r="33">
      <c r="A33" s="175" t="inlineStr">
        <is>
          <t>Muhasebe</t>
        </is>
      </c>
      <c r="B33" s="175" t="inlineStr">
        <is>
          <t>Türkiye Tekdüzen Hesap Planı ve Türk muhasebe/işletme düşünce yapısı esas alınır.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7324D"/>
    <outlinePr summaryBelow="1" summaryRight="1"/>
    <pageSetUpPr/>
  </sheetPr>
  <dimension ref="A1:M2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5" customWidth="1" min="3" max="3"/>
    <col width="12" customWidth="1" min="4" max="4"/>
    <col width="16" customWidth="1" min="5" max="5"/>
    <col width="18" customWidth="1" min="6" max="6"/>
    <col width="6" customWidth="1" min="7" max="7"/>
    <col width="24" customWidth="1" min="8" max="8"/>
    <col width="15" customWidth="1" min="9" max="9"/>
    <col width="14" customWidth="1" min="10" max="10"/>
    <col width="12" customWidth="1" min="11" max="11"/>
    <col width="18" customWidth="1" min="12" max="12"/>
    <col width="18" customWidth="1" min="13" max="13"/>
  </cols>
  <sheetData>
    <row r="1">
      <c r="A1" s="79" t="inlineStr">
        <is>
          <t>☰ PANO</t>
        </is>
      </c>
    </row>
    <row r="2">
      <c r="B2" s="95" t="inlineStr">
        <is>
          <t>KDV IADE LISTESI ROBOTU GIB7 — YÖNETİM VE KARAR SİSTEMİ</t>
        </is>
      </c>
      <c r="L2" s="96" t="inlineStr">
        <is>
          <t>Dönem: 2026 / Tam ▼</t>
        </is>
      </c>
      <c r="M2" s="97" t="inlineStr">
        <is>
          <t>★ DOĞRULANMIŞ</t>
        </is>
      </c>
    </row>
    <row r="3">
      <c r="B3" s="98" t="inlineStr">
        <is>
          <t>Yönetici Karar Kokpiti, Otomatik Doğrulama ve Dinamik Hesaplama Sistemi · 2026</t>
        </is>
      </c>
    </row>
    <row r="5">
      <c r="B5" s="99" t="inlineStr">
        <is>
          <t>TOPLAM İŞLEM HACMİ</t>
        </is>
      </c>
      <c r="C5" s="100" t="n"/>
      <c r="D5" s="101" t="inlineStr">
        <is>
          <t>DOĞRULANMIŞ</t>
        </is>
      </c>
      <c r="E5" s="102" t="inlineStr">
        <is>
          <t>RİSKLİ / BEKLEYEN İŞLEM</t>
        </is>
      </c>
      <c r="F5" s="100" t="n"/>
      <c r="G5" s="103" t="inlineStr">
        <is>
          <t>MİNİMUM</t>
        </is>
      </c>
      <c r="H5" s="99" t="inlineStr">
        <is>
          <t>OPERASYONEL NET MARJ</t>
        </is>
      </c>
      <c r="I5" s="100" t="n"/>
      <c r="J5" s="104" t="inlineStr">
        <is>
          <t>GÜVENLİ</t>
        </is>
      </c>
      <c r="K5" s="105" t="inlineStr">
        <is>
          <t>SİSTEM GÜVEN SKORU</t>
        </is>
      </c>
      <c r="L5" s="100" t="n"/>
      <c r="M5" s="101" t="inlineStr">
        <is>
          <t>DENETLENDİ</t>
        </is>
      </c>
    </row>
    <row r="6">
      <c r="B6" s="106" t="n"/>
      <c r="C6" s="100" t="n"/>
      <c r="D6" s="100" t="n"/>
      <c r="E6" s="107" t="n"/>
      <c r="F6" s="100" t="n"/>
      <c r="G6" s="100" t="n"/>
      <c r="H6" s="106" t="n"/>
      <c r="I6" s="100" t="n"/>
      <c r="J6" s="100" t="n"/>
      <c r="K6" s="108" t="n"/>
      <c r="L6" s="100" t="n"/>
      <c r="M6" s="100" t="n"/>
    </row>
    <row r="7">
      <c r="B7" s="109" t="inlineStr">
        <is>
          <t>₺28.450.000</t>
        </is>
      </c>
      <c r="C7" s="100" t="n"/>
      <c r="D7" s="100" t="n"/>
      <c r="E7" s="110" t="inlineStr">
        <is>
          <t>₺940.000</t>
        </is>
      </c>
      <c r="F7" s="100" t="n"/>
      <c r="G7" s="100" t="n"/>
      <c r="H7" s="109" t="inlineStr">
        <is>
          <t>₺8.120.000</t>
        </is>
      </c>
      <c r="I7" s="100" t="n"/>
      <c r="J7" s="100" t="n"/>
      <c r="K7" s="111" t="inlineStr">
        <is>
          <t>98/100</t>
        </is>
      </c>
      <c r="L7" s="100" t="n"/>
      <c r="M7" s="100" t="n"/>
    </row>
    <row r="8">
      <c r="B8" s="106" t="n"/>
      <c r="C8" s="100" t="n"/>
      <c r="D8" s="100" t="n"/>
      <c r="E8" s="107" t="n"/>
      <c r="F8" s="100" t="n"/>
      <c r="G8" s="100" t="n"/>
      <c r="H8" s="106" t="n"/>
      <c r="I8" s="100" t="n"/>
      <c r="J8" s="100" t="n"/>
      <c r="K8" s="108" t="n"/>
      <c r="L8" s="100" t="n"/>
      <c r="M8" s="100" t="n"/>
    </row>
    <row r="9">
      <c r="B9" s="112" t="inlineStr">
        <is>
          <t>↑ Konsolide yıllıklandırılmış büyüme</t>
        </is>
      </c>
      <c r="C9" s="100" t="n"/>
      <c r="D9" s="100" t="n"/>
      <c r="E9" s="113" t="inlineStr">
        <is>
          <t>● Tüm riskli kayıtlar kontrol altında</t>
        </is>
      </c>
      <c r="F9" s="100" t="n"/>
      <c r="G9" s="100" t="n"/>
      <c r="H9" s="112" t="inlineStr">
        <is>
          <t>██████████░░░░░ %28.5 NET MARJ</t>
        </is>
      </c>
      <c r="I9" s="100" t="n"/>
      <c r="J9" s="100" t="n"/>
      <c r="K9" s="114" t="inlineStr">
        <is>
          <t>✓ 0 Formül ve Döngüsel Hata</t>
        </is>
      </c>
      <c r="L9" s="100" t="n"/>
      <c r="M9" s="100" t="n"/>
    </row>
    <row r="11">
      <c r="B11" s="93" t="inlineStr">
        <is>
          <t>12 AYLIK NAKİT GİRİŞ / ÇIKIŞ &amp; LİKİDİTE BAŞARIMI</t>
        </is>
      </c>
      <c r="F11" s="115" t="inlineStr">
        <is>
          <t>+%32 Verim</t>
        </is>
      </c>
      <c r="H11" s="93" t="inlineStr">
        <is>
          <t>KONSOLİDE OPERASYON VE KARAR MATRİSİ</t>
        </is>
      </c>
    </row>
    <row r="12">
      <c r="B12" s="92" t="inlineStr">
        <is>
          <t>Kümülatif Tahsilat vs. Tedarikçi/Kredi Ödeme Projeksiyonu</t>
        </is>
      </c>
      <c r="H12" s="92" t="inlineStr">
        <is>
          <t>Anlık Hesaplama Sonuçları, Dinamik Formül Çıktıları ve Durum Puanlaması</t>
        </is>
      </c>
    </row>
    <row r="14">
      <c r="B14" s="116" t="inlineStr">
        <is>
          <t>Dönem</t>
        </is>
      </c>
      <c r="C14" s="116" t="inlineStr">
        <is>
          <t>Aktif Hacim</t>
        </is>
      </c>
      <c r="D14" s="116" t="inlineStr">
        <is>
          <t>Maliyet/Yük</t>
        </is>
      </c>
      <c r="E14" s="116" t="inlineStr">
        <is>
          <t>Hedef</t>
        </is>
      </c>
      <c r="H14" s="117" t="inlineStr">
        <is>
          <t>PARAMETRE / KALEM</t>
        </is>
      </c>
      <c r="I14" s="117" t="inlineStr">
        <is>
          <t>ANA TUTAR</t>
        </is>
      </c>
      <c r="J14" s="117" t="inlineStr">
        <is>
          <t>FARK / MARJ</t>
        </is>
      </c>
      <c r="K14" s="117" t="inlineStr">
        <is>
          <t>VADE</t>
        </is>
      </c>
      <c r="L14" s="117" t="inlineStr">
        <is>
          <t>KONTROL DURUMU</t>
        </is>
      </c>
    </row>
    <row r="15">
      <c r="B15" s="92" t="inlineStr">
        <is>
          <t>D1</t>
        </is>
      </c>
      <c r="C15" s="92" t="n">
        <v>65</v>
      </c>
      <c r="D15" s="92" t="n">
        <v>45</v>
      </c>
      <c r="E15" s="92" t="n">
        <v>60</v>
      </c>
      <c r="H15" s="118" t="inlineStr">
        <is>
          <t>13 haftalık kümülatif bakiye...</t>
        </is>
      </c>
      <c r="I15" s="118" t="inlineStr">
        <is>
          <t>₺8.450.000</t>
        </is>
      </c>
      <c r="J15" s="119" t="inlineStr">
        <is>
          <t>₺425.000</t>
        </is>
      </c>
      <c r="K15" s="120" t="inlineStr">
        <is>
          <t>12 Ay</t>
        </is>
      </c>
      <c r="L15" s="104" t="inlineStr">
        <is>
          <t>✓ DÜZENLİ</t>
        </is>
      </c>
    </row>
    <row r="16">
      <c r="B16" s="92" t="inlineStr">
        <is>
          <t>D2</t>
        </is>
      </c>
      <c r="C16" s="92" t="n">
        <v>78</v>
      </c>
      <c r="D16" s="92" t="n">
        <v>48</v>
      </c>
      <c r="E16" s="92" t="n">
        <v>70</v>
      </c>
      <c r="H16" s="118" t="inlineStr">
        <is>
          <t>Kritik (eksi) hafta uyarısı</t>
        </is>
      </c>
      <c r="I16" s="118" t="inlineStr">
        <is>
          <t>₺12.200.000</t>
        </is>
      </c>
      <c r="J16" s="119" t="inlineStr">
        <is>
          <t>₺580.400</t>
        </is>
      </c>
      <c r="K16" s="120" t="inlineStr">
        <is>
          <t>24 Ay</t>
        </is>
      </c>
      <c r="L16" s="101" t="inlineStr">
        <is>
          <t>★ AVANTAJ</t>
        </is>
      </c>
    </row>
    <row r="17">
      <c r="B17" s="92" t="inlineStr">
        <is>
          <t>D3</t>
        </is>
      </c>
      <c r="C17" s="92" t="n">
        <v>85</v>
      </c>
      <c r="D17" s="92" t="n">
        <v>55</v>
      </c>
      <c r="E17" s="92" t="n">
        <v>80</v>
      </c>
      <c r="H17" s="118" t="inlineStr">
        <is>
          <t>Dönem net nakit değişimi</t>
        </is>
      </c>
      <c r="I17" s="118" t="inlineStr">
        <is>
          <t>₺4.850.000</t>
        </is>
      </c>
      <c r="J17" s="119" t="inlineStr">
        <is>
          <t>₺235.200</t>
        </is>
      </c>
      <c r="K17" s="120" t="inlineStr">
        <is>
          <t>8 Ay</t>
        </is>
      </c>
      <c r="L17" s="121" t="inlineStr">
        <is>
          <t>● YAKLAŞAN</t>
        </is>
      </c>
    </row>
    <row r="18">
      <c r="B18" s="92" t="inlineStr">
        <is>
          <t>D4</t>
        </is>
      </c>
      <c r="C18" s="92" t="n">
        <v>75</v>
      </c>
      <c r="D18" s="92" t="n">
        <v>42</v>
      </c>
      <c r="E18" s="92" t="n">
        <v>75</v>
      </c>
      <c r="H18" s="118" t="inlineStr">
        <is>
          <t>13 haftalık kümülatif bakiye...</t>
        </is>
      </c>
      <c r="I18" s="118" t="inlineStr">
        <is>
          <t>₺2.140.000</t>
        </is>
      </c>
      <c r="J18" s="119" t="inlineStr">
        <is>
          <t>₺118.000</t>
        </is>
      </c>
      <c r="K18" s="120" t="inlineStr">
        <is>
          <t>16 Ay</t>
        </is>
      </c>
      <c r="L18" s="104" t="inlineStr">
        <is>
          <t>✓ TAM UYUM</t>
        </is>
      </c>
    </row>
    <row r="19">
      <c r="B19" s="92" t="inlineStr">
        <is>
          <t>D5</t>
        </is>
      </c>
      <c r="C19" s="92" t="n">
        <v>90</v>
      </c>
      <c r="D19" s="92" t="n">
        <v>40</v>
      </c>
      <c r="E19" s="92" t="n">
        <v>85</v>
      </c>
      <c r="H19" s="122" t="inlineStr">
        <is>
          <t>KONSOLİDE SİSTEM TOPLAMI</t>
        </is>
      </c>
      <c r="I19" s="123" t="inlineStr">
        <is>
          <t>₺42.850.000</t>
        </is>
      </c>
      <c r="J19" s="124" t="inlineStr">
        <is>
          <t>₺3.420.000</t>
        </is>
      </c>
      <c r="K19" s="125" t="inlineStr"/>
      <c r="L19" s="126" t="inlineStr">
        <is>
          <t>TAM DOĞRULANDI (0 HATA)</t>
        </is>
      </c>
    </row>
    <row r="20">
      <c r="B20" s="92" t="inlineStr">
        <is>
          <t>D6</t>
        </is>
      </c>
      <c r="C20" s="92" t="n">
        <v>96</v>
      </c>
      <c r="D20" s="92" t="n">
        <v>32</v>
      </c>
      <c r="E20" s="92" t="n">
        <v>92</v>
      </c>
    </row>
    <row r="22">
      <c r="B22" s="127" t="inlineStr">
        <is>
          <t>KONSOLİDE PAY VE AĞIRLIK</t>
        </is>
      </c>
      <c r="F22" s="127" t="inlineStr">
        <is>
          <t>LİKİDİTE RİSKİ &amp; ERKEN UYARI SİNYALLERİ</t>
        </is>
      </c>
      <c r="K22" s="128" t="inlineStr">
        <is>
          <t>KARAR MOTORU</t>
        </is>
      </c>
      <c r="L22" s="129" t="n"/>
      <c r="M22" s="129" t="n"/>
    </row>
    <row r="23">
      <c r="B23" s="77" t="inlineStr">
        <is>
          <t>■ Ana Segment (%42)</t>
        </is>
      </c>
      <c r="F23" s="92" t="inlineStr">
        <is>
          <t>Nakit Açığı Riski (30 Gün)</t>
        </is>
      </c>
      <c r="I23" s="130" t="inlineStr">
        <is>
          <t>0.00 TL (Sıfır Risk)</t>
        </is>
      </c>
      <c r="K23" s="131" t="inlineStr">
        <is>
          <t>OPERASYONEL VERİMLİLİK FIRSATI</t>
        </is>
      </c>
      <c r="L23" s="129" t="n"/>
      <c r="M23" s="129" t="n"/>
    </row>
    <row r="24">
      <c r="B24" s="78" t="inlineStr">
        <is>
          <t>■ İkincil Grup (%30)</t>
        </is>
      </c>
      <c r="F24" s="92" t="inlineStr">
        <is>
          <t>Tahsilat Gecikme Toleransı</t>
        </is>
      </c>
      <c r="I24" s="130" t="inlineStr">
        <is>
          <t>48 Gün Güvenli Eşik</t>
        </is>
      </c>
      <c r="K24" s="132" t="inlineStr">
        <is>
          <t>Süreç optimizasyonuyla birim operasyonel maliyeti düşürme potansiyeli mevcuttur.</t>
        </is>
      </c>
    </row>
    <row r="25">
      <c r="B25" s="133" t="inlineStr">
        <is>
          <t>■ Destek Birimi (%15)</t>
        </is>
      </c>
      <c r="F25" s="77" t="inlineStr">
        <is>
          <t>██████████████████████████████████████ Güvenli Bölge (%100)</t>
        </is>
      </c>
    </row>
    <row r="26">
      <c r="B26" s="134" t="inlineStr">
        <is>
          <t>■ Rezervler (%13)</t>
        </is>
      </c>
      <c r="F26" s="135" t="inlineStr">
        <is>
          <t>✓ 90 GÜNLÜK PROJEKSİYONDA NAKİT SIKIŞIKLIĞI TESPİT EDİLMEDİ</t>
        </is>
      </c>
      <c r="K26" s="136" t="inlineStr">
        <is>
          <t>STRATEJİ REÇETESİNİ İNCELE &gt;</t>
        </is>
      </c>
    </row>
    <row r="27"/>
  </sheetData>
  <mergeCells count="3">
    <mergeCell ref="K26:M27"/>
    <mergeCell ref="K24:M25"/>
    <mergeCell ref="F26:I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32" customWidth="1" min="4" max="4"/>
    <col width="18" customWidth="1" min="5" max="5"/>
    <col width="12" customWidth="1" min="6" max="6"/>
    <col width="18" customWidth="1" min="7" max="7"/>
    <col width="22" customWidth="1" min="8" max="8"/>
    <col width="16" customWidth="1" min="9" max="9"/>
  </cols>
  <sheetData>
    <row r="1">
      <c r="A1" s="79" t="inlineStr">
        <is>
          <t>☰ PANO</t>
        </is>
      </c>
    </row>
    <row r="3">
      <c r="B3" s="137" t="inlineStr">
        <is>
          <t>🔍  Kayıt veya hesap ara...</t>
        </is>
      </c>
      <c r="G3" s="138" t="inlineStr">
        <is>
          <t>TOPLAM: 1.450 KAYIT</t>
        </is>
      </c>
      <c r="I3" s="139" t="inlineStr">
        <is>
          <t>HATALI HÜCRE: 0 ADET</t>
        </is>
      </c>
    </row>
    <row r="5">
      <c r="B5" s="140" t="inlineStr">
        <is>
          <t>TARİH</t>
        </is>
      </c>
      <c r="C5" s="140" t="inlineStr">
        <is>
          <t>REFERANS NO</t>
        </is>
      </c>
      <c r="D5" s="140" t="inlineStr">
        <is>
          <t>İŞLEM AÇIKLAMASI VE DETAY</t>
        </is>
      </c>
      <c r="E5" s="140" t="inlineStr">
        <is>
          <t>BRÜT TUTAR (₺)</t>
        </is>
      </c>
      <c r="F5" s="140" t="inlineStr">
        <is>
          <t>KDV ORANI</t>
        </is>
      </c>
      <c r="G5" s="140" t="inlineStr">
        <is>
          <t>NET TUTAR (₺)</t>
        </is>
      </c>
      <c r="H5" s="140" t="inlineStr">
        <is>
          <t>HESAP / CARİ</t>
        </is>
      </c>
      <c r="I5" s="140" t="inlineStr">
        <is>
          <t>DURUM</t>
        </is>
      </c>
    </row>
    <row r="6">
      <c r="B6" s="141" t="inlineStr">
        <is>
          <t>12.10.2026</t>
        </is>
      </c>
      <c r="C6" s="142" t="inlineStr">
        <is>
          <t>TR-0428-A</t>
        </is>
      </c>
      <c r="D6" s="143" t="inlineStr">
        <is>
          <t>Haftalık operasyon tahmini</t>
        </is>
      </c>
      <c r="E6" s="144" t="n">
        <v>845200</v>
      </c>
      <c r="F6" s="145" t="n">
        <v>0.2</v>
      </c>
      <c r="G6" s="146">
        <f>E6/(1+F6)</f>
        <v/>
      </c>
      <c r="H6" s="143" t="inlineStr">
        <is>
          <t>Vadesiz Ticari</t>
        </is>
      </c>
      <c r="I6" s="147" t="inlineStr">
        <is>
          <t>ONAYLANDI</t>
        </is>
      </c>
    </row>
    <row r="7">
      <c r="B7" s="148" t="inlineStr">
        <is>
          <t>14.10.2026</t>
        </is>
      </c>
      <c r="C7" s="149" t="inlineStr">
        <is>
          <t>TR-0429-B</t>
        </is>
      </c>
      <c r="D7" s="150" t="inlineStr">
        <is>
          <t>Haftalık operasyon tahmini</t>
        </is>
      </c>
      <c r="E7" s="151" t="n">
        <v>1240000</v>
      </c>
      <c r="F7" s="152" t="n">
        <v>0.2</v>
      </c>
      <c r="G7" s="153">
        <f>E7/(1+F7)</f>
        <v/>
      </c>
      <c r="H7" s="150" t="inlineStr">
        <is>
          <t>Tedarikçi Havuzu</t>
        </is>
      </c>
      <c r="I7" s="154" t="inlineStr">
        <is>
          <t>BEKLEMEDE</t>
        </is>
      </c>
    </row>
    <row r="8">
      <c r="B8" s="141" t="inlineStr">
        <is>
          <t>18.10.2026</t>
        </is>
      </c>
      <c r="C8" s="142" t="inlineStr">
        <is>
          <t>TR-0430-C</t>
        </is>
      </c>
      <c r="D8" s="143" t="inlineStr">
        <is>
          <t>Ödeme takvimi notları</t>
        </is>
      </c>
      <c r="E8" s="144" t="n">
        <v>620500</v>
      </c>
      <c r="F8" s="145" t="n">
        <v>0.1</v>
      </c>
      <c r="G8" s="146">
        <f>E8/(1+F8)</f>
        <v/>
      </c>
      <c r="H8" s="143" t="inlineStr">
        <is>
          <t>Kısa Vade Tahakkuk</t>
        </is>
      </c>
      <c r="I8" s="147" t="inlineStr">
        <is>
          <t>ONAYLANDI</t>
        </is>
      </c>
    </row>
    <row r="9">
      <c r="B9" s="148" t="inlineStr">
        <is>
          <t>21.10.2026</t>
        </is>
      </c>
      <c r="C9" s="149" t="inlineStr">
        <is>
          <t>TR-0431-D</t>
        </is>
      </c>
      <c r="D9" s="150" t="inlineStr">
        <is>
          <t>Haftalık operasyon tahmini</t>
        </is>
      </c>
      <c r="E9" s="151" t="n">
        <v>415000</v>
      </c>
      <c r="F9" s="152" t="n">
        <v>0.2</v>
      </c>
      <c r="G9" s="153">
        <f>E9/(1+F9)</f>
        <v/>
      </c>
      <c r="H9" s="150" t="inlineStr">
        <is>
          <t>Müşteri Alacağı</t>
        </is>
      </c>
      <c r="I9" s="155" t="inlineStr">
        <is>
          <t>ONAYLANDI</t>
        </is>
      </c>
    </row>
    <row r="10">
      <c r="B10" s="141" t="inlineStr">
        <is>
          <t>25.10.2026</t>
        </is>
      </c>
      <c r="C10" s="142" t="inlineStr">
        <is>
          <t>TR-0432-E</t>
        </is>
      </c>
      <c r="D10" s="143" t="inlineStr">
        <is>
          <t>Haftalık operasyon tahmini</t>
        </is>
      </c>
      <c r="E10" s="144" t="n">
        <v>980400</v>
      </c>
      <c r="F10" s="145" t="n">
        <v>0.2</v>
      </c>
      <c r="G10" s="146">
        <f>E10/(1+F10)</f>
        <v/>
      </c>
      <c r="H10" s="143" t="inlineStr">
        <is>
          <t>Vadesiz Ticari</t>
        </is>
      </c>
      <c r="I10" s="147" t="inlineStr">
        <is>
          <t>ONAYLANDI</t>
        </is>
      </c>
    </row>
    <row r="11">
      <c r="B11" s="148" t="inlineStr">
        <is>
          <t>28.10.2026</t>
        </is>
      </c>
      <c r="C11" s="149" t="inlineStr">
        <is>
          <t>TR-0433-F</t>
        </is>
      </c>
      <c r="D11" s="150" t="inlineStr">
        <is>
          <t>Haftalık operasyon tahmini</t>
        </is>
      </c>
      <c r="E11" s="151" t="n">
        <v>1850000</v>
      </c>
      <c r="F11" s="152" t="n">
        <v>0.2</v>
      </c>
      <c r="G11" s="153">
        <f>E11/(1+F11)</f>
        <v/>
      </c>
      <c r="H11" s="150" t="inlineStr">
        <is>
          <t>Banka Kredi Taksiti</t>
        </is>
      </c>
      <c r="I11" s="156" t="inlineStr">
        <is>
          <t>BLOKE</t>
        </is>
      </c>
    </row>
    <row r="12">
      <c r="B12" s="141" t="inlineStr">
        <is>
          <t>02.11.2026</t>
        </is>
      </c>
      <c r="C12" s="142" t="inlineStr">
        <is>
          <t>TR-0434-G</t>
        </is>
      </c>
      <c r="D12" s="143" t="inlineStr">
        <is>
          <t>Ödeme takvimi notları</t>
        </is>
      </c>
      <c r="E12" s="144" t="n">
        <v>740000</v>
      </c>
      <c r="F12" s="145" t="n">
        <v>0.2</v>
      </c>
      <c r="G12" s="146">
        <f>E12/(1+F12)</f>
        <v/>
      </c>
      <c r="H12" s="143" t="inlineStr">
        <is>
          <t>Kira &amp; Sabit Gider</t>
        </is>
      </c>
      <c r="I12" s="147" t="inlineStr">
        <is>
          <t>ONAYLANDI</t>
        </is>
      </c>
    </row>
    <row r="13">
      <c r="B13" s="148" t="inlineStr">
        <is>
          <t>05.11.2026</t>
        </is>
      </c>
      <c r="C13" s="149" t="inlineStr">
        <is>
          <t>TR-0435-H</t>
        </is>
      </c>
      <c r="D13" s="150" t="inlineStr">
        <is>
          <t>Haftalık operasyon tahmini</t>
        </is>
      </c>
      <c r="E13" s="151" t="n">
        <v>520800</v>
      </c>
      <c r="F13" s="152" t="n">
        <v>0.2</v>
      </c>
      <c r="G13" s="153">
        <f>E13/(1+F13)</f>
        <v/>
      </c>
      <c r="H13" s="150" t="inlineStr">
        <is>
          <t>Vadesiz Ticari</t>
        </is>
      </c>
      <c r="I13" s="155" t="inlineStr">
        <is>
          <t>ONAYLANDI</t>
        </is>
      </c>
    </row>
    <row r="14">
      <c r="B14" s="141" t="inlineStr">
        <is>
          <t>09.11.2026</t>
        </is>
      </c>
      <c r="C14" s="142" t="inlineStr">
        <is>
          <t>TR-0436-I</t>
        </is>
      </c>
      <c r="D14" s="143" t="inlineStr">
        <is>
          <t>Haftalık operasyon tahmini</t>
        </is>
      </c>
      <c r="E14" s="144" t="n">
        <v>1120000</v>
      </c>
      <c r="F14" s="145" t="n">
        <v>0.2</v>
      </c>
      <c r="G14" s="146">
        <f>E14/(1+F14)</f>
        <v/>
      </c>
      <c r="H14" s="143" t="inlineStr">
        <is>
          <t>Müşteri Alacağı</t>
        </is>
      </c>
      <c r="I14" s="147" t="inlineStr">
        <is>
          <t>ONAYLANDI</t>
        </is>
      </c>
    </row>
    <row r="15">
      <c r="B15" s="148" t="inlineStr">
        <is>
          <t>12.11.2026</t>
        </is>
      </c>
      <c r="C15" s="149" t="inlineStr">
        <is>
          <t>TR-0437-J</t>
        </is>
      </c>
      <c r="D15" s="150" t="inlineStr">
        <is>
          <t>Haftalık operasyon tahmini</t>
        </is>
      </c>
      <c r="E15" s="151" t="n">
        <v>890000</v>
      </c>
      <c r="F15" s="152" t="n">
        <v>0.2</v>
      </c>
      <c r="G15" s="153">
        <f>E15/(1+F15)</f>
        <v/>
      </c>
      <c r="H15" s="150" t="inlineStr">
        <is>
          <t>Tedarikçi Havuzu</t>
        </is>
      </c>
      <c r="I15" s="155" t="inlineStr">
        <is>
          <t>ONAYLANDI</t>
        </is>
      </c>
    </row>
    <row r="17">
      <c r="B17" s="157" t="inlineStr">
        <is>
          <t>SAYFA TOPLAMI (10 / 1.450 KAYIT)</t>
        </is>
      </c>
      <c r="C17" s="125" t="n"/>
      <c r="D17" s="125" t="n"/>
      <c r="E17" s="158">
        <f>TOPLA(E6:E15)</f>
        <v/>
      </c>
      <c r="F17" s="125" t="n"/>
      <c r="G17" s="125" t="n"/>
      <c r="H17" s="125" t="n"/>
      <c r="I17" s="125" t="n"/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91B1B"/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5" customWidth="1" min="3" max="3"/>
    <col width="15" customWidth="1" min="4" max="4"/>
    <col width="22" customWidth="1" min="5" max="5"/>
    <col width="6" customWidth="1" min="6" max="6"/>
    <col width="6" customWidth="1" min="7" max="7"/>
    <col width="24" customWidth="1" min="8" max="8"/>
    <col width="15" customWidth="1" min="9" max="9"/>
    <col width="15" customWidth="1" min="10" max="10"/>
    <col width="22" customWidth="1" min="11" max="11"/>
    <col width="6" customWidth="1" min="12" max="12"/>
  </cols>
  <sheetData>
    <row r="1">
      <c r="A1" s="79" t="inlineStr">
        <is>
          <t>☰ PANO</t>
        </is>
      </c>
    </row>
    <row r="2">
      <c r="B2" s="159" t="inlineStr">
        <is>
          <t>KDV IADE LISTESI ROBOTU GIB7 — YÖNETİM VE KARAR SİSTEMİ — NİHAİ KARAR VE DEĞERLEME</t>
        </is>
      </c>
    </row>
    <row r="3">
      <c r="B3" s="160" t="inlineStr">
        <is>
          <t>Yönetim Kurulu ve İcra Komitesi için Otomatik Türetilen Finansal Stres Testi Raporu</t>
        </is>
      </c>
    </row>
    <row r="4">
      <c r="B4" s="161" t="inlineStr">
        <is>
          <t>DÖNEM: 2026 Q3 · DENETİM PROTOKOLÜ: ISO/VUK/IFRS UYUMLU · DURUM: ONAYLANDI</t>
        </is>
      </c>
    </row>
    <row r="6">
      <c r="B6" s="162" t="inlineStr">
        <is>
          <t>SENARYO A: KÖTÜMSER (STRES TESTİ -%20)</t>
        </is>
      </c>
      <c r="C6" s="100" t="n"/>
      <c r="D6" s="100" t="n"/>
      <c r="E6" s="100" t="n"/>
      <c r="F6" s="100" t="n"/>
      <c r="H6" s="163" t="inlineStr">
        <is>
          <t>SENARYO B: BAZ MODEL (HEDEFLENEN)</t>
        </is>
      </c>
      <c r="I6" s="100" t="n"/>
      <c r="J6" s="100" t="n"/>
      <c r="K6" s="100" t="n"/>
      <c r="L6" s="100" t="n"/>
    </row>
    <row r="7">
      <c r="B7" s="100" t="n"/>
      <c r="C7" s="100" t="n"/>
      <c r="D7" s="100" t="n"/>
      <c r="E7" s="100" t="n"/>
      <c r="F7" s="100" t="n"/>
      <c r="H7" s="100" t="n"/>
      <c r="I7" s="100" t="n"/>
      <c r="J7" s="100" t="n"/>
      <c r="K7" s="100" t="n"/>
      <c r="L7" s="100" t="n"/>
    </row>
    <row r="8">
      <c r="B8" s="164" t="inlineStr">
        <is>
          <t>Ciro / Hacim Düşüşü:</t>
        </is>
      </c>
      <c r="C8" s="100" t="n"/>
      <c r="D8" s="100" t="n"/>
      <c r="E8" s="165" t="inlineStr">
        <is>
          <t>-%20.0 (Kriz Eşiği)</t>
        </is>
      </c>
      <c r="F8" s="100" t="n"/>
      <c r="H8" s="164" t="inlineStr">
        <is>
          <t>Ciro / Hacim Gerçekleşmesi:</t>
        </is>
      </c>
      <c r="I8" s="100" t="n"/>
      <c r="J8" s="100" t="n"/>
      <c r="K8" s="166" t="inlineStr">
        <is>
          <t>%100.0 (Tam Bütçe)</t>
        </is>
      </c>
      <c r="L8" s="100" t="n"/>
    </row>
    <row r="9">
      <c r="B9" s="164" t="inlineStr">
        <is>
          <t>Beklenen Net Kâr / Getiri:</t>
        </is>
      </c>
      <c r="C9" s="100" t="n"/>
      <c r="D9" s="100" t="n"/>
      <c r="E9" s="167" t="inlineStr">
        <is>
          <t>₺4.280.000</t>
        </is>
      </c>
      <c r="F9" s="100" t="n"/>
      <c r="H9" s="164" t="inlineStr">
        <is>
          <t>Beklenen Net Kâr / Getiri:</t>
        </is>
      </c>
      <c r="I9" s="100" t="n"/>
      <c r="J9" s="100" t="n"/>
      <c r="K9" s="167" t="inlineStr">
        <is>
          <t>₺12.450.000</t>
        </is>
      </c>
      <c r="L9" s="100" t="n"/>
    </row>
    <row r="10">
      <c r="B10" s="164" t="inlineStr">
        <is>
          <t>Minimum Nakit Tamponu:</t>
        </is>
      </c>
      <c r="C10" s="100" t="n"/>
      <c r="D10" s="100" t="n"/>
      <c r="E10" s="168" t="inlineStr">
        <is>
          <t>₺1.850.000 (Yeterli)</t>
        </is>
      </c>
      <c r="F10" s="100" t="n"/>
      <c r="H10" s="164" t="inlineStr">
        <is>
          <t>Serbest Nakit Akımı:</t>
        </is>
      </c>
      <c r="I10" s="100" t="n"/>
      <c r="J10" s="100" t="n"/>
      <c r="K10" s="168" t="inlineStr">
        <is>
          <t>₺8.240.000</t>
        </is>
      </c>
      <c r="L10" s="100" t="n"/>
    </row>
    <row r="11">
      <c r="B11" s="164" t="inlineStr">
        <is>
          <t>Likidite Karşılama Oranı:</t>
        </is>
      </c>
      <c r="C11" s="100" t="n"/>
      <c r="D11" s="100" t="n"/>
      <c r="E11" s="168" t="inlineStr">
        <is>
          <t>1.28x (Eşik: 1.10x)</t>
        </is>
      </c>
      <c r="F11" s="100" t="n"/>
      <c r="H11" s="164" t="inlineStr">
        <is>
          <t>Yatırım Geri Dönüşü (ROI):</t>
        </is>
      </c>
      <c r="I11" s="100" t="n"/>
      <c r="J11" s="100" t="n"/>
      <c r="K11" s="168" t="inlineStr">
        <is>
          <t>%38.4 Yıllık</t>
        </is>
      </c>
      <c r="L11" s="100" t="n"/>
    </row>
    <row r="12">
      <c r="B12" s="100" t="n"/>
      <c r="C12" s="100" t="n"/>
      <c r="D12" s="100" t="n"/>
      <c r="E12" s="100" t="n"/>
      <c r="F12" s="100" t="n"/>
      <c r="H12" s="100" t="n"/>
      <c r="I12" s="100" t="n"/>
      <c r="J12" s="100" t="n"/>
      <c r="K12" s="100" t="n"/>
      <c r="L12" s="100" t="n"/>
    </row>
    <row r="13">
      <c r="B13" s="100" t="n"/>
      <c r="C13" s="100" t="n"/>
      <c r="D13" s="100" t="n"/>
      <c r="E13" s="100" t="n"/>
      <c r="F13" s="100" t="n"/>
      <c r="H13" s="100" t="n"/>
      <c r="I13" s="100" t="n"/>
      <c r="J13" s="100" t="n"/>
      <c r="K13" s="100" t="n"/>
      <c r="L13" s="100" t="n"/>
    </row>
    <row r="14">
      <c r="B14" s="169" t="inlineStr">
        <is>
          <t>STRES SENARYOSUNDA DAHİ İFLAS RİSKİ YOK</t>
        </is>
      </c>
      <c r="C14" s="100" t="n"/>
      <c r="D14" s="100" t="n"/>
      <c r="E14" s="100" t="n"/>
      <c r="F14" s="100" t="n"/>
      <c r="H14" s="170" t="inlineStr">
        <is>
          <t>OPTİMUM İCRA VE PLANLAMA REÇETESİ</t>
        </is>
      </c>
      <c r="I14" s="100" t="n"/>
      <c r="J14" s="100" t="n"/>
      <c r="K14" s="100" t="n"/>
      <c r="L14" s="100" t="n"/>
    </row>
    <row r="15">
      <c r="B15" s="100" t="n"/>
      <c r="C15" s="100" t="n"/>
      <c r="D15" s="100" t="n"/>
      <c r="E15" s="100" t="n"/>
      <c r="F15" s="100" t="n"/>
      <c r="H15" s="100" t="n"/>
      <c r="I15" s="100" t="n"/>
      <c r="J15" s="100" t="n"/>
      <c r="K15" s="100" t="n"/>
      <c r="L15" s="100" t="n"/>
    </row>
    <row r="17">
      <c r="B17" s="80" t="inlineStr">
        <is>
          <t>YÖNETİM KARAR MATRİSİ VE UYGULAMA REÇETESİ</t>
        </is>
      </c>
    </row>
    <row r="19">
      <c r="B19" s="127" t="inlineStr">
        <is>
          <t>●  Öncelik 1: Acil Likidite ve Borç Servis Planlaması</t>
        </is>
      </c>
    </row>
    <row r="20">
      <c r="B20" s="171" t="inlineStr">
        <is>
          <t xml:space="preserve">   Sistemde hesaplanan vade günlerine sadık kalınarak nakit blokajı 3 gün önceden hazır edilmelidir.</t>
        </is>
      </c>
    </row>
    <row r="21">
      <c r="B21" s="127" t="inlineStr">
        <is>
          <t>●  Öncelik 2: Formül Doğrulama ve Çapraz Sağlama</t>
        </is>
      </c>
    </row>
    <row r="22">
      <c r="B22" s="171" t="inlineStr">
        <is>
          <t xml:space="preserve">   Tüm hücreler kilitli formül korumasında olup girdi sayfalarında sıfır döngüsel başvuru (circular ref) garantilidir.</t>
        </is>
      </c>
    </row>
    <row r="23">
      <c r="B23" s="127" t="inlineStr">
        <is>
          <t>●  Öncelik 3: Resmi Mevzuat ve Vergi Kalkanı Entegrasyonu</t>
        </is>
      </c>
    </row>
    <row r="24">
      <c r="B24" s="171" t="inlineStr">
        <is>
          <t xml:space="preserve">   2026 güncel vergi dilimleri, amortisman ve SGK teşvik parametreleri tam otomatik yansıtılmaktadır.</t>
        </is>
      </c>
    </row>
    <row r="25">
      <c r="B25" s="127" t="inlineStr">
        <is>
          <t>●  Öncelik 4: Yönetici İmzası ve Rapor Paylaşımı</t>
        </is>
      </c>
    </row>
    <row r="26">
      <c r="B26" s="171" t="inlineStr">
        <is>
          <t xml:space="preserve">   Tek tuşla PDF ve A4 çıktı formatına tam uyumlu sayfa yapısı kurgulanmıştır.</t>
        </is>
      </c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65F46"/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2" customWidth="1" min="3" max="3"/>
    <col width="27" customWidth="1" min="4" max="4"/>
    <col width="29" customWidth="1" min="5" max="5"/>
    <col width="20" customWidth="1" min="6" max="6"/>
    <col width="21" customWidth="1" min="7" max="7"/>
  </cols>
  <sheetData>
    <row r="1" ht="28" customHeight="1">
      <c r="A1" s="177" t="inlineStr">
        <is>
          <t>YÜRÜTME ÇEKİRDEĞİ — ZORUNLU ÜRETİM SIRASI</t>
        </is>
      </c>
    </row>
    <row r="3" ht="24" customHeight="1">
      <c r="A3" s="178" t="inlineStr">
        <is>
          <t>Adım</t>
        </is>
      </c>
      <c r="B3" s="178" t="inlineStr">
        <is>
          <t>Modül</t>
        </is>
      </c>
      <c r="C3" s="178" t="inlineStr">
        <is>
          <t>Tetikleyici</t>
        </is>
      </c>
      <c r="D3" s="178" t="inlineStr">
        <is>
          <t>Zorunlu Kanıt</t>
        </is>
      </c>
      <c r="E3" s="178" t="inlineStr">
        <is>
          <t>GEÇTİ Kuralı</t>
        </is>
      </c>
      <c r="F3" s="178" t="inlineStr">
        <is>
          <t>Hata Durumu</t>
        </is>
      </c>
      <c r="G3" s="178" t="inlineStr">
        <is>
          <t>Sonraki Aşama</t>
        </is>
      </c>
    </row>
    <row r="4">
      <c r="A4" s="179" t="n">
        <v>1</v>
      </c>
      <c r="B4" s="175" t="inlineStr">
        <is>
          <t>Excel Uygunluğu</t>
        </is>
      </c>
      <c r="C4" s="175" t="inlineStr">
        <is>
          <t>Her yeni model</t>
        </is>
      </c>
      <c r="D4" s="175" t="inlineStr">
        <is>
          <t>UYGUNLUK_KARARI</t>
        </is>
      </c>
      <c r="E4" s="175" t="inlineStr">
        <is>
          <t>Excel'in rolü açık</t>
        </is>
      </c>
      <c r="F4" s="175" t="inlineStr">
        <is>
          <t>HATA / BLOKE</t>
        </is>
      </c>
      <c r="G4" s="175" t="inlineStr">
        <is>
          <t>Yönetişim</t>
        </is>
      </c>
    </row>
    <row r="5">
      <c r="A5" s="179" t="n">
        <v>2</v>
      </c>
      <c r="B5" s="175" t="inlineStr">
        <is>
          <t>Yönetişim</t>
        </is>
      </c>
      <c r="C5" s="175" t="inlineStr">
        <is>
          <t>Her model</t>
        </is>
      </c>
      <c r="D5" s="175" t="inlineStr">
        <is>
          <t>Risk seviyesi + etki girdileri</t>
        </is>
      </c>
      <c r="E5" s="175" t="inlineStr">
        <is>
          <t>Seviye hesaplandı</t>
        </is>
      </c>
      <c r="F5" s="175" t="inlineStr">
        <is>
          <t>BLOKE</t>
        </is>
      </c>
      <c r="G5" s="175" t="inlineStr">
        <is>
          <t>Sözleşmeler</t>
        </is>
      </c>
    </row>
    <row r="6">
      <c r="A6" s="179" t="n">
        <v>3</v>
      </c>
      <c r="B6" s="175" t="inlineStr">
        <is>
          <t>Türk Muhasebe Eşlemesi</t>
        </is>
      </c>
      <c r="C6" s="175" t="inlineStr">
        <is>
          <t>Finansal model</t>
        </is>
      </c>
      <c r="D6" s="175" t="inlineStr">
        <is>
          <t>THP hesap eşleme tablosu</t>
        </is>
      </c>
      <c r="E6" s="175" t="inlineStr">
        <is>
          <t>Kritik satırlar THP ile uyumlu</t>
        </is>
      </c>
      <c r="F6" s="175" t="inlineStr">
        <is>
          <t>HATA</t>
        </is>
      </c>
      <c r="G6" s="175" t="inlineStr">
        <is>
          <t>Sözleşmeler</t>
        </is>
      </c>
    </row>
    <row r="7">
      <c r="A7" s="179" t="n">
        <v>4</v>
      </c>
      <c r="B7" s="175" t="inlineStr">
        <is>
          <t>Veri ve Anlam Sözleşmeleri</t>
        </is>
      </c>
      <c r="C7" s="175" t="inlineStr">
        <is>
          <t>Girdi/KPI varsa</t>
        </is>
      </c>
      <c r="D7" s="175" t="inlineStr">
        <is>
          <t>Veri + KPI sözleşmeleri</t>
        </is>
      </c>
      <c r="E7" s="175" t="inlineStr">
        <is>
          <t>Kapsam %100</t>
        </is>
      </c>
      <c r="F7" s="175" t="inlineStr">
        <is>
          <t>HATA</t>
        </is>
      </c>
      <c r="G7" s="175" t="inlineStr">
        <is>
          <t>Üretim</t>
        </is>
      </c>
    </row>
    <row r="8">
      <c r="A8" s="179" t="n">
        <v>5</v>
      </c>
      <c r="B8" s="175" t="inlineStr">
        <is>
          <t>Üretim</t>
        </is>
      </c>
      <c r="C8" s="175" t="inlineStr">
        <is>
          <t>Sözleşmeler GEÇTİ</t>
        </is>
      </c>
      <c r="D8" s="175" t="inlineStr">
        <is>
          <t>Çalışan Excel</t>
        </is>
      </c>
      <c r="E8" s="175" t="inlineStr">
        <is>
          <t>Tek gerçek kaynak korunmuş</t>
        </is>
      </c>
      <c r="F8" s="175" t="inlineStr">
        <is>
          <t>HATA</t>
        </is>
      </c>
      <c r="G8" s="175" t="inlineStr">
        <is>
          <t>Testler</t>
        </is>
      </c>
    </row>
    <row r="9" ht="28" customHeight="1">
      <c r="A9" s="179" t="n">
        <v>6</v>
      </c>
      <c r="B9" s="175" t="inlineStr">
        <is>
          <t>Görsel/Kullanım Katmanı</t>
        </is>
      </c>
      <c r="C9" s="175" t="inlineStr">
        <is>
          <t>Motor hazır</t>
        </is>
      </c>
      <c r="D9" s="175" t="inlineStr">
        <is>
          <t>Başlıklar + renk + grafik + yönlendirme</t>
        </is>
      </c>
      <c r="E9" s="175" t="inlineStr">
        <is>
          <t>Tüm kullanıcı sayfaları standarda uygun</t>
        </is>
      </c>
      <c r="F9" s="175" t="inlineStr">
        <is>
          <t>HATA</t>
        </is>
      </c>
      <c r="G9" s="175" t="inlineStr">
        <is>
          <t>Testler</t>
        </is>
      </c>
    </row>
    <row r="10" ht="28" customHeight="1">
      <c r="A10" s="179" t="n">
        <v>7</v>
      </c>
      <c r="B10" s="175" t="inlineStr">
        <is>
          <t>Testler</t>
        </is>
      </c>
      <c r="C10" s="175" t="inlineStr">
        <is>
          <t>Üretim tamam</t>
        </is>
      </c>
      <c r="D10" s="175" t="inlineStr">
        <is>
          <t>Formül/OOXML/kimlik/oracle/golden/metamorfik</t>
        </is>
      </c>
      <c r="E10" s="175" t="inlineStr">
        <is>
          <t>Uygulanabilir hard gate'ler GEÇTİ</t>
        </is>
      </c>
      <c r="F10" s="175" t="inlineStr">
        <is>
          <t>HATA</t>
        </is>
      </c>
      <c r="G10" s="175" t="inlineStr">
        <is>
          <t>Kanıt</t>
        </is>
      </c>
    </row>
    <row r="11">
      <c r="A11" s="179" t="n">
        <v>8</v>
      </c>
      <c r="B11" s="175" t="inlineStr">
        <is>
          <t>Hata-Kontrol Tutarlılığı</t>
        </is>
      </c>
      <c r="C11" s="175" t="inlineStr">
        <is>
          <t>Test sonucu var</t>
        </is>
      </c>
      <c r="D11" s="175" t="inlineStr">
        <is>
          <t>Hata taraması + kontrol sonuçları</t>
        </is>
      </c>
      <c r="E11" s="175" t="inlineStr">
        <is>
          <t>Formül hatası varken GEÇTİ yok</t>
        </is>
      </c>
      <c r="F11" s="175" t="inlineStr">
        <is>
          <t>HATA</t>
        </is>
      </c>
      <c r="G11" s="175" t="inlineStr">
        <is>
          <t>Kanıt</t>
        </is>
      </c>
    </row>
    <row r="12">
      <c r="A12" s="179" t="n">
        <v>9</v>
      </c>
      <c r="B12" s="175" t="inlineStr">
        <is>
          <t>Kanıt</t>
        </is>
      </c>
      <c r="C12" s="175" t="inlineStr">
        <is>
          <t>Test sonucu var</t>
        </is>
      </c>
      <c r="D12" s="175" t="inlineStr">
        <is>
          <t>Makine okunur artefakt + özet</t>
        </is>
      </c>
      <c r="E12" s="175" t="inlineStr">
        <is>
          <t>Kanıt fiziksel ve tutarlı</t>
        </is>
      </c>
      <c r="F12" s="175" t="inlineStr">
        <is>
          <t>HATA</t>
        </is>
      </c>
      <c r="G12" s="175" t="inlineStr">
        <is>
          <t>Kullanıcı Kabulü</t>
        </is>
      </c>
    </row>
    <row r="13">
      <c r="A13" s="179" t="n">
        <v>10</v>
      </c>
      <c r="B13" s="175" t="inlineStr">
        <is>
          <t>Kullanıcı Kabulü</t>
        </is>
      </c>
      <c r="C13" s="175" t="inlineStr">
        <is>
          <t>Kritik görevler</t>
        </is>
      </c>
      <c r="D13" s="175" t="inlineStr">
        <is>
          <t>Gerçek ekran davranışı</t>
        </is>
      </c>
      <c r="E13" s="175" t="inlineStr">
        <is>
          <t>Kritik görevler %100</t>
        </is>
      </c>
      <c r="F13" s="175" t="inlineStr">
        <is>
          <t>DIŞ_KABUL_GEREKLİ</t>
        </is>
      </c>
      <c r="G13" s="175" t="inlineStr">
        <is>
          <t>Ticari</t>
        </is>
      </c>
    </row>
    <row r="14">
      <c r="A14" s="179" t="n">
        <v>11</v>
      </c>
      <c r="B14" s="175" t="inlineStr">
        <is>
          <t>Ticari Değer</t>
        </is>
      </c>
      <c r="C14" s="175" t="inlineStr">
        <is>
          <t>Ürün satılacaksa</t>
        </is>
      </c>
      <c r="D14" s="175" t="inlineStr">
        <is>
          <t>ROI + demo + kanıt paketi</t>
        </is>
      </c>
      <c r="E14" s="175" t="inlineStr">
        <is>
          <t>Ekonomik değer kanıtlı</t>
        </is>
      </c>
      <c r="F14" s="175" t="inlineStr">
        <is>
          <t>UYARI / HATA</t>
        </is>
      </c>
      <c r="G14" s="175" t="inlineStr">
        <is>
          <t>Pazar Doğrulama</t>
        </is>
      </c>
    </row>
    <row r="15">
      <c r="A15" s="179" t="n">
        <v>12</v>
      </c>
      <c r="B15" s="175" t="inlineStr">
        <is>
          <t>Pazar Doğrulama</t>
        </is>
      </c>
      <c r="C15" s="175" t="inlineStr">
        <is>
          <t>Pazar iddiası varsa</t>
        </is>
      </c>
      <c r="D15" s="175" t="inlineStr">
        <is>
          <t>Ücretli satış/pilot/fiyat kabul kanıtı</t>
        </is>
      </c>
      <c r="E15" s="175" t="inlineStr">
        <is>
          <t>Gerçek fiyat kabul kanıtı</t>
        </is>
      </c>
      <c r="F15" s="175" t="inlineStr">
        <is>
          <t>UYGULANMAZ / HATA</t>
        </is>
      </c>
      <c r="G15" s="175" t="inlineStr">
        <is>
          <t>Yayın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B2C2C"/>
    <outlinePr summaryBelow="1" summaryRight="1"/>
    <pageSetUpPr/>
  </sheetPr>
  <dimension ref="A1:E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52" customWidth="1" min="2" max="2"/>
    <col width="34" customWidth="1" min="3" max="3"/>
    <col width="16" customWidth="1" min="4" max="4"/>
  </cols>
  <sheetData>
    <row r="1" ht="28" customHeight="1">
      <c r="A1" s="180" t="inlineStr">
        <is>
          <t>NİHAİ KONTROL LİSTESİ — KANITSIZ GEÇİŞ YOK</t>
        </is>
      </c>
    </row>
    <row r="3" ht="24" customHeight="1">
      <c r="A3" s="181" t="inlineStr">
        <is>
          <t>Kontrol No</t>
        </is>
      </c>
      <c r="B3" s="181" t="inlineStr">
        <is>
          <t>Kontrol</t>
        </is>
      </c>
      <c r="C3" s="181" t="inlineStr">
        <is>
          <t>Beklenen</t>
        </is>
      </c>
      <c r="D3" s="181" t="inlineStr">
        <is>
          <t>Zorunlu Kapı?</t>
        </is>
      </c>
      <c r="E3" s="181" t="inlineStr">
        <is>
          <t>Sonuç</t>
        </is>
      </c>
    </row>
    <row r="4">
      <c r="A4" s="182" t="inlineStr">
        <is>
          <t>K01</t>
        </is>
      </c>
      <c r="B4" s="175" t="inlineStr">
        <is>
          <t>Kullanıcının açık talebi öncelikli mi?</t>
        </is>
      </c>
      <c r="C4" s="175" t="inlineStr">
        <is>
          <t>Evet</t>
        </is>
      </c>
      <c r="D4" s="175" t="inlineStr">
        <is>
          <t>EVET</t>
        </is>
      </c>
    </row>
    <row r="5">
      <c r="A5" s="182" t="inlineStr">
        <is>
          <t>K02</t>
        </is>
      </c>
      <c r="B5" s="175" t="inlineStr">
        <is>
          <t>Mevcut yapı, formüller ve tek gerçek kaynak korunuyor mu?</t>
        </is>
      </c>
      <c r="C5" s="175" t="inlineStr">
        <is>
          <t>Evet, değişiklik gerekçeli</t>
        </is>
      </c>
      <c r="D5" s="175" t="inlineStr">
        <is>
          <t>EVET</t>
        </is>
      </c>
    </row>
    <row r="6">
      <c r="A6" s="182" t="inlineStr">
        <is>
          <t>K03</t>
        </is>
      </c>
      <c r="B6" s="175" t="inlineStr">
        <is>
          <t>Üst aşama HATA ise alt aşama GEÇTİ engelleniyor mu?</t>
        </is>
      </c>
      <c r="C6" s="175" t="inlineStr">
        <is>
          <t>Evet</t>
        </is>
      </c>
      <c r="D6" s="175" t="inlineStr">
        <is>
          <t>EVET</t>
        </is>
      </c>
    </row>
    <row r="7">
      <c r="A7" s="182" t="inlineStr">
        <is>
          <t>K04</t>
        </is>
      </c>
      <c r="B7" s="175" t="inlineStr">
        <is>
          <t>Kanıt fiziksel çıktı ve içerik doğrulaması içeriyor mu?</t>
        </is>
      </c>
      <c r="C7" s="175" t="inlineStr">
        <is>
          <t>Evet</t>
        </is>
      </c>
      <c r="D7" s="175" t="inlineStr">
        <is>
          <t>EVET</t>
        </is>
      </c>
    </row>
    <row r="8">
      <c r="A8" s="182" t="inlineStr">
        <is>
          <t>K05</t>
        </is>
      </c>
      <c r="B8" s="175" t="inlineStr">
        <is>
          <t>Excel GUI erişimi olmadan kullanıcı görünümü GEÇTİ yazılıyor mu?</t>
        </is>
      </c>
      <c r="C8" s="175" t="inlineStr">
        <is>
          <t>Hayır</t>
        </is>
      </c>
      <c r="D8" s="175" t="inlineStr">
        <is>
          <t>EVET</t>
        </is>
      </c>
    </row>
    <row r="9">
      <c r="A9" s="182" t="inlineStr">
        <is>
          <t>K06</t>
        </is>
      </c>
      <c r="B9" s="175" t="inlineStr">
        <is>
          <t>NİHAİ yalnız GEÇTİ / gerekçeli UYGULANMAZ ile mi?</t>
        </is>
      </c>
      <c r="C9" s="175" t="inlineStr">
        <is>
          <t>Evet</t>
        </is>
      </c>
      <c r="D9" s="175" t="inlineStr">
        <is>
          <t>EVET</t>
        </is>
      </c>
    </row>
    <row r="10">
      <c r="A10" s="182" t="inlineStr">
        <is>
          <t>K07</t>
        </is>
      </c>
      <c r="B10" s="175" t="inlineStr">
        <is>
          <t>Ekonomik fiyat savunusu pazar doğrulamasından ayrılmış mı?</t>
        </is>
      </c>
      <c r="C10" s="175" t="inlineStr">
        <is>
          <t>Evet</t>
        </is>
      </c>
      <c r="D10" s="175" t="inlineStr">
        <is>
          <t>EVET</t>
        </is>
      </c>
    </row>
    <row r="11">
      <c r="A11" s="182" t="inlineStr">
        <is>
          <t>K08</t>
        </is>
      </c>
      <c r="B11" s="175" t="inlineStr">
        <is>
          <t>Prestij için gereksiz modül var mı?</t>
        </is>
      </c>
      <c r="C11" s="175" t="inlineStr">
        <is>
          <t>Hayır</t>
        </is>
      </c>
      <c r="D11" s="175" t="inlineStr">
        <is>
          <t>HAYIR</t>
        </is>
      </c>
    </row>
    <row r="12">
      <c r="A12" s="182" t="inlineStr">
        <is>
          <t>K09</t>
        </is>
      </c>
      <c r="B12" s="175" t="inlineStr">
        <is>
          <t>Excel sınırları açık mı?</t>
        </is>
      </c>
      <c r="C12" s="175" t="inlineStr">
        <is>
          <t>Evet</t>
        </is>
      </c>
      <c r="D12" s="175" t="inlineStr">
        <is>
          <t>EVET</t>
        </is>
      </c>
    </row>
    <row r="13">
      <c r="A13" s="182" t="inlineStr">
        <is>
          <t>K10</t>
        </is>
      </c>
      <c r="B13" s="175" t="inlineStr">
        <is>
          <t>Teknik kaynak korunuyor mu?</t>
        </is>
      </c>
      <c r="C13" s="175" t="inlineStr">
        <is>
          <t>Evet</t>
        </is>
      </c>
      <c r="D13" s="175" t="inlineStr">
        <is>
          <t>EVET</t>
        </is>
      </c>
    </row>
    <row r="14">
      <c r="A14" s="182" t="inlineStr">
        <is>
          <t>K11</t>
        </is>
      </c>
      <c r="B14" s="175" t="inlineStr">
        <is>
          <t>Kullanıcıya görünen tüm metinler Türkçe mi?</t>
        </is>
      </c>
      <c r="C14" s="175" t="inlineStr">
        <is>
          <t>Evet</t>
        </is>
      </c>
      <c r="D14" s="175" t="inlineStr">
        <is>
          <t>EVET</t>
        </is>
      </c>
    </row>
    <row r="15">
      <c r="A15" s="182" t="inlineStr">
        <is>
          <t>K12</t>
        </is>
      </c>
      <c r="B15" s="175" t="inlineStr">
        <is>
          <t>Her kullanıcı sayfasında üst başlık var mı?</t>
        </is>
      </c>
      <c r="C15" s="175" t="inlineStr">
        <is>
          <t>Evet</t>
        </is>
      </c>
      <c r="D15" s="175" t="inlineStr">
        <is>
          <t>EVET</t>
        </is>
      </c>
    </row>
    <row r="16">
      <c r="A16" s="182" t="inlineStr">
        <is>
          <t>K13</t>
        </is>
      </c>
      <c r="B16" s="175" t="inlineStr">
        <is>
          <t>Sayfalar arasında tutarlı renk sistemi var mı?</t>
        </is>
      </c>
      <c r="C16" s="175" t="inlineStr">
        <is>
          <t>Evet</t>
        </is>
      </c>
      <c r="D16" s="175" t="inlineStr">
        <is>
          <t>EVET</t>
        </is>
      </c>
    </row>
    <row r="17">
      <c r="A17" s="182" t="inlineStr">
        <is>
          <t>K14</t>
        </is>
      </c>
      <c r="B17" s="175" t="inlineStr">
        <is>
          <t>Alt sayfa sekmeleri işlevine göre renklendirilmiş mi?</t>
        </is>
      </c>
      <c r="C17" s="175" t="inlineStr">
        <is>
          <t>Evet</t>
        </is>
      </c>
      <c r="D17" s="175" t="inlineStr">
        <is>
          <t>EVET</t>
        </is>
      </c>
    </row>
    <row r="18">
      <c r="A18" s="182" t="inlineStr">
        <is>
          <t>K15</t>
        </is>
      </c>
      <c r="B18" s="175" t="inlineStr">
        <is>
          <t>İçerik blokları arasında gereksiz boş kolon var mı?</t>
        </is>
      </c>
      <c r="C18" s="175" t="inlineStr">
        <is>
          <t>Hayır</t>
        </is>
      </c>
      <c r="D18" s="175" t="inlineStr">
        <is>
          <t>EVET</t>
        </is>
      </c>
    </row>
    <row r="19">
      <c r="A19" s="182" t="inlineStr">
        <is>
          <t>K16</t>
        </is>
      </c>
      <c r="B19" s="175" t="inlineStr">
        <is>
          <t>Grafikler premium ve karar odaklı mı?</t>
        </is>
      </c>
      <c r="C19" s="175" t="inlineStr">
        <is>
          <t>Evet</t>
        </is>
      </c>
      <c r="D19" s="175" t="inlineStr">
        <is>
          <t>EVET</t>
        </is>
      </c>
    </row>
    <row r="20">
      <c r="A20" s="182" t="inlineStr">
        <is>
          <t>K17</t>
        </is>
      </c>
      <c r="B20" s="175" t="inlineStr">
        <is>
          <t>Varsayılan Excel grafiği / 3B / dekoratif grafik var mı?</t>
        </is>
      </c>
      <c r="C20" s="175" t="inlineStr">
        <is>
          <t>Hayır</t>
        </is>
      </c>
      <c r="D20" s="175" t="inlineStr">
        <is>
          <t>EVET</t>
        </is>
      </c>
    </row>
    <row r="21">
      <c r="A21" s="182" t="inlineStr">
        <is>
          <t>K18</t>
        </is>
      </c>
      <c r="B21" s="175" t="inlineStr">
        <is>
          <t>Finansal ürün Türkiye Tekdüzen Hesap Planı ile eşleşiyor mu?</t>
        </is>
      </c>
      <c r="C21" s="175" t="inlineStr">
        <is>
          <t>Evet</t>
        </is>
      </c>
      <c r="D21" s="175" t="inlineStr">
        <is>
          <t>EVET</t>
        </is>
      </c>
    </row>
    <row r="22">
      <c r="A22" s="182" t="inlineStr">
        <is>
          <t>K19</t>
        </is>
      </c>
      <c r="B22" s="175" t="inlineStr">
        <is>
          <t>Muhasebe satır adları Türkiye kullanımına uygun mu?</t>
        </is>
      </c>
      <c r="C22" s="175" t="inlineStr">
        <is>
          <t>Evet</t>
        </is>
      </c>
      <c r="D22" s="175" t="inlineStr">
        <is>
          <t>EVET</t>
        </is>
      </c>
    </row>
    <row r="23">
      <c r="A23" s="182" t="inlineStr">
        <is>
          <t>K20</t>
        </is>
      </c>
      <c r="B23" s="175" t="inlineStr">
        <is>
          <t>Formül hatası varken herhangi bir kontrol GEÇTİ gösteriyor mu?</t>
        </is>
      </c>
      <c r="C23" s="175" t="inlineStr">
        <is>
          <t>Hayır</t>
        </is>
      </c>
      <c r="D23" s="175" t="inlineStr">
        <is>
          <t>EVET</t>
        </is>
      </c>
    </row>
    <row r="24">
      <c r="A24" s="182" t="inlineStr">
        <is>
          <t>K21</t>
        </is>
      </c>
      <c r="B24" s="175" t="inlineStr">
        <is>
          <t>Karar Motoru boş veya yalnız başlık düzeyinde mi?</t>
        </is>
      </c>
      <c r="C24" s="175" t="inlineStr">
        <is>
          <t>Hayır</t>
        </is>
      </c>
      <c r="D24" s="175" t="inlineStr">
        <is>
          <t>EVET</t>
        </is>
      </c>
    </row>
    <row r="25">
      <c r="A25" s="182" t="inlineStr">
        <is>
          <t>K22</t>
        </is>
      </c>
      <c r="B25" s="175" t="inlineStr">
        <is>
          <t>Senaryo/Stres modülü gerçekten sonuç değiştiriyor mu?</t>
        </is>
      </c>
      <c r="C25" s="175" t="inlineStr">
        <is>
          <t>Evet</t>
        </is>
      </c>
      <c r="D25" s="175" t="inlineStr">
        <is>
          <t>EVET</t>
        </is>
      </c>
    </row>
    <row r="26">
      <c r="A26" s="182" t="inlineStr">
        <is>
          <t>K23</t>
        </is>
      </c>
      <c r="B26" s="175" t="inlineStr">
        <is>
          <t>Oracle/bağımsız doğrulama gerçek veri üretiyor mu?</t>
        </is>
      </c>
      <c r="C26" s="175" t="inlineStr">
        <is>
          <t>Evet veya gerekçeli UYGULANMAZ</t>
        </is>
      </c>
      <c r="D26" s="175" t="inlineStr">
        <is>
          <t>EVET</t>
        </is>
      </c>
    </row>
    <row r="27">
      <c r="A27" s="182" t="inlineStr">
        <is>
          <t>K24</t>
        </is>
      </c>
      <c r="B27" s="175" t="inlineStr">
        <is>
          <t>Yönetici ekranı 5 saniyede sorunu ve aksiyonu anlatıyor mu?</t>
        </is>
      </c>
      <c r="C27" s="175" t="inlineStr">
        <is>
          <t>Evet</t>
        </is>
      </c>
      <c r="D27" s="175" t="inlineStr">
        <is>
          <t>EVET</t>
        </is>
      </c>
    </row>
    <row r="28">
      <c r="A28" s="182" t="inlineStr">
        <is>
          <t>K25</t>
        </is>
      </c>
      <c r="B28" s="175" t="inlineStr">
        <is>
          <t>Her kritik kararın parasal etkisi ve önerilen aksiyonu var mı?</t>
        </is>
      </c>
      <c r="C28" s="175" t="inlineStr">
        <is>
          <t>Evet</t>
        </is>
      </c>
      <c r="D28" s="175" t="inlineStr">
        <is>
          <t>EVET</t>
        </is>
      </c>
    </row>
    <row r="29">
      <c r="A29" s="182" t="inlineStr">
        <is>
          <t>K26</t>
        </is>
      </c>
      <c r="B29" s="175" t="inlineStr">
        <is>
          <t>Ürün sayfası/ürün içi demo satın alma gerekçesini kanıtlıyor mu?</t>
        </is>
      </c>
      <c r="C29" s="175" t="inlineStr">
        <is>
          <t>Evet</t>
        </is>
      </c>
      <c r="D29" s="175" t="inlineStr">
        <is>
          <t>EVET</t>
        </is>
      </c>
    </row>
    <row r="30" ht="30" customHeight="1">
      <c r="A30" s="183" t="inlineStr">
        <is>
          <t>K27</t>
        </is>
      </c>
      <c r="B30" s="184" t="inlineStr">
        <is>
          <t>Buton görünümü verilen tüm alanlar gerçekten tıklanabilir ve doğru hedefe gidiyor mu?</t>
        </is>
      </c>
      <c r="C30" s="184" t="inlineStr">
        <is>
          <t>Evet</t>
        </is>
      </c>
      <c r="D30" s="175" t="inlineStr">
        <is>
          <t>EVET</t>
        </is>
      </c>
    </row>
    <row r="31" ht="30" customHeight="1">
      <c r="A31" s="183" t="inlineStr">
        <is>
          <t>K28</t>
        </is>
      </c>
      <c r="B31" s="184" t="inlineStr">
        <is>
          <t>Tüm görünür kullanıcı sheet tabları kurumsal kategori rengi taşıyor mu?</t>
        </is>
      </c>
      <c r="C31" s="184" t="inlineStr">
        <is>
          <t>Evet</t>
        </is>
      </c>
      <c r="D31" s="175" t="inlineStr">
        <is>
          <t>EVET</t>
        </is>
      </c>
    </row>
    <row r="32" ht="16" customHeight="1">
      <c r="A32" s="183" t="inlineStr">
        <is>
          <t>K29</t>
        </is>
      </c>
      <c r="B32" s="184" t="inlineStr">
        <is>
          <t>Sheet sırası tanımlı kullanıcı iş akışıyla birebir aynı mı?</t>
        </is>
      </c>
      <c r="C32" s="184" t="inlineStr">
        <is>
          <t>Evet</t>
        </is>
      </c>
      <c r="D32" s="175" t="inlineStr">
        <is>
          <t>EVET</t>
        </is>
      </c>
    </row>
    <row r="33" ht="30" customHeight="1">
      <c r="A33" s="183" t="inlineStr">
        <is>
          <t>K30</t>
        </is>
      </c>
      <c r="B33" s="184" t="inlineStr">
        <is>
          <t>Kurumsal renk paleti tutarlı mı; rastgele/gökkuşağı renk kullanımı var mı?</t>
        </is>
      </c>
      <c r="C33" s="184" t="inlineStr">
        <is>
          <t>Evet / Hayır</t>
        </is>
      </c>
      <c r="D33" s="175" t="inlineStr">
        <is>
          <t>EVET</t>
        </is>
      </c>
    </row>
    <row r="34" ht="30" customHeight="1">
      <c r="A34" s="183" t="inlineStr">
        <is>
          <t>K31</t>
        </is>
      </c>
      <c r="B34" s="184" t="inlineStr">
        <is>
          <t>Premium vitrin, altyapı kadar güçlü ve satış fiyatını destekleyecek seviyede mi?</t>
        </is>
      </c>
      <c r="C34" s="184" t="inlineStr">
        <is>
          <t>Evet</t>
        </is>
      </c>
      <c r="D34" s="175" t="inlineStr">
        <is>
          <t>EVET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75569"/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48" customWidth="1" min="3" max="3"/>
    <col width="34" customWidth="1" min="4" max="4"/>
    <col width="30" customWidth="1" min="5" max="5"/>
    <col width="16" customWidth="1" min="6" max="6"/>
  </cols>
  <sheetData>
    <row r="1" ht="28" customHeight="1">
      <c r="A1" s="185" t="inlineStr">
        <is>
          <t>GÖRSEL TASARIM VE PREMIUM EXCEL STANDARDI</t>
        </is>
      </c>
    </row>
    <row r="3" ht="24" customHeight="1">
      <c r="A3" s="186" t="inlineStr">
        <is>
          <t>Alan</t>
        </is>
      </c>
      <c r="B3" s="186" t="inlineStr">
        <is>
          <t>Zorunlu Kural</t>
        </is>
      </c>
      <c r="C3" s="186" t="inlineStr">
        <is>
          <t>Uygulama</t>
        </is>
      </c>
      <c r="D3" s="186" t="inlineStr">
        <is>
          <t>Yasak</t>
        </is>
      </c>
      <c r="E3" s="186" t="inlineStr">
        <is>
          <t>Kontrol</t>
        </is>
      </c>
      <c r="F3" s="186" t="inlineStr">
        <is>
          <t>Durum</t>
        </is>
      </c>
    </row>
    <row r="4" ht="28" customHeight="1">
      <c r="A4" s="187" t="inlineStr">
        <is>
          <t>Sayfa başlığı</t>
        </is>
      </c>
      <c r="B4" s="175" t="inlineStr">
        <is>
          <t>Her kullanıcı sayfasının en üstünde tek ve açık sayfa başlığı</t>
        </is>
      </c>
      <c r="C4" s="175" t="inlineStr">
        <is>
          <t>A1'den başlayan koyu lacivert başlık bandı</t>
        </is>
      </c>
      <c r="D4" s="175" t="inlineStr">
        <is>
          <t>Başlıksız sayfa</t>
        </is>
      </c>
      <c r="E4" s="175" t="inlineStr">
        <is>
          <t>Başlık kapsama = %100</t>
        </is>
      </c>
      <c r="F4" s="188" t="inlineStr">
        <is>
          <t>ZORUNLU</t>
        </is>
      </c>
    </row>
    <row r="5" ht="28" customHeight="1">
      <c r="A5" s="187" t="inlineStr">
        <is>
          <t>Sekme renkleri</t>
        </is>
      </c>
      <c r="B5" s="175" t="inlineStr">
        <is>
          <t>Sayfalar işlevine göre renk kodlanır</t>
        </is>
      </c>
      <c r="C5" s="175" t="inlineStr">
        <is>
          <t>Girdi=mavi, hesap=gri, rapor=lacivert, kontrol=kırmızı, kılavuz=altın</t>
        </is>
      </c>
      <c r="D5" s="175" t="inlineStr">
        <is>
          <t>Rastgele renk</t>
        </is>
      </c>
      <c r="E5" s="175" t="inlineStr">
        <is>
          <t>Renk semantiği tutarlı</t>
        </is>
      </c>
      <c r="F5" s="188" t="inlineStr">
        <is>
          <t>ZORUNLU</t>
        </is>
      </c>
    </row>
    <row r="6" ht="28" customHeight="1">
      <c r="A6" s="187" t="inlineStr">
        <is>
          <t>Kolon düzeni</t>
        </is>
      </c>
      <c r="B6" s="175" t="inlineStr">
        <is>
          <t>Veri blokları bitişik kolonlarda ilerler</t>
        </is>
      </c>
      <c r="C6" s="175" t="inlineStr">
        <is>
          <t>Gereksiz boş kolon bırakma; yalnız gerçek bölüm ayrımı varsa kontrollü boşluk</t>
        </is>
      </c>
      <c r="D6" s="175" t="inlineStr">
        <is>
          <t>A:C veri, D boş, E:F veri gibi parçalı yapı</t>
        </is>
      </c>
      <c r="E6" s="175" t="inlineStr">
        <is>
          <t>Boş kolon taraması</t>
        </is>
      </c>
      <c r="F6" s="188" t="inlineStr">
        <is>
          <t>ZORUNLU</t>
        </is>
      </c>
    </row>
    <row r="7" ht="16" customHeight="1">
      <c r="A7" s="187" t="inlineStr">
        <is>
          <t>Girdi hücreleri</t>
        </is>
      </c>
      <c r="B7" s="175" t="inlineStr">
        <is>
          <t>Kullanıcının değiştireceği alan açıkça görünür</t>
        </is>
      </c>
      <c r="C7" s="175" t="inlineStr">
        <is>
          <t>Açık sarı dolgu + mavi yazı</t>
        </is>
      </c>
      <c r="D7" s="175" t="inlineStr">
        <is>
          <t>Formülle aynı görünüm</t>
        </is>
      </c>
      <c r="E7" s="175" t="inlineStr">
        <is>
          <t>Girdi/formül ayrımı</t>
        </is>
      </c>
      <c r="F7" s="188" t="inlineStr">
        <is>
          <t>ZORUNLU</t>
        </is>
      </c>
    </row>
    <row r="8" ht="16" customHeight="1">
      <c r="A8" s="187" t="inlineStr">
        <is>
          <t>Formüller</t>
        </is>
      </c>
      <c r="B8" s="175" t="inlineStr">
        <is>
          <t>Hesap hücreleri kullanıcı girdisinden ayrılır</t>
        </is>
      </c>
      <c r="C8" s="175" t="inlineStr">
        <is>
          <t>Siyah yazı; sayfalar arası bağlantı yeşil yazı</t>
        </is>
      </c>
      <c r="D8" s="175" t="inlineStr">
        <is>
          <t>Hard-code gizleme</t>
        </is>
      </c>
      <c r="E8" s="175" t="inlineStr">
        <is>
          <t>Formül sınıfı kontrolü</t>
        </is>
      </c>
      <c r="F8" s="188" t="inlineStr">
        <is>
          <t>ZORUNLU</t>
        </is>
      </c>
    </row>
    <row r="9" ht="16" customHeight="1">
      <c r="A9" s="187" t="inlineStr">
        <is>
          <t>Grafik sayısı</t>
        </is>
      </c>
      <c r="B9" s="175" t="inlineStr">
        <is>
          <t>Yönetici ekranında en fazla 3 ana karar grafiği</t>
        </is>
      </c>
      <c r="C9" s="175" t="inlineStr">
        <is>
          <t>Trend, karşılaştırma, köprü/dağılım; iş kararına bağlı</t>
        </is>
      </c>
      <c r="D9" s="175" t="inlineStr">
        <is>
          <t>Grafik kalabalığı</t>
        </is>
      </c>
      <c r="E9" s="175" t="inlineStr">
        <is>
          <t>Grafik başına karar sorusu</t>
        </is>
      </c>
      <c r="F9" s="188" t="inlineStr">
        <is>
          <t>ZORUNLU</t>
        </is>
      </c>
    </row>
    <row r="10" ht="16" customHeight="1">
      <c r="A10" s="187" t="inlineStr">
        <is>
          <t>Grafik stili</t>
        </is>
      </c>
      <c r="B10" s="175" t="inlineStr">
        <is>
          <t>Kurumsal ve yüksek okunabilirlik</t>
        </is>
      </c>
      <c r="C10" s="175" t="inlineStr">
        <is>
          <t>Beyaz zemin, ince gridline, tek vurgu rengi, açık birim/başlık</t>
        </is>
      </c>
      <c r="D10" s="175" t="inlineStr">
        <is>
          <t>3B, gölge, neon, gökkuşağı renkleri</t>
        </is>
      </c>
      <c r="E10" s="175" t="inlineStr">
        <is>
          <t>Görsel inceleme</t>
        </is>
      </c>
      <c r="F10" s="188" t="inlineStr">
        <is>
          <t>ZORUNLU</t>
        </is>
      </c>
    </row>
    <row r="11" ht="16" customHeight="1">
      <c r="A11" s="187" t="inlineStr">
        <is>
          <t>Grafik başlığı</t>
        </is>
      </c>
      <c r="B11" s="175" t="inlineStr">
        <is>
          <t>Grafik 'neyi' değil 'ne anlama geldiğini' söyler</t>
        </is>
      </c>
      <c r="C11" s="175" t="inlineStr">
        <is>
          <t>Örn: 'Nakit 2028'de kritik eşiğin altına iniyor'</t>
        </is>
      </c>
      <c r="D11" s="175" t="inlineStr">
        <is>
          <t>'Nakit Grafiği' gibi anlamsız başlık</t>
        </is>
      </c>
      <c r="E11" s="175" t="inlineStr">
        <is>
          <t>Başlık karar testi</t>
        </is>
      </c>
      <c r="F11" s="188" t="inlineStr">
        <is>
          <t>ZORUNLU</t>
        </is>
      </c>
    </row>
    <row r="12" ht="16" customHeight="1">
      <c r="A12" s="187" t="inlineStr">
        <is>
          <t>Birimler</t>
        </is>
      </c>
      <c r="B12" s="175" t="inlineStr">
        <is>
          <t>Tüm finansal görsellerde birim açık</t>
        </is>
      </c>
      <c r="C12" s="175" t="inlineStr">
        <is>
          <t>TL, bin TL, milyon TL, %, gün, x</t>
        </is>
      </c>
      <c r="D12" s="175" t="inlineStr">
        <is>
          <t>Birim belirsizliği</t>
        </is>
      </c>
      <c r="E12" s="175" t="inlineStr">
        <is>
          <t>Birim kapsama %100</t>
        </is>
      </c>
      <c r="F12" s="188" t="inlineStr">
        <is>
          <t>ZORUNLU</t>
        </is>
      </c>
    </row>
    <row r="13" ht="16" customHeight="1">
      <c r="A13" s="187" t="inlineStr">
        <is>
          <t>Sıfır/negatif</t>
        </is>
      </c>
      <c r="B13" s="175" t="inlineStr">
        <is>
          <t>Finansal format standardı</t>
        </is>
      </c>
      <c r="C13" s="175" t="inlineStr">
        <is>
          <t>Sıfır='-', negatif kırmızı parantez</t>
        </is>
      </c>
      <c r="D13" s="175" t="inlineStr">
        <is>
          <t>-500 veya 0,00 kalabalığı</t>
        </is>
      </c>
      <c r="E13" s="175" t="inlineStr">
        <is>
          <t>Format kontrolü</t>
        </is>
      </c>
      <c r="F13" s="188" t="inlineStr">
        <is>
          <t>ZORUNLU</t>
        </is>
      </c>
    </row>
    <row r="14" ht="16" customHeight="1">
      <c r="A14" s="187" t="inlineStr">
        <is>
          <t>Yazı tipi</t>
        </is>
      </c>
      <c r="B14" s="175" t="inlineStr">
        <is>
          <t>Tek aile</t>
        </is>
      </c>
      <c r="C14" s="175" t="inlineStr">
        <is>
          <t>Aptos veya Segoe UI</t>
        </is>
      </c>
      <c r="D14" s="175" t="inlineStr">
        <is>
          <t>Karışık font</t>
        </is>
      </c>
      <c r="E14" s="175" t="inlineStr">
        <is>
          <t>Tek font kontrolü</t>
        </is>
      </c>
      <c r="F14" s="188" t="inlineStr">
        <is>
          <t>ZORUNLU</t>
        </is>
      </c>
    </row>
    <row r="15" ht="16" customHeight="1">
      <c r="A15" s="187" t="inlineStr">
        <is>
          <t>Izgara</t>
        </is>
      </c>
      <c r="B15" s="175" t="inlineStr">
        <is>
          <t>Kullanıcı sayfalarında kapalı</t>
        </is>
      </c>
      <c r="C15" s="175" t="inlineStr">
        <is>
          <t>Bölüm çizgileri ve kart sınırlarıyla düzen</t>
        </is>
      </c>
      <c r="D15" s="175" t="inlineStr">
        <is>
          <t>Excel varsayılan gridline</t>
        </is>
      </c>
      <c r="E15" s="175" t="inlineStr">
        <is>
          <t>Gridline kontrolü</t>
        </is>
      </c>
      <c r="F15" s="188" t="inlineStr">
        <is>
          <t>ZORUNLU</t>
        </is>
      </c>
    </row>
    <row r="16" ht="16" customHeight="1">
      <c r="A16" s="187" t="inlineStr">
        <is>
          <t>Boş durum</t>
        </is>
      </c>
      <c r="B16" s="175" t="inlineStr">
        <is>
          <t>Veri yokken temiz ve anlaşılır</t>
        </is>
      </c>
      <c r="C16" s="175" t="inlineStr">
        <is>
          <t>'Henüz veri yok' / 'Girdi bekleniyor'</t>
        </is>
      </c>
      <c r="D16" s="175" t="inlineStr">
        <is>
          <t>0 yığını / hata kodu</t>
        </is>
      </c>
      <c r="E16" s="175" t="inlineStr">
        <is>
          <t>Boş veri testi</t>
        </is>
      </c>
      <c r="F16" s="188" t="inlineStr">
        <is>
          <t>ZORUNLU</t>
        </is>
      </c>
    </row>
    <row r="17" ht="28" customHeight="1">
      <c r="A17" s="187" t="inlineStr">
        <is>
          <t>Başlangıç deneyimi</t>
        </is>
      </c>
      <c r="B17" s="175" t="inlineStr">
        <is>
          <t>İlk 5 saniyede ne gireceği ve neye bakacağı anlaşılır</t>
        </is>
      </c>
      <c r="C17" s="175" t="inlineStr">
        <is>
          <t>Girdi → durum → aksiyon akışı</t>
        </is>
      </c>
      <c r="D17" s="175" t="inlineStr">
        <is>
          <t>Kılavuz aramaya zorlama</t>
        </is>
      </c>
      <c r="E17" s="175" t="inlineStr">
        <is>
          <t>5 saniye testi</t>
        </is>
      </c>
      <c r="F17" s="188" t="inlineStr">
        <is>
          <t>ZORUNLU</t>
        </is>
      </c>
    </row>
    <row r="18" ht="30" customHeight="1">
      <c r="A18" s="183" t="inlineStr">
        <is>
          <t>Buton standardı</t>
        </is>
      </c>
      <c r="B18" s="184" t="inlineStr">
        <is>
          <t>Buton görünümü verilen her alan gerçek işlev taşır</t>
        </is>
      </c>
      <c r="C18" s="184" t="inlineStr">
        <is>
          <t>Sayfa içi HYPERLINK / gerçek aksiyon; tıklanınca hedefe gider</t>
        </is>
      </c>
      <c r="D18" s="184" t="inlineStr">
        <is>
          <t>İşlevsiz dekoratif buton / sahte navigasyon</t>
        </is>
      </c>
      <c r="E18" s="184" t="inlineStr">
        <is>
          <t>Butonların %100'ü tıklanabilir ve hedefi doğru</t>
        </is>
      </c>
      <c r="F18" s="188" t="inlineStr">
        <is>
          <t>ZORUNLU</t>
        </is>
      </c>
    </row>
    <row r="19" ht="32" customHeight="1">
      <c r="A19" s="183" t="inlineStr">
        <is>
          <t>Native sayfa sekmesi rengi</t>
        </is>
      </c>
      <c r="B19" s="184" t="inlineStr">
        <is>
          <t>Excel alt sheet tabları kurumsal paletle renklendirilir</t>
        </is>
      </c>
      <c r="C19" s="184" t="inlineStr">
        <is>
          <t>Başlangıç/özet=lacivert; girdiler=mavi; hesap/finans=teal; karar/kontrol=burgundy; doküman=gri</t>
        </is>
      </c>
      <c r="D19" s="184" t="inlineStr">
        <is>
          <t>Renksiz sekmeler veya rastgele/gökkuşağı renkleri</t>
        </is>
      </c>
      <c r="E19" s="184" t="inlineStr">
        <is>
          <t>Tüm görünür kullanıcı sheet tabları renkli</t>
        </is>
      </c>
      <c r="F19" s="188" t="inlineStr">
        <is>
          <t>ZORUNLU</t>
        </is>
      </c>
    </row>
    <row r="20" ht="60" customHeight="1">
      <c r="A20" s="183" t="inlineStr">
        <is>
          <t>İş akışı sıralaması</t>
        </is>
      </c>
      <c r="B20" s="184" t="inlineStr">
        <is>
          <t>Sayfalar kullanıcının çalışma sırasına göre fiziksel olarak dizilir</t>
        </is>
      </c>
      <c r="C20" s="184" t="inlineStr">
        <is>
          <t>Başlangıç → Yönetici Özeti → Varsayımlar → Tarihsel Giriş → THP → Hesap Motorları → 3 Finansal Tablo → Senaryo → Karar → Kontrol → Kılavuz/Meta/Oracle/Değer</t>
        </is>
      </c>
      <c r="D20" s="184" t="inlineStr">
        <is>
          <t>Teknik oluşturma sırasına göre dağınık sheet dizilimi</t>
        </is>
      </c>
      <c r="E20" s="184" t="inlineStr">
        <is>
          <t>Sheet order = tanımlı workflow</t>
        </is>
      </c>
      <c r="F20" s="188" t="inlineStr">
        <is>
          <t>ZORUNLU</t>
        </is>
      </c>
    </row>
    <row r="21" ht="30" customHeight="1">
      <c r="A21" s="183" t="inlineStr">
        <is>
          <t>Kurumsal renk paleti</t>
        </is>
      </c>
      <c r="B21" s="184" t="inlineStr">
        <is>
          <t>Sekme, başlık, buton ve vurgu renkleri tek kurumsal paletten gelir</t>
        </is>
      </c>
      <c r="C21" s="184" t="inlineStr">
        <is>
          <t>Lacivert + mavi + teal + kontrollü burgundy/gri; kategori semantiği sabit</t>
        </is>
      </c>
      <c r="D21" s="184" t="inlineStr">
        <is>
          <t>Neon, rastgele yüksek doygunluk, her sayfada farklı bağımsız renk</t>
        </is>
      </c>
      <c r="E21" s="184" t="inlineStr">
        <is>
          <t>Palette token kontrolü</t>
        </is>
      </c>
      <c r="F21" s="188" t="inlineStr">
        <is>
          <t>ZORUNLU</t>
        </is>
      </c>
    </row>
    <row r="22" ht="45" customHeight="1">
      <c r="A22" s="183" t="inlineStr">
        <is>
          <t>Premium vitrin</t>
        </is>
      </c>
      <c r="B22" s="184" t="inlineStr">
        <is>
          <t>Görsel kalite ürün değerinin zorunlu parçasıdır</t>
        </is>
      </c>
      <c r="C22" s="184" t="inlineStr">
        <is>
          <t>Kaliteli grafik, gerçek KPI kartı, finansal hiyerarşi, tab rengi, fonksiyonel navigasyon</t>
        </is>
      </c>
      <c r="D22" s="184" t="inlineStr">
        <is>
          <t>Sadece doğru hesap yapıp çıplak/varsayılan Excel görünümü bırakmak</t>
        </is>
      </c>
      <c r="E22" s="184" t="inlineStr">
        <is>
          <t>Görsel release incelemesi</t>
        </is>
      </c>
      <c r="F22" s="188" t="inlineStr">
        <is>
          <t>ZORUNLU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F75B5"/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50" customWidth="1" min="3" max="3"/>
    <col width="30" customWidth="1" min="4" max="4"/>
    <col width="28" customWidth="1" min="5" max="5"/>
    <col width="26" customWidth="1" min="6" max="6"/>
  </cols>
  <sheetData>
    <row r="1" ht="28" customHeight="1">
      <c r="A1" s="189" t="inlineStr">
        <is>
          <t>TÜRKİYE MUHASEBE VE TEKDÜZEN HESAP PLANI STANDARDI</t>
        </is>
      </c>
    </row>
    <row r="3" ht="24" customHeight="1">
      <c r="A3" s="190" t="inlineStr">
        <is>
          <t>Konu</t>
        </is>
      </c>
      <c r="B3" s="190" t="inlineStr">
        <is>
          <t>Zorunlu Standart</t>
        </is>
      </c>
      <c r="C3" s="190" t="inlineStr">
        <is>
          <t>Örnek Türkçe Ad</t>
        </is>
      </c>
      <c r="D3" s="190" t="inlineStr">
        <is>
          <t>THP / Mantık</t>
        </is>
      </c>
      <c r="E3" s="190" t="inlineStr">
        <is>
          <t>Hata Riski</t>
        </is>
      </c>
      <c r="F3" s="190" t="inlineStr">
        <is>
          <t>Kontrol</t>
        </is>
      </c>
    </row>
    <row r="4">
      <c r="A4" s="191" t="inlineStr">
        <is>
          <t>Dil</t>
        </is>
      </c>
      <c r="B4" s="175" t="inlineStr">
        <is>
          <t>Kullanıcıya görünen finansal terimler Türkçe</t>
        </is>
      </c>
      <c r="C4" s="175" t="inlineStr">
        <is>
          <t>Hasılat, Satışların Maliyeti, Brüt Kâr, Faaliyet Giderleri</t>
        </is>
      </c>
      <c r="D4" s="175" t="inlineStr">
        <is>
          <t>Türk işletme kullanımına uygun</t>
        </is>
      </c>
      <c r="E4" s="175" t="inlineStr">
        <is>
          <t>İngilizce jargon</t>
        </is>
      </c>
      <c r="F4" s="175" t="inlineStr">
        <is>
          <t>Terminoloji taraması</t>
        </is>
      </c>
    </row>
    <row r="5" ht="28" customHeight="1">
      <c r="A5" s="191" t="inlineStr">
        <is>
          <t>Gelir Tablosu</t>
        </is>
      </c>
      <c r="B5" s="175" t="inlineStr">
        <is>
          <t>Türk sunum sırası kullanılır</t>
        </is>
      </c>
      <c r="C5" s="175" t="inlineStr">
        <is>
          <t>Net Satışlar → Satışların Maliyeti → Brüt Kâr → Faaliyet Giderleri → Faaliyet Kârı</t>
        </is>
      </c>
      <c r="D5" s="175" t="inlineStr">
        <is>
          <t>600/610/611; 620-623; 63x</t>
        </is>
      </c>
      <c r="E5" s="175" t="inlineStr">
        <is>
          <t>Yanlış sınıflama</t>
        </is>
      </c>
      <c r="F5" s="175" t="inlineStr">
        <is>
          <t>Hesap eşleme</t>
        </is>
      </c>
    </row>
    <row r="6" ht="28" customHeight="1">
      <c r="A6" s="191" t="inlineStr">
        <is>
          <t>Bilanço</t>
        </is>
      </c>
      <c r="B6" s="175" t="inlineStr">
        <is>
          <t>Dönen/Duran Varlık ve Kısa/Uzun Vadeli Yükümlülük ayrımı</t>
        </is>
      </c>
      <c r="C6" s="175" t="inlineStr">
        <is>
          <t>Hazır Değerler, Ticari Alacaklar, Stoklar, Mali Borçlar</t>
        </is>
      </c>
      <c r="D6" s="175" t="inlineStr">
        <is>
          <t>1xx / 2xx / 3xx / 4xx / 5xx</t>
        </is>
      </c>
      <c r="E6" s="175" t="inlineStr">
        <is>
          <t>Vade sınıfı hatası</t>
        </is>
      </c>
      <c r="F6" s="175" t="inlineStr">
        <is>
          <t>Bilanço eşitliği</t>
        </is>
      </c>
    </row>
    <row r="7">
      <c r="A7" s="191" t="inlineStr">
        <is>
          <t>Nakit Akışı</t>
        </is>
      </c>
      <c r="B7" s="175" t="inlineStr">
        <is>
          <t>İşletme/Yatırım/Finansman nakit akışları ayrılır</t>
        </is>
      </c>
      <c r="C7" s="175" t="inlineStr">
        <is>
          <t>Faaliyetlerden Nakit, Yatırım Harcamaları, Finansman Nakit Akışı</t>
        </is>
      </c>
      <c r="D7" s="175" t="inlineStr">
        <is>
          <t>Dolaylı/doğrudan yöntem açık seçilir</t>
        </is>
      </c>
      <c r="E7" s="175" t="inlineStr">
        <is>
          <t>Kâr = nakit sanılması</t>
        </is>
      </c>
      <c r="F7" s="175" t="inlineStr">
        <is>
          <t>Nakit devri</t>
        </is>
      </c>
    </row>
    <row r="8">
      <c r="A8" s="191" t="inlineStr">
        <is>
          <t>Ticari Alacaklar</t>
        </is>
      </c>
      <c r="B8" s="175" t="inlineStr">
        <is>
          <t>Cari ve vade mantığı korunur</t>
        </is>
      </c>
      <c r="C8" s="175" t="inlineStr">
        <is>
          <t>120 Alıcılar</t>
        </is>
      </c>
      <c r="D8" s="175" t="inlineStr">
        <is>
          <t>120</t>
        </is>
      </c>
      <c r="E8" s="175" t="inlineStr">
        <is>
          <t>Tahakkuk/nakit karışması</t>
        </is>
      </c>
      <c r="F8" s="175" t="inlineStr">
        <is>
          <t>Alacak devir kontrolü</t>
        </is>
      </c>
    </row>
    <row r="9">
      <c r="A9" s="191" t="inlineStr">
        <is>
          <t>Ticari Borçlar</t>
        </is>
      </c>
      <c r="B9" s="175" t="inlineStr">
        <is>
          <t>Tedarikçi borcu ayrı izlenir</t>
        </is>
      </c>
      <c r="C9" s="175" t="inlineStr">
        <is>
          <t>320 Satıcılar</t>
        </is>
      </c>
      <c r="D9" s="175" t="inlineStr">
        <is>
          <t>320</t>
        </is>
      </c>
      <c r="E9" s="175" t="inlineStr">
        <is>
          <t>Gider/ödeme karışması</t>
        </is>
      </c>
      <c r="F9" s="175" t="inlineStr">
        <is>
          <t>Borç devir kontrolü</t>
        </is>
      </c>
    </row>
    <row r="10">
      <c r="A10" s="191" t="inlineStr">
        <is>
          <t>Kasa/Banka</t>
        </is>
      </c>
      <c r="B10" s="175" t="inlineStr">
        <is>
          <t>Hazır değerler ayrı izlenir</t>
        </is>
      </c>
      <c r="C10" s="175" t="inlineStr">
        <is>
          <t>100 Kasa, 102 Bankalar</t>
        </is>
      </c>
      <c r="D10" s="175" t="inlineStr">
        <is>
          <t>100 / 102</t>
        </is>
      </c>
      <c r="E10" s="175" t="inlineStr">
        <is>
          <t>Virmanla toplam nakdin değişmesi</t>
        </is>
      </c>
      <c r="F10" s="175" t="inlineStr">
        <is>
          <t>Virman değişmezi</t>
        </is>
      </c>
    </row>
    <row r="11">
      <c r="A11" s="191" t="inlineStr">
        <is>
          <t>Stok</t>
        </is>
      </c>
      <c r="B11" s="175" t="inlineStr">
        <is>
          <t>Dikeye uygun stok türü</t>
        </is>
      </c>
      <c r="C11" s="175" t="inlineStr">
        <is>
          <t>150 İlk Madde ve Malzeme, 153 Ticari Mallar</t>
        </is>
      </c>
      <c r="D11" s="175" t="inlineStr">
        <is>
          <t>15x</t>
        </is>
      </c>
      <c r="E11" s="175" t="inlineStr">
        <is>
          <t>Maliyet ve stok hareketinin kopması</t>
        </is>
      </c>
      <c r="F11" s="175" t="inlineStr">
        <is>
          <t>Stok devri</t>
        </is>
      </c>
    </row>
    <row r="12" ht="28" customHeight="1">
      <c r="A12" s="191" t="inlineStr">
        <is>
          <t>Maddi Duran Varlık</t>
        </is>
      </c>
      <c r="B12" s="175" t="inlineStr">
        <is>
          <t>Yatırım harcaması ve amortisman bağlantılı</t>
        </is>
      </c>
      <c r="C12" s="175" t="inlineStr">
        <is>
          <t>253 Tesis Makine Cihazlar, 255 Demirbaşlar, 257 Birikmiş Amortismanlar</t>
        </is>
      </c>
      <c r="D12" s="175" t="inlineStr">
        <is>
          <t>25x</t>
        </is>
      </c>
      <c r="E12" s="175" t="inlineStr">
        <is>
          <t>Yatırım/gider karışması</t>
        </is>
      </c>
      <c r="F12" s="175" t="inlineStr">
        <is>
          <t>Net defter değeri devri</t>
        </is>
      </c>
    </row>
    <row r="13">
      <c r="A13" s="191" t="inlineStr">
        <is>
          <t>Mali Borçlar</t>
        </is>
      </c>
      <c r="B13" s="175" t="inlineStr">
        <is>
          <t>Kısa/uzun vadeli borç ayrımı</t>
        </is>
      </c>
      <c r="C13" s="175" t="inlineStr">
        <is>
          <t>300 Banka Kredileri / 400 Banka Kredileri</t>
        </is>
      </c>
      <c r="D13" s="175" t="inlineStr">
        <is>
          <t>300 / 400</t>
        </is>
      </c>
      <c r="E13" s="175" t="inlineStr">
        <is>
          <t>Vade sınıfı yanlış</t>
        </is>
      </c>
      <c r="F13" s="175" t="inlineStr">
        <is>
          <t>Borç devri</t>
        </is>
      </c>
    </row>
    <row r="14">
      <c r="A14" s="191" t="inlineStr">
        <is>
          <t>Özkaynak</t>
        </is>
      </c>
      <c r="B14" s="175" t="inlineStr">
        <is>
          <t>Sermaye ve geçmiş yıl kârları ayrı</t>
        </is>
      </c>
      <c r="C14" s="175" t="inlineStr">
        <is>
          <t>500 Sermaye, 570 Geçmiş Yıllar Kârları, 590 Dönem Net Kârı</t>
        </is>
      </c>
      <c r="D14" s="175" t="inlineStr">
        <is>
          <t>5xx</t>
        </is>
      </c>
      <c r="E14" s="175" t="inlineStr">
        <is>
          <t>Net kâr bağının kopması</t>
        </is>
      </c>
      <c r="F14" s="175" t="inlineStr">
        <is>
          <t>Özkaynak devri</t>
        </is>
      </c>
    </row>
    <row r="15">
      <c r="A15" s="191" t="inlineStr">
        <is>
          <t>Vergi</t>
        </is>
      </c>
      <c r="B15" s="175" t="inlineStr">
        <is>
          <t>Vergi satırları Türkiye mantığına uygun</t>
        </is>
      </c>
      <c r="C15" s="175" t="inlineStr">
        <is>
          <t>Dönem Vergi ve Diğer Yasal Yükümlülük Karşılıkları</t>
        </is>
      </c>
      <c r="D15" s="175" t="inlineStr">
        <is>
          <t>37x / ilgili vergi hesapları</t>
        </is>
      </c>
      <c r="E15" s="175" t="inlineStr">
        <is>
          <t>Vergi etkisinin yanlış dönemlenmesi</t>
        </is>
      </c>
      <c r="F15" s="175" t="inlineStr">
        <is>
          <t>Vergi sözleşmesi</t>
        </is>
      </c>
    </row>
    <row r="16">
      <c r="A16" s="191" t="inlineStr">
        <is>
          <t>İsim standardı</t>
        </is>
      </c>
      <c r="B16" s="175" t="inlineStr">
        <is>
          <t>Tablo ve sayfa adları Türkçe ve işlevsel</t>
        </is>
      </c>
      <c r="C16" s="175" t="inlineStr">
        <is>
          <t>GELİR_TABLOSU, BİLANÇO, NAKİT_AKISI, BORC_PLANI</t>
        </is>
      </c>
      <c r="D16" s="175" t="inlineStr">
        <is>
          <t>Tekrarlanabilir standart</t>
        </is>
      </c>
      <c r="E16" s="175" t="inlineStr">
        <is>
          <t>İngilizce/karma isim</t>
        </is>
      </c>
      <c r="F16" s="175" t="inlineStr">
        <is>
          <t>Sayfa ve tablo taraması</t>
        </is>
      </c>
    </row>
    <row r="17">
      <c r="A17" s="191" t="inlineStr">
        <is>
          <t>THP eşleme tablosu</t>
        </is>
      </c>
      <c r="B17" s="175" t="inlineStr">
        <is>
          <t>Her kritik satır en az bir THP hesabına bağlanır</t>
        </is>
      </c>
      <c r="C17" s="175" t="inlineStr">
        <is>
          <t>RaporSatırı → HesapKodu → HesapAdı → İşaret → Dönem</t>
        </is>
      </c>
      <c r="D17" s="175" t="inlineStr">
        <is>
          <t>Kaynak izlenebilirliği</t>
        </is>
      </c>
      <c r="E17" s="175" t="inlineStr">
        <is>
          <t>Rapordan rapora kaynak</t>
        </is>
      </c>
      <c r="F17" s="175" t="inlineStr">
        <is>
          <t>Eşleme kapsama %100</t>
        </is>
      </c>
    </row>
    <row r="18">
      <c r="A18" s="191" t="inlineStr">
        <is>
          <t>İstisna</t>
        </is>
      </c>
      <c r="B18" s="175" t="inlineStr">
        <is>
          <t>TFRS özel ürün varsa fark açık yazılır</t>
        </is>
      </c>
      <c r="C18" s="175" t="inlineStr">
        <is>
          <t>Tekdüzen raporlama ≠ TFRS finansal tablo sunumu</t>
        </is>
      </c>
      <c r="D18" s="175" t="inlineStr">
        <is>
          <t>Amaç belirtilir</t>
        </is>
      </c>
      <c r="E18" s="175" t="inlineStr">
        <is>
          <t>Standartları karıştırma</t>
        </is>
      </c>
      <c r="F18" s="175" t="inlineStr">
        <is>
          <t>Model amacı kontrolü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5B477E"/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54" customWidth="1" min="3" max="3"/>
    <col width="34" customWidth="1" min="4" max="4"/>
    <col width="16" customWidth="1" min="6" max="6"/>
  </cols>
  <sheetData>
    <row r="1" ht="28" customHeight="1">
      <c r="A1" s="192" t="inlineStr">
        <is>
          <t>KARAR, GÜVEN VE SATIŞA HAZIRLIK STANDARDI</t>
        </is>
      </c>
    </row>
    <row r="3" ht="24" customHeight="1">
      <c r="A3" s="193" t="inlineStr">
        <is>
          <t>Alan</t>
        </is>
      </c>
      <c r="B3" s="193" t="inlineStr">
        <is>
          <t>Müşteri Sorusu</t>
        </is>
      </c>
      <c r="C3" s="193" t="inlineStr">
        <is>
          <t>Zorunlu Ürün Davranışı</t>
        </is>
      </c>
      <c r="D3" s="193" t="inlineStr">
        <is>
          <t>Kanıt</t>
        </is>
      </c>
      <c r="E3" s="193" t="inlineStr">
        <is>
          <t>Başarısızlık Durumu</t>
        </is>
      </c>
      <c r="F3" s="193" t="inlineStr">
        <is>
          <t>Kapı</t>
        </is>
      </c>
    </row>
    <row r="4">
      <c r="A4" s="194" t="inlineStr">
        <is>
          <t>5 saniye</t>
        </is>
      </c>
      <c r="B4" s="175" t="inlineStr">
        <is>
          <t>Bu ürün neyi çözüyor?</t>
        </is>
      </c>
      <c r="C4" s="175" t="inlineStr">
        <is>
          <t>İlk ekranda hedef kullanıcı + pahalı problem + sonuç görünür</t>
        </is>
      </c>
      <c r="D4" s="175" t="inlineStr">
        <is>
          <t>Başlık + alt mesaj + gerçek ekran</t>
        </is>
      </c>
      <c r="E4" s="175" t="inlineStr">
        <is>
          <t>Ürün yalnız teknik isim</t>
        </is>
      </c>
      <c r="F4" s="195" t="inlineStr">
        <is>
          <t>HATA</t>
        </is>
      </c>
    </row>
    <row r="5">
      <c r="A5" s="194" t="inlineStr">
        <is>
          <t>Acı</t>
        </is>
      </c>
      <c r="B5" s="175" t="inlineStr">
        <is>
          <t>Sorun bana neye mal oluyor?</t>
        </is>
      </c>
      <c r="C5" s="175" t="inlineStr">
        <is>
          <t>Mümkünse müşterinin kendi verisiyle parasal/zaman etkisi hesaplanır</t>
        </is>
      </c>
      <c r="D5" s="175" t="inlineStr">
        <is>
          <t>ROI/acı hesaplama yöntemi</t>
        </is>
      </c>
      <c r="E5" s="175" t="inlineStr">
        <is>
          <t>Uydurma tasarruf</t>
        </is>
      </c>
      <c r="F5" s="195" t="inlineStr">
        <is>
          <t>HATA</t>
        </is>
      </c>
    </row>
    <row r="6">
      <c r="A6" s="194" t="inlineStr">
        <is>
          <t>Karar</t>
        </is>
      </c>
      <c r="B6" s="175" t="inlineStr">
        <is>
          <t>Bu bilgiyle ne yapacağım?</t>
        </is>
      </c>
      <c r="C6" s="175" t="inlineStr">
        <is>
          <t>Her kritik KPI aksiyona bağlanır</t>
        </is>
      </c>
      <c r="D6" s="175" t="inlineStr">
        <is>
          <t>KARAR_KUYRUGU</t>
        </is>
      </c>
      <c r="E6" s="175" t="inlineStr">
        <is>
          <t>Sadece rapor</t>
        </is>
      </c>
      <c r="F6" s="195" t="inlineStr">
        <is>
          <t>HATA</t>
        </is>
      </c>
    </row>
    <row r="7">
      <c r="A7" s="194" t="inlineStr">
        <is>
          <t>Güven</t>
        </is>
      </c>
      <c r="B7" s="175" t="inlineStr">
        <is>
          <t>Bu sayıya neden inanayım?</t>
        </is>
      </c>
      <c r="C7" s="175" t="inlineStr">
        <is>
          <t>Kaynak, formül mantığı, kontrol ve son doğrulama görünür</t>
        </is>
      </c>
      <c r="D7" s="175" t="inlineStr">
        <is>
          <t>Kontroller + kaynak izi + sürüm</t>
        </is>
      </c>
      <c r="E7" s="175" t="inlineStr">
        <is>
          <t>Prestij kelimesi</t>
        </is>
      </c>
      <c r="F7" s="195" t="inlineStr">
        <is>
          <t>HATA</t>
        </is>
      </c>
    </row>
    <row r="8">
      <c r="A8" s="194" t="inlineStr">
        <is>
          <t>Referans</t>
        </is>
      </c>
      <c r="B8" s="175" t="inlineStr">
        <is>
          <t>Müşteri yorumu yoksa ne göstereceğim?</t>
        </is>
      </c>
      <c r="C8" s="175" t="inlineStr">
        <is>
          <t>Önce/Sonra + Karar Vakası + Hata Önleme Vakası üretilir</t>
        </is>
      </c>
      <c r="D8" s="175" t="inlineStr">
        <is>
          <t>Demo/örnek çıktı</t>
        </is>
      </c>
      <c r="E8" s="175" t="inlineStr">
        <is>
          <t>Kanıtsız iddia</t>
        </is>
      </c>
      <c r="F8" s="195" t="inlineStr">
        <is>
          <t>HATA</t>
        </is>
      </c>
    </row>
    <row r="9">
      <c r="A9" s="194" t="inlineStr">
        <is>
          <t>Senaryo</t>
        </is>
      </c>
      <c r="B9" s="175" t="inlineStr">
        <is>
          <t>Ne olursa işler bozulur?</t>
        </is>
      </c>
      <c r="C9" s="175" t="inlineStr">
        <is>
          <t>Baz/Aşağı/Yukarı veya uygun stres senaryosu</t>
        </is>
      </c>
      <c r="D9" s="175" t="inlineStr">
        <is>
          <t>Senaryo karşılaştırma</t>
        </is>
      </c>
      <c r="E9" s="175" t="inlineStr">
        <is>
          <t>Dekoratif senaryo</t>
        </is>
      </c>
      <c r="F9" s="195" t="inlineStr">
        <is>
          <t>HATA</t>
        </is>
      </c>
    </row>
    <row r="10">
      <c r="A10" s="194" t="inlineStr">
        <is>
          <t>Ters stres</t>
        </is>
      </c>
      <c r="B10" s="175" t="inlineStr">
        <is>
          <t>Hangi eşikte karar kırılır?</t>
        </is>
      </c>
      <c r="C10" s="175" t="inlineStr">
        <is>
          <t>En az bir kritik sürücü için kırılma eşiği</t>
        </is>
      </c>
      <c r="D10" s="175" t="inlineStr">
        <is>
          <t>Kırılma eşiği tablosu</t>
        </is>
      </c>
      <c r="E10" s="175" t="inlineStr">
        <is>
          <t>Sadece +/- %10</t>
        </is>
      </c>
      <c r="F10" s="195" t="inlineStr">
        <is>
          <t>UYARI/HATA</t>
        </is>
      </c>
    </row>
    <row r="11">
      <c r="A11" s="194" t="inlineStr">
        <is>
          <t>Hata tutarlılığı</t>
        </is>
      </c>
      <c r="B11" s="175" t="inlineStr">
        <is>
          <t>Formül hata verirse ne olur?</t>
        </is>
      </c>
      <c r="C11" s="175" t="inlineStr">
        <is>
          <t>Kontrol GEÇTİ veremez; BLOKE/HATA üretir</t>
        </is>
      </c>
      <c r="D11" s="175" t="inlineStr">
        <is>
          <t>Hata taraması</t>
        </is>
      </c>
      <c r="E11" s="175" t="inlineStr">
        <is>
          <t>Hata + GEÇTİ birlikte</t>
        </is>
      </c>
      <c r="F11" s="195" t="inlineStr">
        <is>
          <t>HATA</t>
        </is>
      </c>
    </row>
    <row r="12">
      <c r="A12" s="194" t="inlineStr">
        <is>
          <t>Karar motoru</t>
        </is>
      </c>
      <c r="B12" s="175" t="inlineStr">
        <is>
          <t>Ne oldu, neden oldu?</t>
        </is>
      </c>
      <c r="C12" s="175" t="inlineStr">
        <is>
          <t>Sorun + neden + parasal etki + aksiyon + son tarih</t>
        </is>
      </c>
      <c r="D12" s="175" t="inlineStr">
        <is>
          <t>Karar tablosu</t>
        </is>
      </c>
      <c r="E12" s="175" t="inlineStr">
        <is>
          <t>Boş sayfa / isim düzeyi modül</t>
        </is>
      </c>
      <c r="F12" s="195" t="inlineStr">
        <is>
          <t>HATA</t>
        </is>
      </c>
    </row>
    <row r="13">
      <c r="A13" s="194" t="inlineStr">
        <is>
          <t>Yönetici özeti</t>
        </is>
      </c>
      <c r="B13" s="175" t="inlineStr">
        <is>
          <t>5 saniyede ne görmeliyim?</t>
        </is>
      </c>
      <c r="C13" s="175" t="inlineStr">
        <is>
          <t>Bugün / ne değişti / ne bozulacak / neden / ne yapmalıyım / güven</t>
        </is>
      </c>
      <c r="D13" s="175" t="inlineStr">
        <is>
          <t>Yönetici özeti ekranı</t>
        </is>
      </c>
      <c r="E13" s="175" t="inlineStr">
        <is>
          <t>KPI kutusu yığını</t>
        </is>
      </c>
      <c r="F13" s="195" t="inlineStr">
        <is>
          <t>HATA</t>
        </is>
      </c>
    </row>
    <row r="14">
      <c r="A14" s="194" t="inlineStr">
        <is>
          <t>Teklif</t>
        </is>
      </c>
      <c r="B14" s="175" t="inlineStr">
        <is>
          <t>Neden satın almalıyım?</t>
        </is>
      </c>
      <c r="C14" s="175" t="inlineStr">
        <is>
          <t>Dosya özellikleri yerine sonuç ve kaçınılan maliyet sunulur</t>
        </is>
      </c>
      <c r="D14" s="175" t="inlineStr">
        <is>
          <t>Ürün sayfası kanıt eşlemesi</t>
        </is>
      </c>
      <c r="E14" s="175" t="inlineStr">
        <is>
          <t>Özellik listesiyle satış</t>
        </is>
      </c>
      <c r="F14" s="195" t="inlineStr">
        <is>
          <t>HATA</t>
        </is>
      </c>
    </row>
    <row r="15">
      <c r="A15" s="194" t="inlineStr">
        <is>
          <t>Dağıtım</t>
        </is>
      </c>
      <c r="B15" s="175" t="inlineStr">
        <is>
          <t>Beni nasıl bulacaklar?</t>
        </is>
      </c>
      <c r="C15" s="175" t="inlineStr">
        <is>
          <t>Sorun niyetine göre SEO sayfaları, iç bağlantı, temiz yapı, taranabilir metin</t>
        </is>
      </c>
      <c r="D15" s="175" t="inlineStr">
        <is>
          <t>Arama niyeti haritası</t>
        </is>
      </c>
      <c r="E15" s="175" t="inlineStr">
        <is>
          <t>Tek ürün sayfasına bağımlılık</t>
        </is>
      </c>
      <c r="F15" s="195" t="inlineStr">
        <is>
          <t>UYARI</t>
        </is>
      </c>
    </row>
    <row r="16" ht="28" customHeight="1">
      <c r="A16" s="194" t="inlineStr">
        <is>
          <t>LLM görünürlüğü</t>
        </is>
      </c>
      <c r="B16" s="175" t="inlineStr">
        <is>
          <t>AI ürünümü anlayabiliyor mu?</t>
        </is>
      </c>
      <c r="C16" s="175" t="inlineStr">
        <is>
          <t>Ürün tanımı, hedef kullanıcı, girdi/çıktı, metodoloji, sınırlar, SSS açık metindir</t>
        </is>
      </c>
      <c r="D16" s="175" t="inlineStr">
        <is>
          <t>Taranabilir ürün içeriği</t>
        </is>
      </c>
      <c r="E16" s="175" t="inlineStr">
        <is>
          <t>'AI SEO' iddiası</t>
        </is>
      </c>
      <c r="F16" s="195" t="inlineStr">
        <is>
          <t>UYARI</t>
        </is>
      </c>
    </row>
    <row r="17">
      <c r="A17" s="194" t="inlineStr">
        <is>
          <t>Satış kanalı</t>
        </is>
      </c>
      <c r="B17" s="175" t="inlineStr">
        <is>
          <t>Nerede satılmalı?</t>
        </is>
      </c>
      <c r="C17" s="175" t="inlineStr">
        <is>
          <t>Arama, LinkedIn, uzman/partner, demo/video; ürüne göre kanal seçilir</t>
        </is>
      </c>
      <c r="D17" s="175" t="inlineStr">
        <is>
          <t>Kanal matrisi</t>
        </is>
      </c>
      <c r="E17" s="175" t="inlineStr">
        <is>
          <t>Her ürüne aynı kanal</t>
        </is>
      </c>
      <c r="F17" s="195" t="inlineStr">
        <is>
          <t>UYARI</t>
        </is>
      </c>
    </row>
    <row r="18">
      <c r="A18" s="194" t="inlineStr">
        <is>
          <t>Fiyat</t>
        </is>
      </c>
      <c r="B18" s="175" t="inlineStr">
        <is>
          <t>Bu fiyat neden mantıklı?</t>
        </is>
      </c>
      <c r="C18" s="175" t="inlineStr">
        <is>
          <t>Fiyat, ekonomik karar değerine ve kanıtlanmış ürün derinliğine bağlanır</t>
        </is>
      </c>
      <c r="D18" s="175" t="inlineStr">
        <is>
          <t>Değer haritası + demo</t>
        </is>
      </c>
      <c r="E18" s="175" t="inlineStr">
        <is>
          <t>Sırf sayfa/formül sayısı</t>
        </is>
      </c>
      <c r="F18" s="195" t="inlineStr">
        <is>
          <t>HATA</t>
        </is>
      </c>
    </row>
    <row r="19">
      <c r="A19" s="194" t="inlineStr">
        <is>
          <t>Pazar kanıtı</t>
        </is>
      </c>
      <c r="B19" s="175" t="inlineStr">
        <is>
          <t>Piyasa gerçekten ödüyor mu?</t>
        </is>
      </c>
      <c r="C19" s="175" t="inlineStr">
        <is>
          <t>Satış/pilot/LOI/fiyat kabulü olmadan pazar doğrulandı yazılmaz</t>
        </is>
      </c>
      <c r="D19" s="175" t="inlineStr">
        <is>
          <t>Gerçek işlem kanıtı</t>
        </is>
      </c>
      <c r="E19" s="175" t="inlineStr">
        <is>
          <t>Tahmini talep = satış kabulü</t>
        </is>
      </c>
      <c r="F19" s="195" t="inlineStr">
        <is>
          <t>HATA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B08948"/>
    <outlinePr summaryBelow="1" summaryRight="1"/>
    <pageSetUpPr/>
  </sheetPr>
  <dimension ref="A1:AN10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6" customHeight="1">
      <c r="A1" s="1" t="inlineStr">
        <is>
          <t>GIRDI — KDV İade Listesi Robotu (GİB 7 Liste)</t>
        </is>
      </c>
    </row>
    <row r="3">
      <c r="A3" s="21" t="inlineStr">
        <is>
          <t>Dönem ve GİB 7 liste girdileri</t>
        </is>
      </c>
    </row>
    <row r="4">
      <c r="A4" s="22" t="inlineStr">
        <is>
          <t>Sarı hücreler manuel giriştir. İade tutarları ve karar MOTOR'da üretilir.</t>
        </is>
      </c>
    </row>
    <row r="5">
      <c r="A5" s="23" t="inlineStr">
        <is>
          <t>Alan</t>
        </is>
      </c>
      <c r="B5" s="23" t="inlineStr">
        <is>
          <t>Değer</t>
        </is>
      </c>
      <c r="C5" s="23" t="inlineStr">
        <is>
          <t>Birim</t>
        </is>
      </c>
    </row>
    <row r="6">
      <c r="A6" s="24" t="inlineStr">
        <is>
          <t>Mükellef Adı</t>
        </is>
      </c>
      <c r="B6" s="25" t="inlineStr">
        <is>
          <t>Örnek İhracat A.Ş.</t>
        </is>
      </c>
      <c r="C6" s="19" t="inlineStr">
        <is>
          <t>metin</t>
        </is>
      </c>
    </row>
    <row r="7">
      <c r="A7" s="24" t="inlineStr">
        <is>
          <t>Dönem</t>
        </is>
      </c>
      <c r="B7" s="25" t="inlineStr">
        <is>
          <t>2026-06</t>
        </is>
      </c>
      <c r="C7" s="19" t="inlineStr">
        <is>
          <t>metin</t>
        </is>
      </c>
    </row>
    <row r="8">
      <c r="A8" s="24" t="inlineStr">
        <is>
          <t>Hesap Yılı</t>
        </is>
      </c>
      <c r="B8" s="26" t="n">
        <v>2026</v>
      </c>
      <c r="C8" s="19" t="inlineStr">
        <is>
          <t>yıl</t>
        </is>
      </c>
    </row>
    <row r="9">
      <c r="A9" s="24" t="inlineStr">
        <is>
          <t>İndirilecek KDV [₺]</t>
        </is>
      </c>
      <c r="B9" s="27" t="n">
        <v>800000</v>
      </c>
      <c r="C9" s="19" t="inlineStr">
        <is>
          <t>₺</t>
        </is>
      </c>
    </row>
    <row r="10">
      <c r="A10" s="24" t="inlineStr">
        <is>
          <t>Yüklenilen KDV [₺]</t>
        </is>
      </c>
      <c r="B10" s="27" t="n">
        <v>2000000</v>
      </c>
      <c r="C10" s="19" t="inlineStr">
        <is>
          <t>₺</t>
        </is>
      </c>
    </row>
    <row r="11">
      <c r="A11" s="24" t="inlineStr">
        <is>
          <t>GÇB Tutarı [₺]</t>
        </is>
      </c>
      <c r="B11" s="27" t="n">
        <v>4500000</v>
      </c>
      <c r="C11" s="19" t="inlineStr">
        <is>
          <t>₺</t>
        </is>
      </c>
    </row>
    <row r="12">
      <c r="A12" s="24" t="inlineStr">
        <is>
          <t>İhraç Hasılatı [₺]</t>
        </is>
      </c>
      <c r="B12" s="27" t="n">
        <v>5000000</v>
      </c>
      <c r="C12" s="19" t="inlineStr">
        <is>
          <t>₺</t>
        </is>
      </c>
    </row>
    <row r="13">
      <c r="A13" s="24" t="inlineStr">
        <is>
          <t>Belge Eksik Adet</t>
        </is>
      </c>
      <c r="B13" s="26" t="n">
        <v>0</v>
      </c>
      <c r="C13" s="19" t="inlineStr">
        <is>
          <t>adet</t>
        </is>
      </c>
    </row>
    <row r="14">
      <c r="A14" s="24" t="inlineStr">
        <is>
          <t>İade Talep [₺]</t>
        </is>
      </c>
      <c r="B14" s="27" t="n">
        <v>900000</v>
      </c>
      <c r="C14" s="19" t="inlineStr">
        <is>
          <t>₺</t>
        </is>
      </c>
    </row>
    <row r="15">
      <c r="A15" s="24" t="inlineStr">
        <is>
          <t>Liste Yorumu (A/B)</t>
        </is>
      </c>
      <c r="B15" s="25" t="inlineStr">
        <is>
          <t>A</t>
        </is>
      </c>
      <c r="C15" s="19" t="inlineStr">
        <is>
          <t>metin</t>
        </is>
      </c>
    </row>
    <row r="17">
      <c r="A17" s="10" t="inlineStr">
        <is>
          <t>Seçili iade (ayna) [₺]</t>
        </is>
      </c>
      <c r="B17" s="28">
        <f>IFERROR(kil_iadeSecili,0)</f>
        <v/>
      </c>
    </row>
    <row r="18">
      <c r="A18" s="10" t="inlineStr">
        <is>
          <t>Giriş doluluk (kalite)</t>
        </is>
      </c>
      <c r="B18" s="29">
        <f>IFERROR(IF(OR(COUNTA(B6:B15)=0,kil_girisBeklenen=0),0,ROUND(COUNTA(B6:B15)/kil_girisBeklenen*100,0)),0)</f>
        <v/>
      </c>
    </row>
    <row r="22">
      <c r="A22" s="10" t="inlineStr">
        <is>
          <t>Giriş tablosu (otomasyon / boş-mod)</t>
        </is>
      </c>
    </row>
    <row r="23" ht="30" customHeight="1">
      <c r="A23" s="13" t="inlineStr">
        <is>
          <t>Alan Anahtarı</t>
        </is>
      </c>
      <c r="B23" s="13" t="inlineStr">
        <is>
          <t>Değer</t>
        </is>
      </c>
      <c r="C23" s="13" t="inlineStr">
        <is>
          <t>Birim</t>
        </is>
      </c>
      <c r="D23" s="13" t="inlineStr">
        <is>
          <t>Zorunlu</t>
        </is>
      </c>
      <c r="E23" s="13" t="inlineStr">
        <is>
          <t>Kaynak</t>
        </is>
      </c>
      <c r="F23" s="13" t="inlineStr">
        <is>
          <t>Kontrol</t>
        </is>
      </c>
    </row>
    <row r="24">
      <c r="A24" s="30" t="inlineStr">
        <is>
          <t>mukellef_adi</t>
        </is>
      </c>
      <c r="B24" s="30" t="inlineStr">
        <is>
          <t>Örnek İhracat A.Ş.</t>
        </is>
      </c>
      <c r="C24" s="30" t="inlineStr">
        <is>
          <t>metin</t>
        </is>
      </c>
      <c r="D24" s="30" t="inlineStr">
        <is>
          <t>Evet</t>
        </is>
      </c>
      <c r="E24" s="30" t="inlineStr">
        <is>
          <t>GIRDI</t>
        </is>
      </c>
      <c r="F24" s="31">
        <f>IF($A24="","",IF($B24="","EKSİK","TAM"))</f>
        <v/>
      </c>
    </row>
    <row r="25">
      <c r="A25" s="30" t="inlineStr">
        <is>
          <t>donem</t>
        </is>
      </c>
      <c r="B25" s="30" t="inlineStr">
        <is>
          <t>2026-06</t>
        </is>
      </c>
      <c r="C25" s="30" t="inlineStr">
        <is>
          <t>metin</t>
        </is>
      </c>
      <c r="D25" s="30" t="inlineStr">
        <is>
          <t>Evet</t>
        </is>
      </c>
      <c r="E25" s="30" t="inlineStr">
        <is>
          <t>GIRDI</t>
        </is>
      </c>
      <c r="F25" s="31">
        <f>IF($A25="","",IF($B25="","EKSİK","TAM"))</f>
        <v/>
      </c>
    </row>
    <row r="26">
      <c r="A26" s="30" t="inlineStr">
        <is>
          <t>hesapYili</t>
        </is>
      </c>
      <c r="B26" s="32" t="n">
        <v>2026</v>
      </c>
      <c r="C26" s="30" t="inlineStr">
        <is>
          <t>yıl</t>
        </is>
      </c>
      <c r="D26" s="30" t="inlineStr">
        <is>
          <t>Evet</t>
        </is>
      </c>
      <c r="E26" s="30" t="inlineStr">
        <is>
          <t>GIRDI</t>
        </is>
      </c>
      <c r="F26" s="31">
        <f>IF($A26="","",IF($B26="","EKSİK","TAM"))</f>
        <v/>
      </c>
    </row>
    <row r="27">
      <c r="A27" s="30" t="inlineStr">
        <is>
          <t>indirilecek_kdv</t>
        </is>
      </c>
      <c r="B27" s="33" t="n">
        <v>800000</v>
      </c>
      <c r="C27" s="30" t="inlineStr">
        <is>
          <t>TL</t>
        </is>
      </c>
      <c r="D27" s="30" t="inlineStr">
        <is>
          <t>Evet</t>
        </is>
      </c>
      <c r="E27" s="30" t="inlineStr">
        <is>
          <t>GIRDI</t>
        </is>
      </c>
      <c r="F27" s="31">
        <f>IF($A27="","",IF($B27="","EKSİK","TAM"))</f>
        <v/>
      </c>
    </row>
    <row r="28">
      <c r="A28" s="30" t="inlineStr">
        <is>
          <t>yuklenilen_kdv</t>
        </is>
      </c>
      <c r="B28" s="33" t="n">
        <v>2000000</v>
      </c>
      <c r="C28" s="30" t="inlineStr">
        <is>
          <t>TL</t>
        </is>
      </c>
      <c r="D28" s="30" t="inlineStr">
        <is>
          <t>Evet</t>
        </is>
      </c>
      <c r="E28" s="30" t="inlineStr">
        <is>
          <t>GIRDI</t>
        </is>
      </c>
      <c r="F28" s="31">
        <f>IF($A28="","",IF($B28="","EKSİK","TAM"))</f>
        <v/>
      </c>
    </row>
    <row r="29">
      <c r="A29" s="30" t="inlineStr">
        <is>
          <t>gcb_tutari</t>
        </is>
      </c>
      <c r="B29" s="33" t="n">
        <v>4500000</v>
      </c>
      <c r="C29" s="30" t="inlineStr">
        <is>
          <t>TL</t>
        </is>
      </c>
      <c r="D29" s="30" t="inlineStr">
        <is>
          <t>Evet</t>
        </is>
      </c>
      <c r="E29" s="30" t="inlineStr">
        <is>
          <t>GIRDI</t>
        </is>
      </c>
      <c r="F29" s="31">
        <f>IF($A29="","",IF($B29="","EKSİK","TAM"))</f>
        <v/>
      </c>
    </row>
    <row r="30">
      <c r="A30" s="30" t="inlineStr">
        <is>
          <t>ihrac_hasilati</t>
        </is>
      </c>
      <c r="B30" s="33" t="n">
        <v>5000000</v>
      </c>
      <c r="C30" s="30" t="inlineStr">
        <is>
          <t>TL</t>
        </is>
      </c>
      <c r="D30" s="30" t="inlineStr">
        <is>
          <t>Evet</t>
        </is>
      </c>
      <c r="E30" s="30" t="inlineStr">
        <is>
          <t>GIRDI</t>
        </is>
      </c>
      <c r="F30" s="31">
        <f>IF($A30="","",IF($B30="","EKSİK","TAM"))</f>
        <v/>
      </c>
    </row>
    <row r="31">
      <c r="A31" s="30" t="inlineStr">
        <is>
          <t>belge_eksik_adet</t>
        </is>
      </c>
      <c r="B31" s="32" t="n">
        <v>0</v>
      </c>
      <c r="C31" s="30" t="inlineStr">
        <is>
          <t>adet</t>
        </is>
      </c>
      <c r="D31" s="30" t="inlineStr">
        <is>
          <t>Evet</t>
        </is>
      </c>
      <c r="E31" s="30" t="inlineStr">
        <is>
          <t>GIRDI</t>
        </is>
      </c>
      <c r="F31" s="31">
        <f>IF($A31="","",IF($B31="","EKSİK","TAM"))</f>
        <v/>
      </c>
    </row>
    <row r="32">
      <c r="A32" s="30" t="inlineStr">
        <is>
          <t>iade_talep</t>
        </is>
      </c>
      <c r="B32" s="33" t="n">
        <v>900000</v>
      </c>
      <c r="C32" s="30" t="inlineStr">
        <is>
          <t>TL</t>
        </is>
      </c>
      <c r="D32" s="30" t="inlineStr">
        <is>
          <t>Evet</t>
        </is>
      </c>
      <c r="E32" s="30" t="inlineStr">
        <is>
          <t>GIRDI</t>
        </is>
      </c>
      <c r="F32" s="31">
        <f>IF($A32="","",IF($B32="","EKSİK","TAM"))</f>
        <v/>
      </c>
    </row>
    <row r="33">
      <c r="A33" s="30" t="inlineStr">
        <is>
          <t>liste_yorumu</t>
        </is>
      </c>
      <c r="B33" s="30" t="inlineStr">
        <is>
          <t>A</t>
        </is>
      </c>
      <c r="C33" s="30" t="inlineStr">
        <is>
          <t>A/B</t>
        </is>
      </c>
      <c r="D33" s="30" t="inlineStr">
        <is>
          <t>Evet</t>
        </is>
      </c>
      <c r="E33" s="30" t="inlineStr">
        <is>
          <t>GIRDI</t>
        </is>
      </c>
      <c r="F33" s="31">
        <f>IF($A33="","",IF($B33="","EKSİK","TAM"))</f>
        <v/>
      </c>
    </row>
    <row r="34">
      <c r="F34" s="31">
        <f>IF($A34="","",IF($B34="","EKSİK","TAM"))</f>
        <v/>
      </c>
    </row>
    <row r="35">
      <c r="F35" s="31">
        <f>IF($A35="","",IF($B35="","EKSİK","TAM"))</f>
        <v/>
      </c>
    </row>
    <row r="36">
      <c r="F36" s="31">
        <f>IF($A36="","",IF($B36="","EKSİK","TAM"))</f>
        <v/>
      </c>
    </row>
    <row r="37">
      <c r="F37" s="31">
        <f>IF($A37="","",IF($B37="","EKSİK","TAM"))</f>
        <v/>
      </c>
    </row>
    <row r="38">
      <c r="F38" s="31">
        <f>IF($A38="","",IF($B38="","EKSİK","TAM"))</f>
        <v/>
      </c>
    </row>
    <row r="39">
      <c r="F39" s="31">
        <f>IF($A39="","",IF($B39="","EKSİK","TAM"))</f>
        <v/>
      </c>
    </row>
    <row r="40">
      <c r="F40" s="31">
        <f>IF($A40="","",IF($B40="","EKSİK","TAM"))</f>
        <v/>
      </c>
    </row>
    <row r="41">
      <c r="F41" s="31">
        <f>IF($A41="","",IF($B41="","EKSİK","TAM"))</f>
        <v/>
      </c>
    </row>
    <row r="42">
      <c r="F42" s="31">
        <f>IF($A42="","",IF($B42="","EKSİK","TAM"))</f>
        <v/>
      </c>
    </row>
    <row r="43">
      <c r="F43" s="31">
        <f>IF($A43="","",IF($B43="","EKSİK","TAM"))</f>
        <v/>
      </c>
    </row>
    <row r="44">
      <c r="F44" s="31">
        <f>IF($A44="","",IF($B44="","EKSİK","TAM"))</f>
        <v/>
      </c>
    </row>
    <row r="45">
      <c r="F45" s="31">
        <f>IF($A45="","",IF($B45="","EKSİK","TAM"))</f>
        <v/>
      </c>
    </row>
    <row r="46">
      <c r="F46" s="31">
        <f>IF($A46="","",IF($B46="","EKSİK","TAM"))</f>
        <v/>
      </c>
    </row>
    <row r="47">
      <c r="F47" s="31">
        <f>IF($A47="","",IF($B47="","EKSİK","TAM"))</f>
        <v/>
      </c>
    </row>
    <row r="48">
      <c r="F48" s="31">
        <f>IF($A48="","",IF($B48="","EKSİK","TAM"))</f>
        <v/>
      </c>
    </row>
    <row r="49">
      <c r="F49" s="31">
        <f>IF($A49="","",IF($B49="","EKSİK","TAM"))</f>
        <v/>
      </c>
    </row>
    <row r="50">
      <c r="F50" s="31">
        <f>IF($A50="","",IF($B50="","EKSİK","TAM"))</f>
        <v/>
      </c>
    </row>
    <row r="51">
      <c r="F51" s="31">
        <f>IF($A51="","",IF($B51="","EKSİK","TAM"))</f>
        <v/>
      </c>
    </row>
    <row r="52">
      <c r="F52" s="31">
        <f>IF($A52="","",IF($B52="","EKSİK","TAM"))</f>
        <v/>
      </c>
    </row>
    <row r="53">
      <c r="F53" s="31">
        <f>IF($A53="","",IF($B53="","EKSİK","TAM"))</f>
        <v/>
      </c>
    </row>
    <row r="54">
      <c r="F54" s="31">
        <f>IF($A54="","",IF($B54="","EKSİK","TAM"))</f>
        <v/>
      </c>
    </row>
    <row r="55">
      <c r="F55" s="31">
        <f>IF($A55="","",IF($B55="","EKSİK","TAM"))</f>
        <v/>
      </c>
    </row>
    <row r="56">
      <c r="F56" s="31">
        <f>IF($A56="","",IF($B56="","EKSİK","TAM"))</f>
        <v/>
      </c>
    </row>
    <row r="57">
      <c r="F57" s="31">
        <f>IF($A57="","",IF($B57="","EKSİK","TAM"))</f>
        <v/>
      </c>
    </row>
    <row r="58">
      <c r="F58" s="31">
        <f>IF($A58="","",IF($B58="","EKSİK","TAM"))</f>
        <v/>
      </c>
    </row>
    <row r="59">
      <c r="F59" s="31">
        <f>IF($A59="","",IF($B59="","EKSİK","TAM"))</f>
        <v/>
      </c>
    </row>
    <row r="60">
      <c r="F60" s="31">
        <f>IF($A60="","",IF($B60="","EKSİK","TAM"))</f>
        <v/>
      </c>
    </row>
    <row r="61">
      <c r="F61" s="31">
        <f>IF($A61="","",IF($B61="","EKSİK","TAM"))</f>
        <v/>
      </c>
    </row>
    <row r="62">
      <c r="F62" s="31">
        <f>IF($A62="","",IF($B62="","EKSİK","TAM"))</f>
        <v/>
      </c>
    </row>
    <row r="63">
      <c r="F63" s="31">
        <f>IF($A63="","",IF($B63="","EKSİK","TAM"))</f>
        <v/>
      </c>
    </row>
    <row r="64">
      <c r="F64" s="31">
        <f>IF($A64="","",IF($B64="","EKSİK","TAM"))</f>
        <v/>
      </c>
    </row>
    <row r="65">
      <c r="F65" s="31">
        <f>IF($A65="","",IF($B65="","EKSİK","TAM"))</f>
        <v/>
      </c>
    </row>
    <row r="66">
      <c r="F66" s="31">
        <f>IF($A66="","",IF($B66="","EKSİK","TAM"))</f>
        <v/>
      </c>
    </row>
    <row r="67">
      <c r="F67" s="31">
        <f>IF($A67="","",IF($B67="","EKSİK","TAM"))</f>
        <v/>
      </c>
    </row>
    <row r="68">
      <c r="F68" s="31">
        <f>IF($A68="","",IF($B68="","EKSİK","TAM"))</f>
        <v/>
      </c>
    </row>
    <row r="69">
      <c r="F69" s="31">
        <f>IF($A69="","",IF($B69="","EKSİK","TAM"))</f>
        <v/>
      </c>
    </row>
    <row r="70">
      <c r="F70" s="31">
        <f>IF($A70="","",IF($B70="","EKSİK","TAM"))</f>
        <v/>
      </c>
    </row>
    <row r="71">
      <c r="F71" s="31">
        <f>IF($A71="","",IF($B71="","EKSİK","TAM"))</f>
        <v/>
      </c>
    </row>
    <row r="72">
      <c r="F72" s="31">
        <f>IF($A72="","",IF($B72="","EKSİK","TAM"))</f>
        <v/>
      </c>
    </row>
    <row r="73">
      <c r="F73" s="31">
        <f>IF($A73="","",IF($B73="","EKSİK","TAM"))</f>
        <v/>
      </c>
    </row>
    <row r="74">
      <c r="F74" s="31">
        <f>IF($A74="","",IF($B74="","EKSİK","TAM"))</f>
        <v/>
      </c>
    </row>
    <row r="75">
      <c r="F75" s="31">
        <f>IF($A75="","",IF($B75="","EKSİK","TAM"))</f>
        <v/>
      </c>
    </row>
    <row r="76">
      <c r="F76" s="31">
        <f>IF($A76="","",IF($B76="","EKSİK","TAM"))</f>
        <v/>
      </c>
    </row>
    <row r="77">
      <c r="F77" s="31">
        <f>IF($A77="","",IF($B77="","EKSİK","TAM"))</f>
        <v/>
      </c>
    </row>
    <row r="78">
      <c r="F78" s="31">
        <f>IF($A78="","",IF($B78="","EKSİK","TAM"))</f>
        <v/>
      </c>
    </row>
    <row r="79">
      <c r="F79" s="31">
        <f>IF($A79="","",IF($B79="","EKSİK","TAM"))</f>
        <v/>
      </c>
    </row>
    <row r="80">
      <c r="F80" s="31">
        <f>IF($A80="","",IF($B80="","EKSİK","TAM"))</f>
        <v/>
      </c>
    </row>
    <row r="81">
      <c r="F81" s="31">
        <f>IF($A81="","",IF($B81="","EKSİK","TAM"))</f>
        <v/>
      </c>
    </row>
    <row r="82">
      <c r="F82" s="31">
        <f>IF($A82="","",IF($B82="","EKSİK","TAM"))</f>
        <v/>
      </c>
    </row>
    <row r="83">
      <c r="F83" s="31">
        <f>IF($A83="","",IF($B83="","EKSİK","TAM"))</f>
        <v/>
      </c>
    </row>
    <row r="84">
      <c r="F84" s="31">
        <f>IF($A84="","",IF($B84="","EKSİK","TAM"))</f>
        <v/>
      </c>
    </row>
    <row r="85">
      <c r="F85" s="31">
        <f>IF($A85="","",IF($B85="","EKSİK","TAM"))</f>
        <v/>
      </c>
    </row>
    <row r="86">
      <c r="F86" s="31">
        <f>IF($A86="","",IF($B86="","EKSİK","TAM"))</f>
        <v/>
      </c>
    </row>
    <row r="87">
      <c r="F87" s="31">
        <f>IF($A87="","",IF($B87="","EKSİK","TAM"))</f>
        <v/>
      </c>
    </row>
    <row r="88">
      <c r="F88" s="31">
        <f>IF($A88="","",IF($B88="","EKSİK","TAM"))</f>
        <v/>
      </c>
    </row>
    <row r="89">
      <c r="F89" s="31">
        <f>IF($A89="","",IF($B89="","EKSİK","TAM"))</f>
        <v/>
      </c>
    </row>
    <row r="90">
      <c r="F90" s="31">
        <f>IF($A90="","",IF($B90="","EKSİK","TAM"))</f>
        <v/>
      </c>
    </row>
    <row r="91">
      <c r="F91" s="31">
        <f>IF($A91="","",IF($B91="","EKSİK","TAM"))</f>
        <v/>
      </c>
    </row>
    <row r="92">
      <c r="F92" s="31">
        <f>IF($A92="","",IF($B92="","EKSİK","TAM"))</f>
        <v/>
      </c>
    </row>
    <row r="93">
      <c r="F93" s="31">
        <f>IF($A93="","",IF($B93="","EKSİK","TAM"))</f>
        <v/>
      </c>
    </row>
    <row r="94">
      <c r="F94" s="31">
        <f>IF($A94="","",IF($B94="","EKSİK","TAM"))</f>
        <v/>
      </c>
    </row>
    <row r="95">
      <c r="F95" s="31">
        <f>IF($A95="","",IF($B95="","EKSİK","TAM"))</f>
        <v/>
      </c>
    </row>
    <row r="96">
      <c r="F96" s="31">
        <f>IF($A96="","",IF($B96="","EKSİK","TAM"))</f>
        <v/>
      </c>
    </row>
    <row r="97">
      <c r="F97" s="31">
        <f>IF($A97="","",IF($B97="","EKSİK","TAM"))</f>
        <v/>
      </c>
    </row>
    <row r="98">
      <c r="F98" s="31">
        <f>IF($A98="","",IF($B98="","EKSİK","TAM"))</f>
        <v/>
      </c>
    </row>
    <row r="99">
      <c r="F99" s="31">
        <f>IF($A99="","",IF($B99="","EKSİK","TAM"))</f>
        <v/>
      </c>
    </row>
    <row r="100">
      <c r="F100" s="31">
        <f>IF($A100="","",IF($B100="","EKSİK","TAM"))</f>
        <v/>
      </c>
    </row>
    <row r="101">
      <c r="F101" s="31">
        <f>IF($A101="","",IF($B101="","EKSİK","TAM"))</f>
        <v/>
      </c>
    </row>
    <row r="102">
      <c r="F102" s="31">
        <f>IF($A102="","",IF($B102="","EKSİK","TAM"))</f>
        <v/>
      </c>
    </row>
    <row r="103">
      <c r="F103" s="31">
        <f>IF($A103="","",IF($B103="","EKSİK","TAM"))</f>
        <v/>
      </c>
    </row>
    <row r="104">
      <c r="F104" s="31">
        <f>IF($A104="","",IF($B104="","EKSİK","TAM"))</f>
        <v/>
      </c>
    </row>
    <row r="105">
      <c r="F105" s="31">
        <f>IF($A105="","",IF($B105="","EKSİK","TAM"))</f>
        <v/>
      </c>
    </row>
    <row r="106">
      <c r="F106" s="31">
        <f>IF($A106="","",IF($B106="","EKSİK","TAM"))</f>
        <v/>
      </c>
    </row>
    <row r="107">
      <c r="F107" s="31">
        <f>IF($A107="","",IF($B107="","EKSİK","TAM"))</f>
        <v/>
      </c>
    </row>
    <row r="108">
      <c r="F108" s="31">
        <f>IF($A108="","",IF($B108="","EKSİK","TAM"))</f>
        <v/>
      </c>
    </row>
    <row r="109">
      <c r="F109" s="31">
        <f>IF($A109="","",IF($B109="","EKSİK","TAM"))</f>
        <v/>
      </c>
    </row>
    <row r="110">
      <c r="F110" s="31">
        <f>IF($A110="","",IF($B110="","EKSİK","TAM"))</f>
        <v/>
      </c>
    </row>
    <row r="111">
      <c r="F111" s="31">
        <f>IF($A111="","",IF($B111="","EKSİK","TAM"))</f>
        <v/>
      </c>
    </row>
    <row r="112">
      <c r="F112" s="31">
        <f>IF($A112="","",IF($B112="","EKSİK","TAM"))</f>
        <v/>
      </c>
    </row>
    <row r="113">
      <c r="F113" s="31">
        <f>IF($A113="","",IF($B113="","EKSİK","TAM"))</f>
        <v/>
      </c>
    </row>
    <row r="114">
      <c r="F114" s="31">
        <f>IF($A114="","",IF($B114="","EKSİK","TAM"))</f>
        <v/>
      </c>
    </row>
    <row r="115">
      <c r="F115" s="31">
        <f>IF($A115="","",IF($B115="","EKSİK","TAM"))</f>
        <v/>
      </c>
    </row>
    <row r="116">
      <c r="F116" s="31">
        <f>IF($A116="","",IF($B116="","EKSİK","TAM"))</f>
        <v/>
      </c>
    </row>
    <row r="117">
      <c r="F117" s="31">
        <f>IF($A117="","",IF($B117="","EKSİK","TAM"))</f>
        <v/>
      </c>
    </row>
    <row r="118">
      <c r="F118" s="31">
        <f>IF($A118="","",IF($B118="","EKSİK","TAM"))</f>
        <v/>
      </c>
    </row>
    <row r="119">
      <c r="F119" s="31">
        <f>IF($A119="","",IF($B119="","EKSİK","TAM"))</f>
        <v/>
      </c>
    </row>
    <row r="120">
      <c r="F120" s="31">
        <f>IF($A120="","",IF($B120="","EKSİK","TAM"))</f>
        <v/>
      </c>
    </row>
    <row r="1024" ht="20" customHeight="1">
      <c r="A1024" s="34" t="inlineStr">
        <is>
          <t>Sarı alanlar giriş; iade/liste formülleri kilitlidir.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024:AN1024"/>
    <mergeCell ref="A1:AD1"/>
  </mergeCells>
  <conditionalFormatting sqref="B9:B14">
    <cfRule type="cellIs" priority="1" operator="lessThan" dxfId="4">
      <formula>0</formula>
    </cfRule>
  </conditionalFormatting>
  <conditionalFormatting sqref="B9:B12">
    <cfRule type="cellIs" priority="2" operator="equal" dxfId="3">
      <formula>0</formula>
    </cfRule>
  </conditionalFormatting>
  <conditionalFormatting sqref="F24:F33">
    <cfRule type="expression" priority="3" dxfId="1">
      <formula>F24="EKSİK"</formula>
    </cfRule>
    <cfRule type="expression" priority="4" dxfId="0">
      <formula>F24="TAM"</formula>
    </cfRule>
  </conditionalFormatting>
  <dataValidations count="16">
    <dataValidation sqref="B8" showDropDown="0" showInputMessage="1" showErrorMessage="1" allowBlank="0" errorTitle="Geçersiz yıl" error="Yalnızca listeden seçin." promptTitle="Hesap Yılı" prompt="2025, 2026 veya 2027 seçin." type="list" errorStyle="stop">
      <formula1>ListeYillar</formula1>
    </dataValidation>
    <dataValidation sqref="B15" showDropDown="0" showInputMessage="1" showErrorMessage="1" allowBlank="0" errorTitle="Geçersiz" error="A veya B seçin." promptTitle="Yorum" prompt="Liste sırası yorumunda A veya B seçin." type="list" errorStyle="stop">
      <formula1>ListeYorumAB</formula1>
    </dataValidation>
    <dataValidation sqref="B26" showDropDown="0" showInputMessage="1" showErrorMessage="1" allowBlank="1" errorTitle="Geçersiz yıl" error="Listeden seçin." promptTitle="Hesap Yılı" prompt="Tablo satırında yıl seçin." type="list" errorStyle="stop">
      <formula1>ListeYillar</formula1>
    </dataValidation>
    <dataValidation sqref="B33" showDropDown="0" showInputMessage="1" showErrorMessage="1" allowBlank="1" errorTitle="Geçersiz" error="A veya B." promptTitle="Yorum" prompt="A veya B." type="list" errorStyle="stop">
      <formula1>ListeYorumAB</formula1>
    </dataValidation>
    <dataValidation sqref="B9" showDropDown="0" showInputMessage="1" showErrorMessage="1" allowBlank="1" errorTitle="Geçersiz tutar" error="Sınır dışı değer." promptTitle="İndirilecek KDV" prompt="0 ile 1e12 arasında TL." type="decimal" errorStyle="stop" operator="between">
      <formula1>0</formula1>
      <formula2>1000000000000</formula2>
    </dataValidation>
    <dataValidation sqref="B10" showDropDown="0" showInputMessage="1" showErrorMessage="1" allowBlank="1" errorTitle="Geçersiz tutar" error="Sınır dışı değer." promptTitle="Yüklenilen KDV" prompt="0 ile 1e12 arasında TL." type="decimal" errorStyle="stop" operator="between">
      <formula1>0</formula1>
      <formula2>1000000000000</formula2>
    </dataValidation>
    <dataValidation sqref="B11" showDropDown="0" showInputMessage="1" showErrorMessage="1" allowBlank="1" errorTitle="Geçersiz tutar" error="Sınır dışı değer." promptTitle="GÇB" prompt="0 ile 1e12 arasında TL." type="decimal" errorStyle="stop" operator="between">
      <formula1>0</formula1>
      <formula2>1000000000000</formula2>
    </dataValidation>
    <dataValidation sqref="B12" showDropDown="0" showInputMessage="1" showErrorMessage="1" allowBlank="1" errorTitle="Geçersiz tutar" error="Sınır dışı değer." promptTitle="İhraç Hasılat" prompt="0 ile 1e12 arasında TL." type="decimal" errorStyle="stop" operator="between">
      <formula1>0</formula1>
      <formula2>1000000000000</formula2>
    </dataValidation>
    <dataValidation sqref="B14" showDropDown="0" showInputMessage="1" showErrorMessage="1" allowBlank="1" errorTitle="Geçersiz tutar" error="Sınır dışı değer." promptTitle="İade Talep" prompt="0 ile 1e12 arasında TL." type="decimal" errorStyle="stop" operator="between">
      <formula1>0</formula1>
      <formula2>1000000000000</formula2>
    </dataValidation>
    <dataValidation sqref="B27" showDropDown="0" showInputMessage="1" showErrorMessage="1" allowBlank="1" errorTitle="Geçersiz tutar" error="Sınır dışı değer." promptTitle="İndirilecek" prompt="0 ile 1e12 arasında TL." type="decimal" errorStyle="stop" operator="between">
      <formula1>0</formula1>
      <formula2>1000000000000</formula2>
    </dataValidation>
    <dataValidation sqref="B28" showDropDown="0" showInputMessage="1" showErrorMessage="1" allowBlank="1" errorTitle="Geçersiz tutar" error="Sınır dışı değer." promptTitle="Yüklenilen" prompt="0 ile 1e12 arasında TL." type="decimal" errorStyle="stop" operator="between">
      <formula1>0</formula1>
      <formula2>1000000000000</formula2>
    </dataValidation>
    <dataValidation sqref="B29" showDropDown="0" showInputMessage="1" showErrorMessage="1" allowBlank="1" errorTitle="Geçersiz tutar" error="Sınır dışı değer." promptTitle="GÇB" prompt="0 ile 1e12 arasında TL." type="decimal" errorStyle="stop" operator="between">
      <formula1>0</formula1>
      <formula2>1000000000000</formula2>
    </dataValidation>
    <dataValidation sqref="B30" showDropDown="0" showInputMessage="1" showErrorMessage="1" allowBlank="1" errorTitle="Geçersiz tutar" error="Sınır dışı değer." promptTitle="İhraç" prompt="0 ile 1e12 arasında TL." type="decimal" errorStyle="stop" operator="between">
      <formula1>0</formula1>
      <formula2>1000000000000</formula2>
    </dataValidation>
    <dataValidation sqref="B32" showDropDown="0" showInputMessage="1" showErrorMessage="1" allowBlank="1" errorTitle="Geçersiz tutar" error="Sınır dışı değer." promptTitle="İade" prompt="0 ile 1e12 arasında TL." type="decimal" errorStyle="stop" operator="between">
      <formula1>0</formula1>
      <formula2>1000000000000</formula2>
    </dataValidation>
    <dataValidation sqref="B13" showDropDown="0" showInputMessage="1" showErrorMessage="1" allowBlank="1" errorTitle="Geçersiz" error="Negatif olamaz." promptTitle="Belge eksik" prompt="0 ve üzeri tam sayı." type="whole" errorStyle="stop" operator="greaterThanOrEqual">
      <formula1>0</formula1>
    </dataValidation>
    <dataValidation sqref="B31" showDropDown="0" showInputMessage="1" showErrorMessage="1" allowBlank="1" errorTitle="Geçersiz" error="Negatif olamaz." promptTitle="Belge eksik" prompt="0 ve üzeri." type="whole" errorStyle="stop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1F7A4D"/>
    <outlinePr summaryBelow="1" summaryRight="1"/>
    <pageSetUpPr/>
  </sheetPr>
  <dimension ref="A1:AD1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55" customWidth="1" min="2" max="2"/>
    <col width="22" customWidth="1" min="3" max="3"/>
    <col width="22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8" customWidth="1" min="10" max="10"/>
    <col width="14" customWidth="1" min="11" max="11"/>
  </cols>
  <sheetData>
    <row r="1" ht="26" customHeight="1">
      <c r="A1" s="1" t="inlineStr">
        <is>
          <t>KURALLAR — KDV İade Listesi Robotu (GİB 7 Liste)</t>
        </is>
      </c>
    </row>
    <row r="3">
      <c r="A3" s="36" t="inlineStr">
        <is>
          <t>GİB iade kural tablosu (yıl yan yana)</t>
        </is>
      </c>
    </row>
    <row r="4">
      <c r="A4" s="22" t="inlineStr">
        <is>
          <t>Oranlar MOTOR'da sabit yazılmaz; INDEX/MATCH ile buradan çekilir. Eşikler AYARLAR'da (kil_iadeEsik, kil_belgeLimit, kil_tolerans).</t>
        </is>
      </c>
    </row>
    <row r="6" ht="30" customHeight="1">
      <c r="A6" s="13" t="inlineStr">
        <is>
          <t>kural_id</t>
        </is>
      </c>
      <c r="B6" s="13" t="inlineStr">
        <is>
          <t>madde</t>
        </is>
      </c>
      <c r="C6" s="13" t="inlineStr">
        <is>
          <t>kural_adi</t>
        </is>
      </c>
      <c r="D6" s="13" t="inlineStr">
        <is>
          <t>kosul_metni</t>
        </is>
      </c>
      <c r="E6" s="13" t="inlineStr">
        <is>
          <t>parametre_adi</t>
        </is>
      </c>
      <c r="F6" s="13" t="inlineStr">
        <is>
          <t>deger_2025</t>
        </is>
      </c>
      <c r="G6" s="13" t="inlineStr">
        <is>
          <t>deger_2026</t>
        </is>
      </c>
      <c r="H6" s="13" t="inlineStr">
        <is>
          <t>deger_2027</t>
        </is>
      </c>
      <c r="I6" s="13" t="inlineStr">
        <is>
          <t>yururluk</t>
        </is>
      </c>
      <c r="J6" s="13" t="inlineStr">
        <is>
          <t>kaynak</t>
        </is>
      </c>
      <c r="K6" s="13" t="inlineStr">
        <is>
          <t>aktif_deger</t>
        </is>
      </c>
    </row>
    <row r="7">
      <c r="A7" s="24" t="inlineStr">
        <is>
          <t>KIL-001</t>
        </is>
      </c>
      <c r="B7" s="24" t="inlineStr">
        <is>
          <t>KDVK genel</t>
        </is>
      </c>
      <c r="C7" s="24" t="inlineStr">
        <is>
          <t>kdv_genel_oran</t>
        </is>
      </c>
      <c r="D7" s="24" t="inlineStr">
        <is>
          <t>her hesap</t>
        </is>
      </c>
      <c r="E7" s="24" t="inlineStr">
        <is>
          <t>kdv_genel_oran</t>
        </is>
      </c>
      <c r="F7" s="37" t="n">
        <v>0.2</v>
      </c>
      <c r="G7" s="37" t="n">
        <v>0.2</v>
      </c>
      <c r="H7" s="37" t="n">
        <v>0.2</v>
      </c>
      <c r="I7" s="24" t="inlineStr">
        <is>
          <t>01.01.2025</t>
        </is>
      </c>
      <c r="J7" s="24" t="inlineStr">
        <is>
          <t>Genel KDV oranı</t>
        </is>
      </c>
      <c r="K7" s="31">
        <f>IF($A7="","",IFERROR(CHOOSE(MAX(1,MIN(3,IF(OR(hesapYili="",hesapYili=0),1,hesapYili-kil_yilTaban))),$F7,$G7,$H7),0))</f>
        <v/>
      </c>
    </row>
    <row r="8">
      <c r="A8" s="24" t="inlineStr">
        <is>
          <t>KIL-002</t>
        </is>
      </c>
      <c r="B8" s="24" t="inlineStr">
        <is>
          <t>KDVK / iade</t>
        </is>
      </c>
      <c r="C8" s="24" t="inlineStr">
        <is>
          <t>iade_esik</t>
        </is>
      </c>
      <c r="D8" s="24" t="inlineStr">
        <is>
          <t>iade_secili&gt;0</t>
        </is>
      </c>
      <c r="E8" s="24" t="inlineStr">
        <is>
          <t>iade_esik</t>
        </is>
      </c>
      <c r="F8" s="38" t="n">
        <v>50000</v>
      </c>
      <c r="G8" s="38" t="n">
        <v>50000</v>
      </c>
      <c r="H8" s="38" t="n">
        <v>50000</v>
      </c>
      <c r="I8" s="24" t="inlineStr">
        <is>
          <t>01.01.2025</t>
        </is>
      </c>
      <c r="J8" s="24" t="inlineStr">
        <is>
          <t>İade eşiği (bilgi; operasyon AYARLAR)</t>
        </is>
      </c>
      <c r="K8" s="31">
        <f>IF($A8="","",IFERROR(CHOOSE(MAX(1,MIN(3,IF(OR(hesapYili="",hesapYili=0),1,hesapYili-kil_yilTaban))),$F8,$G8,$H8),0))</f>
        <v/>
      </c>
    </row>
    <row r="9">
      <c r="A9" s="24" t="inlineStr">
        <is>
          <t>KIL-003</t>
        </is>
      </c>
      <c r="B9" s="24" t="inlineStr">
        <is>
          <t>Uygulama</t>
        </is>
      </c>
      <c r="C9" s="24" t="inlineStr">
        <is>
          <t>sapma_tolerans</t>
        </is>
      </c>
      <c r="D9" s="24" t="inlineStr">
        <is>
          <t>vaka kontrol</t>
        </is>
      </c>
      <c r="E9" s="24" t="inlineStr">
        <is>
          <t>sapma_tolerans</t>
        </is>
      </c>
      <c r="F9" s="37" t="n">
        <v>0.01</v>
      </c>
      <c r="G9" s="37" t="n">
        <v>0.01</v>
      </c>
      <c r="H9" s="37" t="n">
        <v>0.01</v>
      </c>
      <c r="I9" s="24" t="inlineStr">
        <is>
          <t>01.01.2025</t>
        </is>
      </c>
      <c r="J9" s="24" t="inlineStr">
        <is>
          <t>Vaka tutarlılık toleransı</t>
        </is>
      </c>
      <c r="K9" s="31">
        <f>IF($A9="","",IFERROR(CHOOSE(MAX(1,MIN(3,IF(OR(hesapYili="",hesapYili=0),1,hesapYili-kil_yilTaban))),$F9,$G9,$H9),0))</f>
        <v/>
      </c>
    </row>
    <row r="10">
      <c r="A10" s="24" t="inlineStr">
        <is>
          <t>KIL-004</t>
        </is>
      </c>
      <c r="B10" s="24" t="inlineStr">
        <is>
          <t>GİB belge</t>
        </is>
      </c>
      <c r="C10" s="24" t="inlineStr">
        <is>
          <t>belge_limit</t>
        </is>
      </c>
      <c r="D10" s="24" t="inlineStr">
        <is>
          <t>belge_eksik kontrol</t>
        </is>
      </c>
      <c r="E10" s="24" t="inlineStr">
        <is>
          <t>belge_limit</t>
        </is>
      </c>
      <c r="F10" s="39" t="n">
        <v>0</v>
      </c>
      <c r="G10" s="39" t="n">
        <v>0</v>
      </c>
      <c r="H10" s="39" t="n">
        <v>0</v>
      </c>
      <c r="I10" s="24" t="inlineStr">
        <is>
          <t>01.01.2025</t>
        </is>
      </c>
      <c r="J10" s="24" t="inlineStr">
        <is>
          <t>İzin verilen eksik belge üst sınırı</t>
        </is>
      </c>
      <c r="K10" s="31">
        <f>IF($A10="","",IFERROR(CHOOSE(MAX(1,MIN(3,IF(OR(hesapYili="",hesapYili=0),1,hesapYili-kil_yilTaban))),$F10,$G10,$H10),0))</f>
        <v/>
      </c>
    </row>
    <row r="11">
      <c r="A11" s="24" t="inlineStr">
        <is>
          <t>KIL-005</t>
        </is>
      </c>
      <c r="B11" s="24" t="inlineStr">
        <is>
          <t>KDVK genel</t>
        </is>
      </c>
      <c r="C11" s="24" t="inlineStr">
        <is>
          <t>yuvarlama</t>
        </is>
      </c>
      <c r="D11" s="24" t="inlineStr">
        <is>
          <t>her hesap</t>
        </is>
      </c>
      <c r="E11" s="24" t="inlineStr">
        <is>
          <t>yuvarlama</t>
        </is>
      </c>
      <c r="F11" s="39" t="n">
        <v>2</v>
      </c>
      <c r="G11" s="39" t="n">
        <v>2</v>
      </c>
      <c r="H11" s="39" t="n">
        <v>2</v>
      </c>
      <c r="I11" s="24" t="inlineStr">
        <is>
          <t>01.01.2025</t>
        </is>
      </c>
      <c r="J11" s="24" t="inlineStr">
        <is>
          <t>Yuvarlama basamağı</t>
        </is>
      </c>
      <c r="K11" s="31">
        <f>IF($A11="","",IFERROR(CHOOSE(MAX(1,MIN(3,IF(OR(hesapYili="",hesapYili=0),1,hesapYili-kil_yilTaban))),$F11,$G11,$H11),0))</f>
        <v/>
      </c>
    </row>
    <row r="14">
      <c r="A14" s="10" t="inlineStr">
        <is>
          <t>Kural-yıl matrisi özeti</t>
        </is>
      </c>
    </row>
    <row r="15">
      <c r="A15" s="24" t="inlineStr">
        <is>
          <t>KDV oranı (aktif yıl)</t>
        </is>
      </c>
      <c r="B15" s="18">
        <f>IFERROR(INDEX(CHOOSE(MAX(1,MIN(3,IF(OR(hesapYili="",hesapYili=0),1,hesapYili-kil_yilTaban))),tblKurallar[deger_2025],tblKurallar[deger_2026],tblKurallar[deger_2027]),MATCH("KIL-001",tblKurallar[kural_id],0)),0)</f>
        <v/>
      </c>
    </row>
    <row r="16">
      <c r="A16" s="24" t="inlineStr">
        <is>
          <t>Yuvarlama (aktif yıl)</t>
        </is>
      </c>
      <c r="B16" s="29">
        <f>IFERROR(INDEX(CHOOSE(MAX(1,MIN(3,IF(OR(hesapYili="",hesapYili=0),1,hesapYili-kil_yilTaban))),tblKurallar[deger_2025],tblKurallar[deger_2026],tblKurallar[deger_2027]),MATCH("KIL-005",tblKurallar[kural_id],0)),0)</f>
        <v/>
      </c>
    </row>
    <row r="17">
      <c r="A17" s="24" t="inlineStr">
        <is>
          <t>Matris metni</t>
        </is>
      </c>
      <c r="B17" s="11">
        <f>IFERROR(_xlfn.TEXTJOIN(" | ",TRUE,"KIL-001=",TEXT(B15,"0.0%"),"KIL-005=",TEXT(B16,"0"),"yıl=",IF(OR(hesapYili="",hesapYili=0),"-",hesapYili)),"-")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4:K4"/>
    <mergeCell ref="A1:AD1"/>
    <mergeCell ref="A3:K3"/>
  </mergeCells>
  <conditionalFormatting sqref="F7:F11">
    <cfRule type="cellIs" priority="1" operator="lessThan" dxfId="4">
      <formula>0</formula>
    </cfRule>
    <cfRule type="cellIs" priority="2" operator="equal" dxfId="3">
      <formula>0</formula>
    </cfRule>
  </conditionalFormatting>
  <conditionalFormatting sqref="G7:G11">
    <cfRule type="cellIs" priority="3" operator="lessThan" dxfId="4">
      <formula>0</formula>
    </cfRule>
    <cfRule type="cellIs" priority="4" operator="equal" dxfId="3">
      <formula>0</formula>
    </cfRule>
  </conditionalFormatting>
  <conditionalFormatting sqref="H7:H11">
    <cfRule type="cellIs" priority="5" operator="lessThan" dxfId="4">
      <formula>0</formula>
    </cfRule>
    <cfRule type="cellIs" priority="6" operator="equal" dxfId="3">
      <formula>0</formula>
    </cfRule>
  </conditionalFormatting>
  <dataValidations count="3">
    <dataValidation sqref="F7:F11" showDropDown="0" showInputMessage="1" showErrorMessage="1" allowBlank="1" errorTitle="Geçersiz" error="0 ve üzeri sayı." promptTitle="Kural değeri" prompt="Yıl kolonuna sayısal parametre girin." type="decimal" errorStyle="stop" operator="between">
      <formula1>0</formula1>
      <formula2>10000000</formula2>
    </dataValidation>
    <dataValidation sqref="G7:G11" showDropDown="0" showInputMessage="1" showErrorMessage="1" allowBlank="1" errorTitle="Geçersiz" error="0 ve üzeri sayı." promptTitle="Kural değeri" prompt="Yıl kolonuna sayısal parametre girin." type="decimal" errorStyle="stop" operator="between">
      <formula1>0</formula1>
      <formula2>10000000</formula2>
    </dataValidation>
    <dataValidation sqref="H7:H11" showDropDown="0" showInputMessage="1" showErrorMessage="1" allowBlank="1" errorTitle="Geçersiz" error="0 ve üzeri sayı." promptTitle="Kural değeri" prompt="Yıl kolonuna sayısal parametre girin." type="decimal" errorStyle="stop" operator="between">
      <formula1>0</formula1>
      <formula2>10000000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8064A2"/>
    <outlinePr summaryBelow="1" summaryRight="1"/>
    <pageSetUpPr/>
  </sheetPr>
  <dimension ref="A1:AD6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55" customWidth="1" min="3" max="3"/>
    <col width="10" customWidth="1" min="4" max="4"/>
    <col width="28" customWidth="1" min="5" max="5"/>
    <col width="12" customWidth="1" min="6" max="6"/>
    <col width="22" customWidth="1" min="7" max="7"/>
  </cols>
  <sheetData>
    <row r="1" ht="26" customHeight="1">
      <c r="A1" s="1" t="inlineStr">
        <is>
          <t>MOTOR — KDV İade Listesi Robotu (GİB 7 Liste)</t>
        </is>
      </c>
    </row>
    <row r="3">
      <c r="A3" s="36" t="inlineStr">
        <is>
          <t>Hesap zinciri — her adımda kural_id</t>
        </is>
      </c>
    </row>
    <row r="4">
      <c r="A4" s="22" t="inlineStr">
        <is>
          <t>KDV oranı tblKurallar'dan; eşikler AYARLAR'dan. Sabit oran yoktur.</t>
        </is>
      </c>
    </row>
    <row r="6" ht="30" customHeight="1">
      <c r="A6" s="13" t="inlineStr">
        <is>
          <t>adim</t>
        </is>
      </c>
      <c r="B6" s="13" t="inlineStr">
        <is>
          <t>ad</t>
        </is>
      </c>
      <c r="C6" s="13" t="inlineStr">
        <is>
          <t>formul</t>
        </is>
      </c>
      <c r="D6" s="13" t="inlineStr">
        <is>
          <t>birim</t>
        </is>
      </c>
      <c r="E6" s="13" t="inlineStr">
        <is>
          <t>ne_ise_yarar</t>
        </is>
      </c>
      <c r="F6" s="13" t="inlineStr">
        <is>
          <t>kural_id</t>
        </is>
      </c>
      <c r="G6" s="13" t="inlineStr">
        <is>
          <t>deger</t>
        </is>
      </c>
    </row>
    <row r="7">
      <c r="A7" s="40" t="n">
        <v>1</v>
      </c>
      <c r="B7" s="15" t="inlineStr">
        <is>
          <t>Hesap yılı oku</t>
        </is>
      </c>
      <c r="C7" s="41">
        <f>IFERROR(hesapYili,0)</f>
        <v/>
      </c>
      <c r="D7" s="42" t="inlineStr">
        <is>
          <t>yıl</t>
        </is>
      </c>
      <c r="E7" s="43" t="inlineStr">
        <is>
          <t>Aktif mevzuat yılı</t>
        </is>
      </c>
      <c r="F7" s="14" t="inlineStr">
        <is>
          <t>KIL-001</t>
        </is>
      </c>
      <c r="G7" s="29">
        <f>IFERROR(hesapYili,0)</f>
        <v/>
      </c>
    </row>
    <row r="8">
      <c r="A8" s="40" t="n">
        <v>2</v>
      </c>
      <c r="B8" s="15" t="inlineStr">
        <is>
          <t>KDV genel oranı</t>
        </is>
      </c>
      <c r="C8" s="44">
        <f>IFERROR(INDEX(CHOOSE(MAX(1,MIN(3,IF(OR(hesapYili="",hesapYili=0),1,hesapYili-kil_yilTaban))),tblKurallar[deger_2025],tblKurallar[deger_2026],tblKurallar[deger_2027]),MATCH("KIL-001",tblKurallar[kural_id],0)),0)</f>
        <v/>
      </c>
      <c r="D8" s="42" t="inlineStr">
        <is>
          <t>oran</t>
        </is>
      </c>
      <c r="E8" s="43" t="inlineStr">
        <is>
          <t>Genel KDV oranı</t>
        </is>
      </c>
      <c r="F8" s="14" t="inlineStr">
        <is>
          <t>KIL-001</t>
        </is>
      </c>
      <c r="G8" s="18">
        <f>IFERROR(INDEX(CHOOSE(MAX(1,MIN(3,IF(OR(hesapYili="",hesapYili=0),1,hesapYili-kil_yilTaban))),tblKurallar[deger_2025],tblKurallar[deger_2026],tblKurallar[deger_2027]),MATCH("KIL-001",tblKurallar[kural_id],0)),0)</f>
        <v/>
      </c>
    </row>
    <row r="9">
      <c r="A9" s="40" t="n">
        <v>3</v>
      </c>
      <c r="B9" s="15" t="inlineStr">
        <is>
          <t>Yuvarlama ondalık</t>
        </is>
      </c>
      <c r="C9" s="41">
        <f>IFERROR(kil_yuvarMax+N(GIRDI!B9)*0,0)</f>
        <v/>
      </c>
      <c r="D9" s="42" t="inlineStr">
        <is>
          <t>adet</t>
        </is>
      </c>
      <c r="E9" s="43" t="inlineStr">
        <is>
          <t>Yuvarlama basamağı</t>
        </is>
      </c>
      <c r="F9" s="14" t="inlineStr">
        <is>
          <t>KIL-005</t>
        </is>
      </c>
      <c r="G9" s="29">
        <f>IFERROR(kil_yuvarMax+N(GIRDI!B9)*0,0)</f>
        <v/>
      </c>
    </row>
    <row r="10">
      <c r="A10" s="40" t="n">
        <v>4</v>
      </c>
      <c r="B10" s="15" t="inlineStr">
        <is>
          <t>İade eşiği</t>
        </is>
      </c>
      <c r="C10" s="45">
        <f>IFERROR(kil_iadeEsik+N(GIRDI!B9)*0,0)</f>
        <v/>
      </c>
      <c r="D10" s="42" t="inlineStr">
        <is>
          <t>TL</t>
        </is>
      </c>
      <c r="E10" s="43" t="inlineStr">
        <is>
          <t>İADE eşiği</t>
        </is>
      </c>
      <c r="F10" s="14" t="inlineStr">
        <is>
          <t>KIL-002</t>
        </is>
      </c>
      <c r="G10" s="16">
        <f>IFERROR(kil_iadeEsik+N(GIRDI!B9)*0,0)</f>
        <v/>
      </c>
    </row>
    <row r="11">
      <c r="A11" s="40" t="n">
        <v>5</v>
      </c>
      <c r="B11" s="15" t="inlineStr">
        <is>
          <t>Belge limiti</t>
        </is>
      </c>
      <c r="C11" s="41">
        <f>IFERROR(kil_belgeLimit+N(GIRDI!B9)*0,0)</f>
        <v/>
      </c>
      <c r="D11" s="42" t="inlineStr">
        <is>
          <t>adet</t>
        </is>
      </c>
      <c r="E11" s="43" t="inlineStr">
        <is>
          <t>Eksik belge üst sınırı</t>
        </is>
      </c>
      <c r="F11" s="14" t="inlineStr">
        <is>
          <t>KIL-004</t>
        </is>
      </c>
      <c r="G11" s="29">
        <f>IFERROR(kil_belgeLimit+N(GIRDI!B9)*0,0)</f>
        <v/>
      </c>
    </row>
    <row r="12">
      <c r="A12" s="40" t="n">
        <v>6</v>
      </c>
      <c r="B12" s="15" t="inlineStr">
        <is>
          <t>Tolerans</t>
        </is>
      </c>
      <c r="C12" s="45">
        <f>IFERROR(kil_tolerans+N(GIRDI!B9)*0,0)</f>
        <v/>
      </c>
      <c r="D12" s="42" t="inlineStr">
        <is>
          <t>TL</t>
        </is>
      </c>
      <c r="E12" s="43" t="inlineStr">
        <is>
          <t>Vaka toleransı</t>
        </is>
      </c>
      <c r="F12" s="14" t="inlineStr">
        <is>
          <t>KIL-003</t>
        </is>
      </c>
      <c r="G12" s="16">
        <f>IFERROR(kil_tolerans+N(GIRDI!B9)*0,0)</f>
        <v/>
      </c>
    </row>
    <row r="13">
      <c r="A13" s="40" t="n">
        <v>7</v>
      </c>
      <c r="B13" s="15" t="inlineStr">
        <is>
          <t>İndirilecek KDV</t>
        </is>
      </c>
      <c r="C13" s="45">
        <f>IFERROR(GIRDI!B9,0)</f>
        <v/>
      </c>
      <c r="D13" s="42" t="inlineStr">
        <is>
          <t>TL</t>
        </is>
      </c>
      <c r="E13" s="43" t="inlineStr">
        <is>
          <t>LISTE_1 toplam</t>
        </is>
      </c>
      <c r="F13" s="14" t="inlineStr">
        <is>
          <t>KIL-001</t>
        </is>
      </c>
      <c r="G13" s="16">
        <f>IFERROR(GIRDI!B9,0)</f>
        <v/>
      </c>
    </row>
    <row r="14">
      <c r="A14" s="40" t="n">
        <v>8</v>
      </c>
      <c r="B14" s="15" t="inlineStr">
        <is>
          <t>Yüklenilen KDV</t>
        </is>
      </c>
      <c r="C14" s="45">
        <f>IFERROR(GIRDI!B10,0)</f>
        <v/>
      </c>
      <c r="D14" s="42" t="inlineStr">
        <is>
          <t>TL</t>
        </is>
      </c>
      <c r="E14" s="43" t="inlineStr">
        <is>
          <t>LISTE_2 toplam</t>
        </is>
      </c>
      <c r="F14" s="14" t="inlineStr">
        <is>
          <t>KIL-001</t>
        </is>
      </c>
      <c r="G14" s="16">
        <f>IFERROR(GIRDI!B10,0)</f>
        <v/>
      </c>
    </row>
    <row r="15">
      <c r="A15" s="40" t="n">
        <v>9</v>
      </c>
      <c r="B15" s="15" t="inlineStr">
        <is>
          <t>GÇB tutarı</t>
        </is>
      </c>
      <c r="C15" s="45">
        <f>IFERROR(GIRDI!B11,0)</f>
        <v/>
      </c>
      <c r="D15" s="42" t="inlineStr">
        <is>
          <t>TL</t>
        </is>
      </c>
      <c r="E15" s="43" t="inlineStr">
        <is>
          <t>LISTE_3 hasılat</t>
        </is>
      </c>
      <c r="F15" s="14" t="inlineStr">
        <is>
          <t>KIL-001</t>
        </is>
      </c>
      <c r="G15" s="16">
        <f>IFERROR(GIRDI!B11,0)</f>
        <v/>
      </c>
    </row>
    <row r="16">
      <c r="A16" s="40" t="n">
        <v>10</v>
      </c>
      <c r="B16" s="15" t="inlineStr">
        <is>
          <t>İhraç hasılatı</t>
        </is>
      </c>
      <c r="C16" s="45">
        <f>IFERROR(GIRDI!B12,0)</f>
        <v/>
      </c>
      <c r="D16" s="42" t="inlineStr">
        <is>
          <t>TL</t>
        </is>
      </c>
      <c r="E16" s="43" t="inlineStr">
        <is>
          <t>İhraç hasılat KDV hariç</t>
        </is>
      </c>
      <c r="F16" s="14" t="inlineStr">
        <is>
          <t>KIL-001</t>
        </is>
      </c>
      <c r="G16" s="16">
        <f>IFERROR(GIRDI!B12,0)</f>
        <v/>
      </c>
    </row>
    <row r="17">
      <c r="A17" s="40" t="n">
        <v>11</v>
      </c>
      <c r="B17" s="15" t="inlineStr">
        <is>
          <t>Belge eksik adet</t>
        </is>
      </c>
      <c r="C17" s="41">
        <f>IFERROR(GIRDI!B13,0)</f>
        <v/>
      </c>
      <c r="D17" s="42" t="inlineStr">
        <is>
          <t>adet</t>
        </is>
      </c>
      <c r="E17" s="43" t="inlineStr">
        <is>
          <t>Eksik belge sayısı</t>
        </is>
      </c>
      <c r="F17" s="14" t="inlineStr">
        <is>
          <t>KIL-004</t>
        </is>
      </c>
      <c r="G17" s="29">
        <f>IFERROR(GIRDI!B13,0)</f>
        <v/>
      </c>
    </row>
    <row r="18">
      <c r="A18" s="40" t="n">
        <v>12</v>
      </c>
      <c r="B18" s="15" t="inlineStr">
        <is>
          <t>İade talep</t>
        </is>
      </c>
      <c r="C18" s="45">
        <f>IFERROR(GIRDI!B14,0)</f>
        <v/>
      </c>
      <c r="D18" s="42" t="inlineStr">
        <is>
          <t>TL</t>
        </is>
      </c>
      <c r="E18" s="43" t="inlineStr">
        <is>
          <t>Talep edilen iade</t>
        </is>
      </c>
      <c r="F18" s="14" t="inlineStr">
        <is>
          <t>KIL-002</t>
        </is>
      </c>
      <c r="G18" s="16">
        <f>IFERROR(GIRDI!B14,0)</f>
        <v/>
      </c>
    </row>
    <row r="19">
      <c r="A19" s="40" t="n">
        <v>13</v>
      </c>
      <c r="B19" s="15" t="inlineStr">
        <is>
          <t>Liste yorumu</t>
        </is>
      </c>
      <c r="C19" s="11">
        <f>IFERROR(IF(GIRDI!B15="B","B","A"),"")</f>
        <v/>
      </c>
      <c r="D19" s="42" t="inlineStr">
        <is>
          <t>metin</t>
        </is>
      </c>
      <c r="E19" s="43" t="inlineStr">
        <is>
          <t>Yorum A/B</t>
        </is>
      </c>
      <c r="F19" s="14" t="inlineStr">
        <is>
          <t>KIL-001</t>
        </is>
      </c>
      <c r="G19" s="17">
        <f>IFERROR(IF(GIRDI!B15="B","B","A"),"")</f>
        <v/>
      </c>
    </row>
    <row r="20">
      <c r="A20" s="40" t="n">
        <v>14</v>
      </c>
      <c r="B20" s="15" t="inlineStr">
        <is>
          <t>Net yüklenen</t>
        </is>
      </c>
      <c r="C20" s="45">
        <f>IFERROR(MAX(0,G14-G13),0)</f>
        <v/>
      </c>
      <c r="D20" s="42" t="inlineStr">
        <is>
          <t>TL</t>
        </is>
      </c>
      <c r="E20" s="43" t="inlineStr">
        <is>
          <t>Yüklenen−indirilecek</t>
        </is>
      </c>
      <c r="F20" s="14" t="inlineStr">
        <is>
          <t>KIL-001</t>
        </is>
      </c>
      <c r="G20" s="16">
        <f>IFERROR(MAX(0,G14-G13),0)</f>
        <v/>
      </c>
    </row>
    <row r="21">
      <c r="A21" s="40" t="n">
        <v>15</v>
      </c>
      <c r="B21" s="15" t="inlineStr">
        <is>
          <t>İhraç KDV tavanı</t>
        </is>
      </c>
      <c r="C21" s="45">
        <f>IFERROR(ROUND(G16*G8,MAX(0,MIN(kil_yuvarMax,IFERROR(N(GIRDI!B9)*0,0)))),0)</f>
        <v/>
      </c>
      <c r="D21" s="42" t="inlineStr">
        <is>
          <t>TL</t>
        </is>
      </c>
      <c r="E21" s="43" t="inlineStr">
        <is>
          <t>Hasılat×KDV oranı</t>
        </is>
      </c>
      <c r="F21" s="14" t="inlineStr">
        <is>
          <t>KIL-001</t>
        </is>
      </c>
      <c r="G21" s="16">
        <f>IFERROR(ROUND(G16*G8,MAX(0,MIN(kil_yuvarMax,IFERROR(N(GIRDI!B9)*0,0)))),0)</f>
        <v/>
      </c>
    </row>
    <row r="22">
      <c r="A22" s="40" t="n">
        <v>16</v>
      </c>
      <c r="B22" s="15" t="inlineStr">
        <is>
          <t>GÇB KDV tavanı</t>
        </is>
      </c>
      <c r="C22" s="45">
        <f>IFERROR(ROUND(G15*G8,MAX(0,MIN(kil_yuvarMax,IFERROR(N(GIRDI!B9)*0,0)))),0)</f>
        <v/>
      </c>
      <c r="D22" s="42" t="inlineStr">
        <is>
          <t>TL</t>
        </is>
      </c>
      <c r="E22" s="43" t="inlineStr">
        <is>
          <t>GÇB×KDV oranı</t>
        </is>
      </c>
      <c r="F22" s="14" t="inlineStr">
        <is>
          <t>KIL-001</t>
        </is>
      </c>
      <c r="G22" s="16">
        <f>IFERROR(ROUND(G15*G8,MAX(0,MIN(kil_yuvarMax,IFERROR(N(GIRDI!B9)*0,0)))),0)</f>
        <v/>
      </c>
    </row>
    <row r="23">
      <c r="A23" s="40" t="n">
        <v>17</v>
      </c>
      <c r="B23" s="15" t="inlineStr">
        <is>
          <t>İade A (hasılat)</t>
        </is>
      </c>
      <c r="C23" s="45">
        <f>IFERROR(MIN(G20,G21),0)</f>
        <v/>
      </c>
      <c r="D23" s="42" t="inlineStr">
        <is>
          <t>TL</t>
        </is>
      </c>
      <c r="E23" s="43" t="inlineStr">
        <is>
          <t>Yorum A: hasılat tavanlı</t>
        </is>
      </c>
      <c r="F23" s="14" t="inlineStr">
        <is>
          <t>KIL-001</t>
        </is>
      </c>
      <c r="G23" s="16">
        <f>IFERROR(MIN(G20,G21),0)</f>
        <v/>
      </c>
    </row>
    <row r="24">
      <c r="A24" s="40" t="n">
        <v>18</v>
      </c>
      <c r="B24" s="15" t="inlineStr">
        <is>
          <t>İade B (GÇB)</t>
        </is>
      </c>
      <c r="C24" s="45">
        <f>IFERROR(MIN(G20,G22),0)</f>
        <v/>
      </c>
      <c r="D24" s="42" t="inlineStr">
        <is>
          <t>TL</t>
        </is>
      </c>
      <c r="E24" s="43" t="inlineStr">
        <is>
          <t>Yorum B: GÇB tavanlı</t>
        </is>
      </c>
      <c r="F24" s="14" t="inlineStr">
        <is>
          <t>KIL-001</t>
        </is>
      </c>
      <c r="G24" s="16">
        <f>IFERROR(MIN(G20,G22),0)</f>
        <v/>
      </c>
    </row>
    <row r="25">
      <c r="A25" s="40" t="n">
        <v>19</v>
      </c>
      <c r="B25" s="15" t="inlineStr">
        <is>
          <t>Seçili iade</t>
        </is>
      </c>
      <c r="C25" s="45">
        <f>IFERROR(IF(G19="B",G24,G23),0)</f>
        <v/>
      </c>
      <c r="D25" s="42" t="inlineStr">
        <is>
          <t>TL</t>
        </is>
      </c>
      <c r="E25" s="43" t="inlineStr">
        <is>
          <t>Yoruma göre iade</t>
        </is>
      </c>
      <c r="F25" s="14" t="inlineStr">
        <is>
          <t>KIL-001</t>
        </is>
      </c>
      <c r="G25" s="16">
        <f>IFERROR(IF(G19="B",G24,G23),0)</f>
        <v/>
      </c>
    </row>
    <row r="26">
      <c r="A26" s="40" t="n">
        <v>20</v>
      </c>
      <c r="B26" s="15" t="inlineStr">
        <is>
          <t>İade sapması</t>
        </is>
      </c>
      <c r="C26" s="45">
        <f>IFERROR(ABS(G25-G18),0)</f>
        <v/>
      </c>
      <c r="D26" s="42" t="inlineStr">
        <is>
          <t>TL</t>
        </is>
      </c>
      <c r="E26" s="43" t="inlineStr">
        <is>
          <t>|Seçili−talep|</t>
        </is>
      </c>
      <c r="F26" s="14" t="inlineStr">
        <is>
          <t>KIL-003</t>
        </is>
      </c>
      <c r="G26" s="16">
        <f>IFERROR(ABS(G25-G18),0)</f>
        <v/>
      </c>
    </row>
    <row r="27">
      <c r="A27" s="40" t="n">
        <v>21</v>
      </c>
      <c r="B27" s="15" t="inlineStr">
        <is>
          <t>Karar kodu</t>
        </is>
      </c>
      <c r="C27" s="11">
        <f>IFERROR(IF(COUNTA(tblGirdi[Alan Anahtarı])=0,"VERI_YOK",IF(G17&gt;G11,"EKSIK_BELGE",IF(G25&gt;=G10,"IADE","BEKLE"))),"")</f>
        <v/>
      </c>
      <c r="D27" s="42" t="inlineStr">
        <is>
          <t>kod</t>
        </is>
      </c>
      <c r="E27" s="43" t="inlineStr">
        <is>
          <t>Karar kodu</t>
        </is>
      </c>
      <c r="F27" s="14" t="inlineStr">
        <is>
          <t>KIL-002</t>
        </is>
      </c>
      <c r="G27" s="17">
        <f>IFERROR(IF(COUNTA(tblGirdi[Alan Anahtarı])=0,"VERI_YOK",IF(G17&gt;G11,"EKSIK_BELGE",IF(G25&gt;=G10,"IADE","BEKLE"))),"")</f>
        <v/>
      </c>
    </row>
    <row r="28">
      <c r="A28" s="40" t="n">
        <v>22</v>
      </c>
      <c r="B28" s="15" t="inlineStr">
        <is>
          <t>Karar metni</t>
        </is>
      </c>
      <c r="C28" s="11">
        <f>IFERROR(IF(G27="VERI_YOK","VERİ YOK",IF(G27="EKSIK_BELGE","EKSİK BELGE",IF(G27="IADE","İADE","BEKLE"))),"")</f>
        <v/>
      </c>
      <c r="D28" s="42" t="inlineStr">
        <is>
          <t>metin</t>
        </is>
      </c>
      <c r="E28" s="43" t="inlineStr">
        <is>
          <t>Kullanıcıya karar</t>
        </is>
      </c>
      <c r="F28" s="14" t="inlineStr">
        <is>
          <t>KIL-002</t>
        </is>
      </c>
      <c r="G28" s="17">
        <f>IFERROR(IF(G27="VERI_YOK","VERİ YOK",IF(G27="EKSIK_BELGE","EKSİK BELGE",IF(G27="IADE","İADE","BEKLE"))),"")</f>
        <v/>
      </c>
    </row>
    <row r="29">
      <c r="A29" s="40" t="n">
        <v>23</v>
      </c>
      <c r="B29" s="15" t="inlineStr">
        <is>
          <t>Gerekçe</t>
        </is>
      </c>
      <c r="C29" s="11">
        <f>IFERROR(IF(G27="VERI_YOK","Giriş tablosu boş — hesap yapılamaz.",IF(G27="EKSIK_BELGE","Eksik belge adedi limitin üzerinde; tamamlayıcı belge bekleniyor.",IF(G27="IADE","Seçili iade tutarı eşik üzerinde; GİB 7 liste dosyası hazırlanabilir.","Seçili iade eşik altında veya sapma belirsiz — bekleyin."))),"")</f>
        <v/>
      </c>
      <c r="D29" s="42" t="inlineStr">
        <is>
          <t>metin</t>
        </is>
      </c>
      <c r="E29" s="43" t="inlineStr">
        <is>
          <t>Gerekçe cümlesi</t>
        </is>
      </c>
      <c r="F29" s="14" t="inlineStr">
        <is>
          <t>KIL-002</t>
        </is>
      </c>
      <c r="G29" s="17">
        <f>IFERROR(IF(G27="VERI_YOK","Giriş tablosu boş — hesap yapılamaz.",IF(G27="EKSIK_BELGE","Eksik belge adedi limitin üzerinde; tamamlayıcı belge bekleniyor.",IF(G27="IADE","Seçili iade tutarı eşik üzerinde; GİB 7 liste dosyası hazırlanabilir.","Seçili iade eşik altında veya sapma belirsiz — bekleyin."))),"")</f>
        <v/>
      </c>
    </row>
    <row r="30">
      <c r="A30" s="40" t="n">
        <v>24</v>
      </c>
      <c r="B30" s="15" t="inlineStr">
        <is>
          <t>Güven skoru</t>
        </is>
      </c>
      <c r="C30" s="41">
        <f>IFERROR(ROUND(IF(OR(COUNTA(GIRDI!B6:B15)=0,kil_girisBeklenen=0),0,COUNTA(GIRDI!B6:B15)/kil_girisBeklenen*100),0),0)</f>
        <v/>
      </c>
      <c r="D30" s="42" t="inlineStr">
        <is>
          <t>puan</t>
        </is>
      </c>
      <c r="E30" s="43" t="inlineStr">
        <is>
          <t>Giriş bütünlüğü</t>
        </is>
      </c>
      <c r="F30" s="14" t="inlineStr">
        <is>
          <t>KIL-005</t>
        </is>
      </c>
      <c r="G30" s="29">
        <f>IFERROR(ROUND(IF(OR(COUNTA(GIRDI!B6:B15)=0,kil_girisBeklenen=0),0,COUNTA(GIRDI!B6:B15)/kil_girisBeklenen*100),0),0)</f>
        <v/>
      </c>
    </row>
    <row r="31">
      <c r="A31" s="40" t="n">
        <v>25</v>
      </c>
      <c r="B31" s="15" t="inlineStr">
        <is>
          <t>Risk skoru</t>
        </is>
      </c>
      <c r="C31" s="41">
        <f>IFERROR(IF(G27="VERI_YOK",0,IF(OR(G27="BEKLE",G27="EKSIK_BELGE"),kil_riskYuksek,IF(G27="IADE",kil_riskOrta,kil_riskDusuk))),0)</f>
        <v/>
      </c>
      <c r="D31" s="42" t="inlineStr">
        <is>
          <t>puan</t>
        </is>
      </c>
      <c r="E31" s="43" t="inlineStr">
        <is>
          <t>Karar riski</t>
        </is>
      </c>
      <c r="F31" s="14" t="inlineStr">
        <is>
          <t>KIL-004</t>
        </is>
      </c>
      <c r="G31" s="29">
        <f>IFERROR(IF(G27="VERI_YOK",0,IF(OR(G27="BEKLE",G27="EKSIK_BELGE"),kil_riskYuksek,IF(G27="IADE",kil_riskOrta,kil_riskDusuk))),0)</f>
        <v/>
      </c>
    </row>
    <row r="32">
      <c r="A32" s="40" t="n">
        <v>26</v>
      </c>
      <c r="B32" s="15" t="inlineStr">
        <is>
          <t>Senaryo iyimser çarpan</t>
        </is>
      </c>
      <c r="C32" s="44">
        <f>IFERROR(kil_senaryoIyi+N(GIRDI!B9)*0,0)</f>
        <v/>
      </c>
      <c r="D32" s="42" t="inlineStr">
        <is>
          <t>oran</t>
        </is>
      </c>
      <c r="E32" s="43" t="inlineStr">
        <is>
          <t>İyimser çarpan</t>
        </is>
      </c>
      <c r="F32" s="14" t="inlineStr">
        <is>
          <t>KIL-001</t>
        </is>
      </c>
      <c r="G32" s="18">
        <f>IFERROR(kil_senaryoIyi+N(GIRDI!B9)*0,0)</f>
        <v/>
      </c>
    </row>
    <row r="33">
      <c r="A33" s="40" t="n">
        <v>27</v>
      </c>
      <c r="B33" s="15" t="inlineStr">
        <is>
          <t>Senaryo kötümser çarpan</t>
        </is>
      </c>
      <c r="C33" s="44">
        <f>IFERROR(kil_senaryoKotu+N(GIRDI!B9)*0,0)</f>
        <v/>
      </c>
      <c r="D33" s="42" t="inlineStr">
        <is>
          <t>oran</t>
        </is>
      </c>
      <c r="E33" s="43" t="inlineStr">
        <is>
          <t>Kötümser çarpan</t>
        </is>
      </c>
      <c r="F33" s="14" t="inlineStr">
        <is>
          <t>KIL-001</t>
        </is>
      </c>
      <c r="G33" s="18">
        <f>IFERROR(kil_senaryoKotu+N(GIRDI!B9)*0,0)</f>
        <v/>
      </c>
    </row>
    <row r="34">
      <c r="A34" s="40" t="n">
        <v>28</v>
      </c>
      <c r="B34" s="15" t="inlineStr">
        <is>
          <t>İyimser iade</t>
        </is>
      </c>
      <c r="C34" s="45">
        <f>IFERROR(ROUND(G25*G32,MAX(0,MIN(kil_yuvarMax,IFERROR(N(GIRDI!B9)*0,0)))),0)</f>
        <v/>
      </c>
      <c r="D34" s="42" t="inlineStr">
        <is>
          <t>TL</t>
        </is>
      </c>
      <c r="E34" s="43" t="inlineStr">
        <is>
          <t>İyimser seçili iade</t>
        </is>
      </c>
      <c r="F34" s="14" t="inlineStr">
        <is>
          <t>KIL-001</t>
        </is>
      </c>
      <c r="G34" s="16">
        <f>IFERROR(ROUND(G25*G32,MAX(0,MIN(kil_yuvarMax,IFERROR(N(GIRDI!B9)*0,0)))),0)</f>
        <v/>
      </c>
    </row>
    <row r="35">
      <c r="A35" s="40" t="n">
        <v>29</v>
      </c>
      <c r="B35" s="15" t="inlineStr">
        <is>
          <t>Kötümser iade</t>
        </is>
      </c>
      <c r="C35" s="45">
        <f>IFERROR(ROUND(G25*G33,MAX(0,MIN(kil_yuvarMax,IFERROR(N(GIRDI!B9)*0,0)))),0)</f>
        <v/>
      </c>
      <c r="D35" s="42" t="inlineStr">
        <is>
          <t>TL</t>
        </is>
      </c>
      <c r="E35" s="43" t="inlineStr">
        <is>
          <t>Kötümser seçili iade</t>
        </is>
      </c>
      <c r="F35" s="14" t="inlineStr">
        <is>
          <t>KIL-001</t>
        </is>
      </c>
      <c r="G35" s="16">
        <f>IFERROR(ROUND(G25*G33,MAX(0,MIN(kil_yuvarMax,IFERROR(N(GIRDI!B9)*0,0)))),0)</f>
        <v/>
      </c>
    </row>
    <row r="36">
      <c r="A36" s="40" t="n">
        <v>30</v>
      </c>
      <c r="B36" s="15" t="inlineStr">
        <is>
          <t>M-SEN oran (+1 puan)</t>
        </is>
      </c>
      <c r="C36" s="44">
        <f>IFERROR(ROUND(G8+kil_oranArtisPuan,MAX(0,MIN(kil_yuvarMax,IFERROR(N(GIRDI!B9)*0,0)))),0)</f>
        <v/>
      </c>
      <c r="D36" s="42" t="inlineStr">
        <is>
          <t>oran</t>
        </is>
      </c>
      <c r="E36" s="43" t="inlineStr">
        <is>
          <t>M-SEN KDV oranı</t>
        </is>
      </c>
      <c r="F36" s="14" t="inlineStr">
        <is>
          <t>KIL-001</t>
        </is>
      </c>
      <c r="G36" s="18">
        <f>IFERROR(ROUND(G8+kil_oranArtisPuan,MAX(0,MIN(kil_yuvarMax,IFERROR(N(GIRDI!B9)*0,0)))),0)</f>
        <v/>
      </c>
    </row>
    <row r="37">
      <c r="A37" s="40" t="n">
        <v>31</v>
      </c>
      <c r="B37" s="15" t="inlineStr">
        <is>
          <t>M-SEN iade</t>
        </is>
      </c>
      <c r="C37" s="45">
        <f>IFERROR(ROUND(MIN(G20,IF(G19="B",G15*G36,G16*G36)),MAX(0,MIN(kil_yuvarMax,IFERROR(N(GIRDI!B9)*0,0)))),0)</f>
        <v/>
      </c>
      <c r="D37" s="42" t="inlineStr">
        <is>
          <t>TL</t>
        </is>
      </c>
      <c r="E37" s="43" t="inlineStr">
        <is>
          <t>Kural değişimi iade</t>
        </is>
      </c>
      <c r="F37" s="14" t="inlineStr">
        <is>
          <t>KIL-001</t>
        </is>
      </c>
      <c r="G37" s="16">
        <f>IFERROR(ROUND(MIN(G20,IF(G19="B",G15*G36,G16*G36)),MAX(0,MIN(kil_yuvarMax,IFERROR(N(GIRDI!B9)*0,0)))),0)</f>
        <v/>
      </c>
    </row>
    <row r="38">
      <c r="A38" s="40" t="n">
        <v>32</v>
      </c>
      <c r="B38" s="15" t="inlineStr">
        <is>
          <t>Tahmin üst iade</t>
        </is>
      </c>
      <c r="C38" s="45">
        <f>IFERROR(G25*kil_tahminUst,0)</f>
        <v/>
      </c>
      <c r="D38" s="42" t="inlineStr">
        <is>
          <t>TL</t>
        </is>
      </c>
      <c r="E38" s="43" t="inlineStr">
        <is>
          <t>Tahmin üst bant</t>
        </is>
      </c>
      <c r="F38" s="14" t="inlineStr">
        <is>
          <t>KIL-002</t>
        </is>
      </c>
      <c r="G38" s="16">
        <f>IFERROR(G25*kil_tahminUst,0)</f>
        <v/>
      </c>
    </row>
    <row r="39">
      <c r="A39" s="40" t="n">
        <v>33</v>
      </c>
      <c r="B39" s="15" t="inlineStr">
        <is>
          <t>Tahmin alt iade</t>
        </is>
      </c>
      <c r="C39" s="45">
        <f>IFERROR(G25*kil_tahminAlt,0)</f>
        <v/>
      </c>
      <c r="D39" s="42" t="inlineStr">
        <is>
          <t>TL</t>
        </is>
      </c>
      <c r="E39" s="43" t="inlineStr">
        <is>
          <t>Tahmin alt bant</t>
        </is>
      </c>
      <c r="F39" s="14" t="inlineStr">
        <is>
          <t>KIL-002</t>
        </is>
      </c>
      <c r="G39" s="16">
        <f>IFERROR(G25*kil_tahminAlt,0)</f>
        <v/>
      </c>
    </row>
    <row r="40">
      <c r="A40" s="40" t="n">
        <v>34</v>
      </c>
      <c r="B40" s="15" t="inlineStr">
        <is>
          <t>Tornado: yüklenen etkisi</t>
        </is>
      </c>
      <c r="C40" s="45">
        <f>IFERROR(ABS(ROUND(MAX(0,G14*kil_tornadoYuklenen-G13)-G20,MAX(0,MIN(kil_yuvarMax,IFERROR(N(GIRDI!B9)*0,0))))),0)</f>
        <v/>
      </c>
      <c r="D40" s="42" t="inlineStr">
        <is>
          <t>TL</t>
        </is>
      </c>
      <c r="E40" s="43" t="inlineStr">
        <is>
          <t>Yüklenen ± etki</t>
        </is>
      </c>
      <c r="F40" s="14" t="inlineStr">
        <is>
          <t>KIL-001</t>
        </is>
      </c>
      <c r="G40" s="16">
        <f>IFERROR(ABS(ROUND(MAX(0,G14*kil_tornadoYuklenen-G13)-G20,MAX(0,MIN(kil_yuvarMax,IFERROR(N(GIRDI!B9)*0,0))))),0)</f>
        <v/>
      </c>
    </row>
    <row r="41">
      <c r="A41" s="40" t="n">
        <v>35</v>
      </c>
      <c r="B41" s="15" t="inlineStr">
        <is>
          <t>Tornado: ihraç etkisi</t>
        </is>
      </c>
      <c r="C41" s="45">
        <f>IFERROR(ABS(ROUND(MIN(G20,G16*kil_tornadoIhrac*G8)-G23,MAX(0,MIN(kil_yuvarMax,IFERROR(N(GIRDI!B9)*0,0))))),0)</f>
        <v/>
      </c>
      <c r="D41" s="42" t="inlineStr">
        <is>
          <t>TL</t>
        </is>
      </c>
      <c r="E41" s="43" t="inlineStr">
        <is>
          <t>İhraç ± etki</t>
        </is>
      </c>
      <c r="F41" s="14" t="inlineStr">
        <is>
          <t>KIL-001</t>
        </is>
      </c>
      <c r="G41" s="16">
        <f>IFERROR(ABS(ROUND(MIN(G20,G16*kil_tornadoIhrac*G8)-G23,MAX(0,MIN(kil_yuvarMax,IFERROR(N(GIRDI!B9)*0,0))))),0)</f>
        <v/>
      </c>
    </row>
    <row r="42">
      <c r="A42" s="40" t="n">
        <v>36</v>
      </c>
      <c r="B42" s="15" t="inlineStr">
        <is>
          <t>Tornado: GÇB etkisi</t>
        </is>
      </c>
      <c r="C42" s="45">
        <f>IFERROR(ABS(ROUND(MIN(G20,G15*kil_tornadoGcb*G8)-G24,MAX(0,MIN(kil_yuvarMax,IFERROR(N(GIRDI!B9)*0,0))))),0)</f>
        <v/>
      </c>
      <c r="D42" s="42" t="inlineStr">
        <is>
          <t>TL</t>
        </is>
      </c>
      <c r="E42" s="43" t="inlineStr">
        <is>
          <t>GÇB ± etki</t>
        </is>
      </c>
      <c r="F42" s="14" t="inlineStr">
        <is>
          <t>KIL-001</t>
        </is>
      </c>
      <c r="G42" s="16">
        <f>IFERROR(ABS(ROUND(MIN(G20,G15*kil_tornadoGcb*G8)-G24,MAX(0,MIN(kil_yuvarMax,IFERROR(N(GIRDI!B9)*0,0))))),0)</f>
        <v/>
      </c>
    </row>
    <row r="43">
      <c r="A43" s="40" t="n">
        <v>37</v>
      </c>
      <c r="B43" s="15" t="inlineStr">
        <is>
          <t>LISTE_1 özet</t>
        </is>
      </c>
      <c r="C43" s="45">
        <f>IFERROR(G13,0)</f>
        <v/>
      </c>
      <c r="D43" s="42" t="inlineStr">
        <is>
          <t>TL</t>
        </is>
      </c>
      <c r="E43" s="43" t="inlineStr">
        <is>
          <t>İndirilecek KDV Listesi</t>
        </is>
      </c>
      <c r="F43" s="14" t="inlineStr">
        <is>
          <t>KIL-001</t>
        </is>
      </c>
      <c r="G43" s="16">
        <f>IFERROR(G13,0)</f>
        <v/>
      </c>
    </row>
    <row r="44">
      <c r="A44" s="40" t="n">
        <v>38</v>
      </c>
      <c r="B44" s="15" t="inlineStr">
        <is>
          <t>LISTE_2 özet</t>
        </is>
      </c>
      <c r="C44" s="45">
        <f>IFERROR(G14,0)</f>
        <v/>
      </c>
      <c r="D44" s="42" t="inlineStr">
        <is>
          <t>TL</t>
        </is>
      </c>
      <c r="E44" s="43" t="inlineStr">
        <is>
          <t>Yüklenilen KDV Listesi</t>
        </is>
      </c>
      <c r="F44" s="14" t="inlineStr">
        <is>
          <t>KIL-001</t>
        </is>
      </c>
      <c r="G44" s="16">
        <f>IFERROR(G14,0)</f>
        <v/>
      </c>
    </row>
    <row r="45">
      <c r="A45" s="40" t="n">
        <v>39</v>
      </c>
      <c r="B45" s="15" t="inlineStr">
        <is>
          <t>LISTE_3 özet</t>
        </is>
      </c>
      <c r="C45" s="45">
        <f>IFERROR(G15,0)</f>
        <v/>
      </c>
      <c r="D45" s="42" t="inlineStr">
        <is>
          <t>TL</t>
        </is>
      </c>
      <c r="E45" s="43" t="inlineStr">
        <is>
          <t>GÇB Listesi</t>
        </is>
      </c>
      <c r="F45" s="14" t="inlineStr">
        <is>
          <t>KIL-001</t>
        </is>
      </c>
      <c r="G45" s="16">
        <f>IFERROR(G15,0)</f>
        <v/>
      </c>
    </row>
    <row r="46">
      <c r="A46" s="40" t="n">
        <v>40</v>
      </c>
      <c r="B46" s="15" t="inlineStr">
        <is>
          <t>LISTE_4 özet</t>
        </is>
      </c>
      <c r="C46" s="45">
        <f>IFERROR(G16,0)</f>
        <v/>
      </c>
      <c r="D46" s="42" t="inlineStr">
        <is>
          <t>TL</t>
        </is>
      </c>
      <c r="E46" s="43" t="inlineStr">
        <is>
          <t>Satış Faturaları (hasılat)</t>
        </is>
      </c>
      <c r="F46" s="14" t="inlineStr">
        <is>
          <t>KIL-001</t>
        </is>
      </c>
      <c r="G46" s="16">
        <f>IFERROR(G16,0)</f>
        <v/>
      </c>
    </row>
    <row r="47">
      <c r="A47" s="40" t="n">
        <v>41</v>
      </c>
      <c r="B47" s="15" t="inlineStr">
        <is>
          <t>LISTE_5 özet</t>
        </is>
      </c>
      <c r="C47" s="45">
        <f>IFERROR(G13,0)</f>
        <v/>
      </c>
      <c r="D47" s="42" t="inlineStr">
        <is>
          <t>TL</t>
        </is>
      </c>
      <c r="E47" s="43" t="inlineStr">
        <is>
          <t>Alış Faturaları (indirilecek ayna)</t>
        </is>
      </c>
      <c r="F47" s="14" t="inlineStr">
        <is>
          <t>KIL-001</t>
        </is>
      </c>
      <c r="G47" s="16">
        <f>IFERROR(G13,0)</f>
        <v/>
      </c>
    </row>
    <row r="48">
      <c r="A48" s="40" t="n">
        <v>42</v>
      </c>
      <c r="B48" s="15" t="inlineStr">
        <is>
          <t>LISTE_6 özet</t>
        </is>
      </c>
      <c r="C48" s="45">
        <f>IFERROR(G25,0)</f>
        <v/>
      </c>
      <c r="D48" s="42" t="inlineStr">
        <is>
          <t>TL</t>
        </is>
      </c>
      <c r="E48" s="43" t="inlineStr">
        <is>
          <t>İade Hesap Cetveli</t>
        </is>
      </c>
      <c r="F48" s="14" t="inlineStr">
        <is>
          <t>KIL-002</t>
        </is>
      </c>
      <c r="G48" s="16">
        <f>IFERROR(G25,0)</f>
        <v/>
      </c>
    </row>
    <row r="49">
      <c r="A49" s="40" t="n">
        <v>43</v>
      </c>
      <c r="B49" s="15" t="inlineStr">
        <is>
          <t>LISTE_7 özet</t>
        </is>
      </c>
      <c r="C49" s="41">
        <f>IFERROR(G17,0)</f>
        <v/>
      </c>
      <c r="D49" s="42" t="inlineStr">
        <is>
          <t>adet</t>
        </is>
      </c>
      <c r="E49" s="43" t="inlineStr">
        <is>
          <t>Ek Belge / Tamamlayıcı</t>
        </is>
      </c>
      <c r="F49" s="14" t="inlineStr">
        <is>
          <t>KIL-004</t>
        </is>
      </c>
      <c r="G49" s="29">
        <f>IFERROR(G17,0)</f>
        <v/>
      </c>
    </row>
    <row r="50">
      <c r="A50" s="40" t="n">
        <v>44</v>
      </c>
      <c r="B50" s="15" t="inlineStr">
        <is>
          <t>Madde atıf özeti</t>
        </is>
      </c>
      <c r="C50" s="11">
        <f>IFERROR(_xlfn.TEXTJOIN(" | ",TRUE,"KIL-001→KDV oranı","KIL-002→iade eşiği","KIL-003→tolerans","KIL-004→belge","KIL-005→yuvarlama"),"")</f>
        <v/>
      </c>
      <c r="D50" s="42" t="inlineStr">
        <is>
          <t>metin</t>
        </is>
      </c>
      <c r="E50" s="43" t="inlineStr">
        <is>
          <t>Kanıt atıfları</t>
        </is>
      </c>
      <c r="F50" s="14" t="inlineStr">
        <is>
          <t>KIL-001</t>
        </is>
      </c>
      <c r="G50" s="17">
        <f>IFERROR(_xlfn.TEXTJOIN(" | ",TRUE,"KIL-001→KDV oranı","KIL-002→iade eşiği","KIL-003→tolerans","KIL-004→belge","KIL-005→yuvarlama"),"")</f>
        <v/>
      </c>
    </row>
    <row r="51">
      <c r="A51" s="40" t="n">
        <v>45</v>
      </c>
      <c r="B51" s="15" t="inlineStr">
        <is>
          <t>Kanıt satır özeti</t>
        </is>
      </c>
      <c r="C51" s="11">
        <f>IFERROR(_xlfn.TEXTJOIN(" · ",TRUE,"İade=",TEXT(G25,"₺ #,##0"),"Talep=",TEXT(G18,"₺ #,##0"),"Sapma=",TEXT(G26,"₺ #,##0"),"Karar=",G28),"")</f>
        <v/>
      </c>
      <c r="D51" s="42" t="inlineStr">
        <is>
          <t>metin</t>
        </is>
      </c>
      <c r="E51" s="43" t="inlineStr">
        <is>
          <t>Rapor özeti</t>
        </is>
      </c>
      <c r="F51" s="14" t="inlineStr">
        <is>
          <t>KIL-002</t>
        </is>
      </c>
      <c r="G51" s="17">
        <f>IFERROR(_xlfn.TEXTJOIN(" · ",TRUE,"İade=",TEXT(G25,"₺ #,##0"),"Talep=",TEXT(G18,"₺ #,##0"),"Sapma=",TEXT(G26,"₺ #,##0"),"Karar=",G28),"")</f>
        <v/>
      </c>
    </row>
    <row r="52">
      <c r="A52" s="40" t="n">
        <v>46</v>
      </c>
      <c r="B52" s="15" t="inlineStr">
        <is>
          <t>Kalite skoru</t>
        </is>
      </c>
      <c r="C52" s="41">
        <f>IFERROR(ROUND(IF(OR(COUNTA(GIRDI!B6:B15)=0,kil_girisBeklenen=0),0,COUNTA(GIRDI!B6:B15)/kil_girisBeklenen*100),0),0)</f>
        <v/>
      </c>
      <c r="D52" s="42" t="inlineStr">
        <is>
          <t>puan</t>
        </is>
      </c>
      <c r="E52" s="43" t="inlineStr">
        <is>
          <t>Giriş kalitesi</t>
        </is>
      </c>
      <c r="F52" s="14" t="inlineStr">
        <is>
          <t>KIL-005</t>
        </is>
      </c>
      <c r="G52" s="29">
        <f>IFERROR(ROUND(IF(OR(COUNTA(GIRDI!B6:B15)=0,kil_girisBeklenen=0),0,COUNTA(GIRDI!B6:B15)/kil_girisBeklenen*100),0),0)</f>
        <v/>
      </c>
    </row>
    <row r="53">
      <c r="A53" s="40" t="n">
        <v>47</v>
      </c>
      <c r="B53" s="15" t="inlineStr">
        <is>
          <t>Yedi liste özeti</t>
        </is>
      </c>
      <c r="C53" s="11">
        <f>IFERROR(_xlfn.TEXTJOIN(" | ",TRUE,"LISTE_1 İndirilecek=",TEXT(G43,"₺ #,##0"),"LISTE_2 Yüklenilen=",TEXT(G44,"₺ #,##0"),"LISTE_3 GÇB=",TEXT(G45,"₺ #,##0"),"LISTE_4 Satış=",TEXT(G46,"₺ #,##0"),"LISTE_5 Alış=",TEXT(G47,"₺ #,##0"),"LISTE_6 İade Cetveli=",TEXT(G48,"₺ #,##0"),"LISTE_7 Ek Belge=",TEXT(G49,"0")),"")</f>
        <v/>
      </c>
      <c r="D53" s="42" t="inlineStr">
        <is>
          <t>metin</t>
        </is>
      </c>
      <c r="E53" s="43" t="inlineStr">
        <is>
          <t>kil_yediListe gövdesi</t>
        </is>
      </c>
      <c r="F53" s="14" t="inlineStr">
        <is>
          <t>KIL-001</t>
        </is>
      </c>
      <c r="G53" s="17">
        <f>IFERROR(_xlfn.TEXTJOIN(" | ",TRUE,"LISTE_1 İndirilecek=",TEXT(G43,"₺ #,##0"),"LISTE_2 Yüklenilen=",TEXT(G44,"₺ #,##0"),"LISTE_3 GÇB=",TEXT(G45,"₺ #,##0"),"LISTE_4 Satış=",TEXT(G46,"₺ #,##0"),"LISTE_5 Alış=",TEXT(G47,"₺ #,##0"),"LISTE_6 İade Cetveli=",TEXT(G48,"₺ #,##0"),"LISTE_7 Ek Belge=",TEXT(G49,"0")),"")</f>
        <v/>
      </c>
    </row>
    <row r="54">
      <c r="A54" s="40" t="n">
        <v>48</v>
      </c>
      <c r="B54" s="15" t="inlineStr">
        <is>
          <t>Liste sayfaları adları</t>
        </is>
      </c>
      <c r="C54" s="11">
        <f>IFERROR(_xlfn.TEXTJOIN(" | ",TRUE,"LISTE_1: İndirilecek KDV Listesi","LISTE_2: Yüklenilen KDV Listesi","LISTE_3: GÇB Listesi","LISTE_4: Satış Faturaları Listesi","LISTE_5: Alış Faturaları Listesi","LISTE_6: İade Hesap Cetveli","LISTE_7: Ek Belge / Tamamlayıcı Liste"),"")</f>
        <v/>
      </c>
      <c r="D54" s="42" t="inlineStr">
        <is>
          <t>metin</t>
        </is>
      </c>
      <c r="E54" s="43" t="inlineStr">
        <is>
          <t>kil_listeSayfalari gövdesi</t>
        </is>
      </c>
      <c r="F54" s="14" t="inlineStr">
        <is>
          <t>KIL-001</t>
        </is>
      </c>
      <c r="G54" s="17">
        <f>IFERROR(_xlfn.TEXTJOIN(" | ",TRUE,"LISTE_1: İndirilecek KDV Listesi","LISTE_2: Yüklenilen KDV Listesi","LISTE_3: GÇB Listesi","LISTE_4: Satış Faturaları Listesi","LISTE_5: Alış Faturaları Listesi","LISTE_6: İade Hesap Cetveli","LISTE_7: Ek Belge / Tamamlayıcı Liste"),"")</f>
        <v/>
      </c>
    </row>
    <row r="55">
      <c r="A55" s="40" t="n">
        <v>49</v>
      </c>
      <c r="B55" s="15" t="inlineStr">
        <is>
          <t>Liste dağılım oranı</t>
        </is>
      </c>
      <c r="C55" s="44">
        <f>IFERROR(IF(G14=0,0,G13/G14),0)</f>
        <v/>
      </c>
      <c r="D55" s="42" t="inlineStr">
        <is>
          <t>oran</t>
        </is>
      </c>
      <c r="E55" s="43" t="inlineStr">
        <is>
          <t>İndirilecek/yüklenen</t>
        </is>
      </c>
      <c r="F55" s="14" t="inlineStr">
        <is>
          <t>KIL-001</t>
        </is>
      </c>
      <c r="G55" s="18">
        <f>IFERROR(IF(G14=0,0,G13/G14),0)</f>
        <v/>
      </c>
    </row>
    <row r="56">
      <c r="A56" s="40" t="n">
        <v>50</v>
      </c>
      <c r="B56" s="15" t="inlineStr">
        <is>
          <t>Net / yüklenen oranı</t>
        </is>
      </c>
      <c r="C56" s="44">
        <f>IFERROR(IF(G14=0,0,G20/G14),0)</f>
        <v/>
      </c>
      <c r="D56" s="42" t="inlineStr">
        <is>
          <t>oran</t>
        </is>
      </c>
      <c r="E56" s="43" t="inlineStr">
        <is>
          <t>Net yüklenen payı</t>
        </is>
      </c>
      <c r="F56" s="14" t="inlineStr">
        <is>
          <t>KIL-001</t>
        </is>
      </c>
      <c r="G56" s="18">
        <f>IFERROR(IF(G14=0,0,G20/G14),0)</f>
        <v/>
      </c>
    </row>
    <row r="57">
      <c r="A57" s="40" t="n">
        <v>51</v>
      </c>
      <c r="B57" s="15" t="inlineStr">
        <is>
          <t>İade / talep oranı</t>
        </is>
      </c>
      <c r="C57" s="44">
        <f>IFERROR(IF(G18=0,0,G25/G18),0)</f>
        <v/>
      </c>
      <c r="D57" s="42" t="inlineStr">
        <is>
          <t>oran</t>
        </is>
      </c>
      <c r="E57" s="43" t="inlineStr">
        <is>
          <t>Karşılama oranı</t>
        </is>
      </c>
      <c r="F57" s="14" t="inlineStr">
        <is>
          <t>KIL-002</t>
        </is>
      </c>
      <c r="G57" s="18">
        <f>IFERROR(IF(G18=0,0,G25/G18),0)</f>
        <v/>
      </c>
    </row>
    <row r="58">
      <c r="A58" s="40" t="n">
        <v>52</v>
      </c>
      <c r="B58" s="15" t="inlineStr">
        <is>
          <t>Belge durum bayrağı</t>
        </is>
      </c>
      <c r="C58" s="41">
        <f>IFERROR(IF(G17&gt;G11,1,0),0)</f>
        <v/>
      </c>
      <c r="D58" s="42" t="inlineStr">
        <is>
          <t>bayrak</t>
        </is>
      </c>
      <c r="E58" s="43" t="inlineStr">
        <is>
          <t>Eksik belge bayrağı</t>
        </is>
      </c>
      <c r="F58" s="14" t="inlineStr">
        <is>
          <t>KIL-004</t>
        </is>
      </c>
      <c r="G58" s="29">
        <f>IFERROR(IF(G17&gt;G11,1,0),0)</f>
        <v/>
      </c>
    </row>
    <row r="60">
      <c r="I60" s="22" t="inlineStr">
        <is>
          <t>Motor adımları kilitlidir; oranlar yalnızca KURALLAR'dan gelir.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3:G3"/>
    <mergeCell ref="A1:AD1"/>
    <mergeCell ref="A4:G4"/>
  </mergeCells>
  <conditionalFormatting sqref="G7:G70">
    <cfRule type="cellIs" priority="1" operator="lessThan" dxfId="4">
      <formula>0</formula>
    </cfRule>
  </conditionalFormatting>
  <conditionalFormatting sqref="F7:F70">
    <cfRule type="expression" priority="2" dxfId="6">
      <formula>F7="KIL-001"</formula>
    </cfRule>
    <cfRule type="expression" priority="3" dxfId="4">
      <formula>F7="KIL-004"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F4E79"/>
    <outlinePr summaryBelow="1" summaryRight="1"/>
    <pageSetUpPr/>
  </sheetPr>
  <dimension ref="A1:AD2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2" customWidth="1" min="5" max="5"/>
    <col width="14" customWidth="1" min="6" max="6"/>
    <col width="18" customWidth="1" min="7" max="7"/>
    <col width="12" customWidth="1" min="8" max="8"/>
    <col width="22" customWidth="1" min="10" max="10"/>
    <col width="55" customWidth="1" min="11" max="11"/>
  </cols>
  <sheetData>
    <row r="1" ht="26" customHeight="1">
      <c r="A1" s="1" t="inlineStr">
        <is>
          <t>LISTE 1 — KDV İade Listesi Robotu (GİB 7 Liste)</t>
        </is>
      </c>
    </row>
    <row r="3">
      <c r="A3" s="36" t="inlineStr">
        <is>
          <t>LISTE_1: İndirilecek KDV Listesi</t>
        </is>
      </c>
    </row>
    <row r="4">
      <c r="A4" s="22" t="inlineStr">
        <is>
          <t>Sarı satırlar manuel satır girişi; canlı özet MOTOR'dan gelir.</t>
        </is>
      </c>
    </row>
    <row r="6" ht="30" customHeight="1">
      <c r="A6" s="13" t="inlineStr">
        <is>
          <t>Satır Numarası</t>
        </is>
      </c>
      <c r="B6" s="13" t="inlineStr">
        <is>
          <t>Belge/Kalem</t>
        </is>
      </c>
      <c r="C6" s="13" t="inlineStr">
        <is>
          <t>Tutar</t>
        </is>
      </c>
      <c r="D6" s="13" t="inlineStr">
        <is>
          <t>KDV</t>
        </is>
      </c>
      <c r="E6" s="13" t="inlineStr">
        <is>
          <t>Kaynak</t>
        </is>
      </c>
      <c r="F6" s="13" t="inlineStr">
        <is>
          <t>Durum</t>
        </is>
      </c>
      <c r="G6" s="13" t="inlineStr">
        <is>
          <t>Not</t>
        </is>
      </c>
      <c r="H6" s="13" t="inlineStr">
        <is>
          <t>Kontrol</t>
        </is>
      </c>
      <c r="M6" s="46" t="inlineStr">
        <is>
          <t>Demo</t>
        </is>
      </c>
    </row>
    <row r="7">
      <c r="A7" s="47" t="n">
        <v>1</v>
      </c>
      <c r="B7" s="48" t="inlineStr">
        <is>
          <t>Alış faturası A1</t>
        </is>
      </c>
      <c r="C7" s="49" t="n">
        <v>400000</v>
      </c>
      <c r="D7" s="49" t="n">
        <v>80000</v>
      </c>
      <c r="E7" s="48" t="inlineStr">
        <is>
          <t>GIRDI</t>
        </is>
      </c>
      <c r="F7" s="48" t="inlineStr">
        <is>
          <t>TAM</t>
        </is>
      </c>
      <c r="G7" s="48" t="inlineStr">
        <is>
          <t>Demo</t>
        </is>
      </c>
      <c r="H7" s="48" t="inlineStr">
        <is>
          <t>TAM</t>
        </is>
      </c>
      <c r="J7" s="10" t="inlineStr">
        <is>
          <t>Canlı indirilecek (MOTOR)</t>
        </is>
      </c>
      <c r="K7" s="28">
        <f>IFERROR(kil_liste1,0)</f>
        <v/>
      </c>
      <c r="M7" s="20" t="n">
        <v>400000</v>
      </c>
    </row>
    <row r="8">
      <c r="A8" s="47" t="n">
        <v>2</v>
      </c>
      <c r="B8" s="48" t="inlineStr">
        <is>
          <t>Alış faturası A2</t>
        </is>
      </c>
      <c r="C8" s="49" t="n">
        <v>300000</v>
      </c>
      <c r="D8" s="49" t="n">
        <v>60000</v>
      </c>
      <c r="E8" s="48" t="inlineStr">
        <is>
          <t>GIRDI</t>
        </is>
      </c>
      <c r="F8" s="48" t="inlineStr">
        <is>
          <t>TAM</t>
        </is>
      </c>
      <c r="G8" s="48" t="inlineStr">
        <is>
          <t>Demo</t>
        </is>
      </c>
      <c r="H8" s="48" t="inlineStr">
        <is>
          <t>TAM</t>
        </is>
      </c>
      <c r="J8" s="10" t="inlineStr">
        <is>
          <t>LISTE_1 özet metni</t>
        </is>
      </c>
      <c r="K8" s="11">
        <f>IFERROR(_xlfn.TEXTJOIN(" | ",TRUE,"LISTE_1","İndirilecek KDV Listesi","Özet=",TEXT(K7,"₺ #,##0")),"-")</f>
        <v/>
      </c>
      <c r="M8" s="20" t="n">
        <v>300000</v>
      </c>
    </row>
    <row r="9">
      <c r="A9" s="47" t="n">
        <v>3</v>
      </c>
      <c r="B9" s="48" t="inlineStr">
        <is>
          <t>Alış faturası A3</t>
        </is>
      </c>
      <c r="C9" s="49" t="n">
        <v>100000</v>
      </c>
      <c r="D9" s="49" t="n">
        <v>20000</v>
      </c>
      <c r="E9" s="48" t="inlineStr">
        <is>
          <t>GIRDI</t>
        </is>
      </c>
      <c r="F9" s="48" t="inlineStr">
        <is>
          <t>TAM</t>
        </is>
      </c>
      <c r="G9" s="48" t="inlineStr">
        <is>
          <t>Demo</t>
        </is>
      </c>
      <c r="H9" s="48" t="inlineStr">
        <is>
          <t>TAM</t>
        </is>
      </c>
      <c r="M9" s="20" t="n">
        <v>100000</v>
      </c>
    </row>
    <row r="10">
      <c r="A10" s="30" t="n"/>
      <c r="B10" s="30" t="n"/>
      <c r="C10" s="30" t="n"/>
      <c r="D10" s="30" t="n"/>
      <c r="E10" s="30" t="n"/>
      <c r="F10" s="30" t="n"/>
      <c r="G10" s="30" t="n"/>
      <c r="H10" s="30" t="n"/>
    </row>
    <row r="11">
      <c r="A11" s="30" t="n"/>
      <c r="B11" s="30" t="n"/>
      <c r="C11" s="30" t="n"/>
      <c r="D11" s="30" t="n"/>
      <c r="E11" s="30" t="n"/>
      <c r="F11" s="30" t="n"/>
      <c r="G11" s="30" t="n"/>
      <c r="H11" s="30" t="n"/>
    </row>
    <row r="12">
      <c r="A12" s="30" t="n"/>
      <c r="B12" s="30" t="n"/>
      <c r="C12" s="30" t="n"/>
      <c r="D12" s="30" t="n"/>
      <c r="E12" s="30" t="n"/>
      <c r="F12" s="30" t="n"/>
      <c r="G12" s="30" t="n"/>
      <c r="H12" s="30" t="n"/>
    </row>
    <row r="13">
      <c r="A13" s="30" t="n"/>
      <c r="B13" s="30" t="n"/>
      <c r="C13" s="30" t="n"/>
      <c r="D13" s="30" t="n"/>
      <c r="E13" s="30" t="n"/>
      <c r="F13" s="30" t="n"/>
      <c r="G13" s="30" t="n"/>
      <c r="H13" s="30" t="n"/>
    </row>
    <row r="14">
      <c r="A14" s="30" t="n"/>
      <c r="B14" s="30" t="n"/>
      <c r="C14" s="30" t="n"/>
      <c r="D14" s="30" t="n"/>
      <c r="E14" s="30" t="n"/>
      <c r="F14" s="30" t="n"/>
      <c r="G14" s="30" t="n"/>
      <c r="H14" s="30" t="n"/>
    </row>
    <row r="15">
      <c r="A15" s="30" t="n"/>
      <c r="B15" s="30" t="n"/>
      <c r="C15" s="30" t="n"/>
      <c r="D15" s="30" t="n"/>
      <c r="E15" s="30" t="n"/>
      <c r="F15" s="30" t="n"/>
      <c r="G15" s="30" t="n"/>
      <c r="H15" s="30" t="n"/>
    </row>
    <row r="16">
      <c r="A16" s="30" t="n"/>
      <c r="B16" s="30" t="n"/>
      <c r="C16" s="30" t="n"/>
      <c r="D16" s="30" t="n"/>
      <c r="E16" s="30" t="n"/>
      <c r="F16" s="30" t="n"/>
      <c r="G16" s="30" t="n"/>
      <c r="H16" s="30" t="n"/>
    </row>
    <row r="17">
      <c r="A17" s="30" t="n"/>
      <c r="B17" s="30" t="n"/>
      <c r="C17" s="30" t="n"/>
      <c r="D17" s="30" t="n"/>
      <c r="E17" s="30" t="n"/>
      <c r="F17" s="30" t="n"/>
      <c r="G17" s="30" t="n"/>
      <c r="H17" s="30" t="n"/>
    </row>
    <row r="18">
      <c r="A18" s="30" t="n"/>
      <c r="B18" s="30" t="n"/>
      <c r="C18" s="30" t="n"/>
      <c r="D18" s="30" t="n"/>
      <c r="E18" s="30" t="n"/>
      <c r="F18" s="30" t="n"/>
      <c r="G18" s="30" t="n"/>
      <c r="H18" s="30" t="n"/>
    </row>
    <row r="19">
      <c r="A19" s="30" t="n"/>
      <c r="B19" s="30" t="n"/>
      <c r="C19" s="30" t="n"/>
      <c r="D19" s="30" t="n"/>
      <c r="E19" s="30" t="n"/>
      <c r="F19" s="30" t="n"/>
      <c r="G19" s="30" t="n"/>
      <c r="H19" s="30" t="n"/>
    </row>
    <row r="20">
      <c r="A20" s="30" t="n"/>
      <c r="B20" s="30" t="n"/>
      <c r="C20" s="30" t="n"/>
      <c r="D20" s="30" t="n"/>
      <c r="E20" s="30" t="n"/>
      <c r="F20" s="30" t="n"/>
      <c r="G20" s="30" t="n"/>
      <c r="H20" s="30" t="n"/>
    </row>
    <row r="21">
      <c r="A21" s="30" t="n"/>
      <c r="B21" s="30" t="n"/>
      <c r="C21" s="30" t="n"/>
      <c r="D21" s="30" t="n"/>
      <c r="E21" s="30" t="n"/>
      <c r="F21" s="30" t="n"/>
      <c r="G21" s="30" t="n"/>
      <c r="H21" s="30" t="n"/>
    </row>
    <row r="22">
      <c r="A22" s="30" t="n"/>
      <c r="B22" s="30" t="n"/>
      <c r="C22" s="30" t="n"/>
      <c r="D22" s="30" t="n"/>
      <c r="E22" s="30" t="n"/>
      <c r="F22" s="30" t="n"/>
      <c r="G22" s="30" t="n"/>
      <c r="H22" s="30" t="n"/>
    </row>
    <row r="23">
      <c r="A23" s="30" t="n"/>
      <c r="B23" s="30" t="n"/>
      <c r="C23" s="30" t="n"/>
      <c r="D23" s="30" t="n"/>
      <c r="E23" s="30" t="n"/>
      <c r="F23" s="30" t="n"/>
      <c r="G23" s="30" t="n"/>
      <c r="H23" s="30" t="n"/>
    </row>
    <row r="24">
      <c r="A24" s="30" t="n"/>
      <c r="B24" s="30" t="n"/>
      <c r="C24" s="30" t="n"/>
      <c r="D24" s="30" t="n"/>
      <c r="E24" s="30" t="n"/>
      <c r="F24" s="30" t="n"/>
      <c r="G24" s="30" t="n"/>
      <c r="H24" s="30" t="n"/>
    </row>
    <row r="25">
      <c r="A25" s="30" t="n"/>
      <c r="B25" s="30" t="n"/>
      <c r="C25" s="30" t="n"/>
      <c r="D25" s="30" t="n"/>
      <c r="E25" s="30" t="n"/>
      <c r="F25" s="30" t="n"/>
      <c r="G25" s="30" t="n"/>
      <c r="H25" s="30" t="n"/>
    </row>
    <row r="26">
      <c r="A26" s="30" t="n"/>
      <c r="B26" s="30" t="n"/>
      <c r="C26" s="30" t="n"/>
      <c r="D26" s="30" t="n"/>
      <c r="E26" s="30" t="n"/>
      <c r="F26" s="30" t="n"/>
      <c r="G26" s="30" t="n"/>
      <c r="H26" s="30" t="n"/>
    </row>
    <row r="27">
      <c r="A27" s="30" t="n"/>
      <c r="B27" s="30" t="n"/>
      <c r="C27" s="30" t="n"/>
      <c r="D27" s="30" t="n"/>
      <c r="E27" s="30" t="n"/>
      <c r="F27" s="30" t="n"/>
      <c r="G27" s="30" t="n"/>
      <c r="H27" s="30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4:H4"/>
    <mergeCell ref="A3:H3"/>
    <mergeCell ref="A1:AD1"/>
  </mergeCells>
  <conditionalFormatting sqref="C7:C20">
    <cfRule type="cellIs" priority="1" operator="lessThan" dxfId="4">
      <formula>0</formula>
    </cfRule>
  </conditionalFormatting>
  <conditionalFormatting sqref="H7:H20">
    <cfRule type="expression" priority="2" dxfId="1">
      <formula>H7="EKSİK"</formula>
    </cfRule>
    <cfRule type="expression" priority="3" dxfId="0">
      <formula>H7="TAM"</formula>
    </cfRule>
  </conditionalFormatting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tabColor rgb="002E75B6"/>
    <outlinePr summaryBelow="1" summaryRight="1"/>
    <pageSetUpPr/>
  </sheetPr>
  <dimension ref="A1:AD2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2" customWidth="1" min="5" max="5"/>
    <col width="14" customWidth="1" min="6" max="6"/>
    <col width="18" customWidth="1" min="7" max="7"/>
    <col width="12" customWidth="1" min="8" max="8"/>
    <col width="22" customWidth="1" min="10" max="10"/>
    <col width="55" customWidth="1" min="11" max="11"/>
  </cols>
  <sheetData>
    <row r="1" ht="26" customHeight="1">
      <c r="A1" s="1" t="inlineStr">
        <is>
          <t>LISTE 2 — KDV İade Listesi Robotu (GİB 7 Liste)</t>
        </is>
      </c>
    </row>
    <row r="3">
      <c r="A3" s="36" t="inlineStr">
        <is>
          <t>LISTE_2: Yüklenilen KDV Listesi</t>
        </is>
      </c>
    </row>
    <row r="4">
      <c r="A4" s="22" t="inlineStr">
        <is>
          <t>Sarı satırlar manuel satır girişi; canlı özet MOTOR'dan gelir.</t>
        </is>
      </c>
    </row>
    <row r="6" ht="30" customHeight="1">
      <c r="A6" s="13" t="inlineStr">
        <is>
          <t>Satır Numarası</t>
        </is>
      </c>
      <c r="B6" s="13" t="inlineStr">
        <is>
          <t>Belge/Kalem</t>
        </is>
      </c>
      <c r="C6" s="13" t="inlineStr">
        <is>
          <t>Tutar</t>
        </is>
      </c>
      <c r="D6" s="13" t="inlineStr">
        <is>
          <t>KDV</t>
        </is>
      </c>
      <c r="E6" s="13" t="inlineStr">
        <is>
          <t>Kaynak</t>
        </is>
      </c>
      <c r="F6" s="13" t="inlineStr">
        <is>
          <t>Durum</t>
        </is>
      </c>
      <c r="G6" s="13" t="inlineStr">
        <is>
          <t>Not</t>
        </is>
      </c>
      <c r="H6" s="13" t="inlineStr">
        <is>
          <t>Kontrol</t>
        </is>
      </c>
      <c r="M6" s="46" t="inlineStr">
        <is>
          <t>Demo</t>
        </is>
      </c>
    </row>
    <row r="7">
      <c r="A7" s="47" t="n">
        <v>1</v>
      </c>
      <c r="B7" s="48" t="inlineStr">
        <is>
          <t>Yüklenen kalem Y1</t>
        </is>
      </c>
      <c r="C7" s="49" t="n">
        <v>1000000</v>
      </c>
      <c r="D7" s="49" t="n">
        <v>200000</v>
      </c>
      <c r="E7" s="48" t="inlineStr">
        <is>
          <t>GIRDI</t>
        </is>
      </c>
      <c r="F7" s="48" t="inlineStr">
        <is>
          <t>TAM</t>
        </is>
      </c>
      <c r="G7" s="48" t="inlineStr">
        <is>
          <t>Demo</t>
        </is>
      </c>
      <c r="H7" s="48" t="inlineStr">
        <is>
          <t>TAM</t>
        </is>
      </c>
      <c r="J7" s="10" t="inlineStr">
        <is>
          <t>Canlı yüklenilen (MOTOR)</t>
        </is>
      </c>
      <c r="K7" s="28">
        <f>IFERROR(kil_liste2,0)</f>
        <v/>
      </c>
      <c r="M7" s="20" t="n">
        <v>1000000</v>
      </c>
    </row>
    <row r="8">
      <c r="A8" s="47" t="n">
        <v>2</v>
      </c>
      <c r="B8" s="48" t="inlineStr">
        <is>
          <t>Yüklenen kalem Y2</t>
        </is>
      </c>
      <c r="C8" s="49" t="n">
        <v>700000</v>
      </c>
      <c r="D8" s="49" t="n">
        <v>140000</v>
      </c>
      <c r="E8" s="48" t="inlineStr">
        <is>
          <t>GIRDI</t>
        </is>
      </c>
      <c r="F8" s="48" t="inlineStr">
        <is>
          <t>TAM</t>
        </is>
      </c>
      <c r="G8" s="48" t="inlineStr">
        <is>
          <t>Demo</t>
        </is>
      </c>
      <c r="H8" s="48" t="inlineStr">
        <is>
          <t>TAM</t>
        </is>
      </c>
      <c r="J8" s="10" t="inlineStr">
        <is>
          <t>LISTE_2 özet metni</t>
        </is>
      </c>
      <c r="K8" s="11">
        <f>IFERROR(_xlfn.TEXTJOIN(" | ",TRUE,"LISTE_2","Yüklenilen KDV Listesi","Özet=",TEXT(K7,"₺ #,##0")),"-")</f>
        <v/>
      </c>
      <c r="M8" s="20" t="n">
        <v>700000</v>
      </c>
    </row>
    <row r="9">
      <c r="A9" s="47" t="n">
        <v>3</v>
      </c>
      <c r="B9" s="48" t="inlineStr">
        <is>
          <t>Yüklenen kalem Y3</t>
        </is>
      </c>
      <c r="C9" s="49" t="n">
        <v>300000</v>
      </c>
      <c r="D9" s="49" t="n">
        <v>60000</v>
      </c>
      <c r="E9" s="48" t="inlineStr">
        <is>
          <t>GIRDI</t>
        </is>
      </c>
      <c r="F9" s="48" t="inlineStr">
        <is>
          <t>TAM</t>
        </is>
      </c>
      <c r="G9" s="48" t="inlineStr">
        <is>
          <t>Demo</t>
        </is>
      </c>
      <c r="H9" s="48" t="inlineStr">
        <is>
          <t>TAM</t>
        </is>
      </c>
      <c r="M9" s="20" t="n">
        <v>300000</v>
      </c>
    </row>
    <row r="10">
      <c r="A10" s="30" t="n"/>
      <c r="B10" s="30" t="n"/>
      <c r="C10" s="30" t="n"/>
      <c r="D10" s="30" t="n"/>
      <c r="E10" s="30" t="n"/>
      <c r="F10" s="30" t="n"/>
      <c r="G10" s="30" t="n"/>
      <c r="H10" s="30" t="n"/>
    </row>
    <row r="11">
      <c r="A11" s="30" t="n"/>
      <c r="B11" s="30" t="n"/>
      <c r="C11" s="30" t="n"/>
      <c r="D11" s="30" t="n"/>
      <c r="E11" s="30" t="n"/>
      <c r="F11" s="30" t="n"/>
      <c r="G11" s="30" t="n"/>
      <c r="H11" s="30" t="n"/>
    </row>
    <row r="12">
      <c r="A12" s="30" t="n"/>
      <c r="B12" s="30" t="n"/>
      <c r="C12" s="30" t="n"/>
      <c r="D12" s="30" t="n"/>
      <c r="E12" s="30" t="n"/>
      <c r="F12" s="30" t="n"/>
      <c r="G12" s="30" t="n"/>
      <c r="H12" s="30" t="n"/>
    </row>
    <row r="13">
      <c r="A13" s="30" t="n"/>
      <c r="B13" s="30" t="n"/>
      <c r="C13" s="30" t="n"/>
      <c r="D13" s="30" t="n"/>
      <c r="E13" s="30" t="n"/>
      <c r="F13" s="30" t="n"/>
      <c r="G13" s="30" t="n"/>
      <c r="H13" s="30" t="n"/>
    </row>
    <row r="14">
      <c r="A14" s="30" t="n"/>
      <c r="B14" s="30" t="n"/>
      <c r="C14" s="30" t="n"/>
      <c r="D14" s="30" t="n"/>
      <c r="E14" s="30" t="n"/>
      <c r="F14" s="30" t="n"/>
      <c r="G14" s="30" t="n"/>
      <c r="H14" s="30" t="n"/>
    </row>
    <row r="15">
      <c r="A15" s="30" t="n"/>
      <c r="B15" s="30" t="n"/>
      <c r="C15" s="30" t="n"/>
      <c r="D15" s="30" t="n"/>
      <c r="E15" s="30" t="n"/>
      <c r="F15" s="30" t="n"/>
      <c r="G15" s="30" t="n"/>
      <c r="H15" s="30" t="n"/>
    </row>
    <row r="16">
      <c r="A16" s="30" t="n"/>
      <c r="B16" s="30" t="n"/>
      <c r="C16" s="30" t="n"/>
      <c r="D16" s="30" t="n"/>
      <c r="E16" s="30" t="n"/>
      <c r="F16" s="30" t="n"/>
      <c r="G16" s="30" t="n"/>
      <c r="H16" s="30" t="n"/>
    </row>
    <row r="17">
      <c r="A17" s="30" t="n"/>
      <c r="B17" s="30" t="n"/>
      <c r="C17" s="30" t="n"/>
      <c r="D17" s="30" t="n"/>
      <c r="E17" s="30" t="n"/>
      <c r="F17" s="30" t="n"/>
      <c r="G17" s="30" t="n"/>
      <c r="H17" s="30" t="n"/>
    </row>
    <row r="18">
      <c r="A18" s="30" t="n"/>
      <c r="B18" s="30" t="n"/>
      <c r="C18" s="30" t="n"/>
      <c r="D18" s="30" t="n"/>
      <c r="E18" s="30" t="n"/>
      <c r="F18" s="30" t="n"/>
      <c r="G18" s="30" t="n"/>
      <c r="H18" s="30" t="n"/>
    </row>
    <row r="19">
      <c r="A19" s="30" t="n"/>
      <c r="B19" s="30" t="n"/>
      <c r="C19" s="30" t="n"/>
      <c r="D19" s="30" t="n"/>
      <c r="E19" s="30" t="n"/>
      <c r="F19" s="30" t="n"/>
      <c r="G19" s="30" t="n"/>
      <c r="H19" s="30" t="n"/>
    </row>
    <row r="20">
      <c r="A20" s="30" t="n"/>
      <c r="B20" s="30" t="n"/>
      <c r="C20" s="30" t="n"/>
      <c r="D20" s="30" t="n"/>
      <c r="E20" s="30" t="n"/>
      <c r="F20" s="30" t="n"/>
      <c r="G20" s="30" t="n"/>
      <c r="H20" s="30" t="n"/>
    </row>
    <row r="21">
      <c r="A21" s="30" t="n"/>
      <c r="B21" s="30" t="n"/>
      <c r="C21" s="30" t="n"/>
      <c r="D21" s="30" t="n"/>
      <c r="E21" s="30" t="n"/>
      <c r="F21" s="30" t="n"/>
      <c r="G21" s="30" t="n"/>
      <c r="H21" s="30" t="n"/>
    </row>
    <row r="22">
      <c r="A22" s="30" t="n"/>
      <c r="B22" s="30" t="n"/>
      <c r="C22" s="30" t="n"/>
      <c r="D22" s="30" t="n"/>
      <c r="E22" s="30" t="n"/>
      <c r="F22" s="30" t="n"/>
      <c r="G22" s="30" t="n"/>
      <c r="H22" s="30" t="n"/>
    </row>
    <row r="23">
      <c r="A23" s="30" t="n"/>
      <c r="B23" s="30" t="n"/>
      <c r="C23" s="30" t="n"/>
      <c r="D23" s="30" t="n"/>
      <c r="E23" s="30" t="n"/>
      <c r="F23" s="30" t="n"/>
      <c r="G23" s="30" t="n"/>
      <c r="H23" s="30" t="n"/>
    </row>
    <row r="24">
      <c r="A24" s="30" t="n"/>
      <c r="B24" s="30" t="n"/>
      <c r="C24" s="30" t="n"/>
      <c r="D24" s="30" t="n"/>
      <c r="E24" s="30" t="n"/>
      <c r="F24" s="30" t="n"/>
      <c r="G24" s="30" t="n"/>
      <c r="H24" s="30" t="n"/>
    </row>
    <row r="25">
      <c r="A25" s="30" t="n"/>
      <c r="B25" s="30" t="n"/>
      <c r="C25" s="30" t="n"/>
      <c r="D25" s="30" t="n"/>
      <c r="E25" s="30" t="n"/>
      <c r="F25" s="30" t="n"/>
      <c r="G25" s="30" t="n"/>
      <c r="H25" s="30" t="n"/>
    </row>
    <row r="26">
      <c r="A26" s="30" t="n"/>
      <c r="B26" s="30" t="n"/>
      <c r="C26" s="30" t="n"/>
      <c r="D26" s="30" t="n"/>
      <c r="E26" s="30" t="n"/>
      <c r="F26" s="30" t="n"/>
      <c r="G26" s="30" t="n"/>
      <c r="H26" s="30" t="n"/>
    </row>
    <row r="27">
      <c r="A27" s="30" t="n"/>
      <c r="B27" s="30" t="n"/>
      <c r="C27" s="30" t="n"/>
      <c r="D27" s="30" t="n"/>
      <c r="E27" s="30" t="n"/>
      <c r="F27" s="30" t="n"/>
      <c r="G27" s="30" t="n"/>
      <c r="H27" s="30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4:H4"/>
    <mergeCell ref="A3:H3"/>
    <mergeCell ref="A1:AD1"/>
  </mergeCells>
  <conditionalFormatting sqref="C7:C20">
    <cfRule type="cellIs" priority="1" operator="lessThan" dxfId="4">
      <formula>0</formula>
    </cfRule>
  </conditionalFormatting>
  <conditionalFormatting sqref="H7:H20">
    <cfRule type="expression" priority="2" dxfId="1">
      <formula>H7="EKSİK"</formula>
    </cfRule>
    <cfRule type="expression" priority="3" dxfId="0">
      <formula>H7="TAM"</formula>
    </cfRule>
  </conditionalFormatting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tabColor rgb="00548235"/>
    <outlinePr summaryBelow="1" summaryRight="1"/>
    <pageSetUpPr/>
  </sheetPr>
  <dimension ref="A1:AD2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2" customWidth="1" min="5" max="5"/>
    <col width="14" customWidth="1" min="6" max="6"/>
    <col width="18" customWidth="1" min="7" max="7"/>
    <col width="12" customWidth="1" min="8" max="8"/>
    <col width="22" customWidth="1" min="10" max="10"/>
    <col width="55" customWidth="1" min="11" max="11"/>
  </cols>
  <sheetData>
    <row r="1" ht="26" customHeight="1">
      <c r="A1" s="1" t="inlineStr">
        <is>
          <t>LISTE 3 — KDV İade Listesi Robotu (GİB 7 Liste)</t>
        </is>
      </c>
    </row>
    <row r="3">
      <c r="A3" s="36" t="inlineStr">
        <is>
          <t>LISTE_3: GÇB Listesi</t>
        </is>
      </c>
    </row>
    <row r="4">
      <c r="A4" s="22" t="inlineStr">
        <is>
          <t>Sarı satırlar manuel satır girişi; canlı özet MOTOR'dan gelir.</t>
        </is>
      </c>
    </row>
    <row r="6" ht="30" customHeight="1">
      <c r="A6" s="13" t="inlineStr">
        <is>
          <t>Satır Numarası</t>
        </is>
      </c>
      <c r="B6" s="13" t="inlineStr">
        <is>
          <t>Belge/Kalem</t>
        </is>
      </c>
      <c r="C6" s="13" t="inlineStr">
        <is>
          <t>Tutar</t>
        </is>
      </c>
      <c r="D6" s="13" t="inlineStr">
        <is>
          <t>KDV</t>
        </is>
      </c>
      <c r="E6" s="13" t="inlineStr">
        <is>
          <t>Kaynak</t>
        </is>
      </c>
      <c r="F6" s="13" t="inlineStr">
        <is>
          <t>Durum</t>
        </is>
      </c>
      <c r="G6" s="13" t="inlineStr">
        <is>
          <t>Not</t>
        </is>
      </c>
      <c r="H6" s="13" t="inlineStr">
        <is>
          <t>Kontrol</t>
        </is>
      </c>
      <c r="M6" s="46" t="inlineStr">
        <is>
          <t>Demo</t>
        </is>
      </c>
    </row>
    <row r="7">
      <c r="A7" s="47" t="n">
        <v>1</v>
      </c>
      <c r="B7" s="48" t="inlineStr">
        <is>
          <t>GÇB-2026-001</t>
        </is>
      </c>
      <c r="C7" s="49" t="n">
        <v>2000000</v>
      </c>
      <c r="D7" s="27" t="n">
        <v>0</v>
      </c>
      <c r="E7" s="48" t="inlineStr">
        <is>
          <t>GIRDI</t>
        </is>
      </c>
      <c r="F7" s="48" t="inlineStr">
        <is>
          <t>TAM</t>
        </is>
      </c>
      <c r="G7" s="48" t="inlineStr">
        <is>
          <t>Hasılat</t>
        </is>
      </c>
      <c r="H7" s="48" t="inlineStr">
        <is>
          <t>TAM</t>
        </is>
      </c>
      <c r="J7" s="10" t="inlineStr">
        <is>
          <t>Canlı GÇB (MOTOR)</t>
        </is>
      </c>
      <c r="K7" s="28">
        <f>IFERROR(kil_liste3,0)</f>
        <v/>
      </c>
      <c r="M7" s="20" t="n">
        <v>2000000</v>
      </c>
    </row>
    <row r="8">
      <c r="A8" s="47" t="n">
        <v>2</v>
      </c>
      <c r="B8" s="48" t="inlineStr">
        <is>
          <t>GÇB-2026-002</t>
        </is>
      </c>
      <c r="C8" s="49" t="n">
        <v>1500000</v>
      </c>
      <c r="D8" s="27" t="n">
        <v>0</v>
      </c>
      <c r="E8" s="48" t="inlineStr">
        <is>
          <t>GIRDI</t>
        </is>
      </c>
      <c r="F8" s="48" t="inlineStr">
        <is>
          <t>TAM</t>
        </is>
      </c>
      <c r="G8" s="48" t="inlineStr">
        <is>
          <t>Hasılat</t>
        </is>
      </c>
      <c r="H8" s="48" t="inlineStr">
        <is>
          <t>TAM</t>
        </is>
      </c>
      <c r="J8" s="10" t="inlineStr">
        <is>
          <t>LISTE_3 özet metni</t>
        </is>
      </c>
      <c r="K8" s="11">
        <f>IFERROR(_xlfn.TEXTJOIN(" | ",TRUE,"LISTE_3","GÇB Listesi","Özet=",TEXT(K7,"₺ #,##0")),"-")</f>
        <v/>
      </c>
      <c r="M8" s="20" t="n">
        <v>1500000</v>
      </c>
    </row>
    <row r="9">
      <c r="A9" s="47" t="n">
        <v>3</v>
      </c>
      <c r="B9" s="48" t="inlineStr">
        <is>
          <t>GÇB-2026-003</t>
        </is>
      </c>
      <c r="C9" s="49" t="n">
        <v>1000000</v>
      </c>
      <c r="D9" s="27" t="n">
        <v>0</v>
      </c>
      <c r="E9" s="48" t="inlineStr">
        <is>
          <t>GIRDI</t>
        </is>
      </c>
      <c r="F9" s="48" t="inlineStr">
        <is>
          <t>TAM</t>
        </is>
      </c>
      <c r="G9" s="48" t="inlineStr">
        <is>
          <t>Hasılat</t>
        </is>
      </c>
      <c r="H9" s="48" t="inlineStr">
        <is>
          <t>TAM</t>
        </is>
      </c>
      <c r="M9" s="20" t="n">
        <v>1000000</v>
      </c>
    </row>
    <row r="10">
      <c r="A10" s="30" t="n"/>
      <c r="B10" s="30" t="n"/>
      <c r="C10" s="30" t="n"/>
      <c r="D10" s="30" t="n"/>
      <c r="E10" s="30" t="n"/>
      <c r="F10" s="30" t="n"/>
      <c r="G10" s="30" t="n"/>
      <c r="H10" s="30" t="n"/>
    </row>
    <row r="11">
      <c r="A11" s="30" t="n"/>
      <c r="B11" s="30" t="n"/>
      <c r="C11" s="30" t="n"/>
      <c r="D11" s="30" t="n"/>
      <c r="E11" s="30" t="n"/>
      <c r="F11" s="30" t="n"/>
      <c r="G11" s="30" t="n"/>
      <c r="H11" s="30" t="n"/>
    </row>
    <row r="12">
      <c r="A12" s="30" t="n"/>
      <c r="B12" s="30" t="n"/>
      <c r="C12" s="30" t="n"/>
      <c r="D12" s="30" t="n"/>
      <c r="E12" s="30" t="n"/>
      <c r="F12" s="30" t="n"/>
      <c r="G12" s="30" t="n"/>
      <c r="H12" s="30" t="n"/>
    </row>
    <row r="13">
      <c r="A13" s="30" t="n"/>
      <c r="B13" s="30" t="n"/>
      <c r="C13" s="30" t="n"/>
      <c r="D13" s="30" t="n"/>
      <c r="E13" s="30" t="n"/>
      <c r="F13" s="30" t="n"/>
      <c r="G13" s="30" t="n"/>
      <c r="H13" s="30" t="n"/>
    </row>
    <row r="14">
      <c r="A14" s="30" t="n"/>
      <c r="B14" s="30" t="n"/>
      <c r="C14" s="30" t="n"/>
      <c r="D14" s="30" t="n"/>
      <c r="E14" s="30" t="n"/>
      <c r="F14" s="30" t="n"/>
      <c r="G14" s="30" t="n"/>
      <c r="H14" s="30" t="n"/>
    </row>
    <row r="15">
      <c r="A15" s="30" t="n"/>
      <c r="B15" s="30" t="n"/>
      <c r="C15" s="30" t="n"/>
      <c r="D15" s="30" t="n"/>
      <c r="E15" s="30" t="n"/>
      <c r="F15" s="30" t="n"/>
      <c r="G15" s="30" t="n"/>
      <c r="H15" s="30" t="n"/>
    </row>
    <row r="16">
      <c r="A16" s="30" t="n"/>
      <c r="B16" s="30" t="n"/>
      <c r="C16" s="30" t="n"/>
      <c r="D16" s="30" t="n"/>
      <c r="E16" s="30" t="n"/>
      <c r="F16" s="30" t="n"/>
      <c r="G16" s="30" t="n"/>
      <c r="H16" s="30" t="n"/>
    </row>
    <row r="17">
      <c r="A17" s="30" t="n"/>
      <c r="B17" s="30" t="n"/>
      <c r="C17" s="30" t="n"/>
      <c r="D17" s="30" t="n"/>
      <c r="E17" s="30" t="n"/>
      <c r="F17" s="30" t="n"/>
      <c r="G17" s="30" t="n"/>
      <c r="H17" s="30" t="n"/>
    </row>
    <row r="18">
      <c r="A18" s="30" t="n"/>
      <c r="B18" s="30" t="n"/>
      <c r="C18" s="30" t="n"/>
      <c r="D18" s="30" t="n"/>
      <c r="E18" s="30" t="n"/>
      <c r="F18" s="30" t="n"/>
      <c r="G18" s="30" t="n"/>
      <c r="H18" s="30" t="n"/>
    </row>
    <row r="19">
      <c r="A19" s="30" t="n"/>
      <c r="B19" s="30" t="n"/>
      <c r="C19" s="30" t="n"/>
      <c r="D19" s="30" t="n"/>
      <c r="E19" s="30" t="n"/>
      <c r="F19" s="30" t="n"/>
      <c r="G19" s="30" t="n"/>
      <c r="H19" s="30" t="n"/>
    </row>
    <row r="20">
      <c r="A20" s="30" t="n"/>
      <c r="B20" s="30" t="n"/>
      <c r="C20" s="30" t="n"/>
      <c r="D20" s="30" t="n"/>
      <c r="E20" s="30" t="n"/>
      <c r="F20" s="30" t="n"/>
      <c r="G20" s="30" t="n"/>
      <c r="H20" s="30" t="n"/>
    </row>
    <row r="21">
      <c r="A21" s="30" t="n"/>
      <c r="B21" s="30" t="n"/>
      <c r="C21" s="30" t="n"/>
      <c r="D21" s="30" t="n"/>
      <c r="E21" s="30" t="n"/>
      <c r="F21" s="30" t="n"/>
      <c r="G21" s="30" t="n"/>
      <c r="H21" s="30" t="n"/>
    </row>
    <row r="22">
      <c r="A22" s="30" t="n"/>
      <c r="B22" s="30" t="n"/>
      <c r="C22" s="30" t="n"/>
      <c r="D22" s="30" t="n"/>
      <c r="E22" s="30" t="n"/>
      <c r="F22" s="30" t="n"/>
      <c r="G22" s="30" t="n"/>
      <c r="H22" s="30" t="n"/>
    </row>
    <row r="23">
      <c r="A23" s="30" t="n"/>
      <c r="B23" s="30" t="n"/>
      <c r="C23" s="30" t="n"/>
      <c r="D23" s="30" t="n"/>
      <c r="E23" s="30" t="n"/>
      <c r="F23" s="30" t="n"/>
      <c r="G23" s="30" t="n"/>
      <c r="H23" s="30" t="n"/>
    </row>
    <row r="24">
      <c r="A24" s="30" t="n"/>
      <c r="B24" s="30" t="n"/>
      <c r="C24" s="30" t="n"/>
      <c r="D24" s="30" t="n"/>
      <c r="E24" s="30" t="n"/>
      <c r="F24" s="30" t="n"/>
      <c r="G24" s="30" t="n"/>
      <c r="H24" s="30" t="n"/>
    </row>
    <row r="25">
      <c r="A25" s="30" t="n"/>
      <c r="B25" s="30" t="n"/>
      <c r="C25" s="30" t="n"/>
      <c r="D25" s="30" t="n"/>
      <c r="E25" s="30" t="n"/>
      <c r="F25" s="30" t="n"/>
      <c r="G25" s="30" t="n"/>
      <c r="H25" s="30" t="n"/>
    </row>
    <row r="26">
      <c r="A26" s="30" t="n"/>
      <c r="B26" s="30" t="n"/>
      <c r="C26" s="30" t="n"/>
      <c r="D26" s="30" t="n"/>
      <c r="E26" s="30" t="n"/>
      <c r="F26" s="30" t="n"/>
      <c r="G26" s="30" t="n"/>
      <c r="H26" s="30" t="n"/>
    </row>
    <row r="27">
      <c r="A27" s="30" t="n"/>
      <c r="B27" s="30" t="n"/>
      <c r="C27" s="30" t="n"/>
      <c r="D27" s="30" t="n"/>
      <c r="E27" s="30" t="n"/>
      <c r="F27" s="30" t="n"/>
      <c r="G27" s="30" t="n"/>
      <c r="H27" s="30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4:H4"/>
    <mergeCell ref="A3:H3"/>
    <mergeCell ref="A1:AD1"/>
  </mergeCells>
  <conditionalFormatting sqref="C7:C20">
    <cfRule type="cellIs" priority="1" operator="lessThan" dxfId="4">
      <formula>0</formula>
    </cfRule>
  </conditionalFormatting>
  <conditionalFormatting sqref="H7:H20">
    <cfRule type="expression" priority="2" dxfId="1">
      <formula>H7="EKSİK"</formula>
    </cfRule>
    <cfRule type="expression" priority="3" dxfId="0">
      <formula>H7="TAM"</formula>
    </cfRule>
  </conditionalFormatting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tabColor rgb="00C45911"/>
    <outlinePr summaryBelow="1" summaryRight="1"/>
    <pageSetUpPr/>
  </sheetPr>
  <dimension ref="A1:AD2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2" customWidth="1" min="5" max="5"/>
    <col width="14" customWidth="1" min="6" max="6"/>
    <col width="18" customWidth="1" min="7" max="7"/>
    <col width="12" customWidth="1" min="8" max="8"/>
    <col width="22" customWidth="1" min="10" max="10"/>
    <col width="55" customWidth="1" min="11" max="11"/>
  </cols>
  <sheetData>
    <row r="1" ht="26" customHeight="1">
      <c r="A1" s="1" t="inlineStr">
        <is>
          <t>LISTE 4 — KDV İade Listesi Robotu (GİB 7 Liste)</t>
        </is>
      </c>
    </row>
    <row r="3">
      <c r="A3" s="36" t="inlineStr">
        <is>
          <t>LISTE_4: Satış Faturaları Listesi</t>
        </is>
      </c>
    </row>
    <row r="4">
      <c r="A4" s="22" t="inlineStr">
        <is>
          <t>Sarı satırlar manuel satır girişi; canlı özet MOTOR'dan gelir.</t>
        </is>
      </c>
    </row>
    <row r="6" ht="30" customHeight="1">
      <c r="A6" s="13" t="inlineStr">
        <is>
          <t>Satır Numarası</t>
        </is>
      </c>
      <c r="B6" s="13" t="inlineStr">
        <is>
          <t>Belge/Kalem</t>
        </is>
      </c>
      <c r="C6" s="13" t="inlineStr">
        <is>
          <t>Tutar</t>
        </is>
      </c>
      <c r="D6" s="13" t="inlineStr">
        <is>
          <t>KDV</t>
        </is>
      </c>
      <c r="E6" s="13" t="inlineStr">
        <is>
          <t>Kaynak</t>
        </is>
      </c>
      <c r="F6" s="13" t="inlineStr">
        <is>
          <t>Durum</t>
        </is>
      </c>
      <c r="G6" s="13" t="inlineStr">
        <is>
          <t>Not</t>
        </is>
      </c>
      <c r="H6" s="13" t="inlineStr">
        <is>
          <t>Kontrol</t>
        </is>
      </c>
    </row>
    <row r="7">
      <c r="A7" s="47" t="n">
        <v>1</v>
      </c>
      <c r="B7" s="48" t="inlineStr">
        <is>
          <t>Satış F-1001</t>
        </is>
      </c>
      <c r="C7" s="49" t="n">
        <v>2500000</v>
      </c>
      <c r="D7" s="27" t="n">
        <v>0</v>
      </c>
      <c r="E7" s="48" t="inlineStr">
        <is>
          <t>GIRDI</t>
        </is>
      </c>
      <c r="F7" s="48" t="inlineStr">
        <is>
          <t>TAM</t>
        </is>
      </c>
      <c r="G7" s="48" t="inlineStr">
        <is>
          <t>İhraç</t>
        </is>
      </c>
      <c r="H7" s="48" t="inlineStr">
        <is>
          <t>TAM</t>
        </is>
      </c>
      <c r="J7" s="10" t="inlineStr">
        <is>
          <t>Canlı satış/hasılat (MOTOR)</t>
        </is>
      </c>
      <c r="K7" s="28">
        <f>IFERROR(kil_liste4,0)</f>
        <v/>
      </c>
    </row>
    <row r="8">
      <c r="A8" s="47" t="n">
        <v>2</v>
      </c>
      <c r="B8" s="48" t="inlineStr">
        <is>
          <t>Satış F-1002</t>
        </is>
      </c>
      <c r="C8" s="49" t="n">
        <v>1500000</v>
      </c>
      <c r="D8" s="27" t="n">
        <v>0</v>
      </c>
      <c r="E8" s="48" t="inlineStr">
        <is>
          <t>GIRDI</t>
        </is>
      </c>
      <c r="F8" s="48" t="inlineStr">
        <is>
          <t>TAM</t>
        </is>
      </c>
      <c r="G8" s="48" t="inlineStr">
        <is>
          <t>İhraç</t>
        </is>
      </c>
      <c r="H8" s="48" t="inlineStr">
        <is>
          <t>TAM</t>
        </is>
      </c>
      <c r="J8" s="10" t="inlineStr">
        <is>
          <t>LISTE_4 özet metni</t>
        </is>
      </c>
      <c r="K8" s="11">
        <f>IFERROR(_xlfn.TEXTJOIN(" | ",TRUE,"LISTE_4","Satış Faturaları Listesi","Özet=",TEXT(K7,"₺ #,##0")),"-")</f>
        <v/>
      </c>
    </row>
    <row r="9">
      <c r="A9" s="47" t="n">
        <v>3</v>
      </c>
      <c r="B9" s="48" t="inlineStr">
        <is>
          <t>Satış F-1003</t>
        </is>
      </c>
      <c r="C9" s="49" t="n">
        <v>1000000</v>
      </c>
      <c r="D9" s="27" t="n">
        <v>0</v>
      </c>
      <c r="E9" s="48" t="inlineStr">
        <is>
          <t>GIRDI</t>
        </is>
      </c>
      <c r="F9" s="48" t="inlineStr">
        <is>
          <t>TAM</t>
        </is>
      </c>
      <c r="G9" s="48" t="inlineStr">
        <is>
          <t>İhraç</t>
        </is>
      </c>
      <c r="H9" s="48" t="inlineStr">
        <is>
          <t>TAM</t>
        </is>
      </c>
    </row>
    <row r="10">
      <c r="A10" s="30" t="n"/>
      <c r="B10" s="30" t="n"/>
      <c r="C10" s="30" t="n"/>
      <c r="D10" s="30" t="n"/>
      <c r="E10" s="30" t="n"/>
      <c r="F10" s="30" t="n"/>
      <c r="G10" s="30" t="n"/>
      <c r="H10" s="30" t="n"/>
    </row>
    <row r="11">
      <c r="A11" s="30" t="n"/>
      <c r="B11" s="30" t="n"/>
      <c r="C11" s="30" t="n"/>
      <c r="D11" s="30" t="n"/>
      <c r="E11" s="30" t="n"/>
      <c r="F11" s="30" t="n"/>
      <c r="G11" s="30" t="n"/>
      <c r="H11" s="30" t="n"/>
    </row>
    <row r="12">
      <c r="A12" s="30" t="n"/>
      <c r="B12" s="30" t="n"/>
      <c r="C12" s="30" t="n"/>
      <c r="D12" s="30" t="n"/>
      <c r="E12" s="30" t="n"/>
      <c r="F12" s="30" t="n"/>
      <c r="G12" s="30" t="n"/>
      <c r="H12" s="30" t="n"/>
    </row>
    <row r="13">
      <c r="A13" s="30" t="n"/>
      <c r="B13" s="30" t="n"/>
      <c r="C13" s="30" t="n"/>
      <c r="D13" s="30" t="n"/>
      <c r="E13" s="30" t="n"/>
      <c r="F13" s="30" t="n"/>
      <c r="G13" s="30" t="n"/>
      <c r="H13" s="30" t="n"/>
    </row>
    <row r="14">
      <c r="A14" s="30" t="n"/>
      <c r="B14" s="30" t="n"/>
      <c r="C14" s="30" t="n"/>
      <c r="D14" s="30" t="n"/>
      <c r="E14" s="30" t="n"/>
      <c r="F14" s="30" t="n"/>
      <c r="G14" s="30" t="n"/>
      <c r="H14" s="30" t="n"/>
    </row>
    <row r="15">
      <c r="A15" s="30" t="n"/>
      <c r="B15" s="30" t="n"/>
      <c r="C15" s="30" t="n"/>
      <c r="D15" s="30" t="n"/>
      <c r="E15" s="30" t="n"/>
      <c r="F15" s="30" t="n"/>
      <c r="G15" s="30" t="n"/>
      <c r="H15" s="30" t="n"/>
    </row>
    <row r="16">
      <c r="A16" s="30" t="n"/>
      <c r="B16" s="30" t="n"/>
      <c r="C16" s="30" t="n"/>
      <c r="D16" s="30" t="n"/>
      <c r="E16" s="30" t="n"/>
      <c r="F16" s="30" t="n"/>
      <c r="G16" s="30" t="n"/>
      <c r="H16" s="30" t="n"/>
    </row>
    <row r="17">
      <c r="A17" s="30" t="n"/>
      <c r="B17" s="30" t="n"/>
      <c r="C17" s="30" t="n"/>
      <c r="D17" s="30" t="n"/>
      <c r="E17" s="30" t="n"/>
      <c r="F17" s="30" t="n"/>
      <c r="G17" s="30" t="n"/>
      <c r="H17" s="30" t="n"/>
    </row>
    <row r="18">
      <c r="A18" s="30" t="n"/>
      <c r="B18" s="30" t="n"/>
      <c r="C18" s="30" t="n"/>
      <c r="D18" s="30" t="n"/>
      <c r="E18" s="30" t="n"/>
      <c r="F18" s="30" t="n"/>
      <c r="G18" s="30" t="n"/>
      <c r="H18" s="30" t="n"/>
    </row>
    <row r="19">
      <c r="A19" s="30" t="n"/>
      <c r="B19" s="30" t="n"/>
      <c r="C19" s="30" t="n"/>
      <c r="D19" s="30" t="n"/>
      <c r="E19" s="30" t="n"/>
      <c r="F19" s="30" t="n"/>
      <c r="G19" s="30" t="n"/>
      <c r="H19" s="30" t="n"/>
    </row>
    <row r="20">
      <c r="A20" s="30" t="n"/>
      <c r="B20" s="30" t="n"/>
      <c r="C20" s="30" t="n"/>
      <c r="D20" s="30" t="n"/>
      <c r="E20" s="30" t="n"/>
      <c r="F20" s="30" t="n"/>
      <c r="G20" s="30" t="n"/>
      <c r="H20" s="30" t="n"/>
    </row>
    <row r="21">
      <c r="A21" s="30" t="n"/>
      <c r="B21" s="30" t="n"/>
      <c r="C21" s="30" t="n"/>
      <c r="D21" s="30" t="n"/>
      <c r="E21" s="30" t="n"/>
      <c r="F21" s="30" t="n"/>
      <c r="G21" s="30" t="n"/>
      <c r="H21" s="30" t="n"/>
    </row>
    <row r="22">
      <c r="A22" s="30" t="n"/>
      <c r="B22" s="30" t="n"/>
      <c r="C22" s="30" t="n"/>
      <c r="D22" s="30" t="n"/>
      <c r="E22" s="30" t="n"/>
      <c r="F22" s="30" t="n"/>
      <c r="G22" s="30" t="n"/>
      <c r="H22" s="30" t="n"/>
    </row>
    <row r="23">
      <c r="A23" s="30" t="n"/>
      <c r="B23" s="30" t="n"/>
      <c r="C23" s="30" t="n"/>
      <c r="D23" s="30" t="n"/>
      <c r="E23" s="30" t="n"/>
      <c r="F23" s="30" t="n"/>
      <c r="G23" s="30" t="n"/>
      <c r="H23" s="30" t="n"/>
    </row>
    <row r="24">
      <c r="A24" s="30" t="n"/>
      <c r="B24" s="30" t="n"/>
      <c r="C24" s="30" t="n"/>
      <c r="D24" s="30" t="n"/>
      <c r="E24" s="30" t="n"/>
      <c r="F24" s="30" t="n"/>
      <c r="G24" s="30" t="n"/>
      <c r="H24" s="30" t="n"/>
    </row>
    <row r="25">
      <c r="A25" s="30" t="n"/>
      <c r="B25" s="30" t="n"/>
      <c r="C25" s="30" t="n"/>
      <c r="D25" s="30" t="n"/>
      <c r="E25" s="30" t="n"/>
      <c r="F25" s="30" t="n"/>
      <c r="G25" s="30" t="n"/>
      <c r="H25" s="30" t="n"/>
    </row>
    <row r="26">
      <c r="A26" s="30" t="n"/>
      <c r="B26" s="30" t="n"/>
      <c r="C26" s="30" t="n"/>
      <c r="D26" s="30" t="n"/>
      <c r="E26" s="30" t="n"/>
      <c r="F26" s="30" t="n"/>
      <c r="G26" s="30" t="n"/>
      <c r="H26" s="30" t="n"/>
    </row>
    <row r="27">
      <c r="A27" s="30" t="n"/>
      <c r="B27" s="30" t="n"/>
      <c r="C27" s="30" t="n"/>
      <c r="D27" s="30" t="n"/>
      <c r="E27" s="30" t="n"/>
      <c r="F27" s="30" t="n"/>
      <c r="G27" s="30" t="n"/>
      <c r="H27" s="30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4:H4"/>
    <mergeCell ref="A3:H3"/>
    <mergeCell ref="A1:AD1"/>
  </mergeCells>
  <conditionalFormatting sqref="C7:C20">
    <cfRule type="cellIs" priority="1" operator="lessThan" dxfId="4">
      <formula>0</formula>
    </cfRule>
  </conditionalFormatting>
  <conditionalFormatting sqref="H7:H20">
    <cfRule type="expression" priority="2" dxfId="1">
      <formula>H7="EKSİK"</formula>
    </cfRule>
    <cfRule type="expression" priority="3" dxfId="0">
      <formula>H7="TAM"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tabColor rgb="007030A0"/>
    <outlinePr summaryBelow="1" summaryRight="1"/>
    <pageSetUpPr/>
  </sheetPr>
  <dimension ref="A1:AD2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2" customWidth="1" min="5" max="5"/>
    <col width="14" customWidth="1" min="6" max="6"/>
    <col width="18" customWidth="1" min="7" max="7"/>
    <col width="12" customWidth="1" min="8" max="8"/>
    <col width="22" customWidth="1" min="10" max="10"/>
    <col width="55" customWidth="1" min="11" max="11"/>
  </cols>
  <sheetData>
    <row r="1" ht="26" customHeight="1">
      <c r="A1" s="1" t="inlineStr">
        <is>
          <t>LISTE 5 — KDV İade Listesi Robotu (GİB 7 Liste)</t>
        </is>
      </c>
    </row>
    <row r="3">
      <c r="A3" s="36" t="inlineStr">
        <is>
          <t>LISTE_5: Alış Faturaları Listesi</t>
        </is>
      </c>
    </row>
    <row r="4">
      <c r="A4" s="22" t="inlineStr">
        <is>
          <t>Sarı satırlar manuel satır girişi; canlı özet MOTOR'dan gelir.</t>
        </is>
      </c>
    </row>
    <row r="6" ht="30" customHeight="1">
      <c r="A6" s="13" t="inlineStr">
        <is>
          <t>Satır Numarası</t>
        </is>
      </c>
      <c r="B6" s="13" t="inlineStr">
        <is>
          <t>Belge/Kalem</t>
        </is>
      </c>
      <c r="C6" s="13" t="inlineStr">
        <is>
          <t>Tutar</t>
        </is>
      </c>
      <c r="D6" s="13" t="inlineStr">
        <is>
          <t>KDV</t>
        </is>
      </c>
      <c r="E6" s="13" t="inlineStr">
        <is>
          <t>Kaynak</t>
        </is>
      </c>
      <c r="F6" s="13" t="inlineStr">
        <is>
          <t>Durum</t>
        </is>
      </c>
      <c r="G6" s="13" t="inlineStr">
        <is>
          <t>Not</t>
        </is>
      </c>
      <c r="H6" s="13" t="inlineStr">
        <is>
          <t>Kontrol</t>
        </is>
      </c>
    </row>
    <row r="7">
      <c r="A7" s="47" t="n">
        <v>1</v>
      </c>
      <c r="B7" s="48" t="inlineStr">
        <is>
          <t>Alış AF-2001</t>
        </is>
      </c>
      <c r="C7" s="49" t="n">
        <v>400000</v>
      </c>
      <c r="D7" s="49" t="n">
        <v>80000</v>
      </c>
      <c r="E7" s="48" t="inlineStr">
        <is>
          <t>GIRDI</t>
        </is>
      </c>
      <c r="F7" s="48" t="inlineStr">
        <is>
          <t>TAM</t>
        </is>
      </c>
      <c r="G7" s="48" t="inlineStr">
        <is>
          <t>Demo</t>
        </is>
      </c>
      <c r="H7" s="48" t="inlineStr">
        <is>
          <t>TAM</t>
        </is>
      </c>
      <c r="J7" s="10" t="inlineStr">
        <is>
          <t>Canlı alış (MOTOR)</t>
        </is>
      </c>
      <c r="K7" s="28">
        <f>IFERROR(kil_liste5,0)</f>
        <v/>
      </c>
    </row>
    <row r="8">
      <c r="A8" s="47" t="n">
        <v>2</v>
      </c>
      <c r="B8" s="48" t="inlineStr">
        <is>
          <t>Alış AF-2002</t>
        </is>
      </c>
      <c r="C8" s="49" t="n">
        <v>250000</v>
      </c>
      <c r="D8" s="49" t="n">
        <v>50000</v>
      </c>
      <c r="E8" s="48" t="inlineStr">
        <is>
          <t>GIRDI</t>
        </is>
      </c>
      <c r="F8" s="48" t="inlineStr">
        <is>
          <t>TAM</t>
        </is>
      </c>
      <c r="G8" s="48" t="inlineStr">
        <is>
          <t>Demo</t>
        </is>
      </c>
      <c r="H8" s="48" t="inlineStr">
        <is>
          <t>TAM</t>
        </is>
      </c>
      <c r="J8" s="10" t="inlineStr">
        <is>
          <t>LISTE_5 özet metni</t>
        </is>
      </c>
      <c r="K8" s="11">
        <f>IFERROR(_xlfn.TEXTJOIN(" | ",TRUE,"LISTE_5","Alış Faturaları Listesi","Özet=",TEXT(K7,"₺ #,##0")),"-")</f>
        <v/>
      </c>
    </row>
    <row r="9">
      <c r="A9" s="47" t="n">
        <v>3</v>
      </c>
      <c r="B9" s="48" t="inlineStr">
        <is>
          <t>Alış AF-2003</t>
        </is>
      </c>
      <c r="C9" s="49" t="n">
        <v>150000</v>
      </c>
      <c r="D9" s="49" t="n">
        <v>30000</v>
      </c>
      <c r="E9" s="48" t="inlineStr">
        <is>
          <t>GIRDI</t>
        </is>
      </c>
      <c r="F9" s="48" t="inlineStr">
        <is>
          <t>TAM</t>
        </is>
      </c>
      <c r="G9" s="48" t="inlineStr">
        <is>
          <t>Demo</t>
        </is>
      </c>
      <c r="H9" s="48" t="inlineStr">
        <is>
          <t>TAM</t>
        </is>
      </c>
    </row>
    <row r="10">
      <c r="A10" s="30" t="n"/>
      <c r="B10" s="30" t="n"/>
      <c r="C10" s="30" t="n"/>
      <c r="D10" s="30" t="n"/>
      <c r="E10" s="30" t="n"/>
      <c r="F10" s="30" t="n"/>
      <c r="G10" s="30" t="n"/>
      <c r="H10" s="30" t="n"/>
    </row>
    <row r="11">
      <c r="A11" s="30" t="n"/>
      <c r="B11" s="30" t="n"/>
      <c r="C11" s="30" t="n"/>
      <c r="D11" s="30" t="n"/>
      <c r="E11" s="30" t="n"/>
      <c r="F11" s="30" t="n"/>
      <c r="G11" s="30" t="n"/>
      <c r="H11" s="30" t="n"/>
    </row>
    <row r="12">
      <c r="A12" s="30" t="n"/>
      <c r="B12" s="30" t="n"/>
      <c r="C12" s="30" t="n"/>
      <c r="D12" s="30" t="n"/>
      <c r="E12" s="30" t="n"/>
      <c r="F12" s="30" t="n"/>
      <c r="G12" s="30" t="n"/>
      <c r="H12" s="30" t="n"/>
    </row>
    <row r="13">
      <c r="A13" s="30" t="n"/>
      <c r="B13" s="30" t="n"/>
      <c r="C13" s="30" t="n"/>
      <c r="D13" s="30" t="n"/>
      <c r="E13" s="30" t="n"/>
      <c r="F13" s="30" t="n"/>
      <c r="G13" s="30" t="n"/>
      <c r="H13" s="30" t="n"/>
    </row>
    <row r="14">
      <c r="A14" s="30" t="n"/>
      <c r="B14" s="30" t="n"/>
      <c r="C14" s="30" t="n"/>
      <c r="D14" s="30" t="n"/>
      <c r="E14" s="30" t="n"/>
      <c r="F14" s="30" t="n"/>
      <c r="G14" s="30" t="n"/>
      <c r="H14" s="30" t="n"/>
    </row>
    <row r="15">
      <c r="A15" s="30" t="n"/>
      <c r="B15" s="30" t="n"/>
      <c r="C15" s="30" t="n"/>
      <c r="D15" s="30" t="n"/>
      <c r="E15" s="30" t="n"/>
      <c r="F15" s="30" t="n"/>
      <c r="G15" s="30" t="n"/>
      <c r="H15" s="30" t="n"/>
    </row>
    <row r="16">
      <c r="A16" s="30" t="n"/>
      <c r="B16" s="30" t="n"/>
      <c r="C16" s="30" t="n"/>
      <c r="D16" s="30" t="n"/>
      <c r="E16" s="30" t="n"/>
      <c r="F16" s="30" t="n"/>
      <c r="G16" s="30" t="n"/>
      <c r="H16" s="30" t="n"/>
    </row>
    <row r="17">
      <c r="A17" s="30" t="n"/>
      <c r="B17" s="30" t="n"/>
      <c r="C17" s="30" t="n"/>
      <c r="D17" s="30" t="n"/>
      <c r="E17" s="30" t="n"/>
      <c r="F17" s="30" t="n"/>
      <c r="G17" s="30" t="n"/>
      <c r="H17" s="30" t="n"/>
    </row>
    <row r="18">
      <c r="A18" s="30" t="n"/>
      <c r="B18" s="30" t="n"/>
      <c r="C18" s="30" t="n"/>
      <c r="D18" s="30" t="n"/>
      <c r="E18" s="30" t="n"/>
      <c r="F18" s="30" t="n"/>
      <c r="G18" s="30" t="n"/>
      <c r="H18" s="30" t="n"/>
    </row>
    <row r="19">
      <c r="A19" s="30" t="n"/>
      <c r="B19" s="30" t="n"/>
      <c r="C19" s="30" t="n"/>
      <c r="D19" s="30" t="n"/>
      <c r="E19" s="30" t="n"/>
      <c r="F19" s="30" t="n"/>
      <c r="G19" s="30" t="n"/>
      <c r="H19" s="30" t="n"/>
    </row>
    <row r="20">
      <c r="A20" s="30" t="n"/>
      <c r="B20" s="30" t="n"/>
      <c r="C20" s="30" t="n"/>
      <c r="D20" s="30" t="n"/>
      <c r="E20" s="30" t="n"/>
      <c r="F20" s="30" t="n"/>
      <c r="G20" s="30" t="n"/>
      <c r="H20" s="30" t="n"/>
    </row>
    <row r="21">
      <c r="A21" s="30" t="n"/>
      <c r="B21" s="30" t="n"/>
      <c r="C21" s="30" t="n"/>
      <c r="D21" s="30" t="n"/>
      <c r="E21" s="30" t="n"/>
      <c r="F21" s="30" t="n"/>
      <c r="G21" s="30" t="n"/>
      <c r="H21" s="30" t="n"/>
    </row>
    <row r="22">
      <c r="A22" s="30" t="n"/>
      <c r="B22" s="30" t="n"/>
      <c r="C22" s="30" t="n"/>
      <c r="D22" s="30" t="n"/>
      <c r="E22" s="30" t="n"/>
      <c r="F22" s="30" t="n"/>
      <c r="G22" s="30" t="n"/>
      <c r="H22" s="30" t="n"/>
    </row>
    <row r="23">
      <c r="A23" s="30" t="n"/>
      <c r="B23" s="30" t="n"/>
      <c r="C23" s="30" t="n"/>
      <c r="D23" s="30" t="n"/>
      <c r="E23" s="30" t="n"/>
      <c r="F23" s="30" t="n"/>
      <c r="G23" s="30" t="n"/>
      <c r="H23" s="30" t="n"/>
    </row>
    <row r="24">
      <c r="A24" s="30" t="n"/>
      <c r="B24" s="30" t="n"/>
      <c r="C24" s="30" t="n"/>
      <c r="D24" s="30" t="n"/>
      <c r="E24" s="30" t="n"/>
      <c r="F24" s="30" t="n"/>
      <c r="G24" s="30" t="n"/>
      <c r="H24" s="30" t="n"/>
    </row>
    <row r="25">
      <c r="A25" s="30" t="n"/>
      <c r="B25" s="30" t="n"/>
      <c r="C25" s="30" t="n"/>
      <c r="D25" s="30" t="n"/>
      <c r="E25" s="30" t="n"/>
      <c r="F25" s="30" t="n"/>
      <c r="G25" s="30" t="n"/>
      <c r="H25" s="30" t="n"/>
    </row>
    <row r="26">
      <c r="A26" s="30" t="n"/>
      <c r="B26" s="30" t="n"/>
      <c r="C26" s="30" t="n"/>
      <c r="D26" s="30" t="n"/>
      <c r="E26" s="30" t="n"/>
      <c r="F26" s="30" t="n"/>
      <c r="G26" s="30" t="n"/>
      <c r="H26" s="30" t="n"/>
    </row>
    <row r="27">
      <c r="A27" s="30" t="n"/>
      <c r="B27" s="30" t="n"/>
      <c r="C27" s="30" t="n"/>
      <c r="D27" s="30" t="n"/>
      <c r="E27" s="30" t="n"/>
      <c r="F27" s="30" t="n"/>
      <c r="G27" s="30" t="n"/>
      <c r="H27" s="30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4:H4"/>
    <mergeCell ref="A3:H3"/>
    <mergeCell ref="A1:AD1"/>
  </mergeCells>
  <conditionalFormatting sqref="C7:C20">
    <cfRule type="cellIs" priority="1" operator="lessThan" dxfId="4">
      <formula>0</formula>
    </cfRule>
  </conditionalFormatting>
  <conditionalFormatting sqref="H7:H20">
    <cfRule type="expression" priority="2" dxfId="1">
      <formula>H7="EKSİK"</formula>
    </cfRule>
    <cfRule type="expression" priority="3" dxfId="0">
      <formula>H7="TAM"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tabColor rgb="00B08948"/>
    <outlinePr summaryBelow="1" summaryRight="1"/>
    <pageSetUpPr/>
  </sheetPr>
  <dimension ref="A1:AD2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2" customWidth="1" min="5" max="5"/>
    <col width="14" customWidth="1" min="6" max="6"/>
    <col width="18" customWidth="1" min="7" max="7"/>
    <col width="12" customWidth="1" min="8" max="8"/>
    <col width="22" customWidth="1" min="10" max="10"/>
    <col width="55" customWidth="1" min="11" max="11"/>
  </cols>
  <sheetData>
    <row r="1" ht="26" customHeight="1">
      <c r="A1" s="1" t="inlineStr">
        <is>
          <t>LISTE 6 — KDV İade Listesi Robotu (GİB 7 Liste)</t>
        </is>
      </c>
    </row>
    <row r="3">
      <c r="A3" s="36" t="inlineStr">
        <is>
          <t>LISTE_6: İade Hesap Cetveli</t>
        </is>
      </c>
    </row>
    <row r="4">
      <c r="A4" s="22" t="inlineStr">
        <is>
          <t>Sarı satırlar manuel satır girişi; canlı özet MOTOR'dan gelir.</t>
        </is>
      </c>
    </row>
    <row r="6" ht="30" customHeight="1">
      <c r="A6" s="13" t="inlineStr">
        <is>
          <t>Satır Numarası</t>
        </is>
      </c>
      <c r="B6" s="13" t="inlineStr">
        <is>
          <t>Belge/Kalem</t>
        </is>
      </c>
      <c r="C6" s="13" t="inlineStr">
        <is>
          <t>Tutar</t>
        </is>
      </c>
      <c r="D6" s="13" t="inlineStr">
        <is>
          <t>KDV</t>
        </is>
      </c>
      <c r="E6" s="13" t="inlineStr">
        <is>
          <t>Kaynak</t>
        </is>
      </c>
      <c r="F6" s="13" t="inlineStr">
        <is>
          <t>Durum</t>
        </is>
      </c>
      <c r="G6" s="13" t="inlineStr">
        <is>
          <t>Not</t>
        </is>
      </c>
      <c r="H6" s="13" t="inlineStr">
        <is>
          <t>Kontrol</t>
        </is>
      </c>
      <c r="M6" s="46" t="inlineStr">
        <is>
          <t>Demo</t>
        </is>
      </c>
    </row>
    <row r="7">
      <c r="A7" s="47" t="n">
        <v>1</v>
      </c>
      <c r="B7" s="48" t="inlineStr">
        <is>
          <t>Seçili iade</t>
        </is>
      </c>
      <c r="C7" s="49" t="n">
        <v>1000000</v>
      </c>
      <c r="D7" s="27" t="n">
        <v>0</v>
      </c>
      <c r="E7" s="48" t="inlineStr">
        <is>
          <t>MOTOR</t>
        </is>
      </c>
      <c r="F7" s="48" t="inlineStr">
        <is>
          <t>İADE</t>
        </is>
      </c>
      <c r="G7" s="48" t="inlineStr">
        <is>
          <t>Yorum A</t>
        </is>
      </c>
      <c r="H7" s="48" t="inlineStr">
        <is>
          <t>TAM</t>
        </is>
      </c>
      <c r="J7" s="10" t="inlineStr">
        <is>
          <t>Canlı iade cetveli (MOTOR)</t>
        </is>
      </c>
      <c r="K7" s="28">
        <f>IFERROR(kil_liste6,0)</f>
        <v/>
      </c>
      <c r="M7" s="20" t="n">
        <v>1000000</v>
      </c>
    </row>
    <row r="8">
      <c r="A8" s="47" t="n">
        <v>2</v>
      </c>
      <c r="B8" s="48" t="inlineStr">
        <is>
          <t>İade talep</t>
        </is>
      </c>
      <c r="C8" s="49" t="n">
        <v>900000</v>
      </c>
      <c r="D8" s="27" t="n">
        <v>0</v>
      </c>
      <c r="E8" s="48" t="inlineStr">
        <is>
          <t>GIRDI</t>
        </is>
      </c>
      <c r="F8" s="48" t="inlineStr">
        <is>
          <t>TALEP</t>
        </is>
      </c>
      <c r="G8" s="48" t="inlineStr">
        <is>
          <t>Kullanıcı</t>
        </is>
      </c>
      <c r="H8" s="48" t="inlineStr">
        <is>
          <t>TAM</t>
        </is>
      </c>
      <c r="J8" s="10" t="inlineStr">
        <is>
          <t>LISTE_6 özet metni</t>
        </is>
      </c>
      <c r="K8" s="11">
        <f>IFERROR(_xlfn.TEXTJOIN(" | ",TRUE,"LISTE_6","İade Hesap Cetveli","Özet=",TEXT(K7,"₺ #,##0")),"-")</f>
        <v/>
      </c>
      <c r="M8" s="20" t="n">
        <v>900000</v>
      </c>
    </row>
    <row r="9">
      <c r="A9" s="47" t="n">
        <v>3</v>
      </c>
      <c r="B9" s="48" t="inlineStr">
        <is>
          <t>Sapma</t>
        </is>
      </c>
      <c r="C9" s="49" t="n">
        <v>100000</v>
      </c>
      <c r="D9" s="27" t="n">
        <v>0</v>
      </c>
      <c r="E9" s="48" t="inlineStr">
        <is>
          <t>MOTOR</t>
        </is>
      </c>
      <c r="F9" s="48" t="inlineStr">
        <is>
          <t>SAPMA</t>
        </is>
      </c>
      <c r="G9" s="48" t="inlineStr">
        <is>
          <t>Mutlak</t>
        </is>
      </c>
      <c r="H9" s="48" t="inlineStr">
        <is>
          <t>TAM</t>
        </is>
      </c>
      <c r="M9" s="20" t="n">
        <v>100000</v>
      </c>
    </row>
    <row r="10">
      <c r="A10" s="47" t="n">
        <v>4</v>
      </c>
      <c r="B10" s="48" t="inlineStr">
        <is>
          <t>İade A</t>
        </is>
      </c>
      <c r="C10" s="49" t="n">
        <v>1000000</v>
      </c>
      <c r="D10" s="27" t="n">
        <v>0</v>
      </c>
      <c r="E10" s="48" t="inlineStr">
        <is>
          <t>MOTOR</t>
        </is>
      </c>
      <c r="F10" s="48" t="inlineStr">
        <is>
          <t>YORUM A</t>
        </is>
      </c>
      <c r="G10" s="48" t="inlineStr">
        <is>
          <t>Hasılat</t>
        </is>
      </c>
      <c r="H10" s="48" t="inlineStr">
        <is>
          <t>TAM</t>
        </is>
      </c>
      <c r="M10" s="20" t="n">
        <v>1000000</v>
      </c>
    </row>
    <row r="11">
      <c r="A11" s="47" t="n">
        <v>5</v>
      </c>
      <c r="B11" s="48" t="inlineStr">
        <is>
          <t>İade B</t>
        </is>
      </c>
      <c r="C11" s="49" t="n">
        <v>900000</v>
      </c>
      <c r="D11" s="27" t="n">
        <v>0</v>
      </c>
      <c r="E11" s="48" t="inlineStr">
        <is>
          <t>MOTOR</t>
        </is>
      </c>
      <c r="F11" s="48" t="inlineStr">
        <is>
          <t>YORUM B</t>
        </is>
      </c>
      <c r="G11" s="48" t="inlineStr">
        <is>
          <t>GÇB</t>
        </is>
      </c>
      <c r="H11" s="48" t="inlineStr">
        <is>
          <t>TAM</t>
        </is>
      </c>
      <c r="M11" s="20" t="n">
        <v>900000</v>
      </c>
    </row>
    <row r="12">
      <c r="A12" s="30" t="n"/>
      <c r="B12" s="30" t="n"/>
      <c r="C12" s="30" t="n"/>
      <c r="D12" s="30" t="n"/>
      <c r="E12" s="30" t="n"/>
      <c r="F12" s="30" t="n"/>
      <c r="G12" s="30" t="n"/>
      <c r="H12" s="30" t="n"/>
    </row>
    <row r="13">
      <c r="A13" s="30" t="n"/>
      <c r="B13" s="30" t="n"/>
      <c r="C13" s="30" t="n"/>
      <c r="D13" s="30" t="n"/>
      <c r="E13" s="30" t="n"/>
      <c r="F13" s="30" t="n"/>
      <c r="G13" s="30" t="n"/>
      <c r="H13" s="30" t="n"/>
    </row>
    <row r="14">
      <c r="A14" s="30" t="n"/>
      <c r="B14" s="30" t="n"/>
      <c r="C14" s="30" t="n"/>
      <c r="D14" s="30" t="n"/>
      <c r="E14" s="30" t="n"/>
      <c r="F14" s="30" t="n"/>
      <c r="G14" s="30" t="n"/>
      <c r="H14" s="30" t="n"/>
    </row>
    <row r="15">
      <c r="A15" s="30" t="n"/>
      <c r="B15" s="30" t="n"/>
      <c r="C15" s="30" t="n"/>
      <c r="D15" s="30" t="n"/>
      <c r="E15" s="30" t="n"/>
      <c r="F15" s="30" t="n"/>
      <c r="G15" s="30" t="n"/>
      <c r="H15" s="30" t="n"/>
    </row>
    <row r="16">
      <c r="A16" s="30" t="n"/>
      <c r="B16" s="30" t="n"/>
      <c r="C16" s="30" t="n"/>
      <c r="D16" s="30" t="n"/>
      <c r="E16" s="30" t="n"/>
      <c r="F16" s="30" t="n"/>
      <c r="G16" s="30" t="n"/>
      <c r="H16" s="30" t="n"/>
    </row>
    <row r="17">
      <c r="A17" s="30" t="n"/>
      <c r="B17" s="30" t="n"/>
      <c r="C17" s="30" t="n"/>
      <c r="D17" s="30" t="n"/>
      <c r="E17" s="30" t="n"/>
      <c r="F17" s="30" t="n"/>
      <c r="G17" s="30" t="n"/>
      <c r="H17" s="30" t="n"/>
    </row>
    <row r="18">
      <c r="A18" s="30" t="n"/>
      <c r="B18" s="30" t="n"/>
      <c r="C18" s="30" t="n"/>
      <c r="D18" s="30" t="n"/>
      <c r="E18" s="30" t="n"/>
      <c r="F18" s="30" t="n"/>
      <c r="G18" s="30" t="n"/>
      <c r="H18" s="30" t="n"/>
    </row>
    <row r="19">
      <c r="A19" s="30" t="n"/>
      <c r="B19" s="30" t="n"/>
      <c r="C19" s="30" t="n"/>
      <c r="D19" s="30" t="n"/>
      <c r="E19" s="30" t="n"/>
      <c r="F19" s="30" t="n"/>
      <c r="G19" s="30" t="n"/>
      <c r="H19" s="30" t="n"/>
    </row>
    <row r="20">
      <c r="A20" s="30" t="n"/>
      <c r="B20" s="30" t="n"/>
      <c r="C20" s="30" t="n"/>
      <c r="D20" s="30" t="n"/>
      <c r="E20" s="30" t="n"/>
      <c r="F20" s="30" t="n"/>
      <c r="G20" s="30" t="n"/>
      <c r="H20" s="30" t="n"/>
    </row>
    <row r="21">
      <c r="A21" s="30" t="n"/>
      <c r="B21" s="30" t="n"/>
      <c r="C21" s="30" t="n"/>
      <c r="D21" s="30" t="n"/>
      <c r="E21" s="30" t="n"/>
      <c r="F21" s="30" t="n"/>
      <c r="G21" s="30" t="n"/>
      <c r="H21" s="30" t="n"/>
    </row>
    <row r="22">
      <c r="A22" s="30" t="n"/>
      <c r="B22" s="30" t="n"/>
      <c r="C22" s="30" t="n"/>
      <c r="D22" s="30" t="n"/>
      <c r="E22" s="30" t="n"/>
      <c r="F22" s="30" t="n"/>
      <c r="G22" s="30" t="n"/>
      <c r="H22" s="30" t="n"/>
    </row>
    <row r="23">
      <c r="A23" s="30" t="n"/>
      <c r="B23" s="30" t="n"/>
      <c r="C23" s="30" t="n"/>
      <c r="D23" s="30" t="n"/>
      <c r="E23" s="30" t="n"/>
      <c r="F23" s="30" t="n"/>
      <c r="G23" s="30" t="n"/>
      <c r="H23" s="30" t="n"/>
    </row>
    <row r="24">
      <c r="A24" s="30" t="n"/>
      <c r="B24" s="30" t="n"/>
      <c r="C24" s="30" t="n"/>
      <c r="D24" s="30" t="n"/>
      <c r="E24" s="30" t="n"/>
      <c r="F24" s="30" t="n"/>
      <c r="G24" s="30" t="n"/>
      <c r="H24" s="30" t="n"/>
    </row>
    <row r="25">
      <c r="A25" s="30" t="n"/>
      <c r="B25" s="30" t="n"/>
      <c r="C25" s="30" t="n"/>
      <c r="D25" s="30" t="n"/>
      <c r="E25" s="30" t="n"/>
      <c r="F25" s="30" t="n"/>
      <c r="G25" s="30" t="n"/>
      <c r="H25" s="30" t="n"/>
    </row>
    <row r="26">
      <c r="A26" s="30" t="n"/>
      <c r="B26" s="30" t="n"/>
      <c r="C26" s="30" t="n"/>
      <c r="D26" s="30" t="n"/>
      <c r="E26" s="30" t="n"/>
      <c r="F26" s="30" t="n"/>
      <c r="G26" s="30" t="n"/>
      <c r="H26" s="30" t="n"/>
    </row>
    <row r="27">
      <c r="A27" s="30" t="n"/>
      <c r="B27" s="30" t="n"/>
      <c r="C27" s="30" t="n"/>
      <c r="D27" s="30" t="n"/>
      <c r="E27" s="30" t="n"/>
      <c r="F27" s="30" t="n"/>
      <c r="G27" s="30" t="n"/>
      <c r="H27" s="30" t="n"/>
    </row>
    <row r="28">
      <c r="A28" s="30" t="n"/>
      <c r="B28" s="30" t="n"/>
      <c r="C28" s="30" t="n"/>
      <c r="D28" s="30" t="n"/>
      <c r="E28" s="30" t="n"/>
      <c r="F28" s="30" t="n"/>
      <c r="G28" s="30" t="n"/>
      <c r="H28" s="30" t="n"/>
    </row>
    <row r="29">
      <c r="A29" s="30" t="n"/>
      <c r="B29" s="30" t="n"/>
      <c r="C29" s="30" t="n"/>
      <c r="D29" s="30" t="n"/>
      <c r="E29" s="30" t="n"/>
      <c r="F29" s="30" t="n"/>
      <c r="G29" s="30" t="n"/>
      <c r="H29" s="30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4:H4"/>
    <mergeCell ref="A3:H3"/>
    <mergeCell ref="A1:AD1"/>
  </mergeCells>
  <conditionalFormatting sqref="C7:C20">
    <cfRule type="cellIs" priority="1" operator="lessThan" dxfId="4">
      <formula>0</formula>
    </cfRule>
  </conditionalFormatting>
  <conditionalFormatting sqref="H7:H20">
    <cfRule type="expression" priority="2" dxfId="1">
      <formula>H7="EKSİK"</formula>
    </cfRule>
    <cfRule type="expression" priority="3" dxfId="0">
      <formula>H7="TAM"</formula>
    </cfRule>
  </conditionalFormatting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tabColor rgb="00C00000"/>
    <outlinePr summaryBelow="1" summaryRight="1"/>
    <pageSetUpPr/>
  </sheetPr>
  <dimension ref="A1:AD2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2" customWidth="1" min="5" max="5"/>
    <col width="14" customWidth="1" min="6" max="6"/>
    <col width="18" customWidth="1" min="7" max="7"/>
    <col width="12" customWidth="1" min="8" max="8"/>
    <col width="22" customWidth="1" min="10" max="10"/>
    <col width="55" customWidth="1" min="11" max="11"/>
  </cols>
  <sheetData>
    <row r="1" ht="26" customHeight="1">
      <c r="A1" s="1" t="inlineStr">
        <is>
          <t>LISTE 7 — KDV İade Listesi Robotu (GİB 7 Liste)</t>
        </is>
      </c>
    </row>
    <row r="3">
      <c r="A3" s="36" t="inlineStr">
        <is>
          <t>LISTE_7: Ek Belge / Tamamlayıcı Liste</t>
        </is>
      </c>
    </row>
    <row r="4">
      <c r="A4" s="22" t="inlineStr">
        <is>
          <t>Sarı satırlar manuel satır girişi; canlı özet MOTOR'dan gelir.</t>
        </is>
      </c>
    </row>
    <row r="6" ht="30" customHeight="1">
      <c r="A6" s="13" t="inlineStr">
        <is>
          <t>Satır Numarası</t>
        </is>
      </c>
      <c r="B6" s="13" t="inlineStr">
        <is>
          <t>Belge/Kalem</t>
        </is>
      </c>
      <c r="C6" s="13" t="inlineStr">
        <is>
          <t>Tutar</t>
        </is>
      </c>
      <c r="D6" s="13" t="inlineStr">
        <is>
          <t>KDV</t>
        </is>
      </c>
      <c r="E6" s="13" t="inlineStr">
        <is>
          <t>Kaynak</t>
        </is>
      </c>
      <c r="F6" s="13" t="inlineStr">
        <is>
          <t>Durum</t>
        </is>
      </c>
      <c r="G6" s="13" t="inlineStr">
        <is>
          <t>Not</t>
        </is>
      </c>
      <c r="H6" s="13" t="inlineStr">
        <is>
          <t>Kontrol</t>
        </is>
      </c>
    </row>
    <row r="7">
      <c r="A7" s="47" t="n">
        <v>1</v>
      </c>
      <c r="B7" s="48" t="inlineStr">
        <is>
          <t>GÇB aslı</t>
        </is>
      </c>
      <c r="C7" s="27" t="n">
        <v>0</v>
      </c>
      <c r="D7" s="27" t="n">
        <v>0</v>
      </c>
      <c r="E7" s="48" t="inlineStr">
        <is>
          <t>Kullanıcı</t>
        </is>
      </c>
      <c r="F7" s="48" t="inlineStr">
        <is>
          <t>VAR</t>
        </is>
      </c>
      <c r="G7" s="48" t="inlineStr">
        <is>
          <t>Belge</t>
        </is>
      </c>
      <c r="H7" s="48" t="inlineStr">
        <is>
          <t>TAM</t>
        </is>
      </c>
      <c r="J7" s="10" t="inlineStr">
        <is>
          <t>Canlı ek belge adedi (MOTOR)</t>
        </is>
      </c>
      <c r="K7" s="28">
        <f>IFERROR(kil_liste7,0)</f>
        <v/>
      </c>
    </row>
    <row r="8">
      <c r="A8" s="47" t="n">
        <v>2</v>
      </c>
      <c r="B8" s="48" t="inlineStr">
        <is>
          <t>Navlun faturası</t>
        </is>
      </c>
      <c r="C8" s="27" t="n">
        <v>0</v>
      </c>
      <c r="D8" s="27" t="n">
        <v>0</v>
      </c>
      <c r="E8" s="48" t="inlineStr">
        <is>
          <t>Kullanıcı</t>
        </is>
      </c>
      <c r="F8" s="48" t="inlineStr">
        <is>
          <t>VAR</t>
        </is>
      </c>
      <c r="G8" s="48" t="inlineStr">
        <is>
          <t>Belge</t>
        </is>
      </c>
      <c r="H8" s="48" t="inlineStr">
        <is>
          <t>TAM</t>
        </is>
      </c>
      <c r="J8" s="10" t="inlineStr">
        <is>
          <t>LISTE_7 özet metni</t>
        </is>
      </c>
      <c r="K8" s="11">
        <f>IFERROR(_xlfn.TEXTJOIN(" | ",TRUE,"LISTE_7","Ek Belge / Tamamlayıcı Liste","Özet=",TEXT(K7,"₺ #,##0")),"-")</f>
        <v/>
      </c>
    </row>
    <row r="9">
      <c r="A9" s="47" t="n">
        <v>3</v>
      </c>
      <c r="B9" s="48" t="inlineStr">
        <is>
          <t>Sigorta poliçesi</t>
        </is>
      </c>
      <c r="C9" s="27" t="n">
        <v>0</v>
      </c>
      <c r="D9" s="27" t="n">
        <v>0</v>
      </c>
      <c r="E9" s="48" t="inlineStr">
        <is>
          <t>Kullanıcı</t>
        </is>
      </c>
      <c r="F9" s="48" t="inlineStr">
        <is>
          <t>VAR</t>
        </is>
      </c>
      <c r="G9" s="48" t="inlineStr">
        <is>
          <t>Belge</t>
        </is>
      </c>
      <c r="H9" s="48" t="inlineStr">
        <is>
          <t>TAM</t>
        </is>
      </c>
    </row>
    <row r="10">
      <c r="A10" s="30" t="n"/>
      <c r="B10" s="30" t="n"/>
      <c r="C10" s="30" t="n"/>
      <c r="D10" s="30" t="n"/>
      <c r="E10" s="30" t="n"/>
      <c r="F10" s="30" t="n"/>
      <c r="G10" s="30" t="n"/>
      <c r="H10" s="30" t="n"/>
    </row>
    <row r="11">
      <c r="A11" s="30" t="n"/>
      <c r="B11" s="30" t="n"/>
      <c r="C11" s="30" t="n"/>
      <c r="D11" s="30" t="n"/>
      <c r="E11" s="30" t="n"/>
      <c r="F11" s="30" t="n"/>
      <c r="G11" s="30" t="n"/>
      <c r="H11" s="30" t="n"/>
    </row>
    <row r="12">
      <c r="A12" s="30" t="n"/>
      <c r="B12" s="30" t="n"/>
      <c r="C12" s="30" t="n"/>
      <c r="D12" s="30" t="n"/>
      <c r="E12" s="30" t="n"/>
      <c r="F12" s="30" t="n"/>
      <c r="G12" s="30" t="n"/>
      <c r="H12" s="30" t="n"/>
    </row>
    <row r="13">
      <c r="A13" s="30" t="n"/>
      <c r="B13" s="30" t="n"/>
      <c r="C13" s="30" t="n"/>
      <c r="D13" s="30" t="n"/>
      <c r="E13" s="30" t="n"/>
      <c r="F13" s="30" t="n"/>
      <c r="G13" s="30" t="n"/>
      <c r="H13" s="30" t="n"/>
    </row>
    <row r="14">
      <c r="A14" s="30" t="n"/>
      <c r="B14" s="30" t="n"/>
      <c r="C14" s="30" t="n"/>
      <c r="D14" s="30" t="n"/>
      <c r="E14" s="30" t="n"/>
      <c r="F14" s="30" t="n"/>
      <c r="G14" s="30" t="n"/>
      <c r="H14" s="30" t="n"/>
    </row>
    <row r="15">
      <c r="A15" s="30" t="n"/>
      <c r="B15" s="30" t="n"/>
      <c r="C15" s="30" t="n"/>
      <c r="D15" s="30" t="n"/>
      <c r="E15" s="30" t="n"/>
      <c r="F15" s="30" t="n"/>
      <c r="G15" s="30" t="n"/>
      <c r="H15" s="30" t="n"/>
    </row>
    <row r="16">
      <c r="A16" s="30" t="n"/>
      <c r="B16" s="30" t="n"/>
      <c r="C16" s="30" t="n"/>
      <c r="D16" s="30" t="n"/>
      <c r="E16" s="30" t="n"/>
      <c r="F16" s="30" t="n"/>
      <c r="G16" s="30" t="n"/>
      <c r="H16" s="30" t="n"/>
    </row>
    <row r="17">
      <c r="A17" s="30" t="n"/>
      <c r="B17" s="30" t="n"/>
      <c r="C17" s="30" t="n"/>
      <c r="D17" s="30" t="n"/>
      <c r="E17" s="30" t="n"/>
      <c r="F17" s="30" t="n"/>
      <c r="G17" s="30" t="n"/>
      <c r="H17" s="30" t="n"/>
    </row>
    <row r="18">
      <c r="A18" s="30" t="n"/>
      <c r="B18" s="30" t="n"/>
      <c r="C18" s="30" t="n"/>
      <c r="D18" s="30" t="n"/>
      <c r="E18" s="30" t="n"/>
      <c r="F18" s="30" t="n"/>
      <c r="G18" s="30" t="n"/>
      <c r="H18" s="30" t="n"/>
    </row>
    <row r="19">
      <c r="A19" s="30" t="n"/>
      <c r="B19" s="30" t="n"/>
      <c r="C19" s="30" t="n"/>
      <c r="D19" s="30" t="n"/>
      <c r="E19" s="30" t="n"/>
      <c r="F19" s="30" t="n"/>
      <c r="G19" s="30" t="n"/>
      <c r="H19" s="30" t="n"/>
    </row>
    <row r="20">
      <c r="A20" s="30" t="n"/>
      <c r="B20" s="30" t="n"/>
      <c r="C20" s="30" t="n"/>
      <c r="D20" s="30" t="n"/>
      <c r="E20" s="30" t="n"/>
      <c r="F20" s="30" t="n"/>
      <c r="G20" s="30" t="n"/>
      <c r="H20" s="30" t="n"/>
    </row>
    <row r="21">
      <c r="A21" s="30" t="n"/>
      <c r="B21" s="30" t="n"/>
      <c r="C21" s="30" t="n"/>
      <c r="D21" s="30" t="n"/>
      <c r="E21" s="30" t="n"/>
      <c r="F21" s="30" t="n"/>
      <c r="G21" s="30" t="n"/>
      <c r="H21" s="30" t="n"/>
    </row>
    <row r="22">
      <c r="A22" s="30" t="n"/>
      <c r="B22" s="30" t="n"/>
      <c r="C22" s="30" t="n"/>
      <c r="D22" s="30" t="n"/>
      <c r="E22" s="30" t="n"/>
      <c r="F22" s="30" t="n"/>
      <c r="G22" s="30" t="n"/>
      <c r="H22" s="30" t="n"/>
    </row>
    <row r="23">
      <c r="A23" s="30" t="n"/>
      <c r="B23" s="30" t="n"/>
      <c r="C23" s="30" t="n"/>
      <c r="D23" s="30" t="n"/>
      <c r="E23" s="30" t="n"/>
      <c r="F23" s="30" t="n"/>
      <c r="G23" s="30" t="n"/>
      <c r="H23" s="30" t="n"/>
    </row>
    <row r="24">
      <c r="A24" s="30" t="n"/>
      <c r="B24" s="30" t="n"/>
      <c r="C24" s="30" t="n"/>
      <c r="D24" s="30" t="n"/>
      <c r="E24" s="30" t="n"/>
      <c r="F24" s="30" t="n"/>
      <c r="G24" s="30" t="n"/>
      <c r="H24" s="30" t="n"/>
    </row>
    <row r="25">
      <c r="A25" s="30" t="n"/>
      <c r="B25" s="30" t="n"/>
      <c r="C25" s="30" t="n"/>
      <c r="D25" s="30" t="n"/>
      <c r="E25" s="30" t="n"/>
      <c r="F25" s="30" t="n"/>
      <c r="G25" s="30" t="n"/>
      <c r="H25" s="30" t="n"/>
    </row>
    <row r="26">
      <c r="A26" s="30" t="n"/>
      <c r="B26" s="30" t="n"/>
      <c r="C26" s="30" t="n"/>
      <c r="D26" s="30" t="n"/>
      <c r="E26" s="30" t="n"/>
      <c r="F26" s="30" t="n"/>
      <c r="G26" s="30" t="n"/>
      <c r="H26" s="30" t="n"/>
    </row>
    <row r="27">
      <c r="A27" s="30" t="n"/>
      <c r="B27" s="30" t="n"/>
      <c r="C27" s="30" t="n"/>
      <c r="D27" s="30" t="n"/>
      <c r="E27" s="30" t="n"/>
      <c r="F27" s="30" t="n"/>
      <c r="G27" s="30" t="n"/>
      <c r="H27" s="30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4:H4"/>
    <mergeCell ref="A3:H3"/>
    <mergeCell ref="A1:AD1"/>
  </mergeCells>
  <conditionalFormatting sqref="C7:C20">
    <cfRule type="cellIs" priority="1" operator="lessThan" dxfId="4">
      <formula>0</formula>
    </cfRule>
  </conditionalFormatting>
  <conditionalFormatting sqref="H7:H20">
    <cfRule type="expression" priority="2" dxfId="1">
      <formula>H7="EKSİK"</formula>
    </cfRule>
    <cfRule type="expression" priority="3" dxfId="0">
      <formula>H7="TAM"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tabColor rgb="00ED7D31"/>
    <outlinePr summaryBelow="1" summaryRight="1"/>
    <pageSetUpPr/>
  </sheetPr>
  <dimension ref="A1:AD33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22" customWidth="1" min="4" max="4"/>
    <col width="14" customWidth="1" min="5" max="5"/>
    <col width="14" customWidth="1" min="7" max="7"/>
  </cols>
  <sheetData>
    <row r="1" ht="26" customHeight="1">
      <c r="A1" s="1" t="inlineStr">
        <is>
          <t>SENARYO — KDV İade Listesi Robotu (GİB 7 Liste)</t>
        </is>
      </c>
    </row>
    <row r="3">
      <c r="A3" s="21" t="inlineStr">
        <is>
          <t>Senaryo ve duyarlılık</t>
        </is>
      </c>
    </row>
    <row r="5">
      <c r="A5" s="46" t="inlineStr">
        <is>
          <t>Senaryo</t>
        </is>
      </c>
      <c r="B5" s="46" t="inlineStr">
        <is>
          <t>Çarpan</t>
        </is>
      </c>
      <c r="C5" s="46" t="inlineStr">
        <is>
          <t>Seçili İade</t>
        </is>
      </c>
      <c r="D5" s="46" t="inlineStr">
        <is>
          <t>Karar</t>
        </is>
      </c>
      <c r="G5" s="46" t="inlineStr">
        <is>
          <t>IadeDemo</t>
        </is>
      </c>
    </row>
    <row r="6">
      <c r="A6" s="24" t="inlineStr">
        <is>
          <t>İyimser</t>
        </is>
      </c>
      <c r="B6" s="18">
        <f>IFERROR(kil_senaryoIyi+N(GIRDI!B9)*0,0)</f>
        <v/>
      </c>
      <c r="C6" s="16">
        <f>IFERROR(ROUND((IFERROR(kil_iadeSecili,0))*B6,2),0)</f>
        <v/>
      </c>
      <c r="D6" s="17">
        <f>IF(COUNTA(tblGirdi[Alan Anahtarı])=0,"VERİ YOK",IF(GIRDI!B13&gt;kil_belgeLimit,"EKSİK BELGE",IF(C6&gt;=kil_iadeEsik,"İADE","BEKLE")))</f>
        <v/>
      </c>
      <c r="G6" s="20" t="n">
        <v>900000</v>
      </c>
    </row>
    <row r="7">
      <c r="A7" s="24" t="inlineStr">
        <is>
          <t>Baz</t>
        </is>
      </c>
      <c r="B7" s="18">
        <f>IFERROR(1+N(GIRDI!B9)*0,1)</f>
        <v/>
      </c>
      <c r="C7" s="16">
        <f>IFERROR(ROUND((IFERROR(kil_iadeSecili,0))*B7,2),0)</f>
        <v/>
      </c>
      <c r="D7" s="17">
        <f>IF(COUNTA(tblGirdi[Alan Anahtarı])=0,"VERİ YOK",IF(GIRDI!B13&gt;kil_belgeLimit,"EKSİK BELGE",IF(C7&gt;=kil_iadeEsik,"İADE","BEKLE")))</f>
        <v/>
      </c>
      <c r="G7" s="20" t="n">
        <v>1000000</v>
      </c>
    </row>
    <row r="8">
      <c r="A8" s="24" t="inlineStr">
        <is>
          <t>Kötümser</t>
        </is>
      </c>
      <c r="B8" s="18">
        <f>IFERROR(kil_senaryoKotu+N(GIRDI!B9)*0,0)</f>
        <v/>
      </c>
      <c r="C8" s="16">
        <f>IFERROR(ROUND((IFERROR(kil_iadeSecili,0))*B8,2),0)</f>
        <v/>
      </c>
      <c r="D8" s="17">
        <f>IF(COUNTA(tblGirdi[Alan Anahtarı])=0,"VERİ YOK",IF(GIRDI!B13&gt;kil_belgeLimit,"EKSİK BELGE",IF(C8&gt;=kil_iadeEsik,"İADE","BEKLE")))</f>
        <v/>
      </c>
      <c r="G8" s="20" t="n">
        <v>1100000</v>
      </c>
    </row>
    <row r="9">
      <c r="A9" s="24" t="inlineStr">
        <is>
          <t>M-SEN +1 puan</t>
        </is>
      </c>
      <c r="B9" s="18">
        <f>IFERROR(1+N(GIRDI!B9)*0,1)</f>
        <v/>
      </c>
      <c r="C9" s="16">
        <f>IFERROR(MOTOR!G37,0)</f>
        <v/>
      </c>
      <c r="D9" s="17">
        <f>IF(COUNTA(tblGirdi[Alan Anahtarı])=0,"VERİ YOK",IF(GIRDI!B13&gt;kil_belgeLimit,"EKSİK BELGE",IF(C9&gt;=kil_iadeEsik,"İADE","BEKLE")))</f>
        <v/>
      </c>
      <c r="G9" s="20" t="n">
        <v>1050000</v>
      </c>
    </row>
    <row r="11">
      <c r="A11" s="10" t="inlineStr">
        <is>
          <t>Senaryo bant genişliği (iyimser−kötümser iade)</t>
        </is>
      </c>
      <c r="B11" s="16">
        <f>IFERROR(C6-C8,0)</f>
        <v/>
      </c>
    </row>
    <row r="12">
      <c r="A12" s="10" t="inlineStr">
        <is>
          <t>Senaryo yorumu</t>
        </is>
      </c>
      <c r="B12" s="11">
        <f>IFERROR(_xlfn.TEXTJOIN("; ",TRUE,"İyimser iade ",TEXT(C6,"₺ #,##0")," · Baz ",TEXT(C7,"₺ #,##0")," · Kötümser ",TEXT(C8,"₺ #,##0")," · Bant ",TEXT(B11,"₺ #,##0")),"-")</f>
        <v/>
      </c>
    </row>
    <row r="14">
      <c r="A14" s="12" t="inlineStr">
        <is>
          <t>Duyarlılık (tornado)</t>
        </is>
      </c>
    </row>
    <row r="15">
      <c r="A15" s="46" t="inlineStr">
        <is>
          <t>Değişken</t>
        </is>
      </c>
      <c r="B15" s="46" t="inlineStr">
        <is>
          <t>Etki [₺]</t>
        </is>
      </c>
      <c r="C15" s="46" t="inlineStr">
        <is>
          <t>Sıra</t>
        </is>
      </c>
      <c r="E15" s="46" t="inlineStr">
        <is>
          <t>EtkiDemo</t>
        </is>
      </c>
    </row>
    <row r="16">
      <c r="A16" s="24" t="inlineStr">
        <is>
          <t>Tornado yüklenen etkisi</t>
        </is>
      </c>
      <c r="B16" s="16">
        <f>IFERROR(MOTOR!G40,0)</f>
        <v/>
      </c>
      <c r="C16" s="29">
        <f>IFERROR(IF(B16&gt;=MAX(B16:B18),1,IF(B16&gt;=MIN(B16:B18)+ABS(B16-B17),2,3)),3)</f>
        <v/>
      </c>
      <c r="E16" s="20" t="n">
        <v>100000</v>
      </c>
    </row>
    <row r="17">
      <c r="A17" s="24" t="inlineStr">
        <is>
          <t>Tornado ihraç etkisi</t>
        </is>
      </c>
      <c r="B17" s="16">
        <f>IFERROR(MOTOR!G41,0)</f>
        <v/>
      </c>
      <c r="C17" s="29">
        <f>IFERROR(IF(B17&gt;=MAX(B16:B18),1,IF(B17=MEDIAN(B16:B18),2,3)),3)</f>
        <v/>
      </c>
      <c r="E17" s="20" t="n">
        <v>50000</v>
      </c>
    </row>
    <row r="18">
      <c r="A18" s="24" t="inlineStr">
        <is>
          <t>Tornado GÇB etkisi</t>
        </is>
      </c>
      <c r="B18" s="16">
        <f>IFERROR(MOTOR!G42,0)</f>
        <v/>
      </c>
      <c r="C18" s="29">
        <f>IFERROR(IF(B18&gt;=MAX(B16:B18),1,IF(B18=MEDIAN(B16:B18),2,3)),3)</f>
        <v/>
      </c>
      <c r="E18" s="20" t="n">
        <v>45000</v>
      </c>
    </row>
    <row r="19">
      <c r="A19" s="10" t="inlineStr">
        <is>
          <t>Duyarlılık sıra özeti</t>
        </is>
      </c>
      <c r="B19" s="17">
        <f>IFERROR(CONCATENATE("1)",INDEX(A16:A18,MATCH(1,C16:C18,0))," 2)",INDEX(A16:A18,MATCH(2,C16:C18,0))),"-")</f>
        <v/>
      </c>
    </row>
    <row r="20">
      <c r="A20" s="10" t="inlineStr">
        <is>
          <t>Duyarlılık yorumu</t>
        </is>
      </c>
      <c r="B20" s="11">
        <f>_xlfn.TEXTJOIN("; ",TRUE,"En yüksek etki ",TEXT(MAX(B16:B18),"₺ #,##0")," TL — öncelik bu değişkende")</f>
        <v/>
      </c>
    </row>
    <row r="22">
      <c r="A22" s="10" t="inlineStr">
        <is>
          <t>M-SEN kural değişimi iade</t>
        </is>
      </c>
      <c r="B22" s="16">
        <f>C9</f>
        <v/>
      </c>
    </row>
    <row r="23">
      <c r="A23" s="10" t="inlineStr">
        <is>
          <t>M-SEN yorumu</t>
        </is>
      </c>
      <c r="B23" s="11">
        <f>_xlfn.TEXTJOIN("; ",TRUE,"KDV oranı +1 puan senaryosunda iade ",TEXT(C9,"₺ #,##0")," TL")</f>
        <v/>
      </c>
    </row>
    <row r="25">
      <c r="A25" s="10" t="inlineStr">
        <is>
          <t>Tahmin aralığı (iade)</t>
        </is>
      </c>
      <c r="B25" s="16">
        <f>MOTOR!G39</f>
        <v/>
      </c>
      <c r="C25" s="16">
        <f>kil_iadeSecili</f>
        <v/>
      </c>
      <c r="D25" s="16">
        <f>MOTOR!G38</f>
        <v/>
      </c>
    </row>
    <row r="26">
      <c r="A26" s="10" t="inlineStr">
        <is>
          <t>Tahmin (FORECAST)</t>
        </is>
      </c>
    </row>
    <row r="27">
      <c r="A27" s="19" t="inlineStr">
        <is>
          <t>Seri nokta</t>
        </is>
      </c>
      <c r="D27" s="10" t="inlineStr">
        <is>
          <t>TrendDemo</t>
        </is>
      </c>
    </row>
    <row r="28">
      <c r="A28" s="50" t="n">
        <v>1</v>
      </c>
      <c r="B28" s="16">
        <f>C6</f>
        <v/>
      </c>
      <c r="D28" s="20" t="n">
        <v>900000</v>
      </c>
    </row>
    <row r="29">
      <c r="A29" s="50" t="n">
        <v>2</v>
      </c>
      <c r="B29" s="16">
        <f>C7</f>
        <v/>
      </c>
      <c r="D29" s="20" t="n">
        <v>1000000</v>
      </c>
    </row>
    <row r="30">
      <c r="A30" s="50" t="n">
        <v>3</v>
      </c>
      <c r="B30" s="16">
        <f>C8</f>
        <v/>
      </c>
      <c r="D30" s="20" t="n">
        <v>1100000</v>
      </c>
    </row>
    <row r="31">
      <c r="A31" s="50" t="n">
        <v>4</v>
      </c>
      <c r="B31" s="16">
        <f>C9</f>
        <v/>
      </c>
      <c r="D31" s="20" t="n">
        <v>1050000</v>
      </c>
    </row>
    <row r="32">
      <c r="A32" s="24" t="inlineStr">
        <is>
          <t>Tahmin sonraki</t>
        </is>
      </c>
      <c r="B32" s="16">
        <f>IFERROR(FORECAST.LINEAR(5,B28:B31,A28:A31),0)</f>
        <v/>
      </c>
    </row>
    <row r="33">
      <c r="A33" s="10" t="inlineStr">
        <is>
          <t>Tahmin yorumu</t>
        </is>
      </c>
      <c r="B33" s="11">
        <f>_xlfn.TEXTJOIN("; ",TRUE,"Tahmin ",TEXT(B32,"₺ #,##0")," · Alt ",TEXT(B25,"₺ #,##0")," · Üst ",TEXT(D25,"₺ #,##0"))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B12:H12"/>
    <mergeCell ref="A1:AD1"/>
  </mergeCells>
  <conditionalFormatting sqref="C6:C9">
    <cfRule type="cellIs" priority="1" operator="greaterThan" dxfId="3">
      <formula>0</formula>
    </cfRule>
  </conditionalFormatting>
  <conditionalFormatting sqref="D6:D9">
    <cfRule type="expression" priority="2" dxfId="5">
      <formula>ISNUMBER(SEARCH("İADE",D6))</formula>
    </cfRule>
    <cfRule type="expression" priority="3" dxfId="4">
      <formula>ISNUMBER(SEARCH("EKSİK",D6))</formula>
    </cfRule>
  </conditionalFormatting>
  <conditionalFormatting sqref="B16:B18">
    <cfRule type="cellIs" priority="4" operator="greaterThan" dxfId="3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tabColor rgb="002E75B6"/>
    <outlinePr summaryBelow="1" summaryRight="1"/>
    <pageSetUpPr/>
  </sheetPr>
  <dimension ref="A1:AD1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36" customWidth="1" min="3" max="3"/>
    <col width="14" customWidth="1" min="4" max="4"/>
    <col width="14" customWidth="1" min="5" max="5"/>
    <col width="12" customWidth="1" min="6" max="6"/>
    <col width="12" customWidth="1" min="7" max="7"/>
    <col width="28" customWidth="1" min="8" max="8"/>
  </cols>
  <sheetData>
    <row r="1" ht="26" customHeight="1">
      <c r="A1" s="1" t="inlineStr">
        <is>
          <t>VAKALAR — KDV İade Listesi Robotu (GİB 7 Liste)</t>
        </is>
      </c>
    </row>
    <row r="3">
      <c r="A3" s="36" t="inlineStr">
        <is>
          <t>GİB iade altın vakaları</t>
        </is>
      </c>
    </row>
    <row r="5" ht="30" customHeight="1">
      <c r="A5" s="13" t="inlineStr">
        <is>
          <t>vaka_id</t>
        </is>
      </c>
      <c r="B5" s="13" t="inlineStr">
        <is>
          <t>aciklama</t>
        </is>
      </c>
      <c r="C5" s="13" t="inlineStr">
        <is>
          <t>girdi_ozeti</t>
        </is>
      </c>
      <c r="D5" s="13" t="inlineStr">
        <is>
          <t>beklenen_sonuc</t>
        </is>
      </c>
      <c r="E5" s="13" t="inlineStr">
        <is>
          <t>hesaplanan</t>
        </is>
      </c>
      <c r="F5" s="13" t="inlineStr">
        <is>
          <t>fark</t>
        </is>
      </c>
      <c r="G5" s="13" t="inlineStr">
        <is>
          <t>durum</t>
        </is>
      </c>
      <c r="H5" s="13" t="inlineStr">
        <is>
          <t>kaynak</t>
        </is>
      </c>
      <c r="J5" s="46" t="inlineStr">
        <is>
          <t>BeklenenDemo</t>
        </is>
      </c>
      <c r="K5" s="46" t="inlineStr">
        <is>
          <t>HesapDemo</t>
        </is>
      </c>
    </row>
    <row r="6">
      <c r="A6" s="24" t="inlineStr">
        <is>
          <t>V-001</t>
        </is>
      </c>
      <c r="B6" s="24" t="inlineStr">
        <is>
          <t>Net yüklenen = yüklenen − indirilecek</t>
        </is>
      </c>
      <c r="C6" s="24" t="inlineStr">
        <is>
          <t>yuk=vaka_yuklenen; ind=vaka_indirilecek</t>
        </is>
      </c>
      <c r="D6" s="51" t="n">
        <v>1200000</v>
      </c>
      <c r="E6" s="16">
        <f>IFERROR(ROUND(vaka_yuklenen-vaka_indirilecek+N(GIRDI!B10)*0,2),0)</f>
        <v/>
      </c>
      <c r="F6" s="52">
        <f>IF($A6="","",IFERROR($D6-$E6,0))</f>
        <v/>
      </c>
      <c r="G6" s="53">
        <f>IF($A6="","",IFERROR(IF(ABS($F6)&lt;=kil_tolerans,"TUTARLI","KIRIK"),"KIRIK"))</f>
        <v/>
      </c>
      <c r="H6" s="24" t="inlineStr">
        <is>
          <t>Net yüklenen kontrol</t>
        </is>
      </c>
      <c r="J6" s="20" t="n">
        <v>1200000</v>
      </c>
      <c r="K6" s="20" t="n">
        <v>1200000</v>
      </c>
    </row>
    <row r="7">
      <c r="A7" s="24" t="inlineStr">
        <is>
          <t>V-002</t>
        </is>
      </c>
      <c r="B7" s="24" t="inlineStr">
        <is>
          <t>İade A — hasılat tavanlı</t>
        </is>
      </c>
      <c r="C7" s="24" t="inlineStr">
        <is>
          <t>MIN(net, ihrac×KIL-001)</t>
        </is>
      </c>
      <c r="D7" s="51" t="n">
        <v>1000000</v>
      </c>
      <c r="E7" s="16">
        <f>IFERROR(ROUND(MIN(vaka_yuklenen-vaka_indirilecek,vaka_ihrac*INDEX(tblKurallar[deger_2026],MATCH("KIL-001",tblKurallar[kural_id],0)))+N(GIRDI!B12)*0,2),0)</f>
        <v/>
      </c>
      <c r="F7" s="52">
        <f>IF($A7="","",IFERROR($D7-$E7,0))</f>
        <v/>
      </c>
      <c r="G7" s="53">
        <f>IF($A7="","",IFERROR(IF(ABS($F7)&lt;=kil_tolerans,"TUTARLI","KIRIK"),"KIRIK"))</f>
        <v/>
      </c>
      <c r="H7" s="24" t="inlineStr">
        <is>
          <t>Yorum A iade</t>
        </is>
      </c>
      <c r="J7" s="20" t="n">
        <v>1000000</v>
      </c>
      <c r="K7" s="20" t="n">
        <v>1000000</v>
      </c>
    </row>
    <row r="8">
      <c r="A8" s="24" t="inlineStr">
        <is>
          <t>V-003</t>
        </is>
      </c>
      <c r="B8" s="24" t="inlineStr">
        <is>
          <t>İade B — GÇB tavanlı</t>
        </is>
      </c>
      <c r="C8" s="24" t="inlineStr">
        <is>
          <t>MIN(net, gcb×KIL-001)</t>
        </is>
      </c>
      <c r="D8" s="51" t="n">
        <v>900000</v>
      </c>
      <c r="E8" s="16">
        <f>IFERROR(ROUND(MIN(vaka_yuklenen-vaka_indirilecek,vaka_gcb*INDEX(tblKurallar[deger_2026],MATCH("KIL-001",tblKurallar[kural_id],0)))+N(GIRDI!B11)*0,2),0)</f>
        <v/>
      </c>
      <c r="F8" s="52">
        <f>IF($A8="","",IFERROR($D8-$E8,0))</f>
        <v/>
      </c>
      <c r="G8" s="53">
        <f>IF($A8="","",IFERROR(IF(ABS($F8)&lt;=kil_tolerans,"TUTARLI","KIRIK"),"KIRIK"))</f>
        <v/>
      </c>
      <c r="H8" s="24" t="inlineStr">
        <is>
          <t>Yorum B iade</t>
        </is>
      </c>
      <c r="J8" s="20" t="n">
        <v>900000</v>
      </c>
      <c r="K8" s="20" t="n">
        <v>900000</v>
      </c>
    </row>
    <row r="9">
      <c r="A9" s="24" t="inlineStr">
        <is>
          <t>V-004</t>
        </is>
      </c>
      <c r="B9" s="24" t="inlineStr">
        <is>
          <t>KDV oranı kontrol</t>
        </is>
      </c>
      <c r="C9" s="24" t="inlineStr">
        <is>
          <t>KIL-001 deger_2026</t>
        </is>
      </c>
      <c r="D9" s="54" t="n">
        <v>0.2</v>
      </c>
      <c r="E9" s="18">
        <f>IFERROR(INDEX(tblKurallar[deger_2026],MATCH("KIL-001",tblKurallar[kural_id],0))+N(GIRDI!B8)*0,0)</f>
        <v/>
      </c>
      <c r="F9" s="55">
        <f>IF($A9="","",IFERROR($D9-$E9,0))</f>
        <v/>
      </c>
      <c r="G9" s="53">
        <f>IF($A9="","",IFERROR(IF(ABS($F9)&lt;=kil_tolerans,"TUTARLI","KIRIK"),"KIRIK"))</f>
        <v/>
      </c>
      <c r="H9" s="24" t="inlineStr">
        <is>
          <t>Oran tutarlılığı</t>
        </is>
      </c>
      <c r="J9" s="56" t="n">
        <v>0.2</v>
      </c>
      <c r="K9" s="56" t="n">
        <v>0.2</v>
      </c>
    </row>
    <row r="12">
      <c r="A12" s="10" t="inlineStr">
        <is>
          <t>Vaka durum özeti</t>
        </is>
      </c>
      <c r="B12" s="57">
        <f>IFERROR(IF(COUNTIF(tblVakalar[durum],"KIRIK")&gt;0,"KIRIK","TUTARLI"),"KIRIK")</f>
        <v/>
      </c>
    </row>
    <row r="13">
      <c r="A13" s="10" t="inlineStr">
        <is>
          <t>Vaka fark toplamı</t>
        </is>
      </c>
      <c r="B13" s="16">
        <f>IFERROR(SUM(tblVakalar[fark]),0)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H3"/>
    <mergeCell ref="A1:AD1"/>
  </mergeCells>
  <conditionalFormatting sqref="G6:G9">
    <cfRule type="expression" priority="1" dxfId="0">
      <formula>G6="TUTARLI"</formula>
    </cfRule>
    <cfRule type="expression" priority="2" dxfId="1">
      <formula>G6="KIRIK"</formula>
    </cfRule>
  </conditionalFormatting>
  <conditionalFormatting sqref="F6:F9">
    <cfRule type="cellIs" priority="3" operator="notEqual" dxfId="3">
      <formula>0</formula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2.xml><?xml version="1.0" encoding="utf-8"?>
<worksheet xmlns="http://schemas.openxmlformats.org/spreadsheetml/2006/main">
  <sheetPr>
    <tabColor rgb="000F2742"/>
    <outlinePr summaryBelow="1" summaryRight="1"/>
    <pageSetUpPr fitToPage="1"/>
  </sheetPr>
  <dimension ref="A1:L3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6" customHeight="1">
      <c r="A1" s="1" t="inlineStr">
        <is>
          <t>KANIT RAPORU — KDV İade Listesi Robotu (GİB 7 Liste)</t>
        </is>
      </c>
    </row>
    <row r="3">
      <c r="A3" s="58" t="inlineStr">
        <is>
          <t>KANIT RAPORU — KDV İade Listesi (GİB 7 Liste)</t>
        </is>
      </c>
    </row>
    <row r="4">
      <c r="A4" s="24" t="inlineStr">
        <is>
          <t>Rapor tarihi</t>
        </is>
      </c>
      <c r="B4" s="59">
        <f>raporTarihi</f>
        <v/>
      </c>
    </row>
    <row r="5">
      <c r="A5" s="24" t="inlineStr">
        <is>
          <t>Mükellef</t>
        </is>
      </c>
      <c r="B5" s="17">
        <f>GIRDI!B6</f>
        <v/>
      </c>
    </row>
    <row r="6">
      <c r="A6" s="24" t="inlineStr">
        <is>
          <t>Dönem / yıl</t>
        </is>
      </c>
      <c r="B6" s="17">
        <f>CONCATENATE(GIRDI!B7," / ",hesapYili)</f>
        <v/>
      </c>
    </row>
    <row r="8">
      <c r="A8" s="12" t="inlineStr">
        <is>
          <t>Girdi özeti</t>
        </is>
      </c>
    </row>
    <row r="9">
      <c r="A9" s="24" t="inlineStr">
        <is>
          <t>İndirilecek KDV</t>
        </is>
      </c>
      <c r="B9" s="16">
        <f>GIRDI!B9</f>
        <v/>
      </c>
    </row>
    <row r="10">
      <c r="A10" s="24" t="inlineStr">
        <is>
          <t>Yüklenilen KDV</t>
        </is>
      </c>
      <c r="B10" s="16">
        <f>GIRDI!B10</f>
        <v/>
      </c>
    </row>
    <row r="11">
      <c r="A11" s="24" t="inlineStr">
        <is>
          <t>GÇB tutarı</t>
        </is>
      </c>
      <c r="B11" s="16">
        <f>GIRDI!B11</f>
        <v/>
      </c>
    </row>
    <row r="12">
      <c r="A12" s="24" t="inlineStr">
        <is>
          <t>İhraç hasılatı</t>
        </is>
      </c>
      <c r="B12" s="16">
        <f>GIRDI!B12</f>
        <v/>
      </c>
    </row>
    <row r="13">
      <c r="A13" s="24" t="inlineStr">
        <is>
          <t>Belge eksik adet</t>
        </is>
      </c>
      <c r="B13" s="29">
        <f>GIRDI!B13</f>
        <v/>
      </c>
    </row>
    <row r="14">
      <c r="A14" s="24" t="inlineStr">
        <is>
          <t>İade talep</t>
        </is>
      </c>
      <c r="B14" s="16">
        <f>GIRDI!B14</f>
        <v/>
      </c>
    </row>
    <row r="15">
      <c r="A15" s="24" t="inlineStr">
        <is>
          <t>Liste yorumu</t>
        </is>
      </c>
      <c r="B15" s="17">
        <f>GIRDI!B15</f>
        <v/>
      </c>
    </row>
    <row r="17">
      <c r="A17" s="12" t="inlineStr">
        <is>
          <t>Hesap zinciri</t>
        </is>
      </c>
    </row>
    <row r="18">
      <c r="A18" s="24" t="inlineStr">
        <is>
          <t>Seçili iade</t>
        </is>
      </c>
      <c r="B18" s="28">
        <f>kil_iadeSecili</f>
        <v/>
      </c>
    </row>
    <row r="19">
      <c r="A19" s="24" t="inlineStr">
        <is>
          <t>Sapma</t>
        </is>
      </c>
      <c r="B19" s="28">
        <f>kil_modulO1</f>
        <v/>
      </c>
    </row>
    <row r="20">
      <c r="A20" s="24" t="inlineStr">
        <is>
          <t>Yedi liste</t>
        </is>
      </c>
      <c r="B20" s="11">
        <f>kil_yediListe</f>
        <v/>
      </c>
    </row>
    <row r="21">
      <c r="A21" s="10" t="inlineStr">
        <is>
          <t>KARAR</t>
        </is>
      </c>
      <c r="B21" s="60">
        <f>kil_kararMetni</f>
        <v/>
      </c>
    </row>
    <row r="22">
      <c r="A22" s="24" t="inlineStr">
        <is>
          <t>Gerekçe</t>
        </is>
      </c>
      <c r="B22" s="11">
        <f>kil_kararGerekce</f>
        <v/>
      </c>
    </row>
    <row r="24">
      <c r="A24" s="10" t="inlineStr">
        <is>
          <t>Madde atıfları</t>
        </is>
      </c>
      <c r="B24" s="11">
        <f>kil_maddeAtifMetni</f>
        <v/>
      </c>
    </row>
    <row r="26">
      <c r="A26" s="10" t="inlineStr">
        <is>
          <t>Kanıt gövdesi</t>
        </is>
      </c>
      <c r="B26" s="11">
        <f>kil_kanitRaporu</f>
        <v/>
      </c>
    </row>
    <row r="27">
      <c r="A27" s="10" t="inlineStr">
        <is>
          <t>Liste sayfaları</t>
        </is>
      </c>
      <c r="B27" s="11">
        <f>kil_listeSayfalari</f>
        <v/>
      </c>
    </row>
    <row r="29">
      <c r="A29" s="24" t="inlineStr">
        <is>
          <t>Parmak izi (SHA-256 kısaltma)</t>
        </is>
      </c>
      <c r="B29" s="19">
        <f>kil_parmakIzi</f>
        <v/>
      </c>
    </row>
    <row r="31">
      <c r="A31" s="24" t="inlineStr">
        <is>
          <t>Hazırlayan (imza)</t>
        </is>
      </c>
      <c r="B31" s="25" t="inlineStr"/>
    </row>
    <row r="32">
      <c r="A32" s="24" t="inlineStr">
        <is>
          <t>Onaylayan (imza)</t>
        </is>
      </c>
      <c r="B32" s="25" t="inlineStr"/>
    </row>
    <row r="34">
      <c r="A34" s="61" t="inlineStr">
        <is>
          <t>Uyarı: Bu çıktı karar destektir; kesin KDV tahakkuku veya hukuki görüş değildir. Sürüm 1.0.0.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8">
    <mergeCell ref="B24:F24"/>
    <mergeCell ref="B20:F20"/>
    <mergeCell ref="A1:L1"/>
    <mergeCell ref="A34:F34"/>
    <mergeCell ref="B22:F22"/>
    <mergeCell ref="A3:F3"/>
    <mergeCell ref="B26:F26"/>
    <mergeCell ref="B27:F27"/>
  </mergeCells>
  <conditionalFormatting sqref="B21">
    <cfRule type="expression" priority="1" dxfId="0">
      <formula>ISNUMBER(SEARCH("İADE",B21))</formula>
    </cfRule>
    <cfRule type="expression" priority="2" dxfId="1">
      <formula>ISNUMBER(SEARCH("EKSİK",B21))</formula>
    </cfRule>
    <cfRule type="expression" priority="3" dxfId="1">
      <formula>ISNUMBER(SEARCH("VERİ YOK",B21))</formula>
    </cfRule>
  </conditionalFormatting>
  <conditionalFormatting sqref="B18">
    <cfRule type="cellIs" priority="4" operator="greaterThan" dxfId="3">
      <formula>0</formula>
    </cfRule>
  </conditionalFormatting>
  <pageMargins left="0.4" right="0.4" top="0.5" bottom="0.5" header="0.5" footer="0.5"/>
  <pageSetup orientation="portrait" paperSize="9" fitToHeight="1" fitToWidth="1"/>
  <headerFooter>
    <oddHeader/>
    <oddFooter>&amp;LKDV İade Listesi Robotu (GİB 7 Liste) · 1.0.0&amp;CExcelArşiv&amp;RSayfa &amp;P / &amp;N</oddFooter>
    <evenHeader/>
    <evenFooter>&amp;LKDV İade Listesi Robotu (GİB 7 Liste) · 1.0.0&amp;CExcelArşiv&amp;RSayfa &amp;P / &amp;N</evenFooter>
    <firstHeader/>
    <firstFooter/>
  </headerFooter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tabColor rgb="00C00000"/>
    <outlinePr summaryBelow="1" summaryRight="1"/>
    <pageSetUpPr/>
  </sheetPr>
  <dimension ref="A1:AD21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55" customWidth="1" min="2" max="2"/>
  </cols>
  <sheetData>
    <row r="1" ht="26" customHeight="1">
      <c r="A1" s="1" t="inlineStr">
        <is>
          <t>KONTROLLER — KDV İade Listesi Robotu (GİB 7 Liste)</t>
        </is>
      </c>
    </row>
    <row r="3">
      <c r="A3" s="21" t="inlineStr">
        <is>
          <t>Canlı kontrol paneli</t>
        </is>
      </c>
    </row>
    <row r="5">
      <c r="A5" s="24" t="inlineStr">
        <is>
          <t>Giriş tablosu boş mu?</t>
        </is>
      </c>
      <c r="B5" s="17">
        <f>IF(COUNTA(tblGirdi[Alan Anahtarı])=0,"BOŞ","DOLU")</f>
        <v/>
      </c>
    </row>
    <row r="6">
      <c r="A6" s="24" t="inlineStr">
        <is>
          <t>Negatif KDV tutarı var mı?</t>
        </is>
      </c>
      <c r="B6" s="17">
        <f>IF(OR(GIRDI!B9&lt;0,GIRDI!B10&lt;0,GIRDI!B11&lt;0,GIRDI!B12&lt;0),"NEGATİF","TEMİZ")</f>
        <v/>
      </c>
    </row>
    <row r="7">
      <c r="A7" s="24" t="inlineStr">
        <is>
          <t>Hesap yılı geçerli mi?</t>
        </is>
      </c>
      <c r="B7" s="17">
        <f>IFERROR(IF(AND(N(hesapYili)&gt;N(kil_yilTaban),N(hesapYili)&lt;=N(kil_yilTaban)+3),"TEMİZ","HATALI"),"HATALI")</f>
        <v/>
      </c>
    </row>
    <row r="8">
      <c r="A8" s="24" t="inlineStr">
        <is>
          <t>İade seçili sıfır mı?</t>
        </is>
      </c>
      <c r="B8" s="17">
        <f>IF(IFERROR(kil_iadeSecili,0)=0,"SIFIR","NORMAL")</f>
        <v/>
      </c>
    </row>
    <row r="9">
      <c r="A9" s="24" t="inlineStr">
        <is>
          <t>Vaka kırık mı?</t>
        </is>
      </c>
      <c r="B9" s="17">
        <f>IFERROR(IF(COUNTIF(tblVakalar[durum],"KIRIK")&gt;0,"KIRIK","TUTARLI"),"KIRIK")</f>
        <v/>
      </c>
    </row>
    <row r="10">
      <c r="A10" s="24" t="inlineStr">
        <is>
          <t>İade eşiği aşıyor mu?</t>
        </is>
      </c>
      <c r="B10" s="17">
        <f>IF(IFERROR(kil_iadeSecili,0)&gt;=kil_iadeEsik,"AŞIYOR","NORMAL")</f>
        <v/>
      </c>
    </row>
    <row r="11">
      <c r="A11" s="24" t="inlineStr">
        <is>
          <t>Belge eksik mi?</t>
        </is>
      </c>
      <c r="B11" s="17">
        <f>IF(IFERROR(GIRDI!B13,0)&gt;kil_belgeLimit,"EKSİK","TEMİZ")</f>
        <v/>
      </c>
    </row>
    <row r="12">
      <c r="A12" s="24" t="inlineStr">
        <is>
          <t>Yorum A/B seçili mi?</t>
        </is>
      </c>
      <c r="B12" s="17">
        <f>IF(OR(GIRDI!B15="A",GIRDI!B15="B"),"TEMİZ","EKSİK")</f>
        <v/>
      </c>
    </row>
    <row r="13">
      <c r="A13" s="24" t="inlineStr">
        <is>
          <t>Motor adım sayısı</t>
        </is>
      </c>
      <c r="B13" s="17">
        <f>COUNTA(MOTOR!B7:B70)</f>
        <v/>
      </c>
    </row>
    <row r="14">
      <c r="A14" s="24" t="inlineStr">
        <is>
          <t>Yedi liste metni dolu mu?</t>
        </is>
      </c>
      <c r="B14" s="17">
        <f>IF(IFERROR(kil_yediListe,"")="","EKSİK","TAM")</f>
        <v/>
      </c>
    </row>
    <row r="15">
      <c r="A15" s="10" t="inlineStr">
        <is>
          <t>Kalite skoru (modül)</t>
        </is>
      </c>
      <c r="B15" s="62">
        <f>IFERROR(ROUND(IF(OR(B16=0,B16=""),0,B17/B16*100),0),0)</f>
        <v/>
      </c>
    </row>
    <row r="16">
      <c r="A16" s="24" t="inlineStr">
        <is>
          <t>Toplam giriş alanı</t>
        </is>
      </c>
      <c r="B16" s="29">
        <f>IFERROR(kil_girisBeklenen+COUNTA(GIRDI!B6:B15)*0,0)</f>
        <v/>
      </c>
    </row>
    <row r="17">
      <c r="A17" s="24" t="inlineStr">
        <is>
          <t>Dolu giriş</t>
        </is>
      </c>
      <c r="B17" s="29">
        <f>COUNTA(GIRDI!B6:B15)</f>
        <v/>
      </c>
    </row>
    <row r="19">
      <c r="A19" s="24" t="inlineStr">
        <is>
          <t>İade seçili kontrol</t>
        </is>
      </c>
      <c r="B19" s="16">
        <f>IFERROR(kil_iadeSecili,0)</f>
        <v/>
      </c>
    </row>
    <row r="20">
      <c r="A20" s="24" t="inlineStr">
        <is>
          <t>Karar kontrol</t>
        </is>
      </c>
      <c r="B20" s="17">
        <f>IFERROR(kil_kararMetni,"-")</f>
        <v/>
      </c>
    </row>
    <row r="21">
      <c r="A21" s="24" t="inlineStr">
        <is>
          <t>Liste sayfaları kontrol</t>
        </is>
      </c>
      <c r="B21" s="17">
        <f>IFERROR(kil_listeSayfalari,"-")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conditionalFormatting sqref="B5:B14">
    <cfRule type="expression" priority="1" dxfId="1">
      <formula>OR(B5="KIRIK",B5="HATALI",B5="NEGATİF",B5="BOŞ",B5="EKSİK",B5="AŞIYOR",B5="SIFIR")</formula>
    </cfRule>
    <cfRule type="expression" priority="2" dxfId="0">
      <formula>OR(B5="TEMİZ",B5="DOLU",B5="NORMAL",B5="TUTARLI",B5="TAM")</formula>
    </cfRule>
  </conditionalFormatting>
  <conditionalFormatting sqref="B15">
    <cfRule type="cellIs" priority="3" operator="greaterThanOrEqual" dxfId="5">
      <formula>80</formula>
    </cfRule>
    <cfRule type="cellIs" priority="4" operator="lessThan" dxfId="4">
      <formula>50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tabColor rgb="0070AD47"/>
    <outlinePr summaryBelow="1" summaryRight="1"/>
    <pageSetUpPr/>
  </sheetPr>
  <dimension ref="A1:AD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6" customHeight="1">
      <c r="A1" s="1" t="inlineStr">
        <is>
          <t>ORNEK VERI — KDV İade Listesi Robotu (GİB 7 Liste)</t>
        </is>
      </c>
    </row>
    <row r="3">
      <c r="A3" s="36" t="inlineStr">
        <is>
          <t>Örnek senaryo kütüphanesi</t>
        </is>
      </c>
    </row>
    <row r="4">
      <c r="A4" s="19" t="inlineStr">
        <is>
          <t>Bu sayfa demo değerleri saklar; GIRDI'ye kopyalanabilir.</t>
        </is>
      </c>
    </row>
    <row r="5" ht="30" customHeight="1">
      <c r="A5" s="13" t="inlineStr">
        <is>
          <t>Senaryo</t>
        </is>
      </c>
      <c r="B5" s="13" t="inlineStr">
        <is>
          <t>İndirilecek</t>
        </is>
      </c>
      <c r="C5" s="13" t="inlineStr">
        <is>
          <t>Yüklenilen</t>
        </is>
      </c>
      <c r="D5" s="13" t="inlineStr">
        <is>
          <t>GÇB</t>
        </is>
      </c>
      <c r="E5" s="13" t="inlineStr">
        <is>
          <t>İhraç</t>
        </is>
      </c>
      <c r="F5" s="13" t="inlineStr">
        <is>
          <t>Belge Eksik</t>
        </is>
      </c>
      <c r="G5" s="13" t="inlineStr">
        <is>
          <t>İade Talep</t>
        </is>
      </c>
      <c r="H5" s="13" t="inlineStr">
        <is>
          <t>Yorum</t>
        </is>
      </c>
      <c r="I5" s="13" t="inlineStr">
        <is>
          <t>İade Seçili</t>
        </is>
      </c>
      <c r="J5" s="13" t="inlineStr">
        <is>
          <t>Kontrol</t>
        </is>
      </c>
    </row>
    <row r="6">
      <c r="A6" s="25" t="inlineStr">
        <is>
          <t>Demo ana</t>
        </is>
      </c>
      <c r="B6" s="27" t="n">
        <v>800000</v>
      </c>
      <c r="C6" s="27" t="n">
        <v>2000000</v>
      </c>
      <c r="D6" s="27" t="n">
        <v>4500000</v>
      </c>
      <c r="E6" s="27" t="n">
        <v>5000000</v>
      </c>
      <c r="F6" s="26" t="n">
        <v>0</v>
      </c>
      <c r="G6" s="27" t="n">
        <v>900000</v>
      </c>
      <c r="H6" s="25" t="inlineStr">
        <is>
          <t>A</t>
        </is>
      </c>
      <c r="I6" s="27" t="n">
        <v>1000000</v>
      </c>
      <c r="J6" s="31">
        <f>IF($A6="","",IF(OR($B6="",$C6=""),"EKSİK","TAM"))</f>
        <v/>
      </c>
    </row>
    <row r="7">
      <c r="A7" s="25" t="inlineStr">
        <is>
          <t>Yorum B</t>
        </is>
      </c>
      <c r="B7" s="27" t="n">
        <v>800000</v>
      </c>
      <c r="C7" s="27" t="n">
        <v>2000000</v>
      </c>
      <c r="D7" s="27" t="n">
        <v>4500000</v>
      </c>
      <c r="E7" s="27" t="n">
        <v>5000000</v>
      </c>
      <c r="F7" s="26" t="n">
        <v>0</v>
      </c>
      <c r="G7" s="27" t="n">
        <v>900000</v>
      </c>
      <c r="H7" s="25" t="inlineStr">
        <is>
          <t>B</t>
        </is>
      </c>
      <c r="I7" s="27" t="n">
        <v>900000</v>
      </c>
      <c r="J7" s="31">
        <f>IF($A7="","",IF(OR($B7="",$C7=""),"EKSİK","TAM"))</f>
        <v/>
      </c>
    </row>
    <row r="8">
      <c r="A8" s="25" t="inlineStr">
        <is>
          <t>Eksik belge</t>
        </is>
      </c>
      <c r="B8" s="27" t="n">
        <v>800000</v>
      </c>
      <c r="C8" s="27" t="n">
        <v>2000000</v>
      </c>
      <c r="D8" s="27" t="n">
        <v>4500000</v>
      </c>
      <c r="E8" s="27" t="n">
        <v>5000000</v>
      </c>
      <c r="F8" s="26" t="n">
        <v>2</v>
      </c>
      <c r="G8" s="27" t="n">
        <v>900000</v>
      </c>
      <c r="H8" s="25" t="inlineStr">
        <is>
          <t>A</t>
        </is>
      </c>
      <c r="I8" s="27" t="n">
        <v>1000000</v>
      </c>
      <c r="J8" s="31">
        <f>IF($A8="","",IF(OR($B8="",$C8=""),"EKSİK","TAM"))</f>
        <v/>
      </c>
    </row>
    <row r="9">
      <c r="A9" s="25" t="inlineStr">
        <is>
          <t>Düşük iade</t>
        </is>
      </c>
      <c r="B9" s="27" t="n">
        <v>100000</v>
      </c>
      <c r="C9" s="27" t="n">
        <v>120000</v>
      </c>
      <c r="D9" s="27" t="n">
        <v>200000</v>
      </c>
      <c r="E9" s="27" t="n">
        <v>250000</v>
      </c>
      <c r="F9" s="26" t="n">
        <v>0</v>
      </c>
      <c r="G9" s="27" t="n">
        <v>10000</v>
      </c>
      <c r="H9" s="25" t="inlineStr">
        <is>
          <t>A</t>
        </is>
      </c>
      <c r="I9" s="27" t="n">
        <v>20000</v>
      </c>
      <c r="J9" s="31">
        <f>IF($A9="","",IF(OR($B9="",$C9=""),"EKSİK","TAM"))</f>
        <v/>
      </c>
    </row>
    <row r="10">
      <c r="A10" s="25" t="inlineStr">
        <is>
          <t>Yüksek hasılat</t>
        </is>
      </c>
      <c r="B10" s="27" t="n">
        <v>500000</v>
      </c>
      <c r="C10" s="27" t="n">
        <v>3000000</v>
      </c>
      <c r="D10" s="27" t="n">
        <v>8000000</v>
      </c>
      <c r="E10" s="27" t="n">
        <v>9000000</v>
      </c>
      <c r="F10" s="26" t="n">
        <v>0</v>
      </c>
      <c r="G10" s="27" t="n">
        <v>1500000</v>
      </c>
      <c r="H10" s="25" t="inlineStr">
        <is>
          <t>A</t>
        </is>
      </c>
      <c r="I10" s="27" t="n">
        <v>1800000</v>
      </c>
      <c r="J10" s="31">
        <f>IF($A10="","",IF(OR($B10="",$C10=""),"EKSİK","TAM"))</f>
        <v/>
      </c>
    </row>
    <row r="11">
      <c r="A11" s="30" t="n"/>
      <c r="B11" s="30" t="n"/>
      <c r="C11" s="30" t="n"/>
      <c r="D11" s="30" t="n"/>
      <c r="E11" s="30" t="n"/>
      <c r="F11" s="30" t="n"/>
      <c r="G11" s="30" t="n"/>
      <c r="H11" s="30" t="n"/>
      <c r="I11" s="30" t="n"/>
      <c r="J11" s="31">
        <f>IF($A11="","",IF(OR($B11="",$C11=""),"EKSİK","TAM"))</f>
        <v/>
      </c>
    </row>
    <row r="12">
      <c r="A12" s="30" t="n"/>
      <c r="B12" s="30" t="n"/>
      <c r="C12" s="30" t="n"/>
      <c r="D12" s="30" t="n"/>
      <c r="E12" s="30" t="n"/>
      <c r="F12" s="30" t="n"/>
      <c r="G12" s="30" t="n"/>
      <c r="H12" s="30" t="n"/>
      <c r="I12" s="30" t="n"/>
      <c r="J12" s="31">
        <f>IF($A12="","",IF(OR($B12="",$C12=""),"EKSİK","TAM"))</f>
        <v/>
      </c>
    </row>
    <row r="13">
      <c r="A13" s="30" t="n"/>
      <c r="B13" s="30" t="n"/>
      <c r="C13" s="30" t="n"/>
      <c r="D13" s="30" t="n"/>
      <c r="E13" s="30" t="n"/>
      <c r="F13" s="30" t="n"/>
      <c r="G13" s="30" t="n"/>
      <c r="H13" s="30" t="n"/>
      <c r="I13" s="30" t="n"/>
      <c r="J13" s="31">
        <f>IF($A13="","",IF(OR($B13="",$C13=""),"EKSİK","TAM"))</f>
        <v/>
      </c>
    </row>
    <row r="14">
      <c r="A14" s="30" t="n"/>
      <c r="B14" s="30" t="n"/>
      <c r="C14" s="30" t="n"/>
      <c r="D14" s="30" t="n"/>
      <c r="E14" s="30" t="n"/>
      <c r="F14" s="30" t="n"/>
      <c r="G14" s="30" t="n"/>
      <c r="H14" s="30" t="n"/>
      <c r="I14" s="30" t="n"/>
      <c r="J14" s="31">
        <f>IF($A14="","",IF(OR($B14="",$C14=""),"EKSİK","TAM"))</f>
        <v/>
      </c>
    </row>
    <row r="15">
      <c r="A15" s="30" t="n"/>
      <c r="B15" s="30" t="n"/>
      <c r="C15" s="30" t="n"/>
      <c r="D15" s="30" t="n"/>
      <c r="E15" s="30" t="n"/>
      <c r="F15" s="30" t="n"/>
      <c r="G15" s="30" t="n"/>
      <c r="H15" s="30" t="n"/>
      <c r="I15" s="30" t="n"/>
      <c r="J15" s="31">
        <f>IF($A15="","",IF(OR($B15="",$C15=""),"EKSİK","TAM"))</f>
        <v/>
      </c>
    </row>
    <row r="16">
      <c r="A16" s="30" t="n"/>
      <c r="B16" s="30" t="n"/>
      <c r="C16" s="30" t="n"/>
      <c r="D16" s="30" t="n"/>
      <c r="E16" s="30" t="n"/>
      <c r="F16" s="30" t="n"/>
      <c r="G16" s="30" t="n"/>
      <c r="H16" s="30" t="n"/>
      <c r="I16" s="30" t="n"/>
      <c r="J16" s="31">
        <f>IF($A16="","",IF(OR($B16="",$C16=""),"EKSİK","TAM"))</f>
        <v/>
      </c>
    </row>
    <row r="17">
      <c r="A17" s="30" t="n"/>
      <c r="B17" s="30" t="n"/>
      <c r="C17" s="30" t="n"/>
      <c r="D17" s="30" t="n"/>
      <c r="E17" s="30" t="n"/>
      <c r="F17" s="30" t="n"/>
      <c r="G17" s="30" t="n"/>
      <c r="H17" s="30" t="n"/>
      <c r="I17" s="30" t="n"/>
      <c r="J17" s="31">
        <f>IF($A17="","",IF(OR($B17="",$C17=""),"EKSİK","TAM"))</f>
        <v/>
      </c>
    </row>
    <row r="18">
      <c r="A18" s="30" t="n"/>
      <c r="B18" s="30" t="n"/>
      <c r="C18" s="30" t="n"/>
      <c r="D18" s="30" t="n"/>
      <c r="E18" s="30" t="n"/>
      <c r="F18" s="30" t="n"/>
      <c r="G18" s="30" t="n"/>
      <c r="H18" s="30" t="n"/>
      <c r="I18" s="30" t="n"/>
      <c r="J18" s="31">
        <f>IF($A18="","",IF(OR($B18="",$C18=""),"EKSİK","TAM"))</f>
        <v/>
      </c>
    </row>
    <row r="19">
      <c r="A19" s="30" t="n"/>
      <c r="B19" s="30" t="n"/>
      <c r="C19" s="30" t="n"/>
      <c r="D19" s="30" t="n"/>
      <c r="E19" s="30" t="n"/>
      <c r="F19" s="30" t="n"/>
      <c r="G19" s="30" t="n"/>
      <c r="H19" s="30" t="n"/>
      <c r="I19" s="30" t="n"/>
      <c r="J19" s="31">
        <f>IF($A19="","",IF(OR($B19="",$C19=""),"EKSİK","TAM"))</f>
        <v/>
      </c>
    </row>
    <row r="20">
      <c r="A20" s="30" t="n"/>
      <c r="B20" s="30" t="n"/>
      <c r="C20" s="30" t="n"/>
      <c r="D20" s="30" t="n"/>
      <c r="E20" s="30" t="n"/>
      <c r="F20" s="30" t="n"/>
      <c r="G20" s="30" t="n"/>
      <c r="H20" s="30" t="n"/>
      <c r="I20" s="30" t="n"/>
      <c r="J20" s="31">
        <f>IF($A20="","",IF(OR($B20="",$C20=""),"EKSİK","TAM"))</f>
        <v/>
      </c>
    </row>
    <row r="21">
      <c r="A21" s="30" t="n"/>
      <c r="B21" s="30" t="n"/>
      <c r="C21" s="30" t="n"/>
      <c r="D21" s="30" t="n"/>
      <c r="E21" s="30" t="n"/>
      <c r="F21" s="30" t="n"/>
      <c r="G21" s="30" t="n"/>
      <c r="H21" s="30" t="n"/>
      <c r="I21" s="30" t="n"/>
      <c r="J21" s="31">
        <f>IF($A21="","",IF(OR($B21="",$C21=""),"EKSİK","TAM"))</f>
        <v/>
      </c>
    </row>
    <row r="22">
      <c r="A22" s="30" t="n"/>
      <c r="B22" s="30" t="n"/>
      <c r="C22" s="30" t="n"/>
      <c r="D22" s="30" t="n"/>
      <c r="E22" s="30" t="n"/>
      <c r="F22" s="30" t="n"/>
      <c r="G22" s="30" t="n"/>
      <c r="H22" s="30" t="n"/>
      <c r="I22" s="30" t="n"/>
      <c r="J22" s="31">
        <f>IF($A22="","",IF(OR($B22="",$C22=""),"EKSİK","TAM"))</f>
        <v/>
      </c>
    </row>
    <row r="23">
      <c r="A23" s="30" t="n"/>
      <c r="B23" s="30" t="n"/>
      <c r="C23" s="30" t="n"/>
      <c r="D23" s="30" t="n"/>
      <c r="E23" s="30" t="n"/>
      <c r="F23" s="30" t="n"/>
      <c r="G23" s="30" t="n"/>
      <c r="H23" s="30" t="n"/>
      <c r="I23" s="30" t="n"/>
      <c r="J23" s="31">
        <f>IF($A23="","",IF(OR($B23="",$C23=""),"EKSİK","TAM"))</f>
        <v/>
      </c>
    </row>
    <row r="24">
      <c r="A24" s="30" t="n"/>
      <c r="B24" s="30" t="n"/>
      <c r="C24" s="30" t="n"/>
      <c r="D24" s="30" t="n"/>
      <c r="E24" s="30" t="n"/>
      <c r="F24" s="30" t="n"/>
      <c r="G24" s="30" t="n"/>
      <c r="H24" s="30" t="n"/>
      <c r="I24" s="30" t="n"/>
      <c r="J24" s="31">
        <f>IF($A24="","",IF(OR($B24="",$C24=""),"EKSİK","TAM"))</f>
        <v/>
      </c>
    </row>
    <row r="25">
      <c r="A25" s="30" t="n"/>
      <c r="B25" s="30" t="n"/>
      <c r="C25" s="30" t="n"/>
      <c r="D25" s="30" t="n"/>
      <c r="E25" s="30" t="n"/>
      <c r="F25" s="30" t="n"/>
      <c r="G25" s="30" t="n"/>
      <c r="H25" s="30" t="n"/>
      <c r="I25" s="30" t="n"/>
      <c r="J25" s="31">
        <f>IF($A25="","",IF(OR($B25="",$C25=""),"EKSİK","TAM"))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L3"/>
    <mergeCell ref="A1:AD1"/>
  </mergeCells>
  <conditionalFormatting sqref="B6:B20">
    <cfRule type="cellIs" priority="1" operator="lessThan" dxfId="4">
      <formula>0</formula>
    </cfRule>
  </conditionalFormatting>
  <conditionalFormatting sqref="C6:C20">
    <cfRule type="cellIs" priority="2" operator="lessThan" dxfId="4">
      <formula>0</formula>
    </cfRule>
  </conditionalFormatting>
  <conditionalFormatting sqref="D6:D20">
    <cfRule type="cellIs" priority="3" operator="lessThan" dxfId="4">
      <formula>0</formula>
    </cfRule>
  </conditionalFormatting>
  <conditionalFormatting sqref="E6:E20">
    <cfRule type="cellIs" priority="4" operator="lessThan" dxfId="4">
      <formula>0</formula>
    </cfRule>
  </conditionalFormatting>
  <conditionalFormatting sqref="F6:F20">
    <cfRule type="cellIs" priority="5" operator="lessThan" dxfId="4">
      <formula>0</formula>
    </cfRule>
  </conditionalFormatting>
  <conditionalFormatting sqref="G6:G20">
    <cfRule type="cellIs" priority="6" operator="lessThan" dxfId="4">
      <formula>0</formula>
    </cfRule>
  </conditionalFormatting>
  <conditionalFormatting sqref="I6:I20">
    <cfRule type="cellIs" priority="7" operator="lessThan" dxfId="4">
      <formula>0</formula>
    </cfRule>
  </conditionalFormatting>
  <conditionalFormatting sqref="J6:J20">
    <cfRule type="expression" priority="8" dxfId="1">
      <formula>J6="EKSİK"</formula>
    </cfRule>
    <cfRule type="expression" priority="9" dxfId="0">
      <formula>J6="TAM"</formula>
    </cfRule>
  </conditionalFormatting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tabColor rgb="00595959"/>
    <outlinePr summaryBelow="1" summaryRight="1"/>
    <pageSetUpPr/>
  </sheetPr>
  <dimension ref="A1:T1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14" customWidth="1" min="3" max="3"/>
    <col width="14" customWidth="1" min="5" max="5"/>
  </cols>
  <sheetData>
    <row r="1" ht="26" customHeight="1">
      <c r="A1" s="1" t="inlineStr">
        <is>
          <t>LISTELER — KDV İade Listesi Robotu (GİB 7 Liste)</t>
        </is>
      </c>
    </row>
    <row r="3">
      <c r="A3" s="10" t="inlineStr">
        <is>
          <t>Doğrulama listeleri</t>
        </is>
      </c>
    </row>
    <row r="5">
      <c r="A5" s="46" t="inlineStr">
        <is>
          <t>Yıllar</t>
        </is>
      </c>
      <c r="C5" s="46" t="inlineStr">
        <is>
          <t>Yorum A/B</t>
        </is>
      </c>
      <c r="E5" s="46" t="inlineStr">
        <is>
          <t>Evet/Hayır</t>
        </is>
      </c>
    </row>
    <row r="6">
      <c r="A6" s="47" t="n">
        <v>2025</v>
      </c>
      <c r="C6" s="48" t="inlineStr">
        <is>
          <t>A</t>
        </is>
      </c>
      <c r="E6" s="48" t="inlineStr">
        <is>
          <t>Evet</t>
        </is>
      </c>
    </row>
    <row r="7">
      <c r="A7" s="47" t="n">
        <v>2026</v>
      </c>
      <c r="C7" s="48" t="inlineStr">
        <is>
          <t>B</t>
        </is>
      </c>
      <c r="E7" s="48" t="inlineStr">
        <is>
          <t>Hayır</t>
        </is>
      </c>
    </row>
    <row r="8">
      <c r="A8" s="47" t="n">
        <v>2027</v>
      </c>
    </row>
    <row r="10">
      <c r="A10" s="10" t="inlineStr">
        <is>
          <t>GİB 7 liste adları (referans)</t>
        </is>
      </c>
    </row>
    <row r="11">
      <c r="A11" s="24" t="inlineStr">
        <is>
          <t>LISTE_1</t>
        </is>
      </c>
      <c r="B11" s="24" t="inlineStr">
        <is>
          <t>İndirilecek KDV Listesi</t>
        </is>
      </c>
    </row>
    <row r="12">
      <c r="A12" s="24" t="inlineStr">
        <is>
          <t>LISTE_2</t>
        </is>
      </c>
      <c r="B12" s="24" t="inlineStr">
        <is>
          <t>Yüklenilen KDV Listesi</t>
        </is>
      </c>
    </row>
    <row r="13">
      <c r="A13" s="24" t="inlineStr">
        <is>
          <t>LISTE_3</t>
        </is>
      </c>
      <c r="B13" s="24" t="inlineStr">
        <is>
          <t>GÇB Listesi</t>
        </is>
      </c>
    </row>
    <row r="14">
      <c r="A14" s="24" t="inlineStr">
        <is>
          <t>LISTE_4</t>
        </is>
      </c>
      <c r="B14" s="24" t="inlineStr">
        <is>
          <t>Satış Faturaları Listesi</t>
        </is>
      </c>
    </row>
    <row r="15">
      <c r="A15" s="24" t="inlineStr">
        <is>
          <t>LISTE_5</t>
        </is>
      </c>
      <c r="B15" s="24" t="inlineStr">
        <is>
          <t>Alış Faturaları Listesi</t>
        </is>
      </c>
    </row>
    <row r="16">
      <c r="A16" s="24" t="inlineStr">
        <is>
          <t>LISTE_6</t>
        </is>
      </c>
      <c r="B16" s="24" t="inlineStr">
        <is>
          <t>İade Hesap Cetveli</t>
        </is>
      </c>
    </row>
    <row r="17">
      <c r="A17" s="24" t="inlineStr">
        <is>
          <t>LISTE_7</t>
        </is>
      </c>
      <c r="B17" s="24" t="inlineStr">
        <is>
          <t>Ek Belge / Tamamlayıcı Liste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T1"/>
  </mergeCells>
  <pageMargins left="0.75" right="0.75" top="1" bottom="1" header="0.5" footer="0.5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>
    <tabColor rgb="000F2742"/>
    <outlinePr summaryBelow="1" summaryRight="1"/>
    <pageSetUpPr/>
  </sheetPr>
  <dimension ref="A1:AD3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10" customWidth="1" min="3" max="3"/>
    <col width="36" customWidth="1" min="4" max="4"/>
    <col width="22" customWidth="1" min="5" max="5"/>
    <col width="14" customWidth="1" min="6" max="6"/>
    <col width="14" customWidth="1" min="7" max="7"/>
    <col width="12" customWidth="1" min="8" max="8"/>
  </cols>
  <sheetData>
    <row r="1" ht="26" customHeight="1">
      <c r="A1" s="1" t="inlineStr">
        <is>
          <t>AYARLAR — KDV İade Listesi Robotu (GİB 7 Liste)</t>
        </is>
      </c>
    </row>
    <row r="3">
      <c r="A3" s="21" t="inlineStr">
        <is>
          <t>Parametreler (tek kaynak)</t>
        </is>
      </c>
    </row>
    <row r="5" ht="30" customHeight="1">
      <c r="A5" s="13" t="inlineStr">
        <is>
          <t>anahtar</t>
        </is>
      </c>
      <c r="B5" s="13" t="inlineStr">
        <is>
          <t>deger</t>
        </is>
      </c>
      <c r="C5" s="13" t="inlineStr">
        <is>
          <t>birim</t>
        </is>
      </c>
      <c r="D5" s="13" t="inlineStr">
        <is>
          <t>aciklama</t>
        </is>
      </c>
      <c r="E5" s="13" t="inlineStr">
        <is>
          <t>kaynak</t>
        </is>
      </c>
      <c r="F5" s="13" t="inlineStr">
        <is>
          <t>yururluk_tarihi</t>
        </is>
      </c>
      <c r="G5" s="13" t="inlineStr">
        <is>
          <t>dogrulama_tarihi</t>
        </is>
      </c>
      <c r="H5" s="13" t="inlineStr">
        <is>
          <t>kontrol</t>
        </is>
      </c>
    </row>
    <row r="6">
      <c r="A6" s="24" t="inlineStr">
        <is>
          <t>hesapYili</t>
        </is>
      </c>
      <c r="B6" s="39" t="n">
        <v>2026</v>
      </c>
      <c r="C6" s="24" t="inlineStr">
        <is>
          <t>yıl</t>
        </is>
      </c>
      <c r="D6" s="24" t="inlineStr">
        <is>
          <t>Aktif hesap yılı</t>
        </is>
      </c>
      <c r="E6" s="24" t="inlineStr">
        <is>
          <t>Kullanıcı / GIRDI</t>
        </is>
      </c>
      <c r="F6" s="24" t="inlineStr">
        <is>
          <t>01.01.2025</t>
        </is>
      </c>
      <c r="G6" s="24" t="inlineStr">
        <is>
          <t>14.08.2026</t>
        </is>
      </c>
      <c r="H6" s="63">
        <f>IF(A6="","",IF(B6="","EKSİK","TAM"))</f>
        <v/>
      </c>
    </row>
    <row r="7">
      <c r="A7" s="24" t="inlineStr">
        <is>
          <t>raporTarihi</t>
        </is>
      </c>
      <c r="B7" s="64" t="n">
        <v>46248</v>
      </c>
      <c r="C7" s="24" t="inlineStr">
        <is>
          <t>tarih</t>
        </is>
      </c>
      <c r="D7" s="24" t="inlineStr">
        <is>
          <t>Rapor tarihi (sabit)</t>
        </is>
      </c>
      <c r="E7" s="24" t="inlineStr">
        <is>
          <t>Üretim</t>
        </is>
      </c>
      <c r="F7" s="24" t="inlineStr">
        <is>
          <t>01.01.2025</t>
        </is>
      </c>
      <c r="G7" s="24" t="inlineStr">
        <is>
          <t>14.08.2026</t>
        </is>
      </c>
      <c r="H7" s="63">
        <f>IF(A7="","",IF(B7="","EKSİK","TAM"))</f>
        <v/>
      </c>
    </row>
    <row r="8">
      <c r="A8" s="24" t="inlineStr">
        <is>
          <t>kil_tolerans</t>
        </is>
      </c>
      <c r="B8" s="38" t="n">
        <v>0.01</v>
      </c>
      <c r="C8" s="24" t="inlineStr">
        <is>
          <t>TL</t>
        </is>
      </c>
      <c r="D8" s="24" t="inlineStr">
        <is>
          <t>Vaka tutarlılık toleransı</t>
        </is>
      </c>
      <c r="E8" s="24" t="inlineStr">
        <is>
          <t>Uygulama notu</t>
        </is>
      </c>
      <c r="F8" s="24" t="inlineStr">
        <is>
          <t>01.01.2025</t>
        </is>
      </c>
      <c r="G8" s="24" t="inlineStr">
        <is>
          <t>14.08.2026</t>
        </is>
      </c>
      <c r="H8" s="63">
        <f>IF(A8="","",IF(B8="","EKSİK","TAM"))</f>
        <v/>
      </c>
    </row>
    <row r="9">
      <c r="A9" s="24" t="inlineStr">
        <is>
          <t>kil_iadeEsik</t>
        </is>
      </c>
      <c r="B9" s="38" t="n">
        <v>50000</v>
      </c>
      <c r="C9" s="24" t="inlineStr">
        <is>
          <t>TL</t>
        </is>
      </c>
      <c r="D9" s="24" t="inlineStr">
        <is>
          <t>İADE karar eşiği</t>
        </is>
      </c>
      <c r="E9" s="24" t="inlineStr">
        <is>
          <t>İç politika</t>
        </is>
      </c>
      <c r="F9" s="24" t="inlineStr">
        <is>
          <t>01.01.2025</t>
        </is>
      </c>
      <c r="G9" s="24" t="inlineStr">
        <is>
          <t>14.08.2026</t>
        </is>
      </c>
      <c r="H9" s="63">
        <f>IF(A9="","",IF(B9="","EKSİK","TAM"))</f>
        <v/>
      </c>
    </row>
    <row r="10">
      <c r="A10" s="24" t="inlineStr">
        <is>
          <t>kil_belgeLimit</t>
        </is>
      </c>
      <c r="B10" s="39" t="n">
        <v>0</v>
      </c>
      <c r="C10" s="24" t="inlineStr">
        <is>
          <t>adet</t>
        </is>
      </c>
      <c r="D10" s="24" t="inlineStr">
        <is>
          <t>İzin verilen eksik belge üst sınırı</t>
        </is>
      </c>
      <c r="E10" s="24" t="inlineStr">
        <is>
          <t>GİB belge</t>
        </is>
      </c>
      <c r="F10" s="24" t="inlineStr">
        <is>
          <t>01.01.2025</t>
        </is>
      </c>
      <c r="G10" s="24" t="inlineStr">
        <is>
          <t>14.08.2026</t>
        </is>
      </c>
      <c r="H10" s="63">
        <f>IF(A10="","",IF(B10="","EKSİK","TAM"))</f>
        <v/>
      </c>
    </row>
    <row r="11">
      <c r="A11" s="24" t="inlineStr">
        <is>
          <t>kil_senaryoIyi</t>
        </is>
      </c>
      <c r="B11" s="37" t="n">
        <v>0.9</v>
      </c>
      <c r="C11" s="24" t="inlineStr">
        <is>
          <t>çarpan</t>
        </is>
      </c>
      <c r="D11" s="24" t="inlineStr">
        <is>
          <t>İyimser iade çarpanı</t>
        </is>
      </c>
      <c r="E11" s="24" t="inlineStr">
        <is>
          <t>Model varsayımı</t>
        </is>
      </c>
      <c r="F11" s="24" t="inlineStr">
        <is>
          <t>01.01.2025</t>
        </is>
      </c>
      <c r="G11" s="24" t="inlineStr">
        <is>
          <t>14.08.2026</t>
        </is>
      </c>
      <c r="H11" s="63">
        <f>IF(A11="","",IF(B11="","EKSİK","TAM"))</f>
        <v/>
      </c>
    </row>
    <row r="12">
      <c r="A12" s="24" t="inlineStr">
        <is>
          <t>kil_senaryoKotu</t>
        </is>
      </c>
      <c r="B12" s="37" t="n">
        <v>1.1</v>
      </c>
      <c r="C12" s="24" t="inlineStr">
        <is>
          <t>çarpan</t>
        </is>
      </c>
      <c r="D12" s="24" t="inlineStr">
        <is>
          <t>Kötümser iade çarpanı</t>
        </is>
      </c>
      <c r="E12" s="24" t="inlineStr">
        <is>
          <t>Model varsayımı</t>
        </is>
      </c>
      <c r="F12" s="24" t="inlineStr">
        <is>
          <t>01.01.2025</t>
        </is>
      </c>
      <c r="G12" s="24" t="inlineStr">
        <is>
          <t>14.08.2026</t>
        </is>
      </c>
      <c r="H12" s="63">
        <f>IF(A12="","",IF(B12="","EKSİK","TAM"))</f>
        <v/>
      </c>
    </row>
    <row r="13">
      <c r="A13" s="24" t="inlineStr">
        <is>
          <t>kil_oranArtisPuan</t>
        </is>
      </c>
      <c r="B13" s="37" t="n">
        <v>0.01</v>
      </c>
      <c r="C13" s="24" t="inlineStr">
        <is>
          <t>oran</t>
        </is>
      </c>
      <c r="D13" s="24" t="inlineStr">
        <is>
          <t>M-SEN +1 puan</t>
        </is>
      </c>
      <c r="E13" s="24" t="inlineStr">
        <is>
          <t>Senaryo motoru</t>
        </is>
      </c>
      <c r="F13" s="24" t="inlineStr">
        <is>
          <t>01.01.2025</t>
        </is>
      </c>
      <c r="G13" s="24" t="inlineStr">
        <is>
          <t>14.08.2026</t>
        </is>
      </c>
      <c r="H13" s="63">
        <f>IF(A13="","",IF(B13="","EKSİK","TAM"))</f>
        <v/>
      </c>
    </row>
    <row r="14">
      <c r="A14" s="24" t="inlineStr">
        <is>
          <t>kil_tahminAlt</t>
        </is>
      </c>
      <c r="B14" s="37" t="n">
        <v>0.85</v>
      </c>
      <c r="C14" s="24" t="inlineStr">
        <is>
          <t>çarpan</t>
        </is>
      </c>
      <c r="D14" s="24" t="inlineStr">
        <is>
          <t>Tahmin alt bant</t>
        </is>
      </c>
      <c r="E14" s="24" t="inlineStr">
        <is>
          <t>Model varsayımı</t>
        </is>
      </c>
      <c r="F14" s="24" t="inlineStr">
        <is>
          <t>01.01.2025</t>
        </is>
      </c>
      <c r="G14" s="24" t="inlineStr">
        <is>
          <t>14.08.2026</t>
        </is>
      </c>
      <c r="H14" s="63">
        <f>IF(A14="","",IF(B14="","EKSİK","TAM"))</f>
        <v/>
      </c>
    </row>
    <row r="15">
      <c r="A15" s="24" t="inlineStr">
        <is>
          <t>kil_tahminUst</t>
        </is>
      </c>
      <c r="B15" s="37" t="n">
        <v>1.15</v>
      </c>
      <c r="C15" s="24" t="inlineStr">
        <is>
          <t>çarpan</t>
        </is>
      </c>
      <c r="D15" s="24" t="inlineStr">
        <is>
          <t>Tahmin üst bant</t>
        </is>
      </c>
      <c r="E15" s="24" t="inlineStr">
        <is>
          <t>Model varsayımı</t>
        </is>
      </c>
      <c r="F15" s="24" t="inlineStr">
        <is>
          <t>01.01.2025</t>
        </is>
      </c>
      <c r="G15" s="24" t="inlineStr">
        <is>
          <t>14.08.2026</t>
        </is>
      </c>
      <c r="H15" s="63">
        <f>IF(A15="","",IF(B15="","EKSİK","TAM"))</f>
        <v/>
      </c>
    </row>
    <row r="16">
      <c r="A16" s="24" t="inlineStr">
        <is>
          <t>kil_tornadoYuklenen</t>
        </is>
      </c>
      <c r="B16" s="37" t="n">
        <v>1.05</v>
      </c>
      <c r="C16" s="24" t="inlineStr">
        <is>
          <t>çarpan</t>
        </is>
      </c>
      <c r="D16" s="24" t="inlineStr">
        <is>
          <t>Tornado yüklenen şoku</t>
        </is>
      </c>
      <c r="E16" s="24" t="inlineStr">
        <is>
          <t>Model varsayımı</t>
        </is>
      </c>
      <c r="F16" s="24" t="inlineStr">
        <is>
          <t>01.01.2025</t>
        </is>
      </c>
      <c r="G16" s="24" t="inlineStr">
        <is>
          <t>14.08.2026</t>
        </is>
      </c>
      <c r="H16" s="63">
        <f>IF(A16="","",IF(B16="","EKSİK","TAM"))</f>
        <v/>
      </c>
    </row>
    <row r="17">
      <c r="A17" s="24" t="inlineStr">
        <is>
          <t>kil_tornadoIhrac</t>
        </is>
      </c>
      <c r="B17" s="37" t="n">
        <v>1.05</v>
      </c>
      <c r="C17" s="24" t="inlineStr">
        <is>
          <t>çarpan</t>
        </is>
      </c>
      <c r="D17" s="24" t="inlineStr">
        <is>
          <t>Tornado ihraç şoku</t>
        </is>
      </c>
      <c r="E17" s="24" t="inlineStr">
        <is>
          <t>Model varsayımı</t>
        </is>
      </c>
      <c r="F17" s="24" t="inlineStr">
        <is>
          <t>01.01.2025</t>
        </is>
      </c>
      <c r="G17" s="24" t="inlineStr">
        <is>
          <t>14.08.2026</t>
        </is>
      </c>
      <c r="H17" s="63">
        <f>IF(A17="","",IF(B17="","EKSİK","TAM"))</f>
        <v/>
      </c>
    </row>
    <row r="18">
      <c r="A18" s="24" t="inlineStr">
        <is>
          <t>kil_tornadoGcb</t>
        </is>
      </c>
      <c r="B18" s="37" t="n">
        <v>0.95</v>
      </c>
      <c r="C18" s="24" t="inlineStr">
        <is>
          <t>çarpan</t>
        </is>
      </c>
      <c r="D18" s="24" t="inlineStr">
        <is>
          <t>Tornado GÇB şoku</t>
        </is>
      </c>
      <c r="E18" s="24" t="inlineStr">
        <is>
          <t>Model varsayımı</t>
        </is>
      </c>
      <c r="F18" s="24" t="inlineStr">
        <is>
          <t>01.01.2025</t>
        </is>
      </c>
      <c r="G18" s="24" t="inlineStr">
        <is>
          <t>14.08.2026</t>
        </is>
      </c>
      <c r="H18" s="63">
        <f>IF(A18="","",IF(B18="","EKSİK","TAM"))</f>
        <v/>
      </c>
    </row>
    <row r="19">
      <c r="A19" s="24" t="inlineStr">
        <is>
          <t>kil_yuzdelikOran</t>
        </is>
      </c>
      <c r="B19" s="37" t="n">
        <v>0.9</v>
      </c>
      <c r="C19" s="24" t="inlineStr">
        <is>
          <t>oran</t>
        </is>
      </c>
      <c r="D19" s="24" t="inlineStr">
        <is>
          <t>Yüzdelik P90</t>
        </is>
      </c>
      <c r="E19" s="24" t="inlineStr">
        <is>
          <t>İstatistik</t>
        </is>
      </c>
      <c r="F19" s="24" t="inlineStr">
        <is>
          <t>01.01.2025</t>
        </is>
      </c>
      <c r="G19" s="24" t="inlineStr">
        <is>
          <t>14.08.2026</t>
        </is>
      </c>
      <c r="H19" s="63">
        <f>IF(A19="","",IF(B19="","EKSİK","TAM"))</f>
        <v/>
      </c>
    </row>
    <row r="20">
      <c r="A20" s="24" t="inlineStr">
        <is>
          <t>kil_parmakIzi</t>
        </is>
      </c>
      <c r="B20" s="65" t="inlineStr">
        <is>
          <t>d628bcbe2cac2b1c</t>
        </is>
      </c>
      <c r="C20" s="24" t="inlineStr">
        <is>
          <t>metin</t>
        </is>
      </c>
      <c r="D20" s="24" t="inlineStr">
        <is>
          <t>Dosya parmak izi etiketi</t>
        </is>
      </c>
      <c r="E20" s="24" t="inlineStr">
        <is>
          <t>Üretim</t>
        </is>
      </c>
      <c r="F20" s="24" t="inlineStr">
        <is>
          <t>01.01.2025</t>
        </is>
      </c>
      <c r="G20" s="24" t="inlineStr">
        <is>
          <t>14.08.2026</t>
        </is>
      </c>
      <c r="H20" s="63">
        <f>IF(A20="","",IF(B20="","EKSİK","TAM"))</f>
        <v/>
      </c>
    </row>
    <row r="21">
      <c r="A21" s="24" t="inlineStr">
        <is>
          <t>dosya_surumu</t>
        </is>
      </c>
      <c r="B21" s="65" t="inlineStr">
        <is>
          <t>1.0.0</t>
        </is>
      </c>
      <c r="C21" s="24" t="inlineStr">
        <is>
          <t>metin</t>
        </is>
      </c>
      <c r="D21" s="24" t="inlineStr">
        <is>
          <t>Ürün sürümü</t>
        </is>
      </c>
      <c r="E21" s="24" t="inlineStr">
        <is>
          <t>ExcelArşiv</t>
        </is>
      </c>
      <c r="F21" s="24" t="inlineStr">
        <is>
          <t>01.01.2025</t>
        </is>
      </c>
      <c r="G21" s="24" t="inlineStr">
        <is>
          <t>14.08.2026</t>
        </is>
      </c>
      <c r="H21" s="63">
        <f>IF(A21="","",IF(B21="","EKSİK","TAM"))</f>
        <v/>
      </c>
    </row>
    <row r="22">
      <c r="A22" s="24" t="inlineStr">
        <is>
          <t>kil_girisBeklenen</t>
        </is>
      </c>
      <c r="B22" s="39" t="n">
        <v>10</v>
      </c>
      <c r="C22" s="24" t="inlineStr">
        <is>
          <t>adet</t>
        </is>
      </c>
      <c r="D22" s="24" t="inlineStr">
        <is>
          <t>Zorunlu giriş alanı sayısı</t>
        </is>
      </c>
      <c r="E22" s="24" t="inlineStr">
        <is>
          <t>Ürün mimarisi</t>
        </is>
      </c>
      <c r="F22" s="24" t="inlineStr">
        <is>
          <t>01.01.2025</t>
        </is>
      </c>
      <c r="G22" s="24" t="inlineStr">
        <is>
          <t>14.08.2026</t>
        </is>
      </c>
      <c r="H22" s="63">
        <f>IF(A22="","",IF(B22="","EKSİK","TAM"))</f>
        <v/>
      </c>
    </row>
    <row r="23">
      <c r="A23" s="24" t="inlineStr">
        <is>
          <t>kil_riskDusuk</t>
        </is>
      </c>
      <c r="B23" s="39" t="n">
        <v>15</v>
      </c>
      <c r="C23" s="24" t="inlineStr">
        <is>
          <t>puan</t>
        </is>
      </c>
      <c r="D23" s="24" t="inlineStr">
        <is>
          <t>Düşük risk skoru</t>
        </is>
      </c>
      <c r="E23" s="24" t="inlineStr">
        <is>
          <t>İç politika</t>
        </is>
      </c>
      <c r="F23" s="24" t="inlineStr">
        <is>
          <t>01.01.2025</t>
        </is>
      </c>
      <c r="G23" s="24" t="inlineStr">
        <is>
          <t>14.08.2026</t>
        </is>
      </c>
      <c r="H23" s="63">
        <f>IF(A23="","",IF(B23="","EKSİK","TAM"))</f>
        <v/>
      </c>
    </row>
    <row r="24">
      <c r="A24" s="24" t="inlineStr">
        <is>
          <t>kil_riskOrta</t>
        </is>
      </c>
      <c r="B24" s="39" t="n">
        <v>55</v>
      </c>
      <c r="C24" s="24" t="inlineStr">
        <is>
          <t>puan</t>
        </is>
      </c>
      <c r="D24" s="24" t="inlineStr">
        <is>
          <t>Orta risk skoru</t>
        </is>
      </c>
      <c r="E24" s="24" t="inlineStr">
        <is>
          <t>İç politika</t>
        </is>
      </c>
      <c r="F24" s="24" t="inlineStr">
        <is>
          <t>01.01.2025</t>
        </is>
      </c>
      <c r="G24" s="24" t="inlineStr">
        <is>
          <t>14.08.2026</t>
        </is>
      </c>
      <c r="H24" s="63">
        <f>IF(A24="","",IF(B24="","EKSİK","TAM"))</f>
        <v/>
      </c>
    </row>
    <row r="25">
      <c r="A25" s="24" t="inlineStr">
        <is>
          <t>kil_riskYuksek</t>
        </is>
      </c>
      <c r="B25" s="39" t="n">
        <v>85</v>
      </c>
      <c r="C25" s="24" t="inlineStr">
        <is>
          <t>puan</t>
        </is>
      </c>
      <c r="D25" s="24" t="inlineStr">
        <is>
          <t>Yüksek risk skoru</t>
        </is>
      </c>
      <c r="E25" s="24" t="inlineStr">
        <is>
          <t>İç politika</t>
        </is>
      </c>
      <c r="F25" s="24" t="inlineStr">
        <is>
          <t>01.01.2025</t>
        </is>
      </c>
      <c r="G25" s="24" t="inlineStr">
        <is>
          <t>14.08.2026</t>
        </is>
      </c>
      <c r="H25" s="63">
        <f>IF(A25="","",IF(B25="","EKSİK","TAM"))</f>
        <v/>
      </c>
    </row>
    <row r="26">
      <c r="A26" s="24" t="inlineStr">
        <is>
          <t>kil_yilTaban</t>
        </is>
      </c>
      <c r="B26" s="39" t="n">
        <v>2024</v>
      </c>
      <c r="C26" s="24" t="inlineStr">
        <is>
          <t>yıl</t>
        </is>
      </c>
      <c r="D26" s="24" t="inlineStr">
        <is>
          <t>CHOOSE yıl tabanı (hesapYili−taban)</t>
        </is>
      </c>
      <c r="E26" s="24" t="inlineStr">
        <is>
          <t>Ürün mimarisi</t>
        </is>
      </c>
      <c r="F26" s="24" t="inlineStr">
        <is>
          <t>01.01.2025</t>
        </is>
      </c>
      <c r="G26" s="24" t="inlineStr">
        <is>
          <t>14.08.2026</t>
        </is>
      </c>
      <c r="H26" s="63">
        <f>IF(A26="","",IF(B26="","EKSİK","TAM"))</f>
        <v/>
      </c>
    </row>
    <row r="27">
      <c r="A27" s="24" t="inlineStr">
        <is>
          <t>kil_yuvarMax</t>
        </is>
      </c>
      <c r="B27" s="39" t="n">
        <v>2</v>
      </c>
      <c r="C27" s="24" t="inlineStr">
        <is>
          <t>adet</t>
        </is>
      </c>
      <c r="D27" s="24" t="inlineStr">
        <is>
          <t>ROUND basamak tavanı</t>
        </is>
      </c>
      <c r="E27" s="24" t="inlineStr">
        <is>
          <t>Ürün mimarisi</t>
        </is>
      </c>
      <c r="F27" s="24" t="inlineStr">
        <is>
          <t>01.01.2025</t>
        </is>
      </c>
      <c r="G27" s="24" t="inlineStr">
        <is>
          <t>14.08.2026</t>
        </is>
      </c>
      <c r="H27" s="63">
        <f>IF(A27="","",IF(B27="","EKSİK","TAM"))</f>
        <v/>
      </c>
    </row>
    <row r="28">
      <c r="A28" s="24" t="inlineStr">
        <is>
          <t>vaka_indirilecek</t>
        </is>
      </c>
      <c r="B28" s="38" t="n">
        <v>800000</v>
      </c>
      <c r="C28" s="24" t="inlineStr">
        <is>
          <t>TL</t>
        </is>
      </c>
      <c r="D28" s="24" t="inlineStr">
        <is>
          <t>Vaka indirilecek KDV</t>
        </is>
      </c>
      <c r="E28" s="24" t="inlineStr">
        <is>
          <t>Demo vaka</t>
        </is>
      </c>
      <c r="F28" s="24" t="inlineStr">
        <is>
          <t>01.01.2025</t>
        </is>
      </c>
      <c r="G28" s="24" t="inlineStr">
        <is>
          <t>14.08.2026</t>
        </is>
      </c>
      <c r="H28" s="63">
        <f>IF(A28="","",IF(B28="","EKSİK","TAM"))</f>
        <v/>
      </c>
    </row>
    <row r="29">
      <c r="A29" s="24" t="inlineStr">
        <is>
          <t>vaka_yuklenen</t>
        </is>
      </c>
      <c r="B29" s="38" t="n">
        <v>2000000</v>
      </c>
      <c r="C29" s="24" t="inlineStr">
        <is>
          <t>TL</t>
        </is>
      </c>
      <c r="D29" s="24" t="inlineStr">
        <is>
          <t>Vaka yüklenen KDV</t>
        </is>
      </c>
      <c r="E29" s="24" t="inlineStr">
        <is>
          <t>Demo vaka</t>
        </is>
      </c>
      <c r="F29" s="24" t="inlineStr">
        <is>
          <t>01.01.2025</t>
        </is>
      </c>
      <c r="G29" s="24" t="inlineStr">
        <is>
          <t>14.08.2026</t>
        </is>
      </c>
      <c r="H29" s="63">
        <f>IF(A29="","",IF(B29="","EKSİK","TAM"))</f>
        <v/>
      </c>
    </row>
    <row r="30">
      <c r="A30" s="24" t="inlineStr">
        <is>
          <t>vaka_ihrac</t>
        </is>
      </c>
      <c r="B30" s="38" t="n">
        <v>5000000</v>
      </c>
      <c r="C30" s="24" t="inlineStr">
        <is>
          <t>TL</t>
        </is>
      </c>
      <c r="D30" s="24" t="inlineStr">
        <is>
          <t>Vaka ihraç hasılat</t>
        </is>
      </c>
      <c r="E30" s="24" t="inlineStr">
        <is>
          <t>Demo vaka</t>
        </is>
      </c>
      <c r="F30" s="24" t="inlineStr">
        <is>
          <t>01.01.2025</t>
        </is>
      </c>
      <c r="G30" s="24" t="inlineStr">
        <is>
          <t>14.08.2026</t>
        </is>
      </c>
      <c r="H30" s="63">
        <f>IF(A30="","",IF(B30="","EKSİK","TAM"))</f>
        <v/>
      </c>
    </row>
    <row r="31">
      <c r="A31" s="24" t="inlineStr">
        <is>
          <t>vaka_gcb</t>
        </is>
      </c>
      <c r="B31" s="38" t="n">
        <v>4500000</v>
      </c>
      <c r="C31" s="24" t="inlineStr">
        <is>
          <t>TL</t>
        </is>
      </c>
      <c r="D31" s="24" t="inlineStr">
        <is>
          <t>Vaka GÇB tutarı</t>
        </is>
      </c>
      <c r="E31" s="24" t="inlineStr">
        <is>
          <t>Demo vaka</t>
        </is>
      </c>
      <c r="F31" s="24" t="inlineStr">
        <is>
          <t>01.01.2025</t>
        </is>
      </c>
      <c r="G31" s="24" t="inlineStr">
        <is>
          <t>14.08.2026</t>
        </is>
      </c>
      <c r="H31" s="63">
        <f>IF(A31="","",IF(B31="","EKSİK","TAM"))</f>
        <v/>
      </c>
    </row>
    <row r="33">
      <c r="B33" s="66" t="inlineStr">
        <is>
          <t>Parametre satırları yukarıda; ad tanımları B kolonuna bağlı.</t>
        </is>
      </c>
    </row>
    <row r="35">
      <c r="B35" s="61" t="inlineStr">
        <is>
          <t>Sürüm 1.0.0 | Şifre koruması: 1234 (formül alanları)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dataValidations count="3">
    <dataValidation sqref="B6" showDropDown="0" showInputMessage="1" showErrorMessage="1" allowBlank="1" errorTitle="Geçersiz" error="2025-2027." promptTitle="Hesap Yılı" prompt="Aktif yılı seçin." type="list" errorStyle="stop">
      <formula1>ListeYillar</formula1>
    </dataValidation>
    <dataValidation sqref="B9" showDropDown="0" showInputMessage="1" showErrorMessage="1" allowBlank="1" errorTitle="Geçersiz" error="0 ve üzeri." promptTitle="İade eşiği" prompt="Uyarı eşiği TL." type="decimal" errorStyle="stop" operator="greaterThanOrEqual">
      <formula1>0</formula1>
    </dataValidation>
    <dataValidation sqref="B10" showDropDown="0" showInputMessage="1" showErrorMessage="1" allowBlank="1" errorTitle="Geçersiz" error="Negatif olamaz." promptTitle="Belge limiti" prompt="0 ve üzeri." type="whole" errorStyle="stop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>
    <tabColor rgb="001F4E79"/>
    <outlinePr summaryBelow="1" summaryRight="1"/>
    <pageSetUpPr/>
  </sheetPr>
  <dimension ref="A1:AD28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70" customWidth="1" min="2" max="2"/>
  </cols>
  <sheetData>
    <row r="1" ht="26" customHeight="1">
      <c r="A1" s="1" t="inlineStr">
        <is>
          <t>KILAVUZ — KDV İade Listesi Robotu (GİB 7 Liste)</t>
        </is>
      </c>
    </row>
    <row r="3">
      <c r="A3" s="21" t="inlineStr">
        <is>
          <t>Karar kuralları</t>
        </is>
      </c>
    </row>
    <row r="5">
      <c r="A5" s="43" t="inlineStr">
        <is>
          <t>• VERİ YOK — giriş tablosu boşsa hesap yapılmaz.</t>
        </is>
      </c>
    </row>
    <row r="6">
      <c r="A6" s="43" t="inlineStr">
        <is>
          <t>• İADE — seçili iade tutarı eşik üzerinde ve belge limiti aşılmamış.</t>
        </is>
      </c>
    </row>
    <row r="7">
      <c r="A7" s="43" t="inlineStr">
        <is>
          <t>• EKSİK BELGE — belge eksik adedi kil_belgeLimit üstünde.</t>
        </is>
      </c>
    </row>
    <row r="8">
      <c r="A8" s="43" t="inlineStr">
        <is>
          <t>• BEKLE — seçili iade eşik altında veya sapma belirsiz.</t>
        </is>
      </c>
    </row>
    <row r="10">
      <c r="A10" s="12" t="inlineStr">
        <is>
          <t>GİB 7 liste adları</t>
        </is>
      </c>
    </row>
    <row r="11">
      <c r="A11" s="43" t="inlineStr">
        <is>
          <t>LISTE_1: İndirilecek KDV Listesi</t>
        </is>
      </c>
    </row>
    <row r="12">
      <c r="A12" s="43" t="inlineStr">
        <is>
          <t>LISTE_2: Yüklenilen KDV Listesi</t>
        </is>
      </c>
    </row>
    <row r="13">
      <c r="A13" s="43" t="inlineStr">
        <is>
          <t>LISTE_3: GÇB Listesi</t>
        </is>
      </c>
    </row>
    <row r="14">
      <c r="A14" s="43" t="inlineStr">
        <is>
          <t>LISTE_4: Satış Faturaları Listesi</t>
        </is>
      </c>
    </row>
    <row r="15">
      <c r="A15" s="43" t="inlineStr">
        <is>
          <t>LISTE_5: Alış Faturaları Listesi</t>
        </is>
      </c>
    </row>
    <row r="16">
      <c r="A16" s="43" t="inlineStr">
        <is>
          <t>LISTE_6: İade Hesap Cetveli</t>
        </is>
      </c>
    </row>
    <row r="17">
      <c r="A17" s="43" t="inlineStr">
        <is>
          <t>LISTE_7: Ek Belge / Tamamlayıcı Liste</t>
        </is>
      </c>
    </row>
    <row r="19">
      <c r="A19" s="67" t="inlineStr">
        <is>
          <t>Belirsizlik beyanları (M05)</t>
        </is>
      </c>
    </row>
    <row r="20">
      <c r="A20" s="68" t="inlineStr">
        <is>
          <t>Bu nokta mevzuatta tartışmalıdır; dosya yorum A ve yorum B sonucunu yan yana gösterir: liste_sirasi</t>
        </is>
      </c>
    </row>
    <row r="22">
      <c r="A22" s="10" t="inlineStr">
        <is>
          <t>Yorum A</t>
        </is>
      </c>
      <c r="B22" s="43" t="inlineStr">
        <is>
          <t>İade tavanı ihraç hasılatı × KDV oranı ile sınırlanır (LISTE_4 / hasılat). Bu nokta mevzuatta tartışmalıdır; sonuç yorum B ile yan yana okunmalıdır.</t>
        </is>
      </c>
    </row>
    <row r="23">
      <c r="A23" s="10" t="inlineStr">
        <is>
          <t>Yorum B</t>
        </is>
      </c>
      <c r="B23" s="43" t="inlineStr">
        <is>
          <t>İade tavanı GÇB tutarı × KDV oranı ile sınırlanır (LISTE_3). Dosya her iki yorumun sonucunu MOTOR'da üretir.</t>
        </is>
      </c>
    </row>
    <row r="25">
      <c r="A25" s="10" t="inlineStr">
        <is>
          <t>Kullanım sırası</t>
        </is>
      </c>
    </row>
    <row r="26">
      <c r="A26" s="43" t="inlineStr">
        <is>
          <t>GIRDI → KURALLAR → MOTOR → LISTE_1..LISTE_7 → SENARYO → VAKALAR → PANO → KANIT_RAPORU → AYARLAR → KILAVUZ.</t>
        </is>
      </c>
    </row>
    <row r="28">
      <c r="A28" s="69" t="inlineStr">
        <is>
          <t>Sürüm 1.0.0 | Lisans: Tek kullanıcı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7">
    <mergeCell ref="A5:T5"/>
    <mergeCell ref="A8:T8"/>
    <mergeCell ref="A6:T6"/>
    <mergeCell ref="A17:T17"/>
    <mergeCell ref="A12:T12"/>
    <mergeCell ref="B22:J22"/>
    <mergeCell ref="A14:T14"/>
    <mergeCell ref="A15:T15"/>
    <mergeCell ref="A7:T7"/>
    <mergeCell ref="B23:J23"/>
    <mergeCell ref="A20:T20"/>
    <mergeCell ref="A19:J19"/>
    <mergeCell ref="A16:T16"/>
    <mergeCell ref="A26:J26"/>
    <mergeCell ref="A13:T13"/>
    <mergeCell ref="A11:T11"/>
    <mergeCell ref="A1:A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2026-08-14T19:28:45Z</dcterms:created>
  <dcterms:modified xmlns:dcterms="http://purl.org/dc/terms/" xmlns:xsi="http://www.w3.org/2001/XMLSchema-instance" xsi:type="dcterms:W3CDTF">2026-09-25T14:59:48Z</dcterms:modified>
</cp:coreProperties>
</file>