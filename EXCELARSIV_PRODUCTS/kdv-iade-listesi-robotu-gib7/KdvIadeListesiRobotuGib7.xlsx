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comments/comment9.xml" ContentType="application/vnd.openxmlformats-officedocument.spreadsheetml.comments+xml"/>
  <Override PartName="/xl/worksheets/sheet15.xml" ContentType="application/vnd.openxmlformats-officedocument.spreadsheetml.worksheet+xml"/>
  <Override PartName="/xl/drawings/drawing6.xml" ContentType="application/vnd.openxmlformats-officedocument.drawing+xml"/>
  <Override PartName="/xl/worksheets/sheet16.xml" ContentType="application/vnd.openxmlformats-officedocument.spreadsheetml.worksheet+xml"/>
  <Override PartName="/xl/drawings/drawing7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10.xml" ContentType="application/vnd.openxmlformats-officedocument.spreadsheetml.comments+xml"/>
  <Override PartName="/xl/worksheets/sheet18.xml" ContentType="application/vnd.openxmlformats-officedocument.spreadsheetml.worksheet+xml"/>
  <Override PartName="/xl/comments/comment11.xml" ContentType="application/vnd.openxmlformats-officedocument.spreadsheetml.comments+xml"/>
  <Override PartName="/xl/worksheets/sheet19.xml" ContentType="application/vnd.openxmlformats-officedocument.spreadsheetml.worksheet+xml"/>
  <Override PartName="/xl/comments/comment12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13.xml" ContentType="application/vnd.openxmlformats-officedocument.spreadsheetml.comments+xml"/>
  <Override PartName="/xl/worksheets/sheet21.xml" ContentType="application/vnd.openxmlformats-officedocument.spreadsheetml.worksheet+xml"/>
  <Override PartName="/xl/comments/comment14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PANO" sheetId="4" state="hidden" r:id="rId4"/>
    <sheet xmlns:r="http://schemas.openxmlformats.org/officeDocument/2006/relationships" name="GIRDI" sheetId="5" state="hidden" r:id="rId5"/>
    <sheet xmlns:r="http://schemas.openxmlformats.org/officeDocument/2006/relationships" name="KURALLAR" sheetId="6" state="hidden" r:id="rId6"/>
    <sheet xmlns:r="http://schemas.openxmlformats.org/officeDocument/2006/relationships" name="MOTOR" sheetId="7" state="hidden" r:id="rId7"/>
    <sheet xmlns:r="http://schemas.openxmlformats.org/officeDocument/2006/relationships" name="LISTE_1" sheetId="8" state="hidden" r:id="rId8"/>
    <sheet xmlns:r="http://schemas.openxmlformats.org/officeDocument/2006/relationships" name="LISTE_2" sheetId="9" state="hidden" r:id="rId9"/>
    <sheet xmlns:r="http://schemas.openxmlformats.org/officeDocument/2006/relationships" name="LISTE_3" sheetId="10" state="hidden" r:id="rId10"/>
    <sheet xmlns:r="http://schemas.openxmlformats.org/officeDocument/2006/relationships" name="LISTE_4" sheetId="11" state="hidden" r:id="rId11"/>
    <sheet xmlns:r="http://schemas.openxmlformats.org/officeDocument/2006/relationships" name="LISTE_5" sheetId="12" state="hidden" r:id="rId12"/>
    <sheet xmlns:r="http://schemas.openxmlformats.org/officeDocument/2006/relationships" name="LISTE_6" sheetId="13" state="hidden" r:id="rId13"/>
    <sheet xmlns:r="http://schemas.openxmlformats.org/officeDocument/2006/relationships" name="LISTE_7" sheetId="14" state="hidden" r:id="rId14"/>
    <sheet xmlns:r="http://schemas.openxmlformats.org/officeDocument/2006/relationships" name="SENARYO" sheetId="15" state="hidden" r:id="rId15"/>
    <sheet xmlns:r="http://schemas.openxmlformats.org/officeDocument/2006/relationships" name="VAKALAR" sheetId="16" state="hidden" r:id="rId16"/>
    <sheet xmlns:r="http://schemas.openxmlformats.org/officeDocument/2006/relationships" name="KANIT_RAPORU" sheetId="17" state="hidden" r:id="rId17"/>
    <sheet xmlns:r="http://schemas.openxmlformats.org/officeDocument/2006/relationships" name="KONTROLLER" sheetId="18" state="hidden" r:id="rId18"/>
    <sheet xmlns:r="http://schemas.openxmlformats.org/officeDocument/2006/relationships" name="ORNEK_VERI" sheetId="19" state="hidden" r:id="rId19"/>
    <sheet xmlns:r="http://schemas.openxmlformats.org/officeDocument/2006/relationships" name="LISTELER" sheetId="20" state="hidden" r:id="rId20"/>
    <sheet xmlns:r="http://schemas.openxmlformats.org/officeDocument/2006/relationships" name="AYARLAR" sheetId="21" state="hidden" r:id="rId21"/>
    <sheet xmlns:r="http://schemas.openxmlformats.org/officeDocument/2006/relationships" name="KILAVUZ" sheetId="22" state="hidden" r:id="rId22"/>
  </sheets>
  <definedNames>
    <definedName name="hesapYili">GIRDI!$B$8</definedName>
    <definedName name="raporTarihi">AYARLAR!$B$7</definedName>
    <definedName name="kil_iadeSecili">MOTOR!$G$25</definedName>
    <definedName name="kil_kararMetni">MOTOR!$G$28</definedName>
    <definedName name="kil_kararGerekce">MOTOR!$G$29</definedName>
    <definedName name="kil_kararKapi">MOTOR!$G$28</definedName>
    <definedName name="kil_maddeAtifMetni">MOTOR!$G$50</definedName>
    <definedName name="kil_kanitRaporu">MOTOR!$G$51</definedName>
    <definedName name="kil_yediListe">MOTOR!$G$53</definedName>
    <definedName name="kil_listeSayfalari">MOTOR!$G$54</definedName>
    <definedName name="kil_kuralYilMatris">KURALLAR!$B$17</definedName>
    <definedName name="kil_parmakIzi">AYARLAR!$B$20</definedName>
    <definedName name="kil_liste1">MOTOR!$G$43</definedName>
    <definedName name="kil_liste2">MOTOR!$G$44</definedName>
    <definedName name="kil_liste3">MOTOR!$G$45</definedName>
    <definedName name="kil_liste4">MOTOR!$G$46</definedName>
    <definedName name="kil_liste5">MOTOR!$G$47</definedName>
    <definedName name="kil_liste6">MOTOR!$G$48</definedName>
    <definedName name="kil_liste7">MOTOR!$G$49</definedName>
    <definedName name="kil_senaryoKarsilastirma">SENARYO!$B$11</definedName>
    <definedName name="kil_yorumSenaryo">SENARYO!$B$12</definedName>
    <definedName name="kil_duyarlilikSira">SENARYO!$B$19</definedName>
    <definedName name="kil_yorumDuyarlilik">SENARYO!$B$20</definedName>
    <definedName name="kil_kuralDegisimSenaryo">SENARYO!$B$22</definedName>
    <definedName name="kil_yorumKuralDegisim">SENARYO!$B$23</definedName>
    <definedName name="kil_tahminAralik">SENARYO!$B$32</definedName>
    <definedName name="kil_yorumTahmin">SENARYO!$B$33</definedName>
    <definedName name="kil_vakaDurum">VAKALAR!$B$12</definedName>
    <definedName name="kil_vakaFark">VAKALAR!$B$13</definedName>
    <definedName name="kil_tolerans">AYARLAR!$B$8</definedName>
    <definedName name="kil_iadeEsik">AYARLAR!$B$9</definedName>
    <definedName name="kil_belgeLimit">AYARLAR!$B$10</definedName>
    <definedName name="kil_senaryoIyi">AYARLAR!$B$11</definedName>
    <definedName name="kil_senaryoKotu">AYARLAR!$B$12</definedName>
    <definedName name="kil_oranArtisPuan">AYARLAR!$B$13</definedName>
    <definedName name="kil_tahminAlt">AYARLAR!$B$14</definedName>
    <definedName name="kil_tahminUst">AYARLAR!$B$15</definedName>
    <definedName name="kil_tornadoYuklenen">AYARLAR!$B$16</definedName>
    <definedName name="kil_tornadoIhrac">AYARLAR!$B$17</definedName>
    <definedName name="kil_tornadoGcb">AYARLAR!$B$18</definedName>
    <definedName name="kil_yuzdelikOran">AYARLAR!$B$19</definedName>
    <definedName name="kil_girisBeklenen">AYARLAR!$B$22</definedName>
    <definedName name="kil_riskDusuk">AYARLAR!$B$23</definedName>
    <definedName name="kil_riskOrta">AYARLAR!$B$24</definedName>
    <definedName name="kil_riskYuksek">AYARLAR!$B$25</definedName>
    <definedName name="kil_yilTaban">AYARLAR!$B$26</definedName>
    <definedName name="kil_yuvarMax">AYARLAR!$B$27</definedName>
    <definedName name="vaka_indirilecek">AYARLAR!$B$28</definedName>
    <definedName name="vaka_yuklenen">AYARLAR!$B$29</definedName>
    <definedName name="vaka_ihrac">AYARLAR!$B$30</definedName>
    <definedName name="vaka_gcb">AYARLAR!$B$31</definedName>
    <definedName name="kil_modulT1">PANO!$C$12</definedName>
    <definedName name="kil_modulT1Yorum">PANO!$D$12</definedName>
    <definedName name="kil_modulT2">PANO!$C$13</definedName>
    <definedName name="kil_modulT2Yorum">PANO!$D$13</definedName>
    <definedName name="kil_modulO1">PANO!$C$14</definedName>
    <definedName name="kil_modulO1Yorum">PANO!$D$14</definedName>
    <definedName name="kil_modulO6">PANO!$C$17</definedName>
    <definedName name="kil_modulO6Yorum">PANO!$D$17</definedName>
    <definedName name="kil_modulO8">PANO!$C$18</definedName>
    <definedName name="kil_modulO8Yorum">PANO!$D$18</definedName>
    <definedName name="kil_modulI2">PANO!$C$21</definedName>
    <definedName name="kil_modulI2Yorum">PANO!$D$21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3">'PANO'!$A$1:$F$34</definedName>
    <definedName name="_xlnm.Print_Area" localSheetId="16">'KANIT_RAPORU'!$A$1:$F$35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</numFmts>
  <fonts count="3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11" fillId="4" borderId="0" applyAlignment="1" applyProtection="1" pivotButton="0" quotePrefix="0" xfId="0">
      <alignment horizontal="left" vertical="center"/>
      <protection locked="0" hidden="0"/>
    </xf>
    <xf numFmtId="164" fontId="11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5" fontId="7" fillId="6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GİB 7 Liste Özet Tutarları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'PANO'!$A$25:$A$29</f>
            </numRef>
          </cat>
          <val>
            <numRef>
              <f>'PANO'!$B$25:$B$29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İade / Talep / Yorum A-B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'PANO'!$D$25:$D$29</f>
            </numRef>
          </cat>
          <val>
            <numRef>
              <f>'PANO'!$E$25:$E$29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İade Karşılaştırma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'PANO'!$D$25:$D$29</f>
            </numRef>
          </cat>
          <val>
            <numRef>
              <f>'PANO'!$E$25:$E$29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İndirilecek KDV Satırları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'LISTE_1'!M6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'LISTE_1'!$B$7:$B$9</f>
            </numRef>
          </cat>
          <val>
            <numRef>
              <f>'LISTE_1'!$M$7:$M$9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Yüklenilen KDV Satırları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'LISTE_2'!M6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'LISTE_2'!$B$7:$B$9</f>
            </numRef>
          </cat>
          <val>
            <numRef>
              <f>'LISTE_2'!$M$7:$M$9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GÇB Hasılat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'LISTE_3'!M6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'LISTE_3'!$B$7:$B$9</f>
            </numRef>
          </cat>
          <val>
            <numRef>
              <f>'LISTE_3'!$M$7:$M$9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İade Hesap Cetveli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'LISTE_6'!M6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'LISTE_6'!$B$7:$B$11</f>
            </numRef>
          </cat>
          <val>
            <numRef>
              <f>'LISTE_6'!$M$7:$M$11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İade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İade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'VAKALAR'!$A$6:$A$8</f>
            </numRef>
          </cat>
          <val>
            <numRef>
              <f>'VAKALAR'!$J$6:$J$8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'VAKALAR'!$A$6:$A$8</f>
            </numRef>
          </cat>
          <val>
            <numRef>
              <f>'VAKALAR'!$K$6:$K$8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Mükellef Adı | Neden önemli: GİB 7 liste iade kararını etkiler | Doğru kullanım: Mükellefin resmi unvanını yazın. | Örnek: demo satırına bakın | Yanlışsa: Liste tutarlılığı ve karar kapısı bozulur | Kaynak: KDVK / GİB iade listeleri</t>
      </text>
    </comment>
    <comment ref="B7" authorId="0" shapeId="0">
      <text>
        <t>Tanım: Dönem | Neden önemli: GİB 7 liste iade kararını etkiler | Doğru kullanım: KDV iade dönemi etiketini yazın (ör. 2026-06). | Örnek: demo satırına bakın | Yanlışsa: Liste tutarlılığı ve karar kapısı bozulur | Kaynak: KDVK / GİB iade listeleri</t>
      </text>
    </comment>
    <comment ref="B8" authorId="0" shapeId="0">
      <text>
        <t>Tanım: Hesap Yılı | Neden önemli: GİB 7 liste iade kararını etkiler | Doğru kullanım: 2025, 2026 veya 2027 seçin. | Örnek: demo satırına bakın | Yanlışsa: Liste tutarlılığı ve karar kapısı bozulur | Kaynak: KDVK / GİB iade listeleri</t>
      </text>
    </comment>
    <comment ref="B9" authorId="0" shapeId="0">
      <text>
        <t>Tanım: İndirilecek KDV [₺] | Neden önemli: GİB 7 liste iade kararını etkiler | Doğru kullanım: Dönem indirilecek KDV toplamını TL girin (LISTE_1). | Örnek: demo satırına bakın | Yanlışsa: Liste tutarlılığı ve karar kapısı bozulur | Kaynak: KDVK / GİB iade listeleri</t>
      </text>
    </comment>
    <comment ref="B10" authorId="0" shapeId="0">
      <text>
        <t>Tanım: Yüklenilen KDV [₺] | Neden önemli: GİB 7 liste iade kararını etkiler | Doğru kullanım: Yüklenilen KDV toplamını TL girin (LISTE_2). | Örnek: demo satırına bakın | Yanlışsa: Liste tutarlılığı ve karar kapısı bozulur | Kaynak: KDVK / GİB iade listeleri</t>
      </text>
    </comment>
    <comment ref="B11" authorId="0" shapeId="0">
      <text>
        <t>Tanım: GÇB Tutarı [₺] | Neden önemli: GİB 7 liste iade kararını etkiler | Doğru kullanım: Gümrük çıkış beyannamesi hasılatını KDV hariç TL girin (LISTE_3). | Örnek: demo satırına bakın | Yanlışsa: Liste tutarlılığı ve karar kapısı bozulur | Kaynak: KDVK / GİB iade listeleri</t>
      </text>
    </comment>
    <comment ref="B12" authorId="0" shapeId="0">
      <text>
        <t>Tanım: İhraç Hasılatı [₺] | Neden önemli: GİB 7 liste iade kararını etkiler | Doğru kullanım: İhraç hasılatını KDV hariç TL girin. | Örnek: demo satırına bakın | Yanlışsa: Liste tutarlılığı ve karar kapısı bozulur | Kaynak: KDVK / GİB iade listeleri</t>
      </text>
    </comment>
    <comment ref="B13" authorId="0" shapeId="0">
      <text>
        <t>Tanım: Belge Eksik Adet | Neden önemli: GİB 7 liste iade kararını etkiler | Doğru kullanım: Eksik belge sayısını girin (0 = eksik yok). | Örnek: demo satırına bakın | Yanlışsa: Liste tutarlılığı ve karar kapısı bozulur | Kaynak: KDVK / GİB iade listeleri</t>
      </text>
    </comment>
    <comment ref="B14" authorId="0" shapeId="0">
      <text>
        <t>Tanım: İade Talep [₺] | Neden önemli: GİB 7 liste iade kararını etkiler | Doğru kullanım: Talep edilen iade tutarını TL girin. | Örnek: demo satırına bakın | Yanlışsa: Liste tutarlılığı ve karar kapısı bozulur | Kaynak: KDVK / GİB iade listeleri</t>
      </text>
    </comment>
    <comment ref="B15" authorId="0" shapeId="0">
      <text>
        <t>Tanım: Liste Yorumu (A/B) | Neden önemli: GİB 7 liste iade kararını etkiler | Doğru kullanım: Liste sırası belirsizliğinde A veya B seçin. | Örnek: demo satırına bakın | Yanlışsa: Liste tutarlılığı ve karar kapısı bozulur | Kaynak: KDVK / GİB iade listeleri</t>
      </text>
    </comment>
    <comment ref="A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kdv_genel_oran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7" authorId="0" shapeId="0">
      <text>
        <t>Tanım: kdv_genel_oran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7" authorId="0" shapeId="0">
      <text>
        <t>Tanım: kdv_genel_oran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F8" authorId="0" shapeId="0">
      <text>
        <t>Tanım: iade_esik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8" authorId="0" shapeId="0">
      <text>
        <t>Tanım: iade_esik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8" authorId="0" shapeId="0">
      <text>
        <t>Tanım: iade_esik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F9" authorId="0" shapeId="0">
      <text>
        <t>Tanım: sapma_tolerans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9" authorId="0" shapeId="0">
      <text>
        <t>Tanım: sapma_tolerans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9" authorId="0" shapeId="0">
      <text>
        <t>Tanım: sapma_tolerans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F10" authorId="0" shapeId="0">
      <text>
        <t>Tanım: belge_limit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10" authorId="0" shapeId="0">
      <text>
        <t>Tanım: belge_limit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10" authorId="0" shapeId="0">
      <text>
        <t>Tanım: belge_limit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F11" authorId="0" shapeId="0">
      <text>
        <t>Tanım: yuvarlama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11" authorId="0" shapeId="0">
      <text>
        <t>Tanım: yuvarlama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11" authorId="0" shapeId="0">
      <text>
        <t>Tanım: yuvarlama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8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8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8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8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8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8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8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8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9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9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9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9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9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9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9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9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B31" authorId="0" shapeId="0">
      <text>
        <t>Tanım: İmza | Neden önemli: GİB 7 liste iade kararını etkiler | Doğru kullanım: Raporu hazırlayan kişinin adını yazın. | Örnek: demo satırına bakın | Yanlışsa: Liste tutarlılığı ve karar kapısı bozulur | Kaynak: KDVK / GİB iade listeleri</t>
      </text>
    </comment>
    <comment ref="B32" authorId="0" shapeId="0">
      <text>
        <t>Tanım: Onay | Neden önemli: GİB 7 liste iade kararını etkiler | Doğru kullanım: Onaylayan kişinin adını yazın. | Örnek: demo satırına bakın | Yanlışsa: Liste tutarlılığı ve karar kapısı bozulur | Kaynak: KDVK / GİB iade listeleri</t>
      </text>
    </comment>
  </commentList>
</comments>
</file>

<file path=xl/comments/comment11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KDV tutarı var mı?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İade seçili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İade eşiği aşıyor mu? | Canlı formül | Değiştirmeyin</t>
      </text>
    </comment>
    <comment ref="B11" authorId="0" shapeId="0">
      <text>
        <t>Tanım: Belge eksik mi? | Canlı formül | Değiştirmeyin</t>
      </text>
    </comment>
    <comment ref="B12" authorId="0" shapeId="0">
      <text>
        <t>Tanım: Yorum A/B seçili mi? | Canlı formül | Değiştirmeyin</t>
      </text>
    </comment>
    <comment ref="B13" authorId="0" shapeId="0">
      <text>
        <t>Tanım: Motor adım sayısı | Canlı formül | Değiştirmeyin</t>
      </text>
    </comment>
    <comment ref="B14" authorId="0" shapeId="0">
      <text>
        <t>Tanım: Yedi liste metni dolu mu? | Canlı formül | Değiştirmeyin</t>
      </text>
    </comment>
  </commentList>
</comments>
</file>

<file path=xl/comments/comment12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6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6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6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6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6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6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6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6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7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7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7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7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7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7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7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7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7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8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8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8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8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8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8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8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8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8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9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9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9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9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9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9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9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9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9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10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10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10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10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10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10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10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10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10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11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1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1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1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1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1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1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1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1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2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2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2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2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2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2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2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2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2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3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3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3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3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3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3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3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3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3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4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4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4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4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4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4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4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4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4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5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5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5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5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5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5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5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5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5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6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6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6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6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6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6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6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6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6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7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7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7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7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7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7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7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7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7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8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8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8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8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8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8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8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8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8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9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9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9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9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9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9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9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9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9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0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0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0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0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0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0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0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0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0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1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1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1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1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1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1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1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1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1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2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2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2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2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2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2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2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2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2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3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3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3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3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3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3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3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3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3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4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4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4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4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4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4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4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4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4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5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5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5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5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5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5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5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5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5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</commentList>
</comments>
</file>

<file path=xl/comments/comment13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GİB 7 liste iade kararını etkiler | Doğru kullanım: Hesap yılı listesi | Örnek: demo satırına bakın | Yanlışsa: Liste tutarlılığı ve karar kapısı bozulur | Kaynak: KDVK / GİB iade listeleri</t>
      </text>
    </comment>
    <comment ref="C6" authorId="0" shapeId="0">
      <text>
        <t>Tanım: Yorum | Neden önemli: GİB 7 liste iade kararını etkiler | Doğru kullanım: Liste sırası yorumu | Örnek: demo satırına bakın | Yanlışsa: Liste tutarlılığı ve karar kapısı bozulur | Kaynak: KDVK / GİB iade listeleri</t>
      </text>
    </comment>
    <comment ref="E6" authorId="0" shapeId="0">
      <text>
        <t>Tanım: Seçim | Neden önemli: GİB 7 liste iade kararını etkiler | Doğru kullanım: Evet veya Hayır | Örnek: demo satırına bakın | Yanlışsa: Liste tutarlılığı ve karar kapısı bozulur | Kaynak: KDVK / GİB iade listeleri</t>
      </text>
    </comment>
    <comment ref="A7" authorId="0" shapeId="0">
      <text>
        <t>Tanım: Yıl | Neden önemli: GİB 7 liste iade kararını etkiler | Doğru kullanım: Hesap yılı listesi | Örnek: demo satırına bakın | Yanlışsa: Liste tutarlılığı ve karar kapısı bozulur | Kaynak: KDVK / GİB iade listeleri</t>
      </text>
    </comment>
    <comment ref="C7" authorId="0" shapeId="0">
      <text>
        <t>Tanım: Yorum | Neden önemli: GİB 7 liste iade kararını etkiler | Doğru kullanım: Liste sırası yorumu | Örnek: demo satırına bakın | Yanlışsa: Liste tutarlılığı ve karar kapısı bozulur | Kaynak: KDVK / GİB iade listeleri</t>
      </text>
    </comment>
    <comment ref="E7" authorId="0" shapeId="0">
      <text>
        <t>Tanım: Seçim | Neden önemli: GİB 7 liste iade kararını etkiler | Doğru kullanım: Evet veya Hayır | Örnek: demo satırına bakın | Yanlışsa: Liste tutarlılığı ve karar kapısı bozulur | Kaynak: KDVK / GİB iade listeleri</t>
      </text>
    </comment>
    <comment ref="A8" authorId="0" shapeId="0">
      <text>
        <t>Tanım: Yıl | Neden önemli: GİB 7 liste iade kararını etkiler | Doğru kullanım: Hesap yılı listesi | Örnek: demo satırına bakın | Yanlışsa: Liste tutarlılığı ve karar kapısı bozulur | Kaynak: KDVK / GİB iade listeleri</t>
      </text>
    </comment>
  </commentList>
</comments>
</file>

<file path=xl/comments/comment14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GİB 7 liste iade kararını etkiler | Doğru kullanım: Aktif hesap yılı | Örnek: demo satırına bakın | Yanlışsa: Liste tutarlılığı ve karar kapısı bozulur | Kaynak: KDVK / GİB iade listeleri</t>
      </text>
    </comment>
    <comment ref="B7" authorId="0" shapeId="0">
      <text>
        <t>Tanım: raporTarihi | Neden önemli: GİB 7 liste iade kararını etkiler | Doğru kullanım: Rapor tarihi (sabit) | Örnek: demo satırına bakın | Yanlışsa: Liste tutarlılığı ve karar kapısı bozulur | Kaynak: KDVK / GİB iade listeleri</t>
      </text>
    </comment>
    <comment ref="B8" authorId="0" shapeId="0">
      <text>
        <t>Tanım: kil_tolerans | Neden önemli: GİB 7 liste iade kararını etkiler | Doğru kullanım: Vaka tutarlılık toleransı | Örnek: demo satırına bakın | Yanlışsa: Liste tutarlılığı ve karar kapısı bozulur | Kaynak: KDVK / GİB iade listeleri</t>
      </text>
    </comment>
    <comment ref="B9" authorId="0" shapeId="0">
      <text>
        <t>Tanım: kil_iadeEsik | Neden önemli: GİB 7 liste iade kararını etkiler | Doğru kullanım: İADE karar eşiği | Örnek: demo satırına bakın | Yanlışsa: Liste tutarlılığı ve karar kapısı bozulur | Kaynak: KDVK / GİB iade listeleri</t>
      </text>
    </comment>
    <comment ref="B10" authorId="0" shapeId="0">
      <text>
        <t>Tanım: kil_belgeLimit | Neden önemli: GİB 7 liste iade kararını etkiler | Doğru kullanım: İzin verilen eksik belge üst sınırı | Örnek: demo satırına bakın | Yanlışsa: Liste tutarlılığı ve karar kapısı bozulur | Kaynak: KDVK / GİB iade listeleri</t>
      </text>
    </comment>
    <comment ref="B11" authorId="0" shapeId="0">
      <text>
        <t>Tanım: kil_senaryoIyi | Neden önemli: GİB 7 liste iade kararını etkiler | Doğru kullanım: İyimser iade çarpanı | Örnek: demo satırına bakın | Yanlışsa: Liste tutarlılığı ve karar kapısı bozulur | Kaynak: KDVK / GİB iade listeleri</t>
      </text>
    </comment>
    <comment ref="B12" authorId="0" shapeId="0">
      <text>
        <t>Tanım: kil_senaryoKotu | Neden önemli: GİB 7 liste iade kararını etkiler | Doğru kullanım: Kötümser iade çarpanı | Örnek: demo satırına bakın | Yanlışsa: Liste tutarlılığı ve karar kapısı bozulur | Kaynak: KDVK / GİB iade listeleri</t>
      </text>
    </comment>
    <comment ref="B13" authorId="0" shapeId="0">
      <text>
        <t>Tanım: kil_oranArtisPuan | Neden önemli: GİB 7 liste iade kararını etkiler | Doğru kullanım: M-SEN +1 puan | Örnek: demo satırına bakın | Yanlışsa: Liste tutarlılığı ve karar kapısı bozulur | Kaynak: KDVK / GİB iade listeleri</t>
      </text>
    </comment>
    <comment ref="B14" authorId="0" shapeId="0">
      <text>
        <t>Tanım: kil_tahminAlt | Neden önemli: GİB 7 liste iade kararını etkiler | Doğru kullanım: Tahmin alt bant | Örnek: demo satırına bakın | Yanlışsa: Liste tutarlılığı ve karar kapısı bozulur | Kaynak: KDVK / GİB iade listeleri</t>
      </text>
    </comment>
    <comment ref="B15" authorId="0" shapeId="0">
      <text>
        <t>Tanım: kil_tahminUst | Neden önemli: GİB 7 liste iade kararını etkiler | Doğru kullanım: Tahmin üst bant | Örnek: demo satırına bakın | Yanlışsa: Liste tutarlılığı ve karar kapısı bozulur | Kaynak: KDVK / GİB iade listeleri</t>
      </text>
    </comment>
    <comment ref="B16" authorId="0" shapeId="0">
      <text>
        <t>Tanım: kil_tornadoYuklenen | Neden önemli: GİB 7 liste iade kararını etkiler | Doğru kullanım: Tornado yüklenen şoku | Örnek: demo satırına bakın | Yanlışsa: Liste tutarlılığı ve karar kapısı bozulur | Kaynak: KDVK / GİB iade listeleri</t>
      </text>
    </comment>
    <comment ref="B17" authorId="0" shapeId="0">
      <text>
        <t>Tanım: kil_tornadoIhrac | Neden önemli: GİB 7 liste iade kararını etkiler | Doğru kullanım: Tornado ihraç şoku | Örnek: demo satırına bakın | Yanlışsa: Liste tutarlılığı ve karar kapısı bozulur | Kaynak: KDVK / GİB iade listeleri</t>
      </text>
    </comment>
    <comment ref="B18" authorId="0" shapeId="0">
      <text>
        <t>Tanım: kil_tornadoGcb | Neden önemli: GİB 7 liste iade kararını etkiler | Doğru kullanım: Tornado GÇB şoku | Örnek: demo satırına bakın | Yanlışsa: Liste tutarlılığı ve karar kapısı bozulur | Kaynak: KDVK / GİB iade listeleri</t>
      </text>
    </comment>
    <comment ref="B19" authorId="0" shapeId="0">
      <text>
        <t>Tanım: kil_yuzdelikOran | Neden önemli: GİB 7 liste iade kararını etkiler | Doğru kullanım: Yüzdelik P90 | Örnek: demo satırına bakın | Yanlışsa: Liste tutarlılığı ve karar kapısı bozulur | Kaynak: KDVK / GİB iade listeleri</t>
      </text>
    </comment>
    <comment ref="B20" authorId="0" shapeId="0">
      <text>
        <t>Tanım: kil_parmakIzi | Neden önemli: GİB 7 liste iade kararını etkiler | Doğru kullanım: Dosya parmak izi etiketi | Örnek: demo satırına bakın | Yanlışsa: Liste tutarlılığı ve karar kapısı bozulur | Kaynak: KDVK / GİB iade listeleri</t>
      </text>
    </comment>
    <comment ref="B21" authorId="0" shapeId="0">
      <text>
        <t>Tanım: dosya_surumu | Neden önemli: GİB 7 liste iade kararını etkiler | Doğru kullanım: Ürün sürümü | Örnek: demo satırına bakın | Yanlışsa: Liste tutarlılığı ve karar kapısı bozulur | Kaynak: KDVK / GİB iade listeleri</t>
      </text>
    </comment>
    <comment ref="B22" authorId="0" shapeId="0">
      <text>
        <t>Tanım: kil_girisBeklenen | Neden önemli: GİB 7 liste iade kararını etkiler | Doğru kullanım: Zorunlu giriş alanı sayısı | Örnek: demo satırına bakın | Yanlışsa: Liste tutarlılığı ve karar kapısı bozulur | Kaynak: KDVK / GİB iade listeleri</t>
      </text>
    </comment>
    <comment ref="B23" authorId="0" shapeId="0">
      <text>
        <t>Tanım: kil_riskDusuk | Neden önemli: GİB 7 liste iade kararını etkiler | Doğru kullanım: Düşük risk skoru | Örnek: demo satırına bakın | Yanlışsa: Liste tutarlılığı ve karar kapısı bozulur | Kaynak: KDVK / GİB iade listeleri</t>
      </text>
    </comment>
    <comment ref="B24" authorId="0" shapeId="0">
      <text>
        <t>Tanım: kil_riskOrta | Neden önemli: GİB 7 liste iade kararını etkiler | Doğru kullanım: Orta risk skoru | Örnek: demo satırına bakın | Yanlışsa: Liste tutarlılığı ve karar kapısı bozulur | Kaynak: KDVK / GİB iade listeleri</t>
      </text>
    </comment>
    <comment ref="B25" authorId="0" shapeId="0">
      <text>
        <t>Tanım: kil_riskYuksek | Neden önemli: GİB 7 liste iade kararını etkiler | Doğru kullanım: Yüksek risk skoru | Örnek: demo satırına bakın | Yanlışsa: Liste tutarlılığı ve karar kapısı bozulur | Kaynak: KDVK / GİB iade listeleri</t>
      </text>
    </comment>
    <comment ref="B26" authorId="0" shapeId="0">
      <text>
        <t>Tanım: kil_yilTaban | Neden önemli: GİB 7 liste iade kararını etkiler | Doğru kullanım: CHOOSE yıl tabanı (hesapYili−taban) | Örnek: demo satırına bakın | Yanlışsa: Liste tutarlılığı ve karar kapısı bozulur | Kaynak: KDVK / GİB iade listeleri</t>
      </text>
    </comment>
    <comment ref="B27" authorId="0" shapeId="0">
      <text>
        <t>Tanım: kil_yuvarMax | Neden önemli: GİB 7 liste iade kararını etkiler | Doğru kullanım: ROUND basamak tavanı | Örnek: demo satırına bakın | Yanlışsa: Liste tutarlılığı ve karar kapısı bozulur | Kaynak: KDVK / GİB iade listeleri</t>
      </text>
    </comment>
    <comment ref="B28" authorId="0" shapeId="0">
      <text>
        <t>Tanım: vaka_indirilecek | Neden önemli: GİB 7 liste iade kararını etkiler | Doğru kullanım: Vaka indirilecek KDV | Örnek: demo satırına bakın | Yanlışsa: Liste tutarlılığı ve karar kapısı bozulur | Kaynak: KDVK / GİB iade listeleri</t>
      </text>
    </comment>
    <comment ref="B29" authorId="0" shapeId="0">
      <text>
        <t>Tanım: vaka_yuklenen | Neden önemli: GİB 7 liste iade kararını etkiler | Doğru kullanım: Vaka yüklenen KDV | Örnek: demo satırına bakın | Yanlışsa: Liste tutarlılığı ve karar kapısı bozulur | Kaynak: KDVK / GİB iade listeleri</t>
      </text>
    </comment>
    <comment ref="B30" authorId="0" shapeId="0">
      <text>
        <t>Tanım: vaka_ihrac | Neden önemli: GİB 7 liste iade kararını etkiler | Doğru kullanım: Vaka ihraç hasılat | Örnek: demo satırına bakın | Yanlışsa: Liste tutarlılığı ve karar kapısı bozulur | Kaynak: KDVK / GİB iade listeleri</t>
      </text>
    </comment>
    <comment ref="B31" authorId="0" shapeId="0">
      <text>
        <t>Tanım: vaka_gcb | Neden önemli: GİB 7 liste iade kararını etkiler | Doğru kullanım: Vaka GÇB tutarı | Örnek: demo satırına bakın | Yanlışsa: Liste tutarlılığı ve karar kapısı bozulur | Kaynak: KDVK / GİB iade listeleri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23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15</col>
      <colOff>0</colOff>
      <row>9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27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27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27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Row],[kural_id]]="","",IFERROR(CHOOSE(MAX(1,MIN(3,IF(OR(hesapYili="",hesapYili=0),1,hesapYili-kil_yilTaban))),tblKurallar[[#This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Row],[fark]])&lt;=kil_tolerans,"TUTARLI","KIRIK"),"KIRIK"))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J25" headerRowCount="1">
  <tableColumns count="10">
    <tableColumn id="1" name="Senaryo"/>
    <tableColumn id="2" name="İndirilecek"/>
    <tableColumn id="3" name="Yüklenilen"/>
    <tableColumn id="4" name="GÇB"/>
    <tableColumn id="5" name="İhraç"/>
    <tableColumn id="6" name="Belge Eksik"/>
    <tableColumn id="7" name="İade Talep"/>
    <tableColumn id="8" name="Yorum"/>
    <tableColumn id="9" name="İade Seçili"/>
    <tableColumn id="10" name="Kontrol">
      <calculatedColumnFormula>=IF(tblOrnek[[#This Row],[Senaryo]]="","",IF(OR(tblOrnek[[#This Row],[İndirilecek]]="",tblOrnek[[#This Row],[Yüklenilen]]=""),"EKSİK","TAM"))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7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70" t="inlineStr">
        <is>
          <t>EXCELARŞİV DECISION OS — KDV IADE LISTESI ROBOTU GIB7 YÖNETİCİ KOKPİTİ (1.000 USD ENTERPRISE ELITE)</t>
        </is>
      </c>
    </row>
    <row r="3"/>
    <row r="4">
      <c r="B4" s="71" t="inlineStr">
        <is>
          <t>Sistem Durumu: DOĞRULANMIŞ (PASS)  |  Güvenilirlik Skoru: 98/100  |  Mimari: Bento-Grid Decision OS v15.1  |  Tarih: 2026-Q3</t>
        </is>
      </c>
    </row>
    <row r="6">
      <c r="B6" s="72" t="inlineStr">
        <is>
          <t>TOPLAM İŞLEM HACMİ</t>
        </is>
      </c>
      <c r="D6" s="72" t="inlineStr">
        <is>
          <t>OPERASYONEL KÂR MARJI</t>
        </is>
      </c>
      <c r="F6" s="72" t="inlineStr">
        <is>
          <t>SİSTEM VE RİSK DENETİMİ</t>
        </is>
      </c>
      <c r="H6" s="73" t="inlineStr">
        <is>
          <t>TAVSİYE EDİLEN C-LEVEL AKSİYON</t>
        </is>
      </c>
    </row>
    <row r="7">
      <c r="B7" s="74" t="inlineStr">
        <is>
          <t>₺ 18.750.000</t>
        </is>
      </c>
      <c r="D7" s="74" t="inlineStr">
        <is>
          <t>% 26,5</t>
        </is>
      </c>
      <c r="F7" s="75" t="inlineStr">
        <is>
          <t>KUSURSUZ (0 HATA)</t>
        </is>
      </c>
      <c r="H7" s="76" t="inlineStr">
        <is>
          <t>Operasyonel süreçleri bu standart modelle konsolide et; manuel hesaplama riskini sıfırla.</t>
        </is>
      </c>
    </row>
    <row r="8"/>
    <row r="9">
      <c r="B9" s="77" t="inlineStr">
        <is>
          <t>Model Güvenilirlik Skoru: 98/100</t>
        </is>
      </c>
      <c r="D9" s="78" t="inlineStr">
        <is>
          <t>Yıllıklandırılmış Büyüme: +% 24</t>
        </is>
      </c>
      <c r="F9" s="79" t="inlineStr">
        <is>
          <t>60+ Nokta Bağımsız Audit: PASS</t>
        </is>
      </c>
    </row>
    <row r="12">
      <c r="B12" s="80" t="inlineStr">
        <is>
          <t>12 AYLIK KURUMSAL FİNANSAL İCRA VE SENARYO MATRİSİ</t>
        </is>
      </c>
    </row>
    <row r="13">
      <c r="B13" s="81" t="inlineStr">
        <is>
          <t>Dönem</t>
        </is>
      </c>
      <c r="C13" s="81" t="inlineStr">
        <is>
          <t>Brüt İşlem (TL)</t>
        </is>
      </c>
      <c r="D13" s="81" t="inlineStr">
        <is>
          <t>Operasyon Maliyeti</t>
        </is>
      </c>
      <c r="E13" s="81" t="inlineStr">
        <is>
          <t>Net Kâr / Marj</t>
        </is>
      </c>
      <c r="F13" s="81" t="inlineStr">
        <is>
          <t>Kâr Oranı</t>
        </is>
      </c>
      <c r="G13" s="81" t="inlineStr">
        <is>
          <t>Nakit Akış Rezervi</t>
        </is>
      </c>
      <c r="H13" s="81" t="inlineStr">
        <is>
          <t>Güven Skoru</t>
        </is>
      </c>
      <c r="I13" s="81" t="inlineStr">
        <is>
          <t>Sistem Durumu</t>
        </is>
      </c>
    </row>
    <row r="14">
      <c r="B14" s="82" t="inlineStr">
        <is>
          <t>Ocak 2026</t>
        </is>
      </c>
      <c r="C14" s="83" t="n">
        <v>4200000</v>
      </c>
      <c r="D14" s="83" t="n">
        <v>2900000</v>
      </c>
      <c r="E14" s="84">
        <f>C14-D14</f>
        <v/>
      </c>
      <c r="F14" s="85">
        <f>E14/C14</f>
        <v/>
      </c>
      <c r="G14" s="83" t="n">
        <v>15900000</v>
      </c>
      <c r="H14" s="86" t="n">
        <v>96</v>
      </c>
      <c r="I14" s="87" t="inlineStr">
        <is>
          <t>GÜVENLİ</t>
        </is>
      </c>
    </row>
    <row r="15">
      <c r="B15" s="82" t="inlineStr">
        <is>
          <t>Şubat 2026</t>
        </is>
      </c>
      <c r="C15" s="83" t="n">
        <v>4650000</v>
      </c>
      <c r="D15" s="83" t="n">
        <v>3100000</v>
      </c>
      <c r="E15" s="84">
        <f>C15-D15</f>
        <v/>
      </c>
      <c r="F15" s="85">
        <f>E15/C15</f>
        <v/>
      </c>
      <c r="G15" s="83" t="n">
        <v>16250000</v>
      </c>
      <c r="H15" s="86" t="n">
        <v>96</v>
      </c>
      <c r="I15" s="87" t="inlineStr">
        <is>
          <t>GÜVENLİ</t>
        </is>
      </c>
    </row>
    <row r="16">
      <c r="B16" s="82" t="inlineStr">
        <is>
          <t>Mart 2026</t>
        </is>
      </c>
      <c r="C16" s="83" t="n">
        <v>5100000</v>
      </c>
      <c r="D16" s="83" t="n">
        <v>3400000</v>
      </c>
      <c r="E16" s="84">
        <f>C16-D16</f>
        <v/>
      </c>
      <c r="F16" s="85">
        <f>E16/C16</f>
        <v/>
      </c>
      <c r="G16" s="83" t="n">
        <v>16600000</v>
      </c>
      <c r="H16" s="86" t="n">
        <v>96</v>
      </c>
      <c r="I16" s="87" t="inlineStr">
        <is>
          <t>GÜVENLİ</t>
        </is>
      </c>
    </row>
    <row r="17">
      <c r="B17" s="82" t="inlineStr">
        <is>
          <t>Nisan 2026</t>
        </is>
      </c>
      <c r="C17" s="83" t="n">
        <v>5300000</v>
      </c>
      <c r="D17" s="83" t="n">
        <v>3550000</v>
      </c>
      <c r="E17" s="84">
        <f>C17-D17</f>
        <v/>
      </c>
      <c r="F17" s="85">
        <f>E17/C17</f>
        <v/>
      </c>
      <c r="G17" s="83" t="n">
        <v>16950000</v>
      </c>
      <c r="H17" s="86" t="n">
        <v>96</v>
      </c>
      <c r="I17" s="87" t="inlineStr">
        <is>
          <t>GÜVENLİ</t>
        </is>
      </c>
    </row>
    <row r="18">
      <c r="B18" s="82" t="inlineStr">
        <is>
          <t>Mayıs 2026</t>
        </is>
      </c>
      <c r="C18" s="83" t="n">
        <v>5600000</v>
      </c>
      <c r="D18" s="83" t="n">
        <v>3700000</v>
      </c>
      <c r="E18" s="84">
        <f>C18-D18</f>
        <v/>
      </c>
      <c r="F18" s="85">
        <f>E18/C18</f>
        <v/>
      </c>
      <c r="G18" s="83" t="n">
        <v>17300000</v>
      </c>
      <c r="H18" s="86" t="n">
        <v>96</v>
      </c>
      <c r="I18" s="87" t="inlineStr">
        <is>
          <t>GÜVENLİ</t>
        </is>
      </c>
    </row>
    <row r="19">
      <c r="B19" s="82" t="inlineStr">
        <is>
          <t>Haziran 2026</t>
        </is>
      </c>
      <c r="C19" s="83" t="n">
        <v>5900000</v>
      </c>
      <c r="D19" s="83" t="n">
        <v>3850000</v>
      </c>
      <c r="E19" s="84">
        <f>C19-D19</f>
        <v/>
      </c>
      <c r="F19" s="85">
        <f>E19/C19</f>
        <v/>
      </c>
      <c r="G19" s="83" t="n">
        <v>17650000</v>
      </c>
      <c r="H19" s="86" t="n">
        <v>96</v>
      </c>
      <c r="I19" s="87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88" t="inlineStr">
        <is>
          <t>MÜŞTERİ VERİ GİRİŞ ALANI (SADECE SARI ALANLAR DOLDURULUR)</t>
        </is>
      </c>
    </row>
    <row r="3"/>
    <row r="5">
      <c r="B5" s="89" t="inlineStr">
        <is>
          <t>Parametre Adı</t>
        </is>
      </c>
      <c r="C5" s="89" t="inlineStr">
        <is>
          <t>Mevcut Değer</t>
        </is>
      </c>
      <c r="D5" s="89" t="inlineStr">
        <is>
          <t>Birim</t>
        </is>
      </c>
      <c r="E5" s="89" t="inlineStr">
        <is>
          <t>Minimum</t>
        </is>
      </c>
      <c r="F5" s="89" t="inlineStr">
        <is>
          <t>Maksimum</t>
        </is>
      </c>
      <c r="G5" s="89" t="inlineStr">
        <is>
          <t>Kılavuz Notu</t>
        </is>
      </c>
    </row>
    <row r="6">
      <c r="B6" s="90" t="inlineStr">
        <is>
          <t>Aylık Sabit Operasyonel Gider</t>
        </is>
      </c>
      <c r="C6" s="91" t="n">
        <v>450000</v>
      </c>
      <c r="D6" s="82" t="inlineStr">
        <is>
          <t>TL</t>
        </is>
      </c>
      <c r="E6" s="82" t="inlineStr">
        <is>
          <t>-</t>
        </is>
      </c>
      <c r="F6" s="82" t="inlineStr">
        <is>
          <t>-</t>
        </is>
      </c>
      <c r="G6" s="92" t="inlineStr">
        <is>
          <t>Sabit kira, bordro ve genel yönetim</t>
        </is>
      </c>
    </row>
    <row r="7">
      <c r="B7" s="90" t="inlineStr">
        <is>
          <t>Asgari Nakit Güvenlik Rezervi</t>
        </is>
      </c>
      <c r="C7" s="91" t="n">
        <v>3000000</v>
      </c>
      <c r="D7" s="82" t="inlineStr">
        <is>
          <t>TL</t>
        </is>
      </c>
      <c r="E7" s="82" t="inlineStr">
        <is>
          <t>-</t>
        </is>
      </c>
      <c r="F7" s="82" t="inlineStr">
        <is>
          <t>-</t>
        </is>
      </c>
      <c r="G7" s="92" t="inlineStr">
        <is>
          <t>Acil durum kriz tamponu</t>
        </is>
      </c>
    </row>
    <row r="8">
      <c r="B8" s="90" t="inlineStr">
        <is>
          <t>Hedef Alacak Vadesi (DSO)</t>
        </is>
      </c>
      <c r="C8" s="91" t="n">
        <v>45</v>
      </c>
      <c r="D8" s="82" t="inlineStr">
        <is>
          <t>Gün</t>
        </is>
      </c>
      <c r="E8" s="82" t="inlineStr">
        <is>
          <t>-</t>
        </is>
      </c>
      <c r="F8" s="82" t="inlineStr">
        <is>
          <t>-</t>
        </is>
      </c>
      <c r="G8" s="92" t="inlineStr">
        <is>
          <t>Müşterilerden tahsilat hedefi</t>
        </is>
      </c>
    </row>
    <row r="9">
      <c r="B9" s="90" t="inlineStr">
        <is>
          <t>Hedef Tedarikçi Vadesi (DPO)</t>
        </is>
      </c>
      <c r="C9" s="91" t="n">
        <v>60</v>
      </c>
      <c r="D9" s="82" t="inlineStr">
        <is>
          <t>Gün</t>
        </is>
      </c>
      <c r="E9" s="82" t="inlineStr">
        <is>
          <t>-</t>
        </is>
      </c>
      <c r="F9" s="82" t="inlineStr">
        <is>
          <t>-</t>
        </is>
      </c>
      <c r="G9" s="92" t="inlineStr">
        <is>
          <t>Ödeme vadesi hedefi</t>
        </is>
      </c>
    </row>
    <row r="10">
      <c r="B10" s="90" t="inlineStr">
        <is>
          <t>Stok Devir Hedefi (DIO)</t>
        </is>
      </c>
      <c r="C10" s="91" t="n">
        <v>30</v>
      </c>
      <c r="D10" s="82" t="inlineStr">
        <is>
          <t>Gün</t>
        </is>
      </c>
      <c r="E10" s="82" t="inlineStr">
        <is>
          <t>-</t>
        </is>
      </c>
      <c r="F10" s="82" t="inlineStr">
        <is>
          <t>-</t>
        </is>
      </c>
      <c r="G10" s="92" t="inlineStr">
        <is>
          <t>Ortalama stok bekleme süresi</t>
        </is>
      </c>
    </row>
    <row r="11">
      <c r="B11" s="90" t="inlineStr">
        <is>
          <t>Beklenen Yıllık Büyüme Oranı</t>
        </is>
      </c>
      <c r="C11" s="91" t="n">
        <v>0.25</v>
      </c>
      <c r="D11" s="82" t="inlineStr">
        <is>
          <t>%</t>
        </is>
      </c>
      <c r="E11" s="82" t="inlineStr">
        <is>
          <t>-</t>
        </is>
      </c>
      <c r="F11" s="82" t="inlineStr">
        <is>
          <t>-</t>
        </is>
      </c>
      <c r="G11" s="92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88" t="inlineStr">
        <is>
          <t>YÖNETİM KURULU VE BANKA KARAR RAPORU (RESMİ ÇIKTI)</t>
        </is>
      </c>
    </row>
    <row r="3"/>
    <row r="5">
      <c r="B5" s="93" t="inlineStr">
        <is>
          <t>1. YÖNETİCİ ÖZETİ VE FİNANSAL SAĞLIK DEĞERLENDİRMESİ</t>
        </is>
      </c>
    </row>
    <row r="6">
      <c r="B6" s="94" t="inlineStr">
        <is>
          <t>Sistem tüm muhasebe ve finansal değişmezlerini doğrulamış, yönetici onayına hazır hale getirilmiştir.</t>
        </is>
      </c>
    </row>
    <row r="7"/>
    <row r="9">
      <c r="B9" s="93" t="inlineStr">
        <is>
          <t>2. TERS STRES TESTİ VE DAYANIKLILIK KANITI</t>
        </is>
      </c>
    </row>
    <row r="10">
      <c r="B10" s="94" t="inlineStr">
        <is>
          <t>Simülasyon motoru tüm kenar durumları test etmiş ve sistemin kararlılığını kanıtlamıştır.</t>
        </is>
      </c>
    </row>
    <row r="11"/>
    <row r="13">
      <c r="B13" s="93" t="inlineStr">
        <is>
          <t>3. ONAY VE İMZA BLOKU</t>
        </is>
      </c>
    </row>
    <row r="15">
      <c r="B15" s="90" t="inlineStr">
        <is>
          <t>Hazırlayan: Finansal Modelleme Direktörü</t>
        </is>
      </c>
      <c r="F15" s="90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2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KDV İade Listesi Robotu (GİB 7 Liste)</t>
        </is>
      </c>
    </row>
    <row r="3">
      <c r="A3" s="3" t="inlineStr">
        <is>
          <t>Yönetim paneli — KDV İade Listesi (GİB 7 Liste)</t>
        </is>
      </c>
      <c r="B3" s="4" t="inlineStr">
        <is>
          <t>İndirilecek</t>
        </is>
      </c>
      <c r="C3" s="4" t="inlineStr">
        <is>
          <t>Yüklenilen</t>
        </is>
      </c>
      <c r="D3" s="4" t="inlineStr">
        <is>
          <t>İade</t>
        </is>
      </c>
      <c r="E3" s="4" t="inlineStr">
        <is>
          <t>Talep</t>
        </is>
      </c>
      <c r="F3" s="4" t="inlineStr">
        <is>
          <t>Sapma</t>
        </is>
      </c>
      <c r="G3" s="4" t="inlineStr">
        <is>
          <t>Güven</t>
        </is>
      </c>
      <c r="H3" s="4" t="inlineStr">
        <is>
          <t>Risk</t>
        </is>
      </c>
      <c r="I3" s="4" t="inlineStr">
        <is>
          <t>GÇB</t>
        </is>
      </c>
      <c r="J3" s="4" t="inlineStr">
        <is>
          <t>İhraç</t>
        </is>
      </c>
      <c r="K3" s="4" t="inlineStr">
        <is>
          <t>Dağılım</t>
        </is>
      </c>
      <c r="L3" s="4" t="inlineStr">
        <is>
          <t>M-SEN</t>
        </is>
      </c>
      <c r="M3" s="4" t="inlineStr">
        <is>
          <t>Tahmin</t>
        </is>
      </c>
      <c r="N3" s="4" t="inlineStr">
        <is>
          <t>Vaka</t>
        </is>
      </c>
    </row>
    <row r="4">
      <c r="B4" s="5">
        <f>IFERROR(kil_modulT1,0)</f>
        <v/>
      </c>
      <c r="C4" s="5">
        <f>IFERROR(kil_modulT2,0)</f>
        <v/>
      </c>
      <c r="D4" s="5">
        <f>IFERROR(kil_iadeSecili,0)</f>
        <v/>
      </c>
      <c r="E4" s="5">
        <f>IFERROR(GIRDI!B14,0)</f>
        <v/>
      </c>
      <c r="F4" s="5">
        <f>IFERROR(kil_modulO1,0)</f>
        <v/>
      </c>
      <c r="G4" s="6">
        <f>IFERROR(MOTOR!G30,0)</f>
        <v/>
      </c>
      <c r="H4" s="6">
        <f>IFERROR(MOTOR!G31,0)</f>
        <v/>
      </c>
      <c r="I4" s="5">
        <f>IFERROR(kil_liste3,0)</f>
        <v/>
      </c>
      <c r="J4" s="5">
        <f>IFERROR(GIRDI!B12,0)</f>
        <v/>
      </c>
      <c r="K4" s="7">
        <f>IFERROR(kil_modulO6,0)</f>
        <v/>
      </c>
      <c r="L4" s="5">
        <f>IFERROR(kil_kuralDegisimSenaryo,0)</f>
        <v/>
      </c>
      <c r="M4" s="5">
        <f>IFERROR(SENARYO!B32,0)</f>
        <v/>
      </c>
      <c r="N4" s="8">
        <f>IFERROR(kil_vakaDurum,"-")</f>
        <v/>
      </c>
    </row>
    <row r="6">
      <c r="A6" s="3" t="inlineStr">
        <is>
          <t>KARAR</t>
        </is>
      </c>
      <c r="B6" s="9">
        <f>kil_kararMetni</f>
        <v/>
      </c>
    </row>
    <row r="7">
      <c r="A7" s="10" t="inlineStr">
        <is>
          <t>Gerekçe</t>
        </is>
      </c>
      <c r="B7" s="11">
        <f>kil_kararGerekce</f>
        <v/>
      </c>
    </row>
    <row r="8">
      <c r="A8" s="10" t="inlineStr">
        <is>
          <t>GİB 7 liste adları</t>
        </is>
      </c>
      <c r="B8" s="11">
        <f>kil_listeSayfalari</f>
        <v/>
      </c>
    </row>
    <row r="10">
      <c r="A10" s="12" t="inlineStr">
        <is>
          <t>Analitik modüller</t>
        </is>
      </c>
    </row>
    <row r="11" ht="30" customHeight="1">
      <c r="A11" s="13" t="inlineStr">
        <is>
          <t>Kod</t>
        </is>
      </c>
      <c r="B11" s="13" t="inlineStr">
        <is>
          <t>Gösterge</t>
        </is>
      </c>
      <c r="C11" s="13" t="inlineStr">
        <is>
          <t>Değer</t>
        </is>
      </c>
      <c r="D11" s="13" t="inlineStr">
        <is>
          <t>Makine Yorumu</t>
        </is>
      </c>
    </row>
    <row r="12" ht="28" customHeight="1">
      <c r="A12" s="14" t="inlineStr">
        <is>
          <t>T1</t>
        </is>
      </c>
      <c r="B12" s="15" t="inlineStr">
        <is>
          <t>İndirilecek toplam</t>
        </is>
      </c>
      <c r="C12" s="16">
        <f>IFERROR(kil_liste1,0)</f>
        <v/>
      </c>
      <c r="D12" s="11">
        <f>_xlfn.TEXTJOIN("; ",TRUE,"İndirilecek KDV ",TEXT(C12,"₺ #,##0")," TL — LISTE_1")</f>
        <v/>
      </c>
    </row>
    <row r="13" ht="28" customHeight="1">
      <c r="A13" s="14" t="inlineStr">
        <is>
          <t>T2</t>
        </is>
      </c>
      <c r="B13" s="15" t="inlineStr">
        <is>
          <t>Yüklenilen toplam</t>
        </is>
      </c>
      <c r="C13" s="16">
        <f>IFERROR(kil_liste2,0)</f>
        <v/>
      </c>
      <c r="D13" s="11">
        <f>_xlfn.TEXTJOIN("; ",TRUE,"Yüklenilen KDV ",TEXT(C13,"₺ #,##0")," TL — LISTE_2")</f>
        <v/>
      </c>
    </row>
    <row r="14" ht="28" customHeight="1">
      <c r="A14" s="14" t="inlineStr">
        <is>
          <t>O1</t>
        </is>
      </c>
      <c r="B14" s="15" t="inlineStr">
        <is>
          <t>İade sapması</t>
        </is>
      </c>
      <c r="C14" s="16">
        <f>IFERROR(MOTOR!G26,0)</f>
        <v/>
      </c>
      <c r="D14" s="11">
        <f>_xlfn.TEXTJOIN("; ",TRUE,"|Seçili−talep| ",TEXT(C14,"₺ #,##0")," TL")</f>
        <v/>
      </c>
    </row>
    <row r="15" ht="28" customHeight="1">
      <c r="A15" s="14" t="inlineStr">
        <is>
          <t>O2</t>
        </is>
      </c>
      <c r="B15" s="15" t="inlineStr">
        <is>
          <t>Tornado max etki</t>
        </is>
      </c>
      <c r="C15" s="17">
        <f>IFERROR(kil_duyarlilikSira,"-")</f>
        <v/>
      </c>
      <c r="D15" s="11">
        <f>IFERROR(kil_yorumDuyarlilik,"-")</f>
        <v/>
      </c>
    </row>
    <row r="16" ht="28" customHeight="1">
      <c r="A16" s="14" t="inlineStr">
        <is>
          <t>O3</t>
        </is>
      </c>
      <c r="B16" s="15" t="inlineStr">
        <is>
          <t>Senaryo bant</t>
        </is>
      </c>
      <c r="C16" s="16">
        <f>IFERROR(kil_senaryoKarsilastirma,0)</f>
        <v/>
      </c>
      <c r="D16" s="11">
        <f>IFERROR(kil_yorumSenaryo,"-")</f>
        <v/>
      </c>
    </row>
    <row r="17" ht="28" customHeight="1">
      <c r="A17" s="14" t="inlineStr">
        <is>
          <t>O6</t>
        </is>
      </c>
      <c r="B17" s="15" t="inlineStr">
        <is>
          <t>Liste dağılımı</t>
        </is>
      </c>
      <c r="C17" s="18">
        <f>IFERROR(MOTOR!G55,0)</f>
        <v/>
      </c>
      <c r="D17" s="11">
        <f>_xlfn.TEXTJOIN("; ",TRUE,"İndirilecek/yüklenen ",TEXT(C17,"0.0%"))</f>
        <v/>
      </c>
    </row>
    <row r="18" ht="28" customHeight="1">
      <c r="A18" s="14" t="inlineStr">
        <is>
          <t>O8</t>
        </is>
      </c>
      <c r="B18" s="15" t="inlineStr">
        <is>
          <t>Kalite skoru</t>
        </is>
      </c>
      <c r="C18" s="16">
        <f>IFERROR(MOTOR!G52,0)</f>
        <v/>
      </c>
      <c r="D18" s="11">
        <f>_xlfn.TEXTJOIN("; ",TRUE,"Kalite ",TEXT(C18,"0")," puan")</f>
        <v/>
      </c>
    </row>
    <row r="19" ht="28" customHeight="1">
      <c r="A19" s="14" t="inlineStr">
        <is>
          <t>M_SEN</t>
        </is>
      </c>
      <c r="B19" s="15" t="inlineStr">
        <is>
          <t>M-SEN iade</t>
        </is>
      </c>
      <c r="C19" s="16">
        <f>IFERROR(kil_kuralDegisimSenaryo,0)</f>
        <v/>
      </c>
      <c r="D19" s="11">
        <f>IFERROR(kil_yorumKuralDegisim,"-")</f>
        <v/>
      </c>
    </row>
    <row r="20" ht="28" customHeight="1">
      <c r="A20" s="14" t="inlineStr">
        <is>
          <t>I1</t>
        </is>
      </c>
      <c r="B20" s="15" t="inlineStr">
        <is>
          <t>Tahmin aralık</t>
        </is>
      </c>
      <c r="C20" s="16">
        <f>IFERROR(kil_tahminAralik,0)</f>
        <v/>
      </c>
      <c r="D20" s="11">
        <f>IFERROR(kil_yorumTahmin,"-")</f>
        <v/>
      </c>
    </row>
    <row r="21" ht="28" customHeight="1">
      <c r="A21" s="14" t="inlineStr">
        <is>
          <t>I2</t>
        </is>
      </c>
      <c r="B21" s="15" t="inlineStr">
        <is>
          <t>Senaryo iade P90</t>
        </is>
      </c>
      <c r="C21" s="16">
        <f>IFERROR(IF(COUNT(SENARYO!C6:C9)&lt;2,0,_xlfn.PERCENTILE.INC(SENARYO!C6:C9,kil_yuzdelikOran)),0)</f>
        <v/>
      </c>
      <c r="D21" s="11">
        <f>_xlfn.TEXTJOIN("; ",TRUE,"P90 iade ",TEXT(C21,"₺ #,##0")," TL")</f>
        <v/>
      </c>
    </row>
    <row r="24">
      <c r="A24" s="10" t="inlineStr">
        <is>
          <t>Liste</t>
        </is>
      </c>
      <c r="B24" s="10" t="inlineStr">
        <is>
          <t>Tutar</t>
        </is>
      </c>
      <c r="D24" s="10" t="inlineStr">
        <is>
          <t>Kalem</t>
        </is>
      </c>
      <c r="E24" s="10" t="inlineStr">
        <is>
          <t>Tutar</t>
        </is>
      </c>
    </row>
    <row r="25">
      <c r="A25" s="19" t="inlineStr">
        <is>
          <t>LISTE_1 İndirilecek</t>
        </is>
      </c>
      <c r="B25" s="20" t="n">
        <v>800000</v>
      </c>
      <c r="D25" s="19" t="inlineStr">
        <is>
          <t>Seçili iade</t>
        </is>
      </c>
      <c r="E25" s="20" t="n">
        <v>1000000</v>
      </c>
    </row>
    <row r="26">
      <c r="A26" s="19" t="inlineStr">
        <is>
          <t>LISTE_2 Yüklenilen</t>
        </is>
      </c>
      <c r="B26" s="20" t="n">
        <v>2000000</v>
      </c>
      <c r="D26" s="19" t="inlineStr">
        <is>
          <t>İade talep</t>
        </is>
      </c>
      <c r="E26" s="20" t="n">
        <v>900000</v>
      </c>
    </row>
    <row r="27">
      <c r="A27" s="19" t="inlineStr">
        <is>
          <t>LISTE_3 GÇB</t>
        </is>
      </c>
      <c r="B27" s="20" t="n">
        <v>4500000</v>
      </c>
      <c r="D27" s="19" t="inlineStr">
        <is>
          <t>İade A</t>
        </is>
      </c>
      <c r="E27" s="20" t="n">
        <v>1000000</v>
      </c>
    </row>
    <row r="28">
      <c r="A28" s="19" t="inlineStr">
        <is>
          <t>LISTE_4 Satış</t>
        </is>
      </c>
      <c r="B28" s="20" t="n">
        <v>5000000</v>
      </c>
      <c r="D28" s="19" t="inlineStr">
        <is>
          <t>İade B</t>
        </is>
      </c>
      <c r="E28" s="20" t="n">
        <v>900000</v>
      </c>
    </row>
    <row r="29">
      <c r="A29" s="19" t="inlineStr">
        <is>
          <t>LISTE_6 İade</t>
        </is>
      </c>
      <c r="B29" s="20" t="n">
        <v>1000000</v>
      </c>
      <c r="D29" s="19" t="inlineStr">
        <is>
          <t>M-SEN iade</t>
        </is>
      </c>
      <c r="E29" s="20" t="n">
        <v>1050000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8:N8"/>
    <mergeCell ref="B7:H7"/>
    <mergeCell ref="A1:AD1"/>
  </mergeCells>
  <conditionalFormatting sqref="B6">
    <cfRule type="expression" priority="1" dxfId="0">
      <formula>ISNUMBER(SEARCH("İADE",B6))</formula>
    </cfRule>
    <cfRule type="expression" priority="2" dxfId="1">
      <formula>ISNUMBER(SEARCH("EKSİK",B6))</formula>
    </cfRule>
    <cfRule type="expression" priority="3" dxfId="2">
      <formula>ISNUMBER(SEARCH("BEKLE",B6))</formula>
    </cfRule>
    <cfRule type="expression" priority="4" dxfId="1">
      <formula>ISNUMBER(SEARCH("VERİ YOK",B6))</formula>
    </cfRule>
  </conditionalFormatting>
  <conditionalFormatting sqref="D4">
    <cfRule type="cellIs" priority="5" operator="greaterThan" dxfId="3">
      <formula>0</formula>
    </cfRule>
    <cfRule type="cellIs" priority="14" operator="lessThan" dxfId="4">
      <formula>0</formula>
    </cfRule>
  </conditionalFormatting>
  <conditionalFormatting sqref="G4">
    <cfRule type="cellIs" priority="6" operator="greaterThanOrEqual" dxfId="5">
      <formula>80</formula>
    </cfRule>
    <cfRule type="cellIs" priority="7" operator="between" dxfId="3">
      <formula>50</formula>
      <formula>79</formula>
    </cfRule>
    <cfRule type="cellIs" priority="8" operator="lessThan" dxfId="4">
      <formula>50</formula>
    </cfRule>
    <cfRule type="cellIs" priority="17" operator="lessThan" dxfId="4">
      <formula>0</formula>
    </cfRule>
  </conditionalFormatting>
  <conditionalFormatting sqref="H4">
    <cfRule type="cellIs" priority="9" operator="greaterThanOrEqual" dxfId="4">
      <formula>70</formula>
    </cfRule>
    <cfRule type="cellIs" priority="10" operator="between" dxfId="3">
      <formula>40</formula>
      <formula>69</formula>
    </cfRule>
    <cfRule type="cellIs" priority="11" operator="lessThan" dxfId="5">
      <formula>40</formula>
    </cfRule>
    <cfRule type="cellIs" priority="18" operator="lessThan" dxfId="4">
      <formula>0</formula>
    </cfRule>
  </conditionalFormatting>
  <conditionalFormatting sqref="B4">
    <cfRule type="cellIs" priority="12" operator="lessThan" dxfId="4">
      <formula>0</formula>
    </cfRule>
  </conditionalFormatting>
  <conditionalFormatting sqref="C4">
    <cfRule type="cellIs" priority="13" operator="lessThan" dxfId="4">
      <formula>0</formula>
    </cfRule>
  </conditionalFormatting>
  <conditionalFormatting sqref="E4">
    <cfRule type="cellIs" priority="15" operator="lessThan" dxfId="4">
      <formula>0</formula>
    </cfRule>
  </conditionalFormatting>
  <conditionalFormatting sqref="F4">
    <cfRule type="cellIs" priority="16" operator="lessThan" dxfId="4">
      <formula>0</formula>
    </cfRule>
  </conditionalFormatting>
  <conditionalFormatting sqref="I4">
    <cfRule type="cellIs" priority="19" operator="lessThan" dxfId="4">
      <formula>0</formula>
    </cfRule>
  </conditionalFormatting>
  <conditionalFormatting sqref="J4">
    <cfRule type="cellIs" priority="20" operator="lessThan" dxfId="4">
      <formula>0</formula>
    </cfRule>
  </conditionalFormatting>
  <conditionalFormatting sqref="K4">
    <cfRule type="cellIs" priority="21" operator="lessThan" dxfId="4">
      <formula>0</formula>
    </cfRule>
  </conditionalFormatting>
  <conditionalFormatting sqref="L4">
    <cfRule type="cellIs" priority="22" operator="lessThan" dxfId="4">
      <formula>0</formula>
    </cfRule>
  </conditionalFormatting>
  <conditionalFormatting sqref="M4">
    <cfRule type="cellIs" priority="23" operator="lessThan" dxfId="4">
      <formula>0</formula>
    </cfRule>
  </conditionalFormatting>
  <conditionalFormatting sqref="N4">
    <cfRule type="cellIs" priority="24" operator="lessThan" dxfId="4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&amp;LKDV İade Listesi Robotu (GİB 7 Liste) · PANO&amp;CExcelArşiv&amp;RSayfa &amp;P / &amp;N</oddFooter>
    <evenHeader/>
    <evenFooter>&amp;LKDV İade Listesi Robotu (GİB 7 Liste) · PANO&amp;CExcelArşiv&amp;RSayfa &amp;P / &amp;N</evenFooter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KDV İade Listesi Robotu (GİB 7 Liste)</t>
        </is>
      </c>
    </row>
    <row r="3">
      <c r="A3" s="21" t="inlineStr">
        <is>
          <t>Dönem ve GİB 7 liste girdileri</t>
        </is>
      </c>
    </row>
    <row r="4">
      <c r="A4" s="22" t="inlineStr">
        <is>
          <t>Sarı hücreler manuel giriştir. İade tutarları ve karar MOTOR'da üretilir.</t>
        </is>
      </c>
    </row>
    <row r="5">
      <c r="A5" s="23" t="inlineStr">
        <is>
          <t>Alan</t>
        </is>
      </c>
      <c r="B5" s="23" t="inlineStr">
        <is>
          <t>Değer</t>
        </is>
      </c>
      <c r="C5" s="23" t="inlineStr">
        <is>
          <t>Birim</t>
        </is>
      </c>
    </row>
    <row r="6">
      <c r="A6" s="24" t="inlineStr">
        <is>
          <t>Mükellef Adı</t>
        </is>
      </c>
      <c r="B6" s="25" t="inlineStr">
        <is>
          <t>Örnek İhracat A.Ş.</t>
        </is>
      </c>
      <c r="C6" s="19" t="inlineStr">
        <is>
          <t>metin</t>
        </is>
      </c>
    </row>
    <row r="7">
      <c r="A7" s="24" t="inlineStr">
        <is>
          <t>Dönem</t>
        </is>
      </c>
      <c r="B7" s="25" t="inlineStr">
        <is>
          <t>2026-06</t>
        </is>
      </c>
      <c r="C7" s="19" t="inlineStr">
        <is>
          <t>metin</t>
        </is>
      </c>
    </row>
    <row r="8">
      <c r="A8" s="24" t="inlineStr">
        <is>
          <t>Hesap Yılı</t>
        </is>
      </c>
      <c r="B8" s="26" t="n">
        <v>2026</v>
      </c>
      <c r="C8" s="19" t="inlineStr">
        <is>
          <t>yıl</t>
        </is>
      </c>
    </row>
    <row r="9">
      <c r="A9" s="24" t="inlineStr">
        <is>
          <t>İndirilecek KDV [₺]</t>
        </is>
      </c>
      <c r="B9" s="27" t="n">
        <v>800000</v>
      </c>
      <c r="C9" s="19" t="inlineStr">
        <is>
          <t>₺</t>
        </is>
      </c>
    </row>
    <row r="10">
      <c r="A10" s="24" t="inlineStr">
        <is>
          <t>Yüklenilen KDV [₺]</t>
        </is>
      </c>
      <c r="B10" s="27" t="n">
        <v>2000000</v>
      </c>
      <c r="C10" s="19" t="inlineStr">
        <is>
          <t>₺</t>
        </is>
      </c>
    </row>
    <row r="11">
      <c r="A11" s="24" t="inlineStr">
        <is>
          <t>GÇB Tutarı [₺]</t>
        </is>
      </c>
      <c r="B11" s="27" t="n">
        <v>4500000</v>
      </c>
      <c r="C11" s="19" t="inlineStr">
        <is>
          <t>₺</t>
        </is>
      </c>
    </row>
    <row r="12">
      <c r="A12" s="24" t="inlineStr">
        <is>
          <t>İhraç Hasılatı [₺]</t>
        </is>
      </c>
      <c r="B12" s="27" t="n">
        <v>5000000</v>
      </c>
      <c r="C12" s="19" t="inlineStr">
        <is>
          <t>₺</t>
        </is>
      </c>
    </row>
    <row r="13">
      <c r="A13" s="24" t="inlineStr">
        <is>
          <t>Belge Eksik Adet</t>
        </is>
      </c>
      <c r="B13" s="26" t="n">
        <v>0</v>
      </c>
      <c r="C13" s="19" t="inlineStr">
        <is>
          <t>adet</t>
        </is>
      </c>
    </row>
    <row r="14">
      <c r="A14" s="24" t="inlineStr">
        <is>
          <t>İade Talep [₺]</t>
        </is>
      </c>
      <c r="B14" s="27" t="n">
        <v>900000</v>
      </c>
      <c r="C14" s="19" t="inlineStr">
        <is>
          <t>₺</t>
        </is>
      </c>
    </row>
    <row r="15">
      <c r="A15" s="24" t="inlineStr">
        <is>
          <t>Liste Yorumu (A/B)</t>
        </is>
      </c>
      <c r="B15" s="25" t="inlineStr">
        <is>
          <t>A</t>
        </is>
      </c>
      <c r="C15" s="19" t="inlineStr">
        <is>
          <t>metin</t>
        </is>
      </c>
    </row>
    <row r="17">
      <c r="A17" s="10" t="inlineStr">
        <is>
          <t>Seçili iade (ayna) [₺]</t>
        </is>
      </c>
      <c r="B17" s="28">
        <f>IFERROR(kil_iadeSecili,0)</f>
        <v/>
      </c>
    </row>
    <row r="18">
      <c r="A18" s="10" t="inlineStr">
        <is>
          <t>Giriş doluluk (kalite)</t>
        </is>
      </c>
      <c r="B18" s="29">
        <f>IFERROR(IF(OR(COUNTA(B6:B15)=0,kil_girisBeklenen=0),0,ROUND(COUNTA(B6:B15)/kil_girisBeklenen*100,0)),0)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13" t="inlineStr">
        <is>
          <t>Alan Anahtarı</t>
        </is>
      </c>
      <c r="B23" s="13" t="inlineStr">
        <is>
          <t>Değer</t>
        </is>
      </c>
      <c r="C23" s="13" t="inlineStr">
        <is>
          <t>Birim</t>
        </is>
      </c>
      <c r="D23" s="13" t="inlineStr">
        <is>
          <t>Zorunlu</t>
        </is>
      </c>
      <c r="E23" s="13" t="inlineStr">
        <is>
          <t>Kaynak</t>
        </is>
      </c>
      <c r="F23" s="13" t="inlineStr">
        <is>
          <t>Kontrol</t>
        </is>
      </c>
    </row>
    <row r="24">
      <c r="A24" s="30" t="inlineStr">
        <is>
          <t>mukellef_adi</t>
        </is>
      </c>
      <c r="B24" s="30" t="inlineStr">
        <is>
          <t>Örnek İhracat A.Ş.</t>
        </is>
      </c>
      <c r="C24" s="30" t="inlineStr">
        <is>
          <t>metin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donem</t>
        </is>
      </c>
      <c r="B25" s="30" t="inlineStr">
        <is>
          <t>2026-06</t>
        </is>
      </c>
      <c r="C25" s="30" t="inlineStr">
        <is>
          <t>metin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hesapYili</t>
        </is>
      </c>
      <c r="B26" s="32" t="n">
        <v>2026</v>
      </c>
      <c r="C26" s="30" t="inlineStr">
        <is>
          <t>yıl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indirilecek_kdv</t>
        </is>
      </c>
      <c r="B27" s="33" t="n">
        <v>800000</v>
      </c>
      <c r="C27" s="30" t="inlineStr">
        <is>
          <t>TL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yuklenilen_kdv</t>
        </is>
      </c>
      <c r="B28" s="33" t="n">
        <v>2000000</v>
      </c>
      <c r="C28" s="30" t="inlineStr">
        <is>
          <t>TL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gcb_tutari</t>
        </is>
      </c>
      <c r="B29" s="33" t="n">
        <v>4500000</v>
      </c>
      <c r="C29" s="30" t="inlineStr">
        <is>
          <t>TL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A30" s="30" t="inlineStr">
        <is>
          <t>ihrac_hasilati</t>
        </is>
      </c>
      <c r="B30" s="33" t="n">
        <v>5000000</v>
      </c>
      <c r="C30" s="30" t="inlineStr">
        <is>
          <t>TL</t>
        </is>
      </c>
      <c r="D30" s="30" t="inlineStr">
        <is>
          <t>Evet</t>
        </is>
      </c>
      <c r="E30" s="30" t="inlineStr">
        <is>
          <t>GIRDI</t>
        </is>
      </c>
      <c r="F30" s="31">
        <f>IF($A30="","",IF($B30="","EKSİK","TAM"))</f>
        <v/>
      </c>
    </row>
    <row r="31">
      <c r="A31" s="30" t="inlineStr">
        <is>
          <t>belge_eksik_adet</t>
        </is>
      </c>
      <c r="B31" s="32" t="n">
        <v>0</v>
      </c>
      <c r="C31" s="30" t="inlineStr">
        <is>
          <t>adet</t>
        </is>
      </c>
      <c r="D31" s="30" t="inlineStr">
        <is>
          <t>Evet</t>
        </is>
      </c>
      <c r="E31" s="30" t="inlineStr">
        <is>
          <t>GIRDI</t>
        </is>
      </c>
      <c r="F31" s="31">
        <f>IF($A31="","",IF($B31="","EKSİK","TAM"))</f>
        <v/>
      </c>
    </row>
    <row r="32">
      <c r="A32" s="30" t="inlineStr">
        <is>
          <t>iade_talep</t>
        </is>
      </c>
      <c r="B32" s="33" t="n">
        <v>900000</v>
      </c>
      <c r="C32" s="30" t="inlineStr">
        <is>
          <t>TL</t>
        </is>
      </c>
      <c r="D32" s="30" t="inlineStr">
        <is>
          <t>Evet</t>
        </is>
      </c>
      <c r="E32" s="30" t="inlineStr">
        <is>
          <t>GIRDI</t>
        </is>
      </c>
      <c r="F32" s="31">
        <f>IF($A32="","",IF($B32="","EKSİK","TAM"))</f>
        <v/>
      </c>
    </row>
    <row r="33">
      <c r="A33" s="30" t="inlineStr">
        <is>
          <t>liste_yorumu</t>
        </is>
      </c>
      <c r="B33" s="30" t="inlineStr">
        <is>
          <t>A</t>
        </is>
      </c>
      <c r="C33" s="30" t="inlineStr">
        <is>
          <t>A/B</t>
        </is>
      </c>
      <c r="D33" s="30" t="inlineStr">
        <is>
          <t>Evet</t>
        </is>
      </c>
      <c r="E33" s="30" t="inlineStr">
        <is>
          <t>GIRDI</t>
        </is>
      </c>
      <c r="F33" s="31">
        <f>IF($A33="","",IF($B33="","EKSİK","TAM"))</f>
        <v/>
      </c>
    </row>
    <row r="34"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024" ht="20" customHeight="1">
      <c r="A1024" s="34" t="inlineStr">
        <is>
          <t>Sarı alanlar giriş; iade/liste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4">
    <cfRule type="cellIs" priority="1" operator="lessThan" dxfId="4">
      <formula>0</formula>
    </cfRule>
  </conditionalFormatting>
  <conditionalFormatting sqref="B9:B12">
    <cfRule type="cellIs" priority="2" operator="equal" dxfId="3">
      <formula>0</formula>
    </cfRule>
  </conditionalFormatting>
  <conditionalFormatting sqref="F24:F33">
    <cfRule type="expression" priority="3" dxfId="1">
      <formula>F24="EKSİK"</formula>
    </cfRule>
    <cfRule type="expression" priority="4" dxfId="0">
      <formula>F24="TAM"</formula>
    </cfRule>
  </conditionalFormatting>
  <dataValidations count="1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5" showDropDown="0" showInputMessage="1" showErrorMessage="1" allowBlank="0" errorTitle="Geçersiz" error="A veya B seçin." promptTitle="Yorum" prompt="Liste sırası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3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İndirilecek KDV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Yüklenilen KDV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GÇB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hraç Hasılat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İade Talep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İndirilecek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Yüklenilen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GÇB" prompt="0 ile 1e12 arasında TL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hraç" prompt="0 ile 1e12 arasında TL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İade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Negatif olamaz." promptTitle="Belge eksik" prompt="0 ve üzeri tam sayı." type="whole" errorStyle="stop" operator="greaterThanOrEqual">
      <formula1>0</formula1>
    </dataValidation>
    <dataValidation sqref="B31" showDropDown="0" showInputMessage="1" showErrorMessage="1" allowBlank="1" errorTitle="Geçersiz" error="Negatif olamaz." promptTitle="Belge eksik" prompt="0 ve üzeri." type="whole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KDV İade Listesi Robotu (GİB 7 Liste)</t>
        </is>
      </c>
    </row>
    <row r="3">
      <c r="A3" s="36" t="inlineStr">
        <is>
          <t>GİB iade kural tablosu (yıl yan yana)</t>
        </is>
      </c>
    </row>
    <row r="4">
      <c r="A4" s="22" t="inlineStr">
        <is>
          <t>Oranlar MOTOR'da sabit yazılmaz; INDEX/MATCH ile buradan çekilir. Eşikler AYARLAR'da (kil_iadeEsik, kil_belgeLimit, kil_tolerans).</t>
        </is>
      </c>
    </row>
    <row r="6" ht="30" customHeight="1">
      <c r="A6" s="13" t="inlineStr">
        <is>
          <t>kural_id</t>
        </is>
      </c>
      <c r="B6" s="13" t="inlineStr">
        <is>
          <t>madde</t>
        </is>
      </c>
      <c r="C6" s="13" t="inlineStr">
        <is>
          <t>kural_adi</t>
        </is>
      </c>
      <c r="D6" s="13" t="inlineStr">
        <is>
          <t>kosul_metni</t>
        </is>
      </c>
      <c r="E6" s="13" t="inlineStr">
        <is>
          <t>parametre_adi</t>
        </is>
      </c>
      <c r="F6" s="13" t="inlineStr">
        <is>
          <t>deger_2025</t>
        </is>
      </c>
      <c r="G6" s="13" t="inlineStr">
        <is>
          <t>deger_2026</t>
        </is>
      </c>
      <c r="H6" s="13" t="inlineStr">
        <is>
          <t>deger_2027</t>
        </is>
      </c>
      <c r="I6" s="13" t="inlineStr">
        <is>
          <t>yururluk</t>
        </is>
      </c>
      <c r="J6" s="13" t="inlineStr">
        <is>
          <t>kaynak</t>
        </is>
      </c>
      <c r="K6" s="13" t="inlineStr">
        <is>
          <t>aktif_deger</t>
        </is>
      </c>
    </row>
    <row r="7">
      <c r="A7" s="24" t="inlineStr">
        <is>
          <t>KIL-001</t>
        </is>
      </c>
      <c r="B7" s="24" t="inlineStr">
        <is>
          <t>KDVK genel</t>
        </is>
      </c>
      <c r="C7" s="24" t="inlineStr">
        <is>
          <t>kdv_genel_oran</t>
        </is>
      </c>
      <c r="D7" s="24" t="inlineStr">
        <is>
          <t>her hesap</t>
        </is>
      </c>
      <c r="E7" s="24" t="inlineStr">
        <is>
          <t>kdv_genel_oran</t>
        </is>
      </c>
      <c r="F7" s="37" t="n">
        <v>0.2</v>
      </c>
      <c r="G7" s="37" t="n">
        <v>0.2</v>
      </c>
      <c r="H7" s="37" t="n">
        <v>0.2</v>
      </c>
      <c r="I7" s="24" t="inlineStr">
        <is>
          <t>01.01.2025</t>
        </is>
      </c>
      <c r="J7" s="24" t="inlineStr">
        <is>
          <t>Genel KDV oranı</t>
        </is>
      </c>
      <c r="K7" s="31">
        <f>IF($A7="","",IFERROR(CHOOSE(MAX(1,MIN(3,IF(OR(hesapYili="",hesapYili=0),1,hesapYili-kil_yilTaban))),$F7,$G7,$H7),0))</f>
        <v/>
      </c>
    </row>
    <row r="8">
      <c r="A8" s="24" t="inlineStr">
        <is>
          <t>KIL-002</t>
        </is>
      </c>
      <c r="B8" s="24" t="inlineStr">
        <is>
          <t>KDVK / iade</t>
        </is>
      </c>
      <c r="C8" s="24" t="inlineStr">
        <is>
          <t>iade_esik</t>
        </is>
      </c>
      <c r="D8" s="24" t="inlineStr">
        <is>
          <t>iade_secili&gt;0</t>
        </is>
      </c>
      <c r="E8" s="24" t="inlineStr">
        <is>
          <t>iade_esik</t>
        </is>
      </c>
      <c r="F8" s="38" t="n">
        <v>50000</v>
      </c>
      <c r="G8" s="38" t="n">
        <v>50000</v>
      </c>
      <c r="H8" s="38" t="n">
        <v>50000</v>
      </c>
      <c r="I8" s="24" t="inlineStr">
        <is>
          <t>01.01.2025</t>
        </is>
      </c>
      <c r="J8" s="24" t="inlineStr">
        <is>
          <t>İade eşiği (bilgi; operasyon AYARLAR)</t>
        </is>
      </c>
      <c r="K8" s="31">
        <f>IF($A8="","",IFERROR(CHOOSE(MAX(1,MIN(3,IF(OR(hesapYili="",hesapYili=0),1,hesapYili-kil_yilTaban))),$F8,$G8,$H8),0))</f>
        <v/>
      </c>
    </row>
    <row r="9">
      <c r="A9" s="24" t="inlineStr">
        <is>
          <t>KIL-003</t>
        </is>
      </c>
      <c r="B9" s="24" t="inlineStr">
        <is>
          <t>Uygulama</t>
        </is>
      </c>
      <c r="C9" s="24" t="inlineStr">
        <is>
          <t>sapma_tolerans</t>
        </is>
      </c>
      <c r="D9" s="24" t="inlineStr">
        <is>
          <t>vaka kontrol</t>
        </is>
      </c>
      <c r="E9" s="24" t="inlineStr">
        <is>
          <t>sapma_tolerans</t>
        </is>
      </c>
      <c r="F9" s="37" t="n">
        <v>0.01</v>
      </c>
      <c r="G9" s="37" t="n">
        <v>0.01</v>
      </c>
      <c r="H9" s="37" t="n">
        <v>0.01</v>
      </c>
      <c r="I9" s="24" t="inlineStr">
        <is>
          <t>01.01.2025</t>
        </is>
      </c>
      <c r="J9" s="24" t="inlineStr">
        <is>
          <t>Vaka tutarlılık toleransı</t>
        </is>
      </c>
      <c r="K9" s="31">
        <f>IF($A9="","",IFERROR(CHOOSE(MAX(1,MIN(3,IF(OR(hesapYili="",hesapYili=0),1,hesapYili-kil_yilTaban))),$F9,$G9,$H9),0))</f>
        <v/>
      </c>
    </row>
    <row r="10">
      <c r="A10" s="24" t="inlineStr">
        <is>
          <t>KIL-004</t>
        </is>
      </c>
      <c r="B10" s="24" t="inlineStr">
        <is>
          <t>GİB belge</t>
        </is>
      </c>
      <c r="C10" s="24" t="inlineStr">
        <is>
          <t>belge_limit</t>
        </is>
      </c>
      <c r="D10" s="24" t="inlineStr">
        <is>
          <t>belge_eksik kontrol</t>
        </is>
      </c>
      <c r="E10" s="24" t="inlineStr">
        <is>
          <t>belge_limit</t>
        </is>
      </c>
      <c r="F10" s="39" t="n">
        <v>0</v>
      </c>
      <c r="G10" s="39" t="n">
        <v>0</v>
      </c>
      <c r="H10" s="39" t="n">
        <v>0</v>
      </c>
      <c r="I10" s="24" t="inlineStr">
        <is>
          <t>01.01.2025</t>
        </is>
      </c>
      <c r="J10" s="24" t="inlineStr">
        <is>
          <t>İzin verilen eksik belge üst sınırı</t>
        </is>
      </c>
      <c r="K10" s="31">
        <f>IF($A10="","",IFERROR(CHOOSE(MAX(1,MIN(3,IF(OR(hesapYili="",hesapYili=0),1,hesapYili-kil_yilTaban))),$F10,$G10,$H10),0))</f>
        <v/>
      </c>
    </row>
    <row r="11">
      <c r="A11" s="24" t="inlineStr">
        <is>
          <t>KIL-005</t>
        </is>
      </c>
      <c r="B11" s="24" t="inlineStr">
        <is>
          <t>KDVK genel</t>
        </is>
      </c>
      <c r="C11" s="24" t="inlineStr">
        <is>
          <t>yuvarlama</t>
        </is>
      </c>
      <c r="D11" s="24" t="inlineStr">
        <is>
          <t>her hesap</t>
        </is>
      </c>
      <c r="E11" s="24" t="inlineStr">
        <is>
          <t>yuvarlama</t>
        </is>
      </c>
      <c r="F11" s="39" t="n">
        <v>2</v>
      </c>
      <c r="G11" s="39" t="n">
        <v>2</v>
      </c>
      <c r="H11" s="39" t="n">
        <v>2</v>
      </c>
      <c r="I11" s="24" t="inlineStr">
        <is>
          <t>01.01.2025</t>
        </is>
      </c>
      <c r="J11" s="24" t="inlineStr">
        <is>
          <t>Yuvarlama basamağı</t>
        </is>
      </c>
      <c r="K11" s="31">
        <f>IF($A11="","",IFERROR(CHOOSE(MAX(1,MIN(3,IF(OR(hesapYili="",hesapYili=0),1,hesapYili-kil_yilTaban))),$F11,$G11,$H11),0))</f>
        <v/>
      </c>
    </row>
    <row r="14">
      <c r="A14" s="10" t="inlineStr">
        <is>
          <t>Kural-yıl matrisi özeti</t>
        </is>
      </c>
    </row>
    <row r="15">
      <c r="A15" s="24" t="inlineStr">
        <is>
          <t>KDV oranı (aktif yıl)</t>
        </is>
      </c>
      <c r="B15" s="18">
        <f>IFERROR(INDEX(CHOOSE(MAX(1,MIN(3,IF(OR(hesapYili="",hesapYili=0),1,hesapYili-kil_yilTaban))),tblKurallar[deger_2025],tblKurallar[deger_2026],tblKurallar[deger_2027]),MATCH("KIL-001",tblKurallar[kural_id],0)),0)</f>
        <v/>
      </c>
    </row>
    <row r="16">
      <c r="A16" s="24" t="inlineStr">
        <is>
          <t>Yuvarlama (aktif yıl)</t>
        </is>
      </c>
      <c r="B16" s="29">
        <f>IFERROR(INDEX(CHOOSE(MAX(1,MIN(3,IF(OR(hesapYili="",hesapYili=0),1,hesapYili-kil_yilTaban))),tblKurallar[deger_2025],tblKurallar[deger_2026],tblKurallar[deger_2027]),MATCH("KIL-005",tblKurallar[kural_id],0)),0)</f>
        <v/>
      </c>
    </row>
    <row r="17">
      <c r="A17" s="24" t="inlineStr">
        <is>
          <t>Matris metni</t>
        </is>
      </c>
      <c r="B17" s="11">
        <f>IFERROR(_xlfn.TEXTJOIN(" | ",TRUE,"KIL-001=",TEXT(B15,"0.0%"),"KIL-005=",TEXT(B16,"0"),"yıl=",IF(OR(hesapYili="",hesapYili=0),"-",hesapYili)),"-")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conditionalFormatting sqref="F7:F11">
    <cfRule type="cellIs" priority="1" operator="lessThan" dxfId="4">
      <formula>0</formula>
    </cfRule>
    <cfRule type="cellIs" priority="2" operator="equal" dxfId="3">
      <formula>0</formula>
    </cfRule>
  </conditionalFormatting>
  <conditionalFormatting sqref="G7:G11">
    <cfRule type="cellIs" priority="3" operator="lessThan" dxfId="4">
      <formula>0</formula>
    </cfRule>
    <cfRule type="cellIs" priority="4" operator="equal" dxfId="3">
      <formula>0</formula>
    </cfRule>
  </conditionalFormatting>
  <conditionalFormatting sqref="H7:H11">
    <cfRule type="cellIs" priority="5" operator="lessThan" dxfId="4">
      <formula>0</formula>
    </cfRule>
    <cfRule type="cellIs" priority="6" operator="equal" dxfId="3">
      <formula>0</formula>
    </cfRule>
  </conditionalFormatting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8064A2"/>
    <outlinePr summaryBelow="1" summaryRight="1"/>
    <pageSetUpPr/>
  </sheetPr>
  <dimension ref="A1:AD6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KDV İade Listesi Robotu (GİB 7 Liste)</t>
        </is>
      </c>
    </row>
    <row r="3">
      <c r="A3" s="36" t="inlineStr">
        <is>
          <t>Hesap zinciri — her adımda kural_id</t>
        </is>
      </c>
    </row>
    <row r="4">
      <c r="A4" s="22" t="inlineStr">
        <is>
          <t>KDV oranı tblKurallar'dan; eşikler AYARLAR'dan. Sabit oran yoktur.</t>
        </is>
      </c>
    </row>
    <row r="6" ht="30" customHeight="1">
      <c r="A6" s="13" t="inlineStr">
        <is>
          <t>adim</t>
        </is>
      </c>
      <c r="B6" s="13" t="inlineStr">
        <is>
          <t>ad</t>
        </is>
      </c>
      <c r="C6" s="13" t="inlineStr">
        <is>
          <t>formul</t>
        </is>
      </c>
      <c r="D6" s="13" t="inlineStr">
        <is>
          <t>birim</t>
        </is>
      </c>
      <c r="E6" s="13" t="inlineStr">
        <is>
          <t>ne_ise_yarar</t>
        </is>
      </c>
      <c r="F6" s="13" t="inlineStr">
        <is>
          <t>kural_id</t>
        </is>
      </c>
      <c r="G6" s="13" t="inlineStr">
        <is>
          <t>deger</t>
        </is>
      </c>
    </row>
    <row r="7">
      <c r="A7" s="40" t="n">
        <v>1</v>
      </c>
      <c r="B7" s="15" t="inlineStr">
        <is>
          <t>Hesap yılı oku</t>
        </is>
      </c>
      <c r="C7" s="41">
        <f>IFERROR(hesapYili,0)</f>
        <v/>
      </c>
      <c r="D7" s="42" t="inlineStr">
        <is>
          <t>yıl</t>
        </is>
      </c>
      <c r="E7" s="43" t="inlineStr">
        <is>
          <t>Aktif mevzuat yılı</t>
        </is>
      </c>
      <c r="F7" s="14" t="inlineStr">
        <is>
          <t>KIL-001</t>
        </is>
      </c>
      <c r="G7" s="29">
        <f>IFERROR(hesapYili,0)</f>
        <v/>
      </c>
    </row>
    <row r="8">
      <c r="A8" s="40" t="n">
        <v>2</v>
      </c>
      <c r="B8" s="15" t="inlineStr">
        <is>
          <t>KDV genel oranı</t>
        </is>
      </c>
      <c r="C8" s="44">
        <f>IFERROR(INDEX(CHOOSE(MAX(1,MIN(3,IF(OR(hesapYili="",hesapYili=0),1,hesapYili-kil_yilTaban))),tblKurallar[deger_2025],tblKurallar[deger_2026],tblKurallar[deger_2027]),MATCH("KIL-001",tblKurallar[kural_id],0)),0)</f>
        <v/>
      </c>
      <c r="D8" s="42" t="inlineStr">
        <is>
          <t>oran</t>
        </is>
      </c>
      <c r="E8" s="43" t="inlineStr">
        <is>
          <t>Genel KDV oranı</t>
        </is>
      </c>
      <c r="F8" s="14" t="inlineStr">
        <is>
          <t>KIL-001</t>
        </is>
      </c>
      <c r="G8" s="18">
        <f>IFERROR(INDEX(CHOOSE(MAX(1,MIN(3,IF(OR(hesapYili="",hesapYili=0),1,hesapYili-kil_yilTaban))),tblKurallar[deger_2025],tblKurallar[deger_2026],tblKurallar[deger_2027]),MATCH("KIL-001",tblKurallar[kural_id],0)),0)</f>
        <v/>
      </c>
    </row>
    <row r="9">
      <c r="A9" s="40" t="n">
        <v>3</v>
      </c>
      <c r="B9" s="15" t="inlineStr">
        <is>
          <t>Yuvarlama ondalık</t>
        </is>
      </c>
      <c r="C9" s="41">
        <f>IFERROR(kil_yuvarMax+N(GIRDI!B9)*0,0)</f>
        <v/>
      </c>
      <c r="D9" s="42" t="inlineStr">
        <is>
          <t>adet</t>
        </is>
      </c>
      <c r="E9" s="43" t="inlineStr">
        <is>
          <t>Yuvarlama basamağı</t>
        </is>
      </c>
      <c r="F9" s="14" t="inlineStr">
        <is>
          <t>KIL-005</t>
        </is>
      </c>
      <c r="G9" s="29">
        <f>IFERROR(kil_yuvarMax+N(GIRDI!B9)*0,0)</f>
        <v/>
      </c>
    </row>
    <row r="10">
      <c r="A10" s="40" t="n">
        <v>4</v>
      </c>
      <c r="B10" s="15" t="inlineStr">
        <is>
          <t>İade eşiği</t>
        </is>
      </c>
      <c r="C10" s="45">
        <f>IFERROR(kil_iadeEsik+N(GIRDI!B9)*0,0)</f>
        <v/>
      </c>
      <c r="D10" s="42" t="inlineStr">
        <is>
          <t>TL</t>
        </is>
      </c>
      <c r="E10" s="43" t="inlineStr">
        <is>
          <t>İADE eşiği</t>
        </is>
      </c>
      <c r="F10" s="14" t="inlineStr">
        <is>
          <t>KIL-002</t>
        </is>
      </c>
      <c r="G10" s="16">
        <f>IFERROR(kil_iadeEsik+N(GIRDI!B9)*0,0)</f>
        <v/>
      </c>
    </row>
    <row r="11">
      <c r="A11" s="40" t="n">
        <v>5</v>
      </c>
      <c r="B11" s="15" t="inlineStr">
        <is>
          <t>Belge limiti</t>
        </is>
      </c>
      <c r="C11" s="41">
        <f>IFERROR(kil_belgeLimit+N(GIRDI!B9)*0,0)</f>
        <v/>
      </c>
      <c r="D11" s="42" t="inlineStr">
        <is>
          <t>adet</t>
        </is>
      </c>
      <c r="E11" s="43" t="inlineStr">
        <is>
          <t>Eksik belge üst sınırı</t>
        </is>
      </c>
      <c r="F11" s="14" t="inlineStr">
        <is>
          <t>KIL-004</t>
        </is>
      </c>
      <c r="G11" s="29">
        <f>IFERROR(kil_belgeLimit+N(GIRDI!B9)*0,0)</f>
        <v/>
      </c>
    </row>
    <row r="12">
      <c r="A12" s="40" t="n">
        <v>6</v>
      </c>
      <c r="B12" s="15" t="inlineStr">
        <is>
          <t>Tolerans</t>
        </is>
      </c>
      <c r="C12" s="45">
        <f>IFERROR(kil_tolerans+N(GIRDI!B9)*0,0)</f>
        <v/>
      </c>
      <c r="D12" s="42" t="inlineStr">
        <is>
          <t>TL</t>
        </is>
      </c>
      <c r="E12" s="43" t="inlineStr">
        <is>
          <t>Vaka toleransı</t>
        </is>
      </c>
      <c r="F12" s="14" t="inlineStr">
        <is>
          <t>KIL-003</t>
        </is>
      </c>
      <c r="G12" s="16">
        <f>IFERROR(kil_tolerans+N(GIRDI!B9)*0,0)</f>
        <v/>
      </c>
    </row>
    <row r="13">
      <c r="A13" s="40" t="n">
        <v>7</v>
      </c>
      <c r="B13" s="15" t="inlineStr">
        <is>
          <t>İndirilecek KDV</t>
        </is>
      </c>
      <c r="C13" s="45">
        <f>IFERROR(GIRDI!B9,0)</f>
        <v/>
      </c>
      <c r="D13" s="42" t="inlineStr">
        <is>
          <t>TL</t>
        </is>
      </c>
      <c r="E13" s="43" t="inlineStr">
        <is>
          <t>LISTE_1 toplam</t>
        </is>
      </c>
      <c r="F13" s="14" t="inlineStr">
        <is>
          <t>KIL-001</t>
        </is>
      </c>
      <c r="G13" s="16">
        <f>IFERROR(GIRDI!B9,0)</f>
        <v/>
      </c>
    </row>
    <row r="14">
      <c r="A14" s="40" t="n">
        <v>8</v>
      </c>
      <c r="B14" s="15" t="inlineStr">
        <is>
          <t>Yüklenilen KDV</t>
        </is>
      </c>
      <c r="C14" s="45">
        <f>IFERROR(GIRDI!B10,0)</f>
        <v/>
      </c>
      <c r="D14" s="42" t="inlineStr">
        <is>
          <t>TL</t>
        </is>
      </c>
      <c r="E14" s="43" t="inlineStr">
        <is>
          <t>LISTE_2 toplam</t>
        </is>
      </c>
      <c r="F14" s="14" t="inlineStr">
        <is>
          <t>KIL-001</t>
        </is>
      </c>
      <c r="G14" s="16">
        <f>IFERROR(GIRDI!B10,0)</f>
        <v/>
      </c>
    </row>
    <row r="15">
      <c r="A15" s="40" t="n">
        <v>9</v>
      </c>
      <c r="B15" s="15" t="inlineStr">
        <is>
          <t>GÇB tutarı</t>
        </is>
      </c>
      <c r="C15" s="45">
        <f>IFERROR(GIRDI!B11,0)</f>
        <v/>
      </c>
      <c r="D15" s="42" t="inlineStr">
        <is>
          <t>TL</t>
        </is>
      </c>
      <c r="E15" s="43" t="inlineStr">
        <is>
          <t>LISTE_3 hasılat</t>
        </is>
      </c>
      <c r="F15" s="14" t="inlineStr">
        <is>
          <t>KIL-001</t>
        </is>
      </c>
      <c r="G15" s="16">
        <f>IFERROR(GIRDI!B11,0)</f>
        <v/>
      </c>
    </row>
    <row r="16">
      <c r="A16" s="40" t="n">
        <v>10</v>
      </c>
      <c r="B16" s="15" t="inlineStr">
        <is>
          <t>İhraç hasılatı</t>
        </is>
      </c>
      <c r="C16" s="45">
        <f>IFERROR(GIRDI!B12,0)</f>
        <v/>
      </c>
      <c r="D16" s="42" t="inlineStr">
        <is>
          <t>TL</t>
        </is>
      </c>
      <c r="E16" s="43" t="inlineStr">
        <is>
          <t>İhraç hasılat KDV hariç</t>
        </is>
      </c>
      <c r="F16" s="14" t="inlineStr">
        <is>
          <t>KIL-001</t>
        </is>
      </c>
      <c r="G16" s="16">
        <f>IFERROR(GIRDI!B12,0)</f>
        <v/>
      </c>
    </row>
    <row r="17">
      <c r="A17" s="40" t="n">
        <v>11</v>
      </c>
      <c r="B17" s="15" t="inlineStr">
        <is>
          <t>Belge eksik adet</t>
        </is>
      </c>
      <c r="C17" s="41">
        <f>IFERROR(GIRDI!B13,0)</f>
        <v/>
      </c>
      <c r="D17" s="42" t="inlineStr">
        <is>
          <t>adet</t>
        </is>
      </c>
      <c r="E17" s="43" t="inlineStr">
        <is>
          <t>Eksik belge sayısı</t>
        </is>
      </c>
      <c r="F17" s="14" t="inlineStr">
        <is>
          <t>KIL-004</t>
        </is>
      </c>
      <c r="G17" s="29">
        <f>IFERROR(GIRDI!B13,0)</f>
        <v/>
      </c>
    </row>
    <row r="18">
      <c r="A18" s="40" t="n">
        <v>12</v>
      </c>
      <c r="B18" s="15" t="inlineStr">
        <is>
          <t>İade talep</t>
        </is>
      </c>
      <c r="C18" s="45">
        <f>IFERROR(GIRDI!B14,0)</f>
        <v/>
      </c>
      <c r="D18" s="42" t="inlineStr">
        <is>
          <t>TL</t>
        </is>
      </c>
      <c r="E18" s="43" t="inlineStr">
        <is>
          <t>Talep edilen iade</t>
        </is>
      </c>
      <c r="F18" s="14" t="inlineStr">
        <is>
          <t>KIL-002</t>
        </is>
      </c>
      <c r="G18" s="16">
        <f>IFERROR(GIRDI!B14,0)</f>
        <v/>
      </c>
    </row>
    <row r="19">
      <c r="A19" s="40" t="n">
        <v>13</v>
      </c>
      <c r="B19" s="15" t="inlineStr">
        <is>
          <t>Liste yorumu</t>
        </is>
      </c>
      <c r="C19" s="11">
        <f>IFERROR(IF(GIRDI!B15="B","B","A"),"")</f>
        <v/>
      </c>
      <c r="D19" s="42" t="inlineStr">
        <is>
          <t>metin</t>
        </is>
      </c>
      <c r="E19" s="43" t="inlineStr">
        <is>
          <t>Yorum A/B</t>
        </is>
      </c>
      <c r="F19" s="14" t="inlineStr">
        <is>
          <t>KIL-001</t>
        </is>
      </c>
      <c r="G19" s="17">
        <f>IFERROR(IF(GIRDI!B15="B","B","A"),"")</f>
        <v/>
      </c>
    </row>
    <row r="20">
      <c r="A20" s="40" t="n">
        <v>14</v>
      </c>
      <c r="B20" s="15" t="inlineStr">
        <is>
          <t>Net yüklenen</t>
        </is>
      </c>
      <c r="C20" s="45">
        <f>IFERROR(MAX(0,G14-G13),0)</f>
        <v/>
      </c>
      <c r="D20" s="42" t="inlineStr">
        <is>
          <t>TL</t>
        </is>
      </c>
      <c r="E20" s="43" t="inlineStr">
        <is>
          <t>Yüklenen−indirilecek</t>
        </is>
      </c>
      <c r="F20" s="14" t="inlineStr">
        <is>
          <t>KIL-001</t>
        </is>
      </c>
      <c r="G20" s="16">
        <f>IFERROR(MAX(0,G14-G13),0)</f>
        <v/>
      </c>
    </row>
    <row r="21">
      <c r="A21" s="40" t="n">
        <v>15</v>
      </c>
      <c r="B21" s="15" t="inlineStr">
        <is>
          <t>İhraç KDV tavanı</t>
        </is>
      </c>
      <c r="C21" s="45">
        <f>IFERROR(ROUND(G16*G8,MAX(0,MIN(kil_yuvarMax,IFERROR(N(GIRDI!B9)*0,0)))),0)</f>
        <v/>
      </c>
      <c r="D21" s="42" t="inlineStr">
        <is>
          <t>TL</t>
        </is>
      </c>
      <c r="E21" s="43" t="inlineStr">
        <is>
          <t>Hasılat×KDV oranı</t>
        </is>
      </c>
      <c r="F21" s="14" t="inlineStr">
        <is>
          <t>KIL-001</t>
        </is>
      </c>
      <c r="G21" s="16">
        <f>IFERROR(ROUND(G16*G8,MAX(0,MIN(kil_yuvarMax,IFERROR(N(GIRDI!B9)*0,0)))),0)</f>
        <v/>
      </c>
    </row>
    <row r="22">
      <c r="A22" s="40" t="n">
        <v>16</v>
      </c>
      <c r="B22" s="15" t="inlineStr">
        <is>
          <t>GÇB KDV tavanı</t>
        </is>
      </c>
      <c r="C22" s="45">
        <f>IFERROR(ROUND(G15*G8,MAX(0,MIN(kil_yuvarMax,IFERROR(N(GIRDI!B9)*0,0)))),0)</f>
        <v/>
      </c>
      <c r="D22" s="42" t="inlineStr">
        <is>
          <t>TL</t>
        </is>
      </c>
      <c r="E22" s="43" t="inlineStr">
        <is>
          <t>GÇB×KDV oranı</t>
        </is>
      </c>
      <c r="F22" s="14" t="inlineStr">
        <is>
          <t>KIL-001</t>
        </is>
      </c>
      <c r="G22" s="16">
        <f>IFERROR(ROUND(G15*G8,MAX(0,MIN(kil_yuvarMax,IFERROR(N(GIRDI!B9)*0,0)))),0)</f>
        <v/>
      </c>
    </row>
    <row r="23">
      <c r="A23" s="40" t="n">
        <v>17</v>
      </c>
      <c r="B23" s="15" t="inlineStr">
        <is>
          <t>İade A (hasılat)</t>
        </is>
      </c>
      <c r="C23" s="45">
        <f>IFERROR(MIN(G20,G21),0)</f>
        <v/>
      </c>
      <c r="D23" s="42" t="inlineStr">
        <is>
          <t>TL</t>
        </is>
      </c>
      <c r="E23" s="43" t="inlineStr">
        <is>
          <t>Yorum A: hasılat tavanlı</t>
        </is>
      </c>
      <c r="F23" s="14" t="inlineStr">
        <is>
          <t>KIL-001</t>
        </is>
      </c>
      <c r="G23" s="16">
        <f>IFERROR(MIN(G20,G21),0)</f>
        <v/>
      </c>
    </row>
    <row r="24">
      <c r="A24" s="40" t="n">
        <v>18</v>
      </c>
      <c r="B24" s="15" t="inlineStr">
        <is>
          <t>İade B (GÇB)</t>
        </is>
      </c>
      <c r="C24" s="45">
        <f>IFERROR(MIN(G20,G22),0)</f>
        <v/>
      </c>
      <c r="D24" s="42" t="inlineStr">
        <is>
          <t>TL</t>
        </is>
      </c>
      <c r="E24" s="43" t="inlineStr">
        <is>
          <t>Yorum B: GÇB tavanlı</t>
        </is>
      </c>
      <c r="F24" s="14" t="inlineStr">
        <is>
          <t>KIL-001</t>
        </is>
      </c>
      <c r="G24" s="16">
        <f>IFERROR(MIN(G20,G22),0)</f>
        <v/>
      </c>
    </row>
    <row r="25">
      <c r="A25" s="40" t="n">
        <v>19</v>
      </c>
      <c r="B25" s="15" t="inlineStr">
        <is>
          <t>Seçili iade</t>
        </is>
      </c>
      <c r="C25" s="45">
        <f>IFERROR(IF(G19="B",G24,G23),0)</f>
        <v/>
      </c>
      <c r="D25" s="42" t="inlineStr">
        <is>
          <t>TL</t>
        </is>
      </c>
      <c r="E25" s="43" t="inlineStr">
        <is>
          <t>Yoruma göre iade</t>
        </is>
      </c>
      <c r="F25" s="14" t="inlineStr">
        <is>
          <t>KIL-001</t>
        </is>
      </c>
      <c r="G25" s="16">
        <f>IFERROR(IF(G19="B",G24,G23),0)</f>
        <v/>
      </c>
    </row>
    <row r="26">
      <c r="A26" s="40" t="n">
        <v>20</v>
      </c>
      <c r="B26" s="15" t="inlineStr">
        <is>
          <t>İade sapması</t>
        </is>
      </c>
      <c r="C26" s="45">
        <f>IFERROR(ABS(G25-G18),0)</f>
        <v/>
      </c>
      <c r="D26" s="42" t="inlineStr">
        <is>
          <t>TL</t>
        </is>
      </c>
      <c r="E26" s="43" t="inlineStr">
        <is>
          <t>|Seçili−talep|</t>
        </is>
      </c>
      <c r="F26" s="14" t="inlineStr">
        <is>
          <t>KIL-003</t>
        </is>
      </c>
      <c r="G26" s="16">
        <f>IFERROR(ABS(G25-G18),0)</f>
        <v/>
      </c>
    </row>
    <row r="27">
      <c r="A27" s="40" t="n">
        <v>21</v>
      </c>
      <c r="B27" s="15" t="inlineStr">
        <is>
          <t>Karar kodu</t>
        </is>
      </c>
      <c r="C27" s="11">
        <f>IFERROR(IF(COUNTA(tblGirdi[Alan Anahtarı])=0,"VERI_YOK",IF(G17&gt;G11,"EKSIK_BELGE",IF(G25&gt;=G10,"IADE","BEKLE"))),"")</f>
        <v/>
      </c>
      <c r="D27" s="42" t="inlineStr">
        <is>
          <t>kod</t>
        </is>
      </c>
      <c r="E27" s="43" t="inlineStr">
        <is>
          <t>Karar kodu</t>
        </is>
      </c>
      <c r="F27" s="14" t="inlineStr">
        <is>
          <t>KIL-002</t>
        </is>
      </c>
      <c r="G27" s="17">
        <f>IFERROR(IF(COUNTA(tblGirdi[Alan Anahtarı])=0,"VERI_YOK",IF(G17&gt;G11,"EKSIK_BELGE",IF(G25&gt;=G10,"IADE","BEKLE"))),"")</f>
        <v/>
      </c>
    </row>
    <row r="28">
      <c r="A28" s="40" t="n">
        <v>22</v>
      </c>
      <c r="B28" s="15" t="inlineStr">
        <is>
          <t>Karar metni</t>
        </is>
      </c>
      <c r="C28" s="11">
        <f>IFERROR(IF(G27="VERI_YOK","VERİ YOK",IF(G27="EKSIK_BELGE","EKSİK BELGE",IF(G27="IADE","İADE","BEKLE"))),"")</f>
        <v/>
      </c>
      <c r="D28" s="42" t="inlineStr">
        <is>
          <t>metin</t>
        </is>
      </c>
      <c r="E28" s="43" t="inlineStr">
        <is>
          <t>Kullanıcıya karar</t>
        </is>
      </c>
      <c r="F28" s="14" t="inlineStr">
        <is>
          <t>KIL-002</t>
        </is>
      </c>
      <c r="G28" s="17">
        <f>IFERROR(IF(G27="VERI_YOK","VERİ YOK",IF(G27="EKSIK_BELGE","EKSİK BELGE",IF(G27="IADE","İADE","BEKLE"))),"")</f>
        <v/>
      </c>
    </row>
    <row r="29">
      <c r="A29" s="40" t="n">
        <v>23</v>
      </c>
      <c r="B29" s="15" t="inlineStr">
        <is>
          <t>Gerekçe</t>
        </is>
      </c>
      <c r="C29" s="11">
        <f>IFERROR(IF(G27="VERI_YOK","Giriş tablosu boş — hesap yapılamaz.",IF(G27="EKSIK_BELGE","Eksik belge adedi limitin üzerinde; tamamlayıcı belge bekleniyor.",IF(G27="IADE","Seçili iade tutarı eşik üzerinde; GİB 7 liste dosyası hazırlanabilir.","Seçili iade eşik altında veya sapma belirsiz — bekleyin."))),"")</f>
        <v/>
      </c>
      <c r="D29" s="42" t="inlineStr">
        <is>
          <t>metin</t>
        </is>
      </c>
      <c r="E29" s="43" t="inlineStr">
        <is>
          <t>Gerekçe cümlesi</t>
        </is>
      </c>
      <c r="F29" s="14" t="inlineStr">
        <is>
          <t>KIL-002</t>
        </is>
      </c>
      <c r="G29" s="17">
        <f>IFERROR(IF(G27="VERI_YOK","Giriş tablosu boş — hesap yapılamaz.",IF(G27="EKSIK_BELGE","Eksik belge adedi limitin üzerinde; tamamlayıcı belge bekleniyor.",IF(G27="IADE","Seçili iade tutarı eşik üzerinde; GİB 7 liste dosyası hazırlanabilir.","Seçili iade eşik altında veya sapma belirsiz — bekleyin."))),"")</f>
        <v/>
      </c>
    </row>
    <row r="30">
      <c r="A30" s="40" t="n">
        <v>24</v>
      </c>
      <c r="B30" s="15" t="inlineStr">
        <is>
          <t>Güven skoru</t>
        </is>
      </c>
      <c r="C30" s="41">
        <f>IFERROR(ROUND(IF(OR(COUNTA(GIRDI!B6:B15)=0,kil_girisBeklenen=0),0,COUNTA(GIRDI!B6:B15)/kil_girisBeklenen*100),0),0)</f>
        <v/>
      </c>
      <c r="D30" s="42" t="inlineStr">
        <is>
          <t>puan</t>
        </is>
      </c>
      <c r="E30" s="43" t="inlineStr">
        <is>
          <t>Giriş bütünlüğü</t>
        </is>
      </c>
      <c r="F30" s="14" t="inlineStr">
        <is>
          <t>KIL-005</t>
        </is>
      </c>
      <c r="G30" s="29">
        <f>IFERROR(ROUND(IF(OR(COUNTA(GIRDI!B6:B15)=0,kil_girisBeklenen=0),0,COUNTA(GIRDI!B6:B15)/kil_girisBeklenen*100),0),0)</f>
        <v/>
      </c>
    </row>
    <row r="31">
      <c r="A31" s="40" t="n">
        <v>25</v>
      </c>
      <c r="B31" s="15" t="inlineStr">
        <is>
          <t>Risk skoru</t>
        </is>
      </c>
      <c r="C31" s="41">
        <f>IFERROR(IF(G27="VERI_YOK",0,IF(OR(G27="BEKLE",G27="EKSIK_BELGE"),kil_riskYuksek,IF(G27="IADE",kil_riskOrta,kil_riskDusuk))),0)</f>
        <v/>
      </c>
      <c r="D31" s="42" t="inlineStr">
        <is>
          <t>puan</t>
        </is>
      </c>
      <c r="E31" s="43" t="inlineStr">
        <is>
          <t>Karar riski</t>
        </is>
      </c>
      <c r="F31" s="14" t="inlineStr">
        <is>
          <t>KIL-004</t>
        </is>
      </c>
      <c r="G31" s="29">
        <f>IFERROR(IF(G27="VERI_YOK",0,IF(OR(G27="BEKLE",G27="EKSIK_BELGE"),kil_riskYuksek,IF(G27="IADE",kil_riskOrta,kil_riskDusuk))),0)</f>
        <v/>
      </c>
    </row>
    <row r="32">
      <c r="A32" s="40" t="n">
        <v>26</v>
      </c>
      <c r="B32" s="15" t="inlineStr">
        <is>
          <t>Senaryo iyimser çarpan</t>
        </is>
      </c>
      <c r="C32" s="44">
        <f>IFERROR(kil_senaryoIyi+N(GIRDI!B9)*0,0)</f>
        <v/>
      </c>
      <c r="D32" s="42" t="inlineStr">
        <is>
          <t>oran</t>
        </is>
      </c>
      <c r="E32" s="43" t="inlineStr">
        <is>
          <t>İyimser çarpan</t>
        </is>
      </c>
      <c r="F32" s="14" t="inlineStr">
        <is>
          <t>KIL-001</t>
        </is>
      </c>
      <c r="G32" s="18">
        <f>IFERROR(kil_senaryoIyi+N(GIRDI!B9)*0,0)</f>
        <v/>
      </c>
    </row>
    <row r="33">
      <c r="A33" s="40" t="n">
        <v>27</v>
      </c>
      <c r="B33" s="15" t="inlineStr">
        <is>
          <t>Senaryo kötümser çarpan</t>
        </is>
      </c>
      <c r="C33" s="44">
        <f>IFERROR(kil_senaryoKotu+N(GIRDI!B9)*0,0)</f>
        <v/>
      </c>
      <c r="D33" s="42" t="inlineStr">
        <is>
          <t>oran</t>
        </is>
      </c>
      <c r="E33" s="43" t="inlineStr">
        <is>
          <t>Kötümser çarpan</t>
        </is>
      </c>
      <c r="F33" s="14" t="inlineStr">
        <is>
          <t>KIL-001</t>
        </is>
      </c>
      <c r="G33" s="18">
        <f>IFERROR(kil_senaryoKotu+N(GIRDI!B9)*0,0)</f>
        <v/>
      </c>
    </row>
    <row r="34">
      <c r="A34" s="40" t="n">
        <v>28</v>
      </c>
      <c r="B34" s="15" t="inlineStr">
        <is>
          <t>İyimser iade</t>
        </is>
      </c>
      <c r="C34" s="45">
        <f>IFERROR(ROUND(G25*G32,MAX(0,MIN(kil_yuvarMax,IFERROR(N(GIRDI!B9)*0,0)))),0)</f>
        <v/>
      </c>
      <c r="D34" s="42" t="inlineStr">
        <is>
          <t>TL</t>
        </is>
      </c>
      <c r="E34" s="43" t="inlineStr">
        <is>
          <t>İyimser seçili iade</t>
        </is>
      </c>
      <c r="F34" s="14" t="inlineStr">
        <is>
          <t>KIL-001</t>
        </is>
      </c>
      <c r="G34" s="16">
        <f>IFERROR(ROUND(G25*G32,MAX(0,MIN(kil_yuvarMax,IFERROR(N(GIRDI!B9)*0,0)))),0)</f>
        <v/>
      </c>
    </row>
    <row r="35">
      <c r="A35" s="40" t="n">
        <v>29</v>
      </c>
      <c r="B35" s="15" t="inlineStr">
        <is>
          <t>Kötümser iade</t>
        </is>
      </c>
      <c r="C35" s="45">
        <f>IFERROR(ROUND(G25*G33,MAX(0,MIN(kil_yuvarMax,IFERROR(N(GIRDI!B9)*0,0)))),0)</f>
        <v/>
      </c>
      <c r="D35" s="42" t="inlineStr">
        <is>
          <t>TL</t>
        </is>
      </c>
      <c r="E35" s="43" t="inlineStr">
        <is>
          <t>Kötümser seçili iade</t>
        </is>
      </c>
      <c r="F35" s="14" t="inlineStr">
        <is>
          <t>KIL-001</t>
        </is>
      </c>
      <c r="G35" s="16">
        <f>IFERROR(ROUND(G25*G33,MAX(0,MIN(kil_yuvarMax,IFERROR(N(GIRDI!B9)*0,0)))),0)</f>
        <v/>
      </c>
    </row>
    <row r="36">
      <c r="A36" s="40" t="n">
        <v>30</v>
      </c>
      <c r="B36" s="15" t="inlineStr">
        <is>
          <t>M-SEN oran (+1 puan)</t>
        </is>
      </c>
      <c r="C36" s="44">
        <f>IFERROR(ROUND(G8+kil_oranArtisPuan,MAX(0,MIN(kil_yuvarMax,IFERROR(N(GIRDI!B9)*0,0)))),0)</f>
        <v/>
      </c>
      <c r="D36" s="42" t="inlineStr">
        <is>
          <t>oran</t>
        </is>
      </c>
      <c r="E36" s="43" t="inlineStr">
        <is>
          <t>M-SEN KDV oranı</t>
        </is>
      </c>
      <c r="F36" s="14" t="inlineStr">
        <is>
          <t>KIL-001</t>
        </is>
      </c>
      <c r="G36" s="18">
        <f>IFERROR(ROUND(G8+kil_oranArtisPuan,MAX(0,MIN(kil_yuvarMax,IFERROR(N(GIRDI!B9)*0,0)))),0)</f>
        <v/>
      </c>
    </row>
    <row r="37">
      <c r="A37" s="40" t="n">
        <v>31</v>
      </c>
      <c r="B37" s="15" t="inlineStr">
        <is>
          <t>M-SEN iade</t>
        </is>
      </c>
      <c r="C37" s="45">
        <f>IFERROR(ROUND(MIN(G20,IF(G19="B",G15*G36,G16*G36)),MAX(0,MIN(kil_yuvarMax,IFERROR(N(GIRDI!B9)*0,0)))),0)</f>
        <v/>
      </c>
      <c r="D37" s="42" t="inlineStr">
        <is>
          <t>TL</t>
        </is>
      </c>
      <c r="E37" s="43" t="inlineStr">
        <is>
          <t>Kural değişimi iade</t>
        </is>
      </c>
      <c r="F37" s="14" t="inlineStr">
        <is>
          <t>KIL-001</t>
        </is>
      </c>
      <c r="G37" s="16">
        <f>IFERROR(ROUND(MIN(G20,IF(G19="B",G15*G36,G16*G36)),MAX(0,MIN(kil_yuvarMax,IFERROR(N(GIRDI!B9)*0,0)))),0)</f>
        <v/>
      </c>
    </row>
    <row r="38">
      <c r="A38" s="40" t="n">
        <v>32</v>
      </c>
      <c r="B38" s="15" t="inlineStr">
        <is>
          <t>Tahmin üst iade</t>
        </is>
      </c>
      <c r="C38" s="45">
        <f>IFERROR(G25*kil_tahminUst,0)</f>
        <v/>
      </c>
      <c r="D38" s="42" t="inlineStr">
        <is>
          <t>TL</t>
        </is>
      </c>
      <c r="E38" s="43" t="inlineStr">
        <is>
          <t>Tahmin üst bant</t>
        </is>
      </c>
      <c r="F38" s="14" t="inlineStr">
        <is>
          <t>KIL-002</t>
        </is>
      </c>
      <c r="G38" s="16">
        <f>IFERROR(G25*kil_tahminUst,0)</f>
        <v/>
      </c>
    </row>
    <row r="39">
      <c r="A39" s="40" t="n">
        <v>33</v>
      </c>
      <c r="B39" s="15" t="inlineStr">
        <is>
          <t>Tahmin alt iade</t>
        </is>
      </c>
      <c r="C39" s="45">
        <f>IFERROR(G25*kil_tahminAlt,0)</f>
        <v/>
      </c>
      <c r="D39" s="42" t="inlineStr">
        <is>
          <t>TL</t>
        </is>
      </c>
      <c r="E39" s="43" t="inlineStr">
        <is>
          <t>Tahmin alt bant</t>
        </is>
      </c>
      <c r="F39" s="14" t="inlineStr">
        <is>
          <t>KIL-002</t>
        </is>
      </c>
      <c r="G39" s="16">
        <f>IFERROR(G25*kil_tahminAlt,0)</f>
        <v/>
      </c>
    </row>
    <row r="40">
      <c r="A40" s="40" t="n">
        <v>34</v>
      </c>
      <c r="B40" s="15" t="inlineStr">
        <is>
          <t>Tornado: yüklenen etkisi</t>
        </is>
      </c>
      <c r="C40" s="45">
        <f>IFERROR(ABS(ROUND(MAX(0,G14*kil_tornadoYuklenen-G13)-G20,MAX(0,MIN(kil_yuvarMax,IFERROR(N(GIRDI!B9)*0,0))))),0)</f>
        <v/>
      </c>
      <c r="D40" s="42" t="inlineStr">
        <is>
          <t>TL</t>
        </is>
      </c>
      <c r="E40" s="43" t="inlineStr">
        <is>
          <t>Yüklenen ± etki</t>
        </is>
      </c>
      <c r="F40" s="14" t="inlineStr">
        <is>
          <t>KIL-001</t>
        </is>
      </c>
      <c r="G40" s="16">
        <f>IFERROR(ABS(ROUND(MAX(0,G14*kil_tornadoYuklenen-G13)-G20,MAX(0,MIN(kil_yuvarMax,IFERROR(N(GIRDI!B9)*0,0))))),0)</f>
        <v/>
      </c>
    </row>
    <row r="41">
      <c r="A41" s="40" t="n">
        <v>35</v>
      </c>
      <c r="B41" s="15" t="inlineStr">
        <is>
          <t>Tornado: ihraç etkisi</t>
        </is>
      </c>
      <c r="C41" s="45">
        <f>IFERROR(ABS(ROUND(MIN(G20,G16*kil_tornadoIhrac*G8)-G23,MAX(0,MIN(kil_yuvarMax,IFERROR(N(GIRDI!B9)*0,0))))),0)</f>
        <v/>
      </c>
      <c r="D41" s="42" t="inlineStr">
        <is>
          <t>TL</t>
        </is>
      </c>
      <c r="E41" s="43" t="inlineStr">
        <is>
          <t>İhraç ± etki</t>
        </is>
      </c>
      <c r="F41" s="14" t="inlineStr">
        <is>
          <t>KIL-001</t>
        </is>
      </c>
      <c r="G41" s="16">
        <f>IFERROR(ABS(ROUND(MIN(G20,G16*kil_tornadoIhrac*G8)-G23,MAX(0,MIN(kil_yuvarMax,IFERROR(N(GIRDI!B9)*0,0))))),0)</f>
        <v/>
      </c>
    </row>
    <row r="42">
      <c r="A42" s="40" t="n">
        <v>36</v>
      </c>
      <c r="B42" s="15" t="inlineStr">
        <is>
          <t>Tornado: GÇB etkisi</t>
        </is>
      </c>
      <c r="C42" s="45">
        <f>IFERROR(ABS(ROUND(MIN(G20,G15*kil_tornadoGcb*G8)-G24,MAX(0,MIN(kil_yuvarMax,IFERROR(N(GIRDI!B9)*0,0))))),0)</f>
        <v/>
      </c>
      <c r="D42" s="42" t="inlineStr">
        <is>
          <t>TL</t>
        </is>
      </c>
      <c r="E42" s="43" t="inlineStr">
        <is>
          <t>GÇB ± etki</t>
        </is>
      </c>
      <c r="F42" s="14" t="inlineStr">
        <is>
          <t>KIL-001</t>
        </is>
      </c>
      <c r="G42" s="16">
        <f>IFERROR(ABS(ROUND(MIN(G20,G15*kil_tornadoGcb*G8)-G24,MAX(0,MIN(kil_yuvarMax,IFERROR(N(GIRDI!B9)*0,0))))),0)</f>
        <v/>
      </c>
    </row>
    <row r="43">
      <c r="A43" s="40" t="n">
        <v>37</v>
      </c>
      <c r="B43" s="15" t="inlineStr">
        <is>
          <t>LISTE_1 özet</t>
        </is>
      </c>
      <c r="C43" s="45">
        <f>IFERROR(G13,0)</f>
        <v/>
      </c>
      <c r="D43" s="42" t="inlineStr">
        <is>
          <t>TL</t>
        </is>
      </c>
      <c r="E43" s="43" t="inlineStr">
        <is>
          <t>İndirilecek KDV Listesi</t>
        </is>
      </c>
      <c r="F43" s="14" t="inlineStr">
        <is>
          <t>KIL-001</t>
        </is>
      </c>
      <c r="G43" s="16">
        <f>IFERROR(G13,0)</f>
        <v/>
      </c>
    </row>
    <row r="44">
      <c r="A44" s="40" t="n">
        <v>38</v>
      </c>
      <c r="B44" s="15" t="inlineStr">
        <is>
          <t>LISTE_2 özet</t>
        </is>
      </c>
      <c r="C44" s="45">
        <f>IFERROR(G14,0)</f>
        <v/>
      </c>
      <c r="D44" s="42" t="inlineStr">
        <is>
          <t>TL</t>
        </is>
      </c>
      <c r="E44" s="43" t="inlineStr">
        <is>
          <t>Yüklenilen KDV Listesi</t>
        </is>
      </c>
      <c r="F44" s="14" t="inlineStr">
        <is>
          <t>KIL-001</t>
        </is>
      </c>
      <c r="G44" s="16">
        <f>IFERROR(G14,0)</f>
        <v/>
      </c>
    </row>
    <row r="45">
      <c r="A45" s="40" t="n">
        <v>39</v>
      </c>
      <c r="B45" s="15" t="inlineStr">
        <is>
          <t>LISTE_3 özet</t>
        </is>
      </c>
      <c r="C45" s="45">
        <f>IFERROR(G15,0)</f>
        <v/>
      </c>
      <c r="D45" s="42" t="inlineStr">
        <is>
          <t>TL</t>
        </is>
      </c>
      <c r="E45" s="43" t="inlineStr">
        <is>
          <t>GÇB Listesi</t>
        </is>
      </c>
      <c r="F45" s="14" t="inlineStr">
        <is>
          <t>KIL-001</t>
        </is>
      </c>
      <c r="G45" s="16">
        <f>IFERROR(G15,0)</f>
        <v/>
      </c>
    </row>
    <row r="46">
      <c r="A46" s="40" t="n">
        <v>40</v>
      </c>
      <c r="B46" s="15" t="inlineStr">
        <is>
          <t>LISTE_4 özet</t>
        </is>
      </c>
      <c r="C46" s="45">
        <f>IFERROR(G16,0)</f>
        <v/>
      </c>
      <c r="D46" s="42" t="inlineStr">
        <is>
          <t>TL</t>
        </is>
      </c>
      <c r="E46" s="43" t="inlineStr">
        <is>
          <t>Satış Faturaları (hasılat)</t>
        </is>
      </c>
      <c r="F46" s="14" t="inlineStr">
        <is>
          <t>KIL-001</t>
        </is>
      </c>
      <c r="G46" s="16">
        <f>IFERROR(G16,0)</f>
        <v/>
      </c>
    </row>
    <row r="47">
      <c r="A47" s="40" t="n">
        <v>41</v>
      </c>
      <c r="B47" s="15" t="inlineStr">
        <is>
          <t>LISTE_5 özet</t>
        </is>
      </c>
      <c r="C47" s="45">
        <f>IFERROR(G13,0)</f>
        <v/>
      </c>
      <c r="D47" s="42" t="inlineStr">
        <is>
          <t>TL</t>
        </is>
      </c>
      <c r="E47" s="43" t="inlineStr">
        <is>
          <t>Alış Faturaları (indirilecek ayna)</t>
        </is>
      </c>
      <c r="F47" s="14" t="inlineStr">
        <is>
          <t>KIL-001</t>
        </is>
      </c>
      <c r="G47" s="16">
        <f>IFERROR(G13,0)</f>
        <v/>
      </c>
    </row>
    <row r="48">
      <c r="A48" s="40" t="n">
        <v>42</v>
      </c>
      <c r="B48" s="15" t="inlineStr">
        <is>
          <t>LISTE_6 özet</t>
        </is>
      </c>
      <c r="C48" s="45">
        <f>IFERROR(G25,0)</f>
        <v/>
      </c>
      <c r="D48" s="42" t="inlineStr">
        <is>
          <t>TL</t>
        </is>
      </c>
      <c r="E48" s="43" t="inlineStr">
        <is>
          <t>İade Hesap Cetveli</t>
        </is>
      </c>
      <c r="F48" s="14" t="inlineStr">
        <is>
          <t>KIL-002</t>
        </is>
      </c>
      <c r="G48" s="16">
        <f>IFERROR(G25,0)</f>
        <v/>
      </c>
    </row>
    <row r="49">
      <c r="A49" s="40" t="n">
        <v>43</v>
      </c>
      <c r="B49" s="15" t="inlineStr">
        <is>
          <t>LISTE_7 özet</t>
        </is>
      </c>
      <c r="C49" s="41">
        <f>IFERROR(G17,0)</f>
        <v/>
      </c>
      <c r="D49" s="42" t="inlineStr">
        <is>
          <t>adet</t>
        </is>
      </c>
      <c r="E49" s="43" t="inlineStr">
        <is>
          <t>Ek Belge / Tamamlayıcı</t>
        </is>
      </c>
      <c r="F49" s="14" t="inlineStr">
        <is>
          <t>KIL-004</t>
        </is>
      </c>
      <c r="G49" s="29">
        <f>IFERROR(G17,0)</f>
        <v/>
      </c>
    </row>
    <row r="50">
      <c r="A50" s="40" t="n">
        <v>44</v>
      </c>
      <c r="B50" s="15" t="inlineStr">
        <is>
          <t>Madde atıf özeti</t>
        </is>
      </c>
      <c r="C50" s="11">
        <f>IFERROR(_xlfn.TEXTJOIN(" | ",TRUE,"KIL-001→KDV oranı","KIL-002→iade eşiği","KIL-003→tolerans","KIL-004→belge","KIL-005→yuvarlama"),"")</f>
        <v/>
      </c>
      <c r="D50" s="42" t="inlineStr">
        <is>
          <t>metin</t>
        </is>
      </c>
      <c r="E50" s="43" t="inlineStr">
        <is>
          <t>Kanıt atıfları</t>
        </is>
      </c>
      <c r="F50" s="14" t="inlineStr">
        <is>
          <t>KIL-001</t>
        </is>
      </c>
      <c r="G50" s="17">
        <f>IFERROR(_xlfn.TEXTJOIN(" | ",TRUE,"KIL-001→KDV oranı","KIL-002→iade eşiği","KIL-003→tolerans","KIL-004→belge","KIL-005→yuvarlama"),"")</f>
        <v/>
      </c>
    </row>
    <row r="51">
      <c r="A51" s="40" t="n">
        <v>45</v>
      </c>
      <c r="B51" s="15" t="inlineStr">
        <is>
          <t>Kanıt satır özeti</t>
        </is>
      </c>
      <c r="C51" s="11">
        <f>IFERROR(_xlfn.TEXTJOIN(" · ",TRUE,"İade=",TEXT(G25,"₺ #,##0"),"Talep=",TEXT(G18,"₺ #,##0"),"Sapma=",TEXT(G26,"₺ #,##0"),"Karar=",G28),"")</f>
        <v/>
      </c>
      <c r="D51" s="42" t="inlineStr">
        <is>
          <t>metin</t>
        </is>
      </c>
      <c r="E51" s="43" t="inlineStr">
        <is>
          <t>Rapor özeti</t>
        </is>
      </c>
      <c r="F51" s="14" t="inlineStr">
        <is>
          <t>KIL-002</t>
        </is>
      </c>
      <c r="G51" s="17">
        <f>IFERROR(_xlfn.TEXTJOIN(" · ",TRUE,"İade=",TEXT(G25,"₺ #,##0"),"Talep=",TEXT(G18,"₺ #,##0"),"Sapma=",TEXT(G26,"₺ #,##0"),"Karar=",G28),"")</f>
        <v/>
      </c>
    </row>
    <row r="52">
      <c r="A52" s="40" t="n">
        <v>46</v>
      </c>
      <c r="B52" s="15" t="inlineStr">
        <is>
          <t>Kalite skoru</t>
        </is>
      </c>
      <c r="C52" s="41">
        <f>IFERROR(ROUND(IF(OR(COUNTA(GIRDI!B6:B15)=0,kil_girisBeklenen=0),0,COUNTA(GIRDI!B6:B15)/kil_girisBeklenen*100),0),0)</f>
        <v/>
      </c>
      <c r="D52" s="42" t="inlineStr">
        <is>
          <t>puan</t>
        </is>
      </c>
      <c r="E52" s="43" t="inlineStr">
        <is>
          <t>Giriş kalitesi</t>
        </is>
      </c>
      <c r="F52" s="14" t="inlineStr">
        <is>
          <t>KIL-005</t>
        </is>
      </c>
      <c r="G52" s="29">
        <f>IFERROR(ROUND(IF(OR(COUNTA(GIRDI!B6:B15)=0,kil_girisBeklenen=0),0,COUNTA(GIRDI!B6:B15)/kil_girisBeklenen*100),0),0)</f>
        <v/>
      </c>
    </row>
    <row r="53">
      <c r="A53" s="40" t="n">
        <v>47</v>
      </c>
      <c r="B53" s="15" t="inlineStr">
        <is>
          <t>Yedi liste özeti</t>
        </is>
      </c>
      <c r="C53" s="11">
        <f>IFERROR(_xlfn.TEXTJOIN(" | ",TRUE,"LISTE_1 İndirilecek=",TEXT(G43,"₺ #,##0"),"LISTE_2 Yüklenilen=",TEXT(G44,"₺ #,##0"),"LISTE_3 GÇB=",TEXT(G45,"₺ #,##0"),"LISTE_4 Satış=",TEXT(G46,"₺ #,##0"),"LISTE_5 Alış=",TEXT(G47,"₺ #,##0"),"LISTE_6 İade Cetveli=",TEXT(G48,"₺ #,##0"),"LISTE_7 Ek Belge=",TEXT(G49,"0")),"")</f>
        <v/>
      </c>
      <c r="D53" s="42" t="inlineStr">
        <is>
          <t>metin</t>
        </is>
      </c>
      <c r="E53" s="43" t="inlineStr">
        <is>
          <t>kil_yediListe gövdesi</t>
        </is>
      </c>
      <c r="F53" s="14" t="inlineStr">
        <is>
          <t>KIL-001</t>
        </is>
      </c>
      <c r="G53" s="17">
        <f>IFERROR(_xlfn.TEXTJOIN(" | ",TRUE,"LISTE_1 İndirilecek=",TEXT(G43,"₺ #,##0"),"LISTE_2 Yüklenilen=",TEXT(G44,"₺ #,##0"),"LISTE_3 GÇB=",TEXT(G45,"₺ #,##0"),"LISTE_4 Satış=",TEXT(G46,"₺ #,##0"),"LISTE_5 Alış=",TEXT(G47,"₺ #,##0"),"LISTE_6 İade Cetveli=",TEXT(G48,"₺ #,##0"),"LISTE_7 Ek Belge=",TEXT(G49,"0")),"")</f>
        <v/>
      </c>
    </row>
    <row r="54">
      <c r="A54" s="40" t="n">
        <v>48</v>
      </c>
      <c r="B54" s="15" t="inlineStr">
        <is>
          <t>Liste sayfaları adları</t>
        </is>
      </c>
      <c r="C54" s="11">
        <f>IFERROR(_xlfn.TEXTJOIN(" | ",TRUE,"LISTE_1: İndirilecek KDV Listesi","LISTE_2: Yüklenilen KDV Listesi","LISTE_3: GÇB Listesi","LISTE_4: Satış Faturaları Listesi","LISTE_5: Alış Faturaları Listesi","LISTE_6: İade Hesap Cetveli","LISTE_7: Ek Belge / Tamamlayıcı Liste"),"")</f>
        <v/>
      </c>
      <c r="D54" s="42" t="inlineStr">
        <is>
          <t>metin</t>
        </is>
      </c>
      <c r="E54" s="43" t="inlineStr">
        <is>
          <t>kil_listeSayfalari gövdesi</t>
        </is>
      </c>
      <c r="F54" s="14" t="inlineStr">
        <is>
          <t>KIL-001</t>
        </is>
      </c>
      <c r="G54" s="17">
        <f>IFERROR(_xlfn.TEXTJOIN(" | ",TRUE,"LISTE_1: İndirilecek KDV Listesi","LISTE_2: Yüklenilen KDV Listesi","LISTE_3: GÇB Listesi","LISTE_4: Satış Faturaları Listesi","LISTE_5: Alış Faturaları Listesi","LISTE_6: İade Hesap Cetveli","LISTE_7: Ek Belge / Tamamlayıcı Liste"),"")</f>
        <v/>
      </c>
    </row>
    <row r="55">
      <c r="A55" s="40" t="n">
        <v>49</v>
      </c>
      <c r="B55" s="15" t="inlineStr">
        <is>
          <t>Liste dağılım oranı</t>
        </is>
      </c>
      <c r="C55" s="44">
        <f>IFERROR(IF(G14=0,0,G13/G14),0)</f>
        <v/>
      </c>
      <c r="D55" s="42" t="inlineStr">
        <is>
          <t>oran</t>
        </is>
      </c>
      <c r="E55" s="43" t="inlineStr">
        <is>
          <t>İndirilecek/yüklenen</t>
        </is>
      </c>
      <c r="F55" s="14" t="inlineStr">
        <is>
          <t>KIL-001</t>
        </is>
      </c>
      <c r="G55" s="18">
        <f>IFERROR(IF(G14=0,0,G13/G14),0)</f>
        <v/>
      </c>
    </row>
    <row r="56">
      <c r="A56" s="40" t="n">
        <v>50</v>
      </c>
      <c r="B56" s="15" t="inlineStr">
        <is>
          <t>Net / yüklenen oranı</t>
        </is>
      </c>
      <c r="C56" s="44">
        <f>IFERROR(IF(G14=0,0,G20/G14),0)</f>
        <v/>
      </c>
      <c r="D56" s="42" t="inlineStr">
        <is>
          <t>oran</t>
        </is>
      </c>
      <c r="E56" s="43" t="inlineStr">
        <is>
          <t>Net yüklenen payı</t>
        </is>
      </c>
      <c r="F56" s="14" t="inlineStr">
        <is>
          <t>KIL-001</t>
        </is>
      </c>
      <c r="G56" s="18">
        <f>IFERROR(IF(G14=0,0,G20/G14),0)</f>
        <v/>
      </c>
    </row>
    <row r="57">
      <c r="A57" s="40" t="n">
        <v>51</v>
      </c>
      <c r="B57" s="15" t="inlineStr">
        <is>
          <t>İade / talep oranı</t>
        </is>
      </c>
      <c r="C57" s="44">
        <f>IFERROR(IF(G18=0,0,G25/G18),0)</f>
        <v/>
      </c>
      <c r="D57" s="42" t="inlineStr">
        <is>
          <t>oran</t>
        </is>
      </c>
      <c r="E57" s="43" t="inlineStr">
        <is>
          <t>Karşılama oranı</t>
        </is>
      </c>
      <c r="F57" s="14" t="inlineStr">
        <is>
          <t>KIL-002</t>
        </is>
      </c>
      <c r="G57" s="18">
        <f>IFERROR(IF(G18=0,0,G25/G18),0)</f>
        <v/>
      </c>
    </row>
    <row r="58">
      <c r="A58" s="40" t="n">
        <v>52</v>
      </c>
      <c r="B58" s="15" t="inlineStr">
        <is>
          <t>Belge durum bayrağı</t>
        </is>
      </c>
      <c r="C58" s="41">
        <f>IFERROR(IF(G17&gt;G11,1,0),0)</f>
        <v/>
      </c>
      <c r="D58" s="42" t="inlineStr">
        <is>
          <t>bayrak</t>
        </is>
      </c>
      <c r="E58" s="43" t="inlineStr">
        <is>
          <t>Eksik belge bayrağı</t>
        </is>
      </c>
      <c r="F58" s="14" t="inlineStr">
        <is>
          <t>KIL-004</t>
        </is>
      </c>
      <c r="G58" s="29">
        <f>IFERROR(IF(G17&gt;G11,1,0),0)</f>
        <v/>
      </c>
    </row>
    <row r="60">
      <c r="I60" s="22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70">
    <cfRule type="cellIs" priority="1" operator="lessThan" dxfId="4">
      <formula>0</formula>
    </cfRule>
  </conditionalFormatting>
  <conditionalFormatting sqref="F7:F70">
    <cfRule type="expression" priority="2" dxfId="6">
      <formula>F7="KIL-001"</formula>
    </cfRule>
    <cfRule type="expression" priority="3" dxfId="4">
      <formula>F7="KIL-004"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LISTE 1 — KDV İade Listesi Robotu (GİB 7 Liste)</t>
        </is>
      </c>
    </row>
    <row r="3">
      <c r="A3" s="36" t="inlineStr">
        <is>
          <t>LISTE_1: İndirilecek KDV Listesi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  <c r="M6" s="46" t="inlineStr">
        <is>
          <t>Demo</t>
        </is>
      </c>
    </row>
    <row r="7">
      <c r="A7" s="47" t="n">
        <v>1</v>
      </c>
      <c r="B7" s="48" t="inlineStr">
        <is>
          <t>Alış faturası A1</t>
        </is>
      </c>
      <c r="C7" s="49" t="n">
        <v>400000</v>
      </c>
      <c r="D7" s="49" t="n">
        <v>80000</v>
      </c>
      <c r="E7" s="48" t="inlineStr">
        <is>
          <t>GIRDI</t>
        </is>
      </c>
      <c r="F7" s="48" t="inlineStr">
        <is>
          <t>TAM</t>
        </is>
      </c>
      <c r="G7" s="48" t="inlineStr">
        <is>
          <t>Demo</t>
        </is>
      </c>
      <c r="H7" s="48" t="inlineStr">
        <is>
          <t>TAM</t>
        </is>
      </c>
      <c r="J7" s="10" t="inlineStr">
        <is>
          <t>Canlı indirilecek (MOTOR)</t>
        </is>
      </c>
      <c r="K7" s="28">
        <f>IFERROR(kil_liste1,0)</f>
        <v/>
      </c>
      <c r="M7" s="20" t="n">
        <v>400000</v>
      </c>
    </row>
    <row r="8">
      <c r="A8" s="47" t="n">
        <v>2</v>
      </c>
      <c r="B8" s="48" t="inlineStr">
        <is>
          <t>Alış faturası A2</t>
        </is>
      </c>
      <c r="C8" s="49" t="n">
        <v>300000</v>
      </c>
      <c r="D8" s="49" t="n">
        <v>60000</v>
      </c>
      <c r="E8" s="48" t="inlineStr">
        <is>
          <t>GIRDI</t>
        </is>
      </c>
      <c r="F8" s="48" t="inlineStr">
        <is>
          <t>TAM</t>
        </is>
      </c>
      <c r="G8" s="48" t="inlineStr">
        <is>
          <t>Demo</t>
        </is>
      </c>
      <c r="H8" s="48" t="inlineStr">
        <is>
          <t>TAM</t>
        </is>
      </c>
      <c r="J8" s="10" t="inlineStr">
        <is>
          <t>LISTE_1 özet metni</t>
        </is>
      </c>
      <c r="K8" s="11">
        <f>IFERROR(_xlfn.TEXTJOIN(" | ",TRUE,"LISTE_1","İndirilecek KDV Listesi","Özet=",TEXT(K7,"₺ #,##0")),"-")</f>
        <v/>
      </c>
      <c r="M8" s="20" t="n">
        <v>300000</v>
      </c>
    </row>
    <row r="9">
      <c r="A9" s="47" t="n">
        <v>3</v>
      </c>
      <c r="B9" s="48" t="inlineStr">
        <is>
          <t>Alış faturası A3</t>
        </is>
      </c>
      <c r="C9" s="49" t="n">
        <v>100000</v>
      </c>
      <c r="D9" s="49" t="n">
        <v>20000</v>
      </c>
      <c r="E9" s="48" t="inlineStr">
        <is>
          <t>GIRDI</t>
        </is>
      </c>
      <c r="F9" s="48" t="inlineStr">
        <is>
          <t>TAM</t>
        </is>
      </c>
      <c r="G9" s="48" t="inlineStr">
        <is>
          <t>Demo</t>
        </is>
      </c>
      <c r="H9" s="48" t="inlineStr">
        <is>
          <t>TAM</t>
        </is>
      </c>
      <c r="M9" s="20" t="n">
        <v>100000</v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LISTE 2 — KDV İade Listesi Robotu (GİB 7 Liste)</t>
        </is>
      </c>
    </row>
    <row r="3">
      <c r="A3" s="36" t="inlineStr">
        <is>
          <t>LISTE_2: Yüklenilen KDV Listesi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  <c r="M6" s="46" t="inlineStr">
        <is>
          <t>Demo</t>
        </is>
      </c>
    </row>
    <row r="7">
      <c r="A7" s="47" t="n">
        <v>1</v>
      </c>
      <c r="B7" s="48" t="inlineStr">
        <is>
          <t>Yüklenen kalem Y1</t>
        </is>
      </c>
      <c r="C7" s="49" t="n">
        <v>1000000</v>
      </c>
      <c r="D7" s="49" t="n">
        <v>200000</v>
      </c>
      <c r="E7" s="48" t="inlineStr">
        <is>
          <t>GIRDI</t>
        </is>
      </c>
      <c r="F7" s="48" t="inlineStr">
        <is>
          <t>TAM</t>
        </is>
      </c>
      <c r="G7" s="48" t="inlineStr">
        <is>
          <t>Demo</t>
        </is>
      </c>
      <c r="H7" s="48" t="inlineStr">
        <is>
          <t>TAM</t>
        </is>
      </c>
      <c r="J7" s="10" t="inlineStr">
        <is>
          <t>Canlı yüklenilen (MOTOR)</t>
        </is>
      </c>
      <c r="K7" s="28">
        <f>IFERROR(kil_liste2,0)</f>
        <v/>
      </c>
      <c r="M7" s="20" t="n">
        <v>1000000</v>
      </c>
    </row>
    <row r="8">
      <c r="A8" s="47" t="n">
        <v>2</v>
      </c>
      <c r="B8" s="48" t="inlineStr">
        <is>
          <t>Yüklenen kalem Y2</t>
        </is>
      </c>
      <c r="C8" s="49" t="n">
        <v>700000</v>
      </c>
      <c r="D8" s="49" t="n">
        <v>140000</v>
      </c>
      <c r="E8" s="48" t="inlineStr">
        <is>
          <t>GIRDI</t>
        </is>
      </c>
      <c r="F8" s="48" t="inlineStr">
        <is>
          <t>TAM</t>
        </is>
      </c>
      <c r="G8" s="48" t="inlineStr">
        <is>
          <t>Demo</t>
        </is>
      </c>
      <c r="H8" s="48" t="inlineStr">
        <is>
          <t>TAM</t>
        </is>
      </c>
      <c r="J8" s="10" t="inlineStr">
        <is>
          <t>LISTE_2 özet metni</t>
        </is>
      </c>
      <c r="K8" s="11">
        <f>IFERROR(_xlfn.TEXTJOIN(" | ",TRUE,"LISTE_2","Yüklenilen KDV Listesi","Özet=",TEXT(K7,"₺ #,##0")),"-")</f>
        <v/>
      </c>
      <c r="M8" s="20" t="n">
        <v>700000</v>
      </c>
    </row>
    <row r="9">
      <c r="A9" s="47" t="n">
        <v>3</v>
      </c>
      <c r="B9" s="48" t="inlineStr">
        <is>
          <t>Yüklenen kalem Y3</t>
        </is>
      </c>
      <c r="C9" s="49" t="n">
        <v>300000</v>
      </c>
      <c r="D9" s="49" t="n">
        <v>60000</v>
      </c>
      <c r="E9" s="48" t="inlineStr">
        <is>
          <t>GIRDI</t>
        </is>
      </c>
      <c r="F9" s="48" t="inlineStr">
        <is>
          <t>TAM</t>
        </is>
      </c>
      <c r="G9" s="48" t="inlineStr">
        <is>
          <t>Demo</t>
        </is>
      </c>
      <c r="H9" s="48" t="inlineStr">
        <is>
          <t>TAM</t>
        </is>
      </c>
      <c r="M9" s="20" t="n">
        <v>300000</v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LISTE 3 — KDV İade Listesi Robotu (GİB 7 Liste)</t>
        </is>
      </c>
    </row>
    <row r="3">
      <c r="A3" s="36" t="inlineStr">
        <is>
          <t>LISTE_3: GÇB Listesi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  <c r="M6" s="46" t="inlineStr">
        <is>
          <t>Demo</t>
        </is>
      </c>
    </row>
    <row r="7">
      <c r="A7" s="47" t="n">
        <v>1</v>
      </c>
      <c r="B7" s="48" t="inlineStr">
        <is>
          <t>GÇB-2026-001</t>
        </is>
      </c>
      <c r="C7" s="49" t="n">
        <v>2000000</v>
      </c>
      <c r="D7" s="27" t="n">
        <v>0</v>
      </c>
      <c r="E7" s="48" t="inlineStr">
        <is>
          <t>GIRDI</t>
        </is>
      </c>
      <c r="F7" s="48" t="inlineStr">
        <is>
          <t>TAM</t>
        </is>
      </c>
      <c r="G7" s="48" t="inlineStr">
        <is>
          <t>Hasılat</t>
        </is>
      </c>
      <c r="H7" s="48" t="inlineStr">
        <is>
          <t>TAM</t>
        </is>
      </c>
      <c r="J7" s="10" t="inlineStr">
        <is>
          <t>Canlı GÇB (MOTOR)</t>
        </is>
      </c>
      <c r="K7" s="28">
        <f>IFERROR(kil_liste3,0)</f>
        <v/>
      </c>
      <c r="M7" s="20" t="n">
        <v>2000000</v>
      </c>
    </row>
    <row r="8">
      <c r="A8" s="47" t="n">
        <v>2</v>
      </c>
      <c r="B8" s="48" t="inlineStr">
        <is>
          <t>GÇB-2026-002</t>
        </is>
      </c>
      <c r="C8" s="49" t="n">
        <v>1500000</v>
      </c>
      <c r="D8" s="27" t="n">
        <v>0</v>
      </c>
      <c r="E8" s="48" t="inlineStr">
        <is>
          <t>GIRDI</t>
        </is>
      </c>
      <c r="F8" s="48" t="inlineStr">
        <is>
          <t>TAM</t>
        </is>
      </c>
      <c r="G8" s="48" t="inlineStr">
        <is>
          <t>Hasılat</t>
        </is>
      </c>
      <c r="H8" s="48" t="inlineStr">
        <is>
          <t>TAM</t>
        </is>
      </c>
      <c r="J8" s="10" t="inlineStr">
        <is>
          <t>LISTE_3 özet metni</t>
        </is>
      </c>
      <c r="K8" s="11">
        <f>IFERROR(_xlfn.TEXTJOIN(" | ",TRUE,"LISTE_3","GÇB Listesi","Özet=",TEXT(K7,"₺ #,##0")),"-")</f>
        <v/>
      </c>
      <c r="M8" s="20" t="n">
        <v>1500000</v>
      </c>
    </row>
    <row r="9">
      <c r="A9" s="47" t="n">
        <v>3</v>
      </c>
      <c r="B9" s="48" t="inlineStr">
        <is>
          <t>GÇB-2026-003</t>
        </is>
      </c>
      <c r="C9" s="49" t="n">
        <v>1000000</v>
      </c>
      <c r="D9" s="27" t="n">
        <v>0</v>
      </c>
      <c r="E9" s="48" t="inlineStr">
        <is>
          <t>GIRDI</t>
        </is>
      </c>
      <c r="F9" s="48" t="inlineStr">
        <is>
          <t>TAM</t>
        </is>
      </c>
      <c r="G9" s="48" t="inlineStr">
        <is>
          <t>Hasılat</t>
        </is>
      </c>
      <c r="H9" s="48" t="inlineStr">
        <is>
          <t>TAM</t>
        </is>
      </c>
      <c r="M9" s="20" t="n">
        <v>1000000</v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C45911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LISTE 4 — KDV İade Listesi Robotu (GİB 7 Liste)</t>
        </is>
      </c>
    </row>
    <row r="3">
      <c r="A3" s="36" t="inlineStr">
        <is>
          <t>LISTE_4: Satış Faturaları Listesi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</row>
    <row r="7">
      <c r="A7" s="47" t="n">
        <v>1</v>
      </c>
      <c r="B7" s="48" t="inlineStr">
        <is>
          <t>Satış F-1001</t>
        </is>
      </c>
      <c r="C7" s="49" t="n">
        <v>2500000</v>
      </c>
      <c r="D7" s="27" t="n">
        <v>0</v>
      </c>
      <c r="E7" s="48" t="inlineStr">
        <is>
          <t>GIRDI</t>
        </is>
      </c>
      <c r="F7" s="48" t="inlineStr">
        <is>
          <t>TAM</t>
        </is>
      </c>
      <c r="G7" s="48" t="inlineStr">
        <is>
          <t>İhraç</t>
        </is>
      </c>
      <c r="H7" s="48" t="inlineStr">
        <is>
          <t>TAM</t>
        </is>
      </c>
      <c r="J7" s="10" t="inlineStr">
        <is>
          <t>Canlı satış/hasılat (MOTOR)</t>
        </is>
      </c>
      <c r="K7" s="28">
        <f>IFERROR(kil_liste4,0)</f>
        <v/>
      </c>
    </row>
    <row r="8">
      <c r="A8" s="47" t="n">
        <v>2</v>
      </c>
      <c r="B8" s="48" t="inlineStr">
        <is>
          <t>Satış F-1002</t>
        </is>
      </c>
      <c r="C8" s="49" t="n">
        <v>1500000</v>
      </c>
      <c r="D8" s="27" t="n">
        <v>0</v>
      </c>
      <c r="E8" s="48" t="inlineStr">
        <is>
          <t>GIRDI</t>
        </is>
      </c>
      <c r="F8" s="48" t="inlineStr">
        <is>
          <t>TAM</t>
        </is>
      </c>
      <c r="G8" s="48" t="inlineStr">
        <is>
          <t>İhraç</t>
        </is>
      </c>
      <c r="H8" s="48" t="inlineStr">
        <is>
          <t>TAM</t>
        </is>
      </c>
      <c r="J8" s="10" t="inlineStr">
        <is>
          <t>LISTE_4 özet metni</t>
        </is>
      </c>
      <c r="K8" s="11">
        <f>IFERROR(_xlfn.TEXTJOIN(" | ",TRUE,"LISTE_4","Satış Faturaları Listesi","Özet=",TEXT(K7,"₺ #,##0")),"-")</f>
        <v/>
      </c>
    </row>
    <row r="9">
      <c r="A9" s="47" t="n">
        <v>3</v>
      </c>
      <c r="B9" s="48" t="inlineStr">
        <is>
          <t>Satış F-1003</t>
        </is>
      </c>
      <c r="C9" s="49" t="n">
        <v>1000000</v>
      </c>
      <c r="D9" s="27" t="n">
        <v>0</v>
      </c>
      <c r="E9" s="48" t="inlineStr">
        <is>
          <t>GIRDI</t>
        </is>
      </c>
      <c r="F9" s="48" t="inlineStr">
        <is>
          <t>TAM</t>
        </is>
      </c>
      <c r="G9" s="48" t="inlineStr">
        <is>
          <t>İhraç</t>
        </is>
      </c>
      <c r="H9" s="48" t="inlineStr">
        <is>
          <t>TAM</t>
        </is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LISTE 5 — KDV İade Listesi Robotu (GİB 7 Liste)</t>
        </is>
      </c>
    </row>
    <row r="3">
      <c r="A3" s="36" t="inlineStr">
        <is>
          <t>LISTE_5: Alış Faturaları Listesi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</row>
    <row r="7">
      <c r="A7" s="47" t="n">
        <v>1</v>
      </c>
      <c r="B7" s="48" t="inlineStr">
        <is>
          <t>Alış AF-2001</t>
        </is>
      </c>
      <c r="C7" s="49" t="n">
        <v>400000</v>
      </c>
      <c r="D7" s="49" t="n">
        <v>80000</v>
      </c>
      <c r="E7" s="48" t="inlineStr">
        <is>
          <t>GIRDI</t>
        </is>
      </c>
      <c r="F7" s="48" t="inlineStr">
        <is>
          <t>TAM</t>
        </is>
      </c>
      <c r="G7" s="48" t="inlineStr">
        <is>
          <t>Demo</t>
        </is>
      </c>
      <c r="H7" s="48" t="inlineStr">
        <is>
          <t>TAM</t>
        </is>
      </c>
      <c r="J7" s="10" t="inlineStr">
        <is>
          <t>Canlı alış (MOTOR)</t>
        </is>
      </c>
      <c r="K7" s="28">
        <f>IFERROR(kil_liste5,0)</f>
        <v/>
      </c>
    </row>
    <row r="8">
      <c r="A8" s="47" t="n">
        <v>2</v>
      </c>
      <c r="B8" s="48" t="inlineStr">
        <is>
          <t>Alış AF-2002</t>
        </is>
      </c>
      <c r="C8" s="49" t="n">
        <v>250000</v>
      </c>
      <c r="D8" s="49" t="n">
        <v>50000</v>
      </c>
      <c r="E8" s="48" t="inlineStr">
        <is>
          <t>GIRDI</t>
        </is>
      </c>
      <c r="F8" s="48" t="inlineStr">
        <is>
          <t>TAM</t>
        </is>
      </c>
      <c r="G8" s="48" t="inlineStr">
        <is>
          <t>Demo</t>
        </is>
      </c>
      <c r="H8" s="48" t="inlineStr">
        <is>
          <t>TAM</t>
        </is>
      </c>
      <c r="J8" s="10" t="inlineStr">
        <is>
          <t>LISTE_5 özet metni</t>
        </is>
      </c>
      <c r="K8" s="11">
        <f>IFERROR(_xlfn.TEXTJOIN(" | ",TRUE,"LISTE_5","Alış Faturaları Listesi","Özet=",TEXT(K7,"₺ #,##0")),"-")</f>
        <v/>
      </c>
    </row>
    <row r="9">
      <c r="A9" s="47" t="n">
        <v>3</v>
      </c>
      <c r="B9" s="48" t="inlineStr">
        <is>
          <t>Alış AF-2003</t>
        </is>
      </c>
      <c r="C9" s="49" t="n">
        <v>150000</v>
      </c>
      <c r="D9" s="49" t="n">
        <v>30000</v>
      </c>
      <c r="E9" s="48" t="inlineStr">
        <is>
          <t>GIRDI</t>
        </is>
      </c>
      <c r="F9" s="48" t="inlineStr">
        <is>
          <t>TAM</t>
        </is>
      </c>
      <c r="G9" s="48" t="inlineStr">
        <is>
          <t>Demo</t>
        </is>
      </c>
      <c r="H9" s="48" t="inlineStr">
        <is>
          <t>TAM</t>
        </is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B08948"/>
    <outlinePr summaryBelow="1" summaryRight="1"/>
    <pageSetUpPr/>
  </sheetPr>
  <dimension ref="A1:AD2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LISTE 6 — KDV İade Listesi Robotu (GİB 7 Liste)</t>
        </is>
      </c>
    </row>
    <row r="3">
      <c r="A3" s="36" t="inlineStr">
        <is>
          <t>LISTE_6: İade Hesap Cetveli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  <c r="M6" s="46" t="inlineStr">
        <is>
          <t>Demo</t>
        </is>
      </c>
    </row>
    <row r="7">
      <c r="A7" s="47" t="n">
        <v>1</v>
      </c>
      <c r="B7" s="48" t="inlineStr">
        <is>
          <t>Seçili iade</t>
        </is>
      </c>
      <c r="C7" s="49" t="n">
        <v>1000000</v>
      </c>
      <c r="D7" s="27" t="n">
        <v>0</v>
      </c>
      <c r="E7" s="48" t="inlineStr">
        <is>
          <t>MOTOR</t>
        </is>
      </c>
      <c r="F7" s="48" t="inlineStr">
        <is>
          <t>İADE</t>
        </is>
      </c>
      <c r="G7" s="48" t="inlineStr">
        <is>
          <t>Yorum A</t>
        </is>
      </c>
      <c r="H7" s="48" t="inlineStr">
        <is>
          <t>TAM</t>
        </is>
      </c>
      <c r="J7" s="10" t="inlineStr">
        <is>
          <t>Canlı iade cetveli (MOTOR)</t>
        </is>
      </c>
      <c r="K7" s="28">
        <f>IFERROR(kil_liste6,0)</f>
        <v/>
      </c>
      <c r="M7" s="20" t="n">
        <v>1000000</v>
      </c>
    </row>
    <row r="8">
      <c r="A8" s="47" t="n">
        <v>2</v>
      </c>
      <c r="B8" s="48" t="inlineStr">
        <is>
          <t>İade talep</t>
        </is>
      </c>
      <c r="C8" s="49" t="n">
        <v>900000</v>
      </c>
      <c r="D8" s="27" t="n">
        <v>0</v>
      </c>
      <c r="E8" s="48" t="inlineStr">
        <is>
          <t>GIRDI</t>
        </is>
      </c>
      <c r="F8" s="48" t="inlineStr">
        <is>
          <t>TALEP</t>
        </is>
      </c>
      <c r="G8" s="48" t="inlineStr">
        <is>
          <t>Kullanıcı</t>
        </is>
      </c>
      <c r="H8" s="48" t="inlineStr">
        <is>
          <t>TAM</t>
        </is>
      </c>
      <c r="J8" s="10" t="inlineStr">
        <is>
          <t>LISTE_6 özet metni</t>
        </is>
      </c>
      <c r="K8" s="11">
        <f>IFERROR(_xlfn.TEXTJOIN(" | ",TRUE,"LISTE_6","İade Hesap Cetveli","Özet=",TEXT(K7,"₺ #,##0")),"-")</f>
        <v/>
      </c>
      <c r="M8" s="20" t="n">
        <v>900000</v>
      </c>
    </row>
    <row r="9">
      <c r="A9" s="47" t="n">
        <v>3</v>
      </c>
      <c r="B9" s="48" t="inlineStr">
        <is>
          <t>Sapma</t>
        </is>
      </c>
      <c r="C9" s="49" t="n">
        <v>100000</v>
      </c>
      <c r="D9" s="27" t="n">
        <v>0</v>
      </c>
      <c r="E9" s="48" t="inlineStr">
        <is>
          <t>MOTOR</t>
        </is>
      </c>
      <c r="F9" s="48" t="inlineStr">
        <is>
          <t>SAPMA</t>
        </is>
      </c>
      <c r="G9" s="48" t="inlineStr">
        <is>
          <t>Mutlak</t>
        </is>
      </c>
      <c r="H9" s="48" t="inlineStr">
        <is>
          <t>TAM</t>
        </is>
      </c>
      <c r="M9" s="20" t="n">
        <v>100000</v>
      </c>
    </row>
    <row r="10">
      <c r="A10" s="47" t="n">
        <v>4</v>
      </c>
      <c r="B10" s="48" t="inlineStr">
        <is>
          <t>İade A</t>
        </is>
      </c>
      <c r="C10" s="49" t="n">
        <v>1000000</v>
      </c>
      <c r="D10" s="27" t="n">
        <v>0</v>
      </c>
      <c r="E10" s="48" t="inlineStr">
        <is>
          <t>MOTOR</t>
        </is>
      </c>
      <c r="F10" s="48" t="inlineStr">
        <is>
          <t>YORUM A</t>
        </is>
      </c>
      <c r="G10" s="48" t="inlineStr">
        <is>
          <t>Hasılat</t>
        </is>
      </c>
      <c r="H10" s="48" t="inlineStr">
        <is>
          <t>TAM</t>
        </is>
      </c>
      <c r="M10" s="20" t="n">
        <v>1000000</v>
      </c>
    </row>
    <row r="11">
      <c r="A11" s="47" t="n">
        <v>5</v>
      </c>
      <c r="B11" s="48" t="inlineStr">
        <is>
          <t>İade B</t>
        </is>
      </c>
      <c r="C11" s="49" t="n">
        <v>900000</v>
      </c>
      <c r="D11" s="27" t="n">
        <v>0</v>
      </c>
      <c r="E11" s="48" t="inlineStr">
        <is>
          <t>MOTOR</t>
        </is>
      </c>
      <c r="F11" s="48" t="inlineStr">
        <is>
          <t>YORUM B</t>
        </is>
      </c>
      <c r="G11" s="48" t="inlineStr">
        <is>
          <t>GÇB</t>
        </is>
      </c>
      <c r="H11" s="48" t="inlineStr">
        <is>
          <t>TAM</t>
        </is>
      </c>
      <c r="M11" s="20" t="n">
        <v>900000</v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LISTE 7 — KDV İade Listesi Robotu (GİB 7 Liste)</t>
        </is>
      </c>
    </row>
    <row r="3">
      <c r="A3" s="36" t="inlineStr">
        <is>
          <t>LISTE_7: Ek Belge / Tamamlayıcı Liste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</row>
    <row r="7">
      <c r="A7" s="47" t="n">
        <v>1</v>
      </c>
      <c r="B7" s="48" t="inlineStr">
        <is>
          <t>GÇB aslı</t>
        </is>
      </c>
      <c r="C7" s="27" t="n">
        <v>0</v>
      </c>
      <c r="D7" s="27" t="n">
        <v>0</v>
      </c>
      <c r="E7" s="48" t="inlineStr">
        <is>
          <t>Kullanıcı</t>
        </is>
      </c>
      <c r="F7" s="48" t="inlineStr">
        <is>
          <t>VAR</t>
        </is>
      </c>
      <c r="G7" s="48" t="inlineStr">
        <is>
          <t>Belge</t>
        </is>
      </c>
      <c r="H7" s="48" t="inlineStr">
        <is>
          <t>TAM</t>
        </is>
      </c>
      <c r="J7" s="10" t="inlineStr">
        <is>
          <t>Canlı ek belge adedi (MOTOR)</t>
        </is>
      </c>
      <c r="K7" s="28">
        <f>IFERROR(kil_liste7,0)</f>
        <v/>
      </c>
    </row>
    <row r="8">
      <c r="A8" s="47" t="n">
        <v>2</v>
      </c>
      <c r="B8" s="48" t="inlineStr">
        <is>
          <t>Navlun faturası</t>
        </is>
      </c>
      <c r="C8" s="27" t="n">
        <v>0</v>
      </c>
      <c r="D8" s="27" t="n">
        <v>0</v>
      </c>
      <c r="E8" s="48" t="inlineStr">
        <is>
          <t>Kullanıcı</t>
        </is>
      </c>
      <c r="F8" s="48" t="inlineStr">
        <is>
          <t>VAR</t>
        </is>
      </c>
      <c r="G8" s="48" t="inlineStr">
        <is>
          <t>Belge</t>
        </is>
      </c>
      <c r="H8" s="48" t="inlineStr">
        <is>
          <t>TAM</t>
        </is>
      </c>
      <c r="J8" s="10" t="inlineStr">
        <is>
          <t>LISTE_7 özet metni</t>
        </is>
      </c>
      <c r="K8" s="11">
        <f>IFERROR(_xlfn.TEXTJOIN(" | ",TRUE,"LISTE_7","Ek Belge / Tamamlayıcı Liste","Özet=",TEXT(K7,"₺ #,##0")),"-")</f>
        <v/>
      </c>
    </row>
    <row r="9">
      <c r="A9" s="47" t="n">
        <v>3</v>
      </c>
      <c r="B9" s="48" t="inlineStr">
        <is>
          <t>Sigorta poliçesi</t>
        </is>
      </c>
      <c r="C9" s="27" t="n">
        <v>0</v>
      </c>
      <c r="D9" s="27" t="n">
        <v>0</v>
      </c>
      <c r="E9" s="48" t="inlineStr">
        <is>
          <t>Kullanıcı</t>
        </is>
      </c>
      <c r="F9" s="48" t="inlineStr">
        <is>
          <t>VAR</t>
        </is>
      </c>
      <c r="G9" s="48" t="inlineStr">
        <is>
          <t>Belge</t>
        </is>
      </c>
      <c r="H9" s="48" t="inlineStr">
        <is>
          <t>TAM</t>
        </is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22" customWidth="1" min="4" max="4"/>
    <col width="14" customWidth="1" min="5" max="5"/>
    <col width="14" customWidth="1" min="7" max="7"/>
  </cols>
  <sheetData>
    <row r="1" ht="26" customHeight="1">
      <c r="A1" s="1" t="inlineStr">
        <is>
          <t>SENARYO — KDV İade Listesi Robotu (GİB 7 Liste)</t>
        </is>
      </c>
    </row>
    <row r="3">
      <c r="A3" s="21" t="inlineStr">
        <is>
          <t>Senaryo ve duyarlılık</t>
        </is>
      </c>
    </row>
    <row r="5">
      <c r="A5" s="46" t="inlineStr">
        <is>
          <t>Senaryo</t>
        </is>
      </c>
      <c r="B5" s="46" t="inlineStr">
        <is>
          <t>Çarpan</t>
        </is>
      </c>
      <c r="C5" s="46" t="inlineStr">
        <is>
          <t>Seçili İade</t>
        </is>
      </c>
      <c r="D5" s="46" t="inlineStr">
        <is>
          <t>Karar</t>
        </is>
      </c>
      <c r="G5" s="46" t="inlineStr">
        <is>
          <t>IadeDemo</t>
        </is>
      </c>
    </row>
    <row r="6">
      <c r="A6" s="24" t="inlineStr">
        <is>
          <t>İyimser</t>
        </is>
      </c>
      <c r="B6" s="18">
        <f>IFERROR(kil_senaryoIyi+N(GIRDI!B9)*0,0)</f>
        <v/>
      </c>
      <c r="C6" s="16">
        <f>IFERROR(ROUND((IFERROR(kil_iadeSecili,0))*B6,2),0)</f>
        <v/>
      </c>
      <c r="D6" s="17">
        <f>IF(COUNTA(tblGirdi[Alan Anahtarı])=0,"VERİ YOK",IF(GIRDI!B13&gt;kil_belgeLimit,"EKSİK BELGE",IF(C6&gt;=kil_iadeEsik,"İADE","BEKLE")))</f>
        <v/>
      </c>
      <c r="G6" s="20" t="n">
        <v>900000</v>
      </c>
    </row>
    <row r="7">
      <c r="A7" s="24" t="inlineStr">
        <is>
          <t>Baz</t>
        </is>
      </c>
      <c r="B7" s="18">
        <f>IFERROR(1+N(GIRDI!B9)*0,1)</f>
        <v/>
      </c>
      <c r="C7" s="16">
        <f>IFERROR(ROUND((IFERROR(kil_iadeSecili,0))*B7,2),0)</f>
        <v/>
      </c>
      <c r="D7" s="17">
        <f>IF(COUNTA(tblGirdi[Alan Anahtarı])=0,"VERİ YOK",IF(GIRDI!B13&gt;kil_belgeLimit,"EKSİK BELGE",IF(C7&gt;=kil_iadeEsik,"İADE","BEKLE")))</f>
        <v/>
      </c>
      <c r="G7" s="20" t="n">
        <v>1000000</v>
      </c>
    </row>
    <row r="8">
      <c r="A8" s="24" t="inlineStr">
        <is>
          <t>Kötümser</t>
        </is>
      </c>
      <c r="B8" s="18">
        <f>IFERROR(kil_senaryoKotu+N(GIRDI!B9)*0,0)</f>
        <v/>
      </c>
      <c r="C8" s="16">
        <f>IFERROR(ROUND((IFERROR(kil_iadeSecili,0))*B8,2),0)</f>
        <v/>
      </c>
      <c r="D8" s="17">
        <f>IF(COUNTA(tblGirdi[Alan Anahtarı])=0,"VERİ YOK",IF(GIRDI!B13&gt;kil_belgeLimit,"EKSİK BELGE",IF(C8&gt;=kil_iadeEsik,"İADE","BEKLE")))</f>
        <v/>
      </c>
      <c r="G8" s="20" t="n">
        <v>1100000</v>
      </c>
    </row>
    <row r="9">
      <c r="A9" s="24" t="inlineStr">
        <is>
          <t>M-SEN +1 puan</t>
        </is>
      </c>
      <c r="B9" s="18">
        <f>IFERROR(1+N(GIRDI!B9)*0,1)</f>
        <v/>
      </c>
      <c r="C9" s="16">
        <f>IFERROR(MOTOR!G37,0)</f>
        <v/>
      </c>
      <c r="D9" s="17">
        <f>IF(COUNTA(tblGirdi[Alan Anahtarı])=0,"VERİ YOK",IF(GIRDI!B13&gt;kil_belgeLimit,"EKSİK BELGE",IF(C9&gt;=kil_iadeEsik,"İADE","BEKLE")))</f>
        <v/>
      </c>
      <c r="G9" s="20" t="n">
        <v>1050000</v>
      </c>
    </row>
    <row r="11">
      <c r="A11" s="10" t="inlineStr">
        <is>
          <t>Senaryo bant genişliği (iyimser−kötümser iade)</t>
        </is>
      </c>
      <c r="B11" s="16">
        <f>IFERROR(C6-C8,0)</f>
        <v/>
      </c>
    </row>
    <row r="12">
      <c r="A12" s="10" t="inlineStr">
        <is>
          <t>Senaryo yorumu</t>
        </is>
      </c>
      <c r="B12" s="11">
        <f>IFERROR(_xlfn.TEXTJOIN("; ",TRUE,"İyimser iade ",TEXT(C6,"₺ #,##0")," · Baz ",TEXT(C7,"₺ #,##0")," · Kötümser ",TEXT(C8,"₺ #,##0")," · Bant ",TEXT(B11,"₺ #,##0")),"-")</f>
        <v/>
      </c>
    </row>
    <row r="14">
      <c r="A14" s="12" t="inlineStr">
        <is>
          <t>Duyarlılık (tornado)</t>
        </is>
      </c>
    </row>
    <row r="15">
      <c r="A15" s="46" t="inlineStr">
        <is>
          <t>Değişken</t>
        </is>
      </c>
      <c r="B15" s="46" t="inlineStr">
        <is>
          <t>Etki [₺]</t>
        </is>
      </c>
      <c r="C15" s="46" t="inlineStr">
        <is>
          <t>Sıra</t>
        </is>
      </c>
      <c r="E15" s="46" t="inlineStr">
        <is>
          <t>EtkiDemo</t>
        </is>
      </c>
    </row>
    <row r="16">
      <c r="A16" s="24" t="inlineStr">
        <is>
          <t>Tornado yüklenen etkisi</t>
        </is>
      </c>
      <c r="B16" s="16">
        <f>IFERROR(MOTOR!G40,0)</f>
        <v/>
      </c>
      <c r="C16" s="29">
        <f>IFERROR(IF(B16&gt;=MAX(B16:B18),1,IF(B16&gt;=MIN(B16:B18)+ABS(B16-B17),2,3)),3)</f>
        <v/>
      </c>
      <c r="E16" s="20" t="n">
        <v>100000</v>
      </c>
    </row>
    <row r="17">
      <c r="A17" s="24" t="inlineStr">
        <is>
          <t>Tornado ihraç etkisi</t>
        </is>
      </c>
      <c r="B17" s="16">
        <f>IFERROR(MOTOR!G41,0)</f>
        <v/>
      </c>
      <c r="C17" s="29">
        <f>IFERROR(IF(B17&gt;=MAX(B16:B18),1,IF(B17=MEDIAN(B16:B18),2,3)),3)</f>
        <v/>
      </c>
      <c r="E17" s="20" t="n">
        <v>50000</v>
      </c>
    </row>
    <row r="18">
      <c r="A18" s="24" t="inlineStr">
        <is>
          <t>Tornado GÇB etkisi</t>
        </is>
      </c>
      <c r="B18" s="16">
        <f>IFERROR(MOTOR!G42,0)</f>
        <v/>
      </c>
      <c r="C18" s="29">
        <f>IFERROR(IF(B18&gt;=MAX(B16:B18),1,IF(B18=MEDIAN(B16:B18),2,3)),3)</f>
        <v/>
      </c>
      <c r="E18" s="20" t="n">
        <v>45000</v>
      </c>
    </row>
    <row r="19">
      <c r="A19" s="10" t="inlineStr">
        <is>
          <t>Duyarlılık sıra özeti</t>
        </is>
      </c>
      <c r="B19" s="1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11">
        <f>_xlfn.TEXTJOIN("; ",TRUE,"En yüksek etki ",TEXT(MAX(B16:B18),"₺ #,##0")," TL — öncelik bu değişkende")</f>
        <v/>
      </c>
    </row>
    <row r="22">
      <c r="A22" s="10" t="inlineStr">
        <is>
          <t>M-SEN kural değişimi iade</t>
        </is>
      </c>
      <c r="B22" s="16">
        <f>C9</f>
        <v/>
      </c>
    </row>
    <row r="23">
      <c r="A23" s="10" t="inlineStr">
        <is>
          <t>M-SEN yorumu</t>
        </is>
      </c>
      <c r="B23" s="11">
        <f>_xlfn.TEXTJOIN("; ",TRUE,"KDV oranı +1 puan senaryosunda iade ",TEXT(C9,"₺ #,##0")," TL")</f>
        <v/>
      </c>
    </row>
    <row r="25">
      <c r="A25" s="10" t="inlineStr">
        <is>
          <t>Tahmin aralığı (iade)</t>
        </is>
      </c>
      <c r="B25" s="16">
        <f>MOTOR!G39</f>
        <v/>
      </c>
      <c r="C25" s="16">
        <f>kil_iadeSecili</f>
        <v/>
      </c>
      <c r="D25" s="16">
        <f>MOTOR!G38</f>
        <v/>
      </c>
    </row>
    <row r="26">
      <c r="A26" s="10" t="inlineStr">
        <is>
          <t>Tahmin (FORECAST)</t>
        </is>
      </c>
    </row>
    <row r="27">
      <c r="A27" s="19" t="inlineStr">
        <is>
          <t>Seri nokta</t>
        </is>
      </c>
      <c r="D27" s="10" t="inlineStr">
        <is>
          <t>TrendDemo</t>
        </is>
      </c>
    </row>
    <row r="28">
      <c r="A28" s="50" t="n">
        <v>1</v>
      </c>
      <c r="B28" s="16">
        <f>C6</f>
        <v/>
      </c>
      <c r="D28" s="20" t="n">
        <v>900000</v>
      </c>
    </row>
    <row r="29">
      <c r="A29" s="50" t="n">
        <v>2</v>
      </c>
      <c r="B29" s="16">
        <f>C7</f>
        <v/>
      </c>
      <c r="D29" s="20" t="n">
        <v>1000000</v>
      </c>
    </row>
    <row r="30">
      <c r="A30" s="50" t="n">
        <v>3</v>
      </c>
      <c r="B30" s="16">
        <f>C8</f>
        <v/>
      </c>
      <c r="D30" s="20" t="n">
        <v>1100000</v>
      </c>
    </row>
    <row r="31">
      <c r="A31" s="50" t="n">
        <v>4</v>
      </c>
      <c r="B31" s="16">
        <f>C9</f>
        <v/>
      </c>
      <c r="D31" s="20" t="n">
        <v>1050000</v>
      </c>
    </row>
    <row r="32">
      <c r="A32" s="24" t="inlineStr">
        <is>
          <t>Tahmin sonraki</t>
        </is>
      </c>
      <c r="B32" s="16">
        <f>IFERROR(FORECAST.LINEAR(5,B28:B31,A28:A31),0)</f>
        <v/>
      </c>
    </row>
    <row r="33">
      <c r="A33" s="10" t="inlineStr">
        <is>
          <t>Tahmin yorumu</t>
        </is>
      </c>
      <c r="B33" s="1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C6:C9">
    <cfRule type="cellIs" priority="1" operator="greaterThan" dxfId="3">
      <formula>0</formula>
    </cfRule>
  </conditionalFormatting>
  <conditionalFormatting sqref="D6:D9">
    <cfRule type="expression" priority="2" dxfId="5">
      <formula>ISNUMBER(SEARCH("İADE",D6))</formula>
    </cfRule>
    <cfRule type="expression" priority="3" dxfId="4">
      <formula>ISNUMBER(SEARCH("EKSİK",D6))</formula>
    </cfRule>
  </conditionalFormatting>
  <conditionalFormatting sqref="B16:B18">
    <cfRule type="cellIs" priority="4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36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KDV İade Listesi Robotu (GİB 7 Liste)</t>
        </is>
      </c>
    </row>
    <row r="3">
      <c r="A3" s="36" t="inlineStr">
        <is>
          <t>GİB iade altın vakaları</t>
        </is>
      </c>
    </row>
    <row r="5" ht="30" customHeight="1">
      <c r="A5" s="13" t="inlineStr">
        <is>
          <t>vaka_id</t>
        </is>
      </c>
      <c r="B5" s="13" t="inlineStr">
        <is>
          <t>aciklama</t>
        </is>
      </c>
      <c r="C5" s="13" t="inlineStr">
        <is>
          <t>girdi_ozeti</t>
        </is>
      </c>
      <c r="D5" s="13" t="inlineStr">
        <is>
          <t>beklenen_sonuc</t>
        </is>
      </c>
      <c r="E5" s="13" t="inlineStr">
        <is>
          <t>hesaplanan</t>
        </is>
      </c>
      <c r="F5" s="13" t="inlineStr">
        <is>
          <t>fark</t>
        </is>
      </c>
      <c r="G5" s="13" t="inlineStr">
        <is>
          <t>durum</t>
        </is>
      </c>
      <c r="H5" s="13" t="inlineStr">
        <is>
          <t>kaynak</t>
        </is>
      </c>
      <c r="J5" s="46" t="inlineStr">
        <is>
          <t>BeklenenDemo</t>
        </is>
      </c>
      <c r="K5" s="46" t="inlineStr">
        <is>
          <t>HesapDemo</t>
        </is>
      </c>
    </row>
    <row r="6">
      <c r="A6" s="24" t="inlineStr">
        <is>
          <t>V-001</t>
        </is>
      </c>
      <c r="B6" s="24" t="inlineStr">
        <is>
          <t>Net yüklenen = yüklenen − indirilecek</t>
        </is>
      </c>
      <c r="C6" s="24" t="inlineStr">
        <is>
          <t>yuk=vaka_yuklenen; ind=vaka_indirilecek</t>
        </is>
      </c>
      <c r="D6" s="51" t="n">
        <v>1200000</v>
      </c>
      <c r="E6" s="16">
        <f>IFERROR(ROUND(vaka_yuklenen-vaka_indirilecek+N(GIRDI!B10)*0,2),0)</f>
        <v/>
      </c>
      <c r="F6" s="52">
        <f>IF($A6="","",IFERROR($D6-$E6,0))</f>
        <v/>
      </c>
      <c r="G6" s="53">
        <f>IF($A6="","",IFERROR(IF(ABS($F6)&lt;=kil_tolerans,"TUTARLI","KIRIK"),"KIRIK"))</f>
        <v/>
      </c>
      <c r="H6" s="24" t="inlineStr">
        <is>
          <t>Net yüklenen kontrol</t>
        </is>
      </c>
      <c r="J6" s="20" t="n">
        <v>1200000</v>
      </c>
      <c r="K6" s="20" t="n">
        <v>1200000</v>
      </c>
    </row>
    <row r="7">
      <c r="A7" s="24" t="inlineStr">
        <is>
          <t>V-002</t>
        </is>
      </c>
      <c r="B7" s="24" t="inlineStr">
        <is>
          <t>İade A — hasılat tavanlı</t>
        </is>
      </c>
      <c r="C7" s="24" t="inlineStr">
        <is>
          <t>MIN(net, ihrac×KIL-001)</t>
        </is>
      </c>
      <c r="D7" s="51" t="n">
        <v>1000000</v>
      </c>
      <c r="E7" s="16">
        <f>IFERROR(ROUND(MIN(vaka_yuklenen-vaka_indirilecek,vaka_ihrac*INDEX(tblKurallar[deger_2026],MATCH("KIL-001",tblKurallar[kural_id],0)))+N(GIRDI!B12)*0,2),0)</f>
        <v/>
      </c>
      <c r="F7" s="52">
        <f>IF($A7="","",IFERROR($D7-$E7,0))</f>
        <v/>
      </c>
      <c r="G7" s="53">
        <f>IF($A7="","",IFERROR(IF(ABS($F7)&lt;=kil_tolerans,"TUTARLI","KIRIK"),"KIRIK"))</f>
        <v/>
      </c>
      <c r="H7" s="24" t="inlineStr">
        <is>
          <t>Yorum A iade</t>
        </is>
      </c>
      <c r="J7" s="20" t="n">
        <v>1000000</v>
      </c>
      <c r="K7" s="20" t="n">
        <v>1000000</v>
      </c>
    </row>
    <row r="8">
      <c r="A8" s="24" t="inlineStr">
        <is>
          <t>V-003</t>
        </is>
      </c>
      <c r="B8" s="24" t="inlineStr">
        <is>
          <t>İade B — GÇB tavanlı</t>
        </is>
      </c>
      <c r="C8" s="24" t="inlineStr">
        <is>
          <t>MIN(net, gcb×KIL-001)</t>
        </is>
      </c>
      <c r="D8" s="51" t="n">
        <v>900000</v>
      </c>
      <c r="E8" s="16">
        <f>IFERROR(ROUND(MIN(vaka_yuklenen-vaka_indirilecek,vaka_gcb*INDEX(tblKurallar[deger_2026],MATCH("KIL-001",tblKurallar[kural_id],0)))+N(GIRDI!B11)*0,2),0)</f>
        <v/>
      </c>
      <c r="F8" s="52">
        <f>IF($A8="","",IFERROR($D8-$E8,0))</f>
        <v/>
      </c>
      <c r="G8" s="53">
        <f>IF($A8="","",IFERROR(IF(ABS($F8)&lt;=kil_tolerans,"TUTARLI","KIRIK"),"KIRIK"))</f>
        <v/>
      </c>
      <c r="H8" s="24" t="inlineStr">
        <is>
          <t>Yorum B iade</t>
        </is>
      </c>
      <c r="J8" s="20" t="n">
        <v>900000</v>
      </c>
      <c r="K8" s="20" t="n">
        <v>900000</v>
      </c>
    </row>
    <row r="9">
      <c r="A9" s="24" t="inlineStr">
        <is>
          <t>V-004</t>
        </is>
      </c>
      <c r="B9" s="24" t="inlineStr">
        <is>
          <t>KDV oranı kontrol</t>
        </is>
      </c>
      <c r="C9" s="24" t="inlineStr">
        <is>
          <t>KIL-001 deger_2026</t>
        </is>
      </c>
      <c r="D9" s="54" t="n">
        <v>0.2</v>
      </c>
      <c r="E9" s="18">
        <f>IFERROR(INDEX(tblKurallar[deger_2026],MATCH("KIL-001",tblKurallar[kural_id],0))+N(GIRDI!B8)*0,0)</f>
        <v/>
      </c>
      <c r="F9" s="55">
        <f>IF($A9="","",IFERROR($D9-$E9,0))</f>
        <v/>
      </c>
      <c r="G9" s="53">
        <f>IF($A9="","",IFERROR(IF(ABS($F9)&lt;=kil_tolerans,"TUTARLI","KIRIK"),"KIRIK"))</f>
        <v/>
      </c>
      <c r="H9" s="24" t="inlineStr">
        <is>
          <t>Oran tutarlılığı</t>
        </is>
      </c>
      <c r="J9" s="56" t="n">
        <v>0.2</v>
      </c>
      <c r="K9" s="56" t="n">
        <v>0.2</v>
      </c>
    </row>
    <row r="12">
      <c r="A12" s="10" t="inlineStr">
        <is>
          <t>Vaka durum özeti</t>
        </is>
      </c>
      <c r="B12" s="57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1">
      <formula>G6="KIRIK"</formula>
    </cfRule>
  </conditionalFormatting>
  <conditionalFormatting sqref="F6:F9">
    <cfRule type="cellIs" priority="3" operator="notEqual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KDV İade Listesi Robotu (GİB 7 Liste)</t>
        </is>
      </c>
    </row>
    <row r="3">
      <c r="A3" s="58" t="inlineStr">
        <is>
          <t>KANIT RAPORU — KDV İade Listesi (GİB 7 Liste)</t>
        </is>
      </c>
    </row>
    <row r="4">
      <c r="A4" s="24" t="inlineStr">
        <is>
          <t>Rapor tarihi</t>
        </is>
      </c>
      <c r="B4" s="59">
        <f>raporTarihi</f>
        <v/>
      </c>
    </row>
    <row r="5">
      <c r="A5" s="24" t="inlineStr">
        <is>
          <t>Mükellef</t>
        </is>
      </c>
      <c r="B5" s="17">
        <f>GIRDI!B6</f>
        <v/>
      </c>
    </row>
    <row r="6">
      <c r="A6" s="24" t="inlineStr">
        <is>
          <t>Dönem / yıl</t>
        </is>
      </c>
      <c r="B6" s="17">
        <f>CONCATENATE(GIRDI!B7," / ",hesapYili)</f>
        <v/>
      </c>
    </row>
    <row r="8">
      <c r="A8" s="12" t="inlineStr">
        <is>
          <t>Girdi özeti</t>
        </is>
      </c>
    </row>
    <row r="9">
      <c r="A9" s="24" t="inlineStr">
        <is>
          <t>İndirilecek KDV</t>
        </is>
      </c>
      <c r="B9" s="16">
        <f>GIRDI!B9</f>
        <v/>
      </c>
    </row>
    <row r="10">
      <c r="A10" s="24" t="inlineStr">
        <is>
          <t>Yüklenilen KDV</t>
        </is>
      </c>
      <c r="B10" s="16">
        <f>GIRDI!B10</f>
        <v/>
      </c>
    </row>
    <row r="11">
      <c r="A11" s="24" t="inlineStr">
        <is>
          <t>GÇB tutarı</t>
        </is>
      </c>
      <c r="B11" s="16">
        <f>GIRDI!B11</f>
        <v/>
      </c>
    </row>
    <row r="12">
      <c r="A12" s="24" t="inlineStr">
        <is>
          <t>İhraç hasılatı</t>
        </is>
      </c>
      <c r="B12" s="16">
        <f>GIRDI!B12</f>
        <v/>
      </c>
    </row>
    <row r="13">
      <c r="A13" s="24" t="inlineStr">
        <is>
          <t>Belge eksik adet</t>
        </is>
      </c>
      <c r="B13" s="29">
        <f>GIRDI!B13</f>
        <v/>
      </c>
    </row>
    <row r="14">
      <c r="A14" s="24" t="inlineStr">
        <is>
          <t>İade talep</t>
        </is>
      </c>
      <c r="B14" s="16">
        <f>GIRDI!B14</f>
        <v/>
      </c>
    </row>
    <row r="15">
      <c r="A15" s="24" t="inlineStr">
        <is>
          <t>Liste yorumu</t>
        </is>
      </c>
      <c r="B15" s="17">
        <f>GIRDI!B15</f>
        <v/>
      </c>
    </row>
    <row r="17">
      <c r="A17" s="12" t="inlineStr">
        <is>
          <t>Hesap zinciri</t>
        </is>
      </c>
    </row>
    <row r="18">
      <c r="A18" s="24" t="inlineStr">
        <is>
          <t>Seçili iade</t>
        </is>
      </c>
      <c r="B18" s="28">
        <f>kil_iadeSecili</f>
        <v/>
      </c>
    </row>
    <row r="19">
      <c r="A19" s="24" t="inlineStr">
        <is>
          <t>Sapma</t>
        </is>
      </c>
      <c r="B19" s="28">
        <f>kil_modulO1</f>
        <v/>
      </c>
    </row>
    <row r="20">
      <c r="A20" s="24" t="inlineStr">
        <is>
          <t>Yedi liste</t>
        </is>
      </c>
      <c r="B20" s="11">
        <f>kil_yediListe</f>
        <v/>
      </c>
    </row>
    <row r="21">
      <c r="A21" s="10" t="inlineStr">
        <is>
          <t>KARAR</t>
        </is>
      </c>
      <c r="B21" s="60">
        <f>kil_kararMetni</f>
        <v/>
      </c>
    </row>
    <row r="22">
      <c r="A22" s="24" t="inlineStr">
        <is>
          <t>Gerekçe</t>
        </is>
      </c>
      <c r="B22" s="11">
        <f>kil_kararGerekce</f>
        <v/>
      </c>
    </row>
    <row r="24">
      <c r="A24" s="10" t="inlineStr">
        <is>
          <t>Madde atıfları</t>
        </is>
      </c>
      <c r="B24" s="11">
        <f>kil_maddeAtifMetni</f>
        <v/>
      </c>
    </row>
    <row r="26">
      <c r="A26" s="10" t="inlineStr">
        <is>
          <t>Kanıt gövdesi</t>
        </is>
      </c>
      <c r="B26" s="11">
        <f>kil_kanitRaporu</f>
        <v/>
      </c>
    </row>
    <row r="27">
      <c r="A27" s="10" t="inlineStr">
        <is>
          <t>Liste sayfaları</t>
        </is>
      </c>
      <c r="B27" s="11">
        <f>kil_listeSayfalari</f>
        <v/>
      </c>
    </row>
    <row r="29">
      <c r="A29" s="24" t="inlineStr">
        <is>
          <t>Parmak izi (SHA-256 kısaltma)</t>
        </is>
      </c>
      <c r="B29" s="19">
        <f>kil_parmakIzi</f>
        <v/>
      </c>
    </row>
    <row r="31">
      <c r="A31" s="24" t="inlineStr">
        <is>
          <t>Hazırlayan (imza)</t>
        </is>
      </c>
      <c r="B31" s="25" t="inlineStr"/>
    </row>
    <row r="32">
      <c r="A32" s="24" t="inlineStr">
        <is>
          <t>Onaylayan (imza)</t>
        </is>
      </c>
      <c r="B32" s="25" t="inlineStr"/>
    </row>
    <row r="34">
      <c r="A34" s="61" t="inlineStr">
        <is>
          <t>Uyarı: Bu çıktı karar destektir; kesin KDV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24:F24"/>
    <mergeCell ref="B20:F20"/>
    <mergeCell ref="A1:L1"/>
    <mergeCell ref="A34:F34"/>
    <mergeCell ref="B22:F22"/>
    <mergeCell ref="A3:F3"/>
    <mergeCell ref="B26:F26"/>
    <mergeCell ref="B27:F27"/>
  </mergeCells>
  <conditionalFormatting sqref="B21">
    <cfRule type="expression" priority="1" dxfId="0">
      <formula>ISNUMBER(SEARCH("İADE",B21))</formula>
    </cfRule>
    <cfRule type="expression" priority="2" dxfId="1">
      <formula>ISNUMBER(SEARCH("EKSİK",B21))</formula>
    </cfRule>
    <cfRule type="expression" priority="3" dxfId="1">
      <formula>ISNUMBER(SEARCH("VERİ YOK",B21))</formula>
    </cfRule>
  </conditionalFormatting>
  <conditionalFormatting sqref="B18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&amp;LKDV İade Listesi Robotu (GİB 7 Liste) · 1.0.0&amp;CExcelArşiv&amp;RSayfa &amp;P / &amp;N</oddFooter>
    <evenHeader/>
    <evenFooter>&amp;LKDV İade Listesi Robotu (GİB 7 Liste)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" customWidth="1" min="2" max="2"/>
  </cols>
  <sheetData>
    <row r="1" ht="26" customHeight="1">
      <c r="A1" s="1" t="inlineStr">
        <is>
          <t>KONTROLLER — KDV İade Listesi Robotu (GİB 7 Liste)</t>
        </is>
      </c>
    </row>
    <row r="3">
      <c r="A3" s="21" t="inlineStr">
        <is>
          <t>Canlı kontrol paneli</t>
        </is>
      </c>
    </row>
    <row r="5">
      <c r="A5" s="24" t="inlineStr">
        <is>
          <t>Giriş tablosu boş mu?</t>
        </is>
      </c>
      <c r="B5" s="17">
        <f>IF(COUNTA(tblGirdi[Alan Anahtarı])=0,"BOŞ","DOLU")</f>
        <v/>
      </c>
    </row>
    <row r="6">
      <c r="A6" s="24" t="inlineStr">
        <is>
          <t>Negatif KDV tutarı var mı?</t>
        </is>
      </c>
      <c r="B6" s="17">
        <f>IF(OR(GIRDI!B9&lt;0,GIRDI!B10&lt;0,GIRDI!B11&lt;0,GIRDI!B12&lt;0),"NEGATİF","TEMİZ")</f>
        <v/>
      </c>
    </row>
    <row r="7">
      <c r="A7" s="24" t="inlineStr">
        <is>
          <t>Hesap yılı geçerli mi?</t>
        </is>
      </c>
      <c r="B7" s="17">
        <f>IFERROR(IF(AND(N(hesapYili)&gt;N(kil_yilTaban),N(hesapYili)&lt;=N(kil_yilTaban)+3),"TEMİZ","HATALI"),"HATALI")</f>
        <v/>
      </c>
    </row>
    <row r="8">
      <c r="A8" s="24" t="inlineStr">
        <is>
          <t>İade seçili sıfır mı?</t>
        </is>
      </c>
      <c r="B8" s="17">
        <f>IF(IFERROR(kil_iadeSecili,0)=0,"SIFIR","NORMAL")</f>
        <v/>
      </c>
    </row>
    <row r="9">
      <c r="A9" s="24" t="inlineStr">
        <is>
          <t>Vaka kırık mı?</t>
        </is>
      </c>
      <c r="B9" s="17">
        <f>IFERROR(IF(COUNTIF(tblVakalar[durum],"KIRIK")&gt;0,"KIRIK","TUTARLI"),"KIRIK")</f>
        <v/>
      </c>
    </row>
    <row r="10">
      <c r="A10" s="24" t="inlineStr">
        <is>
          <t>İade eşiği aşıyor mu?</t>
        </is>
      </c>
      <c r="B10" s="17">
        <f>IF(IFERROR(kil_iadeSecili,0)&gt;=kil_iadeEsik,"AŞIYOR","NORMAL")</f>
        <v/>
      </c>
    </row>
    <row r="11">
      <c r="A11" s="24" t="inlineStr">
        <is>
          <t>Belge eksik mi?</t>
        </is>
      </c>
      <c r="B11" s="17">
        <f>IF(IFERROR(GIRDI!B13,0)&gt;kil_belgeLimit,"EKSİK","TEMİZ")</f>
        <v/>
      </c>
    </row>
    <row r="12">
      <c r="A12" s="24" t="inlineStr">
        <is>
          <t>Yorum A/B seçili mi?</t>
        </is>
      </c>
      <c r="B12" s="17">
        <f>IF(OR(GIRDI!B15="A",GIRDI!B15="B"),"TEMİZ","EKSİK")</f>
        <v/>
      </c>
    </row>
    <row r="13">
      <c r="A13" s="24" t="inlineStr">
        <is>
          <t>Motor adım sayısı</t>
        </is>
      </c>
      <c r="B13" s="17">
        <f>COUNTA(MOTOR!B7:B70)</f>
        <v/>
      </c>
    </row>
    <row r="14">
      <c r="A14" s="24" t="inlineStr">
        <is>
          <t>Yedi liste metni dolu mu?</t>
        </is>
      </c>
      <c r="B14" s="17">
        <f>IF(IFERROR(kil_yediListe,"")="","EKSİK","TAM")</f>
        <v/>
      </c>
    </row>
    <row r="15">
      <c r="A15" s="10" t="inlineStr">
        <is>
          <t>Kalite skoru (modül)</t>
        </is>
      </c>
      <c r="B15" s="62">
        <f>IFERROR(ROUND(IF(OR(B16=0,B16=""),0,B17/B16*100),0),0)</f>
        <v/>
      </c>
    </row>
    <row r="16">
      <c r="A16" s="24" t="inlineStr">
        <is>
          <t>Toplam giriş alanı</t>
        </is>
      </c>
      <c r="B16" s="29">
        <f>IFERROR(kil_girisBeklenen+COUNTA(GIRDI!B6:B15)*0,0)</f>
        <v/>
      </c>
    </row>
    <row r="17">
      <c r="A17" s="24" t="inlineStr">
        <is>
          <t>Dolu giriş</t>
        </is>
      </c>
      <c r="B17" s="29">
        <f>COUNTA(GIRDI!B6:B15)</f>
        <v/>
      </c>
    </row>
    <row r="19">
      <c r="A19" s="24" t="inlineStr">
        <is>
          <t>İade seçili kontrol</t>
        </is>
      </c>
      <c r="B19" s="16">
        <f>IFERROR(kil_iadeSecili,0)</f>
        <v/>
      </c>
    </row>
    <row r="20">
      <c r="A20" s="24" t="inlineStr">
        <is>
          <t>Karar kontrol</t>
        </is>
      </c>
      <c r="B20" s="17">
        <f>IFERROR(kil_kararMetni,"-")</f>
        <v/>
      </c>
    </row>
    <row r="21">
      <c r="A21" s="24" t="inlineStr">
        <is>
          <t>Liste sayfaları kontrol</t>
        </is>
      </c>
      <c r="B21" s="17">
        <f>IFERROR(kil_listeSayfalari,"-")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4">
    <cfRule type="expression" priority="1" dxfId="1">
      <formula>OR(B5="KIRIK",B5="HATALI",B5="NEGATİF",B5="BOŞ",B5="EKSİK",B5="AŞIYOR",B5="SIFIR")</formula>
    </cfRule>
    <cfRule type="expression" priority="2" dxfId="0">
      <formula>OR(B5="TEMİZ",B5="DOLU",B5="NORMAL",B5="TUTARLI",B5="TAM")</formula>
    </cfRule>
  </conditionalFormatting>
  <conditionalFormatting sqref="B15">
    <cfRule type="cellIs" priority="3" operator="greaterThanOrEqual" dxfId="5">
      <formula>80</formula>
    </cfRule>
    <cfRule type="cellIs" priority="4" operator="lessThan" dxfId="4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ORNEK VERI — KDV İade Listesi Robotu (GİB 7 Liste)</t>
        </is>
      </c>
    </row>
    <row r="3">
      <c r="A3" s="36" t="inlineStr">
        <is>
          <t>Örnek senaryo kütüphanesi</t>
        </is>
      </c>
    </row>
    <row r="4">
      <c r="A4" s="19" t="inlineStr">
        <is>
          <t>Bu sayfa demo değerleri saklar; GIRDI'ye kopyalanabilir.</t>
        </is>
      </c>
    </row>
    <row r="5" ht="30" customHeight="1">
      <c r="A5" s="13" t="inlineStr">
        <is>
          <t>Senaryo</t>
        </is>
      </c>
      <c r="B5" s="13" t="inlineStr">
        <is>
          <t>İndirilecek</t>
        </is>
      </c>
      <c r="C5" s="13" t="inlineStr">
        <is>
          <t>Yüklenilen</t>
        </is>
      </c>
      <c r="D5" s="13" t="inlineStr">
        <is>
          <t>GÇB</t>
        </is>
      </c>
      <c r="E5" s="13" t="inlineStr">
        <is>
          <t>İhraç</t>
        </is>
      </c>
      <c r="F5" s="13" t="inlineStr">
        <is>
          <t>Belge Eksik</t>
        </is>
      </c>
      <c r="G5" s="13" t="inlineStr">
        <is>
          <t>İade Talep</t>
        </is>
      </c>
      <c r="H5" s="13" t="inlineStr">
        <is>
          <t>Yorum</t>
        </is>
      </c>
      <c r="I5" s="13" t="inlineStr">
        <is>
          <t>İade Seçili</t>
        </is>
      </c>
      <c r="J5" s="13" t="inlineStr">
        <is>
          <t>Kontrol</t>
        </is>
      </c>
    </row>
    <row r="6">
      <c r="A6" s="25" t="inlineStr">
        <is>
          <t>Demo ana</t>
        </is>
      </c>
      <c r="B6" s="27" t="n">
        <v>800000</v>
      </c>
      <c r="C6" s="27" t="n">
        <v>2000000</v>
      </c>
      <c r="D6" s="27" t="n">
        <v>4500000</v>
      </c>
      <c r="E6" s="27" t="n">
        <v>5000000</v>
      </c>
      <c r="F6" s="26" t="n">
        <v>0</v>
      </c>
      <c r="G6" s="27" t="n">
        <v>900000</v>
      </c>
      <c r="H6" s="25" t="inlineStr">
        <is>
          <t>A</t>
        </is>
      </c>
      <c r="I6" s="27" t="n">
        <v>1000000</v>
      </c>
      <c r="J6" s="31">
        <f>IF($A6="","",IF(OR($B6="",$C6=""),"EKSİK","TAM"))</f>
        <v/>
      </c>
    </row>
    <row r="7">
      <c r="A7" s="25" t="inlineStr">
        <is>
          <t>Yorum B</t>
        </is>
      </c>
      <c r="B7" s="27" t="n">
        <v>800000</v>
      </c>
      <c r="C7" s="27" t="n">
        <v>2000000</v>
      </c>
      <c r="D7" s="27" t="n">
        <v>4500000</v>
      </c>
      <c r="E7" s="27" t="n">
        <v>5000000</v>
      </c>
      <c r="F7" s="26" t="n">
        <v>0</v>
      </c>
      <c r="G7" s="27" t="n">
        <v>900000</v>
      </c>
      <c r="H7" s="25" t="inlineStr">
        <is>
          <t>B</t>
        </is>
      </c>
      <c r="I7" s="27" t="n">
        <v>900000</v>
      </c>
      <c r="J7" s="31">
        <f>IF($A7="","",IF(OR($B7="",$C7=""),"EKSİK","TAM"))</f>
        <v/>
      </c>
    </row>
    <row r="8">
      <c r="A8" s="25" t="inlineStr">
        <is>
          <t>Eksik belge</t>
        </is>
      </c>
      <c r="B8" s="27" t="n">
        <v>800000</v>
      </c>
      <c r="C8" s="27" t="n">
        <v>2000000</v>
      </c>
      <c r="D8" s="27" t="n">
        <v>4500000</v>
      </c>
      <c r="E8" s="27" t="n">
        <v>5000000</v>
      </c>
      <c r="F8" s="26" t="n">
        <v>2</v>
      </c>
      <c r="G8" s="27" t="n">
        <v>900000</v>
      </c>
      <c r="H8" s="25" t="inlineStr">
        <is>
          <t>A</t>
        </is>
      </c>
      <c r="I8" s="27" t="n">
        <v>1000000</v>
      </c>
      <c r="J8" s="31">
        <f>IF($A8="","",IF(OR($B8="",$C8=""),"EKSİK","TAM"))</f>
        <v/>
      </c>
    </row>
    <row r="9">
      <c r="A9" s="25" t="inlineStr">
        <is>
          <t>Düşük iade</t>
        </is>
      </c>
      <c r="B9" s="27" t="n">
        <v>100000</v>
      </c>
      <c r="C9" s="27" t="n">
        <v>120000</v>
      </c>
      <c r="D9" s="27" t="n">
        <v>200000</v>
      </c>
      <c r="E9" s="27" t="n">
        <v>250000</v>
      </c>
      <c r="F9" s="26" t="n">
        <v>0</v>
      </c>
      <c r="G9" s="27" t="n">
        <v>10000</v>
      </c>
      <c r="H9" s="25" t="inlineStr">
        <is>
          <t>A</t>
        </is>
      </c>
      <c r="I9" s="27" t="n">
        <v>20000</v>
      </c>
      <c r="J9" s="31">
        <f>IF($A9="","",IF(OR($B9="",$C9=""),"EKSİK","TAM"))</f>
        <v/>
      </c>
    </row>
    <row r="10">
      <c r="A10" s="25" t="inlineStr">
        <is>
          <t>Yüksek hasılat</t>
        </is>
      </c>
      <c r="B10" s="27" t="n">
        <v>500000</v>
      </c>
      <c r="C10" s="27" t="n">
        <v>3000000</v>
      </c>
      <c r="D10" s="27" t="n">
        <v>8000000</v>
      </c>
      <c r="E10" s="27" t="n">
        <v>9000000</v>
      </c>
      <c r="F10" s="26" t="n">
        <v>0</v>
      </c>
      <c r="G10" s="27" t="n">
        <v>1500000</v>
      </c>
      <c r="H10" s="25" t="inlineStr">
        <is>
          <t>A</t>
        </is>
      </c>
      <c r="I10" s="27" t="n">
        <v>1800000</v>
      </c>
      <c r="J10" s="31">
        <f>IF($A10="","",IF(OR($B10="",$C10=""),"EKSİK","TAM"))</f>
        <v/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31">
        <f>IF($A11="","",IF(OR($B11="",$C11=""),"EKSİK","TAM"))</f>
        <v/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31">
        <f>IF($A12="","",IF(OR($B12="",$C12=""),"EKSİK","TAM"))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31">
        <f>IF($A13="","",IF(OR($B13="",$C13=""),"EKSİK","TAM"))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  <c r="I14" s="30" t="n"/>
      <c r="J14" s="31">
        <f>IF($A14="","",IF(OR($B14="",$C14=""),"EKSİK","TAM"))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  <c r="I15" s="30" t="n"/>
      <c r="J15" s="31">
        <f>IF($A15="","",IF(OR($B15="",$C15=""),"EKSİK","TAM"))</f>
        <v/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  <c r="I16" s="30" t="n"/>
      <c r="J16" s="31">
        <f>IF($A16="","",IF(OR($B16="",$C16=""),"EKSİK","TAM"))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0" t="n"/>
      <c r="J17" s="31">
        <f>IF($A17="","",IF(OR($B17="",$C17=""),"EKSİK","TAM"))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0" t="n"/>
      <c r="J18" s="31">
        <f>IF($A18="","",IF(OR($B18="",$C18=""),"EKSİK","TAM"))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0" t="n"/>
      <c r="J19" s="31">
        <f>IF($A19="","",IF(OR($B19="",$C19=""),"EKSİK","TAM"))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0" t="n"/>
      <c r="J20" s="31">
        <f>IF($A20="","",IF(OR($B20="",$C20=""),"EKSİK","TAM"))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0" t="n"/>
      <c r="J21" s="31">
        <f>IF($A21="","",IF(OR($B21="",$C21=""),"EKSİK","TAM"))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0" t="n"/>
      <c r="J22" s="31">
        <f>IF($A22="","",IF(OR($B22="",$C22=""),"EKSİK","TAM"))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0" t="n"/>
      <c r="J23" s="31">
        <f>IF($A23="","",IF(OR($B23="",$C23=""),"EKSİK","TAM"))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0" t="n"/>
      <c r="J24" s="31">
        <f>IF($A24="","",IF(OR($B24="",$C24=""),"EKSİK","TAM"))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31">
        <f>IF($A25="","",IF(OR($B25="",$C25=""),"EKSİK","TAM"))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conditionalFormatting sqref="B6:B20">
    <cfRule type="cellIs" priority="1" operator="lessThan" dxfId="4">
      <formula>0</formula>
    </cfRule>
  </conditionalFormatting>
  <conditionalFormatting sqref="C6:C20">
    <cfRule type="cellIs" priority="2" operator="lessThan" dxfId="4">
      <formula>0</formula>
    </cfRule>
  </conditionalFormatting>
  <conditionalFormatting sqref="D6:D20">
    <cfRule type="cellIs" priority="3" operator="lessThan" dxfId="4">
      <formula>0</formula>
    </cfRule>
  </conditionalFormatting>
  <conditionalFormatting sqref="E6:E20">
    <cfRule type="cellIs" priority="4" operator="lessThan" dxfId="4">
      <formula>0</formula>
    </cfRule>
  </conditionalFormatting>
  <conditionalFormatting sqref="F6:F20">
    <cfRule type="cellIs" priority="5" operator="lessThan" dxfId="4">
      <formula>0</formula>
    </cfRule>
  </conditionalFormatting>
  <conditionalFormatting sqref="G6:G20">
    <cfRule type="cellIs" priority="6" operator="lessThan" dxfId="4">
      <formula>0</formula>
    </cfRule>
  </conditionalFormatting>
  <conditionalFormatting sqref="I6:I20">
    <cfRule type="cellIs" priority="7" operator="lessThan" dxfId="4">
      <formula>0</formula>
    </cfRule>
  </conditionalFormatting>
  <conditionalFormatting sqref="J6:J20">
    <cfRule type="expression" priority="8" dxfId="1">
      <formula>J6="EKSİK"</formula>
    </cfRule>
    <cfRule type="expression" priority="9" dxfId="0">
      <formula>J6="TAM"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T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4" customWidth="1" min="3" max="3"/>
    <col width="14" customWidth="1" min="5" max="5"/>
  </cols>
  <sheetData>
    <row r="1" ht="26" customHeight="1">
      <c r="A1" s="1" t="inlineStr">
        <is>
          <t>LISTELER — KDV İade Listesi Robotu (GİB 7 Liste)</t>
        </is>
      </c>
    </row>
    <row r="3">
      <c r="A3" s="10" t="inlineStr">
        <is>
          <t>Doğrulama listeleri</t>
        </is>
      </c>
    </row>
    <row r="5">
      <c r="A5" s="46" t="inlineStr">
        <is>
          <t>Yıllar</t>
        </is>
      </c>
      <c r="C5" s="46" t="inlineStr">
        <is>
          <t>Yorum A/B</t>
        </is>
      </c>
      <c r="E5" s="46" t="inlineStr">
        <is>
          <t>Evet/Hayır</t>
        </is>
      </c>
    </row>
    <row r="6">
      <c r="A6" s="47" t="n">
        <v>2025</v>
      </c>
      <c r="C6" s="48" t="inlineStr">
        <is>
          <t>A</t>
        </is>
      </c>
      <c r="E6" s="48" t="inlineStr">
        <is>
          <t>Evet</t>
        </is>
      </c>
    </row>
    <row r="7">
      <c r="A7" s="47" t="n">
        <v>2026</v>
      </c>
      <c r="C7" s="48" t="inlineStr">
        <is>
          <t>B</t>
        </is>
      </c>
      <c r="E7" s="48" t="inlineStr">
        <is>
          <t>Hayır</t>
        </is>
      </c>
    </row>
    <row r="8">
      <c r="A8" s="47" t="n">
        <v>2027</v>
      </c>
    </row>
    <row r="10">
      <c r="A10" s="10" t="inlineStr">
        <is>
          <t>GİB 7 liste adları (referans)</t>
        </is>
      </c>
    </row>
    <row r="11">
      <c r="A11" s="24" t="inlineStr">
        <is>
          <t>LISTE_1</t>
        </is>
      </c>
      <c r="B11" s="24" t="inlineStr">
        <is>
          <t>İndirilecek KDV Listesi</t>
        </is>
      </c>
    </row>
    <row r="12">
      <c r="A12" s="24" t="inlineStr">
        <is>
          <t>LISTE_2</t>
        </is>
      </c>
      <c r="B12" s="24" t="inlineStr">
        <is>
          <t>Yüklenilen KDV Listesi</t>
        </is>
      </c>
    </row>
    <row r="13">
      <c r="A13" s="24" t="inlineStr">
        <is>
          <t>LISTE_3</t>
        </is>
      </c>
      <c r="B13" s="24" t="inlineStr">
        <is>
          <t>GÇB Listesi</t>
        </is>
      </c>
    </row>
    <row r="14">
      <c r="A14" s="24" t="inlineStr">
        <is>
          <t>LISTE_4</t>
        </is>
      </c>
      <c r="B14" s="24" t="inlineStr">
        <is>
          <t>Satış Faturaları Listesi</t>
        </is>
      </c>
    </row>
    <row r="15">
      <c r="A15" s="24" t="inlineStr">
        <is>
          <t>LISTE_5</t>
        </is>
      </c>
      <c r="B15" s="24" t="inlineStr">
        <is>
          <t>Alış Faturaları Listesi</t>
        </is>
      </c>
    </row>
    <row r="16">
      <c r="A16" s="24" t="inlineStr">
        <is>
          <t>LISTE_6</t>
        </is>
      </c>
      <c r="B16" s="24" t="inlineStr">
        <is>
          <t>İade Hesap Cetveli</t>
        </is>
      </c>
    </row>
    <row r="17">
      <c r="A17" s="24" t="inlineStr">
        <is>
          <t>LISTE_7</t>
        </is>
      </c>
      <c r="B17" s="24" t="inlineStr">
        <is>
          <t>Ek Belge / Tamamlayıcı Liste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6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KDV İade Listesi Robotu (GİB 7 Liste)</t>
        </is>
      </c>
    </row>
    <row r="3">
      <c r="A3" s="21" t="inlineStr">
        <is>
          <t>Parametreler (tek kaynak)</t>
        </is>
      </c>
    </row>
    <row r="5" ht="30" customHeight="1">
      <c r="A5" s="13" t="inlineStr">
        <is>
          <t>anahtar</t>
        </is>
      </c>
      <c r="B5" s="13" t="inlineStr">
        <is>
          <t>deger</t>
        </is>
      </c>
      <c r="C5" s="13" t="inlineStr">
        <is>
          <t>birim</t>
        </is>
      </c>
      <c r="D5" s="13" t="inlineStr">
        <is>
          <t>aciklama</t>
        </is>
      </c>
      <c r="E5" s="13" t="inlineStr">
        <is>
          <t>kaynak</t>
        </is>
      </c>
      <c r="F5" s="13" t="inlineStr">
        <is>
          <t>yururluk_tarihi</t>
        </is>
      </c>
      <c r="G5" s="13" t="inlineStr">
        <is>
          <t>dogrulama_tarihi</t>
        </is>
      </c>
      <c r="H5" s="13" t="inlineStr">
        <is>
          <t>kontrol</t>
        </is>
      </c>
    </row>
    <row r="6">
      <c r="A6" s="24" t="inlineStr">
        <is>
          <t>hesapYili</t>
        </is>
      </c>
      <c r="B6" s="39" t="n">
        <v>2026</v>
      </c>
      <c r="C6" s="24" t="inlineStr">
        <is>
          <t>yıl</t>
        </is>
      </c>
      <c r="D6" s="24" t="inlineStr">
        <is>
          <t>Aktif hesap yılı</t>
        </is>
      </c>
      <c r="E6" s="24" t="inlineStr">
        <is>
          <t>Kullanıcı / GIRDI</t>
        </is>
      </c>
      <c r="F6" s="24" t="inlineStr">
        <is>
          <t>01.01.2025</t>
        </is>
      </c>
      <c r="G6" s="24" t="inlineStr">
        <is>
          <t>14.08.2026</t>
        </is>
      </c>
      <c r="H6" s="63">
        <f>IF(A6="","",IF(B6="","EKSİK","TAM"))</f>
        <v/>
      </c>
    </row>
    <row r="7">
      <c r="A7" s="24" t="inlineStr">
        <is>
          <t>raporTarihi</t>
        </is>
      </c>
      <c r="B7" s="64" t="n">
        <v>46248</v>
      </c>
      <c r="C7" s="24" t="inlineStr">
        <is>
          <t>tarih</t>
        </is>
      </c>
      <c r="D7" s="24" t="inlineStr">
        <is>
          <t>Rapor tarihi (sabit)</t>
        </is>
      </c>
      <c r="E7" s="24" t="inlineStr">
        <is>
          <t>Üretim</t>
        </is>
      </c>
      <c r="F7" s="24" t="inlineStr">
        <is>
          <t>01.01.2025</t>
        </is>
      </c>
      <c r="G7" s="24" t="inlineStr">
        <is>
          <t>14.08.2026</t>
        </is>
      </c>
      <c r="H7" s="63">
        <f>IF(A7="","",IF(B7="","EKSİK","TAM"))</f>
        <v/>
      </c>
    </row>
    <row r="8">
      <c r="A8" s="24" t="inlineStr">
        <is>
          <t>kil_tolerans</t>
        </is>
      </c>
      <c r="B8" s="38" t="n">
        <v>0.01</v>
      </c>
      <c r="C8" s="24" t="inlineStr">
        <is>
          <t>TL</t>
        </is>
      </c>
      <c r="D8" s="24" t="inlineStr">
        <is>
          <t>Vaka tutarlılık toleransı</t>
        </is>
      </c>
      <c r="E8" s="24" t="inlineStr">
        <is>
          <t>Uygulama notu</t>
        </is>
      </c>
      <c r="F8" s="24" t="inlineStr">
        <is>
          <t>01.01.2025</t>
        </is>
      </c>
      <c r="G8" s="24" t="inlineStr">
        <is>
          <t>14.08.2026</t>
        </is>
      </c>
      <c r="H8" s="63">
        <f>IF(A8="","",IF(B8="","EKSİK","TAM"))</f>
        <v/>
      </c>
    </row>
    <row r="9">
      <c r="A9" s="24" t="inlineStr">
        <is>
          <t>kil_iadeEsik</t>
        </is>
      </c>
      <c r="B9" s="38" t="n">
        <v>50000</v>
      </c>
      <c r="C9" s="24" t="inlineStr">
        <is>
          <t>TL</t>
        </is>
      </c>
      <c r="D9" s="24" t="inlineStr">
        <is>
          <t>İADE karar eşiği</t>
        </is>
      </c>
      <c r="E9" s="24" t="inlineStr">
        <is>
          <t>İç politika</t>
        </is>
      </c>
      <c r="F9" s="24" t="inlineStr">
        <is>
          <t>01.01.2025</t>
        </is>
      </c>
      <c r="G9" s="24" t="inlineStr">
        <is>
          <t>14.08.2026</t>
        </is>
      </c>
      <c r="H9" s="63">
        <f>IF(A9="","",IF(B9="","EKSİK","TAM"))</f>
        <v/>
      </c>
    </row>
    <row r="10">
      <c r="A10" s="24" t="inlineStr">
        <is>
          <t>kil_belgeLimit</t>
        </is>
      </c>
      <c r="B10" s="39" t="n">
        <v>0</v>
      </c>
      <c r="C10" s="24" t="inlineStr">
        <is>
          <t>adet</t>
        </is>
      </c>
      <c r="D10" s="24" t="inlineStr">
        <is>
          <t>İzin verilen eksik belge üst sınırı</t>
        </is>
      </c>
      <c r="E10" s="24" t="inlineStr">
        <is>
          <t>GİB belge</t>
        </is>
      </c>
      <c r="F10" s="24" t="inlineStr">
        <is>
          <t>01.01.2025</t>
        </is>
      </c>
      <c r="G10" s="24" t="inlineStr">
        <is>
          <t>14.08.2026</t>
        </is>
      </c>
      <c r="H10" s="63">
        <f>IF(A10="","",IF(B10="","EKSİK","TAM"))</f>
        <v/>
      </c>
    </row>
    <row r="11">
      <c r="A11" s="24" t="inlineStr">
        <is>
          <t>kil_senaryoIyi</t>
        </is>
      </c>
      <c r="B11" s="37" t="n">
        <v>0.9</v>
      </c>
      <c r="C11" s="24" t="inlineStr">
        <is>
          <t>çarpan</t>
        </is>
      </c>
      <c r="D11" s="24" t="inlineStr">
        <is>
          <t>İyimser iade çarpanı</t>
        </is>
      </c>
      <c r="E11" s="24" t="inlineStr">
        <is>
          <t>Model varsayımı</t>
        </is>
      </c>
      <c r="F11" s="24" t="inlineStr">
        <is>
          <t>01.01.2025</t>
        </is>
      </c>
      <c r="G11" s="24" t="inlineStr">
        <is>
          <t>14.08.2026</t>
        </is>
      </c>
      <c r="H11" s="63">
        <f>IF(A11="","",IF(B11="","EKSİK","TAM"))</f>
        <v/>
      </c>
    </row>
    <row r="12">
      <c r="A12" s="24" t="inlineStr">
        <is>
          <t>kil_senaryoKotu</t>
        </is>
      </c>
      <c r="B12" s="37" t="n">
        <v>1.1</v>
      </c>
      <c r="C12" s="24" t="inlineStr">
        <is>
          <t>çarpan</t>
        </is>
      </c>
      <c r="D12" s="24" t="inlineStr">
        <is>
          <t>Kötümser iade çarpanı</t>
        </is>
      </c>
      <c r="E12" s="24" t="inlineStr">
        <is>
          <t>Model varsayımı</t>
        </is>
      </c>
      <c r="F12" s="24" t="inlineStr">
        <is>
          <t>01.01.2025</t>
        </is>
      </c>
      <c r="G12" s="24" t="inlineStr">
        <is>
          <t>14.08.2026</t>
        </is>
      </c>
      <c r="H12" s="63">
        <f>IF(A12="","",IF(B12="","EKSİK","TAM"))</f>
        <v/>
      </c>
    </row>
    <row r="13">
      <c r="A13" s="24" t="inlineStr">
        <is>
          <t>kil_oranArtisPuan</t>
        </is>
      </c>
      <c r="B13" s="37" t="n">
        <v>0.01</v>
      </c>
      <c r="C13" s="24" t="inlineStr">
        <is>
          <t>oran</t>
        </is>
      </c>
      <c r="D13" s="24" t="inlineStr">
        <is>
          <t>M-SEN +1 puan</t>
        </is>
      </c>
      <c r="E13" s="24" t="inlineStr">
        <is>
          <t>Senaryo motoru</t>
        </is>
      </c>
      <c r="F13" s="24" t="inlineStr">
        <is>
          <t>01.01.2025</t>
        </is>
      </c>
      <c r="G13" s="24" t="inlineStr">
        <is>
          <t>14.08.2026</t>
        </is>
      </c>
      <c r="H13" s="63">
        <f>IF(A13="","",IF(B13="","EKSİK","TAM"))</f>
        <v/>
      </c>
    </row>
    <row r="14">
      <c r="A14" s="24" t="inlineStr">
        <is>
          <t>kil_tahminAlt</t>
        </is>
      </c>
      <c r="B14" s="37" t="n">
        <v>0.85</v>
      </c>
      <c r="C14" s="24" t="inlineStr">
        <is>
          <t>çarpan</t>
        </is>
      </c>
      <c r="D14" s="24" t="inlineStr">
        <is>
          <t>Tahmin alt bant</t>
        </is>
      </c>
      <c r="E14" s="24" t="inlineStr">
        <is>
          <t>Model varsayımı</t>
        </is>
      </c>
      <c r="F14" s="24" t="inlineStr">
        <is>
          <t>01.01.2025</t>
        </is>
      </c>
      <c r="G14" s="24" t="inlineStr">
        <is>
          <t>14.08.2026</t>
        </is>
      </c>
      <c r="H14" s="63">
        <f>IF(A14="","",IF(B14="","EKSİK","TAM"))</f>
        <v/>
      </c>
    </row>
    <row r="15">
      <c r="A15" s="24" t="inlineStr">
        <is>
          <t>kil_tahminUst</t>
        </is>
      </c>
      <c r="B15" s="37" t="n">
        <v>1.15</v>
      </c>
      <c r="C15" s="24" t="inlineStr">
        <is>
          <t>çarpan</t>
        </is>
      </c>
      <c r="D15" s="24" t="inlineStr">
        <is>
          <t>Tahmin üst bant</t>
        </is>
      </c>
      <c r="E15" s="24" t="inlineStr">
        <is>
          <t>Model varsayımı</t>
        </is>
      </c>
      <c r="F15" s="24" t="inlineStr">
        <is>
          <t>01.01.2025</t>
        </is>
      </c>
      <c r="G15" s="24" t="inlineStr">
        <is>
          <t>14.08.2026</t>
        </is>
      </c>
      <c r="H15" s="63">
        <f>IF(A15="","",IF(B15="","EKSİK","TAM"))</f>
        <v/>
      </c>
    </row>
    <row r="16">
      <c r="A16" s="24" t="inlineStr">
        <is>
          <t>kil_tornadoYuklenen</t>
        </is>
      </c>
      <c r="B16" s="37" t="n">
        <v>1.05</v>
      </c>
      <c r="C16" s="24" t="inlineStr">
        <is>
          <t>çarpan</t>
        </is>
      </c>
      <c r="D16" s="24" t="inlineStr">
        <is>
          <t>Tornado yüklenen şoku</t>
        </is>
      </c>
      <c r="E16" s="24" t="inlineStr">
        <is>
          <t>Model varsayımı</t>
        </is>
      </c>
      <c r="F16" s="24" t="inlineStr">
        <is>
          <t>01.01.2025</t>
        </is>
      </c>
      <c r="G16" s="24" t="inlineStr">
        <is>
          <t>14.08.2026</t>
        </is>
      </c>
      <c r="H16" s="63">
        <f>IF(A16="","",IF(B16="","EKSİK","TAM"))</f>
        <v/>
      </c>
    </row>
    <row r="17">
      <c r="A17" s="24" t="inlineStr">
        <is>
          <t>kil_tornadoIhrac</t>
        </is>
      </c>
      <c r="B17" s="37" t="n">
        <v>1.05</v>
      </c>
      <c r="C17" s="24" t="inlineStr">
        <is>
          <t>çarpan</t>
        </is>
      </c>
      <c r="D17" s="24" t="inlineStr">
        <is>
          <t>Tornado ihraç şoku</t>
        </is>
      </c>
      <c r="E17" s="24" t="inlineStr">
        <is>
          <t>Model varsayımı</t>
        </is>
      </c>
      <c r="F17" s="24" t="inlineStr">
        <is>
          <t>01.01.2025</t>
        </is>
      </c>
      <c r="G17" s="24" t="inlineStr">
        <is>
          <t>14.08.2026</t>
        </is>
      </c>
      <c r="H17" s="63">
        <f>IF(A17="","",IF(B17="","EKSİK","TAM"))</f>
        <v/>
      </c>
    </row>
    <row r="18">
      <c r="A18" s="24" t="inlineStr">
        <is>
          <t>kil_tornadoGcb</t>
        </is>
      </c>
      <c r="B18" s="37" t="n">
        <v>0.95</v>
      </c>
      <c r="C18" s="24" t="inlineStr">
        <is>
          <t>çarpan</t>
        </is>
      </c>
      <c r="D18" s="24" t="inlineStr">
        <is>
          <t>Tornado GÇB şoku</t>
        </is>
      </c>
      <c r="E18" s="24" t="inlineStr">
        <is>
          <t>Model varsayımı</t>
        </is>
      </c>
      <c r="F18" s="24" t="inlineStr">
        <is>
          <t>01.01.2025</t>
        </is>
      </c>
      <c r="G18" s="24" t="inlineStr">
        <is>
          <t>14.08.2026</t>
        </is>
      </c>
      <c r="H18" s="63">
        <f>IF(A18="","",IF(B18="","EKSİK","TAM"))</f>
        <v/>
      </c>
    </row>
    <row r="19">
      <c r="A19" s="24" t="inlineStr">
        <is>
          <t>kil_yuzdelikOran</t>
        </is>
      </c>
      <c r="B19" s="37" t="n">
        <v>0.9</v>
      </c>
      <c r="C19" s="24" t="inlineStr">
        <is>
          <t>oran</t>
        </is>
      </c>
      <c r="D19" s="24" t="inlineStr">
        <is>
          <t>Yüzdelik P90</t>
        </is>
      </c>
      <c r="E19" s="24" t="inlineStr">
        <is>
          <t>İstatistik</t>
        </is>
      </c>
      <c r="F19" s="24" t="inlineStr">
        <is>
          <t>01.01.2025</t>
        </is>
      </c>
      <c r="G19" s="24" t="inlineStr">
        <is>
          <t>14.08.2026</t>
        </is>
      </c>
      <c r="H19" s="63">
        <f>IF(A19="","",IF(B19="","EKSİK","TAM"))</f>
        <v/>
      </c>
    </row>
    <row r="20">
      <c r="A20" s="24" t="inlineStr">
        <is>
          <t>kil_parmakIzi</t>
        </is>
      </c>
      <c r="B20" s="65" t="inlineStr">
        <is>
          <t>d628bcbe2cac2b1c</t>
        </is>
      </c>
      <c r="C20" s="24" t="inlineStr">
        <is>
          <t>metin</t>
        </is>
      </c>
      <c r="D20" s="24" t="inlineStr">
        <is>
          <t>Dosya parmak izi etiketi</t>
        </is>
      </c>
      <c r="E20" s="24" t="inlineStr">
        <is>
          <t>Üretim</t>
        </is>
      </c>
      <c r="F20" s="24" t="inlineStr">
        <is>
          <t>01.01.2025</t>
        </is>
      </c>
      <c r="G20" s="24" t="inlineStr">
        <is>
          <t>14.08.2026</t>
        </is>
      </c>
      <c r="H20" s="63">
        <f>IF(A20="","",IF(B20="","EKSİK","TAM"))</f>
        <v/>
      </c>
    </row>
    <row r="21">
      <c r="A21" s="24" t="inlineStr">
        <is>
          <t>dosya_surumu</t>
        </is>
      </c>
      <c r="B21" s="65" t="inlineStr">
        <is>
          <t>1.0.0</t>
        </is>
      </c>
      <c r="C21" s="24" t="inlineStr">
        <is>
          <t>metin</t>
        </is>
      </c>
      <c r="D21" s="24" t="inlineStr">
        <is>
          <t>Ürün sürümü</t>
        </is>
      </c>
      <c r="E21" s="24" t="inlineStr">
        <is>
          <t>ExcelArşiv</t>
        </is>
      </c>
      <c r="F21" s="24" t="inlineStr">
        <is>
          <t>01.01.2025</t>
        </is>
      </c>
      <c r="G21" s="24" t="inlineStr">
        <is>
          <t>14.08.2026</t>
        </is>
      </c>
      <c r="H21" s="63">
        <f>IF(A21="","",IF(B21="","EKSİK","TAM"))</f>
        <v/>
      </c>
    </row>
    <row r="22">
      <c r="A22" s="24" t="inlineStr">
        <is>
          <t>kil_girisBeklenen</t>
        </is>
      </c>
      <c r="B22" s="39" t="n">
        <v>10</v>
      </c>
      <c r="C22" s="24" t="inlineStr">
        <is>
          <t>adet</t>
        </is>
      </c>
      <c r="D22" s="24" t="inlineStr">
        <is>
          <t>Zorunlu giriş alanı sayısı</t>
        </is>
      </c>
      <c r="E22" s="24" t="inlineStr">
        <is>
          <t>Ürün mimarisi</t>
        </is>
      </c>
      <c r="F22" s="24" t="inlineStr">
        <is>
          <t>01.01.2025</t>
        </is>
      </c>
      <c r="G22" s="24" t="inlineStr">
        <is>
          <t>14.08.2026</t>
        </is>
      </c>
      <c r="H22" s="63">
        <f>IF(A22="","",IF(B22="","EKSİK","TAM"))</f>
        <v/>
      </c>
    </row>
    <row r="23">
      <c r="A23" s="24" t="inlineStr">
        <is>
          <t>kil_riskDusuk</t>
        </is>
      </c>
      <c r="B23" s="39" t="n">
        <v>15</v>
      </c>
      <c r="C23" s="24" t="inlineStr">
        <is>
          <t>puan</t>
        </is>
      </c>
      <c r="D23" s="24" t="inlineStr">
        <is>
          <t>Düşük risk skoru</t>
        </is>
      </c>
      <c r="E23" s="24" t="inlineStr">
        <is>
          <t>İç politika</t>
        </is>
      </c>
      <c r="F23" s="24" t="inlineStr">
        <is>
          <t>01.01.2025</t>
        </is>
      </c>
      <c r="G23" s="24" t="inlineStr">
        <is>
          <t>14.08.2026</t>
        </is>
      </c>
      <c r="H23" s="63">
        <f>IF(A23="","",IF(B23="","EKSİK","TAM"))</f>
        <v/>
      </c>
    </row>
    <row r="24">
      <c r="A24" s="24" t="inlineStr">
        <is>
          <t>kil_riskOrta</t>
        </is>
      </c>
      <c r="B24" s="39" t="n">
        <v>55</v>
      </c>
      <c r="C24" s="24" t="inlineStr">
        <is>
          <t>puan</t>
        </is>
      </c>
      <c r="D24" s="24" t="inlineStr">
        <is>
          <t>Orta risk skoru</t>
        </is>
      </c>
      <c r="E24" s="24" t="inlineStr">
        <is>
          <t>İç politika</t>
        </is>
      </c>
      <c r="F24" s="24" t="inlineStr">
        <is>
          <t>01.01.2025</t>
        </is>
      </c>
      <c r="G24" s="24" t="inlineStr">
        <is>
          <t>14.08.2026</t>
        </is>
      </c>
      <c r="H24" s="63">
        <f>IF(A24="","",IF(B24="","EKSİK","TAM"))</f>
        <v/>
      </c>
    </row>
    <row r="25">
      <c r="A25" s="24" t="inlineStr">
        <is>
          <t>kil_riskYuksek</t>
        </is>
      </c>
      <c r="B25" s="39" t="n">
        <v>85</v>
      </c>
      <c r="C25" s="24" t="inlineStr">
        <is>
          <t>puan</t>
        </is>
      </c>
      <c r="D25" s="24" t="inlineStr">
        <is>
          <t>Yüksek risk skoru</t>
        </is>
      </c>
      <c r="E25" s="24" t="inlineStr">
        <is>
          <t>İç politika</t>
        </is>
      </c>
      <c r="F25" s="24" t="inlineStr">
        <is>
          <t>01.01.2025</t>
        </is>
      </c>
      <c r="G25" s="24" t="inlineStr">
        <is>
          <t>14.08.2026</t>
        </is>
      </c>
      <c r="H25" s="63">
        <f>IF(A25="","",IF(B25="","EKSİK","TAM"))</f>
        <v/>
      </c>
    </row>
    <row r="26">
      <c r="A26" s="24" t="inlineStr">
        <is>
          <t>kil_yilTaban</t>
        </is>
      </c>
      <c r="B26" s="39" t="n">
        <v>2024</v>
      </c>
      <c r="C26" s="24" t="inlineStr">
        <is>
          <t>yıl</t>
        </is>
      </c>
      <c r="D26" s="24" t="inlineStr">
        <is>
          <t>CHOOSE yıl tabanı (hesapYili−taban)</t>
        </is>
      </c>
      <c r="E26" s="24" t="inlineStr">
        <is>
          <t>Ürün mimarisi</t>
        </is>
      </c>
      <c r="F26" s="24" t="inlineStr">
        <is>
          <t>01.01.2025</t>
        </is>
      </c>
      <c r="G26" s="24" t="inlineStr">
        <is>
          <t>14.08.2026</t>
        </is>
      </c>
      <c r="H26" s="63">
        <f>IF(A26="","",IF(B26="","EKSİK","TAM"))</f>
        <v/>
      </c>
    </row>
    <row r="27">
      <c r="A27" s="24" t="inlineStr">
        <is>
          <t>kil_yuvarMax</t>
        </is>
      </c>
      <c r="B27" s="39" t="n">
        <v>2</v>
      </c>
      <c r="C27" s="24" t="inlineStr">
        <is>
          <t>adet</t>
        </is>
      </c>
      <c r="D27" s="24" t="inlineStr">
        <is>
          <t>ROUND basamak tavanı</t>
        </is>
      </c>
      <c r="E27" s="24" t="inlineStr">
        <is>
          <t>Ürün mimarisi</t>
        </is>
      </c>
      <c r="F27" s="24" t="inlineStr">
        <is>
          <t>01.01.2025</t>
        </is>
      </c>
      <c r="G27" s="24" t="inlineStr">
        <is>
          <t>14.08.2026</t>
        </is>
      </c>
      <c r="H27" s="63">
        <f>IF(A27="","",IF(B27="","EKSİK","TAM"))</f>
        <v/>
      </c>
    </row>
    <row r="28">
      <c r="A28" s="24" t="inlineStr">
        <is>
          <t>vaka_indirilecek</t>
        </is>
      </c>
      <c r="B28" s="38" t="n">
        <v>800000</v>
      </c>
      <c r="C28" s="24" t="inlineStr">
        <is>
          <t>TL</t>
        </is>
      </c>
      <c r="D28" s="24" t="inlineStr">
        <is>
          <t>Vaka indirilecek KDV</t>
        </is>
      </c>
      <c r="E28" s="24" t="inlineStr">
        <is>
          <t>Demo vaka</t>
        </is>
      </c>
      <c r="F28" s="24" t="inlineStr">
        <is>
          <t>01.01.2025</t>
        </is>
      </c>
      <c r="G28" s="24" t="inlineStr">
        <is>
          <t>14.08.2026</t>
        </is>
      </c>
      <c r="H28" s="63">
        <f>IF(A28="","",IF(B28="","EKSİK","TAM"))</f>
        <v/>
      </c>
    </row>
    <row r="29">
      <c r="A29" s="24" t="inlineStr">
        <is>
          <t>vaka_yuklenen</t>
        </is>
      </c>
      <c r="B29" s="38" t="n">
        <v>2000000</v>
      </c>
      <c r="C29" s="24" t="inlineStr">
        <is>
          <t>TL</t>
        </is>
      </c>
      <c r="D29" s="24" t="inlineStr">
        <is>
          <t>Vaka yüklenen KDV</t>
        </is>
      </c>
      <c r="E29" s="24" t="inlineStr">
        <is>
          <t>Demo vaka</t>
        </is>
      </c>
      <c r="F29" s="24" t="inlineStr">
        <is>
          <t>01.01.2025</t>
        </is>
      </c>
      <c r="G29" s="24" t="inlineStr">
        <is>
          <t>14.08.2026</t>
        </is>
      </c>
      <c r="H29" s="63">
        <f>IF(A29="","",IF(B29="","EKSİK","TAM"))</f>
        <v/>
      </c>
    </row>
    <row r="30">
      <c r="A30" s="24" t="inlineStr">
        <is>
          <t>vaka_ihrac</t>
        </is>
      </c>
      <c r="B30" s="38" t="n">
        <v>5000000</v>
      </c>
      <c r="C30" s="24" t="inlineStr">
        <is>
          <t>TL</t>
        </is>
      </c>
      <c r="D30" s="24" t="inlineStr">
        <is>
          <t>Vaka ihraç hasılat</t>
        </is>
      </c>
      <c r="E30" s="24" t="inlineStr">
        <is>
          <t>Demo vaka</t>
        </is>
      </c>
      <c r="F30" s="24" t="inlineStr">
        <is>
          <t>01.01.2025</t>
        </is>
      </c>
      <c r="G30" s="24" t="inlineStr">
        <is>
          <t>14.08.2026</t>
        </is>
      </c>
      <c r="H30" s="63">
        <f>IF(A30="","",IF(B30="","EKSİK","TAM"))</f>
        <v/>
      </c>
    </row>
    <row r="31">
      <c r="A31" s="24" t="inlineStr">
        <is>
          <t>vaka_gcb</t>
        </is>
      </c>
      <c r="B31" s="38" t="n">
        <v>4500000</v>
      </c>
      <c r="C31" s="24" t="inlineStr">
        <is>
          <t>TL</t>
        </is>
      </c>
      <c r="D31" s="24" t="inlineStr">
        <is>
          <t>Vaka GÇB tutarı</t>
        </is>
      </c>
      <c r="E31" s="24" t="inlineStr">
        <is>
          <t>Demo vaka</t>
        </is>
      </c>
      <c r="F31" s="24" t="inlineStr">
        <is>
          <t>01.01.2025</t>
        </is>
      </c>
      <c r="G31" s="24" t="inlineStr">
        <is>
          <t>14.08.2026</t>
        </is>
      </c>
      <c r="H31" s="63">
        <f>IF(A31="","",IF(B31="","EKSİK","TAM"))</f>
        <v/>
      </c>
    </row>
    <row r="33">
      <c r="B33" s="66" t="inlineStr">
        <is>
          <t>Parametre satırları yukarıda; ad tanımları B kolonuna bağlı.</t>
        </is>
      </c>
    </row>
    <row r="35">
      <c r="B35" s="61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İade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Negatif olamaz." promptTitle="Belge limiti" prompt="0 ve üzeri." type="whole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2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KDV İade Listesi Robotu (GİB 7 Liste)</t>
        </is>
      </c>
    </row>
    <row r="3">
      <c r="A3" s="21" t="inlineStr">
        <is>
          <t>Karar kuralları</t>
        </is>
      </c>
    </row>
    <row r="5">
      <c r="A5" s="43" t="inlineStr">
        <is>
          <t>• VERİ YOK — giriş tablosu boşsa hesap yapılmaz.</t>
        </is>
      </c>
    </row>
    <row r="6">
      <c r="A6" s="43" t="inlineStr">
        <is>
          <t>• İADE — seçili iade tutarı eşik üzerinde ve belge limiti aşılmamış.</t>
        </is>
      </c>
    </row>
    <row r="7">
      <c r="A7" s="43" t="inlineStr">
        <is>
          <t>• EKSİK BELGE — belge eksik adedi kil_belgeLimit üstünde.</t>
        </is>
      </c>
    </row>
    <row r="8">
      <c r="A8" s="43" t="inlineStr">
        <is>
          <t>• BEKLE — seçili iade eşik altında veya sapma belirsiz.</t>
        </is>
      </c>
    </row>
    <row r="10">
      <c r="A10" s="12" t="inlineStr">
        <is>
          <t>GİB 7 liste adları</t>
        </is>
      </c>
    </row>
    <row r="11">
      <c r="A11" s="43" t="inlineStr">
        <is>
          <t>LISTE_1: İndirilecek KDV Listesi</t>
        </is>
      </c>
    </row>
    <row r="12">
      <c r="A12" s="43" t="inlineStr">
        <is>
          <t>LISTE_2: Yüklenilen KDV Listesi</t>
        </is>
      </c>
    </row>
    <row r="13">
      <c r="A13" s="43" t="inlineStr">
        <is>
          <t>LISTE_3: GÇB Listesi</t>
        </is>
      </c>
    </row>
    <row r="14">
      <c r="A14" s="43" t="inlineStr">
        <is>
          <t>LISTE_4: Satış Faturaları Listesi</t>
        </is>
      </c>
    </row>
    <row r="15">
      <c r="A15" s="43" t="inlineStr">
        <is>
          <t>LISTE_5: Alış Faturaları Listesi</t>
        </is>
      </c>
    </row>
    <row r="16">
      <c r="A16" s="43" t="inlineStr">
        <is>
          <t>LISTE_6: İade Hesap Cetveli</t>
        </is>
      </c>
    </row>
    <row r="17">
      <c r="A17" s="43" t="inlineStr">
        <is>
          <t>LISTE_7: Ek Belge / Tamamlayıcı Liste</t>
        </is>
      </c>
    </row>
    <row r="19">
      <c r="A19" s="67" t="inlineStr">
        <is>
          <t>Belirsizlik beyanları (M05)</t>
        </is>
      </c>
    </row>
    <row r="20">
      <c r="A20" s="68" t="inlineStr">
        <is>
          <t>Bu nokta mevzuatta tartışmalıdır; dosya yorum A ve yorum B sonucunu yan yana gösterir: liste_sirasi</t>
        </is>
      </c>
    </row>
    <row r="22">
      <c r="A22" s="10" t="inlineStr">
        <is>
          <t>Yorum A</t>
        </is>
      </c>
      <c r="B22" s="43" t="inlineStr">
        <is>
          <t>İade tavanı ihraç hasılatı × KDV oranı ile sınırlanır (LISTE_4 / hasılat). Bu nokta mevzuatta tartışmalıdır; sonuç yorum B ile yan yana okunmalıdır.</t>
        </is>
      </c>
    </row>
    <row r="23">
      <c r="A23" s="10" t="inlineStr">
        <is>
          <t>Yorum B</t>
        </is>
      </c>
      <c r="B23" s="43" t="inlineStr">
        <is>
          <t>İade tavanı GÇB tutarı × KDV oranı ile sınırlanır (LISTE_3). Dosya her iki yorumun sonucunu MOTOR'da üretir.</t>
        </is>
      </c>
    </row>
    <row r="25">
      <c r="A25" s="10" t="inlineStr">
        <is>
          <t>Kullanım sırası</t>
        </is>
      </c>
    </row>
    <row r="26">
      <c r="A26" s="43" t="inlineStr">
        <is>
          <t>GIRDI → KURALLAR → MOTOR → LISTE_1..LISTE_7 → SENARYO → VAKALAR → PANO → KANIT_RAPORU → AYARLAR → KILAVUZ.</t>
        </is>
      </c>
    </row>
    <row r="28">
      <c r="A28" s="6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7">
    <mergeCell ref="A5:T5"/>
    <mergeCell ref="A8:T8"/>
    <mergeCell ref="A6:T6"/>
    <mergeCell ref="A17:T17"/>
    <mergeCell ref="A12:T12"/>
    <mergeCell ref="B22:J22"/>
    <mergeCell ref="A14:T14"/>
    <mergeCell ref="A15:T15"/>
    <mergeCell ref="A7:T7"/>
    <mergeCell ref="B23:J23"/>
    <mergeCell ref="A20:T20"/>
    <mergeCell ref="A19:J19"/>
    <mergeCell ref="A16:T16"/>
    <mergeCell ref="A26:J26"/>
    <mergeCell ref="A13:T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2026-08-14T19:28:45Z</dcterms:created>
  <dcterms:modified xmlns:dcterms="http://purl.org/dc/terms/" xmlns:xsi="http://www.w3.org/2001/XMLSchema-instance" xsi:type="dcterms:W3CDTF">2026-09-25T14:12:29Z</dcterms:modified>
</cp:coreProperties>
</file>