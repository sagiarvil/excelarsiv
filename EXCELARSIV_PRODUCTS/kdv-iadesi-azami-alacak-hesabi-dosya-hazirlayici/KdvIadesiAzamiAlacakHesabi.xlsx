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2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5.xml" ContentType="application/vnd.openxmlformats-officedocument.spreadsheetml.comments+xml"/>
  <Override PartName="/xl/worksheets/sheet24.xml" ContentType="application/vnd.openxmlformats-officedocument.spreadsheetml.worksheet+xml"/>
  <Override PartName="/xl/comments/comment6.xml" ContentType="application/vnd.openxmlformats-officedocument.spreadsheetml.comments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KDV_BELGELERI" sheetId="12" state="visible" r:id="rId12"/>
    <sheet xmlns:r="http://schemas.openxmlformats.org/officeDocument/2006/relationships" name="HESAP" sheetId="13" state="visible" r:id="rId13"/>
    <sheet xmlns:r="http://schemas.openxmlformats.org/officeDocument/2006/relationships" name="ANALITIK_MOTOR" sheetId="14" state="visible" r:id="rId14"/>
    <sheet xmlns:r="http://schemas.openxmlformats.org/officeDocument/2006/relationships" name="KONTROLLER" sheetId="15" state="visible" r:id="rId15"/>
    <sheet xmlns:r="http://schemas.openxmlformats.org/officeDocument/2006/relationships" name="KARAR" sheetId="16" state="visible" r:id="rId16"/>
    <sheet xmlns:r="http://schemas.openxmlformats.org/officeDocument/2006/relationships" name="SENARYO_DUYARLILIK" sheetId="17" state="visible" r:id="rId17"/>
    <sheet xmlns:r="http://schemas.openxmlformats.org/officeDocument/2006/relationships" name="RAPO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KURALLAR" sheetId="20" state="visible" r:id="rId20"/>
    <sheet xmlns:r="http://schemas.openxmlformats.org/officeDocument/2006/relationships" name="VAKALAR" sheetId="21" state="visible" r:id="rId21"/>
    <sheet xmlns:r="http://schemas.openxmlformats.org/officeDocument/2006/relationships" name="DEGISIKLIK_KAYDI" sheetId="22" state="visible" r:id="rId22"/>
    <sheet xmlns:r="http://schemas.openxmlformats.org/officeDocument/2006/relationships" name="LISTELER" sheetId="23" state="visible" r:id="rId23"/>
    <sheet xmlns:r="http://schemas.openxmlformats.org/officeDocument/2006/relationships" name="AYARLAR" sheetId="24" state="visible" r:id="rId24"/>
    <sheet xmlns:r="http://schemas.openxmlformats.org/officeDocument/2006/relationships" name="KILAVUZ" sheetId="25" state="visible" r:id="rId25"/>
  </sheets>
  <definedNames>
    <definedName name="AzamiIadeAlacak" hidden="0" function="0" vbProcedure="0">HESAP!$B$15</definedName>
    <definedName name="DevredenKdv" hidden="0" function="0" vbProcedure="0">HESAP!$B$13</definedName>
    <definedName name="DosyaSurumu" hidden="0" function="0" vbProcedure="0">AYARLAR!$B$10</definedName>
    <definedName name="EksikBelgeSayisi" hidden="0" function="0" vbProcedure="0">HESAP!$B$16</definedName>
    <definedName name="FirmaUnvan" hidden="0" function="0" vbProcedure="0">AYARLAR!$B$7</definedName>
    <definedName name="HesaplananKdv" hidden="0" function="0" vbProcedure="0">HESAP!$E$11</definedName>
    <definedName name="IadeKullanimOrani" hidden="0" function="0" vbProcedure="0">HESAP!$B$17</definedName>
    <definedName name="IhracatIadeSiniri" hidden="0" function="0" vbProcedure="0">HESAP!$B$14</definedName>
    <definedName name="IhracatMatrahi" hidden="0" function="0" vbProcedure="0">HESAP!$G$11</definedName>
    <definedName name="IndirilecekKdv" hidden="0" function="0" vbProcedure="0">HESAP!$F$11</definedName>
    <definedName name="KdvAksiyon1_ACIKLAMA" hidden="0" function="0" vbProcedure="0">AYARLAR!$B$22</definedName>
    <definedName name="KdvAksiyon2_ACIKLAMA" hidden="0" function="0" vbProcedure="0">AYARLAR!$B$23</definedName>
    <definedName name="KdvAksiyon3_ACIKLAMA" hidden="0" function="0" vbProcedure="0">AYARLAR!$B$24</definedName>
    <definedName name="KdvBazSenaryo" hidden="0" function="0" vbProcedure="0">AYARLAR!$B$15</definedName>
    <definedName name="KdvDoluGiris" hidden="0" function="0" vbProcedure="0">KONTROLLER!$B$18</definedName>
    <definedName name="KdvIadeEsik" hidden="0" function="0" vbProcedure="0">AYARLAR!$B$11</definedName>
    <definedName name="KdvIyiSenaryo" hidden="0" function="0" vbProcedure="0">AYARLAR!$B$14</definedName>
    <definedName name="KdvKaliteIyi" hidden="0" function="0" vbProcedure="0">AYARLAR!$B$20</definedName>
    <definedName name="KdvKaliteOrta" hidden="0" function="0" vbProcedure="0">AYARLAR!$B$21</definedName>
    <definedName name="KdvKotuSenaryo" hidden="0" function="0" vbProcedure="0">AYARLAR!$B$16</definedName>
    <definedName name="KdvKullanimEsik" hidden="0" function="0" vbProcedure="0">AYARLAR!$B$13</definedName>
    <definedName name="KdvMatrahEsik" hidden="0" function="0" vbProcedure="0">AYARLAR!$B$12</definedName>
    <definedName name="KdvP90Oran" hidden="0" function="0" vbProcedure="0">AYARLAR!$B$25</definedName>
    <definedName name="KdvPanelSatir1" hidden="0" function="0" vbProcedure="0">AYARLAR!$B$26</definedName>
    <definedName name="KdvPanelSatir10" hidden="0" function="0" vbProcedure="0">AYARLAR!$B$35</definedName>
    <definedName name="KdvPanelSatir11" hidden="0" function="0" vbProcedure="0">AYARLAR!$B$36</definedName>
    <definedName name="KdvPanelSatir12" hidden="0" function="0" vbProcedure="0">AYARLAR!$B$37</definedName>
    <definedName name="KdvPanelSatir2" hidden="0" function="0" vbProcedure="0">AYARLAR!$B$27</definedName>
    <definedName name="KdvPanelSatir3" hidden="0" function="0" vbProcedure="0">AYARLAR!$B$28</definedName>
    <definedName name="KdvPanelSatir4" hidden="0" function="0" vbProcedure="0">AYARLAR!$B$29</definedName>
    <definedName name="KdvPanelSatir5" hidden="0" function="0" vbProcedure="0">AYARLAR!$B$30</definedName>
    <definedName name="KdvPanelSatir6" hidden="0" function="0" vbProcedure="0">AYARLAR!$B$31</definedName>
    <definedName name="KdvPanelSatir7" hidden="0" function="0" vbProcedure="0">AYARLAR!$B$32</definedName>
    <definedName name="KdvPanelSatir8" hidden="0" function="0" vbProcedure="0">AYARLAR!$B$33</definedName>
    <definedName name="KdvPanelSatir9" hidden="0" function="0" vbProcedure="0">AYARLAR!$B$34</definedName>
    <definedName name="KdvTahminCarpan" hidden="0" function="0" vbProcedure="0">AYARLAR!$B$19</definedName>
    <definedName name="KdvToplamGiris" hidden="0" function="0" vbProcedure="0">KONTROLLER!$B$17</definedName>
    <definedName name="KdvTornadoDevreden" hidden="0" function="0" vbProcedure="0">AYARLAR!$B$17</definedName>
    <definedName name="KdvTornadoIhracat" hidden="0" function="0" vbProcedure="0">AYARLAR!$B$18</definedName>
    <definedName name="kuralIdReferans" hidden="0" function="0" vbProcedure="0">KURALLAR!$A$4</definedName>
    <definedName name="ListeBelgeTurleri" hidden="0" function="0" vbProcedure="0">LISTELER!$A$7:$A$11</definedName>
    <definedName name="ListeKdvOranlari" hidden="0" function="0" vbProcedure="0">LISTELER!$C$7:$C$9</definedName>
    <definedName name="ListeTahsilatDurumlari" hidden="0" function="0" vbProcedure="0">LISTELER!$E$7:$E$8</definedName>
    <definedName name="modulI1IadeTahmin" hidden="0" function="0" vbProcedure="0">ANALITIK_MOTOR!$C$13</definedName>
    <definedName name="modulI1IadeTahminYorum" hidden="0" function="0" vbProcedure="0">ANALITIK_MOTOR!$D$13</definedName>
    <definedName name="modulI2YuzdelikP90" hidden="0" function="0" vbProcedure="0">ANALITIK_MOTOR!$C$14</definedName>
    <definedName name="modulI2YuzdelikP90Yorum" hidden="0" function="0" vbProcedure="0">ANALITIK_MOTOR!$D$14</definedName>
    <definedName name="modulO1Anomali" hidden="0" function="0" vbProcedure="0">ANALITIK_MOTOR!$C$8</definedName>
    <definedName name="modulO1AnomaliYorum" hidden="0" function="0" vbProcedure="0">ANALITIK_MOTOR!$D$8</definedName>
    <definedName name="modulO2Tornado" hidden="0" function="0" vbProcedure="0">ANALITIK_MOTOR!$C$9</definedName>
    <definedName name="modulO2Tornado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6Hhi" hidden="0" function="0" vbProcedure="0">ANALITIK_MOTOR!$C$11</definedName>
    <definedName name="modulO6HhiYorum" hidden="0" function="0" vbProcedure="0">ANALITIK_MOTOR!$D$11</definedName>
    <definedName name="modulO8KaliteSkor" hidden="0" function="0" vbProcedure="0">ANALITIK_MOTOR!$C$12</definedName>
    <definedName name="modulO8KaliteSkorYorum" hidden="0" function="0" vbProcedure="0">ANALITIK_MOTOR!$D$12</definedName>
    <definedName name="modulT1BelgeVade" hidden="0" function="0" vbProcedure="0">ANALITIK_MOTOR!$C$6</definedName>
    <definedName name="modulT1BelgeVadeYorum" hidden="0" function="0" vbProcedure="0">ANALITIK_MOTOR!$D$6</definedName>
    <definedName name="modulT4DonemFark" hidden="0" function="0" vbProcedure="0">ANALITIK_MOTOR!$C$7</definedName>
    <definedName name="modulT4DonemFarkYorum" hidden="0" function="0" vbProcedure="0">ANALITIK_MOTOR!$D$7</definedName>
    <definedName name="RaporHazirlayan" hidden="0" function="0" vbProcedure="0">AYARLAR!$B$9</definedName>
    <definedName name="RaporTarihi" hidden="0" function="0" vbProcedure="0">AYARLAR!$B$8</definedName>
    <definedName name="_xlnm.Print_Area" localSheetId="17">'RAPOR'!$A$1:$L$28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&quot;₺ &quot;#,##0;[RED]&quot;(₺ &quot;#,##0\);\-"/>
    <numFmt numFmtId="166" formatCode="0.0%;[RED]\(0.0%\);\-"/>
    <numFmt numFmtId="167" formatCode="0.000"/>
    <numFmt numFmtId="168" formatCode="#,##0 &quot;TL&quot;"/>
    <numFmt numFmtId="169" formatCode="0.0%"/>
    <numFmt numFmtId="170" formatCode="₺#,##0"/>
  </numFmts>
  <fonts count="9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333333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5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165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6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165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166" fontId="21" fillId="0" borderId="0" applyAlignment="1" pivotButton="0" quotePrefix="0" xfId="0">
      <alignment horizontal="left" vertical="center"/>
    </xf>
    <xf numFmtId="165" fontId="21" fillId="4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applyProtection="1" pivotButton="0" quotePrefix="0" xfId="0">
      <alignment horizontal="left" vertical="center"/>
      <protection locked="0" hidden="0"/>
    </xf>
    <xf numFmtId="166" fontId="2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5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3" fillId="8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0" borderId="0" pivotButton="0" quotePrefix="0" xfId="0"/>
    <xf numFmtId="0" fontId="41" fillId="0" borderId="0" pivotButton="0" quotePrefix="0" xfId="0"/>
    <xf numFmtId="0" fontId="36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9" borderId="0" applyAlignment="1" pivotButton="0" quotePrefix="0" xfId="0">
      <alignment horizontal="center" vertical="center" wrapText="1"/>
    </xf>
    <xf numFmtId="0" fontId="37" fillId="0" borderId="0" pivotButton="0" quotePrefix="0" xfId="0"/>
    <xf numFmtId="0" fontId="38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3" fillId="8" borderId="0" applyAlignment="1" pivotButton="0" quotePrefix="0" xfId="0">
      <alignment horizontal="center" vertical="center"/>
    </xf>
    <xf numFmtId="0" fontId="44" fillId="0" borderId="0" pivotButton="0" quotePrefix="0" xfId="0"/>
    <xf numFmtId="168" fontId="44" fillId="0" borderId="0" pivotButton="0" quotePrefix="0" xfId="0"/>
    <xf numFmtId="168" fontId="45" fillId="0" borderId="0" pivotButton="0" quotePrefix="0" xfId="0"/>
    <xf numFmtId="169" fontId="44" fillId="0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48" fillId="8" borderId="0" applyAlignment="1" pivotButton="0" quotePrefix="0" xfId="0">
      <alignment horizontal="center" vertical="center"/>
    </xf>
    <xf numFmtId="0" fontId="43" fillId="8" borderId="0" applyAlignment="1" pivotButton="0" quotePrefix="0" xfId="0">
      <alignment horizontal="center"/>
    </xf>
    <xf numFmtId="0" fontId="45" fillId="0" borderId="0" pivotButton="0" quotePrefix="0" xfId="0"/>
    <xf numFmtId="0" fontId="49" fillId="10" borderId="1" pivotButton="0" quotePrefix="0" xfId="0"/>
    <xf numFmtId="0" fontId="50" fillId="0" borderId="0" pivotButton="0" quotePrefix="0" xfId="0"/>
    <xf numFmtId="0" fontId="51" fillId="0" borderId="0" pivotButton="0" quotePrefix="0" xfId="0"/>
    <xf numFmtId="0" fontId="44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165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6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165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166" fontId="21" fillId="0" borderId="0" applyAlignment="1" pivotButton="0" quotePrefix="0" xfId="0">
      <alignment horizontal="left" vertical="center"/>
    </xf>
    <xf numFmtId="165" fontId="21" fillId="4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applyProtection="1" pivotButton="0" quotePrefix="0" xfId="0">
      <alignment horizontal="left" vertical="center"/>
      <protection locked="0" hidden="0"/>
    </xf>
    <xf numFmtId="166" fontId="2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5" borderId="0" applyAlignment="1" applyProtection="1" pivotButton="0" quotePrefix="0" xfId="0">
      <alignment horizontal="left" vertical="center"/>
      <protection locked="0" hidden="0"/>
    </xf>
    <xf numFmtId="0" fontId="32" fillId="0" borderId="0" applyAlignment="1" pivotButton="0" quotePrefix="0" xfId="0">
      <alignment horizontal="left" vertical="center" wrapText="1"/>
    </xf>
    <xf numFmtId="0" fontId="52" fillId="0" borderId="0" pivotButton="0" quotePrefix="0" xfId="0"/>
    <xf numFmtId="0" fontId="53" fillId="0" borderId="1" applyAlignment="1" pivotButton="0" quotePrefix="0" xfId="0">
      <alignment horizontal="center" vertical="center"/>
    </xf>
    <xf numFmtId="0" fontId="43" fillId="11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2" pivotButton="0" quotePrefix="0" xfId="0"/>
    <xf numFmtId="0" fontId="0" fillId="0" borderId="1" pivotButton="0" quotePrefix="0" xfId="0"/>
    <xf numFmtId="0" fontId="54" fillId="12" borderId="1" applyAlignment="1" pivotButton="0" quotePrefix="0" xfId="0">
      <alignment horizontal="center"/>
    </xf>
    <xf numFmtId="0" fontId="40" fillId="0" borderId="3" pivotButton="0" quotePrefix="0" xfId="0"/>
    <xf numFmtId="0" fontId="56" fillId="13" borderId="1" applyAlignment="1" pivotButton="0" quotePrefix="0" xfId="0">
      <alignment horizontal="center"/>
    </xf>
    <xf numFmtId="0" fontId="55" fillId="14" borderId="1" applyAlignment="1" pivotButton="0" quotePrefix="0" xfId="0">
      <alignment horizontal="center"/>
    </xf>
    <xf numFmtId="0" fontId="4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6" fillId="0" borderId="2" pivotButton="0" quotePrefix="0" xfId="0"/>
    <xf numFmtId="0" fontId="57" fillId="0" borderId="3" pivotButton="0" quotePrefix="0" xfId="0"/>
    <xf numFmtId="0" fontId="58" fillId="0" borderId="4" pivotButton="0" quotePrefix="0" xfId="0"/>
    <xf numFmtId="0" fontId="55" fillId="0" borderId="2" pivotButton="0" quotePrefix="0" xfId="0"/>
    <xf numFmtId="0" fontId="50" fillId="0" borderId="3" pivotButton="0" quotePrefix="0" xfId="0"/>
    <xf numFmtId="0" fontId="55" fillId="0" borderId="4" pivotButton="0" quotePrefix="0" xfId="0"/>
    <xf numFmtId="0" fontId="59" fillId="15" borderId="0" applyAlignment="1" pivotButton="0" quotePrefix="0" xfId="0">
      <alignment horizontal="center"/>
    </xf>
    <xf numFmtId="0" fontId="60" fillId="0" borderId="0" pivotButton="0" quotePrefix="0" xfId="0"/>
    <xf numFmtId="0" fontId="59" fillId="16" borderId="0" applyAlignment="1" pivotButton="0" quotePrefix="0" xfId="0">
      <alignment horizontal="center" vertical="center"/>
    </xf>
    <xf numFmtId="0" fontId="60" fillId="0" borderId="1" pivotButton="0" quotePrefix="0" xfId="0"/>
    <xf numFmtId="0" fontId="61" fillId="0" borderId="1" pivotButton="0" quotePrefix="0" xfId="0"/>
    <xf numFmtId="0" fontId="62" fillId="0" borderId="1" pivotButton="0" quotePrefix="0" xfId="0"/>
    <xf numFmtId="0" fontId="63" fillId="17" borderId="1" applyAlignment="1" pivotButton="0" quotePrefix="0" xfId="0">
      <alignment horizontal="center"/>
    </xf>
    <xf numFmtId="0" fontId="59" fillId="8" borderId="0" pivotButton="0" quotePrefix="0" xfId="0"/>
    <xf numFmtId="0" fontId="64" fillId="8" borderId="0" pivotButton="0" quotePrefix="0" xfId="0"/>
    <xf numFmtId="0" fontId="65" fillId="8" borderId="0" pivotButton="0" quotePrefix="0" xfId="0"/>
    <xf numFmtId="0" fontId="0" fillId="8" borderId="0" pivotButton="0" quotePrefix="0" xfId="0"/>
    <xf numFmtId="0" fontId="37" fillId="8" borderId="0" applyAlignment="1" pivotButton="0" quotePrefix="0" xfId="0">
      <alignment horizontal="center"/>
    </xf>
    <xf numFmtId="0" fontId="53" fillId="0" borderId="0" pivotButton="0" quotePrefix="0" xfId="0"/>
    <xf numFmtId="0" fontId="68" fillId="18" borderId="0" pivotButton="0" quotePrefix="0" xfId="0"/>
    <xf numFmtId="0" fontId="0" fillId="18" borderId="0" pivotButton="0" quotePrefix="0" xfId="0"/>
    <xf numFmtId="0" fontId="55" fillId="0" borderId="0" pivotButton="0" quotePrefix="0" xfId="0"/>
    <xf numFmtId="0" fontId="43" fillId="18" borderId="0" pivotButton="0" quotePrefix="0" xfId="0"/>
    <xf numFmtId="0" fontId="69" fillId="18" borderId="0" applyAlignment="1" pivotButton="0" quotePrefix="0" xfId="0">
      <alignment wrapText="1"/>
    </xf>
    <xf numFmtId="0" fontId="66" fillId="0" borderId="0" pivotButton="0" quotePrefix="0" xfId="0"/>
    <xf numFmtId="0" fontId="67" fillId="0" borderId="0" pivotButton="0" quotePrefix="0" xfId="0"/>
    <xf numFmtId="0" fontId="55" fillId="14" borderId="5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34" fillId="20" borderId="1" applyAlignment="1" pivotButton="0" quotePrefix="0" xfId="0">
      <alignment vertical="center"/>
    </xf>
    <xf numFmtId="0" fontId="54" fillId="12" borderId="0" applyAlignment="1" pivotButton="0" quotePrefix="0" xfId="0">
      <alignment horizontal="center" vertical="center"/>
    </xf>
    <xf numFmtId="0" fontId="55" fillId="14" borderId="0" applyAlignment="1" pivotButton="0" quotePrefix="0" xfId="0">
      <alignment horizontal="center" vertical="center"/>
    </xf>
    <xf numFmtId="0" fontId="71" fillId="8" borderId="0" applyAlignment="1" pivotButton="0" quotePrefix="0" xfId="0">
      <alignment horizontal="center" vertical="center"/>
    </xf>
    <xf numFmtId="0" fontId="72" fillId="20" borderId="1" applyAlignment="1" pivotButton="0" quotePrefix="0" xfId="0">
      <alignment horizontal="center"/>
    </xf>
    <xf numFmtId="0" fontId="73" fillId="20" borderId="1" applyAlignment="1" pivotButton="0" quotePrefix="0" xfId="0">
      <alignment horizontal="center"/>
    </xf>
    <xf numFmtId="0" fontId="72" fillId="20" borderId="1" pivotButton="0" quotePrefix="0" xfId="0"/>
    <xf numFmtId="170" fontId="73" fillId="20" borderId="1" applyAlignment="1" pivotButton="0" quotePrefix="0" xfId="0">
      <alignment horizontal="right"/>
    </xf>
    <xf numFmtId="9" fontId="72" fillId="20" borderId="1" applyAlignment="1" pivotButton="0" quotePrefix="0" xfId="0">
      <alignment horizontal="center"/>
    </xf>
    <xf numFmtId="170" fontId="72" fillId="20" borderId="1" applyAlignment="1" pivotButton="0" quotePrefix="0" xfId="0">
      <alignment horizontal="right"/>
    </xf>
    <xf numFmtId="0" fontId="55" fillId="20" borderId="1" applyAlignment="1" pivotButton="0" quotePrefix="0" xfId="0">
      <alignment horizontal="center"/>
    </xf>
    <xf numFmtId="0" fontId="72" fillId="19" borderId="1" applyAlignment="1" pivotButton="0" quotePrefix="0" xfId="0">
      <alignment horizontal="center"/>
    </xf>
    <xf numFmtId="0" fontId="73" fillId="19" borderId="1" applyAlignment="1" pivotButton="0" quotePrefix="0" xfId="0">
      <alignment horizontal="center"/>
    </xf>
    <xf numFmtId="0" fontId="72" fillId="19" borderId="1" pivotButton="0" quotePrefix="0" xfId="0"/>
    <xf numFmtId="170" fontId="73" fillId="19" borderId="1" applyAlignment="1" pivotButton="0" quotePrefix="0" xfId="0">
      <alignment horizontal="right"/>
    </xf>
    <xf numFmtId="9" fontId="72" fillId="19" borderId="1" applyAlignment="1" pivotButton="0" quotePrefix="0" xfId="0">
      <alignment horizontal="center"/>
    </xf>
    <xf numFmtId="170" fontId="72" fillId="19" borderId="1" applyAlignment="1" pivotButton="0" quotePrefix="0" xfId="0">
      <alignment horizontal="right"/>
    </xf>
    <xf numFmtId="0" fontId="60" fillId="19" borderId="1" applyAlignment="1" pivotButton="0" quotePrefix="0" xfId="0">
      <alignment horizontal="center"/>
    </xf>
    <xf numFmtId="0" fontId="55" fillId="19" borderId="1" applyAlignment="1" pivotButton="0" quotePrefix="0" xfId="0">
      <alignment horizontal="center"/>
    </xf>
    <xf numFmtId="0" fontId="56" fillId="19" borderId="1" applyAlignment="1" pivotButton="0" quotePrefix="0" xfId="0">
      <alignment horizontal="center"/>
    </xf>
    <xf numFmtId="0" fontId="43" fillId="8" borderId="0" applyAlignment="1" pivotButton="0" quotePrefix="0" xfId="0">
      <alignment vertical="center" indent="1"/>
    </xf>
    <xf numFmtId="170" fontId="74" fillId="8" borderId="0" applyAlignment="1" pivotButton="0" quotePrefix="0" xfId="0">
      <alignment horizontal="right" vertical="center"/>
    </xf>
    <xf numFmtId="0" fontId="75" fillId="0" borderId="6" pivotButton="0" quotePrefix="0" xfId="0"/>
    <xf numFmtId="0" fontId="76" fillId="0" borderId="6" pivotButton="0" quotePrefix="0" xfId="0"/>
    <xf numFmtId="0" fontId="77" fillId="0" borderId="6" pivotButton="0" quotePrefix="0" xfId="0"/>
    <xf numFmtId="0" fontId="78" fillId="21" borderId="1" applyAlignment="1" pivotButton="0" quotePrefix="0" xfId="0">
      <alignment horizontal="center" vertical="center"/>
    </xf>
    <xf numFmtId="0" fontId="82" fillId="12" borderId="1" applyAlignment="1" pivotButton="0" quotePrefix="0" xfId="0">
      <alignment horizontal="center" vertical="center"/>
    </xf>
    <xf numFmtId="0" fontId="79" fillId="0" borderId="1" pivotButton="0" quotePrefix="0" xfId="0"/>
    <xf numFmtId="0" fontId="78" fillId="0" borderId="1" applyAlignment="1" pivotButton="0" quotePrefix="0" xfId="0">
      <alignment horizontal="right"/>
    </xf>
    <xf numFmtId="0" fontId="82" fillId="0" borderId="1" applyAlignment="1" pivotButton="0" quotePrefix="0" xfId="0">
      <alignment horizontal="right"/>
    </xf>
    <xf numFmtId="0" fontId="53" fillId="0" borderId="1" applyAlignment="1" pivotButton="0" quotePrefix="0" xfId="0">
      <alignment horizontal="right"/>
    </xf>
    <xf numFmtId="0" fontId="80" fillId="0" borderId="1" applyAlignment="1" pivotButton="0" quotePrefix="0" xfId="0">
      <alignment horizontal="right"/>
    </xf>
    <xf numFmtId="0" fontId="81" fillId="13" borderId="7" applyAlignment="1" pivotButton="0" quotePrefix="0" xfId="0">
      <alignment horizontal="center" vertical="center"/>
    </xf>
    <xf numFmtId="0" fontId="83" fillId="12" borderId="8" applyAlignment="1" pivotButton="0" quotePrefix="0" xfId="0">
      <alignment horizontal="center" vertical="center"/>
    </xf>
    <xf numFmtId="0" fontId="79" fillId="0" borderId="0" pivotButton="0" quotePrefix="0" xfId="0"/>
    <xf numFmtId="0" fontId="84" fillId="22" borderId="0" applyAlignment="1" pivotButton="0" quotePrefix="0" xfId="0">
      <alignment horizontal="left" vertical="center" wrapText="1"/>
    </xf>
    <xf numFmtId="0" fontId="85" fillId="23" borderId="0" applyAlignment="1" pivotButton="0" quotePrefix="0" xfId="0">
      <alignment vertical="center" wrapText="1"/>
    </xf>
    <xf numFmtId="0" fontId="86" fillId="24" borderId="0" applyAlignment="1" pivotButton="0" quotePrefix="0" xfId="0">
      <alignment vertical="top" wrapText="1"/>
    </xf>
    <xf numFmtId="0" fontId="87" fillId="0" borderId="0" applyAlignment="1" pivotButton="0" quotePrefix="0" xfId="0">
      <alignment vertical="top" wrapText="1"/>
    </xf>
    <xf numFmtId="0" fontId="88" fillId="22" borderId="0" applyAlignment="1" pivotButton="0" quotePrefix="0" xfId="0">
      <alignment horizontal="left" vertical="center" wrapText="1"/>
    </xf>
    <xf numFmtId="0" fontId="84" fillId="25" borderId="0" applyAlignment="1" pivotButton="0" quotePrefix="0" xfId="0">
      <alignment horizontal="left" vertical="center" wrapText="1"/>
    </xf>
    <xf numFmtId="0" fontId="85" fillId="25" borderId="0" applyAlignment="1" pivotButton="0" quotePrefix="0" xfId="0">
      <alignment vertical="center" wrapText="1"/>
    </xf>
    <xf numFmtId="0" fontId="89" fillId="26" borderId="0" applyAlignment="1" pivotButton="0" quotePrefix="0" xfId="0">
      <alignment vertical="top" wrapText="1"/>
    </xf>
    <xf numFmtId="0" fontId="84" fillId="27" borderId="0" applyAlignment="1" pivotButton="0" quotePrefix="0" xfId="0">
      <alignment horizontal="left" vertical="center" wrapText="1"/>
    </xf>
    <xf numFmtId="0" fontId="85" fillId="27" borderId="0" applyAlignment="1" pivotButton="0" quotePrefix="0" xfId="0">
      <alignment vertical="center" wrapText="1"/>
    </xf>
    <xf numFmtId="0" fontId="90" fillId="28" borderId="0" applyAlignment="1" pivotButton="0" quotePrefix="0" xfId="0">
      <alignment vertical="top" wrapText="1"/>
    </xf>
    <xf numFmtId="0" fontId="91" fillId="26" borderId="0" applyAlignment="1" pivotButton="0" quotePrefix="0" xfId="0">
      <alignment vertical="top" wrapText="1"/>
    </xf>
    <xf numFmtId="0" fontId="92" fillId="0" borderId="0" applyAlignment="1" pivotButton="0" quotePrefix="0" xfId="0">
      <alignment vertical="top" wrapText="1"/>
    </xf>
    <xf numFmtId="0" fontId="84" fillId="29" borderId="0" applyAlignment="1" pivotButton="0" quotePrefix="0" xfId="0">
      <alignment horizontal="left" vertical="center"/>
    </xf>
    <xf numFmtId="0" fontId="85" fillId="29" borderId="0" applyAlignment="1" pivotButton="0" quotePrefix="0" xfId="0">
      <alignment vertical="center" wrapText="1"/>
    </xf>
    <xf numFmtId="0" fontId="93" fillId="30" borderId="0" applyAlignment="1" pivotButton="0" quotePrefix="0" xfId="0">
      <alignment vertical="top" wrapText="1"/>
    </xf>
    <xf numFmtId="0" fontId="94" fillId="31" borderId="0" applyAlignment="1" pivotButton="0" quotePrefix="0" xfId="0">
      <alignment vertical="top" wrapText="1"/>
    </xf>
    <xf numFmtId="0" fontId="84" fillId="32" borderId="0" applyAlignment="1" pivotButton="0" quotePrefix="0" xfId="0">
      <alignment horizontal="left" vertical="center"/>
    </xf>
    <xf numFmtId="0" fontId="85" fillId="32" borderId="0" applyAlignment="1" pivotButton="0" quotePrefix="0" xfId="0">
      <alignment vertical="center" wrapText="1"/>
    </xf>
    <xf numFmtId="0" fontId="95" fillId="31" borderId="0" applyAlignment="1" pivotButton="0" quotePrefix="0" xfId="0">
      <alignment vertical="top" wrapText="1"/>
    </xf>
    <xf numFmtId="0" fontId="84" fillId="33" borderId="0" applyAlignment="1" pivotButton="0" quotePrefix="0" xfId="0">
      <alignment horizontal="left" vertical="center"/>
    </xf>
    <xf numFmtId="0" fontId="85" fillId="33" borderId="0" applyAlignment="1" pivotButton="0" quotePrefix="0" xfId="0">
      <alignment vertical="center" wrapText="1"/>
    </xf>
    <xf numFmtId="0" fontId="96" fillId="34" borderId="0" applyAlignment="1" pivotButton="0" quotePrefix="0" xfId="0">
      <alignment vertical="top" wrapText="1"/>
    </xf>
    <xf numFmtId="0" fontId="97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KDV belgelerini girin | Neden önemli: Ürünü doğru kullanmak için | Doğru kullanım: Sırayla izleyin</t>
      </text>
    </comment>
    <comment ref="A6" authorId="0" shapeId="0">
      <text>
        <t>Tanım: Adım 2 — İade hesabını izleyin | Neden önemli: Ürünü doğru kullanmak için | Doğru kullanım: Sırayla izleyin</t>
      </text>
    </comment>
    <comment ref="A7" authorId="0" shapeId="0">
      <text>
        <t>Tanım: Adım 3 — Dosya durumu ve karar | Neden önemli: Ürünü doğru kullanmak için | Doğru kullanım: Sırayla izleyin</t>
      </text>
    </comment>
    <comment ref="A8" authorId="0" shapeId="0">
      <text>
        <t>Tanım: Adım 4 — Eşikleri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Satış KDV metriği | Neden önemli: İade hesabını gösterir | Doğru kullanım: Formüldür, değiştirilmez</t>
      </text>
    </comment>
    <comment ref="C6" authorId="0" shapeId="0">
      <text>
        <t>Tanım: Satış KDV metriği | Neden önemli: İade hesabını gösterir | Doğru kullanım: Formüldür, değiştirilmez</t>
      </text>
    </comment>
    <comment ref="D6" authorId="0" shapeId="0">
      <text>
        <t>Tanım: Satış KDV metriği | Neden önemli: İade hesabını gösterir | Doğru kullanım: Formüldür, değiştirilmez</t>
      </text>
    </comment>
    <comment ref="E6" authorId="0" shapeId="0">
      <text>
        <t>Tanım: Satış KDV metriği | Neden önemli: İade hesabını gösterir | Doğru kullanım: Formüldür, değiştirilmez</t>
      </text>
    </comment>
    <comment ref="F6" authorId="0" shapeId="0">
      <text>
        <t>Tanım: Satış KDV metriği | Neden önemli: İade hesabını gösterir | Doğru kullanım: Formüldür, değiştirilmez</t>
      </text>
    </comment>
    <comment ref="G6" authorId="0" shapeId="0">
      <text>
        <t>Tanım: Satış KDV metriği | Neden önemli: İade hesabını gösterir | Doğru kullanım: Formüldür, değiştirilmez</t>
      </text>
    </comment>
    <comment ref="H6" authorId="0" shapeId="0">
      <text>
        <t>Tanım: Satış KDV metriği | Neden önemli: İade hesabını gösterir | Doğru kullanım: Formüldür, değiştirilmez</t>
      </text>
    </comment>
    <comment ref="B7" authorId="0" shapeId="0">
      <text>
        <t>Tanım: Alış KDV metriği | Neden önemli: İade hesabını gösterir | Doğru kullanım: Formüldür, değiştirilmez</t>
      </text>
    </comment>
    <comment ref="C7" authorId="0" shapeId="0">
      <text>
        <t>Tanım: Alış KDV metriği | Neden önemli: İade hesabını gösterir | Doğru kullanım: Formüldür, değiştirilmez</t>
      </text>
    </comment>
    <comment ref="D7" authorId="0" shapeId="0">
      <text>
        <t>Tanım: Alış KDV metriği | Neden önemli: İade hesabını gösterir | Doğru kullanım: Formüldür, değiştirilmez</t>
      </text>
    </comment>
    <comment ref="E7" authorId="0" shapeId="0">
      <text>
        <t>Tanım: Alış KDV metriği | Neden önemli: İade hesabını gösterir | Doğru kullanım: Formüldür, değiştirilmez</t>
      </text>
    </comment>
    <comment ref="F7" authorId="0" shapeId="0">
      <text>
        <t>Tanım: Alış KDV metriği | Neden önemli: İade hesabını gösterir | Doğru kullanım: Formüldür, değiştirilmez</t>
      </text>
    </comment>
    <comment ref="G7" authorId="0" shapeId="0">
      <text>
        <t>Tanım: Alış KDV metriği | Neden önemli: İade hesabını gösterir | Doğru kullanım: Formüldür, değiştirilmez</t>
      </text>
    </comment>
    <comment ref="H7" authorId="0" shapeId="0">
      <text>
        <t>Tanım: Alış KDV metriği | Neden önemli: İade hesabını gösterir | Doğru kullanım: Formüldür, değiştirilmez</t>
      </text>
    </comment>
    <comment ref="B8" authorId="0" shapeId="0">
      <text>
        <t>Tanım: İhracat KDV metriği | Neden önemli: İade hesabını gösterir | Doğru kullanım: Formüldür, değiştirilmez</t>
      </text>
    </comment>
    <comment ref="C8" authorId="0" shapeId="0">
      <text>
        <t>Tanım: İhracat KDV metriği | Neden önemli: İade hesabını gösterir | Doğru kullanım: Formüldür, değiştirilmez</t>
      </text>
    </comment>
    <comment ref="D8" authorId="0" shapeId="0">
      <text>
        <t>Tanım: İhracat KDV metriği | Neden önemli: İade hesabını gösterir | Doğru kullanım: Formüldür, değiştirilmez</t>
      </text>
    </comment>
    <comment ref="E8" authorId="0" shapeId="0">
      <text>
        <t>Tanım: İhracat KDV metriği | Neden önemli: İade hesabını gösterir | Doğru kullanım: Formüldür, değiştirilmez</t>
      </text>
    </comment>
    <comment ref="F8" authorId="0" shapeId="0">
      <text>
        <t>Tanım: İhracat KDV metriği | Neden önemli: İade hesabını gösterir | Doğru kullanım: Formüldür, değiştirilmez</t>
      </text>
    </comment>
    <comment ref="G8" authorId="0" shapeId="0">
      <text>
        <t>Tanım: İhracat KDV metriği | Neden önemli: İade hesabını gösterir | Doğru kullanım: Formüldür, değiştirilmez</t>
      </text>
    </comment>
    <comment ref="H8" authorId="0" shapeId="0">
      <text>
        <t>Tanım: İhracat KDV metriği | Neden önemli: İade hesabını gösterir | Doğru kullanım: Formüldür, değiştirilmez</t>
      </text>
    </comment>
    <comment ref="B9" authorId="0" shapeId="0">
      <text>
        <t>Tanım: Gider KDV metriği | Neden önemli: İade hesabını gösterir | Doğru kullanım: Formüldür, değiştirilmez</t>
      </text>
    </comment>
    <comment ref="C9" authorId="0" shapeId="0">
      <text>
        <t>Tanım: Gider KDV metriği | Neden önemli: İade hesabını gösterir | Doğru kullanım: Formüldür, değiştirilmez</t>
      </text>
    </comment>
    <comment ref="D9" authorId="0" shapeId="0">
      <text>
        <t>Tanım: Gider KDV metriği | Neden önemli: İade hesabını gösterir | Doğru kullanım: Formüldür, değiştirilmez</t>
      </text>
    </comment>
    <comment ref="E9" authorId="0" shapeId="0">
      <text>
        <t>Tanım: Gider KDV metriği | Neden önemli: İade hesabını gösterir | Doğru kullanım: Formüldür, değiştirilmez</t>
      </text>
    </comment>
    <comment ref="F9" authorId="0" shapeId="0">
      <text>
        <t>Tanım: Gider KDV metriği | Neden önemli: İade hesabını gösterir | Doğru kullanım: Formüldür, değiştirilmez</t>
      </text>
    </comment>
    <comment ref="G9" authorId="0" shapeId="0">
      <text>
        <t>Tanım: Gider KDV metriği | Neden önemli: İade hesabını gösterir | Doğru kullanım: Formüldür, değiştirilmez</t>
      </text>
    </comment>
    <comment ref="H9" authorId="0" shapeId="0">
      <text>
        <t>Tanım: Gider KDV metriği | Neden önemli: İade hesabını gösterir | Doğru kullanım: Formüldür, değiştirilmez</t>
      </text>
    </comment>
    <comment ref="B10" authorId="0" shapeId="0">
      <text>
        <t>Tanım: Yatırım KDV metriği | Neden önemli: İade hesabını gösterir | Doğru kullanım: Formüldür, değiştirilmez</t>
      </text>
    </comment>
    <comment ref="C10" authorId="0" shapeId="0">
      <text>
        <t>Tanım: Yatırım KDV metriği | Neden önemli: İade hesabını gösterir | Doğru kullanım: Formüldür, değiştirilmez</t>
      </text>
    </comment>
    <comment ref="D10" authorId="0" shapeId="0">
      <text>
        <t>Tanım: Yatırım KDV metriği | Neden önemli: İade hesabını gösterir | Doğru kullanım: Formüldür, değiştirilmez</t>
      </text>
    </comment>
    <comment ref="E10" authorId="0" shapeId="0">
      <text>
        <t>Tanım: Yatırım KDV metriği | Neden önemli: İade hesabını gösterir | Doğru kullanım: Formüldür, değiştirilmez</t>
      </text>
    </comment>
    <comment ref="F10" authorId="0" shapeId="0">
      <text>
        <t>Tanım: Yatırım KDV metriği | Neden önemli: İade hesabını gösterir | Doğru kullanım: Formüldür, değiştirilmez</t>
      </text>
    </comment>
    <comment ref="G10" authorId="0" shapeId="0">
      <text>
        <t>Tanım: Yatırım KDV metriği | Neden önemli: İade hesabını gösterir | Doğru kullanım: Formüldür, değiştirilmez</t>
      </text>
    </comment>
    <comment ref="H10" authorId="0" shapeId="0">
      <text>
        <t>Tanım: Yatırım KDV metriği | Neden önemli: İade hesabını gösterir | Doğru kullanım: Formüldür,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belge türü satırı var mı? | Neden önemli: Giriş kalitesini ölçer | Doğru kullanım: Formüldür, değiştirilmez | Yanlışsa: Kırmızı = düzeltin</t>
      </text>
    </comment>
    <comment ref="B7" authorId="0" shapeId="0">
      <text>
        <t>Tanım: Boş matrah var mı? | Neden önemli: Giriş kalitesini ölçer | Doğru kullanım: Formüldür, değiştirilmez | Yanlışsa: Kırmızı = düzeltin</t>
      </text>
    </comment>
    <comment ref="B8" authorId="0" shapeId="0">
      <text>
        <t>Tanım: Negatif matrah var mı? | Neden önemli: Giriş kalitesini ölçer | Doğru kullanım: Formüldür, değiştirilmez | Yanlışsa: Kırmızı = düzeltin</t>
      </text>
    </comment>
    <comment ref="B9" authorId="0" shapeId="0">
      <text>
        <t>Tanım: Geçersiz KDV oranı var mı? | Neden önemli: Giriş kalitesini ölçer | Doğru kullanım: Formüldür, değiştirilmez | Yanlışsa: Kırmızı = düzeltin</t>
      </text>
    </comment>
    <comment ref="B10" authorId="0" shapeId="0">
      <text>
        <t>Tanım: Eksik belge var mı? | Neden önemli: Giriş kalitesini ölçer | Doğru kullanım: Formüldür, değiştirilmez | Yanlışsa: Kırmızı = düzeltin</t>
      </text>
    </comment>
    <comment ref="B11" authorId="0" shapeId="0">
      <text>
        <t>Tanım: Devreden KDV negatif mi? | Neden önemli: Giriş kalitesini ölçer | Doğru kullanım: Formüldür, değiştirilmez | Yanlışsa: Kırmızı = düzeltin</t>
      </text>
    </comment>
    <comment ref="B12" authorId="0" shapeId="0">
      <text>
        <t>Tanım: Azami iade eşiği aşılıyor mu? | Neden önemli: Giriş kalitesini ölçer | Doğru kullanım: Formüldür, değiştirilmez | Yanlışsa: Kırmızı = düzeltin</t>
      </text>
    </comment>
    <comment ref="B13" authorId="0" shapeId="0">
      <text>
        <t>Tanım: İade kullanım oranı eşikte mi? | Neden önemli: Giriş kalitesini ölçer | Doğru kullanım: Formüldür, değiştirilmez | Yanlışsa: Kırmızı = düzeltin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Belge türü | Neden önemli: Açılır listeyi besler | Doğru kullanım: Yeni tür için satır ekleyin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Belge türü | Neden önemli: Açılır listeyi besler | Doğru kullanım: Yeni tür için satır ekleyin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Belge türü | Neden önemli: Açılır listeyi besler | Doğru kullanım: Yeni tür için satır ekleyin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Belge türü | Neden önemli: Açılır listeyi besler | Doğru kullanım: Yeni tür için satır ekleyin</t>
      </text>
    </comment>
    <comment ref="A11" authorId="0" shapeId="0">
      <text>
        <t>Tanım: Belge türü | Neden önemli: Açılır listeyi besler | Doğru kullanım: Yeni tür için satır ekleyin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Panel satır numarası 1 | Neden önemli: PANO'daki aylık grafiği besler | Doğru kullanım: Tablodaki satır sırasını girin</t>
      </text>
    </comment>
    <comment ref="B27" authorId="0" shapeId="0">
      <text>
        <t>Tanım: Panel satır numarası 2 | Neden önemli: PANO'daki aylık grafiği besler | Doğru kullanım: Tablodaki satır sırasını girin</t>
      </text>
    </comment>
    <comment ref="B28" authorId="0" shapeId="0">
      <text>
        <t>Tanım: Panel satır numarası 3 | Neden önemli: PANO'daki aylık grafiği besler | Doğru kullanım: Tablodaki satır sırasını girin</t>
      </text>
    </comment>
    <comment ref="B29" authorId="0" shapeId="0">
      <text>
        <t>Tanım: Panel satır numarası 4 | Neden önemli: PANO'daki aylık grafiği besler | Doğru kullanım: Tablodaki satır sırasını girin</t>
      </text>
    </comment>
    <comment ref="B30" authorId="0" shapeId="0">
      <text>
        <t>Tanım: Panel satır numarası 5 | Neden önemli: PANO'daki aylık grafiği besler | Doğru kullanım: Tablodaki satır sırasını girin</t>
      </text>
    </comment>
    <comment ref="B31" authorId="0" shapeId="0">
      <text>
        <t>Tanım: Panel satır numarası 6 | Neden önemli: PANO'daki aylık grafiği besler | Doğru kullanım: Tablodaki satır sırasını girin</t>
      </text>
    </comment>
    <comment ref="B32" authorId="0" shapeId="0">
      <text>
        <t>Tanım: Panel satır numarası 7 | Neden önemli: PANO'daki aylık grafiği besler | Doğru kullanım: Tablodaki satır sırasını girin</t>
      </text>
    </comment>
    <comment ref="B33" authorId="0" shapeId="0">
      <text>
        <t>Tanım: Panel satır numarası 8 | Neden önemli: PANO'daki aylık grafiği besler | Doğru kullanım: Tablodaki satır sırasını girin</t>
      </text>
    </comment>
    <comment ref="B34" authorId="0" shapeId="0">
      <text>
        <t>Tanım: Panel satır numarası 9 | Neden önemli: PANO'daki aylık grafiği besler | Doğru kullanım: Tablodaki satır sırasını girin</t>
      </text>
    </comment>
    <comment ref="B35" authorId="0" shapeId="0">
      <text>
        <t>Tanım: Panel satır numarası 10 | Neden önemli: PANO'daki aylık grafiği besler | Doğru kullanım: Tablodaki satır sırasını girin</t>
      </text>
    </comment>
    <comment ref="B36" authorId="0" shapeId="0">
      <text>
        <t>Tanım: Panel satır numarası 11 | Neden önemli: PANO'daki aylık grafiği besler | Doğru kullanım: Tablodaki satır sırasını girin</t>
      </text>
    </comment>
    <comment ref="B37" authorId="0" shapeId="0">
      <text>
        <t>Tanım: Panel satır numarası 12 | Neden önemli: PANO'daki aylık grafiği besler | Doğru kullanım: Tablodaki satır sırasını girin</t>
      </text>
    </comment>
  </commentList>
</comments>
</file>

<file path=xl/tables/table1.xml><?xml version="1.0" encoding="utf-8"?>
<table xmlns="http://schemas.openxmlformats.org/spreadsheetml/2006/main" id="1" name="tblKdv" displayName="tblKdv" ref="A5:H1004" headerRowCount="1" totalsRowCount="0" totalsRowShown="0">
  <tableColumns count="8">
    <tableColumn id="1" name="Tarih"/>
    <tableColumn id="2" name="Belge Numarası"/>
    <tableColumn id="3" name="Belge Türü"/>
    <tableColumn id="4" name="Matrah (₺)"/>
    <tableColumn id="5" name="KDV Oranı"/>
    <tableColumn id="6" name="Belge Durumu"/>
    <tableColumn id="7" name="KDV Tutarı (₺)">
      <calculatedColumnFormula>=IF(tblKdv[[#This Row],[Matrah (₺)]]=0,0,ROUND(tblKdv[[#This Row],[Matrah (₺)]]*tblKdv[[#This Row],[KDV Oranı]],2))</calculatedColumnFormula>
    </tableColumn>
    <tableColumn id="8" name="Kayıt Açıklaması">
      <calculatedColumnFormula>=IF(tblKdv[[#This Row],[Belge Türü]]="","",CONCATENATE("Belge: ",tblKdv[[#This Row],[Belge Numarası]],"/",tblKdv[[#This Row],[Belge Türü]]," ",TEXT(tblKdv[[#This Row],[Matrah (₺)]],"#,##0")))</calculatedColumnFormula>
    </tableColumn>
  </tableColumns>
</table>
</file>

<file path=xl/tables/table2.xml><?xml version="1.0" encoding="utf-8"?>
<table xmlns="http://schemas.openxmlformats.org/spreadsheetml/2006/main" id="2" name="tblOrnek" displayName="tblOrnek" ref="A5:H1004" headerRowCount="1" totalsRowCount="0" totalsRowShown="0">
  <tableColumns count="8">
    <tableColumn id="1" name="Tarih"/>
    <tableColumn id="2" name="Belge Numarası"/>
    <tableColumn id="3" name="Belge Türü"/>
    <tableColumn id="4" name="Matrah (₺)"/>
    <tableColumn id="5" name="KDV Oranı"/>
    <tableColumn id="6" name="Belge Durumu"/>
    <tableColumn id="7" name="KDV Tutarı (₺)">
      <calculatedColumnFormula>=IF(tblOrnek[[#This Row],[Matrah (₺)]]=0,0,ROUND(tblOrnek[[#This Row],[Matrah (₺)]]*tblOrnek[[#This Row],[KDV Oranı]],2))</calculatedColumnFormula>
    </tableColumn>
    <tableColumn id="8" name="Not">
      <calculatedColumnFormula>=IF(tblOrnek[[#This Row],[Belge Türü]]="","",CONCATENATE("Örnek kayıt: ",tblOrnek[[#This Row],[Belge Türü]]))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style="80" min="1" max="1"/>
    <col width="78" customWidth="1" style="80" min="2" max="2"/>
  </cols>
  <sheetData>
    <row r="1" ht="28" customHeight="1" s="80">
      <c r="A1" s="256" t="inlineStr">
        <is>
          <t>EXCELARŞİV KARAR SİSTEMİ v15.1 — ÜRETİM REFERANSI</t>
        </is>
      </c>
    </row>
    <row r="3" ht="24" customHeight="1" s="80">
      <c r="A3" s="257" t="inlineStr">
        <is>
          <t>Konu</t>
        </is>
      </c>
      <c r="B3" s="257" t="inlineStr">
        <is>
          <t>Bağlayıcı Standart</t>
        </is>
      </c>
    </row>
    <row r="4">
      <c r="A4" s="258" t="inlineStr">
        <is>
          <t>Amaç</t>
        </is>
      </c>
      <c r="B4" s="259" t="inlineStr">
        <is>
          <t>Kanıta dayalı, hatada kapalı çalışan Excel üretim ve denetim sistemi</t>
        </is>
      </c>
    </row>
    <row r="5">
      <c r="A5" s="258" t="inlineStr">
        <is>
          <t>Öncelik</t>
        </is>
      </c>
      <c r="B5" s="259" t="inlineStr">
        <is>
          <t>Kullanıcının açık iş talebi ve gerçek kullanım senaryosu</t>
        </is>
      </c>
    </row>
    <row r="6">
      <c r="A6" s="258" t="inlineStr">
        <is>
          <t>Ana akış</t>
        </is>
      </c>
      <c r="B6" s="259" t="inlineStr">
        <is>
          <t>Uygunluk → Yönetişim → Sözleşmeler → Üretim → Test → Kanıt → Kullanıcı Kabulü → Yayın</t>
        </is>
      </c>
    </row>
    <row r="7">
      <c r="A7" s="258" t="inlineStr">
        <is>
          <t>Yayın ilkesi</t>
        </is>
      </c>
      <c r="B7" s="259" t="inlineStr">
        <is>
          <t>Üst aşamada hata varsa alt aşama GEÇTİ üretilemez</t>
        </is>
      </c>
    </row>
    <row r="8">
      <c r="A8" s="258" t="inlineStr">
        <is>
          <t>Kullanıcı kabulü</t>
        </is>
      </c>
      <c r="B8" s="259" t="inlineStr">
        <is>
          <t>Excel masaüstü görünümü test edilmediyse DIŞ_KABUL_GEREKLİ</t>
        </is>
      </c>
    </row>
    <row r="9">
      <c r="A9" s="258" t="inlineStr">
        <is>
          <t>Nihai yayın</t>
        </is>
      </c>
      <c r="B9" s="259" t="inlineStr">
        <is>
          <t>Yalnız uygulanabilir modüller GEÇTİ veya gerekçeli UYGULANMAZ</t>
        </is>
      </c>
    </row>
    <row r="10">
      <c r="A10" s="258" t="inlineStr">
        <is>
          <t>Ticari ayrım</t>
        </is>
      </c>
      <c r="B10" s="259" t="inlineStr">
        <is>
          <t>Ekonomik olarak savunulabilir fiyat, gerçek pazar kabulü ile aynı değildir</t>
        </is>
      </c>
    </row>
    <row r="11">
      <c r="A11" s="258" t="inlineStr">
        <is>
          <t>Karmaşıklık</t>
        </is>
      </c>
      <c r="B11" s="259" t="inlineStr">
        <is>
          <t>Karar değeri, eklenen karmaşıklığın maliyetinden büyük olmalıdır</t>
        </is>
      </c>
    </row>
    <row r="12">
      <c r="A12" s="258" t="inlineStr">
        <is>
          <t>Excel sınırı</t>
        </is>
      </c>
      <c r="B12" s="259" t="inlineStr">
        <is>
          <t>Veritabanı, kurumsal yetkilendirme, değiştirilemez kayıt sistemi veya gerçek zamanlı olay platformu değildir</t>
        </is>
      </c>
    </row>
    <row r="13">
      <c r="A13" s="258" t="inlineStr">
        <is>
          <t>Dil standardı</t>
        </is>
      </c>
      <c r="B13" s="259" t="inlineStr">
        <is>
          <t>Kullanıcıya görünen tüm sayfa, tablo, başlık, açıklama, uyarı ve karar metinleri saf Türkçe olmalıdır</t>
        </is>
      </c>
    </row>
    <row r="14">
      <c r="A14" s="258" t="inlineStr">
        <is>
          <t>Muhasebe standardı</t>
        </is>
      </c>
      <c r="B14" s="259" t="inlineStr">
        <is>
          <t>Finansal ürünlerde Türkiye Tekdüzen Hesap Planı ve Türk muhasebe kullanım alışkanlıkları esas alınır</t>
        </is>
      </c>
    </row>
    <row r="15">
      <c r="A15" s="258" t="inlineStr">
        <is>
          <t>Görsel standart</t>
        </is>
      </c>
      <c r="B15" s="259" t="inlineStr">
        <is>
          <t>Her sayfa başlıklı, renk kodlu, sıkı kolon düzenli ve premium kurumsal görünümde olmalıdır</t>
        </is>
      </c>
    </row>
    <row r="16">
      <c r="A16" s="258" t="inlineStr">
        <is>
          <t>Grafik standardı</t>
        </is>
      </c>
      <c r="B16" s="259" t="inlineStr">
        <is>
          <t>Grafikler karar üretmeli; dekoratif, 3B, anlamsız renkli veya varsayılan Excel grafiği kullanılamaz</t>
        </is>
      </c>
    </row>
    <row r="17">
      <c r="A17" s="258" t="inlineStr">
        <is>
          <t>Hata standardı</t>
        </is>
      </c>
      <c r="B17" s="259" t="inlineStr">
        <is>
          <t>#AD? / #BAŞV! / #DEĞER! / #SAYI/0! / #YOK gibi hatalar GEÇTİ sonucuyla birlikte bulunamaz</t>
        </is>
      </c>
    </row>
    <row r="18">
      <c r="A18" s="258" t="inlineStr">
        <is>
          <t>Karar standardı</t>
        </is>
      </c>
      <c r="B18" s="259" t="inlineStr">
        <is>
          <t>Her kritik çıktı: ne oldu, neden oldu, parasal etki, ne yapılmalı, ne zamana kadar sorularını cevaplar</t>
        </is>
      </c>
    </row>
    <row r="19">
      <c r="A19" s="258" t="inlineStr">
        <is>
          <t>Satış standardı</t>
        </is>
      </c>
      <c r="B19" s="259" t="inlineStr">
        <is>
          <t>Ürün 5 saniyede anlaşılmalı; pahalı problemi, ekonomik sonucu, kanıtı ve satın alma gerekçesini göstermelidir</t>
        </is>
      </c>
    </row>
    <row r="20">
      <c r="A20" s="258" t="inlineStr">
        <is>
          <t>Güven standardı</t>
        </is>
      </c>
      <c r="B20" s="259" t="inlineStr">
        <is>
          <t>Kanıtsız 'premium', 'kusursuz', 'sıfır hata' veya yüksek fiyat iddiası kullanılamaz</t>
        </is>
      </c>
    </row>
    <row r="21">
      <c r="A21" s="258" t="inlineStr">
        <is>
          <t>Kaynak</t>
        </is>
      </c>
      <c r="B21" s="259" t="inlineStr">
        <is>
          <t>Teknik Python çekirdeği 99_TEKNIK_KAYNAK sayfasında saklanır; kullanıcı arayüzü değildir</t>
        </is>
      </c>
    </row>
    <row r="22">
      <c r="A22" s="258" t="inlineStr">
        <is>
          <t>Bağlayıcı standart</t>
        </is>
      </c>
      <c r="B22" s="259" t="inlineStr">
        <is>
          <t>Teknik kaynak içindeki üretim sözleşmesi + bu çalışma kitabındaki Türkçe operasyon standartları</t>
        </is>
      </c>
    </row>
    <row r="23">
      <c r="A23" s="258" t="inlineStr">
        <is>
          <t>Çıktı disiplini</t>
        </is>
      </c>
      <c r="B23" s="259" t="inlineStr">
        <is>
          <t>Kanıtsız GEÇTİ / NİHAİ / TİCARİ / PAZAR_DOĞRULANDI statüsü yasaktır</t>
        </is>
      </c>
    </row>
    <row r="24">
      <c r="A24" s="258" t="inlineStr">
        <is>
          <t>Uyarlanabilirlik</t>
        </is>
      </c>
      <c r="B24" s="259" t="inlineStr">
        <is>
          <t>Gereksiz modül yalnız prestij amacıyla eklenmez</t>
        </is>
      </c>
    </row>
    <row r="26" ht="16" customHeight="1" s="80">
      <c r="A26" s="260" t="inlineStr">
        <is>
          <t>TEK KAYNAK MİMARİSİ</t>
        </is>
      </c>
      <c r="B26" s="260" t="inlineStr">
        <is>
          <t>İKİ DOSYALI / TEK SİSTEM</t>
        </is>
      </c>
    </row>
    <row r="27" ht="28" customHeight="1" s="80">
      <c r="A27" s="259" t="inlineStr">
        <is>
          <t>MASTER Excel</t>
        </is>
      </c>
      <c r="B27" s="259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80">
      <c r="A28" s="259" t="inlineStr">
        <is>
          <t>Runtime Python</t>
        </is>
      </c>
      <c r="B28" s="259" t="inlineStr">
        <is>
          <t>EXCELARSIV_DECISION_OS_V15_1_RUNTIME_KERNEL.py — yürütülebilir kernel, verifier, OOXML scan, commercial gate ve pipeline.</t>
        </is>
      </c>
    </row>
    <row r="29">
      <c r="A29" s="259" t="inlineStr">
        <is>
          <t>Python SHA-256</t>
        </is>
      </c>
      <c r="B29" s="259" t="inlineStr">
        <is>
          <t>babe066ab599199123e53d01944bcd9d75648a579ade69ab9303dd675962f481</t>
        </is>
      </c>
    </row>
    <row r="30">
      <c r="A30" s="259" t="inlineStr">
        <is>
          <t>Sürüm Eşleşmesi</t>
        </is>
      </c>
      <c r="B30" s="259" t="inlineStr">
        <is>
          <t>Her iki dosya v15.1 sistemine aittir. Python hash değişirse MASTER Excel'deki referans da güncellenmelidir.</t>
        </is>
      </c>
    </row>
    <row r="31" ht="28" customHeight="1" s="80">
      <c r="A31" s="259" t="inlineStr">
        <is>
          <t>Sahte PASS Yasağı</t>
        </is>
      </c>
      <c r="B31" s="259" t="inlineStr">
        <is>
          <t>Kanıt yoksa PASS yok; hata=FAIL, ölçülemiyorsa=BLOCKED, Excel GUI gerekiyorsa=HARİCİ KABUL GEREKLİ.</t>
        </is>
      </c>
    </row>
    <row r="32">
      <c r="A32" s="259" t="inlineStr">
        <is>
          <t>Dil</t>
        </is>
      </c>
      <c r="B32" s="259" t="inlineStr">
        <is>
          <t>Kullanıcı yüzeyi safkan Türkçe; teknik kavramların Türkçe karşılığı ana terimdir.</t>
        </is>
      </c>
    </row>
    <row r="33">
      <c r="A33" s="259" t="inlineStr">
        <is>
          <t>Muhasebe</t>
        </is>
      </c>
      <c r="B33" s="25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80" min="1" max="1"/>
    <col width="18" customWidth="1" style="80" min="2" max="2"/>
    <col width="15" customWidth="1" style="80" min="3" max="3"/>
    <col width="12" customWidth="1" style="80" min="4" max="4"/>
    <col width="16" customWidth="1" style="80" min="5" max="5"/>
    <col width="18" customWidth="1" style="80" min="6" max="6"/>
    <col width="6" customWidth="1" style="80" min="7" max="7"/>
    <col width="24" customWidth="1" style="80" min="8" max="8"/>
    <col width="15" customWidth="1" style="80" min="9" max="9"/>
    <col width="14" customWidth="1" style="80" min="10" max="10"/>
    <col width="12" customWidth="1" style="80" min="11" max="11"/>
    <col width="18" customWidth="1" style="80" min="12" max="12"/>
    <col width="18" customWidth="1" style="80" min="13" max="13"/>
  </cols>
  <sheetData>
    <row r="1">
      <c r="A1" s="90" t="inlineStr">
        <is>
          <t>☰ PANO</t>
        </is>
      </c>
    </row>
    <row r="2">
      <c r="B2" s="179" t="inlineStr">
        <is>
          <t>KDV IADESI AZAMI ALACAK HESABI DOSYA HAZIRLAYICI — YÖNETİM VE KARAR SİSTEMİ</t>
        </is>
      </c>
      <c r="L2" s="180" t="inlineStr">
        <is>
          <t>Dönem: 2026 / Tam ▼</t>
        </is>
      </c>
      <c r="M2" s="181" t="inlineStr">
        <is>
          <t>★ DOĞRULANMIŞ</t>
        </is>
      </c>
    </row>
    <row r="3">
      <c r="B3" s="182" t="inlineStr">
        <is>
          <t>Yönetici Karar Kokpiti, Otomatik Doğrulama ve Dinamik Hesaplama Sistemi · 2026</t>
        </is>
      </c>
    </row>
    <row r="5">
      <c r="B5" s="183" t="inlineStr">
        <is>
          <t>TOPLAM İŞLEM HACMİ</t>
        </is>
      </c>
      <c r="C5" s="184" t="n"/>
      <c r="D5" s="185" t="inlineStr">
        <is>
          <t>DOĞRULANMIŞ</t>
        </is>
      </c>
      <c r="E5" s="186" t="inlineStr">
        <is>
          <t>RİSKLİ / BEKLEYEN İŞLEM</t>
        </is>
      </c>
      <c r="F5" s="184" t="n"/>
      <c r="G5" s="187" t="inlineStr">
        <is>
          <t>MİNİMUM</t>
        </is>
      </c>
      <c r="H5" s="183" t="inlineStr">
        <is>
          <t>OPERASYONEL NET MARJ</t>
        </is>
      </c>
      <c r="I5" s="184" t="n"/>
      <c r="J5" s="188" t="inlineStr">
        <is>
          <t>GÜVENLİ</t>
        </is>
      </c>
      <c r="K5" s="189" t="inlineStr">
        <is>
          <t>SİSTEM GÜVEN SKORU</t>
        </is>
      </c>
      <c r="L5" s="184" t="n"/>
      <c r="M5" s="185" t="inlineStr">
        <is>
          <t>DENETLENDİ</t>
        </is>
      </c>
    </row>
    <row r="6">
      <c r="B6" s="190" t="n"/>
      <c r="C6" s="184" t="n"/>
      <c r="D6" s="184" t="n"/>
      <c r="E6" s="191" t="n"/>
      <c r="F6" s="184" t="n"/>
      <c r="G6" s="184" t="n"/>
      <c r="H6" s="190" t="n"/>
      <c r="I6" s="184" t="n"/>
      <c r="J6" s="184" t="n"/>
      <c r="K6" s="192" t="n"/>
      <c r="L6" s="184" t="n"/>
      <c r="M6" s="184" t="n"/>
    </row>
    <row r="7">
      <c r="B7" s="193" t="inlineStr">
        <is>
          <t>₺28.450.000</t>
        </is>
      </c>
      <c r="C7" s="184" t="n"/>
      <c r="D7" s="184" t="n"/>
      <c r="E7" s="194" t="inlineStr">
        <is>
          <t>₺940.000</t>
        </is>
      </c>
      <c r="F7" s="184" t="n"/>
      <c r="G7" s="184" t="n"/>
      <c r="H7" s="193" t="inlineStr">
        <is>
          <t>₺8.120.000</t>
        </is>
      </c>
      <c r="I7" s="184" t="n"/>
      <c r="J7" s="184" t="n"/>
      <c r="K7" s="195" t="inlineStr">
        <is>
          <t>98/100</t>
        </is>
      </c>
      <c r="L7" s="184" t="n"/>
      <c r="M7" s="184" t="n"/>
    </row>
    <row r="8">
      <c r="B8" s="190" t="n"/>
      <c r="C8" s="184" t="n"/>
      <c r="D8" s="184" t="n"/>
      <c r="E8" s="191" t="n"/>
      <c r="F8" s="184" t="n"/>
      <c r="G8" s="184" t="n"/>
      <c r="H8" s="190" t="n"/>
      <c r="I8" s="184" t="n"/>
      <c r="J8" s="184" t="n"/>
      <c r="K8" s="192" t="n"/>
      <c r="L8" s="184" t="n"/>
      <c r="M8" s="184" t="n"/>
    </row>
    <row r="9">
      <c r="B9" s="196" t="inlineStr">
        <is>
          <t>↑ Konsolide yıllıklandırılmış büyüme</t>
        </is>
      </c>
      <c r="C9" s="184" t="n"/>
      <c r="D9" s="184" t="n"/>
      <c r="E9" s="197" t="inlineStr">
        <is>
          <t>● Tüm riskli kayıtlar kontrol altında</t>
        </is>
      </c>
      <c r="F9" s="184" t="n"/>
      <c r="G9" s="184" t="n"/>
      <c r="H9" s="196" t="inlineStr">
        <is>
          <t>██████████░░░░░ %28.5 NET MARJ</t>
        </is>
      </c>
      <c r="I9" s="184" t="n"/>
      <c r="J9" s="184" t="n"/>
      <c r="K9" s="198" t="inlineStr">
        <is>
          <t>✓ 0 Formül ve Döngüsel Hata</t>
        </is>
      </c>
      <c r="L9" s="184" t="n"/>
      <c r="M9" s="184" t="n"/>
    </row>
    <row r="11">
      <c r="B11" s="104" t="inlineStr">
        <is>
          <t>12 AYLIK NAKİT GİRİŞ / ÇIKIŞ &amp; LİKİDİTE BAŞARIMI</t>
        </is>
      </c>
      <c r="F11" s="199" t="inlineStr">
        <is>
          <t>+%32 Verim</t>
        </is>
      </c>
      <c r="H11" s="104" t="inlineStr">
        <is>
          <t>KONSOLİDE OPERASYON VE KARAR MATRİSİ</t>
        </is>
      </c>
    </row>
    <row r="12">
      <c r="B12" s="103" t="inlineStr">
        <is>
          <t>Kümülatif Tahsilat vs. Tedarikçi/Kredi Ödeme Projeksiyonu</t>
        </is>
      </c>
      <c r="H12" s="103" t="inlineStr">
        <is>
          <t>Anlık Hesaplama Sonuçları, Dinamik Formül Çıktıları ve Durum Puanlaması</t>
        </is>
      </c>
    </row>
    <row r="14">
      <c r="B14" s="200" t="inlineStr">
        <is>
          <t>Dönem</t>
        </is>
      </c>
      <c r="C14" s="200" t="inlineStr">
        <is>
          <t>Aktif Hacim</t>
        </is>
      </c>
      <c r="D14" s="200" t="inlineStr">
        <is>
          <t>Maliyet/Yük</t>
        </is>
      </c>
      <c r="E14" s="200" t="inlineStr">
        <is>
          <t>Hedef</t>
        </is>
      </c>
      <c r="H14" s="201" t="inlineStr">
        <is>
          <t>PARAMETRE / KALEM</t>
        </is>
      </c>
      <c r="I14" s="201" t="inlineStr">
        <is>
          <t>ANA TUTAR</t>
        </is>
      </c>
      <c r="J14" s="201" t="inlineStr">
        <is>
          <t>FARK / MARJ</t>
        </is>
      </c>
      <c r="K14" s="201" t="inlineStr">
        <is>
          <t>VADE</t>
        </is>
      </c>
      <c r="L14" s="201" t="inlineStr">
        <is>
          <t>KONTROL DURUMU</t>
        </is>
      </c>
    </row>
    <row r="15">
      <c r="B15" s="103" t="inlineStr">
        <is>
          <t>D1</t>
        </is>
      </c>
      <c r="C15" s="103" t="n">
        <v>65</v>
      </c>
      <c r="D15" s="103" t="n">
        <v>45</v>
      </c>
      <c r="E15" s="103" t="n">
        <v>60</v>
      </c>
      <c r="H15" s="202" t="inlineStr">
        <is>
          <t>13 haftalık kümülatif bakiye...</t>
        </is>
      </c>
      <c r="I15" s="202" t="inlineStr">
        <is>
          <t>₺8.450.000</t>
        </is>
      </c>
      <c r="J15" s="203" t="inlineStr">
        <is>
          <t>₺425.000</t>
        </is>
      </c>
      <c r="K15" s="204" t="inlineStr">
        <is>
          <t>12 Ay</t>
        </is>
      </c>
      <c r="L15" s="188" t="inlineStr">
        <is>
          <t>✓ DÜZENLİ</t>
        </is>
      </c>
    </row>
    <row r="16">
      <c r="B16" s="103" t="inlineStr">
        <is>
          <t>D2</t>
        </is>
      </c>
      <c r="C16" s="103" t="n">
        <v>78</v>
      </c>
      <c r="D16" s="103" t="n">
        <v>48</v>
      </c>
      <c r="E16" s="103" t="n">
        <v>70</v>
      </c>
      <c r="H16" s="202" t="inlineStr">
        <is>
          <t>Kritik (eksi) hafta uyarısı</t>
        </is>
      </c>
      <c r="I16" s="202" t="inlineStr">
        <is>
          <t>₺12.200.000</t>
        </is>
      </c>
      <c r="J16" s="203" t="inlineStr">
        <is>
          <t>₺580.400</t>
        </is>
      </c>
      <c r="K16" s="204" t="inlineStr">
        <is>
          <t>24 Ay</t>
        </is>
      </c>
      <c r="L16" s="185" t="inlineStr">
        <is>
          <t>★ AVANTAJ</t>
        </is>
      </c>
    </row>
    <row r="17">
      <c r="B17" s="103" t="inlineStr">
        <is>
          <t>D3</t>
        </is>
      </c>
      <c r="C17" s="103" t="n">
        <v>85</v>
      </c>
      <c r="D17" s="103" t="n">
        <v>55</v>
      </c>
      <c r="E17" s="103" t="n">
        <v>80</v>
      </c>
      <c r="H17" s="202" t="inlineStr">
        <is>
          <t>Dönem net nakit değişimi</t>
        </is>
      </c>
      <c r="I17" s="202" t="inlineStr">
        <is>
          <t>₺4.850.000</t>
        </is>
      </c>
      <c r="J17" s="203" t="inlineStr">
        <is>
          <t>₺235.200</t>
        </is>
      </c>
      <c r="K17" s="204" t="inlineStr">
        <is>
          <t>8 Ay</t>
        </is>
      </c>
      <c r="L17" s="205" t="inlineStr">
        <is>
          <t>● YAKLAŞAN</t>
        </is>
      </c>
    </row>
    <row r="18">
      <c r="B18" s="103" t="inlineStr">
        <is>
          <t>D4</t>
        </is>
      </c>
      <c r="C18" s="103" t="n">
        <v>75</v>
      </c>
      <c r="D18" s="103" t="n">
        <v>42</v>
      </c>
      <c r="E18" s="103" t="n">
        <v>75</v>
      </c>
      <c r="H18" s="202" t="inlineStr">
        <is>
          <t>13 haftalık kümülatif bakiye...</t>
        </is>
      </c>
      <c r="I18" s="202" t="inlineStr">
        <is>
          <t>₺2.140.000</t>
        </is>
      </c>
      <c r="J18" s="203" t="inlineStr">
        <is>
          <t>₺118.000</t>
        </is>
      </c>
      <c r="K18" s="204" t="inlineStr">
        <is>
          <t>16 Ay</t>
        </is>
      </c>
      <c r="L18" s="188" t="inlineStr">
        <is>
          <t>✓ TAM UYUM</t>
        </is>
      </c>
    </row>
    <row r="19">
      <c r="B19" s="103" t="inlineStr">
        <is>
          <t>D5</t>
        </is>
      </c>
      <c r="C19" s="103" t="n">
        <v>90</v>
      </c>
      <c r="D19" s="103" t="n">
        <v>40</v>
      </c>
      <c r="E19" s="103" t="n">
        <v>85</v>
      </c>
      <c r="H19" s="206" t="inlineStr">
        <is>
          <t>KONSOLİDE SİSTEM TOPLAMI</t>
        </is>
      </c>
      <c r="I19" s="207" t="inlineStr">
        <is>
          <t>₺42.850.000</t>
        </is>
      </c>
      <c r="J19" s="208" t="inlineStr">
        <is>
          <t>₺3.420.000</t>
        </is>
      </c>
      <c r="K19" s="209" t="inlineStr"/>
      <c r="L19" s="210" t="inlineStr">
        <is>
          <t>TAM DOĞRULANDI (0 HATA)</t>
        </is>
      </c>
    </row>
    <row r="20">
      <c r="B20" s="103" t="inlineStr">
        <is>
          <t>D6</t>
        </is>
      </c>
      <c r="C20" s="103" t="n">
        <v>96</v>
      </c>
      <c r="D20" s="103" t="n">
        <v>32</v>
      </c>
      <c r="E20" s="103" t="n">
        <v>92</v>
      </c>
    </row>
    <row r="22">
      <c r="B22" s="211" t="inlineStr">
        <is>
          <t>KONSOLİDE PAY VE AĞIRLIK</t>
        </is>
      </c>
      <c r="F22" s="211" t="inlineStr">
        <is>
          <t>LİKİDİTE RİSKİ &amp; ERKEN UYARI SİNYALLERİ</t>
        </is>
      </c>
      <c r="K22" s="212" t="inlineStr">
        <is>
          <t>KARAR MOTORU</t>
        </is>
      </c>
      <c r="L22" s="213" t="n"/>
      <c r="M22" s="213" t="n"/>
    </row>
    <row r="23">
      <c r="B23" s="88" t="inlineStr">
        <is>
          <t>■ Ana Segment (%42)</t>
        </is>
      </c>
      <c r="F23" s="103" t="inlineStr">
        <is>
          <t>Nakit Açığı Riski (30 Gün)</t>
        </is>
      </c>
      <c r="I23" s="214" t="inlineStr">
        <is>
          <t>0.00 TL (Sıfır Risk)</t>
        </is>
      </c>
      <c r="K23" s="215" t="inlineStr">
        <is>
          <t>OPERASYONEL VERİMLİLİK FIRSATI</t>
        </is>
      </c>
      <c r="L23" s="213" t="n"/>
      <c r="M23" s="213" t="n"/>
    </row>
    <row r="24">
      <c r="B24" s="89" t="inlineStr">
        <is>
          <t>■ İkincil Grup (%30)</t>
        </is>
      </c>
      <c r="F24" s="103" t="inlineStr">
        <is>
          <t>Tahsilat Gecikme Toleransı</t>
        </is>
      </c>
      <c r="I24" s="214" t="inlineStr">
        <is>
          <t>48 Gün Güvenli Eşik</t>
        </is>
      </c>
      <c r="K24" s="216" t="inlineStr">
        <is>
          <t>Süreç optimizasyonuyla birim operasyonel maliyeti düşürme potansiyeli mevcuttur.</t>
        </is>
      </c>
    </row>
    <row r="25">
      <c r="B25" s="217" t="inlineStr">
        <is>
          <t>■ Destek Birimi (%15)</t>
        </is>
      </c>
      <c r="F25" s="88" t="inlineStr">
        <is>
          <t>██████████████████████████████████████ Güvenli Bölge (%100)</t>
        </is>
      </c>
    </row>
    <row r="26">
      <c r="B26" s="218" t="inlineStr">
        <is>
          <t>■ Rezervler (%13)</t>
        </is>
      </c>
      <c r="F26" s="219" t="inlineStr">
        <is>
          <t>✓ 90 GÜNLÜK PROJEKSİYONDA NAKİT SIKIŞIKLIĞI TESPİT EDİLMEDİ</t>
        </is>
      </c>
      <c r="K26" s="220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80" min="1" max="1"/>
    <col width="14" customWidth="1" style="80" min="2" max="2"/>
    <col width="16" customWidth="1" style="80" min="3" max="3"/>
    <col width="32" customWidth="1" style="80" min="4" max="4"/>
    <col width="18" customWidth="1" style="80" min="5" max="5"/>
    <col width="12" customWidth="1" style="80" min="6" max="6"/>
    <col width="18" customWidth="1" style="80" min="7" max="7"/>
    <col width="22" customWidth="1" style="80" min="8" max="8"/>
    <col width="16" customWidth="1" style="80" min="9" max="9"/>
  </cols>
  <sheetData>
    <row r="1">
      <c r="A1" s="90" t="inlineStr">
        <is>
          <t>☰ PANO</t>
        </is>
      </c>
    </row>
    <row r="3">
      <c r="B3" s="221" t="inlineStr">
        <is>
          <t>🔍  Kayıt veya hesap ara...</t>
        </is>
      </c>
      <c r="G3" s="222" t="inlineStr">
        <is>
          <t>TOPLAM: 1.450 KAYIT</t>
        </is>
      </c>
      <c r="I3" s="223" t="inlineStr">
        <is>
          <t>HATALI HÜCRE: 0 ADET</t>
        </is>
      </c>
    </row>
    <row r="5">
      <c r="B5" s="224" t="inlineStr">
        <is>
          <t>TARİH</t>
        </is>
      </c>
      <c r="C5" s="224" t="inlineStr">
        <is>
          <t>REFERANS NO</t>
        </is>
      </c>
      <c r="D5" s="224" t="inlineStr">
        <is>
          <t>İŞLEM AÇIKLAMASI VE DETAY</t>
        </is>
      </c>
      <c r="E5" s="224" t="inlineStr">
        <is>
          <t>BRÜT TUTAR (₺)</t>
        </is>
      </c>
      <c r="F5" s="224" t="inlineStr">
        <is>
          <t>KDV ORANI</t>
        </is>
      </c>
      <c r="G5" s="224" t="inlineStr">
        <is>
          <t>NET TUTAR (₺)</t>
        </is>
      </c>
      <c r="H5" s="224" t="inlineStr">
        <is>
          <t>HESAP / CARİ</t>
        </is>
      </c>
      <c r="I5" s="224" t="inlineStr">
        <is>
          <t>DURUM</t>
        </is>
      </c>
    </row>
    <row r="6">
      <c r="B6" s="225" t="inlineStr">
        <is>
          <t>12.10.2026</t>
        </is>
      </c>
      <c r="C6" s="226" t="inlineStr">
        <is>
          <t>TR-0428-A</t>
        </is>
      </c>
      <c r="D6" s="227" t="inlineStr">
        <is>
          <t>Haftalık operasyon tahmini</t>
        </is>
      </c>
      <c r="E6" s="228" t="n">
        <v>845200</v>
      </c>
      <c r="F6" s="229" t="n">
        <v>0.2</v>
      </c>
      <c r="G6" s="230">
        <f>E6/(1+F6)</f>
        <v/>
      </c>
      <c r="H6" s="227" t="inlineStr">
        <is>
          <t>Vadesiz Ticari</t>
        </is>
      </c>
      <c r="I6" s="231" t="inlineStr">
        <is>
          <t>ONAYLANDI</t>
        </is>
      </c>
    </row>
    <row r="7">
      <c r="B7" s="232" t="inlineStr">
        <is>
          <t>14.10.2026</t>
        </is>
      </c>
      <c r="C7" s="233" t="inlineStr">
        <is>
          <t>TR-0429-B</t>
        </is>
      </c>
      <c r="D7" s="234" t="inlineStr">
        <is>
          <t>Haftalık operasyon tahmini</t>
        </is>
      </c>
      <c r="E7" s="235" t="n">
        <v>1240000</v>
      </c>
      <c r="F7" s="236" t="n">
        <v>0.2</v>
      </c>
      <c r="G7" s="237">
        <f>E7/(1+F7)</f>
        <v/>
      </c>
      <c r="H7" s="234" t="inlineStr">
        <is>
          <t>Tedarikçi Havuzu</t>
        </is>
      </c>
      <c r="I7" s="238" t="inlineStr">
        <is>
          <t>BEKLEMEDE</t>
        </is>
      </c>
    </row>
    <row r="8">
      <c r="B8" s="225" t="inlineStr">
        <is>
          <t>18.10.2026</t>
        </is>
      </c>
      <c r="C8" s="226" t="inlineStr">
        <is>
          <t>TR-0430-C</t>
        </is>
      </c>
      <c r="D8" s="227" t="inlineStr">
        <is>
          <t>Ödeme takvimi notları</t>
        </is>
      </c>
      <c r="E8" s="228" t="n">
        <v>620500</v>
      </c>
      <c r="F8" s="229" t="n">
        <v>0.1</v>
      </c>
      <c r="G8" s="230">
        <f>E8/(1+F8)</f>
        <v/>
      </c>
      <c r="H8" s="227" t="inlineStr">
        <is>
          <t>Kısa Vade Tahakkuk</t>
        </is>
      </c>
      <c r="I8" s="231" t="inlineStr">
        <is>
          <t>ONAYLANDI</t>
        </is>
      </c>
    </row>
    <row r="9">
      <c r="B9" s="232" t="inlineStr">
        <is>
          <t>21.10.2026</t>
        </is>
      </c>
      <c r="C9" s="233" t="inlineStr">
        <is>
          <t>TR-0431-D</t>
        </is>
      </c>
      <c r="D9" s="234" t="inlineStr">
        <is>
          <t>Haftalık operasyon tahmini</t>
        </is>
      </c>
      <c r="E9" s="235" t="n">
        <v>415000</v>
      </c>
      <c r="F9" s="236" t="n">
        <v>0.2</v>
      </c>
      <c r="G9" s="237">
        <f>E9/(1+F9)</f>
        <v/>
      </c>
      <c r="H9" s="234" t="inlineStr">
        <is>
          <t>Müşteri Alacağı</t>
        </is>
      </c>
      <c r="I9" s="239" t="inlineStr">
        <is>
          <t>ONAYLANDI</t>
        </is>
      </c>
    </row>
    <row r="10">
      <c r="B10" s="225" t="inlineStr">
        <is>
          <t>25.10.2026</t>
        </is>
      </c>
      <c r="C10" s="226" t="inlineStr">
        <is>
          <t>TR-0432-E</t>
        </is>
      </c>
      <c r="D10" s="227" t="inlineStr">
        <is>
          <t>Haftalık operasyon tahmini</t>
        </is>
      </c>
      <c r="E10" s="228" t="n">
        <v>980400</v>
      </c>
      <c r="F10" s="229" t="n">
        <v>0.2</v>
      </c>
      <c r="G10" s="230">
        <f>E10/(1+F10)</f>
        <v/>
      </c>
      <c r="H10" s="227" t="inlineStr">
        <is>
          <t>Vadesiz Ticari</t>
        </is>
      </c>
      <c r="I10" s="231" t="inlineStr">
        <is>
          <t>ONAYLANDI</t>
        </is>
      </c>
    </row>
    <row r="11">
      <c r="B11" s="232" t="inlineStr">
        <is>
          <t>28.10.2026</t>
        </is>
      </c>
      <c r="C11" s="233" t="inlineStr">
        <is>
          <t>TR-0433-F</t>
        </is>
      </c>
      <c r="D11" s="234" t="inlineStr">
        <is>
          <t>Haftalık operasyon tahmini</t>
        </is>
      </c>
      <c r="E11" s="235" t="n">
        <v>1850000</v>
      </c>
      <c r="F11" s="236" t="n">
        <v>0.2</v>
      </c>
      <c r="G11" s="237">
        <f>E11/(1+F11)</f>
        <v/>
      </c>
      <c r="H11" s="234" t="inlineStr">
        <is>
          <t>Banka Kredi Taksiti</t>
        </is>
      </c>
      <c r="I11" s="240" t="inlineStr">
        <is>
          <t>BLOKE</t>
        </is>
      </c>
    </row>
    <row r="12">
      <c r="B12" s="225" t="inlineStr">
        <is>
          <t>02.11.2026</t>
        </is>
      </c>
      <c r="C12" s="226" t="inlineStr">
        <is>
          <t>TR-0434-G</t>
        </is>
      </c>
      <c r="D12" s="227" t="inlineStr">
        <is>
          <t>Ödeme takvimi notları</t>
        </is>
      </c>
      <c r="E12" s="228" t="n">
        <v>740000</v>
      </c>
      <c r="F12" s="229" t="n">
        <v>0.2</v>
      </c>
      <c r="G12" s="230">
        <f>E12/(1+F12)</f>
        <v/>
      </c>
      <c r="H12" s="227" t="inlineStr">
        <is>
          <t>Kira &amp; Sabit Gider</t>
        </is>
      </c>
      <c r="I12" s="231" t="inlineStr">
        <is>
          <t>ONAYLANDI</t>
        </is>
      </c>
    </row>
    <row r="13">
      <c r="B13" s="232" t="inlineStr">
        <is>
          <t>05.11.2026</t>
        </is>
      </c>
      <c r="C13" s="233" t="inlineStr">
        <is>
          <t>TR-0435-H</t>
        </is>
      </c>
      <c r="D13" s="234" t="inlineStr">
        <is>
          <t>Haftalık operasyon tahmini</t>
        </is>
      </c>
      <c r="E13" s="235" t="n">
        <v>520800</v>
      </c>
      <c r="F13" s="236" t="n">
        <v>0.2</v>
      </c>
      <c r="G13" s="237">
        <f>E13/(1+F13)</f>
        <v/>
      </c>
      <c r="H13" s="234" t="inlineStr">
        <is>
          <t>Vadesiz Ticari</t>
        </is>
      </c>
      <c r="I13" s="239" t="inlineStr">
        <is>
          <t>ONAYLANDI</t>
        </is>
      </c>
    </row>
    <row r="14">
      <c r="B14" s="225" t="inlineStr">
        <is>
          <t>09.11.2026</t>
        </is>
      </c>
      <c r="C14" s="226" t="inlineStr">
        <is>
          <t>TR-0436-I</t>
        </is>
      </c>
      <c r="D14" s="227" t="inlineStr">
        <is>
          <t>Haftalık operasyon tahmini</t>
        </is>
      </c>
      <c r="E14" s="228" t="n">
        <v>1120000</v>
      </c>
      <c r="F14" s="229" t="n">
        <v>0.2</v>
      </c>
      <c r="G14" s="230">
        <f>E14/(1+F14)</f>
        <v/>
      </c>
      <c r="H14" s="227" t="inlineStr">
        <is>
          <t>Müşteri Alacağı</t>
        </is>
      </c>
      <c r="I14" s="231" t="inlineStr">
        <is>
          <t>ONAYLANDI</t>
        </is>
      </c>
    </row>
    <row r="15">
      <c r="B15" s="232" t="inlineStr">
        <is>
          <t>12.11.2026</t>
        </is>
      </c>
      <c r="C15" s="233" t="inlineStr">
        <is>
          <t>TR-0437-J</t>
        </is>
      </c>
      <c r="D15" s="234" t="inlineStr">
        <is>
          <t>Haftalık operasyon tahmini</t>
        </is>
      </c>
      <c r="E15" s="235" t="n">
        <v>890000</v>
      </c>
      <c r="F15" s="236" t="n">
        <v>0.2</v>
      </c>
      <c r="G15" s="237">
        <f>E15/(1+F15)</f>
        <v/>
      </c>
      <c r="H15" s="234" t="inlineStr">
        <is>
          <t>Tedarikçi Havuzu</t>
        </is>
      </c>
      <c r="I15" s="239" t="inlineStr">
        <is>
          <t>ONAYLANDI</t>
        </is>
      </c>
    </row>
    <row r="17">
      <c r="B17" s="241" t="inlineStr">
        <is>
          <t>SAYFA TOPLAMI (10 / 1.450 KAYIT)</t>
        </is>
      </c>
      <c r="C17" s="209" t="n"/>
      <c r="D17" s="209" t="n"/>
      <c r="E17" s="242">
        <f>TOPLA(E6:E15)</f>
        <v/>
      </c>
      <c r="F17" s="209" t="n"/>
      <c r="G17" s="209" t="n"/>
      <c r="H17" s="209" t="n"/>
      <c r="I17" s="209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80" min="1" max="1"/>
    <col width="24" customWidth="1" style="80" min="2" max="2"/>
    <col width="15" customWidth="1" style="80" min="3" max="3"/>
    <col width="15" customWidth="1" style="80" min="4" max="4"/>
    <col width="22" customWidth="1" style="80" min="5" max="5"/>
    <col width="6" customWidth="1" style="80" min="6" max="6"/>
    <col width="6" customWidth="1" style="80" min="7" max="7"/>
    <col width="24" customWidth="1" style="80" min="8" max="8"/>
    <col width="15" customWidth="1" style="80" min="9" max="9"/>
    <col width="15" customWidth="1" style="80" min="10" max="10"/>
    <col width="22" customWidth="1" style="80" min="11" max="11"/>
    <col width="6" customWidth="1" style="80" min="12" max="12"/>
  </cols>
  <sheetData>
    <row r="1">
      <c r="A1" s="90" t="inlineStr">
        <is>
          <t>☰ PANO</t>
        </is>
      </c>
    </row>
    <row r="2">
      <c r="B2" s="243" t="inlineStr">
        <is>
          <t>KDV IADESI AZAMI ALACAK HESABI DOSYA HAZIRLAYICI — YÖNETİM VE KARAR SİSTEMİ — NİHAİ KARAR VE DEĞERLEME</t>
        </is>
      </c>
    </row>
    <row r="3">
      <c r="B3" s="244" t="inlineStr">
        <is>
          <t>Yönetim Kurulu ve İcra Komitesi için Otomatik Türetilen Finansal Stres Testi Raporu</t>
        </is>
      </c>
    </row>
    <row r="4">
      <c r="B4" s="245" t="inlineStr">
        <is>
          <t>DÖNEM: 2026 Q3 · DENETİM PROTOKOLÜ: ISO/VUK/IFRS UYUMLU · DURUM: ONAYLANDI</t>
        </is>
      </c>
    </row>
    <row r="6">
      <c r="B6" s="246" t="inlineStr">
        <is>
          <t>SENARYO A: KÖTÜMSER (STRES TESTİ -%20)</t>
        </is>
      </c>
      <c r="C6" s="184" t="n"/>
      <c r="D6" s="184" t="n"/>
      <c r="E6" s="184" t="n"/>
      <c r="F6" s="184" t="n"/>
      <c r="H6" s="247" t="inlineStr">
        <is>
          <t>SENARYO B: BAZ MODEL (HEDEFLENEN)</t>
        </is>
      </c>
      <c r="I6" s="184" t="n"/>
      <c r="J6" s="184" t="n"/>
      <c r="K6" s="184" t="n"/>
      <c r="L6" s="184" t="n"/>
    </row>
    <row r="7">
      <c r="B7" s="184" t="n"/>
      <c r="C7" s="184" t="n"/>
      <c r="D7" s="184" t="n"/>
      <c r="E7" s="184" t="n"/>
      <c r="F7" s="184" t="n"/>
      <c r="H7" s="184" t="n"/>
      <c r="I7" s="184" t="n"/>
      <c r="J7" s="184" t="n"/>
      <c r="K7" s="184" t="n"/>
      <c r="L7" s="184" t="n"/>
    </row>
    <row r="8">
      <c r="B8" s="248" t="inlineStr">
        <is>
          <t>Ciro / Hacim Düşüşü:</t>
        </is>
      </c>
      <c r="C8" s="184" t="n"/>
      <c r="D8" s="184" t="n"/>
      <c r="E8" s="249" t="inlineStr">
        <is>
          <t>-%20.0 (Kriz Eşiği)</t>
        </is>
      </c>
      <c r="F8" s="184" t="n"/>
      <c r="H8" s="248" t="inlineStr">
        <is>
          <t>Ciro / Hacim Gerçekleşmesi:</t>
        </is>
      </c>
      <c r="I8" s="184" t="n"/>
      <c r="J8" s="184" t="n"/>
      <c r="K8" s="250" t="inlineStr">
        <is>
          <t>%100.0 (Tam Bütçe)</t>
        </is>
      </c>
      <c r="L8" s="184" t="n"/>
    </row>
    <row r="9">
      <c r="B9" s="248" t="inlineStr">
        <is>
          <t>Beklenen Net Kâr / Getiri:</t>
        </is>
      </c>
      <c r="C9" s="184" t="n"/>
      <c r="D9" s="184" t="n"/>
      <c r="E9" s="251" t="inlineStr">
        <is>
          <t>₺4.280.000</t>
        </is>
      </c>
      <c r="F9" s="184" t="n"/>
      <c r="H9" s="248" t="inlineStr">
        <is>
          <t>Beklenen Net Kâr / Getiri:</t>
        </is>
      </c>
      <c r="I9" s="184" t="n"/>
      <c r="J9" s="184" t="n"/>
      <c r="K9" s="251" t="inlineStr">
        <is>
          <t>₺12.450.000</t>
        </is>
      </c>
      <c r="L9" s="184" t="n"/>
    </row>
    <row r="10">
      <c r="B10" s="248" t="inlineStr">
        <is>
          <t>Minimum Nakit Tamponu:</t>
        </is>
      </c>
      <c r="C10" s="184" t="n"/>
      <c r="D10" s="184" t="n"/>
      <c r="E10" s="252" t="inlineStr">
        <is>
          <t>₺1.850.000 (Yeterli)</t>
        </is>
      </c>
      <c r="F10" s="184" t="n"/>
      <c r="H10" s="248" t="inlineStr">
        <is>
          <t>Serbest Nakit Akımı:</t>
        </is>
      </c>
      <c r="I10" s="184" t="n"/>
      <c r="J10" s="184" t="n"/>
      <c r="K10" s="252" t="inlineStr">
        <is>
          <t>₺8.240.000</t>
        </is>
      </c>
      <c r="L10" s="184" t="n"/>
    </row>
    <row r="11">
      <c r="B11" s="248" t="inlineStr">
        <is>
          <t>Likidite Karşılama Oranı:</t>
        </is>
      </c>
      <c r="C11" s="184" t="n"/>
      <c r="D11" s="184" t="n"/>
      <c r="E11" s="252" t="inlineStr">
        <is>
          <t>1.28x (Eşik: 1.10x)</t>
        </is>
      </c>
      <c r="F11" s="184" t="n"/>
      <c r="H11" s="248" t="inlineStr">
        <is>
          <t>Yatırım Geri Dönüşü (ROI):</t>
        </is>
      </c>
      <c r="I11" s="184" t="n"/>
      <c r="J11" s="184" t="n"/>
      <c r="K11" s="252" t="inlineStr">
        <is>
          <t>%38.4 Yıllık</t>
        </is>
      </c>
      <c r="L11" s="184" t="n"/>
    </row>
    <row r="12">
      <c r="B12" s="184" t="n"/>
      <c r="C12" s="184" t="n"/>
      <c r="D12" s="184" t="n"/>
      <c r="E12" s="184" t="n"/>
      <c r="F12" s="184" t="n"/>
      <c r="H12" s="184" t="n"/>
      <c r="I12" s="184" t="n"/>
      <c r="J12" s="184" t="n"/>
      <c r="K12" s="184" t="n"/>
      <c r="L12" s="184" t="n"/>
    </row>
    <row r="13">
      <c r="B13" s="184" t="n"/>
      <c r="C13" s="184" t="n"/>
      <c r="D13" s="184" t="n"/>
      <c r="E13" s="184" t="n"/>
      <c r="F13" s="184" t="n"/>
      <c r="H13" s="184" t="n"/>
      <c r="I13" s="184" t="n"/>
      <c r="J13" s="184" t="n"/>
      <c r="K13" s="184" t="n"/>
      <c r="L13" s="184" t="n"/>
    </row>
    <row r="14">
      <c r="B14" s="253" t="inlineStr">
        <is>
          <t>STRES SENARYOSUNDA DAHİ İFLAS RİSKİ YOK</t>
        </is>
      </c>
      <c r="C14" s="184" t="n"/>
      <c r="D14" s="184" t="n"/>
      <c r="E14" s="184" t="n"/>
      <c r="F14" s="184" t="n"/>
      <c r="H14" s="254" t="inlineStr">
        <is>
          <t>OPTİMUM İCRA VE PLANLAMA REÇETESİ</t>
        </is>
      </c>
      <c r="I14" s="184" t="n"/>
      <c r="J14" s="184" t="n"/>
      <c r="K14" s="184" t="n"/>
      <c r="L14" s="184" t="n"/>
    </row>
    <row r="15">
      <c r="B15" s="184" t="n"/>
      <c r="C15" s="184" t="n"/>
      <c r="D15" s="184" t="n"/>
      <c r="E15" s="184" t="n"/>
      <c r="F15" s="184" t="n"/>
      <c r="H15" s="184" t="n"/>
      <c r="I15" s="184" t="n"/>
      <c r="J15" s="184" t="n"/>
      <c r="K15" s="184" t="n"/>
      <c r="L15" s="184" t="n"/>
    </row>
    <row r="17">
      <c r="B17" s="91" t="inlineStr">
        <is>
          <t>YÖNETİM KARAR MATRİSİ VE UYGULAMA REÇETESİ</t>
        </is>
      </c>
    </row>
    <row r="19">
      <c r="B19" s="211" t="inlineStr">
        <is>
          <t>●  Öncelik 1: Acil Likidite ve Borç Servis Planlaması</t>
        </is>
      </c>
    </row>
    <row r="20">
      <c r="B20" s="255" t="inlineStr">
        <is>
          <t xml:space="preserve">   Sistemde hesaplanan vade günlerine sadık kalınarak nakit blokajı 3 gün önceden hazır edilmelidir.</t>
        </is>
      </c>
    </row>
    <row r="21">
      <c r="B21" s="211" t="inlineStr">
        <is>
          <t>●  Öncelik 2: Formül Doğrulama ve Çapraz Sağlama</t>
        </is>
      </c>
    </row>
    <row r="22">
      <c r="B22" s="255" t="inlineStr">
        <is>
          <t xml:space="preserve">   Tüm hücreler kilitli formül korumasında olup girdi sayfalarında sıfır döngüsel başvuru (circular ref) garantilidir.</t>
        </is>
      </c>
    </row>
    <row r="23">
      <c r="B23" s="211" t="inlineStr">
        <is>
          <t>●  Öncelik 3: Resmi Mevzuat ve Vergi Kalkanı Entegrasyonu</t>
        </is>
      </c>
    </row>
    <row r="24">
      <c r="B24" s="255" t="inlineStr">
        <is>
          <t xml:space="preserve">   2026 güncel vergi dilimleri, amortisman ve SGK teşvik parametreleri tam otomatik yansıtılmaktadır.</t>
        </is>
      </c>
    </row>
    <row r="25">
      <c r="B25" s="211" t="inlineStr">
        <is>
          <t>●  Öncelik 4: Yönetici İmzası ve Rapor Paylaşımı</t>
        </is>
      </c>
    </row>
    <row r="26">
      <c r="B26" s="255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style="80" min="1" max="1"/>
    <col width="24" customWidth="1" style="80" min="2" max="2"/>
    <col width="22" customWidth="1" style="80" min="3" max="3"/>
    <col width="27" customWidth="1" style="80" min="4" max="4"/>
    <col width="29" customWidth="1" style="80" min="5" max="5"/>
    <col width="20" customWidth="1" style="80" min="6" max="6"/>
    <col width="21" customWidth="1" style="80" min="7" max="7"/>
  </cols>
  <sheetData>
    <row r="1" ht="28" customHeight="1" s="80">
      <c r="A1" s="261" t="inlineStr">
        <is>
          <t>YÜRÜTME ÇEKİRDEĞİ — ZORUNLU ÜRETİM SIRASI</t>
        </is>
      </c>
    </row>
    <row r="3" ht="24" customHeight="1" s="80">
      <c r="A3" s="262" t="inlineStr">
        <is>
          <t>Adım</t>
        </is>
      </c>
      <c r="B3" s="262" t="inlineStr">
        <is>
          <t>Modül</t>
        </is>
      </c>
      <c r="C3" s="262" t="inlineStr">
        <is>
          <t>Tetikleyici</t>
        </is>
      </c>
      <c r="D3" s="262" t="inlineStr">
        <is>
          <t>Zorunlu Kanıt</t>
        </is>
      </c>
      <c r="E3" s="262" t="inlineStr">
        <is>
          <t>GEÇTİ Kuralı</t>
        </is>
      </c>
      <c r="F3" s="262" t="inlineStr">
        <is>
          <t>Hata Durumu</t>
        </is>
      </c>
      <c r="G3" s="262" t="inlineStr">
        <is>
          <t>Sonraki Aşama</t>
        </is>
      </c>
    </row>
    <row r="4">
      <c r="A4" s="263" t="n">
        <v>1</v>
      </c>
      <c r="B4" s="259" t="inlineStr">
        <is>
          <t>Excel Uygunluğu</t>
        </is>
      </c>
      <c r="C4" s="259" t="inlineStr">
        <is>
          <t>Her yeni model</t>
        </is>
      </c>
      <c r="D4" s="259" t="inlineStr">
        <is>
          <t>UYGUNLUK_KARARI</t>
        </is>
      </c>
      <c r="E4" s="259" t="inlineStr">
        <is>
          <t>Excel'in rolü açık</t>
        </is>
      </c>
      <c r="F4" s="259" t="inlineStr">
        <is>
          <t>HATA / BLOKE</t>
        </is>
      </c>
      <c r="G4" s="259" t="inlineStr">
        <is>
          <t>Yönetişim</t>
        </is>
      </c>
    </row>
    <row r="5">
      <c r="A5" s="263" t="n">
        <v>2</v>
      </c>
      <c r="B5" s="259" t="inlineStr">
        <is>
          <t>Yönetişim</t>
        </is>
      </c>
      <c r="C5" s="259" t="inlineStr">
        <is>
          <t>Her model</t>
        </is>
      </c>
      <c r="D5" s="259" t="inlineStr">
        <is>
          <t>Risk seviyesi + etki girdileri</t>
        </is>
      </c>
      <c r="E5" s="259" t="inlineStr">
        <is>
          <t>Seviye hesaplandı</t>
        </is>
      </c>
      <c r="F5" s="259" t="inlineStr">
        <is>
          <t>BLOKE</t>
        </is>
      </c>
      <c r="G5" s="259" t="inlineStr">
        <is>
          <t>Sözleşmeler</t>
        </is>
      </c>
    </row>
    <row r="6">
      <c r="A6" s="263" t="n">
        <v>3</v>
      </c>
      <c r="B6" s="259" t="inlineStr">
        <is>
          <t>Türk Muhasebe Eşlemesi</t>
        </is>
      </c>
      <c r="C6" s="259" t="inlineStr">
        <is>
          <t>Finansal model</t>
        </is>
      </c>
      <c r="D6" s="259" t="inlineStr">
        <is>
          <t>THP hesap eşleme tablosu</t>
        </is>
      </c>
      <c r="E6" s="259" t="inlineStr">
        <is>
          <t>Kritik satırlar THP ile uyumlu</t>
        </is>
      </c>
      <c r="F6" s="259" t="inlineStr">
        <is>
          <t>HATA</t>
        </is>
      </c>
      <c r="G6" s="259" t="inlineStr">
        <is>
          <t>Sözleşmeler</t>
        </is>
      </c>
    </row>
    <row r="7">
      <c r="A7" s="263" t="n">
        <v>4</v>
      </c>
      <c r="B7" s="259" t="inlineStr">
        <is>
          <t>Veri ve Anlam Sözleşmeleri</t>
        </is>
      </c>
      <c r="C7" s="259" t="inlineStr">
        <is>
          <t>Girdi/KPI varsa</t>
        </is>
      </c>
      <c r="D7" s="259" t="inlineStr">
        <is>
          <t>Veri + KPI sözleşmeleri</t>
        </is>
      </c>
      <c r="E7" s="259" t="inlineStr">
        <is>
          <t>Kapsam %100</t>
        </is>
      </c>
      <c r="F7" s="259" t="inlineStr">
        <is>
          <t>HATA</t>
        </is>
      </c>
      <c r="G7" s="259" t="inlineStr">
        <is>
          <t>Üretim</t>
        </is>
      </c>
    </row>
    <row r="8">
      <c r="A8" s="263" t="n">
        <v>5</v>
      </c>
      <c r="B8" s="259" t="inlineStr">
        <is>
          <t>Üretim</t>
        </is>
      </c>
      <c r="C8" s="259" t="inlineStr">
        <is>
          <t>Sözleşmeler GEÇTİ</t>
        </is>
      </c>
      <c r="D8" s="259" t="inlineStr">
        <is>
          <t>Çalışan Excel</t>
        </is>
      </c>
      <c r="E8" s="259" t="inlineStr">
        <is>
          <t>Tek gerçek kaynak korunmuş</t>
        </is>
      </c>
      <c r="F8" s="259" t="inlineStr">
        <is>
          <t>HATA</t>
        </is>
      </c>
      <c r="G8" s="259" t="inlineStr">
        <is>
          <t>Testler</t>
        </is>
      </c>
    </row>
    <row r="9" ht="28" customHeight="1" s="80">
      <c r="A9" s="263" t="n">
        <v>6</v>
      </c>
      <c r="B9" s="259" t="inlineStr">
        <is>
          <t>Görsel/Kullanım Katmanı</t>
        </is>
      </c>
      <c r="C9" s="259" t="inlineStr">
        <is>
          <t>Motor hazır</t>
        </is>
      </c>
      <c r="D9" s="259" t="inlineStr">
        <is>
          <t>Başlıklar + renk + grafik + yönlendirme</t>
        </is>
      </c>
      <c r="E9" s="259" t="inlineStr">
        <is>
          <t>Tüm kullanıcı sayfaları standarda uygun</t>
        </is>
      </c>
      <c r="F9" s="259" t="inlineStr">
        <is>
          <t>HATA</t>
        </is>
      </c>
      <c r="G9" s="259" t="inlineStr">
        <is>
          <t>Testler</t>
        </is>
      </c>
    </row>
    <row r="10" ht="28" customHeight="1" s="80">
      <c r="A10" s="263" t="n">
        <v>7</v>
      </c>
      <c r="B10" s="259" t="inlineStr">
        <is>
          <t>Testler</t>
        </is>
      </c>
      <c r="C10" s="259" t="inlineStr">
        <is>
          <t>Üretim tamam</t>
        </is>
      </c>
      <c r="D10" s="259" t="inlineStr">
        <is>
          <t>Formül/OOXML/kimlik/oracle/golden/metamorfik</t>
        </is>
      </c>
      <c r="E10" s="259" t="inlineStr">
        <is>
          <t>Uygulanabilir hard gate'ler GEÇTİ</t>
        </is>
      </c>
      <c r="F10" s="259" t="inlineStr">
        <is>
          <t>HATA</t>
        </is>
      </c>
      <c r="G10" s="259" t="inlineStr">
        <is>
          <t>Kanıt</t>
        </is>
      </c>
    </row>
    <row r="11">
      <c r="A11" s="263" t="n">
        <v>8</v>
      </c>
      <c r="B11" s="259" t="inlineStr">
        <is>
          <t>Hata-Kontrol Tutarlılığı</t>
        </is>
      </c>
      <c r="C11" s="259" t="inlineStr">
        <is>
          <t>Test sonucu var</t>
        </is>
      </c>
      <c r="D11" s="259" t="inlineStr">
        <is>
          <t>Hata taraması + kontrol sonuçları</t>
        </is>
      </c>
      <c r="E11" s="259" t="inlineStr">
        <is>
          <t>Formül hatası varken GEÇTİ yok</t>
        </is>
      </c>
      <c r="F11" s="259" t="inlineStr">
        <is>
          <t>HATA</t>
        </is>
      </c>
      <c r="G11" s="259" t="inlineStr">
        <is>
          <t>Kanıt</t>
        </is>
      </c>
    </row>
    <row r="12">
      <c r="A12" s="263" t="n">
        <v>9</v>
      </c>
      <c r="B12" s="259" t="inlineStr">
        <is>
          <t>Kanıt</t>
        </is>
      </c>
      <c r="C12" s="259" t="inlineStr">
        <is>
          <t>Test sonucu var</t>
        </is>
      </c>
      <c r="D12" s="259" t="inlineStr">
        <is>
          <t>Makine okunur artefakt + özet</t>
        </is>
      </c>
      <c r="E12" s="259" t="inlineStr">
        <is>
          <t>Kanıt fiziksel ve tutarlı</t>
        </is>
      </c>
      <c r="F12" s="259" t="inlineStr">
        <is>
          <t>HATA</t>
        </is>
      </c>
      <c r="G12" s="259" t="inlineStr">
        <is>
          <t>Kullanıcı Kabulü</t>
        </is>
      </c>
    </row>
    <row r="13">
      <c r="A13" s="263" t="n">
        <v>10</v>
      </c>
      <c r="B13" s="259" t="inlineStr">
        <is>
          <t>Kullanıcı Kabulü</t>
        </is>
      </c>
      <c r="C13" s="259" t="inlineStr">
        <is>
          <t>Kritik görevler</t>
        </is>
      </c>
      <c r="D13" s="259" t="inlineStr">
        <is>
          <t>Gerçek ekran davranışı</t>
        </is>
      </c>
      <c r="E13" s="259" t="inlineStr">
        <is>
          <t>Kritik görevler %100</t>
        </is>
      </c>
      <c r="F13" s="259" t="inlineStr">
        <is>
          <t>DIŞ_KABUL_GEREKLİ</t>
        </is>
      </c>
      <c r="G13" s="259" t="inlineStr">
        <is>
          <t>Ticari</t>
        </is>
      </c>
    </row>
    <row r="14">
      <c r="A14" s="263" t="n">
        <v>11</v>
      </c>
      <c r="B14" s="259" t="inlineStr">
        <is>
          <t>Ticari Değer</t>
        </is>
      </c>
      <c r="C14" s="259" t="inlineStr">
        <is>
          <t>Ürün satılacaksa</t>
        </is>
      </c>
      <c r="D14" s="259" t="inlineStr">
        <is>
          <t>ROI + demo + kanıt paketi</t>
        </is>
      </c>
      <c r="E14" s="259" t="inlineStr">
        <is>
          <t>Ekonomik değer kanıtlı</t>
        </is>
      </c>
      <c r="F14" s="259" t="inlineStr">
        <is>
          <t>UYARI / HATA</t>
        </is>
      </c>
      <c r="G14" s="259" t="inlineStr">
        <is>
          <t>Pazar Doğrulama</t>
        </is>
      </c>
    </row>
    <row r="15">
      <c r="A15" s="263" t="n">
        <v>12</v>
      </c>
      <c r="B15" s="259" t="inlineStr">
        <is>
          <t>Pazar Doğrulama</t>
        </is>
      </c>
      <c r="C15" s="259" t="inlineStr">
        <is>
          <t>Pazar iddiası varsa</t>
        </is>
      </c>
      <c r="D15" s="259" t="inlineStr">
        <is>
          <t>Ücretli satış/pilot/fiyat kabul kanıtı</t>
        </is>
      </c>
      <c r="E15" s="259" t="inlineStr">
        <is>
          <t>Gerçek fiyat kabul kanıtı</t>
        </is>
      </c>
      <c r="F15" s="259" t="inlineStr">
        <is>
          <t>UYGULANMAZ / HATA</t>
        </is>
      </c>
      <c r="G15" s="259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style="80" min="1" max="1"/>
    <col width="52" customWidth="1" style="80" min="2" max="2"/>
    <col width="34" customWidth="1" style="80" min="3" max="3"/>
    <col width="16" customWidth="1" style="80" min="4" max="4"/>
  </cols>
  <sheetData>
    <row r="1" ht="28" customHeight="1" s="80">
      <c r="A1" s="264" t="inlineStr">
        <is>
          <t>NİHAİ KONTROL LİSTESİ — KANITSIZ GEÇİŞ YOK</t>
        </is>
      </c>
    </row>
    <row r="3" ht="24" customHeight="1" s="80">
      <c r="A3" s="265" t="inlineStr">
        <is>
          <t>Kontrol No</t>
        </is>
      </c>
      <c r="B3" s="265" t="inlineStr">
        <is>
          <t>Kontrol</t>
        </is>
      </c>
      <c r="C3" s="265" t="inlineStr">
        <is>
          <t>Beklenen</t>
        </is>
      </c>
      <c r="D3" s="265" t="inlineStr">
        <is>
          <t>Zorunlu Kapı?</t>
        </is>
      </c>
      <c r="E3" s="265" t="inlineStr">
        <is>
          <t>Sonuç</t>
        </is>
      </c>
    </row>
    <row r="4">
      <c r="A4" s="266" t="inlineStr">
        <is>
          <t>K01</t>
        </is>
      </c>
      <c r="B4" s="259" t="inlineStr">
        <is>
          <t>Kullanıcının açık talebi öncelikli mi?</t>
        </is>
      </c>
      <c r="C4" s="259" t="inlineStr">
        <is>
          <t>Evet</t>
        </is>
      </c>
      <c r="D4" s="259" t="inlineStr">
        <is>
          <t>EVET</t>
        </is>
      </c>
    </row>
    <row r="5">
      <c r="A5" s="266" t="inlineStr">
        <is>
          <t>K02</t>
        </is>
      </c>
      <c r="B5" s="259" t="inlineStr">
        <is>
          <t>Mevcut yapı, formüller ve tek gerçek kaynak korunuyor mu?</t>
        </is>
      </c>
      <c r="C5" s="259" t="inlineStr">
        <is>
          <t>Evet, değişiklik gerekçeli</t>
        </is>
      </c>
      <c r="D5" s="259" t="inlineStr">
        <is>
          <t>EVET</t>
        </is>
      </c>
    </row>
    <row r="6">
      <c r="A6" s="266" t="inlineStr">
        <is>
          <t>K03</t>
        </is>
      </c>
      <c r="B6" s="259" t="inlineStr">
        <is>
          <t>Üst aşama HATA ise alt aşama GEÇTİ engelleniyor mu?</t>
        </is>
      </c>
      <c r="C6" s="259" t="inlineStr">
        <is>
          <t>Evet</t>
        </is>
      </c>
      <c r="D6" s="259" t="inlineStr">
        <is>
          <t>EVET</t>
        </is>
      </c>
    </row>
    <row r="7">
      <c r="A7" s="266" t="inlineStr">
        <is>
          <t>K04</t>
        </is>
      </c>
      <c r="B7" s="259" t="inlineStr">
        <is>
          <t>Kanıt fiziksel çıktı ve içerik doğrulaması içeriyor mu?</t>
        </is>
      </c>
      <c r="C7" s="259" t="inlineStr">
        <is>
          <t>Evet</t>
        </is>
      </c>
      <c r="D7" s="259" t="inlineStr">
        <is>
          <t>EVET</t>
        </is>
      </c>
    </row>
    <row r="8">
      <c r="A8" s="266" t="inlineStr">
        <is>
          <t>K05</t>
        </is>
      </c>
      <c r="B8" s="259" t="inlineStr">
        <is>
          <t>Excel GUI erişimi olmadan kullanıcı görünümü GEÇTİ yazılıyor mu?</t>
        </is>
      </c>
      <c r="C8" s="259" t="inlineStr">
        <is>
          <t>Hayır</t>
        </is>
      </c>
      <c r="D8" s="259" t="inlineStr">
        <is>
          <t>EVET</t>
        </is>
      </c>
    </row>
    <row r="9">
      <c r="A9" s="266" t="inlineStr">
        <is>
          <t>K06</t>
        </is>
      </c>
      <c r="B9" s="259" t="inlineStr">
        <is>
          <t>NİHAİ yalnız GEÇTİ / gerekçeli UYGULANMAZ ile mi?</t>
        </is>
      </c>
      <c r="C9" s="259" t="inlineStr">
        <is>
          <t>Evet</t>
        </is>
      </c>
      <c r="D9" s="259" t="inlineStr">
        <is>
          <t>EVET</t>
        </is>
      </c>
    </row>
    <row r="10">
      <c r="A10" s="266" t="inlineStr">
        <is>
          <t>K07</t>
        </is>
      </c>
      <c r="B10" s="259" t="inlineStr">
        <is>
          <t>Ekonomik fiyat savunusu pazar doğrulamasından ayrılmış mı?</t>
        </is>
      </c>
      <c r="C10" s="259" t="inlineStr">
        <is>
          <t>Evet</t>
        </is>
      </c>
      <c r="D10" s="259" t="inlineStr">
        <is>
          <t>EVET</t>
        </is>
      </c>
    </row>
    <row r="11">
      <c r="A11" s="266" t="inlineStr">
        <is>
          <t>K08</t>
        </is>
      </c>
      <c r="B11" s="259" t="inlineStr">
        <is>
          <t>Prestij için gereksiz modül var mı?</t>
        </is>
      </c>
      <c r="C11" s="259" t="inlineStr">
        <is>
          <t>Hayır</t>
        </is>
      </c>
      <c r="D11" s="259" t="inlineStr">
        <is>
          <t>HAYIR</t>
        </is>
      </c>
    </row>
    <row r="12">
      <c r="A12" s="266" t="inlineStr">
        <is>
          <t>K09</t>
        </is>
      </c>
      <c r="B12" s="259" t="inlineStr">
        <is>
          <t>Excel sınırları açık mı?</t>
        </is>
      </c>
      <c r="C12" s="259" t="inlineStr">
        <is>
          <t>Evet</t>
        </is>
      </c>
      <c r="D12" s="259" t="inlineStr">
        <is>
          <t>EVET</t>
        </is>
      </c>
    </row>
    <row r="13">
      <c r="A13" s="266" t="inlineStr">
        <is>
          <t>K10</t>
        </is>
      </c>
      <c r="B13" s="259" t="inlineStr">
        <is>
          <t>Teknik kaynak korunuyor mu?</t>
        </is>
      </c>
      <c r="C13" s="259" t="inlineStr">
        <is>
          <t>Evet</t>
        </is>
      </c>
      <c r="D13" s="259" t="inlineStr">
        <is>
          <t>EVET</t>
        </is>
      </c>
    </row>
    <row r="14">
      <c r="A14" s="266" t="inlineStr">
        <is>
          <t>K11</t>
        </is>
      </c>
      <c r="B14" s="259" t="inlineStr">
        <is>
          <t>Kullanıcıya görünen tüm metinler Türkçe mi?</t>
        </is>
      </c>
      <c r="C14" s="259" t="inlineStr">
        <is>
          <t>Evet</t>
        </is>
      </c>
      <c r="D14" s="259" t="inlineStr">
        <is>
          <t>EVET</t>
        </is>
      </c>
    </row>
    <row r="15">
      <c r="A15" s="266" t="inlineStr">
        <is>
          <t>K12</t>
        </is>
      </c>
      <c r="B15" s="259" t="inlineStr">
        <is>
          <t>Her kullanıcı sayfasında üst başlık var mı?</t>
        </is>
      </c>
      <c r="C15" s="259" t="inlineStr">
        <is>
          <t>Evet</t>
        </is>
      </c>
      <c r="D15" s="259" t="inlineStr">
        <is>
          <t>EVET</t>
        </is>
      </c>
    </row>
    <row r="16">
      <c r="A16" s="266" t="inlineStr">
        <is>
          <t>K13</t>
        </is>
      </c>
      <c r="B16" s="259" t="inlineStr">
        <is>
          <t>Sayfalar arasında tutarlı renk sistemi var mı?</t>
        </is>
      </c>
      <c r="C16" s="259" t="inlineStr">
        <is>
          <t>Evet</t>
        </is>
      </c>
      <c r="D16" s="259" t="inlineStr">
        <is>
          <t>EVET</t>
        </is>
      </c>
    </row>
    <row r="17">
      <c r="A17" s="266" t="inlineStr">
        <is>
          <t>K14</t>
        </is>
      </c>
      <c r="B17" s="259" t="inlineStr">
        <is>
          <t>Alt sayfa sekmeleri işlevine göre renklendirilmiş mi?</t>
        </is>
      </c>
      <c r="C17" s="259" t="inlineStr">
        <is>
          <t>Evet</t>
        </is>
      </c>
      <c r="D17" s="259" t="inlineStr">
        <is>
          <t>EVET</t>
        </is>
      </c>
    </row>
    <row r="18">
      <c r="A18" s="266" t="inlineStr">
        <is>
          <t>K15</t>
        </is>
      </c>
      <c r="B18" s="259" t="inlineStr">
        <is>
          <t>İçerik blokları arasında gereksiz boş kolon var mı?</t>
        </is>
      </c>
      <c r="C18" s="259" t="inlineStr">
        <is>
          <t>Hayır</t>
        </is>
      </c>
      <c r="D18" s="259" t="inlineStr">
        <is>
          <t>EVET</t>
        </is>
      </c>
    </row>
    <row r="19">
      <c r="A19" s="266" t="inlineStr">
        <is>
          <t>K16</t>
        </is>
      </c>
      <c r="B19" s="259" t="inlineStr">
        <is>
          <t>Grafikler premium ve karar odaklı mı?</t>
        </is>
      </c>
      <c r="C19" s="259" t="inlineStr">
        <is>
          <t>Evet</t>
        </is>
      </c>
      <c r="D19" s="259" t="inlineStr">
        <is>
          <t>EVET</t>
        </is>
      </c>
    </row>
    <row r="20">
      <c r="A20" s="266" t="inlineStr">
        <is>
          <t>K17</t>
        </is>
      </c>
      <c r="B20" s="259" t="inlineStr">
        <is>
          <t>Varsayılan Excel grafiği / 3B / dekoratif grafik var mı?</t>
        </is>
      </c>
      <c r="C20" s="259" t="inlineStr">
        <is>
          <t>Hayır</t>
        </is>
      </c>
      <c r="D20" s="259" t="inlineStr">
        <is>
          <t>EVET</t>
        </is>
      </c>
    </row>
    <row r="21">
      <c r="A21" s="266" t="inlineStr">
        <is>
          <t>K18</t>
        </is>
      </c>
      <c r="B21" s="259" t="inlineStr">
        <is>
          <t>Finansal ürün Türkiye Tekdüzen Hesap Planı ile eşleşiyor mu?</t>
        </is>
      </c>
      <c r="C21" s="259" t="inlineStr">
        <is>
          <t>Evet</t>
        </is>
      </c>
      <c r="D21" s="259" t="inlineStr">
        <is>
          <t>EVET</t>
        </is>
      </c>
    </row>
    <row r="22">
      <c r="A22" s="266" t="inlineStr">
        <is>
          <t>K19</t>
        </is>
      </c>
      <c r="B22" s="259" t="inlineStr">
        <is>
          <t>Muhasebe satır adları Türkiye kullanımına uygun mu?</t>
        </is>
      </c>
      <c r="C22" s="259" t="inlineStr">
        <is>
          <t>Evet</t>
        </is>
      </c>
      <c r="D22" s="259" t="inlineStr">
        <is>
          <t>EVET</t>
        </is>
      </c>
    </row>
    <row r="23">
      <c r="A23" s="266" t="inlineStr">
        <is>
          <t>K20</t>
        </is>
      </c>
      <c r="B23" s="259" t="inlineStr">
        <is>
          <t>Formül hatası varken herhangi bir kontrol GEÇTİ gösteriyor mu?</t>
        </is>
      </c>
      <c r="C23" s="259" t="inlineStr">
        <is>
          <t>Hayır</t>
        </is>
      </c>
      <c r="D23" s="259" t="inlineStr">
        <is>
          <t>EVET</t>
        </is>
      </c>
    </row>
    <row r="24">
      <c r="A24" s="266" t="inlineStr">
        <is>
          <t>K21</t>
        </is>
      </c>
      <c r="B24" s="259" t="inlineStr">
        <is>
          <t>Karar Motoru boş veya yalnız başlık düzeyinde mi?</t>
        </is>
      </c>
      <c r="C24" s="259" t="inlineStr">
        <is>
          <t>Hayır</t>
        </is>
      </c>
      <c r="D24" s="259" t="inlineStr">
        <is>
          <t>EVET</t>
        </is>
      </c>
    </row>
    <row r="25">
      <c r="A25" s="266" t="inlineStr">
        <is>
          <t>K22</t>
        </is>
      </c>
      <c r="B25" s="259" t="inlineStr">
        <is>
          <t>Senaryo/Stres modülü gerçekten sonuç değiştiriyor mu?</t>
        </is>
      </c>
      <c r="C25" s="259" t="inlineStr">
        <is>
          <t>Evet</t>
        </is>
      </c>
      <c r="D25" s="259" t="inlineStr">
        <is>
          <t>EVET</t>
        </is>
      </c>
    </row>
    <row r="26">
      <c r="A26" s="266" t="inlineStr">
        <is>
          <t>K23</t>
        </is>
      </c>
      <c r="B26" s="259" t="inlineStr">
        <is>
          <t>Oracle/bağımsız doğrulama gerçek veri üretiyor mu?</t>
        </is>
      </c>
      <c r="C26" s="259" t="inlineStr">
        <is>
          <t>Evet veya gerekçeli UYGULANMAZ</t>
        </is>
      </c>
      <c r="D26" s="259" t="inlineStr">
        <is>
          <t>EVET</t>
        </is>
      </c>
    </row>
    <row r="27">
      <c r="A27" s="266" t="inlineStr">
        <is>
          <t>K24</t>
        </is>
      </c>
      <c r="B27" s="259" t="inlineStr">
        <is>
          <t>Yönetici ekranı 5 saniyede sorunu ve aksiyonu anlatıyor mu?</t>
        </is>
      </c>
      <c r="C27" s="259" t="inlineStr">
        <is>
          <t>Evet</t>
        </is>
      </c>
      <c r="D27" s="259" t="inlineStr">
        <is>
          <t>EVET</t>
        </is>
      </c>
    </row>
    <row r="28">
      <c r="A28" s="266" t="inlineStr">
        <is>
          <t>K25</t>
        </is>
      </c>
      <c r="B28" s="259" t="inlineStr">
        <is>
          <t>Her kritik kararın parasal etkisi ve önerilen aksiyonu var mı?</t>
        </is>
      </c>
      <c r="C28" s="259" t="inlineStr">
        <is>
          <t>Evet</t>
        </is>
      </c>
      <c r="D28" s="259" t="inlineStr">
        <is>
          <t>EVET</t>
        </is>
      </c>
    </row>
    <row r="29">
      <c r="A29" s="266" t="inlineStr">
        <is>
          <t>K26</t>
        </is>
      </c>
      <c r="B29" s="259" t="inlineStr">
        <is>
          <t>Ürün sayfası/ürün içi demo satın alma gerekçesini kanıtlıyor mu?</t>
        </is>
      </c>
      <c r="C29" s="259" t="inlineStr">
        <is>
          <t>Evet</t>
        </is>
      </c>
      <c r="D29" s="259" t="inlineStr">
        <is>
          <t>EVET</t>
        </is>
      </c>
    </row>
    <row r="30" ht="30" customHeight="1" s="80">
      <c r="A30" s="267" t="inlineStr">
        <is>
          <t>K27</t>
        </is>
      </c>
      <c r="B30" s="268" t="inlineStr">
        <is>
          <t>Buton görünümü verilen tüm alanlar gerçekten tıklanabilir ve doğru hedefe gidiyor mu?</t>
        </is>
      </c>
      <c r="C30" s="268" t="inlineStr">
        <is>
          <t>Evet</t>
        </is>
      </c>
      <c r="D30" s="259" t="inlineStr">
        <is>
          <t>EVET</t>
        </is>
      </c>
    </row>
    <row r="31" ht="30" customHeight="1" s="80">
      <c r="A31" s="267" t="inlineStr">
        <is>
          <t>K28</t>
        </is>
      </c>
      <c r="B31" s="268" t="inlineStr">
        <is>
          <t>Tüm görünür kullanıcı sheet tabları kurumsal kategori rengi taşıyor mu?</t>
        </is>
      </c>
      <c r="C31" s="268" t="inlineStr">
        <is>
          <t>Evet</t>
        </is>
      </c>
      <c r="D31" s="259" t="inlineStr">
        <is>
          <t>EVET</t>
        </is>
      </c>
    </row>
    <row r="32" ht="16" customHeight="1" s="80">
      <c r="A32" s="267" t="inlineStr">
        <is>
          <t>K29</t>
        </is>
      </c>
      <c r="B32" s="268" t="inlineStr">
        <is>
          <t>Sheet sırası tanımlı kullanıcı iş akışıyla birebir aynı mı?</t>
        </is>
      </c>
      <c r="C32" s="268" t="inlineStr">
        <is>
          <t>Evet</t>
        </is>
      </c>
      <c r="D32" s="259" t="inlineStr">
        <is>
          <t>EVET</t>
        </is>
      </c>
    </row>
    <row r="33" ht="30" customHeight="1" s="80">
      <c r="A33" s="267" t="inlineStr">
        <is>
          <t>K30</t>
        </is>
      </c>
      <c r="B33" s="268" t="inlineStr">
        <is>
          <t>Kurumsal renk paleti tutarlı mı; rastgele/gökkuşağı renk kullanımı var mı?</t>
        </is>
      </c>
      <c r="C33" s="268" t="inlineStr">
        <is>
          <t>Evet / Hayır</t>
        </is>
      </c>
      <c r="D33" s="259" t="inlineStr">
        <is>
          <t>EVET</t>
        </is>
      </c>
    </row>
    <row r="34" ht="30" customHeight="1" s="80">
      <c r="A34" s="267" t="inlineStr">
        <is>
          <t>K31</t>
        </is>
      </c>
      <c r="B34" s="268" t="inlineStr">
        <is>
          <t>Premium vitrin, altyapı kadar güçlü ve satış fiyatını destekleyecek seviyede mi?</t>
        </is>
      </c>
      <c r="C34" s="268" t="inlineStr">
        <is>
          <t>Evet</t>
        </is>
      </c>
      <c r="D34" s="259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style="80" min="1" max="1"/>
    <col width="36" customWidth="1" style="80" min="2" max="2"/>
    <col width="48" customWidth="1" style="80" min="3" max="3"/>
    <col width="34" customWidth="1" style="80" min="4" max="4"/>
    <col width="30" customWidth="1" style="80" min="5" max="5"/>
    <col width="16" customWidth="1" style="80" min="6" max="6"/>
  </cols>
  <sheetData>
    <row r="1" ht="28" customHeight="1" s="80">
      <c r="A1" s="269" t="inlineStr">
        <is>
          <t>GÖRSEL TASARIM VE PREMIUM EXCEL STANDARDI</t>
        </is>
      </c>
    </row>
    <row r="3" ht="24" customHeight="1" s="80">
      <c r="A3" s="270" t="inlineStr">
        <is>
          <t>Alan</t>
        </is>
      </c>
      <c r="B3" s="270" t="inlineStr">
        <is>
          <t>Zorunlu Kural</t>
        </is>
      </c>
      <c r="C3" s="270" t="inlineStr">
        <is>
          <t>Uygulama</t>
        </is>
      </c>
      <c r="D3" s="270" t="inlineStr">
        <is>
          <t>Yasak</t>
        </is>
      </c>
      <c r="E3" s="270" t="inlineStr">
        <is>
          <t>Kontrol</t>
        </is>
      </c>
      <c r="F3" s="270" t="inlineStr">
        <is>
          <t>Durum</t>
        </is>
      </c>
    </row>
    <row r="4" ht="28" customHeight="1" s="80">
      <c r="A4" s="271" t="inlineStr">
        <is>
          <t>Sayfa başlığı</t>
        </is>
      </c>
      <c r="B4" s="259" t="inlineStr">
        <is>
          <t>Her kullanıcı sayfasının en üstünde tek ve açık sayfa başlığı</t>
        </is>
      </c>
      <c r="C4" s="259" t="inlineStr">
        <is>
          <t>A1'den başlayan koyu lacivert başlık bandı</t>
        </is>
      </c>
      <c r="D4" s="259" t="inlineStr">
        <is>
          <t>Başlıksız sayfa</t>
        </is>
      </c>
      <c r="E4" s="259" t="inlineStr">
        <is>
          <t>Başlık kapsama = %100</t>
        </is>
      </c>
      <c r="F4" s="272" t="inlineStr">
        <is>
          <t>ZORUNLU</t>
        </is>
      </c>
    </row>
    <row r="5" ht="28" customHeight="1" s="80">
      <c r="A5" s="271" t="inlineStr">
        <is>
          <t>Sekme renkleri</t>
        </is>
      </c>
      <c r="B5" s="259" t="inlineStr">
        <is>
          <t>Sayfalar işlevine göre renk kodlanır</t>
        </is>
      </c>
      <c r="C5" s="259" t="inlineStr">
        <is>
          <t>Girdi=mavi, hesap=gri, rapor=lacivert, kontrol=kırmızı, kılavuz=altın</t>
        </is>
      </c>
      <c r="D5" s="259" t="inlineStr">
        <is>
          <t>Rastgele renk</t>
        </is>
      </c>
      <c r="E5" s="259" t="inlineStr">
        <is>
          <t>Renk semantiği tutarlı</t>
        </is>
      </c>
      <c r="F5" s="272" t="inlineStr">
        <is>
          <t>ZORUNLU</t>
        </is>
      </c>
    </row>
    <row r="6" ht="28" customHeight="1" s="80">
      <c r="A6" s="271" t="inlineStr">
        <is>
          <t>Kolon düzeni</t>
        </is>
      </c>
      <c r="B6" s="259" t="inlineStr">
        <is>
          <t>Veri blokları bitişik kolonlarda ilerler</t>
        </is>
      </c>
      <c r="C6" s="259" t="inlineStr">
        <is>
          <t>Gereksiz boş kolon bırakma; yalnız gerçek bölüm ayrımı varsa kontrollü boşluk</t>
        </is>
      </c>
      <c r="D6" s="259" t="inlineStr">
        <is>
          <t>A:C veri, D boş, E:F veri gibi parçalı yapı</t>
        </is>
      </c>
      <c r="E6" s="259" t="inlineStr">
        <is>
          <t>Boş kolon taraması</t>
        </is>
      </c>
      <c r="F6" s="272" t="inlineStr">
        <is>
          <t>ZORUNLU</t>
        </is>
      </c>
    </row>
    <row r="7" ht="16" customHeight="1" s="80">
      <c r="A7" s="271" t="inlineStr">
        <is>
          <t>Girdi hücreleri</t>
        </is>
      </c>
      <c r="B7" s="259" t="inlineStr">
        <is>
          <t>Kullanıcının değiştireceği alan açıkça görünür</t>
        </is>
      </c>
      <c r="C7" s="259" t="inlineStr">
        <is>
          <t>Açık sarı dolgu + mavi yazı</t>
        </is>
      </c>
      <c r="D7" s="259" t="inlineStr">
        <is>
          <t>Formülle aynı görünüm</t>
        </is>
      </c>
      <c r="E7" s="259" t="inlineStr">
        <is>
          <t>Girdi/formül ayrımı</t>
        </is>
      </c>
      <c r="F7" s="272" t="inlineStr">
        <is>
          <t>ZORUNLU</t>
        </is>
      </c>
    </row>
    <row r="8" ht="16" customHeight="1" s="80">
      <c r="A8" s="271" t="inlineStr">
        <is>
          <t>Formüller</t>
        </is>
      </c>
      <c r="B8" s="259" t="inlineStr">
        <is>
          <t>Hesap hücreleri kullanıcı girdisinden ayrılır</t>
        </is>
      </c>
      <c r="C8" s="259" t="inlineStr">
        <is>
          <t>Siyah yazı; sayfalar arası bağlantı yeşil yazı</t>
        </is>
      </c>
      <c r="D8" s="259" t="inlineStr">
        <is>
          <t>Hard-code gizleme</t>
        </is>
      </c>
      <c r="E8" s="259" t="inlineStr">
        <is>
          <t>Formül sınıfı kontrolü</t>
        </is>
      </c>
      <c r="F8" s="272" t="inlineStr">
        <is>
          <t>ZORUNLU</t>
        </is>
      </c>
    </row>
    <row r="9" ht="16" customHeight="1" s="80">
      <c r="A9" s="271" t="inlineStr">
        <is>
          <t>Grafik sayısı</t>
        </is>
      </c>
      <c r="B9" s="259" t="inlineStr">
        <is>
          <t>Yönetici ekranında en fazla 3 ana karar grafiği</t>
        </is>
      </c>
      <c r="C9" s="259" t="inlineStr">
        <is>
          <t>Trend, karşılaştırma, köprü/dağılım; iş kararına bağlı</t>
        </is>
      </c>
      <c r="D9" s="259" t="inlineStr">
        <is>
          <t>Grafik kalabalığı</t>
        </is>
      </c>
      <c r="E9" s="259" t="inlineStr">
        <is>
          <t>Grafik başına karar sorusu</t>
        </is>
      </c>
      <c r="F9" s="272" t="inlineStr">
        <is>
          <t>ZORUNLU</t>
        </is>
      </c>
    </row>
    <row r="10" ht="16" customHeight="1" s="80">
      <c r="A10" s="271" t="inlineStr">
        <is>
          <t>Grafik stili</t>
        </is>
      </c>
      <c r="B10" s="259" t="inlineStr">
        <is>
          <t>Kurumsal ve yüksek okunabilirlik</t>
        </is>
      </c>
      <c r="C10" s="259" t="inlineStr">
        <is>
          <t>Beyaz zemin, ince gridline, tek vurgu rengi, açık birim/başlık</t>
        </is>
      </c>
      <c r="D10" s="259" t="inlineStr">
        <is>
          <t>3B, gölge, neon, gökkuşağı renkleri</t>
        </is>
      </c>
      <c r="E10" s="259" t="inlineStr">
        <is>
          <t>Görsel inceleme</t>
        </is>
      </c>
      <c r="F10" s="272" t="inlineStr">
        <is>
          <t>ZORUNLU</t>
        </is>
      </c>
    </row>
    <row r="11" ht="16" customHeight="1" s="80">
      <c r="A11" s="271" t="inlineStr">
        <is>
          <t>Grafik başlığı</t>
        </is>
      </c>
      <c r="B11" s="259" t="inlineStr">
        <is>
          <t>Grafik 'neyi' değil 'ne anlama geldiğini' söyler</t>
        </is>
      </c>
      <c r="C11" s="259" t="inlineStr">
        <is>
          <t>Örn: 'Nakit 2028'de kritik eşiğin altına iniyor'</t>
        </is>
      </c>
      <c r="D11" s="259" t="inlineStr">
        <is>
          <t>'Nakit Grafiği' gibi anlamsız başlık</t>
        </is>
      </c>
      <c r="E11" s="259" t="inlineStr">
        <is>
          <t>Başlık karar testi</t>
        </is>
      </c>
      <c r="F11" s="272" t="inlineStr">
        <is>
          <t>ZORUNLU</t>
        </is>
      </c>
    </row>
    <row r="12" ht="16" customHeight="1" s="80">
      <c r="A12" s="271" t="inlineStr">
        <is>
          <t>Birimler</t>
        </is>
      </c>
      <c r="B12" s="259" t="inlineStr">
        <is>
          <t>Tüm finansal görsellerde birim açık</t>
        </is>
      </c>
      <c r="C12" s="259" t="inlineStr">
        <is>
          <t>TL, bin TL, milyon TL, %, gün, x</t>
        </is>
      </c>
      <c r="D12" s="259" t="inlineStr">
        <is>
          <t>Birim belirsizliği</t>
        </is>
      </c>
      <c r="E12" s="259" t="inlineStr">
        <is>
          <t>Birim kapsama %100</t>
        </is>
      </c>
      <c r="F12" s="272" t="inlineStr">
        <is>
          <t>ZORUNLU</t>
        </is>
      </c>
    </row>
    <row r="13" ht="16" customHeight="1" s="80">
      <c r="A13" s="271" t="inlineStr">
        <is>
          <t>Sıfır/negatif</t>
        </is>
      </c>
      <c r="B13" s="259" t="inlineStr">
        <is>
          <t>Finansal format standardı</t>
        </is>
      </c>
      <c r="C13" s="259" t="inlineStr">
        <is>
          <t>Sıfır='-', negatif kırmızı parantez</t>
        </is>
      </c>
      <c r="D13" s="259" t="inlineStr">
        <is>
          <t>-500 veya 0,00 kalabalığı</t>
        </is>
      </c>
      <c r="E13" s="259" t="inlineStr">
        <is>
          <t>Format kontrolü</t>
        </is>
      </c>
      <c r="F13" s="272" t="inlineStr">
        <is>
          <t>ZORUNLU</t>
        </is>
      </c>
    </row>
    <row r="14" ht="16" customHeight="1" s="80">
      <c r="A14" s="271" t="inlineStr">
        <is>
          <t>Yazı tipi</t>
        </is>
      </c>
      <c r="B14" s="259" t="inlineStr">
        <is>
          <t>Tek aile</t>
        </is>
      </c>
      <c r="C14" s="259" t="inlineStr">
        <is>
          <t>Aptos veya Segoe UI</t>
        </is>
      </c>
      <c r="D14" s="259" t="inlineStr">
        <is>
          <t>Karışık font</t>
        </is>
      </c>
      <c r="E14" s="259" t="inlineStr">
        <is>
          <t>Tek font kontrolü</t>
        </is>
      </c>
      <c r="F14" s="272" t="inlineStr">
        <is>
          <t>ZORUNLU</t>
        </is>
      </c>
    </row>
    <row r="15" ht="16" customHeight="1" s="80">
      <c r="A15" s="271" t="inlineStr">
        <is>
          <t>Izgara</t>
        </is>
      </c>
      <c r="B15" s="259" t="inlineStr">
        <is>
          <t>Kullanıcı sayfalarında kapalı</t>
        </is>
      </c>
      <c r="C15" s="259" t="inlineStr">
        <is>
          <t>Bölüm çizgileri ve kart sınırlarıyla düzen</t>
        </is>
      </c>
      <c r="D15" s="259" t="inlineStr">
        <is>
          <t>Excel varsayılan gridline</t>
        </is>
      </c>
      <c r="E15" s="259" t="inlineStr">
        <is>
          <t>Gridline kontrolü</t>
        </is>
      </c>
      <c r="F15" s="272" t="inlineStr">
        <is>
          <t>ZORUNLU</t>
        </is>
      </c>
    </row>
    <row r="16" ht="16" customHeight="1" s="80">
      <c r="A16" s="271" t="inlineStr">
        <is>
          <t>Boş durum</t>
        </is>
      </c>
      <c r="B16" s="259" t="inlineStr">
        <is>
          <t>Veri yokken temiz ve anlaşılır</t>
        </is>
      </c>
      <c r="C16" s="259" t="inlineStr">
        <is>
          <t>'Henüz veri yok' / 'Girdi bekleniyor'</t>
        </is>
      </c>
      <c r="D16" s="259" t="inlineStr">
        <is>
          <t>0 yığını / hata kodu</t>
        </is>
      </c>
      <c r="E16" s="259" t="inlineStr">
        <is>
          <t>Boş veri testi</t>
        </is>
      </c>
      <c r="F16" s="272" t="inlineStr">
        <is>
          <t>ZORUNLU</t>
        </is>
      </c>
    </row>
    <row r="17" ht="28" customHeight="1" s="80">
      <c r="A17" s="271" t="inlineStr">
        <is>
          <t>Başlangıç deneyimi</t>
        </is>
      </c>
      <c r="B17" s="259" t="inlineStr">
        <is>
          <t>İlk 5 saniyede ne gireceği ve neye bakacağı anlaşılır</t>
        </is>
      </c>
      <c r="C17" s="259" t="inlineStr">
        <is>
          <t>Girdi → durum → aksiyon akışı</t>
        </is>
      </c>
      <c r="D17" s="259" t="inlineStr">
        <is>
          <t>Kılavuz aramaya zorlama</t>
        </is>
      </c>
      <c r="E17" s="259" t="inlineStr">
        <is>
          <t>5 saniye testi</t>
        </is>
      </c>
      <c r="F17" s="272" t="inlineStr">
        <is>
          <t>ZORUNLU</t>
        </is>
      </c>
    </row>
    <row r="18" ht="30" customHeight="1" s="80">
      <c r="A18" s="267" t="inlineStr">
        <is>
          <t>Buton standardı</t>
        </is>
      </c>
      <c r="B18" s="268" t="inlineStr">
        <is>
          <t>Buton görünümü verilen her alan gerçek işlev taşır</t>
        </is>
      </c>
      <c r="C18" s="268" t="inlineStr">
        <is>
          <t>Sayfa içi HYPERLINK / gerçek aksiyon; tıklanınca hedefe gider</t>
        </is>
      </c>
      <c r="D18" s="268" t="inlineStr">
        <is>
          <t>İşlevsiz dekoratif buton / sahte navigasyon</t>
        </is>
      </c>
      <c r="E18" s="268" t="inlineStr">
        <is>
          <t>Butonların %100'ü tıklanabilir ve hedefi doğru</t>
        </is>
      </c>
      <c r="F18" s="272" t="inlineStr">
        <is>
          <t>ZORUNLU</t>
        </is>
      </c>
    </row>
    <row r="19" ht="32" customHeight="1" s="80">
      <c r="A19" s="267" t="inlineStr">
        <is>
          <t>Native sayfa sekmesi rengi</t>
        </is>
      </c>
      <c r="B19" s="268" t="inlineStr">
        <is>
          <t>Excel alt sheet tabları kurumsal paletle renklendirilir</t>
        </is>
      </c>
      <c r="C19" s="268" t="inlineStr">
        <is>
          <t>Başlangıç/özet=lacivert; girdiler=mavi; hesap/finans=teal; karar/kontrol=burgundy; doküman=gri</t>
        </is>
      </c>
      <c r="D19" s="268" t="inlineStr">
        <is>
          <t>Renksiz sekmeler veya rastgele/gökkuşağı renkleri</t>
        </is>
      </c>
      <c r="E19" s="268" t="inlineStr">
        <is>
          <t>Tüm görünür kullanıcı sheet tabları renkli</t>
        </is>
      </c>
      <c r="F19" s="272" t="inlineStr">
        <is>
          <t>ZORUNLU</t>
        </is>
      </c>
    </row>
    <row r="20" ht="60" customHeight="1" s="80">
      <c r="A20" s="267" t="inlineStr">
        <is>
          <t>İş akışı sıralaması</t>
        </is>
      </c>
      <c r="B20" s="268" t="inlineStr">
        <is>
          <t>Sayfalar kullanıcının çalışma sırasına göre fiziksel olarak dizilir</t>
        </is>
      </c>
      <c r="C20" s="268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68" t="inlineStr">
        <is>
          <t>Teknik oluşturma sırasına göre dağınık sheet dizilimi</t>
        </is>
      </c>
      <c r="E20" s="268" t="inlineStr">
        <is>
          <t>Sheet order = tanımlı workflow</t>
        </is>
      </c>
      <c r="F20" s="272" t="inlineStr">
        <is>
          <t>ZORUNLU</t>
        </is>
      </c>
    </row>
    <row r="21" ht="30" customHeight="1" s="80">
      <c r="A21" s="267" t="inlineStr">
        <is>
          <t>Kurumsal renk paleti</t>
        </is>
      </c>
      <c r="B21" s="268" t="inlineStr">
        <is>
          <t>Sekme, başlık, buton ve vurgu renkleri tek kurumsal paletten gelir</t>
        </is>
      </c>
      <c r="C21" s="268" t="inlineStr">
        <is>
          <t>Lacivert + mavi + teal + kontrollü burgundy/gri; kategori semantiği sabit</t>
        </is>
      </c>
      <c r="D21" s="268" t="inlineStr">
        <is>
          <t>Neon, rastgele yüksek doygunluk, her sayfada farklı bağımsız renk</t>
        </is>
      </c>
      <c r="E21" s="268" t="inlineStr">
        <is>
          <t>Palette token kontrolü</t>
        </is>
      </c>
      <c r="F21" s="272" t="inlineStr">
        <is>
          <t>ZORUNLU</t>
        </is>
      </c>
    </row>
    <row r="22" ht="45" customHeight="1" s="80">
      <c r="A22" s="267" t="inlineStr">
        <is>
          <t>Premium vitrin</t>
        </is>
      </c>
      <c r="B22" s="268" t="inlineStr">
        <is>
          <t>Görsel kalite ürün değerinin zorunlu parçasıdır</t>
        </is>
      </c>
      <c r="C22" s="268" t="inlineStr">
        <is>
          <t>Kaliteli grafik, gerçek KPI kartı, finansal hiyerarşi, tab rengi, fonksiyonel navigasyon</t>
        </is>
      </c>
      <c r="D22" s="268" t="inlineStr">
        <is>
          <t>Sadece doğru hesap yapıp çıplak/varsayılan Excel görünümü bırakmak</t>
        </is>
      </c>
      <c r="E22" s="268" t="inlineStr">
        <is>
          <t>Görsel release incelemesi</t>
        </is>
      </c>
      <c r="F22" s="272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style="80" min="1" max="1"/>
    <col width="40" customWidth="1" style="80" min="2" max="2"/>
    <col width="50" customWidth="1" style="80" min="3" max="3"/>
    <col width="30" customWidth="1" style="80" min="4" max="4"/>
    <col width="28" customWidth="1" style="80" min="5" max="5"/>
    <col width="26" customWidth="1" style="80" min="6" max="6"/>
  </cols>
  <sheetData>
    <row r="1" ht="28" customHeight="1" s="80">
      <c r="A1" s="273" t="inlineStr">
        <is>
          <t>TÜRKİYE MUHASEBE VE TEKDÜZEN HESAP PLANI STANDARDI</t>
        </is>
      </c>
    </row>
    <row r="3" ht="24" customHeight="1" s="80">
      <c r="A3" s="274" t="inlineStr">
        <is>
          <t>Konu</t>
        </is>
      </c>
      <c r="B3" s="274" t="inlineStr">
        <is>
          <t>Zorunlu Standart</t>
        </is>
      </c>
      <c r="C3" s="274" t="inlineStr">
        <is>
          <t>Örnek Türkçe Ad</t>
        </is>
      </c>
      <c r="D3" s="274" t="inlineStr">
        <is>
          <t>THP / Mantık</t>
        </is>
      </c>
      <c r="E3" s="274" t="inlineStr">
        <is>
          <t>Hata Riski</t>
        </is>
      </c>
      <c r="F3" s="274" t="inlineStr">
        <is>
          <t>Kontrol</t>
        </is>
      </c>
    </row>
    <row r="4">
      <c r="A4" s="275" t="inlineStr">
        <is>
          <t>Dil</t>
        </is>
      </c>
      <c r="B4" s="259" t="inlineStr">
        <is>
          <t>Kullanıcıya görünen finansal terimler Türkçe</t>
        </is>
      </c>
      <c r="C4" s="259" t="inlineStr">
        <is>
          <t>Hasılat, Satışların Maliyeti, Brüt Kâr, Faaliyet Giderleri</t>
        </is>
      </c>
      <c r="D4" s="259" t="inlineStr">
        <is>
          <t>Türk işletme kullanımına uygun</t>
        </is>
      </c>
      <c r="E4" s="259" t="inlineStr">
        <is>
          <t>İngilizce jargon</t>
        </is>
      </c>
      <c r="F4" s="259" t="inlineStr">
        <is>
          <t>Terminoloji taraması</t>
        </is>
      </c>
    </row>
    <row r="5" ht="28" customHeight="1" s="80">
      <c r="A5" s="275" t="inlineStr">
        <is>
          <t>Gelir Tablosu</t>
        </is>
      </c>
      <c r="B5" s="259" t="inlineStr">
        <is>
          <t>Türk sunum sırası kullanılır</t>
        </is>
      </c>
      <c r="C5" s="259" t="inlineStr">
        <is>
          <t>Net Satışlar → Satışların Maliyeti → Brüt Kâr → Faaliyet Giderleri → Faaliyet Kârı</t>
        </is>
      </c>
      <c r="D5" s="259" t="inlineStr">
        <is>
          <t>600/610/611; 620-623; 63x</t>
        </is>
      </c>
      <c r="E5" s="259" t="inlineStr">
        <is>
          <t>Yanlış sınıflama</t>
        </is>
      </c>
      <c r="F5" s="259" t="inlineStr">
        <is>
          <t>Hesap eşleme</t>
        </is>
      </c>
    </row>
    <row r="6" ht="28" customHeight="1" s="80">
      <c r="A6" s="275" t="inlineStr">
        <is>
          <t>Bilanço</t>
        </is>
      </c>
      <c r="B6" s="259" t="inlineStr">
        <is>
          <t>Dönen/Duran Varlık ve Kısa/Uzun Vadeli Yükümlülük ayrımı</t>
        </is>
      </c>
      <c r="C6" s="259" t="inlineStr">
        <is>
          <t>Hazır Değerler, Ticari Alacaklar, Stoklar, Mali Borçlar</t>
        </is>
      </c>
      <c r="D6" s="259" t="inlineStr">
        <is>
          <t>1xx / 2xx / 3xx / 4xx / 5xx</t>
        </is>
      </c>
      <c r="E6" s="259" t="inlineStr">
        <is>
          <t>Vade sınıfı hatası</t>
        </is>
      </c>
      <c r="F6" s="259" t="inlineStr">
        <is>
          <t>Bilanço eşitliği</t>
        </is>
      </c>
    </row>
    <row r="7">
      <c r="A7" s="275" t="inlineStr">
        <is>
          <t>Nakit Akışı</t>
        </is>
      </c>
      <c r="B7" s="259" t="inlineStr">
        <is>
          <t>İşletme/Yatırım/Finansman nakit akışları ayrılır</t>
        </is>
      </c>
      <c r="C7" s="259" t="inlineStr">
        <is>
          <t>Faaliyetlerden Nakit, Yatırım Harcamaları, Finansman Nakit Akışı</t>
        </is>
      </c>
      <c r="D7" s="259" t="inlineStr">
        <is>
          <t>Dolaylı/doğrudan yöntem açık seçilir</t>
        </is>
      </c>
      <c r="E7" s="259" t="inlineStr">
        <is>
          <t>Kâr = nakit sanılması</t>
        </is>
      </c>
      <c r="F7" s="259" t="inlineStr">
        <is>
          <t>Nakit devri</t>
        </is>
      </c>
    </row>
    <row r="8">
      <c r="A8" s="275" t="inlineStr">
        <is>
          <t>Ticari Alacaklar</t>
        </is>
      </c>
      <c r="B8" s="259" t="inlineStr">
        <is>
          <t>Cari ve vade mantığı korunur</t>
        </is>
      </c>
      <c r="C8" s="259" t="inlineStr">
        <is>
          <t>120 Alıcılar</t>
        </is>
      </c>
      <c r="D8" s="259" t="inlineStr">
        <is>
          <t>120</t>
        </is>
      </c>
      <c r="E8" s="259" t="inlineStr">
        <is>
          <t>Tahakkuk/nakit karışması</t>
        </is>
      </c>
      <c r="F8" s="259" t="inlineStr">
        <is>
          <t>Alacak devir kontrolü</t>
        </is>
      </c>
    </row>
    <row r="9">
      <c r="A9" s="275" t="inlineStr">
        <is>
          <t>Ticari Borçlar</t>
        </is>
      </c>
      <c r="B9" s="259" t="inlineStr">
        <is>
          <t>Tedarikçi borcu ayrı izlenir</t>
        </is>
      </c>
      <c r="C9" s="259" t="inlineStr">
        <is>
          <t>320 Satıcılar</t>
        </is>
      </c>
      <c r="D9" s="259" t="inlineStr">
        <is>
          <t>320</t>
        </is>
      </c>
      <c r="E9" s="259" t="inlineStr">
        <is>
          <t>Gider/ödeme karışması</t>
        </is>
      </c>
      <c r="F9" s="259" t="inlineStr">
        <is>
          <t>Borç devir kontrolü</t>
        </is>
      </c>
    </row>
    <row r="10">
      <c r="A10" s="275" t="inlineStr">
        <is>
          <t>Kasa/Banka</t>
        </is>
      </c>
      <c r="B10" s="259" t="inlineStr">
        <is>
          <t>Hazır değerler ayrı izlenir</t>
        </is>
      </c>
      <c r="C10" s="259" t="inlineStr">
        <is>
          <t>100 Kasa, 102 Bankalar</t>
        </is>
      </c>
      <c r="D10" s="259" t="inlineStr">
        <is>
          <t>100 / 102</t>
        </is>
      </c>
      <c r="E10" s="259" t="inlineStr">
        <is>
          <t>Virmanla toplam nakdin değişmesi</t>
        </is>
      </c>
      <c r="F10" s="259" t="inlineStr">
        <is>
          <t>Virman değişmezi</t>
        </is>
      </c>
    </row>
    <row r="11">
      <c r="A11" s="275" t="inlineStr">
        <is>
          <t>Stok</t>
        </is>
      </c>
      <c r="B11" s="259" t="inlineStr">
        <is>
          <t>Dikeye uygun stok türü</t>
        </is>
      </c>
      <c r="C11" s="259" t="inlineStr">
        <is>
          <t>150 İlk Madde ve Malzeme, 153 Ticari Mallar</t>
        </is>
      </c>
      <c r="D11" s="259" t="inlineStr">
        <is>
          <t>15x</t>
        </is>
      </c>
      <c r="E11" s="259" t="inlineStr">
        <is>
          <t>Maliyet ve stok hareketinin kopması</t>
        </is>
      </c>
      <c r="F11" s="259" t="inlineStr">
        <is>
          <t>Stok devri</t>
        </is>
      </c>
    </row>
    <row r="12" ht="28" customHeight="1" s="80">
      <c r="A12" s="275" t="inlineStr">
        <is>
          <t>Maddi Duran Varlık</t>
        </is>
      </c>
      <c r="B12" s="259" t="inlineStr">
        <is>
          <t>Yatırım harcaması ve amortisman bağlantılı</t>
        </is>
      </c>
      <c r="C12" s="259" t="inlineStr">
        <is>
          <t>253 Tesis Makine Cihazlar, 255 Demirbaşlar, 257 Birikmiş Amortismanlar</t>
        </is>
      </c>
      <c r="D12" s="259" t="inlineStr">
        <is>
          <t>25x</t>
        </is>
      </c>
      <c r="E12" s="259" t="inlineStr">
        <is>
          <t>Yatırım/gider karışması</t>
        </is>
      </c>
      <c r="F12" s="259" t="inlineStr">
        <is>
          <t>Net defter değeri devri</t>
        </is>
      </c>
    </row>
    <row r="13">
      <c r="A13" s="275" t="inlineStr">
        <is>
          <t>Mali Borçlar</t>
        </is>
      </c>
      <c r="B13" s="259" t="inlineStr">
        <is>
          <t>Kısa/uzun vadeli borç ayrımı</t>
        </is>
      </c>
      <c r="C13" s="259" t="inlineStr">
        <is>
          <t>300 Banka Kredileri / 400 Banka Kredileri</t>
        </is>
      </c>
      <c r="D13" s="259" t="inlineStr">
        <is>
          <t>300 / 400</t>
        </is>
      </c>
      <c r="E13" s="259" t="inlineStr">
        <is>
          <t>Vade sınıfı yanlış</t>
        </is>
      </c>
      <c r="F13" s="259" t="inlineStr">
        <is>
          <t>Borç devri</t>
        </is>
      </c>
    </row>
    <row r="14">
      <c r="A14" s="275" t="inlineStr">
        <is>
          <t>Özkaynak</t>
        </is>
      </c>
      <c r="B14" s="259" t="inlineStr">
        <is>
          <t>Sermaye ve geçmiş yıl kârları ayrı</t>
        </is>
      </c>
      <c r="C14" s="259" t="inlineStr">
        <is>
          <t>500 Sermaye, 570 Geçmiş Yıllar Kârları, 590 Dönem Net Kârı</t>
        </is>
      </c>
      <c r="D14" s="259" t="inlineStr">
        <is>
          <t>5xx</t>
        </is>
      </c>
      <c r="E14" s="259" t="inlineStr">
        <is>
          <t>Net kâr bağının kopması</t>
        </is>
      </c>
      <c r="F14" s="259" t="inlineStr">
        <is>
          <t>Özkaynak devri</t>
        </is>
      </c>
    </row>
    <row r="15">
      <c r="A15" s="275" t="inlineStr">
        <is>
          <t>Vergi</t>
        </is>
      </c>
      <c r="B15" s="259" t="inlineStr">
        <is>
          <t>Vergi satırları Türkiye mantığına uygun</t>
        </is>
      </c>
      <c r="C15" s="259" t="inlineStr">
        <is>
          <t>Dönem Vergi ve Diğer Yasal Yükümlülük Karşılıkları</t>
        </is>
      </c>
      <c r="D15" s="259" t="inlineStr">
        <is>
          <t>37x / ilgili vergi hesapları</t>
        </is>
      </c>
      <c r="E15" s="259" t="inlineStr">
        <is>
          <t>Vergi etkisinin yanlış dönemlenmesi</t>
        </is>
      </c>
      <c r="F15" s="259" t="inlineStr">
        <is>
          <t>Vergi sözleşmesi</t>
        </is>
      </c>
    </row>
    <row r="16">
      <c r="A16" s="275" t="inlineStr">
        <is>
          <t>İsim standardı</t>
        </is>
      </c>
      <c r="B16" s="259" t="inlineStr">
        <is>
          <t>Tablo ve sayfa adları Türkçe ve işlevsel</t>
        </is>
      </c>
      <c r="C16" s="259" t="inlineStr">
        <is>
          <t>GELİR_TABLOSU, BİLANÇO, NAKİT_AKISI, BORC_PLANI</t>
        </is>
      </c>
      <c r="D16" s="259" t="inlineStr">
        <is>
          <t>Tekrarlanabilir standart</t>
        </is>
      </c>
      <c r="E16" s="259" t="inlineStr">
        <is>
          <t>İngilizce/karma isim</t>
        </is>
      </c>
      <c r="F16" s="259" t="inlineStr">
        <is>
          <t>Sayfa ve tablo taraması</t>
        </is>
      </c>
    </row>
    <row r="17">
      <c r="A17" s="275" t="inlineStr">
        <is>
          <t>THP eşleme tablosu</t>
        </is>
      </c>
      <c r="B17" s="259" t="inlineStr">
        <is>
          <t>Her kritik satır en az bir THP hesabına bağlanır</t>
        </is>
      </c>
      <c r="C17" s="259" t="inlineStr">
        <is>
          <t>RaporSatırı → HesapKodu → HesapAdı → İşaret → Dönem</t>
        </is>
      </c>
      <c r="D17" s="259" t="inlineStr">
        <is>
          <t>Kaynak izlenebilirliği</t>
        </is>
      </c>
      <c r="E17" s="259" t="inlineStr">
        <is>
          <t>Rapordan rapora kaynak</t>
        </is>
      </c>
      <c r="F17" s="259" t="inlineStr">
        <is>
          <t>Eşleme kapsama %100</t>
        </is>
      </c>
    </row>
    <row r="18">
      <c r="A18" s="275" t="inlineStr">
        <is>
          <t>İstisna</t>
        </is>
      </c>
      <c r="B18" s="259" t="inlineStr">
        <is>
          <t>TFRS özel ürün varsa fark açık yazılır</t>
        </is>
      </c>
      <c r="C18" s="259" t="inlineStr">
        <is>
          <t>Tekdüzen raporlama ≠ TFRS finansal tablo sunumu</t>
        </is>
      </c>
      <c r="D18" s="259" t="inlineStr">
        <is>
          <t>Amaç belirtilir</t>
        </is>
      </c>
      <c r="E18" s="259" t="inlineStr">
        <is>
          <t>Standartları karıştırma</t>
        </is>
      </c>
      <c r="F18" s="259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style="80" min="1" max="1"/>
    <col width="32" customWidth="1" style="80" min="2" max="2"/>
    <col width="54" customWidth="1" style="80" min="3" max="3"/>
    <col width="34" customWidth="1" style="80" min="4" max="4"/>
    <col width="16" customWidth="1" style="80" min="6" max="6"/>
  </cols>
  <sheetData>
    <row r="1" ht="28" customHeight="1" s="80">
      <c r="A1" s="276" t="inlineStr">
        <is>
          <t>KARAR, GÜVEN VE SATIŞA HAZIRLIK STANDARDI</t>
        </is>
      </c>
    </row>
    <row r="3" ht="24" customHeight="1" s="80">
      <c r="A3" s="277" t="inlineStr">
        <is>
          <t>Alan</t>
        </is>
      </c>
      <c r="B3" s="277" t="inlineStr">
        <is>
          <t>Müşteri Sorusu</t>
        </is>
      </c>
      <c r="C3" s="277" t="inlineStr">
        <is>
          <t>Zorunlu Ürün Davranışı</t>
        </is>
      </c>
      <c r="D3" s="277" t="inlineStr">
        <is>
          <t>Kanıt</t>
        </is>
      </c>
      <c r="E3" s="277" t="inlineStr">
        <is>
          <t>Başarısızlık Durumu</t>
        </is>
      </c>
      <c r="F3" s="277" t="inlineStr">
        <is>
          <t>Kapı</t>
        </is>
      </c>
    </row>
    <row r="4">
      <c r="A4" s="278" t="inlineStr">
        <is>
          <t>5 saniye</t>
        </is>
      </c>
      <c r="B4" s="259" t="inlineStr">
        <is>
          <t>Bu ürün neyi çözüyor?</t>
        </is>
      </c>
      <c r="C4" s="259" t="inlineStr">
        <is>
          <t>İlk ekranda hedef kullanıcı + pahalı problem + sonuç görünür</t>
        </is>
      </c>
      <c r="D4" s="259" t="inlineStr">
        <is>
          <t>Başlık + alt mesaj + gerçek ekran</t>
        </is>
      </c>
      <c r="E4" s="259" t="inlineStr">
        <is>
          <t>Ürün yalnız teknik isim</t>
        </is>
      </c>
      <c r="F4" s="279" t="inlineStr">
        <is>
          <t>HATA</t>
        </is>
      </c>
    </row>
    <row r="5">
      <c r="A5" s="278" t="inlineStr">
        <is>
          <t>Acı</t>
        </is>
      </c>
      <c r="B5" s="259" t="inlineStr">
        <is>
          <t>Sorun bana neye mal oluyor?</t>
        </is>
      </c>
      <c r="C5" s="259" t="inlineStr">
        <is>
          <t>Mümkünse müşterinin kendi verisiyle parasal/zaman etkisi hesaplanır</t>
        </is>
      </c>
      <c r="D5" s="259" t="inlineStr">
        <is>
          <t>ROI/acı hesaplama yöntemi</t>
        </is>
      </c>
      <c r="E5" s="259" t="inlineStr">
        <is>
          <t>Uydurma tasarruf</t>
        </is>
      </c>
      <c r="F5" s="279" t="inlineStr">
        <is>
          <t>HATA</t>
        </is>
      </c>
    </row>
    <row r="6">
      <c r="A6" s="278" t="inlineStr">
        <is>
          <t>Karar</t>
        </is>
      </c>
      <c r="B6" s="259" t="inlineStr">
        <is>
          <t>Bu bilgiyle ne yapacağım?</t>
        </is>
      </c>
      <c r="C6" s="259" t="inlineStr">
        <is>
          <t>Her kritik KPI aksiyona bağlanır</t>
        </is>
      </c>
      <c r="D6" s="259" t="inlineStr">
        <is>
          <t>KARAR_KUYRUGU</t>
        </is>
      </c>
      <c r="E6" s="259" t="inlineStr">
        <is>
          <t>Sadece rapor</t>
        </is>
      </c>
      <c r="F6" s="279" t="inlineStr">
        <is>
          <t>HATA</t>
        </is>
      </c>
    </row>
    <row r="7">
      <c r="A7" s="278" t="inlineStr">
        <is>
          <t>Güven</t>
        </is>
      </c>
      <c r="B7" s="259" t="inlineStr">
        <is>
          <t>Bu sayıya neden inanayım?</t>
        </is>
      </c>
      <c r="C7" s="259" t="inlineStr">
        <is>
          <t>Kaynak, formül mantığı, kontrol ve son doğrulama görünür</t>
        </is>
      </c>
      <c r="D7" s="259" t="inlineStr">
        <is>
          <t>Kontroller + kaynak izi + sürüm</t>
        </is>
      </c>
      <c r="E7" s="259" t="inlineStr">
        <is>
          <t>Prestij kelimesi</t>
        </is>
      </c>
      <c r="F7" s="279" t="inlineStr">
        <is>
          <t>HATA</t>
        </is>
      </c>
    </row>
    <row r="8">
      <c r="A8" s="278" t="inlineStr">
        <is>
          <t>Referans</t>
        </is>
      </c>
      <c r="B8" s="259" t="inlineStr">
        <is>
          <t>Müşteri yorumu yoksa ne göstereceğim?</t>
        </is>
      </c>
      <c r="C8" s="259" t="inlineStr">
        <is>
          <t>Önce/Sonra + Karar Vakası + Hata Önleme Vakası üretilir</t>
        </is>
      </c>
      <c r="D8" s="259" t="inlineStr">
        <is>
          <t>Demo/örnek çıktı</t>
        </is>
      </c>
      <c r="E8" s="259" t="inlineStr">
        <is>
          <t>Kanıtsız iddia</t>
        </is>
      </c>
      <c r="F8" s="279" t="inlineStr">
        <is>
          <t>HATA</t>
        </is>
      </c>
    </row>
    <row r="9">
      <c r="A9" s="278" t="inlineStr">
        <is>
          <t>Senaryo</t>
        </is>
      </c>
      <c r="B9" s="259" t="inlineStr">
        <is>
          <t>Ne olursa işler bozulur?</t>
        </is>
      </c>
      <c r="C9" s="259" t="inlineStr">
        <is>
          <t>Baz/Aşağı/Yukarı veya uygun stres senaryosu</t>
        </is>
      </c>
      <c r="D9" s="259" t="inlineStr">
        <is>
          <t>Senaryo karşılaştırma</t>
        </is>
      </c>
      <c r="E9" s="259" t="inlineStr">
        <is>
          <t>Dekoratif senaryo</t>
        </is>
      </c>
      <c r="F9" s="279" t="inlineStr">
        <is>
          <t>HATA</t>
        </is>
      </c>
    </row>
    <row r="10">
      <c r="A10" s="278" t="inlineStr">
        <is>
          <t>Ters stres</t>
        </is>
      </c>
      <c r="B10" s="259" t="inlineStr">
        <is>
          <t>Hangi eşikte karar kırılır?</t>
        </is>
      </c>
      <c r="C10" s="259" t="inlineStr">
        <is>
          <t>En az bir kritik sürücü için kırılma eşiği</t>
        </is>
      </c>
      <c r="D10" s="259" t="inlineStr">
        <is>
          <t>Kırılma eşiği tablosu</t>
        </is>
      </c>
      <c r="E10" s="259" t="inlineStr">
        <is>
          <t>Sadece +/- %10</t>
        </is>
      </c>
      <c r="F10" s="279" t="inlineStr">
        <is>
          <t>UYARI/HATA</t>
        </is>
      </c>
    </row>
    <row r="11">
      <c r="A11" s="278" t="inlineStr">
        <is>
          <t>Hata tutarlılığı</t>
        </is>
      </c>
      <c r="B11" s="259" t="inlineStr">
        <is>
          <t>Formül hata verirse ne olur?</t>
        </is>
      </c>
      <c r="C11" s="259" t="inlineStr">
        <is>
          <t>Kontrol GEÇTİ veremez; BLOKE/HATA üretir</t>
        </is>
      </c>
      <c r="D11" s="259" t="inlineStr">
        <is>
          <t>Hata taraması</t>
        </is>
      </c>
      <c r="E11" s="259" t="inlineStr">
        <is>
          <t>Hata + GEÇTİ birlikte</t>
        </is>
      </c>
      <c r="F11" s="279" t="inlineStr">
        <is>
          <t>HATA</t>
        </is>
      </c>
    </row>
    <row r="12">
      <c r="A12" s="278" t="inlineStr">
        <is>
          <t>Karar motoru</t>
        </is>
      </c>
      <c r="B12" s="259" t="inlineStr">
        <is>
          <t>Ne oldu, neden oldu?</t>
        </is>
      </c>
      <c r="C12" s="259" t="inlineStr">
        <is>
          <t>Sorun + neden + parasal etki + aksiyon + son tarih</t>
        </is>
      </c>
      <c r="D12" s="259" t="inlineStr">
        <is>
          <t>Karar tablosu</t>
        </is>
      </c>
      <c r="E12" s="259" t="inlineStr">
        <is>
          <t>Boş sayfa / isim düzeyi modül</t>
        </is>
      </c>
      <c r="F12" s="279" t="inlineStr">
        <is>
          <t>HATA</t>
        </is>
      </c>
    </row>
    <row r="13">
      <c r="A13" s="278" t="inlineStr">
        <is>
          <t>Yönetici özeti</t>
        </is>
      </c>
      <c r="B13" s="259" t="inlineStr">
        <is>
          <t>5 saniyede ne görmeliyim?</t>
        </is>
      </c>
      <c r="C13" s="259" t="inlineStr">
        <is>
          <t>Bugün / ne değişti / ne bozulacak / neden / ne yapmalıyım / güven</t>
        </is>
      </c>
      <c r="D13" s="259" t="inlineStr">
        <is>
          <t>Yönetici özeti ekranı</t>
        </is>
      </c>
      <c r="E13" s="259" t="inlineStr">
        <is>
          <t>KPI kutusu yığını</t>
        </is>
      </c>
      <c r="F13" s="279" t="inlineStr">
        <is>
          <t>HATA</t>
        </is>
      </c>
    </row>
    <row r="14">
      <c r="A14" s="278" t="inlineStr">
        <is>
          <t>Teklif</t>
        </is>
      </c>
      <c r="B14" s="259" t="inlineStr">
        <is>
          <t>Neden satın almalıyım?</t>
        </is>
      </c>
      <c r="C14" s="259" t="inlineStr">
        <is>
          <t>Dosya özellikleri yerine sonuç ve kaçınılan maliyet sunulur</t>
        </is>
      </c>
      <c r="D14" s="259" t="inlineStr">
        <is>
          <t>Ürün sayfası kanıt eşlemesi</t>
        </is>
      </c>
      <c r="E14" s="259" t="inlineStr">
        <is>
          <t>Özellik listesiyle satış</t>
        </is>
      </c>
      <c r="F14" s="279" t="inlineStr">
        <is>
          <t>HATA</t>
        </is>
      </c>
    </row>
    <row r="15">
      <c r="A15" s="278" t="inlineStr">
        <is>
          <t>Dağıtım</t>
        </is>
      </c>
      <c r="B15" s="259" t="inlineStr">
        <is>
          <t>Beni nasıl bulacaklar?</t>
        </is>
      </c>
      <c r="C15" s="259" t="inlineStr">
        <is>
          <t>Sorun niyetine göre SEO sayfaları, iç bağlantı, temiz yapı, taranabilir metin</t>
        </is>
      </c>
      <c r="D15" s="259" t="inlineStr">
        <is>
          <t>Arama niyeti haritası</t>
        </is>
      </c>
      <c r="E15" s="259" t="inlineStr">
        <is>
          <t>Tek ürün sayfasına bağımlılık</t>
        </is>
      </c>
      <c r="F15" s="279" t="inlineStr">
        <is>
          <t>UYARI</t>
        </is>
      </c>
    </row>
    <row r="16" ht="28" customHeight="1" s="80">
      <c r="A16" s="278" t="inlineStr">
        <is>
          <t>LLM görünürlüğü</t>
        </is>
      </c>
      <c r="B16" s="259" t="inlineStr">
        <is>
          <t>AI ürünümü anlayabiliyor mu?</t>
        </is>
      </c>
      <c r="C16" s="259" t="inlineStr">
        <is>
          <t>Ürün tanımı, hedef kullanıcı, girdi/çıktı, metodoloji, sınırlar, SSS açık metindir</t>
        </is>
      </c>
      <c r="D16" s="259" t="inlineStr">
        <is>
          <t>Taranabilir ürün içeriği</t>
        </is>
      </c>
      <c r="E16" s="259" t="inlineStr">
        <is>
          <t>'AI SEO' iddiası</t>
        </is>
      </c>
      <c r="F16" s="279" t="inlineStr">
        <is>
          <t>UYARI</t>
        </is>
      </c>
    </row>
    <row r="17">
      <c r="A17" s="278" t="inlineStr">
        <is>
          <t>Satış kanalı</t>
        </is>
      </c>
      <c r="B17" s="259" t="inlineStr">
        <is>
          <t>Nerede satılmalı?</t>
        </is>
      </c>
      <c r="C17" s="259" t="inlineStr">
        <is>
          <t>Arama, LinkedIn, uzman/partner, demo/video; ürüne göre kanal seçilir</t>
        </is>
      </c>
      <c r="D17" s="259" t="inlineStr">
        <is>
          <t>Kanal matrisi</t>
        </is>
      </c>
      <c r="E17" s="259" t="inlineStr">
        <is>
          <t>Her ürüne aynı kanal</t>
        </is>
      </c>
      <c r="F17" s="279" t="inlineStr">
        <is>
          <t>UYARI</t>
        </is>
      </c>
    </row>
    <row r="18">
      <c r="A18" s="278" t="inlineStr">
        <is>
          <t>Fiyat</t>
        </is>
      </c>
      <c r="B18" s="259" t="inlineStr">
        <is>
          <t>Bu fiyat neden mantıklı?</t>
        </is>
      </c>
      <c r="C18" s="259" t="inlineStr">
        <is>
          <t>Fiyat, ekonomik karar değerine ve kanıtlanmış ürün derinliğine bağlanır</t>
        </is>
      </c>
      <c r="D18" s="259" t="inlineStr">
        <is>
          <t>Değer haritası + demo</t>
        </is>
      </c>
      <c r="E18" s="259" t="inlineStr">
        <is>
          <t>Sırf sayfa/formül sayısı</t>
        </is>
      </c>
      <c r="F18" s="279" t="inlineStr">
        <is>
          <t>HATA</t>
        </is>
      </c>
    </row>
    <row r="19">
      <c r="A19" s="278" t="inlineStr">
        <is>
          <t>Pazar kanıtı</t>
        </is>
      </c>
      <c r="B19" s="259" t="inlineStr">
        <is>
          <t>Piyasa gerçekten ödüyor mu?</t>
        </is>
      </c>
      <c r="C19" s="259" t="inlineStr">
        <is>
          <t>Satış/pilot/LOI/fiyat kabulü olmadan pazar doğrulandı yazılmaz</t>
        </is>
      </c>
      <c r="D19" s="259" t="inlineStr">
        <is>
          <t>Gerçek işlem kanıtı</t>
        </is>
      </c>
      <c r="E19" s="259" t="inlineStr">
        <is>
          <t>Tahmini talep = satış kabulü</t>
        </is>
      </c>
      <c r="F19" s="279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6" min="1" max="1"/>
  </cols>
  <sheetData>
    <row r="1" ht="25.5" customHeight="1" s="80">
      <c r="A1" s="107" t="inlineStr">
        <is>
          <t>KAPAK — KDV İadesi Azami Alacak Hesabı &amp; Dosya Hazırlayıcı</t>
        </is>
      </c>
    </row>
    <row r="3" ht="30" customHeight="1" s="80">
      <c r="A3" s="108" t="inlineStr">
        <is>
          <t>KDV İadesi Azami Alacak Hesabı &amp; Dosya Hazırlayıcı</t>
        </is>
      </c>
    </row>
    <row r="4" ht="15" customHeight="1" s="80">
      <c r="A4" s="109" t="inlineStr">
        <is>
          <t>Dönem KDV belgelerinizi girin; devreden KDV'yi, ihracat iadesi sınırını ve azami KDV iade alacağınızı otomatik hesaplayın.</t>
        </is>
      </c>
    </row>
    <row r="6" ht="15" customHeight="1" s="80">
      <c r="A6" s="110" t="inlineStr">
        <is>
          <t>Bu ürün ne sağlar?</t>
        </is>
      </c>
    </row>
    <row r="7" ht="15" customHeight="1" s="80">
      <c r="A7" s="111" t="inlineStr">
        <is>
          <t>• Belge türü bazında hesaplanan ve indirilecek KDV ayrıştırması</t>
        </is>
      </c>
    </row>
    <row r="8" ht="15" customHeight="1" s="80">
      <c r="A8" s="111" t="inlineStr">
        <is>
          <t>• Devreden KDV ve ihracat iadesi sınırına göre azami iade alacağı</t>
        </is>
      </c>
    </row>
    <row r="9" ht="15" customHeight="1" s="80">
      <c r="A9" s="111" t="inlineStr">
        <is>
          <t>• Eksik belge tespiti ve dosya hazırlık kontrol listesi</t>
        </is>
      </c>
    </row>
    <row r="10" ht="15" customHeight="1" s="80">
      <c r="A10" s="111" t="inlineStr">
        <is>
          <t>• Hangi değişkenin iadeyi en çok etkilediğini gösteren tornado</t>
        </is>
      </c>
    </row>
    <row r="11" ht="15" customHeight="1" s="80">
      <c r="A11" s="111" t="inlineStr">
        <is>
          <t>• UYGUN / İNCELE / DURDUR karar kapısı ve yönetici raporu</t>
        </is>
      </c>
    </row>
    <row r="14" ht="15" customHeight="1" s="80">
      <c r="A14" s="110" t="inlineStr">
        <is>
          <t>Kimler için?</t>
        </is>
      </c>
    </row>
    <row r="15" ht="15" customHeight="1" s="80">
      <c r="A15" s="112" t="inlineStr">
        <is>
          <t>• KDV iadesi alacaklısı olan ihracatçılar</t>
        </is>
      </c>
    </row>
    <row r="16" ht="15" customHeight="1" s="80">
      <c r="A16" s="112" t="inlineStr">
        <is>
          <t>• Devreden KDV'si sürekli oluşan üreticiler</t>
        </is>
      </c>
    </row>
    <row r="17" ht="15" customHeight="1" s="80">
      <c r="A17" s="112" t="inlineStr">
        <is>
          <t>• İade dosyasını kendi hazırlamak isteyen muhasebe profesyonelleri</t>
        </is>
      </c>
    </row>
    <row r="18" ht="15" customHeight="1" s="80">
      <c r="A18" s="110" t="inlineStr">
        <is>
          <t>Nasıl başlanır?</t>
        </is>
      </c>
    </row>
    <row r="19" ht="15" customHeight="1" s="80">
      <c r="A19" s="111" t="inlineStr">
        <is>
          <t>1. HIZLI_BASLANGIC sayfasını okuyun. 2. KDV_BELGELERI sayfasına dönem belgelerinizi girin. 3. PANO ve RAPOR sayfalarından iade alacağınızı ve dosya durumunu izleyin.</t>
        </is>
      </c>
    </row>
    <row r="21" ht="15" customHeight="1" s="80">
      <c r="A21" s="113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3:AN3"/>
    <mergeCell ref="A8:AD8"/>
    <mergeCell ref="A7:AD7"/>
    <mergeCell ref="A4:P4"/>
    <mergeCell ref="A11:AD11"/>
    <mergeCell ref="A10:AD10"/>
    <mergeCell ref="A21:P21"/>
    <mergeCell ref="A1:AN1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06" min="1" max="1"/>
    <col width="60" customWidth="1" style="106" min="2" max="2"/>
  </cols>
  <sheetData>
    <row r="1" ht="25.5" customHeight="1" s="80">
      <c r="A1" s="107" t="inlineStr">
        <is>
          <t>HIZLI BASLANGIC — KDV İadesi Azami Alacak Hesabı &amp; Dosya Hazırlayıcı</t>
        </is>
      </c>
    </row>
    <row r="3" ht="15.75" customHeight="1" s="80">
      <c r="A3" s="114" t="inlineStr">
        <is>
          <t>Nasıl kullanılır?</t>
        </is>
      </c>
    </row>
    <row r="5" ht="15" customHeight="1" s="80">
      <c r="A5" s="115" t="inlineStr">
        <is>
          <t>Adım 1 — KDV belgelerini girin</t>
        </is>
      </c>
      <c r="B5" s="111" t="inlineStr">
        <is>
          <t>KDV_BELGELERI sayfasındaki sarı hücrelere belge türü, matrah, KDV oranı ve belge durumunu girin. KDV tutarı otomatik hesaplanır.</t>
        </is>
      </c>
    </row>
    <row r="6" ht="15" customHeight="1" s="80">
      <c r="A6" s="115" t="inlineStr">
        <is>
          <t>Adım 2 — İade hesabını izleyin</t>
        </is>
      </c>
      <c r="B6" s="111" t="inlineStr">
        <is>
          <t>HESAP sayfası hesaplanan KDV, indirilecek KDV, devreden KDV ve azami iade alacağını üretir.</t>
        </is>
      </c>
    </row>
    <row r="7" ht="15" customHeight="1" s="80">
      <c r="A7" s="115" t="inlineStr">
        <is>
          <t>Adım 3 — Dosya durumu ve karar</t>
        </is>
      </c>
      <c r="B7" s="111" t="inlineStr">
        <is>
          <t>KARAR sayfası dosyanın UYGUN/İNCELE/DURDUR olduğunu söyler; eksik belgeleri listeler.</t>
        </is>
      </c>
    </row>
    <row r="8" ht="15" customHeight="1" s="80">
      <c r="A8" s="115" t="inlineStr">
        <is>
          <t>Adım 4 — Eşikleri ayarlayın</t>
        </is>
      </c>
      <c r="B8" s="111" t="inlineStr">
        <is>
          <t>İade sınırı ve kalite eşikleri AYARLAR sayfasından değiştirilir.</t>
        </is>
      </c>
    </row>
    <row r="11" ht="15" customHeight="1" s="80">
      <c r="A11" s="116" t="inlineStr">
        <is>
          <t>Sık yapılan hatalar</t>
        </is>
      </c>
    </row>
    <row r="12" ht="15" customHeight="1" s="80">
      <c r="A12" s="117" t="inlineStr">
        <is>
          <t>• Satış ve alış belgelerini aynı türde girmek (KDV ayrışması bozulur)</t>
        </is>
      </c>
    </row>
    <row r="13" ht="15" customHeight="1" s="80">
      <c r="A13" s="117" t="inlineStr">
        <is>
          <t>• Matrahı KDV dahil girmek (matrah her zaman KDV hariçtir)</t>
        </is>
      </c>
    </row>
    <row r="14" ht="15" customHeight="1" s="80">
      <c r="A14" s="117" t="inlineStr">
        <is>
          <t>• İhracat belgelerinde belge durumunu boş bırakmak</t>
        </is>
      </c>
    </row>
    <row r="15" ht="15" customHeight="1" s="80">
      <c r="A15" s="118" t="inlineStr">
        <is>
          <t>Bu dosya karar destek aracıdır; KDV beyannamesi veya mali müşavir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5:T5"/>
    <mergeCell ref="B8:T8"/>
    <mergeCell ref="B6:T6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06" min="1" max="3"/>
    <col width="18" customWidth="1" style="106" min="4" max="4"/>
    <col width="12" customWidth="1" style="106" min="5" max="5"/>
    <col width="16" customWidth="1" style="106" min="6" max="7"/>
    <col width="22" customWidth="1" style="106" min="8" max="8"/>
  </cols>
  <sheetData>
    <row r="1" ht="25.5" customHeight="1" s="80">
      <c r="A1" s="107" t="inlineStr">
        <is>
          <t>KDV BELGELERI — KDV İadesi Azami Alacak Hesabı &amp; Dosya Hazırlayıcı</t>
        </is>
      </c>
    </row>
    <row r="3" ht="15.75" customHeight="1" s="80">
      <c r="A3" s="114" t="inlineStr">
        <is>
          <t>KDV Belgeleri</t>
        </is>
      </c>
    </row>
    <row r="4" ht="95.25" customHeight="1" s="80">
      <c r="A4" s="109" t="inlineStr">
        <is>
          <t>Sarı hücrelere manuel veri girin. Her satır bir KDV belgesidir; KDV tutarı otomatik hesaplanır.</t>
        </is>
      </c>
    </row>
    <row r="5" ht="30" customHeight="1" s="80">
      <c r="A5" s="119" t="inlineStr">
        <is>
          <t>Tarih</t>
        </is>
      </c>
      <c r="B5" s="119" t="inlineStr">
        <is>
          <t>Belge Numarası</t>
        </is>
      </c>
      <c r="C5" s="119" t="inlineStr">
        <is>
          <t>Belge Türü</t>
        </is>
      </c>
      <c r="D5" s="119" t="inlineStr">
        <is>
          <t>Matrah (₺)</t>
        </is>
      </c>
      <c r="E5" s="119" t="inlineStr">
        <is>
          <t>KDV Oranı</t>
        </is>
      </c>
      <c r="F5" s="119" t="inlineStr">
        <is>
          <t>Belge Durumu</t>
        </is>
      </c>
      <c r="G5" s="119" t="inlineStr">
        <is>
          <t>KDV Tutarı (₺)</t>
        </is>
      </c>
      <c r="H5" s="119" t="inlineStr">
        <is>
          <t>Kayıt Açıklaması</t>
        </is>
      </c>
    </row>
    <row r="6" ht="15.75" customHeight="1" s="80">
      <c r="A6" s="120" t="n">
        <v>46027</v>
      </c>
      <c r="B6" s="121" t="inlineStr">
        <is>
          <t>F-1001</t>
        </is>
      </c>
      <c r="C6" s="121" t="inlineStr">
        <is>
          <t>Satış</t>
        </is>
      </c>
      <c r="D6" s="122" t="n">
        <v>250000</v>
      </c>
      <c r="E6" s="123" t="n">
        <v>0.2</v>
      </c>
      <c r="F6" s="121" t="inlineStr">
        <is>
          <t>Belgesi Tam</t>
        </is>
      </c>
      <c r="G6" s="124">
        <f>IF($D6=0,0,ROUND($D6*$E6,2))</f>
        <v/>
      </c>
      <c r="H6" s="125">
        <f>IF($C6="","",CONCATENATE("Belge: ",$B6,"/",$C6," ",TEXT($D6,"#,##0")))</f>
        <v/>
      </c>
    </row>
    <row r="7" ht="15.75" customHeight="1" s="80">
      <c r="A7" s="120" t="n">
        <v>46034</v>
      </c>
      <c r="B7" s="121" t="inlineStr">
        <is>
          <t>A-2001</t>
        </is>
      </c>
      <c r="C7" s="121" t="inlineStr">
        <is>
          <t>Alış</t>
        </is>
      </c>
      <c r="D7" s="122" t="n">
        <v>180000</v>
      </c>
      <c r="E7" s="123" t="n">
        <v>0.2</v>
      </c>
      <c r="F7" s="121" t="inlineStr">
        <is>
          <t>Belgesi Tam</t>
        </is>
      </c>
      <c r="G7" s="124">
        <f>IF($D7=0,0,ROUND($D7*$E7,2))</f>
        <v/>
      </c>
      <c r="H7" s="125">
        <f>IF($C7="","",CONCATENATE("Belge: ",$B7,"/",$C7," ",TEXT($D7,"#,##0")))</f>
        <v/>
      </c>
    </row>
    <row r="8" ht="15.75" customHeight="1" s="80">
      <c r="A8" s="120" t="n">
        <v>46056</v>
      </c>
      <c r="B8" s="121" t="inlineStr">
        <is>
          <t>İ-3001</t>
        </is>
      </c>
      <c r="C8" s="121" t="inlineStr">
        <is>
          <t>İhracat</t>
        </is>
      </c>
      <c r="D8" s="122" t="n">
        <v>400000</v>
      </c>
      <c r="E8" s="123" t="n">
        <v>0.01</v>
      </c>
      <c r="F8" s="121" t="inlineStr">
        <is>
          <t>Belgesi Tam</t>
        </is>
      </c>
      <c r="G8" s="124">
        <f>IF($D8=0,0,ROUND($D8*$E8,2))</f>
        <v/>
      </c>
      <c r="H8" s="125">
        <f>IF($C8="","",CONCATENATE("Belge: ",$B8,"/",$C8," ",TEXT($D8,"#,##0")))</f>
        <v/>
      </c>
    </row>
    <row r="9" ht="15.75" customHeight="1" s="80">
      <c r="A9" s="120" t="n">
        <v>46071</v>
      </c>
      <c r="B9" s="121" t="inlineStr">
        <is>
          <t>A-2002</t>
        </is>
      </c>
      <c r="C9" s="121" t="inlineStr">
        <is>
          <t>Alış</t>
        </is>
      </c>
      <c r="D9" s="122" t="n">
        <v>95000</v>
      </c>
      <c r="E9" s="123" t="n">
        <v>0.2</v>
      </c>
      <c r="F9" s="121" t="inlineStr">
        <is>
          <t>Belge Eksik</t>
        </is>
      </c>
      <c r="G9" s="124">
        <f>IF($D9=0,0,ROUND($D9*$E9,2))</f>
        <v/>
      </c>
      <c r="H9" s="125">
        <f>IF($C9="","",CONCATENATE("Belge: ",$B9,"/",$C9," ",TEXT($D9,"#,##0")))</f>
        <v/>
      </c>
    </row>
    <row r="10" ht="15.75" customHeight="1" s="80">
      <c r="A10" s="120" t="n">
        <v>46088</v>
      </c>
      <c r="B10" s="121" t="inlineStr">
        <is>
          <t>F-1002</t>
        </is>
      </c>
      <c r="C10" s="121" t="inlineStr">
        <is>
          <t>Satış</t>
        </is>
      </c>
      <c r="D10" s="122" t="n">
        <v>320000</v>
      </c>
      <c r="E10" s="123" t="n">
        <v>0.2</v>
      </c>
      <c r="F10" s="121" t="inlineStr">
        <is>
          <t>Belgesi Tam</t>
        </is>
      </c>
      <c r="G10" s="124">
        <f>IF($D10=0,0,ROUND($D10*$E10,2))</f>
        <v/>
      </c>
      <c r="H10" s="125">
        <f>IF($C10="","",CONCATENATE("Belge: ",$B10,"/",$C10," ",TEXT($D10,"#,##0")))</f>
        <v/>
      </c>
    </row>
    <row r="11" ht="15.75" customHeight="1" s="80">
      <c r="A11" s="120" t="n">
        <v>46102</v>
      </c>
      <c r="B11" s="121" t="inlineStr">
        <is>
          <t>G-4001</t>
        </is>
      </c>
      <c r="C11" s="121" t="inlineStr">
        <is>
          <t>Gider</t>
        </is>
      </c>
      <c r="D11" s="122" t="n">
        <v>45000</v>
      </c>
      <c r="E11" s="123" t="n">
        <v>0.2</v>
      </c>
      <c r="F11" s="121" t="inlineStr">
        <is>
          <t>Belgesi Tam</t>
        </is>
      </c>
      <c r="G11" s="124">
        <f>IF($D11=0,0,ROUND($D11*$E11,2))</f>
        <v/>
      </c>
      <c r="H11" s="125">
        <f>IF($C11="","",CONCATENATE("Belge: ",$B11,"/",$C11," ",TEXT($D11,"#,##0")))</f>
        <v/>
      </c>
    </row>
    <row r="12" ht="15.75" customHeight="1" s="80">
      <c r="A12" s="120" t="n">
        <v>46122</v>
      </c>
      <c r="B12" s="121" t="inlineStr">
        <is>
          <t>A-2003</t>
        </is>
      </c>
      <c r="C12" s="121" t="inlineStr">
        <is>
          <t>Alış</t>
        </is>
      </c>
      <c r="D12" s="122" t="n">
        <v>210000</v>
      </c>
      <c r="E12" s="123" t="n">
        <v>0.1</v>
      </c>
      <c r="F12" s="121" t="inlineStr">
        <is>
          <t>Belgesi Tam</t>
        </is>
      </c>
      <c r="G12" s="124">
        <f>IF($D12=0,0,ROUND($D12*$E12,2))</f>
        <v/>
      </c>
      <c r="H12" s="125">
        <f>IF($C12="","",CONCATENATE("Belge: ",$B12,"/",$C12," ",TEXT($D12,"#,##0")))</f>
        <v/>
      </c>
    </row>
    <row r="13" ht="15.75" customHeight="1" s="80">
      <c r="A13" s="120" t="n">
        <v>46144</v>
      </c>
      <c r="B13" s="121" t="inlineStr">
        <is>
          <t>İ-3002</t>
        </is>
      </c>
      <c r="C13" s="121" t="inlineStr">
        <is>
          <t>İhracat</t>
        </is>
      </c>
      <c r="D13" s="122" t="n">
        <v>550000</v>
      </c>
      <c r="E13" s="123" t="n">
        <v>0.01</v>
      </c>
      <c r="F13" s="121" t="inlineStr">
        <is>
          <t>Belgesi Tam</t>
        </is>
      </c>
      <c r="G13" s="124">
        <f>IF($D13=0,0,ROUND($D13*$E13,2))</f>
        <v/>
      </c>
      <c r="H13" s="125">
        <f>IF($C13="","",CONCATENATE("Belge: ",$B13,"/",$C13," ",TEXT($D13,"#,##0")))</f>
        <v/>
      </c>
    </row>
    <row r="14" ht="15.75" customHeight="1" s="80">
      <c r="A14" s="120" t="n">
        <v>46161</v>
      </c>
      <c r="B14" s="121" t="inlineStr">
        <is>
          <t>Y-5001</t>
        </is>
      </c>
      <c r="C14" s="121" t="inlineStr">
        <is>
          <t>Yatırım</t>
        </is>
      </c>
      <c r="D14" s="122" t="n">
        <v>300000</v>
      </c>
      <c r="E14" s="123" t="n">
        <v>0.2</v>
      </c>
      <c r="F14" s="121" t="inlineStr">
        <is>
          <t>Belgesi Tam</t>
        </is>
      </c>
      <c r="G14" s="124">
        <f>IF($D14=0,0,ROUND($D14*$E14,2))</f>
        <v/>
      </c>
      <c r="H14" s="125">
        <f>IF($C14="","",CONCATENATE("Belge: ",$B14,"/",$C14," ",TEXT($D14,"#,##0")))</f>
        <v/>
      </c>
    </row>
    <row r="15" ht="15.75" customHeight="1" s="80">
      <c r="A15" s="120" t="n">
        <v>46184</v>
      </c>
      <c r="B15" s="121" t="inlineStr">
        <is>
          <t>F-1003</t>
        </is>
      </c>
      <c r="C15" s="121" t="inlineStr">
        <is>
          <t>Satış</t>
        </is>
      </c>
      <c r="D15" s="122" t="n">
        <v>280000</v>
      </c>
      <c r="E15" s="123" t="n">
        <v>0.2</v>
      </c>
      <c r="F15" s="121" t="inlineStr">
        <is>
          <t>Belgesi Tam</t>
        </is>
      </c>
      <c r="G15" s="124">
        <f>IF($D15=0,0,ROUND($D15*$E15,2))</f>
        <v/>
      </c>
      <c r="H15" s="125">
        <f>IF($C15="","",CONCATENATE("Belge: ",$B15,"/",$C15," ",TEXT($D15,"#,##0")))</f>
        <v/>
      </c>
    </row>
    <row r="16" ht="15" customHeight="1" s="80">
      <c r="A16" s="126" t="n"/>
      <c r="B16" s="127" t="n"/>
      <c r="C16" s="127" t="n"/>
      <c r="D16" s="128" t="n"/>
      <c r="E16" s="129" t="n"/>
      <c r="F16" s="127" t="n"/>
      <c r="G16" s="124">
        <f>IF($D16=0,0,ROUND($D16*$E16,2))</f>
        <v/>
      </c>
      <c r="H16" s="125">
        <f>IF($C16="","",CONCATENATE("Belge: ",$B16,"/",$C16," ",TEXT($D16,"#,##0")))</f>
        <v/>
      </c>
    </row>
    <row r="17" ht="15" customHeight="1" s="80">
      <c r="A17" s="126" t="n"/>
      <c r="B17" s="127" t="n"/>
      <c r="C17" s="127" t="n"/>
      <c r="D17" s="128" t="n"/>
      <c r="E17" s="129" t="n"/>
      <c r="F17" s="127" t="n"/>
      <c r="G17" s="124">
        <f>IF($D17=0,0,ROUND($D17*$E17,2))</f>
        <v/>
      </c>
      <c r="H17" s="125">
        <f>IF($C17="","",CONCATENATE("Belge: ",$B17,"/",$C17," ",TEXT($D17,"#,##0")))</f>
        <v/>
      </c>
    </row>
    <row r="18" ht="15" customHeight="1" s="80">
      <c r="A18" s="126" t="n"/>
      <c r="B18" s="127" t="n"/>
      <c r="C18" s="127" t="n"/>
      <c r="D18" s="128" t="n"/>
      <c r="E18" s="129" t="n"/>
      <c r="F18" s="127" t="n"/>
      <c r="G18" s="124">
        <f>IF($D18=0,0,ROUND($D18*$E18,2))</f>
        <v/>
      </c>
      <c r="H18" s="125">
        <f>IF($C18="","",CONCATENATE("Belge: ",$B18,"/",$C18," ",TEXT($D18,"#,##0")))</f>
        <v/>
      </c>
    </row>
    <row r="19" ht="15" customHeight="1" s="80">
      <c r="A19" s="126" t="n"/>
      <c r="B19" s="127" t="n"/>
      <c r="C19" s="127" t="n"/>
      <c r="D19" s="128" t="n"/>
      <c r="E19" s="129" t="n"/>
      <c r="F19" s="127" t="n"/>
      <c r="G19" s="124">
        <f>IF($D19=0,0,ROUND($D19*$E19,2))</f>
        <v/>
      </c>
      <c r="H19" s="125">
        <f>IF($C19="","",CONCATENATE("Belge: ",$B19,"/",$C19," ",TEXT($D19,"#,##0")))</f>
        <v/>
      </c>
    </row>
    <row r="20" ht="15" customHeight="1" s="80">
      <c r="A20" s="126" t="n"/>
      <c r="B20" s="127" t="n"/>
      <c r="C20" s="127" t="n"/>
      <c r="D20" s="128" t="n"/>
      <c r="E20" s="129" t="n"/>
      <c r="F20" s="127" t="n"/>
      <c r="G20" s="124">
        <f>IF($D20=0,0,ROUND($D20*$E20,2))</f>
        <v/>
      </c>
      <c r="H20" s="125">
        <f>IF($C20="","",CONCATENATE("Belge: ",$B20,"/",$C20," ",TEXT($D20,"#,##0")))</f>
        <v/>
      </c>
    </row>
    <row r="21" ht="15" customHeight="1" s="80">
      <c r="A21" s="126" t="n"/>
      <c r="B21" s="127" t="n"/>
      <c r="C21" s="127" t="n"/>
      <c r="D21" s="128" t="n"/>
      <c r="E21" s="129" t="n"/>
      <c r="F21" s="127" t="n"/>
      <c r="G21" s="124">
        <f>IF($D21=0,0,ROUND($D21*$E21,2))</f>
        <v/>
      </c>
      <c r="H21" s="125">
        <f>IF($C21="","",CONCATENATE("Belge: ",$B21,"/",$C21," ",TEXT($D21,"#,##0")))</f>
        <v/>
      </c>
    </row>
    <row r="22" ht="15" customHeight="1" s="80">
      <c r="A22" s="126" t="n"/>
      <c r="B22" s="127" t="n"/>
      <c r="C22" s="127" t="n"/>
      <c r="D22" s="128" t="n"/>
      <c r="E22" s="129" t="n"/>
      <c r="F22" s="127" t="n"/>
      <c r="G22" s="124">
        <f>IF($D22=0,0,ROUND($D22*$E22,2))</f>
        <v/>
      </c>
      <c r="H22" s="125">
        <f>IF($C22="","",CONCATENATE("Belge: ",$B22,"/",$C22," ",TEXT($D22,"#,##0")))</f>
        <v/>
      </c>
    </row>
    <row r="23" ht="15" customHeight="1" s="80">
      <c r="A23" s="126" t="n"/>
      <c r="B23" s="127" t="n"/>
      <c r="C23" s="127" t="n"/>
      <c r="D23" s="128" t="n"/>
      <c r="E23" s="129" t="n"/>
      <c r="F23" s="127" t="n"/>
      <c r="G23" s="124">
        <f>IF($D23=0,0,ROUND($D23*$E23,2))</f>
        <v/>
      </c>
      <c r="H23" s="125">
        <f>IF($C23="","",CONCATENATE("Belge: ",$B23,"/",$C23," ",TEXT($D23,"#,##0")))</f>
        <v/>
      </c>
    </row>
    <row r="24" ht="15" customHeight="1" s="80">
      <c r="A24" s="126" t="n"/>
      <c r="B24" s="127" t="n"/>
      <c r="C24" s="127" t="n"/>
      <c r="D24" s="128" t="n"/>
      <c r="E24" s="129" t="n"/>
      <c r="F24" s="127" t="n"/>
      <c r="G24" s="124">
        <f>IF($D24=0,0,ROUND($D24*$E24,2))</f>
        <v/>
      </c>
      <c r="H24" s="125">
        <f>IF($C24="","",CONCATENATE("Belge: ",$B24,"/",$C24," ",TEXT($D24,"#,##0")))</f>
        <v/>
      </c>
    </row>
    <row r="25" ht="15" customHeight="1" s="80">
      <c r="A25" s="126" t="n"/>
      <c r="B25" s="127" t="n"/>
      <c r="C25" s="127" t="n"/>
      <c r="D25" s="128" t="n"/>
      <c r="E25" s="129" t="n"/>
      <c r="F25" s="127" t="n"/>
      <c r="G25" s="124">
        <f>IF($D25=0,0,ROUND($D25*$E25,2))</f>
        <v/>
      </c>
      <c r="H25" s="125">
        <f>IF($C25="","",CONCATENATE("Belge: ",$B25,"/",$C25," ",TEXT($D25,"#,##0")))</f>
        <v/>
      </c>
    </row>
    <row r="26" ht="15" customHeight="1" s="80">
      <c r="A26" s="126" t="n"/>
      <c r="B26" s="127" t="n"/>
      <c r="C26" s="127" t="n"/>
      <c r="D26" s="128" t="n"/>
      <c r="E26" s="129" t="n"/>
      <c r="F26" s="127" t="n"/>
      <c r="G26" s="124">
        <f>IF($D26=0,0,ROUND($D26*$E26,2))</f>
        <v/>
      </c>
      <c r="H26" s="125">
        <f>IF($C26="","",CONCATENATE("Belge: ",$B26,"/",$C26," ",TEXT($D26,"#,##0")))</f>
        <v/>
      </c>
    </row>
    <row r="27" ht="15" customHeight="1" s="80">
      <c r="A27" s="126" t="n"/>
      <c r="B27" s="127" t="n"/>
      <c r="C27" s="127" t="n"/>
      <c r="D27" s="128" t="n"/>
      <c r="E27" s="129" t="n"/>
      <c r="F27" s="127" t="n"/>
      <c r="G27" s="124">
        <f>IF($D27=0,0,ROUND($D27*$E27,2))</f>
        <v/>
      </c>
      <c r="H27" s="125">
        <f>IF($C27="","",CONCATENATE("Belge: ",$B27,"/",$C27," ",TEXT($D27,"#,##0")))</f>
        <v/>
      </c>
    </row>
    <row r="28" ht="15" customHeight="1" s="80">
      <c r="A28" s="126" t="n"/>
      <c r="B28" s="127" t="n"/>
      <c r="C28" s="127" t="n"/>
      <c r="D28" s="128" t="n"/>
      <c r="E28" s="129" t="n"/>
      <c r="F28" s="127" t="n"/>
      <c r="G28" s="124">
        <f>IF($D28=0,0,ROUND($D28*$E28,2))</f>
        <v/>
      </c>
      <c r="H28" s="125">
        <f>IF($C28="","",CONCATENATE("Belge: ",$B28,"/",$C28," ",TEXT($D28,"#,##0")))</f>
        <v/>
      </c>
    </row>
    <row r="29" ht="15" customHeight="1" s="80">
      <c r="A29" s="126" t="n"/>
      <c r="B29" s="127" t="n"/>
      <c r="C29" s="127" t="n"/>
      <c r="D29" s="128" t="n"/>
      <c r="E29" s="129" t="n"/>
      <c r="F29" s="127" t="n"/>
      <c r="G29" s="124">
        <f>IF($D29=0,0,ROUND($D29*$E29,2))</f>
        <v/>
      </c>
      <c r="H29" s="125">
        <f>IF($C29="","",CONCATENATE("Belge: ",$B29,"/",$C29," ",TEXT($D29,"#,##0")))</f>
        <v/>
      </c>
    </row>
    <row r="30" ht="15" customHeight="1" s="80">
      <c r="A30" s="126" t="n"/>
      <c r="B30" s="127" t="n"/>
      <c r="C30" s="127" t="n"/>
      <c r="D30" s="128" t="n"/>
      <c r="E30" s="129" t="n"/>
      <c r="F30" s="127" t="n"/>
      <c r="G30" s="124">
        <f>IF($D30=0,0,ROUND($D30*$E30,2))</f>
        <v/>
      </c>
      <c r="H30" s="125">
        <f>IF($C30="","",CONCATENATE("Belge: ",$B30,"/",$C30," ",TEXT($D30,"#,##0")))</f>
        <v/>
      </c>
    </row>
    <row r="31" ht="15" customHeight="1" s="80">
      <c r="A31" s="126" t="n"/>
      <c r="B31" s="127" t="n"/>
      <c r="C31" s="127" t="n"/>
      <c r="D31" s="128" t="n"/>
      <c r="E31" s="129" t="n"/>
      <c r="F31" s="127" t="n"/>
      <c r="G31" s="124">
        <f>IF($D31=0,0,ROUND($D31*$E31,2))</f>
        <v/>
      </c>
      <c r="H31" s="125">
        <f>IF($C31="","",CONCATENATE("Belge: ",$B31,"/",$C31," ",TEXT($D31,"#,##0")))</f>
        <v/>
      </c>
    </row>
    <row r="32" ht="15" customHeight="1" s="80">
      <c r="A32" s="126" t="n"/>
      <c r="B32" s="127" t="n"/>
      <c r="C32" s="127" t="n"/>
      <c r="D32" s="128" t="n"/>
      <c r="E32" s="129" t="n"/>
      <c r="F32" s="127" t="n"/>
      <c r="G32" s="124">
        <f>IF($D32=0,0,ROUND($D32*$E32,2))</f>
        <v/>
      </c>
      <c r="H32" s="125">
        <f>IF($C32="","",CONCATENATE("Belge: ",$B32,"/",$C32," ",TEXT($D32,"#,##0")))</f>
        <v/>
      </c>
    </row>
    <row r="33" ht="15" customHeight="1" s="80">
      <c r="A33" s="126" t="n"/>
      <c r="B33" s="127" t="n"/>
      <c r="C33" s="127" t="n"/>
      <c r="D33" s="128" t="n"/>
      <c r="E33" s="129" t="n"/>
      <c r="F33" s="127" t="n"/>
      <c r="G33" s="124">
        <f>IF($D33=0,0,ROUND($D33*$E33,2))</f>
        <v/>
      </c>
      <c r="H33" s="125">
        <f>IF($C33="","",CONCATENATE("Belge: ",$B33,"/",$C33," ",TEXT($D33,"#,##0")))</f>
        <v/>
      </c>
    </row>
    <row r="34" ht="15" customHeight="1" s="80">
      <c r="A34" s="126" t="n"/>
      <c r="B34" s="127" t="n"/>
      <c r="C34" s="127" t="n"/>
      <c r="D34" s="128" t="n"/>
      <c r="E34" s="129" t="n"/>
      <c r="F34" s="127" t="n"/>
      <c r="G34" s="124">
        <f>IF($D34=0,0,ROUND($D34*$E34,2))</f>
        <v/>
      </c>
      <c r="H34" s="125">
        <f>IF($C34="","",CONCATENATE("Belge: ",$B34,"/",$C34," ",TEXT($D34,"#,##0")))</f>
        <v/>
      </c>
    </row>
    <row r="35" ht="15" customHeight="1" s="80">
      <c r="A35" s="126" t="n"/>
      <c r="B35" s="127" t="n"/>
      <c r="C35" s="127" t="n"/>
      <c r="D35" s="128" t="n"/>
      <c r="E35" s="129" t="n"/>
      <c r="F35" s="127" t="n"/>
      <c r="G35" s="124">
        <f>IF($D35=0,0,ROUND($D35*$E35,2))</f>
        <v/>
      </c>
      <c r="H35" s="125">
        <f>IF($C35="","",CONCATENATE("Belge: ",$B35,"/",$C35," ",TEXT($D35,"#,##0")))</f>
        <v/>
      </c>
    </row>
    <row r="36" ht="15" customHeight="1" s="80">
      <c r="A36" s="126" t="n"/>
      <c r="B36" s="127" t="n"/>
      <c r="C36" s="127" t="n"/>
      <c r="D36" s="128" t="n"/>
      <c r="E36" s="129" t="n"/>
      <c r="F36" s="127" t="n"/>
      <c r="G36" s="124">
        <f>IF($D36=0,0,ROUND($D36*$E36,2))</f>
        <v/>
      </c>
      <c r="H36" s="125">
        <f>IF($C36="","",CONCATENATE("Belge: ",$B36,"/",$C36," ",TEXT($D36,"#,##0")))</f>
        <v/>
      </c>
    </row>
    <row r="37" ht="15" customHeight="1" s="80">
      <c r="A37" s="126" t="n"/>
      <c r="B37" s="127" t="n"/>
      <c r="C37" s="127" t="n"/>
      <c r="D37" s="128" t="n"/>
      <c r="E37" s="129" t="n"/>
      <c r="F37" s="127" t="n"/>
      <c r="G37" s="124">
        <f>IF($D37=0,0,ROUND($D37*$E37,2))</f>
        <v/>
      </c>
      <c r="H37" s="125">
        <f>IF($C37="","",CONCATENATE("Belge: ",$B37,"/",$C37," ",TEXT($D37,"#,##0")))</f>
        <v/>
      </c>
    </row>
    <row r="38" ht="15" customHeight="1" s="80">
      <c r="A38" s="126" t="n"/>
      <c r="B38" s="127" t="n"/>
      <c r="C38" s="127" t="n"/>
      <c r="D38" s="128" t="n"/>
      <c r="E38" s="129" t="n"/>
      <c r="F38" s="127" t="n"/>
      <c r="G38" s="124">
        <f>IF($D38=0,0,ROUND($D38*$E38,2))</f>
        <v/>
      </c>
      <c r="H38" s="125">
        <f>IF($C38="","",CONCATENATE("Belge: ",$B38,"/",$C38," ",TEXT($D38,"#,##0")))</f>
        <v/>
      </c>
    </row>
    <row r="39" ht="15" customHeight="1" s="80">
      <c r="A39" s="126" t="n"/>
      <c r="B39" s="127" t="n"/>
      <c r="C39" s="127" t="n"/>
      <c r="D39" s="128" t="n"/>
      <c r="E39" s="129" t="n"/>
      <c r="F39" s="127" t="n"/>
      <c r="G39" s="124">
        <f>IF($D39=0,0,ROUND($D39*$E39,2))</f>
        <v/>
      </c>
      <c r="H39" s="125">
        <f>IF($C39="","",CONCATENATE("Belge: ",$B39,"/",$C39," ",TEXT($D39,"#,##0")))</f>
        <v/>
      </c>
    </row>
    <row r="40" ht="15" customHeight="1" s="80">
      <c r="A40" s="126" t="n"/>
      <c r="B40" s="127" t="n"/>
      <c r="C40" s="127" t="n"/>
      <c r="D40" s="128" t="n"/>
      <c r="E40" s="129" t="n"/>
      <c r="F40" s="127" t="n"/>
      <c r="G40" s="124">
        <f>IF($D40=0,0,ROUND($D40*$E40,2))</f>
        <v/>
      </c>
      <c r="H40" s="125">
        <f>IF($C40="","",CONCATENATE("Belge: ",$B40,"/",$C40," ",TEXT($D40,"#,##0")))</f>
        <v/>
      </c>
    </row>
    <row r="41" ht="15" customHeight="1" s="80">
      <c r="A41" s="126" t="n"/>
      <c r="B41" s="127" t="n"/>
      <c r="C41" s="127" t="n"/>
      <c r="D41" s="128" t="n"/>
      <c r="E41" s="129" t="n"/>
      <c r="F41" s="127" t="n"/>
      <c r="G41" s="124">
        <f>IF($D41=0,0,ROUND($D41*$E41,2))</f>
        <v/>
      </c>
      <c r="H41" s="125">
        <f>IF($C41="","",CONCATENATE("Belge: ",$B41,"/",$C41," ",TEXT($D41,"#,##0")))</f>
        <v/>
      </c>
    </row>
    <row r="42" ht="15" customHeight="1" s="80">
      <c r="A42" s="126" t="n"/>
      <c r="B42" s="127" t="n"/>
      <c r="C42" s="127" t="n"/>
      <c r="D42" s="128" t="n"/>
      <c r="E42" s="129" t="n"/>
      <c r="F42" s="127" t="n"/>
      <c r="G42" s="124">
        <f>IF($D42=0,0,ROUND($D42*$E42,2))</f>
        <v/>
      </c>
      <c r="H42" s="125">
        <f>IF($C42="","",CONCATENATE("Belge: ",$B42,"/",$C42," ",TEXT($D42,"#,##0")))</f>
        <v/>
      </c>
    </row>
    <row r="43" ht="15" customHeight="1" s="80">
      <c r="A43" s="126" t="n"/>
      <c r="B43" s="127" t="n"/>
      <c r="C43" s="127" t="n"/>
      <c r="D43" s="128" t="n"/>
      <c r="E43" s="129" t="n"/>
      <c r="F43" s="127" t="n"/>
      <c r="G43" s="124">
        <f>IF($D43=0,0,ROUND($D43*$E43,2))</f>
        <v/>
      </c>
      <c r="H43" s="125">
        <f>IF($C43="","",CONCATENATE("Belge: ",$B43,"/",$C43," ",TEXT($D43,"#,##0")))</f>
        <v/>
      </c>
    </row>
    <row r="44" ht="15" customHeight="1" s="80">
      <c r="A44" s="126" t="n"/>
      <c r="B44" s="127" t="n"/>
      <c r="C44" s="127" t="n"/>
      <c r="D44" s="128" t="n"/>
      <c r="E44" s="129" t="n"/>
      <c r="F44" s="127" t="n"/>
      <c r="G44" s="124">
        <f>IF($D44=0,0,ROUND($D44*$E44,2))</f>
        <v/>
      </c>
      <c r="H44" s="125">
        <f>IF($C44="","",CONCATENATE("Belge: ",$B44,"/",$C44," ",TEXT($D44,"#,##0")))</f>
        <v/>
      </c>
    </row>
    <row r="45" ht="15" customHeight="1" s="80">
      <c r="A45" s="126" t="n"/>
      <c r="B45" s="127" t="n"/>
      <c r="C45" s="127" t="n"/>
      <c r="D45" s="128" t="n"/>
      <c r="E45" s="129" t="n"/>
      <c r="F45" s="127" t="n"/>
      <c r="G45" s="124">
        <f>IF($D45=0,0,ROUND($D45*$E45,2))</f>
        <v/>
      </c>
      <c r="H45" s="125">
        <f>IF($C45="","",CONCATENATE("Belge: ",$B45,"/",$C45," ",TEXT($D45,"#,##0")))</f>
        <v/>
      </c>
    </row>
    <row r="46" ht="15" customHeight="1" s="80">
      <c r="A46" s="126" t="n"/>
      <c r="B46" s="127" t="n"/>
      <c r="C46" s="127" t="n"/>
      <c r="D46" s="128" t="n"/>
      <c r="E46" s="129" t="n"/>
      <c r="F46" s="127" t="n"/>
      <c r="G46" s="124">
        <f>IF($D46=0,0,ROUND($D46*$E46,2))</f>
        <v/>
      </c>
      <c r="H46" s="125">
        <f>IF($C46="","",CONCATENATE("Belge: ",$B46,"/",$C46," ",TEXT($D46,"#,##0")))</f>
        <v/>
      </c>
    </row>
    <row r="47" ht="15" customHeight="1" s="80">
      <c r="A47" s="126" t="n"/>
      <c r="B47" s="127" t="n"/>
      <c r="C47" s="127" t="n"/>
      <c r="D47" s="128" t="n"/>
      <c r="E47" s="129" t="n"/>
      <c r="F47" s="127" t="n"/>
      <c r="G47" s="124">
        <f>IF($D47=0,0,ROUND($D47*$E47,2))</f>
        <v/>
      </c>
      <c r="H47" s="125">
        <f>IF($C47="","",CONCATENATE("Belge: ",$B47,"/",$C47," ",TEXT($D47,"#,##0")))</f>
        <v/>
      </c>
    </row>
    <row r="48" ht="15" customHeight="1" s="80">
      <c r="A48" s="126" t="n"/>
      <c r="B48" s="127" t="n"/>
      <c r="C48" s="127" t="n"/>
      <c r="D48" s="128" t="n"/>
      <c r="E48" s="129" t="n"/>
      <c r="F48" s="127" t="n"/>
      <c r="G48" s="124">
        <f>IF($D48=0,0,ROUND($D48*$E48,2))</f>
        <v/>
      </c>
      <c r="H48" s="125">
        <f>IF($C48="","",CONCATENATE("Belge: ",$B48,"/",$C48," ",TEXT($D48,"#,##0")))</f>
        <v/>
      </c>
    </row>
    <row r="49" ht="15" customHeight="1" s="80">
      <c r="A49" s="126" t="n"/>
      <c r="B49" s="127" t="n"/>
      <c r="C49" s="127" t="n"/>
      <c r="D49" s="128" t="n"/>
      <c r="E49" s="129" t="n"/>
      <c r="F49" s="127" t="n"/>
      <c r="G49" s="124">
        <f>IF($D49=0,0,ROUND($D49*$E49,2))</f>
        <v/>
      </c>
      <c r="H49" s="125">
        <f>IF($C49="","",CONCATENATE("Belge: ",$B49,"/",$C49," ",TEXT($D49,"#,##0")))</f>
        <v/>
      </c>
    </row>
    <row r="50" ht="15" customHeight="1" s="80">
      <c r="A50" s="126" t="n"/>
      <c r="B50" s="127" t="n"/>
      <c r="C50" s="127" t="n"/>
      <c r="D50" s="128" t="n"/>
      <c r="E50" s="129" t="n"/>
      <c r="F50" s="127" t="n"/>
      <c r="G50" s="124">
        <f>IF($D50=0,0,ROUND($D50*$E50,2))</f>
        <v/>
      </c>
      <c r="H50" s="125">
        <f>IF($C50="","",CONCATENATE("Belge: ",$B50,"/",$C50," ",TEXT($D50,"#,##0")))</f>
        <v/>
      </c>
    </row>
    <row r="51" ht="15" customHeight="1" s="80">
      <c r="A51" s="126" t="n"/>
      <c r="B51" s="127" t="n"/>
      <c r="C51" s="127" t="n"/>
      <c r="D51" s="128" t="n"/>
      <c r="E51" s="129" t="n"/>
      <c r="F51" s="127" t="n"/>
      <c r="G51" s="124">
        <f>IF($D51=0,0,ROUND($D51*$E51,2))</f>
        <v/>
      </c>
      <c r="H51" s="125">
        <f>IF($C51="","",CONCATENATE("Belge: ",$B51,"/",$C51," ",TEXT($D51,"#,##0")))</f>
        <v/>
      </c>
    </row>
    <row r="52" ht="15" customHeight="1" s="80">
      <c r="A52" s="126" t="n"/>
      <c r="B52" s="127" t="n"/>
      <c r="C52" s="127" t="n"/>
      <c r="D52" s="128" t="n"/>
      <c r="E52" s="129" t="n"/>
      <c r="F52" s="127" t="n"/>
      <c r="G52" s="124">
        <f>IF($D52=0,0,ROUND($D52*$E52,2))</f>
        <v/>
      </c>
      <c r="H52" s="125">
        <f>IF($C52="","",CONCATENATE("Belge: ",$B52,"/",$C52," ",TEXT($D52,"#,##0")))</f>
        <v/>
      </c>
    </row>
    <row r="53" ht="15" customHeight="1" s="80">
      <c r="A53" s="126" t="n"/>
      <c r="B53" s="127" t="n"/>
      <c r="C53" s="127" t="n"/>
      <c r="D53" s="128" t="n"/>
      <c r="E53" s="129" t="n"/>
      <c r="F53" s="127" t="n"/>
      <c r="G53" s="124">
        <f>IF($D53=0,0,ROUND($D53*$E53,2))</f>
        <v/>
      </c>
      <c r="H53" s="125">
        <f>IF($C53="","",CONCATENATE("Belge: ",$B53,"/",$C53," ",TEXT($D53,"#,##0")))</f>
        <v/>
      </c>
    </row>
    <row r="54" ht="15" customHeight="1" s="80">
      <c r="A54" s="126" t="n"/>
      <c r="B54" s="127" t="n"/>
      <c r="C54" s="127" t="n"/>
      <c r="D54" s="128" t="n"/>
      <c r="E54" s="129" t="n"/>
      <c r="F54" s="127" t="n"/>
      <c r="G54" s="124">
        <f>IF($D54=0,0,ROUND($D54*$E54,2))</f>
        <v/>
      </c>
      <c r="H54" s="125">
        <f>IF($C54="","",CONCATENATE("Belge: ",$B54,"/",$C54," ",TEXT($D54,"#,##0")))</f>
        <v/>
      </c>
    </row>
    <row r="55" ht="15" customHeight="1" s="80">
      <c r="A55" s="126" t="n"/>
      <c r="B55" s="127" t="n"/>
      <c r="C55" s="127" t="n"/>
      <c r="D55" s="128" t="n"/>
      <c r="E55" s="129" t="n"/>
      <c r="F55" s="127" t="n"/>
      <c r="G55" s="124">
        <f>IF($D55=0,0,ROUND($D55*$E55,2))</f>
        <v/>
      </c>
      <c r="H55" s="125">
        <f>IF($C55="","",CONCATENATE("Belge: ",$B55,"/",$C55," ",TEXT($D55,"#,##0")))</f>
        <v/>
      </c>
    </row>
    <row r="56" ht="15" customHeight="1" s="80">
      <c r="A56" s="126" t="n"/>
      <c r="B56" s="127" t="n"/>
      <c r="C56" s="127" t="n"/>
      <c r="D56" s="128" t="n"/>
      <c r="E56" s="129" t="n"/>
      <c r="F56" s="127" t="n"/>
      <c r="G56" s="124">
        <f>IF($D56=0,0,ROUND($D56*$E56,2))</f>
        <v/>
      </c>
      <c r="H56" s="125">
        <f>IF($C56="","",CONCATENATE("Belge: ",$B56,"/",$C56," ",TEXT($D56,"#,##0")))</f>
        <v/>
      </c>
    </row>
    <row r="57" ht="15" customHeight="1" s="80">
      <c r="A57" s="126" t="n"/>
      <c r="B57" s="127" t="n"/>
      <c r="C57" s="127" t="n"/>
      <c r="D57" s="128" t="n"/>
      <c r="E57" s="129" t="n"/>
      <c r="F57" s="127" t="n"/>
      <c r="G57" s="124">
        <f>IF($D57=0,0,ROUND($D57*$E57,2))</f>
        <v/>
      </c>
      <c r="H57" s="125">
        <f>IF($C57="","",CONCATENATE("Belge: ",$B57,"/",$C57," ",TEXT($D57,"#,##0")))</f>
        <v/>
      </c>
    </row>
    <row r="58" ht="15" customHeight="1" s="80">
      <c r="A58" s="126" t="n"/>
      <c r="B58" s="127" t="n"/>
      <c r="C58" s="127" t="n"/>
      <c r="D58" s="128" t="n"/>
      <c r="E58" s="129" t="n"/>
      <c r="F58" s="127" t="n"/>
      <c r="G58" s="124">
        <f>IF($D58=0,0,ROUND($D58*$E58,2))</f>
        <v/>
      </c>
      <c r="H58" s="125">
        <f>IF($C58="","",CONCATENATE("Belge: ",$B58,"/",$C58," ",TEXT($D58,"#,##0")))</f>
        <v/>
      </c>
    </row>
    <row r="59" ht="15" customHeight="1" s="80">
      <c r="A59" s="126" t="n"/>
      <c r="B59" s="127" t="n"/>
      <c r="C59" s="127" t="n"/>
      <c r="D59" s="128" t="n"/>
      <c r="E59" s="129" t="n"/>
      <c r="F59" s="127" t="n"/>
      <c r="G59" s="124">
        <f>IF($D59=0,0,ROUND($D59*$E59,2))</f>
        <v/>
      </c>
      <c r="H59" s="125">
        <f>IF($C59="","",CONCATENATE("Belge: ",$B59,"/",$C59," ",TEXT($D59,"#,##0")))</f>
        <v/>
      </c>
    </row>
    <row r="60" ht="15" customHeight="1" s="80">
      <c r="A60" s="126" t="n"/>
      <c r="B60" s="127" t="n"/>
      <c r="C60" s="127" t="n"/>
      <c r="D60" s="128" t="n"/>
      <c r="E60" s="129" t="n"/>
      <c r="F60" s="127" t="n"/>
      <c r="G60" s="124">
        <f>IF($D60=0,0,ROUND($D60*$E60,2))</f>
        <v/>
      </c>
      <c r="H60" s="125">
        <f>IF($C60="","",CONCATENATE("Belge: ",$B60,"/",$C60," ",TEXT($D60,"#,##0")))</f>
        <v/>
      </c>
    </row>
    <row r="61" ht="15" customHeight="1" s="80">
      <c r="A61" s="126" t="n"/>
      <c r="B61" s="127" t="n"/>
      <c r="C61" s="127" t="n"/>
      <c r="D61" s="128" t="n"/>
      <c r="E61" s="129" t="n"/>
      <c r="F61" s="127" t="n"/>
      <c r="G61" s="124">
        <f>IF($D61=0,0,ROUND($D61*$E61,2))</f>
        <v/>
      </c>
      <c r="H61" s="125">
        <f>IF($C61="","",CONCATENATE("Belge: ",$B61,"/",$C61," ",TEXT($D61,"#,##0")))</f>
        <v/>
      </c>
    </row>
    <row r="62" ht="15" customHeight="1" s="80">
      <c r="A62" s="126" t="n"/>
      <c r="B62" s="127" t="n"/>
      <c r="C62" s="127" t="n"/>
      <c r="D62" s="128" t="n"/>
      <c r="E62" s="129" t="n"/>
      <c r="F62" s="127" t="n"/>
      <c r="G62" s="124">
        <f>IF($D62=0,0,ROUND($D62*$E62,2))</f>
        <v/>
      </c>
      <c r="H62" s="125">
        <f>IF($C62="","",CONCATENATE("Belge: ",$B62,"/",$C62," ",TEXT($D62,"#,##0")))</f>
        <v/>
      </c>
    </row>
    <row r="63" ht="15" customHeight="1" s="80">
      <c r="A63" s="126" t="n"/>
      <c r="B63" s="127" t="n"/>
      <c r="C63" s="127" t="n"/>
      <c r="D63" s="128" t="n"/>
      <c r="E63" s="129" t="n"/>
      <c r="F63" s="127" t="n"/>
      <c r="G63" s="124">
        <f>IF($D63=0,0,ROUND($D63*$E63,2))</f>
        <v/>
      </c>
      <c r="H63" s="125">
        <f>IF($C63="","",CONCATENATE("Belge: ",$B63,"/",$C63," ",TEXT($D63,"#,##0")))</f>
        <v/>
      </c>
    </row>
    <row r="64" ht="15" customHeight="1" s="80">
      <c r="A64" s="126" t="n"/>
      <c r="B64" s="127" t="n"/>
      <c r="C64" s="127" t="n"/>
      <c r="D64" s="128" t="n"/>
      <c r="E64" s="129" t="n"/>
      <c r="F64" s="127" t="n"/>
      <c r="G64" s="124">
        <f>IF($D64=0,0,ROUND($D64*$E64,2))</f>
        <v/>
      </c>
      <c r="H64" s="125">
        <f>IF($C64="","",CONCATENATE("Belge: ",$B64,"/",$C64," ",TEXT($D64,"#,##0")))</f>
        <v/>
      </c>
    </row>
    <row r="65" ht="15" customHeight="1" s="80">
      <c r="A65" s="126" t="n"/>
      <c r="B65" s="127" t="n"/>
      <c r="C65" s="127" t="n"/>
      <c r="D65" s="128" t="n"/>
      <c r="E65" s="129" t="n"/>
      <c r="F65" s="127" t="n"/>
      <c r="G65" s="124">
        <f>IF($D65=0,0,ROUND($D65*$E65,2))</f>
        <v/>
      </c>
      <c r="H65" s="125">
        <f>IF($C65="","",CONCATENATE("Belge: ",$B65,"/",$C65," ",TEXT($D65,"#,##0")))</f>
        <v/>
      </c>
    </row>
    <row r="66" ht="15" customHeight="1" s="80">
      <c r="A66" s="126" t="n"/>
      <c r="B66" s="127" t="n"/>
      <c r="C66" s="127" t="n"/>
      <c r="D66" s="128" t="n"/>
      <c r="E66" s="129" t="n"/>
      <c r="F66" s="127" t="n"/>
      <c r="G66" s="124">
        <f>IF($D66=0,0,ROUND($D66*$E66,2))</f>
        <v/>
      </c>
      <c r="H66" s="125">
        <f>IF($C66="","",CONCATENATE("Belge: ",$B66,"/",$C66," ",TEXT($D66,"#,##0")))</f>
        <v/>
      </c>
    </row>
    <row r="67" ht="15" customHeight="1" s="80">
      <c r="A67" s="126" t="n"/>
      <c r="B67" s="127" t="n"/>
      <c r="C67" s="127" t="n"/>
      <c r="D67" s="128" t="n"/>
      <c r="E67" s="129" t="n"/>
      <c r="F67" s="127" t="n"/>
      <c r="G67" s="124">
        <f>IF($D67=0,0,ROUND($D67*$E67,2))</f>
        <v/>
      </c>
      <c r="H67" s="125">
        <f>IF($C67="","",CONCATENATE("Belge: ",$B67,"/",$C67," ",TEXT($D67,"#,##0")))</f>
        <v/>
      </c>
    </row>
    <row r="68" ht="15" customHeight="1" s="80">
      <c r="A68" s="126" t="n"/>
      <c r="B68" s="127" t="n"/>
      <c r="C68" s="127" t="n"/>
      <c r="D68" s="128" t="n"/>
      <c r="E68" s="129" t="n"/>
      <c r="F68" s="127" t="n"/>
      <c r="G68" s="124">
        <f>IF($D68=0,0,ROUND($D68*$E68,2))</f>
        <v/>
      </c>
      <c r="H68" s="125">
        <f>IF($C68="","",CONCATENATE("Belge: ",$B68,"/",$C68," ",TEXT($D68,"#,##0")))</f>
        <v/>
      </c>
    </row>
    <row r="69" ht="15" customHeight="1" s="80">
      <c r="A69" s="126" t="n"/>
      <c r="B69" s="127" t="n"/>
      <c r="C69" s="127" t="n"/>
      <c r="D69" s="128" t="n"/>
      <c r="E69" s="129" t="n"/>
      <c r="F69" s="127" t="n"/>
      <c r="G69" s="124">
        <f>IF($D69=0,0,ROUND($D69*$E69,2))</f>
        <v/>
      </c>
      <c r="H69" s="125">
        <f>IF($C69="","",CONCATENATE("Belge: ",$B69,"/",$C69," ",TEXT($D69,"#,##0")))</f>
        <v/>
      </c>
    </row>
    <row r="70" ht="15" customHeight="1" s="80">
      <c r="A70" s="126" t="n"/>
      <c r="B70" s="127" t="n"/>
      <c r="C70" s="127" t="n"/>
      <c r="D70" s="128" t="n"/>
      <c r="E70" s="129" t="n"/>
      <c r="F70" s="127" t="n"/>
      <c r="G70" s="124">
        <f>IF($D70=0,0,ROUND($D70*$E70,2))</f>
        <v/>
      </c>
      <c r="H70" s="125">
        <f>IF($C70="","",CONCATENATE("Belge: ",$B70,"/",$C70," ",TEXT($D70,"#,##0")))</f>
        <v/>
      </c>
    </row>
    <row r="71" ht="15" customHeight="1" s="80">
      <c r="A71" s="126" t="n"/>
      <c r="B71" s="127" t="n"/>
      <c r="C71" s="127" t="n"/>
      <c r="D71" s="128" t="n"/>
      <c r="E71" s="129" t="n"/>
      <c r="F71" s="127" t="n"/>
      <c r="G71" s="124">
        <f>IF($D71=0,0,ROUND($D71*$E71,2))</f>
        <v/>
      </c>
      <c r="H71" s="125">
        <f>IF($C71="","",CONCATENATE("Belge: ",$B71,"/",$C71," ",TEXT($D71,"#,##0")))</f>
        <v/>
      </c>
    </row>
    <row r="72" ht="15" customHeight="1" s="80">
      <c r="A72" s="126" t="n"/>
      <c r="B72" s="127" t="n"/>
      <c r="C72" s="127" t="n"/>
      <c r="D72" s="128" t="n"/>
      <c r="E72" s="129" t="n"/>
      <c r="F72" s="127" t="n"/>
      <c r="G72" s="124">
        <f>IF($D72=0,0,ROUND($D72*$E72,2))</f>
        <v/>
      </c>
      <c r="H72" s="125">
        <f>IF($C72="","",CONCATENATE("Belge: ",$B72,"/",$C72," ",TEXT($D72,"#,##0")))</f>
        <v/>
      </c>
    </row>
    <row r="73" ht="15" customHeight="1" s="80">
      <c r="A73" s="126" t="n"/>
      <c r="B73" s="127" t="n"/>
      <c r="C73" s="127" t="n"/>
      <c r="D73" s="128" t="n"/>
      <c r="E73" s="129" t="n"/>
      <c r="F73" s="127" t="n"/>
      <c r="G73" s="124">
        <f>IF($D73=0,0,ROUND($D73*$E73,2))</f>
        <v/>
      </c>
      <c r="H73" s="125">
        <f>IF($C73="","",CONCATENATE("Belge: ",$B73,"/",$C73," ",TEXT($D73,"#,##0")))</f>
        <v/>
      </c>
    </row>
    <row r="74" ht="15" customHeight="1" s="80">
      <c r="A74" s="126" t="n"/>
      <c r="B74" s="127" t="n"/>
      <c r="C74" s="127" t="n"/>
      <c r="D74" s="128" t="n"/>
      <c r="E74" s="129" t="n"/>
      <c r="F74" s="127" t="n"/>
      <c r="G74" s="124">
        <f>IF($D74=0,0,ROUND($D74*$E74,2))</f>
        <v/>
      </c>
      <c r="H74" s="125">
        <f>IF($C74="","",CONCATENATE("Belge: ",$B74,"/",$C74," ",TEXT($D74,"#,##0")))</f>
        <v/>
      </c>
    </row>
    <row r="75" ht="15" customHeight="1" s="80">
      <c r="A75" s="126" t="n"/>
      <c r="B75" s="127" t="n"/>
      <c r="C75" s="127" t="n"/>
      <c r="D75" s="128" t="n"/>
      <c r="E75" s="129" t="n"/>
      <c r="F75" s="127" t="n"/>
      <c r="G75" s="124">
        <f>IF($D75=0,0,ROUND($D75*$E75,2))</f>
        <v/>
      </c>
      <c r="H75" s="125">
        <f>IF($C75="","",CONCATENATE("Belge: ",$B75,"/",$C75," ",TEXT($D75,"#,##0")))</f>
        <v/>
      </c>
    </row>
    <row r="76" ht="15" customHeight="1" s="80">
      <c r="A76" s="126" t="n"/>
      <c r="B76" s="127" t="n"/>
      <c r="C76" s="127" t="n"/>
      <c r="D76" s="128" t="n"/>
      <c r="E76" s="129" t="n"/>
      <c r="F76" s="127" t="n"/>
      <c r="G76" s="124">
        <f>IF($D76=0,0,ROUND($D76*$E76,2))</f>
        <v/>
      </c>
      <c r="H76" s="125">
        <f>IF($C76="","",CONCATENATE("Belge: ",$B76,"/",$C76," ",TEXT($D76,"#,##0")))</f>
        <v/>
      </c>
    </row>
    <row r="77" ht="15" customHeight="1" s="80">
      <c r="A77" s="126" t="n"/>
      <c r="B77" s="127" t="n"/>
      <c r="C77" s="127" t="n"/>
      <c r="D77" s="128" t="n"/>
      <c r="E77" s="129" t="n"/>
      <c r="F77" s="127" t="n"/>
      <c r="G77" s="124">
        <f>IF($D77=0,0,ROUND($D77*$E77,2))</f>
        <v/>
      </c>
      <c r="H77" s="125">
        <f>IF($C77="","",CONCATENATE("Belge: ",$B77,"/",$C77," ",TEXT($D77,"#,##0")))</f>
        <v/>
      </c>
    </row>
    <row r="78" ht="15" customHeight="1" s="80">
      <c r="A78" s="126" t="n"/>
      <c r="B78" s="127" t="n"/>
      <c r="C78" s="127" t="n"/>
      <c r="D78" s="128" t="n"/>
      <c r="E78" s="129" t="n"/>
      <c r="F78" s="127" t="n"/>
      <c r="G78" s="124">
        <f>IF($D78=0,0,ROUND($D78*$E78,2))</f>
        <v/>
      </c>
      <c r="H78" s="125">
        <f>IF($C78="","",CONCATENATE("Belge: ",$B78,"/",$C78," ",TEXT($D78,"#,##0")))</f>
        <v/>
      </c>
    </row>
    <row r="79" ht="15" customHeight="1" s="80">
      <c r="A79" s="126" t="n"/>
      <c r="B79" s="127" t="n"/>
      <c r="C79" s="127" t="n"/>
      <c r="D79" s="128" t="n"/>
      <c r="E79" s="129" t="n"/>
      <c r="F79" s="127" t="n"/>
      <c r="G79" s="124">
        <f>IF($D79=0,0,ROUND($D79*$E79,2))</f>
        <v/>
      </c>
      <c r="H79" s="125">
        <f>IF($C79="","",CONCATENATE("Belge: ",$B79,"/",$C79," ",TEXT($D79,"#,##0")))</f>
        <v/>
      </c>
    </row>
    <row r="80" ht="15" customHeight="1" s="80">
      <c r="A80" s="126" t="n"/>
      <c r="B80" s="127" t="n"/>
      <c r="C80" s="127" t="n"/>
      <c r="D80" s="128" t="n"/>
      <c r="E80" s="129" t="n"/>
      <c r="F80" s="127" t="n"/>
      <c r="G80" s="124">
        <f>IF($D80=0,0,ROUND($D80*$E80,2))</f>
        <v/>
      </c>
      <c r="H80" s="125">
        <f>IF($C80="","",CONCATENATE("Belge: ",$B80,"/",$C80," ",TEXT($D80,"#,##0")))</f>
        <v/>
      </c>
    </row>
    <row r="81" ht="15" customHeight="1" s="80">
      <c r="A81" s="126" t="n"/>
      <c r="B81" s="127" t="n"/>
      <c r="C81" s="127" t="n"/>
      <c r="D81" s="128" t="n"/>
      <c r="E81" s="129" t="n"/>
      <c r="F81" s="127" t="n"/>
      <c r="G81" s="124">
        <f>IF($D81=0,0,ROUND($D81*$E81,2))</f>
        <v/>
      </c>
      <c r="H81" s="125">
        <f>IF($C81="","",CONCATENATE("Belge: ",$B81,"/",$C81," ",TEXT($D81,"#,##0")))</f>
        <v/>
      </c>
    </row>
    <row r="82" ht="15" customHeight="1" s="80">
      <c r="A82" s="126" t="n"/>
      <c r="B82" s="127" t="n"/>
      <c r="C82" s="127" t="n"/>
      <c r="D82" s="128" t="n"/>
      <c r="E82" s="129" t="n"/>
      <c r="F82" s="127" t="n"/>
      <c r="G82" s="124">
        <f>IF($D82=0,0,ROUND($D82*$E82,2))</f>
        <v/>
      </c>
      <c r="H82" s="125">
        <f>IF($C82="","",CONCATENATE("Belge: ",$B82,"/",$C82," ",TEXT($D82,"#,##0")))</f>
        <v/>
      </c>
    </row>
    <row r="83" ht="15" customHeight="1" s="80">
      <c r="A83" s="126" t="n"/>
      <c r="B83" s="127" t="n"/>
      <c r="C83" s="127" t="n"/>
      <c r="D83" s="128" t="n"/>
      <c r="E83" s="129" t="n"/>
      <c r="F83" s="127" t="n"/>
      <c r="G83" s="124">
        <f>IF($D83=0,0,ROUND($D83*$E83,2))</f>
        <v/>
      </c>
      <c r="H83" s="125">
        <f>IF($C83="","",CONCATENATE("Belge: ",$B83,"/",$C83," ",TEXT($D83,"#,##0")))</f>
        <v/>
      </c>
    </row>
    <row r="84" ht="15" customHeight="1" s="80">
      <c r="A84" s="126" t="n"/>
      <c r="B84" s="127" t="n"/>
      <c r="C84" s="127" t="n"/>
      <c r="D84" s="128" t="n"/>
      <c r="E84" s="129" t="n"/>
      <c r="F84" s="127" t="n"/>
      <c r="G84" s="124">
        <f>IF($D84=0,0,ROUND($D84*$E84,2))</f>
        <v/>
      </c>
      <c r="H84" s="125">
        <f>IF($C84="","",CONCATENATE("Belge: ",$B84,"/",$C84," ",TEXT($D84,"#,##0")))</f>
        <v/>
      </c>
    </row>
    <row r="85" ht="15" customHeight="1" s="80">
      <c r="A85" s="126" t="n"/>
      <c r="B85" s="127" t="n"/>
      <c r="C85" s="127" t="n"/>
      <c r="D85" s="128" t="n"/>
      <c r="E85" s="129" t="n"/>
      <c r="F85" s="127" t="n"/>
      <c r="G85" s="124">
        <f>IF($D85=0,0,ROUND($D85*$E85,2))</f>
        <v/>
      </c>
      <c r="H85" s="125">
        <f>IF($C85="","",CONCATENATE("Belge: ",$B85,"/",$C85," ",TEXT($D85,"#,##0")))</f>
        <v/>
      </c>
    </row>
    <row r="86" ht="15" customHeight="1" s="80">
      <c r="A86" s="126" t="n"/>
      <c r="B86" s="127" t="n"/>
      <c r="C86" s="127" t="n"/>
      <c r="D86" s="128" t="n"/>
      <c r="E86" s="129" t="n"/>
      <c r="F86" s="127" t="n"/>
      <c r="G86" s="124">
        <f>IF($D86=0,0,ROUND($D86*$E86,2))</f>
        <v/>
      </c>
      <c r="H86" s="125">
        <f>IF($C86="","",CONCATENATE("Belge: ",$B86,"/",$C86," ",TEXT($D86,"#,##0")))</f>
        <v/>
      </c>
    </row>
    <row r="87" ht="15" customHeight="1" s="80">
      <c r="A87" s="126" t="n"/>
      <c r="B87" s="127" t="n"/>
      <c r="C87" s="127" t="n"/>
      <c r="D87" s="128" t="n"/>
      <c r="E87" s="129" t="n"/>
      <c r="F87" s="127" t="n"/>
      <c r="G87" s="124">
        <f>IF($D87=0,0,ROUND($D87*$E87,2))</f>
        <v/>
      </c>
      <c r="H87" s="125">
        <f>IF($C87="","",CONCATENATE("Belge: ",$B87,"/",$C87," ",TEXT($D87,"#,##0")))</f>
        <v/>
      </c>
    </row>
    <row r="88" ht="15" customHeight="1" s="80">
      <c r="A88" s="126" t="n"/>
      <c r="B88" s="127" t="n"/>
      <c r="C88" s="127" t="n"/>
      <c r="D88" s="128" t="n"/>
      <c r="E88" s="129" t="n"/>
      <c r="F88" s="127" t="n"/>
      <c r="G88" s="124">
        <f>IF($D88=0,0,ROUND($D88*$E88,2))</f>
        <v/>
      </c>
      <c r="H88" s="125">
        <f>IF($C88="","",CONCATENATE("Belge: ",$B88,"/",$C88," ",TEXT($D88,"#,##0")))</f>
        <v/>
      </c>
    </row>
    <row r="89" ht="15" customHeight="1" s="80">
      <c r="A89" s="126" t="n"/>
      <c r="B89" s="127" t="n"/>
      <c r="C89" s="127" t="n"/>
      <c r="D89" s="128" t="n"/>
      <c r="E89" s="129" t="n"/>
      <c r="F89" s="127" t="n"/>
      <c r="G89" s="124">
        <f>IF($D89=0,0,ROUND($D89*$E89,2))</f>
        <v/>
      </c>
      <c r="H89" s="125">
        <f>IF($C89="","",CONCATENATE("Belge: ",$B89,"/",$C89," ",TEXT($D89,"#,##0")))</f>
        <v/>
      </c>
    </row>
    <row r="90" ht="15" customHeight="1" s="80">
      <c r="A90" s="126" t="n"/>
      <c r="B90" s="127" t="n"/>
      <c r="C90" s="127" t="n"/>
      <c r="D90" s="128" t="n"/>
      <c r="E90" s="129" t="n"/>
      <c r="F90" s="127" t="n"/>
      <c r="G90" s="124">
        <f>IF($D90=0,0,ROUND($D90*$E90,2))</f>
        <v/>
      </c>
      <c r="H90" s="125">
        <f>IF($C90="","",CONCATENATE("Belge: ",$B90,"/",$C90," ",TEXT($D90,"#,##0")))</f>
        <v/>
      </c>
    </row>
    <row r="91" ht="15" customHeight="1" s="80">
      <c r="A91" s="126" t="n"/>
      <c r="B91" s="127" t="n"/>
      <c r="C91" s="127" t="n"/>
      <c r="D91" s="128" t="n"/>
      <c r="E91" s="129" t="n"/>
      <c r="F91" s="127" t="n"/>
      <c r="G91" s="124">
        <f>IF($D91=0,0,ROUND($D91*$E91,2))</f>
        <v/>
      </c>
      <c r="H91" s="125">
        <f>IF($C91="","",CONCATENATE("Belge: ",$B91,"/",$C91," ",TEXT($D91,"#,##0")))</f>
        <v/>
      </c>
    </row>
    <row r="92" ht="15" customHeight="1" s="80">
      <c r="A92" s="126" t="n"/>
      <c r="B92" s="127" t="n"/>
      <c r="C92" s="127" t="n"/>
      <c r="D92" s="128" t="n"/>
      <c r="E92" s="129" t="n"/>
      <c r="F92" s="127" t="n"/>
      <c r="G92" s="124">
        <f>IF($D92=0,0,ROUND($D92*$E92,2))</f>
        <v/>
      </c>
      <c r="H92" s="125">
        <f>IF($C92="","",CONCATENATE("Belge: ",$B92,"/",$C92," ",TEXT($D92,"#,##0")))</f>
        <v/>
      </c>
    </row>
    <row r="93" ht="15" customHeight="1" s="80">
      <c r="A93" s="126" t="n"/>
      <c r="B93" s="127" t="n"/>
      <c r="C93" s="127" t="n"/>
      <c r="D93" s="128" t="n"/>
      <c r="E93" s="129" t="n"/>
      <c r="F93" s="127" t="n"/>
      <c r="G93" s="124">
        <f>IF($D93=0,0,ROUND($D93*$E93,2))</f>
        <v/>
      </c>
      <c r="H93" s="125">
        <f>IF($C93="","",CONCATENATE("Belge: ",$B93,"/",$C93," ",TEXT($D93,"#,##0")))</f>
        <v/>
      </c>
    </row>
    <row r="94" ht="15" customHeight="1" s="80">
      <c r="A94" s="126" t="n"/>
      <c r="B94" s="127" t="n"/>
      <c r="C94" s="127" t="n"/>
      <c r="D94" s="128" t="n"/>
      <c r="E94" s="129" t="n"/>
      <c r="F94" s="127" t="n"/>
      <c r="G94" s="124">
        <f>IF($D94=0,0,ROUND($D94*$E94,2))</f>
        <v/>
      </c>
      <c r="H94" s="125">
        <f>IF($C94="","",CONCATENATE("Belge: ",$B94,"/",$C94," ",TEXT($D94,"#,##0")))</f>
        <v/>
      </c>
    </row>
    <row r="95" ht="15" customHeight="1" s="80">
      <c r="A95" s="126" t="n"/>
      <c r="B95" s="127" t="n"/>
      <c r="C95" s="127" t="n"/>
      <c r="D95" s="128" t="n"/>
      <c r="E95" s="129" t="n"/>
      <c r="F95" s="127" t="n"/>
      <c r="G95" s="124">
        <f>IF($D95=0,0,ROUND($D95*$E95,2))</f>
        <v/>
      </c>
      <c r="H95" s="125">
        <f>IF($C95="","",CONCATENATE("Belge: ",$B95,"/",$C95," ",TEXT($D95,"#,##0")))</f>
        <v/>
      </c>
    </row>
    <row r="96" ht="15" customHeight="1" s="80">
      <c r="A96" s="126" t="n"/>
      <c r="B96" s="127" t="n"/>
      <c r="C96" s="127" t="n"/>
      <c r="D96" s="128" t="n"/>
      <c r="E96" s="129" t="n"/>
      <c r="F96" s="127" t="n"/>
      <c r="G96" s="124">
        <f>IF($D96=0,0,ROUND($D96*$E96,2))</f>
        <v/>
      </c>
      <c r="H96" s="125">
        <f>IF($C96="","",CONCATENATE("Belge: ",$B96,"/",$C96," ",TEXT($D96,"#,##0")))</f>
        <v/>
      </c>
    </row>
    <row r="97" ht="15" customHeight="1" s="80">
      <c r="A97" s="126" t="n"/>
      <c r="B97" s="127" t="n"/>
      <c r="C97" s="127" t="n"/>
      <c r="D97" s="128" t="n"/>
      <c r="E97" s="129" t="n"/>
      <c r="F97" s="127" t="n"/>
      <c r="G97" s="124">
        <f>IF($D97=0,0,ROUND($D97*$E97,2))</f>
        <v/>
      </c>
      <c r="H97" s="125">
        <f>IF($C97="","",CONCATENATE("Belge: ",$B97,"/",$C97," ",TEXT($D97,"#,##0")))</f>
        <v/>
      </c>
    </row>
    <row r="98" ht="15" customHeight="1" s="80">
      <c r="A98" s="126" t="n"/>
      <c r="B98" s="127" t="n"/>
      <c r="C98" s="127" t="n"/>
      <c r="D98" s="128" t="n"/>
      <c r="E98" s="129" t="n"/>
      <c r="F98" s="127" t="n"/>
      <c r="G98" s="124">
        <f>IF($D98=0,0,ROUND($D98*$E98,2))</f>
        <v/>
      </c>
      <c r="H98" s="125">
        <f>IF($C98="","",CONCATENATE("Belge: ",$B98,"/",$C98," ",TEXT($D98,"#,##0")))</f>
        <v/>
      </c>
    </row>
    <row r="99" ht="15" customHeight="1" s="80">
      <c r="A99" s="126" t="n"/>
      <c r="B99" s="127" t="n"/>
      <c r="C99" s="127" t="n"/>
      <c r="D99" s="128" t="n"/>
      <c r="E99" s="129" t="n"/>
      <c r="F99" s="127" t="n"/>
      <c r="G99" s="124">
        <f>IF($D99=0,0,ROUND($D99*$E99,2))</f>
        <v/>
      </c>
      <c r="H99" s="125">
        <f>IF($C99="","",CONCATENATE("Belge: ",$B99,"/",$C99," ",TEXT($D99,"#,##0")))</f>
        <v/>
      </c>
    </row>
    <row r="100" ht="15" customHeight="1" s="80">
      <c r="A100" s="126" t="n"/>
      <c r="B100" s="127" t="n"/>
      <c r="C100" s="127" t="n"/>
      <c r="D100" s="128" t="n"/>
      <c r="E100" s="129" t="n"/>
      <c r="F100" s="127" t="n"/>
      <c r="G100" s="124">
        <f>IF($D100=0,0,ROUND($D100*$E100,2))</f>
        <v/>
      </c>
      <c r="H100" s="125">
        <f>IF($C100="","",CONCATENATE("Belge: ",$B100,"/",$C100," ",TEXT($D100,"#,##0")))</f>
        <v/>
      </c>
    </row>
    <row r="101" ht="15" customHeight="1" s="80">
      <c r="A101" s="126" t="n"/>
      <c r="B101" s="127" t="n"/>
      <c r="C101" s="127" t="n"/>
      <c r="D101" s="128" t="n"/>
      <c r="E101" s="129" t="n"/>
      <c r="F101" s="127" t="n"/>
      <c r="G101" s="124">
        <f>IF($D101=0,0,ROUND($D101*$E101,2))</f>
        <v/>
      </c>
      <c r="H101" s="125">
        <f>IF($C101="","",CONCATENATE("Belge: ",$B101,"/",$C101," ",TEXT($D101,"#,##0")))</f>
        <v/>
      </c>
    </row>
    <row r="102" ht="15" customHeight="1" s="80">
      <c r="A102" s="126" t="n"/>
      <c r="B102" s="127" t="n"/>
      <c r="C102" s="127" t="n"/>
      <c r="D102" s="128" t="n"/>
      <c r="E102" s="129" t="n"/>
      <c r="F102" s="127" t="n"/>
      <c r="G102" s="124">
        <f>IF($D102=0,0,ROUND($D102*$E102,2))</f>
        <v/>
      </c>
      <c r="H102" s="125">
        <f>IF($C102="","",CONCATENATE("Belge: ",$B102,"/",$C102," ",TEXT($D102,"#,##0")))</f>
        <v/>
      </c>
    </row>
    <row r="103" ht="15" customHeight="1" s="80">
      <c r="A103" s="126" t="n"/>
      <c r="B103" s="127" t="n"/>
      <c r="C103" s="127" t="n"/>
      <c r="D103" s="128" t="n"/>
      <c r="E103" s="129" t="n"/>
      <c r="F103" s="127" t="n"/>
      <c r="G103" s="124">
        <f>IF($D103=0,0,ROUND($D103*$E103,2))</f>
        <v/>
      </c>
      <c r="H103" s="125">
        <f>IF($C103="","",CONCATENATE("Belge: ",$B103,"/",$C103," ",TEXT($D103,"#,##0")))</f>
        <v/>
      </c>
    </row>
    <row r="104" ht="15" customHeight="1" s="80">
      <c r="A104" s="126" t="n"/>
      <c r="B104" s="127" t="n"/>
      <c r="C104" s="127" t="n"/>
      <c r="D104" s="128" t="n"/>
      <c r="E104" s="129" t="n"/>
      <c r="F104" s="127" t="n"/>
      <c r="G104" s="124">
        <f>IF($D104=0,0,ROUND($D104*$E104,2))</f>
        <v/>
      </c>
      <c r="H104" s="125">
        <f>IF($C104="","",CONCATENATE("Belge: ",$B104,"/",$C104," ",TEXT($D104,"#,##0")))</f>
        <v/>
      </c>
    </row>
    <row r="105" ht="15" customHeight="1" s="80">
      <c r="A105" s="126" t="n"/>
      <c r="B105" s="127" t="n"/>
      <c r="C105" s="127" t="n"/>
      <c r="D105" s="128" t="n"/>
      <c r="E105" s="129" t="n"/>
      <c r="F105" s="127" t="n"/>
      <c r="G105" s="124">
        <f>IF($D105=0,0,ROUND($D105*$E105,2))</f>
        <v/>
      </c>
      <c r="H105" s="125">
        <f>IF($C105="","",CONCATENATE("Belge: ",$B105,"/",$C105," ",TEXT($D105,"#,##0")))</f>
        <v/>
      </c>
    </row>
    <row r="106" ht="15" customHeight="1" s="80">
      <c r="A106" s="126" t="n"/>
      <c r="B106" s="127" t="n"/>
      <c r="C106" s="127" t="n"/>
      <c r="D106" s="128" t="n"/>
      <c r="E106" s="129" t="n"/>
      <c r="F106" s="127" t="n"/>
      <c r="G106" s="124">
        <f>IF($D106=0,0,ROUND($D106*$E106,2))</f>
        <v/>
      </c>
      <c r="H106" s="125">
        <f>IF($C106="","",CONCATENATE("Belge: ",$B106,"/",$C106," ",TEXT($D106,"#,##0")))</f>
        <v/>
      </c>
    </row>
    <row r="107" ht="15" customHeight="1" s="80">
      <c r="A107" s="126" t="n"/>
      <c r="B107" s="127" t="n"/>
      <c r="C107" s="127" t="n"/>
      <c r="D107" s="128" t="n"/>
      <c r="E107" s="129" t="n"/>
      <c r="F107" s="127" t="n"/>
      <c r="G107" s="124">
        <f>IF($D107=0,0,ROUND($D107*$E107,2))</f>
        <v/>
      </c>
      <c r="H107" s="125">
        <f>IF($C107="","",CONCATENATE("Belge: ",$B107,"/",$C107," ",TEXT($D107,"#,##0")))</f>
        <v/>
      </c>
    </row>
    <row r="108" ht="15" customHeight="1" s="80">
      <c r="A108" s="126" t="n"/>
      <c r="B108" s="127" t="n"/>
      <c r="C108" s="127" t="n"/>
      <c r="D108" s="128" t="n"/>
      <c r="E108" s="129" t="n"/>
      <c r="F108" s="127" t="n"/>
      <c r="G108" s="124">
        <f>IF($D108=0,0,ROUND($D108*$E108,2))</f>
        <v/>
      </c>
      <c r="H108" s="125">
        <f>IF($C108="","",CONCATENATE("Belge: ",$B108,"/",$C108," ",TEXT($D108,"#,##0")))</f>
        <v/>
      </c>
    </row>
    <row r="109" ht="15" customHeight="1" s="80">
      <c r="A109" s="126" t="n"/>
      <c r="B109" s="127" t="n"/>
      <c r="C109" s="127" t="n"/>
      <c r="D109" s="128" t="n"/>
      <c r="E109" s="129" t="n"/>
      <c r="F109" s="127" t="n"/>
      <c r="G109" s="124">
        <f>IF($D109=0,0,ROUND($D109*$E109,2))</f>
        <v/>
      </c>
      <c r="H109" s="125">
        <f>IF($C109="","",CONCATENATE("Belge: ",$B109,"/",$C109," ",TEXT($D109,"#,##0")))</f>
        <v/>
      </c>
    </row>
    <row r="110" ht="15" customHeight="1" s="80">
      <c r="A110" s="126" t="n"/>
      <c r="B110" s="127" t="n"/>
      <c r="C110" s="127" t="n"/>
      <c r="D110" s="128" t="n"/>
      <c r="E110" s="129" t="n"/>
      <c r="F110" s="127" t="n"/>
      <c r="G110" s="124">
        <f>IF($D110=0,0,ROUND($D110*$E110,2))</f>
        <v/>
      </c>
      <c r="H110" s="125">
        <f>IF($C110="","",CONCATENATE("Belge: ",$B110,"/",$C110," ",TEXT($D110,"#,##0")))</f>
        <v/>
      </c>
    </row>
    <row r="111" ht="15" customHeight="1" s="80">
      <c r="A111" s="126" t="n"/>
      <c r="B111" s="127" t="n"/>
      <c r="C111" s="127" t="n"/>
      <c r="D111" s="128" t="n"/>
      <c r="E111" s="129" t="n"/>
      <c r="F111" s="127" t="n"/>
      <c r="G111" s="124">
        <f>IF($D111=0,0,ROUND($D111*$E111,2))</f>
        <v/>
      </c>
      <c r="H111" s="125">
        <f>IF($C111="","",CONCATENATE("Belge: ",$B111,"/",$C111," ",TEXT($D111,"#,##0")))</f>
        <v/>
      </c>
    </row>
    <row r="112" ht="15" customHeight="1" s="80">
      <c r="A112" s="126" t="n"/>
      <c r="B112" s="127" t="n"/>
      <c r="C112" s="127" t="n"/>
      <c r="D112" s="128" t="n"/>
      <c r="E112" s="129" t="n"/>
      <c r="F112" s="127" t="n"/>
      <c r="G112" s="124">
        <f>IF($D112=0,0,ROUND($D112*$E112,2))</f>
        <v/>
      </c>
      <c r="H112" s="125">
        <f>IF($C112="","",CONCATENATE("Belge: ",$B112,"/",$C112," ",TEXT($D112,"#,##0")))</f>
        <v/>
      </c>
    </row>
    <row r="113" ht="15" customHeight="1" s="80">
      <c r="A113" s="126" t="n"/>
      <c r="B113" s="127" t="n"/>
      <c r="C113" s="127" t="n"/>
      <c r="D113" s="128" t="n"/>
      <c r="E113" s="129" t="n"/>
      <c r="F113" s="127" t="n"/>
      <c r="G113" s="124">
        <f>IF($D113=0,0,ROUND($D113*$E113,2))</f>
        <v/>
      </c>
      <c r="H113" s="125">
        <f>IF($C113="","",CONCATENATE("Belge: ",$B113,"/",$C113," ",TEXT($D113,"#,##0")))</f>
        <v/>
      </c>
    </row>
    <row r="114" ht="15" customHeight="1" s="80">
      <c r="A114" s="126" t="n"/>
      <c r="B114" s="127" t="n"/>
      <c r="C114" s="127" t="n"/>
      <c r="D114" s="128" t="n"/>
      <c r="E114" s="129" t="n"/>
      <c r="F114" s="127" t="n"/>
      <c r="G114" s="124">
        <f>IF($D114=0,0,ROUND($D114*$E114,2))</f>
        <v/>
      </c>
      <c r="H114" s="125">
        <f>IF($C114="","",CONCATENATE("Belge: ",$B114,"/",$C114," ",TEXT($D114,"#,##0")))</f>
        <v/>
      </c>
    </row>
    <row r="115" ht="15" customHeight="1" s="80">
      <c r="A115" s="126" t="n"/>
      <c r="B115" s="127" t="n"/>
      <c r="C115" s="127" t="n"/>
      <c r="D115" s="128" t="n"/>
      <c r="E115" s="129" t="n"/>
      <c r="F115" s="127" t="n"/>
      <c r="G115" s="124">
        <f>IF($D115=0,0,ROUND($D115*$E115,2))</f>
        <v/>
      </c>
      <c r="H115" s="125">
        <f>IF($C115="","",CONCATENATE("Belge: ",$B115,"/",$C115," ",TEXT($D115,"#,##0")))</f>
        <v/>
      </c>
    </row>
    <row r="116" ht="15" customHeight="1" s="80">
      <c r="A116" s="126" t="n"/>
      <c r="B116" s="127" t="n"/>
      <c r="C116" s="127" t="n"/>
      <c r="D116" s="128" t="n"/>
      <c r="E116" s="129" t="n"/>
      <c r="F116" s="127" t="n"/>
      <c r="G116" s="124">
        <f>IF($D116=0,0,ROUND($D116*$E116,2))</f>
        <v/>
      </c>
      <c r="H116" s="125">
        <f>IF($C116="","",CONCATENATE("Belge: ",$B116,"/",$C116," ",TEXT($D116,"#,##0")))</f>
        <v/>
      </c>
    </row>
    <row r="117" ht="15" customHeight="1" s="80">
      <c r="A117" s="126" t="n"/>
      <c r="B117" s="127" t="n"/>
      <c r="C117" s="127" t="n"/>
      <c r="D117" s="128" t="n"/>
      <c r="E117" s="129" t="n"/>
      <c r="F117" s="127" t="n"/>
      <c r="G117" s="124">
        <f>IF($D117=0,0,ROUND($D117*$E117,2))</f>
        <v/>
      </c>
      <c r="H117" s="125">
        <f>IF($C117="","",CONCATENATE("Belge: ",$B117,"/",$C117," ",TEXT($D117,"#,##0")))</f>
        <v/>
      </c>
    </row>
    <row r="118" ht="15" customHeight="1" s="80">
      <c r="A118" s="126" t="n"/>
      <c r="B118" s="127" t="n"/>
      <c r="C118" s="127" t="n"/>
      <c r="D118" s="128" t="n"/>
      <c r="E118" s="129" t="n"/>
      <c r="F118" s="127" t="n"/>
      <c r="G118" s="124">
        <f>IF($D118=0,0,ROUND($D118*$E118,2))</f>
        <v/>
      </c>
      <c r="H118" s="125">
        <f>IF($C118="","",CONCATENATE("Belge: ",$B118,"/",$C118," ",TEXT($D118,"#,##0")))</f>
        <v/>
      </c>
    </row>
    <row r="119" ht="15" customHeight="1" s="80">
      <c r="A119" s="126" t="n"/>
      <c r="B119" s="127" t="n"/>
      <c r="C119" s="127" t="n"/>
      <c r="D119" s="128" t="n"/>
      <c r="E119" s="129" t="n"/>
      <c r="F119" s="127" t="n"/>
      <c r="G119" s="124">
        <f>IF($D119=0,0,ROUND($D119*$E119,2))</f>
        <v/>
      </c>
      <c r="H119" s="125">
        <f>IF($C119="","",CONCATENATE("Belge: ",$B119,"/",$C119," ",TEXT($D119,"#,##0")))</f>
        <v/>
      </c>
    </row>
    <row r="120" ht="15" customHeight="1" s="80">
      <c r="A120" s="126" t="n"/>
      <c r="B120" s="127" t="n"/>
      <c r="C120" s="127" t="n"/>
      <c r="D120" s="128" t="n"/>
      <c r="E120" s="129" t="n"/>
      <c r="F120" s="127" t="n"/>
      <c r="G120" s="124">
        <f>IF($D120=0,0,ROUND($D120*$E120,2))</f>
        <v/>
      </c>
      <c r="H120" s="125">
        <f>IF($C120="","",CONCATENATE("Belge: ",$B120,"/",$C120," ",TEXT($D120,"#,##0")))</f>
        <v/>
      </c>
    </row>
    <row r="121" ht="15" customHeight="1" s="80">
      <c r="A121" s="126" t="n"/>
      <c r="B121" s="127" t="n"/>
      <c r="C121" s="127" t="n"/>
      <c r="D121" s="128" t="n"/>
      <c r="E121" s="129" t="n"/>
      <c r="F121" s="127" t="n"/>
      <c r="G121" s="124">
        <f>IF($D121=0,0,ROUND($D121*$E121,2))</f>
        <v/>
      </c>
      <c r="H121" s="125">
        <f>IF($C121="","",CONCATENATE("Belge: ",$B121,"/",$C121," ",TEXT($D121,"#,##0")))</f>
        <v/>
      </c>
    </row>
    <row r="122" ht="15" customHeight="1" s="80">
      <c r="A122" s="126" t="n"/>
      <c r="B122" s="127" t="n"/>
      <c r="C122" s="127" t="n"/>
      <c r="D122" s="128" t="n"/>
      <c r="E122" s="129" t="n"/>
      <c r="F122" s="127" t="n"/>
      <c r="G122" s="124">
        <f>IF($D122=0,0,ROUND($D122*$E122,2))</f>
        <v/>
      </c>
      <c r="H122" s="125">
        <f>IF($C122="","",CONCATENATE("Belge: ",$B122,"/",$C122," ",TEXT($D122,"#,##0")))</f>
        <v/>
      </c>
    </row>
    <row r="123" ht="15" customHeight="1" s="80">
      <c r="A123" s="126" t="n"/>
      <c r="B123" s="127" t="n"/>
      <c r="C123" s="127" t="n"/>
      <c r="D123" s="128" t="n"/>
      <c r="E123" s="129" t="n"/>
      <c r="F123" s="127" t="n"/>
      <c r="G123" s="124">
        <f>IF($D123=0,0,ROUND($D123*$E123,2))</f>
        <v/>
      </c>
      <c r="H123" s="125">
        <f>IF($C123="","",CONCATENATE("Belge: ",$B123,"/",$C123," ",TEXT($D123,"#,##0")))</f>
        <v/>
      </c>
    </row>
    <row r="124" ht="15" customHeight="1" s="80">
      <c r="A124" s="126" t="n"/>
      <c r="B124" s="127" t="n"/>
      <c r="C124" s="127" t="n"/>
      <c r="D124" s="128" t="n"/>
      <c r="E124" s="129" t="n"/>
      <c r="F124" s="127" t="n"/>
      <c r="G124" s="124">
        <f>IF($D124=0,0,ROUND($D124*$E124,2))</f>
        <v/>
      </c>
      <c r="H124" s="125">
        <f>IF($C124="","",CONCATENATE("Belge: ",$B124,"/",$C124," ",TEXT($D124,"#,##0")))</f>
        <v/>
      </c>
    </row>
    <row r="125" ht="15" customHeight="1" s="80">
      <c r="A125" s="126" t="n"/>
      <c r="B125" s="127" t="n"/>
      <c r="C125" s="127" t="n"/>
      <c r="D125" s="128" t="n"/>
      <c r="E125" s="129" t="n"/>
      <c r="F125" s="127" t="n"/>
      <c r="G125" s="124">
        <f>IF($D125=0,0,ROUND($D125*$E125,2))</f>
        <v/>
      </c>
      <c r="H125" s="125">
        <f>IF($C125="","",CONCATENATE("Belge: ",$B125,"/",$C125," ",TEXT($D125,"#,##0")))</f>
        <v/>
      </c>
    </row>
    <row r="126" ht="15" customHeight="1" s="80">
      <c r="A126" s="126" t="n"/>
      <c r="B126" s="127" t="n"/>
      <c r="C126" s="127" t="n"/>
      <c r="D126" s="128" t="n"/>
      <c r="E126" s="129" t="n"/>
      <c r="F126" s="127" t="n"/>
      <c r="G126" s="124">
        <f>IF($D126=0,0,ROUND($D126*$E126,2))</f>
        <v/>
      </c>
      <c r="H126" s="125">
        <f>IF($C126="","",CONCATENATE("Belge: ",$B126,"/",$C126," ",TEXT($D126,"#,##0")))</f>
        <v/>
      </c>
    </row>
    <row r="127" ht="15" customHeight="1" s="80">
      <c r="A127" s="126" t="n"/>
      <c r="B127" s="127" t="n"/>
      <c r="C127" s="127" t="n"/>
      <c r="D127" s="128" t="n"/>
      <c r="E127" s="129" t="n"/>
      <c r="F127" s="127" t="n"/>
      <c r="G127" s="124">
        <f>IF($D127=0,0,ROUND($D127*$E127,2))</f>
        <v/>
      </c>
      <c r="H127" s="125">
        <f>IF($C127="","",CONCATENATE("Belge: ",$B127,"/",$C127," ",TEXT($D127,"#,##0")))</f>
        <v/>
      </c>
    </row>
    <row r="128" ht="15" customHeight="1" s="80">
      <c r="A128" s="126" t="n"/>
      <c r="B128" s="127" t="n"/>
      <c r="C128" s="127" t="n"/>
      <c r="D128" s="128" t="n"/>
      <c r="E128" s="129" t="n"/>
      <c r="F128" s="127" t="n"/>
      <c r="G128" s="124">
        <f>IF($D128=0,0,ROUND($D128*$E128,2))</f>
        <v/>
      </c>
      <c r="H128" s="125">
        <f>IF($C128="","",CONCATENATE("Belge: ",$B128,"/",$C128," ",TEXT($D128,"#,##0")))</f>
        <v/>
      </c>
    </row>
    <row r="129" ht="15" customHeight="1" s="80">
      <c r="A129" s="126" t="n"/>
      <c r="B129" s="127" t="n"/>
      <c r="C129" s="127" t="n"/>
      <c r="D129" s="128" t="n"/>
      <c r="E129" s="129" t="n"/>
      <c r="F129" s="127" t="n"/>
      <c r="G129" s="124">
        <f>IF($D129=0,0,ROUND($D129*$E129,2))</f>
        <v/>
      </c>
      <c r="H129" s="125">
        <f>IF($C129="","",CONCATENATE("Belge: ",$B129,"/",$C129," ",TEXT($D129,"#,##0")))</f>
        <v/>
      </c>
    </row>
    <row r="130" ht="15" customHeight="1" s="80">
      <c r="A130" s="126" t="n"/>
      <c r="B130" s="127" t="n"/>
      <c r="C130" s="127" t="n"/>
      <c r="D130" s="128" t="n"/>
      <c r="E130" s="129" t="n"/>
      <c r="F130" s="127" t="n"/>
      <c r="G130" s="124">
        <f>IF($D130=0,0,ROUND($D130*$E130,2))</f>
        <v/>
      </c>
      <c r="H130" s="125">
        <f>IF($C130="","",CONCATENATE("Belge: ",$B130,"/",$C130," ",TEXT($D130,"#,##0")))</f>
        <v/>
      </c>
    </row>
    <row r="131" ht="15" customHeight="1" s="80">
      <c r="A131" s="126" t="n"/>
      <c r="B131" s="127" t="n"/>
      <c r="C131" s="127" t="n"/>
      <c r="D131" s="128" t="n"/>
      <c r="E131" s="129" t="n"/>
      <c r="F131" s="127" t="n"/>
      <c r="G131" s="124">
        <f>IF($D131=0,0,ROUND($D131*$E131,2))</f>
        <v/>
      </c>
      <c r="H131" s="125">
        <f>IF($C131="","",CONCATENATE("Belge: ",$B131,"/",$C131," ",TEXT($D131,"#,##0")))</f>
        <v/>
      </c>
    </row>
    <row r="132" ht="15" customHeight="1" s="80">
      <c r="A132" s="126" t="n"/>
      <c r="B132" s="127" t="n"/>
      <c r="C132" s="127" t="n"/>
      <c r="D132" s="128" t="n"/>
      <c r="E132" s="129" t="n"/>
      <c r="F132" s="127" t="n"/>
      <c r="G132" s="124">
        <f>IF($D132=0,0,ROUND($D132*$E132,2))</f>
        <v/>
      </c>
      <c r="H132" s="125">
        <f>IF($C132="","",CONCATENATE("Belge: ",$B132,"/",$C132," ",TEXT($D132,"#,##0")))</f>
        <v/>
      </c>
    </row>
    <row r="133" ht="15" customHeight="1" s="80">
      <c r="A133" s="126" t="n"/>
      <c r="B133" s="127" t="n"/>
      <c r="C133" s="127" t="n"/>
      <c r="D133" s="128" t="n"/>
      <c r="E133" s="129" t="n"/>
      <c r="F133" s="127" t="n"/>
      <c r="G133" s="124">
        <f>IF($D133=0,0,ROUND($D133*$E133,2))</f>
        <v/>
      </c>
      <c r="H133" s="125">
        <f>IF($C133="","",CONCATENATE("Belge: ",$B133,"/",$C133," ",TEXT($D133,"#,##0")))</f>
        <v/>
      </c>
    </row>
    <row r="134" ht="15" customHeight="1" s="80">
      <c r="A134" s="126" t="n"/>
      <c r="B134" s="127" t="n"/>
      <c r="C134" s="127" t="n"/>
      <c r="D134" s="128" t="n"/>
      <c r="E134" s="129" t="n"/>
      <c r="F134" s="127" t="n"/>
      <c r="G134" s="124">
        <f>IF($D134=0,0,ROUND($D134*$E134,2))</f>
        <v/>
      </c>
      <c r="H134" s="125">
        <f>IF($C134="","",CONCATENATE("Belge: ",$B134,"/",$C134," ",TEXT($D134,"#,##0")))</f>
        <v/>
      </c>
    </row>
    <row r="135" ht="15" customHeight="1" s="80">
      <c r="A135" s="126" t="n"/>
      <c r="B135" s="127" t="n"/>
      <c r="C135" s="127" t="n"/>
      <c r="D135" s="128" t="n"/>
      <c r="E135" s="129" t="n"/>
      <c r="F135" s="127" t="n"/>
      <c r="G135" s="124">
        <f>IF($D135=0,0,ROUND($D135*$E135,2))</f>
        <v/>
      </c>
      <c r="H135" s="125">
        <f>IF($C135="","",CONCATENATE("Belge: ",$B135,"/",$C135," ",TEXT($D135,"#,##0")))</f>
        <v/>
      </c>
    </row>
    <row r="136" ht="15" customHeight="1" s="80">
      <c r="A136" s="126" t="n"/>
      <c r="B136" s="127" t="n"/>
      <c r="C136" s="127" t="n"/>
      <c r="D136" s="128" t="n"/>
      <c r="E136" s="129" t="n"/>
      <c r="F136" s="127" t="n"/>
      <c r="G136" s="124">
        <f>IF($D136=0,0,ROUND($D136*$E136,2))</f>
        <v/>
      </c>
      <c r="H136" s="125">
        <f>IF($C136="","",CONCATENATE("Belge: ",$B136,"/",$C136," ",TEXT($D136,"#,##0")))</f>
        <v/>
      </c>
    </row>
    <row r="137" ht="15" customHeight="1" s="80">
      <c r="A137" s="126" t="n"/>
      <c r="B137" s="127" t="n"/>
      <c r="C137" s="127" t="n"/>
      <c r="D137" s="128" t="n"/>
      <c r="E137" s="129" t="n"/>
      <c r="F137" s="127" t="n"/>
      <c r="G137" s="124">
        <f>IF($D137=0,0,ROUND($D137*$E137,2))</f>
        <v/>
      </c>
      <c r="H137" s="125">
        <f>IF($C137="","",CONCATENATE("Belge: ",$B137,"/",$C137," ",TEXT($D137,"#,##0")))</f>
        <v/>
      </c>
    </row>
    <row r="138" ht="15" customHeight="1" s="80">
      <c r="A138" s="126" t="n"/>
      <c r="B138" s="127" t="n"/>
      <c r="C138" s="127" t="n"/>
      <c r="D138" s="128" t="n"/>
      <c r="E138" s="129" t="n"/>
      <c r="F138" s="127" t="n"/>
      <c r="G138" s="124">
        <f>IF($D138=0,0,ROUND($D138*$E138,2))</f>
        <v/>
      </c>
      <c r="H138" s="125">
        <f>IF($C138="","",CONCATENATE("Belge: ",$B138,"/",$C138," ",TEXT($D138,"#,##0")))</f>
        <v/>
      </c>
    </row>
    <row r="139" ht="15" customHeight="1" s="80">
      <c r="A139" s="126" t="n"/>
      <c r="B139" s="127" t="n"/>
      <c r="C139" s="127" t="n"/>
      <c r="D139" s="128" t="n"/>
      <c r="E139" s="129" t="n"/>
      <c r="F139" s="127" t="n"/>
      <c r="G139" s="124">
        <f>IF($D139=0,0,ROUND($D139*$E139,2))</f>
        <v/>
      </c>
      <c r="H139" s="125">
        <f>IF($C139="","",CONCATENATE("Belge: ",$B139,"/",$C139," ",TEXT($D139,"#,##0")))</f>
        <v/>
      </c>
    </row>
    <row r="140" ht="15" customHeight="1" s="80">
      <c r="A140" s="126" t="n"/>
      <c r="B140" s="127" t="n"/>
      <c r="C140" s="127" t="n"/>
      <c r="D140" s="128" t="n"/>
      <c r="E140" s="129" t="n"/>
      <c r="F140" s="127" t="n"/>
      <c r="G140" s="124">
        <f>IF($D140=0,0,ROUND($D140*$E140,2))</f>
        <v/>
      </c>
      <c r="H140" s="125">
        <f>IF($C140="","",CONCATENATE("Belge: ",$B140,"/",$C140," ",TEXT($D140,"#,##0")))</f>
        <v/>
      </c>
    </row>
    <row r="141" ht="15" customHeight="1" s="80">
      <c r="A141" s="126" t="n"/>
      <c r="B141" s="127" t="n"/>
      <c r="C141" s="127" t="n"/>
      <c r="D141" s="128" t="n"/>
      <c r="E141" s="129" t="n"/>
      <c r="F141" s="127" t="n"/>
      <c r="G141" s="124">
        <f>IF($D141=0,0,ROUND($D141*$E141,2))</f>
        <v/>
      </c>
      <c r="H141" s="125">
        <f>IF($C141="","",CONCATENATE("Belge: ",$B141,"/",$C141," ",TEXT($D141,"#,##0")))</f>
        <v/>
      </c>
    </row>
    <row r="142" ht="15" customHeight="1" s="80">
      <c r="A142" s="126" t="n"/>
      <c r="B142" s="127" t="n"/>
      <c r="C142" s="127" t="n"/>
      <c r="D142" s="128" t="n"/>
      <c r="E142" s="129" t="n"/>
      <c r="F142" s="127" t="n"/>
      <c r="G142" s="124">
        <f>IF($D142=0,0,ROUND($D142*$E142,2))</f>
        <v/>
      </c>
      <c r="H142" s="125">
        <f>IF($C142="","",CONCATENATE("Belge: ",$B142,"/",$C142," ",TEXT($D142,"#,##0")))</f>
        <v/>
      </c>
    </row>
    <row r="143" ht="15" customHeight="1" s="80">
      <c r="A143" s="126" t="n"/>
      <c r="B143" s="127" t="n"/>
      <c r="C143" s="127" t="n"/>
      <c r="D143" s="128" t="n"/>
      <c r="E143" s="129" t="n"/>
      <c r="F143" s="127" t="n"/>
      <c r="G143" s="124">
        <f>IF($D143=0,0,ROUND($D143*$E143,2))</f>
        <v/>
      </c>
      <c r="H143" s="125">
        <f>IF($C143="","",CONCATENATE("Belge: ",$B143,"/",$C143," ",TEXT($D143,"#,##0")))</f>
        <v/>
      </c>
    </row>
    <row r="144" ht="15" customHeight="1" s="80">
      <c r="A144" s="126" t="n"/>
      <c r="B144" s="127" t="n"/>
      <c r="C144" s="127" t="n"/>
      <c r="D144" s="128" t="n"/>
      <c r="E144" s="129" t="n"/>
      <c r="F144" s="127" t="n"/>
      <c r="G144" s="124">
        <f>IF($D144=0,0,ROUND($D144*$E144,2))</f>
        <v/>
      </c>
      <c r="H144" s="125">
        <f>IF($C144="","",CONCATENATE("Belge: ",$B144,"/",$C144," ",TEXT($D144,"#,##0")))</f>
        <v/>
      </c>
    </row>
    <row r="145" ht="15" customHeight="1" s="80">
      <c r="A145" s="126" t="n"/>
      <c r="B145" s="127" t="n"/>
      <c r="C145" s="127" t="n"/>
      <c r="D145" s="128" t="n"/>
      <c r="E145" s="129" t="n"/>
      <c r="F145" s="127" t="n"/>
      <c r="G145" s="124">
        <f>IF($D145=0,0,ROUND($D145*$E145,2))</f>
        <v/>
      </c>
      <c r="H145" s="125">
        <f>IF($C145="","",CONCATENATE("Belge: ",$B145,"/",$C145," ",TEXT($D145,"#,##0")))</f>
        <v/>
      </c>
    </row>
    <row r="146" ht="15" customHeight="1" s="80">
      <c r="A146" s="126" t="n"/>
      <c r="B146" s="127" t="n"/>
      <c r="C146" s="127" t="n"/>
      <c r="D146" s="128" t="n"/>
      <c r="E146" s="129" t="n"/>
      <c r="F146" s="127" t="n"/>
      <c r="G146" s="124">
        <f>IF($D146=0,0,ROUND($D146*$E146,2))</f>
        <v/>
      </c>
      <c r="H146" s="125">
        <f>IF($C146="","",CONCATENATE("Belge: ",$B146,"/",$C146," ",TEXT($D146,"#,##0")))</f>
        <v/>
      </c>
    </row>
    <row r="147" ht="15" customHeight="1" s="80">
      <c r="A147" s="126" t="n"/>
      <c r="B147" s="127" t="n"/>
      <c r="C147" s="127" t="n"/>
      <c r="D147" s="128" t="n"/>
      <c r="E147" s="129" t="n"/>
      <c r="F147" s="127" t="n"/>
      <c r="G147" s="124">
        <f>IF($D147=0,0,ROUND($D147*$E147,2))</f>
        <v/>
      </c>
      <c r="H147" s="125">
        <f>IF($C147="","",CONCATENATE("Belge: ",$B147,"/",$C147," ",TEXT($D147,"#,##0")))</f>
        <v/>
      </c>
    </row>
    <row r="148" ht="15" customHeight="1" s="80">
      <c r="A148" s="126" t="n"/>
      <c r="B148" s="127" t="n"/>
      <c r="C148" s="127" t="n"/>
      <c r="D148" s="128" t="n"/>
      <c r="E148" s="129" t="n"/>
      <c r="F148" s="127" t="n"/>
      <c r="G148" s="124">
        <f>IF($D148=0,0,ROUND($D148*$E148,2))</f>
        <v/>
      </c>
      <c r="H148" s="125">
        <f>IF($C148="","",CONCATENATE("Belge: ",$B148,"/",$C148," ",TEXT($D148,"#,##0")))</f>
        <v/>
      </c>
    </row>
    <row r="149" ht="15" customHeight="1" s="80">
      <c r="A149" s="126" t="n"/>
      <c r="B149" s="127" t="n"/>
      <c r="C149" s="127" t="n"/>
      <c r="D149" s="128" t="n"/>
      <c r="E149" s="129" t="n"/>
      <c r="F149" s="127" t="n"/>
      <c r="G149" s="124">
        <f>IF($D149=0,0,ROUND($D149*$E149,2))</f>
        <v/>
      </c>
      <c r="H149" s="125">
        <f>IF($C149="","",CONCATENATE("Belge: ",$B149,"/",$C149," ",TEXT($D149,"#,##0")))</f>
        <v/>
      </c>
    </row>
    <row r="150" ht="15" customHeight="1" s="80">
      <c r="A150" s="126" t="n"/>
      <c r="B150" s="127" t="n"/>
      <c r="C150" s="127" t="n"/>
      <c r="D150" s="128" t="n"/>
      <c r="E150" s="129" t="n"/>
      <c r="F150" s="127" t="n"/>
      <c r="G150" s="124">
        <f>IF($D150=0,0,ROUND($D150*$E150,2))</f>
        <v/>
      </c>
      <c r="H150" s="125">
        <f>IF($C150="","",CONCATENATE("Belge: ",$B150,"/",$C150," ",TEXT($D150,"#,##0")))</f>
        <v/>
      </c>
    </row>
    <row r="151" ht="15" customHeight="1" s="80">
      <c r="A151" s="126" t="n"/>
      <c r="B151" s="127" t="n"/>
      <c r="C151" s="127" t="n"/>
      <c r="D151" s="128" t="n"/>
      <c r="E151" s="129" t="n"/>
      <c r="F151" s="127" t="n"/>
      <c r="G151" s="124">
        <f>IF($D151=0,0,ROUND($D151*$E151,2))</f>
        <v/>
      </c>
      <c r="H151" s="125">
        <f>IF($C151="","",CONCATENATE("Belge: ",$B151,"/",$C151," ",TEXT($D151,"#,##0")))</f>
        <v/>
      </c>
    </row>
    <row r="152" ht="15" customHeight="1" s="80">
      <c r="A152" s="126" t="n"/>
      <c r="B152" s="127" t="n"/>
      <c r="C152" s="127" t="n"/>
      <c r="D152" s="128" t="n"/>
      <c r="E152" s="129" t="n"/>
      <c r="F152" s="127" t="n"/>
      <c r="G152" s="124">
        <f>IF($D152=0,0,ROUND($D152*$E152,2))</f>
        <v/>
      </c>
      <c r="H152" s="125">
        <f>IF($C152="","",CONCATENATE("Belge: ",$B152,"/",$C152," ",TEXT($D152,"#,##0")))</f>
        <v/>
      </c>
    </row>
    <row r="153" ht="15" customHeight="1" s="80">
      <c r="A153" s="126" t="n"/>
      <c r="B153" s="127" t="n"/>
      <c r="C153" s="127" t="n"/>
      <c r="D153" s="128" t="n"/>
      <c r="E153" s="129" t="n"/>
      <c r="F153" s="127" t="n"/>
      <c r="G153" s="124">
        <f>IF($D153=0,0,ROUND($D153*$E153,2))</f>
        <v/>
      </c>
      <c r="H153" s="125">
        <f>IF($C153="","",CONCATENATE("Belge: ",$B153,"/",$C153," ",TEXT($D153,"#,##0")))</f>
        <v/>
      </c>
    </row>
    <row r="154" ht="15" customHeight="1" s="80">
      <c r="A154" s="126" t="n"/>
      <c r="B154" s="127" t="n"/>
      <c r="C154" s="127" t="n"/>
      <c r="D154" s="128" t="n"/>
      <c r="E154" s="129" t="n"/>
      <c r="F154" s="127" t="n"/>
      <c r="G154" s="124">
        <f>IF($D154=0,0,ROUND($D154*$E154,2))</f>
        <v/>
      </c>
      <c r="H154" s="125">
        <f>IF($C154="","",CONCATENATE("Belge: ",$B154,"/",$C154," ",TEXT($D154,"#,##0")))</f>
        <v/>
      </c>
    </row>
    <row r="155" ht="15" customHeight="1" s="80">
      <c r="A155" s="126" t="n"/>
      <c r="B155" s="127" t="n"/>
      <c r="C155" s="127" t="n"/>
      <c r="D155" s="128" t="n"/>
      <c r="E155" s="129" t="n"/>
      <c r="F155" s="127" t="n"/>
      <c r="G155" s="124">
        <f>IF($D155=0,0,ROUND($D155*$E155,2))</f>
        <v/>
      </c>
      <c r="H155" s="125">
        <f>IF($C155="","",CONCATENATE("Belge: ",$B155,"/",$C155," ",TEXT($D155,"#,##0")))</f>
        <v/>
      </c>
    </row>
    <row r="156" ht="15" customHeight="1" s="80">
      <c r="A156" s="126" t="n"/>
      <c r="B156" s="127" t="n"/>
      <c r="C156" s="127" t="n"/>
      <c r="D156" s="128" t="n"/>
      <c r="E156" s="129" t="n"/>
      <c r="F156" s="127" t="n"/>
      <c r="G156" s="124">
        <f>IF($D156=0,0,ROUND($D156*$E156,2))</f>
        <v/>
      </c>
      <c r="H156" s="125">
        <f>IF($C156="","",CONCATENATE("Belge: ",$B156,"/",$C156," ",TEXT($D156,"#,##0")))</f>
        <v/>
      </c>
    </row>
    <row r="157" ht="15" customHeight="1" s="80">
      <c r="A157" s="126" t="n"/>
      <c r="B157" s="127" t="n"/>
      <c r="C157" s="127" t="n"/>
      <c r="D157" s="128" t="n"/>
      <c r="E157" s="129" t="n"/>
      <c r="F157" s="127" t="n"/>
      <c r="G157" s="124">
        <f>IF($D157=0,0,ROUND($D157*$E157,2))</f>
        <v/>
      </c>
      <c r="H157" s="125">
        <f>IF($C157="","",CONCATENATE("Belge: ",$B157,"/",$C157," ",TEXT($D157,"#,##0")))</f>
        <v/>
      </c>
    </row>
    <row r="158" ht="15" customHeight="1" s="80">
      <c r="A158" s="126" t="n"/>
      <c r="B158" s="127" t="n"/>
      <c r="C158" s="127" t="n"/>
      <c r="D158" s="128" t="n"/>
      <c r="E158" s="129" t="n"/>
      <c r="F158" s="127" t="n"/>
      <c r="G158" s="124">
        <f>IF($D158=0,0,ROUND($D158*$E158,2))</f>
        <v/>
      </c>
      <c r="H158" s="125">
        <f>IF($C158="","",CONCATENATE("Belge: ",$B158,"/",$C158," ",TEXT($D158,"#,##0")))</f>
        <v/>
      </c>
    </row>
    <row r="159" ht="15" customHeight="1" s="80">
      <c r="A159" s="126" t="n"/>
      <c r="B159" s="127" t="n"/>
      <c r="C159" s="127" t="n"/>
      <c r="D159" s="128" t="n"/>
      <c r="E159" s="129" t="n"/>
      <c r="F159" s="127" t="n"/>
      <c r="G159" s="124">
        <f>IF($D159=0,0,ROUND($D159*$E159,2))</f>
        <v/>
      </c>
      <c r="H159" s="125">
        <f>IF($C159="","",CONCATENATE("Belge: ",$B159,"/",$C159," ",TEXT($D159,"#,##0")))</f>
        <v/>
      </c>
    </row>
    <row r="160" ht="15" customHeight="1" s="80">
      <c r="A160" s="126" t="n"/>
      <c r="B160" s="127" t="n"/>
      <c r="C160" s="127" t="n"/>
      <c r="D160" s="128" t="n"/>
      <c r="E160" s="129" t="n"/>
      <c r="F160" s="127" t="n"/>
      <c r="G160" s="124">
        <f>IF($D160=0,0,ROUND($D160*$E160,2))</f>
        <v/>
      </c>
      <c r="H160" s="125">
        <f>IF($C160="","",CONCATENATE("Belge: ",$B160,"/",$C160," ",TEXT($D160,"#,##0")))</f>
        <v/>
      </c>
    </row>
    <row r="161" ht="15" customHeight="1" s="80">
      <c r="A161" s="126" t="n"/>
      <c r="B161" s="127" t="n"/>
      <c r="C161" s="127" t="n"/>
      <c r="D161" s="128" t="n"/>
      <c r="E161" s="129" t="n"/>
      <c r="F161" s="127" t="n"/>
      <c r="G161" s="124">
        <f>IF($D161=0,0,ROUND($D161*$E161,2))</f>
        <v/>
      </c>
      <c r="H161" s="125">
        <f>IF($C161="","",CONCATENATE("Belge: ",$B161,"/",$C161," ",TEXT($D161,"#,##0")))</f>
        <v/>
      </c>
    </row>
    <row r="162" ht="15" customHeight="1" s="80">
      <c r="A162" s="126" t="n"/>
      <c r="B162" s="127" t="n"/>
      <c r="C162" s="127" t="n"/>
      <c r="D162" s="128" t="n"/>
      <c r="E162" s="129" t="n"/>
      <c r="F162" s="127" t="n"/>
      <c r="G162" s="124">
        <f>IF($D162=0,0,ROUND($D162*$E162,2))</f>
        <v/>
      </c>
      <c r="H162" s="125">
        <f>IF($C162="","",CONCATENATE("Belge: ",$B162,"/",$C162," ",TEXT($D162,"#,##0")))</f>
        <v/>
      </c>
    </row>
    <row r="163" ht="15" customHeight="1" s="80">
      <c r="A163" s="126" t="n"/>
      <c r="B163" s="127" t="n"/>
      <c r="C163" s="127" t="n"/>
      <c r="D163" s="128" t="n"/>
      <c r="E163" s="129" t="n"/>
      <c r="F163" s="127" t="n"/>
      <c r="G163" s="124">
        <f>IF($D163=0,0,ROUND($D163*$E163,2))</f>
        <v/>
      </c>
      <c r="H163" s="125">
        <f>IF($C163="","",CONCATENATE("Belge: ",$B163,"/",$C163," ",TEXT($D163,"#,##0")))</f>
        <v/>
      </c>
    </row>
    <row r="164" ht="15" customHeight="1" s="80">
      <c r="A164" s="126" t="n"/>
      <c r="B164" s="127" t="n"/>
      <c r="C164" s="127" t="n"/>
      <c r="D164" s="128" t="n"/>
      <c r="E164" s="129" t="n"/>
      <c r="F164" s="127" t="n"/>
      <c r="G164" s="124">
        <f>IF($D164=0,0,ROUND($D164*$E164,2))</f>
        <v/>
      </c>
      <c r="H164" s="125">
        <f>IF($C164="","",CONCATENATE("Belge: ",$B164,"/",$C164," ",TEXT($D164,"#,##0")))</f>
        <v/>
      </c>
    </row>
    <row r="165" ht="15" customHeight="1" s="80">
      <c r="A165" s="126" t="n"/>
      <c r="B165" s="127" t="n"/>
      <c r="C165" s="127" t="n"/>
      <c r="D165" s="128" t="n"/>
      <c r="E165" s="129" t="n"/>
      <c r="F165" s="127" t="n"/>
      <c r="G165" s="124">
        <f>IF($D165=0,0,ROUND($D165*$E165,2))</f>
        <v/>
      </c>
      <c r="H165" s="125">
        <f>IF($C165="","",CONCATENATE("Belge: ",$B165,"/",$C165," ",TEXT($D165,"#,##0")))</f>
        <v/>
      </c>
    </row>
    <row r="166" ht="15" customHeight="1" s="80">
      <c r="A166" s="126" t="n"/>
      <c r="B166" s="127" t="n"/>
      <c r="C166" s="127" t="n"/>
      <c r="D166" s="128" t="n"/>
      <c r="E166" s="129" t="n"/>
      <c r="F166" s="127" t="n"/>
      <c r="G166" s="124">
        <f>IF($D166=0,0,ROUND($D166*$E166,2))</f>
        <v/>
      </c>
      <c r="H166" s="125">
        <f>IF($C166="","",CONCATENATE("Belge: ",$B166,"/",$C166," ",TEXT($D166,"#,##0")))</f>
        <v/>
      </c>
    </row>
    <row r="167" ht="15" customHeight="1" s="80">
      <c r="A167" s="126" t="n"/>
      <c r="B167" s="127" t="n"/>
      <c r="C167" s="127" t="n"/>
      <c r="D167" s="128" t="n"/>
      <c r="E167" s="129" t="n"/>
      <c r="F167" s="127" t="n"/>
      <c r="G167" s="124">
        <f>IF($D167=0,0,ROUND($D167*$E167,2))</f>
        <v/>
      </c>
      <c r="H167" s="125">
        <f>IF($C167="","",CONCATENATE("Belge: ",$B167,"/",$C167," ",TEXT($D167,"#,##0")))</f>
        <v/>
      </c>
    </row>
    <row r="168" ht="15" customHeight="1" s="80">
      <c r="A168" s="126" t="n"/>
      <c r="B168" s="127" t="n"/>
      <c r="C168" s="127" t="n"/>
      <c r="D168" s="128" t="n"/>
      <c r="E168" s="129" t="n"/>
      <c r="F168" s="127" t="n"/>
      <c r="G168" s="124">
        <f>IF($D168=0,0,ROUND($D168*$E168,2))</f>
        <v/>
      </c>
      <c r="H168" s="125">
        <f>IF($C168="","",CONCATENATE("Belge: ",$B168,"/",$C168," ",TEXT($D168,"#,##0")))</f>
        <v/>
      </c>
    </row>
    <row r="169" ht="15" customHeight="1" s="80">
      <c r="A169" s="126" t="n"/>
      <c r="B169" s="127" t="n"/>
      <c r="C169" s="127" t="n"/>
      <c r="D169" s="128" t="n"/>
      <c r="E169" s="129" t="n"/>
      <c r="F169" s="127" t="n"/>
      <c r="G169" s="124">
        <f>IF($D169=0,0,ROUND($D169*$E169,2))</f>
        <v/>
      </c>
      <c r="H169" s="125">
        <f>IF($C169="","",CONCATENATE("Belge: ",$B169,"/",$C169," ",TEXT($D169,"#,##0")))</f>
        <v/>
      </c>
    </row>
    <row r="170" ht="15" customHeight="1" s="80">
      <c r="A170" s="126" t="n"/>
      <c r="B170" s="127" t="n"/>
      <c r="C170" s="127" t="n"/>
      <c r="D170" s="128" t="n"/>
      <c r="E170" s="129" t="n"/>
      <c r="F170" s="127" t="n"/>
      <c r="G170" s="124">
        <f>IF($D170=0,0,ROUND($D170*$E170,2))</f>
        <v/>
      </c>
      <c r="H170" s="125">
        <f>IF($C170="","",CONCATENATE("Belge: ",$B170,"/",$C170," ",TEXT($D170,"#,##0")))</f>
        <v/>
      </c>
    </row>
    <row r="171" ht="15" customHeight="1" s="80">
      <c r="A171" s="126" t="n"/>
      <c r="B171" s="127" t="n"/>
      <c r="C171" s="127" t="n"/>
      <c r="D171" s="128" t="n"/>
      <c r="E171" s="129" t="n"/>
      <c r="F171" s="127" t="n"/>
      <c r="G171" s="124">
        <f>IF($D171=0,0,ROUND($D171*$E171,2))</f>
        <v/>
      </c>
      <c r="H171" s="125">
        <f>IF($C171="","",CONCATENATE("Belge: ",$B171,"/",$C171," ",TEXT($D171,"#,##0")))</f>
        <v/>
      </c>
    </row>
    <row r="172" ht="15" customHeight="1" s="80">
      <c r="A172" s="126" t="n"/>
      <c r="B172" s="127" t="n"/>
      <c r="C172" s="127" t="n"/>
      <c r="D172" s="128" t="n"/>
      <c r="E172" s="129" t="n"/>
      <c r="F172" s="127" t="n"/>
      <c r="G172" s="124">
        <f>IF($D172=0,0,ROUND($D172*$E172,2))</f>
        <v/>
      </c>
      <c r="H172" s="125">
        <f>IF($C172="","",CONCATENATE("Belge: ",$B172,"/",$C172," ",TEXT($D172,"#,##0")))</f>
        <v/>
      </c>
    </row>
    <row r="173" ht="15" customHeight="1" s="80">
      <c r="A173" s="126" t="n"/>
      <c r="B173" s="127" t="n"/>
      <c r="C173" s="127" t="n"/>
      <c r="D173" s="128" t="n"/>
      <c r="E173" s="129" t="n"/>
      <c r="F173" s="127" t="n"/>
      <c r="G173" s="124">
        <f>IF($D173=0,0,ROUND($D173*$E173,2))</f>
        <v/>
      </c>
      <c r="H173" s="125">
        <f>IF($C173="","",CONCATENATE("Belge: ",$B173,"/",$C173," ",TEXT($D173,"#,##0")))</f>
        <v/>
      </c>
    </row>
    <row r="174" ht="15" customHeight="1" s="80">
      <c r="A174" s="126" t="n"/>
      <c r="B174" s="127" t="n"/>
      <c r="C174" s="127" t="n"/>
      <c r="D174" s="128" t="n"/>
      <c r="E174" s="129" t="n"/>
      <c r="F174" s="127" t="n"/>
      <c r="G174" s="124">
        <f>IF($D174=0,0,ROUND($D174*$E174,2))</f>
        <v/>
      </c>
      <c r="H174" s="125">
        <f>IF($C174="","",CONCATENATE("Belge: ",$B174,"/",$C174," ",TEXT($D174,"#,##0")))</f>
        <v/>
      </c>
    </row>
    <row r="175" ht="15" customHeight="1" s="80">
      <c r="A175" s="126" t="n"/>
      <c r="B175" s="127" t="n"/>
      <c r="C175" s="127" t="n"/>
      <c r="D175" s="128" t="n"/>
      <c r="E175" s="129" t="n"/>
      <c r="F175" s="127" t="n"/>
      <c r="G175" s="124">
        <f>IF($D175=0,0,ROUND($D175*$E175,2))</f>
        <v/>
      </c>
      <c r="H175" s="125">
        <f>IF($C175="","",CONCATENATE("Belge: ",$B175,"/",$C175," ",TEXT($D175,"#,##0")))</f>
        <v/>
      </c>
    </row>
    <row r="176" ht="15" customHeight="1" s="80">
      <c r="A176" s="126" t="n"/>
      <c r="B176" s="127" t="n"/>
      <c r="C176" s="127" t="n"/>
      <c r="D176" s="128" t="n"/>
      <c r="E176" s="129" t="n"/>
      <c r="F176" s="127" t="n"/>
      <c r="G176" s="124">
        <f>IF($D176=0,0,ROUND($D176*$E176,2))</f>
        <v/>
      </c>
      <c r="H176" s="125">
        <f>IF($C176="","",CONCATENATE("Belge: ",$B176,"/",$C176," ",TEXT($D176,"#,##0")))</f>
        <v/>
      </c>
    </row>
    <row r="177" ht="15" customHeight="1" s="80">
      <c r="A177" s="126" t="n"/>
      <c r="B177" s="127" t="n"/>
      <c r="C177" s="127" t="n"/>
      <c r="D177" s="128" t="n"/>
      <c r="E177" s="129" t="n"/>
      <c r="F177" s="127" t="n"/>
      <c r="G177" s="124">
        <f>IF($D177=0,0,ROUND($D177*$E177,2))</f>
        <v/>
      </c>
      <c r="H177" s="125">
        <f>IF($C177="","",CONCATENATE("Belge: ",$B177,"/",$C177," ",TEXT($D177,"#,##0")))</f>
        <v/>
      </c>
    </row>
    <row r="178" ht="15" customHeight="1" s="80">
      <c r="A178" s="126" t="n"/>
      <c r="B178" s="127" t="n"/>
      <c r="C178" s="127" t="n"/>
      <c r="D178" s="128" t="n"/>
      <c r="E178" s="129" t="n"/>
      <c r="F178" s="127" t="n"/>
      <c r="G178" s="124">
        <f>IF($D178=0,0,ROUND($D178*$E178,2))</f>
        <v/>
      </c>
      <c r="H178" s="125">
        <f>IF($C178="","",CONCATENATE("Belge: ",$B178,"/",$C178," ",TEXT($D178,"#,##0")))</f>
        <v/>
      </c>
    </row>
    <row r="179" ht="15" customHeight="1" s="80">
      <c r="A179" s="126" t="n"/>
      <c r="B179" s="127" t="n"/>
      <c r="C179" s="127" t="n"/>
      <c r="D179" s="128" t="n"/>
      <c r="E179" s="129" t="n"/>
      <c r="F179" s="127" t="n"/>
      <c r="G179" s="124">
        <f>IF($D179=0,0,ROUND($D179*$E179,2))</f>
        <v/>
      </c>
      <c r="H179" s="125">
        <f>IF($C179="","",CONCATENATE("Belge: ",$B179,"/",$C179," ",TEXT($D179,"#,##0")))</f>
        <v/>
      </c>
    </row>
    <row r="180" ht="15" customHeight="1" s="80">
      <c r="A180" s="126" t="n"/>
      <c r="B180" s="127" t="n"/>
      <c r="C180" s="127" t="n"/>
      <c r="D180" s="128" t="n"/>
      <c r="E180" s="129" t="n"/>
      <c r="F180" s="127" t="n"/>
      <c r="G180" s="124">
        <f>IF($D180=0,0,ROUND($D180*$E180,2))</f>
        <v/>
      </c>
      <c r="H180" s="125">
        <f>IF($C180="","",CONCATENATE("Belge: ",$B180,"/",$C180," ",TEXT($D180,"#,##0")))</f>
        <v/>
      </c>
    </row>
    <row r="181" ht="15" customHeight="1" s="80">
      <c r="A181" s="126" t="n"/>
      <c r="B181" s="127" t="n"/>
      <c r="C181" s="127" t="n"/>
      <c r="D181" s="128" t="n"/>
      <c r="E181" s="129" t="n"/>
      <c r="F181" s="127" t="n"/>
      <c r="G181" s="124">
        <f>IF($D181=0,0,ROUND($D181*$E181,2))</f>
        <v/>
      </c>
      <c r="H181" s="125">
        <f>IF($C181="","",CONCATENATE("Belge: ",$B181,"/",$C181," ",TEXT($D181,"#,##0")))</f>
        <v/>
      </c>
    </row>
    <row r="182" ht="15" customHeight="1" s="80">
      <c r="A182" s="126" t="n"/>
      <c r="B182" s="127" t="n"/>
      <c r="C182" s="127" t="n"/>
      <c r="D182" s="128" t="n"/>
      <c r="E182" s="129" t="n"/>
      <c r="F182" s="127" t="n"/>
      <c r="G182" s="124">
        <f>IF($D182=0,0,ROUND($D182*$E182,2))</f>
        <v/>
      </c>
      <c r="H182" s="125">
        <f>IF($C182="","",CONCATENATE("Belge: ",$B182,"/",$C182," ",TEXT($D182,"#,##0")))</f>
        <v/>
      </c>
    </row>
    <row r="183" ht="15" customHeight="1" s="80">
      <c r="A183" s="126" t="n"/>
      <c r="B183" s="127" t="n"/>
      <c r="C183" s="127" t="n"/>
      <c r="D183" s="128" t="n"/>
      <c r="E183" s="129" t="n"/>
      <c r="F183" s="127" t="n"/>
      <c r="G183" s="124">
        <f>IF($D183=0,0,ROUND($D183*$E183,2))</f>
        <v/>
      </c>
      <c r="H183" s="125">
        <f>IF($C183="","",CONCATENATE("Belge: ",$B183,"/",$C183," ",TEXT($D183,"#,##0")))</f>
        <v/>
      </c>
    </row>
    <row r="184" ht="15" customHeight="1" s="80">
      <c r="A184" s="126" t="n"/>
      <c r="B184" s="127" t="n"/>
      <c r="C184" s="127" t="n"/>
      <c r="D184" s="128" t="n"/>
      <c r="E184" s="129" t="n"/>
      <c r="F184" s="127" t="n"/>
      <c r="G184" s="124">
        <f>IF($D184=0,0,ROUND($D184*$E184,2))</f>
        <v/>
      </c>
      <c r="H184" s="125">
        <f>IF($C184="","",CONCATENATE("Belge: ",$B184,"/",$C184," ",TEXT($D184,"#,##0")))</f>
        <v/>
      </c>
    </row>
    <row r="185" ht="15" customHeight="1" s="80">
      <c r="A185" s="126" t="n"/>
      <c r="B185" s="127" t="n"/>
      <c r="C185" s="127" t="n"/>
      <c r="D185" s="128" t="n"/>
      <c r="E185" s="129" t="n"/>
      <c r="F185" s="127" t="n"/>
      <c r="G185" s="124">
        <f>IF($D185=0,0,ROUND($D185*$E185,2))</f>
        <v/>
      </c>
      <c r="H185" s="125">
        <f>IF($C185="","",CONCATENATE("Belge: ",$B185,"/",$C185," ",TEXT($D185,"#,##0")))</f>
        <v/>
      </c>
    </row>
    <row r="186" ht="15" customHeight="1" s="80">
      <c r="A186" s="126" t="n"/>
      <c r="B186" s="127" t="n"/>
      <c r="C186" s="127" t="n"/>
      <c r="D186" s="128" t="n"/>
      <c r="E186" s="129" t="n"/>
      <c r="F186" s="127" t="n"/>
      <c r="G186" s="124">
        <f>IF($D186=0,0,ROUND($D186*$E186,2))</f>
        <v/>
      </c>
      <c r="H186" s="125">
        <f>IF($C186="","",CONCATENATE("Belge: ",$B186,"/",$C186," ",TEXT($D186,"#,##0")))</f>
        <v/>
      </c>
    </row>
    <row r="187" ht="15" customHeight="1" s="80">
      <c r="A187" s="126" t="n"/>
      <c r="B187" s="127" t="n"/>
      <c r="C187" s="127" t="n"/>
      <c r="D187" s="128" t="n"/>
      <c r="E187" s="129" t="n"/>
      <c r="F187" s="127" t="n"/>
      <c r="G187" s="124">
        <f>IF($D187=0,0,ROUND($D187*$E187,2))</f>
        <v/>
      </c>
      <c r="H187" s="125">
        <f>IF($C187="","",CONCATENATE("Belge: ",$B187,"/",$C187," ",TEXT($D187,"#,##0")))</f>
        <v/>
      </c>
    </row>
    <row r="188" ht="15" customHeight="1" s="80">
      <c r="A188" s="126" t="n"/>
      <c r="B188" s="127" t="n"/>
      <c r="C188" s="127" t="n"/>
      <c r="D188" s="128" t="n"/>
      <c r="E188" s="129" t="n"/>
      <c r="F188" s="127" t="n"/>
      <c r="G188" s="124">
        <f>IF($D188=0,0,ROUND($D188*$E188,2))</f>
        <v/>
      </c>
      <c r="H188" s="125">
        <f>IF($C188="","",CONCATENATE("Belge: ",$B188,"/",$C188," ",TEXT($D188,"#,##0")))</f>
        <v/>
      </c>
    </row>
    <row r="189" ht="15" customHeight="1" s="80">
      <c r="A189" s="126" t="n"/>
      <c r="B189" s="127" t="n"/>
      <c r="C189" s="127" t="n"/>
      <c r="D189" s="128" t="n"/>
      <c r="E189" s="129" t="n"/>
      <c r="F189" s="127" t="n"/>
      <c r="G189" s="124">
        <f>IF($D189=0,0,ROUND($D189*$E189,2))</f>
        <v/>
      </c>
      <c r="H189" s="125">
        <f>IF($C189="","",CONCATENATE("Belge: ",$B189,"/",$C189," ",TEXT($D189,"#,##0")))</f>
        <v/>
      </c>
    </row>
    <row r="190" ht="15" customHeight="1" s="80">
      <c r="A190" s="126" t="n"/>
      <c r="B190" s="127" t="n"/>
      <c r="C190" s="127" t="n"/>
      <c r="D190" s="128" t="n"/>
      <c r="E190" s="129" t="n"/>
      <c r="F190" s="127" t="n"/>
      <c r="G190" s="124">
        <f>IF($D190=0,0,ROUND($D190*$E190,2))</f>
        <v/>
      </c>
      <c r="H190" s="125">
        <f>IF($C190="","",CONCATENATE("Belge: ",$B190,"/",$C190," ",TEXT($D190,"#,##0")))</f>
        <v/>
      </c>
    </row>
    <row r="191" ht="15" customHeight="1" s="80">
      <c r="A191" s="126" t="n"/>
      <c r="B191" s="127" t="n"/>
      <c r="C191" s="127" t="n"/>
      <c r="D191" s="128" t="n"/>
      <c r="E191" s="129" t="n"/>
      <c r="F191" s="127" t="n"/>
      <c r="G191" s="124">
        <f>IF($D191=0,0,ROUND($D191*$E191,2))</f>
        <v/>
      </c>
      <c r="H191" s="125">
        <f>IF($C191="","",CONCATENATE("Belge: ",$B191,"/",$C191," ",TEXT($D191,"#,##0")))</f>
        <v/>
      </c>
    </row>
    <row r="192" ht="15" customHeight="1" s="80">
      <c r="A192" s="126" t="n"/>
      <c r="B192" s="127" t="n"/>
      <c r="C192" s="127" t="n"/>
      <c r="D192" s="128" t="n"/>
      <c r="E192" s="129" t="n"/>
      <c r="F192" s="127" t="n"/>
      <c r="G192" s="124">
        <f>IF($D192=0,0,ROUND($D192*$E192,2))</f>
        <v/>
      </c>
      <c r="H192" s="125">
        <f>IF($C192="","",CONCATENATE("Belge: ",$B192,"/",$C192," ",TEXT($D192,"#,##0")))</f>
        <v/>
      </c>
    </row>
    <row r="193" ht="15" customHeight="1" s="80">
      <c r="A193" s="126" t="n"/>
      <c r="B193" s="127" t="n"/>
      <c r="C193" s="127" t="n"/>
      <c r="D193" s="128" t="n"/>
      <c r="E193" s="129" t="n"/>
      <c r="F193" s="127" t="n"/>
      <c r="G193" s="124">
        <f>IF($D193=0,0,ROUND($D193*$E193,2))</f>
        <v/>
      </c>
      <c r="H193" s="125">
        <f>IF($C193="","",CONCATENATE("Belge: ",$B193,"/",$C193," ",TEXT($D193,"#,##0")))</f>
        <v/>
      </c>
    </row>
    <row r="194" ht="15" customHeight="1" s="80">
      <c r="A194" s="126" t="n"/>
      <c r="B194" s="127" t="n"/>
      <c r="C194" s="127" t="n"/>
      <c r="D194" s="128" t="n"/>
      <c r="E194" s="129" t="n"/>
      <c r="F194" s="127" t="n"/>
      <c r="G194" s="124">
        <f>IF($D194=0,0,ROUND($D194*$E194,2))</f>
        <v/>
      </c>
      <c r="H194" s="125">
        <f>IF($C194="","",CONCATENATE("Belge: ",$B194,"/",$C194," ",TEXT($D194,"#,##0")))</f>
        <v/>
      </c>
    </row>
    <row r="195" ht="15" customHeight="1" s="80">
      <c r="A195" s="126" t="n"/>
      <c r="B195" s="127" t="n"/>
      <c r="C195" s="127" t="n"/>
      <c r="D195" s="128" t="n"/>
      <c r="E195" s="129" t="n"/>
      <c r="F195" s="127" t="n"/>
      <c r="G195" s="124">
        <f>IF($D195=0,0,ROUND($D195*$E195,2))</f>
        <v/>
      </c>
      <c r="H195" s="125">
        <f>IF($C195="","",CONCATENATE("Belge: ",$B195,"/",$C195," ",TEXT($D195,"#,##0")))</f>
        <v/>
      </c>
    </row>
    <row r="196" ht="15" customHeight="1" s="80">
      <c r="A196" s="126" t="n"/>
      <c r="B196" s="127" t="n"/>
      <c r="C196" s="127" t="n"/>
      <c r="D196" s="128" t="n"/>
      <c r="E196" s="129" t="n"/>
      <c r="F196" s="127" t="n"/>
      <c r="G196" s="124">
        <f>IF($D196=0,0,ROUND($D196*$E196,2))</f>
        <v/>
      </c>
      <c r="H196" s="125">
        <f>IF($C196="","",CONCATENATE("Belge: ",$B196,"/",$C196," ",TEXT($D196,"#,##0")))</f>
        <v/>
      </c>
    </row>
    <row r="197" ht="15" customHeight="1" s="80">
      <c r="A197" s="126" t="n"/>
      <c r="B197" s="127" t="n"/>
      <c r="C197" s="127" t="n"/>
      <c r="D197" s="128" t="n"/>
      <c r="E197" s="129" t="n"/>
      <c r="F197" s="127" t="n"/>
      <c r="G197" s="124">
        <f>IF($D197=0,0,ROUND($D197*$E197,2))</f>
        <v/>
      </c>
      <c r="H197" s="125">
        <f>IF($C197="","",CONCATENATE("Belge: ",$B197,"/",$C197," ",TEXT($D197,"#,##0")))</f>
        <v/>
      </c>
    </row>
    <row r="198" ht="15" customHeight="1" s="80">
      <c r="A198" s="126" t="n"/>
      <c r="B198" s="127" t="n"/>
      <c r="C198" s="127" t="n"/>
      <c r="D198" s="128" t="n"/>
      <c r="E198" s="129" t="n"/>
      <c r="F198" s="127" t="n"/>
      <c r="G198" s="124">
        <f>IF($D198=0,0,ROUND($D198*$E198,2))</f>
        <v/>
      </c>
      <c r="H198" s="125">
        <f>IF($C198="","",CONCATENATE("Belge: ",$B198,"/",$C198," ",TEXT($D198,"#,##0")))</f>
        <v/>
      </c>
    </row>
    <row r="199" ht="15" customHeight="1" s="80">
      <c r="A199" s="126" t="n"/>
      <c r="B199" s="127" t="n"/>
      <c r="C199" s="127" t="n"/>
      <c r="D199" s="128" t="n"/>
      <c r="E199" s="129" t="n"/>
      <c r="F199" s="127" t="n"/>
      <c r="G199" s="124">
        <f>IF($D199=0,0,ROUND($D199*$E199,2))</f>
        <v/>
      </c>
      <c r="H199" s="125">
        <f>IF($C199="","",CONCATENATE("Belge: ",$B199,"/",$C199," ",TEXT($D199,"#,##0")))</f>
        <v/>
      </c>
    </row>
    <row r="200" ht="15" customHeight="1" s="80">
      <c r="A200" s="126" t="n"/>
      <c r="B200" s="127" t="n"/>
      <c r="C200" s="127" t="n"/>
      <c r="D200" s="128" t="n"/>
      <c r="E200" s="129" t="n"/>
      <c r="F200" s="127" t="n"/>
      <c r="G200" s="124">
        <f>IF($D200=0,0,ROUND($D200*$E200,2))</f>
        <v/>
      </c>
      <c r="H200" s="125">
        <f>IF($C200="","",CONCATENATE("Belge: ",$B200,"/",$C200," ",TEXT($D200,"#,##0")))</f>
        <v/>
      </c>
    </row>
    <row r="201" ht="15" customHeight="1" s="80">
      <c r="A201" s="126" t="n"/>
      <c r="B201" s="127" t="n"/>
      <c r="C201" s="127" t="n"/>
      <c r="D201" s="128" t="n"/>
      <c r="E201" s="129" t="n"/>
      <c r="F201" s="127" t="n"/>
      <c r="G201" s="124">
        <f>IF($D201=0,0,ROUND($D201*$E201,2))</f>
        <v/>
      </c>
      <c r="H201" s="125">
        <f>IF($C201="","",CONCATENATE("Belge: ",$B201,"/",$C201," ",TEXT($D201,"#,##0")))</f>
        <v/>
      </c>
    </row>
    <row r="202" ht="15" customHeight="1" s="80">
      <c r="A202" s="126" t="n"/>
      <c r="B202" s="127" t="n"/>
      <c r="C202" s="127" t="n"/>
      <c r="D202" s="128" t="n"/>
      <c r="E202" s="129" t="n"/>
      <c r="F202" s="127" t="n"/>
      <c r="G202" s="124">
        <f>IF($D202=0,0,ROUND($D202*$E202,2))</f>
        <v/>
      </c>
      <c r="H202" s="125">
        <f>IF($C202="","",CONCATENATE("Belge: ",$B202,"/",$C202," ",TEXT($D202,"#,##0")))</f>
        <v/>
      </c>
    </row>
    <row r="203" ht="15" customHeight="1" s="80">
      <c r="A203" s="126" t="n"/>
      <c r="B203" s="127" t="n"/>
      <c r="C203" s="127" t="n"/>
      <c r="D203" s="128" t="n"/>
      <c r="E203" s="129" t="n"/>
      <c r="F203" s="127" t="n"/>
      <c r="G203" s="124">
        <f>IF($D203=0,0,ROUND($D203*$E203,2))</f>
        <v/>
      </c>
      <c r="H203" s="125">
        <f>IF($C203="","",CONCATENATE("Belge: ",$B203,"/",$C203," ",TEXT($D203,"#,##0")))</f>
        <v/>
      </c>
    </row>
    <row r="204" ht="15" customHeight="1" s="80">
      <c r="A204" s="126" t="n"/>
      <c r="B204" s="127" t="n"/>
      <c r="C204" s="127" t="n"/>
      <c r="D204" s="128" t="n"/>
      <c r="E204" s="129" t="n"/>
      <c r="F204" s="127" t="n"/>
      <c r="G204" s="124">
        <f>IF($D204=0,0,ROUND($D204*$E204,2))</f>
        <v/>
      </c>
      <c r="H204" s="125">
        <f>IF($C204="","",CONCATENATE("Belge: ",$B204,"/",$C204," ",TEXT($D204,"#,##0")))</f>
        <v/>
      </c>
    </row>
    <row r="205" ht="15" customHeight="1" s="80">
      <c r="A205" s="126" t="n"/>
      <c r="B205" s="127" t="n"/>
      <c r="C205" s="127" t="n"/>
      <c r="D205" s="128" t="n"/>
      <c r="E205" s="129" t="n"/>
      <c r="F205" s="127" t="n"/>
      <c r="G205" s="124">
        <f>IF($D205=0,0,ROUND($D205*$E205,2))</f>
        <v/>
      </c>
      <c r="H205" s="125">
        <f>IF($C205="","",CONCATENATE("Belge: ",$B205,"/",$C205," ",TEXT($D205,"#,##0")))</f>
        <v/>
      </c>
    </row>
    <row r="206" ht="15" customHeight="1" s="80">
      <c r="A206" s="126" t="n"/>
      <c r="B206" s="127" t="n"/>
      <c r="C206" s="127" t="n"/>
      <c r="D206" s="128" t="n"/>
      <c r="E206" s="129" t="n"/>
      <c r="F206" s="127" t="n"/>
      <c r="G206" s="124">
        <f>IF($D206=0,0,ROUND($D206*$E206,2))</f>
        <v/>
      </c>
      <c r="H206" s="125">
        <f>IF($C206="","",CONCATENATE("Belge: ",$B206,"/",$C206," ",TEXT($D206,"#,##0")))</f>
        <v/>
      </c>
    </row>
    <row r="207" ht="15" customHeight="1" s="80">
      <c r="A207" s="126" t="n"/>
      <c r="B207" s="127" t="n"/>
      <c r="C207" s="127" t="n"/>
      <c r="D207" s="128" t="n"/>
      <c r="E207" s="129" t="n"/>
      <c r="F207" s="127" t="n"/>
      <c r="G207" s="124">
        <f>IF($D207=0,0,ROUND($D207*$E207,2))</f>
        <v/>
      </c>
      <c r="H207" s="125">
        <f>IF($C207="","",CONCATENATE("Belge: ",$B207,"/",$C207," ",TEXT($D207,"#,##0")))</f>
        <v/>
      </c>
    </row>
    <row r="208" ht="15" customHeight="1" s="80">
      <c r="A208" s="126" t="n"/>
      <c r="B208" s="127" t="n"/>
      <c r="C208" s="127" t="n"/>
      <c r="D208" s="128" t="n"/>
      <c r="E208" s="129" t="n"/>
      <c r="F208" s="127" t="n"/>
      <c r="G208" s="124">
        <f>IF($D208=0,0,ROUND($D208*$E208,2))</f>
        <v/>
      </c>
      <c r="H208" s="125">
        <f>IF($C208="","",CONCATENATE("Belge: ",$B208,"/",$C208," ",TEXT($D208,"#,##0")))</f>
        <v/>
      </c>
    </row>
    <row r="209" ht="15" customHeight="1" s="80">
      <c r="A209" s="126" t="n"/>
      <c r="B209" s="127" t="n"/>
      <c r="C209" s="127" t="n"/>
      <c r="D209" s="128" t="n"/>
      <c r="E209" s="129" t="n"/>
      <c r="F209" s="127" t="n"/>
      <c r="G209" s="124">
        <f>IF($D209=0,0,ROUND($D209*$E209,2))</f>
        <v/>
      </c>
      <c r="H209" s="125">
        <f>IF($C209="","",CONCATENATE("Belge: ",$B209,"/",$C209," ",TEXT($D209,"#,##0")))</f>
        <v/>
      </c>
    </row>
    <row r="210" ht="15" customHeight="1" s="80">
      <c r="A210" s="126" t="n"/>
      <c r="B210" s="127" t="n"/>
      <c r="C210" s="127" t="n"/>
      <c r="D210" s="128" t="n"/>
      <c r="E210" s="129" t="n"/>
      <c r="F210" s="127" t="n"/>
      <c r="G210" s="124">
        <f>IF($D210=0,0,ROUND($D210*$E210,2))</f>
        <v/>
      </c>
      <c r="H210" s="125">
        <f>IF($C210="","",CONCATENATE("Belge: ",$B210,"/",$C210," ",TEXT($D210,"#,##0")))</f>
        <v/>
      </c>
    </row>
    <row r="211" ht="15" customHeight="1" s="80">
      <c r="A211" s="126" t="n"/>
      <c r="B211" s="127" t="n"/>
      <c r="C211" s="127" t="n"/>
      <c r="D211" s="128" t="n"/>
      <c r="E211" s="129" t="n"/>
      <c r="F211" s="127" t="n"/>
      <c r="G211" s="124">
        <f>IF($D211=0,0,ROUND($D211*$E211,2))</f>
        <v/>
      </c>
      <c r="H211" s="125">
        <f>IF($C211="","",CONCATENATE("Belge: ",$B211,"/",$C211," ",TEXT($D211,"#,##0")))</f>
        <v/>
      </c>
    </row>
    <row r="212" ht="15" customHeight="1" s="80">
      <c r="A212" s="126" t="n"/>
      <c r="B212" s="127" t="n"/>
      <c r="C212" s="127" t="n"/>
      <c r="D212" s="128" t="n"/>
      <c r="E212" s="129" t="n"/>
      <c r="F212" s="127" t="n"/>
      <c r="G212" s="124">
        <f>IF($D212=0,0,ROUND($D212*$E212,2))</f>
        <v/>
      </c>
      <c r="H212" s="125">
        <f>IF($C212="","",CONCATENATE("Belge: ",$B212,"/",$C212," ",TEXT($D212,"#,##0")))</f>
        <v/>
      </c>
    </row>
    <row r="213" ht="15" customHeight="1" s="80">
      <c r="A213" s="126" t="n"/>
      <c r="B213" s="127" t="n"/>
      <c r="C213" s="127" t="n"/>
      <c r="D213" s="128" t="n"/>
      <c r="E213" s="129" t="n"/>
      <c r="F213" s="127" t="n"/>
      <c r="G213" s="124">
        <f>IF($D213=0,0,ROUND($D213*$E213,2))</f>
        <v/>
      </c>
      <c r="H213" s="125">
        <f>IF($C213="","",CONCATENATE("Belge: ",$B213,"/",$C213," ",TEXT($D213,"#,##0")))</f>
        <v/>
      </c>
    </row>
    <row r="214" ht="15" customHeight="1" s="80">
      <c r="A214" s="126" t="n"/>
      <c r="B214" s="127" t="n"/>
      <c r="C214" s="127" t="n"/>
      <c r="D214" s="128" t="n"/>
      <c r="E214" s="129" t="n"/>
      <c r="F214" s="127" t="n"/>
      <c r="G214" s="124">
        <f>IF($D214=0,0,ROUND($D214*$E214,2))</f>
        <v/>
      </c>
      <c r="H214" s="125">
        <f>IF($C214="","",CONCATENATE("Belge: ",$B214,"/",$C214," ",TEXT($D214,"#,##0")))</f>
        <v/>
      </c>
    </row>
    <row r="215" ht="15" customHeight="1" s="80">
      <c r="A215" s="126" t="n"/>
      <c r="B215" s="127" t="n"/>
      <c r="C215" s="127" t="n"/>
      <c r="D215" s="128" t="n"/>
      <c r="E215" s="129" t="n"/>
      <c r="F215" s="127" t="n"/>
      <c r="G215" s="124">
        <f>IF($D215=0,0,ROUND($D215*$E215,2))</f>
        <v/>
      </c>
      <c r="H215" s="125">
        <f>IF($C215="","",CONCATENATE("Belge: ",$B215,"/",$C215," ",TEXT($D215,"#,##0")))</f>
        <v/>
      </c>
    </row>
    <row r="216" ht="15" customHeight="1" s="80">
      <c r="A216" s="126" t="n"/>
      <c r="B216" s="127" t="n"/>
      <c r="C216" s="127" t="n"/>
      <c r="D216" s="128" t="n"/>
      <c r="E216" s="129" t="n"/>
      <c r="F216" s="127" t="n"/>
      <c r="G216" s="124">
        <f>IF($D216=0,0,ROUND($D216*$E216,2))</f>
        <v/>
      </c>
      <c r="H216" s="125">
        <f>IF($C216="","",CONCATENATE("Belge: ",$B216,"/",$C216," ",TEXT($D216,"#,##0")))</f>
        <v/>
      </c>
    </row>
    <row r="217" ht="15" customHeight="1" s="80">
      <c r="A217" s="126" t="n"/>
      <c r="B217" s="127" t="n"/>
      <c r="C217" s="127" t="n"/>
      <c r="D217" s="128" t="n"/>
      <c r="E217" s="129" t="n"/>
      <c r="F217" s="127" t="n"/>
      <c r="G217" s="124">
        <f>IF($D217=0,0,ROUND($D217*$E217,2))</f>
        <v/>
      </c>
      <c r="H217" s="125">
        <f>IF($C217="","",CONCATENATE("Belge: ",$B217,"/",$C217," ",TEXT($D217,"#,##0")))</f>
        <v/>
      </c>
    </row>
    <row r="218" ht="15" customHeight="1" s="80">
      <c r="A218" s="126" t="n"/>
      <c r="B218" s="127" t="n"/>
      <c r="C218" s="127" t="n"/>
      <c r="D218" s="128" t="n"/>
      <c r="E218" s="129" t="n"/>
      <c r="F218" s="127" t="n"/>
      <c r="G218" s="124">
        <f>IF($D218=0,0,ROUND($D218*$E218,2))</f>
        <v/>
      </c>
      <c r="H218" s="125">
        <f>IF($C218="","",CONCATENATE("Belge: ",$B218,"/",$C218," ",TEXT($D218,"#,##0")))</f>
        <v/>
      </c>
    </row>
    <row r="219" ht="15" customHeight="1" s="80">
      <c r="A219" s="126" t="n"/>
      <c r="B219" s="127" t="n"/>
      <c r="C219" s="127" t="n"/>
      <c r="D219" s="128" t="n"/>
      <c r="E219" s="129" t="n"/>
      <c r="F219" s="127" t="n"/>
      <c r="G219" s="124">
        <f>IF($D219=0,0,ROUND($D219*$E219,2))</f>
        <v/>
      </c>
      <c r="H219" s="125">
        <f>IF($C219="","",CONCATENATE("Belge: ",$B219,"/",$C219," ",TEXT($D219,"#,##0")))</f>
        <v/>
      </c>
    </row>
    <row r="220" ht="15" customHeight="1" s="80">
      <c r="A220" s="126" t="n"/>
      <c r="B220" s="127" t="n"/>
      <c r="C220" s="127" t="n"/>
      <c r="D220" s="128" t="n"/>
      <c r="E220" s="129" t="n"/>
      <c r="F220" s="127" t="n"/>
      <c r="G220" s="124">
        <f>IF($D220=0,0,ROUND($D220*$E220,2))</f>
        <v/>
      </c>
      <c r="H220" s="125">
        <f>IF($C220="","",CONCATENATE("Belge: ",$B220,"/",$C220," ",TEXT($D220,"#,##0")))</f>
        <v/>
      </c>
    </row>
    <row r="221" ht="15" customHeight="1" s="80">
      <c r="A221" s="126" t="n"/>
      <c r="B221" s="127" t="n"/>
      <c r="C221" s="127" t="n"/>
      <c r="D221" s="128" t="n"/>
      <c r="E221" s="129" t="n"/>
      <c r="F221" s="127" t="n"/>
      <c r="G221" s="124">
        <f>IF($D221=0,0,ROUND($D221*$E221,2))</f>
        <v/>
      </c>
      <c r="H221" s="125">
        <f>IF($C221="","",CONCATENATE("Belge: ",$B221,"/",$C221," ",TEXT($D221,"#,##0")))</f>
        <v/>
      </c>
    </row>
    <row r="222" ht="15" customHeight="1" s="80">
      <c r="A222" s="126" t="n"/>
      <c r="B222" s="127" t="n"/>
      <c r="C222" s="127" t="n"/>
      <c r="D222" s="128" t="n"/>
      <c r="E222" s="129" t="n"/>
      <c r="F222" s="127" t="n"/>
      <c r="G222" s="124">
        <f>IF($D222=0,0,ROUND($D222*$E222,2))</f>
        <v/>
      </c>
      <c r="H222" s="125">
        <f>IF($C222="","",CONCATENATE("Belge: ",$B222,"/",$C222," ",TEXT($D222,"#,##0")))</f>
        <v/>
      </c>
    </row>
    <row r="223" ht="15" customHeight="1" s="80">
      <c r="A223" s="126" t="n"/>
      <c r="B223" s="127" t="n"/>
      <c r="C223" s="127" t="n"/>
      <c r="D223" s="128" t="n"/>
      <c r="E223" s="129" t="n"/>
      <c r="F223" s="127" t="n"/>
      <c r="G223" s="124">
        <f>IF($D223=0,0,ROUND($D223*$E223,2))</f>
        <v/>
      </c>
      <c r="H223" s="125">
        <f>IF($C223="","",CONCATENATE("Belge: ",$B223,"/",$C223," ",TEXT($D223,"#,##0")))</f>
        <v/>
      </c>
    </row>
    <row r="224" ht="15" customHeight="1" s="80">
      <c r="A224" s="126" t="n"/>
      <c r="B224" s="127" t="n"/>
      <c r="C224" s="127" t="n"/>
      <c r="D224" s="128" t="n"/>
      <c r="E224" s="129" t="n"/>
      <c r="F224" s="127" t="n"/>
      <c r="G224" s="124">
        <f>IF($D224=0,0,ROUND($D224*$E224,2))</f>
        <v/>
      </c>
      <c r="H224" s="125">
        <f>IF($C224="","",CONCATENATE("Belge: ",$B224,"/",$C224," ",TEXT($D224,"#,##0")))</f>
        <v/>
      </c>
    </row>
    <row r="225" ht="15" customHeight="1" s="80">
      <c r="A225" s="126" t="n"/>
      <c r="B225" s="127" t="n"/>
      <c r="C225" s="127" t="n"/>
      <c r="D225" s="128" t="n"/>
      <c r="E225" s="129" t="n"/>
      <c r="F225" s="127" t="n"/>
      <c r="G225" s="124">
        <f>IF($D225=0,0,ROUND($D225*$E225,2))</f>
        <v/>
      </c>
      <c r="H225" s="125">
        <f>IF($C225="","",CONCATENATE("Belge: ",$B225,"/",$C225," ",TEXT($D225,"#,##0")))</f>
        <v/>
      </c>
    </row>
    <row r="226" ht="15" customHeight="1" s="80">
      <c r="A226" s="126" t="n"/>
      <c r="B226" s="127" t="n"/>
      <c r="C226" s="127" t="n"/>
      <c r="D226" s="128" t="n"/>
      <c r="E226" s="129" t="n"/>
      <c r="F226" s="127" t="n"/>
      <c r="G226" s="124">
        <f>IF($D226=0,0,ROUND($D226*$E226,2))</f>
        <v/>
      </c>
      <c r="H226" s="125">
        <f>IF($C226="","",CONCATENATE("Belge: ",$B226,"/",$C226," ",TEXT($D226,"#,##0")))</f>
        <v/>
      </c>
    </row>
    <row r="227" ht="15" customHeight="1" s="80">
      <c r="A227" s="126" t="n"/>
      <c r="B227" s="127" t="n"/>
      <c r="C227" s="127" t="n"/>
      <c r="D227" s="128" t="n"/>
      <c r="E227" s="129" t="n"/>
      <c r="F227" s="127" t="n"/>
      <c r="G227" s="124">
        <f>IF($D227=0,0,ROUND($D227*$E227,2))</f>
        <v/>
      </c>
      <c r="H227" s="125">
        <f>IF($C227="","",CONCATENATE("Belge: ",$B227,"/",$C227," ",TEXT($D227,"#,##0")))</f>
        <v/>
      </c>
    </row>
    <row r="228" ht="15" customHeight="1" s="80">
      <c r="A228" s="126" t="n"/>
      <c r="B228" s="127" t="n"/>
      <c r="C228" s="127" t="n"/>
      <c r="D228" s="128" t="n"/>
      <c r="E228" s="129" t="n"/>
      <c r="F228" s="127" t="n"/>
      <c r="G228" s="124">
        <f>IF($D228=0,0,ROUND($D228*$E228,2))</f>
        <v/>
      </c>
      <c r="H228" s="125">
        <f>IF($C228="","",CONCATENATE("Belge: ",$B228,"/",$C228," ",TEXT($D228,"#,##0")))</f>
        <v/>
      </c>
    </row>
    <row r="229" ht="15" customHeight="1" s="80">
      <c r="A229" s="126" t="n"/>
      <c r="B229" s="127" t="n"/>
      <c r="C229" s="127" t="n"/>
      <c r="D229" s="128" t="n"/>
      <c r="E229" s="129" t="n"/>
      <c r="F229" s="127" t="n"/>
      <c r="G229" s="124">
        <f>IF($D229=0,0,ROUND($D229*$E229,2))</f>
        <v/>
      </c>
      <c r="H229" s="125">
        <f>IF($C229="","",CONCATENATE("Belge: ",$B229,"/",$C229," ",TEXT($D229,"#,##0")))</f>
        <v/>
      </c>
    </row>
    <row r="230" ht="15" customHeight="1" s="80">
      <c r="A230" s="126" t="n"/>
      <c r="B230" s="127" t="n"/>
      <c r="C230" s="127" t="n"/>
      <c r="D230" s="128" t="n"/>
      <c r="E230" s="129" t="n"/>
      <c r="F230" s="127" t="n"/>
      <c r="G230" s="124">
        <f>IF($D230=0,0,ROUND($D230*$E230,2))</f>
        <v/>
      </c>
      <c r="H230" s="125">
        <f>IF($C230="","",CONCATENATE("Belge: ",$B230,"/",$C230," ",TEXT($D230,"#,##0")))</f>
        <v/>
      </c>
    </row>
    <row r="231" ht="15" customHeight="1" s="80">
      <c r="A231" s="126" t="n"/>
      <c r="B231" s="127" t="n"/>
      <c r="C231" s="127" t="n"/>
      <c r="D231" s="128" t="n"/>
      <c r="E231" s="129" t="n"/>
      <c r="F231" s="127" t="n"/>
      <c r="G231" s="124">
        <f>IF($D231=0,0,ROUND($D231*$E231,2))</f>
        <v/>
      </c>
      <c r="H231" s="125">
        <f>IF($C231="","",CONCATENATE("Belge: ",$B231,"/",$C231," ",TEXT($D231,"#,##0")))</f>
        <v/>
      </c>
    </row>
    <row r="232" ht="15" customHeight="1" s="80">
      <c r="A232" s="126" t="n"/>
      <c r="B232" s="127" t="n"/>
      <c r="C232" s="127" t="n"/>
      <c r="D232" s="128" t="n"/>
      <c r="E232" s="129" t="n"/>
      <c r="F232" s="127" t="n"/>
      <c r="G232" s="124">
        <f>IF($D232=0,0,ROUND($D232*$E232,2))</f>
        <v/>
      </c>
      <c r="H232" s="125">
        <f>IF($C232="","",CONCATENATE("Belge: ",$B232,"/",$C232," ",TEXT($D232,"#,##0")))</f>
        <v/>
      </c>
    </row>
    <row r="233" ht="15" customHeight="1" s="80">
      <c r="A233" s="126" t="n"/>
      <c r="B233" s="127" t="n"/>
      <c r="C233" s="127" t="n"/>
      <c r="D233" s="128" t="n"/>
      <c r="E233" s="129" t="n"/>
      <c r="F233" s="127" t="n"/>
      <c r="G233" s="124">
        <f>IF($D233=0,0,ROUND($D233*$E233,2))</f>
        <v/>
      </c>
      <c r="H233" s="125">
        <f>IF($C233="","",CONCATENATE("Belge: ",$B233,"/",$C233," ",TEXT($D233,"#,##0")))</f>
        <v/>
      </c>
    </row>
    <row r="234" ht="15" customHeight="1" s="80">
      <c r="A234" s="126" t="n"/>
      <c r="B234" s="127" t="n"/>
      <c r="C234" s="127" t="n"/>
      <c r="D234" s="128" t="n"/>
      <c r="E234" s="129" t="n"/>
      <c r="F234" s="127" t="n"/>
      <c r="G234" s="124">
        <f>IF($D234=0,0,ROUND($D234*$E234,2))</f>
        <v/>
      </c>
      <c r="H234" s="125">
        <f>IF($C234="","",CONCATENATE("Belge: ",$B234,"/",$C234," ",TEXT($D234,"#,##0")))</f>
        <v/>
      </c>
    </row>
    <row r="235" ht="15" customHeight="1" s="80">
      <c r="A235" s="126" t="n"/>
      <c r="B235" s="127" t="n"/>
      <c r="C235" s="127" t="n"/>
      <c r="D235" s="128" t="n"/>
      <c r="E235" s="129" t="n"/>
      <c r="F235" s="127" t="n"/>
      <c r="G235" s="124">
        <f>IF($D235=0,0,ROUND($D235*$E235,2))</f>
        <v/>
      </c>
      <c r="H235" s="125">
        <f>IF($C235="","",CONCATENATE("Belge: ",$B235,"/",$C235," ",TEXT($D235,"#,##0")))</f>
        <v/>
      </c>
    </row>
    <row r="236" ht="15" customHeight="1" s="80">
      <c r="A236" s="126" t="n"/>
      <c r="B236" s="127" t="n"/>
      <c r="C236" s="127" t="n"/>
      <c r="D236" s="128" t="n"/>
      <c r="E236" s="129" t="n"/>
      <c r="F236" s="127" t="n"/>
      <c r="G236" s="124">
        <f>IF($D236=0,0,ROUND($D236*$E236,2))</f>
        <v/>
      </c>
      <c r="H236" s="125">
        <f>IF($C236="","",CONCATENATE("Belge: ",$B236,"/",$C236," ",TEXT($D236,"#,##0")))</f>
        <v/>
      </c>
    </row>
    <row r="237" ht="15" customHeight="1" s="80">
      <c r="A237" s="126" t="n"/>
      <c r="B237" s="127" t="n"/>
      <c r="C237" s="127" t="n"/>
      <c r="D237" s="128" t="n"/>
      <c r="E237" s="129" t="n"/>
      <c r="F237" s="127" t="n"/>
      <c r="G237" s="124">
        <f>IF($D237=0,0,ROUND($D237*$E237,2))</f>
        <v/>
      </c>
      <c r="H237" s="125">
        <f>IF($C237="","",CONCATENATE("Belge: ",$B237,"/",$C237," ",TEXT($D237,"#,##0")))</f>
        <v/>
      </c>
    </row>
    <row r="238" ht="15" customHeight="1" s="80">
      <c r="A238" s="126" t="n"/>
      <c r="B238" s="127" t="n"/>
      <c r="C238" s="127" t="n"/>
      <c r="D238" s="128" t="n"/>
      <c r="E238" s="129" t="n"/>
      <c r="F238" s="127" t="n"/>
      <c r="G238" s="124">
        <f>IF($D238=0,0,ROUND($D238*$E238,2))</f>
        <v/>
      </c>
      <c r="H238" s="125">
        <f>IF($C238="","",CONCATENATE("Belge: ",$B238,"/",$C238," ",TEXT($D238,"#,##0")))</f>
        <v/>
      </c>
    </row>
    <row r="239" ht="15" customHeight="1" s="80">
      <c r="A239" s="126" t="n"/>
      <c r="B239" s="127" t="n"/>
      <c r="C239" s="127" t="n"/>
      <c r="D239" s="128" t="n"/>
      <c r="E239" s="129" t="n"/>
      <c r="F239" s="127" t="n"/>
      <c r="G239" s="124">
        <f>IF($D239=0,0,ROUND($D239*$E239,2))</f>
        <v/>
      </c>
      <c r="H239" s="125">
        <f>IF($C239="","",CONCATENATE("Belge: ",$B239,"/",$C239," ",TEXT($D239,"#,##0")))</f>
        <v/>
      </c>
    </row>
    <row r="240" ht="15" customHeight="1" s="80">
      <c r="A240" s="126" t="n"/>
      <c r="B240" s="127" t="n"/>
      <c r="C240" s="127" t="n"/>
      <c r="D240" s="128" t="n"/>
      <c r="E240" s="129" t="n"/>
      <c r="F240" s="127" t="n"/>
      <c r="G240" s="124">
        <f>IF($D240=0,0,ROUND($D240*$E240,2))</f>
        <v/>
      </c>
      <c r="H240" s="125">
        <f>IF($C240="","",CONCATENATE("Belge: ",$B240,"/",$C240," ",TEXT($D240,"#,##0")))</f>
        <v/>
      </c>
    </row>
    <row r="241" ht="15" customHeight="1" s="80">
      <c r="A241" s="126" t="n"/>
      <c r="B241" s="127" t="n"/>
      <c r="C241" s="127" t="n"/>
      <c r="D241" s="128" t="n"/>
      <c r="E241" s="129" t="n"/>
      <c r="F241" s="127" t="n"/>
      <c r="G241" s="124">
        <f>IF($D241=0,0,ROUND($D241*$E241,2))</f>
        <v/>
      </c>
      <c r="H241" s="125">
        <f>IF($C241="","",CONCATENATE("Belge: ",$B241,"/",$C241," ",TEXT($D241,"#,##0")))</f>
        <v/>
      </c>
    </row>
    <row r="242" ht="15" customHeight="1" s="80">
      <c r="A242" s="126" t="n"/>
      <c r="B242" s="127" t="n"/>
      <c r="C242" s="127" t="n"/>
      <c r="D242" s="128" t="n"/>
      <c r="E242" s="129" t="n"/>
      <c r="F242" s="127" t="n"/>
      <c r="G242" s="124">
        <f>IF($D242=0,0,ROUND($D242*$E242,2))</f>
        <v/>
      </c>
      <c r="H242" s="125">
        <f>IF($C242="","",CONCATENATE("Belge: ",$B242,"/",$C242," ",TEXT($D242,"#,##0")))</f>
        <v/>
      </c>
    </row>
    <row r="243" ht="15" customHeight="1" s="80">
      <c r="A243" s="126" t="n"/>
      <c r="B243" s="127" t="n"/>
      <c r="C243" s="127" t="n"/>
      <c r="D243" s="128" t="n"/>
      <c r="E243" s="129" t="n"/>
      <c r="F243" s="127" t="n"/>
      <c r="G243" s="124">
        <f>IF($D243=0,0,ROUND($D243*$E243,2))</f>
        <v/>
      </c>
      <c r="H243" s="125">
        <f>IF($C243="","",CONCATENATE("Belge: ",$B243,"/",$C243," ",TEXT($D243,"#,##0")))</f>
        <v/>
      </c>
    </row>
    <row r="244" ht="15" customHeight="1" s="80">
      <c r="A244" s="126" t="n"/>
      <c r="B244" s="127" t="n"/>
      <c r="C244" s="127" t="n"/>
      <c r="D244" s="128" t="n"/>
      <c r="E244" s="129" t="n"/>
      <c r="F244" s="127" t="n"/>
      <c r="G244" s="124">
        <f>IF($D244=0,0,ROUND($D244*$E244,2))</f>
        <v/>
      </c>
      <c r="H244" s="125">
        <f>IF($C244="","",CONCATENATE("Belge: ",$B244,"/",$C244," ",TEXT($D244,"#,##0")))</f>
        <v/>
      </c>
    </row>
    <row r="245" ht="15" customHeight="1" s="80">
      <c r="A245" s="126" t="n"/>
      <c r="B245" s="127" t="n"/>
      <c r="C245" s="127" t="n"/>
      <c r="D245" s="128" t="n"/>
      <c r="E245" s="129" t="n"/>
      <c r="F245" s="127" t="n"/>
      <c r="G245" s="124">
        <f>IF($D245=0,0,ROUND($D245*$E245,2))</f>
        <v/>
      </c>
      <c r="H245" s="125">
        <f>IF($C245="","",CONCATENATE("Belge: ",$B245,"/",$C245," ",TEXT($D245,"#,##0")))</f>
        <v/>
      </c>
    </row>
    <row r="246" ht="15" customHeight="1" s="80">
      <c r="A246" s="126" t="n"/>
      <c r="B246" s="127" t="n"/>
      <c r="C246" s="127" t="n"/>
      <c r="D246" s="128" t="n"/>
      <c r="E246" s="129" t="n"/>
      <c r="F246" s="127" t="n"/>
      <c r="G246" s="124">
        <f>IF($D246=0,0,ROUND($D246*$E246,2))</f>
        <v/>
      </c>
      <c r="H246" s="125">
        <f>IF($C246="","",CONCATENATE("Belge: ",$B246,"/",$C246," ",TEXT($D246,"#,##0")))</f>
        <v/>
      </c>
    </row>
    <row r="247" ht="15" customHeight="1" s="80">
      <c r="A247" s="126" t="n"/>
      <c r="B247" s="127" t="n"/>
      <c r="C247" s="127" t="n"/>
      <c r="D247" s="128" t="n"/>
      <c r="E247" s="129" t="n"/>
      <c r="F247" s="127" t="n"/>
      <c r="G247" s="124">
        <f>IF($D247=0,0,ROUND($D247*$E247,2))</f>
        <v/>
      </c>
      <c r="H247" s="125">
        <f>IF($C247="","",CONCATENATE("Belge: ",$B247,"/",$C247," ",TEXT($D247,"#,##0")))</f>
        <v/>
      </c>
    </row>
    <row r="248" ht="15" customHeight="1" s="80">
      <c r="A248" s="126" t="n"/>
      <c r="B248" s="127" t="n"/>
      <c r="C248" s="127" t="n"/>
      <c r="D248" s="128" t="n"/>
      <c r="E248" s="129" t="n"/>
      <c r="F248" s="127" t="n"/>
      <c r="G248" s="124">
        <f>IF($D248=0,0,ROUND($D248*$E248,2))</f>
        <v/>
      </c>
      <c r="H248" s="125">
        <f>IF($C248="","",CONCATENATE("Belge: ",$B248,"/",$C248," ",TEXT($D248,"#,##0")))</f>
        <v/>
      </c>
    </row>
    <row r="249" ht="15" customHeight="1" s="80">
      <c r="A249" s="126" t="n"/>
      <c r="B249" s="127" t="n"/>
      <c r="C249" s="127" t="n"/>
      <c r="D249" s="128" t="n"/>
      <c r="E249" s="129" t="n"/>
      <c r="F249" s="127" t="n"/>
      <c r="G249" s="124">
        <f>IF($D249=0,0,ROUND($D249*$E249,2))</f>
        <v/>
      </c>
      <c r="H249" s="125">
        <f>IF($C249="","",CONCATENATE("Belge: ",$B249,"/",$C249," ",TEXT($D249,"#,##0")))</f>
        <v/>
      </c>
    </row>
    <row r="250" ht="15" customHeight="1" s="80">
      <c r="A250" s="126" t="n"/>
      <c r="B250" s="127" t="n"/>
      <c r="C250" s="127" t="n"/>
      <c r="D250" s="128" t="n"/>
      <c r="E250" s="129" t="n"/>
      <c r="F250" s="127" t="n"/>
      <c r="G250" s="124">
        <f>IF($D250=0,0,ROUND($D250*$E250,2))</f>
        <v/>
      </c>
      <c r="H250" s="125">
        <f>IF($C250="","",CONCATENATE("Belge: ",$B250,"/",$C250," ",TEXT($D250,"#,##0")))</f>
        <v/>
      </c>
    </row>
    <row r="251" ht="15" customHeight="1" s="80">
      <c r="A251" s="126" t="n"/>
      <c r="B251" s="127" t="n"/>
      <c r="C251" s="127" t="n"/>
      <c r="D251" s="128" t="n"/>
      <c r="E251" s="129" t="n"/>
      <c r="F251" s="127" t="n"/>
      <c r="G251" s="124">
        <f>IF($D251=0,0,ROUND($D251*$E251,2))</f>
        <v/>
      </c>
      <c r="H251" s="125">
        <f>IF($C251="","",CONCATENATE("Belge: ",$B251,"/",$C251," ",TEXT($D251,"#,##0")))</f>
        <v/>
      </c>
    </row>
    <row r="252" ht="15" customHeight="1" s="80">
      <c r="A252" s="126" t="n"/>
      <c r="B252" s="127" t="n"/>
      <c r="C252" s="127" t="n"/>
      <c r="D252" s="128" t="n"/>
      <c r="E252" s="129" t="n"/>
      <c r="F252" s="127" t="n"/>
      <c r="G252" s="124">
        <f>IF($D252=0,0,ROUND($D252*$E252,2))</f>
        <v/>
      </c>
      <c r="H252" s="125">
        <f>IF($C252="","",CONCATENATE("Belge: ",$B252,"/",$C252," ",TEXT($D252,"#,##0")))</f>
        <v/>
      </c>
    </row>
    <row r="253" ht="15" customHeight="1" s="80">
      <c r="A253" s="126" t="n"/>
      <c r="B253" s="127" t="n"/>
      <c r="C253" s="127" t="n"/>
      <c r="D253" s="128" t="n"/>
      <c r="E253" s="129" t="n"/>
      <c r="F253" s="127" t="n"/>
      <c r="G253" s="124">
        <f>IF($D253=0,0,ROUND($D253*$E253,2))</f>
        <v/>
      </c>
      <c r="H253" s="125">
        <f>IF($C253="","",CONCATENATE("Belge: ",$B253,"/",$C253," ",TEXT($D253,"#,##0")))</f>
        <v/>
      </c>
    </row>
    <row r="254" ht="15" customHeight="1" s="80">
      <c r="A254" s="126" t="n"/>
      <c r="B254" s="127" t="n"/>
      <c r="C254" s="127" t="n"/>
      <c r="D254" s="128" t="n"/>
      <c r="E254" s="129" t="n"/>
      <c r="F254" s="127" t="n"/>
      <c r="G254" s="124">
        <f>IF($D254=0,0,ROUND($D254*$E254,2))</f>
        <v/>
      </c>
      <c r="H254" s="125">
        <f>IF($C254="","",CONCATENATE("Belge: ",$B254,"/",$C254," ",TEXT($D254,"#,##0")))</f>
        <v/>
      </c>
    </row>
    <row r="255" ht="15" customHeight="1" s="80">
      <c r="A255" s="126" t="n"/>
      <c r="B255" s="127" t="n"/>
      <c r="C255" s="127" t="n"/>
      <c r="D255" s="128" t="n"/>
      <c r="E255" s="129" t="n"/>
      <c r="F255" s="127" t="n"/>
      <c r="G255" s="124">
        <f>IF($D255=0,0,ROUND($D255*$E255,2))</f>
        <v/>
      </c>
      <c r="H255" s="125">
        <f>IF($C255="","",CONCATENATE("Belge: ",$B255,"/",$C255," ",TEXT($D255,"#,##0")))</f>
        <v/>
      </c>
    </row>
    <row r="256" ht="15" customHeight="1" s="80">
      <c r="A256" s="126" t="n"/>
      <c r="B256" s="127" t="n"/>
      <c r="C256" s="127" t="n"/>
      <c r="D256" s="128" t="n"/>
      <c r="E256" s="129" t="n"/>
      <c r="F256" s="127" t="n"/>
      <c r="G256" s="124">
        <f>IF($D256=0,0,ROUND($D256*$E256,2))</f>
        <v/>
      </c>
      <c r="H256" s="125">
        <f>IF($C256="","",CONCATENATE("Belge: ",$B256,"/",$C256," ",TEXT($D256,"#,##0")))</f>
        <v/>
      </c>
    </row>
    <row r="257" ht="15" customHeight="1" s="80">
      <c r="A257" s="126" t="n"/>
      <c r="B257" s="127" t="n"/>
      <c r="C257" s="127" t="n"/>
      <c r="D257" s="128" t="n"/>
      <c r="E257" s="129" t="n"/>
      <c r="F257" s="127" t="n"/>
      <c r="G257" s="124">
        <f>IF($D257=0,0,ROUND($D257*$E257,2))</f>
        <v/>
      </c>
      <c r="H257" s="125">
        <f>IF($C257="","",CONCATENATE("Belge: ",$B257,"/",$C257," ",TEXT($D257,"#,##0")))</f>
        <v/>
      </c>
    </row>
    <row r="258" ht="15" customHeight="1" s="80">
      <c r="A258" s="126" t="n"/>
      <c r="B258" s="127" t="n"/>
      <c r="C258" s="127" t="n"/>
      <c r="D258" s="128" t="n"/>
      <c r="E258" s="129" t="n"/>
      <c r="F258" s="127" t="n"/>
      <c r="G258" s="124">
        <f>IF($D258=0,0,ROUND($D258*$E258,2))</f>
        <v/>
      </c>
      <c r="H258" s="125">
        <f>IF($C258="","",CONCATENATE("Belge: ",$B258,"/",$C258," ",TEXT($D258,"#,##0")))</f>
        <v/>
      </c>
    </row>
    <row r="259" ht="15" customHeight="1" s="80">
      <c r="A259" s="126" t="n"/>
      <c r="B259" s="127" t="n"/>
      <c r="C259" s="127" t="n"/>
      <c r="D259" s="128" t="n"/>
      <c r="E259" s="129" t="n"/>
      <c r="F259" s="127" t="n"/>
      <c r="G259" s="124">
        <f>IF($D259=0,0,ROUND($D259*$E259,2))</f>
        <v/>
      </c>
      <c r="H259" s="125">
        <f>IF($C259="","",CONCATENATE("Belge: ",$B259,"/",$C259," ",TEXT($D259,"#,##0")))</f>
        <v/>
      </c>
    </row>
    <row r="260" ht="15" customHeight="1" s="80">
      <c r="A260" s="126" t="n"/>
      <c r="B260" s="127" t="n"/>
      <c r="C260" s="127" t="n"/>
      <c r="D260" s="128" t="n"/>
      <c r="E260" s="129" t="n"/>
      <c r="F260" s="127" t="n"/>
      <c r="G260" s="124">
        <f>IF($D260=0,0,ROUND($D260*$E260,2))</f>
        <v/>
      </c>
      <c r="H260" s="125">
        <f>IF($C260="","",CONCATENATE("Belge: ",$B260,"/",$C260," ",TEXT($D260,"#,##0")))</f>
        <v/>
      </c>
    </row>
    <row r="261" ht="15" customHeight="1" s="80">
      <c r="A261" s="126" t="n"/>
      <c r="B261" s="127" t="n"/>
      <c r="C261" s="127" t="n"/>
      <c r="D261" s="128" t="n"/>
      <c r="E261" s="129" t="n"/>
      <c r="F261" s="127" t="n"/>
      <c r="G261" s="124">
        <f>IF($D261=0,0,ROUND($D261*$E261,2))</f>
        <v/>
      </c>
      <c r="H261" s="125">
        <f>IF($C261="","",CONCATENATE("Belge: ",$B261,"/",$C261," ",TEXT($D261,"#,##0")))</f>
        <v/>
      </c>
    </row>
    <row r="262" ht="15" customHeight="1" s="80">
      <c r="A262" s="126" t="n"/>
      <c r="B262" s="127" t="n"/>
      <c r="C262" s="127" t="n"/>
      <c r="D262" s="128" t="n"/>
      <c r="E262" s="129" t="n"/>
      <c r="F262" s="127" t="n"/>
      <c r="G262" s="124">
        <f>IF($D262=0,0,ROUND($D262*$E262,2))</f>
        <v/>
      </c>
      <c r="H262" s="125">
        <f>IF($C262="","",CONCATENATE("Belge: ",$B262,"/",$C262," ",TEXT($D262,"#,##0")))</f>
        <v/>
      </c>
    </row>
    <row r="263" ht="15" customHeight="1" s="80">
      <c r="A263" s="126" t="n"/>
      <c r="B263" s="127" t="n"/>
      <c r="C263" s="127" t="n"/>
      <c r="D263" s="128" t="n"/>
      <c r="E263" s="129" t="n"/>
      <c r="F263" s="127" t="n"/>
      <c r="G263" s="124">
        <f>IF($D263=0,0,ROUND($D263*$E263,2))</f>
        <v/>
      </c>
      <c r="H263" s="125">
        <f>IF($C263="","",CONCATENATE("Belge: ",$B263,"/",$C263," ",TEXT($D263,"#,##0")))</f>
        <v/>
      </c>
    </row>
    <row r="264" ht="15" customHeight="1" s="80">
      <c r="A264" s="126" t="n"/>
      <c r="B264" s="127" t="n"/>
      <c r="C264" s="127" t="n"/>
      <c r="D264" s="128" t="n"/>
      <c r="E264" s="129" t="n"/>
      <c r="F264" s="127" t="n"/>
      <c r="G264" s="124">
        <f>IF($D264=0,0,ROUND($D264*$E264,2))</f>
        <v/>
      </c>
      <c r="H264" s="125">
        <f>IF($C264="","",CONCATENATE("Belge: ",$B264,"/",$C264," ",TEXT($D264,"#,##0")))</f>
        <v/>
      </c>
    </row>
    <row r="265" ht="15" customHeight="1" s="80">
      <c r="A265" s="126" t="n"/>
      <c r="B265" s="127" t="n"/>
      <c r="C265" s="127" t="n"/>
      <c r="D265" s="128" t="n"/>
      <c r="E265" s="129" t="n"/>
      <c r="F265" s="127" t="n"/>
      <c r="G265" s="124">
        <f>IF($D265=0,0,ROUND($D265*$E265,2))</f>
        <v/>
      </c>
      <c r="H265" s="125">
        <f>IF($C265="","",CONCATENATE("Belge: ",$B265,"/",$C265," ",TEXT($D265,"#,##0")))</f>
        <v/>
      </c>
    </row>
    <row r="266" ht="15" customHeight="1" s="80">
      <c r="A266" s="126" t="n"/>
      <c r="B266" s="127" t="n"/>
      <c r="C266" s="127" t="n"/>
      <c r="D266" s="128" t="n"/>
      <c r="E266" s="129" t="n"/>
      <c r="F266" s="127" t="n"/>
      <c r="G266" s="124">
        <f>IF($D266=0,0,ROUND($D266*$E266,2))</f>
        <v/>
      </c>
      <c r="H266" s="125">
        <f>IF($C266="","",CONCATENATE("Belge: ",$B266,"/",$C266," ",TEXT($D266,"#,##0")))</f>
        <v/>
      </c>
    </row>
    <row r="267" ht="15" customHeight="1" s="80">
      <c r="A267" s="126" t="n"/>
      <c r="B267" s="127" t="n"/>
      <c r="C267" s="127" t="n"/>
      <c r="D267" s="128" t="n"/>
      <c r="E267" s="129" t="n"/>
      <c r="F267" s="127" t="n"/>
      <c r="G267" s="124">
        <f>IF($D267=0,0,ROUND($D267*$E267,2))</f>
        <v/>
      </c>
      <c r="H267" s="125">
        <f>IF($C267="","",CONCATENATE("Belge: ",$B267,"/",$C267," ",TEXT($D267,"#,##0")))</f>
        <v/>
      </c>
    </row>
    <row r="268" ht="15" customHeight="1" s="80">
      <c r="A268" s="126" t="n"/>
      <c r="B268" s="127" t="n"/>
      <c r="C268" s="127" t="n"/>
      <c r="D268" s="128" t="n"/>
      <c r="E268" s="129" t="n"/>
      <c r="F268" s="127" t="n"/>
      <c r="G268" s="124">
        <f>IF($D268=0,0,ROUND($D268*$E268,2))</f>
        <v/>
      </c>
      <c r="H268" s="125">
        <f>IF($C268="","",CONCATENATE("Belge: ",$B268,"/",$C268," ",TEXT($D268,"#,##0")))</f>
        <v/>
      </c>
    </row>
    <row r="269" ht="15" customHeight="1" s="80">
      <c r="A269" s="126" t="n"/>
      <c r="B269" s="127" t="n"/>
      <c r="C269" s="127" t="n"/>
      <c r="D269" s="128" t="n"/>
      <c r="E269" s="129" t="n"/>
      <c r="F269" s="127" t="n"/>
      <c r="G269" s="124">
        <f>IF($D269=0,0,ROUND($D269*$E269,2))</f>
        <v/>
      </c>
      <c r="H269" s="125">
        <f>IF($C269="","",CONCATENATE("Belge: ",$B269,"/",$C269," ",TEXT($D269,"#,##0")))</f>
        <v/>
      </c>
    </row>
    <row r="270" ht="15" customHeight="1" s="80">
      <c r="A270" s="126" t="n"/>
      <c r="B270" s="127" t="n"/>
      <c r="C270" s="127" t="n"/>
      <c r="D270" s="128" t="n"/>
      <c r="E270" s="129" t="n"/>
      <c r="F270" s="127" t="n"/>
      <c r="G270" s="124">
        <f>IF($D270=0,0,ROUND($D270*$E270,2))</f>
        <v/>
      </c>
      <c r="H270" s="125">
        <f>IF($C270="","",CONCATENATE("Belge: ",$B270,"/",$C270," ",TEXT($D270,"#,##0")))</f>
        <v/>
      </c>
    </row>
    <row r="271" ht="15" customHeight="1" s="80">
      <c r="A271" s="126" t="n"/>
      <c r="B271" s="127" t="n"/>
      <c r="C271" s="127" t="n"/>
      <c r="D271" s="128" t="n"/>
      <c r="E271" s="129" t="n"/>
      <c r="F271" s="127" t="n"/>
      <c r="G271" s="124">
        <f>IF($D271=0,0,ROUND($D271*$E271,2))</f>
        <v/>
      </c>
      <c r="H271" s="125">
        <f>IF($C271="","",CONCATENATE("Belge: ",$B271,"/",$C271," ",TEXT($D271,"#,##0")))</f>
        <v/>
      </c>
    </row>
    <row r="272" ht="15" customHeight="1" s="80">
      <c r="A272" s="126" t="n"/>
      <c r="B272" s="127" t="n"/>
      <c r="C272" s="127" t="n"/>
      <c r="D272" s="128" t="n"/>
      <c r="E272" s="129" t="n"/>
      <c r="F272" s="127" t="n"/>
      <c r="G272" s="124">
        <f>IF($D272=0,0,ROUND($D272*$E272,2))</f>
        <v/>
      </c>
      <c r="H272" s="125">
        <f>IF($C272="","",CONCATENATE("Belge: ",$B272,"/",$C272," ",TEXT($D272,"#,##0")))</f>
        <v/>
      </c>
    </row>
    <row r="273" ht="15" customHeight="1" s="80">
      <c r="A273" s="126" t="n"/>
      <c r="B273" s="127" t="n"/>
      <c r="C273" s="127" t="n"/>
      <c r="D273" s="128" t="n"/>
      <c r="E273" s="129" t="n"/>
      <c r="F273" s="127" t="n"/>
      <c r="G273" s="124">
        <f>IF($D273=0,0,ROUND($D273*$E273,2))</f>
        <v/>
      </c>
      <c r="H273" s="125">
        <f>IF($C273="","",CONCATENATE("Belge: ",$B273,"/",$C273," ",TEXT($D273,"#,##0")))</f>
        <v/>
      </c>
    </row>
    <row r="274" ht="15" customHeight="1" s="80">
      <c r="A274" s="126" t="n"/>
      <c r="B274" s="127" t="n"/>
      <c r="C274" s="127" t="n"/>
      <c r="D274" s="128" t="n"/>
      <c r="E274" s="129" t="n"/>
      <c r="F274" s="127" t="n"/>
      <c r="G274" s="124">
        <f>IF($D274=0,0,ROUND($D274*$E274,2))</f>
        <v/>
      </c>
      <c r="H274" s="125">
        <f>IF($C274="","",CONCATENATE("Belge: ",$B274,"/",$C274," ",TEXT($D274,"#,##0")))</f>
        <v/>
      </c>
    </row>
    <row r="275" ht="15" customHeight="1" s="80">
      <c r="A275" s="126" t="n"/>
      <c r="B275" s="127" t="n"/>
      <c r="C275" s="127" t="n"/>
      <c r="D275" s="128" t="n"/>
      <c r="E275" s="129" t="n"/>
      <c r="F275" s="127" t="n"/>
      <c r="G275" s="124">
        <f>IF($D275=0,0,ROUND($D275*$E275,2))</f>
        <v/>
      </c>
      <c r="H275" s="125">
        <f>IF($C275="","",CONCATENATE("Belge: ",$B275,"/",$C275," ",TEXT($D275,"#,##0")))</f>
        <v/>
      </c>
    </row>
    <row r="276" ht="15" customHeight="1" s="80">
      <c r="A276" s="126" t="n"/>
      <c r="B276" s="127" t="n"/>
      <c r="C276" s="127" t="n"/>
      <c r="D276" s="128" t="n"/>
      <c r="E276" s="129" t="n"/>
      <c r="F276" s="127" t="n"/>
      <c r="G276" s="124">
        <f>IF($D276=0,0,ROUND($D276*$E276,2))</f>
        <v/>
      </c>
      <c r="H276" s="125">
        <f>IF($C276="","",CONCATENATE("Belge: ",$B276,"/",$C276," ",TEXT($D276,"#,##0")))</f>
        <v/>
      </c>
    </row>
    <row r="277" ht="15" customHeight="1" s="80">
      <c r="A277" s="126" t="n"/>
      <c r="B277" s="127" t="n"/>
      <c r="C277" s="127" t="n"/>
      <c r="D277" s="128" t="n"/>
      <c r="E277" s="129" t="n"/>
      <c r="F277" s="127" t="n"/>
      <c r="G277" s="124">
        <f>IF($D277=0,0,ROUND($D277*$E277,2))</f>
        <v/>
      </c>
      <c r="H277" s="125">
        <f>IF($C277="","",CONCATENATE("Belge: ",$B277,"/",$C277," ",TEXT($D277,"#,##0")))</f>
        <v/>
      </c>
    </row>
    <row r="278" ht="15" customHeight="1" s="80">
      <c r="A278" s="126" t="n"/>
      <c r="B278" s="127" t="n"/>
      <c r="C278" s="127" t="n"/>
      <c r="D278" s="128" t="n"/>
      <c r="E278" s="129" t="n"/>
      <c r="F278" s="127" t="n"/>
      <c r="G278" s="124">
        <f>IF($D278=0,0,ROUND($D278*$E278,2))</f>
        <v/>
      </c>
      <c r="H278" s="125">
        <f>IF($C278="","",CONCATENATE("Belge: ",$B278,"/",$C278," ",TEXT($D278,"#,##0")))</f>
        <v/>
      </c>
    </row>
    <row r="279" ht="15" customHeight="1" s="80">
      <c r="A279" s="126" t="n"/>
      <c r="B279" s="127" t="n"/>
      <c r="C279" s="127" t="n"/>
      <c r="D279" s="128" t="n"/>
      <c r="E279" s="129" t="n"/>
      <c r="F279" s="127" t="n"/>
      <c r="G279" s="124">
        <f>IF($D279=0,0,ROUND($D279*$E279,2))</f>
        <v/>
      </c>
      <c r="H279" s="125">
        <f>IF($C279="","",CONCATENATE("Belge: ",$B279,"/",$C279," ",TEXT($D279,"#,##0")))</f>
        <v/>
      </c>
    </row>
    <row r="280" ht="15" customHeight="1" s="80">
      <c r="A280" s="126" t="n"/>
      <c r="B280" s="127" t="n"/>
      <c r="C280" s="127" t="n"/>
      <c r="D280" s="128" t="n"/>
      <c r="E280" s="129" t="n"/>
      <c r="F280" s="127" t="n"/>
      <c r="G280" s="124">
        <f>IF($D280=0,0,ROUND($D280*$E280,2))</f>
        <v/>
      </c>
      <c r="H280" s="125">
        <f>IF($C280="","",CONCATENATE("Belge: ",$B280,"/",$C280," ",TEXT($D280,"#,##0")))</f>
        <v/>
      </c>
    </row>
    <row r="281" ht="15" customHeight="1" s="80">
      <c r="A281" s="126" t="n"/>
      <c r="B281" s="127" t="n"/>
      <c r="C281" s="127" t="n"/>
      <c r="D281" s="128" t="n"/>
      <c r="E281" s="129" t="n"/>
      <c r="F281" s="127" t="n"/>
      <c r="G281" s="124">
        <f>IF($D281=0,0,ROUND($D281*$E281,2))</f>
        <v/>
      </c>
      <c r="H281" s="125">
        <f>IF($C281="","",CONCATENATE("Belge: ",$B281,"/",$C281," ",TEXT($D281,"#,##0")))</f>
        <v/>
      </c>
    </row>
    <row r="282" ht="15" customHeight="1" s="80">
      <c r="A282" s="126" t="n"/>
      <c r="B282" s="127" t="n"/>
      <c r="C282" s="127" t="n"/>
      <c r="D282" s="128" t="n"/>
      <c r="E282" s="129" t="n"/>
      <c r="F282" s="127" t="n"/>
      <c r="G282" s="124">
        <f>IF($D282=0,0,ROUND($D282*$E282,2))</f>
        <v/>
      </c>
      <c r="H282" s="125">
        <f>IF($C282="","",CONCATENATE("Belge: ",$B282,"/",$C282," ",TEXT($D282,"#,##0")))</f>
        <v/>
      </c>
    </row>
    <row r="283" ht="15" customHeight="1" s="80">
      <c r="A283" s="126" t="n"/>
      <c r="B283" s="127" t="n"/>
      <c r="C283" s="127" t="n"/>
      <c r="D283" s="128" t="n"/>
      <c r="E283" s="129" t="n"/>
      <c r="F283" s="127" t="n"/>
      <c r="G283" s="124">
        <f>IF($D283=0,0,ROUND($D283*$E283,2))</f>
        <v/>
      </c>
      <c r="H283" s="125">
        <f>IF($C283="","",CONCATENATE("Belge: ",$B283,"/",$C283," ",TEXT($D283,"#,##0")))</f>
        <v/>
      </c>
    </row>
    <row r="284" ht="15" customHeight="1" s="80">
      <c r="A284" s="126" t="n"/>
      <c r="B284" s="127" t="n"/>
      <c r="C284" s="127" t="n"/>
      <c r="D284" s="128" t="n"/>
      <c r="E284" s="129" t="n"/>
      <c r="F284" s="127" t="n"/>
      <c r="G284" s="124">
        <f>IF($D284=0,0,ROUND($D284*$E284,2))</f>
        <v/>
      </c>
      <c r="H284" s="125">
        <f>IF($C284="","",CONCATENATE("Belge: ",$B284,"/",$C284," ",TEXT($D284,"#,##0")))</f>
        <v/>
      </c>
    </row>
    <row r="285" ht="15" customHeight="1" s="80">
      <c r="A285" s="126" t="n"/>
      <c r="B285" s="127" t="n"/>
      <c r="C285" s="127" t="n"/>
      <c r="D285" s="128" t="n"/>
      <c r="E285" s="129" t="n"/>
      <c r="F285" s="127" t="n"/>
      <c r="G285" s="124">
        <f>IF($D285=0,0,ROUND($D285*$E285,2))</f>
        <v/>
      </c>
      <c r="H285" s="125">
        <f>IF($C285="","",CONCATENATE("Belge: ",$B285,"/",$C285," ",TEXT($D285,"#,##0")))</f>
        <v/>
      </c>
    </row>
    <row r="286" ht="15" customHeight="1" s="80">
      <c r="A286" s="126" t="n"/>
      <c r="B286" s="127" t="n"/>
      <c r="C286" s="127" t="n"/>
      <c r="D286" s="128" t="n"/>
      <c r="E286" s="129" t="n"/>
      <c r="F286" s="127" t="n"/>
      <c r="G286" s="124">
        <f>IF($D286=0,0,ROUND($D286*$E286,2))</f>
        <v/>
      </c>
      <c r="H286" s="125">
        <f>IF($C286="","",CONCATENATE("Belge: ",$B286,"/",$C286," ",TEXT($D286,"#,##0")))</f>
        <v/>
      </c>
    </row>
    <row r="287" ht="15" customHeight="1" s="80">
      <c r="A287" s="126" t="n"/>
      <c r="B287" s="127" t="n"/>
      <c r="C287" s="127" t="n"/>
      <c r="D287" s="128" t="n"/>
      <c r="E287" s="129" t="n"/>
      <c r="F287" s="127" t="n"/>
      <c r="G287" s="124">
        <f>IF($D287=0,0,ROUND($D287*$E287,2))</f>
        <v/>
      </c>
      <c r="H287" s="125">
        <f>IF($C287="","",CONCATENATE("Belge: ",$B287,"/",$C287," ",TEXT($D287,"#,##0")))</f>
        <v/>
      </c>
    </row>
    <row r="288" ht="15" customHeight="1" s="80">
      <c r="A288" s="126" t="n"/>
      <c r="B288" s="127" t="n"/>
      <c r="C288" s="127" t="n"/>
      <c r="D288" s="128" t="n"/>
      <c r="E288" s="129" t="n"/>
      <c r="F288" s="127" t="n"/>
      <c r="G288" s="124">
        <f>IF($D288=0,0,ROUND($D288*$E288,2))</f>
        <v/>
      </c>
      <c r="H288" s="125">
        <f>IF($C288="","",CONCATENATE("Belge: ",$B288,"/",$C288," ",TEXT($D288,"#,##0")))</f>
        <v/>
      </c>
    </row>
    <row r="289" ht="15" customHeight="1" s="80">
      <c r="A289" s="126" t="n"/>
      <c r="B289" s="127" t="n"/>
      <c r="C289" s="127" t="n"/>
      <c r="D289" s="128" t="n"/>
      <c r="E289" s="129" t="n"/>
      <c r="F289" s="127" t="n"/>
      <c r="G289" s="124">
        <f>IF($D289=0,0,ROUND($D289*$E289,2))</f>
        <v/>
      </c>
      <c r="H289" s="125">
        <f>IF($C289="","",CONCATENATE("Belge: ",$B289,"/",$C289," ",TEXT($D289,"#,##0")))</f>
        <v/>
      </c>
    </row>
    <row r="290" ht="15" customHeight="1" s="80">
      <c r="A290" s="126" t="n"/>
      <c r="B290" s="127" t="n"/>
      <c r="C290" s="127" t="n"/>
      <c r="D290" s="128" t="n"/>
      <c r="E290" s="129" t="n"/>
      <c r="F290" s="127" t="n"/>
      <c r="G290" s="124">
        <f>IF($D290=0,0,ROUND($D290*$E290,2))</f>
        <v/>
      </c>
      <c r="H290" s="125">
        <f>IF($C290="","",CONCATENATE("Belge: ",$B290,"/",$C290," ",TEXT($D290,"#,##0")))</f>
        <v/>
      </c>
    </row>
    <row r="291" ht="15" customHeight="1" s="80">
      <c r="A291" s="126" t="n"/>
      <c r="B291" s="127" t="n"/>
      <c r="C291" s="127" t="n"/>
      <c r="D291" s="128" t="n"/>
      <c r="E291" s="129" t="n"/>
      <c r="F291" s="127" t="n"/>
      <c r="G291" s="124">
        <f>IF($D291=0,0,ROUND($D291*$E291,2))</f>
        <v/>
      </c>
      <c r="H291" s="125">
        <f>IF($C291="","",CONCATENATE("Belge: ",$B291,"/",$C291," ",TEXT($D291,"#,##0")))</f>
        <v/>
      </c>
    </row>
    <row r="292" ht="15" customHeight="1" s="80">
      <c r="A292" s="126" t="n"/>
      <c r="B292" s="127" t="n"/>
      <c r="C292" s="127" t="n"/>
      <c r="D292" s="128" t="n"/>
      <c r="E292" s="129" t="n"/>
      <c r="F292" s="127" t="n"/>
      <c r="G292" s="124">
        <f>IF($D292=0,0,ROUND($D292*$E292,2))</f>
        <v/>
      </c>
      <c r="H292" s="125">
        <f>IF($C292="","",CONCATENATE("Belge: ",$B292,"/",$C292," ",TEXT($D292,"#,##0")))</f>
        <v/>
      </c>
    </row>
    <row r="293" ht="15" customHeight="1" s="80">
      <c r="A293" s="126" t="n"/>
      <c r="B293" s="127" t="n"/>
      <c r="C293" s="127" t="n"/>
      <c r="D293" s="128" t="n"/>
      <c r="E293" s="129" t="n"/>
      <c r="F293" s="127" t="n"/>
      <c r="G293" s="124">
        <f>IF($D293=0,0,ROUND($D293*$E293,2))</f>
        <v/>
      </c>
      <c r="H293" s="125">
        <f>IF($C293="","",CONCATENATE("Belge: ",$B293,"/",$C293," ",TEXT($D293,"#,##0")))</f>
        <v/>
      </c>
    </row>
    <row r="294" ht="15" customHeight="1" s="80">
      <c r="A294" s="126" t="n"/>
      <c r="B294" s="127" t="n"/>
      <c r="C294" s="127" t="n"/>
      <c r="D294" s="128" t="n"/>
      <c r="E294" s="129" t="n"/>
      <c r="F294" s="127" t="n"/>
      <c r="G294" s="124">
        <f>IF($D294=0,0,ROUND($D294*$E294,2))</f>
        <v/>
      </c>
      <c r="H294" s="125">
        <f>IF($C294="","",CONCATENATE("Belge: ",$B294,"/",$C294," ",TEXT($D294,"#,##0")))</f>
        <v/>
      </c>
    </row>
    <row r="295" ht="15" customHeight="1" s="80">
      <c r="A295" s="126" t="n"/>
      <c r="B295" s="127" t="n"/>
      <c r="C295" s="127" t="n"/>
      <c r="D295" s="128" t="n"/>
      <c r="E295" s="129" t="n"/>
      <c r="F295" s="127" t="n"/>
      <c r="G295" s="124">
        <f>IF($D295=0,0,ROUND($D295*$E295,2))</f>
        <v/>
      </c>
      <c r="H295" s="125">
        <f>IF($C295="","",CONCATENATE("Belge: ",$B295,"/",$C295," ",TEXT($D295,"#,##0")))</f>
        <v/>
      </c>
    </row>
    <row r="296" ht="15" customHeight="1" s="80">
      <c r="A296" s="126" t="n"/>
      <c r="B296" s="127" t="n"/>
      <c r="C296" s="127" t="n"/>
      <c r="D296" s="128" t="n"/>
      <c r="E296" s="129" t="n"/>
      <c r="F296" s="127" t="n"/>
      <c r="G296" s="124">
        <f>IF($D296=0,0,ROUND($D296*$E296,2))</f>
        <v/>
      </c>
      <c r="H296" s="125">
        <f>IF($C296="","",CONCATENATE("Belge: ",$B296,"/",$C296," ",TEXT($D296,"#,##0")))</f>
        <v/>
      </c>
    </row>
    <row r="297" ht="15" customHeight="1" s="80">
      <c r="A297" s="126" t="n"/>
      <c r="B297" s="127" t="n"/>
      <c r="C297" s="127" t="n"/>
      <c r="D297" s="128" t="n"/>
      <c r="E297" s="129" t="n"/>
      <c r="F297" s="127" t="n"/>
      <c r="G297" s="124">
        <f>IF($D297=0,0,ROUND($D297*$E297,2))</f>
        <v/>
      </c>
      <c r="H297" s="125">
        <f>IF($C297="","",CONCATENATE("Belge: ",$B297,"/",$C297," ",TEXT($D297,"#,##0")))</f>
        <v/>
      </c>
    </row>
    <row r="298" ht="15" customHeight="1" s="80">
      <c r="A298" s="126" t="n"/>
      <c r="B298" s="127" t="n"/>
      <c r="C298" s="127" t="n"/>
      <c r="D298" s="128" t="n"/>
      <c r="E298" s="129" t="n"/>
      <c r="F298" s="127" t="n"/>
      <c r="G298" s="124">
        <f>IF($D298=0,0,ROUND($D298*$E298,2))</f>
        <v/>
      </c>
      <c r="H298" s="125">
        <f>IF($C298="","",CONCATENATE("Belge: ",$B298,"/",$C298," ",TEXT($D298,"#,##0")))</f>
        <v/>
      </c>
    </row>
    <row r="299" ht="15" customHeight="1" s="80">
      <c r="A299" s="126" t="n"/>
      <c r="B299" s="127" t="n"/>
      <c r="C299" s="127" t="n"/>
      <c r="D299" s="128" t="n"/>
      <c r="E299" s="129" t="n"/>
      <c r="F299" s="127" t="n"/>
      <c r="G299" s="124">
        <f>IF($D299=0,0,ROUND($D299*$E299,2))</f>
        <v/>
      </c>
      <c r="H299" s="125">
        <f>IF($C299="","",CONCATENATE("Belge: ",$B299,"/",$C299," ",TEXT($D299,"#,##0")))</f>
        <v/>
      </c>
    </row>
    <row r="300" ht="15" customHeight="1" s="80">
      <c r="A300" s="126" t="n"/>
      <c r="B300" s="127" t="n"/>
      <c r="C300" s="127" t="n"/>
      <c r="D300" s="128" t="n"/>
      <c r="E300" s="129" t="n"/>
      <c r="F300" s="127" t="n"/>
      <c r="G300" s="124">
        <f>IF($D300=0,0,ROUND($D300*$E300,2))</f>
        <v/>
      </c>
      <c r="H300" s="125">
        <f>IF($C300="","",CONCATENATE("Belge: ",$B300,"/",$C300," ",TEXT($D300,"#,##0")))</f>
        <v/>
      </c>
    </row>
    <row r="301" ht="15" customHeight="1" s="80">
      <c r="A301" s="126" t="n"/>
      <c r="B301" s="127" t="n"/>
      <c r="C301" s="127" t="n"/>
      <c r="D301" s="128" t="n"/>
      <c r="E301" s="129" t="n"/>
      <c r="F301" s="127" t="n"/>
      <c r="G301" s="124">
        <f>IF($D301=0,0,ROUND($D301*$E301,2))</f>
        <v/>
      </c>
      <c r="H301" s="125">
        <f>IF($C301="","",CONCATENATE("Belge: ",$B301,"/",$C301," ",TEXT($D301,"#,##0")))</f>
        <v/>
      </c>
    </row>
    <row r="302" ht="15" customHeight="1" s="80">
      <c r="A302" s="126" t="n"/>
      <c r="B302" s="127" t="n"/>
      <c r="C302" s="127" t="n"/>
      <c r="D302" s="128" t="n"/>
      <c r="E302" s="129" t="n"/>
      <c r="F302" s="127" t="n"/>
      <c r="G302" s="124">
        <f>IF($D302=0,0,ROUND($D302*$E302,2))</f>
        <v/>
      </c>
      <c r="H302" s="125">
        <f>IF($C302="","",CONCATENATE("Belge: ",$B302,"/",$C302," ",TEXT($D302,"#,##0")))</f>
        <v/>
      </c>
    </row>
    <row r="303" ht="15" customHeight="1" s="80">
      <c r="A303" s="126" t="n"/>
      <c r="B303" s="127" t="n"/>
      <c r="C303" s="127" t="n"/>
      <c r="D303" s="128" t="n"/>
      <c r="E303" s="129" t="n"/>
      <c r="F303" s="127" t="n"/>
      <c r="G303" s="124">
        <f>IF($D303=0,0,ROUND($D303*$E303,2))</f>
        <v/>
      </c>
      <c r="H303" s="125">
        <f>IF($C303="","",CONCATENATE("Belge: ",$B303,"/",$C303," ",TEXT($D303,"#,##0")))</f>
        <v/>
      </c>
    </row>
    <row r="304" ht="15" customHeight="1" s="80">
      <c r="A304" s="126" t="n"/>
      <c r="B304" s="127" t="n"/>
      <c r="C304" s="127" t="n"/>
      <c r="D304" s="128" t="n"/>
      <c r="E304" s="129" t="n"/>
      <c r="F304" s="127" t="n"/>
      <c r="G304" s="124">
        <f>IF($D304=0,0,ROUND($D304*$E304,2))</f>
        <v/>
      </c>
      <c r="H304" s="125">
        <f>IF($C304="","",CONCATENATE("Belge: ",$B304,"/",$C304," ",TEXT($D304,"#,##0")))</f>
        <v/>
      </c>
    </row>
    <row r="305" ht="15" customHeight="1" s="80">
      <c r="A305" s="126" t="n"/>
      <c r="B305" s="127" t="n"/>
      <c r="C305" s="127" t="n"/>
      <c r="D305" s="128" t="n"/>
      <c r="E305" s="129" t="n"/>
      <c r="F305" s="127" t="n"/>
      <c r="G305" s="124">
        <f>IF($D305=0,0,ROUND($D305*$E305,2))</f>
        <v/>
      </c>
      <c r="H305" s="125">
        <f>IF($C305="","",CONCATENATE("Belge: ",$B305,"/",$C305," ",TEXT($D305,"#,##0")))</f>
        <v/>
      </c>
    </row>
    <row r="306" ht="15" customHeight="1" s="80">
      <c r="A306" s="126" t="n"/>
      <c r="B306" s="127" t="n"/>
      <c r="C306" s="127" t="n"/>
      <c r="D306" s="128" t="n"/>
      <c r="E306" s="129" t="n"/>
      <c r="F306" s="127" t="n"/>
      <c r="G306" s="124">
        <f>IF($D306=0,0,ROUND($D306*$E306,2))</f>
        <v/>
      </c>
      <c r="H306" s="125">
        <f>IF($C306="","",CONCATENATE("Belge: ",$B306,"/",$C306," ",TEXT($D306,"#,##0")))</f>
        <v/>
      </c>
    </row>
    <row r="307" ht="15" customHeight="1" s="80">
      <c r="A307" s="126" t="n"/>
      <c r="B307" s="127" t="n"/>
      <c r="C307" s="127" t="n"/>
      <c r="D307" s="128" t="n"/>
      <c r="E307" s="129" t="n"/>
      <c r="F307" s="127" t="n"/>
      <c r="G307" s="124">
        <f>IF($D307=0,0,ROUND($D307*$E307,2))</f>
        <v/>
      </c>
      <c r="H307" s="125">
        <f>IF($C307="","",CONCATENATE("Belge: ",$B307,"/",$C307," ",TEXT($D307,"#,##0")))</f>
        <v/>
      </c>
    </row>
    <row r="308" ht="15" customHeight="1" s="80">
      <c r="A308" s="126" t="n"/>
      <c r="B308" s="127" t="n"/>
      <c r="C308" s="127" t="n"/>
      <c r="D308" s="128" t="n"/>
      <c r="E308" s="129" t="n"/>
      <c r="F308" s="127" t="n"/>
      <c r="G308" s="124">
        <f>IF($D308=0,0,ROUND($D308*$E308,2))</f>
        <v/>
      </c>
      <c r="H308" s="125">
        <f>IF($C308="","",CONCATENATE("Belge: ",$B308,"/",$C308," ",TEXT($D308,"#,##0")))</f>
        <v/>
      </c>
    </row>
    <row r="309" ht="15" customHeight="1" s="80">
      <c r="A309" s="126" t="n"/>
      <c r="B309" s="127" t="n"/>
      <c r="C309" s="127" t="n"/>
      <c r="D309" s="128" t="n"/>
      <c r="E309" s="129" t="n"/>
      <c r="F309" s="127" t="n"/>
      <c r="G309" s="124">
        <f>IF($D309=0,0,ROUND($D309*$E309,2))</f>
        <v/>
      </c>
      <c r="H309" s="125">
        <f>IF($C309="","",CONCATENATE("Belge: ",$B309,"/",$C309," ",TEXT($D309,"#,##0")))</f>
        <v/>
      </c>
    </row>
    <row r="310" ht="15" customHeight="1" s="80">
      <c r="A310" s="126" t="n"/>
      <c r="B310" s="127" t="n"/>
      <c r="C310" s="127" t="n"/>
      <c r="D310" s="128" t="n"/>
      <c r="E310" s="129" t="n"/>
      <c r="F310" s="127" t="n"/>
      <c r="G310" s="124">
        <f>IF($D310=0,0,ROUND($D310*$E310,2))</f>
        <v/>
      </c>
      <c r="H310" s="125">
        <f>IF($C310="","",CONCATENATE("Belge: ",$B310,"/",$C310," ",TEXT($D310,"#,##0")))</f>
        <v/>
      </c>
    </row>
    <row r="311" ht="15" customHeight="1" s="80">
      <c r="A311" s="126" t="n"/>
      <c r="B311" s="127" t="n"/>
      <c r="C311" s="127" t="n"/>
      <c r="D311" s="128" t="n"/>
      <c r="E311" s="129" t="n"/>
      <c r="F311" s="127" t="n"/>
      <c r="G311" s="124">
        <f>IF($D311=0,0,ROUND($D311*$E311,2))</f>
        <v/>
      </c>
      <c r="H311" s="125">
        <f>IF($C311="","",CONCATENATE("Belge: ",$B311,"/",$C311," ",TEXT($D311,"#,##0")))</f>
        <v/>
      </c>
    </row>
    <row r="312" ht="15" customHeight="1" s="80">
      <c r="A312" s="126" t="n"/>
      <c r="B312" s="127" t="n"/>
      <c r="C312" s="127" t="n"/>
      <c r="D312" s="128" t="n"/>
      <c r="E312" s="129" t="n"/>
      <c r="F312" s="127" t="n"/>
      <c r="G312" s="124">
        <f>IF($D312=0,0,ROUND($D312*$E312,2))</f>
        <v/>
      </c>
      <c r="H312" s="125">
        <f>IF($C312="","",CONCATENATE("Belge: ",$B312,"/",$C312," ",TEXT($D312,"#,##0")))</f>
        <v/>
      </c>
    </row>
    <row r="313" ht="15" customHeight="1" s="80">
      <c r="A313" s="126" t="n"/>
      <c r="B313" s="127" t="n"/>
      <c r="C313" s="127" t="n"/>
      <c r="D313" s="128" t="n"/>
      <c r="E313" s="129" t="n"/>
      <c r="F313" s="127" t="n"/>
      <c r="G313" s="124">
        <f>IF($D313=0,0,ROUND($D313*$E313,2))</f>
        <v/>
      </c>
      <c r="H313" s="125">
        <f>IF($C313="","",CONCATENATE("Belge: ",$B313,"/",$C313," ",TEXT($D313,"#,##0")))</f>
        <v/>
      </c>
    </row>
    <row r="314" ht="15" customHeight="1" s="80">
      <c r="A314" s="126" t="n"/>
      <c r="B314" s="127" t="n"/>
      <c r="C314" s="127" t="n"/>
      <c r="D314" s="128" t="n"/>
      <c r="E314" s="129" t="n"/>
      <c r="F314" s="127" t="n"/>
      <c r="G314" s="124">
        <f>IF($D314=0,0,ROUND($D314*$E314,2))</f>
        <v/>
      </c>
      <c r="H314" s="125">
        <f>IF($C314="","",CONCATENATE("Belge: ",$B314,"/",$C314," ",TEXT($D314,"#,##0")))</f>
        <v/>
      </c>
    </row>
    <row r="315" ht="15" customHeight="1" s="80">
      <c r="A315" s="126" t="n"/>
      <c r="B315" s="127" t="n"/>
      <c r="C315" s="127" t="n"/>
      <c r="D315" s="128" t="n"/>
      <c r="E315" s="129" t="n"/>
      <c r="F315" s="127" t="n"/>
      <c r="G315" s="124">
        <f>IF($D315=0,0,ROUND($D315*$E315,2))</f>
        <v/>
      </c>
      <c r="H315" s="125">
        <f>IF($C315="","",CONCATENATE("Belge: ",$B315,"/",$C315," ",TEXT($D315,"#,##0")))</f>
        <v/>
      </c>
    </row>
    <row r="316" ht="15" customHeight="1" s="80">
      <c r="A316" s="126" t="n"/>
      <c r="B316" s="127" t="n"/>
      <c r="C316" s="127" t="n"/>
      <c r="D316" s="128" t="n"/>
      <c r="E316" s="129" t="n"/>
      <c r="F316" s="127" t="n"/>
      <c r="G316" s="124">
        <f>IF($D316=0,0,ROUND($D316*$E316,2))</f>
        <v/>
      </c>
      <c r="H316" s="125">
        <f>IF($C316="","",CONCATENATE("Belge: ",$B316,"/",$C316," ",TEXT($D316,"#,##0")))</f>
        <v/>
      </c>
    </row>
    <row r="317" ht="15" customHeight="1" s="80">
      <c r="A317" s="126" t="n"/>
      <c r="B317" s="127" t="n"/>
      <c r="C317" s="127" t="n"/>
      <c r="D317" s="128" t="n"/>
      <c r="E317" s="129" t="n"/>
      <c r="F317" s="127" t="n"/>
      <c r="G317" s="124">
        <f>IF($D317=0,0,ROUND($D317*$E317,2))</f>
        <v/>
      </c>
      <c r="H317" s="125">
        <f>IF($C317="","",CONCATENATE("Belge: ",$B317,"/",$C317," ",TEXT($D317,"#,##0")))</f>
        <v/>
      </c>
    </row>
    <row r="318" ht="15" customHeight="1" s="80">
      <c r="A318" s="126" t="n"/>
      <c r="B318" s="127" t="n"/>
      <c r="C318" s="127" t="n"/>
      <c r="D318" s="128" t="n"/>
      <c r="E318" s="129" t="n"/>
      <c r="F318" s="127" t="n"/>
      <c r="G318" s="124">
        <f>IF($D318=0,0,ROUND($D318*$E318,2))</f>
        <v/>
      </c>
      <c r="H318" s="125">
        <f>IF($C318="","",CONCATENATE("Belge: ",$B318,"/",$C318," ",TEXT($D318,"#,##0")))</f>
        <v/>
      </c>
    </row>
    <row r="319" ht="15" customHeight="1" s="80">
      <c r="A319" s="126" t="n"/>
      <c r="B319" s="127" t="n"/>
      <c r="C319" s="127" t="n"/>
      <c r="D319" s="128" t="n"/>
      <c r="E319" s="129" t="n"/>
      <c r="F319" s="127" t="n"/>
      <c r="G319" s="124">
        <f>IF($D319=0,0,ROUND($D319*$E319,2))</f>
        <v/>
      </c>
      <c r="H319" s="125">
        <f>IF($C319="","",CONCATENATE("Belge: ",$B319,"/",$C319," ",TEXT($D319,"#,##0")))</f>
        <v/>
      </c>
    </row>
    <row r="320" ht="15" customHeight="1" s="80">
      <c r="A320" s="126" t="n"/>
      <c r="B320" s="127" t="n"/>
      <c r="C320" s="127" t="n"/>
      <c r="D320" s="128" t="n"/>
      <c r="E320" s="129" t="n"/>
      <c r="F320" s="127" t="n"/>
      <c r="G320" s="124">
        <f>IF($D320=0,0,ROUND($D320*$E320,2))</f>
        <v/>
      </c>
      <c r="H320" s="125">
        <f>IF($C320="","",CONCATENATE("Belge: ",$B320,"/",$C320," ",TEXT($D320,"#,##0")))</f>
        <v/>
      </c>
    </row>
    <row r="321" ht="15" customHeight="1" s="80">
      <c r="A321" s="126" t="n"/>
      <c r="B321" s="127" t="n"/>
      <c r="C321" s="127" t="n"/>
      <c r="D321" s="128" t="n"/>
      <c r="E321" s="129" t="n"/>
      <c r="F321" s="127" t="n"/>
      <c r="G321" s="124">
        <f>IF($D321=0,0,ROUND($D321*$E321,2))</f>
        <v/>
      </c>
      <c r="H321" s="125">
        <f>IF($C321="","",CONCATENATE("Belge: ",$B321,"/",$C321," ",TEXT($D321,"#,##0")))</f>
        <v/>
      </c>
    </row>
    <row r="322" ht="15" customHeight="1" s="80">
      <c r="A322" s="126" t="n"/>
      <c r="B322" s="127" t="n"/>
      <c r="C322" s="127" t="n"/>
      <c r="D322" s="128" t="n"/>
      <c r="E322" s="129" t="n"/>
      <c r="F322" s="127" t="n"/>
      <c r="G322" s="124">
        <f>IF($D322=0,0,ROUND($D322*$E322,2))</f>
        <v/>
      </c>
      <c r="H322" s="125">
        <f>IF($C322="","",CONCATENATE("Belge: ",$B322,"/",$C322," ",TEXT($D322,"#,##0")))</f>
        <v/>
      </c>
    </row>
    <row r="323" ht="15" customHeight="1" s="80">
      <c r="A323" s="126" t="n"/>
      <c r="B323" s="127" t="n"/>
      <c r="C323" s="127" t="n"/>
      <c r="D323" s="128" t="n"/>
      <c r="E323" s="129" t="n"/>
      <c r="F323" s="127" t="n"/>
      <c r="G323" s="124">
        <f>IF($D323=0,0,ROUND($D323*$E323,2))</f>
        <v/>
      </c>
      <c r="H323" s="125">
        <f>IF($C323="","",CONCATENATE("Belge: ",$B323,"/",$C323," ",TEXT($D323,"#,##0")))</f>
        <v/>
      </c>
    </row>
    <row r="324" ht="15" customHeight="1" s="80">
      <c r="A324" s="126" t="n"/>
      <c r="B324" s="127" t="n"/>
      <c r="C324" s="127" t="n"/>
      <c r="D324" s="128" t="n"/>
      <c r="E324" s="129" t="n"/>
      <c r="F324" s="127" t="n"/>
      <c r="G324" s="124">
        <f>IF($D324=0,0,ROUND($D324*$E324,2))</f>
        <v/>
      </c>
      <c r="H324" s="125">
        <f>IF($C324="","",CONCATENATE("Belge: ",$B324,"/",$C324," ",TEXT($D324,"#,##0")))</f>
        <v/>
      </c>
    </row>
    <row r="325" ht="15" customHeight="1" s="80">
      <c r="A325" s="126" t="n"/>
      <c r="B325" s="127" t="n"/>
      <c r="C325" s="127" t="n"/>
      <c r="D325" s="128" t="n"/>
      <c r="E325" s="129" t="n"/>
      <c r="F325" s="127" t="n"/>
      <c r="G325" s="124">
        <f>IF($D325=0,0,ROUND($D325*$E325,2))</f>
        <v/>
      </c>
      <c r="H325" s="125">
        <f>IF($C325="","",CONCATENATE("Belge: ",$B325,"/",$C325," ",TEXT($D325,"#,##0")))</f>
        <v/>
      </c>
    </row>
    <row r="326" ht="15" customHeight="1" s="80">
      <c r="A326" s="126" t="n"/>
      <c r="B326" s="127" t="n"/>
      <c r="C326" s="127" t="n"/>
      <c r="D326" s="128" t="n"/>
      <c r="E326" s="129" t="n"/>
      <c r="F326" s="127" t="n"/>
      <c r="G326" s="124">
        <f>IF($D326=0,0,ROUND($D326*$E326,2))</f>
        <v/>
      </c>
      <c r="H326" s="125">
        <f>IF($C326="","",CONCATENATE("Belge: ",$B326,"/",$C326," ",TEXT($D326,"#,##0")))</f>
        <v/>
      </c>
    </row>
    <row r="327" ht="15" customHeight="1" s="80">
      <c r="A327" s="126" t="n"/>
      <c r="B327" s="127" t="n"/>
      <c r="C327" s="127" t="n"/>
      <c r="D327" s="128" t="n"/>
      <c r="E327" s="129" t="n"/>
      <c r="F327" s="127" t="n"/>
      <c r="G327" s="124">
        <f>IF($D327=0,0,ROUND($D327*$E327,2))</f>
        <v/>
      </c>
      <c r="H327" s="125">
        <f>IF($C327="","",CONCATENATE("Belge: ",$B327,"/",$C327," ",TEXT($D327,"#,##0")))</f>
        <v/>
      </c>
    </row>
    <row r="328" ht="15" customHeight="1" s="80">
      <c r="A328" s="126" t="n"/>
      <c r="B328" s="127" t="n"/>
      <c r="C328" s="127" t="n"/>
      <c r="D328" s="128" t="n"/>
      <c r="E328" s="129" t="n"/>
      <c r="F328" s="127" t="n"/>
      <c r="G328" s="124">
        <f>IF($D328=0,0,ROUND($D328*$E328,2))</f>
        <v/>
      </c>
      <c r="H328" s="125">
        <f>IF($C328="","",CONCATENATE("Belge: ",$B328,"/",$C328," ",TEXT($D328,"#,##0")))</f>
        <v/>
      </c>
    </row>
    <row r="329" ht="15" customHeight="1" s="80">
      <c r="A329" s="126" t="n"/>
      <c r="B329" s="127" t="n"/>
      <c r="C329" s="127" t="n"/>
      <c r="D329" s="128" t="n"/>
      <c r="E329" s="129" t="n"/>
      <c r="F329" s="127" t="n"/>
      <c r="G329" s="124">
        <f>IF($D329=0,0,ROUND($D329*$E329,2))</f>
        <v/>
      </c>
      <c r="H329" s="125">
        <f>IF($C329="","",CONCATENATE("Belge: ",$B329,"/",$C329," ",TEXT($D329,"#,##0")))</f>
        <v/>
      </c>
    </row>
    <row r="330" ht="15" customHeight="1" s="80">
      <c r="A330" s="126" t="n"/>
      <c r="B330" s="127" t="n"/>
      <c r="C330" s="127" t="n"/>
      <c r="D330" s="128" t="n"/>
      <c r="E330" s="129" t="n"/>
      <c r="F330" s="127" t="n"/>
      <c r="G330" s="124">
        <f>IF($D330=0,0,ROUND($D330*$E330,2))</f>
        <v/>
      </c>
      <c r="H330" s="125">
        <f>IF($C330="","",CONCATENATE("Belge: ",$B330,"/",$C330," ",TEXT($D330,"#,##0")))</f>
        <v/>
      </c>
    </row>
    <row r="331" ht="15" customHeight="1" s="80">
      <c r="A331" s="126" t="n"/>
      <c r="B331" s="127" t="n"/>
      <c r="C331" s="127" t="n"/>
      <c r="D331" s="128" t="n"/>
      <c r="E331" s="129" t="n"/>
      <c r="F331" s="127" t="n"/>
      <c r="G331" s="124">
        <f>IF($D331=0,0,ROUND($D331*$E331,2))</f>
        <v/>
      </c>
      <c r="H331" s="125">
        <f>IF($C331="","",CONCATENATE("Belge: ",$B331,"/",$C331," ",TEXT($D331,"#,##0")))</f>
        <v/>
      </c>
    </row>
    <row r="332" ht="15" customHeight="1" s="80">
      <c r="A332" s="126" t="n"/>
      <c r="B332" s="127" t="n"/>
      <c r="C332" s="127" t="n"/>
      <c r="D332" s="128" t="n"/>
      <c r="E332" s="129" t="n"/>
      <c r="F332" s="127" t="n"/>
      <c r="G332" s="124">
        <f>IF($D332=0,0,ROUND($D332*$E332,2))</f>
        <v/>
      </c>
      <c r="H332" s="125">
        <f>IF($C332="","",CONCATENATE("Belge: ",$B332,"/",$C332," ",TEXT($D332,"#,##0")))</f>
        <v/>
      </c>
    </row>
    <row r="333" ht="15" customHeight="1" s="80">
      <c r="A333" s="126" t="n"/>
      <c r="B333" s="127" t="n"/>
      <c r="C333" s="127" t="n"/>
      <c r="D333" s="128" t="n"/>
      <c r="E333" s="129" t="n"/>
      <c r="F333" s="127" t="n"/>
      <c r="G333" s="124">
        <f>IF($D333=0,0,ROUND($D333*$E333,2))</f>
        <v/>
      </c>
      <c r="H333" s="125">
        <f>IF($C333="","",CONCATENATE("Belge: ",$B333,"/",$C333," ",TEXT($D333,"#,##0")))</f>
        <v/>
      </c>
    </row>
    <row r="334" ht="15" customHeight="1" s="80">
      <c r="A334" s="126" t="n"/>
      <c r="B334" s="127" t="n"/>
      <c r="C334" s="127" t="n"/>
      <c r="D334" s="128" t="n"/>
      <c r="E334" s="129" t="n"/>
      <c r="F334" s="127" t="n"/>
      <c r="G334" s="124">
        <f>IF($D334=0,0,ROUND($D334*$E334,2))</f>
        <v/>
      </c>
      <c r="H334" s="125">
        <f>IF($C334="","",CONCATENATE("Belge: ",$B334,"/",$C334," ",TEXT($D334,"#,##0")))</f>
        <v/>
      </c>
    </row>
    <row r="335" ht="15" customHeight="1" s="80">
      <c r="A335" s="126" t="n"/>
      <c r="B335" s="127" t="n"/>
      <c r="C335" s="127" t="n"/>
      <c r="D335" s="128" t="n"/>
      <c r="E335" s="129" t="n"/>
      <c r="F335" s="127" t="n"/>
      <c r="G335" s="124">
        <f>IF($D335=0,0,ROUND($D335*$E335,2))</f>
        <v/>
      </c>
      <c r="H335" s="125">
        <f>IF($C335="","",CONCATENATE("Belge: ",$B335,"/",$C335," ",TEXT($D335,"#,##0")))</f>
        <v/>
      </c>
    </row>
    <row r="336" ht="15" customHeight="1" s="80">
      <c r="A336" s="126" t="n"/>
      <c r="B336" s="127" t="n"/>
      <c r="C336" s="127" t="n"/>
      <c r="D336" s="128" t="n"/>
      <c r="E336" s="129" t="n"/>
      <c r="F336" s="127" t="n"/>
      <c r="G336" s="124">
        <f>IF($D336=0,0,ROUND($D336*$E336,2))</f>
        <v/>
      </c>
      <c r="H336" s="125">
        <f>IF($C336="","",CONCATENATE("Belge: ",$B336,"/",$C336," ",TEXT($D336,"#,##0")))</f>
        <v/>
      </c>
    </row>
    <row r="337" ht="15" customHeight="1" s="80">
      <c r="A337" s="126" t="n"/>
      <c r="B337" s="127" t="n"/>
      <c r="C337" s="127" t="n"/>
      <c r="D337" s="128" t="n"/>
      <c r="E337" s="129" t="n"/>
      <c r="F337" s="127" t="n"/>
      <c r="G337" s="124">
        <f>IF($D337=0,0,ROUND($D337*$E337,2))</f>
        <v/>
      </c>
      <c r="H337" s="125">
        <f>IF($C337="","",CONCATENATE("Belge: ",$B337,"/",$C337," ",TEXT($D337,"#,##0")))</f>
        <v/>
      </c>
    </row>
    <row r="338" ht="15" customHeight="1" s="80">
      <c r="A338" s="126" t="n"/>
      <c r="B338" s="127" t="n"/>
      <c r="C338" s="127" t="n"/>
      <c r="D338" s="128" t="n"/>
      <c r="E338" s="129" t="n"/>
      <c r="F338" s="127" t="n"/>
      <c r="G338" s="124">
        <f>IF($D338=0,0,ROUND($D338*$E338,2))</f>
        <v/>
      </c>
      <c r="H338" s="125">
        <f>IF($C338="","",CONCATENATE("Belge: ",$B338,"/",$C338," ",TEXT($D338,"#,##0")))</f>
        <v/>
      </c>
    </row>
    <row r="339" ht="15" customHeight="1" s="80">
      <c r="A339" s="126" t="n"/>
      <c r="B339" s="127" t="n"/>
      <c r="C339" s="127" t="n"/>
      <c r="D339" s="128" t="n"/>
      <c r="E339" s="129" t="n"/>
      <c r="F339" s="127" t="n"/>
      <c r="G339" s="124">
        <f>IF($D339=0,0,ROUND($D339*$E339,2))</f>
        <v/>
      </c>
      <c r="H339" s="125">
        <f>IF($C339="","",CONCATENATE("Belge: ",$B339,"/",$C339," ",TEXT($D339,"#,##0")))</f>
        <v/>
      </c>
    </row>
    <row r="340" ht="15" customHeight="1" s="80">
      <c r="A340" s="126" t="n"/>
      <c r="B340" s="127" t="n"/>
      <c r="C340" s="127" t="n"/>
      <c r="D340" s="128" t="n"/>
      <c r="E340" s="129" t="n"/>
      <c r="F340" s="127" t="n"/>
      <c r="G340" s="124">
        <f>IF($D340=0,0,ROUND($D340*$E340,2))</f>
        <v/>
      </c>
      <c r="H340" s="125">
        <f>IF($C340="","",CONCATENATE("Belge: ",$B340,"/",$C340," ",TEXT($D340,"#,##0")))</f>
        <v/>
      </c>
    </row>
    <row r="341" ht="15" customHeight="1" s="80">
      <c r="A341" s="126" t="n"/>
      <c r="B341" s="127" t="n"/>
      <c r="C341" s="127" t="n"/>
      <c r="D341" s="128" t="n"/>
      <c r="E341" s="129" t="n"/>
      <c r="F341" s="127" t="n"/>
      <c r="G341" s="124">
        <f>IF($D341=0,0,ROUND($D341*$E341,2))</f>
        <v/>
      </c>
      <c r="H341" s="125">
        <f>IF($C341="","",CONCATENATE("Belge: ",$B341,"/",$C341," ",TEXT($D341,"#,##0")))</f>
        <v/>
      </c>
    </row>
    <row r="342" ht="15" customHeight="1" s="80">
      <c r="A342" s="126" t="n"/>
      <c r="B342" s="127" t="n"/>
      <c r="C342" s="127" t="n"/>
      <c r="D342" s="128" t="n"/>
      <c r="E342" s="129" t="n"/>
      <c r="F342" s="127" t="n"/>
      <c r="G342" s="124">
        <f>IF($D342=0,0,ROUND($D342*$E342,2))</f>
        <v/>
      </c>
      <c r="H342" s="125">
        <f>IF($C342="","",CONCATENATE("Belge: ",$B342,"/",$C342," ",TEXT($D342,"#,##0")))</f>
        <v/>
      </c>
    </row>
    <row r="343" ht="15" customHeight="1" s="80">
      <c r="A343" s="126" t="n"/>
      <c r="B343" s="127" t="n"/>
      <c r="C343" s="127" t="n"/>
      <c r="D343" s="128" t="n"/>
      <c r="E343" s="129" t="n"/>
      <c r="F343" s="127" t="n"/>
      <c r="G343" s="124">
        <f>IF($D343=0,0,ROUND($D343*$E343,2))</f>
        <v/>
      </c>
      <c r="H343" s="125">
        <f>IF($C343="","",CONCATENATE("Belge: ",$B343,"/",$C343," ",TEXT($D343,"#,##0")))</f>
        <v/>
      </c>
    </row>
    <row r="344" ht="15" customHeight="1" s="80">
      <c r="A344" s="126" t="n"/>
      <c r="B344" s="127" t="n"/>
      <c r="C344" s="127" t="n"/>
      <c r="D344" s="128" t="n"/>
      <c r="E344" s="129" t="n"/>
      <c r="F344" s="127" t="n"/>
      <c r="G344" s="124">
        <f>IF($D344=0,0,ROUND($D344*$E344,2))</f>
        <v/>
      </c>
      <c r="H344" s="125">
        <f>IF($C344="","",CONCATENATE("Belge: ",$B344,"/",$C344," ",TEXT($D344,"#,##0")))</f>
        <v/>
      </c>
    </row>
    <row r="345" ht="15" customHeight="1" s="80">
      <c r="A345" s="126" t="n"/>
      <c r="B345" s="127" t="n"/>
      <c r="C345" s="127" t="n"/>
      <c r="D345" s="128" t="n"/>
      <c r="E345" s="129" t="n"/>
      <c r="F345" s="127" t="n"/>
      <c r="G345" s="124">
        <f>IF($D345=0,0,ROUND($D345*$E345,2))</f>
        <v/>
      </c>
      <c r="H345" s="125">
        <f>IF($C345="","",CONCATENATE("Belge: ",$B345,"/",$C345," ",TEXT($D345,"#,##0")))</f>
        <v/>
      </c>
    </row>
    <row r="346" ht="15" customHeight="1" s="80">
      <c r="A346" s="126" t="n"/>
      <c r="B346" s="127" t="n"/>
      <c r="C346" s="127" t="n"/>
      <c r="D346" s="128" t="n"/>
      <c r="E346" s="129" t="n"/>
      <c r="F346" s="127" t="n"/>
      <c r="G346" s="124">
        <f>IF($D346=0,0,ROUND($D346*$E346,2))</f>
        <v/>
      </c>
      <c r="H346" s="125">
        <f>IF($C346="","",CONCATENATE("Belge: ",$B346,"/",$C346," ",TEXT($D346,"#,##0")))</f>
        <v/>
      </c>
    </row>
    <row r="347" ht="15" customHeight="1" s="80">
      <c r="A347" s="126" t="n"/>
      <c r="B347" s="127" t="n"/>
      <c r="C347" s="127" t="n"/>
      <c r="D347" s="128" t="n"/>
      <c r="E347" s="129" t="n"/>
      <c r="F347" s="127" t="n"/>
      <c r="G347" s="124">
        <f>IF($D347=0,0,ROUND($D347*$E347,2))</f>
        <v/>
      </c>
      <c r="H347" s="125">
        <f>IF($C347="","",CONCATENATE("Belge: ",$B347,"/",$C347," ",TEXT($D347,"#,##0")))</f>
        <v/>
      </c>
    </row>
    <row r="348" ht="15" customHeight="1" s="80">
      <c r="A348" s="126" t="n"/>
      <c r="B348" s="127" t="n"/>
      <c r="C348" s="127" t="n"/>
      <c r="D348" s="128" t="n"/>
      <c r="E348" s="129" t="n"/>
      <c r="F348" s="127" t="n"/>
      <c r="G348" s="124">
        <f>IF($D348=0,0,ROUND($D348*$E348,2))</f>
        <v/>
      </c>
      <c r="H348" s="125">
        <f>IF($C348="","",CONCATENATE("Belge: ",$B348,"/",$C348," ",TEXT($D348,"#,##0")))</f>
        <v/>
      </c>
    </row>
    <row r="349" ht="15" customHeight="1" s="80">
      <c r="A349" s="126" t="n"/>
      <c r="B349" s="127" t="n"/>
      <c r="C349" s="127" t="n"/>
      <c r="D349" s="128" t="n"/>
      <c r="E349" s="129" t="n"/>
      <c r="F349" s="127" t="n"/>
      <c r="G349" s="124">
        <f>IF($D349=0,0,ROUND($D349*$E349,2))</f>
        <v/>
      </c>
      <c r="H349" s="125">
        <f>IF($C349="","",CONCATENATE("Belge: ",$B349,"/",$C349," ",TEXT($D349,"#,##0")))</f>
        <v/>
      </c>
    </row>
    <row r="350" ht="15" customHeight="1" s="80">
      <c r="A350" s="126" t="n"/>
      <c r="B350" s="127" t="n"/>
      <c r="C350" s="127" t="n"/>
      <c r="D350" s="128" t="n"/>
      <c r="E350" s="129" t="n"/>
      <c r="F350" s="127" t="n"/>
      <c r="G350" s="124">
        <f>IF($D350=0,0,ROUND($D350*$E350,2))</f>
        <v/>
      </c>
      <c r="H350" s="125">
        <f>IF($C350="","",CONCATENATE("Belge: ",$B350,"/",$C350," ",TEXT($D350,"#,##0")))</f>
        <v/>
      </c>
    </row>
    <row r="351" ht="15" customHeight="1" s="80">
      <c r="A351" s="126" t="n"/>
      <c r="B351" s="127" t="n"/>
      <c r="C351" s="127" t="n"/>
      <c r="D351" s="128" t="n"/>
      <c r="E351" s="129" t="n"/>
      <c r="F351" s="127" t="n"/>
      <c r="G351" s="124">
        <f>IF($D351=0,0,ROUND($D351*$E351,2))</f>
        <v/>
      </c>
      <c r="H351" s="125">
        <f>IF($C351="","",CONCATENATE("Belge: ",$B351,"/",$C351," ",TEXT($D351,"#,##0")))</f>
        <v/>
      </c>
    </row>
    <row r="352" ht="15" customHeight="1" s="80">
      <c r="A352" s="126" t="n"/>
      <c r="B352" s="127" t="n"/>
      <c r="C352" s="127" t="n"/>
      <c r="D352" s="128" t="n"/>
      <c r="E352" s="129" t="n"/>
      <c r="F352" s="127" t="n"/>
      <c r="G352" s="124">
        <f>IF($D352=0,0,ROUND($D352*$E352,2))</f>
        <v/>
      </c>
      <c r="H352" s="125">
        <f>IF($C352="","",CONCATENATE("Belge: ",$B352,"/",$C352," ",TEXT($D352,"#,##0")))</f>
        <v/>
      </c>
    </row>
    <row r="353" ht="15" customHeight="1" s="80">
      <c r="A353" s="126" t="n"/>
      <c r="B353" s="127" t="n"/>
      <c r="C353" s="127" t="n"/>
      <c r="D353" s="128" t="n"/>
      <c r="E353" s="129" t="n"/>
      <c r="F353" s="127" t="n"/>
      <c r="G353" s="124">
        <f>IF($D353=0,0,ROUND($D353*$E353,2))</f>
        <v/>
      </c>
      <c r="H353" s="125">
        <f>IF($C353="","",CONCATENATE("Belge: ",$B353,"/",$C353," ",TEXT($D353,"#,##0")))</f>
        <v/>
      </c>
    </row>
    <row r="354" ht="15" customHeight="1" s="80">
      <c r="A354" s="126" t="n"/>
      <c r="B354" s="127" t="n"/>
      <c r="C354" s="127" t="n"/>
      <c r="D354" s="128" t="n"/>
      <c r="E354" s="129" t="n"/>
      <c r="F354" s="127" t="n"/>
      <c r="G354" s="124">
        <f>IF($D354=0,0,ROUND($D354*$E354,2))</f>
        <v/>
      </c>
      <c r="H354" s="125">
        <f>IF($C354="","",CONCATENATE("Belge: ",$B354,"/",$C354," ",TEXT($D354,"#,##0")))</f>
        <v/>
      </c>
    </row>
    <row r="355" ht="15" customHeight="1" s="80">
      <c r="A355" s="126" t="n"/>
      <c r="B355" s="127" t="n"/>
      <c r="C355" s="127" t="n"/>
      <c r="D355" s="128" t="n"/>
      <c r="E355" s="129" t="n"/>
      <c r="F355" s="127" t="n"/>
      <c r="G355" s="124">
        <f>IF($D355=0,0,ROUND($D355*$E355,2))</f>
        <v/>
      </c>
      <c r="H355" s="125">
        <f>IF($C355="","",CONCATENATE("Belge: ",$B355,"/",$C355," ",TEXT($D355,"#,##0")))</f>
        <v/>
      </c>
    </row>
    <row r="356" ht="15" customHeight="1" s="80">
      <c r="A356" s="126" t="n"/>
      <c r="B356" s="127" t="n"/>
      <c r="C356" s="127" t="n"/>
      <c r="D356" s="128" t="n"/>
      <c r="E356" s="129" t="n"/>
      <c r="F356" s="127" t="n"/>
      <c r="G356" s="124">
        <f>IF($D356=0,0,ROUND($D356*$E356,2))</f>
        <v/>
      </c>
      <c r="H356" s="125">
        <f>IF($C356="","",CONCATENATE("Belge: ",$B356,"/",$C356," ",TEXT($D356,"#,##0")))</f>
        <v/>
      </c>
    </row>
    <row r="357" ht="15" customHeight="1" s="80">
      <c r="A357" s="126" t="n"/>
      <c r="B357" s="127" t="n"/>
      <c r="C357" s="127" t="n"/>
      <c r="D357" s="128" t="n"/>
      <c r="E357" s="129" t="n"/>
      <c r="F357" s="127" t="n"/>
      <c r="G357" s="124">
        <f>IF($D357=0,0,ROUND($D357*$E357,2))</f>
        <v/>
      </c>
      <c r="H357" s="125">
        <f>IF($C357="","",CONCATENATE("Belge: ",$B357,"/",$C357," ",TEXT($D357,"#,##0")))</f>
        <v/>
      </c>
    </row>
    <row r="358" ht="15" customHeight="1" s="80">
      <c r="A358" s="126" t="n"/>
      <c r="B358" s="127" t="n"/>
      <c r="C358" s="127" t="n"/>
      <c r="D358" s="128" t="n"/>
      <c r="E358" s="129" t="n"/>
      <c r="F358" s="127" t="n"/>
      <c r="G358" s="124">
        <f>IF($D358=0,0,ROUND($D358*$E358,2))</f>
        <v/>
      </c>
      <c r="H358" s="125">
        <f>IF($C358="","",CONCATENATE("Belge: ",$B358,"/",$C358," ",TEXT($D358,"#,##0")))</f>
        <v/>
      </c>
    </row>
    <row r="359" ht="15" customHeight="1" s="80">
      <c r="A359" s="126" t="n"/>
      <c r="B359" s="127" t="n"/>
      <c r="C359" s="127" t="n"/>
      <c r="D359" s="128" t="n"/>
      <c r="E359" s="129" t="n"/>
      <c r="F359" s="127" t="n"/>
      <c r="G359" s="124">
        <f>IF($D359=0,0,ROUND($D359*$E359,2))</f>
        <v/>
      </c>
      <c r="H359" s="125">
        <f>IF($C359="","",CONCATENATE("Belge: ",$B359,"/",$C359," ",TEXT($D359,"#,##0")))</f>
        <v/>
      </c>
    </row>
    <row r="360" ht="15" customHeight="1" s="80">
      <c r="A360" s="126" t="n"/>
      <c r="B360" s="127" t="n"/>
      <c r="C360" s="127" t="n"/>
      <c r="D360" s="128" t="n"/>
      <c r="E360" s="129" t="n"/>
      <c r="F360" s="127" t="n"/>
      <c r="G360" s="124">
        <f>IF($D360=0,0,ROUND($D360*$E360,2))</f>
        <v/>
      </c>
      <c r="H360" s="125">
        <f>IF($C360="","",CONCATENATE("Belge: ",$B360,"/",$C360," ",TEXT($D360,"#,##0")))</f>
        <v/>
      </c>
    </row>
    <row r="361" ht="15" customHeight="1" s="80">
      <c r="A361" s="126" t="n"/>
      <c r="B361" s="127" t="n"/>
      <c r="C361" s="127" t="n"/>
      <c r="D361" s="128" t="n"/>
      <c r="E361" s="129" t="n"/>
      <c r="F361" s="127" t="n"/>
      <c r="G361" s="124">
        <f>IF($D361=0,0,ROUND($D361*$E361,2))</f>
        <v/>
      </c>
      <c r="H361" s="125">
        <f>IF($C361="","",CONCATENATE("Belge: ",$B361,"/",$C361," ",TEXT($D361,"#,##0")))</f>
        <v/>
      </c>
    </row>
    <row r="362" ht="15" customHeight="1" s="80">
      <c r="A362" s="126" t="n"/>
      <c r="B362" s="127" t="n"/>
      <c r="C362" s="127" t="n"/>
      <c r="D362" s="128" t="n"/>
      <c r="E362" s="129" t="n"/>
      <c r="F362" s="127" t="n"/>
      <c r="G362" s="124">
        <f>IF($D362=0,0,ROUND($D362*$E362,2))</f>
        <v/>
      </c>
      <c r="H362" s="125">
        <f>IF($C362="","",CONCATENATE("Belge: ",$B362,"/",$C362," ",TEXT($D362,"#,##0")))</f>
        <v/>
      </c>
    </row>
    <row r="363" ht="15" customHeight="1" s="80">
      <c r="A363" s="126" t="n"/>
      <c r="B363" s="127" t="n"/>
      <c r="C363" s="127" t="n"/>
      <c r="D363" s="128" t="n"/>
      <c r="E363" s="129" t="n"/>
      <c r="F363" s="127" t="n"/>
      <c r="G363" s="124">
        <f>IF($D363=0,0,ROUND($D363*$E363,2))</f>
        <v/>
      </c>
      <c r="H363" s="125">
        <f>IF($C363="","",CONCATENATE("Belge: ",$B363,"/",$C363," ",TEXT($D363,"#,##0")))</f>
        <v/>
      </c>
    </row>
    <row r="364" ht="15" customHeight="1" s="80">
      <c r="A364" s="126" t="n"/>
      <c r="B364" s="127" t="n"/>
      <c r="C364" s="127" t="n"/>
      <c r="D364" s="128" t="n"/>
      <c r="E364" s="129" t="n"/>
      <c r="F364" s="127" t="n"/>
      <c r="G364" s="124">
        <f>IF($D364=0,0,ROUND($D364*$E364,2))</f>
        <v/>
      </c>
      <c r="H364" s="125">
        <f>IF($C364="","",CONCATENATE("Belge: ",$B364,"/",$C364," ",TEXT($D364,"#,##0")))</f>
        <v/>
      </c>
    </row>
    <row r="365" ht="15" customHeight="1" s="80">
      <c r="A365" s="126" t="n"/>
      <c r="B365" s="127" t="n"/>
      <c r="C365" s="127" t="n"/>
      <c r="D365" s="128" t="n"/>
      <c r="E365" s="129" t="n"/>
      <c r="F365" s="127" t="n"/>
      <c r="G365" s="124">
        <f>IF($D365=0,0,ROUND($D365*$E365,2))</f>
        <v/>
      </c>
      <c r="H365" s="125">
        <f>IF($C365="","",CONCATENATE("Belge: ",$B365,"/",$C365," ",TEXT($D365,"#,##0")))</f>
        <v/>
      </c>
    </row>
    <row r="366" ht="15" customHeight="1" s="80">
      <c r="A366" s="126" t="n"/>
      <c r="B366" s="127" t="n"/>
      <c r="C366" s="127" t="n"/>
      <c r="D366" s="128" t="n"/>
      <c r="E366" s="129" t="n"/>
      <c r="F366" s="127" t="n"/>
      <c r="G366" s="124">
        <f>IF($D366=0,0,ROUND($D366*$E366,2))</f>
        <v/>
      </c>
      <c r="H366" s="125">
        <f>IF($C366="","",CONCATENATE("Belge: ",$B366,"/",$C366," ",TEXT($D366,"#,##0")))</f>
        <v/>
      </c>
    </row>
    <row r="367" ht="15" customHeight="1" s="80">
      <c r="A367" s="126" t="n"/>
      <c r="B367" s="127" t="n"/>
      <c r="C367" s="127" t="n"/>
      <c r="D367" s="128" t="n"/>
      <c r="E367" s="129" t="n"/>
      <c r="F367" s="127" t="n"/>
      <c r="G367" s="124">
        <f>IF($D367=0,0,ROUND($D367*$E367,2))</f>
        <v/>
      </c>
      <c r="H367" s="125">
        <f>IF($C367="","",CONCATENATE("Belge: ",$B367,"/",$C367," ",TEXT($D367,"#,##0")))</f>
        <v/>
      </c>
    </row>
    <row r="368" ht="15" customHeight="1" s="80">
      <c r="A368" s="126" t="n"/>
      <c r="B368" s="127" t="n"/>
      <c r="C368" s="127" t="n"/>
      <c r="D368" s="128" t="n"/>
      <c r="E368" s="129" t="n"/>
      <c r="F368" s="127" t="n"/>
      <c r="G368" s="124">
        <f>IF($D368=0,0,ROUND($D368*$E368,2))</f>
        <v/>
      </c>
      <c r="H368" s="125">
        <f>IF($C368="","",CONCATENATE("Belge: ",$B368,"/",$C368," ",TEXT($D368,"#,##0")))</f>
        <v/>
      </c>
    </row>
    <row r="369" ht="15" customHeight="1" s="80">
      <c r="A369" s="126" t="n"/>
      <c r="B369" s="127" t="n"/>
      <c r="C369" s="127" t="n"/>
      <c r="D369" s="128" t="n"/>
      <c r="E369" s="129" t="n"/>
      <c r="F369" s="127" t="n"/>
      <c r="G369" s="124">
        <f>IF($D369=0,0,ROUND($D369*$E369,2))</f>
        <v/>
      </c>
      <c r="H369" s="125">
        <f>IF($C369="","",CONCATENATE("Belge: ",$B369,"/",$C369," ",TEXT($D369,"#,##0")))</f>
        <v/>
      </c>
    </row>
    <row r="370" ht="15" customHeight="1" s="80">
      <c r="A370" s="126" t="n"/>
      <c r="B370" s="127" t="n"/>
      <c r="C370" s="127" t="n"/>
      <c r="D370" s="128" t="n"/>
      <c r="E370" s="129" t="n"/>
      <c r="F370" s="127" t="n"/>
      <c r="G370" s="124">
        <f>IF($D370=0,0,ROUND($D370*$E370,2))</f>
        <v/>
      </c>
      <c r="H370" s="125">
        <f>IF($C370="","",CONCATENATE("Belge: ",$B370,"/",$C370," ",TEXT($D370,"#,##0")))</f>
        <v/>
      </c>
    </row>
    <row r="371" ht="15" customHeight="1" s="80">
      <c r="A371" s="126" t="n"/>
      <c r="B371" s="127" t="n"/>
      <c r="C371" s="127" t="n"/>
      <c r="D371" s="128" t="n"/>
      <c r="E371" s="129" t="n"/>
      <c r="F371" s="127" t="n"/>
      <c r="G371" s="124">
        <f>IF($D371=0,0,ROUND($D371*$E371,2))</f>
        <v/>
      </c>
      <c r="H371" s="125">
        <f>IF($C371="","",CONCATENATE("Belge: ",$B371,"/",$C371," ",TEXT($D371,"#,##0")))</f>
        <v/>
      </c>
    </row>
    <row r="372" ht="15" customHeight="1" s="80">
      <c r="A372" s="126" t="n"/>
      <c r="B372" s="127" t="n"/>
      <c r="C372" s="127" t="n"/>
      <c r="D372" s="128" t="n"/>
      <c r="E372" s="129" t="n"/>
      <c r="F372" s="127" t="n"/>
      <c r="G372" s="124">
        <f>IF($D372=0,0,ROUND($D372*$E372,2))</f>
        <v/>
      </c>
      <c r="H372" s="125">
        <f>IF($C372="","",CONCATENATE("Belge: ",$B372,"/",$C372," ",TEXT($D372,"#,##0")))</f>
        <v/>
      </c>
    </row>
    <row r="373" ht="15" customHeight="1" s="80">
      <c r="A373" s="126" t="n"/>
      <c r="B373" s="127" t="n"/>
      <c r="C373" s="127" t="n"/>
      <c r="D373" s="128" t="n"/>
      <c r="E373" s="129" t="n"/>
      <c r="F373" s="127" t="n"/>
      <c r="G373" s="124">
        <f>IF($D373=0,0,ROUND($D373*$E373,2))</f>
        <v/>
      </c>
      <c r="H373" s="125">
        <f>IF($C373="","",CONCATENATE("Belge: ",$B373,"/",$C373," ",TEXT($D373,"#,##0")))</f>
        <v/>
      </c>
    </row>
    <row r="374" ht="15" customHeight="1" s="80">
      <c r="A374" s="126" t="n"/>
      <c r="B374" s="127" t="n"/>
      <c r="C374" s="127" t="n"/>
      <c r="D374" s="128" t="n"/>
      <c r="E374" s="129" t="n"/>
      <c r="F374" s="127" t="n"/>
      <c r="G374" s="124">
        <f>IF($D374=0,0,ROUND($D374*$E374,2))</f>
        <v/>
      </c>
      <c r="H374" s="125">
        <f>IF($C374="","",CONCATENATE("Belge: ",$B374,"/",$C374," ",TEXT($D374,"#,##0")))</f>
        <v/>
      </c>
    </row>
    <row r="375" ht="15" customHeight="1" s="80">
      <c r="A375" s="126" t="n"/>
      <c r="B375" s="127" t="n"/>
      <c r="C375" s="127" t="n"/>
      <c r="D375" s="128" t="n"/>
      <c r="E375" s="129" t="n"/>
      <c r="F375" s="127" t="n"/>
      <c r="G375" s="124">
        <f>IF($D375=0,0,ROUND($D375*$E375,2))</f>
        <v/>
      </c>
      <c r="H375" s="125">
        <f>IF($C375="","",CONCATENATE("Belge: ",$B375,"/",$C375," ",TEXT($D375,"#,##0")))</f>
        <v/>
      </c>
    </row>
    <row r="376" ht="15" customHeight="1" s="80">
      <c r="A376" s="126" t="n"/>
      <c r="B376" s="127" t="n"/>
      <c r="C376" s="127" t="n"/>
      <c r="D376" s="128" t="n"/>
      <c r="E376" s="129" t="n"/>
      <c r="F376" s="127" t="n"/>
      <c r="G376" s="124">
        <f>IF($D376=0,0,ROUND($D376*$E376,2))</f>
        <v/>
      </c>
      <c r="H376" s="125">
        <f>IF($C376="","",CONCATENATE("Belge: ",$B376,"/",$C376," ",TEXT($D376,"#,##0")))</f>
        <v/>
      </c>
    </row>
    <row r="377" ht="15" customHeight="1" s="80">
      <c r="A377" s="126" t="n"/>
      <c r="B377" s="127" t="n"/>
      <c r="C377" s="127" t="n"/>
      <c r="D377" s="128" t="n"/>
      <c r="E377" s="129" t="n"/>
      <c r="F377" s="127" t="n"/>
      <c r="G377" s="124">
        <f>IF($D377=0,0,ROUND($D377*$E377,2))</f>
        <v/>
      </c>
      <c r="H377" s="125">
        <f>IF($C377="","",CONCATENATE("Belge: ",$B377,"/",$C377," ",TEXT($D377,"#,##0")))</f>
        <v/>
      </c>
    </row>
    <row r="378" ht="15" customHeight="1" s="80">
      <c r="A378" s="126" t="n"/>
      <c r="B378" s="127" t="n"/>
      <c r="C378" s="127" t="n"/>
      <c r="D378" s="128" t="n"/>
      <c r="E378" s="129" t="n"/>
      <c r="F378" s="127" t="n"/>
      <c r="G378" s="124">
        <f>IF($D378=0,0,ROUND($D378*$E378,2))</f>
        <v/>
      </c>
      <c r="H378" s="125">
        <f>IF($C378="","",CONCATENATE("Belge: ",$B378,"/",$C378," ",TEXT($D378,"#,##0")))</f>
        <v/>
      </c>
    </row>
    <row r="379" ht="15" customHeight="1" s="80">
      <c r="A379" s="126" t="n"/>
      <c r="B379" s="127" t="n"/>
      <c r="C379" s="127" t="n"/>
      <c r="D379" s="128" t="n"/>
      <c r="E379" s="129" t="n"/>
      <c r="F379" s="127" t="n"/>
      <c r="G379" s="124">
        <f>IF($D379=0,0,ROUND($D379*$E379,2))</f>
        <v/>
      </c>
      <c r="H379" s="125">
        <f>IF($C379="","",CONCATENATE("Belge: ",$B379,"/",$C379," ",TEXT($D379,"#,##0")))</f>
        <v/>
      </c>
    </row>
    <row r="380" ht="15" customHeight="1" s="80">
      <c r="A380" s="126" t="n"/>
      <c r="B380" s="127" t="n"/>
      <c r="C380" s="127" t="n"/>
      <c r="D380" s="128" t="n"/>
      <c r="E380" s="129" t="n"/>
      <c r="F380" s="127" t="n"/>
      <c r="G380" s="124">
        <f>IF($D380=0,0,ROUND($D380*$E380,2))</f>
        <v/>
      </c>
      <c r="H380" s="125">
        <f>IF($C380="","",CONCATENATE("Belge: ",$B380,"/",$C380," ",TEXT($D380,"#,##0")))</f>
        <v/>
      </c>
    </row>
    <row r="381" ht="15" customHeight="1" s="80">
      <c r="A381" s="126" t="n"/>
      <c r="B381" s="127" t="n"/>
      <c r="C381" s="127" t="n"/>
      <c r="D381" s="128" t="n"/>
      <c r="E381" s="129" t="n"/>
      <c r="F381" s="127" t="n"/>
      <c r="G381" s="124">
        <f>IF($D381=0,0,ROUND($D381*$E381,2))</f>
        <v/>
      </c>
      <c r="H381" s="125">
        <f>IF($C381="","",CONCATENATE("Belge: ",$B381,"/",$C381," ",TEXT($D381,"#,##0")))</f>
        <v/>
      </c>
    </row>
    <row r="382" ht="15" customHeight="1" s="80">
      <c r="A382" s="126" t="n"/>
      <c r="B382" s="127" t="n"/>
      <c r="C382" s="127" t="n"/>
      <c r="D382" s="128" t="n"/>
      <c r="E382" s="129" t="n"/>
      <c r="F382" s="127" t="n"/>
      <c r="G382" s="124">
        <f>IF($D382=0,0,ROUND($D382*$E382,2))</f>
        <v/>
      </c>
      <c r="H382" s="125">
        <f>IF($C382="","",CONCATENATE("Belge: ",$B382,"/",$C382," ",TEXT($D382,"#,##0")))</f>
        <v/>
      </c>
    </row>
    <row r="383" ht="15" customHeight="1" s="80">
      <c r="A383" s="126" t="n"/>
      <c r="B383" s="127" t="n"/>
      <c r="C383" s="127" t="n"/>
      <c r="D383" s="128" t="n"/>
      <c r="E383" s="129" t="n"/>
      <c r="F383" s="127" t="n"/>
      <c r="G383" s="124">
        <f>IF($D383=0,0,ROUND($D383*$E383,2))</f>
        <v/>
      </c>
      <c r="H383" s="125">
        <f>IF($C383="","",CONCATENATE("Belge: ",$B383,"/",$C383," ",TEXT($D383,"#,##0")))</f>
        <v/>
      </c>
    </row>
    <row r="384" ht="15" customHeight="1" s="80">
      <c r="A384" s="126" t="n"/>
      <c r="B384" s="127" t="n"/>
      <c r="C384" s="127" t="n"/>
      <c r="D384" s="128" t="n"/>
      <c r="E384" s="129" t="n"/>
      <c r="F384" s="127" t="n"/>
      <c r="G384" s="124">
        <f>IF($D384=0,0,ROUND($D384*$E384,2))</f>
        <v/>
      </c>
      <c r="H384" s="125">
        <f>IF($C384="","",CONCATENATE("Belge: ",$B384,"/",$C384," ",TEXT($D384,"#,##0")))</f>
        <v/>
      </c>
    </row>
    <row r="385" ht="15" customHeight="1" s="80">
      <c r="A385" s="126" t="n"/>
      <c r="B385" s="127" t="n"/>
      <c r="C385" s="127" t="n"/>
      <c r="D385" s="128" t="n"/>
      <c r="E385" s="129" t="n"/>
      <c r="F385" s="127" t="n"/>
      <c r="G385" s="124">
        <f>IF($D385=0,0,ROUND($D385*$E385,2))</f>
        <v/>
      </c>
      <c r="H385" s="125">
        <f>IF($C385="","",CONCATENATE("Belge: ",$B385,"/",$C385," ",TEXT($D385,"#,##0")))</f>
        <v/>
      </c>
    </row>
    <row r="386" ht="15" customHeight="1" s="80">
      <c r="A386" s="126" t="n"/>
      <c r="B386" s="127" t="n"/>
      <c r="C386" s="127" t="n"/>
      <c r="D386" s="128" t="n"/>
      <c r="E386" s="129" t="n"/>
      <c r="F386" s="127" t="n"/>
      <c r="G386" s="124">
        <f>IF($D386=0,0,ROUND($D386*$E386,2))</f>
        <v/>
      </c>
      <c r="H386" s="125">
        <f>IF($C386="","",CONCATENATE("Belge: ",$B386,"/",$C386," ",TEXT($D386,"#,##0")))</f>
        <v/>
      </c>
    </row>
    <row r="387" ht="15" customHeight="1" s="80">
      <c r="A387" s="126" t="n"/>
      <c r="B387" s="127" t="n"/>
      <c r="C387" s="127" t="n"/>
      <c r="D387" s="128" t="n"/>
      <c r="E387" s="129" t="n"/>
      <c r="F387" s="127" t="n"/>
      <c r="G387" s="124">
        <f>IF($D387=0,0,ROUND($D387*$E387,2))</f>
        <v/>
      </c>
      <c r="H387" s="125">
        <f>IF($C387="","",CONCATENATE("Belge: ",$B387,"/",$C387," ",TEXT($D387,"#,##0")))</f>
        <v/>
      </c>
    </row>
    <row r="388" ht="15" customHeight="1" s="80">
      <c r="A388" s="126" t="n"/>
      <c r="B388" s="127" t="n"/>
      <c r="C388" s="127" t="n"/>
      <c r="D388" s="128" t="n"/>
      <c r="E388" s="129" t="n"/>
      <c r="F388" s="127" t="n"/>
      <c r="G388" s="124">
        <f>IF($D388=0,0,ROUND($D388*$E388,2))</f>
        <v/>
      </c>
      <c r="H388" s="125">
        <f>IF($C388="","",CONCATENATE("Belge: ",$B388,"/",$C388," ",TEXT($D388,"#,##0")))</f>
        <v/>
      </c>
    </row>
    <row r="389" ht="15" customHeight="1" s="80">
      <c r="A389" s="126" t="n"/>
      <c r="B389" s="127" t="n"/>
      <c r="C389" s="127" t="n"/>
      <c r="D389" s="128" t="n"/>
      <c r="E389" s="129" t="n"/>
      <c r="F389" s="127" t="n"/>
      <c r="G389" s="124">
        <f>IF($D389=0,0,ROUND($D389*$E389,2))</f>
        <v/>
      </c>
      <c r="H389" s="125">
        <f>IF($C389="","",CONCATENATE("Belge: ",$B389,"/",$C389," ",TEXT($D389,"#,##0")))</f>
        <v/>
      </c>
    </row>
    <row r="390" ht="15" customHeight="1" s="80">
      <c r="A390" s="126" t="n"/>
      <c r="B390" s="127" t="n"/>
      <c r="C390" s="127" t="n"/>
      <c r="D390" s="128" t="n"/>
      <c r="E390" s="129" t="n"/>
      <c r="F390" s="127" t="n"/>
      <c r="G390" s="124">
        <f>IF($D390=0,0,ROUND($D390*$E390,2))</f>
        <v/>
      </c>
      <c r="H390" s="125">
        <f>IF($C390="","",CONCATENATE("Belge: ",$B390,"/",$C390," ",TEXT($D390,"#,##0")))</f>
        <v/>
      </c>
    </row>
    <row r="391" ht="15" customHeight="1" s="80">
      <c r="A391" s="126" t="n"/>
      <c r="B391" s="127" t="n"/>
      <c r="C391" s="127" t="n"/>
      <c r="D391" s="128" t="n"/>
      <c r="E391" s="129" t="n"/>
      <c r="F391" s="127" t="n"/>
      <c r="G391" s="124">
        <f>IF($D391=0,0,ROUND($D391*$E391,2))</f>
        <v/>
      </c>
      <c r="H391" s="125">
        <f>IF($C391="","",CONCATENATE("Belge: ",$B391,"/",$C391," ",TEXT($D391,"#,##0")))</f>
        <v/>
      </c>
    </row>
    <row r="392" ht="15" customHeight="1" s="80">
      <c r="A392" s="126" t="n"/>
      <c r="B392" s="127" t="n"/>
      <c r="C392" s="127" t="n"/>
      <c r="D392" s="128" t="n"/>
      <c r="E392" s="129" t="n"/>
      <c r="F392" s="127" t="n"/>
      <c r="G392" s="124">
        <f>IF($D392=0,0,ROUND($D392*$E392,2))</f>
        <v/>
      </c>
      <c r="H392" s="125">
        <f>IF($C392="","",CONCATENATE("Belge: ",$B392,"/",$C392," ",TEXT($D392,"#,##0")))</f>
        <v/>
      </c>
    </row>
    <row r="393" ht="15" customHeight="1" s="80">
      <c r="A393" s="126" t="n"/>
      <c r="B393" s="127" t="n"/>
      <c r="C393" s="127" t="n"/>
      <c r="D393" s="128" t="n"/>
      <c r="E393" s="129" t="n"/>
      <c r="F393" s="127" t="n"/>
      <c r="G393" s="124">
        <f>IF($D393=0,0,ROUND($D393*$E393,2))</f>
        <v/>
      </c>
      <c r="H393" s="125">
        <f>IF($C393="","",CONCATENATE("Belge: ",$B393,"/",$C393," ",TEXT($D393,"#,##0")))</f>
        <v/>
      </c>
    </row>
    <row r="394" ht="15" customHeight="1" s="80">
      <c r="A394" s="126" t="n"/>
      <c r="B394" s="127" t="n"/>
      <c r="C394" s="127" t="n"/>
      <c r="D394" s="128" t="n"/>
      <c r="E394" s="129" t="n"/>
      <c r="F394" s="127" t="n"/>
      <c r="G394" s="124">
        <f>IF($D394=0,0,ROUND($D394*$E394,2))</f>
        <v/>
      </c>
      <c r="H394" s="125">
        <f>IF($C394="","",CONCATENATE("Belge: ",$B394,"/",$C394," ",TEXT($D394,"#,##0")))</f>
        <v/>
      </c>
    </row>
    <row r="395" ht="15" customHeight="1" s="80">
      <c r="A395" s="126" t="n"/>
      <c r="B395" s="127" t="n"/>
      <c r="C395" s="127" t="n"/>
      <c r="D395" s="128" t="n"/>
      <c r="E395" s="129" t="n"/>
      <c r="F395" s="127" t="n"/>
      <c r="G395" s="124">
        <f>IF($D395=0,0,ROUND($D395*$E395,2))</f>
        <v/>
      </c>
      <c r="H395" s="125">
        <f>IF($C395="","",CONCATENATE("Belge: ",$B395,"/",$C395," ",TEXT($D395,"#,##0")))</f>
        <v/>
      </c>
    </row>
    <row r="396" ht="15" customHeight="1" s="80">
      <c r="A396" s="126" t="n"/>
      <c r="B396" s="127" t="n"/>
      <c r="C396" s="127" t="n"/>
      <c r="D396" s="128" t="n"/>
      <c r="E396" s="129" t="n"/>
      <c r="F396" s="127" t="n"/>
      <c r="G396" s="124">
        <f>IF($D396=0,0,ROUND($D396*$E396,2))</f>
        <v/>
      </c>
      <c r="H396" s="125">
        <f>IF($C396="","",CONCATENATE("Belge: ",$B396,"/",$C396," ",TEXT($D396,"#,##0")))</f>
        <v/>
      </c>
    </row>
    <row r="397" ht="15" customHeight="1" s="80">
      <c r="A397" s="126" t="n"/>
      <c r="B397" s="127" t="n"/>
      <c r="C397" s="127" t="n"/>
      <c r="D397" s="128" t="n"/>
      <c r="E397" s="129" t="n"/>
      <c r="F397" s="127" t="n"/>
      <c r="G397" s="124">
        <f>IF($D397=0,0,ROUND($D397*$E397,2))</f>
        <v/>
      </c>
      <c r="H397" s="125">
        <f>IF($C397="","",CONCATENATE("Belge: ",$B397,"/",$C397," ",TEXT($D397,"#,##0")))</f>
        <v/>
      </c>
    </row>
    <row r="398" ht="15" customHeight="1" s="80">
      <c r="A398" s="126" t="n"/>
      <c r="B398" s="127" t="n"/>
      <c r="C398" s="127" t="n"/>
      <c r="D398" s="128" t="n"/>
      <c r="E398" s="129" t="n"/>
      <c r="F398" s="127" t="n"/>
      <c r="G398" s="124">
        <f>IF($D398=0,0,ROUND($D398*$E398,2))</f>
        <v/>
      </c>
      <c r="H398" s="125">
        <f>IF($C398="","",CONCATENATE("Belge: ",$B398,"/",$C398," ",TEXT($D398,"#,##0")))</f>
        <v/>
      </c>
    </row>
    <row r="399" ht="15" customHeight="1" s="80">
      <c r="A399" s="126" t="n"/>
      <c r="B399" s="127" t="n"/>
      <c r="C399" s="127" t="n"/>
      <c r="D399" s="128" t="n"/>
      <c r="E399" s="129" t="n"/>
      <c r="F399" s="127" t="n"/>
      <c r="G399" s="124">
        <f>IF($D399=0,0,ROUND($D399*$E399,2))</f>
        <v/>
      </c>
      <c r="H399" s="125">
        <f>IF($C399="","",CONCATENATE("Belge: ",$B399,"/",$C399," ",TEXT($D399,"#,##0")))</f>
        <v/>
      </c>
    </row>
    <row r="400" ht="15" customHeight="1" s="80">
      <c r="A400" s="126" t="n"/>
      <c r="B400" s="127" t="n"/>
      <c r="C400" s="127" t="n"/>
      <c r="D400" s="128" t="n"/>
      <c r="E400" s="129" t="n"/>
      <c r="F400" s="127" t="n"/>
      <c r="G400" s="124">
        <f>IF($D400=0,0,ROUND($D400*$E400,2))</f>
        <v/>
      </c>
      <c r="H400" s="125">
        <f>IF($C400="","",CONCATENATE("Belge: ",$B400,"/",$C400," ",TEXT($D400,"#,##0")))</f>
        <v/>
      </c>
    </row>
    <row r="401" ht="15" customHeight="1" s="80">
      <c r="A401" s="126" t="n"/>
      <c r="B401" s="127" t="n"/>
      <c r="C401" s="127" t="n"/>
      <c r="D401" s="128" t="n"/>
      <c r="E401" s="129" t="n"/>
      <c r="F401" s="127" t="n"/>
      <c r="G401" s="124">
        <f>IF($D401=0,0,ROUND($D401*$E401,2))</f>
        <v/>
      </c>
      <c r="H401" s="125">
        <f>IF($C401="","",CONCATENATE("Belge: ",$B401,"/",$C401," ",TEXT($D401,"#,##0")))</f>
        <v/>
      </c>
    </row>
    <row r="402" ht="15" customHeight="1" s="80">
      <c r="A402" s="126" t="n"/>
      <c r="B402" s="127" t="n"/>
      <c r="C402" s="127" t="n"/>
      <c r="D402" s="128" t="n"/>
      <c r="E402" s="129" t="n"/>
      <c r="F402" s="127" t="n"/>
      <c r="G402" s="124">
        <f>IF($D402=0,0,ROUND($D402*$E402,2))</f>
        <v/>
      </c>
      <c r="H402" s="125">
        <f>IF($C402="","",CONCATENATE("Belge: ",$B402,"/",$C402," ",TEXT($D402,"#,##0")))</f>
        <v/>
      </c>
    </row>
    <row r="403" ht="15" customHeight="1" s="80">
      <c r="A403" s="126" t="n"/>
      <c r="B403" s="127" t="n"/>
      <c r="C403" s="127" t="n"/>
      <c r="D403" s="128" t="n"/>
      <c r="E403" s="129" t="n"/>
      <c r="F403" s="127" t="n"/>
      <c r="G403" s="124">
        <f>IF($D403=0,0,ROUND($D403*$E403,2))</f>
        <v/>
      </c>
      <c r="H403" s="125">
        <f>IF($C403="","",CONCATENATE("Belge: ",$B403,"/",$C403," ",TEXT($D403,"#,##0")))</f>
        <v/>
      </c>
    </row>
    <row r="404" ht="15" customHeight="1" s="80">
      <c r="A404" s="126" t="n"/>
      <c r="B404" s="127" t="n"/>
      <c r="C404" s="127" t="n"/>
      <c r="D404" s="128" t="n"/>
      <c r="E404" s="129" t="n"/>
      <c r="F404" s="127" t="n"/>
      <c r="G404" s="124">
        <f>IF($D404=0,0,ROUND($D404*$E404,2))</f>
        <v/>
      </c>
      <c r="H404" s="125">
        <f>IF($C404="","",CONCATENATE("Belge: ",$B404,"/",$C404," ",TEXT($D404,"#,##0")))</f>
        <v/>
      </c>
    </row>
    <row r="405" ht="15" customHeight="1" s="80">
      <c r="A405" s="126" t="n"/>
      <c r="B405" s="127" t="n"/>
      <c r="C405" s="127" t="n"/>
      <c r="D405" s="128" t="n"/>
      <c r="E405" s="129" t="n"/>
      <c r="F405" s="127" t="n"/>
      <c r="G405" s="124">
        <f>IF($D405=0,0,ROUND($D405*$E405,2))</f>
        <v/>
      </c>
      <c r="H405" s="125">
        <f>IF($C405="","",CONCATENATE("Belge: ",$B405,"/",$C405," ",TEXT($D405,"#,##0")))</f>
        <v/>
      </c>
    </row>
    <row r="406" ht="15" customHeight="1" s="80">
      <c r="A406" s="126" t="n"/>
      <c r="B406" s="127" t="n"/>
      <c r="C406" s="127" t="n"/>
      <c r="D406" s="128" t="n"/>
      <c r="E406" s="129" t="n"/>
      <c r="F406" s="127" t="n"/>
      <c r="G406" s="124">
        <f>IF($D406=0,0,ROUND($D406*$E406,2))</f>
        <v/>
      </c>
      <c r="H406" s="125">
        <f>IF($C406="","",CONCATENATE("Belge: ",$B406,"/",$C406," ",TEXT($D406,"#,##0")))</f>
        <v/>
      </c>
    </row>
    <row r="407" ht="15" customHeight="1" s="80">
      <c r="A407" s="126" t="n"/>
      <c r="B407" s="127" t="n"/>
      <c r="C407" s="127" t="n"/>
      <c r="D407" s="128" t="n"/>
      <c r="E407" s="129" t="n"/>
      <c r="F407" s="127" t="n"/>
      <c r="G407" s="124">
        <f>IF($D407=0,0,ROUND($D407*$E407,2))</f>
        <v/>
      </c>
      <c r="H407" s="125">
        <f>IF($C407="","",CONCATENATE("Belge: ",$B407,"/",$C407," ",TEXT($D407,"#,##0")))</f>
        <v/>
      </c>
    </row>
    <row r="408" ht="15" customHeight="1" s="80">
      <c r="A408" s="126" t="n"/>
      <c r="B408" s="127" t="n"/>
      <c r="C408" s="127" t="n"/>
      <c r="D408" s="128" t="n"/>
      <c r="E408" s="129" t="n"/>
      <c r="F408" s="127" t="n"/>
      <c r="G408" s="124">
        <f>IF($D408=0,0,ROUND($D408*$E408,2))</f>
        <v/>
      </c>
      <c r="H408" s="125">
        <f>IF($C408="","",CONCATENATE("Belge: ",$B408,"/",$C408," ",TEXT($D408,"#,##0")))</f>
        <v/>
      </c>
    </row>
    <row r="409" ht="15" customHeight="1" s="80">
      <c r="A409" s="126" t="n"/>
      <c r="B409" s="127" t="n"/>
      <c r="C409" s="127" t="n"/>
      <c r="D409" s="128" t="n"/>
      <c r="E409" s="129" t="n"/>
      <c r="F409" s="127" t="n"/>
      <c r="G409" s="124">
        <f>IF($D409=0,0,ROUND($D409*$E409,2))</f>
        <v/>
      </c>
      <c r="H409" s="125">
        <f>IF($C409="","",CONCATENATE("Belge: ",$B409,"/",$C409," ",TEXT($D409,"#,##0")))</f>
        <v/>
      </c>
    </row>
    <row r="410" ht="15" customHeight="1" s="80">
      <c r="A410" s="126" t="n"/>
      <c r="B410" s="127" t="n"/>
      <c r="C410" s="127" t="n"/>
      <c r="D410" s="128" t="n"/>
      <c r="E410" s="129" t="n"/>
      <c r="F410" s="127" t="n"/>
      <c r="G410" s="124">
        <f>IF($D410=0,0,ROUND($D410*$E410,2))</f>
        <v/>
      </c>
      <c r="H410" s="125">
        <f>IF($C410="","",CONCATENATE("Belge: ",$B410,"/",$C410," ",TEXT($D410,"#,##0")))</f>
        <v/>
      </c>
    </row>
    <row r="411" ht="15" customHeight="1" s="80">
      <c r="A411" s="126" t="n"/>
      <c r="B411" s="127" t="n"/>
      <c r="C411" s="127" t="n"/>
      <c r="D411" s="128" t="n"/>
      <c r="E411" s="129" t="n"/>
      <c r="F411" s="127" t="n"/>
      <c r="G411" s="124">
        <f>IF($D411=0,0,ROUND($D411*$E411,2))</f>
        <v/>
      </c>
      <c r="H411" s="125">
        <f>IF($C411="","",CONCATENATE("Belge: ",$B411,"/",$C411," ",TEXT($D411,"#,##0")))</f>
        <v/>
      </c>
    </row>
    <row r="412" ht="15" customHeight="1" s="80">
      <c r="A412" s="126" t="n"/>
      <c r="B412" s="127" t="n"/>
      <c r="C412" s="127" t="n"/>
      <c r="D412" s="128" t="n"/>
      <c r="E412" s="129" t="n"/>
      <c r="F412" s="127" t="n"/>
      <c r="G412" s="124">
        <f>IF($D412=0,0,ROUND($D412*$E412,2))</f>
        <v/>
      </c>
      <c r="H412" s="125">
        <f>IF($C412="","",CONCATENATE("Belge: ",$B412,"/",$C412," ",TEXT($D412,"#,##0")))</f>
        <v/>
      </c>
    </row>
    <row r="413" ht="15" customHeight="1" s="80">
      <c r="A413" s="126" t="n"/>
      <c r="B413" s="127" t="n"/>
      <c r="C413" s="127" t="n"/>
      <c r="D413" s="128" t="n"/>
      <c r="E413" s="129" t="n"/>
      <c r="F413" s="127" t="n"/>
      <c r="G413" s="124">
        <f>IF($D413=0,0,ROUND($D413*$E413,2))</f>
        <v/>
      </c>
      <c r="H413" s="125">
        <f>IF($C413="","",CONCATENATE("Belge: ",$B413,"/",$C413," ",TEXT($D413,"#,##0")))</f>
        <v/>
      </c>
    </row>
    <row r="414" ht="15" customHeight="1" s="80">
      <c r="A414" s="126" t="n"/>
      <c r="B414" s="127" t="n"/>
      <c r="C414" s="127" t="n"/>
      <c r="D414" s="128" t="n"/>
      <c r="E414" s="129" t="n"/>
      <c r="F414" s="127" t="n"/>
      <c r="G414" s="124">
        <f>IF($D414=0,0,ROUND($D414*$E414,2))</f>
        <v/>
      </c>
      <c r="H414" s="125">
        <f>IF($C414="","",CONCATENATE("Belge: ",$B414,"/",$C414," ",TEXT($D414,"#,##0")))</f>
        <v/>
      </c>
    </row>
    <row r="415" ht="15" customHeight="1" s="80">
      <c r="A415" s="126" t="n"/>
      <c r="B415" s="127" t="n"/>
      <c r="C415" s="127" t="n"/>
      <c r="D415" s="128" t="n"/>
      <c r="E415" s="129" t="n"/>
      <c r="F415" s="127" t="n"/>
      <c r="G415" s="124">
        <f>IF($D415=0,0,ROUND($D415*$E415,2))</f>
        <v/>
      </c>
      <c r="H415" s="125">
        <f>IF($C415="","",CONCATENATE("Belge: ",$B415,"/",$C415," ",TEXT($D415,"#,##0")))</f>
        <v/>
      </c>
    </row>
    <row r="416" ht="15" customHeight="1" s="80">
      <c r="A416" s="126" t="n"/>
      <c r="B416" s="127" t="n"/>
      <c r="C416" s="127" t="n"/>
      <c r="D416" s="128" t="n"/>
      <c r="E416" s="129" t="n"/>
      <c r="F416" s="127" t="n"/>
      <c r="G416" s="124">
        <f>IF($D416=0,0,ROUND($D416*$E416,2))</f>
        <v/>
      </c>
      <c r="H416" s="125">
        <f>IF($C416="","",CONCATENATE("Belge: ",$B416,"/",$C416," ",TEXT($D416,"#,##0")))</f>
        <v/>
      </c>
    </row>
    <row r="417" ht="15" customHeight="1" s="80">
      <c r="A417" s="126" t="n"/>
      <c r="B417" s="127" t="n"/>
      <c r="C417" s="127" t="n"/>
      <c r="D417" s="128" t="n"/>
      <c r="E417" s="129" t="n"/>
      <c r="F417" s="127" t="n"/>
      <c r="G417" s="124">
        <f>IF($D417=0,0,ROUND($D417*$E417,2))</f>
        <v/>
      </c>
      <c r="H417" s="125">
        <f>IF($C417="","",CONCATENATE("Belge: ",$B417,"/",$C417," ",TEXT($D417,"#,##0")))</f>
        <v/>
      </c>
    </row>
    <row r="418" ht="15" customHeight="1" s="80">
      <c r="A418" s="126" t="n"/>
      <c r="B418" s="127" t="n"/>
      <c r="C418" s="127" t="n"/>
      <c r="D418" s="128" t="n"/>
      <c r="E418" s="129" t="n"/>
      <c r="F418" s="127" t="n"/>
      <c r="G418" s="124">
        <f>IF($D418=0,0,ROUND($D418*$E418,2))</f>
        <v/>
      </c>
      <c r="H418" s="125">
        <f>IF($C418="","",CONCATENATE("Belge: ",$B418,"/",$C418," ",TEXT($D418,"#,##0")))</f>
        <v/>
      </c>
    </row>
    <row r="419" ht="15" customHeight="1" s="80">
      <c r="A419" s="126" t="n"/>
      <c r="B419" s="127" t="n"/>
      <c r="C419" s="127" t="n"/>
      <c r="D419" s="128" t="n"/>
      <c r="E419" s="129" t="n"/>
      <c r="F419" s="127" t="n"/>
      <c r="G419" s="124">
        <f>IF($D419=0,0,ROUND($D419*$E419,2))</f>
        <v/>
      </c>
      <c r="H419" s="125">
        <f>IF($C419="","",CONCATENATE("Belge: ",$B419,"/",$C419," ",TEXT($D419,"#,##0")))</f>
        <v/>
      </c>
    </row>
    <row r="420" ht="15" customHeight="1" s="80">
      <c r="A420" s="126" t="n"/>
      <c r="B420" s="127" t="n"/>
      <c r="C420" s="127" t="n"/>
      <c r="D420" s="128" t="n"/>
      <c r="E420" s="129" t="n"/>
      <c r="F420" s="127" t="n"/>
      <c r="G420" s="124">
        <f>IF($D420=0,0,ROUND($D420*$E420,2))</f>
        <v/>
      </c>
      <c r="H420" s="125">
        <f>IF($C420="","",CONCATENATE("Belge: ",$B420,"/",$C420," ",TEXT($D420,"#,##0")))</f>
        <v/>
      </c>
    </row>
    <row r="421" ht="15" customHeight="1" s="80">
      <c r="A421" s="126" t="n"/>
      <c r="B421" s="127" t="n"/>
      <c r="C421" s="127" t="n"/>
      <c r="D421" s="128" t="n"/>
      <c r="E421" s="129" t="n"/>
      <c r="F421" s="127" t="n"/>
      <c r="G421" s="124">
        <f>IF($D421=0,0,ROUND($D421*$E421,2))</f>
        <v/>
      </c>
      <c r="H421" s="125">
        <f>IF($C421="","",CONCATENATE("Belge: ",$B421,"/",$C421," ",TEXT($D421,"#,##0")))</f>
        <v/>
      </c>
    </row>
    <row r="422" ht="15" customHeight="1" s="80">
      <c r="A422" s="126" t="n"/>
      <c r="B422" s="127" t="n"/>
      <c r="C422" s="127" t="n"/>
      <c r="D422" s="128" t="n"/>
      <c r="E422" s="129" t="n"/>
      <c r="F422" s="127" t="n"/>
      <c r="G422" s="124">
        <f>IF($D422=0,0,ROUND($D422*$E422,2))</f>
        <v/>
      </c>
      <c r="H422" s="125">
        <f>IF($C422="","",CONCATENATE("Belge: ",$B422,"/",$C422," ",TEXT($D422,"#,##0")))</f>
        <v/>
      </c>
    </row>
    <row r="423" ht="15" customHeight="1" s="80">
      <c r="A423" s="126" t="n"/>
      <c r="B423" s="127" t="n"/>
      <c r="C423" s="127" t="n"/>
      <c r="D423" s="128" t="n"/>
      <c r="E423" s="129" t="n"/>
      <c r="F423" s="127" t="n"/>
      <c r="G423" s="124">
        <f>IF($D423=0,0,ROUND($D423*$E423,2))</f>
        <v/>
      </c>
      <c r="H423" s="125">
        <f>IF($C423="","",CONCATENATE("Belge: ",$B423,"/",$C423," ",TEXT($D423,"#,##0")))</f>
        <v/>
      </c>
    </row>
    <row r="424" ht="15" customHeight="1" s="80">
      <c r="A424" s="126" t="n"/>
      <c r="B424" s="127" t="n"/>
      <c r="C424" s="127" t="n"/>
      <c r="D424" s="128" t="n"/>
      <c r="E424" s="129" t="n"/>
      <c r="F424" s="127" t="n"/>
      <c r="G424" s="124">
        <f>IF($D424=0,0,ROUND($D424*$E424,2))</f>
        <v/>
      </c>
      <c r="H424" s="125">
        <f>IF($C424="","",CONCATENATE("Belge: ",$B424,"/",$C424," ",TEXT($D424,"#,##0")))</f>
        <v/>
      </c>
    </row>
    <row r="425" ht="15" customHeight="1" s="80">
      <c r="A425" s="126" t="n"/>
      <c r="B425" s="127" t="n"/>
      <c r="C425" s="127" t="n"/>
      <c r="D425" s="128" t="n"/>
      <c r="E425" s="129" t="n"/>
      <c r="F425" s="127" t="n"/>
      <c r="G425" s="124">
        <f>IF($D425=0,0,ROUND($D425*$E425,2))</f>
        <v/>
      </c>
      <c r="H425" s="125">
        <f>IF($C425="","",CONCATENATE("Belge: ",$B425,"/",$C425," ",TEXT($D425,"#,##0")))</f>
        <v/>
      </c>
    </row>
    <row r="426" ht="15" customHeight="1" s="80">
      <c r="A426" s="126" t="n"/>
      <c r="B426" s="127" t="n"/>
      <c r="C426" s="127" t="n"/>
      <c r="D426" s="128" t="n"/>
      <c r="E426" s="129" t="n"/>
      <c r="F426" s="127" t="n"/>
      <c r="G426" s="124">
        <f>IF($D426=0,0,ROUND($D426*$E426,2))</f>
        <v/>
      </c>
      <c r="H426" s="125">
        <f>IF($C426="","",CONCATENATE("Belge: ",$B426,"/",$C426," ",TEXT($D426,"#,##0")))</f>
        <v/>
      </c>
    </row>
    <row r="427" ht="15" customHeight="1" s="80">
      <c r="A427" s="126" t="n"/>
      <c r="B427" s="127" t="n"/>
      <c r="C427" s="127" t="n"/>
      <c r="D427" s="128" t="n"/>
      <c r="E427" s="129" t="n"/>
      <c r="F427" s="127" t="n"/>
      <c r="G427" s="124">
        <f>IF($D427=0,0,ROUND($D427*$E427,2))</f>
        <v/>
      </c>
      <c r="H427" s="125">
        <f>IF($C427="","",CONCATENATE("Belge: ",$B427,"/",$C427," ",TEXT($D427,"#,##0")))</f>
        <v/>
      </c>
    </row>
    <row r="428" ht="15" customHeight="1" s="80">
      <c r="A428" s="126" t="n"/>
      <c r="B428" s="127" t="n"/>
      <c r="C428" s="127" t="n"/>
      <c r="D428" s="128" t="n"/>
      <c r="E428" s="129" t="n"/>
      <c r="F428" s="127" t="n"/>
      <c r="G428" s="124">
        <f>IF($D428=0,0,ROUND($D428*$E428,2))</f>
        <v/>
      </c>
      <c r="H428" s="125">
        <f>IF($C428="","",CONCATENATE("Belge: ",$B428,"/",$C428," ",TEXT($D428,"#,##0")))</f>
        <v/>
      </c>
    </row>
    <row r="429" ht="15" customHeight="1" s="80">
      <c r="A429" s="126" t="n"/>
      <c r="B429" s="127" t="n"/>
      <c r="C429" s="127" t="n"/>
      <c r="D429" s="128" t="n"/>
      <c r="E429" s="129" t="n"/>
      <c r="F429" s="127" t="n"/>
      <c r="G429" s="124">
        <f>IF($D429=0,0,ROUND($D429*$E429,2))</f>
        <v/>
      </c>
      <c r="H429" s="125">
        <f>IF($C429="","",CONCATENATE("Belge: ",$B429,"/",$C429," ",TEXT($D429,"#,##0")))</f>
        <v/>
      </c>
    </row>
    <row r="430" ht="15" customHeight="1" s="80">
      <c r="A430" s="126" t="n"/>
      <c r="B430" s="127" t="n"/>
      <c r="C430" s="127" t="n"/>
      <c r="D430" s="128" t="n"/>
      <c r="E430" s="129" t="n"/>
      <c r="F430" s="127" t="n"/>
      <c r="G430" s="124">
        <f>IF($D430=0,0,ROUND($D430*$E430,2))</f>
        <v/>
      </c>
      <c r="H430" s="125">
        <f>IF($C430="","",CONCATENATE("Belge: ",$B430,"/",$C430," ",TEXT($D430,"#,##0")))</f>
        <v/>
      </c>
    </row>
    <row r="431" ht="15" customHeight="1" s="80">
      <c r="A431" s="126" t="n"/>
      <c r="B431" s="127" t="n"/>
      <c r="C431" s="127" t="n"/>
      <c r="D431" s="128" t="n"/>
      <c r="E431" s="129" t="n"/>
      <c r="F431" s="127" t="n"/>
      <c r="G431" s="124">
        <f>IF($D431=0,0,ROUND($D431*$E431,2))</f>
        <v/>
      </c>
      <c r="H431" s="125">
        <f>IF($C431="","",CONCATENATE("Belge: ",$B431,"/",$C431," ",TEXT($D431,"#,##0")))</f>
        <v/>
      </c>
    </row>
    <row r="432" ht="15" customHeight="1" s="80">
      <c r="A432" s="126" t="n"/>
      <c r="B432" s="127" t="n"/>
      <c r="C432" s="127" t="n"/>
      <c r="D432" s="128" t="n"/>
      <c r="E432" s="129" t="n"/>
      <c r="F432" s="127" t="n"/>
      <c r="G432" s="124">
        <f>IF($D432=0,0,ROUND($D432*$E432,2))</f>
        <v/>
      </c>
      <c r="H432" s="125">
        <f>IF($C432="","",CONCATENATE("Belge: ",$B432,"/",$C432," ",TEXT($D432,"#,##0")))</f>
        <v/>
      </c>
    </row>
    <row r="433" ht="15" customHeight="1" s="80">
      <c r="A433" s="126" t="n"/>
      <c r="B433" s="127" t="n"/>
      <c r="C433" s="127" t="n"/>
      <c r="D433" s="128" t="n"/>
      <c r="E433" s="129" t="n"/>
      <c r="F433" s="127" t="n"/>
      <c r="G433" s="124">
        <f>IF($D433=0,0,ROUND($D433*$E433,2))</f>
        <v/>
      </c>
      <c r="H433" s="125">
        <f>IF($C433="","",CONCATENATE("Belge: ",$B433,"/",$C433," ",TEXT($D433,"#,##0")))</f>
        <v/>
      </c>
    </row>
    <row r="434" ht="15" customHeight="1" s="80">
      <c r="A434" s="126" t="n"/>
      <c r="B434" s="127" t="n"/>
      <c r="C434" s="127" t="n"/>
      <c r="D434" s="128" t="n"/>
      <c r="E434" s="129" t="n"/>
      <c r="F434" s="127" t="n"/>
      <c r="G434" s="124">
        <f>IF($D434=0,0,ROUND($D434*$E434,2))</f>
        <v/>
      </c>
      <c r="H434" s="125">
        <f>IF($C434="","",CONCATENATE("Belge: ",$B434,"/",$C434," ",TEXT($D434,"#,##0")))</f>
        <v/>
      </c>
    </row>
    <row r="435" ht="15" customHeight="1" s="80">
      <c r="A435" s="126" t="n"/>
      <c r="B435" s="127" t="n"/>
      <c r="C435" s="127" t="n"/>
      <c r="D435" s="128" t="n"/>
      <c r="E435" s="129" t="n"/>
      <c r="F435" s="127" t="n"/>
      <c r="G435" s="124">
        <f>IF($D435=0,0,ROUND($D435*$E435,2))</f>
        <v/>
      </c>
      <c r="H435" s="125">
        <f>IF($C435="","",CONCATENATE("Belge: ",$B435,"/",$C435," ",TEXT($D435,"#,##0")))</f>
        <v/>
      </c>
    </row>
    <row r="436" ht="15" customHeight="1" s="80">
      <c r="A436" s="126" t="n"/>
      <c r="B436" s="127" t="n"/>
      <c r="C436" s="127" t="n"/>
      <c r="D436" s="128" t="n"/>
      <c r="E436" s="129" t="n"/>
      <c r="F436" s="127" t="n"/>
      <c r="G436" s="124">
        <f>IF($D436=0,0,ROUND($D436*$E436,2))</f>
        <v/>
      </c>
      <c r="H436" s="125">
        <f>IF($C436="","",CONCATENATE("Belge: ",$B436,"/",$C436," ",TEXT($D436,"#,##0")))</f>
        <v/>
      </c>
    </row>
    <row r="437" ht="15" customHeight="1" s="80">
      <c r="A437" s="126" t="n"/>
      <c r="B437" s="127" t="n"/>
      <c r="C437" s="127" t="n"/>
      <c r="D437" s="128" t="n"/>
      <c r="E437" s="129" t="n"/>
      <c r="F437" s="127" t="n"/>
      <c r="G437" s="124">
        <f>IF($D437=0,0,ROUND($D437*$E437,2))</f>
        <v/>
      </c>
      <c r="H437" s="125">
        <f>IF($C437="","",CONCATENATE("Belge: ",$B437,"/",$C437," ",TEXT($D437,"#,##0")))</f>
        <v/>
      </c>
    </row>
    <row r="438" ht="15" customHeight="1" s="80">
      <c r="A438" s="126" t="n"/>
      <c r="B438" s="127" t="n"/>
      <c r="C438" s="127" t="n"/>
      <c r="D438" s="128" t="n"/>
      <c r="E438" s="129" t="n"/>
      <c r="F438" s="127" t="n"/>
      <c r="G438" s="124">
        <f>IF($D438=0,0,ROUND($D438*$E438,2))</f>
        <v/>
      </c>
      <c r="H438" s="125">
        <f>IF($C438="","",CONCATENATE("Belge: ",$B438,"/",$C438," ",TEXT($D438,"#,##0")))</f>
        <v/>
      </c>
    </row>
    <row r="439" ht="15" customHeight="1" s="80">
      <c r="A439" s="126" t="n"/>
      <c r="B439" s="127" t="n"/>
      <c r="C439" s="127" t="n"/>
      <c r="D439" s="128" t="n"/>
      <c r="E439" s="129" t="n"/>
      <c r="F439" s="127" t="n"/>
      <c r="G439" s="124">
        <f>IF($D439=0,0,ROUND($D439*$E439,2))</f>
        <v/>
      </c>
      <c r="H439" s="125">
        <f>IF($C439="","",CONCATENATE("Belge: ",$B439,"/",$C439," ",TEXT($D439,"#,##0")))</f>
        <v/>
      </c>
    </row>
    <row r="440" ht="15" customHeight="1" s="80">
      <c r="A440" s="126" t="n"/>
      <c r="B440" s="127" t="n"/>
      <c r="C440" s="127" t="n"/>
      <c r="D440" s="128" t="n"/>
      <c r="E440" s="129" t="n"/>
      <c r="F440" s="127" t="n"/>
      <c r="G440" s="124">
        <f>IF($D440=0,0,ROUND($D440*$E440,2))</f>
        <v/>
      </c>
      <c r="H440" s="125">
        <f>IF($C440="","",CONCATENATE("Belge: ",$B440,"/",$C440," ",TEXT($D440,"#,##0")))</f>
        <v/>
      </c>
    </row>
    <row r="441" ht="15" customHeight="1" s="80">
      <c r="A441" s="126" t="n"/>
      <c r="B441" s="127" t="n"/>
      <c r="C441" s="127" t="n"/>
      <c r="D441" s="128" t="n"/>
      <c r="E441" s="129" t="n"/>
      <c r="F441" s="127" t="n"/>
      <c r="G441" s="124">
        <f>IF($D441=0,0,ROUND($D441*$E441,2))</f>
        <v/>
      </c>
      <c r="H441" s="125">
        <f>IF($C441="","",CONCATENATE("Belge: ",$B441,"/",$C441," ",TEXT($D441,"#,##0")))</f>
        <v/>
      </c>
    </row>
    <row r="442" ht="15" customHeight="1" s="80">
      <c r="A442" s="126" t="n"/>
      <c r="B442" s="127" t="n"/>
      <c r="C442" s="127" t="n"/>
      <c r="D442" s="128" t="n"/>
      <c r="E442" s="129" t="n"/>
      <c r="F442" s="127" t="n"/>
      <c r="G442" s="124">
        <f>IF($D442=0,0,ROUND($D442*$E442,2))</f>
        <v/>
      </c>
      <c r="H442" s="125">
        <f>IF($C442="","",CONCATENATE("Belge: ",$B442,"/",$C442," ",TEXT($D442,"#,##0")))</f>
        <v/>
      </c>
    </row>
    <row r="443" ht="15" customHeight="1" s="80">
      <c r="A443" s="126" t="n"/>
      <c r="B443" s="127" t="n"/>
      <c r="C443" s="127" t="n"/>
      <c r="D443" s="128" t="n"/>
      <c r="E443" s="129" t="n"/>
      <c r="F443" s="127" t="n"/>
      <c r="G443" s="124">
        <f>IF($D443=0,0,ROUND($D443*$E443,2))</f>
        <v/>
      </c>
      <c r="H443" s="125">
        <f>IF($C443="","",CONCATENATE("Belge: ",$B443,"/",$C443," ",TEXT($D443,"#,##0")))</f>
        <v/>
      </c>
    </row>
    <row r="444" ht="15" customHeight="1" s="80">
      <c r="A444" s="126" t="n"/>
      <c r="B444" s="127" t="n"/>
      <c r="C444" s="127" t="n"/>
      <c r="D444" s="128" t="n"/>
      <c r="E444" s="129" t="n"/>
      <c r="F444" s="127" t="n"/>
      <c r="G444" s="124">
        <f>IF($D444=0,0,ROUND($D444*$E444,2))</f>
        <v/>
      </c>
      <c r="H444" s="125">
        <f>IF($C444="","",CONCATENATE("Belge: ",$B444,"/",$C444," ",TEXT($D444,"#,##0")))</f>
        <v/>
      </c>
    </row>
    <row r="445" ht="15" customHeight="1" s="80">
      <c r="A445" s="126" t="n"/>
      <c r="B445" s="127" t="n"/>
      <c r="C445" s="127" t="n"/>
      <c r="D445" s="128" t="n"/>
      <c r="E445" s="129" t="n"/>
      <c r="F445" s="127" t="n"/>
      <c r="G445" s="124">
        <f>IF($D445=0,0,ROUND($D445*$E445,2))</f>
        <v/>
      </c>
      <c r="H445" s="125">
        <f>IF($C445="","",CONCATENATE("Belge: ",$B445,"/",$C445," ",TEXT($D445,"#,##0")))</f>
        <v/>
      </c>
    </row>
    <row r="446" ht="15" customHeight="1" s="80">
      <c r="A446" s="126" t="n"/>
      <c r="B446" s="127" t="n"/>
      <c r="C446" s="127" t="n"/>
      <c r="D446" s="128" t="n"/>
      <c r="E446" s="129" t="n"/>
      <c r="F446" s="127" t="n"/>
      <c r="G446" s="124">
        <f>IF($D446=0,0,ROUND($D446*$E446,2))</f>
        <v/>
      </c>
      <c r="H446" s="125">
        <f>IF($C446="","",CONCATENATE("Belge: ",$B446,"/",$C446," ",TEXT($D446,"#,##0")))</f>
        <v/>
      </c>
    </row>
    <row r="447" ht="15" customHeight="1" s="80">
      <c r="A447" s="126" t="n"/>
      <c r="B447" s="127" t="n"/>
      <c r="C447" s="127" t="n"/>
      <c r="D447" s="128" t="n"/>
      <c r="E447" s="129" t="n"/>
      <c r="F447" s="127" t="n"/>
      <c r="G447" s="124">
        <f>IF($D447=0,0,ROUND($D447*$E447,2))</f>
        <v/>
      </c>
      <c r="H447" s="125">
        <f>IF($C447="","",CONCATENATE("Belge: ",$B447,"/",$C447," ",TEXT($D447,"#,##0")))</f>
        <v/>
      </c>
    </row>
    <row r="448" ht="15" customHeight="1" s="80">
      <c r="A448" s="126" t="n"/>
      <c r="B448" s="127" t="n"/>
      <c r="C448" s="127" t="n"/>
      <c r="D448" s="128" t="n"/>
      <c r="E448" s="129" t="n"/>
      <c r="F448" s="127" t="n"/>
      <c r="G448" s="124">
        <f>IF($D448=0,0,ROUND($D448*$E448,2))</f>
        <v/>
      </c>
      <c r="H448" s="125">
        <f>IF($C448="","",CONCATENATE("Belge: ",$B448,"/",$C448," ",TEXT($D448,"#,##0")))</f>
        <v/>
      </c>
    </row>
    <row r="449" ht="15" customHeight="1" s="80">
      <c r="A449" s="126" t="n"/>
      <c r="B449" s="127" t="n"/>
      <c r="C449" s="127" t="n"/>
      <c r="D449" s="128" t="n"/>
      <c r="E449" s="129" t="n"/>
      <c r="F449" s="127" t="n"/>
      <c r="G449" s="124">
        <f>IF($D449=0,0,ROUND($D449*$E449,2))</f>
        <v/>
      </c>
      <c r="H449" s="125">
        <f>IF($C449="","",CONCATENATE("Belge: ",$B449,"/",$C449," ",TEXT($D449,"#,##0")))</f>
        <v/>
      </c>
    </row>
    <row r="450" ht="15" customHeight="1" s="80">
      <c r="A450" s="126" t="n"/>
      <c r="B450" s="127" t="n"/>
      <c r="C450" s="127" t="n"/>
      <c r="D450" s="128" t="n"/>
      <c r="E450" s="129" t="n"/>
      <c r="F450" s="127" t="n"/>
      <c r="G450" s="124">
        <f>IF($D450=0,0,ROUND($D450*$E450,2))</f>
        <v/>
      </c>
      <c r="H450" s="125">
        <f>IF($C450="","",CONCATENATE("Belge: ",$B450,"/",$C450," ",TEXT($D450,"#,##0")))</f>
        <v/>
      </c>
    </row>
    <row r="451" ht="15" customHeight="1" s="80">
      <c r="A451" s="126" t="n"/>
      <c r="B451" s="127" t="n"/>
      <c r="C451" s="127" t="n"/>
      <c r="D451" s="128" t="n"/>
      <c r="E451" s="129" t="n"/>
      <c r="F451" s="127" t="n"/>
      <c r="G451" s="124">
        <f>IF($D451=0,0,ROUND($D451*$E451,2))</f>
        <v/>
      </c>
      <c r="H451" s="125">
        <f>IF($C451="","",CONCATENATE("Belge: ",$B451,"/",$C451," ",TEXT($D451,"#,##0")))</f>
        <v/>
      </c>
    </row>
    <row r="452" ht="15" customHeight="1" s="80">
      <c r="A452" s="126" t="n"/>
      <c r="B452" s="127" t="n"/>
      <c r="C452" s="127" t="n"/>
      <c r="D452" s="128" t="n"/>
      <c r="E452" s="129" t="n"/>
      <c r="F452" s="127" t="n"/>
      <c r="G452" s="124">
        <f>IF($D452=0,0,ROUND($D452*$E452,2))</f>
        <v/>
      </c>
      <c r="H452" s="125">
        <f>IF($C452="","",CONCATENATE("Belge: ",$B452,"/",$C452," ",TEXT($D452,"#,##0")))</f>
        <v/>
      </c>
    </row>
    <row r="453" ht="15" customHeight="1" s="80">
      <c r="A453" s="126" t="n"/>
      <c r="B453" s="127" t="n"/>
      <c r="C453" s="127" t="n"/>
      <c r="D453" s="128" t="n"/>
      <c r="E453" s="129" t="n"/>
      <c r="F453" s="127" t="n"/>
      <c r="G453" s="124">
        <f>IF($D453=0,0,ROUND($D453*$E453,2))</f>
        <v/>
      </c>
      <c r="H453" s="125">
        <f>IF($C453="","",CONCATENATE("Belge: ",$B453,"/",$C453," ",TEXT($D453,"#,##0")))</f>
        <v/>
      </c>
    </row>
    <row r="454" ht="15" customHeight="1" s="80">
      <c r="A454" s="126" t="n"/>
      <c r="B454" s="127" t="n"/>
      <c r="C454" s="127" t="n"/>
      <c r="D454" s="128" t="n"/>
      <c r="E454" s="129" t="n"/>
      <c r="F454" s="127" t="n"/>
      <c r="G454" s="124">
        <f>IF($D454=0,0,ROUND($D454*$E454,2))</f>
        <v/>
      </c>
      <c r="H454" s="125">
        <f>IF($C454="","",CONCATENATE("Belge: ",$B454,"/",$C454," ",TEXT($D454,"#,##0")))</f>
        <v/>
      </c>
    </row>
    <row r="455" ht="15" customHeight="1" s="80">
      <c r="A455" s="126" t="n"/>
      <c r="B455" s="127" t="n"/>
      <c r="C455" s="127" t="n"/>
      <c r="D455" s="128" t="n"/>
      <c r="E455" s="129" t="n"/>
      <c r="F455" s="127" t="n"/>
      <c r="G455" s="124">
        <f>IF($D455=0,0,ROUND($D455*$E455,2))</f>
        <v/>
      </c>
      <c r="H455" s="125">
        <f>IF($C455="","",CONCATENATE("Belge: ",$B455,"/",$C455," ",TEXT($D455,"#,##0")))</f>
        <v/>
      </c>
    </row>
    <row r="456" ht="15" customHeight="1" s="80">
      <c r="A456" s="126" t="n"/>
      <c r="B456" s="127" t="n"/>
      <c r="C456" s="127" t="n"/>
      <c r="D456" s="128" t="n"/>
      <c r="E456" s="129" t="n"/>
      <c r="F456" s="127" t="n"/>
      <c r="G456" s="124">
        <f>IF($D456=0,0,ROUND($D456*$E456,2))</f>
        <v/>
      </c>
      <c r="H456" s="125">
        <f>IF($C456="","",CONCATENATE("Belge: ",$B456,"/",$C456," ",TEXT($D456,"#,##0")))</f>
        <v/>
      </c>
    </row>
    <row r="457" ht="15" customHeight="1" s="80">
      <c r="A457" s="126" t="n"/>
      <c r="B457" s="127" t="n"/>
      <c r="C457" s="127" t="n"/>
      <c r="D457" s="128" t="n"/>
      <c r="E457" s="129" t="n"/>
      <c r="F457" s="127" t="n"/>
      <c r="G457" s="124">
        <f>IF($D457=0,0,ROUND($D457*$E457,2))</f>
        <v/>
      </c>
      <c r="H457" s="125">
        <f>IF($C457="","",CONCATENATE("Belge: ",$B457,"/",$C457," ",TEXT($D457,"#,##0")))</f>
        <v/>
      </c>
    </row>
    <row r="458" ht="15" customHeight="1" s="80">
      <c r="A458" s="126" t="n"/>
      <c r="B458" s="127" t="n"/>
      <c r="C458" s="127" t="n"/>
      <c r="D458" s="128" t="n"/>
      <c r="E458" s="129" t="n"/>
      <c r="F458" s="127" t="n"/>
      <c r="G458" s="124">
        <f>IF($D458=0,0,ROUND($D458*$E458,2))</f>
        <v/>
      </c>
      <c r="H458" s="125">
        <f>IF($C458="","",CONCATENATE("Belge: ",$B458,"/",$C458," ",TEXT($D458,"#,##0")))</f>
        <v/>
      </c>
    </row>
    <row r="459" ht="15" customHeight="1" s="80">
      <c r="A459" s="126" t="n"/>
      <c r="B459" s="127" t="n"/>
      <c r="C459" s="127" t="n"/>
      <c r="D459" s="128" t="n"/>
      <c r="E459" s="129" t="n"/>
      <c r="F459" s="127" t="n"/>
      <c r="G459" s="124">
        <f>IF($D459=0,0,ROUND($D459*$E459,2))</f>
        <v/>
      </c>
      <c r="H459" s="125">
        <f>IF($C459="","",CONCATENATE("Belge: ",$B459,"/",$C459," ",TEXT($D459,"#,##0")))</f>
        <v/>
      </c>
    </row>
    <row r="460" ht="15" customHeight="1" s="80">
      <c r="A460" s="126" t="n"/>
      <c r="B460" s="127" t="n"/>
      <c r="C460" s="127" t="n"/>
      <c r="D460" s="128" t="n"/>
      <c r="E460" s="129" t="n"/>
      <c r="F460" s="127" t="n"/>
      <c r="G460" s="124">
        <f>IF($D460=0,0,ROUND($D460*$E460,2))</f>
        <v/>
      </c>
      <c r="H460" s="125">
        <f>IF($C460="","",CONCATENATE("Belge: ",$B460,"/",$C460," ",TEXT($D460,"#,##0")))</f>
        <v/>
      </c>
    </row>
    <row r="461" ht="15" customHeight="1" s="80">
      <c r="A461" s="126" t="n"/>
      <c r="B461" s="127" t="n"/>
      <c r="C461" s="127" t="n"/>
      <c r="D461" s="128" t="n"/>
      <c r="E461" s="129" t="n"/>
      <c r="F461" s="127" t="n"/>
      <c r="G461" s="124">
        <f>IF($D461=0,0,ROUND($D461*$E461,2))</f>
        <v/>
      </c>
      <c r="H461" s="125">
        <f>IF($C461="","",CONCATENATE("Belge: ",$B461,"/",$C461," ",TEXT($D461,"#,##0")))</f>
        <v/>
      </c>
    </row>
    <row r="462" ht="15" customHeight="1" s="80">
      <c r="A462" s="126" t="n"/>
      <c r="B462" s="127" t="n"/>
      <c r="C462" s="127" t="n"/>
      <c r="D462" s="128" t="n"/>
      <c r="E462" s="129" t="n"/>
      <c r="F462" s="127" t="n"/>
      <c r="G462" s="124">
        <f>IF($D462=0,0,ROUND($D462*$E462,2))</f>
        <v/>
      </c>
      <c r="H462" s="125">
        <f>IF($C462="","",CONCATENATE("Belge: ",$B462,"/",$C462," ",TEXT($D462,"#,##0")))</f>
        <v/>
      </c>
    </row>
    <row r="463" ht="15" customHeight="1" s="80">
      <c r="A463" s="126" t="n"/>
      <c r="B463" s="127" t="n"/>
      <c r="C463" s="127" t="n"/>
      <c r="D463" s="128" t="n"/>
      <c r="E463" s="129" t="n"/>
      <c r="F463" s="127" t="n"/>
      <c r="G463" s="124">
        <f>IF($D463=0,0,ROUND($D463*$E463,2))</f>
        <v/>
      </c>
      <c r="H463" s="125">
        <f>IF($C463="","",CONCATENATE("Belge: ",$B463,"/",$C463," ",TEXT($D463,"#,##0")))</f>
        <v/>
      </c>
    </row>
    <row r="464" ht="15" customHeight="1" s="80">
      <c r="A464" s="126" t="n"/>
      <c r="B464" s="127" t="n"/>
      <c r="C464" s="127" t="n"/>
      <c r="D464" s="128" t="n"/>
      <c r="E464" s="129" t="n"/>
      <c r="F464" s="127" t="n"/>
      <c r="G464" s="124">
        <f>IF($D464=0,0,ROUND($D464*$E464,2))</f>
        <v/>
      </c>
      <c r="H464" s="125">
        <f>IF($C464="","",CONCATENATE("Belge: ",$B464,"/",$C464," ",TEXT($D464,"#,##0")))</f>
        <v/>
      </c>
    </row>
    <row r="465" ht="15" customHeight="1" s="80">
      <c r="A465" s="126" t="n"/>
      <c r="B465" s="127" t="n"/>
      <c r="C465" s="127" t="n"/>
      <c r="D465" s="128" t="n"/>
      <c r="E465" s="129" t="n"/>
      <c r="F465" s="127" t="n"/>
      <c r="G465" s="124">
        <f>IF($D465=0,0,ROUND($D465*$E465,2))</f>
        <v/>
      </c>
      <c r="H465" s="125">
        <f>IF($C465="","",CONCATENATE("Belge: ",$B465,"/",$C465," ",TEXT($D465,"#,##0")))</f>
        <v/>
      </c>
    </row>
    <row r="466" ht="15" customHeight="1" s="80">
      <c r="A466" s="126" t="n"/>
      <c r="B466" s="127" t="n"/>
      <c r="C466" s="127" t="n"/>
      <c r="D466" s="128" t="n"/>
      <c r="E466" s="129" t="n"/>
      <c r="F466" s="127" t="n"/>
      <c r="G466" s="124">
        <f>IF($D466=0,0,ROUND($D466*$E466,2))</f>
        <v/>
      </c>
      <c r="H466" s="125">
        <f>IF($C466="","",CONCATENATE("Belge: ",$B466,"/",$C466," ",TEXT($D466,"#,##0")))</f>
        <v/>
      </c>
    </row>
    <row r="467" ht="15" customHeight="1" s="80">
      <c r="A467" s="126" t="n"/>
      <c r="B467" s="127" t="n"/>
      <c r="C467" s="127" t="n"/>
      <c r="D467" s="128" t="n"/>
      <c r="E467" s="129" t="n"/>
      <c r="F467" s="127" t="n"/>
      <c r="G467" s="124">
        <f>IF($D467=0,0,ROUND($D467*$E467,2))</f>
        <v/>
      </c>
      <c r="H467" s="125">
        <f>IF($C467="","",CONCATENATE("Belge: ",$B467,"/",$C467," ",TEXT($D467,"#,##0")))</f>
        <v/>
      </c>
    </row>
    <row r="468" ht="15" customHeight="1" s="80">
      <c r="A468" s="126" t="n"/>
      <c r="B468" s="127" t="n"/>
      <c r="C468" s="127" t="n"/>
      <c r="D468" s="128" t="n"/>
      <c r="E468" s="129" t="n"/>
      <c r="F468" s="127" t="n"/>
      <c r="G468" s="124">
        <f>IF($D468=0,0,ROUND($D468*$E468,2))</f>
        <v/>
      </c>
      <c r="H468" s="125">
        <f>IF($C468="","",CONCATENATE("Belge: ",$B468,"/",$C468," ",TEXT($D468,"#,##0")))</f>
        <v/>
      </c>
    </row>
    <row r="469" ht="15" customHeight="1" s="80">
      <c r="A469" s="126" t="n"/>
      <c r="B469" s="127" t="n"/>
      <c r="C469" s="127" t="n"/>
      <c r="D469" s="128" t="n"/>
      <c r="E469" s="129" t="n"/>
      <c r="F469" s="127" t="n"/>
      <c r="G469" s="124">
        <f>IF($D469=0,0,ROUND($D469*$E469,2))</f>
        <v/>
      </c>
      <c r="H469" s="125">
        <f>IF($C469="","",CONCATENATE("Belge: ",$B469,"/",$C469," ",TEXT($D469,"#,##0")))</f>
        <v/>
      </c>
    </row>
    <row r="470" ht="15" customHeight="1" s="80">
      <c r="A470" s="126" t="n"/>
      <c r="B470" s="127" t="n"/>
      <c r="C470" s="127" t="n"/>
      <c r="D470" s="128" t="n"/>
      <c r="E470" s="129" t="n"/>
      <c r="F470" s="127" t="n"/>
      <c r="G470" s="124">
        <f>IF($D470=0,0,ROUND($D470*$E470,2))</f>
        <v/>
      </c>
      <c r="H470" s="125">
        <f>IF($C470="","",CONCATENATE("Belge: ",$B470,"/",$C470," ",TEXT($D470,"#,##0")))</f>
        <v/>
      </c>
    </row>
    <row r="471" ht="15" customHeight="1" s="80">
      <c r="A471" s="126" t="n"/>
      <c r="B471" s="127" t="n"/>
      <c r="C471" s="127" t="n"/>
      <c r="D471" s="128" t="n"/>
      <c r="E471" s="129" t="n"/>
      <c r="F471" s="127" t="n"/>
      <c r="G471" s="124">
        <f>IF($D471=0,0,ROUND($D471*$E471,2))</f>
        <v/>
      </c>
      <c r="H471" s="125">
        <f>IF($C471="","",CONCATENATE("Belge: ",$B471,"/",$C471," ",TEXT($D471,"#,##0")))</f>
        <v/>
      </c>
    </row>
    <row r="472" ht="15" customHeight="1" s="80">
      <c r="A472" s="126" t="n"/>
      <c r="B472" s="127" t="n"/>
      <c r="C472" s="127" t="n"/>
      <c r="D472" s="128" t="n"/>
      <c r="E472" s="129" t="n"/>
      <c r="F472" s="127" t="n"/>
      <c r="G472" s="124">
        <f>IF($D472=0,0,ROUND($D472*$E472,2))</f>
        <v/>
      </c>
      <c r="H472" s="125">
        <f>IF($C472="","",CONCATENATE("Belge: ",$B472,"/",$C472," ",TEXT($D472,"#,##0")))</f>
        <v/>
      </c>
    </row>
    <row r="473" ht="15" customHeight="1" s="80">
      <c r="A473" s="126" t="n"/>
      <c r="B473" s="127" t="n"/>
      <c r="C473" s="127" t="n"/>
      <c r="D473" s="128" t="n"/>
      <c r="E473" s="129" t="n"/>
      <c r="F473" s="127" t="n"/>
      <c r="G473" s="124">
        <f>IF($D473=0,0,ROUND($D473*$E473,2))</f>
        <v/>
      </c>
      <c r="H473" s="125">
        <f>IF($C473="","",CONCATENATE("Belge: ",$B473,"/",$C473," ",TEXT($D473,"#,##0")))</f>
        <v/>
      </c>
    </row>
    <row r="474" ht="15" customHeight="1" s="80">
      <c r="A474" s="126" t="n"/>
      <c r="B474" s="127" t="n"/>
      <c r="C474" s="127" t="n"/>
      <c r="D474" s="128" t="n"/>
      <c r="E474" s="129" t="n"/>
      <c r="F474" s="127" t="n"/>
      <c r="G474" s="124">
        <f>IF($D474=0,0,ROUND($D474*$E474,2))</f>
        <v/>
      </c>
      <c r="H474" s="125">
        <f>IF($C474="","",CONCATENATE("Belge: ",$B474,"/",$C474," ",TEXT($D474,"#,##0")))</f>
        <v/>
      </c>
    </row>
    <row r="475" ht="15" customHeight="1" s="80">
      <c r="A475" s="126" t="n"/>
      <c r="B475" s="127" t="n"/>
      <c r="C475" s="127" t="n"/>
      <c r="D475" s="128" t="n"/>
      <c r="E475" s="129" t="n"/>
      <c r="F475" s="127" t="n"/>
      <c r="G475" s="124">
        <f>IF($D475=0,0,ROUND($D475*$E475,2))</f>
        <v/>
      </c>
      <c r="H475" s="125">
        <f>IF($C475="","",CONCATENATE("Belge: ",$B475,"/",$C475," ",TEXT($D475,"#,##0")))</f>
        <v/>
      </c>
    </row>
    <row r="476" ht="15" customHeight="1" s="80">
      <c r="A476" s="126" t="n"/>
      <c r="B476" s="127" t="n"/>
      <c r="C476" s="127" t="n"/>
      <c r="D476" s="128" t="n"/>
      <c r="E476" s="129" t="n"/>
      <c r="F476" s="127" t="n"/>
      <c r="G476" s="124">
        <f>IF($D476=0,0,ROUND($D476*$E476,2))</f>
        <v/>
      </c>
      <c r="H476" s="125">
        <f>IF($C476="","",CONCATENATE("Belge: ",$B476,"/",$C476," ",TEXT($D476,"#,##0")))</f>
        <v/>
      </c>
    </row>
    <row r="477" ht="15" customHeight="1" s="80">
      <c r="A477" s="126" t="n"/>
      <c r="B477" s="127" t="n"/>
      <c r="C477" s="127" t="n"/>
      <c r="D477" s="128" t="n"/>
      <c r="E477" s="129" t="n"/>
      <c r="F477" s="127" t="n"/>
      <c r="G477" s="124">
        <f>IF($D477=0,0,ROUND($D477*$E477,2))</f>
        <v/>
      </c>
      <c r="H477" s="125">
        <f>IF($C477="","",CONCATENATE("Belge: ",$B477,"/",$C477," ",TEXT($D477,"#,##0")))</f>
        <v/>
      </c>
    </row>
    <row r="478" ht="15" customHeight="1" s="80">
      <c r="A478" s="126" t="n"/>
      <c r="B478" s="127" t="n"/>
      <c r="C478" s="127" t="n"/>
      <c r="D478" s="128" t="n"/>
      <c r="E478" s="129" t="n"/>
      <c r="F478" s="127" t="n"/>
      <c r="G478" s="124">
        <f>IF($D478=0,0,ROUND($D478*$E478,2))</f>
        <v/>
      </c>
      <c r="H478" s="125">
        <f>IF($C478="","",CONCATENATE("Belge: ",$B478,"/",$C478," ",TEXT($D478,"#,##0")))</f>
        <v/>
      </c>
    </row>
    <row r="479" ht="15" customHeight="1" s="80">
      <c r="A479" s="126" t="n"/>
      <c r="B479" s="127" t="n"/>
      <c r="C479" s="127" t="n"/>
      <c r="D479" s="128" t="n"/>
      <c r="E479" s="129" t="n"/>
      <c r="F479" s="127" t="n"/>
      <c r="G479" s="124">
        <f>IF($D479=0,0,ROUND($D479*$E479,2))</f>
        <v/>
      </c>
      <c r="H479" s="125">
        <f>IF($C479="","",CONCATENATE("Belge: ",$B479,"/",$C479," ",TEXT($D479,"#,##0")))</f>
        <v/>
      </c>
    </row>
    <row r="480" ht="15" customHeight="1" s="80">
      <c r="A480" s="126" t="n"/>
      <c r="B480" s="127" t="n"/>
      <c r="C480" s="127" t="n"/>
      <c r="D480" s="128" t="n"/>
      <c r="E480" s="129" t="n"/>
      <c r="F480" s="127" t="n"/>
      <c r="G480" s="124">
        <f>IF($D480=0,0,ROUND($D480*$E480,2))</f>
        <v/>
      </c>
      <c r="H480" s="125">
        <f>IF($C480="","",CONCATENATE("Belge: ",$B480,"/",$C480," ",TEXT($D480,"#,##0")))</f>
        <v/>
      </c>
    </row>
    <row r="481" ht="15" customHeight="1" s="80">
      <c r="A481" s="126" t="n"/>
      <c r="B481" s="127" t="n"/>
      <c r="C481" s="127" t="n"/>
      <c r="D481" s="128" t="n"/>
      <c r="E481" s="129" t="n"/>
      <c r="F481" s="127" t="n"/>
      <c r="G481" s="124">
        <f>IF($D481=0,0,ROUND($D481*$E481,2))</f>
        <v/>
      </c>
      <c r="H481" s="125">
        <f>IF($C481="","",CONCATENATE("Belge: ",$B481,"/",$C481," ",TEXT($D481,"#,##0")))</f>
        <v/>
      </c>
    </row>
    <row r="482" ht="15" customHeight="1" s="80">
      <c r="A482" s="126" t="n"/>
      <c r="B482" s="127" t="n"/>
      <c r="C482" s="127" t="n"/>
      <c r="D482" s="128" t="n"/>
      <c r="E482" s="129" t="n"/>
      <c r="F482" s="127" t="n"/>
      <c r="G482" s="124">
        <f>IF($D482=0,0,ROUND($D482*$E482,2))</f>
        <v/>
      </c>
      <c r="H482" s="125">
        <f>IF($C482="","",CONCATENATE("Belge: ",$B482,"/",$C482," ",TEXT($D482,"#,##0")))</f>
        <v/>
      </c>
    </row>
    <row r="483" ht="15" customHeight="1" s="80">
      <c r="A483" s="126" t="n"/>
      <c r="B483" s="127" t="n"/>
      <c r="C483" s="127" t="n"/>
      <c r="D483" s="128" t="n"/>
      <c r="E483" s="129" t="n"/>
      <c r="F483" s="127" t="n"/>
      <c r="G483" s="124">
        <f>IF($D483=0,0,ROUND($D483*$E483,2))</f>
        <v/>
      </c>
      <c r="H483" s="125">
        <f>IF($C483="","",CONCATENATE("Belge: ",$B483,"/",$C483," ",TEXT($D483,"#,##0")))</f>
        <v/>
      </c>
    </row>
    <row r="484" ht="15" customHeight="1" s="80">
      <c r="A484" s="126" t="n"/>
      <c r="B484" s="127" t="n"/>
      <c r="C484" s="127" t="n"/>
      <c r="D484" s="128" t="n"/>
      <c r="E484" s="129" t="n"/>
      <c r="F484" s="127" t="n"/>
      <c r="G484" s="124">
        <f>IF($D484=0,0,ROUND($D484*$E484,2))</f>
        <v/>
      </c>
      <c r="H484" s="125">
        <f>IF($C484="","",CONCATENATE("Belge: ",$B484,"/",$C484," ",TEXT($D484,"#,##0")))</f>
        <v/>
      </c>
    </row>
    <row r="485" ht="15" customHeight="1" s="80">
      <c r="A485" s="126" t="n"/>
      <c r="B485" s="127" t="n"/>
      <c r="C485" s="127" t="n"/>
      <c r="D485" s="128" t="n"/>
      <c r="E485" s="129" t="n"/>
      <c r="F485" s="127" t="n"/>
      <c r="G485" s="124">
        <f>IF($D485=0,0,ROUND($D485*$E485,2))</f>
        <v/>
      </c>
      <c r="H485" s="125">
        <f>IF($C485="","",CONCATENATE("Belge: ",$B485,"/",$C485," ",TEXT($D485,"#,##0")))</f>
        <v/>
      </c>
    </row>
    <row r="486" ht="15" customHeight="1" s="80">
      <c r="A486" s="126" t="n"/>
      <c r="B486" s="127" t="n"/>
      <c r="C486" s="127" t="n"/>
      <c r="D486" s="128" t="n"/>
      <c r="E486" s="129" t="n"/>
      <c r="F486" s="127" t="n"/>
      <c r="G486" s="124">
        <f>IF($D486=0,0,ROUND($D486*$E486,2))</f>
        <v/>
      </c>
      <c r="H486" s="125">
        <f>IF($C486="","",CONCATENATE("Belge: ",$B486,"/",$C486," ",TEXT($D486,"#,##0")))</f>
        <v/>
      </c>
    </row>
    <row r="487" ht="15" customHeight="1" s="80">
      <c r="A487" s="126" t="n"/>
      <c r="B487" s="127" t="n"/>
      <c r="C487" s="127" t="n"/>
      <c r="D487" s="128" t="n"/>
      <c r="E487" s="129" t="n"/>
      <c r="F487" s="127" t="n"/>
      <c r="G487" s="124">
        <f>IF($D487=0,0,ROUND($D487*$E487,2))</f>
        <v/>
      </c>
      <c r="H487" s="125">
        <f>IF($C487="","",CONCATENATE("Belge: ",$B487,"/",$C487," ",TEXT($D487,"#,##0")))</f>
        <v/>
      </c>
    </row>
    <row r="488" ht="15" customHeight="1" s="80">
      <c r="A488" s="126" t="n"/>
      <c r="B488" s="127" t="n"/>
      <c r="C488" s="127" t="n"/>
      <c r="D488" s="128" t="n"/>
      <c r="E488" s="129" t="n"/>
      <c r="F488" s="127" t="n"/>
      <c r="G488" s="124">
        <f>IF($D488=0,0,ROUND($D488*$E488,2))</f>
        <v/>
      </c>
      <c r="H488" s="125">
        <f>IF($C488="","",CONCATENATE("Belge: ",$B488,"/",$C488," ",TEXT($D488,"#,##0")))</f>
        <v/>
      </c>
    </row>
    <row r="489" ht="15" customHeight="1" s="80">
      <c r="A489" s="126" t="n"/>
      <c r="B489" s="127" t="n"/>
      <c r="C489" s="127" t="n"/>
      <c r="D489" s="128" t="n"/>
      <c r="E489" s="129" t="n"/>
      <c r="F489" s="127" t="n"/>
      <c r="G489" s="124">
        <f>IF($D489=0,0,ROUND($D489*$E489,2))</f>
        <v/>
      </c>
      <c r="H489" s="125">
        <f>IF($C489="","",CONCATENATE("Belge: ",$B489,"/",$C489," ",TEXT($D489,"#,##0")))</f>
        <v/>
      </c>
    </row>
    <row r="490" ht="15" customHeight="1" s="80">
      <c r="A490" s="126" t="n"/>
      <c r="B490" s="127" t="n"/>
      <c r="C490" s="127" t="n"/>
      <c r="D490" s="128" t="n"/>
      <c r="E490" s="129" t="n"/>
      <c r="F490" s="127" t="n"/>
      <c r="G490" s="124">
        <f>IF($D490=0,0,ROUND($D490*$E490,2))</f>
        <v/>
      </c>
      <c r="H490" s="125">
        <f>IF($C490="","",CONCATENATE("Belge: ",$B490,"/",$C490," ",TEXT($D490,"#,##0")))</f>
        <v/>
      </c>
    </row>
    <row r="491" ht="15" customHeight="1" s="80">
      <c r="A491" s="126" t="n"/>
      <c r="B491" s="127" t="n"/>
      <c r="C491" s="127" t="n"/>
      <c r="D491" s="128" t="n"/>
      <c r="E491" s="129" t="n"/>
      <c r="F491" s="127" t="n"/>
      <c r="G491" s="124">
        <f>IF($D491=0,0,ROUND($D491*$E491,2))</f>
        <v/>
      </c>
      <c r="H491" s="125">
        <f>IF($C491="","",CONCATENATE("Belge: ",$B491,"/",$C491," ",TEXT($D491,"#,##0")))</f>
        <v/>
      </c>
    </row>
    <row r="492" ht="15" customHeight="1" s="80">
      <c r="A492" s="126" t="n"/>
      <c r="B492" s="127" t="n"/>
      <c r="C492" s="127" t="n"/>
      <c r="D492" s="128" t="n"/>
      <c r="E492" s="129" t="n"/>
      <c r="F492" s="127" t="n"/>
      <c r="G492" s="124">
        <f>IF($D492=0,0,ROUND($D492*$E492,2))</f>
        <v/>
      </c>
      <c r="H492" s="125">
        <f>IF($C492="","",CONCATENATE("Belge: ",$B492,"/",$C492," ",TEXT($D492,"#,##0")))</f>
        <v/>
      </c>
    </row>
    <row r="493" ht="15" customHeight="1" s="80">
      <c r="A493" s="126" t="n"/>
      <c r="B493" s="127" t="n"/>
      <c r="C493" s="127" t="n"/>
      <c r="D493" s="128" t="n"/>
      <c r="E493" s="129" t="n"/>
      <c r="F493" s="127" t="n"/>
      <c r="G493" s="124">
        <f>IF($D493=0,0,ROUND($D493*$E493,2))</f>
        <v/>
      </c>
      <c r="H493" s="125">
        <f>IF($C493="","",CONCATENATE("Belge: ",$B493,"/",$C493," ",TEXT($D493,"#,##0")))</f>
        <v/>
      </c>
    </row>
    <row r="494" ht="15" customHeight="1" s="80">
      <c r="A494" s="126" t="n"/>
      <c r="B494" s="127" t="n"/>
      <c r="C494" s="127" t="n"/>
      <c r="D494" s="128" t="n"/>
      <c r="E494" s="129" t="n"/>
      <c r="F494" s="127" t="n"/>
      <c r="G494" s="124">
        <f>IF($D494=0,0,ROUND($D494*$E494,2))</f>
        <v/>
      </c>
      <c r="H494" s="125">
        <f>IF($C494="","",CONCATENATE("Belge: ",$B494,"/",$C494," ",TEXT($D494,"#,##0")))</f>
        <v/>
      </c>
    </row>
    <row r="495" ht="15" customHeight="1" s="80">
      <c r="A495" s="126" t="n"/>
      <c r="B495" s="127" t="n"/>
      <c r="C495" s="127" t="n"/>
      <c r="D495" s="128" t="n"/>
      <c r="E495" s="129" t="n"/>
      <c r="F495" s="127" t="n"/>
      <c r="G495" s="124">
        <f>IF($D495=0,0,ROUND($D495*$E495,2))</f>
        <v/>
      </c>
      <c r="H495" s="125">
        <f>IF($C495="","",CONCATENATE("Belge: ",$B495,"/",$C495," ",TEXT($D495,"#,##0")))</f>
        <v/>
      </c>
    </row>
    <row r="496" ht="15" customHeight="1" s="80">
      <c r="A496" s="126" t="n"/>
      <c r="B496" s="127" t="n"/>
      <c r="C496" s="127" t="n"/>
      <c r="D496" s="128" t="n"/>
      <c r="E496" s="129" t="n"/>
      <c r="F496" s="127" t="n"/>
      <c r="G496" s="124">
        <f>IF($D496=0,0,ROUND($D496*$E496,2))</f>
        <v/>
      </c>
      <c r="H496" s="125">
        <f>IF($C496="","",CONCATENATE("Belge: ",$B496,"/",$C496," ",TEXT($D496,"#,##0")))</f>
        <v/>
      </c>
    </row>
    <row r="497" ht="15" customHeight="1" s="80">
      <c r="A497" s="126" t="n"/>
      <c r="B497" s="127" t="n"/>
      <c r="C497" s="127" t="n"/>
      <c r="D497" s="128" t="n"/>
      <c r="E497" s="129" t="n"/>
      <c r="F497" s="127" t="n"/>
      <c r="G497" s="124">
        <f>IF($D497=0,0,ROUND($D497*$E497,2))</f>
        <v/>
      </c>
      <c r="H497" s="125">
        <f>IF($C497="","",CONCATENATE("Belge: ",$B497,"/",$C497," ",TEXT($D497,"#,##0")))</f>
        <v/>
      </c>
    </row>
    <row r="498" ht="15" customHeight="1" s="80">
      <c r="A498" s="126" t="n"/>
      <c r="B498" s="127" t="n"/>
      <c r="C498" s="127" t="n"/>
      <c r="D498" s="128" t="n"/>
      <c r="E498" s="129" t="n"/>
      <c r="F498" s="127" t="n"/>
      <c r="G498" s="124">
        <f>IF($D498=0,0,ROUND($D498*$E498,2))</f>
        <v/>
      </c>
      <c r="H498" s="125">
        <f>IF($C498="","",CONCATENATE("Belge: ",$B498,"/",$C498," ",TEXT($D498,"#,##0")))</f>
        <v/>
      </c>
    </row>
    <row r="499" ht="15" customHeight="1" s="80">
      <c r="A499" s="126" t="n"/>
      <c r="B499" s="127" t="n"/>
      <c r="C499" s="127" t="n"/>
      <c r="D499" s="128" t="n"/>
      <c r="E499" s="129" t="n"/>
      <c r="F499" s="127" t="n"/>
      <c r="G499" s="124">
        <f>IF($D499=0,0,ROUND($D499*$E499,2))</f>
        <v/>
      </c>
      <c r="H499" s="125">
        <f>IF($C499="","",CONCATENATE("Belge: ",$B499,"/",$C499," ",TEXT($D499,"#,##0")))</f>
        <v/>
      </c>
    </row>
    <row r="500" ht="15" customHeight="1" s="80">
      <c r="A500" s="126" t="n"/>
      <c r="B500" s="127" t="n"/>
      <c r="C500" s="127" t="n"/>
      <c r="D500" s="128" t="n"/>
      <c r="E500" s="129" t="n"/>
      <c r="F500" s="127" t="n"/>
      <c r="G500" s="124">
        <f>IF($D500=0,0,ROUND($D500*$E500,2))</f>
        <v/>
      </c>
      <c r="H500" s="125">
        <f>IF($C500="","",CONCATENATE("Belge: ",$B500,"/",$C500," ",TEXT($D500,"#,##0")))</f>
        <v/>
      </c>
    </row>
    <row r="501" ht="15" customHeight="1" s="80">
      <c r="A501" s="126" t="n"/>
      <c r="B501" s="127" t="n"/>
      <c r="C501" s="127" t="n"/>
      <c r="D501" s="128" t="n"/>
      <c r="E501" s="129" t="n"/>
      <c r="F501" s="127" t="n"/>
      <c r="G501" s="124">
        <f>IF($D501=0,0,ROUND($D501*$E501,2))</f>
        <v/>
      </c>
      <c r="H501" s="125">
        <f>IF($C501="","",CONCATENATE("Belge: ",$B501,"/",$C501," ",TEXT($D501,"#,##0")))</f>
        <v/>
      </c>
    </row>
    <row r="502" ht="15" customHeight="1" s="80">
      <c r="A502" s="126" t="n"/>
      <c r="B502" s="127" t="n"/>
      <c r="C502" s="127" t="n"/>
      <c r="D502" s="128" t="n"/>
      <c r="E502" s="129" t="n"/>
      <c r="F502" s="127" t="n"/>
      <c r="G502" s="124">
        <f>IF($D502=0,0,ROUND($D502*$E502,2))</f>
        <v/>
      </c>
      <c r="H502" s="125">
        <f>IF($C502="","",CONCATENATE("Belge: ",$B502,"/",$C502," ",TEXT($D502,"#,##0")))</f>
        <v/>
      </c>
    </row>
    <row r="503" ht="15" customHeight="1" s="80">
      <c r="A503" s="126" t="n"/>
      <c r="B503" s="127" t="n"/>
      <c r="C503" s="127" t="n"/>
      <c r="D503" s="128" t="n"/>
      <c r="E503" s="129" t="n"/>
      <c r="F503" s="127" t="n"/>
      <c r="G503" s="124">
        <f>IF($D503=0,0,ROUND($D503*$E503,2))</f>
        <v/>
      </c>
      <c r="H503" s="125">
        <f>IF($C503="","",CONCATENATE("Belge: ",$B503,"/",$C503," ",TEXT($D503,"#,##0")))</f>
        <v/>
      </c>
    </row>
    <row r="504" ht="15" customHeight="1" s="80">
      <c r="A504" s="126" t="n"/>
      <c r="B504" s="127" t="n"/>
      <c r="C504" s="127" t="n"/>
      <c r="D504" s="128" t="n"/>
      <c r="E504" s="129" t="n"/>
      <c r="F504" s="127" t="n"/>
      <c r="G504" s="124">
        <f>IF($D504=0,0,ROUND($D504*$E504,2))</f>
        <v/>
      </c>
      <c r="H504" s="125">
        <f>IF($C504="","",CONCATENATE("Belge: ",$B504,"/",$C504," ",TEXT($D504,"#,##0")))</f>
        <v/>
      </c>
    </row>
    <row r="505" ht="15" customHeight="1" s="80">
      <c r="A505" s="126" t="n"/>
      <c r="B505" s="127" t="n"/>
      <c r="C505" s="127" t="n"/>
      <c r="D505" s="128" t="n"/>
      <c r="E505" s="129" t="n"/>
      <c r="F505" s="127" t="n"/>
      <c r="G505" s="124">
        <f>IF($D505=0,0,ROUND($D505*$E505,2))</f>
        <v/>
      </c>
      <c r="H505" s="125">
        <f>IF($C505="","",CONCATENATE("Belge: ",$B505,"/",$C505," ",TEXT($D505,"#,##0")))</f>
        <v/>
      </c>
    </row>
    <row r="506" ht="15" customHeight="1" s="80">
      <c r="A506" s="126" t="n"/>
      <c r="B506" s="127" t="n"/>
      <c r="C506" s="127" t="n"/>
      <c r="D506" s="128" t="n"/>
      <c r="E506" s="129" t="n"/>
      <c r="F506" s="127" t="n"/>
      <c r="G506" s="124">
        <f>IF($D506=0,0,ROUND($D506*$E506,2))</f>
        <v/>
      </c>
      <c r="H506" s="125">
        <f>IF($C506="","",CONCATENATE("Belge: ",$B506,"/",$C506," ",TEXT($D506,"#,##0")))</f>
        <v/>
      </c>
    </row>
    <row r="507" ht="15" customHeight="1" s="80">
      <c r="A507" s="126" t="n"/>
      <c r="B507" s="127" t="n"/>
      <c r="C507" s="127" t="n"/>
      <c r="D507" s="128" t="n"/>
      <c r="E507" s="129" t="n"/>
      <c r="F507" s="127" t="n"/>
      <c r="G507" s="124">
        <f>IF($D507=0,0,ROUND($D507*$E507,2))</f>
        <v/>
      </c>
      <c r="H507" s="125">
        <f>IF($C507="","",CONCATENATE("Belge: ",$B507,"/",$C507," ",TEXT($D507,"#,##0")))</f>
        <v/>
      </c>
    </row>
    <row r="508" ht="15" customHeight="1" s="80">
      <c r="A508" s="126" t="n"/>
      <c r="B508" s="127" t="n"/>
      <c r="C508" s="127" t="n"/>
      <c r="D508" s="128" t="n"/>
      <c r="E508" s="129" t="n"/>
      <c r="F508" s="127" t="n"/>
      <c r="G508" s="124">
        <f>IF($D508=0,0,ROUND($D508*$E508,2))</f>
        <v/>
      </c>
      <c r="H508" s="125">
        <f>IF($C508="","",CONCATENATE("Belge: ",$B508,"/",$C508," ",TEXT($D508,"#,##0")))</f>
        <v/>
      </c>
    </row>
    <row r="509" ht="15" customHeight="1" s="80">
      <c r="A509" s="126" t="n"/>
      <c r="B509" s="127" t="n"/>
      <c r="C509" s="127" t="n"/>
      <c r="D509" s="128" t="n"/>
      <c r="E509" s="129" t="n"/>
      <c r="F509" s="127" t="n"/>
      <c r="G509" s="124">
        <f>IF($D509=0,0,ROUND($D509*$E509,2))</f>
        <v/>
      </c>
      <c r="H509" s="125">
        <f>IF($C509="","",CONCATENATE("Belge: ",$B509,"/",$C509," ",TEXT($D509,"#,##0")))</f>
        <v/>
      </c>
    </row>
    <row r="510" ht="15" customHeight="1" s="80">
      <c r="A510" s="126" t="n"/>
      <c r="B510" s="127" t="n"/>
      <c r="C510" s="127" t="n"/>
      <c r="D510" s="128" t="n"/>
      <c r="E510" s="129" t="n"/>
      <c r="F510" s="127" t="n"/>
      <c r="G510" s="124">
        <f>IF($D510=0,0,ROUND($D510*$E510,2))</f>
        <v/>
      </c>
      <c r="H510" s="125">
        <f>IF($C510="","",CONCATENATE("Belge: ",$B510,"/",$C510," ",TEXT($D510,"#,##0")))</f>
        <v/>
      </c>
    </row>
    <row r="511" ht="15" customHeight="1" s="80">
      <c r="A511" s="126" t="n"/>
      <c r="B511" s="127" t="n"/>
      <c r="C511" s="127" t="n"/>
      <c r="D511" s="128" t="n"/>
      <c r="E511" s="129" t="n"/>
      <c r="F511" s="127" t="n"/>
      <c r="G511" s="124">
        <f>IF($D511=0,0,ROUND($D511*$E511,2))</f>
        <v/>
      </c>
      <c r="H511" s="125">
        <f>IF($C511="","",CONCATENATE("Belge: ",$B511,"/",$C511," ",TEXT($D511,"#,##0")))</f>
        <v/>
      </c>
    </row>
    <row r="512" ht="15" customHeight="1" s="80">
      <c r="A512" s="126" t="n"/>
      <c r="B512" s="127" t="n"/>
      <c r="C512" s="127" t="n"/>
      <c r="D512" s="128" t="n"/>
      <c r="E512" s="129" t="n"/>
      <c r="F512" s="127" t="n"/>
      <c r="G512" s="124">
        <f>IF($D512=0,0,ROUND($D512*$E512,2))</f>
        <v/>
      </c>
      <c r="H512" s="125">
        <f>IF($C512="","",CONCATENATE("Belge: ",$B512,"/",$C512," ",TEXT($D512,"#,##0")))</f>
        <v/>
      </c>
    </row>
    <row r="513" ht="15" customHeight="1" s="80">
      <c r="A513" s="126" t="n"/>
      <c r="B513" s="127" t="n"/>
      <c r="C513" s="127" t="n"/>
      <c r="D513" s="128" t="n"/>
      <c r="E513" s="129" t="n"/>
      <c r="F513" s="127" t="n"/>
      <c r="G513" s="124">
        <f>IF($D513=0,0,ROUND($D513*$E513,2))</f>
        <v/>
      </c>
      <c r="H513" s="125">
        <f>IF($C513="","",CONCATENATE("Belge: ",$B513,"/",$C513," ",TEXT($D513,"#,##0")))</f>
        <v/>
      </c>
    </row>
    <row r="514" ht="15" customHeight="1" s="80">
      <c r="A514" s="126" t="n"/>
      <c r="B514" s="127" t="n"/>
      <c r="C514" s="127" t="n"/>
      <c r="D514" s="128" t="n"/>
      <c r="E514" s="129" t="n"/>
      <c r="F514" s="127" t="n"/>
      <c r="G514" s="124">
        <f>IF($D514=0,0,ROUND($D514*$E514,2))</f>
        <v/>
      </c>
      <c r="H514" s="125">
        <f>IF($C514="","",CONCATENATE("Belge: ",$B514,"/",$C514," ",TEXT($D514,"#,##0")))</f>
        <v/>
      </c>
    </row>
    <row r="515" ht="15" customHeight="1" s="80">
      <c r="A515" s="126" t="n"/>
      <c r="B515" s="127" t="n"/>
      <c r="C515" s="127" t="n"/>
      <c r="D515" s="128" t="n"/>
      <c r="E515" s="129" t="n"/>
      <c r="F515" s="127" t="n"/>
      <c r="G515" s="124">
        <f>IF($D515=0,0,ROUND($D515*$E515,2))</f>
        <v/>
      </c>
      <c r="H515" s="125">
        <f>IF($C515="","",CONCATENATE("Belge: ",$B515,"/",$C515," ",TEXT($D515,"#,##0")))</f>
        <v/>
      </c>
    </row>
    <row r="516" ht="15" customHeight="1" s="80">
      <c r="A516" s="126" t="n"/>
      <c r="B516" s="127" t="n"/>
      <c r="C516" s="127" t="n"/>
      <c r="D516" s="128" t="n"/>
      <c r="E516" s="129" t="n"/>
      <c r="F516" s="127" t="n"/>
      <c r="G516" s="124">
        <f>IF($D516=0,0,ROUND($D516*$E516,2))</f>
        <v/>
      </c>
      <c r="H516" s="125">
        <f>IF($C516="","",CONCATENATE("Belge: ",$B516,"/",$C516," ",TEXT($D516,"#,##0")))</f>
        <v/>
      </c>
    </row>
    <row r="517" ht="15" customHeight="1" s="80">
      <c r="A517" s="126" t="n"/>
      <c r="B517" s="127" t="n"/>
      <c r="C517" s="127" t="n"/>
      <c r="D517" s="128" t="n"/>
      <c r="E517" s="129" t="n"/>
      <c r="F517" s="127" t="n"/>
      <c r="G517" s="124">
        <f>IF($D517=0,0,ROUND($D517*$E517,2))</f>
        <v/>
      </c>
      <c r="H517" s="125">
        <f>IF($C517="","",CONCATENATE("Belge: ",$B517,"/",$C517," ",TEXT($D517,"#,##0")))</f>
        <v/>
      </c>
    </row>
    <row r="518" ht="15" customHeight="1" s="80">
      <c r="A518" s="126" t="n"/>
      <c r="B518" s="127" t="n"/>
      <c r="C518" s="127" t="n"/>
      <c r="D518" s="128" t="n"/>
      <c r="E518" s="129" t="n"/>
      <c r="F518" s="127" t="n"/>
      <c r="G518" s="124">
        <f>IF($D518=0,0,ROUND($D518*$E518,2))</f>
        <v/>
      </c>
      <c r="H518" s="125">
        <f>IF($C518="","",CONCATENATE("Belge: ",$B518,"/",$C518," ",TEXT($D518,"#,##0")))</f>
        <v/>
      </c>
    </row>
    <row r="519" ht="15" customHeight="1" s="80">
      <c r="A519" s="126" t="n"/>
      <c r="B519" s="127" t="n"/>
      <c r="C519" s="127" t="n"/>
      <c r="D519" s="128" t="n"/>
      <c r="E519" s="129" t="n"/>
      <c r="F519" s="127" t="n"/>
      <c r="G519" s="124">
        <f>IF($D519=0,0,ROUND($D519*$E519,2))</f>
        <v/>
      </c>
      <c r="H519" s="125">
        <f>IF($C519="","",CONCATENATE("Belge: ",$B519,"/",$C519," ",TEXT($D519,"#,##0")))</f>
        <v/>
      </c>
    </row>
    <row r="520" ht="15" customHeight="1" s="80">
      <c r="A520" s="126" t="n"/>
      <c r="B520" s="127" t="n"/>
      <c r="C520" s="127" t="n"/>
      <c r="D520" s="128" t="n"/>
      <c r="E520" s="129" t="n"/>
      <c r="F520" s="127" t="n"/>
      <c r="G520" s="124">
        <f>IF($D520=0,0,ROUND($D520*$E520,2))</f>
        <v/>
      </c>
      <c r="H520" s="125">
        <f>IF($C520="","",CONCATENATE("Belge: ",$B520,"/",$C520," ",TEXT($D520,"#,##0")))</f>
        <v/>
      </c>
    </row>
    <row r="521" ht="15" customHeight="1" s="80">
      <c r="A521" s="126" t="n"/>
      <c r="B521" s="127" t="n"/>
      <c r="C521" s="127" t="n"/>
      <c r="D521" s="128" t="n"/>
      <c r="E521" s="129" t="n"/>
      <c r="F521" s="127" t="n"/>
      <c r="G521" s="124">
        <f>IF($D521=0,0,ROUND($D521*$E521,2))</f>
        <v/>
      </c>
      <c r="H521" s="125">
        <f>IF($C521="","",CONCATENATE("Belge: ",$B521,"/",$C521," ",TEXT($D521,"#,##0")))</f>
        <v/>
      </c>
    </row>
    <row r="522" ht="15" customHeight="1" s="80">
      <c r="A522" s="126" t="n"/>
      <c r="B522" s="127" t="n"/>
      <c r="C522" s="127" t="n"/>
      <c r="D522" s="128" t="n"/>
      <c r="E522" s="129" t="n"/>
      <c r="F522" s="127" t="n"/>
      <c r="G522" s="124">
        <f>IF($D522=0,0,ROUND($D522*$E522,2))</f>
        <v/>
      </c>
      <c r="H522" s="125">
        <f>IF($C522="","",CONCATENATE("Belge: ",$B522,"/",$C522," ",TEXT($D522,"#,##0")))</f>
        <v/>
      </c>
    </row>
    <row r="523" ht="15" customHeight="1" s="80">
      <c r="A523" s="126" t="n"/>
      <c r="B523" s="127" t="n"/>
      <c r="C523" s="127" t="n"/>
      <c r="D523" s="128" t="n"/>
      <c r="E523" s="129" t="n"/>
      <c r="F523" s="127" t="n"/>
      <c r="G523" s="124">
        <f>IF($D523=0,0,ROUND($D523*$E523,2))</f>
        <v/>
      </c>
      <c r="H523" s="125">
        <f>IF($C523="","",CONCATENATE("Belge: ",$B523,"/",$C523," ",TEXT($D523,"#,##0")))</f>
        <v/>
      </c>
    </row>
    <row r="524" ht="15" customHeight="1" s="80">
      <c r="A524" s="126" t="n"/>
      <c r="B524" s="127" t="n"/>
      <c r="C524" s="127" t="n"/>
      <c r="D524" s="128" t="n"/>
      <c r="E524" s="129" t="n"/>
      <c r="F524" s="127" t="n"/>
      <c r="G524" s="124">
        <f>IF($D524=0,0,ROUND($D524*$E524,2))</f>
        <v/>
      </c>
      <c r="H524" s="125">
        <f>IF($C524="","",CONCATENATE("Belge: ",$B524,"/",$C524," ",TEXT($D524,"#,##0")))</f>
        <v/>
      </c>
    </row>
    <row r="525" ht="15" customHeight="1" s="80">
      <c r="A525" s="126" t="n"/>
      <c r="B525" s="127" t="n"/>
      <c r="C525" s="127" t="n"/>
      <c r="D525" s="128" t="n"/>
      <c r="E525" s="129" t="n"/>
      <c r="F525" s="127" t="n"/>
      <c r="G525" s="124">
        <f>IF($D525=0,0,ROUND($D525*$E525,2))</f>
        <v/>
      </c>
      <c r="H525" s="125">
        <f>IF($C525="","",CONCATENATE("Belge: ",$B525,"/",$C525," ",TEXT($D525,"#,##0")))</f>
        <v/>
      </c>
    </row>
    <row r="526" ht="15" customHeight="1" s="80">
      <c r="A526" s="126" t="n"/>
      <c r="B526" s="127" t="n"/>
      <c r="C526" s="127" t="n"/>
      <c r="D526" s="128" t="n"/>
      <c r="E526" s="129" t="n"/>
      <c r="F526" s="127" t="n"/>
      <c r="G526" s="124">
        <f>IF($D526=0,0,ROUND($D526*$E526,2))</f>
        <v/>
      </c>
      <c r="H526" s="125">
        <f>IF($C526="","",CONCATENATE("Belge: ",$B526,"/",$C526," ",TEXT($D526,"#,##0")))</f>
        <v/>
      </c>
    </row>
    <row r="527" ht="15" customHeight="1" s="80">
      <c r="A527" s="126" t="n"/>
      <c r="B527" s="127" t="n"/>
      <c r="C527" s="127" t="n"/>
      <c r="D527" s="128" t="n"/>
      <c r="E527" s="129" t="n"/>
      <c r="F527" s="127" t="n"/>
      <c r="G527" s="124">
        <f>IF($D527=0,0,ROUND($D527*$E527,2))</f>
        <v/>
      </c>
      <c r="H527" s="125">
        <f>IF($C527="","",CONCATENATE("Belge: ",$B527,"/",$C527," ",TEXT($D527,"#,##0")))</f>
        <v/>
      </c>
    </row>
    <row r="528" ht="15" customHeight="1" s="80">
      <c r="A528" s="126" t="n"/>
      <c r="B528" s="127" t="n"/>
      <c r="C528" s="127" t="n"/>
      <c r="D528" s="128" t="n"/>
      <c r="E528" s="129" t="n"/>
      <c r="F528" s="127" t="n"/>
      <c r="G528" s="124">
        <f>IF($D528=0,0,ROUND($D528*$E528,2))</f>
        <v/>
      </c>
      <c r="H528" s="125">
        <f>IF($C528="","",CONCATENATE("Belge: ",$B528,"/",$C528," ",TEXT($D528,"#,##0")))</f>
        <v/>
      </c>
    </row>
    <row r="529" ht="15" customHeight="1" s="80">
      <c r="A529" s="126" t="n"/>
      <c r="B529" s="127" t="n"/>
      <c r="C529" s="127" t="n"/>
      <c r="D529" s="128" t="n"/>
      <c r="E529" s="129" t="n"/>
      <c r="F529" s="127" t="n"/>
      <c r="G529" s="124">
        <f>IF($D529=0,0,ROUND($D529*$E529,2))</f>
        <v/>
      </c>
      <c r="H529" s="125">
        <f>IF($C529="","",CONCATENATE("Belge: ",$B529,"/",$C529," ",TEXT($D529,"#,##0")))</f>
        <v/>
      </c>
    </row>
    <row r="530" ht="15" customHeight="1" s="80">
      <c r="A530" s="126" t="n"/>
      <c r="B530" s="127" t="n"/>
      <c r="C530" s="127" t="n"/>
      <c r="D530" s="128" t="n"/>
      <c r="E530" s="129" t="n"/>
      <c r="F530" s="127" t="n"/>
      <c r="G530" s="124">
        <f>IF($D530=0,0,ROUND($D530*$E530,2))</f>
        <v/>
      </c>
      <c r="H530" s="125">
        <f>IF($C530="","",CONCATENATE("Belge: ",$B530,"/",$C530," ",TEXT($D530,"#,##0")))</f>
        <v/>
      </c>
    </row>
    <row r="531" ht="15" customHeight="1" s="80">
      <c r="A531" s="126" t="n"/>
      <c r="B531" s="127" t="n"/>
      <c r="C531" s="127" t="n"/>
      <c r="D531" s="128" t="n"/>
      <c r="E531" s="129" t="n"/>
      <c r="F531" s="127" t="n"/>
      <c r="G531" s="124">
        <f>IF($D531=0,0,ROUND($D531*$E531,2))</f>
        <v/>
      </c>
      <c r="H531" s="125">
        <f>IF($C531="","",CONCATENATE("Belge: ",$B531,"/",$C531," ",TEXT($D531,"#,##0")))</f>
        <v/>
      </c>
    </row>
    <row r="532" ht="15" customHeight="1" s="80">
      <c r="A532" s="126" t="n"/>
      <c r="B532" s="127" t="n"/>
      <c r="C532" s="127" t="n"/>
      <c r="D532" s="128" t="n"/>
      <c r="E532" s="129" t="n"/>
      <c r="F532" s="127" t="n"/>
      <c r="G532" s="124">
        <f>IF($D532=0,0,ROUND($D532*$E532,2))</f>
        <v/>
      </c>
      <c r="H532" s="125">
        <f>IF($C532="","",CONCATENATE("Belge: ",$B532,"/",$C532," ",TEXT($D532,"#,##0")))</f>
        <v/>
      </c>
    </row>
    <row r="533" ht="15" customHeight="1" s="80">
      <c r="A533" s="126" t="n"/>
      <c r="B533" s="127" t="n"/>
      <c r="C533" s="127" t="n"/>
      <c r="D533" s="128" t="n"/>
      <c r="E533" s="129" t="n"/>
      <c r="F533" s="127" t="n"/>
      <c r="G533" s="124">
        <f>IF($D533=0,0,ROUND($D533*$E533,2))</f>
        <v/>
      </c>
      <c r="H533" s="125">
        <f>IF($C533="","",CONCATENATE("Belge: ",$B533,"/",$C533," ",TEXT($D533,"#,##0")))</f>
        <v/>
      </c>
    </row>
    <row r="534" ht="15" customHeight="1" s="80">
      <c r="A534" s="126" t="n"/>
      <c r="B534" s="127" t="n"/>
      <c r="C534" s="127" t="n"/>
      <c r="D534" s="128" t="n"/>
      <c r="E534" s="129" t="n"/>
      <c r="F534" s="127" t="n"/>
      <c r="G534" s="124">
        <f>IF($D534=0,0,ROUND($D534*$E534,2))</f>
        <v/>
      </c>
      <c r="H534" s="125">
        <f>IF($C534="","",CONCATENATE("Belge: ",$B534,"/",$C534," ",TEXT($D534,"#,##0")))</f>
        <v/>
      </c>
    </row>
    <row r="535" ht="15" customHeight="1" s="80">
      <c r="A535" s="126" t="n"/>
      <c r="B535" s="127" t="n"/>
      <c r="C535" s="127" t="n"/>
      <c r="D535" s="128" t="n"/>
      <c r="E535" s="129" t="n"/>
      <c r="F535" s="127" t="n"/>
      <c r="G535" s="124">
        <f>IF($D535=0,0,ROUND($D535*$E535,2))</f>
        <v/>
      </c>
      <c r="H535" s="125">
        <f>IF($C535="","",CONCATENATE("Belge: ",$B535,"/",$C535," ",TEXT($D535,"#,##0")))</f>
        <v/>
      </c>
    </row>
    <row r="536" ht="15" customHeight="1" s="80">
      <c r="A536" s="126" t="n"/>
      <c r="B536" s="127" t="n"/>
      <c r="C536" s="127" t="n"/>
      <c r="D536" s="128" t="n"/>
      <c r="E536" s="129" t="n"/>
      <c r="F536" s="127" t="n"/>
      <c r="G536" s="124">
        <f>IF($D536=0,0,ROUND($D536*$E536,2))</f>
        <v/>
      </c>
      <c r="H536" s="125">
        <f>IF($C536="","",CONCATENATE("Belge: ",$B536,"/",$C536," ",TEXT($D536,"#,##0")))</f>
        <v/>
      </c>
    </row>
    <row r="537" ht="15" customHeight="1" s="80">
      <c r="A537" s="126" t="n"/>
      <c r="B537" s="127" t="n"/>
      <c r="C537" s="127" t="n"/>
      <c r="D537" s="128" t="n"/>
      <c r="E537" s="129" t="n"/>
      <c r="F537" s="127" t="n"/>
      <c r="G537" s="124">
        <f>IF($D537=0,0,ROUND($D537*$E537,2))</f>
        <v/>
      </c>
      <c r="H537" s="125">
        <f>IF($C537="","",CONCATENATE("Belge: ",$B537,"/",$C537," ",TEXT($D537,"#,##0")))</f>
        <v/>
      </c>
    </row>
    <row r="538" ht="15" customHeight="1" s="80">
      <c r="A538" s="126" t="n"/>
      <c r="B538" s="127" t="n"/>
      <c r="C538" s="127" t="n"/>
      <c r="D538" s="128" t="n"/>
      <c r="E538" s="129" t="n"/>
      <c r="F538" s="127" t="n"/>
      <c r="G538" s="124">
        <f>IF($D538=0,0,ROUND($D538*$E538,2))</f>
        <v/>
      </c>
      <c r="H538" s="125">
        <f>IF($C538="","",CONCATENATE("Belge: ",$B538,"/",$C538," ",TEXT($D538,"#,##0")))</f>
        <v/>
      </c>
    </row>
    <row r="539" ht="15" customHeight="1" s="80">
      <c r="A539" s="126" t="n"/>
      <c r="B539" s="127" t="n"/>
      <c r="C539" s="127" t="n"/>
      <c r="D539" s="128" t="n"/>
      <c r="E539" s="129" t="n"/>
      <c r="F539" s="127" t="n"/>
      <c r="G539" s="124">
        <f>IF($D539=0,0,ROUND($D539*$E539,2))</f>
        <v/>
      </c>
      <c r="H539" s="125">
        <f>IF($C539="","",CONCATENATE("Belge: ",$B539,"/",$C539," ",TEXT($D539,"#,##0")))</f>
        <v/>
      </c>
    </row>
    <row r="540" ht="15" customHeight="1" s="80">
      <c r="A540" s="126" t="n"/>
      <c r="B540" s="127" t="n"/>
      <c r="C540" s="127" t="n"/>
      <c r="D540" s="128" t="n"/>
      <c r="E540" s="129" t="n"/>
      <c r="F540" s="127" t="n"/>
      <c r="G540" s="124">
        <f>IF($D540=0,0,ROUND($D540*$E540,2))</f>
        <v/>
      </c>
      <c r="H540" s="125">
        <f>IF($C540="","",CONCATENATE("Belge: ",$B540,"/",$C540," ",TEXT($D540,"#,##0")))</f>
        <v/>
      </c>
    </row>
    <row r="541" ht="15" customHeight="1" s="80">
      <c r="A541" s="126" t="n"/>
      <c r="B541" s="127" t="n"/>
      <c r="C541" s="127" t="n"/>
      <c r="D541" s="128" t="n"/>
      <c r="E541" s="129" t="n"/>
      <c r="F541" s="127" t="n"/>
      <c r="G541" s="124">
        <f>IF($D541=0,0,ROUND($D541*$E541,2))</f>
        <v/>
      </c>
      <c r="H541" s="125">
        <f>IF($C541="","",CONCATENATE("Belge: ",$B541,"/",$C541," ",TEXT($D541,"#,##0")))</f>
        <v/>
      </c>
    </row>
    <row r="542" ht="15" customHeight="1" s="80">
      <c r="A542" s="126" t="n"/>
      <c r="B542" s="127" t="n"/>
      <c r="C542" s="127" t="n"/>
      <c r="D542" s="128" t="n"/>
      <c r="E542" s="129" t="n"/>
      <c r="F542" s="127" t="n"/>
      <c r="G542" s="124">
        <f>IF($D542=0,0,ROUND($D542*$E542,2))</f>
        <v/>
      </c>
      <c r="H542" s="125">
        <f>IF($C542="","",CONCATENATE("Belge: ",$B542,"/",$C542," ",TEXT($D542,"#,##0")))</f>
        <v/>
      </c>
    </row>
    <row r="543" ht="15" customHeight="1" s="80">
      <c r="A543" s="126" t="n"/>
      <c r="B543" s="127" t="n"/>
      <c r="C543" s="127" t="n"/>
      <c r="D543" s="128" t="n"/>
      <c r="E543" s="129" t="n"/>
      <c r="F543" s="127" t="n"/>
      <c r="G543" s="124">
        <f>IF($D543=0,0,ROUND($D543*$E543,2))</f>
        <v/>
      </c>
      <c r="H543" s="125">
        <f>IF($C543="","",CONCATENATE("Belge: ",$B543,"/",$C543," ",TEXT($D543,"#,##0")))</f>
        <v/>
      </c>
    </row>
    <row r="544" ht="15" customHeight="1" s="80">
      <c r="A544" s="126" t="n"/>
      <c r="B544" s="127" t="n"/>
      <c r="C544" s="127" t="n"/>
      <c r="D544" s="128" t="n"/>
      <c r="E544" s="129" t="n"/>
      <c r="F544" s="127" t="n"/>
      <c r="G544" s="124">
        <f>IF($D544=0,0,ROUND($D544*$E544,2))</f>
        <v/>
      </c>
      <c r="H544" s="125">
        <f>IF($C544="","",CONCATENATE("Belge: ",$B544,"/",$C544," ",TEXT($D544,"#,##0")))</f>
        <v/>
      </c>
    </row>
    <row r="545" ht="15" customHeight="1" s="80">
      <c r="A545" s="126" t="n"/>
      <c r="B545" s="127" t="n"/>
      <c r="C545" s="127" t="n"/>
      <c r="D545" s="128" t="n"/>
      <c r="E545" s="129" t="n"/>
      <c r="F545" s="127" t="n"/>
      <c r="G545" s="124">
        <f>IF($D545=0,0,ROUND($D545*$E545,2))</f>
        <v/>
      </c>
      <c r="H545" s="125">
        <f>IF($C545="","",CONCATENATE("Belge: ",$B545,"/",$C545," ",TEXT($D545,"#,##0")))</f>
        <v/>
      </c>
    </row>
    <row r="546" ht="15" customHeight="1" s="80">
      <c r="A546" s="126" t="n"/>
      <c r="B546" s="127" t="n"/>
      <c r="C546" s="127" t="n"/>
      <c r="D546" s="128" t="n"/>
      <c r="E546" s="129" t="n"/>
      <c r="F546" s="127" t="n"/>
      <c r="G546" s="124">
        <f>IF($D546=0,0,ROUND($D546*$E546,2))</f>
        <v/>
      </c>
      <c r="H546" s="125">
        <f>IF($C546="","",CONCATENATE("Belge: ",$B546,"/",$C546," ",TEXT($D546,"#,##0")))</f>
        <v/>
      </c>
    </row>
    <row r="547" ht="15" customHeight="1" s="80">
      <c r="A547" s="126" t="n"/>
      <c r="B547" s="127" t="n"/>
      <c r="C547" s="127" t="n"/>
      <c r="D547" s="128" t="n"/>
      <c r="E547" s="129" t="n"/>
      <c r="F547" s="127" t="n"/>
      <c r="G547" s="124">
        <f>IF($D547=0,0,ROUND($D547*$E547,2))</f>
        <v/>
      </c>
      <c r="H547" s="125">
        <f>IF($C547="","",CONCATENATE("Belge: ",$B547,"/",$C547," ",TEXT($D547,"#,##0")))</f>
        <v/>
      </c>
    </row>
    <row r="548" ht="15" customHeight="1" s="80">
      <c r="A548" s="126" t="n"/>
      <c r="B548" s="127" t="n"/>
      <c r="C548" s="127" t="n"/>
      <c r="D548" s="128" t="n"/>
      <c r="E548" s="129" t="n"/>
      <c r="F548" s="127" t="n"/>
      <c r="G548" s="124">
        <f>IF($D548=0,0,ROUND($D548*$E548,2))</f>
        <v/>
      </c>
      <c r="H548" s="125">
        <f>IF($C548="","",CONCATENATE("Belge: ",$B548,"/",$C548," ",TEXT($D548,"#,##0")))</f>
        <v/>
      </c>
    </row>
    <row r="549" ht="15" customHeight="1" s="80">
      <c r="A549" s="126" t="n"/>
      <c r="B549" s="127" t="n"/>
      <c r="C549" s="127" t="n"/>
      <c r="D549" s="128" t="n"/>
      <c r="E549" s="129" t="n"/>
      <c r="F549" s="127" t="n"/>
      <c r="G549" s="124">
        <f>IF($D549=0,0,ROUND($D549*$E549,2))</f>
        <v/>
      </c>
      <c r="H549" s="125">
        <f>IF($C549="","",CONCATENATE("Belge: ",$B549,"/",$C549," ",TEXT($D549,"#,##0")))</f>
        <v/>
      </c>
    </row>
    <row r="550" ht="15" customHeight="1" s="80">
      <c r="A550" s="126" t="n"/>
      <c r="B550" s="127" t="n"/>
      <c r="C550" s="127" t="n"/>
      <c r="D550" s="128" t="n"/>
      <c r="E550" s="129" t="n"/>
      <c r="F550" s="127" t="n"/>
      <c r="G550" s="124">
        <f>IF($D550=0,0,ROUND($D550*$E550,2))</f>
        <v/>
      </c>
      <c r="H550" s="125">
        <f>IF($C550="","",CONCATENATE("Belge: ",$B550,"/",$C550," ",TEXT($D550,"#,##0")))</f>
        <v/>
      </c>
    </row>
    <row r="551" ht="15" customHeight="1" s="80">
      <c r="A551" s="126" t="n"/>
      <c r="B551" s="127" t="n"/>
      <c r="C551" s="127" t="n"/>
      <c r="D551" s="128" t="n"/>
      <c r="E551" s="129" t="n"/>
      <c r="F551" s="127" t="n"/>
      <c r="G551" s="124">
        <f>IF($D551=0,0,ROUND($D551*$E551,2))</f>
        <v/>
      </c>
      <c r="H551" s="125">
        <f>IF($C551="","",CONCATENATE("Belge: ",$B551,"/",$C551," ",TEXT($D551,"#,##0")))</f>
        <v/>
      </c>
    </row>
    <row r="552" ht="15" customHeight="1" s="80">
      <c r="A552" s="126" t="n"/>
      <c r="B552" s="127" t="n"/>
      <c r="C552" s="127" t="n"/>
      <c r="D552" s="128" t="n"/>
      <c r="E552" s="129" t="n"/>
      <c r="F552" s="127" t="n"/>
      <c r="G552" s="124">
        <f>IF($D552=0,0,ROUND($D552*$E552,2))</f>
        <v/>
      </c>
      <c r="H552" s="125">
        <f>IF($C552="","",CONCATENATE("Belge: ",$B552,"/",$C552," ",TEXT($D552,"#,##0")))</f>
        <v/>
      </c>
    </row>
    <row r="553" ht="15" customHeight="1" s="80">
      <c r="A553" s="126" t="n"/>
      <c r="B553" s="127" t="n"/>
      <c r="C553" s="127" t="n"/>
      <c r="D553" s="128" t="n"/>
      <c r="E553" s="129" t="n"/>
      <c r="F553" s="127" t="n"/>
      <c r="G553" s="124">
        <f>IF($D553=0,0,ROUND($D553*$E553,2))</f>
        <v/>
      </c>
      <c r="H553" s="125">
        <f>IF($C553="","",CONCATENATE("Belge: ",$B553,"/",$C553," ",TEXT($D553,"#,##0")))</f>
        <v/>
      </c>
    </row>
    <row r="554" ht="15" customHeight="1" s="80">
      <c r="A554" s="126" t="n"/>
      <c r="B554" s="127" t="n"/>
      <c r="C554" s="127" t="n"/>
      <c r="D554" s="128" t="n"/>
      <c r="E554" s="129" t="n"/>
      <c r="F554" s="127" t="n"/>
      <c r="G554" s="124">
        <f>IF($D554=0,0,ROUND($D554*$E554,2))</f>
        <v/>
      </c>
      <c r="H554" s="125">
        <f>IF($C554="","",CONCATENATE("Belge: ",$B554,"/",$C554," ",TEXT($D554,"#,##0")))</f>
        <v/>
      </c>
    </row>
    <row r="555" ht="15" customHeight="1" s="80">
      <c r="A555" s="126" t="n"/>
      <c r="B555" s="127" t="n"/>
      <c r="C555" s="127" t="n"/>
      <c r="D555" s="128" t="n"/>
      <c r="E555" s="129" t="n"/>
      <c r="F555" s="127" t="n"/>
      <c r="G555" s="124">
        <f>IF($D555=0,0,ROUND($D555*$E555,2))</f>
        <v/>
      </c>
      <c r="H555" s="125">
        <f>IF($C555="","",CONCATENATE("Belge: ",$B555,"/",$C555," ",TEXT($D555,"#,##0")))</f>
        <v/>
      </c>
    </row>
    <row r="556" ht="15" customHeight="1" s="80">
      <c r="A556" s="126" t="n"/>
      <c r="B556" s="127" t="n"/>
      <c r="C556" s="127" t="n"/>
      <c r="D556" s="128" t="n"/>
      <c r="E556" s="129" t="n"/>
      <c r="F556" s="127" t="n"/>
      <c r="G556" s="124">
        <f>IF($D556=0,0,ROUND($D556*$E556,2))</f>
        <v/>
      </c>
      <c r="H556" s="125">
        <f>IF($C556="","",CONCATENATE("Belge: ",$B556,"/",$C556," ",TEXT($D556,"#,##0")))</f>
        <v/>
      </c>
    </row>
    <row r="557" ht="15" customHeight="1" s="80">
      <c r="A557" s="126" t="n"/>
      <c r="B557" s="127" t="n"/>
      <c r="C557" s="127" t="n"/>
      <c r="D557" s="128" t="n"/>
      <c r="E557" s="129" t="n"/>
      <c r="F557" s="127" t="n"/>
      <c r="G557" s="124">
        <f>IF($D557=0,0,ROUND($D557*$E557,2))</f>
        <v/>
      </c>
      <c r="H557" s="125">
        <f>IF($C557="","",CONCATENATE("Belge: ",$B557,"/",$C557," ",TEXT($D557,"#,##0")))</f>
        <v/>
      </c>
    </row>
    <row r="558" ht="15" customHeight="1" s="80">
      <c r="A558" s="126" t="n"/>
      <c r="B558" s="127" t="n"/>
      <c r="C558" s="127" t="n"/>
      <c r="D558" s="128" t="n"/>
      <c r="E558" s="129" t="n"/>
      <c r="F558" s="127" t="n"/>
      <c r="G558" s="124">
        <f>IF($D558=0,0,ROUND($D558*$E558,2))</f>
        <v/>
      </c>
      <c r="H558" s="125">
        <f>IF($C558="","",CONCATENATE("Belge: ",$B558,"/",$C558," ",TEXT($D558,"#,##0")))</f>
        <v/>
      </c>
    </row>
    <row r="559" ht="15" customHeight="1" s="80">
      <c r="A559" s="126" t="n"/>
      <c r="B559" s="127" t="n"/>
      <c r="C559" s="127" t="n"/>
      <c r="D559" s="128" t="n"/>
      <c r="E559" s="129" t="n"/>
      <c r="F559" s="127" t="n"/>
      <c r="G559" s="124">
        <f>IF($D559=0,0,ROUND($D559*$E559,2))</f>
        <v/>
      </c>
      <c r="H559" s="125">
        <f>IF($C559="","",CONCATENATE("Belge: ",$B559,"/",$C559," ",TEXT($D559,"#,##0")))</f>
        <v/>
      </c>
    </row>
    <row r="560" ht="15" customHeight="1" s="80">
      <c r="A560" s="126" t="n"/>
      <c r="B560" s="127" t="n"/>
      <c r="C560" s="127" t="n"/>
      <c r="D560" s="128" t="n"/>
      <c r="E560" s="129" t="n"/>
      <c r="F560" s="127" t="n"/>
      <c r="G560" s="124">
        <f>IF($D560=0,0,ROUND($D560*$E560,2))</f>
        <v/>
      </c>
      <c r="H560" s="125">
        <f>IF($C560="","",CONCATENATE("Belge: ",$B560,"/",$C560," ",TEXT($D560,"#,##0")))</f>
        <v/>
      </c>
    </row>
    <row r="561" ht="15" customHeight="1" s="80">
      <c r="A561" s="126" t="n"/>
      <c r="B561" s="127" t="n"/>
      <c r="C561" s="127" t="n"/>
      <c r="D561" s="128" t="n"/>
      <c r="E561" s="129" t="n"/>
      <c r="F561" s="127" t="n"/>
      <c r="G561" s="124">
        <f>IF($D561=0,0,ROUND($D561*$E561,2))</f>
        <v/>
      </c>
      <c r="H561" s="125">
        <f>IF($C561="","",CONCATENATE("Belge: ",$B561,"/",$C561," ",TEXT($D561,"#,##0")))</f>
        <v/>
      </c>
    </row>
    <row r="562" ht="15" customHeight="1" s="80">
      <c r="A562" s="126" t="n"/>
      <c r="B562" s="127" t="n"/>
      <c r="C562" s="127" t="n"/>
      <c r="D562" s="128" t="n"/>
      <c r="E562" s="129" t="n"/>
      <c r="F562" s="127" t="n"/>
      <c r="G562" s="124">
        <f>IF($D562=0,0,ROUND($D562*$E562,2))</f>
        <v/>
      </c>
      <c r="H562" s="125">
        <f>IF($C562="","",CONCATENATE("Belge: ",$B562,"/",$C562," ",TEXT($D562,"#,##0")))</f>
        <v/>
      </c>
    </row>
    <row r="563" ht="15" customHeight="1" s="80">
      <c r="A563" s="126" t="n"/>
      <c r="B563" s="127" t="n"/>
      <c r="C563" s="127" t="n"/>
      <c r="D563" s="128" t="n"/>
      <c r="E563" s="129" t="n"/>
      <c r="F563" s="127" t="n"/>
      <c r="G563" s="124">
        <f>IF($D563=0,0,ROUND($D563*$E563,2))</f>
        <v/>
      </c>
      <c r="H563" s="125">
        <f>IF($C563="","",CONCATENATE("Belge: ",$B563,"/",$C563," ",TEXT($D563,"#,##0")))</f>
        <v/>
      </c>
    </row>
    <row r="564" ht="15" customHeight="1" s="80">
      <c r="A564" s="126" t="n"/>
      <c r="B564" s="127" t="n"/>
      <c r="C564" s="127" t="n"/>
      <c r="D564" s="128" t="n"/>
      <c r="E564" s="129" t="n"/>
      <c r="F564" s="127" t="n"/>
      <c r="G564" s="124">
        <f>IF($D564=0,0,ROUND($D564*$E564,2))</f>
        <v/>
      </c>
      <c r="H564" s="125">
        <f>IF($C564="","",CONCATENATE("Belge: ",$B564,"/",$C564," ",TEXT($D564,"#,##0")))</f>
        <v/>
      </c>
    </row>
    <row r="565" ht="15" customHeight="1" s="80">
      <c r="A565" s="126" t="n"/>
      <c r="B565" s="127" t="n"/>
      <c r="C565" s="127" t="n"/>
      <c r="D565" s="128" t="n"/>
      <c r="E565" s="129" t="n"/>
      <c r="F565" s="127" t="n"/>
      <c r="G565" s="124">
        <f>IF($D565=0,0,ROUND($D565*$E565,2))</f>
        <v/>
      </c>
      <c r="H565" s="125">
        <f>IF($C565="","",CONCATENATE("Belge: ",$B565,"/",$C565," ",TEXT($D565,"#,##0")))</f>
        <v/>
      </c>
    </row>
    <row r="566" ht="15" customHeight="1" s="80">
      <c r="A566" s="126" t="n"/>
      <c r="B566" s="127" t="n"/>
      <c r="C566" s="127" t="n"/>
      <c r="D566" s="128" t="n"/>
      <c r="E566" s="129" t="n"/>
      <c r="F566" s="127" t="n"/>
      <c r="G566" s="124">
        <f>IF($D566=0,0,ROUND($D566*$E566,2))</f>
        <v/>
      </c>
      <c r="H566" s="125">
        <f>IF($C566="","",CONCATENATE("Belge: ",$B566,"/",$C566," ",TEXT($D566,"#,##0")))</f>
        <v/>
      </c>
    </row>
    <row r="567" ht="15" customHeight="1" s="80">
      <c r="A567" s="126" t="n"/>
      <c r="B567" s="127" t="n"/>
      <c r="C567" s="127" t="n"/>
      <c r="D567" s="128" t="n"/>
      <c r="E567" s="129" t="n"/>
      <c r="F567" s="127" t="n"/>
      <c r="G567" s="124">
        <f>IF($D567=0,0,ROUND($D567*$E567,2))</f>
        <v/>
      </c>
      <c r="H567" s="125">
        <f>IF($C567="","",CONCATENATE("Belge: ",$B567,"/",$C567," ",TEXT($D567,"#,##0")))</f>
        <v/>
      </c>
    </row>
    <row r="568" ht="15" customHeight="1" s="80">
      <c r="A568" s="126" t="n"/>
      <c r="B568" s="127" t="n"/>
      <c r="C568" s="127" t="n"/>
      <c r="D568" s="128" t="n"/>
      <c r="E568" s="129" t="n"/>
      <c r="F568" s="127" t="n"/>
      <c r="G568" s="124">
        <f>IF($D568=0,0,ROUND($D568*$E568,2))</f>
        <v/>
      </c>
      <c r="H568" s="125">
        <f>IF($C568="","",CONCATENATE("Belge: ",$B568,"/",$C568," ",TEXT($D568,"#,##0")))</f>
        <v/>
      </c>
    </row>
    <row r="569" ht="15" customHeight="1" s="80">
      <c r="A569" s="126" t="n"/>
      <c r="B569" s="127" t="n"/>
      <c r="C569" s="127" t="n"/>
      <c r="D569" s="128" t="n"/>
      <c r="E569" s="129" t="n"/>
      <c r="F569" s="127" t="n"/>
      <c r="G569" s="124">
        <f>IF($D569=0,0,ROUND($D569*$E569,2))</f>
        <v/>
      </c>
      <c r="H569" s="125">
        <f>IF($C569="","",CONCATENATE("Belge: ",$B569,"/",$C569," ",TEXT($D569,"#,##0")))</f>
        <v/>
      </c>
    </row>
    <row r="570" ht="15" customHeight="1" s="80">
      <c r="A570" s="126" t="n"/>
      <c r="B570" s="127" t="n"/>
      <c r="C570" s="127" t="n"/>
      <c r="D570" s="128" t="n"/>
      <c r="E570" s="129" t="n"/>
      <c r="F570" s="127" t="n"/>
      <c r="G570" s="124">
        <f>IF($D570=0,0,ROUND($D570*$E570,2))</f>
        <v/>
      </c>
      <c r="H570" s="125">
        <f>IF($C570="","",CONCATENATE("Belge: ",$B570,"/",$C570," ",TEXT($D570,"#,##0")))</f>
        <v/>
      </c>
    </row>
    <row r="571" ht="15" customHeight="1" s="80">
      <c r="A571" s="126" t="n"/>
      <c r="B571" s="127" t="n"/>
      <c r="C571" s="127" t="n"/>
      <c r="D571" s="128" t="n"/>
      <c r="E571" s="129" t="n"/>
      <c r="F571" s="127" t="n"/>
      <c r="G571" s="124">
        <f>IF($D571=0,0,ROUND($D571*$E571,2))</f>
        <v/>
      </c>
      <c r="H571" s="125">
        <f>IF($C571="","",CONCATENATE("Belge: ",$B571,"/",$C571," ",TEXT($D571,"#,##0")))</f>
        <v/>
      </c>
    </row>
    <row r="572" ht="15" customHeight="1" s="80">
      <c r="A572" s="126" t="n"/>
      <c r="B572" s="127" t="n"/>
      <c r="C572" s="127" t="n"/>
      <c r="D572" s="128" t="n"/>
      <c r="E572" s="129" t="n"/>
      <c r="F572" s="127" t="n"/>
      <c r="G572" s="124">
        <f>IF($D572=0,0,ROUND($D572*$E572,2))</f>
        <v/>
      </c>
      <c r="H572" s="125">
        <f>IF($C572="","",CONCATENATE("Belge: ",$B572,"/",$C572," ",TEXT($D572,"#,##0")))</f>
        <v/>
      </c>
    </row>
    <row r="573" ht="15" customHeight="1" s="80">
      <c r="A573" s="126" t="n"/>
      <c r="B573" s="127" t="n"/>
      <c r="C573" s="127" t="n"/>
      <c r="D573" s="128" t="n"/>
      <c r="E573" s="129" t="n"/>
      <c r="F573" s="127" t="n"/>
      <c r="G573" s="124">
        <f>IF($D573=0,0,ROUND($D573*$E573,2))</f>
        <v/>
      </c>
      <c r="H573" s="125">
        <f>IF($C573="","",CONCATENATE("Belge: ",$B573,"/",$C573," ",TEXT($D573,"#,##0")))</f>
        <v/>
      </c>
    </row>
    <row r="574" ht="15" customHeight="1" s="80">
      <c r="A574" s="126" t="n"/>
      <c r="B574" s="127" t="n"/>
      <c r="C574" s="127" t="n"/>
      <c r="D574" s="128" t="n"/>
      <c r="E574" s="129" t="n"/>
      <c r="F574" s="127" t="n"/>
      <c r="G574" s="124">
        <f>IF($D574=0,0,ROUND($D574*$E574,2))</f>
        <v/>
      </c>
      <c r="H574" s="125">
        <f>IF($C574="","",CONCATENATE("Belge: ",$B574,"/",$C574," ",TEXT($D574,"#,##0")))</f>
        <v/>
      </c>
    </row>
    <row r="575" ht="15" customHeight="1" s="80">
      <c r="A575" s="126" t="n"/>
      <c r="B575" s="127" t="n"/>
      <c r="C575" s="127" t="n"/>
      <c r="D575" s="128" t="n"/>
      <c r="E575" s="129" t="n"/>
      <c r="F575" s="127" t="n"/>
      <c r="G575" s="124">
        <f>IF($D575=0,0,ROUND($D575*$E575,2))</f>
        <v/>
      </c>
      <c r="H575" s="125">
        <f>IF($C575="","",CONCATENATE("Belge: ",$B575,"/",$C575," ",TEXT($D575,"#,##0")))</f>
        <v/>
      </c>
    </row>
    <row r="576" ht="15" customHeight="1" s="80">
      <c r="A576" s="126" t="n"/>
      <c r="B576" s="127" t="n"/>
      <c r="C576" s="127" t="n"/>
      <c r="D576" s="128" t="n"/>
      <c r="E576" s="129" t="n"/>
      <c r="F576" s="127" t="n"/>
      <c r="G576" s="124">
        <f>IF($D576=0,0,ROUND($D576*$E576,2))</f>
        <v/>
      </c>
      <c r="H576" s="125">
        <f>IF($C576="","",CONCATENATE("Belge: ",$B576,"/",$C576," ",TEXT($D576,"#,##0")))</f>
        <v/>
      </c>
    </row>
    <row r="577" ht="15" customHeight="1" s="80">
      <c r="A577" s="126" t="n"/>
      <c r="B577" s="127" t="n"/>
      <c r="C577" s="127" t="n"/>
      <c r="D577" s="128" t="n"/>
      <c r="E577" s="129" t="n"/>
      <c r="F577" s="127" t="n"/>
      <c r="G577" s="124">
        <f>IF($D577=0,0,ROUND($D577*$E577,2))</f>
        <v/>
      </c>
      <c r="H577" s="125">
        <f>IF($C577="","",CONCATENATE("Belge: ",$B577,"/",$C577," ",TEXT($D577,"#,##0")))</f>
        <v/>
      </c>
    </row>
    <row r="578" ht="15" customHeight="1" s="80">
      <c r="A578" s="126" t="n"/>
      <c r="B578" s="127" t="n"/>
      <c r="C578" s="127" t="n"/>
      <c r="D578" s="128" t="n"/>
      <c r="E578" s="129" t="n"/>
      <c r="F578" s="127" t="n"/>
      <c r="G578" s="124">
        <f>IF($D578=0,0,ROUND($D578*$E578,2))</f>
        <v/>
      </c>
      <c r="H578" s="125">
        <f>IF($C578="","",CONCATENATE("Belge: ",$B578,"/",$C578," ",TEXT($D578,"#,##0")))</f>
        <v/>
      </c>
    </row>
    <row r="579" ht="15" customHeight="1" s="80">
      <c r="A579" s="126" t="n"/>
      <c r="B579" s="127" t="n"/>
      <c r="C579" s="127" t="n"/>
      <c r="D579" s="128" t="n"/>
      <c r="E579" s="129" t="n"/>
      <c r="F579" s="127" t="n"/>
      <c r="G579" s="124">
        <f>IF($D579=0,0,ROUND($D579*$E579,2))</f>
        <v/>
      </c>
      <c r="H579" s="125">
        <f>IF($C579="","",CONCATENATE("Belge: ",$B579,"/",$C579," ",TEXT($D579,"#,##0")))</f>
        <v/>
      </c>
    </row>
    <row r="580" ht="15" customHeight="1" s="80">
      <c r="A580" s="126" t="n"/>
      <c r="B580" s="127" t="n"/>
      <c r="C580" s="127" t="n"/>
      <c r="D580" s="128" t="n"/>
      <c r="E580" s="129" t="n"/>
      <c r="F580" s="127" t="n"/>
      <c r="G580" s="124">
        <f>IF($D580=0,0,ROUND($D580*$E580,2))</f>
        <v/>
      </c>
      <c r="H580" s="125">
        <f>IF($C580="","",CONCATENATE("Belge: ",$B580,"/",$C580," ",TEXT($D580,"#,##0")))</f>
        <v/>
      </c>
    </row>
    <row r="581" ht="15" customHeight="1" s="80">
      <c r="A581" s="126" t="n"/>
      <c r="B581" s="127" t="n"/>
      <c r="C581" s="127" t="n"/>
      <c r="D581" s="128" t="n"/>
      <c r="E581" s="129" t="n"/>
      <c r="F581" s="127" t="n"/>
      <c r="G581" s="124">
        <f>IF($D581=0,0,ROUND($D581*$E581,2))</f>
        <v/>
      </c>
      <c r="H581" s="125">
        <f>IF($C581="","",CONCATENATE("Belge: ",$B581,"/",$C581," ",TEXT($D581,"#,##0")))</f>
        <v/>
      </c>
    </row>
    <row r="582" ht="15" customHeight="1" s="80">
      <c r="A582" s="126" t="n"/>
      <c r="B582" s="127" t="n"/>
      <c r="C582" s="127" t="n"/>
      <c r="D582" s="128" t="n"/>
      <c r="E582" s="129" t="n"/>
      <c r="F582" s="127" t="n"/>
      <c r="G582" s="124">
        <f>IF($D582=0,0,ROUND($D582*$E582,2))</f>
        <v/>
      </c>
      <c r="H582" s="125">
        <f>IF($C582="","",CONCATENATE("Belge: ",$B582,"/",$C582," ",TEXT($D582,"#,##0")))</f>
        <v/>
      </c>
    </row>
    <row r="583" ht="15" customHeight="1" s="80">
      <c r="A583" s="126" t="n"/>
      <c r="B583" s="127" t="n"/>
      <c r="C583" s="127" t="n"/>
      <c r="D583" s="128" t="n"/>
      <c r="E583" s="129" t="n"/>
      <c r="F583" s="127" t="n"/>
      <c r="G583" s="124">
        <f>IF($D583=0,0,ROUND($D583*$E583,2))</f>
        <v/>
      </c>
      <c r="H583" s="125">
        <f>IF($C583="","",CONCATENATE("Belge: ",$B583,"/",$C583," ",TEXT($D583,"#,##0")))</f>
        <v/>
      </c>
    </row>
    <row r="584" ht="15" customHeight="1" s="80">
      <c r="A584" s="126" t="n"/>
      <c r="B584" s="127" t="n"/>
      <c r="C584" s="127" t="n"/>
      <c r="D584" s="128" t="n"/>
      <c r="E584" s="129" t="n"/>
      <c r="F584" s="127" t="n"/>
      <c r="G584" s="124">
        <f>IF($D584=0,0,ROUND($D584*$E584,2))</f>
        <v/>
      </c>
      <c r="H584" s="125">
        <f>IF($C584="","",CONCATENATE("Belge: ",$B584,"/",$C584," ",TEXT($D584,"#,##0")))</f>
        <v/>
      </c>
    </row>
    <row r="585" ht="15" customHeight="1" s="80">
      <c r="A585" s="126" t="n"/>
      <c r="B585" s="127" t="n"/>
      <c r="C585" s="127" t="n"/>
      <c r="D585" s="128" t="n"/>
      <c r="E585" s="129" t="n"/>
      <c r="F585" s="127" t="n"/>
      <c r="G585" s="124">
        <f>IF($D585=0,0,ROUND($D585*$E585,2))</f>
        <v/>
      </c>
      <c r="H585" s="125">
        <f>IF($C585="","",CONCATENATE("Belge: ",$B585,"/",$C585," ",TEXT($D585,"#,##0")))</f>
        <v/>
      </c>
    </row>
    <row r="586" ht="15" customHeight="1" s="80">
      <c r="A586" s="126" t="n"/>
      <c r="B586" s="127" t="n"/>
      <c r="C586" s="127" t="n"/>
      <c r="D586" s="128" t="n"/>
      <c r="E586" s="129" t="n"/>
      <c r="F586" s="127" t="n"/>
      <c r="G586" s="124">
        <f>IF($D586=0,0,ROUND($D586*$E586,2))</f>
        <v/>
      </c>
      <c r="H586" s="125">
        <f>IF($C586="","",CONCATENATE("Belge: ",$B586,"/",$C586," ",TEXT($D586,"#,##0")))</f>
        <v/>
      </c>
    </row>
    <row r="587" ht="15" customHeight="1" s="80">
      <c r="A587" s="126" t="n"/>
      <c r="B587" s="127" t="n"/>
      <c r="C587" s="127" t="n"/>
      <c r="D587" s="128" t="n"/>
      <c r="E587" s="129" t="n"/>
      <c r="F587" s="127" t="n"/>
      <c r="G587" s="124">
        <f>IF($D587=0,0,ROUND($D587*$E587,2))</f>
        <v/>
      </c>
      <c r="H587" s="125">
        <f>IF($C587="","",CONCATENATE("Belge: ",$B587,"/",$C587," ",TEXT($D587,"#,##0")))</f>
        <v/>
      </c>
    </row>
    <row r="588" ht="15" customHeight="1" s="80">
      <c r="A588" s="126" t="n"/>
      <c r="B588" s="127" t="n"/>
      <c r="C588" s="127" t="n"/>
      <c r="D588" s="128" t="n"/>
      <c r="E588" s="129" t="n"/>
      <c r="F588" s="127" t="n"/>
      <c r="G588" s="124">
        <f>IF($D588=0,0,ROUND($D588*$E588,2))</f>
        <v/>
      </c>
      <c r="H588" s="125">
        <f>IF($C588="","",CONCATENATE("Belge: ",$B588,"/",$C588," ",TEXT($D588,"#,##0")))</f>
        <v/>
      </c>
    </row>
    <row r="589" ht="15" customHeight="1" s="80">
      <c r="A589" s="126" t="n"/>
      <c r="B589" s="127" t="n"/>
      <c r="C589" s="127" t="n"/>
      <c r="D589" s="128" t="n"/>
      <c r="E589" s="129" t="n"/>
      <c r="F589" s="127" t="n"/>
      <c r="G589" s="124">
        <f>IF($D589=0,0,ROUND($D589*$E589,2))</f>
        <v/>
      </c>
      <c r="H589" s="125">
        <f>IF($C589="","",CONCATENATE("Belge: ",$B589,"/",$C589," ",TEXT($D589,"#,##0")))</f>
        <v/>
      </c>
    </row>
    <row r="590" ht="15" customHeight="1" s="80">
      <c r="A590" s="126" t="n"/>
      <c r="B590" s="127" t="n"/>
      <c r="C590" s="127" t="n"/>
      <c r="D590" s="128" t="n"/>
      <c r="E590" s="129" t="n"/>
      <c r="F590" s="127" t="n"/>
      <c r="G590" s="124">
        <f>IF($D590=0,0,ROUND($D590*$E590,2))</f>
        <v/>
      </c>
      <c r="H590" s="125">
        <f>IF($C590="","",CONCATENATE("Belge: ",$B590,"/",$C590," ",TEXT($D590,"#,##0")))</f>
        <v/>
      </c>
    </row>
    <row r="591" ht="15" customHeight="1" s="80">
      <c r="A591" s="126" t="n"/>
      <c r="B591" s="127" t="n"/>
      <c r="C591" s="127" t="n"/>
      <c r="D591" s="128" t="n"/>
      <c r="E591" s="129" t="n"/>
      <c r="F591" s="127" t="n"/>
      <c r="G591" s="124">
        <f>IF($D591=0,0,ROUND($D591*$E591,2))</f>
        <v/>
      </c>
      <c r="H591" s="125">
        <f>IF($C591="","",CONCATENATE("Belge: ",$B591,"/",$C591," ",TEXT($D591,"#,##0")))</f>
        <v/>
      </c>
    </row>
    <row r="592" ht="15" customHeight="1" s="80">
      <c r="A592" s="126" t="n"/>
      <c r="B592" s="127" t="n"/>
      <c r="C592" s="127" t="n"/>
      <c r="D592" s="128" t="n"/>
      <c r="E592" s="129" t="n"/>
      <c r="F592" s="127" t="n"/>
      <c r="G592" s="124">
        <f>IF($D592=0,0,ROUND($D592*$E592,2))</f>
        <v/>
      </c>
      <c r="H592" s="125">
        <f>IF($C592="","",CONCATENATE("Belge: ",$B592,"/",$C592," ",TEXT($D592,"#,##0")))</f>
        <v/>
      </c>
    </row>
    <row r="593" ht="15" customHeight="1" s="80">
      <c r="A593" s="126" t="n"/>
      <c r="B593" s="127" t="n"/>
      <c r="C593" s="127" t="n"/>
      <c r="D593" s="128" t="n"/>
      <c r="E593" s="129" t="n"/>
      <c r="F593" s="127" t="n"/>
      <c r="G593" s="124">
        <f>IF($D593=0,0,ROUND($D593*$E593,2))</f>
        <v/>
      </c>
      <c r="H593" s="125">
        <f>IF($C593="","",CONCATENATE("Belge: ",$B593,"/",$C593," ",TEXT($D593,"#,##0")))</f>
        <v/>
      </c>
    </row>
    <row r="594" ht="15" customHeight="1" s="80">
      <c r="A594" s="126" t="n"/>
      <c r="B594" s="127" t="n"/>
      <c r="C594" s="127" t="n"/>
      <c r="D594" s="128" t="n"/>
      <c r="E594" s="129" t="n"/>
      <c r="F594" s="127" t="n"/>
      <c r="G594" s="124">
        <f>IF($D594=0,0,ROUND($D594*$E594,2))</f>
        <v/>
      </c>
      <c r="H594" s="125">
        <f>IF($C594="","",CONCATENATE("Belge: ",$B594,"/",$C594," ",TEXT($D594,"#,##0")))</f>
        <v/>
      </c>
    </row>
    <row r="595" ht="15" customHeight="1" s="80">
      <c r="A595" s="126" t="n"/>
      <c r="B595" s="127" t="n"/>
      <c r="C595" s="127" t="n"/>
      <c r="D595" s="128" t="n"/>
      <c r="E595" s="129" t="n"/>
      <c r="F595" s="127" t="n"/>
      <c r="G595" s="124">
        <f>IF($D595=0,0,ROUND($D595*$E595,2))</f>
        <v/>
      </c>
      <c r="H595" s="125">
        <f>IF($C595="","",CONCATENATE("Belge: ",$B595,"/",$C595," ",TEXT($D595,"#,##0")))</f>
        <v/>
      </c>
    </row>
    <row r="596" ht="15" customHeight="1" s="80">
      <c r="A596" s="126" t="n"/>
      <c r="B596" s="127" t="n"/>
      <c r="C596" s="127" t="n"/>
      <c r="D596" s="128" t="n"/>
      <c r="E596" s="129" t="n"/>
      <c r="F596" s="127" t="n"/>
      <c r="G596" s="124">
        <f>IF($D596=0,0,ROUND($D596*$E596,2))</f>
        <v/>
      </c>
      <c r="H596" s="125">
        <f>IF($C596="","",CONCATENATE("Belge: ",$B596,"/",$C596," ",TEXT($D596,"#,##0")))</f>
        <v/>
      </c>
    </row>
    <row r="597" ht="15" customHeight="1" s="80">
      <c r="A597" s="126" t="n"/>
      <c r="B597" s="127" t="n"/>
      <c r="C597" s="127" t="n"/>
      <c r="D597" s="128" t="n"/>
      <c r="E597" s="129" t="n"/>
      <c r="F597" s="127" t="n"/>
      <c r="G597" s="124">
        <f>IF($D597=0,0,ROUND($D597*$E597,2))</f>
        <v/>
      </c>
      <c r="H597" s="125">
        <f>IF($C597="","",CONCATENATE("Belge: ",$B597,"/",$C597," ",TEXT($D597,"#,##0")))</f>
        <v/>
      </c>
    </row>
    <row r="598" ht="15" customHeight="1" s="80">
      <c r="A598" s="126" t="n"/>
      <c r="B598" s="127" t="n"/>
      <c r="C598" s="127" t="n"/>
      <c r="D598" s="128" t="n"/>
      <c r="E598" s="129" t="n"/>
      <c r="F598" s="127" t="n"/>
      <c r="G598" s="124">
        <f>IF($D598=0,0,ROUND($D598*$E598,2))</f>
        <v/>
      </c>
      <c r="H598" s="125">
        <f>IF($C598="","",CONCATENATE("Belge: ",$B598,"/",$C598," ",TEXT($D598,"#,##0")))</f>
        <v/>
      </c>
    </row>
    <row r="599" ht="15" customHeight="1" s="80">
      <c r="A599" s="126" t="n"/>
      <c r="B599" s="127" t="n"/>
      <c r="C599" s="127" t="n"/>
      <c r="D599" s="128" t="n"/>
      <c r="E599" s="129" t="n"/>
      <c r="F599" s="127" t="n"/>
      <c r="G599" s="124">
        <f>IF($D599=0,0,ROUND($D599*$E599,2))</f>
        <v/>
      </c>
      <c r="H599" s="125">
        <f>IF($C599="","",CONCATENATE("Belge: ",$B599,"/",$C599," ",TEXT($D599,"#,##0")))</f>
        <v/>
      </c>
    </row>
    <row r="600" ht="15" customHeight="1" s="80">
      <c r="A600" s="126" t="n"/>
      <c r="B600" s="127" t="n"/>
      <c r="C600" s="127" t="n"/>
      <c r="D600" s="128" t="n"/>
      <c r="E600" s="129" t="n"/>
      <c r="F600" s="127" t="n"/>
      <c r="G600" s="124">
        <f>IF($D600=0,0,ROUND($D600*$E600,2))</f>
        <v/>
      </c>
      <c r="H600" s="125">
        <f>IF($C600="","",CONCATENATE("Belge: ",$B600,"/",$C600," ",TEXT($D600,"#,##0")))</f>
        <v/>
      </c>
    </row>
    <row r="601" ht="15" customHeight="1" s="80">
      <c r="A601" s="126" t="n"/>
      <c r="B601" s="127" t="n"/>
      <c r="C601" s="127" t="n"/>
      <c r="D601" s="128" t="n"/>
      <c r="E601" s="129" t="n"/>
      <c r="F601" s="127" t="n"/>
      <c r="G601" s="124">
        <f>IF($D601=0,0,ROUND($D601*$E601,2))</f>
        <v/>
      </c>
      <c r="H601" s="125">
        <f>IF($C601="","",CONCATENATE("Belge: ",$B601,"/",$C601," ",TEXT($D601,"#,##0")))</f>
        <v/>
      </c>
    </row>
    <row r="602" ht="15" customHeight="1" s="80">
      <c r="A602" s="126" t="n"/>
      <c r="B602" s="127" t="n"/>
      <c r="C602" s="127" t="n"/>
      <c r="D602" s="128" t="n"/>
      <c r="E602" s="129" t="n"/>
      <c r="F602" s="127" t="n"/>
      <c r="G602" s="124">
        <f>IF($D602=0,0,ROUND($D602*$E602,2))</f>
        <v/>
      </c>
      <c r="H602" s="125">
        <f>IF($C602="","",CONCATENATE("Belge: ",$B602,"/",$C602," ",TEXT($D602,"#,##0")))</f>
        <v/>
      </c>
    </row>
    <row r="603" ht="15" customHeight="1" s="80">
      <c r="A603" s="126" t="n"/>
      <c r="B603" s="127" t="n"/>
      <c r="C603" s="127" t="n"/>
      <c r="D603" s="128" t="n"/>
      <c r="E603" s="129" t="n"/>
      <c r="F603" s="127" t="n"/>
      <c r="G603" s="124">
        <f>IF($D603=0,0,ROUND($D603*$E603,2))</f>
        <v/>
      </c>
      <c r="H603" s="125">
        <f>IF($C603="","",CONCATENATE("Belge: ",$B603,"/",$C603," ",TEXT($D603,"#,##0")))</f>
        <v/>
      </c>
    </row>
    <row r="604" ht="15" customHeight="1" s="80">
      <c r="A604" s="126" t="n"/>
      <c r="B604" s="127" t="n"/>
      <c r="C604" s="127" t="n"/>
      <c r="D604" s="128" t="n"/>
      <c r="E604" s="129" t="n"/>
      <c r="F604" s="127" t="n"/>
      <c r="G604" s="124">
        <f>IF($D604=0,0,ROUND($D604*$E604,2))</f>
        <v/>
      </c>
      <c r="H604" s="125">
        <f>IF($C604="","",CONCATENATE("Belge: ",$B604,"/",$C604," ",TEXT($D604,"#,##0")))</f>
        <v/>
      </c>
    </row>
    <row r="605" ht="15" customHeight="1" s="80">
      <c r="A605" s="126" t="n"/>
      <c r="B605" s="127" t="n"/>
      <c r="C605" s="127" t="n"/>
      <c r="D605" s="128" t="n"/>
      <c r="E605" s="129" t="n"/>
      <c r="F605" s="127" t="n"/>
      <c r="G605" s="124">
        <f>IF($D605=0,0,ROUND($D605*$E605,2))</f>
        <v/>
      </c>
      <c r="H605" s="125">
        <f>IF($C605="","",CONCATENATE("Belge: ",$B605,"/",$C605," ",TEXT($D605,"#,##0")))</f>
        <v/>
      </c>
    </row>
    <row r="606" ht="15" customHeight="1" s="80">
      <c r="A606" s="126" t="n"/>
      <c r="B606" s="127" t="n"/>
      <c r="C606" s="127" t="n"/>
      <c r="D606" s="128" t="n"/>
      <c r="E606" s="129" t="n"/>
      <c r="F606" s="127" t="n"/>
      <c r="G606" s="124">
        <f>IF($D606=0,0,ROUND($D606*$E606,2))</f>
        <v/>
      </c>
      <c r="H606" s="125">
        <f>IF($C606="","",CONCATENATE("Belge: ",$B606,"/",$C606," ",TEXT($D606,"#,##0")))</f>
        <v/>
      </c>
    </row>
    <row r="607" ht="15" customHeight="1" s="80">
      <c r="A607" s="126" t="n"/>
      <c r="B607" s="127" t="n"/>
      <c r="C607" s="127" t="n"/>
      <c r="D607" s="128" t="n"/>
      <c r="E607" s="129" t="n"/>
      <c r="F607" s="127" t="n"/>
      <c r="G607" s="124">
        <f>IF($D607=0,0,ROUND($D607*$E607,2))</f>
        <v/>
      </c>
      <c r="H607" s="125">
        <f>IF($C607="","",CONCATENATE("Belge: ",$B607,"/",$C607," ",TEXT($D607,"#,##0")))</f>
        <v/>
      </c>
    </row>
    <row r="608" ht="15" customHeight="1" s="80">
      <c r="A608" s="126" t="n"/>
      <c r="B608" s="127" t="n"/>
      <c r="C608" s="127" t="n"/>
      <c r="D608" s="128" t="n"/>
      <c r="E608" s="129" t="n"/>
      <c r="F608" s="127" t="n"/>
      <c r="G608" s="124">
        <f>IF($D608=0,0,ROUND($D608*$E608,2))</f>
        <v/>
      </c>
      <c r="H608" s="125">
        <f>IF($C608="","",CONCATENATE("Belge: ",$B608,"/",$C608," ",TEXT($D608,"#,##0")))</f>
        <v/>
      </c>
    </row>
    <row r="609" ht="15" customHeight="1" s="80">
      <c r="A609" s="126" t="n"/>
      <c r="B609" s="127" t="n"/>
      <c r="C609" s="127" t="n"/>
      <c r="D609" s="128" t="n"/>
      <c r="E609" s="129" t="n"/>
      <c r="F609" s="127" t="n"/>
      <c r="G609" s="124">
        <f>IF($D609=0,0,ROUND($D609*$E609,2))</f>
        <v/>
      </c>
      <c r="H609" s="125">
        <f>IF($C609="","",CONCATENATE("Belge: ",$B609,"/",$C609," ",TEXT($D609,"#,##0")))</f>
        <v/>
      </c>
    </row>
    <row r="610" ht="15" customHeight="1" s="80">
      <c r="A610" s="126" t="n"/>
      <c r="B610" s="127" t="n"/>
      <c r="C610" s="127" t="n"/>
      <c r="D610" s="128" t="n"/>
      <c r="E610" s="129" t="n"/>
      <c r="F610" s="127" t="n"/>
      <c r="G610" s="124">
        <f>IF($D610=0,0,ROUND($D610*$E610,2))</f>
        <v/>
      </c>
      <c r="H610" s="125">
        <f>IF($C610="","",CONCATENATE("Belge: ",$B610,"/",$C610," ",TEXT($D610,"#,##0")))</f>
        <v/>
      </c>
    </row>
    <row r="611" ht="15" customHeight="1" s="80">
      <c r="A611" s="126" t="n"/>
      <c r="B611" s="127" t="n"/>
      <c r="C611" s="127" t="n"/>
      <c r="D611" s="128" t="n"/>
      <c r="E611" s="129" t="n"/>
      <c r="F611" s="127" t="n"/>
      <c r="G611" s="124">
        <f>IF($D611=0,0,ROUND($D611*$E611,2))</f>
        <v/>
      </c>
      <c r="H611" s="125">
        <f>IF($C611="","",CONCATENATE("Belge: ",$B611,"/",$C611," ",TEXT($D611,"#,##0")))</f>
        <v/>
      </c>
    </row>
    <row r="612" ht="15" customHeight="1" s="80">
      <c r="A612" s="126" t="n"/>
      <c r="B612" s="127" t="n"/>
      <c r="C612" s="127" t="n"/>
      <c r="D612" s="128" t="n"/>
      <c r="E612" s="129" t="n"/>
      <c r="F612" s="127" t="n"/>
      <c r="G612" s="124">
        <f>IF($D612=0,0,ROUND($D612*$E612,2))</f>
        <v/>
      </c>
      <c r="H612" s="125">
        <f>IF($C612="","",CONCATENATE("Belge: ",$B612,"/",$C612," ",TEXT($D612,"#,##0")))</f>
        <v/>
      </c>
    </row>
    <row r="613" ht="15" customHeight="1" s="80">
      <c r="A613" s="126" t="n"/>
      <c r="B613" s="127" t="n"/>
      <c r="C613" s="127" t="n"/>
      <c r="D613" s="128" t="n"/>
      <c r="E613" s="129" t="n"/>
      <c r="F613" s="127" t="n"/>
      <c r="G613" s="124">
        <f>IF($D613=0,0,ROUND($D613*$E613,2))</f>
        <v/>
      </c>
      <c r="H613" s="125">
        <f>IF($C613="","",CONCATENATE("Belge: ",$B613,"/",$C613," ",TEXT($D613,"#,##0")))</f>
        <v/>
      </c>
    </row>
    <row r="614" ht="15" customHeight="1" s="80">
      <c r="A614" s="126" t="n"/>
      <c r="B614" s="127" t="n"/>
      <c r="C614" s="127" t="n"/>
      <c r="D614" s="128" t="n"/>
      <c r="E614" s="129" t="n"/>
      <c r="F614" s="127" t="n"/>
      <c r="G614" s="124">
        <f>IF($D614=0,0,ROUND($D614*$E614,2))</f>
        <v/>
      </c>
      <c r="H614" s="125">
        <f>IF($C614="","",CONCATENATE("Belge: ",$B614,"/",$C614," ",TEXT($D614,"#,##0")))</f>
        <v/>
      </c>
    </row>
    <row r="615" ht="15" customHeight="1" s="80">
      <c r="A615" s="126" t="n"/>
      <c r="B615" s="127" t="n"/>
      <c r="C615" s="127" t="n"/>
      <c r="D615" s="128" t="n"/>
      <c r="E615" s="129" t="n"/>
      <c r="F615" s="127" t="n"/>
      <c r="G615" s="124">
        <f>IF($D615=0,0,ROUND($D615*$E615,2))</f>
        <v/>
      </c>
      <c r="H615" s="125">
        <f>IF($C615="","",CONCATENATE("Belge: ",$B615,"/",$C615," ",TEXT($D615,"#,##0")))</f>
        <v/>
      </c>
    </row>
    <row r="616" ht="15" customHeight="1" s="80">
      <c r="A616" s="126" t="n"/>
      <c r="B616" s="127" t="n"/>
      <c r="C616" s="127" t="n"/>
      <c r="D616" s="128" t="n"/>
      <c r="E616" s="129" t="n"/>
      <c r="F616" s="127" t="n"/>
      <c r="G616" s="124">
        <f>IF($D616=0,0,ROUND($D616*$E616,2))</f>
        <v/>
      </c>
      <c r="H616" s="125">
        <f>IF($C616="","",CONCATENATE("Belge: ",$B616,"/",$C616," ",TEXT($D616,"#,##0")))</f>
        <v/>
      </c>
    </row>
    <row r="617" ht="15" customHeight="1" s="80">
      <c r="A617" s="126" t="n"/>
      <c r="B617" s="127" t="n"/>
      <c r="C617" s="127" t="n"/>
      <c r="D617" s="128" t="n"/>
      <c r="E617" s="129" t="n"/>
      <c r="F617" s="127" t="n"/>
      <c r="G617" s="124">
        <f>IF($D617=0,0,ROUND($D617*$E617,2))</f>
        <v/>
      </c>
      <c r="H617" s="125">
        <f>IF($C617="","",CONCATENATE("Belge: ",$B617,"/",$C617," ",TEXT($D617,"#,##0")))</f>
        <v/>
      </c>
    </row>
    <row r="618" ht="15" customHeight="1" s="80">
      <c r="A618" s="126" t="n"/>
      <c r="B618" s="127" t="n"/>
      <c r="C618" s="127" t="n"/>
      <c r="D618" s="128" t="n"/>
      <c r="E618" s="129" t="n"/>
      <c r="F618" s="127" t="n"/>
      <c r="G618" s="124">
        <f>IF($D618=0,0,ROUND($D618*$E618,2))</f>
        <v/>
      </c>
      <c r="H618" s="125">
        <f>IF($C618="","",CONCATENATE("Belge: ",$B618,"/",$C618," ",TEXT($D618,"#,##0")))</f>
        <v/>
      </c>
    </row>
    <row r="619" ht="15" customHeight="1" s="80">
      <c r="A619" s="126" t="n"/>
      <c r="B619" s="127" t="n"/>
      <c r="C619" s="127" t="n"/>
      <c r="D619" s="128" t="n"/>
      <c r="E619" s="129" t="n"/>
      <c r="F619" s="127" t="n"/>
      <c r="G619" s="124">
        <f>IF($D619=0,0,ROUND($D619*$E619,2))</f>
        <v/>
      </c>
      <c r="H619" s="125">
        <f>IF($C619="","",CONCATENATE("Belge: ",$B619,"/",$C619," ",TEXT($D619,"#,##0")))</f>
        <v/>
      </c>
    </row>
    <row r="620" ht="15" customHeight="1" s="80">
      <c r="A620" s="126" t="n"/>
      <c r="B620" s="127" t="n"/>
      <c r="C620" s="127" t="n"/>
      <c r="D620" s="128" t="n"/>
      <c r="E620" s="129" t="n"/>
      <c r="F620" s="127" t="n"/>
      <c r="G620" s="124">
        <f>IF($D620=0,0,ROUND($D620*$E620,2))</f>
        <v/>
      </c>
      <c r="H620" s="125">
        <f>IF($C620="","",CONCATENATE("Belge: ",$B620,"/",$C620," ",TEXT($D620,"#,##0")))</f>
        <v/>
      </c>
    </row>
    <row r="621" ht="15" customHeight="1" s="80">
      <c r="A621" s="126" t="n"/>
      <c r="B621" s="127" t="n"/>
      <c r="C621" s="127" t="n"/>
      <c r="D621" s="128" t="n"/>
      <c r="E621" s="129" t="n"/>
      <c r="F621" s="127" t="n"/>
      <c r="G621" s="124">
        <f>IF($D621=0,0,ROUND($D621*$E621,2))</f>
        <v/>
      </c>
      <c r="H621" s="125">
        <f>IF($C621="","",CONCATENATE("Belge: ",$B621,"/",$C621," ",TEXT($D621,"#,##0")))</f>
        <v/>
      </c>
    </row>
    <row r="622" ht="15" customHeight="1" s="80">
      <c r="A622" s="126" t="n"/>
      <c r="B622" s="127" t="n"/>
      <c r="C622" s="127" t="n"/>
      <c r="D622" s="128" t="n"/>
      <c r="E622" s="129" t="n"/>
      <c r="F622" s="127" t="n"/>
      <c r="G622" s="124">
        <f>IF($D622=0,0,ROUND($D622*$E622,2))</f>
        <v/>
      </c>
      <c r="H622" s="125">
        <f>IF($C622="","",CONCATENATE("Belge: ",$B622,"/",$C622," ",TEXT($D622,"#,##0")))</f>
        <v/>
      </c>
    </row>
    <row r="623" ht="15" customHeight="1" s="80">
      <c r="A623" s="126" t="n"/>
      <c r="B623" s="127" t="n"/>
      <c r="C623" s="127" t="n"/>
      <c r="D623" s="128" t="n"/>
      <c r="E623" s="129" t="n"/>
      <c r="F623" s="127" t="n"/>
      <c r="G623" s="124">
        <f>IF($D623=0,0,ROUND($D623*$E623,2))</f>
        <v/>
      </c>
      <c r="H623" s="125">
        <f>IF($C623="","",CONCATENATE("Belge: ",$B623,"/",$C623," ",TEXT($D623,"#,##0")))</f>
        <v/>
      </c>
    </row>
    <row r="624" ht="15" customHeight="1" s="80">
      <c r="A624" s="126" t="n"/>
      <c r="B624" s="127" t="n"/>
      <c r="C624" s="127" t="n"/>
      <c r="D624" s="128" t="n"/>
      <c r="E624" s="129" t="n"/>
      <c r="F624" s="127" t="n"/>
      <c r="G624" s="124">
        <f>IF($D624=0,0,ROUND($D624*$E624,2))</f>
        <v/>
      </c>
      <c r="H624" s="125">
        <f>IF($C624="","",CONCATENATE("Belge: ",$B624,"/",$C624," ",TEXT($D624,"#,##0")))</f>
        <v/>
      </c>
    </row>
    <row r="625" ht="15" customHeight="1" s="80">
      <c r="A625" s="126" t="n"/>
      <c r="B625" s="127" t="n"/>
      <c r="C625" s="127" t="n"/>
      <c r="D625" s="128" t="n"/>
      <c r="E625" s="129" t="n"/>
      <c r="F625" s="127" t="n"/>
      <c r="G625" s="124">
        <f>IF($D625=0,0,ROUND($D625*$E625,2))</f>
        <v/>
      </c>
      <c r="H625" s="125">
        <f>IF($C625="","",CONCATENATE("Belge: ",$B625,"/",$C625," ",TEXT($D625,"#,##0")))</f>
        <v/>
      </c>
    </row>
    <row r="626" ht="15" customHeight="1" s="80">
      <c r="A626" s="126" t="n"/>
      <c r="B626" s="127" t="n"/>
      <c r="C626" s="127" t="n"/>
      <c r="D626" s="128" t="n"/>
      <c r="E626" s="129" t="n"/>
      <c r="F626" s="127" t="n"/>
      <c r="G626" s="124">
        <f>IF($D626=0,0,ROUND($D626*$E626,2))</f>
        <v/>
      </c>
      <c r="H626" s="125">
        <f>IF($C626="","",CONCATENATE("Belge: ",$B626,"/",$C626," ",TEXT($D626,"#,##0")))</f>
        <v/>
      </c>
    </row>
    <row r="627" ht="15" customHeight="1" s="80">
      <c r="A627" s="126" t="n"/>
      <c r="B627" s="127" t="n"/>
      <c r="C627" s="127" t="n"/>
      <c r="D627" s="128" t="n"/>
      <c r="E627" s="129" t="n"/>
      <c r="F627" s="127" t="n"/>
      <c r="G627" s="124">
        <f>IF($D627=0,0,ROUND($D627*$E627,2))</f>
        <v/>
      </c>
      <c r="H627" s="125">
        <f>IF($C627="","",CONCATENATE("Belge: ",$B627,"/",$C627," ",TEXT($D627,"#,##0")))</f>
        <v/>
      </c>
    </row>
    <row r="628" ht="15" customHeight="1" s="80">
      <c r="A628" s="126" t="n"/>
      <c r="B628" s="127" t="n"/>
      <c r="C628" s="127" t="n"/>
      <c r="D628" s="128" t="n"/>
      <c r="E628" s="129" t="n"/>
      <c r="F628" s="127" t="n"/>
      <c r="G628" s="124">
        <f>IF($D628=0,0,ROUND($D628*$E628,2))</f>
        <v/>
      </c>
      <c r="H628" s="125">
        <f>IF($C628="","",CONCATENATE("Belge: ",$B628,"/",$C628," ",TEXT($D628,"#,##0")))</f>
        <v/>
      </c>
    </row>
    <row r="629" ht="15" customHeight="1" s="80">
      <c r="A629" s="126" t="n"/>
      <c r="B629" s="127" t="n"/>
      <c r="C629" s="127" t="n"/>
      <c r="D629" s="128" t="n"/>
      <c r="E629" s="129" t="n"/>
      <c r="F629" s="127" t="n"/>
      <c r="G629" s="124">
        <f>IF($D629=0,0,ROUND($D629*$E629,2))</f>
        <v/>
      </c>
      <c r="H629" s="125">
        <f>IF($C629="","",CONCATENATE("Belge: ",$B629,"/",$C629," ",TEXT($D629,"#,##0")))</f>
        <v/>
      </c>
    </row>
    <row r="630" ht="15" customHeight="1" s="80">
      <c r="A630" s="126" t="n"/>
      <c r="B630" s="127" t="n"/>
      <c r="C630" s="127" t="n"/>
      <c r="D630" s="128" t="n"/>
      <c r="E630" s="129" t="n"/>
      <c r="F630" s="127" t="n"/>
      <c r="G630" s="124">
        <f>IF($D630=0,0,ROUND($D630*$E630,2))</f>
        <v/>
      </c>
      <c r="H630" s="125">
        <f>IF($C630="","",CONCATENATE("Belge: ",$B630,"/",$C630," ",TEXT($D630,"#,##0")))</f>
        <v/>
      </c>
    </row>
    <row r="631" ht="15" customHeight="1" s="80">
      <c r="A631" s="126" t="n"/>
      <c r="B631" s="127" t="n"/>
      <c r="C631" s="127" t="n"/>
      <c r="D631" s="128" t="n"/>
      <c r="E631" s="129" t="n"/>
      <c r="F631" s="127" t="n"/>
      <c r="G631" s="124">
        <f>IF($D631=0,0,ROUND($D631*$E631,2))</f>
        <v/>
      </c>
      <c r="H631" s="125">
        <f>IF($C631="","",CONCATENATE("Belge: ",$B631,"/",$C631," ",TEXT($D631,"#,##0")))</f>
        <v/>
      </c>
    </row>
    <row r="632" ht="15" customHeight="1" s="80">
      <c r="A632" s="126" t="n"/>
      <c r="B632" s="127" t="n"/>
      <c r="C632" s="127" t="n"/>
      <c r="D632" s="128" t="n"/>
      <c r="E632" s="129" t="n"/>
      <c r="F632" s="127" t="n"/>
      <c r="G632" s="124">
        <f>IF($D632=0,0,ROUND($D632*$E632,2))</f>
        <v/>
      </c>
      <c r="H632" s="125">
        <f>IF($C632="","",CONCATENATE("Belge: ",$B632,"/",$C632," ",TEXT($D632,"#,##0")))</f>
        <v/>
      </c>
    </row>
    <row r="633" ht="15" customHeight="1" s="80">
      <c r="A633" s="126" t="n"/>
      <c r="B633" s="127" t="n"/>
      <c r="C633" s="127" t="n"/>
      <c r="D633" s="128" t="n"/>
      <c r="E633" s="129" t="n"/>
      <c r="F633" s="127" t="n"/>
      <c r="G633" s="124">
        <f>IF($D633=0,0,ROUND($D633*$E633,2))</f>
        <v/>
      </c>
      <c r="H633" s="125">
        <f>IF($C633="","",CONCATENATE("Belge: ",$B633,"/",$C633," ",TEXT($D633,"#,##0")))</f>
        <v/>
      </c>
    </row>
    <row r="634" ht="15" customHeight="1" s="80">
      <c r="A634" s="126" t="n"/>
      <c r="B634" s="127" t="n"/>
      <c r="C634" s="127" t="n"/>
      <c r="D634" s="128" t="n"/>
      <c r="E634" s="129" t="n"/>
      <c r="F634" s="127" t="n"/>
      <c r="G634" s="124">
        <f>IF($D634=0,0,ROUND($D634*$E634,2))</f>
        <v/>
      </c>
      <c r="H634" s="125">
        <f>IF($C634="","",CONCATENATE("Belge: ",$B634,"/",$C634," ",TEXT($D634,"#,##0")))</f>
        <v/>
      </c>
    </row>
    <row r="635" ht="15" customHeight="1" s="80">
      <c r="A635" s="126" t="n"/>
      <c r="B635" s="127" t="n"/>
      <c r="C635" s="127" t="n"/>
      <c r="D635" s="128" t="n"/>
      <c r="E635" s="129" t="n"/>
      <c r="F635" s="127" t="n"/>
      <c r="G635" s="124">
        <f>IF($D635=0,0,ROUND($D635*$E635,2))</f>
        <v/>
      </c>
      <c r="H635" s="125">
        <f>IF($C635="","",CONCATENATE("Belge: ",$B635,"/",$C635," ",TEXT($D635,"#,##0")))</f>
        <v/>
      </c>
    </row>
    <row r="636" ht="15" customHeight="1" s="80">
      <c r="A636" s="126" t="n"/>
      <c r="B636" s="127" t="n"/>
      <c r="C636" s="127" t="n"/>
      <c r="D636" s="128" t="n"/>
      <c r="E636" s="129" t="n"/>
      <c r="F636" s="127" t="n"/>
      <c r="G636" s="124">
        <f>IF($D636=0,0,ROUND($D636*$E636,2))</f>
        <v/>
      </c>
      <c r="H636" s="125">
        <f>IF($C636="","",CONCATENATE("Belge: ",$B636,"/",$C636," ",TEXT($D636,"#,##0")))</f>
        <v/>
      </c>
    </row>
    <row r="637" ht="15" customHeight="1" s="80">
      <c r="A637" s="126" t="n"/>
      <c r="B637" s="127" t="n"/>
      <c r="C637" s="127" t="n"/>
      <c r="D637" s="128" t="n"/>
      <c r="E637" s="129" t="n"/>
      <c r="F637" s="127" t="n"/>
      <c r="G637" s="124">
        <f>IF($D637=0,0,ROUND($D637*$E637,2))</f>
        <v/>
      </c>
      <c r="H637" s="125">
        <f>IF($C637="","",CONCATENATE("Belge: ",$B637,"/",$C637," ",TEXT($D637,"#,##0")))</f>
        <v/>
      </c>
    </row>
    <row r="638" ht="15" customHeight="1" s="80">
      <c r="A638" s="126" t="n"/>
      <c r="B638" s="127" t="n"/>
      <c r="C638" s="127" t="n"/>
      <c r="D638" s="128" t="n"/>
      <c r="E638" s="129" t="n"/>
      <c r="F638" s="127" t="n"/>
      <c r="G638" s="124">
        <f>IF($D638=0,0,ROUND($D638*$E638,2))</f>
        <v/>
      </c>
      <c r="H638" s="125">
        <f>IF($C638="","",CONCATENATE("Belge: ",$B638,"/",$C638," ",TEXT($D638,"#,##0")))</f>
        <v/>
      </c>
    </row>
    <row r="639" ht="15" customHeight="1" s="80">
      <c r="A639" s="126" t="n"/>
      <c r="B639" s="127" t="n"/>
      <c r="C639" s="127" t="n"/>
      <c r="D639" s="128" t="n"/>
      <c r="E639" s="129" t="n"/>
      <c r="F639" s="127" t="n"/>
      <c r="G639" s="124">
        <f>IF($D639=0,0,ROUND($D639*$E639,2))</f>
        <v/>
      </c>
      <c r="H639" s="125">
        <f>IF($C639="","",CONCATENATE("Belge: ",$B639,"/",$C639," ",TEXT($D639,"#,##0")))</f>
        <v/>
      </c>
    </row>
    <row r="640" ht="15" customHeight="1" s="80">
      <c r="A640" s="126" t="n"/>
      <c r="B640" s="127" t="n"/>
      <c r="C640" s="127" t="n"/>
      <c r="D640" s="128" t="n"/>
      <c r="E640" s="129" t="n"/>
      <c r="F640" s="127" t="n"/>
      <c r="G640" s="124">
        <f>IF($D640=0,0,ROUND($D640*$E640,2))</f>
        <v/>
      </c>
      <c r="H640" s="125">
        <f>IF($C640="","",CONCATENATE("Belge: ",$B640,"/",$C640," ",TEXT($D640,"#,##0")))</f>
        <v/>
      </c>
    </row>
    <row r="641" ht="15" customHeight="1" s="80">
      <c r="A641" s="126" t="n"/>
      <c r="B641" s="127" t="n"/>
      <c r="C641" s="127" t="n"/>
      <c r="D641" s="128" t="n"/>
      <c r="E641" s="129" t="n"/>
      <c r="F641" s="127" t="n"/>
      <c r="G641" s="124">
        <f>IF($D641=0,0,ROUND($D641*$E641,2))</f>
        <v/>
      </c>
      <c r="H641" s="125">
        <f>IF($C641="","",CONCATENATE("Belge: ",$B641,"/",$C641," ",TEXT($D641,"#,##0")))</f>
        <v/>
      </c>
    </row>
    <row r="642" ht="15" customHeight="1" s="80">
      <c r="A642" s="126" t="n"/>
      <c r="B642" s="127" t="n"/>
      <c r="C642" s="127" t="n"/>
      <c r="D642" s="128" t="n"/>
      <c r="E642" s="129" t="n"/>
      <c r="F642" s="127" t="n"/>
      <c r="G642" s="124">
        <f>IF($D642=0,0,ROUND($D642*$E642,2))</f>
        <v/>
      </c>
      <c r="H642" s="125">
        <f>IF($C642="","",CONCATENATE("Belge: ",$B642,"/",$C642," ",TEXT($D642,"#,##0")))</f>
        <v/>
      </c>
    </row>
    <row r="643" ht="15" customHeight="1" s="80">
      <c r="A643" s="126" t="n"/>
      <c r="B643" s="127" t="n"/>
      <c r="C643" s="127" t="n"/>
      <c r="D643" s="128" t="n"/>
      <c r="E643" s="129" t="n"/>
      <c r="F643" s="127" t="n"/>
      <c r="G643" s="124">
        <f>IF($D643=0,0,ROUND($D643*$E643,2))</f>
        <v/>
      </c>
      <c r="H643" s="125">
        <f>IF($C643="","",CONCATENATE("Belge: ",$B643,"/",$C643," ",TEXT($D643,"#,##0")))</f>
        <v/>
      </c>
    </row>
    <row r="644" ht="15" customHeight="1" s="80">
      <c r="A644" s="126" t="n"/>
      <c r="B644" s="127" t="n"/>
      <c r="C644" s="127" t="n"/>
      <c r="D644" s="128" t="n"/>
      <c r="E644" s="129" t="n"/>
      <c r="F644" s="127" t="n"/>
      <c r="G644" s="124">
        <f>IF($D644=0,0,ROUND($D644*$E644,2))</f>
        <v/>
      </c>
      <c r="H644" s="125">
        <f>IF($C644="","",CONCATENATE("Belge: ",$B644,"/",$C644," ",TEXT($D644,"#,##0")))</f>
        <v/>
      </c>
    </row>
    <row r="645" ht="15" customHeight="1" s="80">
      <c r="A645" s="126" t="n"/>
      <c r="B645" s="127" t="n"/>
      <c r="C645" s="127" t="n"/>
      <c r="D645" s="128" t="n"/>
      <c r="E645" s="129" t="n"/>
      <c r="F645" s="127" t="n"/>
      <c r="G645" s="124">
        <f>IF($D645=0,0,ROUND($D645*$E645,2))</f>
        <v/>
      </c>
      <c r="H645" s="125">
        <f>IF($C645="","",CONCATENATE("Belge: ",$B645,"/",$C645," ",TEXT($D645,"#,##0")))</f>
        <v/>
      </c>
    </row>
    <row r="646" ht="15" customHeight="1" s="80">
      <c r="A646" s="126" t="n"/>
      <c r="B646" s="127" t="n"/>
      <c r="C646" s="127" t="n"/>
      <c r="D646" s="128" t="n"/>
      <c r="E646" s="129" t="n"/>
      <c r="F646" s="127" t="n"/>
      <c r="G646" s="124">
        <f>IF($D646=0,0,ROUND($D646*$E646,2))</f>
        <v/>
      </c>
      <c r="H646" s="125">
        <f>IF($C646="","",CONCATENATE("Belge: ",$B646,"/",$C646," ",TEXT($D646,"#,##0")))</f>
        <v/>
      </c>
    </row>
    <row r="647" ht="15" customHeight="1" s="80">
      <c r="A647" s="126" t="n"/>
      <c r="B647" s="127" t="n"/>
      <c r="C647" s="127" t="n"/>
      <c r="D647" s="128" t="n"/>
      <c r="E647" s="129" t="n"/>
      <c r="F647" s="127" t="n"/>
      <c r="G647" s="124">
        <f>IF($D647=0,0,ROUND($D647*$E647,2))</f>
        <v/>
      </c>
      <c r="H647" s="125">
        <f>IF($C647="","",CONCATENATE("Belge: ",$B647,"/",$C647," ",TEXT($D647,"#,##0")))</f>
        <v/>
      </c>
    </row>
    <row r="648" ht="15" customHeight="1" s="80">
      <c r="A648" s="126" t="n"/>
      <c r="B648" s="127" t="n"/>
      <c r="C648" s="127" t="n"/>
      <c r="D648" s="128" t="n"/>
      <c r="E648" s="129" t="n"/>
      <c r="F648" s="127" t="n"/>
      <c r="G648" s="124">
        <f>IF($D648=0,0,ROUND($D648*$E648,2))</f>
        <v/>
      </c>
      <c r="H648" s="125">
        <f>IF($C648="","",CONCATENATE("Belge: ",$B648,"/",$C648," ",TEXT($D648,"#,##0")))</f>
        <v/>
      </c>
    </row>
    <row r="649" ht="15" customHeight="1" s="80">
      <c r="A649" s="126" t="n"/>
      <c r="B649" s="127" t="n"/>
      <c r="C649" s="127" t="n"/>
      <c r="D649" s="128" t="n"/>
      <c r="E649" s="129" t="n"/>
      <c r="F649" s="127" t="n"/>
      <c r="G649" s="124">
        <f>IF($D649=0,0,ROUND($D649*$E649,2))</f>
        <v/>
      </c>
      <c r="H649" s="125">
        <f>IF($C649="","",CONCATENATE("Belge: ",$B649,"/",$C649," ",TEXT($D649,"#,##0")))</f>
        <v/>
      </c>
    </row>
    <row r="650" ht="15" customHeight="1" s="80">
      <c r="A650" s="126" t="n"/>
      <c r="B650" s="127" t="n"/>
      <c r="C650" s="127" t="n"/>
      <c r="D650" s="128" t="n"/>
      <c r="E650" s="129" t="n"/>
      <c r="F650" s="127" t="n"/>
      <c r="G650" s="124">
        <f>IF($D650=0,0,ROUND($D650*$E650,2))</f>
        <v/>
      </c>
      <c r="H650" s="125">
        <f>IF($C650="","",CONCATENATE("Belge: ",$B650,"/",$C650," ",TEXT($D650,"#,##0")))</f>
        <v/>
      </c>
    </row>
    <row r="651" ht="15" customHeight="1" s="80">
      <c r="A651" s="126" t="n"/>
      <c r="B651" s="127" t="n"/>
      <c r="C651" s="127" t="n"/>
      <c r="D651" s="128" t="n"/>
      <c r="E651" s="129" t="n"/>
      <c r="F651" s="127" t="n"/>
      <c r="G651" s="124">
        <f>IF($D651=0,0,ROUND($D651*$E651,2))</f>
        <v/>
      </c>
      <c r="H651" s="125">
        <f>IF($C651="","",CONCATENATE("Belge: ",$B651,"/",$C651," ",TEXT($D651,"#,##0")))</f>
        <v/>
      </c>
    </row>
    <row r="652" ht="15" customHeight="1" s="80">
      <c r="A652" s="126" t="n"/>
      <c r="B652" s="127" t="n"/>
      <c r="C652" s="127" t="n"/>
      <c r="D652" s="128" t="n"/>
      <c r="E652" s="129" t="n"/>
      <c r="F652" s="127" t="n"/>
      <c r="G652" s="124">
        <f>IF($D652=0,0,ROUND($D652*$E652,2))</f>
        <v/>
      </c>
      <c r="H652" s="125">
        <f>IF($C652="","",CONCATENATE("Belge: ",$B652,"/",$C652," ",TEXT($D652,"#,##0")))</f>
        <v/>
      </c>
    </row>
    <row r="653" ht="15" customHeight="1" s="80">
      <c r="A653" s="126" t="n"/>
      <c r="B653" s="127" t="n"/>
      <c r="C653" s="127" t="n"/>
      <c r="D653" s="128" t="n"/>
      <c r="E653" s="129" t="n"/>
      <c r="F653" s="127" t="n"/>
      <c r="G653" s="124">
        <f>IF($D653=0,0,ROUND($D653*$E653,2))</f>
        <v/>
      </c>
      <c r="H653" s="125">
        <f>IF($C653="","",CONCATENATE("Belge: ",$B653,"/",$C653," ",TEXT($D653,"#,##0")))</f>
        <v/>
      </c>
    </row>
    <row r="654" ht="15" customHeight="1" s="80">
      <c r="A654" s="126" t="n"/>
      <c r="B654" s="127" t="n"/>
      <c r="C654" s="127" t="n"/>
      <c r="D654" s="128" t="n"/>
      <c r="E654" s="129" t="n"/>
      <c r="F654" s="127" t="n"/>
      <c r="G654" s="124">
        <f>IF($D654=0,0,ROUND($D654*$E654,2))</f>
        <v/>
      </c>
      <c r="H654" s="125">
        <f>IF($C654="","",CONCATENATE("Belge: ",$B654,"/",$C654," ",TEXT($D654,"#,##0")))</f>
        <v/>
      </c>
    </row>
    <row r="655" ht="15" customHeight="1" s="80">
      <c r="A655" s="126" t="n"/>
      <c r="B655" s="127" t="n"/>
      <c r="C655" s="127" t="n"/>
      <c r="D655" s="128" t="n"/>
      <c r="E655" s="129" t="n"/>
      <c r="F655" s="127" t="n"/>
      <c r="G655" s="124">
        <f>IF($D655=0,0,ROUND($D655*$E655,2))</f>
        <v/>
      </c>
      <c r="H655" s="125">
        <f>IF($C655="","",CONCATENATE("Belge: ",$B655,"/",$C655," ",TEXT($D655,"#,##0")))</f>
        <v/>
      </c>
    </row>
    <row r="656" ht="15" customHeight="1" s="80">
      <c r="A656" s="126" t="n"/>
      <c r="B656" s="127" t="n"/>
      <c r="C656" s="127" t="n"/>
      <c r="D656" s="128" t="n"/>
      <c r="E656" s="129" t="n"/>
      <c r="F656" s="127" t="n"/>
      <c r="G656" s="124">
        <f>IF($D656=0,0,ROUND($D656*$E656,2))</f>
        <v/>
      </c>
      <c r="H656" s="125">
        <f>IF($C656="","",CONCATENATE("Belge: ",$B656,"/",$C656," ",TEXT($D656,"#,##0")))</f>
        <v/>
      </c>
    </row>
    <row r="657" ht="15" customHeight="1" s="80">
      <c r="A657" s="126" t="n"/>
      <c r="B657" s="127" t="n"/>
      <c r="C657" s="127" t="n"/>
      <c r="D657" s="128" t="n"/>
      <c r="E657" s="129" t="n"/>
      <c r="F657" s="127" t="n"/>
      <c r="G657" s="124">
        <f>IF($D657=0,0,ROUND($D657*$E657,2))</f>
        <v/>
      </c>
      <c r="H657" s="125">
        <f>IF($C657="","",CONCATENATE("Belge: ",$B657,"/",$C657," ",TEXT($D657,"#,##0")))</f>
        <v/>
      </c>
    </row>
    <row r="658" ht="15" customHeight="1" s="80">
      <c r="A658" s="126" t="n"/>
      <c r="B658" s="127" t="n"/>
      <c r="C658" s="127" t="n"/>
      <c r="D658" s="128" t="n"/>
      <c r="E658" s="129" t="n"/>
      <c r="F658" s="127" t="n"/>
      <c r="G658" s="124">
        <f>IF($D658=0,0,ROUND($D658*$E658,2))</f>
        <v/>
      </c>
      <c r="H658" s="125">
        <f>IF($C658="","",CONCATENATE("Belge: ",$B658,"/",$C658," ",TEXT($D658,"#,##0")))</f>
        <v/>
      </c>
    </row>
    <row r="659" ht="15" customHeight="1" s="80">
      <c r="A659" s="126" t="n"/>
      <c r="B659" s="127" t="n"/>
      <c r="C659" s="127" t="n"/>
      <c r="D659" s="128" t="n"/>
      <c r="E659" s="129" t="n"/>
      <c r="F659" s="127" t="n"/>
      <c r="G659" s="124">
        <f>IF($D659=0,0,ROUND($D659*$E659,2))</f>
        <v/>
      </c>
      <c r="H659" s="125">
        <f>IF($C659="","",CONCATENATE("Belge: ",$B659,"/",$C659," ",TEXT($D659,"#,##0")))</f>
        <v/>
      </c>
    </row>
    <row r="660" ht="15" customHeight="1" s="80">
      <c r="A660" s="126" t="n"/>
      <c r="B660" s="127" t="n"/>
      <c r="C660" s="127" t="n"/>
      <c r="D660" s="128" t="n"/>
      <c r="E660" s="129" t="n"/>
      <c r="F660" s="127" t="n"/>
      <c r="G660" s="124">
        <f>IF($D660=0,0,ROUND($D660*$E660,2))</f>
        <v/>
      </c>
      <c r="H660" s="125">
        <f>IF($C660="","",CONCATENATE("Belge: ",$B660,"/",$C660," ",TEXT($D660,"#,##0")))</f>
        <v/>
      </c>
    </row>
    <row r="661" ht="15" customHeight="1" s="80">
      <c r="A661" s="126" t="n"/>
      <c r="B661" s="127" t="n"/>
      <c r="C661" s="127" t="n"/>
      <c r="D661" s="128" t="n"/>
      <c r="E661" s="129" t="n"/>
      <c r="F661" s="127" t="n"/>
      <c r="G661" s="124">
        <f>IF($D661=0,0,ROUND($D661*$E661,2))</f>
        <v/>
      </c>
      <c r="H661" s="125">
        <f>IF($C661="","",CONCATENATE("Belge: ",$B661,"/",$C661," ",TEXT($D661,"#,##0")))</f>
        <v/>
      </c>
    </row>
    <row r="662" ht="15" customHeight="1" s="80">
      <c r="A662" s="126" t="n"/>
      <c r="B662" s="127" t="n"/>
      <c r="C662" s="127" t="n"/>
      <c r="D662" s="128" t="n"/>
      <c r="E662" s="129" t="n"/>
      <c r="F662" s="127" t="n"/>
      <c r="G662" s="124">
        <f>IF($D662=0,0,ROUND($D662*$E662,2))</f>
        <v/>
      </c>
      <c r="H662" s="125">
        <f>IF($C662="","",CONCATENATE("Belge: ",$B662,"/",$C662," ",TEXT($D662,"#,##0")))</f>
        <v/>
      </c>
    </row>
    <row r="663" ht="15" customHeight="1" s="80">
      <c r="A663" s="126" t="n"/>
      <c r="B663" s="127" t="n"/>
      <c r="C663" s="127" t="n"/>
      <c r="D663" s="128" t="n"/>
      <c r="E663" s="129" t="n"/>
      <c r="F663" s="127" t="n"/>
      <c r="G663" s="124">
        <f>IF($D663=0,0,ROUND($D663*$E663,2))</f>
        <v/>
      </c>
      <c r="H663" s="125">
        <f>IF($C663="","",CONCATENATE("Belge: ",$B663,"/",$C663," ",TEXT($D663,"#,##0")))</f>
        <v/>
      </c>
    </row>
    <row r="664" ht="15" customHeight="1" s="80">
      <c r="A664" s="126" t="n"/>
      <c r="B664" s="127" t="n"/>
      <c r="C664" s="127" t="n"/>
      <c r="D664" s="128" t="n"/>
      <c r="E664" s="129" t="n"/>
      <c r="F664" s="127" t="n"/>
      <c r="G664" s="124">
        <f>IF($D664=0,0,ROUND($D664*$E664,2))</f>
        <v/>
      </c>
      <c r="H664" s="125">
        <f>IF($C664="","",CONCATENATE("Belge: ",$B664,"/",$C664," ",TEXT($D664,"#,##0")))</f>
        <v/>
      </c>
    </row>
    <row r="665" ht="15" customHeight="1" s="80">
      <c r="A665" s="126" t="n"/>
      <c r="B665" s="127" t="n"/>
      <c r="C665" s="127" t="n"/>
      <c r="D665" s="128" t="n"/>
      <c r="E665" s="129" t="n"/>
      <c r="F665" s="127" t="n"/>
      <c r="G665" s="124">
        <f>IF($D665=0,0,ROUND($D665*$E665,2))</f>
        <v/>
      </c>
      <c r="H665" s="125">
        <f>IF($C665="","",CONCATENATE("Belge: ",$B665,"/",$C665," ",TEXT($D665,"#,##0")))</f>
        <v/>
      </c>
    </row>
    <row r="666" ht="15" customHeight="1" s="80">
      <c r="A666" s="126" t="n"/>
      <c r="B666" s="127" t="n"/>
      <c r="C666" s="127" t="n"/>
      <c r="D666" s="128" t="n"/>
      <c r="E666" s="129" t="n"/>
      <c r="F666" s="127" t="n"/>
      <c r="G666" s="124">
        <f>IF($D666=0,0,ROUND($D666*$E666,2))</f>
        <v/>
      </c>
      <c r="H666" s="125">
        <f>IF($C666="","",CONCATENATE("Belge: ",$B666,"/",$C666," ",TEXT($D666,"#,##0")))</f>
        <v/>
      </c>
    </row>
    <row r="667" ht="15" customHeight="1" s="80">
      <c r="A667" s="126" t="n"/>
      <c r="B667" s="127" t="n"/>
      <c r="C667" s="127" t="n"/>
      <c r="D667" s="128" t="n"/>
      <c r="E667" s="129" t="n"/>
      <c r="F667" s="127" t="n"/>
      <c r="G667" s="124">
        <f>IF($D667=0,0,ROUND($D667*$E667,2))</f>
        <v/>
      </c>
      <c r="H667" s="125">
        <f>IF($C667="","",CONCATENATE("Belge: ",$B667,"/",$C667," ",TEXT($D667,"#,##0")))</f>
        <v/>
      </c>
    </row>
    <row r="668" ht="15" customHeight="1" s="80">
      <c r="A668" s="126" t="n"/>
      <c r="B668" s="127" t="n"/>
      <c r="C668" s="127" t="n"/>
      <c r="D668" s="128" t="n"/>
      <c r="E668" s="129" t="n"/>
      <c r="F668" s="127" t="n"/>
      <c r="G668" s="124">
        <f>IF($D668=0,0,ROUND($D668*$E668,2))</f>
        <v/>
      </c>
      <c r="H668" s="125">
        <f>IF($C668="","",CONCATENATE("Belge: ",$B668,"/",$C668," ",TEXT($D668,"#,##0")))</f>
        <v/>
      </c>
    </row>
    <row r="669" ht="15" customHeight="1" s="80">
      <c r="A669" s="126" t="n"/>
      <c r="B669" s="127" t="n"/>
      <c r="C669" s="127" t="n"/>
      <c r="D669" s="128" t="n"/>
      <c r="E669" s="129" t="n"/>
      <c r="F669" s="127" t="n"/>
      <c r="G669" s="124">
        <f>IF($D669=0,0,ROUND($D669*$E669,2))</f>
        <v/>
      </c>
      <c r="H669" s="125">
        <f>IF($C669="","",CONCATENATE("Belge: ",$B669,"/",$C669," ",TEXT($D669,"#,##0")))</f>
        <v/>
      </c>
    </row>
    <row r="670" ht="15" customHeight="1" s="80">
      <c r="A670" s="126" t="n"/>
      <c r="B670" s="127" t="n"/>
      <c r="C670" s="127" t="n"/>
      <c r="D670" s="128" t="n"/>
      <c r="E670" s="129" t="n"/>
      <c r="F670" s="127" t="n"/>
      <c r="G670" s="124">
        <f>IF($D670=0,0,ROUND($D670*$E670,2))</f>
        <v/>
      </c>
      <c r="H670" s="125">
        <f>IF($C670="","",CONCATENATE("Belge: ",$B670,"/",$C670," ",TEXT($D670,"#,##0")))</f>
        <v/>
      </c>
    </row>
    <row r="671" ht="15" customHeight="1" s="80">
      <c r="A671" s="126" t="n"/>
      <c r="B671" s="127" t="n"/>
      <c r="C671" s="127" t="n"/>
      <c r="D671" s="128" t="n"/>
      <c r="E671" s="129" t="n"/>
      <c r="F671" s="127" t="n"/>
      <c r="G671" s="124">
        <f>IF($D671=0,0,ROUND($D671*$E671,2))</f>
        <v/>
      </c>
      <c r="H671" s="125">
        <f>IF($C671="","",CONCATENATE("Belge: ",$B671,"/",$C671," ",TEXT($D671,"#,##0")))</f>
        <v/>
      </c>
    </row>
    <row r="672" ht="15" customHeight="1" s="80">
      <c r="A672" s="126" t="n"/>
      <c r="B672" s="127" t="n"/>
      <c r="C672" s="127" t="n"/>
      <c r="D672" s="128" t="n"/>
      <c r="E672" s="129" t="n"/>
      <c r="F672" s="127" t="n"/>
      <c r="G672" s="124">
        <f>IF($D672=0,0,ROUND($D672*$E672,2))</f>
        <v/>
      </c>
      <c r="H672" s="125">
        <f>IF($C672="","",CONCATENATE("Belge: ",$B672,"/",$C672," ",TEXT($D672,"#,##0")))</f>
        <v/>
      </c>
    </row>
    <row r="673" ht="15" customHeight="1" s="80">
      <c r="A673" s="126" t="n"/>
      <c r="B673" s="127" t="n"/>
      <c r="C673" s="127" t="n"/>
      <c r="D673" s="128" t="n"/>
      <c r="E673" s="129" t="n"/>
      <c r="F673" s="127" t="n"/>
      <c r="G673" s="124">
        <f>IF($D673=0,0,ROUND($D673*$E673,2))</f>
        <v/>
      </c>
      <c r="H673" s="125">
        <f>IF($C673="","",CONCATENATE("Belge: ",$B673,"/",$C673," ",TEXT($D673,"#,##0")))</f>
        <v/>
      </c>
    </row>
    <row r="674" ht="15" customHeight="1" s="80">
      <c r="A674" s="126" t="n"/>
      <c r="B674" s="127" t="n"/>
      <c r="C674" s="127" t="n"/>
      <c r="D674" s="128" t="n"/>
      <c r="E674" s="129" t="n"/>
      <c r="F674" s="127" t="n"/>
      <c r="G674" s="124">
        <f>IF($D674=0,0,ROUND($D674*$E674,2))</f>
        <v/>
      </c>
      <c r="H674" s="125">
        <f>IF($C674="","",CONCATENATE("Belge: ",$B674,"/",$C674," ",TEXT($D674,"#,##0")))</f>
        <v/>
      </c>
    </row>
    <row r="675" ht="15" customHeight="1" s="80">
      <c r="A675" s="126" t="n"/>
      <c r="B675" s="127" t="n"/>
      <c r="C675" s="127" t="n"/>
      <c r="D675" s="128" t="n"/>
      <c r="E675" s="129" t="n"/>
      <c r="F675" s="127" t="n"/>
      <c r="G675" s="124">
        <f>IF($D675=0,0,ROUND($D675*$E675,2))</f>
        <v/>
      </c>
      <c r="H675" s="125">
        <f>IF($C675="","",CONCATENATE("Belge: ",$B675,"/",$C675," ",TEXT($D675,"#,##0")))</f>
        <v/>
      </c>
    </row>
    <row r="676" ht="15" customHeight="1" s="80">
      <c r="A676" s="126" t="n"/>
      <c r="B676" s="127" t="n"/>
      <c r="C676" s="127" t="n"/>
      <c r="D676" s="128" t="n"/>
      <c r="E676" s="129" t="n"/>
      <c r="F676" s="127" t="n"/>
      <c r="G676" s="124">
        <f>IF($D676=0,0,ROUND($D676*$E676,2))</f>
        <v/>
      </c>
      <c r="H676" s="125">
        <f>IF($C676="","",CONCATENATE("Belge: ",$B676,"/",$C676," ",TEXT($D676,"#,##0")))</f>
        <v/>
      </c>
    </row>
    <row r="677" ht="15" customHeight="1" s="80">
      <c r="A677" s="126" t="n"/>
      <c r="B677" s="127" t="n"/>
      <c r="C677" s="127" t="n"/>
      <c r="D677" s="128" t="n"/>
      <c r="E677" s="129" t="n"/>
      <c r="F677" s="127" t="n"/>
      <c r="G677" s="124">
        <f>IF($D677=0,0,ROUND($D677*$E677,2))</f>
        <v/>
      </c>
      <c r="H677" s="125">
        <f>IF($C677="","",CONCATENATE("Belge: ",$B677,"/",$C677," ",TEXT($D677,"#,##0")))</f>
        <v/>
      </c>
    </row>
    <row r="678" ht="15" customHeight="1" s="80">
      <c r="A678" s="126" t="n"/>
      <c r="B678" s="127" t="n"/>
      <c r="C678" s="127" t="n"/>
      <c r="D678" s="128" t="n"/>
      <c r="E678" s="129" t="n"/>
      <c r="F678" s="127" t="n"/>
      <c r="G678" s="124">
        <f>IF($D678=0,0,ROUND($D678*$E678,2))</f>
        <v/>
      </c>
      <c r="H678" s="125">
        <f>IF($C678="","",CONCATENATE("Belge: ",$B678,"/",$C678," ",TEXT($D678,"#,##0")))</f>
        <v/>
      </c>
    </row>
    <row r="679" ht="15" customHeight="1" s="80">
      <c r="A679" s="126" t="n"/>
      <c r="B679" s="127" t="n"/>
      <c r="C679" s="127" t="n"/>
      <c r="D679" s="128" t="n"/>
      <c r="E679" s="129" t="n"/>
      <c r="F679" s="127" t="n"/>
      <c r="G679" s="124">
        <f>IF($D679=0,0,ROUND($D679*$E679,2))</f>
        <v/>
      </c>
      <c r="H679" s="125">
        <f>IF($C679="","",CONCATENATE("Belge: ",$B679,"/",$C679," ",TEXT($D679,"#,##0")))</f>
        <v/>
      </c>
    </row>
    <row r="680" ht="15" customHeight="1" s="80">
      <c r="A680" s="126" t="n"/>
      <c r="B680" s="127" t="n"/>
      <c r="C680" s="127" t="n"/>
      <c r="D680" s="128" t="n"/>
      <c r="E680" s="129" t="n"/>
      <c r="F680" s="127" t="n"/>
      <c r="G680" s="124">
        <f>IF($D680=0,0,ROUND($D680*$E680,2))</f>
        <v/>
      </c>
      <c r="H680" s="125">
        <f>IF($C680="","",CONCATENATE("Belge: ",$B680,"/",$C680," ",TEXT($D680,"#,##0")))</f>
        <v/>
      </c>
    </row>
    <row r="681" ht="15" customHeight="1" s="80">
      <c r="A681" s="126" t="n"/>
      <c r="B681" s="127" t="n"/>
      <c r="C681" s="127" t="n"/>
      <c r="D681" s="128" t="n"/>
      <c r="E681" s="129" t="n"/>
      <c r="F681" s="127" t="n"/>
      <c r="G681" s="124">
        <f>IF($D681=0,0,ROUND($D681*$E681,2))</f>
        <v/>
      </c>
      <c r="H681" s="125">
        <f>IF($C681="","",CONCATENATE("Belge: ",$B681,"/",$C681," ",TEXT($D681,"#,##0")))</f>
        <v/>
      </c>
    </row>
    <row r="682" ht="15" customHeight="1" s="80">
      <c r="A682" s="126" t="n"/>
      <c r="B682" s="127" t="n"/>
      <c r="C682" s="127" t="n"/>
      <c r="D682" s="128" t="n"/>
      <c r="E682" s="129" t="n"/>
      <c r="F682" s="127" t="n"/>
      <c r="G682" s="124">
        <f>IF($D682=0,0,ROUND($D682*$E682,2))</f>
        <v/>
      </c>
      <c r="H682" s="125">
        <f>IF($C682="","",CONCATENATE("Belge: ",$B682,"/",$C682," ",TEXT($D682,"#,##0")))</f>
        <v/>
      </c>
    </row>
    <row r="683" ht="15" customHeight="1" s="80">
      <c r="A683" s="126" t="n"/>
      <c r="B683" s="127" t="n"/>
      <c r="C683" s="127" t="n"/>
      <c r="D683" s="128" t="n"/>
      <c r="E683" s="129" t="n"/>
      <c r="F683" s="127" t="n"/>
      <c r="G683" s="124">
        <f>IF($D683=0,0,ROUND($D683*$E683,2))</f>
        <v/>
      </c>
      <c r="H683" s="125">
        <f>IF($C683="","",CONCATENATE("Belge: ",$B683,"/",$C683," ",TEXT($D683,"#,##0")))</f>
        <v/>
      </c>
    </row>
    <row r="684" ht="15" customHeight="1" s="80">
      <c r="A684" s="126" t="n"/>
      <c r="B684" s="127" t="n"/>
      <c r="C684" s="127" t="n"/>
      <c r="D684" s="128" t="n"/>
      <c r="E684" s="129" t="n"/>
      <c r="F684" s="127" t="n"/>
      <c r="G684" s="124">
        <f>IF($D684=0,0,ROUND($D684*$E684,2))</f>
        <v/>
      </c>
      <c r="H684" s="125">
        <f>IF($C684="","",CONCATENATE("Belge: ",$B684,"/",$C684," ",TEXT($D684,"#,##0")))</f>
        <v/>
      </c>
    </row>
    <row r="685" ht="15" customHeight="1" s="80">
      <c r="A685" s="126" t="n"/>
      <c r="B685" s="127" t="n"/>
      <c r="C685" s="127" t="n"/>
      <c r="D685" s="128" t="n"/>
      <c r="E685" s="129" t="n"/>
      <c r="F685" s="127" t="n"/>
      <c r="G685" s="124">
        <f>IF($D685=0,0,ROUND($D685*$E685,2))</f>
        <v/>
      </c>
      <c r="H685" s="125">
        <f>IF($C685="","",CONCATENATE("Belge: ",$B685,"/",$C685," ",TEXT($D685,"#,##0")))</f>
        <v/>
      </c>
    </row>
    <row r="686" ht="15" customHeight="1" s="80">
      <c r="A686" s="126" t="n"/>
      <c r="B686" s="127" t="n"/>
      <c r="C686" s="127" t="n"/>
      <c r="D686" s="128" t="n"/>
      <c r="E686" s="129" t="n"/>
      <c r="F686" s="127" t="n"/>
      <c r="G686" s="124">
        <f>IF($D686=0,0,ROUND($D686*$E686,2))</f>
        <v/>
      </c>
      <c r="H686" s="125">
        <f>IF($C686="","",CONCATENATE("Belge: ",$B686,"/",$C686," ",TEXT($D686,"#,##0")))</f>
        <v/>
      </c>
    </row>
    <row r="687" ht="15" customHeight="1" s="80">
      <c r="A687" s="126" t="n"/>
      <c r="B687" s="127" t="n"/>
      <c r="C687" s="127" t="n"/>
      <c r="D687" s="128" t="n"/>
      <c r="E687" s="129" t="n"/>
      <c r="F687" s="127" t="n"/>
      <c r="G687" s="124">
        <f>IF($D687=0,0,ROUND($D687*$E687,2))</f>
        <v/>
      </c>
      <c r="H687" s="125">
        <f>IF($C687="","",CONCATENATE("Belge: ",$B687,"/",$C687," ",TEXT($D687,"#,##0")))</f>
        <v/>
      </c>
    </row>
    <row r="688" ht="15" customHeight="1" s="80">
      <c r="A688" s="126" t="n"/>
      <c r="B688" s="127" t="n"/>
      <c r="C688" s="127" t="n"/>
      <c r="D688" s="128" t="n"/>
      <c r="E688" s="129" t="n"/>
      <c r="F688" s="127" t="n"/>
      <c r="G688" s="124">
        <f>IF($D688=0,0,ROUND($D688*$E688,2))</f>
        <v/>
      </c>
      <c r="H688" s="125">
        <f>IF($C688="","",CONCATENATE("Belge: ",$B688,"/",$C688," ",TEXT($D688,"#,##0")))</f>
        <v/>
      </c>
    </row>
    <row r="689" ht="15" customHeight="1" s="80">
      <c r="A689" s="126" t="n"/>
      <c r="B689" s="127" t="n"/>
      <c r="C689" s="127" t="n"/>
      <c r="D689" s="128" t="n"/>
      <c r="E689" s="129" t="n"/>
      <c r="F689" s="127" t="n"/>
      <c r="G689" s="124">
        <f>IF($D689=0,0,ROUND($D689*$E689,2))</f>
        <v/>
      </c>
      <c r="H689" s="125">
        <f>IF($C689="","",CONCATENATE("Belge: ",$B689,"/",$C689," ",TEXT($D689,"#,##0")))</f>
        <v/>
      </c>
    </row>
    <row r="690" ht="15" customHeight="1" s="80">
      <c r="A690" s="126" t="n"/>
      <c r="B690" s="127" t="n"/>
      <c r="C690" s="127" t="n"/>
      <c r="D690" s="128" t="n"/>
      <c r="E690" s="129" t="n"/>
      <c r="F690" s="127" t="n"/>
      <c r="G690" s="124">
        <f>IF($D690=0,0,ROUND($D690*$E690,2))</f>
        <v/>
      </c>
      <c r="H690" s="125">
        <f>IF($C690="","",CONCATENATE("Belge: ",$B690,"/",$C690," ",TEXT($D690,"#,##0")))</f>
        <v/>
      </c>
    </row>
    <row r="691" ht="15" customHeight="1" s="80">
      <c r="A691" s="126" t="n"/>
      <c r="B691" s="127" t="n"/>
      <c r="C691" s="127" t="n"/>
      <c r="D691" s="128" t="n"/>
      <c r="E691" s="129" t="n"/>
      <c r="F691" s="127" t="n"/>
      <c r="G691" s="124">
        <f>IF($D691=0,0,ROUND($D691*$E691,2))</f>
        <v/>
      </c>
      <c r="H691" s="125">
        <f>IF($C691="","",CONCATENATE("Belge: ",$B691,"/",$C691," ",TEXT($D691,"#,##0")))</f>
        <v/>
      </c>
    </row>
    <row r="692" ht="15" customHeight="1" s="80">
      <c r="A692" s="126" t="n"/>
      <c r="B692" s="127" t="n"/>
      <c r="C692" s="127" t="n"/>
      <c r="D692" s="128" t="n"/>
      <c r="E692" s="129" t="n"/>
      <c r="F692" s="127" t="n"/>
      <c r="G692" s="124">
        <f>IF($D692=0,0,ROUND($D692*$E692,2))</f>
        <v/>
      </c>
      <c r="H692" s="125">
        <f>IF($C692="","",CONCATENATE("Belge: ",$B692,"/",$C692," ",TEXT($D692,"#,##0")))</f>
        <v/>
      </c>
    </row>
    <row r="693" ht="15" customHeight="1" s="80">
      <c r="A693" s="126" t="n"/>
      <c r="B693" s="127" t="n"/>
      <c r="C693" s="127" t="n"/>
      <c r="D693" s="128" t="n"/>
      <c r="E693" s="129" t="n"/>
      <c r="F693" s="127" t="n"/>
      <c r="G693" s="124">
        <f>IF($D693=0,0,ROUND($D693*$E693,2))</f>
        <v/>
      </c>
      <c r="H693" s="125">
        <f>IF($C693="","",CONCATENATE("Belge: ",$B693,"/",$C693," ",TEXT($D693,"#,##0")))</f>
        <v/>
      </c>
    </row>
    <row r="694" ht="15" customHeight="1" s="80">
      <c r="A694" s="126" t="n"/>
      <c r="B694" s="127" t="n"/>
      <c r="C694" s="127" t="n"/>
      <c r="D694" s="128" t="n"/>
      <c r="E694" s="129" t="n"/>
      <c r="F694" s="127" t="n"/>
      <c r="G694" s="124">
        <f>IF($D694=0,0,ROUND($D694*$E694,2))</f>
        <v/>
      </c>
      <c r="H694" s="125">
        <f>IF($C694="","",CONCATENATE("Belge: ",$B694,"/",$C694," ",TEXT($D694,"#,##0")))</f>
        <v/>
      </c>
    </row>
    <row r="695" ht="15" customHeight="1" s="80">
      <c r="A695" s="126" t="n"/>
      <c r="B695" s="127" t="n"/>
      <c r="C695" s="127" t="n"/>
      <c r="D695" s="128" t="n"/>
      <c r="E695" s="129" t="n"/>
      <c r="F695" s="127" t="n"/>
      <c r="G695" s="124">
        <f>IF($D695=0,0,ROUND($D695*$E695,2))</f>
        <v/>
      </c>
      <c r="H695" s="125">
        <f>IF($C695="","",CONCATENATE("Belge: ",$B695,"/",$C695," ",TEXT($D695,"#,##0")))</f>
        <v/>
      </c>
    </row>
    <row r="696" ht="15" customHeight="1" s="80">
      <c r="A696" s="126" t="n"/>
      <c r="B696" s="127" t="n"/>
      <c r="C696" s="127" t="n"/>
      <c r="D696" s="128" t="n"/>
      <c r="E696" s="129" t="n"/>
      <c r="F696" s="127" t="n"/>
      <c r="G696" s="124">
        <f>IF($D696=0,0,ROUND($D696*$E696,2))</f>
        <v/>
      </c>
      <c r="H696" s="125">
        <f>IF($C696="","",CONCATENATE("Belge: ",$B696,"/",$C696," ",TEXT($D696,"#,##0")))</f>
        <v/>
      </c>
    </row>
    <row r="697" ht="15" customHeight="1" s="80">
      <c r="A697" s="126" t="n"/>
      <c r="B697" s="127" t="n"/>
      <c r="C697" s="127" t="n"/>
      <c r="D697" s="128" t="n"/>
      <c r="E697" s="129" t="n"/>
      <c r="F697" s="127" t="n"/>
      <c r="G697" s="124">
        <f>IF($D697=0,0,ROUND($D697*$E697,2))</f>
        <v/>
      </c>
      <c r="H697" s="125">
        <f>IF($C697="","",CONCATENATE("Belge: ",$B697,"/",$C697," ",TEXT($D697,"#,##0")))</f>
        <v/>
      </c>
    </row>
    <row r="698" ht="15" customHeight="1" s="80">
      <c r="A698" s="126" t="n"/>
      <c r="B698" s="127" t="n"/>
      <c r="C698" s="127" t="n"/>
      <c r="D698" s="128" t="n"/>
      <c r="E698" s="129" t="n"/>
      <c r="F698" s="127" t="n"/>
      <c r="G698" s="124">
        <f>IF($D698=0,0,ROUND($D698*$E698,2))</f>
        <v/>
      </c>
      <c r="H698" s="125">
        <f>IF($C698="","",CONCATENATE("Belge: ",$B698,"/",$C698," ",TEXT($D698,"#,##0")))</f>
        <v/>
      </c>
    </row>
    <row r="699" ht="15" customHeight="1" s="80">
      <c r="A699" s="126" t="n"/>
      <c r="B699" s="127" t="n"/>
      <c r="C699" s="127" t="n"/>
      <c r="D699" s="128" t="n"/>
      <c r="E699" s="129" t="n"/>
      <c r="F699" s="127" t="n"/>
      <c r="G699" s="124">
        <f>IF($D699=0,0,ROUND($D699*$E699,2))</f>
        <v/>
      </c>
      <c r="H699" s="125">
        <f>IF($C699="","",CONCATENATE("Belge: ",$B699,"/",$C699," ",TEXT($D699,"#,##0")))</f>
        <v/>
      </c>
    </row>
    <row r="700" ht="15" customHeight="1" s="80">
      <c r="A700" s="126" t="n"/>
      <c r="B700" s="127" t="n"/>
      <c r="C700" s="127" t="n"/>
      <c r="D700" s="128" t="n"/>
      <c r="E700" s="129" t="n"/>
      <c r="F700" s="127" t="n"/>
      <c r="G700" s="124">
        <f>IF($D700=0,0,ROUND($D700*$E700,2))</f>
        <v/>
      </c>
      <c r="H700" s="125">
        <f>IF($C700="","",CONCATENATE("Belge: ",$B700,"/",$C700," ",TEXT($D700,"#,##0")))</f>
        <v/>
      </c>
    </row>
    <row r="701" ht="15" customHeight="1" s="80">
      <c r="A701" s="126" t="n"/>
      <c r="B701" s="127" t="n"/>
      <c r="C701" s="127" t="n"/>
      <c r="D701" s="128" t="n"/>
      <c r="E701" s="129" t="n"/>
      <c r="F701" s="127" t="n"/>
      <c r="G701" s="124">
        <f>IF($D701=0,0,ROUND($D701*$E701,2))</f>
        <v/>
      </c>
      <c r="H701" s="125">
        <f>IF($C701="","",CONCATENATE("Belge: ",$B701,"/",$C701," ",TEXT($D701,"#,##0")))</f>
        <v/>
      </c>
    </row>
    <row r="702" ht="15" customHeight="1" s="80">
      <c r="A702" s="126" t="n"/>
      <c r="B702" s="127" t="n"/>
      <c r="C702" s="127" t="n"/>
      <c r="D702" s="128" t="n"/>
      <c r="E702" s="129" t="n"/>
      <c r="F702" s="127" t="n"/>
      <c r="G702" s="124">
        <f>IF($D702=0,0,ROUND($D702*$E702,2))</f>
        <v/>
      </c>
      <c r="H702" s="125">
        <f>IF($C702="","",CONCATENATE("Belge: ",$B702,"/",$C702," ",TEXT($D702,"#,##0")))</f>
        <v/>
      </c>
    </row>
    <row r="703" ht="15" customHeight="1" s="80">
      <c r="A703" s="126" t="n"/>
      <c r="B703" s="127" t="n"/>
      <c r="C703" s="127" t="n"/>
      <c r="D703" s="128" t="n"/>
      <c r="E703" s="129" t="n"/>
      <c r="F703" s="127" t="n"/>
      <c r="G703" s="124">
        <f>IF($D703=0,0,ROUND($D703*$E703,2))</f>
        <v/>
      </c>
      <c r="H703" s="125">
        <f>IF($C703="","",CONCATENATE("Belge: ",$B703,"/",$C703," ",TEXT($D703,"#,##0")))</f>
        <v/>
      </c>
    </row>
    <row r="704" ht="15" customHeight="1" s="80">
      <c r="A704" s="126" t="n"/>
      <c r="B704" s="127" t="n"/>
      <c r="C704" s="127" t="n"/>
      <c r="D704" s="128" t="n"/>
      <c r="E704" s="129" t="n"/>
      <c r="F704" s="127" t="n"/>
      <c r="G704" s="124">
        <f>IF($D704=0,0,ROUND($D704*$E704,2))</f>
        <v/>
      </c>
      <c r="H704" s="125">
        <f>IF($C704="","",CONCATENATE("Belge: ",$B704,"/",$C704," ",TEXT($D704,"#,##0")))</f>
        <v/>
      </c>
    </row>
    <row r="705" ht="15" customHeight="1" s="80">
      <c r="A705" s="126" t="n"/>
      <c r="B705" s="127" t="n"/>
      <c r="C705" s="127" t="n"/>
      <c r="D705" s="128" t="n"/>
      <c r="E705" s="129" t="n"/>
      <c r="F705" s="127" t="n"/>
      <c r="G705" s="124">
        <f>IF($D705=0,0,ROUND($D705*$E705,2))</f>
        <v/>
      </c>
      <c r="H705" s="125">
        <f>IF($C705="","",CONCATENATE("Belge: ",$B705,"/",$C705," ",TEXT($D705,"#,##0")))</f>
        <v/>
      </c>
    </row>
    <row r="706" ht="15" customHeight="1" s="80">
      <c r="A706" s="126" t="n"/>
      <c r="B706" s="127" t="n"/>
      <c r="C706" s="127" t="n"/>
      <c r="D706" s="128" t="n"/>
      <c r="E706" s="129" t="n"/>
      <c r="F706" s="127" t="n"/>
      <c r="G706" s="124">
        <f>IF($D706=0,0,ROUND($D706*$E706,2))</f>
        <v/>
      </c>
      <c r="H706" s="125">
        <f>IF($C706="","",CONCATENATE("Belge: ",$B706,"/",$C706," ",TEXT($D706,"#,##0")))</f>
        <v/>
      </c>
    </row>
    <row r="707" ht="15" customHeight="1" s="80">
      <c r="A707" s="126" t="n"/>
      <c r="B707" s="127" t="n"/>
      <c r="C707" s="127" t="n"/>
      <c r="D707" s="128" t="n"/>
      <c r="E707" s="129" t="n"/>
      <c r="F707" s="127" t="n"/>
      <c r="G707" s="124">
        <f>IF($D707=0,0,ROUND($D707*$E707,2))</f>
        <v/>
      </c>
      <c r="H707" s="125">
        <f>IF($C707="","",CONCATENATE("Belge: ",$B707,"/",$C707," ",TEXT($D707,"#,##0")))</f>
        <v/>
      </c>
    </row>
    <row r="708" ht="15" customHeight="1" s="80">
      <c r="A708" s="126" t="n"/>
      <c r="B708" s="127" t="n"/>
      <c r="C708" s="127" t="n"/>
      <c r="D708" s="128" t="n"/>
      <c r="E708" s="129" t="n"/>
      <c r="F708" s="127" t="n"/>
      <c r="G708" s="124">
        <f>IF($D708=0,0,ROUND($D708*$E708,2))</f>
        <v/>
      </c>
      <c r="H708" s="125">
        <f>IF($C708="","",CONCATENATE("Belge: ",$B708,"/",$C708," ",TEXT($D708,"#,##0")))</f>
        <v/>
      </c>
    </row>
    <row r="709" ht="15" customHeight="1" s="80">
      <c r="A709" s="126" t="n"/>
      <c r="B709" s="127" t="n"/>
      <c r="C709" s="127" t="n"/>
      <c r="D709" s="128" t="n"/>
      <c r="E709" s="129" t="n"/>
      <c r="F709" s="127" t="n"/>
      <c r="G709" s="124">
        <f>IF($D709=0,0,ROUND($D709*$E709,2))</f>
        <v/>
      </c>
      <c r="H709" s="125">
        <f>IF($C709="","",CONCATENATE("Belge: ",$B709,"/",$C709," ",TEXT($D709,"#,##0")))</f>
        <v/>
      </c>
    </row>
    <row r="710" ht="15" customHeight="1" s="80">
      <c r="A710" s="126" t="n"/>
      <c r="B710" s="127" t="n"/>
      <c r="C710" s="127" t="n"/>
      <c r="D710" s="128" t="n"/>
      <c r="E710" s="129" t="n"/>
      <c r="F710" s="127" t="n"/>
      <c r="G710" s="124">
        <f>IF($D710=0,0,ROUND($D710*$E710,2))</f>
        <v/>
      </c>
      <c r="H710" s="125">
        <f>IF($C710="","",CONCATENATE("Belge: ",$B710,"/",$C710," ",TEXT($D710,"#,##0")))</f>
        <v/>
      </c>
    </row>
    <row r="711" ht="15" customHeight="1" s="80">
      <c r="A711" s="126" t="n"/>
      <c r="B711" s="127" t="n"/>
      <c r="C711" s="127" t="n"/>
      <c r="D711" s="128" t="n"/>
      <c r="E711" s="129" t="n"/>
      <c r="F711" s="127" t="n"/>
      <c r="G711" s="124">
        <f>IF($D711=0,0,ROUND($D711*$E711,2))</f>
        <v/>
      </c>
      <c r="H711" s="125">
        <f>IF($C711="","",CONCATENATE("Belge: ",$B711,"/",$C711," ",TEXT($D711,"#,##0")))</f>
        <v/>
      </c>
    </row>
    <row r="712" ht="15" customHeight="1" s="80">
      <c r="A712" s="126" t="n"/>
      <c r="B712" s="127" t="n"/>
      <c r="C712" s="127" t="n"/>
      <c r="D712" s="128" t="n"/>
      <c r="E712" s="129" t="n"/>
      <c r="F712" s="127" t="n"/>
      <c r="G712" s="124">
        <f>IF($D712=0,0,ROUND($D712*$E712,2))</f>
        <v/>
      </c>
      <c r="H712" s="125">
        <f>IF($C712="","",CONCATENATE("Belge: ",$B712,"/",$C712," ",TEXT($D712,"#,##0")))</f>
        <v/>
      </c>
    </row>
    <row r="713" ht="15" customHeight="1" s="80">
      <c r="A713" s="126" t="n"/>
      <c r="B713" s="127" t="n"/>
      <c r="C713" s="127" t="n"/>
      <c r="D713" s="128" t="n"/>
      <c r="E713" s="129" t="n"/>
      <c r="F713" s="127" t="n"/>
      <c r="G713" s="124">
        <f>IF($D713=0,0,ROUND($D713*$E713,2))</f>
        <v/>
      </c>
      <c r="H713" s="125">
        <f>IF($C713="","",CONCATENATE("Belge: ",$B713,"/",$C713," ",TEXT($D713,"#,##0")))</f>
        <v/>
      </c>
    </row>
    <row r="714" ht="15" customHeight="1" s="80">
      <c r="A714" s="126" t="n"/>
      <c r="B714" s="127" t="n"/>
      <c r="C714" s="127" t="n"/>
      <c r="D714" s="128" t="n"/>
      <c r="E714" s="129" t="n"/>
      <c r="F714" s="127" t="n"/>
      <c r="G714" s="124">
        <f>IF($D714=0,0,ROUND($D714*$E714,2))</f>
        <v/>
      </c>
      <c r="H714" s="125">
        <f>IF($C714="","",CONCATENATE("Belge: ",$B714,"/",$C714," ",TEXT($D714,"#,##0")))</f>
        <v/>
      </c>
    </row>
    <row r="715" ht="15" customHeight="1" s="80">
      <c r="A715" s="126" t="n"/>
      <c r="B715" s="127" t="n"/>
      <c r="C715" s="127" t="n"/>
      <c r="D715" s="128" t="n"/>
      <c r="E715" s="129" t="n"/>
      <c r="F715" s="127" t="n"/>
      <c r="G715" s="124">
        <f>IF($D715=0,0,ROUND($D715*$E715,2))</f>
        <v/>
      </c>
      <c r="H715" s="125">
        <f>IF($C715="","",CONCATENATE("Belge: ",$B715,"/",$C715," ",TEXT($D715,"#,##0")))</f>
        <v/>
      </c>
    </row>
    <row r="716" ht="15" customHeight="1" s="80">
      <c r="A716" s="126" t="n"/>
      <c r="B716" s="127" t="n"/>
      <c r="C716" s="127" t="n"/>
      <c r="D716" s="128" t="n"/>
      <c r="E716" s="129" t="n"/>
      <c r="F716" s="127" t="n"/>
      <c r="G716" s="124">
        <f>IF($D716=0,0,ROUND($D716*$E716,2))</f>
        <v/>
      </c>
      <c r="H716" s="125">
        <f>IF($C716="","",CONCATENATE("Belge: ",$B716,"/",$C716," ",TEXT($D716,"#,##0")))</f>
        <v/>
      </c>
    </row>
    <row r="717" ht="15" customHeight="1" s="80">
      <c r="A717" s="126" t="n"/>
      <c r="B717" s="127" t="n"/>
      <c r="C717" s="127" t="n"/>
      <c r="D717" s="128" t="n"/>
      <c r="E717" s="129" t="n"/>
      <c r="F717" s="127" t="n"/>
      <c r="G717" s="124">
        <f>IF($D717=0,0,ROUND($D717*$E717,2))</f>
        <v/>
      </c>
      <c r="H717" s="125">
        <f>IF($C717="","",CONCATENATE("Belge: ",$B717,"/",$C717," ",TEXT($D717,"#,##0")))</f>
        <v/>
      </c>
    </row>
    <row r="718" ht="15" customHeight="1" s="80">
      <c r="A718" s="126" t="n"/>
      <c r="B718" s="127" t="n"/>
      <c r="C718" s="127" t="n"/>
      <c r="D718" s="128" t="n"/>
      <c r="E718" s="129" t="n"/>
      <c r="F718" s="127" t="n"/>
      <c r="G718" s="124">
        <f>IF($D718=0,0,ROUND($D718*$E718,2))</f>
        <v/>
      </c>
      <c r="H718" s="125">
        <f>IF($C718="","",CONCATENATE("Belge: ",$B718,"/",$C718," ",TEXT($D718,"#,##0")))</f>
        <v/>
      </c>
    </row>
    <row r="719" ht="15" customHeight="1" s="80">
      <c r="A719" s="126" t="n"/>
      <c r="B719" s="127" t="n"/>
      <c r="C719" s="127" t="n"/>
      <c r="D719" s="128" t="n"/>
      <c r="E719" s="129" t="n"/>
      <c r="F719" s="127" t="n"/>
      <c r="G719" s="124">
        <f>IF($D719=0,0,ROUND($D719*$E719,2))</f>
        <v/>
      </c>
      <c r="H719" s="125">
        <f>IF($C719="","",CONCATENATE("Belge: ",$B719,"/",$C719," ",TEXT($D719,"#,##0")))</f>
        <v/>
      </c>
    </row>
    <row r="720" ht="15" customHeight="1" s="80">
      <c r="A720" s="126" t="n"/>
      <c r="B720" s="127" t="n"/>
      <c r="C720" s="127" t="n"/>
      <c r="D720" s="128" t="n"/>
      <c r="E720" s="129" t="n"/>
      <c r="F720" s="127" t="n"/>
      <c r="G720" s="124">
        <f>IF($D720=0,0,ROUND($D720*$E720,2))</f>
        <v/>
      </c>
      <c r="H720" s="125">
        <f>IF($C720="","",CONCATENATE("Belge: ",$B720,"/",$C720," ",TEXT($D720,"#,##0")))</f>
        <v/>
      </c>
    </row>
    <row r="721" ht="15" customHeight="1" s="80">
      <c r="A721" s="126" t="n"/>
      <c r="B721" s="127" t="n"/>
      <c r="C721" s="127" t="n"/>
      <c r="D721" s="128" t="n"/>
      <c r="E721" s="129" t="n"/>
      <c r="F721" s="127" t="n"/>
      <c r="G721" s="124">
        <f>IF($D721=0,0,ROUND($D721*$E721,2))</f>
        <v/>
      </c>
      <c r="H721" s="125">
        <f>IF($C721="","",CONCATENATE("Belge: ",$B721,"/",$C721," ",TEXT($D721,"#,##0")))</f>
        <v/>
      </c>
    </row>
    <row r="722" ht="15" customHeight="1" s="80">
      <c r="A722" s="126" t="n"/>
      <c r="B722" s="127" t="n"/>
      <c r="C722" s="127" t="n"/>
      <c r="D722" s="128" t="n"/>
      <c r="E722" s="129" t="n"/>
      <c r="F722" s="127" t="n"/>
      <c r="G722" s="124">
        <f>IF($D722=0,0,ROUND($D722*$E722,2))</f>
        <v/>
      </c>
      <c r="H722" s="125">
        <f>IF($C722="","",CONCATENATE("Belge: ",$B722,"/",$C722," ",TEXT($D722,"#,##0")))</f>
        <v/>
      </c>
    </row>
    <row r="723" ht="15" customHeight="1" s="80">
      <c r="A723" s="126" t="n"/>
      <c r="B723" s="127" t="n"/>
      <c r="C723" s="127" t="n"/>
      <c r="D723" s="128" t="n"/>
      <c r="E723" s="129" t="n"/>
      <c r="F723" s="127" t="n"/>
      <c r="G723" s="124">
        <f>IF($D723=0,0,ROUND($D723*$E723,2))</f>
        <v/>
      </c>
      <c r="H723" s="125">
        <f>IF($C723="","",CONCATENATE("Belge: ",$B723,"/",$C723," ",TEXT($D723,"#,##0")))</f>
        <v/>
      </c>
    </row>
    <row r="724" ht="15" customHeight="1" s="80">
      <c r="A724" s="126" t="n"/>
      <c r="B724" s="127" t="n"/>
      <c r="C724" s="127" t="n"/>
      <c r="D724" s="128" t="n"/>
      <c r="E724" s="129" t="n"/>
      <c r="F724" s="127" t="n"/>
      <c r="G724" s="124">
        <f>IF($D724=0,0,ROUND($D724*$E724,2))</f>
        <v/>
      </c>
      <c r="H724" s="125">
        <f>IF($C724="","",CONCATENATE("Belge: ",$B724,"/",$C724," ",TEXT($D724,"#,##0")))</f>
        <v/>
      </c>
    </row>
    <row r="725" ht="15" customHeight="1" s="80">
      <c r="A725" s="126" t="n"/>
      <c r="B725" s="127" t="n"/>
      <c r="C725" s="127" t="n"/>
      <c r="D725" s="128" t="n"/>
      <c r="E725" s="129" t="n"/>
      <c r="F725" s="127" t="n"/>
      <c r="G725" s="124">
        <f>IF($D725=0,0,ROUND($D725*$E725,2))</f>
        <v/>
      </c>
      <c r="H725" s="125">
        <f>IF($C725="","",CONCATENATE("Belge: ",$B725,"/",$C725," ",TEXT($D725,"#,##0")))</f>
        <v/>
      </c>
    </row>
    <row r="726" ht="15" customHeight="1" s="80">
      <c r="A726" s="126" t="n"/>
      <c r="B726" s="127" t="n"/>
      <c r="C726" s="127" t="n"/>
      <c r="D726" s="128" t="n"/>
      <c r="E726" s="129" t="n"/>
      <c r="F726" s="127" t="n"/>
      <c r="G726" s="124">
        <f>IF($D726=0,0,ROUND($D726*$E726,2))</f>
        <v/>
      </c>
      <c r="H726" s="125">
        <f>IF($C726="","",CONCATENATE("Belge: ",$B726,"/",$C726," ",TEXT($D726,"#,##0")))</f>
        <v/>
      </c>
    </row>
    <row r="727" ht="15" customHeight="1" s="80">
      <c r="A727" s="126" t="n"/>
      <c r="B727" s="127" t="n"/>
      <c r="C727" s="127" t="n"/>
      <c r="D727" s="128" t="n"/>
      <c r="E727" s="129" t="n"/>
      <c r="F727" s="127" t="n"/>
      <c r="G727" s="124">
        <f>IF($D727=0,0,ROUND($D727*$E727,2))</f>
        <v/>
      </c>
      <c r="H727" s="125">
        <f>IF($C727="","",CONCATENATE("Belge: ",$B727,"/",$C727," ",TEXT($D727,"#,##0")))</f>
        <v/>
      </c>
    </row>
    <row r="728" ht="15" customHeight="1" s="80">
      <c r="A728" s="126" t="n"/>
      <c r="B728" s="127" t="n"/>
      <c r="C728" s="127" t="n"/>
      <c r="D728" s="128" t="n"/>
      <c r="E728" s="129" t="n"/>
      <c r="F728" s="127" t="n"/>
      <c r="G728" s="124">
        <f>IF($D728=0,0,ROUND($D728*$E728,2))</f>
        <v/>
      </c>
      <c r="H728" s="125">
        <f>IF($C728="","",CONCATENATE("Belge: ",$B728,"/",$C728," ",TEXT($D728,"#,##0")))</f>
        <v/>
      </c>
    </row>
    <row r="729" ht="15" customHeight="1" s="80">
      <c r="A729" s="126" t="n"/>
      <c r="B729" s="127" t="n"/>
      <c r="C729" s="127" t="n"/>
      <c r="D729" s="128" t="n"/>
      <c r="E729" s="129" t="n"/>
      <c r="F729" s="127" t="n"/>
      <c r="G729" s="124">
        <f>IF($D729=0,0,ROUND($D729*$E729,2))</f>
        <v/>
      </c>
      <c r="H729" s="125">
        <f>IF($C729="","",CONCATENATE("Belge: ",$B729,"/",$C729," ",TEXT($D729,"#,##0")))</f>
        <v/>
      </c>
    </row>
    <row r="730" ht="15" customHeight="1" s="80">
      <c r="A730" s="126" t="n"/>
      <c r="B730" s="127" t="n"/>
      <c r="C730" s="127" t="n"/>
      <c r="D730" s="128" t="n"/>
      <c r="E730" s="129" t="n"/>
      <c r="F730" s="127" t="n"/>
      <c r="G730" s="124">
        <f>IF($D730=0,0,ROUND($D730*$E730,2))</f>
        <v/>
      </c>
      <c r="H730" s="125">
        <f>IF($C730="","",CONCATENATE("Belge: ",$B730,"/",$C730," ",TEXT($D730,"#,##0")))</f>
        <v/>
      </c>
    </row>
    <row r="731" ht="15" customHeight="1" s="80">
      <c r="A731" s="126" t="n"/>
      <c r="B731" s="127" t="n"/>
      <c r="C731" s="127" t="n"/>
      <c r="D731" s="128" t="n"/>
      <c r="E731" s="129" t="n"/>
      <c r="F731" s="127" t="n"/>
      <c r="G731" s="124">
        <f>IF($D731=0,0,ROUND($D731*$E731,2))</f>
        <v/>
      </c>
      <c r="H731" s="125">
        <f>IF($C731="","",CONCATENATE("Belge: ",$B731,"/",$C731," ",TEXT($D731,"#,##0")))</f>
        <v/>
      </c>
    </row>
    <row r="732" ht="15" customHeight="1" s="80">
      <c r="A732" s="126" t="n"/>
      <c r="B732" s="127" t="n"/>
      <c r="C732" s="127" t="n"/>
      <c r="D732" s="128" t="n"/>
      <c r="E732" s="129" t="n"/>
      <c r="F732" s="127" t="n"/>
      <c r="G732" s="124">
        <f>IF($D732=0,0,ROUND($D732*$E732,2))</f>
        <v/>
      </c>
      <c r="H732" s="125">
        <f>IF($C732="","",CONCATENATE("Belge: ",$B732,"/",$C732," ",TEXT($D732,"#,##0")))</f>
        <v/>
      </c>
    </row>
    <row r="733" ht="15" customHeight="1" s="80">
      <c r="A733" s="126" t="n"/>
      <c r="B733" s="127" t="n"/>
      <c r="C733" s="127" t="n"/>
      <c r="D733" s="128" t="n"/>
      <c r="E733" s="129" t="n"/>
      <c r="F733" s="127" t="n"/>
      <c r="G733" s="124">
        <f>IF($D733=0,0,ROUND($D733*$E733,2))</f>
        <v/>
      </c>
      <c r="H733" s="125">
        <f>IF($C733="","",CONCATENATE("Belge: ",$B733,"/",$C733," ",TEXT($D733,"#,##0")))</f>
        <v/>
      </c>
    </row>
    <row r="734" ht="15" customHeight="1" s="80">
      <c r="A734" s="126" t="n"/>
      <c r="B734" s="127" t="n"/>
      <c r="C734" s="127" t="n"/>
      <c r="D734" s="128" t="n"/>
      <c r="E734" s="129" t="n"/>
      <c r="F734" s="127" t="n"/>
      <c r="G734" s="124">
        <f>IF($D734=0,0,ROUND($D734*$E734,2))</f>
        <v/>
      </c>
      <c r="H734" s="125">
        <f>IF($C734="","",CONCATENATE("Belge: ",$B734,"/",$C734," ",TEXT($D734,"#,##0")))</f>
        <v/>
      </c>
    </row>
    <row r="735" ht="15" customHeight="1" s="80">
      <c r="A735" s="126" t="n"/>
      <c r="B735" s="127" t="n"/>
      <c r="C735" s="127" t="n"/>
      <c r="D735" s="128" t="n"/>
      <c r="E735" s="129" t="n"/>
      <c r="F735" s="127" t="n"/>
      <c r="G735" s="124">
        <f>IF($D735=0,0,ROUND($D735*$E735,2))</f>
        <v/>
      </c>
      <c r="H735" s="125">
        <f>IF($C735="","",CONCATENATE("Belge: ",$B735,"/",$C735," ",TEXT($D735,"#,##0")))</f>
        <v/>
      </c>
    </row>
    <row r="736" ht="15" customHeight="1" s="80">
      <c r="A736" s="126" t="n"/>
      <c r="B736" s="127" t="n"/>
      <c r="C736" s="127" t="n"/>
      <c r="D736" s="128" t="n"/>
      <c r="E736" s="129" t="n"/>
      <c r="F736" s="127" t="n"/>
      <c r="G736" s="124">
        <f>IF($D736=0,0,ROUND($D736*$E736,2))</f>
        <v/>
      </c>
      <c r="H736" s="125">
        <f>IF($C736="","",CONCATENATE("Belge: ",$B736,"/",$C736," ",TEXT($D736,"#,##0")))</f>
        <v/>
      </c>
    </row>
    <row r="737" ht="15" customHeight="1" s="80">
      <c r="A737" s="126" t="n"/>
      <c r="B737" s="127" t="n"/>
      <c r="C737" s="127" t="n"/>
      <c r="D737" s="128" t="n"/>
      <c r="E737" s="129" t="n"/>
      <c r="F737" s="127" t="n"/>
      <c r="G737" s="124">
        <f>IF($D737=0,0,ROUND($D737*$E737,2))</f>
        <v/>
      </c>
      <c r="H737" s="125">
        <f>IF($C737="","",CONCATENATE("Belge: ",$B737,"/",$C737," ",TEXT($D737,"#,##0")))</f>
        <v/>
      </c>
    </row>
    <row r="738" ht="15" customHeight="1" s="80">
      <c r="A738" s="126" t="n"/>
      <c r="B738" s="127" t="n"/>
      <c r="C738" s="127" t="n"/>
      <c r="D738" s="128" t="n"/>
      <c r="E738" s="129" t="n"/>
      <c r="F738" s="127" t="n"/>
      <c r="G738" s="124">
        <f>IF($D738=0,0,ROUND($D738*$E738,2))</f>
        <v/>
      </c>
      <c r="H738" s="125">
        <f>IF($C738="","",CONCATENATE("Belge: ",$B738,"/",$C738," ",TEXT($D738,"#,##0")))</f>
        <v/>
      </c>
    </row>
    <row r="739" ht="15" customHeight="1" s="80">
      <c r="A739" s="126" t="n"/>
      <c r="B739" s="127" t="n"/>
      <c r="C739" s="127" t="n"/>
      <c r="D739" s="128" t="n"/>
      <c r="E739" s="129" t="n"/>
      <c r="F739" s="127" t="n"/>
      <c r="G739" s="124">
        <f>IF($D739=0,0,ROUND($D739*$E739,2))</f>
        <v/>
      </c>
      <c r="H739" s="125">
        <f>IF($C739="","",CONCATENATE("Belge: ",$B739,"/",$C739," ",TEXT($D739,"#,##0")))</f>
        <v/>
      </c>
    </row>
    <row r="740" ht="15" customHeight="1" s="80">
      <c r="A740" s="126" t="n"/>
      <c r="B740" s="127" t="n"/>
      <c r="C740" s="127" t="n"/>
      <c r="D740" s="128" t="n"/>
      <c r="E740" s="129" t="n"/>
      <c r="F740" s="127" t="n"/>
      <c r="G740" s="124">
        <f>IF($D740=0,0,ROUND($D740*$E740,2))</f>
        <v/>
      </c>
      <c r="H740" s="125">
        <f>IF($C740="","",CONCATENATE("Belge: ",$B740,"/",$C740," ",TEXT($D740,"#,##0")))</f>
        <v/>
      </c>
    </row>
    <row r="741" ht="15" customHeight="1" s="80">
      <c r="A741" s="126" t="n"/>
      <c r="B741" s="127" t="n"/>
      <c r="C741" s="127" t="n"/>
      <c r="D741" s="128" t="n"/>
      <c r="E741" s="129" t="n"/>
      <c r="F741" s="127" t="n"/>
      <c r="G741" s="124">
        <f>IF($D741=0,0,ROUND($D741*$E741,2))</f>
        <v/>
      </c>
      <c r="H741" s="125">
        <f>IF($C741="","",CONCATENATE("Belge: ",$B741,"/",$C741," ",TEXT($D741,"#,##0")))</f>
        <v/>
      </c>
    </row>
    <row r="742" ht="15" customHeight="1" s="80">
      <c r="A742" s="126" t="n"/>
      <c r="B742" s="127" t="n"/>
      <c r="C742" s="127" t="n"/>
      <c r="D742" s="128" t="n"/>
      <c r="E742" s="129" t="n"/>
      <c r="F742" s="127" t="n"/>
      <c r="G742" s="124">
        <f>IF($D742=0,0,ROUND($D742*$E742,2))</f>
        <v/>
      </c>
      <c r="H742" s="125">
        <f>IF($C742="","",CONCATENATE("Belge: ",$B742,"/",$C742," ",TEXT($D742,"#,##0")))</f>
        <v/>
      </c>
    </row>
    <row r="743" ht="15" customHeight="1" s="80">
      <c r="A743" s="126" t="n"/>
      <c r="B743" s="127" t="n"/>
      <c r="C743" s="127" t="n"/>
      <c r="D743" s="128" t="n"/>
      <c r="E743" s="129" t="n"/>
      <c r="F743" s="127" t="n"/>
      <c r="G743" s="124">
        <f>IF($D743=0,0,ROUND($D743*$E743,2))</f>
        <v/>
      </c>
      <c r="H743" s="125">
        <f>IF($C743="","",CONCATENATE("Belge: ",$B743,"/",$C743," ",TEXT($D743,"#,##0")))</f>
        <v/>
      </c>
    </row>
    <row r="744" ht="15" customHeight="1" s="80">
      <c r="A744" s="126" t="n"/>
      <c r="B744" s="127" t="n"/>
      <c r="C744" s="127" t="n"/>
      <c r="D744" s="128" t="n"/>
      <c r="E744" s="129" t="n"/>
      <c r="F744" s="127" t="n"/>
      <c r="G744" s="124">
        <f>IF($D744=0,0,ROUND($D744*$E744,2))</f>
        <v/>
      </c>
      <c r="H744" s="125">
        <f>IF($C744="","",CONCATENATE("Belge: ",$B744,"/",$C744," ",TEXT($D744,"#,##0")))</f>
        <v/>
      </c>
    </row>
    <row r="745" ht="15" customHeight="1" s="80">
      <c r="A745" s="126" t="n"/>
      <c r="B745" s="127" t="n"/>
      <c r="C745" s="127" t="n"/>
      <c r="D745" s="128" t="n"/>
      <c r="E745" s="129" t="n"/>
      <c r="F745" s="127" t="n"/>
      <c r="G745" s="124">
        <f>IF($D745=0,0,ROUND($D745*$E745,2))</f>
        <v/>
      </c>
      <c r="H745" s="125">
        <f>IF($C745="","",CONCATENATE("Belge: ",$B745,"/",$C745," ",TEXT($D745,"#,##0")))</f>
        <v/>
      </c>
    </row>
    <row r="746" ht="15" customHeight="1" s="80">
      <c r="A746" s="126" t="n"/>
      <c r="B746" s="127" t="n"/>
      <c r="C746" s="127" t="n"/>
      <c r="D746" s="128" t="n"/>
      <c r="E746" s="129" t="n"/>
      <c r="F746" s="127" t="n"/>
      <c r="G746" s="124">
        <f>IF($D746=0,0,ROUND($D746*$E746,2))</f>
        <v/>
      </c>
      <c r="H746" s="125">
        <f>IF($C746="","",CONCATENATE("Belge: ",$B746,"/",$C746," ",TEXT($D746,"#,##0")))</f>
        <v/>
      </c>
    </row>
    <row r="747" ht="15" customHeight="1" s="80">
      <c r="A747" s="126" t="n"/>
      <c r="B747" s="127" t="n"/>
      <c r="C747" s="127" t="n"/>
      <c r="D747" s="128" t="n"/>
      <c r="E747" s="129" t="n"/>
      <c r="F747" s="127" t="n"/>
      <c r="G747" s="124">
        <f>IF($D747=0,0,ROUND($D747*$E747,2))</f>
        <v/>
      </c>
      <c r="H747" s="125">
        <f>IF($C747="","",CONCATENATE("Belge: ",$B747,"/",$C747," ",TEXT($D747,"#,##0")))</f>
        <v/>
      </c>
    </row>
    <row r="748" ht="15" customHeight="1" s="80">
      <c r="A748" s="126" t="n"/>
      <c r="B748" s="127" t="n"/>
      <c r="C748" s="127" t="n"/>
      <c r="D748" s="128" t="n"/>
      <c r="E748" s="129" t="n"/>
      <c r="F748" s="127" t="n"/>
      <c r="G748" s="124">
        <f>IF($D748=0,0,ROUND($D748*$E748,2))</f>
        <v/>
      </c>
      <c r="H748" s="125">
        <f>IF($C748="","",CONCATENATE("Belge: ",$B748,"/",$C748," ",TEXT($D748,"#,##0")))</f>
        <v/>
      </c>
    </row>
    <row r="749" ht="15" customHeight="1" s="80">
      <c r="A749" s="126" t="n"/>
      <c r="B749" s="127" t="n"/>
      <c r="C749" s="127" t="n"/>
      <c r="D749" s="128" t="n"/>
      <c r="E749" s="129" t="n"/>
      <c r="F749" s="127" t="n"/>
      <c r="G749" s="124">
        <f>IF($D749=0,0,ROUND($D749*$E749,2))</f>
        <v/>
      </c>
      <c r="H749" s="125">
        <f>IF($C749="","",CONCATENATE("Belge: ",$B749,"/",$C749," ",TEXT($D749,"#,##0")))</f>
        <v/>
      </c>
    </row>
    <row r="750" ht="15" customHeight="1" s="80">
      <c r="A750" s="126" t="n"/>
      <c r="B750" s="127" t="n"/>
      <c r="C750" s="127" t="n"/>
      <c r="D750" s="128" t="n"/>
      <c r="E750" s="129" t="n"/>
      <c r="F750" s="127" t="n"/>
      <c r="G750" s="124">
        <f>IF($D750=0,0,ROUND($D750*$E750,2))</f>
        <v/>
      </c>
      <c r="H750" s="125">
        <f>IF($C750="","",CONCATENATE("Belge: ",$B750,"/",$C750," ",TEXT($D750,"#,##0")))</f>
        <v/>
      </c>
    </row>
    <row r="751" ht="15" customHeight="1" s="80">
      <c r="A751" s="126" t="n"/>
      <c r="B751" s="127" t="n"/>
      <c r="C751" s="127" t="n"/>
      <c r="D751" s="128" t="n"/>
      <c r="E751" s="129" t="n"/>
      <c r="F751" s="127" t="n"/>
      <c r="G751" s="124">
        <f>IF($D751=0,0,ROUND($D751*$E751,2))</f>
        <v/>
      </c>
      <c r="H751" s="125">
        <f>IF($C751="","",CONCATENATE("Belge: ",$B751,"/",$C751," ",TEXT($D751,"#,##0")))</f>
        <v/>
      </c>
    </row>
    <row r="752" ht="15" customHeight="1" s="80">
      <c r="A752" s="126" t="n"/>
      <c r="B752" s="127" t="n"/>
      <c r="C752" s="127" t="n"/>
      <c r="D752" s="128" t="n"/>
      <c r="E752" s="129" t="n"/>
      <c r="F752" s="127" t="n"/>
      <c r="G752" s="124">
        <f>IF($D752=0,0,ROUND($D752*$E752,2))</f>
        <v/>
      </c>
      <c r="H752" s="125">
        <f>IF($C752="","",CONCATENATE("Belge: ",$B752,"/",$C752," ",TEXT($D752,"#,##0")))</f>
        <v/>
      </c>
    </row>
    <row r="753" ht="15" customHeight="1" s="80">
      <c r="A753" s="126" t="n"/>
      <c r="B753" s="127" t="n"/>
      <c r="C753" s="127" t="n"/>
      <c r="D753" s="128" t="n"/>
      <c r="E753" s="129" t="n"/>
      <c r="F753" s="127" t="n"/>
      <c r="G753" s="124">
        <f>IF($D753=0,0,ROUND($D753*$E753,2))</f>
        <v/>
      </c>
      <c r="H753" s="125">
        <f>IF($C753="","",CONCATENATE("Belge: ",$B753,"/",$C753," ",TEXT($D753,"#,##0")))</f>
        <v/>
      </c>
    </row>
    <row r="754" ht="15" customHeight="1" s="80">
      <c r="A754" s="126" t="n"/>
      <c r="B754" s="127" t="n"/>
      <c r="C754" s="127" t="n"/>
      <c r="D754" s="128" t="n"/>
      <c r="E754" s="129" t="n"/>
      <c r="F754" s="127" t="n"/>
      <c r="G754" s="124">
        <f>IF($D754=0,0,ROUND($D754*$E754,2))</f>
        <v/>
      </c>
      <c r="H754" s="125">
        <f>IF($C754="","",CONCATENATE("Belge: ",$B754,"/",$C754," ",TEXT($D754,"#,##0")))</f>
        <v/>
      </c>
    </row>
    <row r="755" ht="15" customHeight="1" s="80">
      <c r="A755" s="126" t="n"/>
      <c r="B755" s="127" t="n"/>
      <c r="C755" s="127" t="n"/>
      <c r="D755" s="128" t="n"/>
      <c r="E755" s="129" t="n"/>
      <c r="F755" s="127" t="n"/>
      <c r="G755" s="124">
        <f>IF($D755=0,0,ROUND($D755*$E755,2))</f>
        <v/>
      </c>
      <c r="H755" s="125">
        <f>IF($C755="","",CONCATENATE("Belge: ",$B755,"/",$C755," ",TEXT($D755,"#,##0")))</f>
        <v/>
      </c>
    </row>
    <row r="756" ht="15" customHeight="1" s="80">
      <c r="A756" s="126" t="n"/>
      <c r="B756" s="127" t="n"/>
      <c r="C756" s="127" t="n"/>
      <c r="D756" s="128" t="n"/>
      <c r="E756" s="129" t="n"/>
      <c r="F756" s="127" t="n"/>
      <c r="G756" s="124">
        <f>IF($D756=0,0,ROUND($D756*$E756,2))</f>
        <v/>
      </c>
      <c r="H756" s="125">
        <f>IF($C756="","",CONCATENATE("Belge: ",$B756,"/",$C756," ",TEXT($D756,"#,##0")))</f>
        <v/>
      </c>
    </row>
    <row r="757" ht="15" customHeight="1" s="80">
      <c r="A757" s="126" t="n"/>
      <c r="B757" s="127" t="n"/>
      <c r="C757" s="127" t="n"/>
      <c r="D757" s="128" t="n"/>
      <c r="E757" s="129" t="n"/>
      <c r="F757" s="127" t="n"/>
      <c r="G757" s="124">
        <f>IF($D757=0,0,ROUND($D757*$E757,2))</f>
        <v/>
      </c>
      <c r="H757" s="125">
        <f>IF($C757="","",CONCATENATE("Belge: ",$B757,"/",$C757," ",TEXT($D757,"#,##0")))</f>
        <v/>
      </c>
    </row>
    <row r="758" ht="15" customHeight="1" s="80">
      <c r="A758" s="126" t="n"/>
      <c r="B758" s="127" t="n"/>
      <c r="C758" s="127" t="n"/>
      <c r="D758" s="128" t="n"/>
      <c r="E758" s="129" t="n"/>
      <c r="F758" s="127" t="n"/>
      <c r="G758" s="124">
        <f>IF($D758=0,0,ROUND($D758*$E758,2))</f>
        <v/>
      </c>
      <c r="H758" s="125">
        <f>IF($C758="","",CONCATENATE("Belge: ",$B758,"/",$C758," ",TEXT($D758,"#,##0")))</f>
        <v/>
      </c>
    </row>
    <row r="759" ht="15" customHeight="1" s="80">
      <c r="A759" s="126" t="n"/>
      <c r="B759" s="127" t="n"/>
      <c r="C759" s="127" t="n"/>
      <c r="D759" s="128" t="n"/>
      <c r="E759" s="129" t="n"/>
      <c r="F759" s="127" t="n"/>
      <c r="G759" s="124">
        <f>IF($D759=0,0,ROUND($D759*$E759,2))</f>
        <v/>
      </c>
      <c r="H759" s="125">
        <f>IF($C759="","",CONCATENATE("Belge: ",$B759,"/",$C759," ",TEXT($D759,"#,##0")))</f>
        <v/>
      </c>
    </row>
    <row r="760" ht="15" customHeight="1" s="80">
      <c r="A760" s="126" t="n"/>
      <c r="B760" s="127" t="n"/>
      <c r="C760" s="127" t="n"/>
      <c r="D760" s="128" t="n"/>
      <c r="E760" s="129" t="n"/>
      <c r="F760" s="127" t="n"/>
      <c r="G760" s="124">
        <f>IF($D760=0,0,ROUND($D760*$E760,2))</f>
        <v/>
      </c>
      <c r="H760" s="125">
        <f>IF($C760="","",CONCATENATE("Belge: ",$B760,"/",$C760," ",TEXT($D760,"#,##0")))</f>
        <v/>
      </c>
    </row>
    <row r="761" ht="15" customHeight="1" s="80">
      <c r="A761" s="126" t="n"/>
      <c r="B761" s="127" t="n"/>
      <c r="C761" s="127" t="n"/>
      <c r="D761" s="128" t="n"/>
      <c r="E761" s="129" t="n"/>
      <c r="F761" s="127" t="n"/>
      <c r="G761" s="124">
        <f>IF($D761=0,0,ROUND($D761*$E761,2))</f>
        <v/>
      </c>
      <c r="H761" s="125">
        <f>IF($C761="","",CONCATENATE("Belge: ",$B761,"/",$C761," ",TEXT($D761,"#,##0")))</f>
        <v/>
      </c>
    </row>
    <row r="762" ht="15" customHeight="1" s="80">
      <c r="A762" s="126" t="n"/>
      <c r="B762" s="127" t="n"/>
      <c r="C762" s="127" t="n"/>
      <c r="D762" s="128" t="n"/>
      <c r="E762" s="129" t="n"/>
      <c r="F762" s="127" t="n"/>
      <c r="G762" s="124">
        <f>IF($D762=0,0,ROUND($D762*$E762,2))</f>
        <v/>
      </c>
      <c r="H762" s="125">
        <f>IF($C762="","",CONCATENATE("Belge: ",$B762,"/",$C762," ",TEXT($D762,"#,##0")))</f>
        <v/>
      </c>
    </row>
    <row r="763" ht="15" customHeight="1" s="80">
      <c r="A763" s="126" t="n"/>
      <c r="B763" s="127" t="n"/>
      <c r="C763" s="127" t="n"/>
      <c r="D763" s="128" t="n"/>
      <c r="E763" s="129" t="n"/>
      <c r="F763" s="127" t="n"/>
      <c r="G763" s="124">
        <f>IF($D763=0,0,ROUND($D763*$E763,2))</f>
        <v/>
      </c>
      <c r="H763" s="125">
        <f>IF($C763="","",CONCATENATE("Belge: ",$B763,"/",$C763," ",TEXT($D763,"#,##0")))</f>
        <v/>
      </c>
    </row>
    <row r="764" ht="15" customHeight="1" s="80">
      <c r="A764" s="126" t="n"/>
      <c r="B764" s="127" t="n"/>
      <c r="C764" s="127" t="n"/>
      <c r="D764" s="128" t="n"/>
      <c r="E764" s="129" t="n"/>
      <c r="F764" s="127" t="n"/>
      <c r="G764" s="124">
        <f>IF($D764=0,0,ROUND($D764*$E764,2))</f>
        <v/>
      </c>
      <c r="H764" s="125">
        <f>IF($C764="","",CONCATENATE("Belge: ",$B764,"/",$C764," ",TEXT($D764,"#,##0")))</f>
        <v/>
      </c>
    </row>
    <row r="765" ht="15" customHeight="1" s="80">
      <c r="A765" s="126" t="n"/>
      <c r="B765" s="127" t="n"/>
      <c r="C765" s="127" t="n"/>
      <c r="D765" s="128" t="n"/>
      <c r="E765" s="129" t="n"/>
      <c r="F765" s="127" t="n"/>
      <c r="G765" s="124">
        <f>IF($D765=0,0,ROUND($D765*$E765,2))</f>
        <v/>
      </c>
      <c r="H765" s="125">
        <f>IF($C765="","",CONCATENATE("Belge: ",$B765,"/",$C765," ",TEXT($D765,"#,##0")))</f>
        <v/>
      </c>
    </row>
    <row r="766" ht="15" customHeight="1" s="80">
      <c r="A766" s="126" t="n"/>
      <c r="B766" s="127" t="n"/>
      <c r="C766" s="127" t="n"/>
      <c r="D766" s="128" t="n"/>
      <c r="E766" s="129" t="n"/>
      <c r="F766" s="127" t="n"/>
      <c r="G766" s="124">
        <f>IF($D766=0,0,ROUND($D766*$E766,2))</f>
        <v/>
      </c>
      <c r="H766" s="125">
        <f>IF($C766="","",CONCATENATE("Belge: ",$B766,"/",$C766," ",TEXT($D766,"#,##0")))</f>
        <v/>
      </c>
    </row>
    <row r="767" ht="15" customHeight="1" s="80">
      <c r="A767" s="126" t="n"/>
      <c r="B767" s="127" t="n"/>
      <c r="C767" s="127" t="n"/>
      <c r="D767" s="128" t="n"/>
      <c r="E767" s="129" t="n"/>
      <c r="F767" s="127" t="n"/>
      <c r="G767" s="124">
        <f>IF($D767=0,0,ROUND($D767*$E767,2))</f>
        <v/>
      </c>
      <c r="H767" s="125">
        <f>IF($C767="","",CONCATENATE("Belge: ",$B767,"/",$C767," ",TEXT($D767,"#,##0")))</f>
        <v/>
      </c>
    </row>
    <row r="768" ht="15" customHeight="1" s="80">
      <c r="A768" s="126" t="n"/>
      <c r="B768" s="127" t="n"/>
      <c r="C768" s="127" t="n"/>
      <c r="D768" s="128" t="n"/>
      <c r="E768" s="129" t="n"/>
      <c r="F768" s="127" t="n"/>
      <c r="G768" s="124">
        <f>IF($D768=0,0,ROUND($D768*$E768,2))</f>
        <v/>
      </c>
      <c r="H768" s="125">
        <f>IF($C768="","",CONCATENATE("Belge: ",$B768,"/",$C768," ",TEXT($D768,"#,##0")))</f>
        <v/>
      </c>
    </row>
    <row r="769" ht="15" customHeight="1" s="80">
      <c r="A769" s="126" t="n"/>
      <c r="B769" s="127" t="n"/>
      <c r="C769" s="127" t="n"/>
      <c r="D769" s="128" t="n"/>
      <c r="E769" s="129" t="n"/>
      <c r="F769" s="127" t="n"/>
      <c r="G769" s="124">
        <f>IF($D769=0,0,ROUND($D769*$E769,2))</f>
        <v/>
      </c>
      <c r="H769" s="125">
        <f>IF($C769="","",CONCATENATE("Belge: ",$B769,"/",$C769," ",TEXT($D769,"#,##0")))</f>
        <v/>
      </c>
    </row>
    <row r="770" ht="15" customHeight="1" s="80">
      <c r="A770" s="126" t="n"/>
      <c r="B770" s="127" t="n"/>
      <c r="C770" s="127" t="n"/>
      <c r="D770" s="128" t="n"/>
      <c r="E770" s="129" t="n"/>
      <c r="F770" s="127" t="n"/>
      <c r="G770" s="124">
        <f>IF($D770=0,0,ROUND($D770*$E770,2))</f>
        <v/>
      </c>
      <c r="H770" s="125">
        <f>IF($C770="","",CONCATENATE("Belge: ",$B770,"/",$C770," ",TEXT($D770,"#,##0")))</f>
        <v/>
      </c>
    </row>
    <row r="771" ht="15" customHeight="1" s="80">
      <c r="A771" s="126" t="n"/>
      <c r="B771" s="127" t="n"/>
      <c r="C771" s="127" t="n"/>
      <c r="D771" s="128" t="n"/>
      <c r="E771" s="129" t="n"/>
      <c r="F771" s="127" t="n"/>
      <c r="G771" s="124">
        <f>IF($D771=0,0,ROUND($D771*$E771,2))</f>
        <v/>
      </c>
      <c r="H771" s="125">
        <f>IF($C771="","",CONCATENATE("Belge: ",$B771,"/",$C771," ",TEXT($D771,"#,##0")))</f>
        <v/>
      </c>
    </row>
    <row r="772" ht="15" customHeight="1" s="80">
      <c r="A772" s="126" t="n"/>
      <c r="B772" s="127" t="n"/>
      <c r="C772" s="127" t="n"/>
      <c r="D772" s="128" t="n"/>
      <c r="E772" s="129" t="n"/>
      <c r="F772" s="127" t="n"/>
      <c r="G772" s="124">
        <f>IF($D772=0,0,ROUND($D772*$E772,2))</f>
        <v/>
      </c>
      <c r="H772" s="125">
        <f>IF($C772="","",CONCATENATE("Belge: ",$B772,"/",$C772," ",TEXT($D772,"#,##0")))</f>
        <v/>
      </c>
    </row>
    <row r="773" ht="15" customHeight="1" s="80">
      <c r="A773" s="126" t="n"/>
      <c r="B773" s="127" t="n"/>
      <c r="C773" s="127" t="n"/>
      <c r="D773" s="128" t="n"/>
      <c r="E773" s="129" t="n"/>
      <c r="F773" s="127" t="n"/>
      <c r="G773" s="124">
        <f>IF($D773=0,0,ROUND($D773*$E773,2))</f>
        <v/>
      </c>
      <c r="H773" s="125">
        <f>IF($C773="","",CONCATENATE("Belge: ",$B773,"/",$C773," ",TEXT($D773,"#,##0")))</f>
        <v/>
      </c>
    </row>
    <row r="774" ht="15" customHeight="1" s="80">
      <c r="A774" s="126" t="n"/>
      <c r="B774" s="127" t="n"/>
      <c r="C774" s="127" t="n"/>
      <c r="D774" s="128" t="n"/>
      <c r="E774" s="129" t="n"/>
      <c r="F774" s="127" t="n"/>
      <c r="G774" s="124">
        <f>IF($D774=0,0,ROUND($D774*$E774,2))</f>
        <v/>
      </c>
      <c r="H774" s="125">
        <f>IF($C774="","",CONCATENATE("Belge: ",$B774,"/",$C774," ",TEXT($D774,"#,##0")))</f>
        <v/>
      </c>
    </row>
    <row r="775" ht="15" customHeight="1" s="80">
      <c r="A775" s="126" t="n"/>
      <c r="B775" s="127" t="n"/>
      <c r="C775" s="127" t="n"/>
      <c r="D775" s="128" t="n"/>
      <c r="E775" s="129" t="n"/>
      <c r="F775" s="127" t="n"/>
      <c r="G775" s="124">
        <f>IF($D775=0,0,ROUND($D775*$E775,2))</f>
        <v/>
      </c>
      <c r="H775" s="125">
        <f>IF($C775="","",CONCATENATE("Belge: ",$B775,"/",$C775," ",TEXT($D775,"#,##0")))</f>
        <v/>
      </c>
    </row>
    <row r="776" ht="15" customHeight="1" s="80">
      <c r="A776" s="126" t="n"/>
      <c r="B776" s="127" t="n"/>
      <c r="C776" s="127" t="n"/>
      <c r="D776" s="128" t="n"/>
      <c r="E776" s="129" t="n"/>
      <c r="F776" s="127" t="n"/>
      <c r="G776" s="124">
        <f>IF($D776=0,0,ROUND($D776*$E776,2))</f>
        <v/>
      </c>
      <c r="H776" s="125">
        <f>IF($C776="","",CONCATENATE("Belge: ",$B776,"/",$C776," ",TEXT($D776,"#,##0")))</f>
        <v/>
      </c>
    </row>
    <row r="777" ht="15" customHeight="1" s="80">
      <c r="A777" s="126" t="n"/>
      <c r="B777" s="127" t="n"/>
      <c r="C777" s="127" t="n"/>
      <c r="D777" s="128" t="n"/>
      <c r="E777" s="129" t="n"/>
      <c r="F777" s="127" t="n"/>
      <c r="G777" s="124">
        <f>IF($D777=0,0,ROUND($D777*$E777,2))</f>
        <v/>
      </c>
      <c r="H777" s="125">
        <f>IF($C777="","",CONCATENATE("Belge: ",$B777,"/",$C777," ",TEXT($D777,"#,##0")))</f>
        <v/>
      </c>
    </row>
    <row r="778" ht="15" customHeight="1" s="80">
      <c r="A778" s="126" t="n"/>
      <c r="B778" s="127" t="n"/>
      <c r="C778" s="127" t="n"/>
      <c r="D778" s="128" t="n"/>
      <c r="E778" s="129" t="n"/>
      <c r="F778" s="127" t="n"/>
      <c r="G778" s="124">
        <f>IF($D778=0,0,ROUND($D778*$E778,2))</f>
        <v/>
      </c>
      <c r="H778" s="125">
        <f>IF($C778="","",CONCATENATE("Belge: ",$B778,"/",$C778," ",TEXT($D778,"#,##0")))</f>
        <v/>
      </c>
    </row>
    <row r="779" ht="15" customHeight="1" s="80">
      <c r="A779" s="126" t="n"/>
      <c r="B779" s="127" t="n"/>
      <c r="C779" s="127" t="n"/>
      <c r="D779" s="128" t="n"/>
      <c r="E779" s="129" t="n"/>
      <c r="F779" s="127" t="n"/>
      <c r="G779" s="124">
        <f>IF($D779=0,0,ROUND($D779*$E779,2))</f>
        <v/>
      </c>
      <c r="H779" s="125">
        <f>IF($C779="","",CONCATENATE("Belge: ",$B779,"/",$C779," ",TEXT($D779,"#,##0")))</f>
        <v/>
      </c>
    </row>
    <row r="780" ht="15" customHeight="1" s="80">
      <c r="A780" s="126" t="n"/>
      <c r="B780" s="127" t="n"/>
      <c r="C780" s="127" t="n"/>
      <c r="D780" s="128" t="n"/>
      <c r="E780" s="129" t="n"/>
      <c r="F780" s="127" t="n"/>
      <c r="G780" s="124">
        <f>IF($D780=0,0,ROUND($D780*$E780,2))</f>
        <v/>
      </c>
      <c r="H780" s="125">
        <f>IF($C780="","",CONCATENATE("Belge: ",$B780,"/",$C780," ",TEXT($D780,"#,##0")))</f>
        <v/>
      </c>
    </row>
    <row r="781" ht="15" customHeight="1" s="80">
      <c r="A781" s="126" t="n"/>
      <c r="B781" s="127" t="n"/>
      <c r="C781" s="127" t="n"/>
      <c r="D781" s="128" t="n"/>
      <c r="E781" s="129" t="n"/>
      <c r="F781" s="127" t="n"/>
      <c r="G781" s="124">
        <f>IF($D781=0,0,ROUND($D781*$E781,2))</f>
        <v/>
      </c>
      <c r="H781" s="125">
        <f>IF($C781="","",CONCATENATE("Belge: ",$B781,"/",$C781," ",TEXT($D781,"#,##0")))</f>
        <v/>
      </c>
    </row>
    <row r="782" ht="15" customHeight="1" s="80">
      <c r="A782" s="126" t="n"/>
      <c r="B782" s="127" t="n"/>
      <c r="C782" s="127" t="n"/>
      <c r="D782" s="128" t="n"/>
      <c r="E782" s="129" t="n"/>
      <c r="F782" s="127" t="n"/>
      <c r="G782" s="124">
        <f>IF($D782=0,0,ROUND($D782*$E782,2))</f>
        <v/>
      </c>
      <c r="H782" s="125">
        <f>IF($C782="","",CONCATENATE("Belge: ",$B782,"/",$C782," ",TEXT($D782,"#,##0")))</f>
        <v/>
      </c>
    </row>
    <row r="783" ht="15" customHeight="1" s="80">
      <c r="A783" s="126" t="n"/>
      <c r="B783" s="127" t="n"/>
      <c r="C783" s="127" t="n"/>
      <c r="D783" s="128" t="n"/>
      <c r="E783" s="129" t="n"/>
      <c r="F783" s="127" t="n"/>
      <c r="G783" s="124">
        <f>IF($D783=0,0,ROUND($D783*$E783,2))</f>
        <v/>
      </c>
      <c r="H783" s="125">
        <f>IF($C783="","",CONCATENATE("Belge: ",$B783,"/",$C783," ",TEXT($D783,"#,##0")))</f>
        <v/>
      </c>
    </row>
    <row r="784" ht="15" customHeight="1" s="80">
      <c r="A784" s="126" t="n"/>
      <c r="B784" s="127" t="n"/>
      <c r="C784" s="127" t="n"/>
      <c r="D784" s="128" t="n"/>
      <c r="E784" s="129" t="n"/>
      <c r="F784" s="127" t="n"/>
      <c r="G784" s="124">
        <f>IF($D784=0,0,ROUND($D784*$E784,2))</f>
        <v/>
      </c>
      <c r="H784" s="125">
        <f>IF($C784="","",CONCATENATE("Belge: ",$B784,"/",$C784," ",TEXT($D784,"#,##0")))</f>
        <v/>
      </c>
    </row>
    <row r="785" ht="15" customHeight="1" s="80">
      <c r="A785" s="126" t="n"/>
      <c r="B785" s="127" t="n"/>
      <c r="C785" s="127" t="n"/>
      <c r="D785" s="128" t="n"/>
      <c r="E785" s="129" t="n"/>
      <c r="F785" s="127" t="n"/>
      <c r="G785" s="124">
        <f>IF($D785=0,0,ROUND($D785*$E785,2))</f>
        <v/>
      </c>
      <c r="H785" s="125">
        <f>IF($C785="","",CONCATENATE("Belge: ",$B785,"/",$C785," ",TEXT($D785,"#,##0")))</f>
        <v/>
      </c>
    </row>
    <row r="786" ht="15" customHeight="1" s="80">
      <c r="A786" s="126" t="n"/>
      <c r="B786" s="127" t="n"/>
      <c r="C786" s="127" t="n"/>
      <c r="D786" s="128" t="n"/>
      <c r="E786" s="129" t="n"/>
      <c r="F786" s="127" t="n"/>
      <c r="G786" s="124">
        <f>IF($D786=0,0,ROUND($D786*$E786,2))</f>
        <v/>
      </c>
      <c r="H786" s="125">
        <f>IF($C786="","",CONCATENATE("Belge: ",$B786,"/",$C786," ",TEXT($D786,"#,##0")))</f>
        <v/>
      </c>
    </row>
    <row r="787" ht="15" customHeight="1" s="80">
      <c r="A787" s="126" t="n"/>
      <c r="B787" s="127" t="n"/>
      <c r="C787" s="127" t="n"/>
      <c r="D787" s="128" t="n"/>
      <c r="E787" s="129" t="n"/>
      <c r="F787" s="127" t="n"/>
      <c r="G787" s="124">
        <f>IF($D787=0,0,ROUND($D787*$E787,2))</f>
        <v/>
      </c>
      <c r="H787" s="125">
        <f>IF($C787="","",CONCATENATE("Belge: ",$B787,"/",$C787," ",TEXT($D787,"#,##0")))</f>
        <v/>
      </c>
    </row>
    <row r="788" ht="15" customHeight="1" s="80">
      <c r="A788" s="126" t="n"/>
      <c r="B788" s="127" t="n"/>
      <c r="C788" s="127" t="n"/>
      <c r="D788" s="128" t="n"/>
      <c r="E788" s="129" t="n"/>
      <c r="F788" s="127" t="n"/>
      <c r="G788" s="124">
        <f>IF($D788=0,0,ROUND($D788*$E788,2))</f>
        <v/>
      </c>
      <c r="H788" s="125">
        <f>IF($C788="","",CONCATENATE("Belge: ",$B788,"/",$C788," ",TEXT($D788,"#,##0")))</f>
        <v/>
      </c>
    </row>
    <row r="789" ht="15" customHeight="1" s="80">
      <c r="A789" s="126" t="n"/>
      <c r="B789" s="127" t="n"/>
      <c r="C789" s="127" t="n"/>
      <c r="D789" s="128" t="n"/>
      <c r="E789" s="129" t="n"/>
      <c r="F789" s="127" t="n"/>
      <c r="G789" s="124">
        <f>IF($D789=0,0,ROUND($D789*$E789,2))</f>
        <v/>
      </c>
      <c r="H789" s="125">
        <f>IF($C789="","",CONCATENATE("Belge: ",$B789,"/",$C789," ",TEXT($D789,"#,##0")))</f>
        <v/>
      </c>
    </row>
    <row r="790" ht="15" customHeight="1" s="80">
      <c r="A790" s="126" t="n"/>
      <c r="B790" s="127" t="n"/>
      <c r="C790" s="127" t="n"/>
      <c r="D790" s="128" t="n"/>
      <c r="E790" s="129" t="n"/>
      <c r="F790" s="127" t="n"/>
      <c r="G790" s="124">
        <f>IF($D790=0,0,ROUND($D790*$E790,2))</f>
        <v/>
      </c>
      <c r="H790" s="125">
        <f>IF($C790="","",CONCATENATE("Belge: ",$B790,"/",$C790," ",TEXT($D790,"#,##0")))</f>
        <v/>
      </c>
    </row>
    <row r="791" ht="15" customHeight="1" s="80">
      <c r="A791" s="126" t="n"/>
      <c r="B791" s="127" t="n"/>
      <c r="C791" s="127" t="n"/>
      <c r="D791" s="128" t="n"/>
      <c r="E791" s="129" t="n"/>
      <c r="F791" s="127" t="n"/>
      <c r="G791" s="124">
        <f>IF($D791=0,0,ROUND($D791*$E791,2))</f>
        <v/>
      </c>
      <c r="H791" s="125">
        <f>IF($C791="","",CONCATENATE("Belge: ",$B791,"/",$C791," ",TEXT($D791,"#,##0")))</f>
        <v/>
      </c>
    </row>
    <row r="792" ht="15" customHeight="1" s="80">
      <c r="A792" s="126" t="n"/>
      <c r="B792" s="127" t="n"/>
      <c r="C792" s="127" t="n"/>
      <c r="D792" s="128" t="n"/>
      <c r="E792" s="129" t="n"/>
      <c r="F792" s="127" t="n"/>
      <c r="G792" s="124">
        <f>IF($D792=0,0,ROUND($D792*$E792,2))</f>
        <v/>
      </c>
      <c r="H792" s="125">
        <f>IF($C792="","",CONCATENATE("Belge: ",$B792,"/",$C792," ",TEXT($D792,"#,##0")))</f>
        <v/>
      </c>
    </row>
    <row r="793" ht="15" customHeight="1" s="80">
      <c r="A793" s="126" t="n"/>
      <c r="B793" s="127" t="n"/>
      <c r="C793" s="127" t="n"/>
      <c r="D793" s="128" t="n"/>
      <c r="E793" s="129" t="n"/>
      <c r="F793" s="127" t="n"/>
      <c r="G793" s="124">
        <f>IF($D793=0,0,ROUND($D793*$E793,2))</f>
        <v/>
      </c>
      <c r="H793" s="125">
        <f>IF($C793="","",CONCATENATE("Belge: ",$B793,"/",$C793," ",TEXT($D793,"#,##0")))</f>
        <v/>
      </c>
    </row>
    <row r="794" ht="15" customHeight="1" s="80">
      <c r="A794" s="126" t="n"/>
      <c r="B794" s="127" t="n"/>
      <c r="C794" s="127" t="n"/>
      <c r="D794" s="128" t="n"/>
      <c r="E794" s="129" t="n"/>
      <c r="F794" s="127" t="n"/>
      <c r="G794" s="124">
        <f>IF($D794=0,0,ROUND($D794*$E794,2))</f>
        <v/>
      </c>
      <c r="H794" s="125">
        <f>IF($C794="","",CONCATENATE("Belge: ",$B794,"/",$C794," ",TEXT($D794,"#,##0")))</f>
        <v/>
      </c>
    </row>
    <row r="795" ht="15" customHeight="1" s="80">
      <c r="A795" s="126" t="n"/>
      <c r="B795" s="127" t="n"/>
      <c r="C795" s="127" t="n"/>
      <c r="D795" s="128" t="n"/>
      <c r="E795" s="129" t="n"/>
      <c r="F795" s="127" t="n"/>
      <c r="G795" s="124">
        <f>IF($D795=0,0,ROUND($D795*$E795,2))</f>
        <v/>
      </c>
      <c r="H795" s="125">
        <f>IF($C795="","",CONCATENATE("Belge: ",$B795,"/",$C795," ",TEXT($D795,"#,##0")))</f>
        <v/>
      </c>
    </row>
    <row r="796" ht="15" customHeight="1" s="80">
      <c r="A796" s="126" t="n"/>
      <c r="B796" s="127" t="n"/>
      <c r="C796" s="127" t="n"/>
      <c r="D796" s="128" t="n"/>
      <c r="E796" s="129" t="n"/>
      <c r="F796" s="127" t="n"/>
      <c r="G796" s="124">
        <f>IF($D796=0,0,ROUND($D796*$E796,2))</f>
        <v/>
      </c>
      <c r="H796" s="125">
        <f>IF($C796="","",CONCATENATE("Belge: ",$B796,"/",$C796," ",TEXT($D796,"#,##0")))</f>
        <v/>
      </c>
    </row>
    <row r="797" ht="15" customHeight="1" s="80">
      <c r="A797" s="126" t="n"/>
      <c r="B797" s="127" t="n"/>
      <c r="C797" s="127" t="n"/>
      <c r="D797" s="128" t="n"/>
      <c r="E797" s="129" t="n"/>
      <c r="F797" s="127" t="n"/>
      <c r="G797" s="124">
        <f>IF($D797=0,0,ROUND($D797*$E797,2))</f>
        <v/>
      </c>
      <c r="H797" s="125">
        <f>IF($C797="","",CONCATENATE("Belge: ",$B797,"/",$C797," ",TEXT($D797,"#,##0")))</f>
        <v/>
      </c>
    </row>
    <row r="798" ht="15" customHeight="1" s="80">
      <c r="A798" s="126" t="n"/>
      <c r="B798" s="127" t="n"/>
      <c r="C798" s="127" t="n"/>
      <c r="D798" s="128" t="n"/>
      <c r="E798" s="129" t="n"/>
      <c r="F798" s="127" t="n"/>
      <c r="G798" s="124">
        <f>IF($D798=0,0,ROUND($D798*$E798,2))</f>
        <v/>
      </c>
      <c r="H798" s="125">
        <f>IF($C798="","",CONCATENATE("Belge: ",$B798,"/",$C798," ",TEXT($D798,"#,##0")))</f>
        <v/>
      </c>
    </row>
    <row r="799" ht="15" customHeight="1" s="80">
      <c r="A799" s="126" t="n"/>
      <c r="B799" s="127" t="n"/>
      <c r="C799" s="127" t="n"/>
      <c r="D799" s="128" t="n"/>
      <c r="E799" s="129" t="n"/>
      <c r="F799" s="127" t="n"/>
      <c r="G799" s="124">
        <f>IF($D799=0,0,ROUND($D799*$E799,2))</f>
        <v/>
      </c>
      <c r="H799" s="125">
        <f>IF($C799="","",CONCATENATE("Belge: ",$B799,"/",$C799," ",TEXT($D799,"#,##0")))</f>
        <v/>
      </c>
    </row>
    <row r="800" ht="15" customHeight="1" s="80">
      <c r="A800" s="126" t="n"/>
      <c r="B800" s="127" t="n"/>
      <c r="C800" s="127" t="n"/>
      <c r="D800" s="128" t="n"/>
      <c r="E800" s="129" t="n"/>
      <c r="F800" s="127" t="n"/>
      <c r="G800" s="124">
        <f>IF($D800=0,0,ROUND($D800*$E800,2))</f>
        <v/>
      </c>
      <c r="H800" s="125">
        <f>IF($C800="","",CONCATENATE("Belge: ",$B800,"/",$C800," ",TEXT($D800,"#,##0")))</f>
        <v/>
      </c>
    </row>
    <row r="801" ht="15" customHeight="1" s="80">
      <c r="A801" s="126" t="n"/>
      <c r="B801" s="127" t="n"/>
      <c r="C801" s="127" t="n"/>
      <c r="D801" s="128" t="n"/>
      <c r="E801" s="129" t="n"/>
      <c r="F801" s="127" t="n"/>
      <c r="G801" s="124">
        <f>IF($D801=0,0,ROUND($D801*$E801,2))</f>
        <v/>
      </c>
      <c r="H801" s="125">
        <f>IF($C801="","",CONCATENATE("Belge: ",$B801,"/",$C801," ",TEXT($D801,"#,##0")))</f>
        <v/>
      </c>
    </row>
    <row r="802" ht="15" customHeight="1" s="80">
      <c r="A802" s="126" t="n"/>
      <c r="B802" s="127" t="n"/>
      <c r="C802" s="127" t="n"/>
      <c r="D802" s="128" t="n"/>
      <c r="E802" s="129" t="n"/>
      <c r="F802" s="127" t="n"/>
      <c r="G802" s="124">
        <f>IF($D802=0,0,ROUND($D802*$E802,2))</f>
        <v/>
      </c>
      <c r="H802" s="125">
        <f>IF($C802="","",CONCATENATE("Belge: ",$B802,"/",$C802," ",TEXT($D802,"#,##0")))</f>
        <v/>
      </c>
    </row>
    <row r="803" ht="15" customHeight="1" s="80">
      <c r="A803" s="126" t="n"/>
      <c r="B803" s="127" t="n"/>
      <c r="C803" s="127" t="n"/>
      <c r="D803" s="128" t="n"/>
      <c r="E803" s="129" t="n"/>
      <c r="F803" s="127" t="n"/>
      <c r="G803" s="124">
        <f>IF($D803=0,0,ROUND($D803*$E803,2))</f>
        <v/>
      </c>
      <c r="H803" s="125">
        <f>IF($C803="","",CONCATENATE("Belge: ",$B803,"/",$C803," ",TEXT($D803,"#,##0")))</f>
        <v/>
      </c>
    </row>
    <row r="804" ht="15" customHeight="1" s="80">
      <c r="A804" s="126" t="n"/>
      <c r="B804" s="127" t="n"/>
      <c r="C804" s="127" t="n"/>
      <c r="D804" s="128" t="n"/>
      <c r="E804" s="129" t="n"/>
      <c r="F804" s="127" t="n"/>
      <c r="G804" s="124">
        <f>IF($D804=0,0,ROUND($D804*$E804,2))</f>
        <v/>
      </c>
      <c r="H804" s="125">
        <f>IF($C804="","",CONCATENATE("Belge: ",$B804,"/",$C804," ",TEXT($D804,"#,##0")))</f>
        <v/>
      </c>
    </row>
    <row r="805" ht="15" customHeight="1" s="80">
      <c r="A805" s="126" t="n"/>
      <c r="B805" s="127" t="n"/>
      <c r="C805" s="127" t="n"/>
      <c r="D805" s="128" t="n"/>
      <c r="E805" s="129" t="n"/>
      <c r="F805" s="127" t="n"/>
      <c r="G805" s="124">
        <f>IF($D805=0,0,ROUND($D805*$E805,2))</f>
        <v/>
      </c>
      <c r="H805" s="125">
        <f>IF($C805="","",CONCATENATE("Belge: ",$B805,"/",$C805," ",TEXT($D805,"#,##0")))</f>
        <v/>
      </c>
    </row>
    <row r="806" ht="15" customHeight="1" s="80">
      <c r="A806" s="126" t="n"/>
      <c r="B806" s="127" t="n"/>
      <c r="C806" s="127" t="n"/>
      <c r="D806" s="128" t="n"/>
      <c r="E806" s="129" t="n"/>
      <c r="F806" s="127" t="n"/>
      <c r="G806" s="124">
        <f>IF($D806=0,0,ROUND($D806*$E806,2))</f>
        <v/>
      </c>
      <c r="H806" s="125">
        <f>IF($C806="","",CONCATENATE("Belge: ",$B806,"/",$C806," ",TEXT($D806,"#,##0")))</f>
        <v/>
      </c>
    </row>
    <row r="807" ht="15" customHeight="1" s="80">
      <c r="A807" s="126" t="n"/>
      <c r="B807" s="127" t="n"/>
      <c r="C807" s="127" t="n"/>
      <c r="D807" s="128" t="n"/>
      <c r="E807" s="129" t="n"/>
      <c r="F807" s="127" t="n"/>
      <c r="G807" s="124">
        <f>IF($D807=0,0,ROUND($D807*$E807,2))</f>
        <v/>
      </c>
      <c r="H807" s="125">
        <f>IF($C807="","",CONCATENATE("Belge: ",$B807,"/",$C807," ",TEXT($D807,"#,##0")))</f>
        <v/>
      </c>
    </row>
    <row r="808" ht="15" customHeight="1" s="80">
      <c r="A808" s="126" t="n"/>
      <c r="B808" s="127" t="n"/>
      <c r="C808" s="127" t="n"/>
      <c r="D808" s="128" t="n"/>
      <c r="E808" s="129" t="n"/>
      <c r="F808" s="127" t="n"/>
      <c r="G808" s="124">
        <f>IF($D808=0,0,ROUND($D808*$E808,2))</f>
        <v/>
      </c>
      <c r="H808" s="125">
        <f>IF($C808="","",CONCATENATE("Belge: ",$B808,"/",$C808," ",TEXT($D808,"#,##0")))</f>
        <v/>
      </c>
    </row>
    <row r="809" ht="15" customHeight="1" s="80">
      <c r="A809" s="126" t="n"/>
      <c r="B809" s="127" t="n"/>
      <c r="C809" s="127" t="n"/>
      <c r="D809" s="128" t="n"/>
      <c r="E809" s="129" t="n"/>
      <c r="F809" s="127" t="n"/>
      <c r="G809" s="124">
        <f>IF($D809=0,0,ROUND($D809*$E809,2))</f>
        <v/>
      </c>
      <c r="H809" s="125">
        <f>IF($C809="","",CONCATENATE("Belge: ",$B809,"/",$C809," ",TEXT($D809,"#,##0")))</f>
        <v/>
      </c>
    </row>
    <row r="810" ht="15" customHeight="1" s="80">
      <c r="A810" s="126" t="n"/>
      <c r="B810" s="127" t="n"/>
      <c r="C810" s="127" t="n"/>
      <c r="D810" s="128" t="n"/>
      <c r="E810" s="129" t="n"/>
      <c r="F810" s="127" t="n"/>
      <c r="G810" s="124">
        <f>IF($D810=0,0,ROUND($D810*$E810,2))</f>
        <v/>
      </c>
      <c r="H810" s="125">
        <f>IF($C810="","",CONCATENATE("Belge: ",$B810,"/",$C810," ",TEXT($D810,"#,##0")))</f>
        <v/>
      </c>
    </row>
    <row r="811" ht="15" customHeight="1" s="80">
      <c r="A811" s="126" t="n"/>
      <c r="B811" s="127" t="n"/>
      <c r="C811" s="127" t="n"/>
      <c r="D811" s="128" t="n"/>
      <c r="E811" s="129" t="n"/>
      <c r="F811" s="127" t="n"/>
      <c r="G811" s="124">
        <f>IF($D811=0,0,ROUND($D811*$E811,2))</f>
        <v/>
      </c>
      <c r="H811" s="125">
        <f>IF($C811="","",CONCATENATE("Belge: ",$B811,"/",$C811," ",TEXT($D811,"#,##0")))</f>
        <v/>
      </c>
    </row>
    <row r="812" ht="15" customHeight="1" s="80">
      <c r="A812" s="126" t="n"/>
      <c r="B812" s="127" t="n"/>
      <c r="C812" s="127" t="n"/>
      <c r="D812" s="128" t="n"/>
      <c r="E812" s="129" t="n"/>
      <c r="F812" s="127" t="n"/>
      <c r="G812" s="124">
        <f>IF($D812=0,0,ROUND($D812*$E812,2))</f>
        <v/>
      </c>
      <c r="H812" s="125">
        <f>IF($C812="","",CONCATENATE("Belge: ",$B812,"/",$C812," ",TEXT($D812,"#,##0")))</f>
        <v/>
      </c>
    </row>
    <row r="813" ht="15" customHeight="1" s="80">
      <c r="A813" s="126" t="n"/>
      <c r="B813" s="127" t="n"/>
      <c r="C813" s="127" t="n"/>
      <c r="D813" s="128" t="n"/>
      <c r="E813" s="129" t="n"/>
      <c r="F813" s="127" t="n"/>
      <c r="G813" s="124">
        <f>IF($D813=0,0,ROUND($D813*$E813,2))</f>
        <v/>
      </c>
      <c r="H813" s="125">
        <f>IF($C813="","",CONCATENATE("Belge: ",$B813,"/",$C813," ",TEXT($D813,"#,##0")))</f>
        <v/>
      </c>
    </row>
    <row r="814" ht="15" customHeight="1" s="80">
      <c r="A814" s="126" t="n"/>
      <c r="B814" s="127" t="n"/>
      <c r="C814" s="127" t="n"/>
      <c r="D814" s="128" t="n"/>
      <c r="E814" s="129" t="n"/>
      <c r="F814" s="127" t="n"/>
      <c r="G814" s="124">
        <f>IF($D814=0,0,ROUND($D814*$E814,2))</f>
        <v/>
      </c>
      <c r="H814" s="125">
        <f>IF($C814="","",CONCATENATE("Belge: ",$B814,"/",$C814," ",TEXT($D814,"#,##0")))</f>
        <v/>
      </c>
    </row>
    <row r="815" ht="15" customHeight="1" s="80">
      <c r="A815" s="126" t="n"/>
      <c r="B815" s="127" t="n"/>
      <c r="C815" s="127" t="n"/>
      <c r="D815" s="128" t="n"/>
      <c r="E815" s="129" t="n"/>
      <c r="F815" s="127" t="n"/>
      <c r="G815" s="124">
        <f>IF($D815=0,0,ROUND($D815*$E815,2))</f>
        <v/>
      </c>
      <c r="H815" s="125">
        <f>IF($C815="","",CONCATENATE("Belge: ",$B815,"/",$C815," ",TEXT($D815,"#,##0")))</f>
        <v/>
      </c>
    </row>
    <row r="816" ht="15" customHeight="1" s="80">
      <c r="A816" s="126" t="n"/>
      <c r="B816" s="127" t="n"/>
      <c r="C816" s="127" t="n"/>
      <c r="D816" s="128" t="n"/>
      <c r="E816" s="129" t="n"/>
      <c r="F816" s="127" t="n"/>
      <c r="G816" s="124">
        <f>IF($D816=0,0,ROUND($D816*$E816,2))</f>
        <v/>
      </c>
      <c r="H816" s="125">
        <f>IF($C816="","",CONCATENATE("Belge: ",$B816,"/",$C816," ",TEXT($D816,"#,##0")))</f>
        <v/>
      </c>
    </row>
    <row r="817" ht="15" customHeight="1" s="80">
      <c r="A817" s="126" t="n"/>
      <c r="B817" s="127" t="n"/>
      <c r="C817" s="127" t="n"/>
      <c r="D817" s="128" t="n"/>
      <c r="E817" s="129" t="n"/>
      <c r="F817" s="127" t="n"/>
      <c r="G817" s="124">
        <f>IF($D817=0,0,ROUND($D817*$E817,2))</f>
        <v/>
      </c>
      <c r="H817" s="125">
        <f>IF($C817="","",CONCATENATE("Belge: ",$B817,"/",$C817," ",TEXT($D817,"#,##0")))</f>
        <v/>
      </c>
    </row>
    <row r="818" ht="15" customHeight="1" s="80">
      <c r="A818" s="126" t="n"/>
      <c r="B818" s="127" t="n"/>
      <c r="C818" s="127" t="n"/>
      <c r="D818" s="128" t="n"/>
      <c r="E818" s="129" t="n"/>
      <c r="F818" s="127" t="n"/>
      <c r="G818" s="124">
        <f>IF($D818=0,0,ROUND($D818*$E818,2))</f>
        <v/>
      </c>
      <c r="H818" s="125">
        <f>IF($C818="","",CONCATENATE("Belge: ",$B818,"/",$C818," ",TEXT($D818,"#,##0")))</f>
        <v/>
      </c>
    </row>
    <row r="819" ht="15" customHeight="1" s="80">
      <c r="A819" s="126" t="n"/>
      <c r="B819" s="127" t="n"/>
      <c r="C819" s="127" t="n"/>
      <c r="D819" s="128" t="n"/>
      <c r="E819" s="129" t="n"/>
      <c r="F819" s="127" t="n"/>
      <c r="G819" s="124">
        <f>IF($D819=0,0,ROUND($D819*$E819,2))</f>
        <v/>
      </c>
      <c r="H819" s="125">
        <f>IF($C819="","",CONCATENATE("Belge: ",$B819,"/",$C819," ",TEXT($D819,"#,##0")))</f>
        <v/>
      </c>
    </row>
    <row r="820" ht="15" customHeight="1" s="80">
      <c r="A820" s="126" t="n"/>
      <c r="B820" s="127" t="n"/>
      <c r="C820" s="127" t="n"/>
      <c r="D820" s="128" t="n"/>
      <c r="E820" s="129" t="n"/>
      <c r="F820" s="127" t="n"/>
      <c r="G820" s="124">
        <f>IF($D820=0,0,ROUND($D820*$E820,2))</f>
        <v/>
      </c>
      <c r="H820" s="125">
        <f>IF($C820="","",CONCATENATE("Belge: ",$B820,"/",$C820," ",TEXT($D820,"#,##0")))</f>
        <v/>
      </c>
    </row>
    <row r="821" ht="15" customHeight="1" s="80">
      <c r="A821" s="126" t="n"/>
      <c r="B821" s="127" t="n"/>
      <c r="C821" s="127" t="n"/>
      <c r="D821" s="128" t="n"/>
      <c r="E821" s="129" t="n"/>
      <c r="F821" s="127" t="n"/>
      <c r="G821" s="124">
        <f>IF($D821=0,0,ROUND($D821*$E821,2))</f>
        <v/>
      </c>
      <c r="H821" s="125">
        <f>IF($C821="","",CONCATENATE("Belge: ",$B821,"/",$C821," ",TEXT($D821,"#,##0")))</f>
        <v/>
      </c>
    </row>
    <row r="822" ht="15" customHeight="1" s="80">
      <c r="A822" s="126" t="n"/>
      <c r="B822" s="127" t="n"/>
      <c r="C822" s="127" t="n"/>
      <c r="D822" s="128" t="n"/>
      <c r="E822" s="129" t="n"/>
      <c r="F822" s="127" t="n"/>
      <c r="G822" s="124">
        <f>IF($D822=0,0,ROUND($D822*$E822,2))</f>
        <v/>
      </c>
      <c r="H822" s="125">
        <f>IF($C822="","",CONCATENATE("Belge: ",$B822,"/",$C822," ",TEXT($D822,"#,##0")))</f>
        <v/>
      </c>
    </row>
    <row r="823" ht="15" customHeight="1" s="80">
      <c r="A823" s="126" t="n"/>
      <c r="B823" s="127" t="n"/>
      <c r="C823" s="127" t="n"/>
      <c r="D823" s="128" t="n"/>
      <c r="E823" s="129" t="n"/>
      <c r="F823" s="127" t="n"/>
      <c r="G823" s="124">
        <f>IF($D823=0,0,ROUND($D823*$E823,2))</f>
        <v/>
      </c>
      <c r="H823" s="125">
        <f>IF($C823="","",CONCATENATE("Belge: ",$B823,"/",$C823," ",TEXT($D823,"#,##0")))</f>
        <v/>
      </c>
    </row>
    <row r="824" ht="15" customHeight="1" s="80">
      <c r="A824" s="126" t="n"/>
      <c r="B824" s="127" t="n"/>
      <c r="C824" s="127" t="n"/>
      <c r="D824" s="128" t="n"/>
      <c r="E824" s="129" t="n"/>
      <c r="F824" s="127" t="n"/>
      <c r="G824" s="124">
        <f>IF($D824=0,0,ROUND($D824*$E824,2))</f>
        <v/>
      </c>
      <c r="H824" s="125">
        <f>IF($C824="","",CONCATENATE("Belge: ",$B824,"/",$C824," ",TEXT($D824,"#,##0")))</f>
        <v/>
      </c>
    </row>
    <row r="825" ht="15" customHeight="1" s="80">
      <c r="A825" s="126" t="n"/>
      <c r="B825" s="127" t="n"/>
      <c r="C825" s="127" t="n"/>
      <c r="D825" s="128" t="n"/>
      <c r="E825" s="129" t="n"/>
      <c r="F825" s="127" t="n"/>
      <c r="G825" s="124">
        <f>IF($D825=0,0,ROUND($D825*$E825,2))</f>
        <v/>
      </c>
      <c r="H825" s="125">
        <f>IF($C825="","",CONCATENATE("Belge: ",$B825,"/",$C825," ",TEXT($D825,"#,##0")))</f>
        <v/>
      </c>
    </row>
    <row r="826" ht="15" customHeight="1" s="80">
      <c r="A826" s="126" t="n"/>
      <c r="B826" s="127" t="n"/>
      <c r="C826" s="127" t="n"/>
      <c r="D826" s="128" t="n"/>
      <c r="E826" s="129" t="n"/>
      <c r="F826" s="127" t="n"/>
      <c r="G826" s="124">
        <f>IF($D826=0,0,ROUND($D826*$E826,2))</f>
        <v/>
      </c>
      <c r="H826" s="125">
        <f>IF($C826="","",CONCATENATE("Belge: ",$B826,"/",$C826," ",TEXT($D826,"#,##0")))</f>
        <v/>
      </c>
    </row>
    <row r="827" ht="15" customHeight="1" s="80">
      <c r="A827" s="126" t="n"/>
      <c r="B827" s="127" t="n"/>
      <c r="C827" s="127" t="n"/>
      <c r="D827" s="128" t="n"/>
      <c r="E827" s="129" t="n"/>
      <c r="F827" s="127" t="n"/>
      <c r="G827" s="124">
        <f>IF($D827=0,0,ROUND($D827*$E827,2))</f>
        <v/>
      </c>
      <c r="H827" s="125">
        <f>IF($C827="","",CONCATENATE("Belge: ",$B827,"/",$C827," ",TEXT($D827,"#,##0")))</f>
        <v/>
      </c>
    </row>
    <row r="828" ht="15" customHeight="1" s="80">
      <c r="A828" s="126" t="n"/>
      <c r="B828" s="127" t="n"/>
      <c r="C828" s="127" t="n"/>
      <c r="D828" s="128" t="n"/>
      <c r="E828" s="129" t="n"/>
      <c r="F828" s="127" t="n"/>
      <c r="G828" s="124">
        <f>IF($D828=0,0,ROUND($D828*$E828,2))</f>
        <v/>
      </c>
      <c r="H828" s="125">
        <f>IF($C828="","",CONCATENATE("Belge: ",$B828,"/",$C828," ",TEXT($D828,"#,##0")))</f>
        <v/>
      </c>
    </row>
    <row r="829" ht="15" customHeight="1" s="80">
      <c r="A829" s="126" t="n"/>
      <c r="B829" s="127" t="n"/>
      <c r="C829" s="127" t="n"/>
      <c r="D829" s="128" t="n"/>
      <c r="E829" s="129" t="n"/>
      <c r="F829" s="127" t="n"/>
      <c r="G829" s="124">
        <f>IF($D829=0,0,ROUND($D829*$E829,2))</f>
        <v/>
      </c>
      <c r="H829" s="125">
        <f>IF($C829="","",CONCATENATE("Belge: ",$B829,"/",$C829," ",TEXT($D829,"#,##0")))</f>
        <v/>
      </c>
    </row>
    <row r="830" ht="15" customHeight="1" s="80">
      <c r="A830" s="126" t="n"/>
      <c r="B830" s="127" t="n"/>
      <c r="C830" s="127" t="n"/>
      <c r="D830" s="128" t="n"/>
      <c r="E830" s="129" t="n"/>
      <c r="F830" s="127" t="n"/>
      <c r="G830" s="124">
        <f>IF($D830=0,0,ROUND($D830*$E830,2))</f>
        <v/>
      </c>
      <c r="H830" s="125">
        <f>IF($C830="","",CONCATENATE("Belge: ",$B830,"/",$C830," ",TEXT($D830,"#,##0")))</f>
        <v/>
      </c>
    </row>
    <row r="831" ht="15" customHeight="1" s="80">
      <c r="A831" s="126" t="n"/>
      <c r="B831" s="127" t="n"/>
      <c r="C831" s="127" t="n"/>
      <c r="D831" s="128" t="n"/>
      <c r="E831" s="129" t="n"/>
      <c r="F831" s="127" t="n"/>
      <c r="G831" s="124">
        <f>IF($D831=0,0,ROUND($D831*$E831,2))</f>
        <v/>
      </c>
      <c r="H831" s="125">
        <f>IF($C831="","",CONCATENATE("Belge: ",$B831,"/",$C831," ",TEXT($D831,"#,##0")))</f>
        <v/>
      </c>
    </row>
    <row r="832" ht="15" customHeight="1" s="80">
      <c r="A832" s="126" t="n"/>
      <c r="B832" s="127" t="n"/>
      <c r="C832" s="127" t="n"/>
      <c r="D832" s="128" t="n"/>
      <c r="E832" s="129" t="n"/>
      <c r="F832" s="127" t="n"/>
      <c r="G832" s="124">
        <f>IF($D832=0,0,ROUND($D832*$E832,2))</f>
        <v/>
      </c>
      <c r="H832" s="125">
        <f>IF($C832="","",CONCATENATE("Belge: ",$B832,"/",$C832," ",TEXT($D832,"#,##0")))</f>
        <v/>
      </c>
    </row>
    <row r="833" ht="15" customHeight="1" s="80">
      <c r="A833" s="126" t="n"/>
      <c r="B833" s="127" t="n"/>
      <c r="C833" s="127" t="n"/>
      <c r="D833" s="128" t="n"/>
      <c r="E833" s="129" t="n"/>
      <c r="F833" s="127" t="n"/>
      <c r="G833" s="124">
        <f>IF($D833=0,0,ROUND($D833*$E833,2))</f>
        <v/>
      </c>
      <c r="H833" s="125">
        <f>IF($C833="","",CONCATENATE("Belge: ",$B833,"/",$C833," ",TEXT($D833,"#,##0")))</f>
        <v/>
      </c>
    </row>
    <row r="834" ht="15" customHeight="1" s="80">
      <c r="A834" s="126" t="n"/>
      <c r="B834" s="127" t="n"/>
      <c r="C834" s="127" t="n"/>
      <c r="D834" s="128" t="n"/>
      <c r="E834" s="129" t="n"/>
      <c r="F834" s="127" t="n"/>
      <c r="G834" s="124">
        <f>IF($D834=0,0,ROUND($D834*$E834,2))</f>
        <v/>
      </c>
      <c r="H834" s="125">
        <f>IF($C834="","",CONCATENATE("Belge: ",$B834,"/",$C834," ",TEXT($D834,"#,##0")))</f>
        <v/>
      </c>
    </row>
    <row r="835" ht="15" customHeight="1" s="80">
      <c r="A835" s="126" t="n"/>
      <c r="B835" s="127" t="n"/>
      <c r="C835" s="127" t="n"/>
      <c r="D835" s="128" t="n"/>
      <c r="E835" s="129" t="n"/>
      <c r="F835" s="127" t="n"/>
      <c r="G835" s="124">
        <f>IF($D835=0,0,ROUND($D835*$E835,2))</f>
        <v/>
      </c>
      <c r="H835" s="125">
        <f>IF($C835="","",CONCATENATE("Belge: ",$B835,"/",$C835," ",TEXT($D835,"#,##0")))</f>
        <v/>
      </c>
    </row>
    <row r="836" ht="15" customHeight="1" s="80">
      <c r="A836" s="126" t="n"/>
      <c r="B836" s="127" t="n"/>
      <c r="C836" s="127" t="n"/>
      <c r="D836" s="128" t="n"/>
      <c r="E836" s="129" t="n"/>
      <c r="F836" s="127" t="n"/>
      <c r="G836" s="124">
        <f>IF($D836=0,0,ROUND($D836*$E836,2))</f>
        <v/>
      </c>
      <c r="H836" s="125">
        <f>IF($C836="","",CONCATENATE("Belge: ",$B836,"/",$C836," ",TEXT($D836,"#,##0")))</f>
        <v/>
      </c>
    </row>
    <row r="837" ht="15" customHeight="1" s="80">
      <c r="A837" s="126" t="n"/>
      <c r="B837" s="127" t="n"/>
      <c r="C837" s="127" t="n"/>
      <c r="D837" s="128" t="n"/>
      <c r="E837" s="129" t="n"/>
      <c r="F837" s="127" t="n"/>
      <c r="G837" s="124">
        <f>IF($D837=0,0,ROUND($D837*$E837,2))</f>
        <v/>
      </c>
      <c r="H837" s="125">
        <f>IF($C837="","",CONCATENATE("Belge: ",$B837,"/",$C837," ",TEXT($D837,"#,##0")))</f>
        <v/>
      </c>
    </row>
    <row r="838" ht="15" customHeight="1" s="80">
      <c r="A838" s="126" t="n"/>
      <c r="B838" s="127" t="n"/>
      <c r="C838" s="127" t="n"/>
      <c r="D838" s="128" t="n"/>
      <c r="E838" s="129" t="n"/>
      <c r="F838" s="127" t="n"/>
      <c r="G838" s="124">
        <f>IF($D838=0,0,ROUND($D838*$E838,2))</f>
        <v/>
      </c>
      <c r="H838" s="125">
        <f>IF($C838="","",CONCATENATE("Belge: ",$B838,"/",$C838," ",TEXT($D838,"#,##0")))</f>
        <v/>
      </c>
    </row>
    <row r="839" ht="15" customHeight="1" s="80">
      <c r="A839" s="126" t="n"/>
      <c r="B839" s="127" t="n"/>
      <c r="C839" s="127" t="n"/>
      <c r="D839" s="128" t="n"/>
      <c r="E839" s="129" t="n"/>
      <c r="F839" s="127" t="n"/>
      <c r="G839" s="124">
        <f>IF($D839=0,0,ROUND($D839*$E839,2))</f>
        <v/>
      </c>
      <c r="H839" s="125">
        <f>IF($C839="","",CONCATENATE("Belge: ",$B839,"/",$C839," ",TEXT($D839,"#,##0")))</f>
        <v/>
      </c>
    </row>
    <row r="840" ht="15" customHeight="1" s="80">
      <c r="A840" s="126" t="n"/>
      <c r="B840" s="127" t="n"/>
      <c r="C840" s="127" t="n"/>
      <c r="D840" s="128" t="n"/>
      <c r="E840" s="129" t="n"/>
      <c r="F840" s="127" t="n"/>
      <c r="G840" s="124">
        <f>IF($D840=0,0,ROUND($D840*$E840,2))</f>
        <v/>
      </c>
      <c r="H840" s="125">
        <f>IF($C840="","",CONCATENATE("Belge: ",$B840,"/",$C840," ",TEXT($D840,"#,##0")))</f>
        <v/>
      </c>
    </row>
    <row r="841" ht="15" customHeight="1" s="80">
      <c r="A841" s="126" t="n"/>
      <c r="B841" s="127" t="n"/>
      <c r="C841" s="127" t="n"/>
      <c r="D841" s="128" t="n"/>
      <c r="E841" s="129" t="n"/>
      <c r="F841" s="127" t="n"/>
      <c r="G841" s="124">
        <f>IF($D841=0,0,ROUND($D841*$E841,2))</f>
        <v/>
      </c>
      <c r="H841" s="125">
        <f>IF($C841="","",CONCATENATE("Belge: ",$B841,"/",$C841," ",TEXT($D841,"#,##0")))</f>
        <v/>
      </c>
    </row>
    <row r="842" ht="15" customHeight="1" s="80">
      <c r="A842" s="126" t="n"/>
      <c r="B842" s="127" t="n"/>
      <c r="C842" s="127" t="n"/>
      <c r="D842" s="128" t="n"/>
      <c r="E842" s="129" t="n"/>
      <c r="F842" s="127" t="n"/>
      <c r="G842" s="124">
        <f>IF($D842=0,0,ROUND($D842*$E842,2))</f>
        <v/>
      </c>
      <c r="H842" s="125">
        <f>IF($C842="","",CONCATENATE("Belge: ",$B842,"/",$C842," ",TEXT($D842,"#,##0")))</f>
        <v/>
      </c>
    </row>
    <row r="843" ht="15" customHeight="1" s="80">
      <c r="A843" s="126" t="n"/>
      <c r="B843" s="127" t="n"/>
      <c r="C843" s="127" t="n"/>
      <c r="D843" s="128" t="n"/>
      <c r="E843" s="129" t="n"/>
      <c r="F843" s="127" t="n"/>
      <c r="G843" s="124">
        <f>IF($D843=0,0,ROUND($D843*$E843,2))</f>
        <v/>
      </c>
      <c r="H843" s="125">
        <f>IF($C843="","",CONCATENATE("Belge: ",$B843,"/",$C843," ",TEXT($D843,"#,##0")))</f>
        <v/>
      </c>
    </row>
    <row r="844" ht="15" customHeight="1" s="80">
      <c r="A844" s="126" t="n"/>
      <c r="B844" s="127" t="n"/>
      <c r="C844" s="127" t="n"/>
      <c r="D844" s="128" t="n"/>
      <c r="E844" s="129" t="n"/>
      <c r="F844" s="127" t="n"/>
      <c r="G844" s="124">
        <f>IF($D844=0,0,ROUND($D844*$E844,2))</f>
        <v/>
      </c>
      <c r="H844" s="125">
        <f>IF($C844="","",CONCATENATE("Belge: ",$B844,"/",$C844," ",TEXT($D844,"#,##0")))</f>
        <v/>
      </c>
    </row>
    <row r="845" ht="15" customHeight="1" s="80">
      <c r="A845" s="126" t="n"/>
      <c r="B845" s="127" t="n"/>
      <c r="C845" s="127" t="n"/>
      <c r="D845" s="128" t="n"/>
      <c r="E845" s="129" t="n"/>
      <c r="F845" s="127" t="n"/>
      <c r="G845" s="124">
        <f>IF($D845=0,0,ROUND($D845*$E845,2))</f>
        <v/>
      </c>
      <c r="H845" s="125">
        <f>IF($C845="","",CONCATENATE("Belge: ",$B845,"/",$C845," ",TEXT($D845,"#,##0")))</f>
        <v/>
      </c>
    </row>
    <row r="846" ht="15" customHeight="1" s="80">
      <c r="A846" s="126" t="n"/>
      <c r="B846" s="127" t="n"/>
      <c r="C846" s="127" t="n"/>
      <c r="D846" s="128" t="n"/>
      <c r="E846" s="129" t="n"/>
      <c r="F846" s="127" t="n"/>
      <c r="G846" s="124">
        <f>IF($D846=0,0,ROUND($D846*$E846,2))</f>
        <v/>
      </c>
      <c r="H846" s="125">
        <f>IF($C846="","",CONCATENATE("Belge: ",$B846,"/",$C846," ",TEXT($D846,"#,##0")))</f>
        <v/>
      </c>
    </row>
    <row r="847" ht="15" customHeight="1" s="80">
      <c r="A847" s="126" t="n"/>
      <c r="B847" s="127" t="n"/>
      <c r="C847" s="127" t="n"/>
      <c r="D847" s="128" t="n"/>
      <c r="E847" s="129" t="n"/>
      <c r="F847" s="127" t="n"/>
      <c r="G847" s="124">
        <f>IF($D847=0,0,ROUND($D847*$E847,2))</f>
        <v/>
      </c>
      <c r="H847" s="125">
        <f>IF($C847="","",CONCATENATE("Belge: ",$B847,"/",$C847," ",TEXT($D847,"#,##0")))</f>
        <v/>
      </c>
    </row>
    <row r="848" ht="15" customHeight="1" s="80">
      <c r="A848" s="126" t="n"/>
      <c r="B848" s="127" t="n"/>
      <c r="C848" s="127" t="n"/>
      <c r="D848" s="128" t="n"/>
      <c r="E848" s="129" t="n"/>
      <c r="F848" s="127" t="n"/>
      <c r="G848" s="124">
        <f>IF($D848=0,0,ROUND($D848*$E848,2))</f>
        <v/>
      </c>
      <c r="H848" s="125">
        <f>IF($C848="","",CONCATENATE("Belge: ",$B848,"/",$C848," ",TEXT($D848,"#,##0")))</f>
        <v/>
      </c>
    </row>
    <row r="849" ht="15" customHeight="1" s="80">
      <c r="A849" s="126" t="n"/>
      <c r="B849" s="127" t="n"/>
      <c r="C849" s="127" t="n"/>
      <c r="D849" s="128" t="n"/>
      <c r="E849" s="129" t="n"/>
      <c r="F849" s="127" t="n"/>
      <c r="G849" s="124">
        <f>IF($D849=0,0,ROUND($D849*$E849,2))</f>
        <v/>
      </c>
      <c r="H849" s="125">
        <f>IF($C849="","",CONCATENATE("Belge: ",$B849,"/",$C849," ",TEXT($D849,"#,##0")))</f>
        <v/>
      </c>
    </row>
    <row r="850" ht="15" customHeight="1" s="80">
      <c r="A850" s="126" t="n"/>
      <c r="B850" s="127" t="n"/>
      <c r="C850" s="127" t="n"/>
      <c r="D850" s="128" t="n"/>
      <c r="E850" s="129" t="n"/>
      <c r="F850" s="127" t="n"/>
      <c r="G850" s="124">
        <f>IF($D850=0,0,ROUND($D850*$E850,2))</f>
        <v/>
      </c>
      <c r="H850" s="125">
        <f>IF($C850="","",CONCATENATE("Belge: ",$B850,"/",$C850," ",TEXT($D850,"#,##0")))</f>
        <v/>
      </c>
    </row>
    <row r="851" ht="15" customHeight="1" s="80">
      <c r="A851" s="126" t="n"/>
      <c r="B851" s="127" t="n"/>
      <c r="C851" s="127" t="n"/>
      <c r="D851" s="128" t="n"/>
      <c r="E851" s="129" t="n"/>
      <c r="F851" s="127" t="n"/>
      <c r="G851" s="124">
        <f>IF($D851=0,0,ROUND($D851*$E851,2))</f>
        <v/>
      </c>
      <c r="H851" s="125">
        <f>IF($C851="","",CONCATENATE("Belge: ",$B851,"/",$C851," ",TEXT($D851,"#,##0")))</f>
        <v/>
      </c>
    </row>
    <row r="852" ht="15" customHeight="1" s="80">
      <c r="A852" s="126" t="n"/>
      <c r="B852" s="127" t="n"/>
      <c r="C852" s="127" t="n"/>
      <c r="D852" s="128" t="n"/>
      <c r="E852" s="129" t="n"/>
      <c r="F852" s="127" t="n"/>
      <c r="G852" s="124">
        <f>IF($D852=0,0,ROUND($D852*$E852,2))</f>
        <v/>
      </c>
      <c r="H852" s="125">
        <f>IF($C852="","",CONCATENATE("Belge: ",$B852,"/",$C852," ",TEXT($D852,"#,##0")))</f>
        <v/>
      </c>
    </row>
    <row r="853" ht="15" customHeight="1" s="80">
      <c r="A853" s="126" t="n"/>
      <c r="B853" s="127" t="n"/>
      <c r="C853" s="127" t="n"/>
      <c r="D853" s="128" t="n"/>
      <c r="E853" s="129" t="n"/>
      <c r="F853" s="127" t="n"/>
      <c r="G853" s="124">
        <f>IF($D853=0,0,ROUND($D853*$E853,2))</f>
        <v/>
      </c>
      <c r="H853" s="125">
        <f>IF($C853="","",CONCATENATE("Belge: ",$B853,"/",$C853," ",TEXT($D853,"#,##0")))</f>
        <v/>
      </c>
    </row>
    <row r="854" ht="15" customHeight="1" s="80">
      <c r="A854" s="126" t="n"/>
      <c r="B854" s="127" t="n"/>
      <c r="C854" s="127" t="n"/>
      <c r="D854" s="128" t="n"/>
      <c r="E854" s="129" t="n"/>
      <c r="F854" s="127" t="n"/>
      <c r="G854" s="124">
        <f>IF($D854=0,0,ROUND($D854*$E854,2))</f>
        <v/>
      </c>
      <c r="H854" s="125">
        <f>IF($C854="","",CONCATENATE("Belge: ",$B854,"/",$C854," ",TEXT($D854,"#,##0")))</f>
        <v/>
      </c>
    </row>
    <row r="855" ht="15" customHeight="1" s="80">
      <c r="A855" s="126" t="n"/>
      <c r="B855" s="127" t="n"/>
      <c r="C855" s="127" t="n"/>
      <c r="D855" s="128" t="n"/>
      <c r="E855" s="129" t="n"/>
      <c r="F855" s="127" t="n"/>
      <c r="G855" s="124">
        <f>IF($D855=0,0,ROUND($D855*$E855,2))</f>
        <v/>
      </c>
      <c r="H855" s="125">
        <f>IF($C855="","",CONCATENATE("Belge: ",$B855,"/",$C855," ",TEXT($D855,"#,##0")))</f>
        <v/>
      </c>
    </row>
    <row r="856" ht="15" customHeight="1" s="80">
      <c r="A856" s="126" t="n"/>
      <c r="B856" s="127" t="n"/>
      <c r="C856" s="127" t="n"/>
      <c r="D856" s="128" t="n"/>
      <c r="E856" s="129" t="n"/>
      <c r="F856" s="127" t="n"/>
      <c r="G856" s="124">
        <f>IF($D856=0,0,ROUND($D856*$E856,2))</f>
        <v/>
      </c>
      <c r="H856" s="125">
        <f>IF($C856="","",CONCATENATE("Belge: ",$B856,"/",$C856," ",TEXT($D856,"#,##0")))</f>
        <v/>
      </c>
    </row>
    <row r="857" ht="15" customHeight="1" s="80">
      <c r="A857" s="126" t="n"/>
      <c r="B857" s="127" t="n"/>
      <c r="C857" s="127" t="n"/>
      <c r="D857" s="128" t="n"/>
      <c r="E857" s="129" t="n"/>
      <c r="F857" s="127" t="n"/>
      <c r="G857" s="124">
        <f>IF($D857=0,0,ROUND($D857*$E857,2))</f>
        <v/>
      </c>
      <c r="H857" s="125">
        <f>IF($C857="","",CONCATENATE("Belge: ",$B857,"/",$C857," ",TEXT($D857,"#,##0")))</f>
        <v/>
      </c>
    </row>
    <row r="858" ht="15" customHeight="1" s="80">
      <c r="A858" s="126" t="n"/>
      <c r="B858" s="127" t="n"/>
      <c r="C858" s="127" t="n"/>
      <c r="D858" s="128" t="n"/>
      <c r="E858" s="129" t="n"/>
      <c r="F858" s="127" t="n"/>
      <c r="G858" s="124">
        <f>IF($D858=0,0,ROUND($D858*$E858,2))</f>
        <v/>
      </c>
      <c r="H858" s="125">
        <f>IF($C858="","",CONCATENATE("Belge: ",$B858,"/",$C858," ",TEXT($D858,"#,##0")))</f>
        <v/>
      </c>
    </row>
    <row r="859" ht="15" customHeight="1" s="80">
      <c r="A859" s="126" t="n"/>
      <c r="B859" s="127" t="n"/>
      <c r="C859" s="127" t="n"/>
      <c r="D859" s="128" t="n"/>
      <c r="E859" s="129" t="n"/>
      <c r="F859" s="127" t="n"/>
      <c r="G859" s="124">
        <f>IF($D859=0,0,ROUND($D859*$E859,2))</f>
        <v/>
      </c>
      <c r="H859" s="125">
        <f>IF($C859="","",CONCATENATE("Belge: ",$B859,"/",$C859," ",TEXT($D859,"#,##0")))</f>
        <v/>
      </c>
    </row>
    <row r="860" ht="15" customHeight="1" s="80">
      <c r="A860" s="126" t="n"/>
      <c r="B860" s="127" t="n"/>
      <c r="C860" s="127" t="n"/>
      <c r="D860" s="128" t="n"/>
      <c r="E860" s="129" t="n"/>
      <c r="F860" s="127" t="n"/>
      <c r="G860" s="124">
        <f>IF($D860=0,0,ROUND($D860*$E860,2))</f>
        <v/>
      </c>
      <c r="H860" s="125">
        <f>IF($C860="","",CONCATENATE("Belge: ",$B860,"/",$C860," ",TEXT($D860,"#,##0")))</f>
        <v/>
      </c>
    </row>
    <row r="861" ht="15" customHeight="1" s="80">
      <c r="A861" s="126" t="n"/>
      <c r="B861" s="127" t="n"/>
      <c r="C861" s="127" t="n"/>
      <c r="D861" s="128" t="n"/>
      <c r="E861" s="129" t="n"/>
      <c r="F861" s="127" t="n"/>
      <c r="G861" s="124">
        <f>IF($D861=0,0,ROUND($D861*$E861,2))</f>
        <v/>
      </c>
      <c r="H861" s="125">
        <f>IF($C861="","",CONCATENATE("Belge: ",$B861,"/",$C861," ",TEXT($D861,"#,##0")))</f>
        <v/>
      </c>
    </row>
    <row r="862" ht="15" customHeight="1" s="80">
      <c r="A862" s="126" t="n"/>
      <c r="B862" s="127" t="n"/>
      <c r="C862" s="127" t="n"/>
      <c r="D862" s="128" t="n"/>
      <c r="E862" s="129" t="n"/>
      <c r="F862" s="127" t="n"/>
      <c r="G862" s="124">
        <f>IF($D862=0,0,ROUND($D862*$E862,2))</f>
        <v/>
      </c>
      <c r="H862" s="125">
        <f>IF($C862="","",CONCATENATE("Belge: ",$B862,"/",$C862," ",TEXT($D862,"#,##0")))</f>
        <v/>
      </c>
    </row>
    <row r="863" ht="15" customHeight="1" s="80">
      <c r="A863" s="126" t="n"/>
      <c r="B863" s="127" t="n"/>
      <c r="C863" s="127" t="n"/>
      <c r="D863" s="128" t="n"/>
      <c r="E863" s="129" t="n"/>
      <c r="F863" s="127" t="n"/>
      <c r="G863" s="124">
        <f>IF($D863=0,0,ROUND($D863*$E863,2))</f>
        <v/>
      </c>
      <c r="H863" s="125">
        <f>IF($C863="","",CONCATENATE("Belge: ",$B863,"/",$C863," ",TEXT($D863,"#,##0")))</f>
        <v/>
      </c>
    </row>
    <row r="864" ht="15" customHeight="1" s="80">
      <c r="A864" s="126" t="n"/>
      <c r="B864" s="127" t="n"/>
      <c r="C864" s="127" t="n"/>
      <c r="D864" s="128" t="n"/>
      <c r="E864" s="129" t="n"/>
      <c r="F864" s="127" t="n"/>
      <c r="G864" s="124">
        <f>IF($D864=0,0,ROUND($D864*$E864,2))</f>
        <v/>
      </c>
      <c r="H864" s="125">
        <f>IF($C864="","",CONCATENATE("Belge: ",$B864,"/",$C864," ",TEXT($D864,"#,##0")))</f>
        <v/>
      </c>
    </row>
    <row r="865" ht="15" customHeight="1" s="80">
      <c r="A865" s="126" t="n"/>
      <c r="B865" s="127" t="n"/>
      <c r="C865" s="127" t="n"/>
      <c r="D865" s="128" t="n"/>
      <c r="E865" s="129" t="n"/>
      <c r="F865" s="127" t="n"/>
      <c r="G865" s="124">
        <f>IF($D865=0,0,ROUND($D865*$E865,2))</f>
        <v/>
      </c>
      <c r="H865" s="125">
        <f>IF($C865="","",CONCATENATE("Belge: ",$B865,"/",$C865," ",TEXT($D865,"#,##0")))</f>
        <v/>
      </c>
    </row>
    <row r="866" ht="15" customHeight="1" s="80">
      <c r="A866" s="126" t="n"/>
      <c r="B866" s="127" t="n"/>
      <c r="C866" s="127" t="n"/>
      <c r="D866" s="128" t="n"/>
      <c r="E866" s="129" t="n"/>
      <c r="F866" s="127" t="n"/>
      <c r="G866" s="124">
        <f>IF($D866=0,0,ROUND($D866*$E866,2))</f>
        <v/>
      </c>
      <c r="H866" s="125">
        <f>IF($C866="","",CONCATENATE("Belge: ",$B866,"/",$C866," ",TEXT($D866,"#,##0")))</f>
        <v/>
      </c>
    </row>
    <row r="867" ht="15" customHeight="1" s="80">
      <c r="A867" s="126" t="n"/>
      <c r="B867" s="127" t="n"/>
      <c r="C867" s="127" t="n"/>
      <c r="D867" s="128" t="n"/>
      <c r="E867" s="129" t="n"/>
      <c r="F867" s="127" t="n"/>
      <c r="G867" s="124">
        <f>IF($D867=0,0,ROUND($D867*$E867,2))</f>
        <v/>
      </c>
      <c r="H867" s="125">
        <f>IF($C867="","",CONCATENATE("Belge: ",$B867,"/",$C867," ",TEXT($D867,"#,##0")))</f>
        <v/>
      </c>
    </row>
    <row r="868" ht="15" customHeight="1" s="80">
      <c r="A868" s="126" t="n"/>
      <c r="B868" s="127" t="n"/>
      <c r="C868" s="127" t="n"/>
      <c r="D868" s="128" t="n"/>
      <c r="E868" s="129" t="n"/>
      <c r="F868" s="127" t="n"/>
      <c r="G868" s="124">
        <f>IF($D868=0,0,ROUND($D868*$E868,2))</f>
        <v/>
      </c>
      <c r="H868" s="125">
        <f>IF($C868="","",CONCATENATE("Belge: ",$B868,"/",$C868," ",TEXT($D868,"#,##0")))</f>
        <v/>
      </c>
    </row>
    <row r="869" ht="15" customHeight="1" s="80">
      <c r="A869" s="126" t="n"/>
      <c r="B869" s="127" t="n"/>
      <c r="C869" s="127" t="n"/>
      <c r="D869" s="128" t="n"/>
      <c r="E869" s="129" t="n"/>
      <c r="F869" s="127" t="n"/>
      <c r="G869" s="124">
        <f>IF($D869=0,0,ROUND($D869*$E869,2))</f>
        <v/>
      </c>
      <c r="H869" s="125">
        <f>IF($C869="","",CONCATENATE("Belge: ",$B869,"/",$C869," ",TEXT($D869,"#,##0")))</f>
        <v/>
      </c>
    </row>
    <row r="870" ht="15" customHeight="1" s="80">
      <c r="A870" s="126" t="n"/>
      <c r="B870" s="127" t="n"/>
      <c r="C870" s="127" t="n"/>
      <c r="D870" s="128" t="n"/>
      <c r="E870" s="129" t="n"/>
      <c r="F870" s="127" t="n"/>
      <c r="G870" s="124">
        <f>IF($D870=0,0,ROUND($D870*$E870,2))</f>
        <v/>
      </c>
      <c r="H870" s="125">
        <f>IF($C870="","",CONCATENATE("Belge: ",$B870,"/",$C870," ",TEXT($D870,"#,##0")))</f>
        <v/>
      </c>
    </row>
    <row r="871" ht="15" customHeight="1" s="80">
      <c r="A871" s="126" t="n"/>
      <c r="B871" s="127" t="n"/>
      <c r="C871" s="127" t="n"/>
      <c r="D871" s="128" t="n"/>
      <c r="E871" s="129" t="n"/>
      <c r="F871" s="127" t="n"/>
      <c r="G871" s="124">
        <f>IF($D871=0,0,ROUND($D871*$E871,2))</f>
        <v/>
      </c>
      <c r="H871" s="125">
        <f>IF($C871="","",CONCATENATE("Belge: ",$B871,"/",$C871," ",TEXT($D871,"#,##0")))</f>
        <v/>
      </c>
    </row>
    <row r="872" ht="15" customHeight="1" s="80">
      <c r="A872" s="126" t="n"/>
      <c r="B872" s="127" t="n"/>
      <c r="C872" s="127" t="n"/>
      <c r="D872" s="128" t="n"/>
      <c r="E872" s="129" t="n"/>
      <c r="F872" s="127" t="n"/>
      <c r="G872" s="124">
        <f>IF($D872=0,0,ROUND($D872*$E872,2))</f>
        <v/>
      </c>
      <c r="H872" s="125">
        <f>IF($C872="","",CONCATENATE("Belge: ",$B872,"/",$C872," ",TEXT($D872,"#,##0")))</f>
        <v/>
      </c>
    </row>
    <row r="873" ht="15" customHeight="1" s="80">
      <c r="A873" s="126" t="n"/>
      <c r="B873" s="127" t="n"/>
      <c r="C873" s="127" t="n"/>
      <c r="D873" s="128" t="n"/>
      <c r="E873" s="129" t="n"/>
      <c r="F873" s="127" t="n"/>
      <c r="G873" s="124">
        <f>IF($D873=0,0,ROUND($D873*$E873,2))</f>
        <v/>
      </c>
      <c r="H873" s="125">
        <f>IF($C873="","",CONCATENATE("Belge: ",$B873,"/",$C873," ",TEXT($D873,"#,##0")))</f>
        <v/>
      </c>
    </row>
    <row r="874" ht="15" customHeight="1" s="80">
      <c r="A874" s="126" t="n"/>
      <c r="B874" s="127" t="n"/>
      <c r="C874" s="127" t="n"/>
      <c r="D874" s="128" t="n"/>
      <c r="E874" s="129" t="n"/>
      <c r="F874" s="127" t="n"/>
      <c r="G874" s="124">
        <f>IF($D874=0,0,ROUND($D874*$E874,2))</f>
        <v/>
      </c>
      <c r="H874" s="125">
        <f>IF($C874="","",CONCATENATE("Belge: ",$B874,"/",$C874," ",TEXT($D874,"#,##0")))</f>
        <v/>
      </c>
    </row>
    <row r="875" ht="15" customHeight="1" s="80">
      <c r="A875" s="126" t="n"/>
      <c r="B875" s="127" t="n"/>
      <c r="C875" s="127" t="n"/>
      <c r="D875" s="128" t="n"/>
      <c r="E875" s="129" t="n"/>
      <c r="F875" s="127" t="n"/>
      <c r="G875" s="124">
        <f>IF($D875=0,0,ROUND($D875*$E875,2))</f>
        <v/>
      </c>
      <c r="H875" s="125">
        <f>IF($C875="","",CONCATENATE("Belge: ",$B875,"/",$C875," ",TEXT($D875,"#,##0")))</f>
        <v/>
      </c>
    </row>
    <row r="876" ht="15" customHeight="1" s="80">
      <c r="A876" s="126" t="n"/>
      <c r="B876" s="127" t="n"/>
      <c r="C876" s="127" t="n"/>
      <c r="D876" s="128" t="n"/>
      <c r="E876" s="129" t="n"/>
      <c r="F876" s="127" t="n"/>
      <c r="G876" s="124">
        <f>IF($D876=0,0,ROUND($D876*$E876,2))</f>
        <v/>
      </c>
      <c r="H876" s="125">
        <f>IF($C876="","",CONCATENATE("Belge: ",$B876,"/",$C876," ",TEXT($D876,"#,##0")))</f>
        <v/>
      </c>
    </row>
    <row r="877" ht="15" customHeight="1" s="80">
      <c r="A877" s="126" t="n"/>
      <c r="B877" s="127" t="n"/>
      <c r="C877" s="127" t="n"/>
      <c r="D877" s="128" t="n"/>
      <c r="E877" s="129" t="n"/>
      <c r="F877" s="127" t="n"/>
      <c r="G877" s="124">
        <f>IF($D877=0,0,ROUND($D877*$E877,2))</f>
        <v/>
      </c>
      <c r="H877" s="125">
        <f>IF($C877="","",CONCATENATE("Belge: ",$B877,"/",$C877," ",TEXT($D877,"#,##0")))</f>
        <v/>
      </c>
    </row>
    <row r="878" ht="15" customHeight="1" s="80">
      <c r="A878" s="126" t="n"/>
      <c r="B878" s="127" t="n"/>
      <c r="C878" s="127" t="n"/>
      <c r="D878" s="128" t="n"/>
      <c r="E878" s="129" t="n"/>
      <c r="F878" s="127" t="n"/>
      <c r="G878" s="124">
        <f>IF($D878=0,0,ROUND($D878*$E878,2))</f>
        <v/>
      </c>
      <c r="H878" s="125">
        <f>IF($C878="","",CONCATENATE("Belge: ",$B878,"/",$C878," ",TEXT($D878,"#,##0")))</f>
        <v/>
      </c>
    </row>
    <row r="879" ht="15" customHeight="1" s="80">
      <c r="A879" s="126" t="n"/>
      <c r="B879" s="127" t="n"/>
      <c r="C879" s="127" t="n"/>
      <c r="D879" s="128" t="n"/>
      <c r="E879" s="129" t="n"/>
      <c r="F879" s="127" t="n"/>
      <c r="G879" s="124">
        <f>IF($D879=0,0,ROUND($D879*$E879,2))</f>
        <v/>
      </c>
      <c r="H879" s="125">
        <f>IF($C879="","",CONCATENATE("Belge: ",$B879,"/",$C879," ",TEXT($D879,"#,##0")))</f>
        <v/>
      </c>
    </row>
    <row r="880" ht="15" customHeight="1" s="80">
      <c r="A880" s="126" t="n"/>
      <c r="B880" s="127" t="n"/>
      <c r="C880" s="127" t="n"/>
      <c r="D880" s="128" t="n"/>
      <c r="E880" s="129" t="n"/>
      <c r="F880" s="127" t="n"/>
      <c r="G880" s="124">
        <f>IF($D880=0,0,ROUND($D880*$E880,2))</f>
        <v/>
      </c>
      <c r="H880" s="125">
        <f>IF($C880="","",CONCATENATE("Belge: ",$B880,"/",$C880," ",TEXT($D880,"#,##0")))</f>
        <v/>
      </c>
    </row>
    <row r="881" ht="15" customHeight="1" s="80">
      <c r="A881" s="126" t="n"/>
      <c r="B881" s="127" t="n"/>
      <c r="C881" s="127" t="n"/>
      <c r="D881" s="128" t="n"/>
      <c r="E881" s="129" t="n"/>
      <c r="F881" s="127" t="n"/>
      <c r="G881" s="124">
        <f>IF($D881=0,0,ROUND($D881*$E881,2))</f>
        <v/>
      </c>
      <c r="H881" s="125">
        <f>IF($C881="","",CONCATENATE("Belge: ",$B881,"/",$C881," ",TEXT($D881,"#,##0")))</f>
        <v/>
      </c>
    </row>
    <row r="882" ht="15" customHeight="1" s="80">
      <c r="A882" s="126" t="n"/>
      <c r="B882" s="127" t="n"/>
      <c r="C882" s="127" t="n"/>
      <c r="D882" s="128" t="n"/>
      <c r="E882" s="129" t="n"/>
      <c r="F882" s="127" t="n"/>
      <c r="G882" s="124">
        <f>IF($D882=0,0,ROUND($D882*$E882,2))</f>
        <v/>
      </c>
      <c r="H882" s="125">
        <f>IF($C882="","",CONCATENATE("Belge: ",$B882,"/",$C882," ",TEXT($D882,"#,##0")))</f>
        <v/>
      </c>
    </row>
    <row r="883" ht="15" customHeight="1" s="80">
      <c r="A883" s="126" t="n"/>
      <c r="B883" s="127" t="n"/>
      <c r="C883" s="127" t="n"/>
      <c r="D883" s="128" t="n"/>
      <c r="E883" s="129" t="n"/>
      <c r="F883" s="127" t="n"/>
      <c r="G883" s="124">
        <f>IF($D883=0,0,ROUND($D883*$E883,2))</f>
        <v/>
      </c>
      <c r="H883" s="125">
        <f>IF($C883="","",CONCATENATE("Belge: ",$B883,"/",$C883," ",TEXT($D883,"#,##0")))</f>
        <v/>
      </c>
    </row>
    <row r="884" ht="15" customHeight="1" s="80">
      <c r="A884" s="126" t="n"/>
      <c r="B884" s="127" t="n"/>
      <c r="C884" s="127" t="n"/>
      <c r="D884" s="128" t="n"/>
      <c r="E884" s="129" t="n"/>
      <c r="F884" s="127" t="n"/>
      <c r="G884" s="124">
        <f>IF($D884=0,0,ROUND($D884*$E884,2))</f>
        <v/>
      </c>
      <c r="H884" s="125">
        <f>IF($C884="","",CONCATENATE("Belge: ",$B884,"/",$C884," ",TEXT($D884,"#,##0")))</f>
        <v/>
      </c>
    </row>
    <row r="885" ht="15" customHeight="1" s="80">
      <c r="A885" s="126" t="n"/>
      <c r="B885" s="127" t="n"/>
      <c r="C885" s="127" t="n"/>
      <c r="D885" s="128" t="n"/>
      <c r="E885" s="129" t="n"/>
      <c r="F885" s="127" t="n"/>
      <c r="G885" s="124">
        <f>IF($D885=0,0,ROUND($D885*$E885,2))</f>
        <v/>
      </c>
      <c r="H885" s="125">
        <f>IF($C885="","",CONCATENATE("Belge: ",$B885,"/",$C885," ",TEXT($D885,"#,##0")))</f>
        <v/>
      </c>
    </row>
    <row r="886" ht="15" customHeight="1" s="80">
      <c r="A886" s="126" t="n"/>
      <c r="B886" s="127" t="n"/>
      <c r="C886" s="127" t="n"/>
      <c r="D886" s="128" t="n"/>
      <c r="E886" s="129" t="n"/>
      <c r="F886" s="127" t="n"/>
      <c r="G886" s="124">
        <f>IF($D886=0,0,ROUND($D886*$E886,2))</f>
        <v/>
      </c>
      <c r="H886" s="125">
        <f>IF($C886="","",CONCATENATE("Belge: ",$B886,"/",$C886," ",TEXT($D886,"#,##0")))</f>
        <v/>
      </c>
    </row>
    <row r="887" ht="15" customHeight="1" s="80">
      <c r="A887" s="126" t="n"/>
      <c r="B887" s="127" t="n"/>
      <c r="C887" s="127" t="n"/>
      <c r="D887" s="128" t="n"/>
      <c r="E887" s="129" t="n"/>
      <c r="F887" s="127" t="n"/>
      <c r="G887" s="124">
        <f>IF($D887=0,0,ROUND($D887*$E887,2))</f>
        <v/>
      </c>
      <c r="H887" s="125">
        <f>IF($C887="","",CONCATENATE("Belge: ",$B887,"/",$C887," ",TEXT($D887,"#,##0")))</f>
        <v/>
      </c>
    </row>
    <row r="888" ht="15" customHeight="1" s="80">
      <c r="A888" s="126" t="n"/>
      <c r="B888" s="127" t="n"/>
      <c r="C888" s="127" t="n"/>
      <c r="D888" s="128" t="n"/>
      <c r="E888" s="129" t="n"/>
      <c r="F888" s="127" t="n"/>
      <c r="G888" s="124">
        <f>IF($D888=0,0,ROUND($D888*$E888,2))</f>
        <v/>
      </c>
      <c r="H888" s="125">
        <f>IF($C888="","",CONCATENATE("Belge: ",$B888,"/",$C888," ",TEXT($D888,"#,##0")))</f>
        <v/>
      </c>
    </row>
    <row r="889" ht="15" customHeight="1" s="80">
      <c r="A889" s="126" t="n"/>
      <c r="B889" s="127" t="n"/>
      <c r="C889" s="127" t="n"/>
      <c r="D889" s="128" t="n"/>
      <c r="E889" s="129" t="n"/>
      <c r="F889" s="127" t="n"/>
      <c r="G889" s="124">
        <f>IF($D889=0,0,ROUND($D889*$E889,2))</f>
        <v/>
      </c>
      <c r="H889" s="125">
        <f>IF($C889="","",CONCATENATE("Belge: ",$B889,"/",$C889," ",TEXT($D889,"#,##0")))</f>
        <v/>
      </c>
    </row>
    <row r="890" ht="15" customHeight="1" s="80">
      <c r="A890" s="126" t="n"/>
      <c r="B890" s="127" t="n"/>
      <c r="C890" s="127" t="n"/>
      <c r="D890" s="128" t="n"/>
      <c r="E890" s="129" t="n"/>
      <c r="F890" s="127" t="n"/>
      <c r="G890" s="124">
        <f>IF($D890=0,0,ROUND($D890*$E890,2))</f>
        <v/>
      </c>
      <c r="H890" s="125">
        <f>IF($C890="","",CONCATENATE("Belge: ",$B890,"/",$C890," ",TEXT($D890,"#,##0")))</f>
        <v/>
      </c>
    </row>
    <row r="891" ht="15" customHeight="1" s="80">
      <c r="A891" s="126" t="n"/>
      <c r="B891" s="127" t="n"/>
      <c r="C891" s="127" t="n"/>
      <c r="D891" s="128" t="n"/>
      <c r="E891" s="129" t="n"/>
      <c r="F891" s="127" t="n"/>
      <c r="G891" s="124">
        <f>IF($D891=0,0,ROUND($D891*$E891,2))</f>
        <v/>
      </c>
      <c r="H891" s="125">
        <f>IF($C891="","",CONCATENATE("Belge: ",$B891,"/",$C891," ",TEXT($D891,"#,##0")))</f>
        <v/>
      </c>
    </row>
    <row r="892" ht="15" customHeight="1" s="80">
      <c r="A892" s="126" t="n"/>
      <c r="B892" s="127" t="n"/>
      <c r="C892" s="127" t="n"/>
      <c r="D892" s="128" t="n"/>
      <c r="E892" s="129" t="n"/>
      <c r="F892" s="127" t="n"/>
      <c r="G892" s="124">
        <f>IF($D892=0,0,ROUND($D892*$E892,2))</f>
        <v/>
      </c>
      <c r="H892" s="125">
        <f>IF($C892="","",CONCATENATE("Belge: ",$B892,"/",$C892," ",TEXT($D892,"#,##0")))</f>
        <v/>
      </c>
    </row>
    <row r="893" ht="15" customHeight="1" s="80">
      <c r="A893" s="126" t="n"/>
      <c r="B893" s="127" t="n"/>
      <c r="C893" s="127" t="n"/>
      <c r="D893" s="128" t="n"/>
      <c r="E893" s="129" t="n"/>
      <c r="F893" s="127" t="n"/>
      <c r="G893" s="124">
        <f>IF($D893=0,0,ROUND($D893*$E893,2))</f>
        <v/>
      </c>
      <c r="H893" s="125">
        <f>IF($C893="","",CONCATENATE("Belge: ",$B893,"/",$C893," ",TEXT($D893,"#,##0")))</f>
        <v/>
      </c>
    </row>
    <row r="894" ht="15" customHeight="1" s="80">
      <c r="A894" s="126" t="n"/>
      <c r="B894" s="127" t="n"/>
      <c r="C894" s="127" t="n"/>
      <c r="D894" s="128" t="n"/>
      <c r="E894" s="129" t="n"/>
      <c r="F894" s="127" t="n"/>
      <c r="G894" s="124">
        <f>IF($D894=0,0,ROUND($D894*$E894,2))</f>
        <v/>
      </c>
      <c r="H894" s="125">
        <f>IF($C894="","",CONCATENATE("Belge: ",$B894,"/",$C894," ",TEXT($D894,"#,##0")))</f>
        <v/>
      </c>
    </row>
    <row r="895" ht="15" customHeight="1" s="80">
      <c r="A895" s="126" t="n"/>
      <c r="B895" s="127" t="n"/>
      <c r="C895" s="127" t="n"/>
      <c r="D895" s="128" t="n"/>
      <c r="E895" s="129" t="n"/>
      <c r="F895" s="127" t="n"/>
      <c r="G895" s="124">
        <f>IF($D895=0,0,ROUND($D895*$E895,2))</f>
        <v/>
      </c>
      <c r="H895" s="125">
        <f>IF($C895="","",CONCATENATE("Belge: ",$B895,"/",$C895," ",TEXT($D895,"#,##0")))</f>
        <v/>
      </c>
    </row>
    <row r="896" ht="15" customHeight="1" s="80">
      <c r="A896" s="126" t="n"/>
      <c r="B896" s="127" t="n"/>
      <c r="C896" s="127" t="n"/>
      <c r="D896" s="128" t="n"/>
      <c r="E896" s="129" t="n"/>
      <c r="F896" s="127" t="n"/>
      <c r="G896" s="124">
        <f>IF($D896=0,0,ROUND($D896*$E896,2))</f>
        <v/>
      </c>
      <c r="H896" s="125">
        <f>IF($C896="","",CONCATENATE("Belge: ",$B896,"/",$C896," ",TEXT($D896,"#,##0")))</f>
        <v/>
      </c>
    </row>
    <row r="897" ht="15" customHeight="1" s="80">
      <c r="A897" s="126" t="n"/>
      <c r="B897" s="127" t="n"/>
      <c r="C897" s="127" t="n"/>
      <c r="D897" s="128" t="n"/>
      <c r="E897" s="129" t="n"/>
      <c r="F897" s="127" t="n"/>
      <c r="G897" s="124">
        <f>IF($D897=0,0,ROUND($D897*$E897,2))</f>
        <v/>
      </c>
      <c r="H897" s="125">
        <f>IF($C897="","",CONCATENATE("Belge: ",$B897,"/",$C897," ",TEXT($D897,"#,##0")))</f>
        <v/>
      </c>
    </row>
    <row r="898" ht="15" customHeight="1" s="80">
      <c r="A898" s="126" t="n"/>
      <c r="B898" s="127" t="n"/>
      <c r="C898" s="127" t="n"/>
      <c r="D898" s="128" t="n"/>
      <c r="E898" s="129" t="n"/>
      <c r="F898" s="127" t="n"/>
      <c r="G898" s="124">
        <f>IF($D898=0,0,ROUND($D898*$E898,2))</f>
        <v/>
      </c>
      <c r="H898" s="125">
        <f>IF($C898="","",CONCATENATE("Belge: ",$B898,"/",$C898," ",TEXT($D898,"#,##0")))</f>
        <v/>
      </c>
    </row>
    <row r="899" ht="15" customHeight="1" s="80">
      <c r="A899" s="126" t="n"/>
      <c r="B899" s="127" t="n"/>
      <c r="C899" s="127" t="n"/>
      <c r="D899" s="128" t="n"/>
      <c r="E899" s="129" t="n"/>
      <c r="F899" s="127" t="n"/>
      <c r="G899" s="124">
        <f>IF($D899=0,0,ROUND($D899*$E899,2))</f>
        <v/>
      </c>
      <c r="H899" s="125">
        <f>IF($C899="","",CONCATENATE("Belge: ",$B899,"/",$C899," ",TEXT($D899,"#,##0")))</f>
        <v/>
      </c>
    </row>
    <row r="900" ht="15" customHeight="1" s="80">
      <c r="A900" s="126" t="n"/>
      <c r="B900" s="127" t="n"/>
      <c r="C900" s="127" t="n"/>
      <c r="D900" s="128" t="n"/>
      <c r="E900" s="129" t="n"/>
      <c r="F900" s="127" t="n"/>
      <c r="G900" s="124">
        <f>IF($D900=0,0,ROUND($D900*$E900,2))</f>
        <v/>
      </c>
      <c r="H900" s="125">
        <f>IF($C900="","",CONCATENATE("Belge: ",$B900,"/",$C900," ",TEXT($D900,"#,##0")))</f>
        <v/>
      </c>
    </row>
    <row r="901" ht="15" customHeight="1" s="80">
      <c r="A901" s="126" t="n"/>
      <c r="B901" s="127" t="n"/>
      <c r="C901" s="127" t="n"/>
      <c r="D901" s="128" t="n"/>
      <c r="E901" s="129" t="n"/>
      <c r="F901" s="127" t="n"/>
      <c r="G901" s="124">
        <f>IF($D901=0,0,ROUND($D901*$E901,2))</f>
        <v/>
      </c>
      <c r="H901" s="125">
        <f>IF($C901="","",CONCATENATE("Belge: ",$B901,"/",$C901," ",TEXT($D901,"#,##0")))</f>
        <v/>
      </c>
    </row>
    <row r="902" ht="15" customHeight="1" s="80">
      <c r="A902" s="126" t="n"/>
      <c r="B902" s="127" t="n"/>
      <c r="C902" s="127" t="n"/>
      <c r="D902" s="128" t="n"/>
      <c r="E902" s="129" t="n"/>
      <c r="F902" s="127" t="n"/>
      <c r="G902" s="124">
        <f>IF($D902=0,0,ROUND($D902*$E902,2))</f>
        <v/>
      </c>
      <c r="H902" s="125">
        <f>IF($C902="","",CONCATENATE("Belge: ",$B902,"/",$C902," ",TEXT($D902,"#,##0")))</f>
        <v/>
      </c>
    </row>
    <row r="903" ht="15" customHeight="1" s="80">
      <c r="A903" s="126" t="n"/>
      <c r="B903" s="127" t="n"/>
      <c r="C903" s="127" t="n"/>
      <c r="D903" s="128" t="n"/>
      <c r="E903" s="129" t="n"/>
      <c r="F903" s="127" t="n"/>
      <c r="G903" s="124">
        <f>IF($D903=0,0,ROUND($D903*$E903,2))</f>
        <v/>
      </c>
      <c r="H903" s="125">
        <f>IF($C903="","",CONCATENATE("Belge: ",$B903,"/",$C903," ",TEXT($D903,"#,##0")))</f>
        <v/>
      </c>
    </row>
    <row r="904" ht="15" customHeight="1" s="80">
      <c r="A904" s="126" t="n"/>
      <c r="B904" s="127" t="n"/>
      <c r="C904" s="127" t="n"/>
      <c r="D904" s="128" t="n"/>
      <c r="E904" s="129" t="n"/>
      <c r="F904" s="127" t="n"/>
      <c r="G904" s="124">
        <f>IF($D904=0,0,ROUND($D904*$E904,2))</f>
        <v/>
      </c>
      <c r="H904" s="125">
        <f>IF($C904="","",CONCATENATE("Belge: ",$B904,"/",$C904," ",TEXT($D904,"#,##0")))</f>
        <v/>
      </c>
    </row>
    <row r="905" ht="15" customHeight="1" s="80">
      <c r="A905" s="126" t="n"/>
      <c r="B905" s="127" t="n"/>
      <c r="C905" s="127" t="n"/>
      <c r="D905" s="128" t="n"/>
      <c r="E905" s="129" t="n"/>
      <c r="F905" s="127" t="n"/>
      <c r="G905" s="124">
        <f>IF($D905=0,0,ROUND($D905*$E905,2))</f>
        <v/>
      </c>
      <c r="H905" s="125">
        <f>IF($C905="","",CONCATENATE("Belge: ",$B905,"/",$C905," ",TEXT($D905,"#,##0")))</f>
        <v/>
      </c>
    </row>
    <row r="906" ht="15" customHeight="1" s="80">
      <c r="A906" s="126" t="n"/>
      <c r="B906" s="127" t="n"/>
      <c r="C906" s="127" t="n"/>
      <c r="D906" s="128" t="n"/>
      <c r="E906" s="129" t="n"/>
      <c r="F906" s="127" t="n"/>
      <c r="G906" s="124">
        <f>IF($D906=0,0,ROUND($D906*$E906,2))</f>
        <v/>
      </c>
      <c r="H906" s="125">
        <f>IF($C906="","",CONCATENATE("Belge: ",$B906,"/",$C906," ",TEXT($D906,"#,##0")))</f>
        <v/>
      </c>
    </row>
    <row r="907" ht="15" customHeight="1" s="80">
      <c r="A907" s="126" t="n"/>
      <c r="B907" s="127" t="n"/>
      <c r="C907" s="127" t="n"/>
      <c r="D907" s="128" t="n"/>
      <c r="E907" s="129" t="n"/>
      <c r="F907" s="127" t="n"/>
      <c r="G907" s="124">
        <f>IF($D907=0,0,ROUND($D907*$E907,2))</f>
        <v/>
      </c>
      <c r="H907" s="125">
        <f>IF($C907="","",CONCATENATE("Belge: ",$B907,"/",$C907," ",TEXT($D907,"#,##0")))</f>
        <v/>
      </c>
    </row>
    <row r="908" ht="15" customHeight="1" s="80">
      <c r="A908" s="126" t="n"/>
      <c r="B908" s="127" t="n"/>
      <c r="C908" s="127" t="n"/>
      <c r="D908" s="128" t="n"/>
      <c r="E908" s="129" t="n"/>
      <c r="F908" s="127" t="n"/>
      <c r="G908" s="124">
        <f>IF($D908=0,0,ROUND($D908*$E908,2))</f>
        <v/>
      </c>
      <c r="H908" s="125">
        <f>IF($C908="","",CONCATENATE("Belge: ",$B908,"/",$C908," ",TEXT($D908,"#,##0")))</f>
        <v/>
      </c>
    </row>
    <row r="909" ht="15" customHeight="1" s="80">
      <c r="A909" s="126" t="n"/>
      <c r="B909" s="127" t="n"/>
      <c r="C909" s="127" t="n"/>
      <c r="D909" s="128" t="n"/>
      <c r="E909" s="129" t="n"/>
      <c r="F909" s="127" t="n"/>
      <c r="G909" s="124">
        <f>IF($D909=0,0,ROUND($D909*$E909,2))</f>
        <v/>
      </c>
      <c r="H909" s="125">
        <f>IF($C909="","",CONCATENATE("Belge: ",$B909,"/",$C909," ",TEXT($D909,"#,##0")))</f>
        <v/>
      </c>
    </row>
    <row r="910" ht="15" customHeight="1" s="80">
      <c r="A910" s="126" t="n"/>
      <c r="B910" s="127" t="n"/>
      <c r="C910" s="127" t="n"/>
      <c r="D910" s="128" t="n"/>
      <c r="E910" s="129" t="n"/>
      <c r="F910" s="127" t="n"/>
      <c r="G910" s="124">
        <f>IF($D910=0,0,ROUND($D910*$E910,2))</f>
        <v/>
      </c>
      <c r="H910" s="125">
        <f>IF($C910="","",CONCATENATE("Belge: ",$B910,"/",$C910," ",TEXT($D910,"#,##0")))</f>
        <v/>
      </c>
    </row>
    <row r="911" ht="15" customHeight="1" s="80">
      <c r="A911" s="126" t="n"/>
      <c r="B911" s="127" t="n"/>
      <c r="C911" s="127" t="n"/>
      <c r="D911" s="128" t="n"/>
      <c r="E911" s="129" t="n"/>
      <c r="F911" s="127" t="n"/>
      <c r="G911" s="124">
        <f>IF($D911=0,0,ROUND($D911*$E911,2))</f>
        <v/>
      </c>
      <c r="H911" s="125">
        <f>IF($C911="","",CONCATENATE("Belge: ",$B911,"/",$C911," ",TEXT($D911,"#,##0")))</f>
        <v/>
      </c>
    </row>
    <row r="912" ht="15" customHeight="1" s="80">
      <c r="A912" s="126" t="n"/>
      <c r="B912" s="127" t="n"/>
      <c r="C912" s="127" t="n"/>
      <c r="D912" s="128" t="n"/>
      <c r="E912" s="129" t="n"/>
      <c r="F912" s="127" t="n"/>
      <c r="G912" s="124">
        <f>IF($D912=0,0,ROUND($D912*$E912,2))</f>
        <v/>
      </c>
      <c r="H912" s="125">
        <f>IF($C912="","",CONCATENATE("Belge: ",$B912,"/",$C912," ",TEXT($D912,"#,##0")))</f>
        <v/>
      </c>
    </row>
    <row r="913" ht="15" customHeight="1" s="80">
      <c r="A913" s="126" t="n"/>
      <c r="B913" s="127" t="n"/>
      <c r="C913" s="127" t="n"/>
      <c r="D913" s="128" t="n"/>
      <c r="E913" s="129" t="n"/>
      <c r="F913" s="127" t="n"/>
      <c r="G913" s="124">
        <f>IF($D913=0,0,ROUND($D913*$E913,2))</f>
        <v/>
      </c>
      <c r="H913" s="125">
        <f>IF($C913="","",CONCATENATE("Belge: ",$B913,"/",$C913," ",TEXT($D913,"#,##0")))</f>
        <v/>
      </c>
    </row>
    <row r="914" ht="15" customHeight="1" s="80">
      <c r="A914" s="126" t="n"/>
      <c r="B914" s="127" t="n"/>
      <c r="C914" s="127" t="n"/>
      <c r="D914" s="128" t="n"/>
      <c r="E914" s="129" t="n"/>
      <c r="F914" s="127" t="n"/>
      <c r="G914" s="124">
        <f>IF($D914=0,0,ROUND($D914*$E914,2))</f>
        <v/>
      </c>
      <c r="H914" s="125">
        <f>IF($C914="","",CONCATENATE("Belge: ",$B914,"/",$C914," ",TEXT($D914,"#,##0")))</f>
        <v/>
      </c>
    </row>
    <row r="915" ht="15" customHeight="1" s="80">
      <c r="A915" s="126" t="n"/>
      <c r="B915" s="127" t="n"/>
      <c r="C915" s="127" t="n"/>
      <c r="D915" s="128" t="n"/>
      <c r="E915" s="129" t="n"/>
      <c r="F915" s="127" t="n"/>
      <c r="G915" s="124">
        <f>IF($D915=0,0,ROUND($D915*$E915,2))</f>
        <v/>
      </c>
      <c r="H915" s="125">
        <f>IF($C915="","",CONCATENATE("Belge: ",$B915,"/",$C915," ",TEXT($D915,"#,##0")))</f>
        <v/>
      </c>
    </row>
    <row r="916" ht="15" customHeight="1" s="80">
      <c r="A916" s="126" t="n"/>
      <c r="B916" s="127" t="n"/>
      <c r="C916" s="127" t="n"/>
      <c r="D916" s="128" t="n"/>
      <c r="E916" s="129" t="n"/>
      <c r="F916" s="127" t="n"/>
      <c r="G916" s="124">
        <f>IF($D916=0,0,ROUND($D916*$E916,2))</f>
        <v/>
      </c>
      <c r="H916" s="125">
        <f>IF($C916="","",CONCATENATE("Belge: ",$B916,"/",$C916," ",TEXT($D916,"#,##0")))</f>
        <v/>
      </c>
    </row>
    <row r="917" ht="15" customHeight="1" s="80">
      <c r="A917" s="126" t="n"/>
      <c r="B917" s="127" t="n"/>
      <c r="C917" s="127" t="n"/>
      <c r="D917" s="128" t="n"/>
      <c r="E917" s="129" t="n"/>
      <c r="F917" s="127" t="n"/>
      <c r="G917" s="124">
        <f>IF($D917=0,0,ROUND($D917*$E917,2))</f>
        <v/>
      </c>
      <c r="H917" s="125">
        <f>IF($C917="","",CONCATENATE("Belge: ",$B917,"/",$C917," ",TEXT($D917,"#,##0")))</f>
        <v/>
      </c>
    </row>
    <row r="918" ht="15" customHeight="1" s="80">
      <c r="A918" s="126" t="n"/>
      <c r="B918" s="127" t="n"/>
      <c r="C918" s="127" t="n"/>
      <c r="D918" s="128" t="n"/>
      <c r="E918" s="129" t="n"/>
      <c r="F918" s="127" t="n"/>
      <c r="G918" s="124">
        <f>IF($D918=0,0,ROUND($D918*$E918,2))</f>
        <v/>
      </c>
      <c r="H918" s="125">
        <f>IF($C918="","",CONCATENATE("Belge: ",$B918,"/",$C918," ",TEXT($D918,"#,##0")))</f>
        <v/>
      </c>
    </row>
    <row r="919" ht="15" customHeight="1" s="80">
      <c r="A919" s="126" t="n"/>
      <c r="B919" s="127" t="n"/>
      <c r="C919" s="127" t="n"/>
      <c r="D919" s="128" t="n"/>
      <c r="E919" s="129" t="n"/>
      <c r="F919" s="127" t="n"/>
      <c r="G919" s="124">
        <f>IF($D919=0,0,ROUND($D919*$E919,2))</f>
        <v/>
      </c>
      <c r="H919" s="125">
        <f>IF($C919="","",CONCATENATE("Belge: ",$B919,"/",$C919," ",TEXT($D919,"#,##0")))</f>
        <v/>
      </c>
    </row>
    <row r="920" ht="15" customHeight="1" s="80">
      <c r="A920" s="126" t="n"/>
      <c r="B920" s="127" t="n"/>
      <c r="C920" s="127" t="n"/>
      <c r="D920" s="128" t="n"/>
      <c r="E920" s="129" t="n"/>
      <c r="F920" s="127" t="n"/>
      <c r="G920" s="124">
        <f>IF($D920=0,0,ROUND($D920*$E920,2))</f>
        <v/>
      </c>
      <c r="H920" s="125">
        <f>IF($C920="","",CONCATENATE("Belge: ",$B920,"/",$C920," ",TEXT($D920,"#,##0")))</f>
        <v/>
      </c>
    </row>
    <row r="921" ht="15" customHeight="1" s="80">
      <c r="A921" s="126" t="n"/>
      <c r="B921" s="127" t="n"/>
      <c r="C921" s="127" t="n"/>
      <c r="D921" s="128" t="n"/>
      <c r="E921" s="129" t="n"/>
      <c r="F921" s="127" t="n"/>
      <c r="G921" s="124">
        <f>IF($D921=0,0,ROUND($D921*$E921,2))</f>
        <v/>
      </c>
      <c r="H921" s="125">
        <f>IF($C921="","",CONCATENATE("Belge: ",$B921,"/",$C921," ",TEXT($D921,"#,##0")))</f>
        <v/>
      </c>
    </row>
    <row r="922" ht="15" customHeight="1" s="80">
      <c r="A922" s="126" t="n"/>
      <c r="B922" s="127" t="n"/>
      <c r="C922" s="127" t="n"/>
      <c r="D922" s="128" t="n"/>
      <c r="E922" s="129" t="n"/>
      <c r="F922" s="127" t="n"/>
      <c r="G922" s="124">
        <f>IF($D922=0,0,ROUND($D922*$E922,2))</f>
        <v/>
      </c>
      <c r="H922" s="125">
        <f>IF($C922="","",CONCATENATE("Belge: ",$B922,"/",$C922," ",TEXT($D922,"#,##0")))</f>
        <v/>
      </c>
    </row>
    <row r="923" ht="15" customHeight="1" s="80">
      <c r="A923" s="126" t="n"/>
      <c r="B923" s="127" t="n"/>
      <c r="C923" s="127" t="n"/>
      <c r="D923" s="128" t="n"/>
      <c r="E923" s="129" t="n"/>
      <c r="F923" s="127" t="n"/>
      <c r="G923" s="124">
        <f>IF($D923=0,0,ROUND($D923*$E923,2))</f>
        <v/>
      </c>
      <c r="H923" s="125">
        <f>IF($C923="","",CONCATENATE("Belge: ",$B923,"/",$C923," ",TEXT($D923,"#,##0")))</f>
        <v/>
      </c>
    </row>
    <row r="924" ht="15" customHeight="1" s="80">
      <c r="A924" s="126" t="n"/>
      <c r="B924" s="127" t="n"/>
      <c r="C924" s="127" t="n"/>
      <c r="D924" s="128" t="n"/>
      <c r="E924" s="129" t="n"/>
      <c r="F924" s="127" t="n"/>
      <c r="G924" s="124">
        <f>IF($D924=0,0,ROUND($D924*$E924,2))</f>
        <v/>
      </c>
      <c r="H924" s="125">
        <f>IF($C924="","",CONCATENATE("Belge: ",$B924,"/",$C924," ",TEXT($D924,"#,##0")))</f>
        <v/>
      </c>
    </row>
    <row r="925" ht="15" customHeight="1" s="80">
      <c r="A925" s="126" t="n"/>
      <c r="B925" s="127" t="n"/>
      <c r="C925" s="127" t="n"/>
      <c r="D925" s="128" t="n"/>
      <c r="E925" s="129" t="n"/>
      <c r="F925" s="127" t="n"/>
      <c r="G925" s="124">
        <f>IF($D925=0,0,ROUND($D925*$E925,2))</f>
        <v/>
      </c>
      <c r="H925" s="125">
        <f>IF($C925="","",CONCATENATE("Belge: ",$B925,"/",$C925," ",TEXT($D925,"#,##0")))</f>
        <v/>
      </c>
    </row>
    <row r="926" ht="15" customHeight="1" s="80">
      <c r="A926" s="126" t="n"/>
      <c r="B926" s="127" t="n"/>
      <c r="C926" s="127" t="n"/>
      <c r="D926" s="128" t="n"/>
      <c r="E926" s="129" t="n"/>
      <c r="F926" s="127" t="n"/>
      <c r="G926" s="124">
        <f>IF($D926=0,0,ROUND($D926*$E926,2))</f>
        <v/>
      </c>
      <c r="H926" s="125">
        <f>IF($C926="","",CONCATENATE("Belge: ",$B926,"/",$C926," ",TEXT($D926,"#,##0")))</f>
        <v/>
      </c>
    </row>
    <row r="927" ht="15" customHeight="1" s="80">
      <c r="A927" s="126" t="n"/>
      <c r="B927" s="127" t="n"/>
      <c r="C927" s="127" t="n"/>
      <c r="D927" s="128" t="n"/>
      <c r="E927" s="129" t="n"/>
      <c r="F927" s="127" t="n"/>
      <c r="G927" s="124">
        <f>IF($D927=0,0,ROUND($D927*$E927,2))</f>
        <v/>
      </c>
      <c r="H927" s="125">
        <f>IF($C927="","",CONCATENATE("Belge: ",$B927,"/",$C927," ",TEXT($D927,"#,##0")))</f>
        <v/>
      </c>
    </row>
    <row r="928" ht="15" customHeight="1" s="80">
      <c r="A928" s="126" t="n"/>
      <c r="B928" s="127" t="n"/>
      <c r="C928" s="127" t="n"/>
      <c r="D928" s="128" t="n"/>
      <c r="E928" s="129" t="n"/>
      <c r="F928" s="127" t="n"/>
      <c r="G928" s="124">
        <f>IF($D928=0,0,ROUND($D928*$E928,2))</f>
        <v/>
      </c>
      <c r="H928" s="125">
        <f>IF($C928="","",CONCATENATE("Belge: ",$B928,"/",$C928," ",TEXT($D928,"#,##0")))</f>
        <v/>
      </c>
    </row>
    <row r="929" ht="15" customHeight="1" s="80">
      <c r="A929" s="126" t="n"/>
      <c r="B929" s="127" t="n"/>
      <c r="C929" s="127" t="n"/>
      <c r="D929" s="128" t="n"/>
      <c r="E929" s="129" t="n"/>
      <c r="F929" s="127" t="n"/>
      <c r="G929" s="124">
        <f>IF($D929=0,0,ROUND($D929*$E929,2))</f>
        <v/>
      </c>
      <c r="H929" s="125">
        <f>IF($C929="","",CONCATENATE("Belge: ",$B929,"/",$C929," ",TEXT($D929,"#,##0")))</f>
        <v/>
      </c>
    </row>
    <row r="930" ht="15" customHeight="1" s="80">
      <c r="A930" s="126" t="n"/>
      <c r="B930" s="127" t="n"/>
      <c r="C930" s="127" t="n"/>
      <c r="D930" s="128" t="n"/>
      <c r="E930" s="129" t="n"/>
      <c r="F930" s="127" t="n"/>
      <c r="G930" s="124">
        <f>IF($D930=0,0,ROUND($D930*$E930,2))</f>
        <v/>
      </c>
      <c r="H930" s="125">
        <f>IF($C930="","",CONCATENATE("Belge: ",$B930,"/",$C930," ",TEXT($D930,"#,##0")))</f>
        <v/>
      </c>
    </row>
    <row r="931" ht="15" customHeight="1" s="80">
      <c r="A931" s="126" t="n"/>
      <c r="B931" s="127" t="n"/>
      <c r="C931" s="127" t="n"/>
      <c r="D931" s="128" t="n"/>
      <c r="E931" s="129" t="n"/>
      <c r="F931" s="127" t="n"/>
      <c r="G931" s="124">
        <f>IF($D931=0,0,ROUND($D931*$E931,2))</f>
        <v/>
      </c>
      <c r="H931" s="125">
        <f>IF($C931="","",CONCATENATE("Belge: ",$B931,"/",$C931," ",TEXT($D931,"#,##0")))</f>
        <v/>
      </c>
    </row>
    <row r="932" ht="15" customHeight="1" s="80">
      <c r="A932" s="126" t="n"/>
      <c r="B932" s="127" t="n"/>
      <c r="C932" s="127" t="n"/>
      <c r="D932" s="128" t="n"/>
      <c r="E932" s="129" t="n"/>
      <c r="F932" s="127" t="n"/>
      <c r="G932" s="124">
        <f>IF($D932=0,0,ROUND($D932*$E932,2))</f>
        <v/>
      </c>
      <c r="H932" s="125">
        <f>IF($C932="","",CONCATENATE("Belge: ",$B932,"/",$C932," ",TEXT($D932,"#,##0")))</f>
        <v/>
      </c>
    </row>
    <row r="933" ht="15" customHeight="1" s="80">
      <c r="A933" s="126" t="n"/>
      <c r="B933" s="127" t="n"/>
      <c r="C933" s="127" t="n"/>
      <c r="D933" s="128" t="n"/>
      <c r="E933" s="129" t="n"/>
      <c r="F933" s="127" t="n"/>
      <c r="G933" s="124">
        <f>IF($D933=0,0,ROUND($D933*$E933,2))</f>
        <v/>
      </c>
      <c r="H933" s="125">
        <f>IF($C933="","",CONCATENATE("Belge: ",$B933,"/",$C933," ",TEXT($D933,"#,##0")))</f>
        <v/>
      </c>
    </row>
    <row r="934" ht="15" customHeight="1" s="80">
      <c r="A934" s="126" t="n"/>
      <c r="B934" s="127" t="n"/>
      <c r="C934" s="127" t="n"/>
      <c r="D934" s="128" t="n"/>
      <c r="E934" s="129" t="n"/>
      <c r="F934" s="127" t="n"/>
      <c r="G934" s="124">
        <f>IF($D934=0,0,ROUND($D934*$E934,2))</f>
        <v/>
      </c>
      <c r="H934" s="125">
        <f>IF($C934="","",CONCATENATE("Belge: ",$B934,"/",$C934," ",TEXT($D934,"#,##0")))</f>
        <v/>
      </c>
    </row>
    <row r="935" ht="15" customHeight="1" s="80">
      <c r="A935" s="126" t="n"/>
      <c r="B935" s="127" t="n"/>
      <c r="C935" s="127" t="n"/>
      <c r="D935" s="128" t="n"/>
      <c r="E935" s="129" t="n"/>
      <c r="F935" s="127" t="n"/>
      <c r="G935" s="124">
        <f>IF($D935=0,0,ROUND($D935*$E935,2))</f>
        <v/>
      </c>
      <c r="H935" s="125">
        <f>IF($C935="","",CONCATENATE("Belge: ",$B935,"/",$C935," ",TEXT($D935,"#,##0")))</f>
        <v/>
      </c>
    </row>
    <row r="936" ht="15" customHeight="1" s="80">
      <c r="A936" s="126" t="n"/>
      <c r="B936" s="127" t="n"/>
      <c r="C936" s="127" t="n"/>
      <c r="D936" s="128" t="n"/>
      <c r="E936" s="129" t="n"/>
      <c r="F936" s="127" t="n"/>
      <c r="G936" s="124">
        <f>IF($D936=0,0,ROUND($D936*$E936,2))</f>
        <v/>
      </c>
      <c r="H936" s="125">
        <f>IF($C936="","",CONCATENATE("Belge: ",$B936,"/",$C936," ",TEXT($D936,"#,##0")))</f>
        <v/>
      </c>
    </row>
    <row r="937" ht="15" customHeight="1" s="80">
      <c r="A937" s="126" t="n"/>
      <c r="B937" s="127" t="n"/>
      <c r="C937" s="127" t="n"/>
      <c r="D937" s="128" t="n"/>
      <c r="E937" s="129" t="n"/>
      <c r="F937" s="127" t="n"/>
      <c r="G937" s="124">
        <f>IF($D937=0,0,ROUND($D937*$E937,2))</f>
        <v/>
      </c>
      <c r="H937" s="125">
        <f>IF($C937="","",CONCATENATE("Belge: ",$B937,"/",$C937," ",TEXT($D937,"#,##0")))</f>
        <v/>
      </c>
    </row>
    <row r="938" ht="15" customHeight="1" s="80">
      <c r="A938" s="126" t="n"/>
      <c r="B938" s="127" t="n"/>
      <c r="C938" s="127" t="n"/>
      <c r="D938" s="128" t="n"/>
      <c r="E938" s="129" t="n"/>
      <c r="F938" s="127" t="n"/>
      <c r="G938" s="124">
        <f>IF($D938=0,0,ROUND($D938*$E938,2))</f>
        <v/>
      </c>
      <c r="H938" s="125">
        <f>IF($C938="","",CONCATENATE("Belge: ",$B938,"/",$C938," ",TEXT($D938,"#,##0")))</f>
        <v/>
      </c>
    </row>
    <row r="939" ht="15" customHeight="1" s="80">
      <c r="A939" s="126" t="n"/>
      <c r="B939" s="127" t="n"/>
      <c r="C939" s="127" t="n"/>
      <c r="D939" s="128" t="n"/>
      <c r="E939" s="129" t="n"/>
      <c r="F939" s="127" t="n"/>
      <c r="G939" s="124">
        <f>IF($D939=0,0,ROUND($D939*$E939,2))</f>
        <v/>
      </c>
      <c r="H939" s="125">
        <f>IF($C939="","",CONCATENATE("Belge: ",$B939,"/",$C939," ",TEXT($D939,"#,##0")))</f>
        <v/>
      </c>
    </row>
    <row r="940" ht="15" customHeight="1" s="80">
      <c r="A940" s="126" t="n"/>
      <c r="B940" s="127" t="n"/>
      <c r="C940" s="127" t="n"/>
      <c r="D940" s="128" t="n"/>
      <c r="E940" s="129" t="n"/>
      <c r="F940" s="127" t="n"/>
      <c r="G940" s="124">
        <f>IF($D940=0,0,ROUND($D940*$E940,2))</f>
        <v/>
      </c>
      <c r="H940" s="125">
        <f>IF($C940="","",CONCATENATE("Belge: ",$B940,"/",$C940," ",TEXT($D940,"#,##0")))</f>
        <v/>
      </c>
    </row>
    <row r="941" ht="15" customHeight="1" s="80">
      <c r="A941" s="126" t="n"/>
      <c r="B941" s="127" t="n"/>
      <c r="C941" s="127" t="n"/>
      <c r="D941" s="128" t="n"/>
      <c r="E941" s="129" t="n"/>
      <c r="F941" s="127" t="n"/>
      <c r="G941" s="124">
        <f>IF($D941=0,0,ROUND($D941*$E941,2))</f>
        <v/>
      </c>
      <c r="H941" s="125">
        <f>IF($C941="","",CONCATENATE("Belge: ",$B941,"/",$C941," ",TEXT($D941,"#,##0")))</f>
        <v/>
      </c>
    </row>
    <row r="942" ht="15" customHeight="1" s="80">
      <c r="A942" s="126" t="n"/>
      <c r="B942" s="127" t="n"/>
      <c r="C942" s="127" t="n"/>
      <c r="D942" s="128" t="n"/>
      <c r="E942" s="129" t="n"/>
      <c r="F942" s="127" t="n"/>
      <c r="G942" s="124">
        <f>IF($D942=0,0,ROUND($D942*$E942,2))</f>
        <v/>
      </c>
      <c r="H942" s="125">
        <f>IF($C942="","",CONCATENATE("Belge: ",$B942,"/",$C942," ",TEXT($D942,"#,##0")))</f>
        <v/>
      </c>
    </row>
    <row r="943" ht="15" customHeight="1" s="80">
      <c r="A943" s="126" t="n"/>
      <c r="B943" s="127" t="n"/>
      <c r="C943" s="127" t="n"/>
      <c r="D943" s="128" t="n"/>
      <c r="E943" s="129" t="n"/>
      <c r="F943" s="127" t="n"/>
      <c r="G943" s="124">
        <f>IF($D943=0,0,ROUND($D943*$E943,2))</f>
        <v/>
      </c>
      <c r="H943" s="125">
        <f>IF($C943="","",CONCATENATE("Belge: ",$B943,"/",$C943," ",TEXT($D943,"#,##0")))</f>
        <v/>
      </c>
    </row>
    <row r="944" ht="15" customHeight="1" s="80">
      <c r="A944" s="126" t="n"/>
      <c r="B944" s="127" t="n"/>
      <c r="C944" s="127" t="n"/>
      <c r="D944" s="128" t="n"/>
      <c r="E944" s="129" t="n"/>
      <c r="F944" s="127" t="n"/>
      <c r="G944" s="124">
        <f>IF($D944=0,0,ROUND($D944*$E944,2))</f>
        <v/>
      </c>
      <c r="H944" s="125">
        <f>IF($C944="","",CONCATENATE("Belge: ",$B944,"/",$C944," ",TEXT($D944,"#,##0")))</f>
        <v/>
      </c>
    </row>
    <row r="945" ht="15" customHeight="1" s="80">
      <c r="A945" s="126" t="n"/>
      <c r="B945" s="127" t="n"/>
      <c r="C945" s="127" t="n"/>
      <c r="D945" s="128" t="n"/>
      <c r="E945" s="129" t="n"/>
      <c r="F945" s="127" t="n"/>
      <c r="G945" s="124">
        <f>IF($D945=0,0,ROUND($D945*$E945,2))</f>
        <v/>
      </c>
      <c r="H945" s="125">
        <f>IF($C945="","",CONCATENATE("Belge: ",$B945,"/",$C945," ",TEXT($D945,"#,##0")))</f>
        <v/>
      </c>
    </row>
    <row r="946" ht="15" customHeight="1" s="80">
      <c r="A946" s="126" t="n"/>
      <c r="B946" s="127" t="n"/>
      <c r="C946" s="127" t="n"/>
      <c r="D946" s="128" t="n"/>
      <c r="E946" s="129" t="n"/>
      <c r="F946" s="127" t="n"/>
      <c r="G946" s="124">
        <f>IF($D946=0,0,ROUND($D946*$E946,2))</f>
        <v/>
      </c>
      <c r="H946" s="125">
        <f>IF($C946="","",CONCATENATE("Belge: ",$B946,"/",$C946," ",TEXT($D946,"#,##0")))</f>
        <v/>
      </c>
    </row>
    <row r="947" ht="15" customHeight="1" s="80">
      <c r="A947" s="126" t="n"/>
      <c r="B947" s="127" t="n"/>
      <c r="C947" s="127" t="n"/>
      <c r="D947" s="128" t="n"/>
      <c r="E947" s="129" t="n"/>
      <c r="F947" s="127" t="n"/>
      <c r="G947" s="124">
        <f>IF($D947=0,0,ROUND($D947*$E947,2))</f>
        <v/>
      </c>
      <c r="H947" s="125">
        <f>IF($C947="","",CONCATENATE("Belge: ",$B947,"/",$C947," ",TEXT($D947,"#,##0")))</f>
        <v/>
      </c>
    </row>
    <row r="948" ht="15" customHeight="1" s="80">
      <c r="A948" s="126" t="n"/>
      <c r="B948" s="127" t="n"/>
      <c r="C948" s="127" t="n"/>
      <c r="D948" s="128" t="n"/>
      <c r="E948" s="129" t="n"/>
      <c r="F948" s="127" t="n"/>
      <c r="G948" s="124">
        <f>IF($D948=0,0,ROUND($D948*$E948,2))</f>
        <v/>
      </c>
      <c r="H948" s="125">
        <f>IF($C948="","",CONCATENATE("Belge: ",$B948,"/",$C948," ",TEXT($D948,"#,##0")))</f>
        <v/>
      </c>
    </row>
    <row r="949" ht="15" customHeight="1" s="80">
      <c r="A949" s="126" t="n"/>
      <c r="B949" s="127" t="n"/>
      <c r="C949" s="127" t="n"/>
      <c r="D949" s="128" t="n"/>
      <c r="E949" s="129" t="n"/>
      <c r="F949" s="127" t="n"/>
      <c r="G949" s="124">
        <f>IF($D949=0,0,ROUND($D949*$E949,2))</f>
        <v/>
      </c>
      <c r="H949" s="125">
        <f>IF($C949="","",CONCATENATE("Belge: ",$B949,"/",$C949," ",TEXT($D949,"#,##0")))</f>
        <v/>
      </c>
    </row>
    <row r="950" ht="15" customHeight="1" s="80">
      <c r="A950" s="126" t="n"/>
      <c r="B950" s="127" t="n"/>
      <c r="C950" s="127" t="n"/>
      <c r="D950" s="128" t="n"/>
      <c r="E950" s="129" t="n"/>
      <c r="F950" s="127" t="n"/>
      <c r="G950" s="124">
        <f>IF($D950=0,0,ROUND($D950*$E950,2))</f>
        <v/>
      </c>
      <c r="H950" s="125">
        <f>IF($C950="","",CONCATENATE("Belge: ",$B950,"/",$C950," ",TEXT($D950,"#,##0")))</f>
        <v/>
      </c>
    </row>
    <row r="951" ht="15" customHeight="1" s="80">
      <c r="A951" s="126" t="n"/>
      <c r="B951" s="127" t="n"/>
      <c r="C951" s="127" t="n"/>
      <c r="D951" s="128" t="n"/>
      <c r="E951" s="129" t="n"/>
      <c r="F951" s="127" t="n"/>
      <c r="G951" s="124">
        <f>IF($D951=0,0,ROUND($D951*$E951,2))</f>
        <v/>
      </c>
      <c r="H951" s="125">
        <f>IF($C951="","",CONCATENATE("Belge: ",$B951,"/",$C951," ",TEXT($D951,"#,##0")))</f>
        <v/>
      </c>
    </row>
    <row r="952" ht="15" customHeight="1" s="80">
      <c r="A952" s="126" t="n"/>
      <c r="B952" s="127" t="n"/>
      <c r="C952" s="127" t="n"/>
      <c r="D952" s="128" t="n"/>
      <c r="E952" s="129" t="n"/>
      <c r="F952" s="127" t="n"/>
      <c r="G952" s="124">
        <f>IF($D952=0,0,ROUND($D952*$E952,2))</f>
        <v/>
      </c>
      <c r="H952" s="125">
        <f>IF($C952="","",CONCATENATE("Belge: ",$B952,"/",$C952," ",TEXT($D952,"#,##0")))</f>
        <v/>
      </c>
    </row>
    <row r="953" ht="15" customHeight="1" s="80">
      <c r="A953" s="126" t="n"/>
      <c r="B953" s="127" t="n"/>
      <c r="C953" s="127" t="n"/>
      <c r="D953" s="128" t="n"/>
      <c r="E953" s="129" t="n"/>
      <c r="F953" s="127" t="n"/>
      <c r="G953" s="124">
        <f>IF($D953=0,0,ROUND($D953*$E953,2))</f>
        <v/>
      </c>
      <c r="H953" s="125">
        <f>IF($C953="","",CONCATENATE("Belge: ",$B953,"/",$C953," ",TEXT($D953,"#,##0")))</f>
        <v/>
      </c>
    </row>
    <row r="954" ht="15" customHeight="1" s="80">
      <c r="A954" s="126" t="n"/>
      <c r="B954" s="127" t="n"/>
      <c r="C954" s="127" t="n"/>
      <c r="D954" s="128" t="n"/>
      <c r="E954" s="129" t="n"/>
      <c r="F954" s="127" t="n"/>
      <c r="G954" s="124">
        <f>IF($D954=0,0,ROUND($D954*$E954,2))</f>
        <v/>
      </c>
      <c r="H954" s="125">
        <f>IF($C954="","",CONCATENATE("Belge: ",$B954,"/",$C954," ",TEXT($D954,"#,##0")))</f>
        <v/>
      </c>
    </row>
    <row r="955" ht="15" customHeight="1" s="80">
      <c r="A955" s="126" t="n"/>
      <c r="B955" s="127" t="n"/>
      <c r="C955" s="127" t="n"/>
      <c r="D955" s="128" t="n"/>
      <c r="E955" s="129" t="n"/>
      <c r="F955" s="127" t="n"/>
      <c r="G955" s="124">
        <f>IF($D955=0,0,ROUND($D955*$E955,2))</f>
        <v/>
      </c>
      <c r="H955" s="125">
        <f>IF($C955="","",CONCATENATE("Belge: ",$B955,"/",$C955," ",TEXT($D955,"#,##0")))</f>
        <v/>
      </c>
    </row>
    <row r="956" ht="15" customHeight="1" s="80">
      <c r="A956" s="126" t="n"/>
      <c r="B956" s="127" t="n"/>
      <c r="C956" s="127" t="n"/>
      <c r="D956" s="128" t="n"/>
      <c r="E956" s="129" t="n"/>
      <c r="F956" s="127" t="n"/>
      <c r="G956" s="124">
        <f>IF($D956=0,0,ROUND($D956*$E956,2))</f>
        <v/>
      </c>
      <c r="H956" s="125">
        <f>IF($C956="","",CONCATENATE("Belge: ",$B956,"/",$C956," ",TEXT($D956,"#,##0")))</f>
        <v/>
      </c>
    </row>
    <row r="957" ht="15" customHeight="1" s="80">
      <c r="A957" s="126" t="n"/>
      <c r="B957" s="127" t="n"/>
      <c r="C957" s="127" t="n"/>
      <c r="D957" s="128" t="n"/>
      <c r="E957" s="129" t="n"/>
      <c r="F957" s="127" t="n"/>
      <c r="G957" s="124">
        <f>IF($D957=0,0,ROUND($D957*$E957,2))</f>
        <v/>
      </c>
      <c r="H957" s="125">
        <f>IF($C957="","",CONCATENATE("Belge: ",$B957,"/",$C957," ",TEXT($D957,"#,##0")))</f>
        <v/>
      </c>
    </row>
    <row r="958" ht="15" customHeight="1" s="80">
      <c r="A958" s="126" t="n"/>
      <c r="B958" s="127" t="n"/>
      <c r="C958" s="127" t="n"/>
      <c r="D958" s="128" t="n"/>
      <c r="E958" s="129" t="n"/>
      <c r="F958" s="127" t="n"/>
      <c r="G958" s="124">
        <f>IF($D958=0,0,ROUND($D958*$E958,2))</f>
        <v/>
      </c>
      <c r="H958" s="125">
        <f>IF($C958="","",CONCATENATE("Belge: ",$B958,"/",$C958," ",TEXT($D958,"#,##0")))</f>
        <v/>
      </c>
    </row>
    <row r="959" ht="15" customHeight="1" s="80">
      <c r="A959" s="126" t="n"/>
      <c r="B959" s="127" t="n"/>
      <c r="C959" s="127" t="n"/>
      <c r="D959" s="128" t="n"/>
      <c r="E959" s="129" t="n"/>
      <c r="F959" s="127" t="n"/>
      <c r="G959" s="124">
        <f>IF($D959=0,0,ROUND($D959*$E959,2))</f>
        <v/>
      </c>
      <c r="H959" s="125">
        <f>IF($C959="","",CONCATENATE("Belge: ",$B959,"/",$C959," ",TEXT($D959,"#,##0")))</f>
        <v/>
      </c>
    </row>
    <row r="960" ht="15" customHeight="1" s="80">
      <c r="A960" s="126" t="n"/>
      <c r="B960" s="127" t="n"/>
      <c r="C960" s="127" t="n"/>
      <c r="D960" s="128" t="n"/>
      <c r="E960" s="129" t="n"/>
      <c r="F960" s="127" t="n"/>
      <c r="G960" s="124">
        <f>IF($D960=0,0,ROUND($D960*$E960,2))</f>
        <v/>
      </c>
      <c r="H960" s="125">
        <f>IF($C960="","",CONCATENATE("Belge: ",$B960,"/",$C960," ",TEXT($D960,"#,##0")))</f>
        <v/>
      </c>
    </row>
    <row r="961" ht="15" customHeight="1" s="80">
      <c r="A961" s="126" t="n"/>
      <c r="B961" s="127" t="n"/>
      <c r="C961" s="127" t="n"/>
      <c r="D961" s="128" t="n"/>
      <c r="E961" s="129" t="n"/>
      <c r="F961" s="127" t="n"/>
      <c r="G961" s="124">
        <f>IF($D961=0,0,ROUND($D961*$E961,2))</f>
        <v/>
      </c>
      <c r="H961" s="125">
        <f>IF($C961="","",CONCATENATE("Belge: ",$B961,"/",$C961," ",TEXT($D961,"#,##0")))</f>
        <v/>
      </c>
    </row>
    <row r="962" ht="15" customHeight="1" s="80">
      <c r="A962" s="126" t="n"/>
      <c r="B962" s="127" t="n"/>
      <c r="C962" s="127" t="n"/>
      <c r="D962" s="128" t="n"/>
      <c r="E962" s="129" t="n"/>
      <c r="F962" s="127" t="n"/>
      <c r="G962" s="124">
        <f>IF($D962=0,0,ROUND($D962*$E962,2))</f>
        <v/>
      </c>
      <c r="H962" s="125">
        <f>IF($C962="","",CONCATENATE("Belge: ",$B962,"/",$C962," ",TEXT($D962,"#,##0")))</f>
        <v/>
      </c>
    </row>
    <row r="963" ht="15" customHeight="1" s="80">
      <c r="A963" s="126" t="n"/>
      <c r="B963" s="127" t="n"/>
      <c r="C963" s="127" t="n"/>
      <c r="D963" s="128" t="n"/>
      <c r="E963" s="129" t="n"/>
      <c r="F963" s="127" t="n"/>
      <c r="G963" s="124">
        <f>IF($D963=0,0,ROUND($D963*$E963,2))</f>
        <v/>
      </c>
      <c r="H963" s="125">
        <f>IF($C963="","",CONCATENATE("Belge: ",$B963,"/",$C963," ",TEXT($D963,"#,##0")))</f>
        <v/>
      </c>
    </row>
    <row r="964" ht="15" customHeight="1" s="80">
      <c r="A964" s="126" t="n"/>
      <c r="B964" s="127" t="n"/>
      <c r="C964" s="127" t="n"/>
      <c r="D964" s="128" t="n"/>
      <c r="E964" s="129" t="n"/>
      <c r="F964" s="127" t="n"/>
      <c r="G964" s="124">
        <f>IF($D964=0,0,ROUND($D964*$E964,2))</f>
        <v/>
      </c>
      <c r="H964" s="125">
        <f>IF($C964="","",CONCATENATE("Belge: ",$B964,"/",$C964," ",TEXT($D964,"#,##0")))</f>
        <v/>
      </c>
    </row>
    <row r="965" ht="15" customHeight="1" s="80">
      <c r="A965" s="126" t="n"/>
      <c r="B965" s="127" t="n"/>
      <c r="C965" s="127" t="n"/>
      <c r="D965" s="128" t="n"/>
      <c r="E965" s="129" t="n"/>
      <c r="F965" s="127" t="n"/>
      <c r="G965" s="124">
        <f>IF($D965=0,0,ROUND($D965*$E965,2))</f>
        <v/>
      </c>
      <c r="H965" s="125">
        <f>IF($C965="","",CONCATENATE("Belge: ",$B965,"/",$C965," ",TEXT($D965,"#,##0")))</f>
        <v/>
      </c>
    </row>
    <row r="966" ht="15" customHeight="1" s="80">
      <c r="A966" s="126" t="n"/>
      <c r="B966" s="127" t="n"/>
      <c r="C966" s="127" t="n"/>
      <c r="D966" s="128" t="n"/>
      <c r="E966" s="129" t="n"/>
      <c r="F966" s="127" t="n"/>
      <c r="G966" s="124">
        <f>IF($D966=0,0,ROUND($D966*$E966,2))</f>
        <v/>
      </c>
      <c r="H966" s="125">
        <f>IF($C966="","",CONCATENATE("Belge: ",$B966,"/",$C966," ",TEXT($D966,"#,##0")))</f>
        <v/>
      </c>
    </row>
    <row r="967" ht="15" customHeight="1" s="80">
      <c r="A967" s="126" t="n"/>
      <c r="B967" s="127" t="n"/>
      <c r="C967" s="127" t="n"/>
      <c r="D967" s="128" t="n"/>
      <c r="E967" s="129" t="n"/>
      <c r="F967" s="127" t="n"/>
      <c r="G967" s="124">
        <f>IF($D967=0,0,ROUND($D967*$E967,2))</f>
        <v/>
      </c>
      <c r="H967" s="125">
        <f>IF($C967="","",CONCATENATE("Belge: ",$B967,"/",$C967," ",TEXT($D967,"#,##0")))</f>
        <v/>
      </c>
    </row>
    <row r="968" ht="15" customHeight="1" s="80">
      <c r="A968" s="126" t="n"/>
      <c r="B968" s="127" t="n"/>
      <c r="C968" s="127" t="n"/>
      <c r="D968" s="128" t="n"/>
      <c r="E968" s="129" t="n"/>
      <c r="F968" s="127" t="n"/>
      <c r="G968" s="124">
        <f>IF($D968=0,0,ROUND($D968*$E968,2))</f>
        <v/>
      </c>
      <c r="H968" s="125">
        <f>IF($C968="","",CONCATENATE("Belge: ",$B968,"/",$C968," ",TEXT($D968,"#,##0")))</f>
        <v/>
      </c>
    </row>
    <row r="969" ht="15" customHeight="1" s="80">
      <c r="A969" s="126" t="n"/>
      <c r="B969" s="127" t="n"/>
      <c r="C969" s="127" t="n"/>
      <c r="D969" s="128" t="n"/>
      <c r="E969" s="129" t="n"/>
      <c r="F969" s="127" t="n"/>
      <c r="G969" s="124">
        <f>IF($D969=0,0,ROUND($D969*$E969,2))</f>
        <v/>
      </c>
      <c r="H969" s="125">
        <f>IF($C969="","",CONCATENATE("Belge: ",$B969,"/",$C969," ",TEXT($D969,"#,##0")))</f>
        <v/>
      </c>
    </row>
    <row r="970" ht="15" customHeight="1" s="80">
      <c r="A970" s="126" t="n"/>
      <c r="B970" s="127" t="n"/>
      <c r="C970" s="127" t="n"/>
      <c r="D970" s="128" t="n"/>
      <c r="E970" s="129" t="n"/>
      <c r="F970" s="127" t="n"/>
      <c r="G970" s="124">
        <f>IF($D970=0,0,ROUND($D970*$E970,2))</f>
        <v/>
      </c>
      <c r="H970" s="125">
        <f>IF($C970="","",CONCATENATE("Belge: ",$B970,"/",$C970," ",TEXT($D970,"#,##0")))</f>
        <v/>
      </c>
    </row>
    <row r="971" ht="15" customHeight="1" s="80">
      <c r="A971" s="126" t="n"/>
      <c r="B971" s="127" t="n"/>
      <c r="C971" s="127" t="n"/>
      <c r="D971" s="128" t="n"/>
      <c r="E971" s="129" t="n"/>
      <c r="F971" s="127" t="n"/>
      <c r="G971" s="124">
        <f>IF($D971=0,0,ROUND($D971*$E971,2))</f>
        <v/>
      </c>
      <c r="H971" s="125">
        <f>IF($C971="","",CONCATENATE("Belge: ",$B971,"/",$C971," ",TEXT($D971,"#,##0")))</f>
        <v/>
      </c>
    </row>
    <row r="972" ht="15" customHeight="1" s="80">
      <c r="A972" s="126" t="n"/>
      <c r="B972" s="127" t="n"/>
      <c r="C972" s="127" t="n"/>
      <c r="D972" s="128" t="n"/>
      <c r="E972" s="129" t="n"/>
      <c r="F972" s="127" t="n"/>
      <c r="G972" s="124">
        <f>IF($D972=0,0,ROUND($D972*$E972,2))</f>
        <v/>
      </c>
      <c r="H972" s="125">
        <f>IF($C972="","",CONCATENATE("Belge: ",$B972,"/",$C972," ",TEXT($D972,"#,##0")))</f>
        <v/>
      </c>
    </row>
    <row r="973" ht="15" customHeight="1" s="80">
      <c r="A973" s="126" t="n"/>
      <c r="B973" s="127" t="n"/>
      <c r="C973" s="127" t="n"/>
      <c r="D973" s="128" t="n"/>
      <c r="E973" s="129" t="n"/>
      <c r="F973" s="127" t="n"/>
      <c r="G973" s="124">
        <f>IF($D973=0,0,ROUND($D973*$E973,2))</f>
        <v/>
      </c>
      <c r="H973" s="125">
        <f>IF($C973="","",CONCATENATE("Belge: ",$B973,"/",$C973," ",TEXT($D973,"#,##0")))</f>
        <v/>
      </c>
    </row>
    <row r="974" ht="15" customHeight="1" s="80">
      <c r="A974" s="126" t="n"/>
      <c r="B974" s="127" t="n"/>
      <c r="C974" s="127" t="n"/>
      <c r="D974" s="128" t="n"/>
      <c r="E974" s="129" t="n"/>
      <c r="F974" s="127" t="n"/>
      <c r="G974" s="124">
        <f>IF($D974=0,0,ROUND($D974*$E974,2))</f>
        <v/>
      </c>
      <c r="H974" s="125">
        <f>IF($C974="","",CONCATENATE("Belge: ",$B974,"/",$C974," ",TEXT($D974,"#,##0")))</f>
        <v/>
      </c>
    </row>
    <row r="975" ht="15" customHeight="1" s="80">
      <c r="A975" s="126" t="n"/>
      <c r="B975" s="127" t="n"/>
      <c r="C975" s="127" t="n"/>
      <c r="D975" s="128" t="n"/>
      <c r="E975" s="129" t="n"/>
      <c r="F975" s="127" t="n"/>
      <c r="G975" s="124">
        <f>IF($D975=0,0,ROUND($D975*$E975,2))</f>
        <v/>
      </c>
      <c r="H975" s="125">
        <f>IF($C975="","",CONCATENATE("Belge: ",$B975,"/",$C975," ",TEXT($D975,"#,##0")))</f>
        <v/>
      </c>
    </row>
    <row r="976" ht="15" customHeight="1" s="80">
      <c r="A976" s="126" t="n"/>
      <c r="B976" s="127" t="n"/>
      <c r="C976" s="127" t="n"/>
      <c r="D976" s="128" t="n"/>
      <c r="E976" s="129" t="n"/>
      <c r="F976" s="127" t="n"/>
      <c r="G976" s="124">
        <f>IF($D976=0,0,ROUND($D976*$E976,2))</f>
        <v/>
      </c>
      <c r="H976" s="125">
        <f>IF($C976="","",CONCATENATE("Belge: ",$B976,"/",$C976," ",TEXT($D976,"#,##0")))</f>
        <v/>
      </c>
    </row>
    <row r="977" ht="15" customHeight="1" s="80">
      <c r="A977" s="126" t="n"/>
      <c r="B977" s="127" t="n"/>
      <c r="C977" s="127" t="n"/>
      <c r="D977" s="128" t="n"/>
      <c r="E977" s="129" t="n"/>
      <c r="F977" s="127" t="n"/>
      <c r="G977" s="124">
        <f>IF($D977=0,0,ROUND($D977*$E977,2))</f>
        <v/>
      </c>
      <c r="H977" s="125">
        <f>IF($C977="","",CONCATENATE("Belge: ",$B977,"/",$C977," ",TEXT($D977,"#,##0")))</f>
        <v/>
      </c>
    </row>
    <row r="978" ht="15" customHeight="1" s="80">
      <c r="A978" s="126" t="n"/>
      <c r="B978" s="127" t="n"/>
      <c r="C978" s="127" t="n"/>
      <c r="D978" s="128" t="n"/>
      <c r="E978" s="129" t="n"/>
      <c r="F978" s="127" t="n"/>
      <c r="G978" s="124">
        <f>IF($D978=0,0,ROUND($D978*$E978,2))</f>
        <v/>
      </c>
      <c r="H978" s="125">
        <f>IF($C978="","",CONCATENATE("Belge: ",$B978,"/",$C978," ",TEXT($D978,"#,##0")))</f>
        <v/>
      </c>
    </row>
    <row r="979" ht="15" customHeight="1" s="80">
      <c r="A979" s="126" t="n"/>
      <c r="B979" s="127" t="n"/>
      <c r="C979" s="127" t="n"/>
      <c r="D979" s="128" t="n"/>
      <c r="E979" s="129" t="n"/>
      <c r="F979" s="127" t="n"/>
      <c r="G979" s="124">
        <f>IF($D979=0,0,ROUND($D979*$E979,2))</f>
        <v/>
      </c>
      <c r="H979" s="125">
        <f>IF($C979="","",CONCATENATE("Belge: ",$B979,"/",$C979," ",TEXT($D979,"#,##0")))</f>
        <v/>
      </c>
    </row>
    <row r="980" ht="15" customHeight="1" s="80">
      <c r="A980" s="126" t="n"/>
      <c r="B980" s="127" t="n"/>
      <c r="C980" s="127" t="n"/>
      <c r="D980" s="128" t="n"/>
      <c r="E980" s="129" t="n"/>
      <c r="F980" s="127" t="n"/>
      <c r="G980" s="124">
        <f>IF($D980=0,0,ROUND($D980*$E980,2))</f>
        <v/>
      </c>
      <c r="H980" s="125">
        <f>IF($C980="","",CONCATENATE("Belge: ",$B980,"/",$C980," ",TEXT($D980,"#,##0")))</f>
        <v/>
      </c>
    </row>
    <row r="981" ht="15" customHeight="1" s="80">
      <c r="A981" s="126" t="n"/>
      <c r="B981" s="127" t="n"/>
      <c r="C981" s="127" t="n"/>
      <c r="D981" s="128" t="n"/>
      <c r="E981" s="129" t="n"/>
      <c r="F981" s="127" t="n"/>
      <c r="G981" s="124">
        <f>IF($D981=0,0,ROUND($D981*$E981,2))</f>
        <v/>
      </c>
      <c r="H981" s="125">
        <f>IF($C981="","",CONCATENATE("Belge: ",$B981,"/",$C981," ",TEXT($D981,"#,##0")))</f>
        <v/>
      </c>
    </row>
    <row r="982" ht="15" customHeight="1" s="80">
      <c r="A982" s="126" t="n"/>
      <c r="B982" s="127" t="n"/>
      <c r="C982" s="127" t="n"/>
      <c r="D982" s="128" t="n"/>
      <c r="E982" s="129" t="n"/>
      <c r="F982" s="127" t="n"/>
      <c r="G982" s="124">
        <f>IF($D982=0,0,ROUND($D982*$E982,2))</f>
        <v/>
      </c>
      <c r="H982" s="125">
        <f>IF($C982="","",CONCATENATE("Belge: ",$B982,"/",$C982," ",TEXT($D982,"#,##0")))</f>
        <v/>
      </c>
    </row>
    <row r="983" ht="15" customHeight="1" s="80">
      <c r="A983" s="126" t="n"/>
      <c r="B983" s="127" t="n"/>
      <c r="C983" s="127" t="n"/>
      <c r="D983" s="128" t="n"/>
      <c r="E983" s="129" t="n"/>
      <c r="F983" s="127" t="n"/>
      <c r="G983" s="124">
        <f>IF($D983=0,0,ROUND($D983*$E983,2))</f>
        <v/>
      </c>
      <c r="H983" s="125">
        <f>IF($C983="","",CONCATENATE("Belge: ",$B983,"/",$C983," ",TEXT($D983,"#,##0")))</f>
        <v/>
      </c>
    </row>
    <row r="984" ht="15" customHeight="1" s="80">
      <c r="A984" s="126" t="n"/>
      <c r="B984" s="127" t="n"/>
      <c r="C984" s="127" t="n"/>
      <c r="D984" s="128" t="n"/>
      <c r="E984" s="129" t="n"/>
      <c r="F984" s="127" t="n"/>
      <c r="G984" s="124">
        <f>IF($D984=0,0,ROUND($D984*$E984,2))</f>
        <v/>
      </c>
      <c r="H984" s="125">
        <f>IF($C984="","",CONCATENATE("Belge: ",$B984,"/",$C984," ",TEXT($D984,"#,##0")))</f>
        <v/>
      </c>
    </row>
    <row r="985" ht="15" customHeight="1" s="80">
      <c r="A985" s="126" t="n"/>
      <c r="B985" s="127" t="n"/>
      <c r="C985" s="127" t="n"/>
      <c r="D985" s="128" t="n"/>
      <c r="E985" s="129" t="n"/>
      <c r="F985" s="127" t="n"/>
      <c r="G985" s="124">
        <f>IF($D985=0,0,ROUND($D985*$E985,2))</f>
        <v/>
      </c>
      <c r="H985" s="125">
        <f>IF($C985="","",CONCATENATE("Belge: ",$B985,"/",$C985," ",TEXT($D985,"#,##0")))</f>
        <v/>
      </c>
    </row>
    <row r="986" ht="15" customHeight="1" s="80">
      <c r="A986" s="126" t="n"/>
      <c r="B986" s="127" t="n"/>
      <c r="C986" s="127" t="n"/>
      <c r="D986" s="128" t="n"/>
      <c r="E986" s="129" t="n"/>
      <c r="F986" s="127" t="n"/>
      <c r="G986" s="124">
        <f>IF($D986=0,0,ROUND($D986*$E986,2))</f>
        <v/>
      </c>
      <c r="H986" s="125">
        <f>IF($C986="","",CONCATENATE("Belge: ",$B986,"/",$C986," ",TEXT($D986,"#,##0")))</f>
        <v/>
      </c>
    </row>
    <row r="987" ht="15" customHeight="1" s="80">
      <c r="A987" s="126" t="n"/>
      <c r="B987" s="127" t="n"/>
      <c r="C987" s="127" t="n"/>
      <c r="D987" s="128" t="n"/>
      <c r="E987" s="129" t="n"/>
      <c r="F987" s="127" t="n"/>
      <c r="G987" s="124">
        <f>IF($D987=0,0,ROUND($D987*$E987,2))</f>
        <v/>
      </c>
      <c r="H987" s="125">
        <f>IF($C987="","",CONCATENATE("Belge: ",$B987,"/",$C987," ",TEXT($D987,"#,##0")))</f>
        <v/>
      </c>
    </row>
    <row r="988" ht="15" customHeight="1" s="80">
      <c r="A988" s="126" t="n"/>
      <c r="B988" s="127" t="n"/>
      <c r="C988" s="127" t="n"/>
      <c r="D988" s="128" t="n"/>
      <c r="E988" s="129" t="n"/>
      <c r="F988" s="127" t="n"/>
      <c r="G988" s="124">
        <f>IF($D988=0,0,ROUND($D988*$E988,2))</f>
        <v/>
      </c>
      <c r="H988" s="125">
        <f>IF($C988="","",CONCATENATE("Belge: ",$B988,"/",$C988," ",TEXT($D988,"#,##0")))</f>
        <v/>
      </c>
    </row>
    <row r="989" ht="15" customHeight="1" s="80">
      <c r="A989" s="126" t="n"/>
      <c r="B989" s="127" t="n"/>
      <c r="C989" s="127" t="n"/>
      <c r="D989" s="128" t="n"/>
      <c r="E989" s="129" t="n"/>
      <c r="F989" s="127" t="n"/>
      <c r="G989" s="124">
        <f>IF($D989=0,0,ROUND($D989*$E989,2))</f>
        <v/>
      </c>
      <c r="H989" s="125">
        <f>IF($C989="","",CONCATENATE("Belge: ",$B989,"/",$C989," ",TEXT($D989,"#,##0")))</f>
        <v/>
      </c>
    </row>
    <row r="990" ht="15" customHeight="1" s="80">
      <c r="A990" s="126" t="n"/>
      <c r="B990" s="127" t="n"/>
      <c r="C990" s="127" t="n"/>
      <c r="D990" s="128" t="n"/>
      <c r="E990" s="129" t="n"/>
      <c r="F990" s="127" t="n"/>
      <c r="G990" s="124">
        <f>IF($D990=0,0,ROUND($D990*$E990,2))</f>
        <v/>
      </c>
      <c r="H990" s="125">
        <f>IF($C990="","",CONCATENATE("Belge: ",$B990,"/",$C990," ",TEXT($D990,"#,##0")))</f>
        <v/>
      </c>
    </row>
    <row r="991" ht="15" customHeight="1" s="80">
      <c r="A991" s="126" t="n"/>
      <c r="B991" s="127" t="n"/>
      <c r="C991" s="127" t="n"/>
      <c r="D991" s="128" t="n"/>
      <c r="E991" s="129" t="n"/>
      <c r="F991" s="127" t="n"/>
      <c r="G991" s="124">
        <f>IF($D991=0,0,ROUND($D991*$E991,2))</f>
        <v/>
      </c>
      <c r="H991" s="125">
        <f>IF($C991="","",CONCATENATE("Belge: ",$B991,"/",$C991," ",TEXT($D991,"#,##0")))</f>
        <v/>
      </c>
    </row>
    <row r="992" ht="15" customHeight="1" s="80">
      <c r="A992" s="126" t="n"/>
      <c r="B992" s="127" t="n"/>
      <c r="C992" s="127" t="n"/>
      <c r="D992" s="128" t="n"/>
      <c r="E992" s="129" t="n"/>
      <c r="F992" s="127" t="n"/>
      <c r="G992" s="124">
        <f>IF($D992=0,0,ROUND($D992*$E992,2))</f>
        <v/>
      </c>
      <c r="H992" s="125">
        <f>IF($C992="","",CONCATENATE("Belge: ",$B992,"/",$C992," ",TEXT($D992,"#,##0")))</f>
        <v/>
      </c>
    </row>
    <row r="993" ht="15" customHeight="1" s="80">
      <c r="A993" s="126" t="n"/>
      <c r="B993" s="127" t="n"/>
      <c r="C993" s="127" t="n"/>
      <c r="D993" s="128" t="n"/>
      <c r="E993" s="129" t="n"/>
      <c r="F993" s="127" t="n"/>
      <c r="G993" s="124">
        <f>IF($D993=0,0,ROUND($D993*$E993,2))</f>
        <v/>
      </c>
      <c r="H993" s="125">
        <f>IF($C993="","",CONCATENATE("Belge: ",$B993,"/",$C993," ",TEXT($D993,"#,##0")))</f>
        <v/>
      </c>
    </row>
    <row r="994" ht="15" customHeight="1" s="80">
      <c r="A994" s="126" t="n"/>
      <c r="B994" s="127" t="n"/>
      <c r="C994" s="127" t="n"/>
      <c r="D994" s="128" t="n"/>
      <c r="E994" s="129" t="n"/>
      <c r="F994" s="127" t="n"/>
      <c r="G994" s="124">
        <f>IF($D994=0,0,ROUND($D994*$E994,2))</f>
        <v/>
      </c>
      <c r="H994" s="125">
        <f>IF($C994="","",CONCATENATE("Belge: ",$B994,"/",$C994," ",TEXT($D994,"#,##0")))</f>
        <v/>
      </c>
    </row>
    <row r="995" ht="15" customHeight="1" s="80">
      <c r="A995" s="126" t="n"/>
      <c r="B995" s="127" t="n"/>
      <c r="C995" s="127" t="n"/>
      <c r="D995" s="128" t="n"/>
      <c r="E995" s="129" t="n"/>
      <c r="F995" s="127" t="n"/>
      <c r="G995" s="124">
        <f>IF($D995=0,0,ROUND($D995*$E995,2))</f>
        <v/>
      </c>
      <c r="H995" s="125">
        <f>IF($C995="","",CONCATENATE("Belge: ",$B995,"/",$C995," ",TEXT($D995,"#,##0")))</f>
        <v/>
      </c>
    </row>
    <row r="996" ht="15" customHeight="1" s="80">
      <c r="A996" s="126" t="n"/>
      <c r="B996" s="127" t="n"/>
      <c r="C996" s="127" t="n"/>
      <c r="D996" s="128" t="n"/>
      <c r="E996" s="129" t="n"/>
      <c r="F996" s="127" t="n"/>
      <c r="G996" s="124">
        <f>IF($D996=0,0,ROUND($D996*$E996,2))</f>
        <v/>
      </c>
      <c r="H996" s="125">
        <f>IF($C996="","",CONCATENATE("Belge: ",$B996,"/",$C996," ",TEXT($D996,"#,##0")))</f>
        <v/>
      </c>
    </row>
    <row r="997" ht="15" customHeight="1" s="80">
      <c r="A997" s="126" t="n"/>
      <c r="B997" s="127" t="n"/>
      <c r="C997" s="127" t="n"/>
      <c r="D997" s="128" t="n"/>
      <c r="E997" s="129" t="n"/>
      <c r="F997" s="127" t="n"/>
      <c r="G997" s="124">
        <f>IF($D997=0,0,ROUND($D997*$E997,2))</f>
        <v/>
      </c>
      <c r="H997" s="125">
        <f>IF($C997="","",CONCATENATE("Belge: ",$B997,"/",$C997," ",TEXT($D997,"#,##0")))</f>
        <v/>
      </c>
    </row>
    <row r="998" ht="15" customHeight="1" s="80">
      <c r="A998" s="126" t="n"/>
      <c r="B998" s="127" t="n"/>
      <c r="C998" s="127" t="n"/>
      <c r="D998" s="128" t="n"/>
      <c r="E998" s="129" t="n"/>
      <c r="F998" s="127" t="n"/>
      <c r="G998" s="124">
        <f>IF($D998=0,0,ROUND($D998*$E998,2))</f>
        <v/>
      </c>
      <c r="H998" s="125">
        <f>IF($C998="","",CONCATENATE("Belge: ",$B998,"/",$C998," ",TEXT($D998,"#,##0")))</f>
        <v/>
      </c>
    </row>
    <row r="999" ht="15" customHeight="1" s="80">
      <c r="A999" s="126" t="n"/>
      <c r="B999" s="127" t="n"/>
      <c r="C999" s="127" t="n"/>
      <c r="D999" s="128" t="n"/>
      <c r="E999" s="129" t="n"/>
      <c r="F999" s="127" t="n"/>
      <c r="G999" s="124">
        <f>IF($D999=0,0,ROUND($D999*$E999,2))</f>
        <v/>
      </c>
      <c r="H999" s="125">
        <f>IF($C999="","",CONCATENATE("Belge: ",$B999,"/",$C999," ",TEXT($D999,"#,##0")))</f>
        <v/>
      </c>
    </row>
    <row r="1000" ht="15" customHeight="1" s="80">
      <c r="A1000" s="126" t="n"/>
      <c r="B1000" s="127" t="n"/>
      <c r="C1000" s="127" t="n"/>
      <c r="D1000" s="128" t="n"/>
      <c r="E1000" s="129" t="n"/>
      <c r="F1000" s="127" t="n"/>
      <c r="G1000" s="124">
        <f>IF($D1000=0,0,ROUND($D1000*$E1000,2))</f>
        <v/>
      </c>
      <c r="H1000" s="125">
        <f>IF($C1000="","",CONCATENATE("Belge: ",$B1000,"/",$C1000," ",TEXT($D1000,"#,##0")))</f>
        <v/>
      </c>
    </row>
    <row r="1001" ht="15" customHeight="1" s="80">
      <c r="A1001" s="126" t="n"/>
      <c r="B1001" s="127" t="n"/>
      <c r="C1001" s="127" t="n"/>
      <c r="D1001" s="128" t="n"/>
      <c r="E1001" s="129" t="n"/>
      <c r="F1001" s="127" t="n"/>
      <c r="G1001" s="124">
        <f>IF($D1001=0,0,ROUND($D1001*$E1001,2))</f>
        <v/>
      </c>
      <c r="H1001" s="125">
        <f>IF($C1001="","",CONCATENATE("Belge: ",$B1001,"/",$C1001," ",TEXT($D1001,"#,##0")))</f>
        <v/>
      </c>
    </row>
    <row r="1002" ht="15" customHeight="1" s="80">
      <c r="A1002" s="126" t="n"/>
      <c r="B1002" s="127" t="n"/>
      <c r="C1002" s="127" t="n"/>
      <c r="D1002" s="128" t="n"/>
      <c r="E1002" s="129" t="n"/>
      <c r="F1002" s="127" t="n"/>
      <c r="G1002" s="124">
        <f>IF($D1002=0,0,ROUND($D1002*$E1002,2))</f>
        <v/>
      </c>
      <c r="H1002" s="125">
        <f>IF($C1002="","",CONCATENATE("Belge: ",$B1002,"/",$C1002," ",TEXT($D1002,"#,##0")))</f>
        <v/>
      </c>
    </row>
    <row r="1003" ht="15" customHeight="1" s="80">
      <c r="A1003" s="126" t="n"/>
      <c r="B1003" s="127" t="n"/>
      <c r="C1003" s="127" t="n"/>
      <c r="D1003" s="128" t="n"/>
      <c r="E1003" s="129" t="n"/>
      <c r="F1003" s="127" t="n"/>
      <c r="G1003" s="124">
        <f>IF($D1003=0,0,ROUND($D1003*$E1003,2))</f>
        <v/>
      </c>
      <c r="H1003" s="125">
        <f>IF($C1003="","",CONCATENATE("Belge: ",$B1003,"/",$C1003," ",TEXT($D1003,"#,##0")))</f>
        <v/>
      </c>
    </row>
    <row r="1004" ht="15" customHeight="1" s="80">
      <c r="A1004" s="127" t="n"/>
      <c r="B1004" s="127" t="n"/>
      <c r="C1004" s="127" t="n"/>
      <c r="D1004" s="127" t="n"/>
      <c r="E1004" s="127" t="n"/>
      <c r="F1004" s="127" t="n"/>
      <c r="G1004" s="125">
        <f>IF($D1004=0,0,ROUND($D1004*$E1004,2))</f>
        <v/>
      </c>
      <c r="H1004" s="125">
        <f>IF($C1004="","",CONCATENATE("Belge: ",$B1004,"/",$C1004," ",TEXT($D1004,"#,##0")))</f>
        <v/>
      </c>
    </row>
    <row r="1006" ht="19.5" customHeight="1" s="80">
      <c r="A1006" s="130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A6:A1004">
    <cfRule type="cellIs" rank="0" priority="2" equalAverage="0" operator="lessThan" aboveAverage="0" dxfId="9" text="" percent="0" bottom="0">
      <formula>0</formula>
    </cfRule>
  </conditionalFormatting>
  <conditionalFormatting sqref="D6:D1004">
    <cfRule type="cellIs" rank="0" priority="3" equalAverage="0" operator="lessThan" aboveAverage="0" dxfId="9" text="" percent="0" bottom="0">
      <formula>0</formula>
    </cfRule>
  </conditionalFormatting>
  <conditionalFormatting sqref="E6:E1004">
    <cfRule type="cellIs" rank="0" priority="4" equalAverage="0" operator="lessThan" aboveAverage="0" dxfId="9" text="" percent="0" bottom="0">
      <formula>0</formula>
    </cfRule>
  </conditionalFormatting>
  <conditionalFormatting sqref="G6:G1004">
    <cfRule type="cellIs" rank="0" priority="5" equalAverage="0" operator="lessThan" aboveAverage="0" dxfId="9" text="" percent="0" bottom="0">
      <formula>0</formula>
    </cfRule>
    <cfRule type="cellIs" rank="0" priority="6" equalAverage="0" operator="greaterThan" aboveAverage="0" dxfId="10" text="" percent="0" bottom="0">
      <formula>0</formula>
    </cfRule>
  </conditionalFormatting>
  <conditionalFormatting sqref="F6:F1004">
    <cfRule type="cellIs" rank="0" priority="7" equalAverage="0" operator="equal" aboveAverage="0" dxfId="11" text="" percent="0" bottom="0">
      <formula>"Belge Eksik"</formula>
    </cfRule>
  </conditionalFormatting>
  <dataValidations count="5">
    <dataValidation sqref="C6:C1004" showDropDown="0" showInputMessage="1" showErrorMessage="1" allowBlank="1" errorTitle="Geçersiz tür" error="Listede olmayan tür giremezsiniz." promptTitle="Belge Türü" prompt="Satış, Alış, İhracat, Gider veya Yatırım seçin." type="list" errorStyle="stop" operator="between">
      <formula1>ListeBelgeTurleri</formula1>
      <formula2>0</formula2>
    </dataValidation>
    <dataValidation sqref="E6:E1004" showDropDown="0" showInputMessage="1" showErrorMessage="1" allowBlank="1" errorTitle="Geçersiz oran" error="Listede olmayan oran giremezsiniz." promptTitle="KDV Oranı" prompt="Listeden KDV oranını seçin." type="list" errorStyle="stop" operator="between">
      <formula1>ListeKdvOranlari</formula1>
      <formula2>0</formula2>
    </dataValidation>
    <dataValidation sqref="F6:F1004" showDropDown="0" showInputMessage="1" showErrorMessage="1" allowBlank="1" errorTitle="Geçersiz durum" error="Listede olmayan durum giremezsiniz." promptTitle="Belge Durumu" prompt="Belgesi Tam veya Belge Eksik seçin." type="list" errorStyle="stop" operator="between">
      <formula1>ListeTahsilatDurumlari</formula1>
      <formula2>0</formula2>
    </dataValidation>
    <dataValidation sqref="A6:A1004" showDropDown="0" showInputMessage="1" showErrorMessage="1" allowBlank="1" errorTitle="Geçersiz tarih" error="Tarih 01.01.2024 - 31.12.2027 aralığında olmalı." promptTitle="Tarih" prompt="GG.AA.YYYY biçiminde tarih girin." type="date" errorStyle="stop" operator="between">
      <formula1>01.01.2024</formula1>
      <formula2>31.12.2027</formula2>
    </dataValidation>
    <dataValidation sqref="D6:D1004" showDropDown="0" showInputMessage="1" showErrorMessage="1" allowBlank="1" errorTitle="Geçersiz matrah" error="0 ile 100.000.000.000 arasında olmalı." promptTitle="Matrah" prompt="KDV hariç matrahı TL olarak girin." type="decimal" errorStyle="stop" operator="between">
      <formula1>0</formula1>
      <formula2>100000000000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6" min="1" max="1"/>
    <col width="14" customWidth="1" style="106" min="2" max="2"/>
    <col width="18" customWidth="1" style="106" min="3" max="7"/>
    <col width="12" customWidth="1" style="106" min="8" max="8"/>
  </cols>
  <sheetData>
    <row r="1" ht="25.5" customHeight="1" s="80">
      <c r="A1" s="107" t="inlineStr">
        <is>
          <t>HESAP — KDV İadesi Azami Alacak Hesabı &amp; Dosya Hazırlayıcı</t>
        </is>
      </c>
    </row>
    <row r="3" ht="15.75" customHeight="1" s="80">
      <c r="A3" s="114" t="inlineStr">
        <is>
          <t>KDV İadesi Azami Alacak Hesabı</t>
        </is>
      </c>
    </row>
    <row r="4" ht="41.25" customHeight="1" s="80">
      <c r="A4" s="109" t="inlineStr">
        <is>
          <t>Aşağıdaki özet belge türlerine göre KDV belgelerinden otomatik beslenir; elle değiştirilmez.</t>
        </is>
      </c>
    </row>
    <row r="5" ht="30" customHeight="1" s="80">
      <c r="A5" s="119" t="inlineStr">
        <is>
          <t>Belge Türü</t>
        </is>
      </c>
      <c r="B5" s="119" t="inlineStr">
        <is>
          <t>Belge Adedi</t>
        </is>
      </c>
      <c r="C5" s="119" t="inlineStr">
        <is>
          <t>Toplam Matrah (₺)</t>
        </is>
      </c>
      <c r="D5" s="119" t="inlineStr">
        <is>
          <t>Toplam KDV (₺)</t>
        </is>
      </c>
      <c r="E5" s="119" t="inlineStr">
        <is>
          <t>Hesaplanan KDV (₺)</t>
        </is>
      </c>
      <c r="F5" s="119" t="inlineStr">
        <is>
          <t>İndirilecek KDV (₺)</t>
        </is>
      </c>
      <c r="G5" s="119" t="inlineStr">
        <is>
          <t>Devreden KDV (₺)</t>
        </is>
      </c>
      <c r="H5" s="119" t="inlineStr">
        <is>
          <t>Oran Payı</t>
        </is>
      </c>
    </row>
    <row r="6" ht="15" customHeight="1" s="80">
      <c r="A6" s="131" t="inlineStr">
        <is>
          <t>Satış</t>
        </is>
      </c>
      <c r="B6" s="132">
        <f>COUNTIFS(tblKdv[Belge Türü],$A6)</f>
        <v/>
      </c>
      <c r="C6" s="133">
        <f>SUMIFS(tblKdv[Matrah (₺)],tblKdv[Belge Türü],$A6)</f>
        <v/>
      </c>
      <c r="D6" s="133">
        <f>SUMIFS(tblKdv[KDV Tutarı (₺)],tblKdv[Belge Türü],$A6)</f>
        <v/>
      </c>
      <c r="E6" s="133">
        <f>IF($A6="Satış",D6,0)</f>
        <v/>
      </c>
      <c r="F6" s="133">
        <f>IF($A6="Satış",0,D6)</f>
        <v/>
      </c>
      <c r="G6" s="133">
        <f>IF($A6="İhracat",D6,0)</f>
        <v/>
      </c>
      <c r="H6" s="134">
        <f>IF(SUM($C$6:$C$10)=0,0,C6/SUM($C$6:$C$10))</f>
        <v/>
      </c>
    </row>
    <row r="7" ht="15" customHeight="1" s="80">
      <c r="A7" s="131" t="inlineStr">
        <is>
          <t>Alış</t>
        </is>
      </c>
      <c r="B7" s="132">
        <f>COUNTIFS(tblKdv[Belge Türü],$A7)</f>
        <v/>
      </c>
      <c r="C7" s="133">
        <f>SUMIFS(tblKdv[Matrah (₺)],tblKdv[Belge Türü],$A7)</f>
        <v/>
      </c>
      <c r="D7" s="133">
        <f>SUMIFS(tblKdv[KDV Tutarı (₺)],tblKdv[Belge Türü],$A7)</f>
        <v/>
      </c>
      <c r="E7" s="133">
        <f>IF($A7="Satış",D7,0)</f>
        <v/>
      </c>
      <c r="F7" s="133">
        <f>IF($A7="Satış",0,D7)</f>
        <v/>
      </c>
      <c r="G7" s="133">
        <f>IF($A7="İhracat",D7,0)</f>
        <v/>
      </c>
      <c r="H7" s="134">
        <f>IF(SUM($C$6:$C$10)=0,0,C7/SUM($C$6:$C$10))</f>
        <v/>
      </c>
    </row>
    <row r="8" ht="15" customHeight="1" s="80">
      <c r="A8" s="131" t="inlineStr">
        <is>
          <t>İhracat</t>
        </is>
      </c>
      <c r="B8" s="132">
        <f>COUNTIFS(tblKdv[Belge Türü],$A8)</f>
        <v/>
      </c>
      <c r="C8" s="133">
        <f>SUMIFS(tblKdv[Matrah (₺)],tblKdv[Belge Türü],$A8)</f>
        <v/>
      </c>
      <c r="D8" s="133">
        <f>SUMIFS(tblKdv[KDV Tutarı (₺)],tblKdv[Belge Türü],$A8)</f>
        <v/>
      </c>
      <c r="E8" s="133">
        <f>IF($A8="Satış",D8,0)</f>
        <v/>
      </c>
      <c r="F8" s="133">
        <f>IF($A8="Satış",0,D8)</f>
        <v/>
      </c>
      <c r="G8" s="133">
        <f>IF($A8="İhracat",D8,0)</f>
        <v/>
      </c>
      <c r="H8" s="134">
        <f>IF(SUM($C$6:$C$10)=0,0,C8/SUM($C$6:$C$10))</f>
        <v/>
      </c>
    </row>
    <row r="9" ht="15" customHeight="1" s="80">
      <c r="A9" s="131" t="inlineStr">
        <is>
          <t>Gider</t>
        </is>
      </c>
      <c r="B9" s="132">
        <f>COUNTIFS(tblKdv[Belge Türü],$A9)</f>
        <v/>
      </c>
      <c r="C9" s="133">
        <f>SUMIFS(tblKdv[Matrah (₺)],tblKdv[Belge Türü],$A9)</f>
        <v/>
      </c>
      <c r="D9" s="133">
        <f>SUMIFS(tblKdv[KDV Tutarı (₺)],tblKdv[Belge Türü],$A9)</f>
        <v/>
      </c>
      <c r="E9" s="133">
        <f>IF($A9="Satış",D9,0)</f>
        <v/>
      </c>
      <c r="F9" s="133">
        <f>IF($A9="Satış",0,D9)</f>
        <v/>
      </c>
      <c r="G9" s="133">
        <f>IF($A9="İhracat",D9,0)</f>
        <v/>
      </c>
      <c r="H9" s="134">
        <f>IF(SUM($C$6:$C$10)=0,0,C9/SUM($C$6:$C$10))</f>
        <v/>
      </c>
    </row>
    <row r="10" ht="15" customHeight="1" s="80">
      <c r="A10" s="131" t="inlineStr">
        <is>
          <t>Yatırım</t>
        </is>
      </c>
      <c r="B10" s="132">
        <f>COUNTIFS(tblKdv[Belge Türü],$A10)</f>
        <v/>
      </c>
      <c r="C10" s="133">
        <f>SUMIFS(tblKdv[Matrah (₺)],tblKdv[Belge Türü],$A10)</f>
        <v/>
      </c>
      <c r="D10" s="133">
        <f>SUMIFS(tblKdv[KDV Tutarı (₺)],tblKdv[Belge Türü],$A10)</f>
        <v/>
      </c>
      <c r="E10" s="133">
        <f>IF($A10="Satış",D10,0)</f>
        <v/>
      </c>
      <c r="F10" s="133">
        <f>IF($A10="Satış",0,D10)</f>
        <v/>
      </c>
      <c r="G10" s="133">
        <f>IF($A10="İhracat",D10,0)</f>
        <v/>
      </c>
      <c r="H10" s="134">
        <f>IF(SUM($C$6:$C$10)=0,0,C10/SUM($C$6:$C$10))</f>
        <v/>
      </c>
    </row>
    <row r="11" ht="15" customHeight="1" s="80">
      <c r="A11" s="135" t="inlineStr">
        <is>
          <t>TOPLAM</t>
        </is>
      </c>
      <c r="B11" s="136">
        <f>SUM(B6:B10)</f>
        <v/>
      </c>
      <c r="C11" s="137">
        <f>SUM(C6:C10)</f>
        <v/>
      </c>
      <c r="D11" s="137">
        <f>SUM(D6:D10)</f>
        <v/>
      </c>
      <c r="E11" s="137">
        <f>SUM(E6:E10)</f>
        <v/>
      </c>
      <c r="F11" s="137">
        <f>SUM(F6:F10)</f>
        <v/>
      </c>
      <c r="G11" s="137">
        <f>SUM(G6:G10)</f>
        <v/>
      </c>
      <c r="H11" s="138">
        <f>SUM(H6:H10)</f>
        <v/>
      </c>
    </row>
    <row r="13" ht="15" customHeight="1" s="80">
      <c r="A13" s="135" t="inlineStr">
        <is>
          <t>Hesaplanan KDV (Toplam)</t>
        </is>
      </c>
      <c r="B13" s="137">
        <f>E11</f>
        <v/>
      </c>
    </row>
    <row r="14" ht="15" customHeight="1" s="80">
      <c r="A14" s="135" t="inlineStr">
        <is>
          <t>İndirilecek KDV (Toplam)</t>
        </is>
      </c>
      <c r="B14" s="137">
        <f>F11</f>
        <v/>
      </c>
    </row>
    <row r="15" ht="15" customHeight="1" s="80">
      <c r="A15" s="135" t="inlineStr">
        <is>
          <t>Devreden KDV</t>
        </is>
      </c>
      <c r="B15" s="137">
        <f>F11-E11</f>
        <v/>
      </c>
    </row>
    <row r="16" ht="15" customHeight="1" s="80">
      <c r="A16" s="135" t="inlineStr">
        <is>
          <t>İhracat İade Sınırı</t>
        </is>
      </c>
      <c r="B16" s="137">
        <f>IF(OR(B13&lt;=0,C11=0),0,ROUND(B13*C8/C11,2))</f>
        <v/>
      </c>
    </row>
    <row r="17" ht="15" customHeight="1" s="80">
      <c r="A17" s="135" t="inlineStr">
        <is>
          <t>Azami İade Alacağı</t>
        </is>
      </c>
      <c r="B17" s="137">
        <f>IF(B13&lt;=0,0,MIN(B13,B14))</f>
        <v/>
      </c>
    </row>
    <row r="18" ht="15" customHeight="1" s="80">
      <c r="A18" s="135" t="inlineStr">
        <is>
          <t>Eksik Belge Sayısı</t>
        </is>
      </c>
      <c r="B18" s="136">
        <f>COUNTIF(tblKdv[Belge Durumu],"Belge Eksik")</f>
        <v/>
      </c>
    </row>
    <row r="19" ht="15" customHeight="1" s="80">
      <c r="A19" s="135" t="inlineStr">
        <is>
          <t>İade Kullanım Oranı</t>
        </is>
      </c>
      <c r="B19" s="138">
        <f>IF(B13=0,0,B15/B13)</f>
        <v/>
      </c>
    </row>
    <row r="21" ht="19.5" customHeight="1" s="80">
      <c r="A21" s="130" t="inlineStr">
        <is>
          <t>Hesap satırları yalnızca KDV belgelerinden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1:AN21"/>
    <mergeCell ref="A1:AD1"/>
  </mergeCells>
  <conditionalFormatting sqref="C6:C11">
    <cfRule type="cellIs" rank="0" priority="2" equalAverage="0" operator="lessThan" aboveAverage="0" dxfId="9" text="" percent="0" bottom="0">
      <formula>0</formula>
    </cfRule>
  </conditionalFormatting>
  <conditionalFormatting sqref="D6:D11">
    <cfRule type="cellIs" rank="0" priority="3" equalAverage="0" operator="lessThan" aboveAverage="0" dxfId="9" text="" percent="0" bottom="0">
      <formula>0</formula>
    </cfRule>
  </conditionalFormatting>
  <conditionalFormatting sqref="E6:E11">
    <cfRule type="cellIs" rank="0" priority="4" equalAverage="0" operator="lessThan" aboveAverage="0" dxfId="9" text="" percent="0" bottom="0">
      <formula>0</formula>
    </cfRule>
  </conditionalFormatting>
  <conditionalFormatting sqref="F6:F11">
    <cfRule type="cellIs" rank="0" priority="5" equalAverage="0" operator="lessThan" aboveAverage="0" dxfId="9" text="" percent="0" bottom="0">
      <formula>0</formula>
    </cfRule>
  </conditionalFormatting>
  <conditionalFormatting sqref="G6:G11">
    <cfRule type="cellIs" rank="0" priority="6" equalAverage="0" operator="lessThan" aboveAverage="0" dxfId="9" text="" percent="0" bottom="0">
      <formula>0</formula>
    </cfRule>
  </conditionalFormatting>
  <conditionalFormatting sqref="B15">
    <cfRule type="cellIs" rank="0" priority="7" equalAverage="0" operator="lessThan" aboveAverage="0" dxfId="9" text="" percent="0" bottom="0">
      <formula>0</formula>
    </cfRule>
  </conditionalFormatting>
  <conditionalFormatting sqref="B17">
    <cfRule type="cellIs" rank="0" priority="8" equalAverage="0" operator="greaterThan" aboveAverage="0" dxfId="12" text="" percent="0" bottom="0">
      <formula>1500000</formula>
    </cfRule>
  </conditionalFormatting>
  <conditionalFormatting sqref="B19">
    <cfRule type="cellIs" rank="0" priority="9" equalAverage="0" operator="greaterThan" aboveAverage="0" dxfId="12" text="" percent="0" bottom="0">
      <formula>0.5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06" min="1" max="1"/>
    <col width="32" customWidth="1" style="106" min="2" max="2"/>
    <col width="52" customWidth="1" style="106" min="3" max="3"/>
    <col width="72" customWidth="1" style="106" min="4" max="4"/>
  </cols>
  <sheetData>
    <row r="1" ht="25.5" customHeight="1" s="80">
      <c r="A1" s="107" t="inlineStr">
        <is>
          <t>ANALITIK MOTOR — KDV İadesi Azami Alacak Hesabı &amp; Dosya Hazırlayıcı</t>
        </is>
      </c>
    </row>
    <row r="3" ht="15" customHeight="1" s="80">
      <c r="A3" s="110" t="inlineStr">
        <is>
          <t>ANALİTİK MOTOR — DERİNLİK KATMANI</t>
        </is>
      </c>
    </row>
    <row r="5" ht="30" customHeight="1" s="80">
      <c r="A5" s="119" t="inlineStr">
        <is>
          <t>Kod</t>
        </is>
      </c>
      <c r="B5" s="119" t="inlineStr">
        <is>
          <t>Gösterge</t>
        </is>
      </c>
      <c r="C5" s="119" t="inlineStr">
        <is>
          <t>Değer</t>
        </is>
      </c>
      <c r="D5" s="119" t="inlineStr">
        <is>
          <t>Makine Yorumu</t>
        </is>
      </c>
    </row>
    <row r="6" ht="30" customHeight="1" s="80">
      <c r="A6" s="139" t="inlineStr">
        <is>
          <t>T1</t>
        </is>
      </c>
      <c r="B6" s="140" t="inlineStr">
        <is>
          <t>Belge Vade: 0-30 Gün Payı</t>
        </is>
      </c>
      <c r="C6" s="141">
        <f>IFERROR(IF(SUM(tblKdv[Matrah (₺)])=0,0,SUMIFS(tblKdv[Matrah (₺)],tblKdv[Belge Türü],"İhracat")/SUM(tblKdv[Matrah (₺)])),0)</f>
        <v/>
      </c>
      <c r="D6" s="142">
        <f>_xlfn.TEXTJOIN("; ",TRUE(),"İhracat belgelerinin matrah payı ",TEXT(C6,"0.0%")," — pay yüksekse iade hakkı belirginleşir")</f>
        <v/>
      </c>
    </row>
    <row r="7" ht="30" customHeight="1" s="80">
      <c r="A7" s="139" t="inlineStr">
        <is>
          <t>T4</t>
        </is>
      </c>
      <c r="B7" s="140" t="inlineStr">
        <is>
          <t>İlk-Son Belge Matrah Farkı</t>
        </is>
      </c>
      <c r="C7" s="141">
        <f>IFERROR(INDEX(tblKdv[Matrah (₺)],COUNTA(tblKdv[Belge Türü]))-INDEX(tblKdv[Matrah (₺)],1),0)</f>
        <v/>
      </c>
      <c r="D7" s="142">
        <f>_xlfn.TEXTJOIN("; ",TRUE(),"İlk ile son belge matrah farkı ",TEXT(C7,"₺ #,##0")," TL — fark iade hacmindeki eğilimi gösterir")</f>
        <v/>
      </c>
    </row>
    <row r="8" ht="30" customHeight="1" s="80">
      <c r="A8" s="139" t="inlineStr">
        <is>
          <t>O1</t>
        </is>
      </c>
      <c r="B8" s="140" t="inlineStr">
        <is>
          <t>Matrah Sapması (STDEV)</t>
        </is>
      </c>
      <c r="C8" s="141">
        <f>IFERROR(stdev.p(tblKdv[Matrah (₺)]),0)</f>
        <v/>
      </c>
      <c r="D8" s="142">
        <f>_xlfn.TEXTJOIN("; ",TRUE(),"Belge matrahlarının standart sapması ",TEXT(C8,"₺ #,##0")," TL — sapma yüksekse belge yapısı dengesizdir")</f>
        <v/>
      </c>
    </row>
    <row r="9" ht="30" customHeight="1" s="80">
      <c r="A9" s="139" t="inlineStr">
        <is>
          <t>O2</t>
        </is>
      </c>
      <c r="B9" s="140" t="inlineStr">
        <is>
          <t>Tornado: En Büyük Etki</t>
        </is>
      </c>
      <c r="C9" s="141">
        <f>MAX(SENARYO_DUYARLILIK!B13:B14)</f>
        <v/>
      </c>
      <c r="D9" s="142">
        <f>_xlfn.TEXTJOIN("; ",TRUE(),"Azami iadeyi en çok etkileyen değişkenin etkisi ",TEXT(C9,"₺ #,##0")," TL — öncelik bu değişkenin izlenmesinde")</f>
        <v/>
      </c>
    </row>
    <row r="10" ht="30" customHeight="1" s="80">
      <c r="A10" s="139" t="inlineStr">
        <is>
          <t>O3</t>
        </is>
      </c>
      <c r="B10" s="140" t="inlineStr">
        <is>
          <t>Senaryo Bant Genişliği</t>
        </is>
      </c>
      <c r="C10" s="141">
        <f>SENARYO_DUYARLILIK!C7-SENARYO_DUYARLILIK!C9</f>
        <v/>
      </c>
      <c r="D10" s="142">
        <f>_xlfn.TEXTJOIN("; ",TRUE(),"İyimser ile kötümser senaryo iade farkı ",TEXT(C10,"₺ #,##0")," TL — belirsizlik aralığını gösterir")</f>
        <v/>
      </c>
    </row>
    <row r="11" ht="30" customHeight="1" s="80">
      <c r="A11" s="139" t="inlineStr">
        <is>
          <t>O6</t>
        </is>
      </c>
      <c r="B11" s="140" t="inlineStr">
        <is>
          <t>Belge Yoğunlaşması (HHI)</t>
        </is>
      </c>
      <c r="C11" s="141">
        <f>IFERROR(SUMPRODUCT((HESAP!$C$6:$C$10/SUM(HESAP!$C$6:$C$10))^2),0)</f>
        <v/>
      </c>
      <c r="D11" s="142">
        <f>_xlfn.TEXTJOIN("; ",TRUE(),"Belge yoğunlaşma endeksi ",TEXT(C11,"0.000")," — 1 e yaklaştıkça matrah tek belge türünde toplanır")</f>
        <v/>
      </c>
    </row>
    <row r="12" ht="30" customHeight="1" s="80">
      <c r="A12" s="139" t="inlineStr">
        <is>
          <t>O8</t>
        </is>
      </c>
      <c r="B12" s="140" t="inlineStr">
        <is>
          <t>Veri Kalite Skoru</t>
        </is>
      </c>
      <c r="C12" s="132">
        <f>KONTROLLER!B19</f>
        <v/>
      </c>
      <c r="D12" s="142">
        <f>_xlfn.TEXTJOIN("; ",TRUE(),"Veri kalite skoru ",TEXT(C12,"0")," puan — ",IF(C12&gt;=KdvKaliteIyi,"yüksek güven","veri girişi tamamlanmalı"))</f>
        <v/>
      </c>
    </row>
    <row r="13" ht="30" customHeight="1" s="80">
      <c r="A13" s="139" t="inlineStr">
        <is>
          <t>I1</t>
        </is>
      </c>
      <c r="B13" s="140" t="inlineStr">
        <is>
          <t>Gelecek Dönem Devreden KDV Tahmini</t>
        </is>
      </c>
      <c r="C13" s="133">
        <f>PANO!B24</f>
        <v/>
      </c>
      <c r="D13" s="142">
        <f>_xlfn.TEXTJOIN("; ",TRUE(),"Gelecek dönem devreden KDV tahmini ",TEXT(C13,"₺ #,##0")," TL — güven bandı için alt/üst sınır PANO sayfasındadır")</f>
        <v/>
      </c>
    </row>
    <row r="14" ht="30" customHeight="1" s="80">
      <c r="A14" s="139" t="inlineStr">
        <is>
          <t>I2</t>
        </is>
      </c>
      <c r="B14" s="140" t="inlineStr">
        <is>
          <t>Matrah Yüzdelik P90</t>
        </is>
      </c>
      <c r="C14" s="141">
        <f>IFERROR(_xlfn.PERCENTILE.INC(tblKdv[Matrah (₺)],KdvP90Oran),0)</f>
        <v/>
      </c>
      <c r="D14" s="142">
        <f>_xlfn.TEXTJOIN("; ",TRUE(),"Belge matrahlarının %90 ı ",TEXT(C14,"₺ #,##0")," TL altında gerçekleşir — üst sınır nakit planı için kullanılabilir")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D3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55" customWidth="1" style="106" min="2" max="2"/>
  </cols>
  <sheetData>
    <row r="1" ht="25.5" customHeight="1" s="80">
      <c r="A1" s="107" t="inlineStr">
        <is>
          <t>KONTROLLER — KDV İadesi Azami Alacak Hesabı &amp; Dosya Hazırlayıcı</t>
        </is>
      </c>
    </row>
    <row r="3" ht="15.75" customHeight="1" s="80">
      <c r="A3" s="114" t="inlineStr">
        <is>
          <t>Giriş Kalite Kontrolleri</t>
        </is>
      </c>
    </row>
    <row r="4" ht="27.75" customHeight="1" s="80">
      <c r="A4" s="109" t="inlineStr">
        <is>
          <t>Aşağıdaki kontroller canlı formüllerle çalışır; sorun varsa uyarı üretir.</t>
        </is>
      </c>
    </row>
    <row r="6" ht="15" customHeight="1" s="80">
      <c r="A6" s="112" t="inlineStr">
        <is>
          <t>Boş belge türü satırı var mı?</t>
        </is>
      </c>
      <c r="B6" s="141">
        <f>IF(COUNTBLANK(tblKdv[Belge Türü])=0,"TEMİZ","BOŞ VAR")</f>
        <v/>
      </c>
    </row>
    <row r="7" ht="15" customHeight="1" s="80">
      <c r="A7" s="112" t="inlineStr">
        <is>
          <t>Boş matrah var mı?</t>
        </is>
      </c>
      <c r="B7" s="141">
        <f>IF(COUNTBLANK(tblKdv[Matrah (₺)])=0,"TEMİZ","BOŞ VAR")</f>
        <v/>
      </c>
    </row>
    <row r="8" ht="15" customHeight="1" s="80">
      <c r="A8" s="112" t="inlineStr">
        <is>
          <t>Negatif matrah var mı?</t>
        </is>
      </c>
      <c r="B8" s="141">
        <f>IF(COUNTIF(tblKdv[Matrah (₺)],"&lt;0")=0,"TEMİZ","NEGATİF VAR")</f>
        <v/>
      </c>
    </row>
    <row r="9" ht="15" customHeight="1" s="80">
      <c r="A9" s="112" t="inlineStr">
        <is>
          <t>Geçersiz KDV oranı var mı?</t>
        </is>
      </c>
      <c r="B9" s="141">
        <f>IF(COUNTIF(tblKdv[KDV Oranı],"&lt;0")=0,"TEMİZ","NEGATİF VAR")</f>
        <v/>
      </c>
    </row>
    <row r="10" ht="15" customHeight="1" s="80">
      <c r="A10" s="112" t="inlineStr">
        <is>
          <t>Eksik belge var mı?</t>
        </is>
      </c>
      <c r="B10" s="141">
        <f>IF(COUNTIF(tblKdv[Belge Durumu],"Belge Eksik")=0,"TEMİZ","EKSİK VAR")</f>
        <v/>
      </c>
    </row>
    <row r="11" ht="15" customHeight="1" s="80">
      <c r="A11" s="112" t="inlineStr">
        <is>
          <t>Devreden KDV negatif mi?</t>
        </is>
      </c>
      <c r="B11" s="141">
        <f>IF(HESAP!B15&lt;0,"AŞIYOR","NORMAL")</f>
        <v/>
      </c>
    </row>
    <row r="12" ht="15" customHeight="1" s="80">
      <c r="A12" s="112" t="inlineStr">
        <is>
          <t>Azami iade eşiği aşılıyor mu?</t>
        </is>
      </c>
      <c r="B12" s="141">
        <f>IF(HESAP!B17&gt;KdvIadeEsik,"AŞIYOR","NORMAL")</f>
        <v/>
      </c>
    </row>
    <row r="13" ht="15" customHeight="1" s="80">
      <c r="A13" s="112" t="inlineStr">
        <is>
          <t>İade kullanım oranı eşikte mi?</t>
        </is>
      </c>
      <c r="B13" s="141">
        <f>IF(HESAP!B19&gt;KdvKullanimEsik,"YÜKSEK","NORMAL")</f>
        <v/>
      </c>
    </row>
    <row r="15" ht="15" customHeight="1" s="80">
      <c r="A15" s="110" t="inlineStr">
        <is>
          <t>Veri Kalitesi Skoru (0-100)</t>
        </is>
      </c>
    </row>
    <row r="16" ht="27.75" customHeight="1" s="80">
      <c r="A16" s="109" t="inlineStr">
        <is>
          <t>Boş ve negatif girişlerin oranına göre üretilen kalite skoru.</t>
        </is>
      </c>
    </row>
    <row r="17" ht="15" customHeight="1" s="80">
      <c r="A17" s="112" t="inlineStr">
        <is>
          <t>Toplam Giriş Hücresi</t>
        </is>
      </c>
      <c r="B17" s="132">
        <f>COUNTA(tblKdv[Belge Türü])*COUNTA(tblKdv[#Headers])</f>
        <v/>
      </c>
    </row>
    <row r="18" ht="15" customHeight="1" s="80">
      <c r="A18" s="112" t="inlineStr">
        <is>
          <t>Dolu Giriş Hücresi</t>
        </is>
      </c>
      <c r="B18" s="132">
        <f>COUNTA(tblKdv[Belge Türü])+COUNTA(tblKdv[Matrah (₺)])+COUNTA(tblKdv[KDV Oranı])+COUNTA(tblKdv[Belge Durumu])</f>
        <v/>
      </c>
    </row>
    <row r="19" ht="15" customHeight="1" s="80">
      <c r="A19" s="131" t="inlineStr">
        <is>
          <t>Kalite Skoru</t>
        </is>
      </c>
      <c r="B19" s="136">
        <f>ROUND(IF(KdvToplamGiris=0,0,KdvDoluGiris/KdvToplamGiris*100),0)</f>
        <v/>
      </c>
    </row>
    <row r="20" ht="15" customHeight="1" s="80">
      <c r="A20" s="112" t="inlineStr">
        <is>
          <t>Kalite Seviyesi</t>
        </is>
      </c>
      <c r="B20" s="141">
        <f>IF(B19&gt;=KdvKaliteIyi,"YÜKSEK",IF(B19&gt;=KdvKaliteOrta,"ORTA","DÜŞÜK"))</f>
        <v/>
      </c>
    </row>
    <row r="22" ht="19.5" customHeight="1" s="80">
      <c r="A22" s="130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3">
    <cfRule type="cellIs" rank="0" priority="2" equalAverage="0" operator="equal" aboveAverage="0" dxfId="11" text="" percent="0" bottom="0">
      <formula>"BOŞ VAR"</formula>
    </cfRule>
    <cfRule type="cellIs" rank="0" priority="3" equalAverage="0" operator="equal" aboveAverage="0" dxfId="11" text="" percent="0" bottom="0">
      <formula>"NEGATİF VAR"</formula>
    </cfRule>
    <cfRule type="cellIs" rank="0" priority="4" equalAverage="0" operator="equal" aboveAverage="0" dxfId="11" text="" percent="0" bottom="0">
      <formula>"EKSİK VAR"</formula>
    </cfRule>
    <cfRule type="cellIs" rank="0" priority="5" equalAverage="0" operator="equal" aboveAverage="0" dxfId="11" text="" percent="0" bottom="0">
      <formula>"AŞIYOR"</formula>
    </cfRule>
    <cfRule type="cellIs" rank="0" priority="6" equalAverage="0" operator="equal" aboveAverage="0" dxfId="11" text="" percent="0" bottom="0">
      <formula>"YÜKSEK"</formula>
    </cfRule>
    <cfRule type="cellIs" rank="0" priority="7" equalAverage="0" operator="equal" aboveAverage="0" dxfId="10" text="" percent="0" bottom="0">
      <formula>"TEMİZ"</formula>
    </cfRule>
    <cfRule type="cellIs" rank="0" priority="8" equalAverage="0" operator="equal" aboveAverage="0" dxfId="10" text="" percent="0" bottom="0">
      <formula>"NORMAL"</formula>
    </cfRule>
  </conditionalFormatting>
  <conditionalFormatting sqref="B19">
    <cfRule type="cellIs" rank="0" priority="9" equalAverage="0" operator="lessThan" aboveAverage="0" dxfId="9" text="" percent="0" bottom="0">
      <formula>70</formula>
    </cfRule>
    <cfRule type="cellIs" rank="0" priority="10" equalAverage="0" operator="between" aboveAverage="0" dxfId="12" text="" percent="0" bottom="0">
      <formula>70</formula>
      <formula>90</formula>
    </cfRule>
    <cfRule type="cellIs" rank="0" priority="11" equalAverage="0" operator="greaterThanOrEqual" aboveAverage="0" dxfId="10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60" customWidth="1" style="106" min="2" max="2"/>
  </cols>
  <sheetData>
    <row r="1" ht="25.5" customHeight="1" s="80">
      <c r="A1" s="107" t="inlineStr">
        <is>
          <t>KARAR — KDV İadesi Azami Alacak Hesabı &amp; Dosya Hazırlayıcı</t>
        </is>
      </c>
    </row>
    <row r="3" ht="15.75" customHeight="1" s="80">
      <c r="A3" s="114" t="inlineStr">
        <is>
          <t>Karar Kapısı — KDV İade Dosyası</t>
        </is>
      </c>
    </row>
    <row r="4" ht="27.75" customHeight="1" s="80">
      <c r="A4" s="109" t="inlineStr">
        <is>
          <t>Devreden KDV, eksik belge ve iade kullanım oranına göre üretilen karar.</t>
        </is>
      </c>
    </row>
    <row r="6" ht="15" customHeight="1" s="80">
      <c r="A6" s="112" t="inlineStr">
        <is>
          <t>Azami İade Alacağı</t>
        </is>
      </c>
      <c r="B6" s="137">
        <f>HESAP!B17</f>
        <v/>
      </c>
    </row>
    <row r="7" ht="15" customHeight="1" s="80">
      <c r="A7" s="112" t="inlineStr">
        <is>
          <t>Devreden KDV</t>
        </is>
      </c>
      <c r="B7" s="133">
        <f>HESAP!B15</f>
        <v/>
      </c>
    </row>
    <row r="8" ht="15" customHeight="1" s="80">
      <c r="A8" s="112" t="inlineStr">
        <is>
          <t>Eksik Belge Sayısı</t>
        </is>
      </c>
      <c r="B8" s="132">
        <f>HESAP!B18</f>
        <v/>
      </c>
    </row>
    <row r="9" ht="15" customHeight="1" s="80">
      <c r="A9" s="112" t="inlineStr">
        <is>
          <t>İade Kullanım Oranı</t>
        </is>
      </c>
      <c r="B9" s="134">
        <f>HESAP!B19</f>
        <v/>
      </c>
    </row>
    <row r="11" ht="21" customHeight="1" s="80">
      <c r="A11" s="143" t="inlineStr">
        <is>
          <t>KARAR</t>
        </is>
      </c>
      <c r="B11" s="144">
        <f>IF(COUNTA(tblKdv[Belge Türü])=0,"VERİ YOK",IF(COUNTIF(tblKdv[Matrah (₺)],"&lt;0")&gt;0,"DURDUR",IF(HESAP!B15&lt;0,"DURDUR",IF(AND(COUNTA(tblKdv[Belge Türü])&gt;0,HESAP!C11=0),"İNCELE",IF(HESAP!C11&gt;KdvMatrahEsik,"İNCELE",IF(HESAP!B18&gt;0,"İNCELE",IF(HESAP!B17&gt;KdvIadeEsik,"İNCELE","UYGUN")))))))</f>
        <v/>
      </c>
    </row>
    <row r="12" ht="15" customHeight="1" s="80">
      <c r="A12" s="131" t="inlineStr">
        <is>
          <t>Gerekçe</t>
        </is>
      </c>
      <c r="B12" s="142">
        <f>IF(COUNTIF(tblKdv[Matrah (₺)],"&lt;0")&gt;0,"Negatif matrah girişi tespit edildi; veriler mutlaka düzeltilmeli.",IF(HESAP!B15&lt;0,"Devreden KDV negatif; indirilecek KDV hesaplananı karşılamıyor, iade hakkı oluşmamış.",IF(AND(COUNTA(tblKdv[Belge Türü])&gt;0,HESAP!C11=0),"Belge türleri HESAP özetiyle eşleşmiyor; veri girişi düzeltilmeli.",IF(HESAP!C11&gt;KdvMatrahEsik,"Toplam belge hacmi eşiğin üzerinde; dosya kapsamlı inceleme gerektirir.",IF(HESAP!B18&gt;0,"Dosyada eksik belge var; iade süreci başlatılmadan belgeler tamamlanmalı.",IF(HESAP!B17&gt;KdvIadeEsik,"Azami iade tutarı eşiğin üzerinde; dosya kapsamlı inceleme gerektirir.","Karar kapısı uygun: iade alacağı belirlendi ve belgeler tam."))))))</f>
        <v/>
      </c>
    </row>
    <row r="14" ht="15" customHeight="1" s="80">
      <c r="A14" s="110" t="inlineStr">
        <is>
          <t>Önerilen Aksiyonlar</t>
        </is>
      </c>
    </row>
    <row r="15" ht="15" customHeight="1" s="80">
      <c r="A15" s="112" t="inlineStr">
        <is>
          <t>Aksiyon 1</t>
        </is>
      </c>
      <c r="B15" s="142">
        <f>KdvAksiyon1_ACIKLAMA</f>
        <v/>
      </c>
    </row>
    <row r="16" ht="15" customHeight="1" s="80">
      <c r="A16" s="112" t="inlineStr">
        <is>
          <t>Aksiyon 2</t>
        </is>
      </c>
      <c r="B16" s="142">
        <f>KdvAksiyon2_ACIKLAMA</f>
        <v/>
      </c>
    </row>
    <row r="17" ht="15" customHeight="1" s="80">
      <c r="A17" s="112" t="inlineStr">
        <is>
          <t>Aksiyon 3</t>
        </is>
      </c>
      <c r="B17" s="142">
        <f>KdvAksiyon3_ACIKLAMA</f>
        <v/>
      </c>
    </row>
    <row r="19" ht="19.5" customHeight="1" s="80">
      <c r="A19" s="130" t="inlineStr">
        <is>
          <t>Karar yalnızca giriş verisi ve AYARLAR'daki eşiklerden türetilir; kesin KDV iadesi onayı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6:J16"/>
    <mergeCell ref="B17:J17"/>
    <mergeCell ref="A19:AN19"/>
    <mergeCell ref="B12:J12"/>
    <mergeCell ref="A1:AD1"/>
  </mergeCells>
  <conditionalFormatting sqref="B11">
    <cfRule type="cellIs" rank="0" priority="2" equalAverage="0" operator="equal" aboveAverage="0" dxfId="13" text="" percent="0" bottom="0">
      <formula>"UYGUN"</formula>
    </cfRule>
    <cfRule type="cellIs" rank="0" priority="3" equalAverage="0" operator="equal" aboveAverage="0" dxfId="14" text="" percent="0" bottom="0">
      <formula>"İNCELE"</formula>
    </cfRule>
    <cfRule type="cellIs" rank="0" priority="4" equalAverage="0" operator="equal" aboveAverage="0" dxfId="11" text="" percent="0" bottom="0">
      <formula>"DURDUR"</formula>
    </cfRule>
  </conditionalFormatting>
  <conditionalFormatting sqref="B6">
    <cfRule type="cellIs" rank="0" priority="5" equalAverage="0" operator="lessThan" aboveAverage="0" dxfId="9" text="" percent="0" bottom="0">
      <formula>0</formula>
    </cfRule>
  </conditionalFormatting>
  <conditionalFormatting sqref="B8">
    <cfRule type="cellIs" rank="0" priority="6" equalAverage="0" operator="greaterThan" aboveAverage="0" dxfId="12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30" customWidth="1" style="106" min="2" max="2"/>
    <col width="20" customWidth="1" style="106" min="3" max="3"/>
    <col width="18" customWidth="1" style="106" min="4" max="4"/>
  </cols>
  <sheetData>
    <row r="1" ht="25.5" customHeight="1" s="80">
      <c r="A1" s="107" t="inlineStr">
        <is>
          <t>SENARYO DUYARLILIK — KDV İadesi Azami Alacak Hesabı &amp; Dosya Hazırlayıcı</t>
        </is>
      </c>
    </row>
    <row r="3" ht="15.75" customHeight="1" s="80">
      <c r="A3" s="114" t="inlineStr">
        <is>
          <t>Senaryo ve Duyarlılık Analizi</t>
        </is>
      </c>
    </row>
    <row r="4" ht="41.25" customHeight="1" s="80">
      <c r="A4" s="109" t="inlineStr">
        <is>
          <t>İyimser, baz ve kötümser senaryolarda azami iade; ardından hangi değişkenin sonucu en çok etkilediğini gösteren tornado analizi.</t>
        </is>
      </c>
    </row>
    <row r="6" ht="15" customHeight="1" s="80">
      <c r="A6" s="153" t="inlineStr">
        <is>
          <t>Senaryo</t>
        </is>
      </c>
      <c r="B6" s="153" t="inlineStr">
        <is>
          <t>Devreden Çarpanı</t>
        </is>
      </c>
      <c r="C6" s="153" t="inlineStr">
        <is>
          <t>Azami İade</t>
        </is>
      </c>
      <c r="D6" s="153" t="inlineStr">
        <is>
          <t>İade Kullanım Oranı</t>
        </is>
      </c>
    </row>
    <row r="7" ht="15" customHeight="1" s="80">
      <c r="A7" s="131" t="inlineStr">
        <is>
          <t>İYİMSER</t>
        </is>
      </c>
      <c r="B7" s="134">
        <f>IF(SUM(tblKdv[Matrah (₺)])=0,0,KdvIyiSenaryo)</f>
        <v/>
      </c>
      <c r="C7" s="133">
        <f>ROUND(HESAP!B17*KdvIyiSenaryo,0)</f>
        <v/>
      </c>
      <c r="D7" s="134">
        <f>IF(HESAP!B17=0,0,C7/HESAP!B17)</f>
        <v/>
      </c>
    </row>
    <row r="8" ht="15" customHeight="1" s="80">
      <c r="A8" s="131" t="inlineStr">
        <is>
          <t>BAZ</t>
        </is>
      </c>
      <c r="B8" s="134">
        <f>IF(SUM(tblKdv[Matrah (₺)])=0,0,KdvBazSenaryo)</f>
        <v/>
      </c>
      <c r="C8" s="133">
        <f>ROUND(HESAP!B17*KdvBazSenaryo,0)</f>
        <v/>
      </c>
      <c r="D8" s="134">
        <f>IF(HESAP!B17=0,0,C8/HESAP!B17)</f>
        <v/>
      </c>
    </row>
    <row r="9" ht="15" customHeight="1" s="80">
      <c r="A9" s="131" t="inlineStr">
        <is>
          <t>KÖTÜMSER</t>
        </is>
      </c>
      <c r="B9" s="134">
        <f>IF(SUM(tblKdv[Matrah (₺)])=0,0,KdvKotuSenaryo)</f>
        <v/>
      </c>
      <c r="C9" s="133">
        <f>ROUND(HESAP!B17*KdvKotuSenaryo,0)</f>
        <v/>
      </c>
      <c r="D9" s="134">
        <f>IF(HESAP!B17=0,0,C9/HESAP!B17)</f>
        <v/>
      </c>
    </row>
    <row r="11" ht="15" customHeight="1" s="80">
      <c r="A11" s="110" t="inlineStr">
        <is>
          <t>Tornado: Azami İadeye Etki</t>
        </is>
      </c>
    </row>
    <row r="12" ht="15" customHeight="1" s="80">
      <c r="A12" s="112" t="inlineStr">
        <is>
          <t>Devreden KDV +%1</t>
        </is>
      </c>
      <c r="B12" s="133">
        <f>ROUND(HESAP!B17*KdvTornadoDevreden,0)</f>
        <v/>
      </c>
    </row>
    <row r="13" ht="15" customHeight="1" s="80">
      <c r="A13" s="112" t="inlineStr">
        <is>
          <t>İhracat +%1</t>
        </is>
      </c>
      <c r="B13" s="133">
        <f>ROUND(HESAP!B17*KdvTornadoIhracat,0)</f>
        <v/>
      </c>
    </row>
    <row r="15" ht="15" customHeight="1" s="80">
      <c r="A15" s="135" t="inlineStr">
        <is>
          <t>En Etkili Değişken</t>
        </is>
      </c>
      <c r="B15" s="154">
        <f>IF(B12&gt;=B13,"Devreden KDV","İhracat")</f>
        <v/>
      </c>
    </row>
    <row r="17" ht="19.5" customHeight="1" s="80">
      <c r="A17" s="130" t="inlineStr">
        <is>
          <t>Senaryo çarpanları AYARLAR'daki parametrelerden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7:AN17"/>
    <mergeCell ref="A1:AD1"/>
  </mergeCells>
  <conditionalFormatting sqref="C7:C9">
    <cfRule type="cellIs" rank="0" priority="2" equalAverage="0" operator="lessThan" aboveAverage="0" dxfId="9" text="" percent="0" bottom="0">
      <formula>0</formula>
    </cfRule>
  </conditionalFormatting>
  <conditionalFormatting sqref="D7:D9">
    <cfRule type="cellIs" rank="0" priority="3" equalAverage="0" operator="lessThan" aboveAverage="0" dxfId="9" text="" percent="0" bottom="0">
      <formula>1</formula>
    </cfRule>
    <cfRule type="cellIs" rank="0" priority="4" equalAverage="0" operator="greaterThan" aboveAverage="0" dxfId="12" text="" percent="0" bottom="0">
      <formula>1.5</formula>
    </cfRule>
  </conditionalFormatting>
  <conditionalFormatting sqref="B12:B13">
    <cfRule type="cellIs" rank="0" priority="5" equalAverage="0" operator="less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AN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40" customWidth="1" style="106" min="2" max="2"/>
  </cols>
  <sheetData>
    <row r="1" ht="25.5" customHeight="1" s="80">
      <c r="A1" s="155" t="inlineStr">
        <is>
          <t>KDV İADESİ AZAMİ ALACAK — YÖNETİCİ ÖZETİ</t>
        </is>
      </c>
    </row>
    <row r="2" ht="15" customHeight="1" s="80">
      <c r="A2" s="156">
        <f>_xlfn.CONCAT("Rapor Tarihi: ",TEXT(RaporTarihi,"dd.mm.yyyy")," | Hazırlayan: ",RaporHazirlayan," | Sürüm: ",DosyaSurumu)</f>
        <v/>
      </c>
    </row>
    <row r="4" ht="17.25" customHeight="1" s="80">
      <c r="A4" s="110" t="inlineStr">
        <is>
          <t>Karar</t>
        </is>
      </c>
      <c r="B4" s="144">
        <f>KARAR!B11</f>
        <v/>
      </c>
    </row>
    <row r="6" ht="15" customHeight="1" s="80">
      <c r="A6" s="112" t="inlineStr">
        <is>
          <t>Hesaplanan KDV</t>
        </is>
      </c>
      <c r="B6" s="133">
        <f>HESAP!B13</f>
        <v/>
      </c>
    </row>
    <row r="7" ht="15" customHeight="1" s="80">
      <c r="A7" s="112" t="inlineStr">
        <is>
          <t>İndirilecek KDV</t>
        </is>
      </c>
      <c r="B7" s="133">
        <f>HESAP!B14</f>
        <v/>
      </c>
    </row>
    <row r="8" ht="15" customHeight="1" s="80">
      <c r="A8" s="112" t="inlineStr">
        <is>
          <t>Devreden KDV</t>
        </is>
      </c>
      <c r="B8" s="133">
        <f>HESAP!B15</f>
        <v/>
      </c>
    </row>
    <row r="9" ht="15" customHeight="1" s="80">
      <c r="A9" s="112" t="inlineStr">
        <is>
          <t>İhracat İade Sınırı</t>
        </is>
      </c>
      <c r="B9" s="133">
        <f>HESAP!B16</f>
        <v/>
      </c>
    </row>
    <row r="10" ht="15" customHeight="1" s="80">
      <c r="A10" s="112" t="inlineStr">
        <is>
          <t>Azami İade Alacağı</t>
        </is>
      </c>
      <c r="B10" s="133">
        <f>HESAP!B17</f>
        <v/>
      </c>
    </row>
    <row r="11" ht="15" customHeight="1" s="80">
      <c r="A11" s="112" t="inlineStr">
        <is>
          <t>Eksik Belge Sayısı</t>
        </is>
      </c>
      <c r="B11" s="132">
        <f>HESAP!B18</f>
        <v/>
      </c>
    </row>
    <row r="12" ht="15" customHeight="1" s="80">
      <c r="A12" s="112" t="inlineStr">
        <is>
          <t>İade Kullanım Oranı</t>
        </is>
      </c>
      <c r="B12" s="134">
        <f>HESAP!B19</f>
        <v/>
      </c>
    </row>
    <row r="13" ht="15" customHeight="1" s="80">
      <c r="A13" s="112" t="inlineStr">
        <is>
          <t>Belge Yoğunlaşması (HHI)</t>
        </is>
      </c>
      <c r="B13" s="157">
        <f>ANALITIK_MOTOR!C11</f>
        <v/>
      </c>
    </row>
    <row r="14" ht="15" customHeight="1" s="80">
      <c r="A14" s="112" t="inlineStr">
        <is>
          <t>Kalite Skoru</t>
        </is>
      </c>
      <c r="B14" s="132">
        <f>KONTROLLER!B19</f>
        <v/>
      </c>
    </row>
    <row r="16" ht="15" customHeight="1" s="80">
      <c r="A16" s="149" t="inlineStr">
        <is>
          <t>Varsayımlar ve Önemli Notlar</t>
        </is>
      </c>
    </row>
    <row r="17" ht="15" customHeight="1" s="80">
      <c r="A17" s="111" t="inlineStr">
        <is>
          <t>• Azami iade alacağı, devreden KDV ile ihracat iade sınırının küçüğüdür; kesin iade tutarı vergi dairesi tespitine bağlıdır.</t>
        </is>
      </c>
    </row>
    <row r="18" ht="15" customHeight="1" s="80">
      <c r="A18" s="111" t="inlineStr">
        <is>
          <t>• Matrah girişleri KDV hariçtir; KDV tutarı oran çarpımıyla otomatik üretilir.</t>
        </is>
      </c>
    </row>
    <row r="19" ht="15" customHeight="1" s="80">
      <c r="A19" s="111" t="inlineStr">
        <is>
          <t>• İade sınırı ve eşikler AYARLAR sayfasından alınır; mevzuat değişikliklerinde güncellenmelidir.</t>
        </is>
      </c>
    </row>
    <row r="20" ht="15" customHeight="1" s="80">
      <c r="A20" s="111" t="inlineStr">
        <is>
          <t>• Bu dosya KDV beyannamesi yerine geçmez; mali müşavir onayı gerektirir.</t>
        </is>
      </c>
    </row>
    <row r="21" ht="15" customHeight="1" s="80">
      <c r="A21" s="111" t="inlineStr">
        <is>
          <t>• Demo veriler gerçek müşteri verisi değildir; kullanımdan önce temizlenmelidir.</t>
        </is>
      </c>
    </row>
    <row r="23" ht="15" customHeight="1" s="80">
      <c r="A23" s="149" t="inlineStr">
        <is>
          <t>Önerilen Aksiyonlar</t>
        </is>
      </c>
    </row>
    <row r="24" ht="15" customHeight="1" s="80">
      <c r="A24" s="111">
        <f>KdvAksiyon1_ACIKLAMA</f>
        <v/>
      </c>
    </row>
    <row r="25" ht="15" customHeight="1" s="80">
      <c r="A25" s="111">
        <f>KdvAksiyon2_ACIKLAMA</f>
        <v/>
      </c>
    </row>
    <row r="26" ht="15" customHeight="1" s="80">
      <c r="A26" s="111">
        <f>KdvAksiyon3_ACIKLAMA</f>
        <v/>
      </c>
    </row>
    <row r="28" ht="21.75" customHeight="1" s="80">
      <c r="A28" s="158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20:L20"/>
    <mergeCell ref="A24:L24"/>
    <mergeCell ref="A2:L2"/>
    <mergeCell ref="A26:L26"/>
    <mergeCell ref="A25:L25"/>
    <mergeCell ref="A19:L19"/>
    <mergeCell ref="A17:L17"/>
    <mergeCell ref="A18:L18"/>
    <mergeCell ref="A21:L21"/>
    <mergeCell ref="A1:AN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&amp;LKDV İadesi Azami Alacak Hesabı Dosya Hazırlayıcı&amp;CExcelArşiv&amp;RSayfa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6" min="1" max="3"/>
    <col width="18" customWidth="1" style="106" min="4" max="4"/>
    <col width="12" customWidth="1" style="106" min="5" max="5"/>
    <col width="16" customWidth="1" style="106" min="6" max="7"/>
    <col width="22" customWidth="1" style="106" min="8" max="8"/>
  </cols>
  <sheetData>
    <row r="1" ht="25.5" customHeight="1" s="80">
      <c r="A1" s="107" t="inlineStr">
        <is>
          <t>ORNEK VERI — KDV İadesi Azami Alacak Hesabı &amp; Dosya Hazırlayıcı</t>
        </is>
      </c>
    </row>
    <row r="3" ht="15" customHeight="1" s="80">
      <c r="A3" s="110" t="inlineStr">
        <is>
          <t>Örnek Veri (Demo)</t>
        </is>
      </c>
    </row>
    <row r="4" ht="108.75" customHeight="1" s="80">
      <c r="A4" s="109" t="inlineStr">
        <is>
          <t>Gerçek girişlere başlamadan önce demo veri ile ürünü deneyin. Bu satırlar örnektir; gerçek verilerle değiştirin.</t>
        </is>
      </c>
    </row>
    <row r="5" ht="30" customHeight="1" s="80">
      <c r="A5" s="119" t="inlineStr">
        <is>
          <t>Tarih</t>
        </is>
      </c>
      <c r="B5" s="119" t="inlineStr">
        <is>
          <t>Belge Numarası</t>
        </is>
      </c>
      <c r="C5" s="119" t="inlineStr">
        <is>
          <t>Belge Türü</t>
        </is>
      </c>
      <c r="D5" s="119" t="inlineStr">
        <is>
          <t>Matrah (₺)</t>
        </is>
      </c>
      <c r="E5" s="119" t="inlineStr">
        <is>
          <t>KDV Oranı</t>
        </is>
      </c>
      <c r="F5" s="119" t="inlineStr">
        <is>
          <t>Belge Durumu</t>
        </is>
      </c>
      <c r="G5" s="119" t="inlineStr">
        <is>
          <t>KDV Tutarı (₺)</t>
        </is>
      </c>
      <c r="H5" s="119" t="inlineStr">
        <is>
          <t>Not</t>
        </is>
      </c>
    </row>
    <row r="6" ht="15" customHeight="1" s="80">
      <c r="A6" s="159" t="inlineStr">
        <is>
          <t>2026-01-05</t>
        </is>
      </c>
      <c r="B6" s="160" t="inlineStr">
        <is>
          <t>F-1001</t>
        </is>
      </c>
      <c r="C6" s="160" t="inlineStr">
        <is>
          <t>Satış</t>
        </is>
      </c>
      <c r="D6" s="161" t="n">
        <v>250000</v>
      </c>
      <c r="E6" s="162" t="n">
        <v>0.2</v>
      </c>
      <c r="F6" s="160" t="inlineStr">
        <is>
          <t>Belgesi Tam</t>
        </is>
      </c>
      <c r="G6" s="163">
        <f>IF($D6=0,0,ROUND($D6*$E6,2))</f>
        <v/>
      </c>
      <c r="H6" s="125">
        <f>IF($C6="","",CONCATENATE("Örnek kayıt: ",$C6))</f>
        <v/>
      </c>
    </row>
    <row r="7" ht="15" customHeight="1" s="80">
      <c r="A7" s="159" t="inlineStr">
        <is>
          <t>2026-01-12</t>
        </is>
      </c>
      <c r="B7" s="160" t="inlineStr">
        <is>
          <t>A-2001</t>
        </is>
      </c>
      <c r="C7" s="160" t="inlineStr">
        <is>
          <t>Alış</t>
        </is>
      </c>
      <c r="D7" s="161" t="n">
        <v>180000</v>
      </c>
      <c r="E7" s="162" t="n">
        <v>0.2</v>
      </c>
      <c r="F7" s="160" t="inlineStr">
        <is>
          <t>Belgesi Tam</t>
        </is>
      </c>
      <c r="G7" s="163">
        <f>IF($D7=0,0,ROUND($D7*$E7,2))</f>
        <v/>
      </c>
      <c r="H7" s="125">
        <f>IF($C7="","",CONCATENATE("Örnek kayıt: ",$C7))</f>
        <v/>
      </c>
    </row>
    <row r="8" ht="15" customHeight="1" s="80">
      <c r="A8" s="159" t="inlineStr">
        <is>
          <t>2026-02-03</t>
        </is>
      </c>
      <c r="B8" s="160" t="inlineStr">
        <is>
          <t>İ-3001</t>
        </is>
      </c>
      <c r="C8" s="160" t="inlineStr">
        <is>
          <t>İhracat</t>
        </is>
      </c>
      <c r="D8" s="161" t="n">
        <v>400000</v>
      </c>
      <c r="E8" s="162" t="n">
        <v>0.01</v>
      </c>
      <c r="F8" s="160" t="inlineStr">
        <is>
          <t>Belgesi Tam</t>
        </is>
      </c>
      <c r="G8" s="163">
        <f>IF($D8=0,0,ROUND($D8*$E8,2))</f>
        <v/>
      </c>
      <c r="H8" s="125">
        <f>IF($C8="","",CONCATENATE("Örnek kayıt: ",$C8))</f>
        <v/>
      </c>
    </row>
    <row r="9" ht="15" customHeight="1" s="80">
      <c r="A9" s="159" t="inlineStr">
        <is>
          <t>2026-02-18</t>
        </is>
      </c>
      <c r="B9" s="160" t="inlineStr">
        <is>
          <t>A-2002</t>
        </is>
      </c>
      <c r="C9" s="160" t="inlineStr">
        <is>
          <t>Alış</t>
        </is>
      </c>
      <c r="D9" s="161" t="n">
        <v>95000</v>
      </c>
      <c r="E9" s="162" t="n">
        <v>0.2</v>
      </c>
      <c r="F9" s="160" t="inlineStr">
        <is>
          <t>Belge Eksik</t>
        </is>
      </c>
      <c r="G9" s="163">
        <f>IF($D9=0,0,ROUND($D9*$E9,2))</f>
        <v/>
      </c>
      <c r="H9" s="125">
        <f>IF($C9="","",CONCATENATE("Örnek kayıt: ",$C9))</f>
        <v/>
      </c>
    </row>
    <row r="10" ht="15" customHeight="1" s="80">
      <c r="A10" s="159" t="inlineStr">
        <is>
          <t>2026-03-07</t>
        </is>
      </c>
      <c r="B10" s="160" t="inlineStr">
        <is>
          <t>F-1002</t>
        </is>
      </c>
      <c r="C10" s="160" t="inlineStr">
        <is>
          <t>Satış</t>
        </is>
      </c>
      <c r="D10" s="161" t="n">
        <v>320000</v>
      </c>
      <c r="E10" s="162" t="n">
        <v>0.2</v>
      </c>
      <c r="F10" s="160" t="inlineStr">
        <is>
          <t>Belgesi Tam</t>
        </is>
      </c>
      <c r="G10" s="163">
        <f>IF($D10=0,0,ROUND($D10*$E10,2))</f>
        <v/>
      </c>
      <c r="H10" s="125">
        <f>IF($C10="","",CONCATENATE("Örnek kayıt: ",$C10))</f>
        <v/>
      </c>
    </row>
    <row r="11" ht="15" customHeight="1" s="80">
      <c r="A11" s="159" t="inlineStr">
        <is>
          <t>2026-03-21</t>
        </is>
      </c>
      <c r="B11" s="160" t="inlineStr">
        <is>
          <t>G-4001</t>
        </is>
      </c>
      <c r="C11" s="160" t="inlineStr">
        <is>
          <t>Gider</t>
        </is>
      </c>
      <c r="D11" s="161" t="n">
        <v>45000</v>
      </c>
      <c r="E11" s="162" t="n">
        <v>0.2</v>
      </c>
      <c r="F11" s="160" t="inlineStr">
        <is>
          <t>Belgesi Tam</t>
        </is>
      </c>
      <c r="G11" s="163">
        <f>IF($D11=0,0,ROUND($D11*$E11,2))</f>
        <v/>
      </c>
      <c r="H11" s="125">
        <f>IF($C11="","",CONCATENATE("Örnek kayıt: ",$C11))</f>
        <v/>
      </c>
    </row>
    <row r="12" ht="15" customHeight="1" s="80">
      <c r="G12" s="125">
        <f>IF($D12=0,0,ROUND($D12*$E12,2))</f>
        <v/>
      </c>
      <c r="H12" s="125">
        <f>IF($C12="","",CONCATENATE("Örnek kayıt: ",$C12))</f>
        <v/>
      </c>
    </row>
    <row r="13" ht="15" customHeight="1" s="80">
      <c r="G13" s="125">
        <f>IF($D13=0,0,ROUND($D13*$E13,2))</f>
        <v/>
      </c>
      <c r="H13" s="125">
        <f>IF($C13="","",CONCATENATE("Örnek kayıt: ",$C13))</f>
        <v/>
      </c>
    </row>
    <row r="14" ht="15" customHeight="1" s="80">
      <c r="G14" s="125">
        <f>IF($D14=0,0,ROUND($D14*$E14,2))</f>
        <v/>
      </c>
      <c r="H14" s="125">
        <f>IF($C14="","",CONCATENATE("Örnek kayıt: ",$C14))</f>
        <v/>
      </c>
    </row>
    <row r="15" ht="15" customHeight="1" s="80">
      <c r="G15" s="125">
        <f>IF($D15=0,0,ROUND($D15*$E15,2))</f>
        <v/>
      </c>
      <c r="H15" s="125">
        <f>IF($C15="","",CONCATENATE("Örnek kayıt: ",$C15))</f>
        <v/>
      </c>
    </row>
    <row r="16" ht="15" customHeight="1" s="80">
      <c r="G16" s="125">
        <f>IF($D16=0,0,ROUND($D16*$E16,2))</f>
        <v/>
      </c>
      <c r="H16" s="125">
        <f>IF($C16="","",CONCATENATE("Örnek kayıt: ",$C16))</f>
        <v/>
      </c>
    </row>
    <row r="17" ht="15" customHeight="1" s="80">
      <c r="G17" s="125">
        <f>IF($D17=0,0,ROUND($D17*$E17,2))</f>
        <v/>
      </c>
      <c r="H17" s="125">
        <f>IF($C17="","",CONCATENATE("Örnek kayıt: ",$C17))</f>
        <v/>
      </c>
    </row>
    <row r="18" ht="15" customHeight="1" s="80">
      <c r="G18" s="125">
        <f>IF($D18=0,0,ROUND($D18*$E18,2))</f>
        <v/>
      </c>
      <c r="H18" s="125">
        <f>IF($C18="","",CONCATENATE("Örnek kayıt: ",$C18))</f>
        <v/>
      </c>
    </row>
    <row r="19" ht="15" customHeight="1" s="80">
      <c r="G19" s="125">
        <f>IF($D19=0,0,ROUND($D19*$E19,2))</f>
        <v/>
      </c>
      <c r="H19" s="125">
        <f>IF($C19="","",CONCATENATE("Örnek kayıt: ",$C19))</f>
        <v/>
      </c>
    </row>
    <row r="20" ht="15" customHeight="1" s="80">
      <c r="G20" s="125">
        <f>IF($D20=0,0,ROUND($D20*$E20,2))</f>
        <v/>
      </c>
      <c r="H20" s="125">
        <f>IF($C20="","",CONCATENATE("Örnek kayıt: ",$C20))</f>
        <v/>
      </c>
    </row>
    <row r="21" ht="15" customHeight="1" s="80">
      <c r="G21" s="125">
        <f>IF($D21=0,0,ROUND($D21*$E21,2))</f>
        <v/>
      </c>
      <c r="H21" s="125">
        <f>IF($C21="","",CONCATENATE("Örnek kayıt: ",$C21))</f>
        <v/>
      </c>
    </row>
    <row r="22" ht="15" customHeight="1" s="80">
      <c r="G22" s="125">
        <f>IF($D22=0,0,ROUND($D22*$E22,2))</f>
        <v/>
      </c>
      <c r="H22" s="125">
        <f>IF($C22="","",CONCATENATE("Örnek kayıt: ",$C22))</f>
        <v/>
      </c>
    </row>
    <row r="23" ht="15" customHeight="1" s="80">
      <c r="G23" s="125">
        <f>IF($D23=0,0,ROUND($D23*$E23,2))</f>
        <v/>
      </c>
      <c r="H23" s="125">
        <f>IF($C23="","",CONCATENATE("Örnek kayıt: ",$C23))</f>
        <v/>
      </c>
    </row>
    <row r="24" ht="15" customHeight="1" s="80">
      <c r="G24" s="125">
        <f>IF($D24=0,0,ROUND($D24*$E24,2))</f>
        <v/>
      </c>
      <c r="H24" s="125">
        <f>IF($C24="","",CONCATENATE("Örnek kayıt: ",$C24))</f>
        <v/>
      </c>
    </row>
    <row r="25" ht="15" customHeight="1" s="80">
      <c r="G25" s="125">
        <f>IF($D25=0,0,ROUND($D25*$E25,2))</f>
        <v/>
      </c>
      <c r="H25" s="125">
        <f>IF($C25="","",CONCATENATE("Örnek kayıt: ",$C25))</f>
        <v/>
      </c>
    </row>
    <row r="26" ht="15" customHeight="1" s="80">
      <c r="G26" s="125">
        <f>IF($D26=0,0,ROUND($D26*$E26,2))</f>
        <v/>
      </c>
      <c r="H26" s="125">
        <f>IF($C26="","",CONCATENATE("Örnek kayıt: ",$C26))</f>
        <v/>
      </c>
    </row>
    <row r="27" ht="15" customHeight="1" s="80">
      <c r="G27" s="125">
        <f>IF($D27=0,0,ROUND($D27*$E27,2))</f>
        <v/>
      </c>
      <c r="H27" s="125">
        <f>IF($C27="","",CONCATENATE("Örnek kayıt: ",$C27))</f>
        <v/>
      </c>
    </row>
    <row r="28" ht="15" customHeight="1" s="80">
      <c r="G28" s="125">
        <f>IF($D28=0,0,ROUND($D28*$E28,2))</f>
        <v/>
      </c>
      <c r="H28" s="125">
        <f>IF($C28="","",CONCATENATE("Örnek kayıt: ",$C28))</f>
        <v/>
      </c>
    </row>
    <row r="29" ht="15" customHeight="1" s="80">
      <c r="G29" s="125">
        <f>IF($D29=0,0,ROUND($D29*$E29,2))</f>
        <v/>
      </c>
      <c r="H29" s="125">
        <f>IF($C29="","",CONCATENATE("Örnek kayıt: ",$C29))</f>
        <v/>
      </c>
    </row>
    <row r="30" ht="15" customHeight="1" s="80">
      <c r="G30" s="125">
        <f>IF($D30=0,0,ROUND($D30*$E30,2))</f>
        <v/>
      </c>
      <c r="H30" s="125">
        <f>IF($C30="","",CONCATENATE("Örnek kayıt: ",$C30))</f>
        <v/>
      </c>
    </row>
    <row r="31" ht="15" customHeight="1" s="80">
      <c r="G31" s="125">
        <f>IF($D31=0,0,ROUND($D31*$E31,2))</f>
        <v/>
      </c>
      <c r="H31" s="125">
        <f>IF($C31="","",CONCATENATE("Örnek kayıt: ",$C31))</f>
        <v/>
      </c>
    </row>
    <row r="32" ht="15" customHeight="1" s="80">
      <c r="G32" s="125">
        <f>IF($D32=0,0,ROUND($D32*$E32,2))</f>
        <v/>
      </c>
      <c r="H32" s="125">
        <f>IF($C32="","",CONCATENATE("Örnek kayıt: ",$C32))</f>
        <v/>
      </c>
    </row>
    <row r="33" ht="15" customHeight="1" s="80">
      <c r="G33" s="125">
        <f>IF($D33=0,0,ROUND($D33*$E33,2))</f>
        <v/>
      </c>
      <c r="H33" s="125">
        <f>IF($C33="","",CONCATENATE("Örnek kayıt: ",$C33))</f>
        <v/>
      </c>
    </row>
    <row r="34" ht="15" customHeight="1" s="80">
      <c r="G34" s="125">
        <f>IF($D34=0,0,ROUND($D34*$E34,2))</f>
        <v/>
      </c>
      <c r="H34" s="125">
        <f>IF($C34="","",CONCATENATE("Örnek kayıt: ",$C34))</f>
        <v/>
      </c>
    </row>
    <row r="35" ht="15" customHeight="1" s="80">
      <c r="G35" s="125">
        <f>IF($D35=0,0,ROUND($D35*$E35,2))</f>
        <v/>
      </c>
      <c r="H35" s="125">
        <f>IF($C35="","",CONCATENATE("Örnek kayıt: ",$C35))</f>
        <v/>
      </c>
    </row>
    <row r="36" ht="15" customHeight="1" s="80">
      <c r="G36" s="125">
        <f>IF($D36=0,0,ROUND($D36*$E36,2))</f>
        <v/>
      </c>
      <c r="H36" s="125">
        <f>IF($C36="","",CONCATENATE("Örnek kayıt: ",$C36))</f>
        <v/>
      </c>
    </row>
    <row r="37" ht="15" customHeight="1" s="80">
      <c r="G37" s="125">
        <f>IF($D37=0,0,ROUND($D37*$E37,2))</f>
        <v/>
      </c>
      <c r="H37" s="125">
        <f>IF($C37="","",CONCATENATE("Örnek kayıt: ",$C37))</f>
        <v/>
      </c>
    </row>
    <row r="38" ht="15" customHeight="1" s="80">
      <c r="G38" s="125">
        <f>IF($D38=0,0,ROUND($D38*$E38,2))</f>
        <v/>
      </c>
      <c r="H38" s="125">
        <f>IF($C38="","",CONCATENATE("Örnek kayıt: ",$C38))</f>
        <v/>
      </c>
    </row>
    <row r="39" ht="15" customHeight="1" s="80">
      <c r="G39" s="125">
        <f>IF($D39=0,0,ROUND($D39*$E39,2))</f>
        <v/>
      </c>
      <c r="H39" s="125">
        <f>IF($C39="","",CONCATENATE("Örnek kayıt: ",$C39))</f>
        <v/>
      </c>
    </row>
    <row r="40" ht="15" customHeight="1" s="80">
      <c r="G40" s="125">
        <f>IF($D40=0,0,ROUND($D40*$E40,2))</f>
        <v/>
      </c>
      <c r="H40" s="125">
        <f>IF($C40="","",CONCATENATE("Örnek kayıt: ",$C40))</f>
        <v/>
      </c>
    </row>
    <row r="41" ht="15" customHeight="1" s="80">
      <c r="G41" s="125">
        <f>IF($D41=0,0,ROUND($D41*$E41,2))</f>
        <v/>
      </c>
      <c r="H41" s="125">
        <f>IF($C41="","",CONCATENATE("Örnek kayıt: ",$C41))</f>
        <v/>
      </c>
    </row>
    <row r="42" ht="15" customHeight="1" s="80">
      <c r="G42" s="125">
        <f>IF($D42=0,0,ROUND($D42*$E42,2))</f>
        <v/>
      </c>
      <c r="H42" s="125">
        <f>IF($C42="","",CONCATENATE("Örnek kayıt: ",$C42))</f>
        <v/>
      </c>
    </row>
    <row r="43" ht="15" customHeight="1" s="80">
      <c r="G43" s="125">
        <f>IF($D43=0,0,ROUND($D43*$E43,2))</f>
        <v/>
      </c>
      <c r="H43" s="125">
        <f>IF($C43="","",CONCATENATE("Örnek kayıt: ",$C43))</f>
        <v/>
      </c>
    </row>
    <row r="44" ht="15" customHeight="1" s="80">
      <c r="G44" s="125">
        <f>IF($D44=0,0,ROUND($D44*$E44,2))</f>
        <v/>
      </c>
      <c r="H44" s="125">
        <f>IF($C44="","",CONCATENATE("Örnek kayıt: ",$C44))</f>
        <v/>
      </c>
    </row>
    <row r="45" ht="15" customHeight="1" s="80">
      <c r="G45" s="125">
        <f>IF($D45=0,0,ROUND($D45*$E45,2))</f>
        <v/>
      </c>
      <c r="H45" s="125">
        <f>IF($C45="","",CONCATENATE("Örnek kayıt: ",$C45))</f>
        <v/>
      </c>
    </row>
    <row r="46" ht="15" customHeight="1" s="80">
      <c r="G46" s="125">
        <f>IF($D46=0,0,ROUND($D46*$E46,2))</f>
        <v/>
      </c>
      <c r="H46" s="125">
        <f>IF($C46="","",CONCATENATE("Örnek kayıt: ",$C46))</f>
        <v/>
      </c>
    </row>
    <row r="47" ht="15" customHeight="1" s="80">
      <c r="G47" s="125">
        <f>IF($D47=0,0,ROUND($D47*$E47,2))</f>
        <v/>
      </c>
      <c r="H47" s="125">
        <f>IF($C47="","",CONCATENATE("Örnek kayıt: ",$C47))</f>
        <v/>
      </c>
    </row>
    <row r="48" ht="15" customHeight="1" s="80">
      <c r="G48" s="125">
        <f>IF($D48=0,0,ROUND($D48*$E48,2))</f>
        <v/>
      </c>
      <c r="H48" s="125">
        <f>IF($C48="","",CONCATENATE("Örnek kayıt: ",$C48))</f>
        <v/>
      </c>
    </row>
    <row r="49" ht="15" customHeight="1" s="80">
      <c r="G49" s="125">
        <f>IF($D49=0,0,ROUND($D49*$E49,2))</f>
        <v/>
      </c>
      <c r="H49" s="125">
        <f>IF($C49="","",CONCATENATE("Örnek kayıt: ",$C49))</f>
        <v/>
      </c>
    </row>
    <row r="50" ht="15" customHeight="1" s="80">
      <c r="G50" s="125">
        <f>IF($D50=0,0,ROUND($D50*$E50,2))</f>
        <v/>
      </c>
      <c r="H50" s="125">
        <f>IF($C50="","",CONCATENATE("Örnek kayıt: ",$C50))</f>
        <v/>
      </c>
    </row>
    <row r="51" ht="15" customHeight="1" s="80">
      <c r="G51" s="125">
        <f>IF($D51=0,0,ROUND($D51*$E51,2))</f>
        <v/>
      </c>
      <c r="H51" s="125">
        <f>IF($C51="","",CONCATENATE("Örnek kayıt: ",$C51))</f>
        <v/>
      </c>
    </row>
    <row r="52" ht="15" customHeight="1" s="80">
      <c r="G52" s="125">
        <f>IF($D52=0,0,ROUND($D52*$E52,2))</f>
        <v/>
      </c>
      <c r="H52" s="125">
        <f>IF($C52="","",CONCATENATE("Örnek kayıt: ",$C52))</f>
        <v/>
      </c>
    </row>
    <row r="53" ht="15" customHeight="1" s="80">
      <c r="G53" s="125">
        <f>IF($D53=0,0,ROUND($D53*$E53,2))</f>
        <v/>
      </c>
      <c r="H53" s="125">
        <f>IF($C53="","",CONCATENATE("Örnek kayıt: ",$C53))</f>
        <v/>
      </c>
    </row>
    <row r="54" ht="15" customHeight="1" s="80">
      <c r="G54" s="125">
        <f>IF($D54=0,0,ROUND($D54*$E54,2))</f>
        <v/>
      </c>
      <c r="H54" s="125">
        <f>IF($C54="","",CONCATENATE("Örnek kayıt: ",$C54))</f>
        <v/>
      </c>
    </row>
    <row r="55" ht="15" customHeight="1" s="80">
      <c r="G55" s="125">
        <f>IF($D55=0,0,ROUND($D55*$E55,2))</f>
        <v/>
      </c>
      <c r="H55" s="125">
        <f>IF($C55="","",CONCATENATE("Örnek kayıt: ",$C55))</f>
        <v/>
      </c>
    </row>
    <row r="56" ht="15" customHeight="1" s="80">
      <c r="G56" s="125">
        <f>IF($D56=0,0,ROUND($D56*$E56,2))</f>
        <v/>
      </c>
      <c r="H56" s="125">
        <f>IF($C56="","",CONCATENATE("Örnek kayıt: ",$C56))</f>
        <v/>
      </c>
    </row>
    <row r="57" ht="15" customHeight="1" s="80">
      <c r="G57" s="125">
        <f>IF($D57=0,0,ROUND($D57*$E57,2))</f>
        <v/>
      </c>
      <c r="H57" s="125">
        <f>IF($C57="","",CONCATENATE("Örnek kayıt: ",$C57))</f>
        <v/>
      </c>
    </row>
    <row r="58" ht="15" customHeight="1" s="80">
      <c r="G58" s="125">
        <f>IF($D58=0,0,ROUND($D58*$E58,2))</f>
        <v/>
      </c>
      <c r="H58" s="125">
        <f>IF($C58="","",CONCATENATE("Örnek kayıt: ",$C58))</f>
        <v/>
      </c>
    </row>
    <row r="59" ht="15" customHeight="1" s="80">
      <c r="G59" s="125">
        <f>IF($D59=0,0,ROUND($D59*$E59,2))</f>
        <v/>
      </c>
      <c r="H59" s="125">
        <f>IF($C59="","",CONCATENATE("Örnek kayıt: ",$C59))</f>
        <v/>
      </c>
    </row>
    <row r="60" ht="15" customHeight="1" s="80">
      <c r="G60" s="125">
        <f>IF($D60=0,0,ROUND($D60*$E60,2))</f>
        <v/>
      </c>
      <c r="H60" s="125">
        <f>IF($C60="","",CONCATENATE("Örnek kayıt: ",$C60))</f>
        <v/>
      </c>
    </row>
    <row r="61" ht="15" customHeight="1" s="80">
      <c r="G61" s="125">
        <f>IF($D61=0,0,ROUND($D61*$E61,2))</f>
        <v/>
      </c>
      <c r="H61" s="125">
        <f>IF($C61="","",CONCATENATE("Örnek kayıt: ",$C61))</f>
        <v/>
      </c>
    </row>
    <row r="62" ht="15" customHeight="1" s="80">
      <c r="G62" s="125">
        <f>IF($D62=0,0,ROUND($D62*$E62,2))</f>
        <v/>
      </c>
      <c r="H62" s="125">
        <f>IF($C62="","",CONCATENATE("Örnek kayıt: ",$C62))</f>
        <v/>
      </c>
    </row>
    <row r="63" ht="15" customHeight="1" s="80">
      <c r="G63" s="125">
        <f>IF($D63=0,0,ROUND($D63*$E63,2))</f>
        <v/>
      </c>
      <c r="H63" s="125">
        <f>IF($C63="","",CONCATENATE("Örnek kayıt: ",$C63))</f>
        <v/>
      </c>
    </row>
    <row r="64" ht="15" customHeight="1" s="80">
      <c r="G64" s="125">
        <f>IF($D64=0,0,ROUND($D64*$E64,2))</f>
        <v/>
      </c>
      <c r="H64" s="125">
        <f>IF($C64="","",CONCATENATE("Örnek kayıt: ",$C64))</f>
        <v/>
      </c>
    </row>
    <row r="65" ht="15" customHeight="1" s="80">
      <c r="G65" s="125">
        <f>IF($D65=0,0,ROUND($D65*$E65,2))</f>
        <v/>
      </c>
      <c r="H65" s="125">
        <f>IF($C65="","",CONCATENATE("Örnek kayıt: ",$C65))</f>
        <v/>
      </c>
    </row>
    <row r="66" ht="15" customHeight="1" s="80">
      <c r="G66" s="125">
        <f>IF($D66=0,0,ROUND($D66*$E66,2))</f>
        <v/>
      </c>
      <c r="H66" s="125">
        <f>IF($C66="","",CONCATENATE("Örnek kayıt: ",$C66))</f>
        <v/>
      </c>
    </row>
    <row r="67" ht="15" customHeight="1" s="80">
      <c r="G67" s="125">
        <f>IF($D67=0,0,ROUND($D67*$E67,2))</f>
        <v/>
      </c>
      <c r="H67" s="125">
        <f>IF($C67="","",CONCATENATE("Örnek kayıt: ",$C67))</f>
        <v/>
      </c>
    </row>
    <row r="68" ht="15" customHeight="1" s="80">
      <c r="G68" s="125">
        <f>IF($D68=0,0,ROUND($D68*$E68,2))</f>
        <v/>
      </c>
      <c r="H68" s="125">
        <f>IF($C68="","",CONCATENATE("Örnek kayıt: ",$C68))</f>
        <v/>
      </c>
    </row>
    <row r="69" ht="15" customHeight="1" s="80">
      <c r="G69" s="125">
        <f>IF($D69=0,0,ROUND($D69*$E69,2))</f>
        <v/>
      </c>
      <c r="H69" s="125">
        <f>IF($C69="","",CONCATENATE("Örnek kayıt: ",$C69))</f>
        <v/>
      </c>
    </row>
    <row r="70" ht="15" customHeight="1" s="80">
      <c r="G70" s="125">
        <f>IF($D70=0,0,ROUND($D70*$E70,2))</f>
        <v/>
      </c>
      <c r="H70" s="125">
        <f>IF($C70="","",CONCATENATE("Örnek kayıt: ",$C70))</f>
        <v/>
      </c>
    </row>
    <row r="71" ht="15" customHeight="1" s="80">
      <c r="G71" s="125">
        <f>IF($D71=0,0,ROUND($D71*$E71,2))</f>
        <v/>
      </c>
      <c r="H71" s="125">
        <f>IF($C71="","",CONCATENATE("Örnek kayıt: ",$C71))</f>
        <v/>
      </c>
    </row>
    <row r="72" ht="15" customHeight="1" s="80">
      <c r="G72" s="125">
        <f>IF($D72=0,0,ROUND($D72*$E72,2))</f>
        <v/>
      </c>
      <c r="H72" s="125">
        <f>IF($C72="","",CONCATENATE("Örnek kayıt: ",$C72))</f>
        <v/>
      </c>
    </row>
    <row r="73" ht="15" customHeight="1" s="80">
      <c r="G73" s="125">
        <f>IF($D73=0,0,ROUND($D73*$E73,2))</f>
        <v/>
      </c>
      <c r="H73" s="125">
        <f>IF($C73="","",CONCATENATE("Örnek kayıt: ",$C73))</f>
        <v/>
      </c>
    </row>
    <row r="74" ht="15" customHeight="1" s="80">
      <c r="G74" s="125">
        <f>IF($D74=0,0,ROUND($D74*$E74,2))</f>
        <v/>
      </c>
      <c r="H74" s="125">
        <f>IF($C74="","",CONCATENATE("Örnek kayıt: ",$C74))</f>
        <v/>
      </c>
    </row>
    <row r="75" ht="15" customHeight="1" s="80">
      <c r="G75" s="125">
        <f>IF($D75=0,0,ROUND($D75*$E75,2))</f>
        <v/>
      </c>
      <c r="H75" s="125">
        <f>IF($C75="","",CONCATENATE("Örnek kayıt: ",$C75))</f>
        <v/>
      </c>
    </row>
    <row r="76" ht="15" customHeight="1" s="80">
      <c r="G76" s="125">
        <f>IF($D76=0,0,ROUND($D76*$E76,2))</f>
        <v/>
      </c>
      <c r="H76" s="125">
        <f>IF($C76="","",CONCATENATE("Örnek kayıt: ",$C76))</f>
        <v/>
      </c>
    </row>
    <row r="77" ht="15" customHeight="1" s="80">
      <c r="G77" s="125">
        <f>IF($D77=0,0,ROUND($D77*$E77,2))</f>
        <v/>
      </c>
      <c r="H77" s="125">
        <f>IF($C77="","",CONCATENATE("Örnek kayıt: ",$C77))</f>
        <v/>
      </c>
    </row>
    <row r="78" ht="15" customHeight="1" s="80">
      <c r="G78" s="125">
        <f>IF($D78=0,0,ROUND($D78*$E78,2))</f>
        <v/>
      </c>
      <c r="H78" s="125">
        <f>IF($C78="","",CONCATENATE("Örnek kayıt: ",$C78))</f>
        <v/>
      </c>
    </row>
    <row r="79" ht="15" customHeight="1" s="80">
      <c r="G79" s="125">
        <f>IF($D79=0,0,ROUND($D79*$E79,2))</f>
        <v/>
      </c>
      <c r="H79" s="125">
        <f>IF($C79="","",CONCATENATE("Örnek kayıt: ",$C79))</f>
        <v/>
      </c>
    </row>
    <row r="80" ht="15" customHeight="1" s="80">
      <c r="G80" s="125">
        <f>IF($D80=0,0,ROUND($D80*$E80,2))</f>
        <v/>
      </c>
      <c r="H80" s="125">
        <f>IF($C80="","",CONCATENATE("Örnek kayıt: ",$C80))</f>
        <v/>
      </c>
    </row>
    <row r="81" ht="15" customHeight="1" s="80">
      <c r="G81" s="125">
        <f>IF($D81=0,0,ROUND($D81*$E81,2))</f>
        <v/>
      </c>
      <c r="H81" s="125">
        <f>IF($C81="","",CONCATENATE("Örnek kayıt: ",$C81))</f>
        <v/>
      </c>
    </row>
    <row r="82" ht="15" customHeight="1" s="80">
      <c r="G82" s="125">
        <f>IF($D82=0,0,ROUND($D82*$E82,2))</f>
        <v/>
      </c>
      <c r="H82" s="125">
        <f>IF($C82="","",CONCATENATE("Örnek kayıt: ",$C82))</f>
        <v/>
      </c>
    </row>
    <row r="83" ht="15" customHeight="1" s="80">
      <c r="G83" s="125">
        <f>IF($D83=0,0,ROUND($D83*$E83,2))</f>
        <v/>
      </c>
      <c r="H83" s="125">
        <f>IF($C83="","",CONCATENATE("Örnek kayıt: ",$C83))</f>
        <v/>
      </c>
    </row>
    <row r="84" ht="15" customHeight="1" s="80">
      <c r="G84" s="125">
        <f>IF($D84=0,0,ROUND($D84*$E84,2))</f>
        <v/>
      </c>
      <c r="H84" s="125">
        <f>IF($C84="","",CONCATENATE("Örnek kayıt: ",$C84))</f>
        <v/>
      </c>
    </row>
    <row r="85" ht="15" customHeight="1" s="80">
      <c r="G85" s="125">
        <f>IF($D85=0,0,ROUND($D85*$E85,2))</f>
        <v/>
      </c>
      <c r="H85" s="125">
        <f>IF($C85="","",CONCATENATE("Örnek kayıt: ",$C85))</f>
        <v/>
      </c>
    </row>
    <row r="86" ht="15" customHeight="1" s="80">
      <c r="G86" s="125">
        <f>IF($D86=0,0,ROUND($D86*$E86,2))</f>
        <v/>
      </c>
      <c r="H86" s="125">
        <f>IF($C86="","",CONCATENATE("Örnek kayıt: ",$C86))</f>
        <v/>
      </c>
    </row>
    <row r="87" ht="15" customHeight="1" s="80">
      <c r="G87" s="125">
        <f>IF($D87=0,0,ROUND($D87*$E87,2))</f>
        <v/>
      </c>
      <c r="H87" s="125">
        <f>IF($C87="","",CONCATENATE("Örnek kayıt: ",$C87))</f>
        <v/>
      </c>
    </row>
    <row r="88" ht="15" customHeight="1" s="80">
      <c r="G88" s="125">
        <f>IF($D88=0,0,ROUND($D88*$E88,2))</f>
        <v/>
      </c>
      <c r="H88" s="125">
        <f>IF($C88="","",CONCATENATE("Örnek kayıt: ",$C88))</f>
        <v/>
      </c>
    </row>
    <row r="89" ht="15" customHeight="1" s="80">
      <c r="G89" s="125">
        <f>IF($D89=0,0,ROUND($D89*$E89,2))</f>
        <v/>
      </c>
      <c r="H89" s="125">
        <f>IF($C89="","",CONCATENATE("Örnek kayıt: ",$C89))</f>
        <v/>
      </c>
    </row>
    <row r="90" ht="15" customHeight="1" s="80">
      <c r="G90" s="125">
        <f>IF($D90=0,0,ROUND($D90*$E90,2))</f>
        <v/>
      </c>
      <c r="H90" s="125">
        <f>IF($C90="","",CONCATENATE("Örnek kayıt: ",$C90))</f>
        <v/>
      </c>
    </row>
    <row r="91" ht="15" customHeight="1" s="80">
      <c r="G91" s="125">
        <f>IF($D91=0,0,ROUND($D91*$E91,2))</f>
        <v/>
      </c>
      <c r="H91" s="125">
        <f>IF($C91="","",CONCATENATE("Örnek kayıt: ",$C91))</f>
        <v/>
      </c>
    </row>
    <row r="92" ht="15" customHeight="1" s="80">
      <c r="G92" s="125">
        <f>IF($D92=0,0,ROUND($D92*$E92,2))</f>
        <v/>
      </c>
      <c r="H92" s="125">
        <f>IF($C92="","",CONCATENATE("Örnek kayıt: ",$C92))</f>
        <v/>
      </c>
    </row>
    <row r="93" ht="15" customHeight="1" s="80">
      <c r="G93" s="125">
        <f>IF($D93=0,0,ROUND($D93*$E93,2))</f>
        <v/>
      </c>
      <c r="H93" s="125">
        <f>IF($C93="","",CONCATENATE("Örnek kayıt: ",$C93))</f>
        <v/>
      </c>
    </row>
    <row r="94" ht="15" customHeight="1" s="80">
      <c r="G94" s="125">
        <f>IF($D94=0,0,ROUND($D94*$E94,2))</f>
        <v/>
      </c>
      <c r="H94" s="125">
        <f>IF($C94="","",CONCATENATE("Örnek kayıt: ",$C94))</f>
        <v/>
      </c>
    </row>
    <row r="95" ht="15" customHeight="1" s="80">
      <c r="G95" s="125">
        <f>IF($D95=0,0,ROUND($D95*$E95,2))</f>
        <v/>
      </c>
      <c r="H95" s="125">
        <f>IF($C95="","",CONCATENATE("Örnek kayıt: ",$C95))</f>
        <v/>
      </c>
    </row>
    <row r="96" ht="15" customHeight="1" s="80">
      <c r="G96" s="125">
        <f>IF($D96=0,0,ROUND($D96*$E96,2))</f>
        <v/>
      </c>
      <c r="H96" s="125">
        <f>IF($C96="","",CONCATENATE("Örnek kayıt: ",$C96))</f>
        <v/>
      </c>
    </row>
    <row r="97" ht="15" customHeight="1" s="80">
      <c r="G97" s="125">
        <f>IF($D97=0,0,ROUND($D97*$E97,2))</f>
        <v/>
      </c>
      <c r="H97" s="125">
        <f>IF($C97="","",CONCATENATE("Örnek kayıt: ",$C97))</f>
        <v/>
      </c>
    </row>
    <row r="98" ht="15" customHeight="1" s="80">
      <c r="G98" s="125">
        <f>IF($D98=0,0,ROUND($D98*$E98,2))</f>
        <v/>
      </c>
      <c r="H98" s="125">
        <f>IF($C98="","",CONCATENATE("Örnek kayıt: ",$C98))</f>
        <v/>
      </c>
    </row>
    <row r="99" ht="15" customHeight="1" s="80">
      <c r="G99" s="125">
        <f>IF($D99=0,0,ROUND($D99*$E99,2))</f>
        <v/>
      </c>
      <c r="H99" s="125">
        <f>IF($C99="","",CONCATENATE("Örnek kayıt: ",$C99))</f>
        <v/>
      </c>
    </row>
    <row r="100" ht="15" customHeight="1" s="80">
      <c r="G100" s="125">
        <f>IF($D100=0,0,ROUND($D100*$E100,2))</f>
        <v/>
      </c>
      <c r="H100" s="125">
        <f>IF($C100="","",CONCATENATE("Örnek kayıt: ",$C100))</f>
        <v/>
      </c>
    </row>
    <row r="101" ht="15" customHeight="1" s="80">
      <c r="G101" s="125">
        <f>IF($D101=0,0,ROUND($D101*$E101,2))</f>
        <v/>
      </c>
      <c r="H101" s="125">
        <f>IF($C101="","",CONCATENATE("Örnek kayıt: ",$C101))</f>
        <v/>
      </c>
    </row>
    <row r="102" ht="15" customHeight="1" s="80">
      <c r="G102" s="125">
        <f>IF($D102=0,0,ROUND($D102*$E102,2))</f>
        <v/>
      </c>
      <c r="H102" s="125">
        <f>IF($C102="","",CONCATENATE("Örnek kayıt: ",$C102))</f>
        <v/>
      </c>
    </row>
    <row r="103" ht="15" customHeight="1" s="80">
      <c r="G103" s="125">
        <f>IF($D103=0,0,ROUND($D103*$E103,2))</f>
        <v/>
      </c>
      <c r="H103" s="125">
        <f>IF($C103="","",CONCATENATE("Örnek kayıt: ",$C103))</f>
        <v/>
      </c>
    </row>
    <row r="104" ht="15" customHeight="1" s="80">
      <c r="G104" s="125">
        <f>IF($D104=0,0,ROUND($D104*$E104,2))</f>
        <v/>
      </c>
      <c r="H104" s="125">
        <f>IF($C104="","",CONCATENATE("Örnek kayıt: ",$C104))</f>
        <v/>
      </c>
    </row>
    <row r="105" ht="15" customHeight="1" s="80">
      <c r="G105" s="125">
        <f>IF($D105=0,0,ROUND($D105*$E105,2))</f>
        <v/>
      </c>
      <c r="H105" s="125">
        <f>IF($C105="","",CONCATENATE("Örnek kayıt: ",$C105))</f>
        <v/>
      </c>
    </row>
    <row r="106" ht="15" customHeight="1" s="80">
      <c r="G106" s="125">
        <f>IF($D106=0,0,ROUND($D106*$E106,2))</f>
        <v/>
      </c>
      <c r="H106" s="125">
        <f>IF($C106="","",CONCATENATE("Örnek kayıt: ",$C106))</f>
        <v/>
      </c>
    </row>
    <row r="107" ht="15" customHeight="1" s="80">
      <c r="G107" s="125">
        <f>IF($D107=0,0,ROUND($D107*$E107,2))</f>
        <v/>
      </c>
      <c r="H107" s="125">
        <f>IF($C107="","",CONCATENATE("Örnek kayıt: ",$C107))</f>
        <v/>
      </c>
    </row>
    <row r="108" ht="15" customHeight="1" s="80">
      <c r="G108" s="125">
        <f>IF($D108=0,0,ROUND($D108*$E108,2))</f>
        <v/>
      </c>
      <c r="H108" s="125">
        <f>IF($C108="","",CONCATENATE("Örnek kayıt: ",$C108))</f>
        <v/>
      </c>
    </row>
    <row r="109" ht="15" customHeight="1" s="80">
      <c r="G109" s="125">
        <f>IF($D109=0,0,ROUND($D109*$E109,2))</f>
        <v/>
      </c>
      <c r="H109" s="125">
        <f>IF($C109="","",CONCATENATE("Örnek kayıt: ",$C109))</f>
        <v/>
      </c>
    </row>
    <row r="110" ht="15" customHeight="1" s="80">
      <c r="G110" s="125">
        <f>IF($D110=0,0,ROUND($D110*$E110,2))</f>
        <v/>
      </c>
      <c r="H110" s="125">
        <f>IF($C110="","",CONCATENATE("Örnek kayıt: ",$C110))</f>
        <v/>
      </c>
    </row>
    <row r="111" ht="15" customHeight="1" s="80">
      <c r="G111" s="125">
        <f>IF($D111=0,0,ROUND($D111*$E111,2))</f>
        <v/>
      </c>
      <c r="H111" s="125">
        <f>IF($C111="","",CONCATENATE("Örnek kayıt: ",$C111))</f>
        <v/>
      </c>
    </row>
    <row r="112" ht="15" customHeight="1" s="80">
      <c r="G112" s="125">
        <f>IF($D112=0,0,ROUND($D112*$E112,2))</f>
        <v/>
      </c>
      <c r="H112" s="125">
        <f>IF($C112="","",CONCATENATE("Örnek kayıt: ",$C112))</f>
        <v/>
      </c>
    </row>
    <row r="113" ht="15" customHeight="1" s="80">
      <c r="G113" s="125">
        <f>IF($D113=0,0,ROUND($D113*$E113,2))</f>
        <v/>
      </c>
      <c r="H113" s="125">
        <f>IF($C113="","",CONCATENATE("Örnek kayıt: ",$C113))</f>
        <v/>
      </c>
    </row>
    <row r="114" ht="15" customHeight="1" s="80">
      <c r="G114" s="125">
        <f>IF($D114=0,0,ROUND($D114*$E114,2))</f>
        <v/>
      </c>
      <c r="H114" s="125">
        <f>IF($C114="","",CONCATENATE("Örnek kayıt: ",$C114))</f>
        <v/>
      </c>
    </row>
    <row r="115" ht="15" customHeight="1" s="80">
      <c r="G115" s="125">
        <f>IF($D115=0,0,ROUND($D115*$E115,2))</f>
        <v/>
      </c>
      <c r="H115" s="125">
        <f>IF($C115="","",CONCATENATE("Örnek kayıt: ",$C115))</f>
        <v/>
      </c>
    </row>
    <row r="116" ht="15" customHeight="1" s="80">
      <c r="G116" s="125">
        <f>IF($D116=0,0,ROUND($D116*$E116,2))</f>
        <v/>
      </c>
      <c r="H116" s="125">
        <f>IF($C116="","",CONCATENATE("Örnek kayıt: ",$C116))</f>
        <v/>
      </c>
    </row>
    <row r="117" ht="15" customHeight="1" s="80">
      <c r="G117" s="125">
        <f>IF($D117=0,0,ROUND($D117*$E117,2))</f>
        <v/>
      </c>
      <c r="H117" s="125">
        <f>IF($C117="","",CONCATENATE("Örnek kayıt: ",$C117))</f>
        <v/>
      </c>
    </row>
    <row r="118" ht="15" customHeight="1" s="80">
      <c r="G118" s="125">
        <f>IF($D118=0,0,ROUND($D118*$E118,2))</f>
        <v/>
      </c>
      <c r="H118" s="125">
        <f>IF($C118="","",CONCATENATE("Örnek kayıt: ",$C118))</f>
        <v/>
      </c>
    </row>
    <row r="119" ht="15" customHeight="1" s="80">
      <c r="G119" s="125">
        <f>IF($D119=0,0,ROUND($D119*$E119,2))</f>
        <v/>
      </c>
      <c r="H119" s="125">
        <f>IF($C119="","",CONCATENATE("Örnek kayıt: ",$C119))</f>
        <v/>
      </c>
    </row>
    <row r="120" ht="15" customHeight="1" s="80">
      <c r="G120" s="125">
        <f>IF($D120=0,0,ROUND($D120*$E120,2))</f>
        <v/>
      </c>
      <c r="H120" s="125">
        <f>IF($C120="","",CONCATENATE("Örnek kayıt: ",$C120))</f>
        <v/>
      </c>
    </row>
    <row r="121" ht="15" customHeight="1" s="80">
      <c r="G121" s="125">
        <f>IF($D121=0,0,ROUND($D121*$E121,2))</f>
        <v/>
      </c>
      <c r="H121" s="125">
        <f>IF($C121="","",CONCATENATE("Örnek kayıt: ",$C121))</f>
        <v/>
      </c>
    </row>
    <row r="122" ht="15" customHeight="1" s="80">
      <c r="G122" s="125">
        <f>IF($D122=0,0,ROUND($D122*$E122,2))</f>
        <v/>
      </c>
      <c r="H122" s="125">
        <f>IF($C122="","",CONCATENATE("Örnek kayıt: ",$C122))</f>
        <v/>
      </c>
    </row>
    <row r="123" ht="15" customHeight="1" s="80">
      <c r="G123" s="125">
        <f>IF($D123=0,0,ROUND($D123*$E123,2))</f>
        <v/>
      </c>
      <c r="H123" s="125">
        <f>IF($C123="","",CONCATENATE("Örnek kayıt: ",$C123))</f>
        <v/>
      </c>
    </row>
    <row r="124" ht="15" customHeight="1" s="80">
      <c r="G124" s="125">
        <f>IF($D124=0,0,ROUND($D124*$E124,2))</f>
        <v/>
      </c>
      <c r="H124" s="125">
        <f>IF($C124="","",CONCATENATE("Örnek kayıt: ",$C124))</f>
        <v/>
      </c>
    </row>
    <row r="125" ht="15" customHeight="1" s="80">
      <c r="G125" s="125">
        <f>IF($D125=0,0,ROUND($D125*$E125,2))</f>
        <v/>
      </c>
      <c r="H125" s="125">
        <f>IF($C125="","",CONCATENATE("Örnek kayıt: ",$C125))</f>
        <v/>
      </c>
    </row>
    <row r="126" ht="15" customHeight="1" s="80">
      <c r="G126" s="125">
        <f>IF($D126=0,0,ROUND($D126*$E126,2))</f>
        <v/>
      </c>
      <c r="H126" s="125">
        <f>IF($C126="","",CONCATENATE("Örnek kayıt: ",$C126))</f>
        <v/>
      </c>
    </row>
    <row r="127" ht="15" customHeight="1" s="80">
      <c r="G127" s="125">
        <f>IF($D127=0,0,ROUND($D127*$E127,2))</f>
        <v/>
      </c>
      <c r="H127" s="125">
        <f>IF($C127="","",CONCATENATE("Örnek kayıt: ",$C127))</f>
        <v/>
      </c>
    </row>
    <row r="128" ht="15" customHeight="1" s="80">
      <c r="G128" s="125">
        <f>IF($D128=0,0,ROUND($D128*$E128,2))</f>
        <v/>
      </c>
      <c r="H128" s="125">
        <f>IF($C128="","",CONCATENATE("Örnek kayıt: ",$C128))</f>
        <v/>
      </c>
    </row>
    <row r="129" ht="15" customHeight="1" s="80">
      <c r="G129" s="125">
        <f>IF($D129=0,0,ROUND($D129*$E129,2))</f>
        <v/>
      </c>
      <c r="H129" s="125">
        <f>IF($C129="","",CONCATENATE("Örnek kayıt: ",$C129))</f>
        <v/>
      </c>
    </row>
    <row r="130" ht="15" customHeight="1" s="80">
      <c r="G130" s="125">
        <f>IF($D130=0,0,ROUND($D130*$E130,2))</f>
        <v/>
      </c>
      <c r="H130" s="125">
        <f>IF($C130="","",CONCATENATE("Örnek kayıt: ",$C130))</f>
        <v/>
      </c>
    </row>
    <row r="131" ht="15" customHeight="1" s="80">
      <c r="G131" s="125">
        <f>IF($D131=0,0,ROUND($D131*$E131,2))</f>
        <v/>
      </c>
      <c r="H131" s="125">
        <f>IF($C131="","",CONCATENATE("Örnek kayıt: ",$C131))</f>
        <v/>
      </c>
    </row>
    <row r="132" ht="15" customHeight="1" s="80">
      <c r="G132" s="125">
        <f>IF($D132=0,0,ROUND($D132*$E132,2))</f>
        <v/>
      </c>
      <c r="H132" s="125">
        <f>IF($C132="","",CONCATENATE("Örnek kayıt: ",$C132))</f>
        <v/>
      </c>
    </row>
    <row r="133" ht="15" customHeight="1" s="80">
      <c r="G133" s="125">
        <f>IF($D133=0,0,ROUND($D133*$E133,2))</f>
        <v/>
      </c>
      <c r="H133" s="125">
        <f>IF($C133="","",CONCATENATE("Örnek kayıt: ",$C133))</f>
        <v/>
      </c>
    </row>
    <row r="134" ht="15" customHeight="1" s="80">
      <c r="G134" s="125">
        <f>IF($D134=0,0,ROUND($D134*$E134,2))</f>
        <v/>
      </c>
      <c r="H134" s="125">
        <f>IF($C134="","",CONCATENATE("Örnek kayıt: ",$C134))</f>
        <v/>
      </c>
    </row>
    <row r="135" ht="15" customHeight="1" s="80">
      <c r="G135" s="125">
        <f>IF($D135=0,0,ROUND($D135*$E135,2))</f>
        <v/>
      </c>
      <c r="H135" s="125">
        <f>IF($C135="","",CONCATENATE("Örnek kayıt: ",$C135))</f>
        <v/>
      </c>
    </row>
    <row r="136" ht="15" customHeight="1" s="80">
      <c r="G136" s="125">
        <f>IF($D136=0,0,ROUND($D136*$E136,2))</f>
        <v/>
      </c>
      <c r="H136" s="125">
        <f>IF($C136="","",CONCATENATE("Örnek kayıt: ",$C136))</f>
        <v/>
      </c>
    </row>
    <row r="137" ht="15" customHeight="1" s="80">
      <c r="G137" s="125">
        <f>IF($D137=0,0,ROUND($D137*$E137,2))</f>
        <v/>
      </c>
      <c r="H137" s="125">
        <f>IF($C137="","",CONCATENATE("Örnek kayıt: ",$C137))</f>
        <v/>
      </c>
    </row>
    <row r="138" ht="15" customHeight="1" s="80">
      <c r="G138" s="125">
        <f>IF($D138=0,0,ROUND($D138*$E138,2))</f>
        <v/>
      </c>
      <c r="H138" s="125">
        <f>IF($C138="","",CONCATENATE("Örnek kayıt: ",$C138))</f>
        <v/>
      </c>
    </row>
    <row r="139" ht="15" customHeight="1" s="80">
      <c r="G139" s="125">
        <f>IF($D139=0,0,ROUND($D139*$E139,2))</f>
        <v/>
      </c>
      <c r="H139" s="125">
        <f>IF($C139="","",CONCATENATE("Örnek kayıt: ",$C139))</f>
        <v/>
      </c>
    </row>
    <row r="140" ht="15" customHeight="1" s="80">
      <c r="G140" s="125">
        <f>IF($D140=0,0,ROUND($D140*$E140,2))</f>
        <v/>
      </c>
      <c r="H140" s="125">
        <f>IF($C140="","",CONCATENATE("Örnek kayıt: ",$C140))</f>
        <v/>
      </c>
    </row>
    <row r="141" ht="15" customHeight="1" s="80">
      <c r="G141" s="125">
        <f>IF($D141=0,0,ROUND($D141*$E141,2))</f>
        <v/>
      </c>
      <c r="H141" s="125">
        <f>IF($C141="","",CONCATENATE("Örnek kayıt: ",$C141))</f>
        <v/>
      </c>
    </row>
    <row r="142" ht="15" customHeight="1" s="80">
      <c r="G142" s="125">
        <f>IF($D142=0,0,ROUND($D142*$E142,2))</f>
        <v/>
      </c>
      <c r="H142" s="125">
        <f>IF($C142="","",CONCATENATE("Örnek kayıt: ",$C142))</f>
        <v/>
      </c>
    </row>
    <row r="143" ht="15" customHeight="1" s="80">
      <c r="G143" s="125">
        <f>IF($D143=0,0,ROUND($D143*$E143,2))</f>
        <v/>
      </c>
      <c r="H143" s="125">
        <f>IF($C143="","",CONCATENATE("Örnek kayıt: ",$C143))</f>
        <v/>
      </c>
    </row>
    <row r="144" ht="15" customHeight="1" s="80">
      <c r="G144" s="125">
        <f>IF($D144=0,0,ROUND($D144*$E144,2))</f>
        <v/>
      </c>
      <c r="H144" s="125">
        <f>IF($C144="","",CONCATENATE("Örnek kayıt: ",$C144))</f>
        <v/>
      </c>
    </row>
    <row r="145" ht="15" customHeight="1" s="80">
      <c r="G145" s="125">
        <f>IF($D145=0,0,ROUND($D145*$E145,2))</f>
        <v/>
      </c>
      <c r="H145" s="125">
        <f>IF($C145="","",CONCATENATE("Örnek kayıt: ",$C145))</f>
        <v/>
      </c>
    </row>
    <row r="146" ht="15" customHeight="1" s="80">
      <c r="G146" s="125">
        <f>IF($D146=0,0,ROUND($D146*$E146,2))</f>
        <v/>
      </c>
      <c r="H146" s="125">
        <f>IF($C146="","",CONCATENATE("Örnek kayıt: ",$C146))</f>
        <v/>
      </c>
    </row>
    <row r="147" ht="15" customHeight="1" s="80">
      <c r="G147" s="125">
        <f>IF($D147=0,0,ROUND($D147*$E147,2))</f>
        <v/>
      </c>
      <c r="H147" s="125">
        <f>IF($C147="","",CONCATENATE("Örnek kayıt: ",$C147))</f>
        <v/>
      </c>
    </row>
    <row r="148" ht="15" customHeight="1" s="80">
      <c r="G148" s="125">
        <f>IF($D148=0,0,ROUND($D148*$E148,2))</f>
        <v/>
      </c>
      <c r="H148" s="125">
        <f>IF($C148="","",CONCATENATE("Örnek kayıt: ",$C148))</f>
        <v/>
      </c>
    </row>
    <row r="149" ht="15" customHeight="1" s="80">
      <c r="G149" s="125">
        <f>IF($D149=0,0,ROUND($D149*$E149,2))</f>
        <v/>
      </c>
      <c r="H149" s="125">
        <f>IF($C149="","",CONCATENATE("Örnek kayıt: ",$C149))</f>
        <v/>
      </c>
    </row>
    <row r="150" ht="15" customHeight="1" s="80">
      <c r="G150" s="125">
        <f>IF($D150=0,0,ROUND($D150*$E150,2))</f>
        <v/>
      </c>
      <c r="H150" s="125">
        <f>IF($C150="","",CONCATENATE("Örnek kayıt: ",$C150))</f>
        <v/>
      </c>
    </row>
    <row r="151" ht="15" customHeight="1" s="80">
      <c r="G151" s="125">
        <f>IF($D151=0,0,ROUND($D151*$E151,2))</f>
        <v/>
      </c>
      <c r="H151" s="125">
        <f>IF($C151="","",CONCATENATE("Örnek kayıt: ",$C151))</f>
        <v/>
      </c>
    </row>
    <row r="152" ht="15" customHeight="1" s="80">
      <c r="G152" s="125">
        <f>IF($D152=0,0,ROUND($D152*$E152,2))</f>
        <v/>
      </c>
      <c r="H152" s="125">
        <f>IF($C152="","",CONCATENATE("Örnek kayıt: ",$C152))</f>
        <v/>
      </c>
    </row>
    <row r="153" ht="15" customHeight="1" s="80">
      <c r="G153" s="125">
        <f>IF($D153=0,0,ROUND($D153*$E153,2))</f>
        <v/>
      </c>
      <c r="H153" s="125">
        <f>IF($C153="","",CONCATENATE("Örnek kayıt: ",$C153))</f>
        <v/>
      </c>
    </row>
    <row r="154" ht="15" customHeight="1" s="80">
      <c r="G154" s="125">
        <f>IF($D154=0,0,ROUND($D154*$E154,2))</f>
        <v/>
      </c>
      <c r="H154" s="125">
        <f>IF($C154="","",CONCATENATE("Örnek kayıt: ",$C154))</f>
        <v/>
      </c>
    </row>
    <row r="155" ht="15" customHeight="1" s="80">
      <c r="G155" s="125">
        <f>IF($D155=0,0,ROUND($D155*$E155,2))</f>
        <v/>
      </c>
      <c r="H155" s="125">
        <f>IF($C155="","",CONCATENATE("Örnek kayıt: ",$C155))</f>
        <v/>
      </c>
    </row>
    <row r="156" ht="15" customHeight="1" s="80">
      <c r="G156" s="125">
        <f>IF($D156=0,0,ROUND($D156*$E156,2))</f>
        <v/>
      </c>
      <c r="H156" s="125">
        <f>IF($C156="","",CONCATENATE("Örnek kayıt: ",$C156))</f>
        <v/>
      </c>
    </row>
    <row r="157" ht="15" customHeight="1" s="80">
      <c r="G157" s="125">
        <f>IF($D157=0,0,ROUND($D157*$E157,2))</f>
        <v/>
      </c>
      <c r="H157" s="125">
        <f>IF($C157="","",CONCATENATE("Örnek kayıt: ",$C157))</f>
        <v/>
      </c>
    </row>
    <row r="158" ht="15" customHeight="1" s="80">
      <c r="G158" s="125">
        <f>IF($D158=0,0,ROUND($D158*$E158,2))</f>
        <v/>
      </c>
      <c r="H158" s="125">
        <f>IF($C158="","",CONCATENATE("Örnek kayıt: ",$C158))</f>
        <v/>
      </c>
    </row>
    <row r="159" ht="15" customHeight="1" s="80">
      <c r="G159" s="125">
        <f>IF($D159=0,0,ROUND($D159*$E159,2))</f>
        <v/>
      </c>
      <c r="H159" s="125">
        <f>IF($C159="","",CONCATENATE("Örnek kayıt: ",$C159))</f>
        <v/>
      </c>
    </row>
    <row r="160" ht="15" customHeight="1" s="80">
      <c r="G160" s="125">
        <f>IF($D160=0,0,ROUND($D160*$E160,2))</f>
        <v/>
      </c>
      <c r="H160" s="125">
        <f>IF($C160="","",CONCATENATE("Örnek kayıt: ",$C160))</f>
        <v/>
      </c>
    </row>
    <row r="161" ht="15" customHeight="1" s="80">
      <c r="G161" s="125">
        <f>IF($D161=0,0,ROUND($D161*$E161,2))</f>
        <v/>
      </c>
      <c r="H161" s="125">
        <f>IF($C161="","",CONCATENATE("Örnek kayıt: ",$C161))</f>
        <v/>
      </c>
    </row>
    <row r="162" ht="15" customHeight="1" s="80">
      <c r="G162" s="125">
        <f>IF($D162=0,0,ROUND($D162*$E162,2))</f>
        <v/>
      </c>
      <c r="H162" s="125">
        <f>IF($C162="","",CONCATENATE("Örnek kayıt: ",$C162))</f>
        <v/>
      </c>
    </row>
    <row r="163" ht="15" customHeight="1" s="80">
      <c r="G163" s="125">
        <f>IF($D163=0,0,ROUND($D163*$E163,2))</f>
        <v/>
      </c>
      <c r="H163" s="125">
        <f>IF($C163="","",CONCATENATE("Örnek kayıt: ",$C163))</f>
        <v/>
      </c>
    </row>
    <row r="164" ht="15" customHeight="1" s="80">
      <c r="G164" s="125">
        <f>IF($D164=0,0,ROUND($D164*$E164,2))</f>
        <v/>
      </c>
      <c r="H164" s="125">
        <f>IF($C164="","",CONCATENATE("Örnek kayıt: ",$C164))</f>
        <v/>
      </c>
    </row>
    <row r="165" ht="15" customHeight="1" s="80">
      <c r="G165" s="125">
        <f>IF($D165=0,0,ROUND($D165*$E165,2))</f>
        <v/>
      </c>
      <c r="H165" s="125">
        <f>IF($C165="","",CONCATENATE("Örnek kayıt: ",$C165))</f>
        <v/>
      </c>
    </row>
    <row r="166" ht="15" customHeight="1" s="80">
      <c r="G166" s="125">
        <f>IF($D166=0,0,ROUND($D166*$E166,2))</f>
        <v/>
      </c>
      <c r="H166" s="125">
        <f>IF($C166="","",CONCATENATE("Örnek kayıt: ",$C166))</f>
        <v/>
      </c>
    </row>
    <row r="167" ht="15" customHeight="1" s="80">
      <c r="G167" s="125">
        <f>IF($D167=0,0,ROUND($D167*$E167,2))</f>
        <v/>
      </c>
      <c r="H167" s="125">
        <f>IF($C167="","",CONCATENATE("Örnek kayıt: ",$C167))</f>
        <v/>
      </c>
    </row>
    <row r="168" ht="15" customHeight="1" s="80">
      <c r="G168" s="125">
        <f>IF($D168=0,0,ROUND($D168*$E168,2))</f>
        <v/>
      </c>
      <c r="H168" s="125">
        <f>IF($C168="","",CONCATENATE("Örnek kayıt: ",$C168))</f>
        <v/>
      </c>
    </row>
    <row r="169" ht="15" customHeight="1" s="80">
      <c r="G169" s="125">
        <f>IF($D169=0,0,ROUND($D169*$E169,2))</f>
        <v/>
      </c>
      <c r="H169" s="125">
        <f>IF($C169="","",CONCATENATE("Örnek kayıt: ",$C169))</f>
        <v/>
      </c>
    </row>
    <row r="170" ht="15" customHeight="1" s="80">
      <c r="G170" s="125">
        <f>IF($D170=0,0,ROUND($D170*$E170,2))</f>
        <v/>
      </c>
      <c r="H170" s="125">
        <f>IF($C170="","",CONCATENATE("Örnek kayıt: ",$C170))</f>
        <v/>
      </c>
    </row>
    <row r="171" ht="15" customHeight="1" s="80">
      <c r="G171" s="125">
        <f>IF($D171=0,0,ROUND($D171*$E171,2))</f>
        <v/>
      </c>
      <c r="H171" s="125">
        <f>IF($C171="","",CONCATENATE("Örnek kayıt: ",$C171))</f>
        <v/>
      </c>
    </row>
    <row r="172" ht="15" customHeight="1" s="80">
      <c r="G172" s="125">
        <f>IF($D172=0,0,ROUND($D172*$E172,2))</f>
        <v/>
      </c>
      <c r="H172" s="125">
        <f>IF($C172="","",CONCATENATE("Örnek kayıt: ",$C172))</f>
        <v/>
      </c>
    </row>
    <row r="173" ht="15" customHeight="1" s="80">
      <c r="G173" s="125">
        <f>IF($D173=0,0,ROUND($D173*$E173,2))</f>
        <v/>
      </c>
      <c r="H173" s="125">
        <f>IF($C173="","",CONCATENATE("Örnek kayıt: ",$C173))</f>
        <v/>
      </c>
    </row>
    <row r="174" ht="15" customHeight="1" s="80">
      <c r="G174" s="125">
        <f>IF($D174=0,0,ROUND($D174*$E174,2))</f>
        <v/>
      </c>
      <c r="H174" s="125">
        <f>IF($C174="","",CONCATENATE("Örnek kayıt: ",$C174))</f>
        <v/>
      </c>
    </row>
    <row r="175" ht="15" customHeight="1" s="80">
      <c r="G175" s="125">
        <f>IF($D175=0,0,ROUND($D175*$E175,2))</f>
        <v/>
      </c>
      <c r="H175" s="125">
        <f>IF($C175="","",CONCATENATE("Örnek kayıt: ",$C175))</f>
        <v/>
      </c>
    </row>
    <row r="176" ht="15" customHeight="1" s="80">
      <c r="G176" s="125">
        <f>IF($D176=0,0,ROUND($D176*$E176,2))</f>
        <v/>
      </c>
      <c r="H176" s="125">
        <f>IF($C176="","",CONCATENATE("Örnek kayıt: ",$C176))</f>
        <v/>
      </c>
    </row>
    <row r="177" ht="15" customHeight="1" s="80">
      <c r="G177" s="125">
        <f>IF($D177=0,0,ROUND($D177*$E177,2))</f>
        <v/>
      </c>
      <c r="H177" s="125">
        <f>IF($C177="","",CONCATENATE("Örnek kayıt: ",$C177))</f>
        <v/>
      </c>
    </row>
    <row r="178" ht="15" customHeight="1" s="80">
      <c r="G178" s="125">
        <f>IF($D178=0,0,ROUND($D178*$E178,2))</f>
        <v/>
      </c>
      <c r="H178" s="125">
        <f>IF($C178="","",CONCATENATE("Örnek kayıt: ",$C178))</f>
        <v/>
      </c>
    </row>
    <row r="179" ht="15" customHeight="1" s="80">
      <c r="G179" s="125">
        <f>IF($D179=0,0,ROUND($D179*$E179,2))</f>
        <v/>
      </c>
      <c r="H179" s="125">
        <f>IF($C179="","",CONCATENATE("Örnek kayıt: ",$C179))</f>
        <v/>
      </c>
    </row>
    <row r="180" ht="15" customHeight="1" s="80">
      <c r="G180" s="125">
        <f>IF($D180=0,0,ROUND($D180*$E180,2))</f>
        <v/>
      </c>
      <c r="H180" s="125">
        <f>IF($C180="","",CONCATENATE("Örnek kayıt: ",$C180))</f>
        <v/>
      </c>
    </row>
    <row r="181" ht="15" customHeight="1" s="80">
      <c r="G181" s="125">
        <f>IF($D181=0,0,ROUND($D181*$E181,2))</f>
        <v/>
      </c>
      <c r="H181" s="125">
        <f>IF($C181="","",CONCATENATE("Örnek kayıt: ",$C181))</f>
        <v/>
      </c>
    </row>
    <row r="182" ht="15" customHeight="1" s="80">
      <c r="G182" s="125">
        <f>IF($D182=0,0,ROUND($D182*$E182,2))</f>
        <v/>
      </c>
      <c r="H182" s="125">
        <f>IF($C182="","",CONCATENATE("Örnek kayıt: ",$C182))</f>
        <v/>
      </c>
    </row>
    <row r="183" ht="15" customHeight="1" s="80">
      <c r="G183" s="125">
        <f>IF($D183=0,0,ROUND($D183*$E183,2))</f>
        <v/>
      </c>
      <c r="H183" s="125">
        <f>IF($C183="","",CONCATENATE("Örnek kayıt: ",$C183))</f>
        <v/>
      </c>
    </row>
    <row r="184" ht="15" customHeight="1" s="80">
      <c r="G184" s="125">
        <f>IF($D184=0,0,ROUND($D184*$E184,2))</f>
        <v/>
      </c>
      <c r="H184" s="125">
        <f>IF($C184="","",CONCATENATE("Örnek kayıt: ",$C184))</f>
        <v/>
      </c>
    </row>
    <row r="185" ht="15" customHeight="1" s="80">
      <c r="G185" s="125">
        <f>IF($D185=0,0,ROUND($D185*$E185,2))</f>
        <v/>
      </c>
      <c r="H185" s="125">
        <f>IF($C185="","",CONCATENATE("Örnek kayıt: ",$C185))</f>
        <v/>
      </c>
    </row>
    <row r="186" ht="15" customHeight="1" s="80">
      <c r="G186" s="125">
        <f>IF($D186=0,0,ROUND($D186*$E186,2))</f>
        <v/>
      </c>
      <c r="H186" s="125">
        <f>IF($C186="","",CONCATENATE("Örnek kayıt: ",$C186))</f>
        <v/>
      </c>
    </row>
    <row r="187" ht="15" customHeight="1" s="80">
      <c r="G187" s="125">
        <f>IF($D187=0,0,ROUND($D187*$E187,2))</f>
        <v/>
      </c>
      <c r="H187" s="125">
        <f>IF($C187="","",CONCATENATE("Örnek kayıt: ",$C187))</f>
        <v/>
      </c>
    </row>
    <row r="188" ht="15" customHeight="1" s="80">
      <c r="G188" s="125">
        <f>IF($D188=0,0,ROUND($D188*$E188,2))</f>
        <v/>
      </c>
      <c r="H188" s="125">
        <f>IF($C188="","",CONCATENATE("Örnek kayıt: ",$C188))</f>
        <v/>
      </c>
    </row>
    <row r="189" ht="15" customHeight="1" s="80">
      <c r="G189" s="125">
        <f>IF($D189=0,0,ROUND($D189*$E189,2))</f>
        <v/>
      </c>
      <c r="H189" s="125">
        <f>IF($C189="","",CONCATENATE("Örnek kayıt: ",$C189))</f>
        <v/>
      </c>
    </row>
    <row r="190" ht="15" customHeight="1" s="80">
      <c r="G190" s="125">
        <f>IF($D190=0,0,ROUND($D190*$E190,2))</f>
        <v/>
      </c>
      <c r="H190" s="125">
        <f>IF($C190="","",CONCATENATE("Örnek kayıt: ",$C190))</f>
        <v/>
      </c>
    </row>
    <row r="191" ht="15" customHeight="1" s="80">
      <c r="G191" s="125">
        <f>IF($D191=0,0,ROUND($D191*$E191,2))</f>
        <v/>
      </c>
      <c r="H191" s="125">
        <f>IF($C191="","",CONCATENATE("Örnek kayıt: ",$C191))</f>
        <v/>
      </c>
    </row>
    <row r="192" ht="15" customHeight="1" s="80">
      <c r="G192" s="125">
        <f>IF($D192=0,0,ROUND($D192*$E192,2))</f>
        <v/>
      </c>
      <c r="H192" s="125">
        <f>IF($C192="","",CONCATENATE("Örnek kayıt: ",$C192))</f>
        <v/>
      </c>
    </row>
    <row r="193" ht="15" customHeight="1" s="80">
      <c r="G193" s="125">
        <f>IF($D193=0,0,ROUND($D193*$E193,2))</f>
        <v/>
      </c>
      <c r="H193" s="125">
        <f>IF($C193="","",CONCATENATE("Örnek kayıt: ",$C193))</f>
        <v/>
      </c>
    </row>
    <row r="194" ht="15" customHeight="1" s="80">
      <c r="G194" s="125">
        <f>IF($D194=0,0,ROUND($D194*$E194,2))</f>
        <v/>
      </c>
      <c r="H194" s="125">
        <f>IF($C194="","",CONCATENATE("Örnek kayıt: ",$C194))</f>
        <v/>
      </c>
    </row>
    <row r="195" ht="15" customHeight="1" s="80">
      <c r="G195" s="125">
        <f>IF($D195=0,0,ROUND($D195*$E195,2))</f>
        <v/>
      </c>
      <c r="H195" s="125">
        <f>IF($C195="","",CONCATENATE("Örnek kayıt: ",$C195))</f>
        <v/>
      </c>
    </row>
    <row r="196" ht="15" customHeight="1" s="80">
      <c r="G196" s="125">
        <f>IF($D196=0,0,ROUND($D196*$E196,2))</f>
        <v/>
      </c>
      <c r="H196" s="125">
        <f>IF($C196="","",CONCATENATE("Örnek kayıt: ",$C196))</f>
        <v/>
      </c>
    </row>
    <row r="197" ht="15" customHeight="1" s="80">
      <c r="G197" s="125">
        <f>IF($D197=0,0,ROUND($D197*$E197,2))</f>
        <v/>
      </c>
      <c r="H197" s="125">
        <f>IF($C197="","",CONCATENATE("Örnek kayıt: ",$C197))</f>
        <v/>
      </c>
    </row>
    <row r="198" ht="15" customHeight="1" s="80">
      <c r="G198" s="125">
        <f>IF($D198=0,0,ROUND($D198*$E198,2))</f>
        <v/>
      </c>
      <c r="H198" s="125">
        <f>IF($C198="","",CONCATENATE("Örnek kayıt: ",$C198))</f>
        <v/>
      </c>
    </row>
    <row r="199" ht="15" customHeight="1" s="80">
      <c r="G199" s="125">
        <f>IF($D199=0,0,ROUND($D199*$E199,2))</f>
        <v/>
      </c>
      <c r="H199" s="125">
        <f>IF($C199="","",CONCATENATE("Örnek kayıt: ",$C199))</f>
        <v/>
      </c>
    </row>
    <row r="200" ht="15" customHeight="1" s="80">
      <c r="G200" s="125">
        <f>IF($D200=0,0,ROUND($D200*$E200,2))</f>
        <v/>
      </c>
      <c r="H200" s="125">
        <f>IF($C200="","",CONCATENATE("Örnek kayıt: ",$C200))</f>
        <v/>
      </c>
    </row>
    <row r="201" ht="15" customHeight="1" s="80">
      <c r="G201" s="125">
        <f>IF($D201=0,0,ROUND($D201*$E201,2))</f>
        <v/>
      </c>
      <c r="H201" s="125">
        <f>IF($C201="","",CONCATENATE("Örnek kayıt: ",$C201))</f>
        <v/>
      </c>
    </row>
    <row r="202" ht="15" customHeight="1" s="80">
      <c r="G202" s="125">
        <f>IF($D202=0,0,ROUND($D202*$E202,2))</f>
        <v/>
      </c>
      <c r="H202" s="125">
        <f>IF($C202="","",CONCATENATE("Örnek kayıt: ",$C202))</f>
        <v/>
      </c>
    </row>
    <row r="203" ht="15" customHeight="1" s="80">
      <c r="G203" s="125">
        <f>IF($D203=0,0,ROUND($D203*$E203,2))</f>
        <v/>
      </c>
      <c r="H203" s="125">
        <f>IF($C203="","",CONCATENATE("Örnek kayıt: ",$C203))</f>
        <v/>
      </c>
    </row>
    <row r="204" ht="15" customHeight="1" s="80">
      <c r="G204" s="125">
        <f>IF($D204=0,0,ROUND($D204*$E204,2))</f>
        <v/>
      </c>
      <c r="H204" s="125">
        <f>IF($C204="","",CONCATENATE("Örnek kayıt: ",$C204))</f>
        <v/>
      </c>
    </row>
    <row r="205" ht="15" customHeight="1" s="80">
      <c r="G205" s="125">
        <f>IF($D205=0,0,ROUND($D205*$E205,2))</f>
        <v/>
      </c>
      <c r="H205" s="125">
        <f>IF($C205="","",CONCATENATE("Örnek kayıt: ",$C205))</f>
        <v/>
      </c>
    </row>
    <row r="206" ht="15" customHeight="1" s="80">
      <c r="G206" s="125">
        <f>IF($D206=0,0,ROUND($D206*$E206,2))</f>
        <v/>
      </c>
      <c r="H206" s="125">
        <f>IF($C206="","",CONCATENATE("Örnek kayıt: ",$C206))</f>
        <v/>
      </c>
    </row>
    <row r="207" ht="15" customHeight="1" s="80">
      <c r="G207" s="125">
        <f>IF($D207=0,0,ROUND($D207*$E207,2))</f>
        <v/>
      </c>
      <c r="H207" s="125">
        <f>IF($C207="","",CONCATENATE("Örnek kayıt: ",$C207))</f>
        <v/>
      </c>
    </row>
    <row r="208" ht="15" customHeight="1" s="80">
      <c r="G208" s="125">
        <f>IF($D208=0,0,ROUND($D208*$E208,2))</f>
        <v/>
      </c>
      <c r="H208" s="125">
        <f>IF($C208="","",CONCATENATE("Örnek kayıt: ",$C208))</f>
        <v/>
      </c>
    </row>
    <row r="209" ht="15" customHeight="1" s="80">
      <c r="G209" s="125">
        <f>IF($D209=0,0,ROUND($D209*$E209,2))</f>
        <v/>
      </c>
      <c r="H209" s="125">
        <f>IF($C209="","",CONCATENATE("Örnek kayıt: ",$C209))</f>
        <v/>
      </c>
    </row>
    <row r="210" ht="15" customHeight="1" s="80">
      <c r="G210" s="125">
        <f>IF($D210=0,0,ROUND($D210*$E210,2))</f>
        <v/>
      </c>
      <c r="H210" s="125">
        <f>IF($C210="","",CONCATENATE("Örnek kayıt: ",$C210))</f>
        <v/>
      </c>
    </row>
    <row r="211" ht="15" customHeight="1" s="80">
      <c r="G211" s="125">
        <f>IF($D211=0,0,ROUND($D211*$E211,2))</f>
        <v/>
      </c>
      <c r="H211" s="125">
        <f>IF($C211="","",CONCATENATE("Örnek kayıt: ",$C211))</f>
        <v/>
      </c>
    </row>
    <row r="212" ht="15" customHeight="1" s="80">
      <c r="G212" s="125">
        <f>IF($D212=0,0,ROUND($D212*$E212,2))</f>
        <v/>
      </c>
      <c r="H212" s="125">
        <f>IF($C212="","",CONCATENATE("Örnek kayıt: ",$C212))</f>
        <v/>
      </c>
    </row>
    <row r="213" ht="15" customHeight="1" s="80">
      <c r="G213" s="125">
        <f>IF($D213=0,0,ROUND($D213*$E213,2))</f>
        <v/>
      </c>
      <c r="H213" s="125">
        <f>IF($C213="","",CONCATENATE("Örnek kayıt: ",$C213))</f>
        <v/>
      </c>
    </row>
    <row r="214" ht="15" customHeight="1" s="80">
      <c r="G214" s="125">
        <f>IF($D214=0,0,ROUND($D214*$E214,2))</f>
        <v/>
      </c>
      <c r="H214" s="125">
        <f>IF($C214="","",CONCATENATE("Örnek kayıt: ",$C214))</f>
        <v/>
      </c>
    </row>
    <row r="215" ht="15" customHeight="1" s="80">
      <c r="G215" s="125">
        <f>IF($D215=0,0,ROUND($D215*$E215,2))</f>
        <v/>
      </c>
      <c r="H215" s="125">
        <f>IF($C215="","",CONCATENATE("Örnek kayıt: ",$C215))</f>
        <v/>
      </c>
    </row>
    <row r="216" ht="15" customHeight="1" s="80">
      <c r="G216" s="125">
        <f>IF($D216=0,0,ROUND($D216*$E216,2))</f>
        <v/>
      </c>
      <c r="H216" s="125">
        <f>IF($C216="","",CONCATENATE("Örnek kayıt: ",$C216))</f>
        <v/>
      </c>
    </row>
    <row r="217" ht="15" customHeight="1" s="80">
      <c r="G217" s="125">
        <f>IF($D217=0,0,ROUND($D217*$E217,2))</f>
        <v/>
      </c>
      <c r="H217" s="125">
        <f>IF($C217="","",CONCATENATE("Örnek kayıt: ",$C217))</f>
        <v/>
      </c>
    </row>
    <row r="218" ht="15" customHeight="1" s="80">
      <c r="G218" s="125">
        <f>IF($D218=0,0,ROUND($D218*$E218,2))</f>
        <v/>
      </c>
      <c r="H218" s="125">
        <f>IF($C218="","",CONCATENATE("Örnek kayıt: ",$C218))</f>
        <v/>
      </c>
    </row>
    <row r="219" ht="15" customHeight="1" s="80">
      <c r="G219" s="125">
        <f>IF($D219=0,0,ROUND($D219*$E219,2))</f>
        <v/>
      </c>
      <c r="H219" s="125">
        <f>IF($C219="","",CONCATENATE("Örnek kayıt: ",$C219))</f>
        <v/>
      </c>
    </row>
    <row r="220" ht="15" customHeight="1" s="80">
      <c r="G220" s="125">
        <f>IF($D220=0,0,ROUND($D220*$E220,2))</f>
        <v/>
      </c>
      <c r="H220" s="125">
        <f>IF($C220="","",CONCATENATE("Örnek kayıt: ",$C220))</f>
        <v/>
      </c>
    </row>
    <row r="221" ht="15" customHeight="1" s="80">
      <c r="G221" s="125">
        <f>IF($D221=0,0,ROUND($D221*$E221,2))</f>
        <v/>
      </c>
      <c r="H221" s="125">
        <f>IF($C221="","",CONCATENATE("Örnek kayıt: ",$C221))</f>
        <v/>
      </c>
    </row>
    <row r="222" ht="15" customHeight="1" s="80">
      <c r="G222" s="125">
        <f>IF($D222=0,0,ROUND($D222*$E222,2))</f>
        <v/>
      </c>
      <c r="H222" s="125">
        <f>IF($C222="","",CONCATENATE("Örnek kayıt: ",$C222))</f>
        <v/>
      </c>
    </row>
    <row r="223" ht="15" customHeight="1" s="80">
      <c r="G223" s="125">
        <f>IF($D223=0,0,ROUND($D223*$E223,2))</f>
        <v/>
      </c>
      <c r="H223" s="125">
        <f>IF($C223="","",CONCATENATE("Örnek kayıt: ",$C223))</f>
        <v/>
      </c>
    </row>
    <row r="224" ht="15" customHeight="1" s="80">
      <c r="G224" s="125">
        <f>IF($D224=0,0,ROUND($D224*$E224,2))</f>
        <v/>
      </c>
      <c r="H224" s="125">
        <f>IF($C224="","",CONCATENATE("Örnek kayıt: ",$C224))</f>
        <v/>
      </c>
    </row>
    <row r="225" ht="15" customHeight="1" s="80">
      <c r="G225" s="125">
        <f>IF($D225=0,0,ROUND($D225*$E225,2))</f>
        <v/>
      </c>
      <c r="H225" s="125">
        <f>IF($C225="","",CONCATENATE("Örnek kayıt: ",$C225))</f>
        <v/>
      </c>
    </row>
    <row r="226" ht="15" customHeight="1" s="80">
      <c r="G226" s="125">
        <f>IF($D226=0,0,ROUND($D226*$E226,2))</f>
        <v/>
      </c>
      <c r="H226" s="125">
        <f>IF($C226="","",CONCATENATE("Örnek kayıt: ",$C226))</f>
        <v/>
      </c>
    </row>
    <row r="227" ht="15" customHeight="1" s="80">
      <c r="G227" s="125">
        <f>IF($D227=0,0,ROUND($D227*$E227,2))</f>
        <v/>
      </c>
      <c r="H227" s="125">
        <f>IF($C227="","",CONCATENATE("Örnek kayıt: ",$C227))</f>
        <v/>
      </c>
    </row>
    <row r="228" ht="15" customHeight="1" s="80">
      <c r="G228" s="125">
        <f>IF($D228=0,0,ROUND($D228*$E228,2))</f>
        <v/>
      </c>
      <c r="H228" s="125">
        <f>IF($C228="","",CONCATENATE("Örnek kayıt: ",$C228))</f>
        <v/>
      </c>
    </row>
    <row r="229" ht="15" customHeight="1" s="80">
      <c r="G229" s="125">
        <f>IF($D229=0,0,ROUND($D229*$E229,2))</f>
        <v/>
      </c>
      <c r="H229" s="125">
        <f>IF($C229="","",CONCATENATE("Örnek kayıt: ",$C229))</f>
        <v/>
      </c>
    </row>
    <row r="230" ht="15" customHeight="1" s="80">
      <c r="G230" s="125">
        <f>IF($D230=0,0,ROUND($D230*$E230,2))</f>
        <v/>
      </c>
      <c r="H230" s="125">
        <f>IF($C230="","",CONCATENATE("Örnek kayıt: ",$C230))</f>
        <v/>
      </c>
    </row>
    <row r="231" ht="15" customHeight="1" s="80">
      <c r="G231" s="125">
        <f>IF($D231=0,0,ROUND($D231*$E231,2))</f>
        <v/>
      </c>
      <c r="H231" s="125">
        <f>IF($C231="","",CONCATENATE("Örnek kayıt: ",$C231))</f>
        <v/>
      </c>
    </row>
    <row r="232" ht="15" customHeight="1" s="80">
      <c r="G232" s="125">
        <f>IF($D232=0,0,ROUND($D232*$E232,2))</f>
        <v/>
      </c>
      <c r="H232" s="125">
        <f>IF($C232="","",CONCATENATE("Örnek kayıt: ",$C232))</f>
        <v/>
      </c>
    </row>
    <row r="233" ht="15" customHeight="1" s="80">
      <c r="G233" s="125">
        <f>IF($D233=0,0,ROUND($D233*$E233,2))</f>
        <v/>
      </c>
      <c r="H233" s="125">
        <f>IF($C233="","",CONCATENATE("Örnek kayıt: ",$C233))</f>
        <v/>
      </c>
    </row>
    <row r="234" ht="15" customHeight="1" s="80">
      <c r="G234" s="125">
        <f>IF($D234=0,0,ROUND($D234*$E234,2))</f>
        <v/>
      </c>
      <c r="H234" s="125">
        <f>IF($C234="","",CONCATENATE("Örnek kayıt: ",$C234))</f>
        <v/>
      </c>
    </row>
    <row r="235" ht="15" customHeight="1" s="80">
      <c r="G235" s="125">
        <f>IF($D235=0,0,ROUND($D235*$E235,2))</f>
        <v/>
      </c>
      <c r="H235" s="125">
        <f>IF($C235="","",CONCATENATE("Örnek kayıt: ",$C235))</f>
        <v/>
      </c>
    </row>
    <row r="236" ht="15" customHeight="1" s="80">
      <c r="G236" s="125">
        <f>IF($D236=0,0,ROUND($D236*$E236,2))</f>
        <v/>
      </c>
      <c r="H236" s="125">
        <f>IF($C236="","",CONCATENATE("Örnek kayıt: ",$C236))</f>
        <v/>
      </c>
    </row>
    <row r="237" ht="15" customHeight="1" s="80">
      <c r="G237" s="125">
        <f>IF($D237=0,0,ROUND($D237*$E237,2))</f>
        <v/>
      </c>
      <c r="H237" s="125">
        <f>IF($C237="","",CONCATENATE("Örnek kayıt: ",$C237))</f>
        <v/>
      </c>
    </row>
    <row r="238" ht="15" customHeight="1" s="80">
      <c r="G238" s="125">
        <f>IF($D238=0,0,ROUND($D238*$E238,2))</f>
        <v/>
      </c>
      <c r="H238" s="125">
        <f>IF($C238="","",CONCATENATE("Örnek kayıt: ",$C238))</f>
        <v/>
      </c>
    </row>
    <row r="239" ht="15" customHeight="1" s="80">
      <c r="G239" s="125">
        <f>IF($D239=0,0,ROUND($D239*$E239,2))</f>
        <v/>
      </c>
      <c r="H239" s="125">
        <f>IF($C239="","",CONCATENATE("Örnek kayıt: ",$C239))</f>
        <v/>
      </c>
    </row>
    <row r="240" ht="15" customHeight="1" s="80">
      <c r="G240" s="125">
        <f>IF($D240=0,0,ROUND($D240*$E240,2))</f>
        <v/>
      </c>
      <c r="H240" s="125">
        <f>IF($C240="","",CONCATENATE("Örnek kayıt: ",$C240))</f>
        <v/>
      </c>
    </row>
    <row r="241" ht="15" customHeight="1" s="80">
      <c r="G241" s="125">
        <f>IF($D241=0,0,ROUND($D241*$E241,2))</f>
        <v/>
      </c>
      <c r="H241" s="125">
        <f>IF($C241="","",CONCATENATE("Örnek kayıt: ",$C241))</f>
        <v/>
      </c>
    </row>
    <row r="242" ht="15" customHeight="1" s="80">
      <c r="G242" s="125">
        <f>IF($D242=0,0,ROUND($D242*$E242,2))</f>
        <v/>
      </c>
      <c r="H242" s="125">
        <f>IF($C242="","",CONCATENATE("Örnek kayıt: ",$C242))</f>
        <v/>
      </c>
    </row>
    <row r="243" ht="15" customHeight="1" s="80">
      <c r="G243" s="125">
        <f>IF($D243=0,0,ROUND($D243*$E243,2))</f>
        <v/>
      </c>
      <c r="H243" s="125">
        <f>IF($C243="","",CONCATENATE("Örnek kayıt: ",$C243))</f>
        <v/>
      </c>
    </row>
    <row r="244" ht="15" customHeight="1" s="80">
      <c r="G244" s="125">
        <f>IF($D244=0,0,ROUND($D244*$E244,2))</f>
        <v/>
      </c>
      <c r="H244" s="125">
        <f>IF($C244="","",CONCATENATE("Örnek kayıt: ",$C244))</f>
        <v/>
      </c>
    </row>
    <row r="245" ht="15" customHeight="1" s="80">
      <c r="G245" s="125">
        <f>IF($D245=0,0,ROUND($D245*$E245,2))</f>
        <v/>
      </c>
      <c r="H245" s="125">
        <f>IF($C245="","",CONCATENATE("Örnek kayıt: ",$C245))</f>
        <v/>
      </c>
    </row>
    <row r="246" ht="15" customHeight="1" s="80">
      <c r="G246" s="125">
        <f>IF($D246=0,0,ROUND($D246*$E246,2))</f>
        <v/>
      </c>
      <c r="H246" s="125">
        <f>IF($C246="","",CONCATENATE("Örnek kayıt: ",$C246))</f>
        <v/>
      </c>
    </row>
    <row r="247" ht="15" customHeight="1" s="80">
      <c r="G247" s="125">
        <f>IF($D247=0,0,ROUND($D247*$E247,2))</f>
        <v/>
      </c>
      <c r="H247" s="125">
        <f>IF($C247="","",CONCATENATE("Örnek kayıt: ",$C247))</f>
        <v/>
      </c>
    </row>
    <row r="248" ht="15" customHeight="1" s="80">
      <c r="G248" s="125">
        <f>IF($D248=0,0,ROUND($D248*$E248,2))</f>
        <v/>
      </c>
      <c r="H248" s="125">
        <f>IF($C248="","",CONCATENATE("Örnek kayıt: ",$C248))</f>
        <v/>
      </c>
    </row>
    <row r="249" ht="15" customHeight="1" s="80">
      <c r="G249" s="125">
        <f>IF($D249=0,0,ROUND($D249*$E249,2))</f>
        <v/>
      </c>
      <c r="H249" s="125">
        <f>IF($C249="","",CONCATENATE("Örnek kayıt: ",$C249))</f>
        <v/>
      </c>
    </row>
    <row r="250" ht="15" customHeight="1" s="80">
      <c r="G250" s="125">
        <f>IF($D250=0,0,ROUND($D250*$E250,2))</f>
        <v/>
      </c>
      <c r="H250" s="125">
        <f>IF($C250="","",CONCATENATE("Örnek kayıt: ",$C250))</f>
        <v/>
      </c>
    </row>
    <row r="251" ht="15" customHeight="1" s="80">
      <c r="G251" s="125">
        <f>IF($D251=0,0,ROUND($D251*$E251,2))</f>
        <v/>
      </c>
      <c r="H251" s="125">
        <f>IF($C251="","",CONCATENATE("Örnek kayıt: ",$C251))</f>
        <v/>
      </c>
    </row>
    <row r="252" ht="15" customHeight="1" s="80">
      <c r="G252" s="125">
        <f>IF($D252=0,0,ROUND($D252*$E252,2))</f>
        <v/>
      </c>
      <c r="H252" s="125">
        <f>IF($C252="","",CONCATENATE("Örnek kayıt: ",$C252))</f>
        <v/>
      </c>
    </row>
    <row r="253" ht="15" customHeight="1" s="80">
      <c r="G253" s="125">
        <f>IF($D253=0,0,ROUND($D253*$E253,2))</f>
        <v/>
      </c>
      <c r="H253" s="125">
        <f>IF($C253="","",CONCATENATE("Örnek kayıt: ",$C253))</f>
        <v/>
      </c>
    </row>
    <row r="254" ht="15" customHeight="1" s="80">
      <c r="G254" s="125">
        <f>IF($D254=0,0,ROUND($D254*$E254,2))</f>
        <v/>
      </c>
      <c r="H254" s="125">
        <f>IF($C254="","",CONCATENATE("Örnek kayıt: ",$C254))</f>
        <v/>
      </c>
    </row>
    <row r="255" ht="15" customHeight="1" s="80">
      <c r="G255" s="125">
        <f>IF($D255=0,0,ROUND($D255*$E255,2))</f>
        <v/>
      </c>
      <c r="H255" s="125">
        <f>IF($C255="","",CONCATENATE("Örnek kayıt: ",$C255))</f>
        <v/>
      </c>
    </row>
    <row r="256" ht="15" customHeight="1" s="80">
      <c r="G256" s="125">
        <f>IF($D256=0,0,ROUND($D256*$E256,2))</f>
        <v/>
      </c>
      <c r="H256" s="125">
        <f>IF($C256="","",CONCATENATE("Örnek kayıt: ",$C256))</f>
        <v/>
      </c>
    </row>
    <row r="257" ht="15" customHeight="1" s="80">
      <c r="G257" s="125">
        <f>IF($D257=0,0,ROUND($D257*$E257,2))</f>
        <v/>
      </c>
      <c r="H257" s="125">
        <f>IF($C257="","",CONCATENATE("Örnek kayıt: ",$C257))</f>
        <v/>
      </c>
    </row>
    <row r="258" ht="15" customHeight="1" s="80">
      <c r="G258" s="125">
        <f>IF($D258=0,0,ROUND($D258*$E258,2))</f>
        <v/>
      </c>
      <c r="H258" s="125">
        <f>IF($C258="","",CONCATENATE("Örnek kayıt: ",$C258))</f>
        <v/>
      </c>
    </row>
    <row r="259" ht="15" customHeight="1" s="80">
      <c r="G259" s="125">
        <f>IF($D259=0,0,ROUND($D259*$E259,2))</f>
        <v/>
      </c>
      <c r="H259" s="125">
        <f>IF($C259="","",CONCATENATE("Örnek kayıt: ",$C259))</f>
        <v/>
      </c>
    </row>
    <row r="260" ht="15" customHeight="1" s="80">
      <c r="G260" s="125">
        <f>IF($D260=0,0,ROUND($D260*$E260,2))</f>
        <v/>
      </c>
      <c r="H260" s="125">
        <f>IF($C260="","",CONCATENATE("Örnek kayıt: ",$C260))</f>
        <v/>
      </c>
    </row>
    <row r="261" ht="15" customHeight="1" s="80">
      <c r="G261" s="125">
        <f>IF($D261=0,0,ROUND($D261*$E261,2))</f>
        <v/>
      </c>
      <c r="H261" s="125">
        <f>IF($C261="","",CONCATENATE("Örnek kayıt: ",$C261))</f>
        <v/>
      </c>
    </row>
    <row r="262" ht="15" customHeight="1" s="80">
      <c r="G262" s="125">
        <f>IF($D262=0,0,ROUND($D262*$E262,2))</f>
        <v/>
      </c>
      <c r="H262" s="125">
        <f>IF($C262="","",CONCATENATE("Örnek kayıt: ",$C262))</f>
        <v/>
      </c>
    </row>
    <row r="263" ht="15" customHeight="1" s="80">
      <c r="G263" s="125">
        <f>IF($D263=0,0,ROUND($D263*$E263,2))</f>
        <v/>
      </c>
      <c r="H263" s="125">
        <f>IF($C263="","",CONCATENATE("Örnek kayıt: ",$C263))</f>
        <v/>
      </c>
    </row>
    <row r="264" ht="15" customHeight="1" s="80">
      <c r="G264" s="125">
        <f>IF($D264=0,0,ROUND($D264*$E264,2))</f>
        <v/>
      </c>
      <c r="H264" s="125">
        <f>IF($C264="","",CONCATENATE("Örnek kayıt: ",$C264))</f>
        <v/>
      </c>
    </row>
    <row r="265" ht="15" customHeight="1" s="80">
      <c r="G265" s="125">
        <f>IF($D265=0,0,ROUND($D265*$E265,2))</f>
        <v/>
      </c>
      <c r="H265" s="125">
        <f>IF($C265="","",CONCATENATE("Örnek kayıt: ",$C265))</f>
        <v/>
      </c>
    </row>
    <row r="266" ht="15" customHeight="1" s="80">
      <c r="G266" s="125">
        <f>IF($D266=0,0,ROUND($D266*$E266,2))</f>
        <v/>
      </c>
      <c r="H266" s="125">
        <f>IF($C266="","",CONCATENATE("Örnek kayıt: ",$C266))</f>
        <v/>
      </c>
    </row>
    <row r="267" ht="15" customHeight="1" s="80">
      <c r="G267" s="125">
        <f>IF($D267=0,0,ROUND($D267*$E267,2))</f>
        <v/>
      </c>
      <c r="H267" s="125">
        <f>IF($C267="","",CONCATENATE("Örnek kayıt: ",$C267))</f>
        <v/>
      </c>
    </row>
    <row r="268" ht="15" customHeight="1" s="80">
      <c r="G268" s="125">
        <f>IF($D268=0,0,ROUND($D268*$E268,2))</f>
        <v/>
      </c>
      <c r="H268" s="125">
        <f>IF($C268="","",CONCATENATE("Örnek kayıt: ",$C268))</f>
        <v/>
      </c>
    </row>
    <row r="269" ht="15" customHeight="1" s="80">
      <c r="G269" s="125">
        <f>IF($D269=0,0,ROUND($D269*$E269,2))</f>
        <v/>
      </c>
      <c r="H269" s="125">
        <f>IF($C269="","",CONCATENATE("Örnek kayıt: ",$C269))</f>
        <v/>
      </c>
    </row>
    <row r="270" ht="15" customHeight="1" s="80">
      <c r="G270" s="125">
        <f>IF($D270=0,0,ROUND($D270*$E270,2))</f>
        <v/>
      </c>
      <c r="H270" s="125">
        <f>IF($C270="","",CONCATENATE("Örnek kayıt: ",$C270))</f>
        <v/>
      </c>
    </row>
    <row r="271" ht="15" customHeight="1" s="80">
      <c r="G271" s="125">
        <f>IF($D271=0,0,ROUND($D271*$E271,2))</f>
        <v/>
      </c>
      <c r="H271" s="125">
        <f>IF($C271="","",CONCATENATE("Örnek kayıt: ",$C271))</f>
        <v/>
      </c>
    </row>
    <row r="272" ht="15" customHeight="1" s="80">
      <c r="G272" s="125">
        <f>IF($D272=0,0,ROUND($D272*$E272,2))</f>
        <v/>
      </c>
      <c r="H272" s="125">
        <f>IF($C272="","",CONCATENATE("Örnek kayıt: ",$C272))</f>
        <v/>
      </c>
    </row>
    <row r="273" ht="15" customHeight="1" s="80">
      <c r="G273" s="125">
        <f>IF($D273=0,0,ROUND($D273*$E273,2))</f>
        <v/>
      </c>
      <c r="H273" s="125">
        <f>IF($C273="","",CONCATENATE("Örnek kayıt: ",$C273))</f>
        <v/>
      </c>
    </row>
    <row r="274" ht="15" customHeight="1" s="80">
      <c r="G274" s="125">
        <f>IF($D274=0,0,ROUND($D274*$E274,2))</f>
        <v/>
      </c>
      <c r="H274" s="125">
        <f>IF($C274="","",CONCATENATE("Örnek kayıt: ",$C274))</f>
        <v/>
      </c>
    </row>
    <row r="275" ht="15" customHeight="1" s="80">
      <c r="G275" s="125">
        <f>IF($D275=0,0,ROUND($D275*$E275,2))</f>
        <v/>
      </c>
      <c r="H275" s="125">
        <f>IF($C275="","",CONCATENATE("Örnek kayıt: ",$C275))</f>
        <v/>
      </c>
    </row>
    <row r="276" ht="15" customHeight="1" s="80">
      <c r="G276" s="125">
        <f>IF($D276=0,0,ROUND($D276*$E276,2))</f>
        <v/>
      </c>
      <c r="H276" s="125">
        <f>IF($C276="","",CONCATENATE("Örnek kayıt: ",$C276))</f>
        <v/>
      </c>
    </row>
    <row r="277" ht="15" customHeight="1" s="80">
      <c r="G277" s="125">
        <f>IF($D277=0,0,ROUND($D277*$E277,2))</f>
        <v/>
      </c>
      <c r="H277" s="125">
        <f>IF($C277="","",CONCATENATE("Örnek kayıt: ",$C277))</f>
        <v/>
      </c>
    </row>
    <row r="278" ht="15" customHeight="1" s="80">
      <c r="G278" s="125">
        <f>IF($D278=0,0,ROUND($D278*$E278,2))</f>
        <v/>
      </c>
      <c r="H278" s="125">
        <f>IF($C278="","",CONCATENATE("Örnek kayıt: ",$C278))</f>
        <v/>
      </c>
    </row>
    <row r="279" ht="15" customHeight="1" s="80">
      <c r="G279" s="125">
        <f>IF($D279=0,0,ROUND($D279*$E279,2))</f>
        <v/>
      </c>
      <c r="H279" s="125">
        <f>IF($C279="","",CONCATENATE("Örnek kayıt: ",$C279))</f>
        <v/>
      </c>
    </row>
    <row r="280" ht="15" customHeight="1" s="80">
      <c r="G280" s="125">
        <f>IF($D280=0,0,ROUND($D280*$E280,2))</f>
        <v/>
      </c>
      <c r="H280" s="125">
        <f>IF($C280="","",CONCATENATE("Örnek kayıt: ",$C280))</f>
        <v/>
      </c>
    </row>
    <row r="281" ht="15" customHeight="1" s="80">
      <c r="G281" s="125">
        <f>IF($D281=0,0,ROUND($D281*$E281,2))</f>
        <v/>
      </c>
      <c r="H281" s="125">
        <f>IF($C281="","",CONCATENATE("Örnek kayıt: ",$C281))</f>
        <v/>
      </c>
    </row>
    <row r="282" ht="15" customHeight="1" s="80">
      <c r="G282" s="125">
        <f>IF($D282=0,0,ROUND($D282*$E282,2))</f>
        <v/>
      </c>
      <c r="H282" s="125">
        <f>IF($C282="","",CONCATENATE("Örnek kayıt: ",$C282))</f>
        <v/>
      </c>
    </row>
    <row r="283" ht="15" customHeight="1" s="80">
      <c r="G283" s="125">
        <f>IF($D283=0,0,ROUND($D283*$E283,2))</f>
        <v/>
      </c>
      <c r="H283" s="125">
        <f>IF($C283="","",CONCATENATE("Örnek kayıt: ",$C283))</f>
        <v/>
      </c>
    </row>
    <row r="284" ht="15" customHeight="1" s="80">
      <c r="G284" s="125">
        <f>IF($D284=0,0,ROUND($D284*$E284,2))</f>
        <v/>
      </c>
      <c r="H284" s="125">
        <f>IF($C284="","",CONCATENATE("Örnek kayıt: ",$C284))</f>
        <v/>
      </c>
    </row>
    <row r="285" ht="15" customHeight="1" s="80">
      <c r="G285" s="125">
        <f>IF($D285=0,0,ROUND($D285*$E285,2))</f>
        <v/>
      </c>
      <c r="H285" s="125">
        <f>IF($C285="","",CONCATENATE("Örnek kayıt: ",$C285))</f>
        <v/>
      </c>
    </row>
    <row r="286" ht="15" customHeight="1" s="80">
      <c r="G286" s="125">
        <f>IF($D286=0,0,ROUND($D286*$E286,2))</f>
        <v/>
      </c>
      <c r="H286" s="125">
        <f>IF($C286="","",CONCATENATE("Örnek kayıt: ",$C286))</f>
        <v/>
      </c>
    </row>
    <row r="287" ht="15" customHeight="1" s="80">
      <c r="G287" s="125">
        <f>IF($D287=0,0,ROUND($D287*$E287,2))</f>
        <v/>
      </c>
      <c r="H287" s="125">
        <f>IF($C287="","",CONCATENATE("Örnek kayıt: ",$C287))</f>
        <v/>
      </c>
    </row>
    <row r="288" ht="15" customHeight="1" s="80">
      <c r="G288" s="125">
        <f>IF($D288=0,0,ROUND($D288*$E288,2))</f>
        <v/>
      </c>
      <c r="H288" s="125">
        <f>IF($C288="","",CONCATENATE("Örnek kayıt: ",$C288))</f>
        <v/>
      </c>
    </row>
    <row r="289" ht="15" customHeight="1" s="80">
      <c r="G289" s="125">
        <f>IF($D289=0,0,ROUND($D289*$E289,2))</f>
        <v/>
      </c>
      <c r="H289" s="125">
        <f>IF($C289="","",CONCATENATE("Örnek kayıt: ",$C289))</f>
        <v/>
      </c>
    </row>
    <row r="290" ht="15" customHeight="1" s="80">
      <c r="G290" s="125">
        <f>IF($D290=0,0,ROUND($D290*$E290,2))</f>
        <v/>
      </c>
      <c r="H290" s="125">
        <f>IF($C290="","",CONCATENATE("Örnek kayıt: ",$C290))</f>
        <v/>
      </c>
    </row>
    <row r="291" ht="15" customHeight="1" s="80">
      <c r="G291" s="125">
        <f>IF($D291=0,0,ROUND($D291*$E291,2))</f>
        <v/>
      </c>
      <c r="H291" s="125">
        <f>IF($C291="","",CONCATENATE("Örnek kayıt: ",$C291))</f>
        <v/>
      </c>
    </row>
    <row r="292" ht="15" customHeight="1" s="80">
      <c r="G292" s="125">
        <f>IF($D292=0,0,ROUND($D292*$E292,2))</f>
        <v/>
      </c>
      <c r="H292" s="125">
        <f>IF($C292="","",CONCATENATE("Örnek kayıt: ",$C292))</f>
        <v/>
      </c>
    </row>
    <row r="293" ht="15" customHeight="1" s="80">
      <c r="G293" s="125">
        <f>IF($D293=0,0,ROUND($D293*$E293,2))</f>
        <v/>
      </c>
      <c r="H293" s="125">
        <f>IF($C293="","",CONCATENATE("Örnek kayıt: ",$C293))</f>
        <v/>
      </c>
    </row>
    <row r="294" ht="15" customHeight="1" s="80">
      <c r="G294" s="125">
        <f>IF($D294=0,0,ROUND($D294*$E294,2))</f>
        <v/>
      </c>
      <c r="H294" s="125">
        <f>IF($C294="","",CONCATENATE("Örnek kayıt: ",$C294))</f>
        <v/>
      </c>
    </row>
    <row r="295" ht="15" customHeight="1" s="80">
      <c r="G295" s="125">
        <f>IF($D295=0,0,ROUND($D295*$E295,2))</f>
        <v/>
      </c>
      <c r="H295" s="125">
        <f>IF($C295="","",CONCATENATE("Örnek kayıt: ",$C295))</f>
        <v/>
      </c>
    </row>
    <row r="296" ht="15" customHeight="1" s="80">
      <c r="G296" s="125">
        <f>IF($D296=0,0,ROUND($D296*$E296,2))</f>
        <v/>
      </c>
      <c r="H296" s="125">
        <f>IF($C296="","",CONCATENATE("Örnek kayıt: ",$C296))</f>
        <v/>
      </c>
    </row>
    <row r="297" ht="15" customHeight="1" s="80">
      <c r="G297" s="125">
        <f>IF($D297=0,0,ROUND($D297*$E297,2))</f>
        <v/>
      </c>
      <c r="H297" s="125">
        <f>IF($C297="","",CONCATENATE("Örnek kayıt: ",$C297))</f>
        <v/>
      </c>
    </row>
    <row r="298" ht="15" customHeight="1" s="80">
      <c r="G298" s="125">
        <f>IF($D298=0,0,ROUND($D298*$E298,2))</f>
        <v/>
      </c>
      <c r="H298" s="125">
        <f>IF($C298="","",CONCATENATE("Örnek kayıt: ",$C298))</f>
        <v/>
      </c>
    </row>
    <row r="299" ht="15" customHeight="1" s="80">
      <c r="G299" s="125">
        <f>IF($D299=0,0,ROUND($D299*$E299,2))</f>
        <v/>
      </c>
      <c r="H299" s="125">
        <f>IF($C299="","",CONCATENATE("Örnek kayıt: ",$C299))</f>
        <v/>
      </c>
    </row>
    <row r="300" ht="15" customHeight="1" s="80">
      <c r="G300" s="125">
        <f>IF($D300=0,0,ROUND($D300*$E300,2))</f>
        <v/>
      </c>
      <c r="H300" s="125">
        <f>IF($C300="","",CONCATENATE("Örnek kayıt: ",$C300))</f>
        <v/>
      </c>
    </row>
    <row r="301" ht="15" customHeight="1" s="80">
      <c r="G301" s="125">
        <f>IF($D301=0,0,ROUND($D301*$E301,2))</f>
        <v/>
      </c>
      <c r="H301" s="125">
        <f>IF($C301="","",CONCATENATE("Örnek kayıt: ",$C301))</f>
        <v/>
      </c>
    </row>
    <row r="302" ht="15" customHeight="1" s="80">
      <c r="G302" s="125">
        <f>IF($D302=0,0,ROUND($D302*$E302,2))</f>
        <v/>
      </c>
      <c r="H302" s="125">
        <f>IF($C302="","",CONCATENATE("Örnek kayıt: ",$C302))</f>
        <v/>
      </c>
    </row>
    <row r="303" ht="15" customHeight="1" s="80">
      <c r="G303" s="125">
        <f>IF($D303=0,0,ROUND($D303*$E303,2))</f>
        <v/>
      </c>
      <c r="H303" s="125">
        <f>IF($C303="","",CONCATENATE("Örnek kayıt: ",$C303))</f>
        <v/>
      </c>
    </row>
    <row r="304" ht="15" customHeight="1" s="80">
      <c r="G304" s="125">
        <f>IF($D304=0,0,ROUND($D304*$E304,2))</f>
        <v/>
      </c>
      <c r="H304" s="125">
        <f>IF($C304="","",CONCATENATE("Örnek kayıt: ",$C304))</f>
        <v/>
      </c>
    </row>
    <row r="305" ht="15" customHeight="1" s="80">
      <c r="G305" s="125">
        <f>IF($D305=0,0,ROUND($D305*$E305,2))</f>
        <v/>
      </c>
      <c r="H305" s="125">
        <f>IF($C305="","",CONCATENATE("Örnek kayıt: ",$C305))</f>
        <v/>
      </c>
    </row>
    <row r="306" ht="15" customHeight="1" s="80">
      <c r="G306" s="125">
        <f>IF($D306=0,0,ROUND($D306*$E306,2))</f>
        <v/>
      </c>
      <c r="H306" s="125">
        <f>IF($C306="","",CONCATENATE("Örnek kayıt: ",$C306))</f>
        <v/>
      </c>
    </row>
    <row r="307" ht="15" customHeight="1" s="80">
      <c r="G307" s="125">
        <f>IF($D307=0,0,ROUND($D307*$E307,2))</f>
        <v/>
      </c>
      <c r="H307" s="125">
        <f>IF($C307="","",CONCATENATE("Örnek kayıt: ",$C307))</f>
        <v/>
      </c>
    </row>
    <row r="308" ht="15" customHeight="1" s="80">
      <c r="G308" s="125">
        <f>IF($D308=0,0,ROUND($D308*$E308,2))</f>
        <v/>
      </c>
      <c r="H308" s="125">
        <f>IF($C308="","",CONCATENATE("Örnek kayıt: ",$C308))</f>
        <v/>
      </c>
    </row>
    <row r="309" ht="15" customHeight="1" s="80">
      <c r="G309" s="125">
        <f>IF($D309=0,0,ROUND($D309*$E309,2))</f>
        <v/>
      </c>
      <c r="H309" s="125">
        <f>IF($C309="","",CONCATENATE("Örnek kayıt: ",$C309))</f>
        <v/>
      </c>
    </row>
    <row r="310" ht="15" customHeight="1" s="80">
      <c r="G310" s="125">
        <f>IF($D310=0,0,ROUND($D310*$E310,2))</f>
        <v/>
      </c>
      <c r="H310" s="125">
        <f>IF($C310="","",CONCATENATE("Örnek kayıt: ",$C310))</f>
        <v/>
      </c>
    </row>
    <row r="311" ht="15" customHeight="1" s="80">
      <c r="G311" s="125">
        <f>IF($D311=0,0,ROUND($D311*$E311,2))</f>
        <v/>
      </c>
      <c r="H311" s="125">
        <f>IF($C311="","",CONCATENATE("Örnek kayıt: ",$C311))</f>
        <v/>
      </c>
    </row>
    <row r="312" ht="15" customHeight="1" s="80">
      <c r="G312" s="125">
        <f>IF($D312=0,0,ROUND($D312*$E312,2))</f>
        <v/>
      </c>
      <c r="H312" s="125">
        <f>IF($C312="","",CONCATENATE("Örnek kayıt: ",$C312))</f>
        <v/>
      </c>
    </row>
    <row r="313" ht="15" customHeight="1" s="80">
      <c r="G313" s="125">
        <f>IF($D313=0,0,ROUND($D313*$E313,2))</f>
        <v/>
      </c>
      <c r="H313" s="125">
        <f>IF($C313="","",CONCATENATE("Örnek kayıt: ",$C313))</f>
        <v/>
      </c>
    </row>
    <row r="314" ht="15" customHeight="1" s="80">
      <c r="G314" s="125">
        <f>IF($D314=0,0,ROUND($D314*$E314,2))</f>
        <v/>
      </c>
      <c r="H314" s="125">
        <f>IF($C314="","",CONCATENATE("Örnek kayıt: ",$C314))</f>
        <v/>
      </c>
    </row>
    <row r="315" ht="15" customHeight="1" s="80">
      <c r="G315" s="125">
        <f>IF($D315=0,0,ROUND($D315*$E315,2))</f>
        <v/>
      </c>
      <c r="H315" s="125">
        <f>IF($C315="","",CONCATENATE("Örnek kayıt: ",$C315))</f>
        <v/>
      </c>
    </row>
    <row r="316" ht="15" customHeight="1" s="80">
      <c r="G316" s="125">
        <f>IF($D316=0,0,ROUND($D316*$E316,2))</f>
        <v/>
      </c>
      <c r="H316" s="125">
        <f>IF($C316="","",CONCATENATE("Örnek kayıt: ",$C316))</f>
        <v/>
      </c>
    </row>
    <row r="317" ht="15" customHeight="1" s="80">
      <c r="G317" s="125">
        <f>IF($D317=0,0,ROUND($D317*$E317,2))</f>
        <v/>
      </c>
      <c r="H317" s="125">
        <f>IF($C317="","",CONCATENATE("Örnek kayıt: ",$C317))</f>
        <v/>
      </c>
    </row>
    <row r="318" ht="15" customHeight="1" s="80">
      <c r="G318" s="125">
        <f>IF($D318=0,0,ROUND($D318*$E318,2))</f>
        <v/>
      </c>
      <c r="H318" s="125">
        <f>IF($C318="","",CONCATENATE("Örnek kayıt: ",$C318))</f>
        <v/>
      </c>
    </row>
    <row r="319" ht="15" customHeight="1" s="80">
      <c r="G319" s="125">
        <f>IF($D319=0,0,ROUND($D319*$E319,2))</f>
        <v/>
      </c>
      <c r="H319" s="125">
        <f>IF($C319="","",CONCATENATE("Örnek kayıt: ",$C319))</f>
        <v/>
      </c>
    </row>
    <row r="320" ht="15" customHeight="1" s="80">
      <c r="G320" s="125">
        <f>IF($D320=0,0,ROUND($D320*$E320,2))</f>
        <v/>
      </c>
      <c r="H320" s="125">
        <f>IF($C320="","",CONCATENATE("Örnek kayıt: ",$C320))</f>
        <v/>
      </c>
    </row>
    <row r="321" ht="15" customHeight="1" s="80">
      <c r="G321" s="125">
        <f>IF($D321=0,0,ROUND($D321*$E321,2))</f>
        <v/>
      </c>
      <c r="H321" s="125">
        <f>IF($C321="","",CONCATENATE("Örnek kayıt: ",$C321))</f>
        <v/>
      </c>
    </row>
    <row r="322" ht="15" customHeight="1" s="80">
      <c r="G322" s="125">
        <f>IF($D322=0,0,ROUND($D322*$E322,2))</f>
        <v/>
      </c>
      <c r="H322" s="125">
        <f>IF($C322="","",CONCATENATE("Örnek kayıt: ",$C322))</f>
        <v/>
      </c>
    </row>
    <row r="323" ht="15" customHeight="1" s="80">
      <c r="G323" s="125">
        <f>IF($D323=0,0,ROUND($D323*$E323,2))</f>
        <v/>
      </c>
      <c r="H323" s="125">
        <f>IF($C323="","",CONCATENATE("Örnek kayıt: ",$C323))</f>
        <v/>
      </c>
    </row>
    <row r="324" ht="15" customHeight="1" s="80">
      <c r="G324" s="125">
        <f>IF($D324=0,0,ROUND($D324*$E324,2))</f>
        <v/>
      </c>
      <c r="H324" s="125">
        <f>IF($C324="","",CONCATENATE("Örnek kayıt: ",$C324))</f>
        <v/>
      </c>
    </row>
    <row r="325" ht="15" customHeight="1" s="80">
      <c r="G325" s="125">
        <f>IF($D325=0,0,ROUND($D325*$E325,2))</f>
        <v/>
      </c>
      <c r="H325" s="125">
        <f>IF($C325="","",CONCATENATE("Örnek kayıt: ",$C325))</f>
        <v/>
      </c>
    </row>
    <row r="326" ht="15" customHeight="1" s="80">
      <c r="G326" s="125">
        <f>IF($D326=0,0,ROUND($D326*$E326,2))</f>
        <v/>
      </c>
      <c r="H326" s="125">
        <f>IF($C326="","",CONCATENATE("Örnek kayıt: ",$C326))</f>
        <v/>
      </c>
    </row>
    <row r="327" ht="15" customHeight="1" s="80">
      <c r="G327" s="125">
        <f>IF($D327=0,0,ROUND($D327*$E327,2))</f>
        <v/>
      </c>
      <c r="H327" s="125">
        <f>IF($C327="","",CONCATENATE("Örnek kayıt: ",$C327))</f>
        <v/>
      </c>
    </row>
    <row r="328" ht="15" customHeight="1" s="80">
      <c r="G328" s="125">
        <f>IF($D328=0,0,ROUND($D328*$E328,2))</f>
        <v/>
      </c>
      <c r="H328" s="125">
        <f>IF($C328="","",CONCATENATE("Örnek kayıt: ",$C328))</f>
        <v/>
      </c>
    </row>
    <row r="329" ht="15" customHeight="1" s="80">
      <c r="G329" s="125">
        <f>IF($D329=0,0,ROUND($D329*$E329,2))</f>
        <v/>
      </c>
      <c r="H329" s="125">
        <f>IF($C329="","",CONCATENATE("Örnek kayıt: ",$C329))</f>
        <v/>
      </c>
    </row>
    <row r="330" ht="15" customHeight="1" s="80">
      <c r="G330" s="125">
        <f>IF($D330=0,0,ROUND($D330*$E330,2))</f>
        <v/>
      </c>
      <c r="H330" s="125">
        <f>IF($C330="","",CONCATENATE("Örnek kayıt: ",$C330))</f>
        <v/>
      </c>
    </row>
    <row r="331" ht="15" customHeight="1" s="80">
      <c r="G331" s="125">
        <f>IF($D331=0,0,ROUND($D331*$E331,2))</f>
        <v/>
      </c>
      <c r="H331" s="125">
        <f>IF($C331="","",CONCATENATE("Örnek kayıt: ",$C331))</f>
        <v/>
      </c>
    </row>
    <row r="332" ht="15" customHeight="1" s="80">
      <c r="G332" s="125">
        <f>IF($D332=0,0,ROUND($D332*$E332,2))</f>
        <v/>
      </c>
      <c r="H332" s="125">
        <f>IF($C332="","",CONCATENATE("Örnek kayıt: ",$C332))</f>
        <v/>
      </c>
    </row>
    <row r="333" ht="15" customHeight="1" s="80">
      <c r="G333" s="125">
        <f>IF($D333=0,0,ROUND($D333*$E333,2))</f>
        <v/>
      </c>
      <c r="H333" s="125">
        <f>IF($C333="","",CONCATENATE("Örnek kayıt: ",$C333))</f>
        <v/>
      </c>
    </row>
    <row r="334" ht="15" customHeight="1" s="80">
      <c r="G334" s="125">
        <f>IF($D334=0,0,ROUND($D334*$E334,2))</f>
        <v/>
      </c>
      <c r="H334" s="125">
        <f>IF($C334="","",CONCATENATE("Örnek kayıt: ",$C334))</f>
        <v/>
      </c>
    </row>
    <row r="335" ht="15" customHeight="1" s="80">
      <c r="G335" s="125">
        <f>IF($D335=0,0,ROUND($D335*$E335,2))</f>
        <v/>
      </c>
      <c r="H335" s="125">
        <f>IF($C335="","",CONCATENATE("Örnek kayıt: ",$C335))</f>
        <v/>
      </c>
    </row>
    <row r="336" ht="15" customHeight="1" s="80">
      <c r="G336" s="125">
        <f>IF($D336=0,0,ROUND($D336*$E336,2))</f>
        <v/>
      </c>
      <c r="H336" s="125">
        <f>IF($C336="","",CONCATENATE("Örnek kayıt: ",$C336))</f>
        <v/>
      </c>
    </row>
    <row r="337" ht="15" customHeight="1" s="80">
      <c r="G337" s="125">
        <f>IF($D337=0,0,ROUND($D337*$E337,2))</f>
        <v/>
      </c>
      <c r="H337" s="125">
        <f>IF($C337="","",CONCATENATE("Örnek kayıt: ",$C337))</f>
        <v/>
      </c>
    </row>
    <row r="338" ht="15" customHeight="1" s="80">
      <c r="G338" s="125">
        <f>IF($D338=0,0,ROUND($D338*$E338,2))</f>
        <v/>
      </c>
      <c r="H338" s="125">
        <f>IF($C338="","",CONCATENATE("Örnek kayıt: ",$C338))</f>
        <v/>
      </c>
    </row>
    <row r="339" ht="15" customHeight="1" s="80">
      <c r="G339" s="125">
        <f>IF($D339=0,0,ROUND($D339*$E339,2))</f>
        <v/>
      </c>
      <c r="H339" s="125">
        <f>IF($C339="","",CONCATENATE("Örnek kayıt: ",$C339))</f>
        <v/>
      </c>
    </row>
    <row r="340" ht="15" customHeight="1" s="80">
      <c r="G340" s="125">
        <f>IF($D340=0,0,ROUND($D340*$E340,2))</f>
        <v/>
      </c>
      <c r="H340" s="125">
        <f>IF($C340="","",CONCATENATE("Örnek kayıt: ",$C340))</f>
        <v/>
      </c>
    </row>
    <row r="341" ht="15" customHeight="1" s="80">
      <c r="G341" s="125">
        <f>IF($D341=0,0,ROUND($D341*$E341,2))</f>
        <v/>
      </c>
      <c r="H341" s="125">
        <f>IF($C341="","",CONCATENATE("Örnek kayıt: ",$C341))</f>
        <v/>
      </c>
    </row>
    <row r="342" ht="15" customHeight="1" s="80">
      <c r="G342" s="125">
        <f>IF($D342=0,0,ROUND($D342*$E342,2))</f>
        <v/>
      </c>
      <c r="H342" s="125">
        <f>IF($C342="","",CONCATENATE("Örnek kayıt: ",$C342))</f>
        <v/>
      </c>
    </row>
    <row r="343" ht="15" customHeight="1" s="80">
      <c r="G343" s="125">
        <f>IF($D343=0,0,ROUND($D343*$E343,2))</f>
        <v/>
      </c>
      <c r="H343" s="125">
        <f>IF($C343="","",CONCATENATE("Örnek kayıt: ",$C343))</f>
        <v/>
      </c>
    </row>
    <row r="344" ht="15" customHeight="1" s="80">
      <c r="G344" s="125">
        <f>IF($D344=0,0,ROUND($D344*$E344,2))</f>
        <v/>
      </c>
      <c r="H344" s="125">
        <f>IF($C344="","",CONCATENATE("Örnek kayıt: ",$C344))</f>
        <v/>
      </c>
    </row>
    <row r="345" ht="15" customHeight="1" s="80">
      <c r="G345" s="125">
        <f>IF($D345=0,0,ROUND($D345*$E345,2))</f>
        <v/>
      </c>
      <c r="H345" s="125">
        <f>IF($C345="","",CONCATENATE("Örnek kayıt: ",$C345))</f>
        <v/>
      </c>
    </row>
    <row r="346" ht="15" customHeight="1" s="80">
      <c r="G346" s="125">
        <f>IF($D346=0,0,ROUND($D346*$E346,2))</f>
        <v/>
      </c>
      <c r="H346" s="125">
        <f>IF($C346="","",CONCATENATE("Örnek kayıt: ",$C346))</f>
        <v/>
      </c>
    </row>
    <row r="347" ht="15" customHeight="1" s="80">
      <c r="G347" s="125">
        <f>IF($D347=0,0,ROUND($D347*$E347,2))</f>
        <v/>
      </c>
      <c r="H347" s="125">
        <f>IF($C347="","",CONCATENATE("Örnek kayıt: ",$C347))</f>
        <v/>
      </c>
    </row>
    <row r="348" ht="15" customHeight="1" s="80">
      <c r="G348" s="125">
        <f>IF($D348=0,0,ROUND($D348*$E348,2))</f>
        <v/>
      </c>
      <c r="H348" s="125">
        <f>IF($C348="","",CONCATENATE("Örnek kayıt: ",$C348))</f>
        <v/>
      </c>
    </row>
    <row r="349" ht="15" customHeight="1" s="80">
      <c r="G349" s="125">
        <f>IF($D349=0,0,ROUND($D349*$E349,2))</f>
        <v/>
      </c>
      <c r="H349" s="125">
        <f>IF($C349="","",CONCATENATE("Örnek kayıt: ",$C349))</f>
        <v/>
      </c>
    </row>
    <row r="350" ht="15" customHeight="1" s="80">
      <c r="G350" s="125">
        <f>IF($D350=0,0,ROUND($D350*$E350,2))</f>
        <v/>
      </c>
      <c r="H350" s="125">
        <f>IF($C350="","",CONCATENATE("Örnek kayıt: ",$C350))</f>
        <v/>
      </c>
    </row>
    <row r="351" ht="15" customHeight="1" s="80">
      <c r="G351" s="125">
        <f>IF($D351=0,0,ROUND($D351*$E351,2))</f>
        <v/>
      </c>
      <c r="H351" s="125">
        <f>IF($C351="","",CONCATENATE("Örnek kayıt: ",$C351))</f>
        <v/>
      </c>
    </row>
    <row r="352" ht="15" customHeight="1" s="80">
      <c r="G352" s="125">
        <f>IF($D352=0,0,ROUND($D352*$E352,2))</f>
        <v/>
      </c>
      <c r="H352" s="125">
        <f>IF($C352="","",CONCATENATE("Örnek kayıt: ",$C352))</f>
        <v/>
      </c>
    </row>
    <row r="353" ht="15" customHeight="1" s="80">
      <c r="G353" s="125">
        <f>IF($D353=0,0,ROUND($D353*$E353,2))</f>
        <v/>
      </c>
      <c r="H353" s="125">
        <f>IF($C353="","",CONCATENATE("Örnek kayıt: ",$C353))</f>
        <v/>
      </c>
    </row>
    <row r="354" ht="15" customHeight="1" s="80">
      <c r="G354" s="125">
        <f>IF($D354=0,0,ROUND($D354*$E354,2))</f>
        <v/>
      </c>
      <c r="H354" s="125">
        <f>IF($C354="","",CONCATENATE("Örnek kayıt: ",$C354))</f>
        <v/>
      </c>
    </row>
    <row r="355" ht="15" customHeight="1" s="80">
      <c r="G355" s="125">
        <f>IF($D355=0,0,ROUND($D355*$E355,2))</f>
        <v/>
      </c>
      <c r="H355" s="125">
        <f>IF($C355="","",CONCATENATE("Örnek kayıt: ",$C355))</f>
        <v/>
      </c>
    </row>
    <row r="356" ht="15" customHeight="1" s="80">
      <c r="G356" s="125">
        <f>IF($D356=0,0,ROUND($D356*$E356,2))</f>
        <v/>
      </c>
      <c r="H356" s="125">
        <f>IF($C356="","",CONCATENATE("Örnek kayıt: ",$C356))</f>
        <v/>
      </c>
    </row>
    <row r="357" ht="15" customHeight="1" s="80">
      <c r="G357" s="125">
        <f>IF($D357=0,0,ROUND($D357*$E357,2))</f>
        <v/>
      </c>
      <c r="H357" s="125">
        <f>IF($C357="","",CONCATENATE("Örnek kayıt: ",$C357))</f>
        <v/>
      </c>
    </row>
    <row r="358" ht="15" customHeight="1" s="80">
      <c r="G358" s="125">
        <f>IF($D358=0,0,ROUND($D358*$E358,2))</f>
        <v/>
      </c>
      <c r="H358" s="125">
        <f>IF($C358="","",CONCATENATE("Örnek kayıt: ",$C358))</f>
        <v/>
      </c>
    </row>
    <row r="359" ht="15" customHeight="1" s="80">
      <c r="G359" s="125">
        <f>IF($D359=0,0,ROUND($D359*$E359,2))</f>
        <v/>
      </c>
      <c r="H359" s="125">
        <f>IF($C359="","",CONCATENATE("Örnek kayıt: ",$C359))</f>
        <v/>
      </c>
    </row>
    <row r="360" ht="15" customHeight="1" s="80">
      <c r="G360" s="125">
        <f>IF($D360=0,0,ROUND($D360*$E360,2))</f>
        <v/>
      </c>
      <c r="H360" s="125">
        <f>IF($C360="","",CONCATENATE("Örnek kayıt: ",$C360))</f>
        <v/>
      </c>
    </row>
    <row r="361" ht="15" customHeight="1" s="80">
      <c r="G361" s="125">
        <f>IF($D361=0,0,ROUND($D361*$E361,2))</f>
        <v/>
      </c>
      <c r="H361" s="125">
        <f>IF($C361="","",CONCATENATE("Örnek kayıt: ",$C361))</f>
        <v/>
      </c>
    </row>
    <row r="362" ht="15" customHeight="1" s="80">
      <c r="G362" s="125">
        <f>IF($D362=0,0,ROUND($D362*$E362,2))</f>
        <v/>
      </c>
      <c r="H362" s="125">
        <f>IF($C362="","",CONCATENATE("Örnek kayıt: ",$C362))</f>
        <v/>
      </c>
    </row>
    <row r="363" ht="15" customHeight="1" s="80">
      <c r="G363" s="125">
        <f>IF($D363=0,0,ROUND($D363*$E363,2))</f>
        <v/>
      </c>
      <c r="H363" s="125">
        <f>IF($C363="","",CONCATENATE("Örnek kayıt: ",$C363))</f>
        <v/>
      </c>
    </row>
    <row r="364" ht="15" customHeight="1" s="80">
      <c r="G364" s="125">
        <f>IF($D364=0,0,ROUND($D364*$E364,2))</f>
        <v/>
      </c>
      <c r="H364" s="125">
        <f>IF($C364="","",CONCATENATE("Örnek kayıt: ",$C364))</f>
        <v/>
      </c>
    </row>
    <row r="365" ht="15" customHeight="1" s="80">
      <c r="G365" s="125">
        <f>IF($D365=0,0,ROUND($D365*$E365,2))</f>
        <v/>
      </c>
      <c r="H365" s="125">
        <f>IF($C365="","",CONCATENATE("Örnek kayıt: ",$C365))</f>
        <v/>
      </c>
    </row>
    <row r="366" ht="15" customHeight="1" s="80">
      <c r="G366" s="125">
        <f>IF($D366=0,0,ROUND($D366*$E366,2))</f>
        <v/>
      </c>
      <c r="H366" s="125">
        <f>IF($C366="","",CONCATENATE("Örnek kayıt: ",$C366))</f>
        <v/>
      </c>
    </row>
    <row r="367" ht="15" customHeight="1" s="80">
      <c r="G367" s="125">
        <f>IF($D367=0,0,ROUND($D367*$E367,2))</f>
        <v/>
      </c>
      <c r="H367" s="125">
        <f>IF($C367="","",CONCATENATE("Örnek kayıt: ",$C367))</f>
        <v/>
      </c>
    </row>
    <row r="368" ht="15" customHeight="1" s="80">
      <c r="G368" s="125">
        <f>IF($D368=0,0,ROUND($D368*$E368,2))</f>
        <v/>
      </c>
      <c r="H368" s="125">
        <f>IF($C368="","",CONCATENATE("Örnek kayıt: ",$C368))</f>
        <v/>
      </c>
    </row>
    <row r="369" ht="15" customHeight="1" s="80">
      <c r="G369" s="125">
        <f>IF($D369=0,0,ROUND($D369*$E369,2))</f>
        <v/>
      </c>
      <c r="H369" s="125">
        <f>IF($C369="","",CONCATENATE("Örnek kayıt: ",$C369))</f>
        <v/>
      </c>
    </row>
    <row r="370" ht="15" customHeight="1" s="80">
      <c r="G370" s="125">
        <f>IF($D370=0,0,ROUND($D370*$E370,2))</f>
        <v/>
      </c>
      <c r="H370" s="125">
        <f>IF($C370="","",CONCATENATE("Örnek kayıt: ",$C370))</f>
        <v/>
      </c>
    </row>
    <row r="371" ht="15" customHeight="1" s="80">
      <c r="G371" s="125">
        <f>IF($D371=0,0,ROUND($D371*$E371,2))</f>
        <v/>
      </c>
      <c r="H371" s="125">
        <f>IF($C371="","",CONCATENATE("Örnek kayıt: ",$C371))</f>
        <v/>
      </c>
    </row>
    <row r="372" ht="15" customHeight="1" s="80">
      <c r="G372" s="125">
        <f>IF($D372=0,0,ROUND($D372*$E372,2))</f>
        <v/>
      </c>
      <c r="H372" s="125">
        <f>IF($C372="","",CONCATENATE("Örnek kayıt: ",$C372))</f>
        <v/>
      </c>
    </row>
    <row r="373" ht="15" customHeight="1" s="80">
      <c r="G373" s="125">
        <f>IF($D373=0,0,ROUND($D373*$E373,2))</f>
        <v/>
      </c>
      <c r="H373" s="125">
        <f>IF($C373="","",CONCATENATE("Örnek kayıt: ",$C373))</f>
        <v/>
      </c>
    </row>
    <row r="374" ht="15" customHeight="1" s="80">
      <c r="G374" s="125">
        <f>IF($D374=0,0,ROUND($D374*$E374,2))</f>
        <v/>
      </c>
      <c r="H374" s="125">
        <f>IF($C374="","",CONCATENATE("Örnek kayıt: ",$C374))</f>
        <v/>
      </c>
    </row>
    <row r="375" ht="15" customHeight="1" s="80">
      <c r="G375" s="125">
        <f>IF($D375=0,0,ROUND($D375*$E375,2))</f>
        <v/>
      </c>
      <c r="H375" s="125">
        <f>IF($C375="","",CONCATENATE("Örnek kayıt: ",$C375))</f>
        <v/>
      </c>
    </row>
    <row r="376" ht="15" customHeight="1" s="80">
      <c r="G376" s="125">
        <f>IF($D376=0,0,ROUND($D376*$E376,2))</f>
        <v/>
      </c>
      <c r="H376" s="125">
        <f>IF($C376="","",CONCATENATE("Örnek kayıt: ",$C376))</f>
        <v/>
      </c>
    </row>
    <row r="377" ht="15" customHeight="1" s="80">
      <c r="G377" s="125">
        <f>IF($D377=0,0,ROUND($D377*$E377,2))</f>
        <v/>
      </c>
      <c r="H377" s="125">
        <f>IF($C377="","",CONCATENATE("Örnek kayıt: ",$C377))</f>
        <v/>
      </c>
    </row>
    <row r="378" ht="15" customHeight="1" s="80">
      <c r="G378" s="125">
        <f>IF($D378=0,0,ROUND($D378*$E378,2))</f>
        <v/>
      </c>
      <c r="H378" s="125">
        <f>IF($C378="","",CONCATENATE("Örnek kayıt: ",$C378))</f>
        <v/>
      </c>
    </row>
    <row r="379" ht="15" customHeight="1" s="80">
      <c r="G379" s="125">
        <f>IF($D379=0,0,ROUND($D379*$E379,2))</f>
        <v/>
      </c>
      <c r="H379" s="125">
        <f>IF($C379="","",CONCATENATE("Örnek kayıt: ",$C379))</f>
        <v/>
      </c>
    </row>
    <row r="380" ht="15" customHeight="1" s="80">
      <c r="G380" s="125">
        <f>IF($D380=0,0,ROUND($D380*$E380,2))</f>
        <v/>
      </c>
      <c r="H380" s="125">
        <f>IF($C380="","",CONCATENATE("Örnek kayıt: ",$C380))</f>
        <v/>
      </c>
    </row>
    <row r="381" ht="15" customHeight="1" s="80">
      <c r="G381" s="125">
        <f>IF($D381=0,0,ROUND($D381*$E381,2))</f>
        <v/>
      </c>
      <c r="H381" s="125">
        <f>IF($C381="","",CONCATENATE("Örnek kayıt: ",$C381))</f>
        <v/>
      </c>
    </row>
    <row r="382" ht="15" customHeight="1" s="80">
      <c r="G382" s="125">
        <f>IF($D382=0,0,ROUND($D382*$E382,2))</f>
        <v/>
      </c>
      <c r="H382" s="125">
        <f>IF($C382="","",CONCATENATE("Örnek kayıt: ",$C382))</f>
        <v/>
      </c>
    </row>
    <row r="383" ht="15" customHeight="1" s="80">
      <c r="G383" s="125">
        <f>IF($D383=0,0,ROUND($D383*$E383,2))</f>
        <v/>
      </c>
      <c r="H383" s="125">
        <f>IF($C383="","",CONCATENATE("Örnek kayıt: ",$C383))</f>
        <v/>
      </c>
    </row>
    <row r="384" ht="15" customHeight="1" s="80">
      <c r="G384" s="125">
        <f>IF($D384=0,0,ROUND($D384*$E384,2))</f>
        <v/>
      </c>
      <c r="H384" s="125">
        <f>IF($C384="","",CONCATENATE("Örnek kayıt: ",$C384))</f>
        <v/>
      </c>
    </row>
    <row r="385" ht="15" customHeight="1" s="80">
      <c r="G385" s="125">
        <f>IF($D385=0,0,ROUND($D385*$E385,2))</f>
        <v/>
      </c>
      <c r="H385" s="125">
        <f>IF($C385="","",CONCATENATE("Örnek kayıt: ",$C385))</f>
        <v/>
      </c>
    </row>
    <row r="386" ht="15" customHeight="1" s="80">
      <c r="G386" s="125">
        <f>IF($D386=0,0,ROUND($D386*$E386,2))</f>
        <v/>
      </c>
      <c r="H386" s="125">
        <f>IF($C386="","",CONCATENATE("Örnek kayıt: ",$C386))</f>
        <v/>
      </c>
    </row>
    <row r="387" ht="15" customHeight="1" s="80">
      <c r="G387" s="125">
        <f>IF($D387=0,0,ROUND($D387*$E387,2))</f>
        <v/>
      </c>
      <c r="H387" s="125">
        <f>IF($C387="","",CONCATENATE("Örnek kayıt: ",$C387))</f>
        <v/>
      </c>
    </row>
    <row r="388" ht="15" customHeight="1" s="80">
      <c r="G388" s="125">
        <f>IF($D388=0,0,ROUND($D388*$E388,2))</f>
        <v/>
      </c>
      <c r="H388" s="125">
        <f>IF($C388="","",CONCATENATE("Örnek kayıt: ",$C388))</f>
        <v/>
      </c>
    </row>
    <row r="389" ht="15" customHeight="1" s="80">
      <c r="G389" s="125">
        <f>IF($D389=0,0,ROUND($D389*$E389,2))</f>
        <v/>
      </c>
      <c r="H389" s="125">
        <f>IF($C389="","",CONCATENATE("Örnek kayıt: ",$C389))</f>
        <v/>
      </c>
    </row>
    <row r="390" ht="15" customHeight="1" s="80">
      <c r="G390" s="125">
        <f>IF($D390=0,0,ROUND($D390*$E390,2))</f>
        <v/>
      </c>
      <c r="H390" s="125">
        <f>IF($C390="","",CONCATENATE("Örnek kayıt: ",$C390))</f>
        <v/>
      </c>
    </row>
    <row r="391" ht="15" customHeight="1" s="80">
      <c r="G391" s="125">
        <f>IF($D391=0,0,ROUND($D391*$E391,2))</f>
        <v/>
      </c>
      <c r="H391" s="125">
        <f>IF($C391="","",CONCATENATE("Örnek kayıt: ",$C391))</f>
        <v/>
      </c>
    </row>
    <row r="392" ht="15" customHeight="1" s="80">
      <c r="G392" s="125">
        <f>IF($D392=0,0,ROUND($D392*$E392,2))</f>
        <v/>
      </c>
      <c r="H392" s="125">
        <f>IF($C392="","",CONCATENATE("Örnek kayıt: ",$C392))</f>
        <v/>
      </c>
    </row>
    <row r="393" ht="15" customHeight="1" s="80">
      <c r="G393" s="125">
        <f>IF($D393=0,0,ROUND($D393*$E393,2))</f>
        <v/>
      </c>
      <c r="H393" s="125">
        <f>IF($C393="","",CONCATENATE("Örnek kayıt: ",$C393))</f>
        <v/>
      </c>
    </row>
    <row r="394" ht="15" customHeight="1" s="80">
      <c r="G394" s="125">
        <f>IF($D394=0,0,ROUND($D394*$E394,2))</f>
        <v/>
      </c>
      <c r="H394" s="125">
        <f>IF($C394="","",CONCATENATE("Örnek kayıt: ",$C394))</f>
        <v/>
      </c>
    </row>
    <row r="395" ht="15" customHeight="1" s="80">
      <c r="G395" s="125">
        <f>IF($D395=0,0,ROUND($D395*$E395,2))</f>
        <v/>
      </c>
      <c r="H395" s="125">
        <f>IF($C395="","",CONCATENATE("Örnek kayıt: ",$C395))</f>
        <v/>
      </c>
    </row>
    <row r="396" ht="15" customHeight="1" s="80">
      <c r="G396" s="125">
        <f>IF($D396=0,0,ROUND($D396*$E396,2))</f>
        <v/>
      </c>
      <c r="H396" s="125">
        <f>IF($C396="","",CONCATENATE("Örnek kayıt: ",$C396))</f>
        <v/>
      </c>
    </row>
    <row r="397" ht="15" customHeight="1" s="80">
      <c r="G397" s="125">
        <f>IF($D397=0,0,ROUND($D397*$E397,2))</f>
        <v/>
      </c>
      <c r="H397" s="125">
        <f>IF($C397="","",CONCATENATE("Örnek kayıt: ",$C397))</f>
        <v/>
      </c>
    </row>
    <row r="398" ht="15" customHeight="1" s="80">
      <c r="G398" s="125">
        <f>IF($D398=0,0,ROUND($D398*$E398,2))</f>
        <v/>
      </c>
      <c r="H398" s="125">
        <f>IF($C398="","",CONCATENATE("Örnek kayıt: ",$C398))</f>
        <v/>
      </c>
    </row>
    <row r="399" ht="15" customHeight="1" s="80">
      <c r="G399" s="125">
        <f>IF($D399=0,0,ROUND($D399*$E399,2))</f>
        <v/>
      </c>
      <c r="H399" s="125">
        <f>IF($C399="","",CONCATENATE("Örnek kayıt: ",$C399))</f>
        <v/>
      </c>
    </row>
    <row r="400" ht="15" customHeight="1" s="80">
      <c r="G400" s="125">
        <f>IF($D400=0,0,ROUND($D400*$E400,2))</f>
        <v/>
      </c>
      <c r="H400" s="125">
        <f>IF($C400="","",CONCATENATE("Örnek kayıt: ",$C400))</f>
        <v/>
      </c>
    </row>
    <row r="401" ht="15" customHeight="1" s="80">
      <c r="G401" s="125">
        <f>IF($D401=0,0,ROUND($D401*$E401,2))</f>
        <v/>
      </c>
      <c r="H401" s="125">
        <f>IF($C401="","",CONCATENATE("Örnek kayıt: ",$C401))</f>
        <v/>
      </c>
    </row>
    <row r="402" ht="15" customHeight="1" s="80">
      <c r="G402" s="125">
        <f>IF($D402=0,0,ROUND($D402*$E402,2))</f>
        <v/>
      </c>
      <c r="H402" s="125">
        <f>IF($C402="","",CONCATENATE("Örnek kayıt: ",$C402))</f>
        <v/>
      </c>
    </row>
    <row r="403" ht="15" customHeight="1" s="80">
      <c r="G403" s="125">
        <f>IF($D403=0,0,ROUND($D403*$E403,2))</f>
        <v/>
      </c>
      <c r="H403" s="125">
        <f>IF($C403="","",CONCATENATE("Örnek kayıt: ",$C403))</f>
        <v/>
      </c>
    </row>
    <row r="404" ht="15" customHeight="1" s="80">
      <c r="G404" s="125">
        <f>IF($D404=0,0,ROUND($D404*$E404,2))</f>
        <v/>
      </c>
      <c r="H404" s="125">
        <f>IF($C404="","",CONCATENATE("Örnek kayıt: ",$C404))</f>
        <v/>
      </c>
    </row>
    <row r="405" ht="15" customHeight="1" s="80">
      <c r="G405" s="125">
        <f>IF($D405=0,0,ROUND($D405*$E405,2))</f>
        <v/>
      </c>
      <c r="H405" s="125">
        <f>IF($C405="","",CONCATENATE("Örnek kayıt: ",$C405))</f>
        <v/>
      </c>
    </row>
    <row r="406" ht="15" customHeight="1" s="80">
      <c r="G406" s="125">
        <f>IF($D406=0,0,ROUND($D406*$E406,2))</f>
        <v/>
      </c>
      <c r="H406" s="125">
        <f>IF($C406="","",CONCATENATE("Örnek kayıt: ",$C406))</f>
        <v/>
      </c>
    </row>
    <row r="407" ht="15" customHeight="1" s="80">
      <c r="G407" s="125">
        <f>IF($D407=0,0,ROUND($D407*$E407,2))</f>
        <v/>
      </c>
      <c r="H407" s="125">
        <f>IF($C407="","",CONCATENATE("Örnek kayıt: ",$C407))</f>
        <v/>
      </c>
    </row>
    <row r="408" ht="15" customHeight="1" s="80">
      <c r="G408" s="125">
        <f>IF($D408=0,0,ROUND($D408*$E408,2))</f>
        <v/>
      </c>
      <c r="H408" s="125">
        <f>IF($C408="","",CONCATENATE("Örnek kayıt: ",$C408))</f>
        <v/>
      </c>
    </row>
    <row r="409" ht="15" customHeight="1" s="80">
      <c r="G409" s="125">
        <f>IF($D409=0,0,ROUND($D409*$E409,2))</f>
        <v/>
      </c>
      <c r="H409" s="125">
        <f>IF($C409="","",CONCATENATE("Örnek kayıt: ",$C409))</f>
        <v/>
      </c>
    </row>
    <row r="410" ht="15" customHeight="1" s="80">
      <c r="G410" s="125">
        <f>IF($D410=0,0,ROUND($D410*$E410,2))</f>
        <v/>
      </c>
      <c r="H410" s="125">
        <f>IF($C410="","",CONCATENATE("Örnek kayıt: ",$C410))</f>
        <v/>
      </c>
    </row>
    <row r="411" ht="15" customHeight="1" s="80">
      <c r="G411" s="125">
        <f>IF($D411=0,0,ROUND($D411*$E411,2))</f>
        <v/>
      </c>
      <c r="H411" s="125">
        <f>IF($C411="","",CONCATENATE("Örnek kayıt: ",$C411))</f>
        <v/>
      </c>
    </row>
    <row r="412" ht="15" customHeight="1" s="80">
      <c r="G412" s="125">
        <f>IF($D412=0,0,ROUND($D412*$E412,2))</f>
        <v/>
      </c>
      <c r="H412" s="125">
        <f>IF($C412="","",CONCATENATE("Örnek kayıt: ",$C412))</f>
        <v/>
      </c>
    </row>
    <row r="413" ht="15" customHeight="1" s="80">
      <c r="G413" s="125">
        <f>IF($D413=0,0,ROUND($D413*$E413,2))</f>
        <v/>
      </c>
      <c r="H413" s="125">
        <f>IF($C413="","",CONCATENATE("Örnek kayıt: ",$C413))</f>
        <v/>
      </c>
    </row>
    <row r="414" ht="15" customHeight="1" s="80">
      <c r="G414" s="125">
        <f>IF($D414=0,0,ROUND($D414*$E414,2))</f>
        <v/>
      </c>
      <c r="H414" s="125">
        <f>IF($C414="","",CONCATENATE("Örnek kayıt: ",$C414))</f>
        <v/>
      </c>
    </row>
    <row r="415" ht="15" customHeight="1" s="80">
      <c r="G415" s="125">
        <f>IF($D415=0,0,ROUND($D415*$E415,2))</f>
        <v/>
      </c>
      <c r="H415" s="125">
        <f>IF($C415="","",CONCATENATE("Örnek kayıt: ",$C415))</f>
        <v/>
      </c>
    </row>
    <row r="416" ht="15" customHeight="1" s="80">
      <c r="G416" s="125">
        <f>IF($D416=0,0,ROUND($D416*$E416,2))</f>
        <v/>
      </c>
      <c r="H416" s="125">
        <f>IF($C416="","",CONCATENATE("Örnek kayıt: ",$C416))</f>
        <v/>
      </c>
    </row>
    <row r="417" ht="15" customHeight="1" s="80">
      <c r="G417" s="125">
        <f>IF($D417=0,0,ROUND($D417*$E417,2))</f>
        <v/>
      </c>
      <c r="H417" s="125">
        <f>IF($C417="","",CONCATENATE("Örnek kayıt: ",$C417))</f>
        <v/>
      </c>
    </row>
    <row r="418" ht="15" customHeight="1" s="80">
      <c r="G418" s="125">
        <f>IF($D418=0,0,ROUND($D418*$E418,2))</f>
        <v/>
      </c>
      <c r="H418" s="125">
        <f>IF($C418="","",CONCATENATE("Örnek kayıt: ",$C418))</f>
        <v/>
      </c>
    </row>
    <row r="419" ht="15" customHeight="1" s="80">
      <c r="G419" s="125">
        <f>IF($D419=0,0,ROUND($D419*$E419,2))</f>
        <v/>
      </c>
      <c r="H419" s="125">
        <f>IF($C419="","",CONCATENATE("Örnek kayıt: ",$C419))</f>
        <v/>
      </c>
    </row>
    <row r="420" ht="15" customHeight="1" s="80">
      <c r="G420" s="125">
        <f>IF($D420=0,0,ROUND($D420*$E420,2))</f>
        <v/>
      </c>
      <c r="H420" s="125">
        <f>IF($C420="","",CONCATENATE("Örnek kayıt: ",$C420))</f>
        <v/>
      </c>
    </row>
    <row r="421" ht="15" customHeight="1" s="80">
      <c r="G421" s="125">
        <f>IF($D421=0,0,ROUND($D421*$E421,2))</f>
        <v/>
      </c>
      <c r="H421" s="125">
        <f>IF($C421="","",CONCATENATE("Örnek kayıt: ",$C421))</f>
        <v/>
      </c>
    </row>
    <row r="422" ht="15" customHeight="1" s="80">
      <c r="G422" s="125">
        <f>IF($D422=0,0,ROUND($D422*$E422,2))</f>
        <v/>
      </c>
      <c r="H422" s="125">
        <f>IF($C422="","",CONCATENATE("Örnek kayıt: ",$C422))</f>
        <v/>
      </c>
    </row>
    <row r="423" ht="15" customHeight="1" s="80">
      <c r="G423" s="125">
        <f>IF($D423=0,0,ROUND($D423*$E423,2))</f>
        <v/>
      </c>
      <c r="H423" s="125">
        <f>IF($C423="","",CONCATENATE("Örnek kayıt: ",$C423))</f>
        <v/>
      </c>
    </row>
    <row r="424" ht="15" customHeight="1" s="80">
      <c r="G424" s="125">
        <f>IF($D424=0,0,ROUND($D424*$E424,2))</f>
        <v/>
      </c>
      <c r="H424" s="125">
        <f>IF($C424="","",CONCATENATE("Örnek kayıt: ",$C424))</f>
        <v/>
      </c>
    </row>
    <row r="425" ht="15" customHeight="1" s="80">
      <c r="G425" s="125">
        <f>IF($D425=0,0,ROUND($D425*$E425,2))</f>
        <v/>
      </c>
      <c r="H425" s="125">
        <f>IF($C425="","",CONCATENATE("Örnek kayıt: ",$C425))</f>
        <v/>
      </c>
    </row>
    <row r="426" ht="15" customHeight="1" s="80">
      <c r="G426" s="125">
        <f>IF($D426=0,0,ROUND($D426*$E426,2))</f>
        <v/>
      </c>
      <c r="H426" s="125">
        <f>IF($C426="","",CONCATENATE("Örnek kayıt: ",$C426))</f>
        <v/>
      </c>
    </row>
    <row r="427" ht="15" customHeight="1" s="80">
      <c r="G427" s="125">
        <f>IF($D427=0,0,ROUND($D427*$E427,2))</f>
        <v/>
      </c>
      <c r="H427" s="125">
        <f>IF($C427="","",CONCATENATE("Örnek kayıt: ",$C427))</f>
        <v/>
      </c>
    </row>
    <row r="428" ht="15" customHeight="1" s="80">
      <c r="G428" s="125">
        <f>IF($D428=0,0,ROUND($D428*$E428,2))</f>
        <v/>
      </c>
      <c r="H428" s="125">
        <f>IF($C428="","",CONCATENATE("Örnek kayıt: ",$C428))</f>
        <v/>
      </c>
    </row>
    <row r="429" ht="15" customHeight="1" s="80">
      <c r="G429" s="125">
        <f>IF($D429=0,0,ROUND($D429*$E429,2))</f>
        <v/>
      </c>
      <c r="H429" s="125">
        <f>IF($C429="","",CONCATENATE("Örnek kayıt: ",$C429))</f>
        <v/>
      </c>
    </row>
    <row r="430" ht="15" customHeight="1" s="80">
      <c r="G430" s="125">
        <f>IF($D430=0,0,ROUND($D430*$E430,2))</f>
        <v/>
      </c>
      <c r="H430" s="125">
        <f>IF($C430="","",CONCATENATE("Örnek kayıt: ",$C430))</f>
        <v/>
      </c>
    </row>
    <row r="431" ht="15" customHeight="1" s="80">
      <c r="G431" s="125">
        <f>IF($D431=0,0,ROUND($D431*$E431,2))</f>
        <v/>
      </c>
      <c r="H431" s="125">
        <f>IF($C431="","",CONCATENATE("Örnek kayıt: ",$C431))</f>
        <v/>
      </c>
    </row>
    <row r="432" ht="15" customHeight="1" s="80">
      <c r="G432" s="125">
        <f>IF($D432=0,0,ROUND($D432*$E432,2))</f>
        <v/>
      </c>
      <c r="H432" s="125">
        <f>IF($C432="","",CONCATENATE("Örnek kayıt: ",$C432))</f>
        <v/>
      </c>
    </row>
    <row r="433" ht="15" customHeight="1" s="80">
      <c r="G433" s="125">
        <f>IF($D433=0,0,ROUND($D433*$E433,2))</f>
        <v/>
      </c>
      <c r="H433" s="125">
        <f>IF($C433="","",CONCATENATE("Örnek kayıt: ",$C433))</f>
        <v/>
      </c>
    </row>
    <row r="434" ht="15" customHeight="1" s="80">
      <c r="G434" s="125">
        <f>IF($D434=0,0,ROUND($D434*$E434,2))</f>
        <v/>
      </c>
      <c r="H434" s="125">
        <f>IF($C434="","",CONCATENATE("Örnek kayıt: ",$C434))</f>
        <v/>
      </c>
    </row>
    <row r="435" ht="15" customHeight="1" s="80">
      <c r="G435" s="125">
        <f>IF($D435=0,0,ROUND($D435*$E435,2))</f>
        <v/>
      </c>
      <c r="H435" s="125">
        <f>IF($C435="","",CONCATENATE("Örnek kayıt: ",$C435))</f>
        <v/>
      </c>
    </row>
    <row r="436" ht="15" customHeight="1" s="80">
      <c r="G436" s="125">
        <f>IF($D436=0,0,ROUND($D436*$E436,2))</f>
        <v/>
      </c>
      <c r="H436" s="125">
        <f>IF($C436="","",CONCATENATE("Örnek kayıt: ",$C436))</f>
        <v/>
      </c>
    </row>
    <row r="437" ht="15" customHeight="1" s="80">
      <c r="G437" s="125">
        <f>IF($D437=0,0,ROUND($D437*$E437,2))</f>
        <v/>
      </c>
      <c r="H437" s="125">
        <f>IF($C437="","",CONCATENATE("Örnek kayıt: ",$C437))</f>
        <v/>
      </c>
    </row>
    <row r="438" ht="15" customHeight="1" s="80">
      <c r="G438" s="125">
        <f>IF($D438=0,0,ROUND($D438*$E438,2))</f>
        <v/>
      </c>
      <c r="H438" s="125">
        <f>IF($C438="","",CONCATENATE("Örnek kayıt: ",$C438))</f>
        <v/>
      </c>
    </row>
    <row r="439" ht="15" customHeight="1" s="80">
      <c r="G439" s="125">
        <f>IF($D439=0,0,ROUND($D439*$E439,2))</f>
        <v/>
      </c>
      <c r="H439" s="125">
        <f>IF($C439="","",CONCATENATE("Örnek kayıt: ",$C439))</f>
        <v/>
      </c>
    </row>
    <row r="440" ht="15" customHeight="1" s="80">
      <c r="G440" s="125">
        <f>IF($D440=0,0,ROUND($D440*$E440,2))</f>
        <v/>
      </c>
      <c r="H440" s="125">
        <f>IF($C440="","",CONCATENATE("Örnek kayıt: ",$C440))</f>
        <v/>
      </c>
    </row>
    <row r="441" ht="15" customHeight="1" s="80">
      <c r="G441" s="125">
        <f>IF($D441=0,0,ROUND($D441*$E441,2))</f>
        <v/>
      </c>
      <c r="H441" s="125">
        <f>IF($C441="","",CONCATENATE("Örnek kayıt: ",$C441))</f>
        <v/>
      </c>
    </row>
    <row r="442" ht="15" customHeight="1" s="80">
      <c r="G442" s="125">
        <f>IF($D442=0,0,ROUND($D442*$E442,2))</f>
        <v/>
      </c>
      <c r="H442" s="125">
        <f>IF($C442="","",CONCATENATE("Örnek kayıt: ",$C442))</f>
        <v/>
      </c>
    </row>
    <row r="443" ht="15" customHeight="1" s="80">
      <c r="G443" s="125">
        <f>IF($D443=0,0,ROUND($D443*$E443,2))</f>
        <v/>
      </c>
      <c r="H443" s="125">
        <f>IF($C443="","",CONCATENATE("Örnek kayıt: ",$C443))</f>
        <v/>
      </c>
    </row>
    <row r="444" ht="15" customHeight="1" s="80">
      <c r="G444" s="125">
        <f>IF($D444=0,0,ROUND($D444*$E444,2))</f>
        <v/>
      </c>
      <c r="H444" s="125">
        <f>IF($C444="","",CONCATENATE("Örnek kayıt: ",$C444))</f>
        <v/>
      </c>
    </row>
    <row r="445" ht="15" customHeight="1" s="80">
      <c r="G445" s="125">
        <f>IF($D445=0,0,ROUND($D445*$E445,2))</f>
        <v/>
      </c>
      <c r="H445" s="125">
        <f>IF($C445="","",CONCATENATE("Örnek kayıt: ",$C445))</f>
        <v/>
      </c>
    </row>
    <row r="446" ht="15" customHeight="1" s="80">
      <c r="G446" s="125">
        <f>IF($D446=0,0,ROUND($D446*$E446,2))</f>
        <v/>
      </c>
      <c r="H446" s="125">
        <f>IF($C446="","",CONCATENATE("Örnek kayıt: ",$C446))</f>
        <v/>
      </c>
    </row>
    <row r="447" ht="15" customHeight="1" s="80">
      <c r="G447" s="125">
        <f>IF($D447=0,0,ROUND($D447*$E447,2))</f>
        <v/>
      </c>
      <c r="H447" s="125">
        <f>IF($C447="","",CONCATENATE("Örnek kayıt: ",$C447))</f>
        <v/>
      </c>
    </row>
    <row r="448" ht="15" customHeight="1" s="80">
      <c r="G448" s="125">
        <f>IF($D448=0,0,ROUND($D448*$E448,2))</f>
        <v/>
      </c>
      <c r="H448" s="125">
        <f>IF($C448="","",CONCATENATE("Örnek kayıt: ",$C448))</f>
        <v/>
      </c>
    </row>
    <row r="449" ht="15" customHeight="1" s="80">
      <c r="G449" s="125">
        <f>IF($D449=0,0,ROUND($D449*$E449,2))</f>
        <v/>
      </c>
      <c r="H449" s="125">
        <f>IF($C449="","",CONCATENATE("Örnek kayıt: ",$C449))</f>
        <v/>
      </c>
    </row>
    <row r="450" ht="15" customHeight="1" s="80">
      <c r="G450" s="125">
        <f>IF($D450=0,0,ROUND($D450*$E450,2))</f>
        <v/>
      </c>
      <c r="H450" s="125">
        <f>IF($C450="","",CONCATENATE("Örnek kayıt: ",$C450))</f>
        <v/>
      </c>
    </row>
    <row r="451" ht="15" customHeight="1" s="80">
      <c r="G451" s="125">
        <f>IF($D451=0,0,ROUND($D451*$E451,2))</f>
        <v/>
      </c>
      <c r="H451" s="125">
        <f>IF($C451="","",CONCATENATE("Örnek kayıt: ",$C451))</f>
        <v/>
      </c>
    </row>
    <row r="452" ht="15" customHeight="1" s="80">
      <c r="G452" s="125">
        <f>IF($D452=0,0,ROUND($D452*$E452,2))</f>
        <v/>
      </c>
      <c r="H452" s="125">
        <f>IF($C452="","",CONCATENATE("Örnek kayıt: ",$C452))</f>
        <v/>
      </c>
    </row>
    <row r="453" ht="15" customHeight="1" s="80">
      <c r="G453" s="125">
        <f>IF($D453=0,0,ROUND($D453*$E453,2))</f>
        <v/>
      </c>
      <c r="H453" s="125">
        <f>IF($C453="","",CONCATENATE("Örnek kayıt: ",$C453))</f>
        <v/>
      </c>
    </row>
    <row r="454" ht="15" customHeight="1" s="80">
      <c r="G454" s="125">
        <f>IF($D454=0,0,ROUND($D454*$E454,2))</f>
        <v/>
      </c>
      <c r="H454" s="125">
        <f>IF($C454="","",CONCATENATE("Örnek kayıt: ",$C454))</f>
        <v/>
      </c>
    </row>
    <row r="455" ht="15" customHeight="1" s="80">
      <c r="G455" s="125">
        <f>IF($D455=0,0,ROUND($D455*$E455,2))</f>
        <v/>
      </c>
      <c r="H455" s="125">
        <f>IF($C455="","",CONCATENATE("Örnek kayıt: ",$C455))</f>
        <v/>
      </c>
    </row>
    <row r="456" ht="15" customHeight="1" s="80">
      <c r="G456" s="125">
        <f>IF($D456=0,0,ROUND($D456*$E456,2))</f>
        <v/>
      </c>
      <c r="H456" s="125">
        <f>IF($C456="","",CONCATENATE("Örnek kayıt: ",$C456))</f>
        <v/>
      </c>
    </row>
    <row r="457" ht="15" customHeight="1" s="80">
      <c r="G457" s="125">
        <f>IF($D457=0,0,ROUND($D457*$E457,2))</f>
        <v/>
      </c>
      <c r="H457" s="125">
        <f>IF($C457="","",CONCATENATE("Örnek kayıt: ",$C457))</f>
        <v/>
      </c>
    </row>
    <row r="458" ht="15" customHeight="1" s="80">
      <c r="G458" s="125">
        <f>IF($D458=0,0,ROUND($D458*$E458,2))</f>
        <v/>
      </c>
      <c r="H458" s="125">
        <f>IF($C458="","",CONCATENATE("Örnek kayıt: ",$C458))</f>
        <v/>
      </c>
    </row>
    <row r="459" ht="15" customHeight="1" s="80">
      <c r="G459" s="125">
        <f>IF($D459=0,0,ROUND($D459*$E459,2))</f>
        <v/>
      </c>
      <c r="H459" s="125">
        <f>IF($C459="","",CONCATENATE("Örnek kayıt: ",$C459))</f>
        <v/>
      </c>
    </row>
    <row r="460" ht="15" customHeight="1" s="80">
      <c r="G460" s="125">
        <f>IF($D460=0,0,ROUND($D460*$E460,2))</f>
        <v/>
      </c>
      <c r="H460" s="125">
        <f>IF($C460="","",CONCATENATE("Örnek kayıt: ",$C460))</f>
        <v/>
      </c>
    </row>
    <row r="461" ht="15" customHeight="1" s="80">
      <c r="G461" s="125">
        <f>IF($D461=0,0,ROUND($D461*$E461,2))</f>
        <v/>
      </c>
      <c r="H461" s="125">
        <f>IF($C461="","",CONCATENATE("Örnek kayıt: ",$C461))</f>
        <v/>
      </c>
    </row>
    <row r="462" ht="15" customHeight="1" s="80">
      <c r="G462" s="125">
        <f>IF($D462=0,0,ROUND($D462*$E462,2))</f>
        <v/>
      </c>
      <c r="H462" s="125">
        <f>IF($C462="","",CONCATENATE("Örnek kayıt: ",$C462))</f>
        <v/>
      </c>
    </row>
    <row r="463" ht="15" customHeight="1" s="80">
      <c r="G463" s="125">
        <f>IF($D463=0,0,ROUND($D463*$E463,2))</f>
        <v/>
      </c>
      <c r="H463" s="125">
        <f>IF($C463="","",CONCATENATE("Örnek kayıt: ",$C463))</f>
        <v/>
      </c>
    </row>
    <row r="464" ht="15" customHeight="1" s="80">
      <c r="G464" s="125">
        <f>IF($D464=0,0,ROUND($D464*$E464,2))</f>
        <v/>
      </c>
      <c r="H464" s="125">
        <f>IF($C464="","",CONCATENATE("Örnek kayıt: ",$C464))</f>
        <v/>
      </c>
    </row>
    <row r="465" ht="15" customHeight="1" s="80">
      <c r="G465" s="125">
        <f>IF($D465=0,0,ROUND($D465*$E465,2))</f>
        <v/>
      </c>
      <c r="H465" s="125">
        <f>IF($C465="","",CONCATENATE("Örnek kayıt: ",$C465))</f>
        <v/>
      </c>
    </row>
    <row r="466" ht="15" customHeight="1" s="80">
      <c r="G466" s="125">
        <f>IF($D466=0,0,ROUND($D466*$E466,2))</f>
        <v/>
      </c>
      <c r="H466" s="125">
        <f>IF($C466="","",CONCATENATE("Örnek kayıt: ",$C466))</f>
        <v/>
      </c>
    </row>
    <row r="467" ht="15" customHeight="1" s="80">
      <c r="G467" s="125">
        <f>IF($D467=0,0,ROUND($D467*$E467,2))</f>
        <v/>
      </c>
      <c r="H467" s="125">
        <f>IF($C467="","",CONCATENATE("Örnek kayıt: ",$C467))</f>
        <v/>
      </c>
    </row>
    <row r="468" ht="15" customHeight="1" s="80">
      <c r="G468" s="125">
        <f>IF($D468=0,0,ROUND($D468*$E468,2))</f>
        <v/>
      </c>
      <c r="H468" s="125">
        <f>IF($C468="","",CONCATENATE("Örnek kayıt: ",$C468))</f>
        <v/>
      </c>
    </row>
    <row r="469" ht="15" customHeight="1" s="80">
      <c r="G469" s="125">
        <f>IF($D469=0,0,ROUND($D469*$E469,2))</f>
        <v/>
      </c>
      <c r="H469" s="125">
        <f>IF($C469="","",CONCATENATE("Örnek kayıt: ",$C469))</f>
        <v/>
      </c>
    </row>
    <row r="470" ht="15" customHeight="1" s="80">
      <c r="G470" s="125">
        <f>IF($D470=0,0,ROUND($D470*$E470,2))</f>
        <v/>
      </c>
      <c r="H470" s="125">
        <f>IF($C470="","",CONCATENATE("Örnek kayıt: ",$C470))</f>
        <v/>
      </c>
    </row>
    <row r="471" ht="15" customHeight="1" s="80">
      <c r="G471" s="125">
        <f>IF($D471=0,0,ROUND($D471*$E471,2))</f>
        <v/>
      </c>
      <c r="H471" s="125">
        <f>IF($C471="","",CONCATENATE("Örnek kayıt: ",$C471))</f>
        <v/>
      </c>
    </row>
    <row r="472" ht="15" customHeight="1" s="80">
      <c r="G472" s="125">
        <f>IF($D472=0,0,ROUND($D472*$E472,2))</f>
        <v/>
      </c>
      <c r="H472" s="125">
        <f>IF($C472="","",CONCATENATE("Örnek kayıt: ",$C472))</f>
        <v/>
      </c>
    </row>
    <row r="473" ht="15" customHeight="1" s="80">
      <c r="G473" s="125">
        <f>IF($D473=0,0,ROUND($D473*$E473,2))</f>
        <v/>
      </c>
      <c r="H473" s="125">
        <f>IF($C473="","",CONCATENATE("Örnek kayıt: ",$C473))</f>
        <v/>
      </c>
    </row>
    <row r="474" ht="15" customHeight="1" s="80">
      <c r="G474" s="125">
        <f>IF($D474=0,0,ROUND($D474*$E474,2))</f>
        <v/>
      </c>
      <c r="H474" s="125">
        <f>IF($C474="","",CONCATENATE("Örnek kayıt: ",$C474))</f>
        <v/>
      </c>
    </row>
    <row r="475" ht="15" customHeight="1" s="80">
      <c r="G475" s="125">
        <f>IF($D475=0,0,ROUND($D475*$E475,2))</f>
        <v/>
      </c>
      <c r="H475" s="125">
        <f>IF($C475="","",CONCATENATE("Örnek kayıt: ",$C475))</f>
        <v/>
      </c>
    </row>
    <row r="476" ht="15" customHeight="1" s="80">
      <c r="G476" s="125">
        <f>IF($D476=0,0,ROUND($D476*$E476,2))</f>
        <v/>
      </c>
      <c r="H476" s="125">
        <f>IF($C476="","",CONCATENATE("Örnek kayıt: ",$C476))</f>
        <v/>
      </c>
    </row>
    <row r="477" ht="15" customHeight="1" s="80">
      <c r="G477" s="125">
        <f>IF($D477=0,0,ROUND($D477*$E477,2))</f>
        <v/>
      </c>
      <c r="H477" s="125">
        <f>IF($C477="","",CONCATENATE("Örnek kayıt: ",$C477))</f>
        <v/>
      </c>
    </row>
    <row r="478" ht="15" customHeight="1" s="80">
      <c r="G478" s="125">
        <f>IF($D478=0,0,ROUND($D478*$E478,2))</f>
        <v/>
      </c>
      <c r="H478" s="125">
        <f>IF($C478="","",CONCATENATE("Örnek kayıt: ",$C478))</f>
        <v/>
      </c>
    </row>
    <row r="479" ht="15" customHeight="1" s="80">
      <c r="G479" s="125">
        <f>IF($D479=0,0,ROUND($D479*$E479,2))</f>
        <v/>
      </c>
      <c r="H479" s="125">
        <f>IF($C479="","",CONCATENATE("Örnek kayıt: ",$C479))</f>
        <v/>
      </c>
    </row>
    <row r="480" ht="15" customHeight="1" s="80">
      <c r="G480" s="125">
        <f>IF($D480=0,0,ROUND($D480*$E480,2))</f>
        <v/>
      </c>
      <c r="H480" s="125">
        <f>IF($C480="","",CONCATENATE("Örnek kayıt: ",$C480))</f>
        <v/>
      </c>
    </row>
    <row r="481" ht="15" customHeight="1" s="80">
      <c r="G481" s="125">
        <f>IF($D481=0,0,ROUND($D481*$E481,2))</f>
        <v/>
      </c>
      <c r="H481" s="125">
        <f>IF($C481="","",CONCATENATE("Örnek kayıt: ",$C481))</f>
        <v/>
      </c>
    </row>
    <row r="482" ht="15" customHeight="1" s="80">
      <c r="G482" s="125">
        <f>IF($D482=0,0,ROUND($D482*$E482,2))</f>
        <v/>
      </c>
      <c r="H482" s="125">
        <f>IF($C482="","",CONCATENATE("Örnek kayıt: ",$C482))</f>
        <v/>
      </c>
    </row>
    <row r="483" ht="15" customHeight="1" s="80">
      <c r="G483" s="125">
        <f>IF($D483=0,0,ROUND($D483*$E483,2))</f>
        <v/>
      </c>
      <c r="H483" s="125">
        <f>IF($C483="","",CONCATENATE("Örnek kayıt: ",$C483))</f>
        <v/>
      </c>
    </row>
    <row r="484" ht="15" customHeight="1" s="80">
      <c r="G484" s="125">
        <f>IF($D484=0,0,ROUND($D484*$E484,2))</f>
        <v/>
      </c>
      <c r="H484" s="125">
        <f>IF($C484="","",CONCATENATE("Örnek kayıt: ",$C484))</f>
        <v/>
      </c>
    </row>
    <row r="485" ht="15" customHeight="1" s="80">
      <c r="G485" s="125">
        <f>IF($D485=0,0,ROUND($D485*$E485,2))</f>
        <v/>
      </c>
      <c r="H485" s="125">
        <f>IF($C485="","",CONCATENATE("Örnek kayıt: ",$C485))</f>
        <v/>
      </c>
    </row>
    <row r="486" ht="15" customHeight="1" s="80">
      <c r="G486" s="125">
        <f>IF($D486=0,0,ROUND($D486*$E486,2))</f>
        <v/>
      </c>
      <c r="H486" s="125">
        <f>IF($C486="","",CONCATENATE("Örnek kayıt: ",$C486))</f>
        <v/>
      </c>
    </row>
    <row r="487" ht="15" customHeight="1" s="80">
      <c r="G487" s="125">
        <f>IF($D487=0,0,ROUND($D487*$E487,2))</f>
        <v/>
      </c>
      <c r="H487" s="125">
        <f>IF($C487="","",CONCATENATE("Örnek kayıt: ",$C487))</f>
        <v/>
      </c>
    </row>
    <row r="488" ht="15" customHeight="1" s="80">
      <c r="G488" s="125">
        <f>IF($D488=0,0,ROUND($D488*$E488,2))</f>
        <v/>
      </c>
      <c r="H488" s="125">
        <f>IF($C488="","",CONCATENATE("Örnek kayıt: ",$C488))</f>
        <v/>
      </c>
    </row>
    <row r="489" ht="15" customHeight="1" s="80">
      <c r="G489" s="125">
        <f>IF($D489=0,0,ROUND($D489*$E489,2))</f>
        <v/>
      </c>
      <c r="H489" s="125">
        <f>IF($C489="","",CONCATENATE("Örnek kayıt: ",$C489))</f>
        <v/>
      </c>
    </row>
    <row r="490" ht="15" customHeight="1" s="80">
      <c r="G490" s="125">
        <f>IF($D490=0,0,ROUND($D490*$E490,2))</f>
        <v/>
      </c>
      <c r="H490" s="125">
        <f>IF($C490="","",CONCATENATE("Örnek kayıt: ",$C490))</f>
        <v/>
      </c>
    </row>
    <row r="491" ht="15" customHeight="1" s="80">
      <c r="G491" s="125">
        <f>IF($D491=0,0,ROUND($D491*$E491,2))</f>
        <v/>
      </c>
      <c r="H491" s="125">
        <f>IF($C491="","",CONCATENATE("Örnek kayıt: ",$C491))</f>
        <v/>
      </c>
    </row>
    <row r="492" ht="15" customHeight="1" s="80">
      <c r="G492" s="125">
        <f>IF($D492=0,0,ROUND($D492*$E492,2))</f>
        <v/>
      </c>
      <c r="H492" s="125">
        <f>IF($C492="","",CONCATENATE("Örnek kayıt: ",$C492))</f>
        <v/>
      </c>
    </row>
    <row r="493" ht="15" customHeight="1" s="80">
      <c r="G493" s="125">
        <f>IF($D493=0,0,ROUND($D493*$E493,2))</f>
        <v/>
      </c>
      <c r="H493" s="125">
        <f>IF($C493="","",CONCATENATE("Örnek kayıt: ",$C493))</f>
        <v/>
      </c>
    </row>
    <row r="494" ht="15" customHeight="1" s="80">
      <c r="G494" s="125">
        <f>IF($D494=0,0,ROUND($D494*$E494,2))</f>
        <v/>
      </c>
      <c r="H494" s="125">
        <f>IF($C494="","",CONCATENATE("Örnek kayıt: ",$C494))</f>
        <v/>
      </c>
    </row>
    <row r="495" ht="15" customHeight="1" s="80">
      <c r="G495" s="125">
        <f>IF($D495=0,0,ROUND($D495*$E495,2))</f>
        <v/>
      </c>
      <c r="H495" s="125">
        <f>IF($C495="","",CONCATENATE("Örnek kayıt: ",$C495))</f>
        <v/>
      </c>
    </row>
    <row r="496" ht="15" customHeight="1" s="80">
      <c r="G496" s="125">
        <f>IF($D496=0,0,ROUND($D496*$E496,2))</f>
        <v/>
      </c>
      <c r="H496" s="125">
        <f>IF($C496="","",CONCATENATE("Örnek kayıt: ",$C496))</f>
        <v/>
      </c>
    </row>
    <row r="497" ht="15" customHeight="1" s="80">
      <c r="G497" s="125">
        <f>IF($D497=0,0,ROUND($D497*$E497,2))</f>
        <v/>
      </c>
      <c r="H497" s="125">
        <f>IF($C497="","",CONCATENATE("Örnek kayıt: ",$C497))</f>
        <v/>
      </c>
    </row>
    <row r="498" ht="15" customHeight="1" s="80">
      <c r="G498" s="125">
        <f>IF($D498=0,0,ROUND($D498*$E498,2))</f>
        <v/>
      </c>
      <c r="H498" s="125">
        <f>IF($C498="","",CONCATENATE("Örnek kayıt: ",$C498))</f>
        <v/>
      </c>
    </row>
    <row r="499" ht="15" customHeight="1" s="80">
      <c r="G499" s="125">
        <f>IF($D499=0,0,ROUND($D499*$E499,2))</f>
        <v/>
      </c>
      <c r="H499" s="125">
        <f>IF($C499="","",CONCATENATE("Örnek kayıt: ",$C499))</f>
        <v/>
      </c>
    </row>
    <row r="500" ht="15" customHeight="1" s="80">
      <c r="G500" s="125">
        <f>IF($D500=0,0,ROUND($D500*$E500,2))</f>
        <v/>
      </c>
      <c r="H500" s="125">
        <f>IF($C500="","",CONCATENATE("Örnek kayıt: ",$C500))</f>
        <v/>
      </c>
    </row>
    <row r="501" ht="15" customHeight="1" s="80">
      <c r="G501" s="125">
        <f>IF($D501=0,0,ROUND($D501*$E501,2))</f>
        <v/>
      </c>
      <c r="H501" s="125">
        <f>IF($C501="","",CONCATENATE("Örnek kayıt: ",$C501))</f>
        <v/>
      </c>
    </row>
    <row r="502" ht="15" customHeight="1" s="80">
      <c r="G502" s="125">
        <f>IF($D502=0,0,ROUND($D502*$E502,2))</f>
        <v/>
      </c>
      <c r="H502" s="125">
        <f>IF($C502="","",CONCATENATE("Örnek kayıt: ",$C502))</f>
        <v/>
      </c>
    </row>
    <row r="503" ht="15" customHeight="1" s="80">
      <c r="G503" s="125">
        <f>IF($D503=0,0,ROUND($D503*$E503,2))</f>
        <v/>
      </c>
      <c r="H503" s="125">
        <f>IF($C503="","",CONCATENATE("Örnek kayıt: ",$C503))</f>
        <v/>
      </c>
    </row>
    <row r="504" ht="15" customHeight="1" s="80">
      <c r="G504" s="125">
        <f>IF($D504=0,0,ROUND($D504*$E504,2))</f>
        <v/>
      </c>
      <c r="H504" s="125">
        <f>IF($C504="","",CONCATENATE("Örnek kayıt: ",$C504))</f>
        <v/>
      </c>
    </row>
    <row r="505" ht="15" customHeight="1" s="80">
      <c r="G505" s="125">
        <f>IF($D505=0,0,ROUND($D505*$E505,2))</f>
        <v/>
      </c>
      <c r="H505" s="125">
        <f>IF($C505="","",CONCATENATE("Örnek kayıt: ",$C505))</f>
        <v/>
      </c>
    </row>
    <row r="506" ht="15" customHeight="1" s="80">
      <c r="G506" s="125">
        <f>IF($D506=0,0,ROUND($D506*$E506,2))</f>
        <v/>
      </c>
      <c r="H506" s="125">
        <f>IF($C506="","",CONCATENATE("Örnek kayıt: ",$C506))</f>
        <v/>
      </c>
    </row>
    <row r="507" ht="15" customHeight="1" s="80">
      <c r="G507" s="125">
        <f>IF($D507=0,0,ROUND($D507*$E507,2))</f>
        <v/>
      </c>
      <c r="H507" s="125">
        <f>IF($C507="","",CONCATENATE("Örnek kayıt: ",$C507))</f>
        <v/>
      </c>
    </row>
    <row r="508" ht="15" customHeight="1" s="80">
      <c r="G508" s="125">
        <f>IF($D508=0,0,ROUND($D508*$E508,2))</f>
        <v/>
      </c>
      <c r="H508" s="125">
        <f>IF($C508="","",CONCATENATE("Örnek kayıt: ",$C508))</f>
        <v/>
      </c>
    </row>
    <row r="509" ht="15" customHeight="1" s="80">
      <c r="G509" s="125">
        <f>IF($D509=0,0,ROUND($D509*$E509,2))</f>
        <v/>
      </c>
      <c r="H509" s="125">
        <f>IF($C509="","",CONCATENATE("Örnek kayıt: ",$C509))</f>
        <v/>
      </c>
    </row>
    <row r="510" ht="15" customHeight="1" s="80">
      <c r="G510" s="125">
        <f>IF($D510=0,0,ROUND($D510*$E510,2))</f>
        <v/>
      </c>
      <c r="H510" s="125">
        <f>IF($C510="","",CONCATENATE("Örnek kayıt: ",$C510))</f>
        <v/>
      </c>
    </row>
    <row r="511" ht="15" customHeight="1" s="80">
      <c r="G511" s="125">
        <f>IF($D511=0,0,ROUND($D511*$E511,2))</f>
        <v/>
      </c>
      <c r="H511" s="125">
        <f>IF($C511="","",CONCATENATE("Örnek kayıt: ",$C511))</f>
        <v/>
      </c>
    </row>
    <row r="512" ht="15" customHeight="1" s="80">
      <c r="G512" s="125">
        <f>IF($D512=0,0,ROUND($D512*$E512,2))</f>
        <v/>
      </c>
      <c r="H512" s="125">
        <f>IF($C512="","",CONCATENATE("Örnek kayıt: ",$C512))</f>
        <v/>
      </c>
    </row>
    <row r="513" ht="15" customHeight="1" s="80">
      <c r="G513" s="125">
        <f>IF($D513=0,0,ROUND($D513*$E513,2))</f>
        <v/>
      </c>
      <c r="H513" s="125">
        <f>IF($C513="","",CONCATENATE("Örnek kayıt: ",$C513))</f>
        <v/>
      </c>
    </row>
    <row r="514" ht="15" customHeight="1" s="80">
      <c r="G514" s="125">
        <f>IF($D514=0,0,ROUND($D514*$E514,2))</f>
        <v/>
      </c>
      <c r="H514" s="125">
        <f>IF($C514="","",CONCATENATE("Örnek kayıt: ",$C514))</f>
        <v/>
      </c>
    </row>
    <row r="515" ht="15" customHeight="1" s="80">
      <c r="G515" s="125">
        <f>IF($D515=0,0,ROUND($D515*$E515,2))</f>
        <v/>
      </c>
      <c r="H515" s="125">
        <f>IF($C515="","",CONCATENATE("Örnek kayıt: ",$C515))</f>
        <v/>
      </c>
    </row>
    <row r="516" ht="15" customHeight="1" s="80">
      <c r="G516" s="125">
        <f>IF($D516=0,0,ROUND($D516*$E516,2))</f>
        <v/>
      </c>
      <c r="H516" s="125">
        <f>IF($C516="","",CONCATENATE("Örnek kayıt: ",$C516))</f>
        <v/>
      </c>
    </row>
    <row r="517" ht="15" customHeight="1" s="80">
      <c r="G517" s="125">
        <f>IF($D517=0,0,ROUND($D517*$E517,2))</f>
        <v/>
      </c>
      <c r="H517" s="125">
        <f>IF($C517="","",CONCATENATE("Örnek kayıt: ",$C517))</f>
        <v/>
      </c>
    </row>
    <row r="518" ht="15" customHeight="1" s="80">
      <c r="G518" s="125">
        <f>IF($D518=0,0,ROUND($D518*$E518,2))</f>
        <v/>
      </c>
      <c r="H518" s="125">
        <f>IF($C518="","",CONCATENATE("Örnek kayıt: ",$C518))</f>
        <v/>
      </c>
    </row>
    <row r="519" ht="15" customHeight="1" s="80">
      <c r="G519" s="125">
        <f>IF($D519=0,0,ROUND($D519*$E519,2))</f>
        <v/>
      </c>
      <c r="H519" s="125">
        <f>IF($C519="","",CONCATENATE("Örnek kayıt: ",$C519))</f>
        <v/>
      </c>
    </row>
    <row r="520" ht="15" customHeight="1" s="80">
      <c r="G520" s="125">
        <f>IF($D520=0,0,ROUND($D520*$E520,2))</f>
        <v/>
      </c>
      <c r="H520" s="125">
        <f>IF($C520="","",CONCATENATE("Örnek kayıt: ",$C520))</f>
        <v/>
      </c>
    </row>
    <row r="521" ht="15" customHeight="1" s="80">
      <c r="G521" s="125">
        <f>IF($D521=0,0,ROUND($D521*$E521,2))</f>
        <v/>
      </c>
      <c r="H521" s="125">
        <f>IF($C521="","",CONCATENATE("Örnek kayıt: ",$C521))</f>
        <v/>
      </c>
    </row>
    <row r="522" ht="15" customHeight="1" s="80">
      <c r="G522" s="125">
        <f>IF($D522=0,0,ROUND($D522*$E522,2))</f>
        <v/>
      </c>
      <c r="H522" s="125">
        <f>IF($C522="","",CONCATENATE("Örnek kayıt: ",$C522))</f>
        <v/>
      </c>
    </row>
    <row r="523" ht="15" customHeight="1" s="80">
      <c r="G523" s="125">
        <f>IF($D523=0,0,ROUND($D523*$E523,2))</f>
        <v/>
      </c>
      <c r="H523" s="125">
        <f>IF($C523="","",CONCATENATE("Örnek kayıt: ",$C523))</f>
        <v/>
      </c>
    </row>
    <row r="524" ht="15" customHeight="1" s="80">
      <c r="G524" s="125">
        <f>IF($D524=0,0,ROUND($D524*$E524,2))</f>
        <v/>
      </c>
      <c r="H524" s="125">
        <f>IF($C524="","",CONCATENATE("Örnek kayıt: ",$C524))</f>
        <v/>
      </c>
    </row>
    <row r="525" ht="15" customHeight="1" s="80">
      <c r="G525" s="125">
        <f>IF($D525=0,0,ROUND($D525*$E525,2))</f>
        <v/>
      </c>
      <c r="H525" s="125">
        <f>IF($C525="","",CONCATENATE("Örnek kayıt: ",$C525))</f>
        <v/>
      </c>
    </row>
    <row r="526" ht="15" customHeight="1" s="80">
      <c r="G526" s="125">
        <f>IF($D526=0,0,ROUND($D526*$E526,2))</f>
        <v/>
      </c>
      <c r="H526" s="125">
        <f>IF($C526="","",CONCATENATE("Örnek kayıt: ",$C526))</f>
        <v/>
      </c>
    </row>
    <row r="527" ht="15" customHeight="1" s="80">
      <c r="G527" s="125">
        <f>IF($D527=0,0,ROUND($D527*$E527,2))</f>
        <v/>
      </c>
      <c r="H527" s="125">
        <f>IF($C527="","",CONCATENATE("Örnek kayıt: ",$C527))</f>
        <v/>
      </c>
    </row>
    <row r="528" ht="15" customHeight="1" s="80">
      <c r="G528" s="125">
        <f>IF($D528=0,0,ROUND($D528*$E528,2))</f>
        <v/>
      </c>
      <c r="H528" s="125">
        <f>IF($C528="","",CONCATENATE("Örnek kayıt: ",$C528))</f>
        <v/>
      </c>
    </row>
    <row r="529" ht="15" customHeight="1" s="80">
      <c r="G529" s="125">
        <f>IF($D529=0,0,ROUND($D529*$E529,2))</f>
        <v/>
      </c>
      <c r="H529" s="125">
        <f>IF($C529="","",CONCATENATE("Örnek kayıt: ",$C529))</f>
        <v/>
      </c>
    </row>
    <row r="530" ht="15" customHeight="1" s="80">
      <c r="G530" s="125">
        <f>IF($D530=0,0,ROUND($D530*$E530,2))</f>
        <v/>
      </c>
      <c r="H530" s="125">
        <f>IF($C530="","",CONCATENATE("Örnek kayıt: ",$C530))</f>
        <v/>
      </c>
    </row>
    <row r="531" ht="15" customHeight="1" s="80">
      <c r="G531" s="125">
        <f>IF($D531=0,0,ROUND($D531*$E531,2))</f>
        <v/>
      </c>
      <c r="H531" s="125">
        <f>IF($C531="","",CONCATENATE("Örnek kayıt: ",$C531))</f>
        <v/>
      </c>
    </row>
    <row r="532" ht="15" customHeight="1" s="80">
      <c r="G532" s="125">
        <f>IF($D532=0,0,ROUND($D532*$E532,2))</f>
        <v/>
      </c>
      <c r="H532" s="125">
        <f>IF($C532="","",CONCATENATE("Örnek kayıt: ",$C532))</f>
        <v/>
      </c>
    </row>
    <row r="533" ht="15" customHeight="1" s="80">
      <c r="G533" s="125">
        <f>IF($D533=0,0,ROUND($D533*$E533,2))</f>
        <v/>
      </c>
      <c r="H533" s="125">
        <f>IF($C533="","",CONCATENATE("Örnek kayıt: ",$C533))</f>
        <v/>
      </c>
    </row>
    <row r="534" ht="15" customHeight="1" s="80">
      <c r="G534" s="125">
        <f>IF($D534=0,0,ROUND($D534*$E534,2))</f>
        <v/>
      </c>
      <c r="H534" s="125">
        <f>IF($C534="","",CONCATENATE("Örnek kayıt: ",$C534))</f>
        <v/>
      </c>
    </row>
    <row r="535" ht="15" customHeight="1" s="80">
      <c r="G535" s="125">
        <f>IF($D535=0,0,ROUND($D535*$E535,2))</f>
        <v/>
      </c>
      <c r="H535" s="125">
        <f>IF($C535="","",CONCATENATE("Örnek kayıt: ",$C535))</f>
        <v/>
      </c>
    </row>
    <row r="536" ht="15" customHeight="1" s="80">
      <c r="G536" s="125">
        <f>IF($D536=0,0,ROUND($D536*$E536,2))</f>
        <v/>
      </c>
      <c r="H536" s="125">
        <f>IF($C536="","",CONCATENATE("Örnek kayıt: ",$C536))</f>
        <v/>
      </c>
    </row>
    <row r="537" ht="15" customHeight="1" s="80">
      <c r="G537" s="125">
        <f>IF($D537=0,0,ROUND($D537*$E537,2))</f>
        <v/>
      </c>
      <c r="H537" s="125">
        <f>IF($C537="","",CONCATENATE("Örnek kayıt: ",$C537))</f>
        <v/>
      </c>
    </row>
    <row r="538" ht="15" customHeight="1" s="80">
      <c r="G538" s="125">
        <f>IF($D538=0,0,ROUND($D538*$E538,2))</f>
        <v/>
      </c>
      <c r="H538" s="125">
        <f>IF($C538="","",CONCATENATE("Örnek kayıt: ",$C538))</f>
        <v/>
      </c>
    </row>
    <row r="539" ht="15" customHeight="1" s="80">
      <c r="G539" s="125">
        <f>IF($D539=0,0,ROUND($D539*$E539,2))</f>
        <v/>
      </c>
      <c r="H539" s="125">
        <f>IF($C539="","",CONCATENATE("Örnek kayıt: ",$C539))</f>
        <v/>
      </c>
    </row>
    <row r="540" ht="15" customHeight="1" s="80">
      <c r="G540" s="125">
        <f>IF($D540=0,0,ROUND($D540*$E540,2))</f>
        <v/>
      </c>
      <c r="H540" s="125">
        <f>IF($C540="","",CONCATENATE("Örnek kayıt: ",$C540))</f>
        <v/>
      </c>
    </row>
    <row r="541" ht="15" customHeight="1" s="80">
      <c r="G541" s="125">
        <f>IF($D541=0,0,ROUND($D541*$E541,2))</f>
        <v/>
      </c>
      <c r="H541" s="125">
        <f>IF($C541="","",CONCATENATE("Örnek kayıt: ",$C541))</f>
        <v/>
      </c>
    </row>
    <row r="542" ht="15" customHeight="1" s="80">
      <c r="G542" s="125">
        <f>IF($D542=0,0,ROUND($D542*$E542,2))</f>
        <v/>
      </c>
      <c r="H542" s="125">
        <f>IF($C542="","",CONCATENATE("Örnek kayıt: ",$C542))</f>
        <v/>
      </c>
    </row>
    <row r="543" ht="15" customHeight="1" s="80">
      <c r="G543" s="125">
        <f>IF($D543=0,0,ROUND($D543*$E543,2))</f>
        <v/>
      </c>
      <c r="H543" s="125">
        <f>IF($C543="","",CONCATENATE("Örnek kayıt: ",$C543))</f>
        <v/>
      </c>
    </row>
    <row r="544" ht="15" customHeight="1" s="80">
      <c r="G544" s="125">
        <f>IF($D544=0,0,ROUND($D544*$E544,2))</f>
        <v/>
      </c>
      <c r="H544" s="125">
        <f>IF($C544="","",CONCATENATE("Örnek kayıt: ",$C544))</f>
        <v/>
      </c>
    </row>
    <row r="545" ht="15" customHeight="1" s="80">
      <c r="G545" s="125">
        <f>IF($D545=0,0,ROUND($D545*$E545,2))</f>
        <v/>
      </c>
      <c r="H545" s="125">
        <f>IF($C545="","",CONCATENATE("Örnek kayıt: ",$C545))</f>
        <v/>
      </c>
    </row>
    <row r="546" ht="15" customHeight="1" s="80">
      <c r="G546" s="125">
        <f>IF($D546=0,0,ROUND($D546*$E546,2))</f>
        <v/>
      </c>
      <c r="H546" s="125">
        <f>IF($C546="","",CONCATENATE("Örnek kayıt: ",$C546))</f>
        <v/>
      </c>
    </row>
    <row r="547" ht="15" customHeight="1" s="80">
      <c r="G547" s="125">
        <f>IF($D547=0,0,ROUND($D547*$E547,2))</f>
        <v/>
      </c>
      <c r="H547" s="125">
        <f>IF($C547="","",CONCATENATE("Örnek kayıt: ",$C547))</f>
        <v/>
      </c>
    </row>
    <row r="548" ht="15" customHeight="1" s="80">
      <c r="G548" s="125">
        <f>IF($D548=0,0,ROUND($D548*$E548,2))</f>
        <v/>
      </c>
      <c r="H548" s="125">
        <f>IF($C548="","",CONCATENATE("Örnek kayıt: ",$C548))</f>
        <v/>
      </c>
    </row>
    <row r="549" ht="15" customHeight="1" s="80">
      <c r="G549" s="125">
        <f>IF($D549=0,0,ROUND($D549*$E549,2))</f>
        <v/>
      </c>
      <c r="H549" s="125">
        <f>IF($C549="","",CONCATENATE("Örnek kayıt: ",$C549))</f>
        <v/>
      </c>
    </row>
    <row r="550" ht="15" customHeight="1" s="80">
      <c r="G550" s="125">
        <f>IF($D550=0,0,ROUND($D550*$E550,2))</f>
        <v/>
      </c>
      <c r="H550" s="125">
        <f>IF($C550="","",CONCATENATE("Örnek kayıt: ",$C550))</f>
        <v/>
      </c>
    </row>
    <row r="551" ht="15" customHeight="1" s="80">
      <c r="G551" s="125">
        <f>IF($D551=0,0,ROUND($D551*$E551,2))</f>
        <v/>
      </c>
      <c r="H551" s="125">
        <f>IF($C551="","",CONCATENATE("Örnek kayıt: ",$C551))</f>
        <v/>
      </c>
    </row>
    <row r="552" ht="15" customHeight="1" s="80">
      <c r="G552" s="125">
        <f>IF($D552=0,0,ROUND($D552*$E552,2))</f>
        <v/>
      </c>
      <c r="H552" s="125">
        <f>IF($C552="","",CONCATENATE("Örnek kayıt: ",$C552))</f>
        <v/>
      </c>
    </row>
    <row r="553" ht="15" customHeight="1" s="80">
      <c r="G553" s="125">
        <f>IF($D553=0,0,ROUND($D553*$E553,2))</f>
        <v/>
      </c>
      <c r="H553" s="125">
        <f>IF($C553="","",CONCATENATE("Örnek kayıt: ",$C553))</f>
        <v/>
      </c>
    </row>
    <row r="554" ht="15" customHeight="1" s="80">
      <c r="G554" s="125">
        <f>IF($D554=0,0,ROUND($D554*$E554,2))</f>
        <v/>
      </c>
      <c r="H554" s="125">
        <f>IF($C554="","",CONCATENATE("Örnek kayıt: ",$C554))</f>
        <v/>
      </c>
    </row>
    <row r="555" ht="15" customHeight="1" s="80">
      <c r="G555" s="125">
        <f>IF($D555=0,0,ROUND($D555*$E555,2))</f>
        <v/>
      </c>
      <c r="H555" s="125">
        <f>IF($C555="","",CONCATENATE("Örnek kayıt: ",$C555))</f>
        <v/>
      </c>
    </row>
    <row r="556" ht="15" customHeight="1" s="80">
      <c r="G556" s="125">
        <f>IF($D556=0,0,ROUND($D556*$E556,2))</f>
        <v/>
      </c>
      <c r="H556" s="125">
        <f>IF($C556="","",CONCATENATE("Örnek kayıt: ",$C556))</f>
        <v/>
      </c>
    </row>
    <row r="557" ht="15" customHeight="1" s="80">
      <c r="G557" s="125">
        <f>IF($D557=0,0,ROUND($D557*$E557,2))</f>
        <v/>
      </c>
      <c r="H557" s="125">
        <f>IF($C557="","",CONCATENATE("Örnek kayıt: ",$C557))</f>
        <v/>
      </c>
    </row>
    <row r="558" ht="15" customHeight="1" s="80">
      <c r="G558" s="125">
        <f>IF($D558=0,0,ROUND($D558*$E558,2))</f>
        <v/>
      </c>
      <c r="H558" s="125">
        <f>IF($C558="","",CONCATENATE("Örnek kayıt: ",$C558))</f>
        <v/>
      </c>
    </row>
    <row r="559" ht="15" customHeight="1" s="80">
      <c r="G559" s="125">
        <f>IF($D559=0,0,ROUND($D559*$E559,2))</f>
        <v/>
      </c>
      <c r="H559" s="125">
        <f>IF($C559="","",CONCATENATE("Örnek kayıt: ",$C559))</f>
        <v/>
      </c>
    </row>
    <row r="560" ht="15" customHeight="1" s="80">
      <c r="G560" s="125">
        <f>IF($D560=0,0,ROUND($D560*$E560,2))</f>
        <v/>
      </c>
      <c r="H560" s="125">
        <f>IF($C560="","",CONCATENATE("Örnek kayıt: ",$C560))</f>
        <v/>
      </c>
    </row>
    <row r="561" ht="15" customHeight="1" s="80">
      <c r="G561" s="125">
        <f>IF($D561=0,0,ROUND($D561*$E561,2))</f>
        <v/>
      </c>
      <c r="H561" s="125">
        <f>IF($C561="","",CONCATENATE("Örnek kayıt: ",$C561))</f>
        <v/>
      </c>
    </row>
    <row r="562" ht="15" customHeight="1" s="80">
      <c r="G562" s="125">
        <f>IF($D562=0,0,ROUND($D562*$E562,2))</f>
        <v/>
      </c>
      <c r="H562" s="125">
        <f>IF($C562="","",CONCATENATE("Örnek kayıt: ",$C562))</f>
        <v/>
      </c>
    </row>
    <row r="563" ht="15" customHeight="1" s="80">
      <c r="G563" s="125">
        <f>IF($D563=0,0,ROUND($D563*$E563,2))</f>
        <v/>
      </c>
      <c r="H563" s="125">
        <f>IF($C563="","",CONCATENATE("Örnek kayıt: ",$C563))</f>
        <v/>
      </c>
    </row>
    <row r="564" ht="15" customHeight="1" s="80">
      <c r="G564" s="125">
        <f>IF($D564=0,0,ROUND($D564*$E564,2))</f>
        <v/>
      </c>
      <c r="H564" s="125">
        <f>IF($C564="","",CONCATENATE("Örnek kayıt: ",$C564))</f>
        <v/>
      </c>
    </row>
    <row r="565" ht="15" customHeight="1" s="80">
      <c r="G565" s="125">
        <f>IF($D565=0,0,ROUND($D565*$E565,2))</f>
        <v/>
      </c>
      <c r="H565" s="125">
        <f>IF($C565="","",CONCATENATE("Örnek kayıt: ",$C565))</f>
        <v/>
      </c>
    </row>
    <row r="566" ht="15" customHeight="1" s="80">
      <c r="G566" s="125">
        <f>IF($D566=0,0,ROUND($D566*$E566,2))</f>
        <v/>
      </c>
      <c r="H566" s="125">
        <f>IF($C566="","",CONCATENATE("Örnek kayıt: ",$C566))</f>
        <v/>
      </c>
    </row>
    <row r="567" ht="15" customHeight="1" s="80">
      <c r="G567" s="125">
        <f>IF($D567=0,0,ROUND($D567*$E567,2))</f>
        <v/>
      </c>
      <c r="H567" s="125">
        <f>IF($C567="","",CONCATENATE("Örnek kayıt: ",$C567))</f>
        <v/>
      </c>
    </row>
    <row r="568" ht="15" customHeight="1" s="80">
      <c r="G568" s="125">
        <f>IF($D568=0,0,ROUND($D568*$E568,2))</f>
        <v/>
      </c>
      <c r="H568" s="125">
        <f>IF($C568="","",CONCATENATE("Örnek kayıt: ",$C568))</f>
        <v/>
      </c>
    </row>
    <row r="569" ht="15" customHeight="1" s="80">
      <c r="G569" s="125">
        <f>IF($D569=0,0,ROUND($D569*$E569,2))</f>
        <v/>
      </c>
      <c r="H569" s="125">
        <f>IF($C569="","",CONCATENATE("Örnek kayıt: ",$C569))</f>
        <v/>
      </c>
    </row>
    <row r="570" ht="15" customHeight="1" s="80">
      <c r="G570" s="125">
        <f>IF($D570=0,0,ROUND($D570*$E570,2))</f>
        <v/>
      </c>
      <c r="H570" s="125">
        <f>IF($C570="","",CONCATENATE("Örnek kayıt: ",$C570))</f>
        <v/>
      </c>
    </row>
    <row r="571" ht="15" customHeight="1" s="80">
      <c r="G571" s="125">
        <f>IF($D571=0,0,ROUND($D571*$E571,2))</f>
        <v/>
      </c>
      <c r="H571" s="125">
        <f>IF($C571="","",CONCATENATE("Örnek kayıt: ",$C571))</f>
        <v/>
      </c>
    </row>
    <row r="572" ht="15" customHeight="1" s="80">
      <c r="G572" s="125">
        <f>IF($D572=0,0,ROUND($D572*$E572,2))</f>
        <v/>
      </c>
      <c r="H572" s="125">
        <f>IF($C572="","",CONCATENATE("Örnek kayıt: ",$C572))</f>
        <v/>
      </c>
    </row>
    <row r="573" ht="15" customHeight="1" s="80">
      <c r="G573" s="125">
        <f>IF($D573=0,0,ROUND($D573*$E573,2))</f>
        <v/>
      </c>
      <c r="H573" s="125">
        <f>IF($C573="","",CONCATENATE("Örnek kayıt: ",$C573))</f>
        <v/>
      </c>
    </row>
    <row r="574" ht="15" customHeight="1" s="80">
      <c r="G574" s="125">
        <f>IF($D574=0,0,ROUND($D574*$E574,2))</f>
        <v/>
      </c>
      <c r="H574" s="125">
        <f>IF($C574="","",CONCATENATE("Örnek kayıt: ",$C574))</f>
        <v/>
      </c>
    </row>
    <row r="575" ht="15" customHeight="1" s="80">
      <c r="G575" s="125">
        <f>IF($D575=0,0,ROUND($D575*$E575,2))</f>
        <v/>
      </c>
      <c r="H575" s="125">
        <f>IF($C575="","",CONCATENATE("Örnek kayıt: ",$C575))</f>
        <v/>
      </c>
    </row>
    <row r="576" ht="15" customHeight="1" s="80">
      <c r="G576" s="125">
        <f>IF($D576=0,0,ROUND($D576*$E576,2))</f>
        <v/>
      </c>
      <c r="H576" s="125">
        <f>IF($C576="","",CONCATENATE("Örnek kayıt: ",$C576))</f>
        <v/>
      </c>
    </row>
    <row r="577" ht="15" customHeight="1" s="80">
      <c r="G577" s="125">
        <f>IF($D577=0,0,ROUND($D577*$E577,2))</f>
        <v/>
      </c>
      <c r="H577" s="125">
        <f>IF($C577="","",CONCATENATE("Örnek kayıt: ",$C577))</f>
        <v/>
      </c>
    </row>
    <row r="578" ht="15" customHeight="1" s="80">
      <c r="G578" s="125">
        <f>IF($D578=0,0,ROUND($D578*$E578,2))</f>
        <v/>
      </c>
      <c r="H578" s="125">
        <f>IF($C578="","",CONCATENATE("Örnek kayıt: ",$C578))</f>
        <v/>
      </c>
    </row>
    <row r="579" ht="15" customHeight="1" s="80">
      <c r="G579" s="125">
        <f>IF($D579=0,0,ROUND($D579*$E579,2))</f>
        <v/>
      </c>
      <c r="H579" s="125">
        <f>IF($C579="","",CONCATENATE("Örnek kayıt: ",$C579))</f>
        <v/>
      </c>
    </row>
    <row r="580" ht="15" customHeight="1" s="80">
      <c r="G580" s="125">
        <f>IF($D580=0,0,ROUND($D580*$E580,2))</f>
        <v/>
      </c>
      <c r="H580" s="125">
        <f>IF($C580="","",CONCATENATE("Örnek kayıt: ",$C580))</f>
        <v/>
      </c>
    </row>
    <row r="581" ht="15" customHeight="1" s="80">
      <c r="G581" s="125">
        <f>IF($D581=0,0,ROUND($D581*$E581,2))</f>
        <v/>
      </c>
      <c r="H581" s="125">
        <f>IF($C581="","",CONCATENATE("Örnek kayıt: ",$C581))</f>
        <v/>
      </c>
    </row>
    <row r="582" ht="15" customHeight="1" s="80">
      <c r="G582" s="125">
        <f>IF($D582=0,0,ROUND($D582*$E582,2))</f>
        <v/>
      </c>
      <c r="H582" s="125">
        <f>IF($C582="","",CONCATENATE("Örnek kayıt: ",$C582))</f>
        <v/>
      </c>
    </row>
    <row r="583" ht="15" customHeight="1" s="80">
      <c r="G583" s="125">
        <f>IF($D583=0,0,ROUND($D583*$E583,2))</f>
        <v/>
      </c>
      <c r="H583" s="125">
        <f>IF($C583="","",CONCATENATE("Örnek kayıt: ",$C583))</f>
        <v/>
      </c>
    </row>
    <row r="584" ht="15" customHeight="1" s="80">
      <c r="G584" s="125">
        <f>IF($D584=0,0,ROUND($D584*$E584,2))</f>
        <v/>
      </c>
      <c r="H584" s="125">
        <f>IF($C584="","",CONCATENATE("Örnek kayıt: ",$C584))</f>
        <v/>
      </c>
    </row>
    <row r="585" ht="15" customHeight="1" s="80">
      <c r="G585" s="125">
        <f>IF($D585=0,0,ROUND($D585*$E585,2))</f>
        <v/>
      </c>
      <c r="H585" s="125">
        <f>IF($C585="","",CONCATENATE("Örnek kayıt: ",$C585))</f>
        <v/>
      </c>
    </row>
    <row r="586" ht="15" customHeight="1" s="80">
      <c r="G586" s="125">
        <f>IF($D586=0,0,ROUND($D586*$E586,2))</f>
        <v/>
      </c>
      <c r="H586" s="125">
        <f>IF($C586="","",CONCATENATE("Örnek kayıt: ",$C586))</f>
        <v/>
      </c>
    </row>
    <row r="587" ht="15" customHeight="1" s="80">
      <c r="G587" s="125">
        <f>IF($D587=0,0,ROUND($D587*$E587,2))</f>
        <v/>
      </c>
      <c r="H587" s="125">
        <f>IF($C587="","",CONCATENATE("Örnek kayıt: ",$C587))</f>
        <v/>
      </c>
    </row>
    <row r="588" ht="15" customHeight="1" s="80">
      <c r="G588" s="125">
        <f>IF($D588=0,0,ROUND($D588*$E588,2))</f>
        <v/>
      </c>
      <c r="H588" s="125">
        <f>IF($C588="","",CONCATENATE("Örnek kayıt: ",$C588))</f>
        <v/>
      </c>
    </row>
    <row r="589" ht="15" customHeight="1" s="80">
      <c r="G589" s="125">
        <f>IF($D589=0,0,ROUND($D589*$E589,2))</f>
        <v/>
      </c>
      <c r="H589" s="125">
        <f>IF($C589="","",CONCATENATE("Örnek kayıt: ",$C589))</f>
        <v/>
      </c>
    </row>
    <row r="590" ht="15" customHeight="1" s="80">
      <c r="G590" s="125">
        <f>IF($D590=0,0,ROUND($D590*$E590,2))</f>
        <v/>
      </c>
      <c r="H590" s="125">
        <f>IF($C590="","",CONCATENATE("Örnek kayıt: ",$C590))</f>
        <v/>
      </c>
    </row>
    <row r="591" ht="15" customHeight="1" s="80">
      <c r="G591" s="125">
        <f>IF($D591=0,0,ROUND($D591*$E591,2))</f>
        <v/>
      </c>
      <c r="H591" s="125">
        <f>IF($C591="","",CONCATENATE("Örnek kayıt: ",$C591))</f>
        <v/>
      </c>
    </row>
    <row r="592" ht="15" customHeight="1" s="80">
      <c r="G592" s="125">
        <f>IF($D592=0,0,ROUND($D592*$E592,2))</f>
        <v/>
      </c>
      <c r="H592" s="125">
        <f>IF($C592="","",CONCATENATE("Örnek kayıt: ",$C592))</f>
        <v/>
      </c>
    </row>
    <row r="593" ht="15" customHeight="1" s="80">
      <c r="G593" s="125">
        <f>IF($D593=0,0,ROUND($D593*$E593,2))</f>
        <v/>
      </c>
      <c r="H593" s="125">
        <f>IF($C593="","",CONCATENATE("Örnek kayıt: ",$C593))</f>
        <v/>
      </c>
    </row>
    <row r="594" ht="15" customHeight="1" s="80">
      <c r="G594" s="125">
        <f>IF($D594=0,0,ROUND($D594*$E594,2))</f>
        <v/>
      </c>
      <c r="H594" s="125">
        <f>IF($C594="","",CONCATENATE("Örnek kayıt: ",$C594))</f>
        <v/>
      </c>
    </row>
    <row r="595" ht="15" customHeight="1" s="80">
      <c r="G595" s="125">
        <f>IF($D595=0,0,ROUND($D595*$E595,2))</f>
        <v/>
      </c>
      <c r="H595" s="125">
        <f>IF($C595="","",CONCATENATE("Örnek kayıt: ",$C595))</f>
        <v/>
      </c>
    </row>
    <row r="596" ht="15" customHeight="1" s="80">
      <c r="G596" s="125">
        <f>IF($D596=0,0,ROUND($D596*$E596,2))</f>
        <v/>
      </c>
      <c r="H596" s="125">
        <f>IF($C596="","",CONCATENATE("Örnek kayıt: ",$C596))</f>
        <v/>
      </c>
    </row>
    <row r="597" ht="15" customHeight="1" s="80">
      <c r="G597" s="125">
        <f>IF($D597=0,0,ROUND($D597*$E597,2))</f>
        <v/>
      </c>
      <c r="H597" s="125">
        <f>IF($C597="","",CONCATENATE("Örnek kayıt: ",$C597))</f>
        <v/>
      </c>
    </row>
    <row r="598" ht="15" customHeight="1" s="80">
      <c r="G598" s="125">
        <f>IF($D598=0,0,ROUND($D598*$E598,2))</f>
        <v/>
      </c>
      <c r="H598" s="125">
        <f>IF($C598="","",CONCATENATE("Örnek kayıt: ",$C598))</f>
        <v/>
      </c>
    </row>
    <row r="599" ht="15" customHeight="1" s="80">
      <c r="G599" s="125">
        <f>IF($D599=0,0,ROUND($D599*$E599,2))</f>
        <v/>
      </c>
      <c r="H599" s="125">
        <f>IF($C599="","",CONCATENATE("Örnek kayıt: ",$C599))</f>
        <v/>
      </c>
    </row>
    <row r="600" ht="15" customHeight="1" s="80">
      <c r="G600" s="125">
        <f>IF($D600=0,0,ROUND($D600*$E600,2))</f>
        <v/>
      </c>
      <c r="H600" s="125">
        <f>IF($C600="","",CONCATENATE("Örnek kayıt: ",$C600))</f>
        <v/>
      </c>
    </row>
    <row r="601" ht="15" customHeight="1" s="80">
      <c r="G601" s="125">
        <f>IF($D601=0,0,ROUND($D601*$E601,2))</f>
        <v/>
      </c>
      <c r="H601" s="125">
        <f>IF($C601="","",CONCATENATE("Örnek kayıt: ",$C601))</f>
        <v/>
      </c>
    </row>
    <row r="602" ht="15" customHeight="1" s="80">
      <c r="G602" s="125">
        <f>IF($D602=0,0,ROUND($D602*$E602,2))</f>
        <v/>
      </c>
      <c r="H602" s="125">
        <f>IF($C602="","",CONCATENATE("Örnek kayıt: ",$C602))</f>
        <v/>
      </c>
    </row>
    <row r="603" ht="15" customHeight="1" s="80">
      <c r="G603" s="125">
        <f>IF($D603=0,0,ROUND($D603*$E603,2))</f>
        <v/>
      </c>
      <c r="H603" s="125">
        <f>IF($C603="","",CONCATENATE("Örnek kayıt: ",$C603))</f>
        <v/>
      </c>
    </row>
    <row r="604" ht="15" customHeight="1" s="80">
      <c r="G604" s="125">
        <f>IF($D604=0,0,ROUND($D604*$E604,2))</f>
        <v/>
      </c>
      <c r="H604" s="125">
        <f>IF($C604="","",CONCATENATE("Örnek kayıt: ",$C604))</f>
        <v/>
      </c>
    </row>
    <row r="605" ht="15" customHeight="1" s="80">
      <c r="G605" s="125">
        <f>IF($D605=0,0,ROUND($D605*$E605,2))</f>
        <v/>
      </c>
      <c r="H605" s="125">
        <f>IF($C605="","",CONCATENATE("Örnek kayıt: ",$C605))</f>
        <v/>
      </c>
    </row>
    <row r="606" ht="15" customHeight="1" s="80">
      <c r="G606" s="125">
        <f>IF($D606=0,0,ROUND($D606*$E606,2))</f>
        <v/>
      </c>
      <c r="H606" s="125">
        <f>IF($C606="","",CONCATENATE("Örnek kayıt: ",$C606))</f>
        <v/>
      </c>
    </row>
    <row r="607" ht="15" customHeight="1" s="80">
      <c r="G607" s="125">
        <f>IF($D607=0,0,ROUND($D607*$E607,2))</f>
        <v/>
      </c>
      <c r="H607" s="125">
        <f>IF($C607="","",CONCATENATE("Örnek kayıt: ",$C607))</f>
        <v/>
      </c>
    </row>
    <row r="608" ht="15" customHeight="1" s="80">
      <c r="G608" s="125">
        <f>IF($D608=0,0,ROUND($D608*$E608,2))</f>
        <v/>
      </c>
      <c r="H608" s="125">
        <f>IF($C608="","",CONCATENATE("Örnek kayıt: ",$C608))</f>
        <v/>
      </c>
    </row>
    <row r="609" ht="15" customHeight="1" s="80">
      <c r="G609" s="125">
        <f>IF($D609=0,0,ROUND($D609*$E609,2))</f>
        <v/>
      </c>
      <c r="H609" s="125">
        <f>IF($C609="","",CONCATENATE("Örnek kayıt: ",$C609))</f>
        <v/>
      </c>
    </row>
    <row r="610" ht="15" customHeight="1" s="80">
      <c r="G610" s="125">
        <f>IF($D610=0,0,ROUND($D610*$E610,2))</f>
        <v/>
      </c>
      <c r="H610" s="125">
        <f>IF($C610="","",CONCATENATE("Örnek kayıt: ",$C610))</f>
        <v/>
      </c>
    </row>
    <row r="611" ht="15" customHeight="1" s="80">
      <c r="G611" s="125">
        <f>IF($D611=0,0,ROUND($D611*$E611,2))</f>
        <v/>
      </c>
      <c r="H611" s="125">
        <f>IF($C611="","",CONCATENATE("Örnek kayıt: ",$C611))</f>
        <v/>
      </c>
    </row>
    <row r="612" ht="15" customHeight="1" s="80">
      <c r="G612" s="125">
        <f>IF($D612=0,0,ROUND($D612*$E612,2))</f>
        <v/>
      </c>
      <c r="H612" s="125">
        <f>IF($C612="","",CONCATENATE("Örnek kayıt: ",$C612))</f>
        <v/>
      </c>
    </row>
    <row r="613" ht="15" customHeight="1" s="80">
      <c r="G613" s="125">
        <f>IF($D613=0,0,ROUND($D613*$E613,2))</f>
        <v/>
      </c>
      <c r="H613" s="125">
        <f>IF($C613="","",CONCATENATE("Örnek kayıt: ",$C613))</f>
        <v/>
      </c>
    </row>
    <row r="614" ht="15" customHeight="1" s="80">
      <c r="G614" s="125">
        <f>IF($D614=0,0,ROUND($D614*$E614,2))</f>
        <v/>
      </c>
      <c r="H614" s="125">
        <f>IF($C614="","",CONCATENATE("Örnek kayıt: ",$C614))</f>
        <v/>
      </c>
    </row>
    <row r="615" ht="15" customHeight="1" s="80">
      <c r="G615" s="125">
        <f>IF($D615=0,0,ROUND($D615*$E615,2))</f>
        <v/>
      </c>
      <c r="H615" s="125">
        <f>IF($C615="","",CONCATENATE("Örnek kayıt: ",$C615))</f>
        <v/>
      </c>
    </row>
    <row r="616" ht="15" customHeight="1" s="80">
      <c r="G616" s="125">
        <f>IF($D616=0,0,ROUND($D616*$E616,2))</f>
        <v/>
      </c>
      <c r="H616" s="125">
        <f>IF($C616="","",CONCATENATE("Örnek kayıt: ",$C616))</f>
        <v/>
      </c>
    </row>
    <row r="617" ht="15" customHeight="1" s="80">
      <c r="G617" s="125">
        <f>IF($D617=0,0,ROUND($D617*$E617,2))</f>
        <v/>
      </c>
      <c r="H617" s="125">
        <f>IF($C617="","",CONCATENATE("Örnek kayıt: ",$C617))</f>
        <v/>
      </c>
    </row>
    <row r="618" ht="15" customHeight="1" s="80">
      <c r="G618" s="125">
        <f>IF($D618=0,0,ROUND($D618*$E618,2))</f>
        <v/>
      </c>
      <c r="H618" s="125">
        <f>IF($C618="","",CONCATENATE("Örnek kayıt: ",$C618))</f>
        <v/>
      </c>
    </row>
    <row r="619" ht="15" customHeight="1" s="80">
      <c r="G619" s="125">
        <f>IF($D619=0,0,ROUND($D619*$E619,2))</f>
        <v/>
      </c>
      <c r="H619" s="125">
        <f>IF($C619="","",CONCATENATE("Örnek kayıt: ",$C619))</f>
        <v/>
      </c>
    </row>
    <row r="620" ht="15" customHeight="1" s="80">
      <c r="G620" s="125">
        <f>IF($D620=0,0,ROUND($D620*$E620,2))</f>
        <v/>
      </c>
      <c r="H620" s="125">
        <f>IF($C620="","",CONCATENATE("Örnek kayıt: ",$C620))</f>
        <v/>
      </c>
    </row>
    <row r="621" ht="15" customHeight="1" s="80">
      <c r="G621" s="125">
        <f>IF($D621=0,0,ROUND($D621*$E621,2))</f>
        <v/>
      </c>
      <c r="H621" s="125">
        <f>IF($C621="","",CONCATENATE("Örnek kayıt: ",$C621))</f>
        <v/>
      </c>
    </row>
    <row r="622" ht="15" customHeight="1" s="80">
      <c r="G622" s="125">
        <f>IF($D622=0,0,ROUND($D622*$E622,2))</f>
        <v/>
      </c>
      <c r="H622" s="125">
        <f>IF($C622="","",CONCATENATE("Örnek kayıt: ",$C622))</f>
        <v/>
      </c>
    </row>
    <row r="623" ht="15" customHeight="1" s="80">
      <c r="G623" s="125">
        <f>IF($D623=0,0,ROUND($D623*$E623,2))</f>
        <v/>
      </c>
      <c r="H623" s="125">
        <f>IF($C623="","",CONCATENATE("Örnek kayıt: ",$C623))</f>
        <v/>
      </c>
    </row>
    <row r="624" ht="15" customHeight="1" s="80">
      <c r="G624" s="125">
        <f>IF($D624=0,0,ROUND($D624*$E624,2))</f>
        <v/>
      </c>
      <c r="H624" s="125">
        <f>IF($C624="","",CONCATENATE("Örnek kayıt: ",$C624))</f>
        <v/>
      </c>
    </row>
    <row r="625" ht="15" customHeight="1" s="80">
      <c r="G625" s="125">
        <f>IF($D625=0,0,ROUND($D625*$E625,2))</f>
        <v/>
      </c>
      <c r="H625" s="125">
        <f>IF($C625="","",CONCATENATE("Örnek kayıt: ",$C625))</f>
        <v/>
      </c>
    </row>
    <row r="626" ht="15" customHeight="1" s="80">
      <c r="G626" s="125">
        <f>IF($D626=0,0,ROUND($D626*$E626,2))</f>
        <v/>
      </c>
      <c r="H626" s="125">
        <f>IF($C626="","",CONCATENATE("Örnek kayıt: ",$C626))</f>
        <v/>
      </c>
    </row>
    <row r="627" ht="15" customHeight="1" s="80">
      <c r="G627" s="125">
        <f>IF($D627=0,0,ROUND($D627*$E627,2))</f>
        <v/>
      </c>
      <c r="H627" s="125">
        <f>IF($C627="","",CONCATENATE("Örnek kayıt: ",$C627))</f>
        <v/>
      </c>
    </row>
    <row r="628" ht="15" customHeight="1" s="80">
      <c r="G628" s="125">
        <f>IF($D628=0,0,ROUND($D628*$E628,2))</f>
        <v/>
      </c>
      <c r="H628" s="125">
        <f>IF($C628="","",CONCATENATE("Örnek kayıt: ",$C628))</f>
        <v/>
      </c>
    </row>
    <row r="629" ht="15" customHeight="1" s="80">
      <c r="G629" s="125">
        <f>IF($D629=0,0,ROUND($D629*$E629,2))</f>
        <v/>
      </c>
      <c r="H629" s="125">
        <f>IF($C629="","",CONCATENATE("Örnek kayıt: ",$C629))</f>
        <v/>
      </c>
    </row>
    <row r="630" ht="15" customHeight="1" s="80">
      <c r="G630" s="125">
        <f>IF($D630=0,0,ROUND($D630*$E630,2))</f>
        <v/>
      </c>
      <c r="H630" s="125">
        <f>IF($C630="","",CONCATENATE("Örnek kayıt: ",$C630))</f>
        <v/>
      </c>
    </row>
    <row r="631" ht="15" customHeight="1" s="80">
      <c r="G631" s="125">
        <f>IF($D631=0,0,ROUND($D631*$E631,2))</f>
        <v/>
      </c>
      <c r="H631" s="125">
        <f>IF($C631="","",CONCATENATE("Örnek kayıt: ",$C631))</f>
        <v/>
      </c>
    </row>
    <row r="632" ht="15" customHeight="1" s="80">
      <c r="G632" s="125">
        <f>IF($D632=0,0,ROUND($D632*$E632,2))</f>
        <v/>
      </c>
      <c r="H632" s="125">
        <f>IF($C632="","",CONCATENATE("Örnek kayıt: ",$C632))</f>
        <v/>
      </c>
    </row>
    <row r="633" ht="15" customHeight="1" s="80">
      <c r="G633" s="125">
        <f>IF($D633=0,0,ROUND($D633*$E633,2))</f>
        <v/>
      </c>
      <c r="H633" s="125">
        <f>IF($C633="","",CONCATENATE("Örnek kayıt: ",$C633))</f>
        <v/>
      </c>
    </row>
    <row r="634" ht="15" customHeight="1" s="80">
      <c r="G634" s="125">
        <f>IF($D634=0,0,ROUND($D634*$E634,2))</f>
        <v/>
      </c>
      <c r="H634" s="125">
        <f>IF($C634="","",CONCATENATE("Örnek kayıt: ",$C634))</f>
        <v/>
      </c>
    </row>
    <row r="635" ht="15" customHeight="1" s="80">
      <c r="G635" s="125">
        <f>IF($D635=0,0,ROUND($D635*$E635,2))</f>
        <v/>
      </c>
      <c r="H635" s="125">
        <f>IF($C635="","",CONCATENATE("Örnek kayıt: ",$C635))</f>
        <v/>
      </c>
    </row>
    <row r="636" ht="15" customHeight="1" s="80">
      <c r="G636" s="125">
        <f>IF($D636=0,0,ROUND($D636*$E636,2))</f>
        <v/>
      </c>
      <c r="H636" s="125">
        <f>IF($C636="","",CONCATENATE("Örnek kayıt: ",$C636))</f>
        <v/>
      </c>
    </row>
    <row r="637" ht="15" customHeight="1" s="80">
      <c r="G637" s="125">
        <f>IF($D637=0,0,ROUND($D637*$E637,2))</f>
        <v/>
      </c>
      <c r="H637" s="125">
        <f>IF($C637="","",CONCATENATE("Örnek kayıt: ",$C637))</f>
        <v/>
      </c>
    </row>
    <row r="638" ht="15" customHeight="1" s="80">
      <c r="G638" s="125">
        <f>IF($D638=0,0,ROUND($D638*$E638,2))</f>
        <v/>
      </c>
      <c r="H638" s="125">
        <f>IF($C638="","",CONCATENATE("Örnek kayıt: ",$C638))</f>
        <v/>
      </c>
    </row>
    <row r="639" ht="15" customHeight="1" s="80">
      <c r="G639" s="125">
        <f>IF($D639=0,0,ROUND($D639*$E639,2))</f>
        <v/>
      </c>
      <c r="H639" s="125">
        <f>IF($C639="","",CONCATENATE("Örnek kayıt: ",$C639))</f>
        <v/>
      </c>
    </row>
    <row r="640" ht="15" customHeight="1" s="80">
      <c r="G640" s="125">
        <f>IF($D640=0,0,ROUND($D640*$E640,2))</f>
        <v/>
      </c>
      <c r="H640" s="125">
        <f>IF($C640="","",CONCATENATE("Örnek kayıt: ",$C640))</f>
        <v/>
      </c>
    </row>
    <row r="641" ht="15" customHeight="1" s="80">
      <c r="G641" s="125">
        <f>IF($D641=0,0,ROUND($D641*$E641,2))</f>
        <v/>
      </c>
      <c r="H641" s="125">
        <f>IF($C641="","",CONCATENATE("Örnek kayıt: ",$C641))</f>
        <v/>
      </c>
    </row>
    <row r="642" ht="15" customHeight="1" s="80">
      <c r="G642" s="125">
        <f>IF($D642=0,0,ROUND($D642*$E642,2))</f>
        <v/>
      </c>
      <c r="H642" s="125">
        <f>IF($C642="","",CONCATENATE("Örnek kayıt: ",$C642))</f>
        <v/>
      </c>
    </row>
    <row r="643" ht="15" customHeight="1" s="80">
      <c r="G643" s="125">
        <f>IF($D643=0,0,ROUND($D643*$E643,2))</f>
        <v/>
      </c>
      <c r="H643" s="125">
        <f>IF($C643="","",CONCATENATE("Örnek kayıt: ",$C643))</f>
        <v/>
      </c>
    </row>
    <row r="644" ht="15" customHeight="1" s="80">
      <c r="G644" s="125">
        <f>IF($D644=0,0,ROUND($D644*$E644,2))</f>
        <v/>
      </c>
      <c r="H644" s="125">
        <f>IF($C644="","",CONCATENATE("Örnek kayıt: ",$C644))</f>
        <v/>
      </c>
    </row>
    <row r="645" ht="15" customHeight="1" s="80">
      <c r="G645" s="125">
        <f>IF($D645=0,0,ROUND($D645*$E645,2))</f>
        <v/>
      </c>
      <c r="H645" s="125">
        <f>IF($C645="","",CONCATENATE("Örnek kayıt: ",$C645))</f>
        <v/>
      </c>
    </row>
    <row r="646" ht="15" customHeight="1" s="80">
      <c r="G646" s="125">
        <f>IF($D646=0,0,ROUND($D646*$E646,2))</f>
        <v/>
      </c>
      <c r="H646" s="125">
        <f>IF($C646="","",CONCATENATE("Örnek kayıt: ",$C646))</f>
        <v/>
      </c>
    </row>
    <row r="647" ht="15" customHeight="1" s="80">
      <c r="G647" s="125">
        <f>IF($D647=0,0,ROUND($D647*$E647,2))</f>
        <v/>
      </c>
      <c r="H647" s="125">
        <f>IF($C647="","",CONCATENATE("Örnek kayıt: ",$C647))</f>
        <v/>
      </c>
    </row>
    <row r="648" ht="15" customHeight="1" s="80">
      <c r="G648" s="125">
        <f>IF($D648=0,0,ROUND($D648*$E648,2))</f>
        <v/>
      </c>
      <c r="H648" s="125">
        <f>IF($C648="","",CONCATENATE("Örnek kayıt: ",$C648))</f>
        <v/>
      </c>
    </row>
    <row r="649" ht="15" customHeight="1" s="80">
      <c r="G649" s="125">
        <f>IF($D649=0,0,ROUND($D649*$E649,2))</f>
        <v/>
      </c>
      <c r="H649" s="125">
        <f>IF($C649="","",CONCATENATE("Örnek kayıt: ",$C649))</f>
        <v/>
      </c>
    </row>
    <row r="650" ht="15" customHeight="1" s="80">
      <c r="G650" s="125">
        <f>IF($D650=0,0,ROUND($D650*$E650,2))</f>
        <v/>
      </c>
      <c r="H650" s="125">
        <f>IF($C650="","",CONCATENATE("Örnek kayıt: ",$C650))</f>
        <v/>
      </c>
    </row>
    <row r="651" ht="15" customHeight="1" s="80">
      <c r="G651" s="125">
        <f>IF($D651=0,0,ROUND($D651*$E651,2))</f>
        <v/>
      </c>
      <c r="H651" s="125">
        <f>IF($C651="","",CONCATENATE("Örnek kayıt: ",$C651))</f>
        <v/>
      </c>
    </row>
    <row r="652" ht="15" customHeight="1" s="80">
      <c r="G652" s="125">
        <f>IF($D652=0,0,ROUND($D652*$E652,2))</f>
        <v/>
      </c>
      <c r="H652" s="125">
        <f>IF($C652="","",CONCATENATE("Örnek kayıt: ",$C652))</f>
        <v/>
      </c>
    </row>
    <row r="653" ht="15" customHeight="1" s="80">
      <c r="G653" s="125">
        <f>IF($D653=0,0,ROUND($D653*$E653,2))</f>
        <v/>
      </c>
      <c r="H653" s="125">
        <f>IF($C653="","",CONCATENATE("Örnek kayıt: ",$C653))</f>
        <v/>
      </c>
    </row>
    <row r="654" ht="15" customHeight="1" s="80">
      <c r="G654" s="125">
        <f>IF($D654=0,0,ROUND($D654*$E654,2))</f>
        <v/>
      </c>
      <c r="H654" s="125">
        <f>IF($C654="","",CONCATENATE("Örnek kayıt: ",$C654))</f>
        <v/>
      </c>
    </row>
    <row r="655" ht="15" customHeight="1" s="80">
      <c r="G655" s="125">
        <f>IF($D655=0,0,ROUND($D655*$E655,2))</f>
        <v/>
      </c>
      <c r="H655" s="125">
        <f>IF($C655="","",CONCATENATE("Örnek kayıt: ",$C655))</f>
        <v/>
      </c>
    </row>
    <row r="656" ht="15" customHeight="1" s="80">
      <c r="G656" s="125">
        <f>IF($D656=0,0,ROUND($D656*$E656,2))</f>
        <v/>
      </c>
      <c r="H656" s="125">
        <f>IF($C656="","",CONCATENATE("Örnek kayıt: ",$C656))</f>
        <v/>
      </c>
    </row>
    <row r="657" ht="15" customHeight="1" s="80">
      <c r="G657" s="125">
        <f>IF($D657=0,0,ROUND($D657*$E657,2))</f>
        <v/>
      </c>
      <c r="H657" s="125">
        <f>IF($C657="","",CONCATENATE("Örnek kayıt: ",$C657))</f>
        <v/>
      </c>
    </row>
    <row r="658" ht="15" customHeight="1" s="80">
      <c r="G658" s="125">
        <f>IF($D658=0,0,ROUND($D658*$E658,2))</f>
        <v/>
      </c>
      <c r="H658" s="125">
        <f>IF($C658="","",CONCATENATE("Örnek kayıt: ",$C658))</f>
        <v/>
      </c>
    </row>
    <row r="659" ht="15" customHeight="1" s="80">
      <c r="G659" s="125">
        <f>IF($D659=0,0,ROUND($D659*$E659,2))</f>
        <v/>
      </c>
      <c r="H659" s="125">
        <f>IF($C659="","",CONCATENATE("Örnek kayıt: ",$C659))</f>
        <v/>
      </c>
    </row>
    <row r="660" ht="15" customHeight="1" s="80">
      <c r="G660" s="125">
        <f>IF($D660=0,0,ROUND($D660*$E660,2))</f>
        <v/>
      </c>
      <c r="H660" s="125">
        <f>IF($C660="","",CONCATENATE("Örnek kayıt: ",$C660))</f>
        <v/>
      </c>
    </row>
    <row r="661" ht="15" customHeight="1" s="80">
      <c r="G661" s="125">
        <f>IF($D661=0,0,ROUND($D661*$E661,2))</f>
        <v/>
      </c>
      <c r="H661" s="125">
        <f>IF($C661="","",CONCATENATE("Örnek kayıt: ",$C661))</f>
        <v/>
      </c>
    </row>
    <row r="662" ht="15" customHeight="1" s="80">
      <c r="G662" s="125">
        <f>IF($D662=0,0,ROUND($D662*$E662,2))</f>
        <v/>
      </c>
      <c r="H662" s="125">
        <f>IF($C662="","",CONCATENATE("Örnek kayıt: ",$C662))</f>
        <v/>
      </c>
    </row>
    <row r="663" ht="15" customHeight="1" s="80">
      <c r="G663" s="125">
        <f>IF($D663=0,0,ROUND($D663*$E663,2))</f>
        <v/>
      </c>
      <c r="H663" s="125">
        <f>IF($C663="","",CONCATENATE("Örnek kayıt: ",$C663))</f>
        <v/>
      </c>
    </row>
    <row r="664" ht="15" customHeight="1" s="80">
      <c r="G664" s="125">
        <f>IF($D664=0,0,ROUND($D664*$E664,2))</f>
        <v/>
      </c>
      <c r="H664" s="125">
        <f>IF($C664="","",CONCATENATE("Örnek kayıt: ",$C664))</f>
        <v/>
      </c>
    </row>
    <row r="665" ht="15" customHeight="1" s="80">
      <c r="G665" s="125">
        <f>IF($D665=0,0,ROUND($D665*$E665,2))</f>
        <v/>
      </c>
      <c r="H665" s="125">
        <f>IF($C665="","",CONCATENATE("Örnek kayıt: ",$C665))</f>
        <v/>
      </c>
    </row>
    <row r="666" ht="15" customHeight="1" s="80">
      <c r="G666" s="125">
        <f>IF($D666=0,0,ROUND($D666*$E666,2))</f>
        <v/>
      </c>
      <c r="H666" s="125">
        <f>IF($C666="","",CONCATENATE("Örnek kayıt: ",$C666))</f>
        <v/>
      </c>
    </row>
    <row r="667" ht="15" customHeight="1" s="80">
      <c r="G667" s="125">
        <f>IF($D667=0,0,ROUND($D667*$E667,2))</f>
        <v/>
      </c>
      <c r="H667" s="125">
        <f>IF($C667="","",CONCATENATE("Örnek kayıt: ",$C667))</f>
        <v/>
      </c>
    </row>
    <row r="668" ht="15" customHeight="1" s="80">
      <c r="G668" s="125">
        <f>IF($D668=0,0,ROUND($D668*$E668,2))</f>
        <v/>
      </c>
      <c r="H668" s="125">
        <f>IF($C668="","",CONCATENATE("Örnek kayıt: ",$C668))</f>
        <v/>
      </c>
    </row>
    <row r="669" ht="15" customHeight="1" s="80">
      <c r="G669" s="125">
        <f>IF($D669=0,0,ROUND($D669*$E669,2))</f>
        <v/>
      </c>
      <c r="H669" s="125">
        <f>IF($C669="","",CONCATENATE("Örnek kayıt: ",$C669))</f>
        <v/>
      </c>
    </row>
    <row r="670" ht="15" customHeight="1" s="80">
      <c r="G670" s="125">
        <f>IF($D670=0,0,ROUND($D670*$E670,2))</f>
        <v/>
      </c>
      <c r="H670" s="125">
        <f>IF($C670="","",CONCATENATE("Örnek kayıt: ",$C670))</f>
        <v/>
      </c>
    </row>
    <row r="671" ht="15" customHeight="1" s="80">
      <c r="G671" s="125">
        <f>IF($D671=0,0,ROUND($D671*$E671,2))</f>
        <v/>
      </c>
      <c r="H671" s="125">
        <f>IF($C671="","",CONCATENATE("Örnek kayıt: ",$C671))</f>
        <v/>
      </c>
    </row>
    <row r="672" ht="15" customHeight="1" s="80">
      <c r="G672" s="125">
        <f>IF($D672=0,0,ROUND($D672*$E672,2))</f>
        <v/>
      </c>
      <c r="H672" s="125">
        <f>IF($C672="","",CONCATENATE("Örnek kayıt: ",$C672))</f>
        <v/>
      </c>
    </row>
    <row r="673" ht="15" customHeight="1" s="80">
      <c r="G673" s="125">
        <f>IF($D673=0,0,ROUND($D673*$E673,2))</f>
        <v/>
      </c>
      <c r="H673" s="125">
        <f>IF($C673="","",CONCATENATE("Örnek kayıt: ",$C673))</f>
        <v/>
      </c>
    </row>
    <row r="674" ht="15" customHeight="1" s="80">
      <c r="G674" s="125">
        <f>IF($D674=0,0,ROUND($D674*$E674,2))</f>
        <v/>
      </c>
      <c r="H674" s="125">
        <f>IF($C674="","",CONCATENATE("Örnek kayıt: ",$C674))</f>
        <v/>
      </c>
    </row>
    <row r="675" ht="15" customHeight="1" s="80">
      <c r="G675" s="125">
        <f>IF($D675=0,0,ROUND($D675*$E675,2))</f>
        <v/>
      </c>
      <c r="H675" s="125">
        <f>IF($C675="","",CONCATENATE("Örnek kayıt: ",$C675))</f>
        <v/>
      </c>
    </row>
    <row r="676" ht="15" customHeight="1" s="80">
      <c r="G676" s="125">
        <f>IF($D676=0,0,ROUND($D676*$E676,2))</f>
        <v/>
      </c>
      <c r="H676" s="125">
        <f>IF($C676="","",CONCATENATE("Örnek kayıt: ",$C676))</f>
        <v/>
      </c>
    </row>
    <row r="677" ht="15" customHeight="1" s="80">
      <c r="G677" s="125">
        <f>IF($D677=0,0,ROUND($D677*$E677,2))</f>
        <v/>
      </c>
      <c r="H677" s="125">
        <f>IF($C677="","",CONCATENATE("Örnek kayıt: ",$C677))</f>
        <v/>
      </c>
    </row>
    <row r="678" ht="15" customHeight="1" s="80">
      <c r="G678" s="125">
        <f>IF($D678=0,0,ROUND($D678*$E678,2))</f>
        <v/>
      </c>
      <c r="H678" s="125">
        <f>IF($C678="","",CONCATENATE("Örnek kayıt: ",$C678))</f>
        <v/>
      </c>
    </row>
    <row r="679" ht="15" customHeight="1" s="80">
      <c r="G679" s="125">
        <f>IF($D679=0,0,ROUND($D679*$E679,2))</f>
        <v/>
      </c>
      <c r="H679" s="125">
        <f>IF($C679="","",CONCATENATE("Örnek kayıt: ",$C679))</f>
        <v/>
      </c>
    </row>
    <row r="680" ht="15" customHeight="1" s="80">
      <c r="G680" s="125">
        <f>IF($D680=0,0,ROUND($D680*$E680,2))</f>
        <v/>
      </c>
      <c r="H680" s="125">
        <f>IF($C680="","",CONCATENATE("Örnek kayıt: ",$C680))</f>
        <v/>
      </c>
    </row>
    <row r="681" ht="15" customHeight="1" s="80">
      <c r="G681" s="125">
        <f>IF($D681=0,0,ROUND($D681*$E681,2))</f>
        <v/>
      </c>
      <c r="H681" s="125">
        <f>IF($C681="","",CONCATENATE("Örnek kayıt: ",$C681))</f>
        <v/>
      </c>
    </row>
    <row r="682" ht="15" customHeight="1" s="80">
      <c r="G682" s="125">
        <f>IF($D682=0,0,ROUND($D682*$E682,2))</f>
        <v/>
      </c>
      <c r="H682" s="125">
        <f>IF($C682="","",CONCATENATE("Örnek kayıt: ",$C682))</f>
        <v/>
      </c>
    </row>
    <row r="683" ht="15" customHeight="1" s="80">
      <c r="G683" s="125">
        <f>IF($D683=0,0,ROUND($D683*$E683,2))</f>
        <v/>
      </c>
      <c r="H683" s="125">
        <f>IF($C683="","",CONCATENATE("Örnek kayıt: ",$C683))</f>
        <v/>
      </c>
    </row>
    <row r="684" ht="15" customHeight="1" s="80">
      <c r="G684" s="125">
        <f>IF($D684=0,0,ROUND($D684*$E684,2))</f>
        <v/>
      </c>
      <c r="H684" s="125">
        <f>IF($C684="","",CONCATENATE("Örnek kayıt: ",$C684))</f>
        <v/>
      </c>
    </row>
    <row r="685" ht="15" customHeight="1" s="80">
      <c r="G685" s="125">
        <f>IF($D685=0,0,ROUND($D685*$E685,2))</f>
        <v/>
      </c>
      <c r="H685" s="125">
        <f>IF($C685="","",CONCATENATE("Örnek kayıt: ",$C685))</f>
        <v/>
      </c>
    </row>
    <row r="686" ht="15" customHeight="1" s="80">
      <c r="G686" s="125">
        <f>IF($D686=0,0,ROUND($D686*$E686,2))</f>
        <v/>
      </c>
      <c r="H686" s="125">
        <f>IF($C686="","",CONCATENATE("Örnek kayıt: ",$C686))</f>
        <v/>
      </c>
    </row>
    <row r="687" ht="15" customHeight="1" s="80">
      <c r="G687" s="125">
        <f>IF($D687=0,0,ROUND($D687*$E687,2))</f>
        <v/>
      </c>
      <c r="H687" s="125">
        <f>IF($C687="","",CONCATENATE("Örnek kayıt: ",$C687))</f>
        <v/>
      </c>
    </row>
    <row r="688" ht="15" customHeight="1" s="80">
      <c r="G688" s="125">
        <f>IF($D688=0,0,ROUND($D688*$E688,2))</f>
        <v/>
      </c>
      <c r="H688" s="125">
        <f>IF($C688="","",CONCATENATE("Örnek kayıt: ",$C688))</f>
        <v/>
      </c>
    </row>
    <row r="689" ht="15" customHeight="1" s="80">
      <c r="G689" s="125">
        <f>IF($D689=0,0,ROUND($D689*$E689,2))</f>
        <v/>
      </c>
      <c r="H689" s="125">
        <f>IF($C689="","",CONCATENATE("Örnek kayıt: ",$C689))</f>
        <v/>
      </c>
    </row>
    <row r="690" ht="15" customHeight="1" s="80">
      <c r="G690" s="125">
        <f>IF($D690=0,0,ROUND($D690*$E690,2))</f>
        <v/>
      </c>
      <c r="H690" s="125">
        <f>IF($C690="","",CONCATENATE("Örnek kayıt: ",$C690))</f>
        <v/>
      </c>
    </row>
    <row r="691" ht="15" customHeight="1" s="80">
      <c r="G691" s="125">
        <f>IF($D691=0,0,ROUND($D691*$E691,2))</f>
        <v/>
      </c>
      <c r="H691" s="125">
        <f>IF($C691="","",CONCATENATE("Örnek kayıt: ",$C691))</f>
        <v/>
      </c>
    </row>
    <row r="692" ht="15" customHeight="1" s="80">
      <c r="G692" s="125">
        <f>IF($D692=0,0,ROUND($D692*$E692,2))</f>
        <v/>
      </c>
      <c r="H692" s="125">
        <f>IF($C692="","",CONCATENATE("Örnek kayıt: ",$C692))</f>
        <v/>
      </c>
    </row>
    <row r="693" ht="15" customHeight="1" s="80">
      <c r="G693" s="125">
        <f>IF($D693=0,0,ROUND($D693*$E693,2))</f>
        <v/>
      </c>
      <c r="H693" s="125">
        <f>IF($C693="","",CONCATENATE("Örnek kayıt: ",$C693))</f>
        <v/>
      </c>
    </row>
    <row r="694" ht="15" customHeight="1" s="80">
      <c r="G694" s="125">
        <f>IF($D694=0,0,ROUND($D694*$E694,2))</f>
        <v/>
      </c>
      <c r="H694" s="125">
        <f>IF($C694="","",CONCATENATE("Örnek kayıt: ",$C694))</f>
        <v/>
      </c>
    </row>
    <row r="695" ht="15" customHeight="1" s="80">
      <c r="G695" s="125">
        <f>IF($D695=0,0,ROUND($D695*$E695,2))</f>
        <v/>
      </c>
      <c r="H695" s="125">
        <f>IF($C695="","",CONCATENATE("Örnek kayıt: ",$C695))</f>
        <v/>
      </c>
    </row>
    <row r="696" ht="15" customHeight="1" s="80">
      <c r="G696" s="125">
        <f>IF($D696=0,0,ROUND($D696*$E696,2))</f>
        <v/>
      </c>
      <c r="H696" s="125">
        <f>IF($C696="","",CONCATENATE("Örnek kayıt: ",$C696))</f>
        <v/>
      </c>
    </row>
    <row r="697" ht="15" customHeight="1" s="80">
      <c r="G697" s="125">
        <f>IF($D697=0,0,ROUND($D697*$E697,2))</f>
        <v/>
      </c>
      <c r="H697" s="125">
        <f>IF($C697="","",CONCATENATE("Örnek kayıt: ",$C697))</f>
        <v/>
      </c>
    </row>
    <row r="698" ht="15" customHeight="1" s="80">
      <c r="G698" s="125">
        <f>IF($D698=0,0,ROUND($D698*$E698,2))</f>
        <v/>
      </c>
      <c r="H698" s="125">
        <f>IF($C698="","",CONCATENATE("Örnek kayıt: ",$C698))</f>
        <v/>
      </c>
    </row>
    <row r="699" ht="15" customHeight="1" s="80">
      <c r="G699" s="125">
        <f>IF($D699=0,0,ROUND($D699*$E699,2))</f>
        <v/>
      </c>
      <c r="H699" s="125">
        <f>IF($C699="","",CONCATENATE("Örnek kayıt: ",$C699))</f>
        <v/>
      </c>
    </row>
    <row r="700" ht="15" customHeight="1" s="80">
      <c r="G700" s="125">
        <f>IF($D700=0,0,ROUND($D700*$E700,2))</f>
        <v/>
      </c>
      <c r="H700" s="125">
        <f>IF($C700="","",CONCATENATE("Örnek kayıt: ",$C700))</f>
        <v/>
      </c>
    </row>
    <row r="701" ht="15" customHeight="1" s="80">
      <c r="G701" s="125">
        <f>IF($D701=0,0,ROUND($D701*$E701,2))</f>
        <v/>
      </c>
      <c r="H701" s="125">
        <f>IF($C701="","",CONCATENATE("Örnek kayıt: ",$C701))</f>
        <v/>
      </c>
    </row>
    <row r="702" ht="15" customHeight="1" s="80">
      <c r="G702" s="125">
        <f>IF($D702=0,0,ROUND($D702*$E702,2))</f>
        <v/>
      </c>
      <c r="H702" s="125">
        <f>IF($C702="","",CONCATENATE("Örnek kayıt: ",$C702))</f>
        <v/>
      </c>
    </row>
    <row r="703" ht="15" customHeight="1" s="80">
      <c r="G703" s="125">
        <f>IF($D703=0,0,ROUND($D703*$E703,2))</f>
        <v/>
      </c>
      <c r="H703" s="125">
        <f>IF($C703="","",CONCATENATE("Örnek kayıt: ",$C703))</f>
        <v/>
      </c>
    </row>
    <row r="704" ht="15" customHeight="1" s="80">
      <c r="G704" s="125">
        <f>IF($D704=0,0,ROUND($D704*$E704,2))</f>
        <v/>
      </c>
      <c r="H704" s="125">
        <f>IF($C704="","",CONCATENATE("Örnek kayıt: ",$C704))</f>
        <v/>
      </c>
    </row>
    <row r="705" ht="15" customHeight="1" s="80">
      <c r="G705" s="125">
        <f>IF($D705=0,0,ROUND($D705*$E705,2))</f>
        <v/>
      </c>
      <c r="H705" s="125">
        <f>IF($C705="","",CONCATENATE("Örnek kayıt: ",$C705))</f>
        <v/>
      </c>
    </row>
    <row r="706" ht="15" customHeight="1" s="80">
      <c r="G706" s="125">
        <f>IF($D706=0,0,ROUND($D706*$E706,2))</f>
        <v/>
      </c>
      <c r="H706" s="125">
        <f>IF($C706="","",CONCATENATE("Örnek kayıt: ",$C706))</f>
        <v/>
      </c>
    </row>
    <row r="707" ht="15" customHeight="1" s="80">
      <c r="G707" s="125">
        <f>IF($D707=0,0,ROUND($D707*$E707,2))</f>
        <v/>
      </c>
      <c r="H707" s="125">
        <f>IF($C707="","",CONCATENATE("Örnek kayıt: ",$C707))</f>
        <v/>
      </c>
    </row>
    <row r="708" ht="15" customHeight="1" s="80">
      <c r="G708" s="125">
        <f>IF($D708=0,0,ROUND($D708*$E708,2))</f>
        <v/>
      </c>
      <c r="H708" s="125">
        <f>IF($C708="","",CONCATENATE("Örnek kayıt: ",$C708))</f>
        <v/>
      </c>
    </row>
    <row r="709" ht="15" customHeight="1" s="80">
      <c r="G709" s="125">
        <f>IF($D709=0,0,ROUND($D709*$E709,2))</f>
        <v/>
      </c>
      <c r="H709" s="125">
        <f>IF($C709="","",CONCATENATE("Örnek kayıt: ",$C709))</f>
        <v/>
      </c>
    </row>
    <row r="710" ht="15" customHeight="1" s="80">
      <c r="G710" s="125">
        <f>IF($D710=0,0,ROUND($D710*$E710,2))</f>
        <v/>
      </c>
      <c r="H710" s="125">
        <f>IF($C710="","",CONCATENATE("Örnek kayıt: ",$C710))</f>
        <v/>
      </c>
    </row>
    <row r="711" ht="15" customHeight="1" s="80">
      <c r="G711" s="125">
        <f>IF($D711=0,0,ROUND($D711*$E711,2))</f>
        <v/>
      </c>
      <c r="H711" s="125">
        <f>IF($C711="","",CONCATENATE("Örnek kayıt: ",$C711))</f>
        <v/>
      </c>
    </row>
    <row r="712" ht="15" customHeight="1" s="80">
      <c r="G712" s="125">
        <f>IF($D712=0,0,ROUND($D712*$E712,2))</f>
        <v/>
      </c>
      <c r="H712" s="125">
        <f>IF($C712="","",CONCATENATE("Örnek kayıt: ",$C712))</f>
        <v/>
      </c>
    </row>
    <row r="713" ht="15" customHeight="1" s="80">
      <c r="G713" s="125">
        <f>IF($D713=0,0,ROUND($D713*$E713,2))</f>
        <v/>
      </c>
      <c r="H713" s="125">
        <f>IF($C713="","",CONCATENATE("Örnek kayıt: ",$C713))</f>
        <v/>
      </c>
    </row>
    <row r="714" ht="15" customHeight="1" s="80">
      <c r="G714" s="125">
        <f>IF($D714=0,0,ROUND($D714*$E714,2))</f>
        <v/>
      </c>
      <c r="H714" s="125">
        <f>IF($C714="","",CONCATENATE("Örnek kayıt: ",$C714))</f>
        <v/>
      </c>
    </row>
    <row r="715" ht="15" customHeight="1" s="80">
      <c r="G715" s="125">
        <f>IF($D715=0,0,ROUND($D715*$E715,2))</f>
        <v/>
      </c>
      <c r="H715" s="125">
        <f>IF($C715="","",CONCATENATE("Örnek kayıt: ",$C715))</f>
        <v/>
      </c>
    </row>
    <row r="716" ht="15" customHeight="1" s="80">
      <c r="G716" s="125">
        <f>IF($D716=0,0,ROUND($D716*$E716,2))</f>
        <v/>
      </c>
      <c r="H716" s="125">
        <f>IF($C716="","",CONCATENATE("Örnek kayıt: ",$C716))</f>
        <v/>
      </c>
    </row>
    <row r="717" ht="15" customHeight="1" s="80">
      <c r="G717" s="125">
        <f>IF($D717=0,0,ROUND($D717*$E717,2))</f>
        <v/>
      </c>
      <c r="H717" s="125">
        <f>IF($C717="","",CONCATENATE("Örnek kayıt: ",$C717))</f>
        <v/>
      </c>
    </row>
    <row r="718" ht="15" customHeight="1" s="80">
      <c r="G718" s="125">
        <f>IF($D718=0,0,ROUND($D718*$E718,2))</f>
        <v/>
      </c>
      <c r="H718" s="125">
        <f>IF($C718="","",CONCATENATE("Örnek kayıt: ",$C718))</f>
        <v/>
      </c>
    </row>
    <row r="719" ht="15" customHeight="1" s="80">
      <c r="G719" s="125">
        <f>IF($D719=0,0,ROUND($D719*$E719,2))</f>
        <v/>
      </c>
      <c r="H719" s="125">
        <f>IF($C719="","",CONCATENATE("Örnek kayıt: ",$C719))</f>
        <v/>
      </c>
    </row>
    <row r="720" ht="15" customHeight="1" s="80">
      <c r="G720" s="125">
        <f>IF($D720=0,0,ROUND($D720*$E720,2))</f>
        <v/>
      </c>
      <c r="H720" s="125">
        <f>IF($C720="","",CONCATENATE("Örnek kayıt: ",$C720))</f>
        <v/>
      </c>
    </row>
    <row r="721" ht="15" customHeight="1" s="80">
      <c r="G721" s="125">
        <f>IF($D721=0,0,ROUND($D721*$E721,2))</f>
        <v/>
      </c>
      <c r="H721" s="125">
        <f>IF($C721="","",CONCATENATE("Örnek kayıt: ",$C721))</f>
        <v/>
      </c>
    </row>
    <row r="722" ht="15" customHeight="1" s="80">
      <c r="G722" s="125">
        <f>IF($D722=0,0,ROUND($D722*$E722,2))</f>
        <v/>
      </c>
      <c r="H722" s="125">
        <f>IF($C722="","",CONCATENATE("Örnek kayıt: ",$C722))</f>
        <v/>
      </c>
    </row>
    <row r="723" ht="15" customHeight="1" s="80">
      <c r="G723" s="125">
        <f>IF($D723=0,0,ROUND($D723*$E723,2))</f>
        <v/>
      </c>
      <c r="H723" s="125">
        <f>IF($C723="","",CONCATENATE("Örnek kayıt: ",$C723))</f>
        <v/>
      </c>
    </row>
    <row r="724" ht="15" customHeight="1" s="80">
      <c r="G724" s="125">
        <f>IF($D724=0,0,ROUND($D724*$E724,2))</f>
        <v/>
      </c>
      <c r="H724" s="125">
        <f>IF($C724="","",CONCATENATE("Örnek kayıt: ",$C724))</f>
        <v/>
      </c>
    </row>
    <row r="725" ht="15" customHeight="1" s="80">
      <c r="G725" s="125">
        <f>IF($D725=0,0,ROUND($D725*$E725,2))</f>
        <v/>
      </c>
      <c r="H725" s="125">
        <f>IF($C725="","",CONCATENATE("Örnek kayıt: ",$C725))</f>
        <v/>
      </c>
    </row>
    <row r="726" ht="15" customHeight="1" s="80">
      <c r="G726" s="125">
        <f>IF($D726=0,0,ROUND($D726*$E726,2))</f>
        <v/>
      </c>
      <c r="H726" s="125">
        <f>IF($C726="","",CONCATENATE("Örnek kayıt: ",$C726))</f>
        <v/>
      </c>
    </row>
    <row r="727" ht="15" customHeight="1" s="80">
      <c r="G727" s="125">
        <f>IF($D727=0,0,ROUND($D727*$E727,2))</f>
        <v/>
      </c>
      <c r="H727" s="125">
        <f>IF($C727="","",CONCATENATE("Örnek kayıt: ",$C727))</f>
        <v/>
      </c>
    </row>
    <row r="728" ht="15" customHeight="1" s="80">
      <c r="G728" s="125">
        <f>IF($D728=0,0,ROUND($D728*$E728,2))</f>
        <v/>
      </c>
      <c r="H728" s="125">
        <f>IF($C728="","",CONCATENATE("Örnek kayıt: ",$C728))</f>
        <v/>
      </c>
    </row>
    <row r="729" ht="15" customHeight="1" s="80">
      <c r="G729" s="125">
        <f>IF($D729=0,0,ROUND($D729*$E729,2))</f>
        <v/>
      </c>
      <c r="H729" s="125">
        <f>IF($C729="","",CONCATENATE("Örnek kayıt: ",$C729))</f>
        <v/>
      </c>
    </row>
    <row r="730" ht="15" customHeight="1" s="80">
      <c r="G730" s="125">
        <f>IF($D730=0,0,ROUND($D730*$E730,2))</f>
        <v/>
      </c>
      <c r="H730" s="125">
        <f>IF($C730="","",CONCATENATE("Örnek kayıt: ",$C730))</f>
        <v/>
      </c>
    </row>
    <row r="731" ht="15" customHeight="1" s="80">
      <c r="G731" s="125">
        <f>IF($D731=0,0,ROUND($D731*$E731,2))</f>
        <v/>
      </c>
      <c r="H731" s="125">
        <f>IF($C731="","",CONCATENATE("Örnek kayıt: ",$C731))</f>
        <v/>
      </c>
    </row>
    <row r="732" ht="15" customHeight="1" s="80">
      <c r="G732" s="125">
        <f>IF($D732=0,0,ROUND($D732*$E732,2))</f>
        <v/>
      </c>
      <c r="H732" s="125">
        <f>IF($C732="","",CONCATENATE("Örnek kayıt: ",$C732))</f>
        <v/>
      </c>
    </row>
    <row r="733" ht="15" customHeight="1" s="80">
      <c r="G733" s="125">
        <f>IF($D733=0,0,ROUND($D733*$E733,2))</f>
        <v/>
      </c>
      <c r="H733" s="125">
        <f>IF($C733="","",CONCATENATE("Örnek kayıt: ",$C733))</f>
        <v/>
      </c>
    </row>
    <row r="734" ht="15" customHeight="1" s="80">
      <c r="G734" s="125">
        <f>IF($D734=0,0,ROUND($D734*$E734,2))</f>
        <v/>
      </c>
      <c r="H734" s="125">
        <f>IF($C734="","",CONCATENATE("Örnek kayıt: ",$C734))</f>
        <v/>
      </c>
    </row>
    <row r="735" ht="15" customHeight="1" s="80">
      <c r="G735" s="125">
        <f>IF($D735=0,0,ROUND($D735*$E735,2))</f>
        <v/>
      </c>
      <c r="H735" s="125">
        <f>IF($C735="","",CONCATENATE("Örnek kayıt: ",$C735))</f>
        <v/>
      </c>
    </row>
    <row r="736" ht="15" customHeight="1" s="80">
      <c r="G736" s="125">
        <f>IF($D736=0,0,ROUND($D736*$E736,2))</f>
        <v/>
      </c>
      <c r="H736" s="125">
        <f>IF($C736="","",CONCATENATE("Örnek kayıt: ",$C736))</f>
        <v/>
      </c>
    </row>
    <row r="737" ht="15" customHeight="1" s="80">
      <c r="G737" s="125">
        <f>IF($D737=0,0,ROUND($D737*$E737,2))</f>
        <v/>
      </c>
      <c r="H737" s="125">
        <f>IF($C737="","",CONCATENATE("Örnek kayıt: ",$C737))</f>
        <v/>
      </c>
    </row>
    <row r="738" ht="15" customHeight="1" s="80">
      <c r="G738" s="125">
        <f>IF($D738=0,0,ROUND($D738*$E738,2))</f>
        <v/>
      </c>
      <c r="H738" s="125">
        <f>IF($C738="","",CONCATENATE("Örnek kayıt: ",$C738))</f>
        <v/>
      </c>
    </row>
    <row r="739" ht="15" customHeight="1" s="80">
      <c r="G739" s="125">
        <f>IF($D739=0,0,ROUND($D739*$E739,2))</f>
        <v/>
      </c>
      <c r="H739" s="125">
        <f>IF($C739="","",CONCATENATE("Örnek kayıt: ",$C739))</f>
        <v/>
      </c>
    </row>
    <row r="740" ht="15" customHeight="1" s="80">
      <c r="G740" s="125">
        <f>IF($D740=0,0,ROUND($D740*$E740,2))</f>
        <v/>
      </c>
      <c r="H740" s="125">
        <f>IF($C740="","",CONCATENATE("Örnek kayıt: ",$C740))</f>
        <v/>
      </c>
    </row>
    <row r="741" ht="15" customHeight="1" s="80">
      <c r="G741" s="125">
        <f>IF($D741=0,0,ROUND($D741*$E741,2))</f>
        <v/>
      </c>
      <c r="H741" s="125">
        <f>IF($C741="","",CONCATENATE("Örnek kayıt: ",$C741))</f>
        <v/>
      </c>
    </row>
    <row r="742" ht="15" customHeight="1" s="80">
      <c r="G742" s="125">
        <f>IF($D742=0,0,ROUND($D742*$E742,2))</f>
        <v/>
      </c>
      <c r="H742" s="125">
        <f>IF($C742="","",CONCATENATE("Örnek kayıt: ",$C742))</f>
        <v/>
      </c>
    </row>
    <row r="743" ht="15" customHeight="1" s="80">
      <c r="G743" s="125">
        <f>IF($D743=0,0,ROUND($D743*$E743,2))</f>
        <v/>
      </c>
      <c r="H743" s="125">
        <f>IF($C743="","",CONCATENATE("Örnek kayıt: ",$C743))</f>
        <v/>
      </c>
    </row>
    <row r="744" ht="15" customHeight="1" s="80">
      <c r="G744" s="125">
        <f>IF($D744=0,0,ROUND($D744*$E744,2))</f>
        <v/>
      </c>
      <c r="H744" s="125">
        <f>IF($C744="","",CONCATENATE("Örnek kayıt: ",$C744))</f>
        <v/>
      </c>
    </row>
    <row r="745" ht="15" customHeight="1" s="80">
      <c r="G745" s="125">
        <f>IF($D745=0,0,ROUND($D745*$E745,2))</f>
        <v/>
      </c>
      <c r="H745" s="125">
        <f>IF($C745="","",CONCATENATE("Örnek kayıt: ",$C745))</f>
        <v/>
      </c>
    </row>
    <row r="746" ht="15" customHeight="1" s="80">
      <c r="G746" s="125">
        <f>IF($D746=0,0,ROUND($D746*$E746,2))</f>
        <v/>
      </c>
      <c r="H746" s="125">
        <f>IF($C746="","",CONCATENATE("Örnek kayıt: ",$C746))</f>
        <v/>
      </c>
    </row>
    <row r="747" ht="15" customHeight="1" s="80">
      <c r="G747" s="125">
        <f>IF($D747=0,0,ROUND($D747*$E747,2))</f>
        <v/>
      </c>
      <c r="H747" s="125">
        <f>IF($C747="","",CONCATENATE("Örnek kayıt: ",$C747))</f>
        <v/>
      </c>
    </row>
    <row r="748" ht="15" customHeight="1" s="80">
      <c r="G748" s="125">
        <f>IF($D748=0,0,ROUND($D748*$E748,2))</f>
        <v/>
      </c>
      <c r="H748" s="125">
        <f>IF($C748="","",CONCATENATE("Örnek kayıt: ",$C748))</f>
        <v/>
      </c>
    </row>
    <row r="749" ht="15" customHeight="1" s="80">
      <c r="G749" s="125">
        <f>IF($D749=0,0,ROUND($D749*$E749,2))</f>
        <v/>
      </c>
      <c r="H749" s="125">
        <f>IF($C749="","",CONCATENATE("Örnek kayıt: ",$C749))</f>
        <v/>
      </c>
    </row>
    <row r="750" ht="15" customHeight="1" s="80">
      <c r="G750" s="125">
        <f>IF($D750=0,0,ROUND($D750*$E750,2))</f>
        <v/>
      </c>
      <c r="H750" s="125">
        <f>IF($C750="","",CONCATENATE("Örnek kayıt: ",$C750))</f>
        <v/>
      </c>
    </row>
    <row r="751" ht="15" customHeight="1" s="80">
      <c r="G751" s="125">
        <f>IF($D751=0,0,ROUND($D751*$E751,2))</f>
        <v/>
      </c>
      <c r="H751" s="125">
        <f>IF($C751="","",CONCATENATE("Örnek kayıt: ",$C751))</f>
        <v/>
      </c>
    </row>
    <row r="752" ht="15" customHeight="1" s="80">
      <c r="G752" s="125">
        <f>IF($D752=0,0,ROUND($D752*$E752,2))</f>
        <v/>
      </c>
      <c r="H752" s="125">
        <f>IF($C752="","",CONCATENATE("Örnek kayıt: ",$C752))</f>
        <v/>
      </c>
    </row>
    <row r="753" ht="15" customHeight="1" s="80">
      <c r="G753" s="125">
        <f>IF($D753=0,0,ROUND($D753*$E753,2))</f>
        <v/>
      </c>
      <c r="H753" s="125">
        <f>IF($C753="","",CONCATENATE("Örnek kayıt: ",$C753))</f>
        <v/>
      </c>
    </row>
    <row r="754" ht="15" customHeight="1" s="80">
      <c r="G754" s="125">
        <f>IF($D754=0,0,ROUND($D754*$E754,2))</f>
        <v/>
      </c>
      <c r="H754" s="125">
        <f>IF($C754="","",CONCATENATE("Örnek kayıt: ",$C754))</f>
        <v/>
      </c>
    </row>
    <row r="755" ht="15" customHeight="1" s="80">
      <c r="G755" s="125">
        <f>IF($D755=0,0,ROUND($D755*$E755,2))</f>
        <v/>
      </c>
      <c r="H755" s="125">
        <f>IF($C755="","",CONCATENATE("Örnek kayıt: ",$C755))</f>
        <v/>
      </c>
    </row>
    <row r="756" ht="15" customHeight="1" s="80">
      <c r="G756" s="125">
        <f>IF($D756=0,0,ROUND($D756*$E756,2))</f>
        <v/>
      </c>
      <c r="H756" s="125">
        <f>IF($C756="","",CONCATENATE("Örnek kayıt: ",$C756))</f>
        <v/>
      </c>
    </row>
    <row r="757" ht="15" customHeight="1" s="80">
      <c r="G757" s="125">
        <f>IF($D757=0,0,ROUND($D757*$E757,2))</f>
        <v/>
      </c>
      <c r="H757" s="125">
        <f>IF($C757="","",CONCATENATE("Örnek kayıt: ",$C757))</f>
        <v/>
      </c>
    </row>
    <row r="758" ht="15" customHeight="1" s="80">
      <c r="G758" s="125">
        <f>IF($D758=0,0,ROUND($D758*$E758,2))</f>
        <v/>
      </c>
      <c r="H758" s="125">
        <f>IF($C758="","",CONCATENATE("Örnek kayıt: ",$C758))</f>
        <v/>
      </c>
    </row>
    <row r="759" ht="15" customHeight="1" s="80">
      <c r="G759" s="125">
        <f>IF($D759=0,0,ROUND($D759*$E759,2))</f>
        <v/>
      </c>
      <c r="H759" s="125">
        <f>IF($C759="","",CONCATENATE("Örnek kayıt: ",$C759))</f>
        <v/>
      </c>
    </row>
    <row r="760" ht="15" customHeight="1" s="80">
      <c r="G760" s="125">
        <f>IF($D760=0,0,ROUND($D760*$E760,2))</f>
        <v/>
      </c>
      <c r="H760" s="125">
        <f>IF($C760="","",CONCATENATE("Örnek kayıt: ",$C760))</f>
        <v/>
      </c>
    </row>
    <row r="761" ht="15" customHeight="1" s="80">
      <c r="G761" s="125">
        <f>IF($D761=0,0,ROUND($D761*$E761,2))</f>
        <v/>
      </c>
      <c r="H761" s="125">
        <f>IF($C761="","",CONCATENATE("Örnek kayıt: ",$C761))</f>
        <v/>
      </c>
    </row>
    <row r="762" ht="15" customHeight="1" s="80">
      <c r="G762" s="125">
        <f>IF($D762=0,0,ROUND($D762*$E762,2))</f>
        <v/>
      </c>
      <c r="H762" s="125">
        <f>IF($C762="","",CONCATENATE("Örnek kayıt: ",$C762))</f>
        <v/>
      </c>
    </row>
    <row r="763" ht="15" customHeight="1" s="80">
      <c r="G763" s="125">
        <f>IF($D763=0,0,ROUND($D763*$E763,2))</f>
        <v/>
      </c>
      <c r="H763" s="125">
        <f>IF($C763="","",CONCATENATE("Örnek kayıt: ",$C763))</f>
        <v/>
      </c>
    </row>
    <row r="764" ht="15" customHeight="1" s="80">
      <c r="G764" s="125">
        <f>IF($D764=0,0,ROUND($D764*$E764,2))</f>
        <v/>
      </c>
      <c r="H764" s="125">
        <f>IF($C764="","",CONCATENATE("Örnek kayıt: ",$C764))</f>
        <v/>
      </c>
    </row>
    <row r="765" ht="15" customHeight="1" s="80">
      <c r="G765" s="125">
        <f>IF($D765=0,0,ROUND($D765*$E765,2))</f>
        <v/>
      </c>
      <c r="H765" s="125">
        <f>IF($C765="","",CONCATENATE("Örnek kayıt: ",$C765))</f>
        <v/>
      </c>
    </row>
    <row r="766" ht="15" customHeight="1" s="80">
      <c r="G766" s="125">
        <f>IF($D766=0,0,ROUND($D766*$E766,2))</f>
        <v/>
      </c>
      <c r="H766" s="125">
        <f>IF($C766="","",CONCATENATE("Örnek kayıt: ",$C766))</f>
        <v/>
      </c>
    </row>
    <row r="767" ht="15" customHeight="1" s="80">
      <c r="G767" s="125">
        <f>IF($D767=0,0,ROUND($D767*$E767,2))</f>
        <v/>
      </c>
      <c r="H767" s="125">
        <f>IF($C767="","",CONCATENATE("Örnek kayıt: ",$C767))</f>
        <v/>
      </c>
    </row>
    <row r="768" ht="15" customHeight="1" s="80">
      <c r="G768" s="125">
        <f>IF($D768=0,0,ROUND($D768*$E768,2))</f>
        <v/>
      </c>
      <c r="H768" s="125">
        <f>IF($C768="","",CONCATENATE("Örnek kayıt: ",$C768))</f>
        <v/>
      </c>
    </row>
    <row r="769" ht="15" customHeight="1" s="80">
      <c r="G769" s="125">
        <f>IF($D769=0,0,ROUND($D769*$E769,2))</f>
        <v/>
      </c>
      <c r="H769" s="125">
        <f>IF($C769="","",CONCATENATE("Örnek kayıt: ",$C769))</f>
        <v/>
      </c>
    </row>
    <row r="770" ht="15" customHeight="1" s="80">
      <c r="G770" s="125">
        <f>IF($D770=0,0,ROUND($D770*$E770,2))</f>
        <v/>
      </c>
      <c r="H770" s="125">
        <f>IF($C770="","",CONCATENATE("Örnek kayıt: ",$C770))</f>
        <v/>
      </c>
    </row>
    <row r="771" ht="15" customHeight="1" s="80">
      <c r="G771" s="125">
        <f>IF($D771=0,0,ROUND($D771*$E771,2))</f>
        <v/>
      </c>
      <c r="H771" s="125">
        <f>IF($C771="","",CONCATENATE("Örnek kayıt: ",$C771))</f>
        <v/>
      </c>
    </row>
    <row r="772" ht="15" customHeight="1" s="80">
      <c r="G772" s="125">
        <f>IF($D772=0,0,ROUND($D772*$E772,2))</f>
        <v/>
      </c>
      <c r="H772" s="125">
        <f>IF($C772="","",CONCATENATE("Örnek kayıt: ",$C772))</f>
        <v/>
      </c>
    </row>
    <row r="773" ht="15" customHeight="1" s="80">
      <c r="G773" s="125">
        <f>IF($D773=0,0,ROUND($D773*$E773,2))</f>
        <v/>
      </c>
      <c r="H773" s="125">
        <f>IF($C773="","",CONCATENATE("Örnek kayıt: ",$C773))</f>
        <v/>
      </c>
    </row>
    <row r="774" ht="15" customHeight="1" s="80">
      <c r="G774" s="125">
        <f>IF($D774=0,0,ROUND($D774*$E774,2))</f>
        <v/>
      </c>
      <c r="H774" s="125">
        <f>IF($C774="","",CONCATENATE("Örnek kayıt: ",$C774))</f>
        <v/>
      </c>
    </row>
    <row r="775" ht="15" customHeight="1" s="80">
      <c r="G775" s="125">
        <f>IF($D775=0,0,ROUND($D775*$E775,2))</f>
        <v/>
      </c>
      <c r="H775" s="125">
        <f>IF($C775="","",CONCATENATE("Örnek kayıt: ",$C775))</f>
        <v/>
      </c>
    </row>
    <row r="776" ht="15" customHeight="1" s="80">
      <c r="G776" s="125">
        <f>IF($D776=0,0,ROUND($D776*$E776,2))</f>
        <v/>
      </c>
      <c r="H776" s="125">
        <f>IF($C776="","",CONCATENATE("Örnek kayıt: ",$C776))</f>
        <v/>
      </c>
    </row>
    <row r="777" ht="15" customHeight="1" s="80">
      <c r="G777" s="125">
        <f>IF($D777=0,0,ROUND($D777*$E777,2))</f>
        <v/>
      </c>
      <c r="H777" s="125">
        <f>IF($C777="","",CONCATENATE("Örnek kayıt: ",$C777))</f>
        <v/>
      </c>
    </row>
    <row r="778" ht="15" customHeight="1" s="80">
      <c r="G778" s="125">
        <f>IF($D778=0,0,ROUND($D778*$E778,2))</f>
        <v/>
      </c>
      <c r="H778" s="125">
        <f>IF($C778="","",CONCATENATE("Örnek kayıt: ",$C778))</f>
        <v/>
      </c>
    </row>
    <row r="779" ht="15" customHeight="1" s="80">
      <c r="G779" s="125">
        <f>IF($D779=0,0,ROUND($D779*$E779,2))</f>
        <v/>
      </c>
      <c r="H779" s="125">
        <f>IF($C779="","",CONCATENATE("Örnek kayıt: ",$C779))</f>
        <v/>
      </c>
    </row>
    <row r="780" ht="15" customHeight="1" s="80">
      <c r="G780" s="125">
        <f>IF($D780=0,0,ROUND($D780*$E780,2))</f>
        <v/>
      </c>
      <c r="H780" s="125">
        <f>IF($C780="","",CONCATENATE("Örnek kayıt: ",$C780))</f>
        <v/>
      </c>
    </row>
    <row r="781" ht="15" customHeight="1" s="80">
      <c r="G781" s="125">
        <f>IF($D781=0,0,ROUND($D781*$E781,2))</f>
        <v/>
      </c>
      <c r="H781" s="125">
        <f>IF($C781="","",CONCATENATE("Örnek kayıt: ",$C781))</f>
        <v/>
      </c>
    </row>
    <row r="782" ht="15" customHeight="1" s="80">
      <c r="G782" s="125">
        <f>IF($D782=0,0,ROUND($D782*$E782,2))</f>
        <v/>
      </c>
      <c r="H782" s="125">
        <f>IF($C782="","",CONCATENATE("Örnek kayıt: ",$C782))</f>
        <v/>
      </c>
    </row>
    <row r="783" ht="15" customHeight="1" s="80">
      <c r="G783" s="125">
        <f>IF($D783=0,0,ROUND($D783*$E783,2))</f>
        <v/>
      </c>
      <c r="H783" s="125">
        <f>IF($C783="","",CONCATENATE("Örnek kayıt: ",$C783))</f>
        <v/>
      </c>
    </row>
    <row r="784" ht="15" customHeight="1" s="80">
      <c r="G784" s="125">
        <f>IF($D784=0,0,ROUND($D784*$E784,2))</f>
        <v/>
      </c>
      <c r="H784" s="125">
        <f>IF($C784="","",CONCATENATE("Örnek kayıt: ",$C784))</f>
        <v/>
      </c>
    </row>
    <row r="785" ht="15" customHeight="1" s="80">
      <c r="G785" s="125">
        <f>IF($D785=0,0,ROUND($D785*$E785,2))</f>
        <v/>
      </c>
      <c r="H785" s="125">
        <f>IF($C785="","",CONCATENATE("Örnek kayıt: ",$C785))</f>
        <v/>
      </c>
    </row>
    <row r="786" ht="15" customHeight="1" s="80">
      <c r="G786" s="125">
        <f>IF($D786=0,0,ROUND($D786*$E786,2))</f>
        <v/>
      </c>
      <c r="H786" s="125">
        <f>IF($C786="","",CONCATENATE("Örnek kayıt: ",$C786))</f>
        <v/>
      </c>
    </row>
    <row r="787" ht="15" customHeight="1" s="80">
      <c r="G787" s="125">
        <f>IF($D787=0,0,ROUND($D787*$E787,2))</f>
        <v/>
      </c>
      <c r="H787" s="125">
        <f>IF($C787="","",CONCATENATE("Örnek kayıt: ",$C787))</f>
        <v/>
      </c>
    </row>
    <row r="788" ht="15" customHeight="1" s="80">
      <c r="G788" s="125">
        <f>IF($D788=0,0,ROUND($D788*$E788,2))</f>
        <v/>
      </c>
      <c r="H788" s="125">
        <f>IF($C788="","",CONCATENATE("Örnek kayıt: ",$C788))</f>
        <v/>
      </c>
    </row>
    <row r="789" ht="15" customHeight="1" s="80">
      <c r="G789" s="125">
        <f>IF($D789=0,0,ROUND($D789*$E789,2))</f>
        <v/>
      </c>
      <c r="H789" s="125">
        <f>IF($C789="","",CONCATENATE("Örnek kayıt: ",$C789))</f>
        <v/>
      </c>
    </row>
    <row r="790" ht="15" customHeight="1" s="80">
      <c r="G790" s="125">
        <f>IF($D790=0,0,ROUND($D790*$E790,2))</f>
        <v/>
      </c>
      <c r="H790" s="125">
        <f>IF($C790="","",CONCATENATE("Örnek kayıt: ",$C790))</f>
        <v/>
      </c>
    </row>
    <row r="791" ht="15" customHeight="1" s="80">
      <c r="G791" s="125">
        <f>IF($D791=0,0,ROUND($D791*$E791,2))</f>
        <v/>
      </c>
      <c r="H791" s="125">
        <f>IF($C791="","",CONCATENATE("Örnek kayıt: ",$C791))</f>
        <v/>
      </c>
    </row>
    <row r="792" ht="15" customHeight="1" s="80">
      <c r="G792" s="125">
        <f>IF($D792=0,0,ROUND($D792*$E792,2))</f>
        <v/>
      </c>
      <c r="H792" s="125">
        <f>IF($C792="","",CONCATENATE("Örnek kayıt: ",$C792))</f>
        <v/>
      </c>
    </row>
    <row r="793" ht="15" customHeight="1" s="80">
      <c r="G793" s="125">
        <f>IF($D793=0,0,ROUND($D793*$E793,2))</f>
        <v/>
      </c>
      <c r="H793" s="125">
        <f>IF($C793="","",CONCATENATE("Örnek kayıt: ",$C793))</f>
        <v/>
      </c>
    </row>
    <row r="794" ht="15" customHeight="1" s="80">
      <c r="G794" s="125">
        <f>IF($D794=0,0,ROUND($D794*$E794,2))</f>
        <v/>
      </c>
      <c r="H794" s="125">
        <f>IF($C794="","",CONCATENATE("Örnek kayıt: ",$C794))</f>
        <v/>
      </c>
    </row>
    <row r="795" ht="15" customHeight="1" s="80">
      <c r="G795" s="125">
        <f>IF($D795=0,0,ROUND($D795*$E795,2))</f>
        <v/>
      </c>
      <c r="H795" s="125">
        <f>IF($C795="","",CONCATENATE("Örnek kayıt: ",$C795))</f>
        <v/>
      </c>
    </row>
    <row r="796" ht="15" customHeight="1" s="80">
      <c r="G796" s="125">
        <f>IF($D796=0,0,ROUND($D796*$E796,2))</f>
        <v/>
      </c>
      <c r="H796" s="125">
        <f>IF($C796="","",CONCATENATE("Örnek kayıt: ",$C796))</f>
        <v/>
      </c>
    </row>
    <row r="797" ht="15" customHeight="1" s="80">
      <c r="G797" s="125">
        <f>IF($D797=0,0,ROUND($D797*$E797,2))</f>
        <v/>
      </c>
      <c r="H797" s="125">
        <f>IF($C797="","",CONCATENATE("Örnek kayıt: ",$C797))</f>
        <v/>
      </c>
    </row>
    <row r="798" ht="15" customHeight="1" s="80">
      <c r="G798" s="125">
        <f>IF($D798=0,0,ROUND($D798*$E798,2))</f>
        <v/>
      </c>
      <c r="H798" s="125">
        <f>IF($C798="","",CONCATENATE("Örnek kayıt: ",$C798))</f>
        <v/>
      </c>
    </row>
    <row r="799" ht="15" customHeight="1" s="80">
      <c r="G799" s="125">
        <f>IF($D799=0,0,ROUND($D799*$E799,2))</f>
        <v/>
      </c>
      <c r="H799" s="125">
        <f>IF($C799="","",CONCATENATE("Örnek kayıt: ",$C799))</f>
        <v/>
      </c>
    </row>
    <row r="800" ht="15" customHeight="1" s="80">
      <c r="G800" s="125">
        <f>IF($D800=0,0,ROUND($D800*$E800,2))</f>
        <v/>
      </c>
      <c r="H800" s="125">
        <f>IF($C800="","",CONCATENATE("Örnek kayıt: ",$C800))</f>
        <v/>
      </c>
    </row>
    <row r="801" ht="15" customHeight="1" s="80">
      <c r="G801" s="125">
        <f>IF($D801=0,0,ROUND($D801*$E801,2))</f>
        <v/>
      </c>
      <c r="H801" s="125">
        <f>IF($C801="","",CONCATENATE("Örnek kayıt: ",$C801))</f>
        <v/>
      </c>
    </row>
    <row r="802" ht="15" customHeight="1" s="80">
      <c r="G802" s="125">
        <f>IF($D802=0,0,ROUND($D802*$E802,2))</f>
        <v/>
      </c>
      <c r="H802" s="125">
        <f>IF($C802="","",CONCATENATE("Örnek kayıt: ",$C802))</f>
        <v/>
      </c>
    </row>
    <row r="803" ht="15" customHeight="1" s="80">
      <c r="G803" s="125">
        <f>IF($D803=0,0,ROUND($D803*$E803,2))</f>
        <v/>
      </c>
      <c r="H803" s="125">
        <f>IF($C803="","",CONCATENATE("Örnek kayıt: ",$C803))</f>
        <v/>
      </c>
    </row>
    <row r="804" ht="15" customHeight="1" s="80">
      <c r="G804" s="125">
        <f>IF($D804=0,0,ROUND($D804*$E804,2))</f>
        <v/>
      </c>
      <c r="H804" s="125">
        <f>IF($C804="","",CONCATENATE("Örnek kayıt: ",$C804))</f>
        <v/>
      </c>
    </row>
    <row r="805" ht="15" customHeight="1" s="80">
      <c r="G805" s="125">
        <f>IF($D805=0,0,ROUND($D805*$E805,2))</f>
        <v/>
      </c>
      <c r="H805" s="125">
        <f>IF($C805="","",CONCATENATE("Örnek kayıt: ",$C805))</f>
        <v/>
      </c>
    </row>
    <row r="806" ht="15" customHeight="1" s="80">
      <c r="G806" s="125">
        <f>IF($D806=0,0,ROUND($D806*$E806,2))</f>
        <v/>
      </c>
      <c r="H806" s="125">
        <f>IF($C806="","",CONCATENATE("Örnek kayıt: ",$C806))</f>
        <v/>
      </c>
    </row>
    <row r="807" ht="15" customHeight="1" s="80">
      <c r="G807" s="125">
        <f>IF($D807=0,0,ROUND($D807*$E807,2))</f>
        <v/>
      </c>
      <c r="H807" s="125">
        <f>IF($C807="","",CONCATENATE("Örnek kayıt: ",$C807))</f>
        <v/>
      </c>
    </row>
    <row r="808" ht="15" customHeight="1" s="80">
      <c r="G808" s="125">
        <f>IF($D808=0,0,ROUND($D808*$E808,2))</f>
        <v/>
      </c>
      <c r="H808" s="125">
        <f>IF($C808="","",CONCATENATE("Örnek kayıt: ",$C808))</f>
        <v/>
      </c>
    </row>
    <row r="809" ht="15" customHeight="1" s="80">
      <c r="G809" s="125">
        <f>IF($D809=0,0,ROUND($D809*$E809,2))</f>
        <v/>
      </c>
      <c r="H809" s="125">
        <f>IF($C809="","",CONCATENATE("Örnek kayıt: ",$C809))</f>
        <v/>
      </c>
    </row>
    <row r="810" ht="15" customHeight="1" s="80">
      <c r="G810" s="125">
        <f>IF($D810=0,0,ROUND($D810*$E810,2))</f>
        <v/>
      </c>
      <c r="H810" s="125">
        <f>IF($C810="","",CONCATENATE("Örnek kayıt: ",$C810))</f>
        <v/>
      </c>
    </row>
    <row r="811" ht="15" customHeight="1" s="80">
      <c r="G811" s="125">
        <f>IF($D811=0,0,ROUND($D811*$E811,2))</f>
        <v/>
      </c>
      <c r="H811" s="125">
        <f>IF($C811="","",CONCATENATE("Örnek kayıt: ",$C811))</f>
        <v/>
      </c>
    </row>
    <row r="812" ht="15" customHeight="1" s="80">
      <c r="G812" s="125">
        <f>IF($D812=0,0,ROUND($D812*$E812,2))</f>
        <v/>
      </c>
      <c r="H812" s="125">
        <f>IF($C812="","",CONCATENATE("Örnek kayıt: ",$C812))</f>
        <v/>
      </c>
    </row>
    <row r="813" ht="15" customHeight="1" s="80">
      <c r="G813" s="125">
        <f>IF($D813=0,0,ROUND($D813*$E813,2))</f>
        <v/>
      </c>
      <c r="H813" s="125">
        <f>IF($C813="","",CONCATENATE("Örnek kayıt: ",$C813))</f>
        <v/>
      </c>
    </row>
    <row r="814" ht="15" customHeight="1" s="80">
      <c r="G814" s="125">
        <f>IF($D814=0,0,ROUND($D814*$E814,2))</f>
        <v/>
      </c>
      <c r="H814" s="125">
        <f>IF($C814="","",CONCATENATE("Örnek kayıt: ",$C814))</f>
        <v/>
      </c>
    </row>
    <row r="815" ht="15" customHeight="1" s="80">
      <c r="G815" s="125">
        <f>IF($D815=0,0,ROUND($D815*$E815,2))</f>
        <v/>
      </c>
      <c r="H815" s="125">
        <f>IF($C815="","",CONCATENATE("Örnek kayıt: ",$C815))</f>
        <v/>
      </c>
    </row>
    <row r="816" ht="15" customHeight="1" s="80">
      <c r="G816" s="125">
        <f>IF($D816=0,0,ROUND($D816*$E816,2))</f>
        <v/>
      </c>
      <c r="H816" s="125">
        <f>IF($C816="","",CONCATENATE("Örnek kayıt: ",$C816))</f>
        <v/>
      </c>
    </row>
    <row r="817" ht="15" customHeight="1" s="80">
      <c r="G817" s="125">
        <f>IF($D817=0,0,ROUND($D817*$E817,2))</f>
        <v/>
      </c>
      <c r="H817" s="125">
        <f>IF($C817="","",CONCATENATE("Örnek kayıt: ",$C817))</f>
        <v/>
      </c>
    </row>
    <row r="818" ht="15" customHeight="1" s="80">
      <c r="G818" s="125">
        <f>IF($D818=0,0,ROUND($D818*$E818,2))</f>
        <v/>
      </c>
      <c r="H818" s="125">
        <f>IF($C818="","",CONCATENATE("Örnek kayıt: ",$C818))</f>
        <v/>
      </c>
    </row>
    <row r="819" ht="15" customHeight="1" s="80">
      <c r="G819" s="125">
        <f>IF($D819=0,0,ROUND($D819*$E819,2))</f>
        <v/>
      </c>
      <c r="H819" s="125">
        <f>IF($C819="","",CONCATENATE("Örnek kayıt: ",$C819))</f>
        <v/>
      </c>
    </row>
    <row r="820" ht="15" customHeight="1" s="80">
      <c r="G820" s="125">
        <f>IF($D820=0,0,ROUND($D820*$E820,2))</f>
        <v/>
      </c>
      <c r="H820" s="125">
        <f>IF($C820="","",CONCATENATE("Örnek kayıt: ",$C820))</f>
        <v/>
      </c>
    </row>
    <row r="821" ht="15" customHeight="1" s="80">
      <c r="G821" s="125">
        <f>IF($D821=0,0,ROUND($D821*$E821,2))</f>
        <v/>
      </c>
      <c r="H821" s="125">
        <f>IF($C821="","",CONCATENATE("Örnek kayıt: ",$C821))</f>
        <v/>
      </c>
    </row>
    <row r="822" ht="15" customHeight="1" s="80">
      <c r="G822" s="125">
        <f>IF($D822=0,0,ROUND($D822*$E822,2))</f>
        <v/>
      </c>
      <c r="H822" s="125">
        <f>IF($C822="","",CONCATENATE("Örnek kayıt: ",$C822))</f>
        <v/>
      </c>
    </row>
    <row r="823" ht="15" customHeight="1" s="80">
      <c r="G823" s="125">
        <f>IF($D823=0,0,ROUND($D823*$E823,2))</f>
        <v/>
      </c>
      <c r="H823" s="125">
        <f>IF($C823="","",CONCATENATE("Örnek kayıt: ",$C823))</f>
        <v/>
      </c>
    </row>
    <row r="824" ht="15" customHeight="1" s="80">
      <c r="G824" s="125">
        <f>IF($D824=0,0,ROUND($D824*$E824,2))</f>
        <v/>
      </c>
      <c r="H824" s="125">
        <f>IF($C824="","",CONCATENATE("Örnek kayıt: ",$C824))</f>
        <v/>
      </c>
    </row>
    <row r="825" ht="15" customHeight="1" s="80">
      <c r="G825" s="125">
        <f>IF($D825=0,0,ROUND($D825*$E825,2))</f>
        <v/>
      </c>
      <c r="H825" s="125">
        <f>IF($C825="","",CONCATENATE("Örnek kayıt: ",$C825))</f>
        <v/>
      </c>
    </row>
    <row r="826" ht="15" customHeight="1" s="80">
      <c r="G826" s="125">
        <f>IF($D826=0,0,ROUND($D826*$E826,2))</f>
        <v/>
      </c>
      <c r="H826" s="125">
        <f>IF($C826="","",CONCATENATE("Örnek kayıt: ",$C826))</f>
        <v/>
      </c>
    </row>
    <row r="827" ht="15" customHeight="1" s="80">
      <c r="G827" s="125">
        <f>IF($D827=0,0,ROUND($D827*$E827,2))</f>
        <v/>
      </c>
      <c r="H827" s="125">
        <f>IF($C827="","",CONCATENATE("Örnek kayıt: ",$C827))</f>
        <v/>
      </c>
    </row>
    <row r="828" ht="15" customHeight="1" s="80">
      <c r="G828" s="125">
        <f>IF($D828=0,0,ROUND($D828*$E828,2))</f>
        <v/>
      </c>
      <c r="H828" s="125">
        <f>IF($C828="","",CONCATENATE("Örnek kayıt: ",$C828))</f>
        <v/>
      </c>
    </row>
    <row r="829" ht="15" customHeight="1" s="80">
      <c r="G829" s="125">
        <f>IF($D829=0,0,ROUND($D829*$E829,2))</f>
        <v/>
      </c>
      <c r="H829" s="125">
        <f>IF($C829="","",CONCATENATE("Örnek kayıt: ",$C829))</f>
        <v/>
      </c>
    </row>
    <row r="830" ht="15" customHeight="1" s="80">
      <c r="G830" s="125">
        <f>IF($D830=0,0,ROUND($D830*$E830,2))</f>
        <v/>
      </c>
      <c r="H830" s="125">
        <f>IF($C830="","",CONCATENATE("Örnek kayıt: ",$C830))</f>
        <v/>
      </c>
    </row>
    <row r="831" ht="15" customHeight="1" s="80">
      <c r="G831" s="125">
        <f>IF($D831=0,0,ROUND($D831*$E831,2))</f>
        <v/>
      </c>
      <c r="H831" s="125">
        <f>IF($C831="","",CONCATENATE("Örnek kayıt: ",$C831))</f>
        <v/>
      </c>
    </row>
    <row r="832" ht="15" customHeight="1" s="80">
      <c r="G832" s="125">
        <f>IF($D832=0,0,ROUND($D832*$E832,2))</f>
        <v/>
      </c>
      <c r="H832" s="125">
        <f>IF($C832="","",CONCATENATE("Örnek kayıt: ",$C832))</f>
        <v/>
      </c>
    </row>
    <row r="833" ht="15" customHeight="1" s="80">
      <c r="G833" s="125">
        <f>IF($D833=0,0,ROUND($D833*$E833,2))</f>
        <v/>
      </c>
      <c r="H833" s="125">
        <f>IF($C833="","",CONCATENATE("Örnek kayıt: ",$C833))</f>
        <v/>
      </c>
    </row>
    <row r="834" ht="15" customHeight="1" s="80">
      <c r="G834" s="125">
        <f>IF($D834=0,0,ROUND($D834*$E834,2))</f>
        <v/>
      </c>
      <c r="H834" s="125">
        <f>IF($C834="","",CONCATENATE("Örnek kayıt: ",$C834))</f>
        <v/>
      </c>
    </row>
    <row r="835" ht="15" customHeight="1" s="80">
      <c r="G835" s="125">
        <f>IF($D835=0,0,ROUND($D835*$E835,2))</f>
        <v/>
      </c>
      <c r="H835" s="125">
        <f>IF($C835="","",CONCATENATE("Örnek kayıt: ",$C835))</f>
        <v/>
      </c>
    </row>
    <row r="836" ht="15" customHeight="1" s="80">
      <c r="G836" s="125">
        <f>IF($D836=0,0,ROUND($D836*$E836,2))</f>
        <v/>
      </c>
      <c r="H836" s="125">
        <f>IF($C836="","",CONCATENATE("Örnek kayıt: ",$C836))</f>
        <v/>
      </c>
    </row>
    <row r="837" ht="15" customHeight="1" s="80">
      <c r="G837" s="125">
        <f>IF($D837=0,0,ROUND($D837*$E837,2))</f>
        <v/>
      </c>
      <c r="H837" s="125">
        <f>IF($C837="","",CONCATENATE("Örnek kayıt: ",$C837))</f>
        <v/>
      </c>
    </row>
    <row r="838" ht="15" customHeight="1" s="80">
      <c r="G838" s="125">
        <f>IF($D838=0,0,ROUND($D838*$E838,2))</f>
        <v/>
      </c>
      <c r="H838" s="125">
        <f>IF($C838="","",CONCATENATE("Örnek kayıt: ",$C838))</f>
        <v/>
      </c>
    </row>
    <row r="839" ht="15" customHeight="1" s="80">
      <c r="G839" s="125">
        <f>IF($D839=0,0,ROUND($D839*$E839,2))</f>
        <v/>
      </c>
      <c r="H839" s="125">
        <f>IF($C839="","",CONCATENATE("Örnek kayıt: ",$C839))</f>
        <v/>
      </c>
    </row>
    <row r="840" ht="15" customHeight="1" s="80">
      <c r="G840" s="125">
        <f>IF($D840=0,0,ROUND($D840*$E840,2))</f>
        <v/>
      </c>
      <c r="H840" s="125">
        <f>IF($C840="","",CONCATENATE("Örnek kayıt: ",$C840))</f>
        <v/>
      </c>
    </row>
    <row r="841" ht="15" customHeight="1" s="80">
      <c r="G841" s="125">
        <f>IF($D841=0,0,ROUND($D841*$E841,2))</f>
        <v/>
      </c>
      <c r="H841" s="125">
        <f>IF($C841="","",CONCATENATE("Örnek kayıt: ",$C841))</f>
        <v/>
      </c>
    </row>
    <row r="842" ht="15" customHeight="1" s="80">
      <c r="G842" s="125">
        <f>IF($D842=0,0,ROUND($D842*$E842,2))</f>
        <v/>
      </c>
      <c r="H842" s="125">
        <f>IF($C842="","",CONCATENATE("Örnek kayıt: ",$C842))</f>
        <v/>
      </c>
    </row>
    <row r="843" ht="15" customHeight="1" s="80">
      <c r="G843" s="125">
        <f>IF($D843=0,0,ROUND($D843*$E843,2))</f>
        <v/>
      </c>
      <c r="H843" s="125">
        <f>IF($C843="","",CONCATENATE("Örnek kayıt: ",$C843))</f>
        <v/>
      </c>
    </row>
    <row r="844" ht="15" customHeight="1" s="80">
      <c r="G844" s="125">
        <f>IF($D844=0,0,ROUND($D844*$E844,2))</f>
        <v/>
      </c>
      <c r="H844" s="125">
        <f>IF($C844="","",CONCATENATE("Örnek kayıt: ",$C844))</f>
        <v/>
      </c>
    </row>
    <row r="845" ht="15" customHeight="1" s="80">
      <c r="G845" s="125">
        <f>IF($D845=0,0,ROUND($D845*$E845,2))</f>
        <v/>
      </c>
      <c r="H845" s="125">
        <f>IF($C845="","",CONCATENATE("Örnek kayıt: ",$C845))</f>
        <v/>
      </c>
    </row>
    <row r="846" ht="15" customHeight="1" s="80">
      <c r="G846" s="125">
        <f>IF($D846=0,0,ROUND($D846*$E846,2))</f>
        <v/>
      </c>
      <c r="H846" s="125">
        <f>IF($C846="","",CONCATENATE("Örnek kayıt: ",$C846))</f>
        <v/>
      </c>
    </row>
    <row r="847" ht="15" customHeight="1" s="80">
      <c r="G847" s="125">
        <f>IF($D847=0,0,ROUND($D847*$E847,2))</f>
        <v/>
      </c>
      <c r="H847" s="125">
        <f>IF($C847="","",CONCATENATE("Örnek kayıt: ",$C847))</f>
        <v/>
      </c>
    </row>
    <row r="848" ht="15" customHeight="1" s="80">
      <c r="G848" s="125">
        <f>IF($D848=0,0,ROUND($D848*$E848,2))</f>
        <v/>
      </c>
      <c r="H848" s="125">
        <f>IF($C848="","",CONCATENATE("Örnek kayıt: ",$C848))</f>
        <v/>
      </c>
    </row>
    <row r="849" ht="15" customHeight="1" s="80">
      <c r="G849" s="125">
        <f>IF($D849=0,0,ROUND($D849*$E849,2))</f>
        <v/>
      </c>
      <c r="H849" s="125">
        <f>IF($C849="","",CONCATENATE("Örnek kayıt: ",$C849))</f>
        <v/>
      </c>
    </row>
    <row r="850" ht="15" customHeight="1" s="80">
      <c r="G850" s="125">
        <f>IF($D850=0,0,ROUND($D850*$E850,2))</f>
        <v/>
      </c>
      <c r="H850" s="125">
        <f>IF($C850="","",CONCATENATE("Örnek kayıt: ",$C850))</f>
        <v/>
      </c>
    </row>
    <row r="851" ht="15" customHeight="1" s="80">
      <c r="G851" s="125">
        <f>IF($D851=0,0,ROUND($D851*$E851,2))</f>
        <v/>
      </c>
      <c r="H851" s="125">
        <f>IF($C851="","",CONCATENATE("Örnek kayıt: ",$C851))</f>
        <v/>
      </c>
    </row>
    <row r="852" ht="15" customHeight="1" s="80">
      <c r="G852" s="125">
        <f>IF($D852=0,0,ROUND($D852*$E852,2))</f>
        <v/>
      </c>
      <c r="H852" s="125">
        <f>IF($C852="","",CONCATENATE("Örnek kayıt: ",$C852))</f>
        <v/>
      </c>
    </row>
    <row r="853" ht="15" customHeight="1" s="80">
      <c r="G853" s="125">
        <f>IF($D853=0,0,ROUND($D853*$E853,2))</f>
        <v/>
      </c>
      <c r="H853" s="125">
        <f>IF($C853="","",CONCATENATE("Örnek kayıt: ",$C853))</f>
        <v/>
      </c>
    </row>
    <row r="854" ht="15" customHeight="1" s="80">
      <c r="G854" s="125">
        <f>IF($D854=0,0,ROUND($D854*$E854,2))</f>
        <v/>
      </c>
      <c r="H854" s="125">
        <f>IF($C854="","",CONCATENATE("Örnek kayıt: ",$C854))</f>
        <v/>
      </c>
    </row>
    <row r="855" ht="15" customHeight="1" s="80">
      <c r="G855" s="125">
        <f>IF($D855=0,0,ROUND($D855*$E855,2))</f>
        <v/>
      </c>
      <c r="H855" s="125">
        <f>IF($C855="","",CONCATENATE("Örnek kayıt: ",$C855))</f>
        <v/>
      </c>
    </row>
    <row r="856" ht="15" customHeight="1" s="80">
      <c r="G856" s="125">
        <f>IF($D856=0,0,ROUND($D856*$E856,2))</f>
        <v/>
      </c>
      <c r="H856" s="125">
        <f>IF($C856="","",CONCATENATE("Örnek kayıt: ",$C856))</f>
        <v/>
      </c>
    </row>
    <row r="857" ht="15" customHeight="1" s="80">
      <c r="G857" s="125">
        <f>IF($D857=0,0,ROUND($D857*$E857,2))</f>
        <v/>
      </c>
      <c r="H857" s="125">
        <f>IF($C857="","",CONCATENATE("Örnek kayıt: ",$C857))</f>
        <v/>
      </c>
    </row>
    <row r="858" ht="15" customHeight="1" s="80">
      <c r="G858" s="125">
        <f>IF($D858=0,0,ROUND($D858*$E858,2))</f>
        <v/>
      </c>
      <c r="H858" s="125">
        <f>IF($C858="","",CONCATENATE("Örnek kayıt: ",$C858))</f>
        <v/>
      </c>
    </row>
    <row r="859" ht="15" customHeight="1" s="80">
      <c r="G859" s="125">
        <f>IF($D859=0,0,ROUND($D859*$E859,2))</f>
        <v/>
      </c>
      <c r="H859" s="125">
        <f>IF($C859="","",CONCATENATE("Örnek kayıt: ",$C859))</f>
        <v/>
      </c>
    </row>
    <row r="860" ht="15" customHeight="1" s="80">
      <c r="G860" s="125">
        <f>IF($D860=0,0,ROUND($D860*$E860,2))</f>
        <v/>
      </c>
      <c r="H860" s="125">
        <f>IF($C860="","",CONCATENATE("Örnek kayıt: ",$C860))</f>
        <v/>
      </c>
    </row>
    <row r="861" ht="15" customHeight="1" s="80">
      <c r="G861" s="125">
        <f>IF($D861=0,0,ROUND($D861*$E861,2))</f>
        <v/>
      </c>
      <c r="H861" s="125">
        <f>IF($C861="","",CONCATENATE("Örnek kayıt: ",$C861))</f>
        <v/>
      </c>
    </row>
    <row r="862" ht="15" customHeight="1" s="80">
      <c r="G862" s="125">
        <f>IF($D862=0,0,ROUND($D862*$E862,2))</f>
        <v/>
      </c>
      <c r="H862" s="125">
        <f>IF($C862="","",CONCATENATE("Örnek kayıt: ",$C862))</f>
        <v/>
      </c>
    </row>
    <row r="863" ht="15" customHeight="1" s="80">
      <c r="G863" s="125">
        <f>IF($D863=0,0,ROUND($D863*$E863,2))</f>
        <v/>
      </c>
      <c r="H863" s="125">
        <f>IF($C863="","",CONCATENATE("Örnek kayıt: ",$C863))</f>
        <v/>
      </c>
    </row>
    <row r="864" ht="15" customHeight="1" s="80">
      <c r="G864" s="125">
        <f>IF($D864=0,0,ROUND($D864*$E864,2))</f>
        <v/>
      </c>
      <c r="H864" s="125">
        <f>IF($C864="","",CONCATENATE("Örnek kayıt: ",$C864))</f>
        <v/>
      </c>
    </row>
    <row r="865" ht="15" customHeight="1" s="80">
      <c r="G865" s="125">
        <f>IF($D865=0,0,ROUND($D865*$E865,2))</f>
        <v/>
      </c>
      <c r="H865" s="125">
        <f>IF($C865="","",CONCATENATE("Örnek kayıt: ",$C865))</f>
        <v/>
      </c>
    </row>
    <row r="866" ht="15" customHeight="1" s="80">
      <c r="G866" s="125">
        <f>IF($D866=0,0,ROUND($D866*$E866,2))</f>
        <v/>
      </c>
      <c r="H866" s="125">
        <f>IF($C866="","",CONCATENATE("Örnek kayıt: ",$C866))</f>
        <v/>
      </c>
    </row>
    <row r="867" ht="15" customHeight="1" s="80">
      <c r="G867" s="125">
        <f>IF($D867=0,0,ROUND($D867*$E867,2))</f>
        <v/>
      </c>
      <c r="H867" s="125">
        <f>IF($C867="","",CONCATENATE("Örnek kayıt: ",$C867))</f>
        <v/>
      </c>
    </row>
    <row r="868" ht="15" customHeight="1" s="80">
      <c r="G868" s="125">
        <f>IF($D868=0,0,ROUND($D868*$E868,2))</f>
        <v/>
      </c>
      <c r="H868" s="125">
        <f>IF($C868="","",CONCATENATE("Örnek kayıt: ",$C868))</f>
        <v/>
      </c>
    </row>
    <row r="869" ht="15" customHeight="1" s="80">
      <c r="G869" s="125">
        <f>IF($D869=0,0,ROUND($D869*$E869,2))</f>
        <v/>
      </c>
      <c r="H869" s="125">
        <f>IF($C869="","",CONCATENATE("Örnek kayıt: ",$C869))</f>
        <v/>
      </c>
    </row>
    <row r="870" ht="15" customHeight="1" s="80">
      <c r="G870" s="125">
        <f>IF($D870=0,0,ROUND($D870*$E870,2))</f>
        <v/>
      </c>
      <c r="H870" s="125">
        <f>IF($C870="","",CONCATENATE("Örnek kayıt: ",$C870))</f>
        <v/>
      </c>
    </row>
    <row r="871" ht="15" customHeight="1" s="80">
      <c r="G871" s="125">
        <f>IF($D871=0,0,ROUND($D871*$E871,2))</f>
        <v/>
      </c>
      <c r="H871" s="125">
        <f>IF($C871="","",CONCATENATE("Örnek kayıt: ",$C871))</f>
        <v/>
      </c>
    </row>
    <row r="872" ht="15" customHeight="1" s="80">
      <c r="G872" s="125">
        <f>IF($D872=0,0,ROUND($D872*$E872,2))</f>
        <v/>
      </c>
      <c r="H872" s="125">
        <f>IF($C872="","",CONCATENATE("Örnek kayıt: ",$C872))</f>
        <v/>
      </c>
    </row>
    <row r="873" ht="15" customHeight="1" s="80">
      <c r="G873" s="125">
        <f>IF($D873=0,0,ROUND($D873*$E873,2))</f>
        <v/>
      </c>
      <c r="H873" s="125">
        <f>IF($C873="","",CONCATENATE("Örnek kayıt: ",$C873))</f>
        <v/>
      </c>
    </row>
    <row r="874" ht="15" customHeight="1" s="80">
      <c r="G874" s="125">
        <f>IF($D874=0,0,ROUND($D874*$E874,2))</f>
        <v/>
      </c>
      <c r="H874" s="125">
        <f>IF($C874="","",CONCATENATE("Örnek kayıt: ",$C874))</f>
        <v/>
      </c>
    </row>
    <row r="875" ht="15" customHeight="1" s="80">
      <c r="G875" s="125">
        <f>IF($D875=0,0,ROUND($D875*$E875,2))</f>
        <v/>
      </c>
      <c r="H875" s="125">
        <f>IF($C875="","",CONCATENATE("Örnek kayıt: ",$C875))</f>
        <v/>
      </c>
    </row>
    <row r="876" ht="15" customHeight="1" s="80">
      <c r="G876" s="125">
        <f>IF($D876=0,0,ROUND($D876*$E876,2))</f>
        <v/>
      </c>
      <c r="H876" s="125">
        <f>IF($C876="","",CONCATENATE("Örnek kayıt: ",$C876))</f>
        <v/>
      </c>
    </row>
    <row r="877" ht="15" customHeight="1" s="80">
      <c r="G877" s="125">
        <f>IF($D877=0,0,ROUND($D877*$E877,2))</f>
        <v/>
      </c>
      <c r="H877" s="125">
        <f>IF($C877="","",CONCATENATE("Örnek kayıt: ",$C877))</f>
        <v/>
      </c>
    </row>
    <row r="878" ht="15" customHeight="1" s="80">
      <c r="G878" s="125">
        <f>IF($D878=0,0,ROUND($D878*$E878,2))</f>
        <v/>
      </c>
      <c r="H878" s="125">
        <f>IF($C878="","",CONCATENATE("Örnek kayıt: ",$C878))</f>
        <v/>
      </c>
    </row>
    <row r="879" ht="15" customHeight="1" s="80">
      <c r="G879" s="125">
        <f>IF($D879=0,0,ROUND($D879*$E879,2))</f>
        <v/>
      </c>
      <c r="H879" s="125">
        <f>IF($C879="","",CONCATENATE("Örnek kayıt: ",$C879))</f>
        <v/>
      </c>
    </row>
    <row r="880" ht="15" customHeight="1" s="80">
      <c r="G880" s="125">
        <f>IF($D880=0,0,ROUND($D880*$E880,2))</f>
        <v/>
      </c>
      <c r="H880" s="125">
        <f>IF($C880="","",CONCATENATE("Örnek kayıt: ",$C880))</f>
        <v/>
      </c>
    </row>
    <row r="881" ht="15" customHeight="1" s="80">
      <c r="G881" s="125">
        <f>IF($D881=0,0,ROUND($D881*$E881,2))</f>
        <v/>
      </c>
      <c r="H881" s="125">
        <f>IF($C881="","",CONCATENATE("Örnek kayıt: ",$C881))</f>
        <v/>
      </c>
    </row>
    <row r="882" ht="15" customHeight="1" s="80">
      <c r="G882" s="125">
        <f>IF($D882=0,0,ROUND($D882*$E882,2))</f>
        <v/>
      </c>
      <c r="H882" s="125">
        <f>IF($C882="","",CONCATENATE("Örnek kayıt: ",$C882))</f>
        <v/>
      </c>
    </row>
    <row r="883" ht="15" customHeight="1" s="80">
      <c r="G883" s="125">
        <f>IF($D883=0,0,ROUND($D883*$E883,2))</f>
        <v/>
      </c>
      <c r="H883" s="125">
        <f>IF($C883="","",CONCATENATE("Örnek kayıt: ",$C883))</f>
        <v/>
      </c>
    </row>
    <row r="884" ht="15" customHeight="1" s="80">
      <c r="G884" s="125">
        <f>IF($D884=0,0,ROUND($D884*$E884,2))</f>
        <v/>
      </c>
      <c r="H884" s="125">
        <f>IF($C884="","",CONCATENATE("Örnek kayıt: ",$C884))</f>
        <v/>
      </c>
    </row>
    <row r="885" ht="15" customHeight="1" s="80">
      <c r="G885" s="125">
        <f>IF($D885=0,0,ROUND($D885*$E885,2))</f>
        <v/>
      </c>
      <c r="H885" s="125">
        <f>IF($C885="","",CONCATENATE("Örnek kayıt: ",$C885))</f>
        <v/>
      </c>
    </row>
    <row r="886" ht="15" customHeight="1" s="80">
      <c r="G886" s="125">
        <f>IF($D886=0,0,ROUND($D886*$E886,2))</f>
        <v/>
      </c>
      <c r="H886" s="125">
        <f>IF($C886="","",CONCATENATE("Örnek kayıt: ",$C886))</f>
        <v/>
      </c>
    </row>
    <row r="887" ht="15" customHeight="1" s="80">
      <c r="G887" s="125">
        <f>IF($D887=0,0,ROUND($D887*$E887,2))</f>
        <v/>
      </c>
      <c r="H887" s="125">
        <f>IF($C887="","",CONCATENATE("Örnek kayıt: ",$C887))</f>
        <v/>
      </c>
    </row>
    <row r="888" ht="15" customHeight="1" s="80">
      <c r="G888" s="125">
        <f>IF($D888=0,0,ROUND($D888*$E888,2))</f>
        <v/>
      </c>
      <c r="H888" s="125">
        <f>IF($C888="","",CONCATENATE("Örnek kayıt: ",$C888))</f>
        <v/>
      </c>
    </row>
    <row r="889" ht="15" customHeight="1" s="80">
      <c r="G889" s="125">
        <f>IF($D889=0,0,ROUND($D889*$E889,2))</f>
        <v/>
      </c>
      <c r="H889" s="125">
        <f>IF($C889="","",CONCATENATE("Örnek kayıt: ",$C889))</f>
        <v/>
      </c>
    </row>
    <row r="890" ht="15" customHeight="1" s="80">
      <c r="G890" s="125">
        <f>IF($D890=0,0,ROUND($D890*$E890,2))</f>
        <v/>
      </c>
      <c r="H890" s="125">
        <f>IF($C890="","",CONCATENATE("Örnek kayıt: ",$C890))</f>
        <v/>
      </c>
    </row>
    <row r="891" ht="15" customHeight="1" s="80">
      <c r="G891" s="125">
        <f>IF($D891=0,0,ROUND($D891*$E891,2))</f>
        <v/>
      </c>
      <c r="H891" s="125">
        <f>IF($C891="","",CONCATENATE("Örnek kayıt: ",$C891))</f>
        <v/>
      </c>
    </row>
    <row r="892" ht="15" customHeight="1" s="80">
      <c r="G892" s="125">
        <f>IF($D892=0,0,ROUND($D892*$E892,2))</f>
        <v/>
      </c>
      <c r="H892" s="125">
        <f>IF($C892="","",CONCATENATE("Örnek kayıt: ",$C892))</f>
        <v/>
      </c>
    </row>
    <row r="893" ht="15" customHeight="1" s="80">
      <c r="G893" s="125">
        <f>IF($D893=0,0,ROUND($D893*$E893,2))</f>
        <v/>
      </c>
      <c r="H893" s="125">
        <f>IF($C893="","",CONCATENATE("Örnek kayıt: ",$C893))</f>
        <v/>
      </c>
    </row>
    <row r="894" ht="15" customHeight="1" s="80">
      <c r="G894" s="125">
        <f>IF($D894=0,0,ROUND($D894*$E894,2))</f>
        <v/>
      </c>
      <c r="H894" s="125">
        <f>IF($C894="","",CONCATENATE("Örnek kayıt: ",$C894))</f>
        <v/>
      </c>
    </row>
    <row r="895" ht="15" customHeight="1" s="80">
      <c r="G895" s="125">
        <f>IF($D895=0,0,ROUND($D895*$E895,2))</f>
        <v/>
      </c>
      <c r="H895" s="125">
        <f>IF($C895="","",CONCATENATE("Örnek kayıt: ",$C895))</f>
        <v/>
      </c>
    </row>
    <row r="896" ht="15" customHeight="1" s="80">
      <c r="G896" s="125">
        <f>IF($D896=0,0,ROUND($D896*$E896,2))</f>
        <v/>
      </c>
      <c r="H896" s="125">
        <f>IF($C896="","",CONCATENATE("Örnek kayıt: ",$C896))</f>
        <v/>
      </c>
    </row>
    <row r="897" ht="15" customHeight="1" s="80">
      <c r="G897" s="125">
        <f>IF($D897=0,0,ROUND($D897*$E897,2))</f>
        <v/>
      </c>
      <c r="H897" s="125">
        <f>IF($C897="","",CONCATENATE("Örnek kayıt: ",$C897))</f>
        <v/>
      </c>
    </row>
    <row r="898" ht="15" customHeight="1" s="80">
      <c r="G898" s="125">
        <f>IF($D898=0,0,ROUND($D898*$E898,2))</f>
        <v/>
      </c>
      <c r="H898" s="125">
        <f>IF($C898="","",CONCATENATE("Örnek kayıt: ",$C898))</f>
        <v/>
      </c>
    </row>
    <row r="899" ht="15" customHeight="1" s="80">
      <c r="G899" s="125">
        <f>IF($D899=0,0,ROUND($D899*$E899,2))</f>
        <v/>
      </c>
      <c r="H899" s="125">
        <f>IF($C899="","",CONCATENATE("Örnek kayıt: ",$C899))</f>
        <v/>
      </c>
    </row>
    <row r="900" ht="15" customHeight="1" s="80">
      <c r="G900" s="125">
        <f>IF($D900=0,0,ROUND($D900*$E900,2))</f>
        <v/>
      </c>
      <c r="H900" s="125">
        <f>IF($C900="","",CONCATENATE("Örnek kayıt: ",$C900))</f>
        <v/>
      </c>
    </row>
    <row r="901" ht="15" customHeight="1" s="80">
      <c r="G901" s="125">
        <f>IF($D901=0,0,ROUND($D901*$E901,2))</f>
        <v/>
      </c>
      <c r="H901" s="125">
        <f>IF($C901="","",CONCATENATE("Örnek kayıt: ",$C901))</f>
        <v/>
      </c>
    </row>
    <row r="902" ht="15" customHeight="1" s="80">
      <c r="G902" s="125">
        <f>IF($D902=0,0,ROUND($D902*$E902,2))</f>
        <v/>
      </c>
      <c r="H902" s="125">
        <f>IF($C902="","",CONCATENATE("Örnek kayıt: ",$C902))</f>
        <v/>
      </c>
    </row>
    <row r="903" ht="15" customHeight="1" s="80">
      <c r="G903" s="125">
        <f>IF($D903=0,0,ROUND($D903*$E903,2))</f>
        <v/>
      </c>
      <c r="H903" s="125">
        <f>IF($C903="","",CONCATENATE("Örnek kayıt: ",$C903))</f>
        <v/>
      </c>
    </row>
    <row r="904" ht="15" customHeight="1" s="80">
      <c r="G904" s="125">
        <f>IF($D904=0,0,ROUND($D904*$E904,2))</f>
        <v/>
      </c>
      <c r="H904" s="125">
        <f>IF($C904="","",CONCATENATE("Örnek kayıt: ",$C904))</f>
        <v/>
      </c>
    </row>
    <row r="905" ht="15" customHeight="1" s="80">
      <c r="G905" s="125">
        <f>IF($D905=0,0,ROUND($D905*$E905,2))</f>
        <v/>
      </c>
      <c r="H905" s="125">
        <f>IF($C905="","",CONCATENATE("Örnek kayıt: ",$C905))</f>
        <v/>
      </c>
    </row>
    <row r="906" ht="15" customHeight="1" s="80">
      <c r="G906" s="125">
        <f>IF($D906=0,0,ROUND($D906*$E906,2))</f>
        <v/>
      </c>
      <c r="H906" s="125">
        <f>IF($C906="","",CONCATENATE("Örnek kayıt: ",$C906))</f>
        <v/>
      </c>
    </row>
    <row r="907" ht="15" customHeight="1" s="80">
      <c r="G907" s="125">
        <f>IF($D907=0,0,ROUND($D907*$E907,2))</f>
        <v/>
      </c>
      <c r="H907" s="125">
        <f>IF($C907="","",CONCATENATE("Örnek kayıt: ",$C907))</f>
        <v/>
      </c>
    </row>
    <row r="908" ht="15" customHeight="1" s="80">
      <c r="G908" s="125">
        <f>IF($D908=0,0,ROUND($D908*$E908,2))</f>
        <v/>
      </c>
      <c r="H908" s="125">
        <f>IF($C908="","",CONCATENATE("Örnek kayıt: ",$C908))</f>
        <v/>
      </c>
    </row>
    <row r="909" ht="15" customHeight="1" s="80">
      <c r="G909" s="125">
        <f>IF($D909=0,0,ROUND($D909*$E909,2))</f>
        <v/>
      </c>
      <c r="H909" s="125">
        <f>IF($C909="","",CONCATENATE("Örnek kayıt: ",$C909))</f>
        <v/>
      </c>
    </row>
    <row r="910" ht="15" customHeight="1" s="80">
      <c r="G910" s="125">
        <f>IF($D910=0,0,ROUND($D910*$E910,2))</f>
        <v/>
      </c>
      <c r="H910" s="125">
        <f>IF($C910="","",CONCATENATE("Örnek kayıt: ",$C910))</f>
        <v/>
      </c>
    </row>
    <row r="911" ht="15" customHeight="1" s="80">
      <c r="G911" s="125">
        <f>IF($D911=0,0,ROUND($D911*$E911,2))</f>
        <v/>
      </c>
      <c r="H911" s="125">
        <f>IF($C911="","",CONCATENATE("Örnek kayıt: ",$C911))</f>
        <v/>
      </c>
    </row>
    <row r="912" ht="15" customHeight="1" s="80">
      <c r="G912" s="125">
        <f>IF($D912=0,0,ROUND($D912*$E912,2))</f>
        <v/>
      </c>
      <c r="H912" s="125">
        <f>IF($C912="","",CONCATENATE("Örnek kayıt: ",$C912))</f>
        <v/>
      </c>
    </row>
    <row r="913" ht="15" customHeight="1" s="80">
      <c r="G913" s="125">
        <f>IF($D913=0,0,ROUND($D913*$E913,2))</f>
        <v/>
      </c>
      <c r="H913" s="125">
        <f>IF($C913="","",CONCATENATE("Örnek kayıt: ",$C913))</f>
        <v/>
      </c>
    </row>
    <row r="914" ht="15" customHeight="1" s="80">
      <c r="G914" s="125">
        <f>IF($D914=0,0,ROUND($D914*$E914,2))</f>
        <v/>
      </c>
      <c r="H914" s="125">
        <f>IF($C914="","",CONCATENATE("Örnek kayıt: ",$C914))</f>
        <v/>
      </c>
    </row>
    <row r="915" ht="15" customHeight="1" s="80">
      <c r="G915" s="125">
        <f>IF($D915=0,0,ROUND($D915*$E915,2))</f>
        <v/>
      </c>
      <c r="H915" s="125">
        <f>IF($C915="","",CONCATENATE("Örnek kayıt: ",$C915))</f>
        <v/>
      </c>
    </row>
    <row r="916" ht="15" customHeight="1" s="80">
      <c r="G916" s="125">
        <f>IF($D916=0,0,ROUND($D916*$E916,2))</f>
        <v/>
      </c>
      <c r="H916" s="125">
        <f>IF($C916="","",CONCATENATE("Örnek kayıt: ",$C916))</f>
        <v/>
      </c>
    </row>
    <row r="917" ht="15" customHeight="1" s="80">
      <c r="G917" s="125">
        <f>IF($D917=0,0,ROUND($D917*$E917,2))</f>
        <v/>
      </c>
      <c r="H917" s="125">
        <f>IF($C917="","",CONCATENATE("Örnek kayıt: ",$C917))</f>
        <v/>
      </c>
    </row>
    <row r="918" ht="15" customHeight="1" s="80">
      <c r="G918" s="125">
        <f>IF($D918=0,0,ROUND($D918*$E918,2))</f>
        <v/>
      </c>
      <c r="H918" s="125">
        <f>IF($C918="","",CONCATENATE("Örnek kayıt: ",$C918))</f>
        <v/>
      </c>
    </row>
    <row r="919" ht="15" customHeight="1" s="80">
      <c r="G919" s="125">
        <f>IF($D919=0,0,ROUND($D919*$E919,2))</f>
        <v/>
      </c>
      <c r="H919" s="125">
        <f>IF($C919="","",CONCATENATE("Örnek kayıt: ",$C919))</f>
        <v/>
      </c>
    </row>
    <row r="920" ht="15" customHeight="1" s="80">
      <c r="G920" s="125">
        <f>IF($D920=0,0,ROUND($D920*$E920,2))</f>
        <v/>
      </c>
      <c r="H920" s="125">
        <f>IF($C920="","",CONCATENATE("Örnek kayıt: ",$C920))</f>
        <v/>
      </c>
    </row>
    <row r="921" ht="15" customHeight="1" s="80">
      <c r="G921" s="125">
        <f>IF($D921=0,0,ROUND($D921*$E921,2))</f>
        <v/>
      </c>
      <c r="H921" s="125">
        <f>IF($C921="","",CONCATENATE("Örnek kayıt: ",$C921))</f>
        <v/>
      </c>
    </row>
    <row r="922" ht="15" customHeight="1" s="80">
      <c r="G922" s="125">
        <f>IF($D922=0,0,ROUND($D922*$E922,2))</f>
        <v/>
      </c>
      <c r="H922" s="125">
        <f>IF($C922="","",CONCATENATE("Örnek kayıt: ",$C922))</f>
        <v/>
      </c>
    </row>
    <row r="923" ht="15" customHeight="1" s="80">
      <c r="G923" s="125">
        <f>IF($D923=0,0,ROUND($D923*$E923,2))</f>
        <v/>
      </c>
      <c r="H923" s="125">
        <f>IF($C923="","",CONCATENATE("Örnek kayıt: ",$C923))</f>
        <v/>
      </c>
    </row>
    <row r="924" ht="15" customHeight="1" s="80">
      <c r="G924" s="125">
        <f>IF($D924=0,0,ROUND($D924*$E924,2))</f>
        <v/>
      </c>
      <c r="H924" s="125">
        <f>IF($C924="","",CONCATENATE("Örnek kayıt: ",$C924))</f>
        <v/>
      </c>
    </row>
    <row r="925" ht="15" customHeight="1" s="80">
      <c r="G925" s="125">
        <f>IF($D925=0,0,ROUND($D925*$E925,2))</f>
        <v/>
      </c>
      <c r="H925" s="125">
        <f>IF($C925="","",CONCATENATE("Örnek kayıt: ",$C925))</f>
        <v/>
      </c>
    </row>
    <row r="926" ht="15" customHeight="1" s="80">
      <c r="G926" s="125">
        <f>IF($D926=0,0,ROUND($D926*$E926,2))</f>
        <v/>
      </c>
      <c r="H926" s="125">
        <f>IF($C926="","",CONCATENATE("Örnek kayıt: ",$C926))</f>
        <v/>
      </c>
    </row>
    <row r="927" ht="15" customHeight="1" s="80">
      <c r="G927" s="125">
        <f>IF($D927=0,0,ROUND($D927*$E927,2))</f>
        <v/>
      </c>
      <c r="H927" s="125">
        <f>IF($C927="","",CONCATENATE("Örnek kayıt: ",$C927))</f>
        <v/>
      </c>
    </row>
    <row r="928" ht="15" customHeight="1" s="80">
      <c r="G928" s="125">
        <f>IF($D928=0,0,ROUND($D928*$E928,2))</f>
        <v/>
      </c>
      <c r="H928" s="125">
        <f>IF($C928="","",CONCATENATE("Örnek kayıt: ",$C928))</f>
        <v/>
      </c>
    </row>
    <row r="929" ht="15" customHeight="1" s="80">
      <c r="G929" s="125">
        <f>IF($D929=0,0,ROUND($D929*$E929,2))</f>
        <v/>
      </c>
      <c r="H929" s="125">
        <f>IF($C929="","",CONCATENATE("Örnek kayıt: ",$C929))</f>
        <v/>
      </c>
    </row>
    <row r="930" ht="15" customHeight="1" s="80">
      <c r="G930" s="125">
        <f>IF($D930=0,0,ROUND($D930*$E930,2))</f>
        <v/>
      </c>
      <c r="H930" s="125">
        <f>IF($C930="","",CONCATENATE("Örnek kayıt: ",$C930))</f>
        <v/>
      </c>
    </row>
    <row r="931" ht="15" customHeight="1" s="80">
      <c r="G931" s="125">
        <f>IF($D931=0,0,ROUND($D931*$E931,2))</f>
        <v/>
      </c>
      <c r="H931" s="125">
        <f>IF($C931="","",CONCATENATE("Örnek kayıt: ",$C931))</f>
        <v/>
      </c>
    </row>
    <row r="932" ht="15" customHeight="1" s="80">
      <c r="G932" s="125">
        <f>IF($D932=0,0,ROUND($D932*$E932,2))</f>
        <v/>
      </c>
      <c r="H932" s="125">
        <f>IF($C932="","",CONCATENATE("Örnek kayıt: ",$C932))</f>
        <v/>
      </c>
    </row>
    <row r="933" ht="15" customHeight="1" s="80">
      <c r="G933" s="125">
        <f>IF($D933=0,0,ROUND($D933*$E933,2))</f>
        <v/>
      </c>
      <c r="H933" s="125">
        <f>IF($C933="","",CONCATENATE("Örnek kayıt: ",$C933))</f>
        <v/>
      </c>
    </row>
    <row r="934" ht="15" customHeight="1" s="80">
      <c r="G934" s="125">
        <f>IF($D934=0,0,ROUND($D934*$E934,2))</f>
        <v/>
      </c>
      <c r="H934" s="125">
        <f>IF($C934="","",CONCATENATE("Örnek kayıt: ",$C934))</f>
        <v/>
      </c>
    </row>
    <row r="935" ht="15" customHeight="1" s="80">
      <c r="G935" s="125">
        <f>IF($D935=0,0,ROUND($D935*$E935,2))</f>
        <v/>
      </c>
      <c r="H935" s="125">
        <f>IF($C935="","",CONCATENATE("Örnek kayıt: ",$C935))</f>
        <v/>
      </c>
    </row>
    <row r="936" ht="15" customHeight="1" s="80">
      <c r="G936" s="125">
        <f>IF($D936=0,0,ROUND($D936*$E936,2))</f>
        <v/>
      </c>
      <c r="H936" s="125">
        <f>IF($C936="","",CONCATENATE("Örnek kayıt: ",$C936))</f>
        <v/>
      </c>
    </row>
    <row r="937" ht="15" customHeight="1" s="80">
      <c r="G937" s="125">
        <f>IF($D937=0,0,ROUND($D937*$E937,2))</f>
        <v/>
      </c>
      <c r="H937" s="125">
        <f>IF($C937="","",CONCATENATE("Örnek kayıt: ",$C937))</f>
        <v/>
      </c>
    </row>
    <row r="938" ht="15" customHeight="1" s="80">
      <c r="G938" s="125">
        <f>IF($D938=0,0,ROUND($D938*$E938,2))</f>
        <v/>
      </c>
      <c r="H938" s="125">
        <f>IF($C938="","",CONCATENATE("Örnek kayıt: ",$C938))</f>
        <v/>
      </c>
    </row>
    <row r="939" ht="15" customHeight="1" s="80">
      <c r="G939" s="125">
        <f>IF($D939=0,0,ROUND($D939*$E939,2))</f>
        <v/>
      </c>
      <c r="H939" s="125">
        <f>IF($C939="","",CONCATENATE("Örnek kayıt: ",$C939))</f>
        <v/>
      </c>
    </row>
    <row r="940" ht="15" customHeight="1" s="80">
      <c r="G940" s="125">
        <f>IF($D940=0,0,ROUND($D940*$E940,2))</f>
        <v/>
      </c>
      <c r="H940" s="125">
        <f>IF($C940="","",CONCATENATE("Örnek kayıt: ",$C940))</f>
        <v/>
      </c>
    </row>
    <row r="941" ht="15" customHeight="1" s="80">
      <c r="G941" s="125">
        <f>IF($D941=0,0,ROUND($D941*$E941,2))</f>
        <v/>
      </c>
      <c r="H941" s="125">
        <f>IF($C941="","",CONCATENATE("Örnek kayıt: ",$C941))</f>
        <v/>
      </c>
    </row>
    <row r="942" ht="15" customHeight="1" s="80">
      <c r="G942" s="125">
        <f>IF($D942=0,0,ROUND($D942*$E942,2))</f>
        <v/>
      </c>
      <c r="H942" s="125">
        <f>IF($C942="","",CONCATENATE("Örnek kayıt: ",$C942))</f>
        <v/>
      </c>
    </row>
    <row r="943" ht="15" customHeight="1" s="80">
      <c r="G943" s="125">
        <f>IF($D943=0,0,ROUND($D943*$E943,2))</f>
        <v/>
      </c>
      <c r="H943" s="125">
        <f>IF($C943="","",CONCATENATE("Örnek kayıt: ",$C943))</f>
        <v/>
      </c>
    </row>
    <row r="944" ht="15" customHeight="1" s="80">
      <c r="G944" s="125">
        <f>IF($D944=0,0,ROUND($D944*$E944,2))</f>
        <v/>
      </c>
      <c r="H944" s="125">
        <f>IF($C944="","",CONCATENATE("Örnek kayıt: ",$C944))</f>
        <v/>
      </c>
    </row>
    <row r="945" ht="15" customHeight="1" s="80">
      <c r="G945" s="125">
        <f>IF($D945=0,0,ROUND($D945*$E945,2))</f>
        <v/>
      </c>
      <c r="H945" s="125">
        <f>IF($C945="","",CONCATENATE("Örnek kayıt: ",$C945))</f>
        <v/>
      </c>
    </row>
    <row r="946" ht="15" customHeight="1" s="80">
      <c r="G946" s="125">
        <f>IF($D946=0,0,ROUND($D946*$E946,2))</f>
        <v/>
      </c>
      <c r="H946" s="125">
        <f>IF($C946="","",CONCATENATE("Örnek kayıt: ",$C946))</f>
        <v/>
      </c>
    </row>
    <row r="947" ht="15" customHeight="1" s="80">
      <c r="G947" s="125">
        <f>IF($D947=0,0,ROUND($D947*$E947,2))</f>
        <v/>
      </c>
      <c r="H947" s="125">
        <f>IF($C947="","",CONCATENATE("Örnek kayıt: ",$C947))</f>
        <v/>
      </c>
    </row>
    <row r="948" ht="15" customHeight="1" s="80">
      <c r="G948" s="125">
        <f>IF($D948=0,0,ROUND($D948*$E948,2))</f>
        <v/>
      </c>
      <c r="H948" s="125">
        <f>IF($C948="","",CONCATENATE("Örnek kayıt: ",$C948))</f>
        <v/>
      </c>
    </row>
    <row r="949" ht="15" customHeight="1" s="80">
      <c r="G949" s="125">
        <f>IF($D949=0,0,ROUND($D949*$E949,2))</f>
        <v/>
      </c>
      <c r="H949" s="125">
        <f>IF($C949="","",CONCATENATE("Örnek kayıt: ",$C949))</f>
        <v/>
      </c>
    </row>
    <row r="950" ht="15" customHeight="1" s="80">
      <c r="G950" s="125">
        <f>IF($D950=0,0,ROUND($D950*$E950,2))</f>
        <v/>
      </c>
      <c r="H950" s="125">
        <f>IF($C950="","",CONCATENATE("Örnek kayıt: ",$C950))</f>
        <v/>
      </c>
    </row>
    <row r="951" ht="15" customHeight="1" s="80">
      <c r="G951" s="125">
        <f>IF($D951=0,0,ROUND($D951*$E951,2))</f>
        <v/>
      </c>
      <c r="H951" s="125">
        <f>IF($C951="","",CONCATENATE("Örnek kayıt: ",$C951))</f>
        <v/>
      </c>
    </row>
    <row r="952" ht="15" customHeight="1" s="80">
      <c r="G952" s="125">
        <f>IF($D952=0,0,ROUND($D952*$E952,2))</f>
        <v/>
      </c>
      <c r="H952" s="125">
        <f>IF($C952="","",CONCATENATE("Örnek kayıt: ",$C952))</f>
        <v/>
      </c>
    </row>
    <row r="953" ht="15" customHeight="1" s="80">
      <c r="G953" s="125">
        <f>IF($D953=0,0,ROUND($D953*$E953,2))</f>
        <v/>
      </c>
      <c r="H953" s="125">
        <f>IF($C953="","",CONCATENATE("Örnek kayıt: ",$C953))</f>
        <v/>
      </c>
    </row>
    <row r="954" ht="15" customHeight="1" s="80">
      <c r="G954" s="125">
        <f>IF($D954=0,0,ROUND($D954*$E954,2))</f>
        <v/>
      </c>
      <c r="H954" s="125">
        <f>IF($C954="","",CONCATENATE("Örnek kayıt: ",$C954))</f>
        <v/>
      </c>
    </row>
    <row r="955" ht="15" customHeight="1" s="80">
      <c r="G955" s="125">
        <f>IF($D955=0,0,ROUND($D955*$E955,2))</f>
        <v/>
      </c>
      <c r="H955" s="125">
        <f>IF($C955="","",CONCATENATE("Örnek kayıt: ",$C955))</f>
        <v/>
      </c>
    </row>
    <row r="956" ht="15" customHeight="1" s="80">
      <c r="G956" s="125">
        <f>IF($D956=0,0,ROUND($D956*$E956,2))</f>
        <v/>
      </c>
      <c r="H956" s="125">
        <f>IF($C956="","",CONCATENATE("Örnek kayıt: ",$C956))</f>
        <v/>
      </c>
    </row>
    <row r="957" ht="15" customHeight="1" s="80">
      <c r="G957" s="125">
        <f>IF($D957=0,0,ROUND($D957*$E957,2))</f>
        <v/>
      </c>
      <c r="H957" s="125">
        <f>IF($C957="","",CONCATENATE("Örnek kayıt: ",$C957))</f>
        <v/>
      </c>
    </row>
    <row r="958" ht="15" customHeight="1" s="80">
      <c r="G958" s="125">
        <f>IF($D958=0,0,ROUND($D958*$E958,2))</f>
        <v/>
      </c>
      <c r="H958" s="125">
        <f>IF($C958="","",CONCATENATE("Örnek kayıt: ",$C958))</f>
        <v/>
      </c>
    </row>
    <row r="959" ht="15" customHeight="1" s="80">
      <c r="G959" s="125">
        <f>IF($D959=0,0,ROUND($D959*$E959,2))</f>
        <v/>
      </c>
      <c r="H959" s="125">
        <f>IF($C959="","",CONCATENATE("Örnek kayıt: ",$C959))</f>
        <v/>
      </c>
    </row>
    <row r="960" ht="15" customHeight="1" s="80">
      <c r="G960" s="125">
        <f>IF($D960=0,0,ROUND($D960*$E960,2))</f>
        <v/>
      </c>
      <c r="H960" s="125">
        <f>IF($C960="","",CONCATENATE("Örnek kayıt: ",$C960))</f>
        <v/>
      </c>
    </row>
    <row r="961" ht="15" customHeight="1" s="80">
      <c r="G961" s="125">
        <f>IF($D961=0,0,ROUND($D961*$E961,2))</f>
        <v/>
      </c>
      <c r="H961" s="125">
        <f>IF($C961="","",CONCATENATE("Örnek kayıt: ",$C961))</f>
        <v/>
      </c>
    </row>
    <row r="962" ht="15" customHeight="1" s="80">
      <c r="G962" s="125">
        <f>IF($D962=0,0,ROUND($D962*$E962,2))</f>
        <v/>
      </c>
      <c r="H962" s="125">
        <f>IF($C962="","",CONCATENATE("Örnek kayıt: ",$C962))</f>
        <v/>
      </c>
    </row>
    <row r="963" ht="15" customHeight="1" s="80">
      <c r="G963" s="125">
        <f>IF($D963=0,0,ROUND($D963*$E963,2))</f>
        <v/>
      </c>
      <c r="H963" s="125">
        <f>IF($C963="","",CONCATENATE("Örnek kayıt: ",$C963))</f>
        <v/>
      </c>
    </row>
    <row r="964" ht="15" customHeight="1" s="80">
      <c r="G964" s="125">
        <f>IF($D964=0,0,ROUND($D964*$E964,2))</f>
        <v/>
      </c>
      <c r="H964" s="125">
        <f>IF($C964="","",CONCATENATE("Örnek kayıt: ",$C964))</f>
        <v/>
      </c>
    </row>
    <row r="965" ht="15" customHeight="1" s="80">
      <c r="G965" s="125">
        <f>IF($D965=0,0,ROUND($D965*$E965,2))</f>
        <v/>
      </c>
      <c r="H965" s="125">
        <f>IF($C965="","",CONCATENATE("Örnek kayıt: ",$C965))</f>
        <v/>
      </c>
    </row>
    <row r="966" ht="15" customHeight="1" s="80">
      <c r="G966" s="125">
        <f>IF($D966=0,0,ROUND($D966*$E966,2))</f>
        <v/>
      </c>
      <c r="H966" s="125">
        <f>IF($C966="","",CONCATENATE("Örnek kayıt: ",$C966))</f>
        <v/>
      </c>
    </row>
    <row r="967" ht="15" customHeight="1" s="80">
      <c r="G967" s="125">
        <f>IF($D967=0,0,ROUND($D967*$E967,2))</f>
        <v/>
      </c>
      <c r="H967" s="125">
        <f>IF($C967="","",CONCATENATE("Örnek kayıt: ",$C967))</f>
        <v/>
      </c>
    </row>
    <row r="968" ht="15" customHeight="1" s="80">
      <c r="G968" s="125">
        <f>IF($D968=0,0,ROUND($D968*$E968,2))</f>
        <v/>
      </c>
      <c r="H968" s="125">
        <f>IF($C968="","",CONCATENATE("Örnek kayıt: ",$C968))</f>
        <v/>
      </c>
    </row>
    <row r="969" ht="15" customHeight="1" s="80">
      <c r="G969" s="125">
        <f>IF($D969=0,0,ROUND($D969*$E969,2))</f>
        <v/>
      </c>
      <c r="H969" s="125">
        <f>IF($C969="","",CONCATENATE("Örnek kayıt: ",$C969))</f>
        <v/>
      </c>
    </row>
    <row r="970" ht="15" customHeight="1" s="80">
      <c r="G970" s="125">
        <f>IF($D970=0,0,ROUND($D970*$E970,2))</f>
        <v/>
      </c>
      <c r="H970" s="125">
        <f>IF($C970="","",CONCATENATE("Örnek kayıt: ",$C970))</f>
        <v/>
      </c>
    </row>
    <row r="971" ht="15" customHeight="1" s="80">
      <c r="G971" s="125">
        <f>IF($D971=0,0,ROUND($D971*$E971,2))</f>
        <v/>
      </c>
      <c r="H971" s="125">
        <f>IF($C971="","",CONCATENATE("Örnek kayıt: ",$C971))</f>
        <v/>
      </c>
    </row>
    <row r="972" ht="15" customHeight="1" s="80">
      <c r="G972" s="125">
        <f>IF($D972=0,0,ROUND($D972*$E972,2))</f>
        <v/>
      </c>
      <c r="H972" s="125">
        <f>IF($C972="","",CONCATENATE("Örnek kayıt: ",$C972))</f>
        <v/>
      </c>
    </row>
    <row r="973" ht="15" customHeight="1" s="80">
      <c r="G973" s="125">
        <f>IF($D973=0,0,ROUND($D973*$E973,2))</f>
        <v/>
      </c>
      <c r="H973" s="125">
        <f>IF($C973="","",CONCATENATE("Örnek kayıt: ",$C973))</f>
        <v/>
      </c>
    </row>
    <row r="974" ht="15" customHeight="1" s="80">
      <c r="G974" s="125">
        <f>IF($D974=0,0,ROUND($D974*$E974,2))</f>
        <v/>
      </c>
      <c r="H974" s="125">
        <f>IF($C974="","",CONCATENATE("Örnek kayıt: ",$C974))</f>
        <v/>
      </c>
    </row>
    <row r="975" ht="15" customHeight="1" s="80">
      <c r="G975" s="125">
        <f>IF($D975=0,0,ROUND($D975*$E975,2))</f>
        <v/>
      </c>
      <c r="H975" s="125">
        <f>IF($C975="","",CONCATENATE("Örnek kayıt: ",$C975))</f>
        <v/>
      </c>
    </row>
    <row r="976" ht="15" customHeight="1" s="80">
      <c r="G976" s="125">
        <f>IF($D976=0,0,ROUND($D976*$E976,2))</f>
        <v/>
      </c>
      <c r="H976" s="125">
        <f>IF($C976="","",CONCATENATE("Örnek kayıt: ",$C976))</f>
        <v/>
      </c>
    </row>
    <row r="977" ht="15" customHeight="1" s="80">
      <c r="G977" s="125">
        <f>IF($D977=0,0,ROUND($D977*$E977,2))</f>
        <v/>
      </c>
      <c r="H977" s="125">
        <f>IF($C977="","",CONCATENATE("Örnek kayıt: ",$C977))</f>
        <v/>
      </c>
    </row>
    <row r="978" ht="15" customHeight="1" s="80">
      <c r="G978" s="125">
        <f>IF($D978=0,0,ROUND($D978*$E978,2))</f>
        <v/>
      </c>
      <c r="H978" s="125">
        <f>IF($C978="","",CONCATENATE("Örnek kayıt: ",$C978))</f>
        <v/>
      </c>
    </row>
    <row r="979" ht="15" customHeight="1" s="80">
      <c r="G979" s="125">
        <f>IF($D979=0,0,ROUND($D979*$E979,2))</f>
        <v/>
      </c>
      <c r="H979" s="125">
        <f>IF($C979="","",CONCATENATE("Örnek kayıt: ",$C979))</f>
        <v/>
      </c>
    </row>
    <row r="980" ht="15" customHeight="1" s="80">
      <c r="G980" s="125">
        <f>IF($D980=0,0,ROUND($D980*$E980,2))</f>
        <v/>
      </c>
      <c r="H980" s="125">
        <f>IF($C980="","",CONCATENATE("Örnek kayıt: ",$C980))</f>
        <v/>
      </c>
    </row>
    <row r="981" ht="15" customHeight="1" s="80">
      <c r="G981" s="125">
        <f>IF($D981=0,0,ROUND($D981*$E981,2))</f>
        <v/>
      </c>
      <c r="H981" s="125">
        <f>IF($C981="","",CONCATENATE("Örnek kayıt: ",$C981))</f>
        <v/>
      </c>
    </row>
    <row r="982" ht="15" customHeight="1" s="80">
      <c r="G982" s="125">
        <f>IF($D982=0,0,ROUND($D982*$E982,2))</f>
        <v/>
      </c>
      <c r="H982" s="125">
        <f>IF($C982="","",CONCATENATE("Örnek kayıt: ",$C982))</f>
        <v/>
      </c>
    </row>
    <row r="983" ht="15" customHeight="1" s="80">
      <c r="G983" s="125">
        <f>IF($D983=0,0,ROUND($D983*$E983,2))</f>
        <v/>
      </c>
      <c r="H983" s="125">
        <f>IF($C983="","",CONCATENATE("Örnek kayıt: ",$C983))</f>
        <v/>
      </c>
    </row>
    <row r="984" ht="15" customHeight="1" s="80">
      <c r="G984" s="125">
        <f>IF($D984=0,0,ROUND($D984*$E984,2))</f>
        <v/>
      </c>
      <c r="H984" s="125">
        <f>IF($C984="","",CONCATENATE("Örnek kayıt: ",$C984))</f>
        <v/>
      </c>
    </row>
    <row r="985" ht="15" customHeight="1" s="80">
      <c r="G985" s="125">
        <f>IF($D985=0,0,ROUND($D985*$E985,2))</f>
        <v/>
      </c>
      <c r="H985" s="125">
        <f>IF($C985="","",CONCATENATE("Örnek kayıt: ",$C985))</f>
        <v/>
      </c>
    </row>
    <row r="986" ht="15" customHeight="1" s="80">
      <c r="G986" s="125">
        <f>IF($D986=0,0,ROUND($D986*$E986,2))</f>
        <v/>
      </c>
      <c r="H986" s="125">
        <f>IF($C986="","",CONCATENATE("Örnek kayıt: ",$C986))</f>
        <v/>
      </c>
    </row>
    <row r="987" ht="15" customHeight="1" s="80">
      <c r="G987" s="125">
        <f>IF($D987=0,0,ROUND($D987*$E987,2))</f>
        <v/>
      </c>
      <c r="H987" s="125">
        <f>IF($C987="","",CONCATENATE("Örnek kayıt: ",$C987))</f>
        <v/>
      </c>
    </row>
    <row r="988" ht="15" customHeight="1" s="80">
      <c r="G988" s="125">
        <f>IF($D988=0,0,ROUND($D988*$E988,2))</f>
        <v/>
      </c>
      <c r="H988" s="125">
        <f>IF($C988="","",CONCATENATE("Örnek kayıt: ",$C988))</f>
        <v/>
      </c>
    </row>
    <row r="989" ht="15" customHeight="1" s="80">
      <c r="G989" s="125">
        <f>IF($D989=0,0,ROUND($D989*$E989,2))</f>
        <v/>
      </c>
      <c r="H989" s="125">
        <f>IF($C989="","",CONCATENATE("Örnek kayıt: ",$C989))</f>
        <v/>
      </c>
    </row>
    <row r="990" ht="15" customHeight="1" s="80">
      <c r="G990" s="125">
        <f>IF($D990=0,0,ROUND($D990*$E990,2))</f>
        <v/>
      </c>
      <c r="H990" s="125">
        <f>IF($C990="","",CONCATENATE("Örnek kayıt: ",$C990))</f>
        <v/>
      </c>
    </row>
    <row r="991" ht="15" customHeight="1" s="80">
      <c r="G991" s="125">
        <f>IF($D991=0,0,ROUND($D991*$E991,2))</f>
        <v/>
      </c>
      <c r="H991" s="125">
        <f>IF($C991="","",CONCATENATE("Örnek kayıt: ",$C991))</f>
        <v/>
      </c>
    </row>
    <row r="992" ht="15" customHeight="1" s="80">
      <c r="G992" s="125">
        <f>IF($D992=0,0,ROUND($D992*$E992,2))</f>
        <v/>
      </c>
      <c r="H992" s="125">
        <f>IF($C992="","",CONCATENATE("Örnek kayıt: ",$C992))</f>
        <v/>
      </c>
    </row>
    <row r="993" ht="15" customHeight="1" s="80">
      <c r="G993" s="125">
        <f>IF($D993=0,0,ROUND($D993*$E993,2))</f>
        <v/>
      </c>
      <c r="H993" s="125">
        <f>IF($C993="","",CONCATENATE("Örnek kayıt: ",$C993))</f>
        <v/>
      </c>
    </row>
    <row r="994" ht="15" customHeight="1" s="80">
      <c r="G994" s="125">
        <f>IF($D994=0,0,ROUND($D994*$E994,2))</f>
        <v/>
      </c>
      <c r="H994" s="125">
        <f>IF($C994="","",CONCATENATE("Örnek kayıt: ",$C994))</f>
        <v/>
      </c>
    </row>
    <row r="995" ht="15" customHeight="1" s="80">
      <c r="G995" s="125">
        <f>IF($D995=0,0,ROUND($D995*$E995,2))</f>
        <v/>
      </c>
      <c r="H995" s="125">
        <f>IF($C995="","",CONCATENATE("Örnek kayıt: ",$C995))</f>
        <v/>
      </c>
    </row>
    <row r="996" ht="15" customHeight="1" s="80">
      <c r="G996" s="125">
        <f>IF($D996=0,0,ROUND($D996*$E996,2))</f>
        <v/>
      </c>
      <c r="H996" s="125">
        <f>IF($C996="","",CONCATENATE("Örnek kayıt: ",$C996))</f>
        <v/>
      </c>
    </row>
    <row r="997" ht="15" customHeight="1" s="80">
      <c r="G997" s="125">
        <f>IF($D997=0,0,ROUND($D997*$E997,2))</f>
        <v/>
      </c>
      <c r="H997" s="125">
        <f>IF($C997="","",CONCATENATE("Örnek kayıt: ",$C997))</f>
        <v/>
      </c>
    </row>
    <row r="998" ht="15" customHeight="1" s="80">
      <c r="G998" s="125">
        <f>IF($D998=0,0,ROUND($D998*$E998,2))</f>
        <v/>
      </c>
      <c r="H998" s="125">
        <f>IF($C998="","",CONCATENATE("Örnek kayıt: ",$C998))</f>
        <v/>
      </c>
    </row>
    <row r="999" ht="15" customHeight="1" s="80">
      <c r="G999" s="125">
        <f>IF($D999=0,0,ROUND($D999*$E999,2))</f>
        <v/>
      </c>
      <c r="H999" s="125">
        <f>IF($C999="","",CONCATENATE("Örnek kayıt: ",$C999))</f>
        <v/>
      </c>
    </row>
    <row r="1000" ht="15" customHeight="1" s="80">
      <c r="G1000" s="125">
        <f>IF($D1000=0,0,ROUND($D1000*$E1000,2))</f>
        <v/>
      </c>
      <c r="H1000" s="125">
        <f>IF($C1000="","",CONCATENATE("Örnek kayıt: ",$C1000))</f>
        <v/>
      </c>
    </row>
    <row r="1001" ht="15" customHeight="1" s="80">
      <c r="G1001" s="125">
        <f>IF($D1001=0,0,ROUND($D1001*$E1001,2))</f>
        <v/>
      </c>
      <c r="H1001" s="125">
        <f>IF($C1001="","",CONCATENATE("Örnek kayıt: ",$C1001))</f>
        <v/>
      </c>
    </row>
    <row r="1002" ht="15" customHeight="1" s="80">
      <c r="G1002" s="125">
        <f>IF($D1002=0,0,ROUND($D1002*$E1002,2))</f>
        <v/>
      </c>
      <c r="H1002" s="125">
        <f>IF($C1002="","",CONCATENATE("Örnek kayıt: ",$C1002))</f>
        <v/>
      </c>
    </row>
    <row r="1003" ht="15" customHeight="1" s="80">
      <c r="G1003" s="125">
        <f>IF($D1003=0,0,ROUND($D1003*$E1003,2))</f>
        <v/>
      </c>
      <c r="H1003" s="125">
        <f>IF($C1003="","",CONCATENATE("Örnek kayıt: ",$C1003))</f>
        <v/>
      </c>
    </row>
    <row r="1004" ht="15" customHeight="1" s="80">
      <c r="G1004" s="125">
        <f>IF($D1004=0,0,ROUND($D1004*$E1004,2))</f>
        <v/>
      </c>
      <c r="H1004" s="125">
        <f>IF($C1004="","",CONCATENATE("Örnek kayıt: ",$C1004))</f>
        <v/>
      </c>
    </row>
    <row r="1006" ht="19.5" customHeight="1" s="80">
      <c r="A1006" s="130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D6:D1004">
    <cfRule type="cellIs" rank="0" priority="2" equalAverage="0" operator="lessThan" aboveAverage="0" dxfId="9" text="" percent="0" bottom="0">
      <formula>0</formula>
    </cfRule>
  </conditionalFormatting>
  <conditionalFormatting sqref="E6:E1004">
    <cfRule type="cellIs" rank="0" priority="3" equalAverage="0" operator="lessThan" aboveAverage="0" dxfId="9" text="" percent="0" bottom="0">
      <formula>0</formula>
    </cfRule>
  </conditionalFormatting>
  <conditionalFormatting sqref="G6:G1004">
    <cfRule type="cellIs" rank="0" priority="4" equalAverage="0" operator="less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80">
      <c r="A1" s="106" t="inlineStr">
        <is>
          <t>KURALLAR — eski35_kdv-iadesi-azami-alacak-hesabi-dosya-hazirlayici_uretildi</t>
        </is>
      </c>
    </row>
    <row r="3" ht="15" customHeight="1" s="80">
      <c r="A3" s="106" t="inlineStr">
        <is>
          <t>kural_id</t>
        </is>
      </c>
      <c r="B3" s="106" t="inlineStr">
        <is>
          <t>aciklama</t>
        </is>
      </c>
      <c r="C3" s="106" t="inlineStr">
        <is>
          <t>deger_2025</t>
        </is>
      </c>
      <c r="D3" s="106" t="inlineStr">
        <is>
          <t>deger_2026</t>
        </is>
      </c>
      <c r="E3" s="106" t="inlineStr">
        <is>
          <t>deger_2027</t>
        </is>
      </c>
      <c r="F3" s="106" t="inlineStr">
        <is>
          <t>kaynak</t>
        </is>
      </c>
    </row>
    <row r="4" ht="15" customHeight="1" s="80">
      <c r="A4" s="106" t="inlineStr">
        <is>
          <t>K1</t>
        </is>
      </c>
      <c r="B4" s="106" t="inlineStr">
        <is>
          <t>Kurumlar vergisi oranı</t>
        </is>
      </c>
      <c r="C4" s="164" t="n">
        <v>0.25</v>
      </c>
      <c r="D4" s="164" t="n">
        <v>0.25</v>
      </c>
      <c r="E4" s="164" t="n">
        <v>0.25</v>
      </c>
      <c r="F4" s="106" t="inlineStr">
        <is>
          <t>KV</t>
        </is>
      </c>
    </row>
    <row r="5" ht="15" customHeight="1" s="80">
      <c r="A5" s="106" t="inlineStr">
        <is>
          <t>K2</t>
        </is>
      </c>
      <c r="B5" s="106" t="inlineStr">
        <is>
          <t>İskonto / referans oran</t>
        </is>
      </c>
      <c r="C5" s="164" t="n">
        <v>0.2</v>
      </c>
      <c r="D5" s="164" t="n">
        <v>0.2</v>
      </c>
      <c r="E5" s="164" t="n">
        <v>0.2</v>
      </c>
      <c r="F5" s="106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80">
      <c r="A1" s="106" t="inlineStr">
        <is>
          <t>VAKALAR — eski35_kdv-iadesi-azami-alacak-hesabi-dosya-hazirlayici_uretildi</t>
        </is>
      </c>
    </row>
    <row r="3" ht="15" customHeight="1" s="80">
      <c r="A3" s="106" t="inlineStr">
        <is>
          <t>Tebliğ tarzı altın vakalar</t>
        </is>
      </c>
    </row>
    <row r="5" ht="15" customHeight="1" s="80">
      <c r="A5" s="106" t="inlineStr">
        <is>
          <t>vaka_id</t>
        </is>
      </c>
      <c r="B5" s="106" t="inlineStr">
        <is>
          <t>aciklama</t>
        </is>
      </c>
      <c r="C5" s="106" t="inlineStr">
        <is>
          <t>girdi_ozeti</t>
        </is>
      </c>
      <c r="D5" s="106" t="inlineStr">
        <is>
          <t>beklenen_sonuc</t>
        </is>
      </c>
      <c r="E5" s="106" t="inlineStr">
        <is>
          <t>hesaplanan</t>
        </is>
      </c>
      <c r="F5" s="106" t="inlineStr">
        <is>
          <t>fark</t>
        </is>
      </c>
      <c r="G5" s="106" t="inlineStr">
        <is>
          <t>durum</t>
        </is>
      </c>
      <c r="H5" s="106" t="inlineStr">
        <is>
          <t>kaynak</t>
        </is>
      </c>
    </row>
    <row r="6" ht="15" customHeight="1" s="80">
      <c r="A6" s="106" t="inlineStr">
        <is>
          <t>V1</t>
        </is>
      </c>
      <c r="B6" s="106" t="inlineStr">
        <is>
          <t>Baz senaryo tutarlılık</t>
        </is>
      </c>
      <c r="C6" s="106" t="inlineStr">
        <is>
          <t>örnek girdi</t>
        </is>
      </c>
      <c r="D6" s="164" t="n">
        <v>0</v>
      </c>
      <c r="E6" s="164" t="n">
        <v>0</v>
      </c>
      <c r="F6" s="164" t="n">
        <v>0</v>
      </c>
      <c r="G6" s="106" t="inlineStr">
        <is>
          <t>TUTARLI</t>
        </is>
      </c>
      <c r="H6" s="106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6" min="1" max="1"/>
    <col width="10" customWidth="1" style="106" min="2" max="2"/>
    <col width="40" customWidth="1" style="106" min="3" max="3"/>
    <col width="30" customWidth="1" style="106" min="4" max="4"/>
    <col width="14" customWidth="1" style="106" min="5" max="5"/>
  </cols>
  <sheetData>
    <row r="1" ht="25.5" customHeight="1" s="80">
      <c r="A1" s="107" t="inlineStr">
        <is>
          <t>DEGISIKLIK KAYDI — KDV İadesi Azami Alacak Hesabı &amp; Dosya Hazırlayıcı</t>
        </is>
      </c>
    </row>
    <row r="3" ht="15" customHeight="1" s="80">
      <c r="A3" s="110" t="inlineStr">
        <is>
          <t>Değişiklik Kaydı</t>
        </is>
      </c>
    </row>
    <row r="4" ht="30" customHeight="1" s="80">
      <c r="A4" s="119" t="inlineStr">
        <is>
          <t>Tarih</t>
        </is>
      </c>
      <c r="B4" s="119" t="inlineStr">
        <is>
          <t>Sürüm</t>
        </is>
      </c>
      <c r="C4" s="119" t="inlineStr">
        <is>
          <t>Değişiklik</t>
        </is>
      </c>
      <c r="D4" s="119" t="inlineStr">
        <is>
          <t>Neden</t>
        </is>
      </c>
      <c r="E4" s="119" t="inlineStr">
        <is>
          <t>Yapan</t>
        </is>
      </c>
    </row>
    <row r="5" ht="15" customHeight="1" s="80">
      <c r="A5" s="160" t="inlineStr">
        <is>
          <t>01.08.2026</t>
        </is>
      </c>
      <c r="B5" s="160" t="inlineStr">
        <is>
          <t>1.0.0</t>
        </is>
      </c>
      <c r="C5" s="160" t="inlineStr">
        <is>
          <t>İlk üretim</t>
        </is>
      </c>
      <c r="D5" s="160" t="inlineStr">
        <is>
          <t>Ürünün yayına hazırlanması</t>
        </is>
      </c>
      <c r="E5" s="160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D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106" min="1" max="1"/>
    <col width="14" customWidth="1" style="106" min="3" max="3"/>
    <col width="18" customWidth="1" style="106" min="5" max="5"/>
  </cols>
  <sheetData>
    <row r="1" ht="25.5" customHeight="1" s="80">
      <c r="A1" s="107" t="inlineStr">
        <is>
          <t>LISTELER — KDV İadesi Azami Alacak Hesabı &amp; Dosya Hazırlayıcı</t>
        </is>
      </c>
    </row>
    <row r="3" ht="15" customHeight="1" s="80">
      <c r="A3" s="110" t="inlineStr">
        <is>
          <t>Bağlı Listeler</t>
        </is>
      </c>
    </row>
    <row r="4" ht="68.25" customHeight="1" s="80">
      <c r="A4" s="109" t="inlineStr">
        <is>
          <t>Bu sayfadaki listeler açılır menüleri besler; yeni seçenek eklemek için sarı hücrelere yazın.</t>
        </is>
      </c>
    </row>
    <row r="6" ht="15" customHeight="1" s="80">
      <c r="A6" s="153" t="inlineStr">
        <is>
          <t>Belge Türü</t>
        </is>
      </c>
      <c r="C6" s="153" t="inlineStr">
        <is>
          <t>KDV Oranı</t>
        </is>
      </c>
      <c r="E6" s="153" t="inlineStr">
        <is>
          <t>Belge Durumu</t>
        </is>
      </c>
    </row>
    <row r="7" ht="15" customHeight="1" s="80">
      <c r="A7" s="165" t="inlineStr">
        <is>
          <t>Satış</t>
        </is>
      </c>
      <c r="C7" s="166" t="n">
        <v>0.01</v>
      </c>
      <c r="E7" s="165" t="inlineStr">
        <is>
          <t>Belgesi Tam</t>
        </is>
      </c>
    </row>
    <row r="8" ht="15" customHeight="1" s="80">
      <c r="A8" s="165" t="inlineStr">
        <is>
          <t>Alış</t>
        </is>
      </c>
      <c r="C8" s="166" t="n">
        <v>0.1</v>
      </c>
      <c r="E8" s="165" t="inlineStr">
        <is>
          <t>Belge Eksik</t>
        </is>
      </c>
    </row>
    <row r="9" ht="15" customHeight="1" s="80">
      <c r="A9" s="165" t="inlineStr">
        <is>
          <t>İhracat</t>
        </is>
      </c>
      <c r="C9" s="166" t="n">
        <v>0.2</v>
      </c>
    </row>
    <row r="10" ht="15" customHeight="1" s="80">
      <c r="A10" s="165" t="inlineStr">
        <is>
          <t>Gider</t>
        </is>
      </c>
    </row>
    <row r="11" ht="15" customHeight="1" s="80">
      <c r="A11" s="165" t="inlineStr">
        <is>
          <t>Yatırım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D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6" min="1" max="1"/>
    <col width="22" customWidth="1" style="106" min="2" max="2"/>
    <col width="12" customWidth="1" style="106" min="3" max="3"/>
    <col width="10" customWidth="1" style="106" min="4" max="5"/>
    <col width="60" customWidth="1" style="106" min="6" max="6"/>
    <col width="14" customWidth="1" style="106" min="7" max="7"/>
    <col width="16" customWidth="1" style="106" min="8" max="8"/>
    <col width="18" customWidth="1" style="106" min="9" max="9"/>
  </cols>
  <sheetData>
    <row r="1" ht="25.5" customHeight="1" s="80">
      <c r="A1" s="107" t="inlineStr">
        <is>
          <t>AYARLAR — KDV İadesi Azami Alacak Hesabı &amp; Dosya Hazırlayıcı</t>
        </is>
      </c>
    </row>
    <row r="3" ht="15" customHeight="1" s="80">
      <c r="A3" s="110" t="inlineStr">
        <is>
          <t>Sistem Ayarları ve Oranlar</t>
        </is>
      </c>
    </row>
    <row r="4" ht="54.75" customHeight="1" s="80">
      <c r="A4" s="109" t="inlineStr">
        <is>
          <t>Tüm sabitler bu sayfadadır. Eşikleri ve çarpanları kendi işletmenize göre güncelleyin. Değişen her değer tüm hesaplamalara anında yansır.</t>
        </is>
      </c>
    </row>
    <row r="6" ht="30" customHeight="1" s="80">
      <c r="A6" s="119" t="inlineStr">
        <is>
          <t>anahtar</t>
        </is>
      </c>
      <c r="B6" s="119" t="inlineStr">
        <is>
          <t>deger</t>
        </is>
      </c>
      <c r="C6" s="119" t="inlineStr">
        <is>
          <t>birim</t>
        </is>
      </c>
      <c r="D6" s="119" t="inlineStr">
        <is>
          <t>alt</t>
        </is>
      </c>
      <c r="E6" s="119" t="inlineStr">
        <is>
          <t>ust</t>
        </is>
      </c>
      <c r="F6" s="119" t="inlineStr">
        <is>
          <t>aciklama</t>
        </is>
      </c>
      <c r="G6" s="119" t="inlineStr">
        <is>
          <t>kaynak</t>
        </is>
      </c>
      <c r="H6" s="119" t="inlineStr">
        <is>
          <t>yururluk_tarihi</t>
        </is>
      </c>
      <c r="I6" s="119" t="inlineStr">
        <is>
          <t>dogrulama_tarihi</t>
        </is>
      </c>
    </row>
    <row r="7" ht="25.5" customHeight="1" s="80">
      <c r="A7" s="167" t="inlineStr">
        <is>
          <t>FirmaUnvan</t>
        </is>
      </c>
      <c r="B7" s="168" t="inlineStr">
        <is>
          <t>Örnek Firma A.Ş.</t>
        </is>
      </c>
      <c r="C7" s="113" t="inlineStr">
        <is>
          <t>Metin</t>
        </is>
      </c>
      <c r="D7" s="169" t="n"/>
      <c r="E7" s="169" t="n"/>
      <c r="F7" s="118" t="inlineStr">
        <is>
          <t>Rapor ve kapakta görünen firma adı.</t>
        </is>
      </c>
      <c r="G7" s="113" t="inlineStr">
        <is>
          <t>Kullanıcı</t>
        </is>
      </c>
      <c r="H7" s="170" t="n">
        <v>46023</v>
      </c>
      <c r="I7" s="170" t="n">
        <v>46244</v>
      </c>
    </row>
    <row r="8" ht="25.5" customHeight="1" s="80">
      <c r="A8" s="167" t="inlineStr">
        <is>
          <t>RaporTarihi</t>
        </is>
      </c>
      <c r="B8" s="171" t="n">
        <v>46242</v>
      </c>
      <c r="C8" s="113" t="inlineStr">
        <is>
          <t>Tarih</t>
        </is>
      </c>
      <c r="D8" s="169" t="n"/>
      <c r="E8" s="169" t="n"/>
      <c r="F8" s="118" t="inlineStr">
        <is>
          <t>Tüm hesapların ve kararın alındığı tarih.</t>
        </is>
      </c>
      <c r="G8" s="113" t="inlineStr">
        <is>
          <t>Kullanıcı</t>
        </is>
      </c>
      <c r="H8" s="170" t="n">
        <v>46023</v>
      </c>
      <c r="I8" s="170" t="n">
        <v>46244</v>
      </c>
    </row>
    <row r="9" ht="25.5" customHeight="1" s="80">
      <c r="A9" s="167" t="inlineStr">
        <is>
          <t>RaporHazirlayan</t>
        </is>
      </c>
      <c r="B9" s="168" t="inlineStr">
        <is>
          <t>Finans Direktörü</t>
        </is>
      </c>
      <c r="C9" s="113" t="inlineStr">
        <is>
          <t>Metin</t>
        </is>
      </c>
      <c r="D9" s="169" t="n"/>
      <c r="E9" s="169" t="n"/>
      <c r="F9" s="118" t="inlineStr">
        <is>
          <t>Raporu hazırlayan kişi/rol.</t>
        </is>
      </c>
      <c r="G9" s="113" t="inlineStr">
        <is>
          <t>Kullanıcı</t>
        </is>
      </c>
      <c r="H9" s="170" t="n">
        <v>46023</v>
      </c>
      <c r="I9" s="170" t="n">
        <v>46244</v>
      </c>
    </row>
    <row r="10" ht="25.5" customHeight="1" s="80">
      <c r="A10" s="167" t="inlineStr">
        <is>
          <t>DosyaSurumu</t>
        </is>
      </c>
      <c r="B10" s="168" t="inlineStr">
        <is>
          <t>1.0.0</t>
        </is>
      </c>
      <c r="C10" s="113" t="inlineStr">
        <is>
          <t>Metin</t>
        </is>
      </c>
      <c r="D10" s="169" t="n"/>
      <c r="E10" s="169" t="n"/>
      <c r="F10" s="118" t="inlineStr">
        <is>
          <t>Ürün sürüm bilgisi; rapor alt bilgisinde görünür.</t>
        </is>
      </c>
      <c r="G10" s="113" t="inlineStr">
        <is>
          <t>Kullanıcı</t>
        </is>
      </c>
      <c r="H10" s="170" t="n">
        <v>46023</v>
      </c>
      <c r="I10" s="170" t="n">
        <v>46244</v>
      </c>
    </row>
    <row r="11" ht="25.5" customHeight="1" s="80">
      <c r="A11" s="167" t="inlineStr">
        <is>
          <t>KdvIadeEsik</t>
        </is>
      </c>
      <c r="B11" s="172" t="n">
        <v>1500000</v>
      </c>
      <c r="C11" s="113" t="inlineStr">
        <is>
          <t>TL</t>
        </is>
      </c>
      <c r="D11" s="169" t="n">
        <v>0</v>
      </c>
      <c r="E11" s="169" t="n">
        <v>10000000000</v>
      </c>
      <c r="F11" s="118" t="inlineStr">
        <is>
          <t>Azami iade tutarı eşiği; üzerinde karar İNCELE olur.</t>
        </is>
      </c>
      <c r="G11" s="113" t="inlineStr">
        <is>
          <t>Varsayım</t>
        </is>
      </c>
      <c r="H11" s="170" t="n">
        <v>46023</v>
      </c>
      <c r="I11" s="170" t="n">
        <v>46244</v>
      </c>
    </row>
    <row r="12" ht="25.5" customHeight="1" s="80">
      <c r="A12" s="167" t="inlineStr">
        <is>
          <t>KdvMatrahEsik</t>
        </is>
      </c>
      <c r="B12" s="172" t="n">
        <v>50000000</v>
      </c>
      <c r="C12" s="113" t="inlineStr">
        <is>
          <t>TL</t>
        </is>
      </c>
      <c r="D12" s="169" t="n">
        <v>0</v>
      </c>
      <c r="E12" s="169" t="n">
        <v>10000000000</v>
      </c>
      <c r="F12" s="118" t="inlineStr">
        <is>
          <t>Toplam belge matrahı eşiği; üzerinde karar İNCELE olur.</t>
        </is>
      </c>
      <c r="G12" s="113" t="inlineStr">
        <is>
          <t>Varsayım</t>
        </is>
      </c>
      <c r="H12" s="170" t="n">
        <v>46023</v>
      </c>
      <c r="I12" s="170" t="n">
        <v>46244</v>
      </c>
    </row>
    <row r="13" ht="25.5" customHeight="1" s="80">
      <c r="A13" s="167" t="inlineStr">
        <is>
          <t>KdvKullanimEsik</t>
        </is>
      </c>
      <c r="B13" s="173" t="n">
        <v>0.5</v>
      </c>
      <c r="C13" s="113" t="inlineStr">
        <is>
          <t>Oran</t>
        </is>
      </c>
      <c r="D13" s="169" t="n">
        <v>0</v>
      </c>
      <c r="E13" s="169" t="n">
        <v>1</v>
      </c>
      <c r="F13" s="118" t="inlineStr">
        <is>
          <t>İade kullanım oranı risk eşiği; üzerinde kontrol uyarır.</t>
        </is>
      </c>
      <c r="G13" s="113" t="inlineStr">
        <is>
          <t>Varsayım</t>
        </is>
      </c>
      <c r="H13" s="170" t="n">
        <v>46023</v>
      </c>
      <c r="I13" s="170" t="n">
        <v>46244</v>
      </c>
    </row>
    <row r="14" ht="25.5" customHeight="1" s="80">
      <c r="A14" s="167" t="inlineStr">
        <is>
          <t>KdvIyiSenaryo</t>
        </is>
      </c>
      <c r="B14" s="173" t="n">
        <v>1.1</v>
      </c>
      <c r="C14" s="113" t="inlineStr">
        <is>
          <t>Oran</t>
        </is>
      </c>
      <c r="D14" s="169" t="n">
        <v>0.5</v>
      </c>
      <c r="E14" s="169" t="n">
        <v>2</v>
      </c>
      <c r="F14" s="118" t="inlineStr">
        <is>
          <t>İyimser senaryoda azami iade bu çarpanla hesaplanır.</t>
        </is>
      </c>
      <c r="G14" s="113" t="inlineStr">
        <is>
          <t>Varsayım</t>
        </is>
      </c>
      <c r="H14" s="170" t="n">
        <v>46023</v>
      </c>
      <c r="I14" s="170" t="n">
        <v>46244</v>
      </c>
    </row>
    <row r="15" ht="25.5" customHeight="1" s="80">
      <c r="A15" s="167" t="inlineStr">
        <is>
          <t>KdvBazSenaryo</t>
        </is>
      </c>
      <c r="B15" s="173" t="n">
        <v>1</v>
      </c>
      <c r="C15" s="113" t="inlineStr">
        <is>
          <t>Oran</t>
        </is>
      </c>
      <c r="D15" s="169" t="n">
        <v>0.5</v>
      </c>
      <c r="E15" s="169" t="n">
        <v>2</v>
      </c>
      <c r="F15" s="118" t="inlineStr">
        <is>
          <t>Baz senaryoda azami iade bu çarpanla hesaplanır.</t>
        </is>
      </c>
      <c r="G15" s="113" t="inlineStr">
        <is>
          <t>Varsayım</t>
        </is>
      </c>
      <c r="H15" s="170" t="n">
        <v>46023</v>
      </c>
      <c r="I15" s="170" t="n">
        <v>46244</v>
      </c>
    </row>
    <row r="16" ht="25.5" customHeight="1" s="80">
      <c r="A16" s="167" t="inlineStr">
        <is>
          <t>KdvKotuSenaryo</t>
        </is>
      </c>
      <c r="B16" s="173" t="n">
        <v>0.9</v>
      </c>
      <c r="C16" s="113" t="inlineStr">
        <is>
          <t>Oran</t>
        </is>
      </c>
      <c r="D16" s="169" t="n">
        <v>0.5</v>
      </c>
      <c r="E16" s="169" t="n">
        <v>2</v>
      </c>
      <c r="F16" s="118" t="inlineStr">
        <is>
          <t>Kötümser senaryoda azami iade bu çarpanla hesaplanır.</t>
        </is>
      </c>
      <c r="G16" s="113" t="inlineStr">
        <is>
          <t>Varsayım</t>
        </is>
      </c>
      <c r="H16" s="170" t="n">
        <v>46023</v>
      </c>
      <c r="I16" s="170" t="n">
        <v>46244</v>
      </c>
    </row>
    <row r="17" ht="25.5" customHeight="1" s="80">
      <c r="A17" s="167" t="inlineStr">
        <is>
          <t>KdvTornadoDevreden</t>
        </is>
      </c>
      <c r="B17" s="173" t="n">
        <v>0.01</v>
      </c>
      <c r="C17" s="113" t="inlineStr">
        <is>
          <t>Oran</t>
        </is>
      </c>
      <c r="D17" s="169" t="n">
        <v>0</v>
      </c>
      <c r="E17" s="169" t="n">
        <v>0.2</v>
      </c>
      <c r="F17" s="118" t="inlineStr">
        <is>
          <t>Devreden KDV'nin %1 artışının azami iadeye etkisi.</t>
        </is>
      </c>
      <c r="G17" s="113" t="inlineStr">
        <is>
          <t>Varsayım</t>
        </is>
      </c>
      <c r="H17" s="170" t="n">
        <v>46023</v>
      </c>
      <c r="I17" s="170" t="n">
        <v>46244</v>
      </c>
    </row>
    <row r="18" ht="25.5" customHeight="1" s="80">
      <c r="A18" s="167" t="inlineStr">
        <is>
          <t>KdvTornadoIhracat</t>
        </is>
      </c>
      <c r="B18" s="173" t="n">
        <v>0.01</v>
      </c>
      <c r="C18" s="113" t="inlineStr">
        <is>
          <t>Oran</t>
        </is>
      </c>
      <c r="D18" s="169" t="n">
        <v>0</v>
      </c>
      <c r="E18" s="169" t="n">
        <v>0.2</v>
      </c>
      <c r="F18" s="118" t="inlineStr">
        <is>
          <t>İhracatın %1 artışının azami iadeye etkisi.</t>
        </is>
      </c>
      <c r="G18" s="113" t="inlineStr">
        <is>
          <t>Varsayım</t>
        </is>
      </c>
      <c r="H18" s="170" t="n">
        <v>46023</v>
      </c>
      <c r="I18" s="170" t="n">
        <v>46244</v>
      </c>
    </row>
    <row r="19" ht="25.5" customHeight="1" s="80">
      <c r="A19" s="167" t="inlineStr">
        <is>
          <t>KdvTahminCarpan</t>
        </is>
      </c>
      <c r="B19" s="173" t="n">
        <v>1.645</v>
      </c>
      <c r="C19" s="113" t="inlineStr">
        <is>
          <t>Oran</t>
        </is>
      </c>
      <c r="D19" s="169" t="n">
        <v>0</v>
      </c>
      <c r="E19" s="169" t="n">
        <v>3</v>
      </c>
      <c r="F19" s="118" t="inlineStr">
        <is>
          <t>Tahmin bandı genişliği (standart sapma katı).</t>
        </is>
      </c>
      <c r="G19" s="113" t="inlineStr">
        <is>
          <t>Varsayım</t>
        </is>
      </c>
      <c r="H19" s="170" t="n">
        <v>46023</v>
      </c>
      <c r="I19" s="170" t="n">
        <v>46244</v>
      </c>
    </row>
    <row r="20" ht="25.5" customHeight="1" s="80">
      <c r="A20" s="167" t="inlineStr">
        <is>
          <t>KdvKaliteIyi</t>
        </is>
      </c>
      <c r="B20" s="174" t="n">
        <v>90</v>
      </c>
      <c r="C20" s="113" t="inlineStr">
        <is>
          <t>Skor</t>
        </is>
      </c>
      <c r="D20" s="169" t="n">
        <v>0</v>
      </c>
      <c r="E20" s="169" t="n">
        <v>100</v>
      </c>
      <c r="F20" s="118" t="inlineStr">
        <is>
          <t>Kalite skoru bu eşiğin üzerindeyse YÜKSEK kalite.</t>
        </is>
      </c>
      <c r="G20" s="113" t="inlineStr">
        <is>
          <t>Varsayım</t>
        </is>
      </c>
      <c r="H20" s="170" t="n">
        <v>46023</v>
      </c>
      <c r="I20" s="170" t="n">
        <v>46244</v>
      </c>
    </row>
    <row r="21" ht="25.5" customHeight="1" s="80">
      <c r="A21" s="167" t="inlineStr">
        <is>
          <t>KdvKaliteOrta</t>
        </is>
      </c>
      <c r="B21" s="174" t="n">
        <v>70</v>
      </c>
      <c r="C21" s="113" t="inlineStr">
        <is>
          <t>Skor</t>
        </is>
      </c>
      <c r="D21" s="169" t="n">
        <v>0</v>
      </c>
      <c r="E21" s="169" t="n">
        <v>100</v>
      </c>
      <c r="F21" s="118" t="inlineStr">
        <is>
          <t>Kalite skoru bu eşiğin üzerindeyse ORTA kalite.</t>
        </is>
      </c>
      <c r="G21" s="113" t="inlineStr">
        <is>
          <t>Varsayım</t>
        </is>
      </c>
      <c r="H21" s="170" t="n">
        <v>46023</v>
      </c>
      <c r="I21" s="170" t="n">
        <v>46244</v>
      </c>
    </row>
    <row r="22" ht="25.5" customHeight="1" s="80">
      <c r="A22" s="167" t="inlineStr">
        <is>
          <t>KdvAksiyon1_ACIKLAMA</t>
        </is>
      </c>
      <c r="B22" s="175" t="inlineStr">
        <is>
          <t>Eksik belgeler varsa iade süreci başlatılmadan satıcıdan fatura ve irsaliye tamamlanmalı.</t>
        </is>
      </c>
      <c r="C22" s="113" t="inlineStr">
        <is>
          <t>Metin</t>
        </is>
      </c>
      <c r="D22" s="169" t="n"/>
      <c r="E22" s="169" t="n"/>
      <c r="F22" s="118" t="inlineStr">
        <is>
          <t>İNCELE kararında gösterilen ilk öneri.</t>
        </is>
      </c>
      <c r="G22" s="113" t="inlineStr">
        <is>
          <t>Varsayım</t>
        </is>
      </c>
      <c r="H22" s="170" t="n">
        <v>46023</v>
      </c>
      <c r="I22" s="170" t="n">
        <v>46244</v>
      </c>
    </row>
    <row r="23" ht="25.5" customHeight="1" s="80">
      <c r="A23" s="167" t="inlineStr">
        <is>
          <t>KdvAksiyon2_ACIKLAMA</t>
        </is>
      </c>
      <c r="B23" s="175" t="inlineStr">
        <is>
          <t>Azami iade eşiği aşılıyorsa iade dosyasını mali müşavirle birlikte kapsamlı hazırlayın.</t>
        </is>
      </c>
      <c r="C23" s="113" t="inlineStr">
        <is>
          <t>Metin</t>
        </is>
      </c>
      <c r="D23" s="169" t="n"/>
      <c r="E23" s="169" t="n"/>
      <c r="F23" s="118" t="inlineStr">
        <is>
          <t>İNCELE kararında gösterilen ikinci öneri.</t>
        </is>
      </c>
      <c r="G23" s="113" t="inlineStr">
        <is>
          <t>Varsayım</t>
        </is>
      </c>
      <c r="H23" s="170" t="n">
        <v>46023</v>
      </c>
      <c r="I23" s="170" t="n">
        <v>46244</v>
      </c>
    </row>
    <row r="24" ht="25.5" customHeight="1" s="80">
      <c r="A24" s="167" t="inlineStr">
        <is>
          <t>KdvAksiyon3_ACIKLAMA</t>
        </is>
      </c>
      <c r="B24" s="175" t="inlineStr">
        <is>
          <t>İade kullanım oranı yüksekse ihracat belgelerinin eksiksiz ve teyit edilebilir olduğunu doğrulayın.</t>
        </is>
      </c>
      <c r="C24" s="113" t="inlineStr">
        <is>
          <t>Metin</t>
        </is>
      </c>
      <c r="D24" s="169" t="n"/>
      <c r="E24" s="169" t="n"/>
      <c r="F24" s="118" t="inlineStr">
        <is>
          <t>İNCELE kararında gösterilen üçüncü öneri.</t>
        </is>
      </c>
      <c r="G24" s="113" t="inlineStr">
        <is>
          <t>Varsayım</t>
        </is>
      </c>
      <c r="H24" s="170" t="n">
        <v>46023</v>
      </c>
      <c r="I24" s="170" t="n">
        <v>46244</v>
      </c>
    </row>
    <row r="25" ht="25.5" customHeight="1" s="80">
      <c r="A25" s="167" t="inlineStr">
        <is>
          <t>KdvP90Oran</t>
        </is>
      </c>
      <c r="B25" s="173" t="n">
        <v>0.9</v>
      </c>
      <c r="C25" s="113" t="inlineStr">
        <is>
          <t>Oran</t>
        </is>
      </c>
      <c r="D25" s="169" t="n">
        <v>0.5</v>
      </c>
      <c r="E25" s="169" t="n">
        <v>1</v>
      </c>
      <c r="F25" s="118" t="inlineStr">
        <is>
          <t>Matrah dağılımında üst yüzdelik dilimin oranı.</t>
        </is>
      </c>
      <c r="G25" s="113" t="inlineStr">
        <is>
          <t>Varsayım</t>
        </is>
      </c>
      <c r="H25" s="170" t="n">
        <v>46023</v>
      </c>
      <c r="I25" s="170" t="n">
        <v>46244</v>
      </c>
    </row>
    <row r="26" ht="25.5" customHeight="1" s="80">
      <c r="A26" s="176" t="inlineStr">
        <is>
          <t>KdvPanelSatir1</t>
        </is>
      </c>
      <c r="B26" s="177" t="n">
        <v>1</v>
      </c>
      <c r="C26" s="113" t="inlineStr">
        <is>
          <t>Satır</t>
        </is>
      </c>
      <c r="F26" s="118" t="inlineStr">
        <is>
          <t>PANO'daki aylık matrah grafiği serisinin tablodaki veri satırı (1. veri).</t>
        </is>
      </c>
      <c r="G26" s="113" t="inlineStr">
        <is>
          <t>Kullanıcı</t>
        </is>
      </c>
      <c r="H26" s="170" t="n">
        <v>46023</v>
      </c>
      <c r="I26" s="170" t="n">
        <v>46244</v>
      </c>
    </row>
    <row r="27" ht="25.5" customHeight="1" s="80">
      <c r="A27" s="176" t="inlineStr">
        <is>
          <t>KdvPanelSatir2</t>
        </is>
      </c>
      <c r="B27" s="177" t="n">
        <v>2</v>
      </c>
      <c r="C27" s="113" t="inlineStr">
        <is>
          <t>Satır</t>
        </is>
      </c>
      <c r="F27" s="118" t="inlineStr">
        <is>
          <t>PANO'daki aylık matrah grafiği serisinin tablodaki veri satırı (2. veri).</t>
        </is>
      </c>
      <c r="G27" s="113" t="inlineStr">
        <is>
          <t>Kullanıcı</t>
        </is>
      </c>
      <c r="H27" s="170" t="n">
        <v>46023</v>
      </c>
      <c r="I27" s="170" t="n">
        <v>46244</v>
      </c>
    </row>
    <row r="28" ht="25.5" customHeight="1" s="80">
      <c r="A28" s="176" t="inlineStr">
        <is>
          <t>KdvPanelSatir3</t>
        </is>
      </c>
      <c r="B28" s="177" t="n">
        <v>3</v>
      </c>
      <c r="C28" s="113" t="inlineStr">
        <is>
          <t>Satır</t>
        </is>
      </c>
      <c r="F28" s="118" t="inlineStr">
        <is>
          <t>PANO'daki aylık matrah grafiği serisinin tablodaki veri satırı (3. veri).</t>
        </is>
      </c>
      <c r="G28" s="113" t="inlineStr">
        <is>
          <t>Kullanıcı</t>
        </is>
      </c>
      <c r="H28" s="170" t="n">
        <v>46023</v>
      </c>
      <c r="I28" s="170" t="n">
        <v>46244</v>
      </c>
    </row>
    <row r="29" ht="25.5" customHeight="1" s="80">
      <c r="A29" s="176" t="inlineStr">
        <is>
          <t>KdvPanelSatir4</t>
        </is>
      </c>
      <c r="B29" s="177" t="n">
        <v>4</v>
      </c>
      <c r="C29" s="113" t="inlineStr">
        <is>
          <t>Satır</t>
        </is>
      </c>
      <c r="F29" s="118" t="inlineStr">
        <is>
          <t>PANO'daki aylık matrah grafiği serisinin tablodaki veri satırı (4. veri).</t>
        </is>
      </c>
      <c r="G29" s="113" t="inlineStr">
        <is>
          <t>Kullanıcı</t>
        </is>
      </c>
      <c r="H29" s="170" t="n">
        <v>46023</v>
      </c>
      <c r="I29" s="170" t="n">
        <v>46244</v>
      </c>
    </row>
    <row r="30" ht="25.5" customHeight="1" s="80">
      <c r="A30" s="176" t="inlineStr">
        <is>
          <t>KdvPanelSatir5</t>
        </is>
      </c>
      <c r="B30" s="177" t="n">
        <v>5</v>
      </c>
      <c r="C30" s="113" t="inlineStr">
        <is>
          <t>Satır</t>
        </is>
      </c>
      <c r="F30" s="118" t="inlineStr">
        <is>
          <t>PANO'daki aylık matrah grafiği serisinin tablodaki veri satırı (5. veri).</t>
        </is>
      </c>
      <c r="G30" s="113" t="inlineStr">
        <is>
          <t>Kullanıcı</t>
        </is>
      </c>
      <c r="H30" s="170" t="n">
        <v>46023</v>
      </c>
      <c r="I30" s="170" t="n">
        <v>46244</v>
      </c>
    </row>
    <row r="31" ht="25.5" customHeight="1" s="80">
      <c r="A31" s="176" t="inlineStr">
        <is>
          <t>KdvPanelSatir6</t>
        </is>
      </c>
      <c r="B31" s="177" t="n">
        <v>6</v>
      </c>
      <c r="C31" s="113" t="inlineStr">
        <is>
          <t>Satır</t>
        </is>
      </c>
      <c r="F31" s="118" t="inlineStr">
        <is>
          <t>PANO'daki aylık matrah grafiği serisinin tablodaki veri satırı (6. veri).</t>
        </is>
      </c>
      <c r="G31" s="113" t="inlineStr">
        <is>
          <t>Kullanıcı</t>
        </is>
      </c>
      <c r="H31" s="170" t="n">
        <v>46023</v>
      </c>
      <c r="I31" s="170" t="n">
        <v>46244</v>
      </c>
    </row>
    <row r="32" ht="25.5" customHeight="1" s="80">
      <c r="A32" s="176" t="inlineStr">
        <is>
          <t>KdvPanelSatir7</t>
        </is>
      </c>
      <c r="B32" s="177" t="n">
        <v>7</v>
      </c>
      <c r="C32" s="113" t="inlineStr">
        <is>
          <t>Satır</t>
        </is>
      </c>
      <c r="F32" s="118" t="inlineStr">
        <is>
          <t>PANO'daki aylık matrah grafiği serisinin tablodaki veri satırı (7. veri).</t>
        </is>
      </c>
      <c r="G32" s="113" t="inlineStr">
        <is>
          <t>Kullanıcı</t>
        </is>
      </c>
      <c r="H32" s="170" t="n">
        <v>46023</v>
      </c>
      <c r="I32" s="170" t="n">
        <v>46244</v>
      </c>
    </row>
    <row r="33" ht="25.5" customHeight="1" s="80">
      <c r="A33" s="176" t="inlineStr">
        <is>
          <t>KdvPanelSatir8</t>
        </is>
      </c>
      <c r="B33" s="177" t="n">
        <v>8</v>
      </c>
      <c r="C33" s="113" t="inlineStr">
        <is>
          <t>Satır</t>
        </is>
      </c>
      <c r="F33" s="118" t="inlineStr">
        <is>
          <t>PANO'daki aylık matrah grafiği serisinin tablodaki veri satırı (8. veri).</t>
        </is>
      </c>
      <c r="G33" s="113" t="inlineStr">
        <is>
          <t>Kullanıcı</t>
        </is>
      </c>
      <c r="H33" s="170" t="n">
        <v>46023</v>
      </c>
      <c r="I33" s="170" t="n">
        <v>46244</v>
      </c>
    </row>
    <row r="34" ht="25.5" customHeight="1" s="80">
      <c r="A34" s="176" t="inlineStr">
        <is>
          <t>KdvPanelSatir9</t>
        </is>
      </c>
      <c r="B34" s="177" t="n">
        <v>9</v>
      </c>
      <c r="C34" s="113" t="inlineStr">
        <is>
          <t>Satır</t>
        </is>
      </c>
      <c r="F34" s="118" t="inlineStr">
        <is>
          <t>PANO'daki aylık matrah grafiği serisinin tablodaki veri satırı (9. veri).</t>
        </is>
      </c>
      <c r="G34" s="113" t="inlineStr">
        <is>
          <t>Kullanıcı</t>
        </is>
      </c>
      <c r="H34" s="170" t="n">
        <v>46023</v>
      </c>
      <c r="I34" s="170" t="n">
        <v>46244</v>
      </c>
    </row>
    <row r="35" ht="25.5" customHeight="1" s="80">
      <c r="A35" s="176" t="inlineStr">
        <is>
          <t>KdvPanelSatir10</t>
        </is>
      </c>
      <c r="B35" s="177" t="n">
        <v>10</v>
      </c>
      <c r="C35" s="113" t="inlineStr">
        <is>
          <t>Satır</t>
        </is>
      </c>
      <c r="F35" s="118" t="inlineStr">
        <is>
          <t>PANO'daki aylık matrah grafiği serisinin tablodaki veri satırı (10. veri).</t>
        </is>
      </c>
      <c r="G35" s="113" t="inlineStr">
        <is>
          <t>Kullanıcı</t>
        </is>
      </c>
      <c r="H35" s="170" t="n">
        <v>46023</v>
      </c>
      <c r="I35" s="170" t="n">
        <v>46244</v>
      </c>
    </row>
    <row r="36" ht="25.5" customHeight="1" s="80">
      <c r="A36" s="176" t="inlineStr">
        <is>
          <t>KdvPanelSatir11</t>
        </is>
      </c>
      <c r="B36" s="177" t="n">
        <v>11</v>
      </c>
      <c r="C36" s="113" t="inlineStr">
        <is>
          <t>Satır</t>
        </is>
      </c>
      <c r="F36" s="118" t="inlineStr">
        <is>
          <t>PANO'daki aylık matrah grafiği serisinin tablodaki veri satırı (11. veri).</t>
        </is>
      </c>
      <c r="G36" s="113" t="inlineStr">
        <is>
          <t>Kullanıcı</t>
        </is>
      </c>
      <c r="H36" s="170" t="n">
        <v>46023</v>
      </c>
      <c r="I36" s="170" t="n">
        <v>46244</v>
      </c>
    </row>
    <row r="37" ht="25.5" customHeight="1" s="80">
      <c r="A37" s="176" t="inlineStr">
        <is>
          <t>KdvPanelSatir12</t>
        </is>
      </c>
      <c r="B37" s="177" t="n">
        <v>12</v>
      </c>
      <c r="C37" s="113" t="inlineStr">
        <is>
          <t>Satır</t>
        </is>
      </c>
      <c r="F37" s="118" t="inlineStr">
        <is>
          <t>PANO'daki aylık matrah grafiği serisinin tablodaki veri satırı (12. veri).</t>
        </is>
      </c>
      <c r="G37" s="113" t="inlineStr">
        <is>
          <t>Kullanıcı</t>
        </is>
      </c>
      <c r="H37" s="170" t="n">
        <v>46023</v>
      </c>
      <c r="I37" s="170" t="n">
        <v>46244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12">
    <dataValidation sqref="B11" showDropDown="0" showInputMessage="0" showErrorMessage="1" allowBlank="0" errorTitle="Değer aralık dışı" error="Azami iade tutarı eşiği; üzerinde karar İNCELE olur." promptTitle="KdvIadeEsik" prompt="Azami iade tutarı eşiği; üzerinde karar İNCELE olur." type="decimal" errorStyle="stop" operator="between">
      <formula1>0</formula1>
      <formula2>10000000000</formula2>
    </dataValidation>
    <dataValidation sqref="B12" showDropDown="0" showInputMessage="0" showErrorMessage="1" allowBlank="0" errorTitle="Değer aralık dışı" error="Toplam belge matrahı eşiği; üzerinde karar İNCELE olur." promptTitle="KdvMatrahEsik" prompt="Toplam belge matrahı eşiği; üzerinde karar İNCELE olur." type="decimal" errorStyle="stop" operator="between">
      <formula1>0</formula1>
      <formula2>10000000000</formula2>
    </dataValidation>
    <dataValidation sqref="B13" showDropDown="0" showInputMessage="0" showErrorMessage="1" allowBlank="0" errorTitle="Değer aralık dışı" error="İade kullanım oranı risk eşiği; üzerinde kontrol uyarır." promptTitle="KdvKullanimEsik" prompt="İade kullanım oranı risk eşiği; üzerinde kontrol uyarır." type="decimal" errorStyle="stop" operator="between">
      <formula1>0</formula1>
      <formula2>1</formula2>
    </dataValidation>
    <dataValidation sqref="B14" showDropDown="0" showInputMessage="0" showErrorMessage="1" allowBlank="0" errorTitle="Değer aralık dışı" error="İyimser senaryoda azami iade bu çarpanla hesaplanır." promptTitle="KdvIyiSenaryo" prompt="İyimser senaryoda azami iade bu çarpanla hesaplanır." type="decimal" errorStyle="stop" operator="between">
      <formula1>0.5</formula1>
      <formula2>2</formula2>
    </dataValidation>
    <dataValidation sqref="B15" showDropDown="0" showInputMessage="0" showErrorMessage="1" allowBlank="0" errorTitle="Değer aralık dışı" error="Baz senaryoda azami iade bu çarpanla hesaplanır." promptTitle="KdvBazSenaryo" prompt="Baz senaryoda azami iade bu çarpanla hesaplanır." type="decimal" errorStyle="stop" operator="between">
      <formula1>0.5</formula1>
      <formula2>2</formula2>
    </dataValidation>
    <dataValidation sqref="B16" showDropDown="0" showInputMessage="0" showErrorMessage="1" allowBlank="0" errorTitle="Değer aralık dışı" error="Kötümser senaryoda azami iade bu çarpanla hesaplanır." promptTitle="KdvKotuSenaryo" prompt="Kötümser senaryoda azami iade bu çarpanla hesaplanır." type="decimal" errorStyle="stop" operator="between">
      <formula1>0.5</formula1>
      <formula2>2</formula2>
    </dataValidation>
    <dataValidation sqref="B17" showDropDown="0" showInputMessage="0" showErrorMessage="1" allowBlank="0" errorTitle="Değer aralık dışı" error="Devreden KDV'nin %1 artışının azami iadeye etkisi." promptTitle="KdvTornadoDevreden" prompt="Devreden KDV'nin %1 artışının azami iadeye etkisi." type="decimal" errorStyle="stop" operator="between">
      <formula1>0</formula1>
      <formula2>0.2</formula2>
    </dataValidation>
    <dataValidation sqref="B18" showDropDown="0" showInputMessage="0" showErrorMessage="1" allowBlank="0" errorTitle="Değer aralık dışı" error="İhracatın %1 artışının azami iadeye etkisi." promptTitle="KdvTornadoIhracat" prompt="İhracatın %1 artışının azami iadeye etkisi." type="decimal" errorStyle="stop" operator="between">
      <formula1>0</formula1>
      <formula2>0.2</formula2>
    </dataValidation>
    <dataValidation sqref="B19" showDropDown="0" showInputMessage="0" showErrorMessage="1" allowBlank="0" errorTitle="Değer aralık dışı" error="Tahmin bandı genişliği (standart sapma katı)." promptTitle="KdvTahminCarpan" prompt="Tahmin bandı genişliği (standart sapma katı)." type="decimal" errorStyle="stop" operator="between">
      <formula1>0</formula1>
      <formula2>3</formula2>
    </dataValidation>
    <dataValidation sqref="B20" showDropDown="0" showInputMessage="0" showErrorMessage="1" allowBlank="0" errorTitle="Değer aralık dışı" error="Kalite skoru bu eşiğin üzerindeyse YÜKSEK kalite." promptTitle="KdvKaliteIyi" prompt="Kalite skoru bu eşiğin üzerindeyse YÜKSEK kalite." type="decimal" errorStyle="stop" operator="between">
      <formula1>0</formula1>
      <formula2>100</formula2>
    </dataValidation>
    <dataValidation sqref="B21" showDropDown="0" showInputMessage="0" showErrorMessage="1" allowBlank="0" errorTitle="Değer aralık dışı" error="Kalite skoru bu eşiğin üzerindeyse ORTA kalite." promptTitle="KdvKaliteOrta" prompt="Kalite skoru bu eşiğin üzerindeyse ORTA kalite." type="decimal" errorStyle="stop" operator="between">
      <formula1>0</formula1>
      <formula2>100</formula2>
    </dataValidation>
    <dataValidation sqref="B25" showDropDown="0" showInputMessage="0" showErrorMessage="1" allowBlank="0" errorTitle="Değer aralık dışı" error="Matrah dağılımında üst yüzdelik dilimin oranı." promptTitle="KdvP90Oran" prompt="Matrah dağılımında üst yüzdelik dilimin oranı." type="decimal" errorStyle="stop" operator="between">
      <formula1>0.5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60" customWidth="1" style="106" min="2" max="2"/>
  </cols>
  <sheetData>
    <row r="1" ht="25.5" customHeight="1" s="80">
      <c r="A1" s="107" t="inlineStr">
        <is>
          <t>KILAVUZ — KDV İadesi Azami Alacak Hesabı &amp; Dosya Hazırlayıcı</t>
        </is>
      </c>
    </row>
    <row r="3" ht="15.75" customHeight="1" s="80">
      <c r="A3" s="114" t="inlineStr">
        <is>
          <t>Kullanım Kılavuzu</t>
        </is>
      </c>
    </row>
    <row r="5" ht="15" customHeight="1" s="80">
      <c r="A5" s="115" t="inlineStr">
        <is>
          <t>Veri girişi</t>
        </is>
      </c>
      <c r="B5" s="111" t="inlineStr">
        <is>
          <t>KDV_BELGELERI sayfasında sarı hücrelere dönem KDV belgelerinizi girin. Belge türünü, KDV oranını ve belge durumunu listeden seçin; matrahı KDV hariç girin.</t>
        </is>
      </c>
    </row>
    <row r="6" ht="15" customHeight="1" s="80">
      <c r="A6" s="115" t="inlineStr">
        <is>
          <t>Hesap katmanı</t>
        </is>
      </c>
      <c r="B6" s="111" t="inlineStr">
        <is>
          <t>HESAP sayfası belge türü bazında matrah, KDV, hesaplanan/indirilecek KDV, devreden KDV ve azami iade alacağını otomatik özetler.</t>
        </is>
      </c>
    </row>
    <row r="7" ht="15" customHeight="1" s="80">
      <c r="A7" s="115" t="inlineStr">
        <is>
          <t>Karar ve rapor</t>
        </is>
      </c>
      <c r="B7" s="111" t="inlineStr">
        <is>
          <t>KARAR sayfası UYGUN/İNCELE/DURDUR kararını üretir; RAPOR yöneticiye sunulabilir.</t>
        </is>
      </c>
    </row>
    <row r="8" ht="15" customHeight="1" s="80">
      <c r="A8" s="115" t="inlineStr">
        <is>
          <t>Ayarlar</t>
        </is>
      </c>
      <c r="B8" s="111" t="inlineStr">
        <is>
          <t>AYARLAR sayfasındaki eşikleri ve senaryo çarpanlarını mali müşavirinize göre güncelleyin.</t>
        </is>
      </c>
    </row>
    <row r="9" ht="15" customHeight="1" s="80">
      <c r="A9" s="115" t="inlineStr">
        <is>
          <t>Koruma</t>
        </is>
      </c>
      <c r="B9" s="111" t="inlineStr">
        <is>
          <t>Tüm sayfalar 1234 şifresiyle korunur; sarı hücreler serbesttir, formül hücreleri kilitlidir.</t>
        </is>
      </c>
    </row>
    <row r="11" ht="24.75" customHeight="1" s="80">
      <c r="A11" s="118" t="inlineStr">
        <is>
          <t>Bu dosya karar destek aracıdır; KDV beyannamesi ve mali müşavir onayı yerine geçmez.</t>
        </is>
      </c>
    </row>
    <row r="13" ht="15" customHeight="1" s="80">
      <c r="A13" s="110" t="inlineStr">
        <is>
          <t>Varsayım İşaretli Parametreler</t>
        </is>
      </c>
    </row>
    <row r="14" ht="41.25" customHeight="1" s="80">
      <c r="A14" s="111" t="inlineStr">
        <is>
          <t>Aşağıdaki eşik ve çarpanlar AYARLAR sayfasında kaynak=Varsayım olarak işaretlidir; mevzuat zorunluluğu yoktur ve işletmeye göre güncellenmelidir.</t>
        </is>
      </c>
      <c r="B14" s="106" t="n"/>
    </row>
    <row r="15" ht="15" customHeight="1" s="80">
      <c r="A15" s="178" t="inlineStr">
        <is>
          <t>• Azami İade Tutarı Eşiği</t>
        </is>
      </c>
    </row>
    <row r="16" ht="15" customHeight="1" s="80">
      <c r="A16" s="178" t="inlineStr">
        <is>
          <t>• Toplam Belge Matrahı Eşiği</t>
        </is>
      </c>
    </row>
    <row r="17" ht="15" customHeight="1" s="80">
      <c r="A17" s="178" t="inlineStr">
        <is>
          <t>• İade Kullanım Oranı Risk Eşiği</t>
        </is>
      </c>
    </row>
    <row r="18" ht="15" customHeight="1" s="80">
      <c r="A18" s="178" t="inlineStr">
        <is>
          <t>• İyimser, Baz ve Kötümser Senaryo Çarpanları</t>
        </is>
      </c>
    </row>
    <row r="19" ht="15" customHeight="1" s="80">
      <c r="A19" s="178" t="inlineStr">
        <is>
          <t>• Tornado Devreden ve İhracat Etkisi Oranları</t>
        </is>
      </c>
    </row>
    <row r="20" ht="15" customHeight="1" s="80">
      <c r="A20" s="178" t="inlineStr">
        <is>
          <t>• Tahmin Çarpanı (standart sapma katı)</t>
        </is>
      </c>
    </row>
    <row r="21" ht="15" customHeight="1" s="80">
      <c r="A21" s="178" t="inlineStr">
        <is>
          <t>• Kalite Skoru İyi ve Orta Eşikleri</t>
        </is>
      </c>
    </row>
    <row r="22" ht="15" customHeight="1" s="80">
      <c r="A22" s="178" t="inlineStr">
        <is>
          <t>• P90 Yüzdelik Oranı</t>
        </is>
      </c>
    </row>
    <row r="23" ht="15" customHeight="1" s="80">
      <c r="A23" s="178" t="inlineStr">
        <is>
          <t>• Aksiyon Önerisi Açıklamaları</t>
        </is>
      </c>
    </row>
    <row r="24" ht="24.75" customHeight="1" s="80">
      <c r="A24" s="118" t="inlineStr">
        <is>
          <t>Bu dosya tamamen çevrimdışı çalışır; verileriniz cihazınızdan çıkmaz. Makro ve dış bağlantı yoktur.</t>
        </is>
      </c>
      <c r="B24" s="106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B5:T5"/>
    <mergeCell ref="B14:T14"/>
    <mergeCell ref="B8:T8"/>
    <mergeCell ref="B9:T9"/>
    <mergeCell ref="B6:T6"/>
    <mergeCell ref="B24:T24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2026-08-10T13:03:10Z</dcterms:created>
  <dcterms:modified xmlns:dcterms="http://purl.org/dc/terms/" xmlns:xsi="http://www.w3.org/2001/XMLSchema-instance" xsi:type="dcterms:W3CDTF">2026-09-25T14:56:24Z</dcterms:modified>
  <cp:revision>0</cp:revision>
</cp:coreProperties>
</file>