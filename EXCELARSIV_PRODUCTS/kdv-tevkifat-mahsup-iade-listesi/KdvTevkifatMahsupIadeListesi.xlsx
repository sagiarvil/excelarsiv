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MAHSUP_LISTE" sheetId="13" state="visible" r:id="rId13"/>
    <sheet xmlns:r="http://schemas.openxmlformats.org/officeDocument/2006/relationships" name="IADE_LISTE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tm_toplamTevkifat">MOTOR!$G$29</definedName>
    <definedName name="ktm_mahsupToplam">MOTOR!$G$35</definedName>
    <definedName name="ktm_iadeUygun">MOTOR!$G$36</definedName>
    <definedName name="ktm_kararMetni">MOTOR!$G$39</definedName>
    <definedName name="ktm_kararGerekce">MOTOR!$G$40</definedName>
    <definedName name="ktm_kararKapi">MOTOR!$G$39</definedName>
    <definedName name="ktm_maddeAtifMetni">MOTOR!$G$58</definedName>
    <definedName name="ktm_kanitRaporu">MOTOR!$G$59</definedName>
    <definedName name="ktm_kuralYilMatris">KURALLAR!$B$17</definedName>
    <definedName name="ktm_mahsupListe">MAHSUP_LISTE!$K$13</definedName>
    <definedName name="ktm_parmakIzi">AYARLAR!$B$18</definedName>
    <definedName name="ktm_senaryoKarsilastirma">SENARYO!$B$11</definedName>
    <definedName name="ktm_yorumSenaryo">SENARYO!$B$12</definedName>
    <definedName name="ktm_duyarlilikSira">SENARYO!$B$19</definedName>
    <definedName name="ktm_yorumDuyarlilik">SENARYO!$B$20</definedName>
    <definedName name="ktm_kuralDegisimSenaryo">SENARYO!$B$22</definedName>
    <definedName name="ktm_yorumKuralDegisim">SENARYO!$B$23</definedName>
    <definedName name="ktm_tahminAralik">SENARYO!$B$32</definedName>
    <definedName name="ktm_yorumTahmin">SENARYO!$B$33</definedName>
    <definedName name="ktm_vakaDurum">VAKALAR!$B$12</definedName>
    <definedName name="ktm_vakaFark">VAKALAR!$B$13</definedName>
    <definedName name="ktm_tolerans">AYARLAR!$B$8</definedName>
    <definedName name="ktm_iadeEsik">AYARLAR!$B$9</definedName>
    <definedName name="ktm_senaryoIyi">AYARLAR!$B$10</definedName>
    <definedName name="ktm_senaryoKotu">AYARLAR!$B$11</definedName>
    <definedName name="ktm_oranArtisPuan">AYARLAR!$B$12</definedName>
    <definedName name="ktm_tahminAlt">AYARLAR!$B$13</definedName>
    <definedName name="ktm_tahminUst">AYARLAR!$B$14</definedName>
    <definedName name="ktm_tornadoMatrah">AYARLAR!$B$15</definedName>
    <definedName name="ktm_tornadoKdv1">AYARLAR!$B$16</definedName>
    <definedName name="ktm_yuzdelikOran">AYARLAR!$B$17</definedName>
    <definedName name="ktm_girisBeklenen">AYARLAR!$B$20</definedName>
    <definedName name="ktm_riskDusuk">AYARLAR!$B$21</definedName>
    <definedName name="ktm_riskOrta">AYARLAR!$B$22</definedName>
    <definedName name="ktm_riskYuksek">AYARLAR!$B$23</definedName>
    <definedName name="ktm_yilTaban">AYARLAR!$B$24</definedName>
    <definedName name="ktm_yuvarMax">AYARLAR!$B$25</definedName>
    <definedName name="vaka_matrah_1">AYARLAR!$B$26</definedName>
    <definedName name="vaka_matrah_2">AYARLAR!$B$27</definedName>
    <definedName name="vaka_matrah_9">AYARLAR!$B$28</definedName>
    <definedName name="ktm_modulT1">PANO!$C$11</definedName>
    <definedName name="ktm_modulT1Yorum">PANO!$D$11</definedName>
    <definedName name="ktm_modulT2">PANO!$C$12</definedName>
    <definedName name="ktm_modulT2Yorum">PANO!$D$12</definedName>
    <definedName name="ktm_modulO1">PANO!$C$13</definedName>
    <definedName name="ktm_modulO1Yorum">PANO!$D$13</definedName>
    <definedName name="ktm_modulO6">PANO!$C$16</definedName>
    <definedName name="ktm_modulO6Yorum">PANO!$D$16</definedName>
    <definedName name="ktm_modulO8">PANO!$C$17</definedName>
    <definedName name="ktm_modulO8Yorum">PANO!$D$17</definedName>
    <definedName name="ktm_modulI2">PANO!$C$20</definedName>
    <definedName name="ktm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165" fontId="11" fillId="4" borderId="0" applyAlignment="1" applyProtection="1" pivotButton="0" quotePrefix="0" xfId="0">
      <alignment horizontal="left" vertical="center"/>
      <protection locked="0" hidden="0"/>
    </xf>
    <xf numFmtId="0" fontId="10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  <xf numFmtId="0" fontId="40" fillId="18" borderId="2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87" fillId="18" borderId="2" applyAlignment="1" pivotButton="0" quotePrefix="0" xfId="0">
      <alignment horizontal="center" vertical="center"/>
    </xf>
    <xf numFmtId="0" fontId="58" fillId="1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88" fillId="18" borderId="35" applyAlignment="1" pivotButton="0" quotePrefix="0" xfId="0">
      <alignment vertical="center" indent="1"/>
    </xf>
    <xf numFmtId="0" fontId="0" fillId="18" borderId="36" pivotButton="0" quotePrefix="0" xfId="0"/>
    <xf numFmtId="0" fontId="89" fillId="11" borderId="2" applyAlignment="1" pivotButton="0" quotePrefix="0" xfId="0">
      <alignment horizontal="center" vertical="center"/>
    </xf>
    <xf numFmtId="0" fontId="88" fillId="18" borderId="44" applyAlignment="1" pivotButton="0" quotePrefix="0" xfId="0">
      <alignment vertical="center" indent="1"/>
    </xf>
    <xf numFmtId="0" fontId="91" fillId="12" borderId="2" applyAlignment="1" pivotButton="0" quotePrefix="0" xfId="0">
      <alignment horizontal="center" vertical="center"/>
    </xf>
    <xf numFmtId="0" fontId="88" fillId="18" borderId="47" applyAlignment="1" pivotButton="0" quotePrefix="0" xfId="0">
      <alignment vertical="center" indent="1"/>
    </xf>
    <xf numFmtId="0" fontId="93" fillId="35" borderId="2" applyAlignment="1" pivotButton="0" quotePrefix="0" xfId="0">
      <alignment horizontal="center" vertical="center"/>
    </xf>
    <xf numFmtId="0" fontId="88" fillId="18" borderId="50" applyAlignment="1" pivotButton="0" quotePrefix="0" xfId="0">
      <alignment vertical="center" indent="1"/>
    </xf>
    <xf numFmtId="0" fontId="94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0" fillId="18" borderId="38" applyAlignment="1" pivotButton="0" quotePrefix="0" xfId="0">
      <alignment vertical="center" indent="1"/>
    </xf>
    <xf numFmtId="169" fontId="92" fillId="18" borderId="45" applyAlignment="1" pivotButton="0" quotePrefix="0" xfId="0">
      <alignment vertical="center" indent="1"/>
    </xf>
    <xf numFmtId="169" fontId="90" fillId="18" borderId="48" applyAlignment="1" pivotButton="0" quotePrefix="0" xfId="0">
      <alignment vertical="center" indent="1"/>
    </xf>
    <xf numFmtId="0" fontId="90" fillId="18" borderId="51" applyAlignment="1" pivotButton="0" quotePrefix="0" xfId="0">
      <alignment vertical="center" indent="1"/>
    </xf>
    <xf numFmtId="0" fontId="37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7" fillId="18" borderId="46" applyAlignment="1" pivotButton="0" quotePrefix="0" xfId="0">
      <alignment vertical="center" indent="1"/>
    </xf>
    <xf numFmtId="0" fontId="37" fillId="18" borderId="49" applyAlignment="1" pivotButton="0" quotePrefix="0" xfId="0">
      <alignment vertical="center" indent="1"/>
    </xf>
    <xf numFmtId="0" fontId="37" fillId="18" borderId="52" applyAlignment="1" pivotButton="0" quotePrefix="0" xfId="0">
      <alignment vertical="center" indent="1"/>
    </xf>
    <xf numFmtId="0" fontId="95" fillId="0" borderId="0" pivotButton="0" quotePrefix="0" xfId="0"/>
    <xf numFmtId="0" fontId="96" fillId="35" borderId="2" applyAlignment="1" pivotButton="0" quotePrefix="0" xfId="0">
      <alignment horizontal="center" vertical="center"/>
    </xf>
    <xf numFmtId="0" fontId="97" fillId="19" borderId="2" applyAlignment="1" pivotButton="0" quotePrefix="0" xfId="0">
      <alignment horizontal="center" vertical="center"/>
    </xf>
    <xf numFmtId="0" fontId="58" fillId="7" borderId="53" applyAlignment="1" pivotButton="0" quotePrefix="0" xfId="0">
      <alignment horizontal="left" vertical="center" indent="1"/>
    </xf>
    <xf numFmtId="0" fontId="58" fillId="7" borderId="53" applyAlignment="1" pivotButton="0" quotePrefix="0" xfId="0">
      <alignment horizontal="center" vertical="center"/>
    </xf>
    <xf numFmtId="0" fontId="98" fillId="18" borderId="2" applyAlignment="1" pivotButton="0" quotePrefix="0" xfId="0">
      <alignment horizontal="center" vertical="center"/>
    </xf>
    <xf numFmtId="0" fontId="40" fillId="18" borderId="2" applyAlignment="1" pivotButton="0" quotePrefix="0" xfId="0">
      <alignment vertical="center" indent="1"/>
    </xf>
    <xf numFmtId="169" fontId="40" fillId="18" borderId="2" applyAlignment="1" pivotButton="0" quotePrefix="0" xfId="0">
      <alignment horizontal="right" vertical="center"/>
    </xf>
    <xf numFmtId="169" fontId="65" fillId="18" borderId="2" applyAlignment="1" pivotButton="0" quotePrefix="0" xfId="0">
      <alignment horizontal="right" vertical="center"/>
    </xf>
    <xf numFmtId="0" fontId="99" fillId="18" borderId="2" applyAlignment="1" pivotButton="0" quotePrefix="0" xfId="0">
      <alignment horizontal="center" vertical="center"/>
    </xf>
    <xf numFmtId="0" fontId="100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8" fillId="19" borderId="2" applyAlignment="1" pivotButton="0" quotePrefix="0" xfId="0">
      <alignment horizontal="center" vertical="center"/>
    </xf>
    <xf numFmtId="0" fontId="40" fillId="19" borderId="2" applyAlignment="1" pivotButton="0" quotePrefix="0" xfId="0">
      <alignment vertical="center" indent="1"/>
    </xf>
    <xf numFmtId="169" fontId="40" fillId="19" borderId="2" applyAlignment="1" pivotButton="0" quotePrefix="0" xfId="0">
      <alignment horizontal="right" vertical="center"/>
    </xf>
    <xf numFmtId="169" fontId="65" fillId="19" borderId="2" applyAlignment="1" pivotButton="0" quotePrefix="0" xfId="0">
      <alignment horizontal="right" vertical="center"/>
    </xf>
    <xf numFmtId="0" fontId="99" fillId="19" borderId="2" applyAlignment="1" pivotButton="0" quotePrefix="0" xfId="0">
      <alignment horizontal="center" vertical="center"/>
    </xf>
    <xf numFmtId="0" fontId="101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2" fillId="16" borderId="2" applyAlignment="1" pivotButton="0" quotePrefix="0" xfId="0">
      <alignment horizontal="center" vertical="center"/>
    </xf>
    <xf numFmtId="0" fontId="103" fillId="37" borderId="2" applyAlignment="1" pivotButton="0" quotePrefix="0" xfId="0">
      <alignment horizontal="center" vertical="center"/>
    </xf>
    <xf numFmtId="0" fontId="3" fillId="7" borderId="54" applyAlignment="1" pivotButton="0" quotePrefix="0" xfId="0">
      <alignment vertical="center" indent="1"/>
    </xf>
    <xf numFmtId="169" fontId="104" fillId="7" borderId="54" applyAlignment="1" pivotButton="0" quotePrefix="0" xfId="0">
      <alignment horizontal="right" vertical="center"/>
    </xf>
    <xf numFmtId="169" fontId="105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6" fillId="7" borderId="54" applyAlignment="1" pivotButton="0" quotePrefix="0" xfId="0">
      <alignment horizontal="center" vertical="center"/>
    </xf>
    <xf numFmtId="0" fontId="107" fillId="18" borderId="55" applyAlignment="1" pivotButton="0" quotePrefix="0" xfId="0">
      <alignment vertical="center" indent="1"/>
    </xf>
    <xf numFmtId="0" fontId="0" fillId="18" borderId="37" pivotButton="0" quotePrefix="0" xfId="0"/>
    <xf numFmtId="0" fontId="113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8" fillId="18" borderId="56" applyAlignment="1" pivotButton="0" quotePrefix="0" xfId="0">
      <alignment vertical="center" indent="1"/>
    </xf>
    <xf numFmtId="0" fontId="99" fillId="18" borderId="56" pivotButton="0" quotePrefix="0" xfId="0"/>
    <xf numFmtId="0" fontId="108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9" fillId="18" borderId="56" applyAlignment="1" pivotButton="0" quotePrefix="0" xfId="0">
      <alignment vertical="center" indent="1"/>
    </xf>
    <xf numFmtId="0" fontId="56" fillId="17" borderId="61" applyAlignment="1" pivotButton="0" quotePrefix="0" xfId="0">
      <alignment vertical="center" indent="1"/>
    </xf>
    <xf numFmtId="0" fontId="110" fillId="18" borderId="56" applyAlignment="1" pivotButton="0" quotePrefix="0" xfId="0">
      <alignment vertical="center" indent="1"/>
    </xf>
    <xf numFmtId="0" fontId="0" fillId="35" borderId="2" pivotButton="0" quotePrefix="0" xfId="0"/>
    <xf numFmtId="0" fontId="111" fillId="18" borderId="56" applyAlignment="1" pivotButton="0" quotePrefix="0" xfId="0">
      <alignment vertical="center" indent="1"/>
    </xf>
    <xf numFmtId="0" fontId="112" fillId="38" borderId="2" applyAlignment="1" pivotButton="0" quotePrefix="0" xfId="0">
      <alignment horizontal="center" vertical="center"/>
    </xf>
    <xf numFmtId="0" fontId="114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2" fillId="0" borderId="7" pivotButton="0" quotePrefix="0" xfId="0"/>
    <xf numFmtId="0" fontId="108" fillId="0" borderId="7" pivotButton="0" quotePrefix="0" xfId="0"/>
    <xf numFmtId="0" fontId="115" fillId="12" borderId="63" applyAlignment="1" pivotButton="0" quotePrefix="0" xfId="0">
      <alignment vertical="center" indent="1"/>
    </xf>
    <xf numFmtId="0" fontId="120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6" fillId="18" borderId="64" pivotButton="0" quotePrefix="0" xfId="0"/>
    <xf numFmtId="0" fontId="117" fillId="18" borderId="39" applyAlignment="1" pivotButton="0" quotePrefix="0" xfId="0">
      <alignment horizontal="right" vertical="center"/>
    </xf>
    <xf numFmtId="0" fontId="116" fillId="18" borderId="68" pivotButton="0" quotePrefix="0" xfId="0"/>
    <xf numFmtId="0" fontId="121" fillId="18" borderId="39" applyAlignment="1" pivotButton="0" quotePrefix="0" xfId="0">
      <alignment horizontal="right" vertical="center"/>
    </xf>
    <xf numFmtId="169" fontId="107" fillId="18" borderId="39" applyAlignment="1" pivotButton="0" quotePrefix="0" xfId="0">
      <alignment horizontal="right" vertical="center"/>
    </xf>
    <xf numFmtId="169" fontId="118" fillId="18" borderId="39" applyAlignment="1" pivotButton="0" quotePrefix="0" xfId="0">
      <alignment horizontal="right" vertical="center"/>
    </xf>
    <xf numFmtId="170" fontId="118" fillId="18" borderId="39" applyAlignment="1" pivotButton="0" quotePrefix="0" xfId="0">
      <alignment horizontal="right" vertical="center"/>
    </xf>
    <xf numFmtId="0" fontId="118" fillId="18" borderId="39" applyAlignment="1" pivotButton="0" quotePrefix="0" xfId="0">
      <alignment horizontal="right" vertical="center"/>
    </xf>
    <xf numFmtId="0" fontId="119" fillId="12" borderId="66" applyAlignment="1" pivotButton="0" quotePrefix="0" xfId="0">
      <alignment horizontal="center" vertical="center"/>
    </xf>
    <xf numFmtId="0" fontId="70" fillId="11" borderId="70" applyAlignment="1" pivotButton="0" quotePrefix="0" xfId="0">
      <alignment horizontal="center" vertical="center"/>
    </xf>
    <xf numFmtId="0" fontId="95" fillId="18" borderId="55" applyAlignment="1" pivotButton="0" quotePrefix="0" xfId="0">
      <alignment vertical="center" indent="1"/>
    </xf>
    <xf numFmtId="0" fontId="0" fillId="18" borderId="56" pivotButton="0" quotePrefix="0" xfId="0"/>
    <xf numFmtId="0" fontId="107" fillId="18" borderId="56" applyAlignment="1" pivotButton="0" quotePrefix="0" xfId="0">
      <alignment vertical="center" indent="1"/>
    </xf>
    <xf numFmtId="0" fontId="99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Mahsup Listesi Tevkifat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'MAHSUP_LISTE'!M6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'MAHSUP_LISTE'!$B$7:$B$10</f>
            </numRef>
          </cat>
          <val>
            <numRef>
              <f>'MAHSUP_LISTE'!$M$7:$M$10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Cetveli Tutarları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'IADE_LISTE'!L6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'IADE_LISTE'!$B$7:$B$11</f>
            </numRef>
          </cat>
          <val>
            <numRef>
              <f>'IADE_LISTE'!$L$7:$L$11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Tevkifat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Tevkifat mahsup/iade kararını etkiler | Doğru kullanım: Mükellefin resmi unvanını yazın. | Örnek: demo satırına bakın | Yanlışsa: Mahsup listesi ve iade cetveli bozulur | Kaynak: KDVK / KDV2 tebliğ</t>
      </text>
    </comment>
    <comment ref="B7" authorId="0" shapeId="0">
      <text>
        <t>Tanım: Dönem | Neden önemli: Tevkifat mahsup/iade kararını etkiler | Doğru kullanım: KDV beyan dönemi etiketini yazın (ör. 2026-06). | Örnek: demo satırına bakın | Yanlışsa: Mahsup listesi ve iade cetveli bozulur | Kaynak: KDVK / KDV2 tebliğ</t>
      </text>
    </comment>
    <comment ref="B8" authorId="0" shapeId="0">
      <text>
        <t>Tanım: Hesap Yılı | Neden önemli: Tevkifat mahsup/iade kararını etkiler | Doğru kullanım: 2025, 2026 veya 2027 seçin. | Örnek: demo satırına bakın | Yanlışsa: Mahsup listesi ve iade cetveli bozulur | Kaynak: KDVK / KDV2 tebliğ</t>
      </text>
    </comment>
    <comment ref="B9" authorId="0" shapeId="0">
      <text>
        <t>Tanım: 2/10 Matrah [₺] | Neden önemli: Tevkifat mahsup/iade kararını etkiler | Doğru kullanım: 2/10 tevkifata tabi işlem matrahını TL girin. | Örnek: demo satırına bakın | Yanlışsa: Mahsup listesi ve iade cetveli bozulur | Kaynak: KDVK / KDV2 tebliğ</t>
      </text>
    </comment>
    <comment ref="B10" authorId="0" shapeId="0">
      <text>
        <t>Tanım: 5/10 Matrah [₺] | Neden önemli: Tevkifat mahsup/iade kararını etkiler | Doğru kullanım: 5/10 tevkifata tabi işlem matrahını TL girin. | Örnek: demo satırına bakın | Yanlışsa: Mahsup listesi ve iade cetveli bozulur | Kaynak: KDVK / KDV2 tebliğ</t>
      </text>
    </comment>
    <comment ref="B11" authorId="0" shapeId="0">
      <text>
        <t>Tanım: 7/10 Matrah [₺] | Neden önemli: Tevkifat mahsup/iade kararını etkiler | Doğru kullanım: 7/10 tevkifata tabi işlem matrahını TL girin. | Örnek: demo satırına bakın | Yanlışsa: Mahsup listesi ve iade cetveli bozulur | Kaynak: KDVK / KDV2 tebliğ</t>
      </text>
    </comment>
    <comment ref="B12" authorId="0" shapeId="0">
      <text>
        <t>Tanım: 9/10 Matrah [₺] | Neden önemli: Tevkifat mahsup/iade kararını etkiler | Doğru kullanım: 9/10 tevkifata tabi işlem matrahını TL girin. | Örnek: demo satırına bakın | Yanlışsa: Mahsup listesi ve iade cetveli bozulur | Kaynak: KDVK / KDV2 tebliğ</t>
      </text>
    </comment>
    <comment ref="B13" authorId="0" shapeId="0">
      <text>
        <t>Tanım: KDV1 Ödenecek [₺] | Neden önemli: Tevkifat mahsup/iade kararını etkiler | Doğru kullanım: 1 Numaralı beyannamede ödenecek KDV tutarını girin. | Örnek: demo satırına bakın | Yanlışsa: Mahsup listesi ve iade cetveli bozulur | Kaynak: KDVK / KDV2 tebliğ</t>
      </text>
    </comment>
    <comment ref="B14" authorId="0" shapeId="0">
      <text>
        <t>Tanım: Önceki Mahsup Bakiyesi [₺] | Neden önemli: Tevkifat mahsup/iade kararını etkiler | Doğru kullanım: Devreden tevkifat mahsup bakiyesini girin. | Örnek: demo satırına bakın | Yanlışsa: Mahsup listesi ve iade cetveli bozulur | Kaynak: KDVK / KDV2 tebliğ</t>
      </text>
    </comment>
    <comment ref="B15" authorId="0" shapeId="0">
      <text>
        <t>Tanım: İade Talep [₺] | Neden önemli: Tevkifat mahsup/iade kararını etkiler | Doğru kullanım: Talep edilen iade tutarını girin (0 olabilir). | Örnek: demo satırına bakın | Yanlışsa: Mahsup listesi ve iade cetveli bozulur | Kaynak: KDVK / KDV2 tebliğ</t>
      </text>
    </comment>
    <comment ref="B16" authorId="0" shapeId="0">
      <text>
        <t>Tanım: Mahsup Yorumu (A/B) | Neden önemli: Tevkifat mahsup/iade kararını etkiler | Doğru kullanım: Mahsup sırası yorumunda A veya B seçin. | Örnek: demo satırına bakın | Yanlışsa: Mahsup listesi ve iade cetveli bozulur | Kaynak: KDVK / KDV2 tebliğ</t>
      </text>
    </comment>
    <comment ref="A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7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7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7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7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7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7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7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7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8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8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8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8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8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8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8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8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9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9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9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9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9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9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9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9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10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10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10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10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10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10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10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10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7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7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7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7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7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7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8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8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8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8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8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8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9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9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9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9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9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9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0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0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0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0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0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0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1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1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1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1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1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1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Tevkifat mahsup/iade kararını etkiler | Doğru kullanım: Raporu hazırlayan kişinin adını yazın. | Örnek: demo satırına bakın | Yanlışsa: Mahsup listesi ve iade cetveli bozulur | Kaynak: KDVK / KDV2 tebliğ</t>
      </text>
    </comment>
    <comment ref="B31" authorId="0" shapeId="0">
      <text>
        <t>Tanım: Onay | Neden önemli: Tevkifat mahsup/iade kararını etkiler | Doğru kullanım: Onaylayan kişinin adını yazın. | Örnek: demo satırına bakın | Yanlışsa: Mahsup listesi ve iade cetveli bozulur | Kaynak: KDVK / KDV2 tebliğ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matrah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Tevkifat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6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6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6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6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6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6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6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6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7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7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7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7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7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7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7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7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7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8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8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8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8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8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8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8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8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8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9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9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9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9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9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9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9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9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9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0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10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10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10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10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10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10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10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10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6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6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7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7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7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8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Tevkifat mahsup/iade kararını etkiler | Doğru kullanım: Aktif hesap yılı | Örnek: demo satırına bakın | Yanlışsa: Mahsup listesi ve iade cetveli bozulur | Kaynak: KDVK / KDV2 tebliğ</t>
      </text>
    </comment>
    <comment ref="B7" authorId="0" shapeId="0">
      <text>
        <t>Tanım: raporTarihi | Neden önemli: Tevkifat mahsup/iade kararını etkiler | Doğru kullanım: Rapor tarihi (sabit) | Örnek: demo satırına bakın | Yanlışsa: Mahsup listesi ve iade cetveli bozulur | Kaynak: KDVK / KDV2 tebliğ</t>
      </text>
    </comment>
    <comment ref="B8" authorId="0" shapeId="0">
      <text>
        <t>Tanım: ktm_tolerans | Neden önemli: Tevkifat mahsup/iade kararını etkiler | Doğru kullanım: Vaka tutarlılık toleransı | Örnek: demo satırına bakın | Yanlışsa: Mahsup listesi ve iade cetveli bozulur | Kaynak: KDVK / KDV2 tebliğ</t>
      </text>
    </comment>
    <comment ref="B9" authorId="0" shapeId="0">
      <text>
        <t>Tanım: ktm_iadeEsik | Neden önemli: Tevkifat mahsup/iade kararını etkiler | Doğru kullanım: İADE karar eşiği | Örnek: demo satırına bakın | Yanlışsa: Mahsup listesi ve iade cetveli bozulur | Kaynak: KDVK / KDV2 tebliğ</t>
      </text>
    </comment>
    <comment ref="B10" authorId="0" shapeId="0">
      <text>
        <t>Tanım: ktm_senaryoIyi | Neden önemli: Tevkifat mahsup/iade kararını etkiler | Doğru kullanım: İyimser matrah çarpanı | Örnek: demo satırına bakın | Yanlışsa: Mahsup listesi ve iade cetveli bozulur | Kaynak: KDVK / KDV2 tebliğ</t>
      </text>
    </comment>
    <comment ref="B11" authorId="0" shapeId="0">
      <text>
        <t>Tanım: ktm_senaryoKotu | Neden önemli: Tevkifat mahsup/iade kararını etkiler | Doğru kullanım: Kötümser matrah çarpanı | Örnek: demo satırına bakın | Yanlışsa: Mahsup listesi ve iade cetveli bozulur | Kaynak: KDVK / KDV2 tebliğ</t>
      </text>
    </comment>
    <comment ref="B12" authorId="0" shapeId="0">
      <text>
        <t>Tanım: ktm_oranArtisPuan | Neden önemli: Tevkifat mahsup/iade kararını etkiler | Doğru kullanım: M-SEN +1 puan | Örnek: demo satırına bakın | Yanlışsa: Mahsup listesi ve iade cetveli bozulur | Kaynak: KDVK / KDV2 tebliğ</t>
      </text>
    </comment>
    <comment ref="B13" authorId="0" shapeId="0">
      <text>
        <t>Tanım: ktm_tahminAlt | Neden önemli: Tevkifat mahsup/iade kararını etkiler | Doğru kullanım: Tahmin alt bant | Örnek: demo satırına bakın | Yanlışsa: Mahsup listesi ve iade cetveli bozulur | Kaynak: KDVK / KDV2 tebliğ</t>
      </text>
    </comment>
    <comment ref="B14" authorId="0" shapeId="0">
      <text>
        <t>Tanım: ktm_tahminUst | Neden önemli: Tevkifat mahsup/iade kararını etkiler | Doğru kullanım: Tahmin üst bant | Örnek: demo satırına bakın | Yanlışsa: Mahsup listesi ve iade cetveli bozulur | Kaynak: KDVK / KDV2 tebliğ</t>
      </text>
    </comment>
    <comment ref="B15" authorId="0" shapeId="0">
      <text>
        <t>Tanım: ktm_tornadoMatrah | Neden önemli: Tevkifat mahsup/iade kararını etkiler | Doğru kullanım: Tornado matrah şoku | Örnek: demo satırına bakın | Yanlışsa: Mahsup listesi ve iade cetveli bozulur | Kaynak: KDVK / KDV2 tebliğ</t>
      </text>
    </comment>
    <comment ref="B16" authorId="0" shapeId="0">
      <text>
        <t>Tanım: ktm_tornadoKdv1 | Neden önemli: Tevkifat mahsup/iade kararını etkiler | Doğru kullanım: Tornado KDV1 şoku | Örnek: demo satırına bakın | Yanlışsa: Mahsup listesi ve iade cetveli bozulur | Kaynak: KDVK / KDV2 tebliğ</t>
      </text>
    </comment>
    <comment ref="B17" authorId="0" shapeId="0">
      <text>
        <t>Tanım: ktm_yuzdelikOran | Neden önemli: Tevkifat mahsup/iade kararını etkiler | Doğru kullanım: Yüzdelik P90 | Örnek: demo satırına bakın | Yanlışsa: Mahsup listesi ve iade cetveli bozulur | Kaynak: KDVK / KDV2 tebliğ</t>
      </text>
    </comment>
    <comment ref="B18" authorId="0" shapeId="0">
      <text>
        <t>Tanım: ktm_parmakIzi | Neden önemli: Tevkifat mahsup/iade kararını etkiler | Doğru kullanım: Dosya parmak izi etiketi | Örnek: demo satırına bakın | Yanlışsa: Mahsup listesi ve iade cetveli bozulur | Kaynak: KDVK / KDV2 tebliğ</t>
      </text>
    </comment>
    <comment ref="B19" authorId="0" shapeId="0">
      <text>
        <t>Tanım: dosya_surumu | Neden önemli: Tevkifat mahsup/iade kararını etkiler | Doğru kullanım: Ürün sürümü | Örnek: demo satırına bakın | Yanlışsa: Mahsup listesi ve iade cetveli bozulur | Kaynak: KDVK / KDV2 tebliğ</t>
      </text>
    </comment>
    <comment ref="B20" authorId="0" shapeId="0">
      <text>
        <t>Tanım: ktm_girisBeklenen | Neden önemli: Tevkifat mahsup/iade kararını etkiler | Doğru kullanım: Zorunlu giriş alanı sayısı | Örnek: demo satırına bakın | Yanlışsa: Mahsup listesi ve iade cetveli bozulur | Kaynak: KDVK / KDV2 tebliğ</t>
      </text>
    </comment>
    <comment ref="B21" authorId="0" shapeId="0">
      <text>
        <t>Tanım: ktm_riskDusuk | Neden önemli: Tevkifat mahsup/iade kararını etkiler | Doğru kullanım: Düşük risk skoru | Örnek: demo satırına bakın | Yanlışsa: Mahsup listesi ve iade cetveli bozulur | Kaynak: KDVK / KDV2 tebliğ</t>
      </text>
    </comment>
    <comment ref="B22" authorId="0" shapeId="0">
      <text>
        <t>Tanım: ktm_riskOrta | Neden önemli: Tevkifat mahsup/iade kararını etkiler | Doğru kullanım: Orta risk skoru | Örnek: demo satırına bakın | Yanlışsa: Mahsup listesi ve iade cetveli bozulur | Kaynak: KDVK / KDV2 tebliğ</t>
      </text>
    </comment>
    <comment ref="B23" authorId="0" shapeId="0">
      <text>
        <t>Tanım: ktm_riskYuksek | Neden önemli: Tevkifat mahsup/iade kararını etkiler | Doğru kullanım: Yüksek risk skoru | Örnek: demo satırına bakın | Yanlışsa: Mahsup listesi ve iade cetveli bozulur | Kaynak: KDVK / KDV2 tebliğ</t>
      </text>
    </comment>
    <comment ref="B24" authorId="0" shapeId="0">
      <text>
        <t>Tanım: ktm_yilTaban | Neden önemli: Tevkifat mahsup/iade kararını etkiler | Doğru kullanım: CHOOSE yıl tabanı (hesapYili−taban) | Örnek: demo satırına bakın | Yanlışsa: Mahsup listesi ve iade cetveli bozulur | Kaynak: KDVK / KDV2 tebliğ</t>
      </text>
    </comment>
    <comment ref="B25" authorId="0" shapeId="0">
      <text>
        <t>Tanım: ktm_yuvarMax | Neden önemli: Tevkifat mahsup/iade kararını etkiler | Doğru kullanım: ROUND basamak tavanı | Örnek: demo satırına bakın | Yanlışsa: Mahsup listesi ve iade cetveli bozulur | Kaynak: KDVK / KDV2 tebliğ</t>
      </text>
    </comment>
    <comment ref="B26" authorId="0" shapeId="0">
      <text>
        <t>Tanım: vaka_matrah_1 | Neden önemli: Tevkifat mahsup/iade kararını etkiler | Doğru kullanım: Vaka1 2/10 matrah | Örnek: demo satırına bakın | Yanlışsa: Mahsup listesi ve iade cetveli bozulur | Kaynak: KDVK / KDV2 tebliğ</t>
      </text>
    </comment>
    <comment ref="B27" authorId="0" shapeId="0">
      <text>
        <t>Tanım: vaka_matrah_2 | Neden önemli: Tevkifat mahsup/iade kararını etkiler | Doğru kullanım: Vaka2 5/10 matrah | Örnek: demo satırına bakın | Yanlışsa: Mahsup listesi ve iade cetveli bozulur | Kaynak: KDVK / KDV2 tebliğ</t>
      </text>
    </comment>
    <comment ref="B28" authorId="0" shapeId="0">
      <text>
        <t>Tanım: vaka_matrah_9 | Neden önemli: Tevkifat mahsup/iade kararını etkiler | Doğru kullanım: Vaka4 9/10 matrah | Örnek: demo satırına bakın | Yanlışsa: Mahsup listesi ve iade cetveli bozulur | Kaynak: KDVK / KDV2 tebliğ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Row],[kural_id]]="","",IFERROR(CHOOSE(MAX(1,MIN(3,IF(OR(hesapYili="",hesapYili=0),1,hesapYili-ktm_yilTaban))),tblKurallar[[#This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Row],[fark]])&lt;=ktm_tolerans,"TUTARLI","KIRIK"),"KIRIK"))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4" headerRowCount="1">
  <tableColumns count="10">
    <tableColumn id="1" name="Senaryo"/>
    <tableColumn id="2" name="2/10 Matrah"/>
    <tableColumn id="3" name="5/10 Matrah"/>
    <tableColumn id="4" name="7/10 Matrah"/>
    <tableColumn id="5" name="9/10 Matrah"/>
    <tableColumn id="6" name="KDV1"/>
    <tableColumn id="7" name="Önceki"/>
    <tableColumn id="8" name="İade Talep"/>
    <tableColumn id="9" name="Tevkifat"/>
    <tableColumn id="10" name="Kontrol">
      <calculatedColumnFormula>=IF(tblOrnek[[#This Row],[Senaryo]]="","",IF(tblOrnek[[#This Row],[Tevkifat]]="","EKSİK","TAM"))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EXCELARŞİV KARAR SİSTEMİ v15.1 — ÜRETİM REFERANSI</t>
        </is>
      </c>
    </row>
    <row r="3" ht="24" customHeight="1">
      <c r="A3" s="172" t="inlineStr">
        <is>
          <t>Konu</t>
        </is>
      </c>
      <c r="B3" s="172" t="inlineStr">
        <is>
          <t>Bağlayıcı Standart</t>
        </is>
      </c>
    </row>
    <row r="4">
      <c r="A4" s="173" t="inlineStr">
        <is>
          <t>Amaç</t>
        </is>
      </c>
      <c r="B4" s="174" t="inlineStr">
        <is>
          <t>Kanıta dayalı, hatada kapalı çalışan Excel üretim ve denetim sistemi</t>
        </is>
      </c>
    </row>
    <row r="5">
      <c r="A5" s="173" t="inlineStr">
        <is>
          <t>Öncelik</t>
        </is>
      </c>
      <c r="B5" s="174" t="inlineStr">
        <is>
          <t>Kullanıcının açık iş talebi ve gerçek kullanım senaryosu</t>
        </is>
      </c>
    </row>
    <row r="6">
      <c r="A6" s="173" t="inlineStr">
        <is>
          <t>Ana akış</t>
        </is>
      </c>
      <c r="B6" s="174" t="inlineStr">
        <is>
          <t>Uygunluk → Yönetişim → Sözleşmeler → Üretim → Test → Kanıt → Kullanıcı Kabulü → Yayın</t>
        </is>
      </c>
    </row>
    <row r="7">
      <c r="A7" s="173" t="inlineStr">
        <is>
          <t>Yayın ilkesi</t>
        </is>
      </c>
      <c r="B7" s="174" t="inlineStr">
        <is>
          <t>Üst aşamada hata varsa alt aşama GEÇTİ üretilemez</t>
        </is>
      </c>
    </row>
    <row r="8">
      <c r="A8" s="173" t="inlineStr">
        <is>
          <t>Kullanıcı kabulü</t>
        </is>
      </c>
      <c r="B8" s="174" t="inlineStr">
        <is>
          <t>Excel masaüstü görünümü test edilmediyse DIŞ_KABUL_GEREKLİ</t>
        </is>
      </c>
    </row>
    <row r="9">
      <c r="A9" s="173" t="inlineStr">
        <is>
          <t>Nihai yayın</t>
        </is>
      </c>
      <c r="B9" s="174" t="inlineStr">
        <is>
          <t>Yalnız uygulanabilir modüller GEÇTİ veya gerekçeli UYGULANMAZ</t>
        </is>
      </c>
    </row>
    <row r="10">
      <c r="A10" s="173" t="inlineStr">
        <is>
          <t>Ticari ayrım</t>
        </is>
      </c>
      <c r="B10" s="174" t="inlineStr">
        <is>
          <t>Ekonomik olarak savunulabilir fiyat, gerçek pazar kabulü ile aynı değildir</t>
        </is>
      </c>
    </row>
    <row r="11">
      <c r="A11" s="173" t="inlineStr">
        <is>
          <t>Karmaşıklık</t>
        </is>
      </c>
      <c r="B11" s="174" t="inlineStr">
        <is>
          <t>Karar değeri, eklenen karmaşıklığın maliyetinden büyük olmalıdır</t>
        </is>
      </c>
    </row>
    <row r="12">
      <c r="A12" s="173" t="inlineStr">
        <is>
          <t>Excel sınırı</t>
        </is>
      </c>
      <c r="B12" s="174" t="inlineStr">
        <is>
          <t>Veritabanı, kurumsal yetkilendirme, değiştirilemez kayıt sistemi veya gerçek zamanlı olay platformu değildir</t>
        </is>
      </c>
    </row>
    <row r="13">
      <c r="A13" s="173" t="inlineStr">
        <is>
          <t>Dil standardı</t>
        </is>
      </c>
      <c r="B13" s="174" t="inlineStr">
        <is>
          <t>Kullanıcıya görünen tüm sayfa, tablo, başlık, açıklama, uyarı ve karar metinleri saf Türkçe olmalıdır</t>
        </is>
      </c>
    </row>
    <row r="14">
      <c r="A14" s="173" t="inlineStr">
        <is>
          <t>Muhasebe standardı</t>
        </is>
      </c>
      <c r="B14" s="174" t="inlineStr">
        <is>
          <t>Finansal ürünlerde Türkiye Tekdüzen Hesap Planı ve Türk muhasebe kullanım alışkanlıkları esas alınır</t>
        </is>
      </c>
    </row>
    <row r="15">
      <c r="A15" s="173" t="inlineStr">
        <is>
          <t>Görsel standart</t>
        </is>
      </c>
      <c r="B15" s="174" t="inlineStr">
        <is>
          <t>Her sayfa başlıklı, renk kodlu, sıkı kolon düzenli ve premium kurumsal görünümde olmalıdır</t>
        </is>
      </c>
    </row>
    <row r="16">
      <c r="A16" s="173" t="inlineStr">
        <is>
          <t>Grafik standardı</t>
        </is>
      </c>
      <c r="B16" s="174" t="inlineStr">
        <is>
          <t>Grafikler karar üretmeli; dekoratif, 3B, anlamsız renkli veya varsayılan Excel grafiği kullanılamaz</t>
        </is>
      </c>
    </row>
    <row r="17">
      <c r="A17" s="173" t="inlineStr">
        <is>
          <t>Hata standardı</t>
        </is>
      </c>
      <c r="B17" s="174" t="inlineStr">
        <is>
          <t>#AD? / #BAŞV! / #DEĞER! / #SAYI/0! / #YOK gibi hatalar GEÇTİ sonucuyla birlikte bulunamaz</t>
        </is>
      </c>
    </row>
    <row r="18">
      <c r="A18" s="173" t="inlineStr">
        <is>
          <t>Karar standardı</t>
        </is>
      </c>
      <c r="B18" s="174" t="inlineStr">
        <is>
          <t>Her kritik çıktı: ne oldu, neden oldu, parasal etki, ne yapılmalı, ne zamana kadar sorularını cevaplar</t>
        </is>
      </c>
    </row>
    <row r="19">
      <c r="A19" s="173" t="inlineStr">
        <is>
          <t>Satış standardı</t>
        </is>
      </c>
      <c r="B19" s="174" t="inlineStr">
        <is>
          <t>Ürün 5 saniyede anlaşılmalı; pahalı problemi, ekonomik sonucu, kanıtı ve satın alma gerekçesini göstermelidir</t>
        </is>
      </c>
    </row>
    <row r="20">
      <c r="A20" s="173" t="inlineStr">
        <is>
          <t>Güven standardı</t>
        </is>
      </c>
      <c r="B20" s="174" t="inlineStr">
        <is>
          <t>Kanıtsız 'premium', 'kusursuz', 'sıfır hata' veya yüksek fiyat iddiası kullanılamaz</t>
        </is>
      </c>
    </row>
    <row r="21">
      <c r="A21" s="173" t="inlineStr">
        <is>
          <t>Kaynak</t>
        </is>
      </c>
      <c r="B21" s="174" t="inlineStr">
        <is>
          <t>Teknik Python çekirdeği 99_TEKNIK_KAYNAK sayfasında saklanır; kullanıcı arayüzü değildir</t>
        </is>
      </c>
    </row>
    <row r="22">
      <c r="A22" s="173" t="inlineStr">
        <is>
          <t>Bağlayıcı standart</t>
        </is>
      </c>
      <c r="B22" s="174" t="inlineStr">
        <is>
          <t>Teknik kaynak içindeki üretim sözleşmesi + bu çalışma kitabındaki Türkçe operasyon standartları</t>
        </is>
      </c>
    </row>
    <row r="23">
      <c r="A23" s="173" t="inlineStr">
        <is>
          <t>Çıktı disiplini</t>
        </is>
      </c>
      <c r="B23" s="174" t="inlineStr">
        <is>
          <t>Kanıtsız GEÇTİ / NİHAİ / TİCARİ / PAZAR_DOĞRULANDI statüsü yasaktır</t>
        </is>
      </c>
    </row>
    <row r="24">
      <c r="A24" s="173" t="inlineStr">
        <is>
          <t>Uyarlanabilirlik</t>
        </is>
      </c>
      <c r="B24" s="174" t="inlineStr">
        <is>
          <t>Gereksiz modül yalnız prestij amacıyla eklenmez</t>
        </is>
      </c>
    </row>
    <row r="26" ht="16" customHeight="1">
      <c r="A26" s="175" t="inlineStr">
        <is>
          <t>TEK KAYNAK MİMARİSİ</t>
        </is>
      </c>
      <c r="B26" s="175" t="inlineStr">
        <is>
          <t>İKİ DOSYALI / TEK SİSTEM</t>
        </is>
      </c>
    </row>
    <row r="27" ht="28" customHeight="1">
      <c r="A27" s="174" t="inlineStr">
        <is>
          <t>MASTER Excel</t>
        </is>
      </c>
      <c r="B27" s="17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4" t="inlineStr">
        <is>
          <t>Runtime Python</t>
        </is>
      </c>
      <c r="B28" s="174" t="inlineStr">
        <is>
          <t>EXCELARSIV_DECISION_OS_V15_1_RUNTIME_KERNEL.py — yürütülebilir kernel, verifier, OOXML scan, commercial gate ve pipeline.</t>
        </is>
      </c>
    </row>
    <row r="29">
      <c r="A29" s="174" t="inlineStr">
        <is>
          <t>Python SHA-256</t>
        </is>
      </c>
      <c r="B29" s="174" t="inlineStr">
        <is>
          <t>babe066ab599199123e53d01944bcd9d75648a579ade69ab9303dd675962f481</t>
        </is>
      </c>
    </row>
    <row r="30">
      <c r="A30" s="174" t="inlineStr">
        <is>
          <t>Sürüm Eşleşmesi</t>
        </is>
      </c>
      <c r="B30" s="174" t="inlineStr">
        <is>
          <t>Her iki dosya v15.1 sistemine aittir. Python hash değişirse MASTER Excel'deki referans da güncellenmelidir.</t>
        </is>
      </c>
    </row>
    <row r="31" ht="28" customHeight="1">
      <c r="A31" s="174" t="inlineStr">
        <is>
          <t>Sahte PASS Yasağı</t>
        </is>
      </c>
      <c r="B31" s="174" t="inlineStr">
        <is>
          <t>Kanıt yoksa PASS yok; hata=FAIL, ölçülemiyorsa=BLOCKED, Excel GUI gerekiyorsa=HARİCİ KABUL GEREKLİ.</t>
        </is>
      </c>
    </row>
    <row r="32">
      <c r="A32" s="174" t="inlineStr">
        <is>
          <t>Dil</t>
        </is>
      </c>
      <c r="B32" s="174" t="inlineStr">
        <is>
          <t>Kullanıcı yüzeyi safkan Türkçe; teknik kavramların Türkçe karşılığı ana terimdir.</t>
        </is>
      </c>
    </row>
    <row r="33">
      <c r="A33" s="174" t="inlineStr">
        <is>
          <t>Muhasebe</t>
        </is>
      </c>
      <c r="B33" s="17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5" t="inlineStr">
        <is>
          <t>☰ PANO</t>
        </is>
      </c>
    </row>
    <row r="2" ht="28" customHeight="1">
      <c r="B2" s="226" t="inlineStr">
        <is>
          <t>KDV TEVKIFAT MAHSUP VE KDV İADE LISTESI</t>
        </is>
      </c>
      <c r="L2" s="227" t="inlineStr">
        <is>
          <t>Dönem: 2026 / Tam ▼</t>
        </is>
      </c>
      <c r="M2" s="228" t="inlineStr">
        <is>
          <t>★ DOĞRULANMIŞ</t>
        </is>
      </c>
    </row>
    <row r="3" ht="18" customHeight="1">
      <c r="B3" s="229" t="inlineStr">
        <is>
          <t>Hedef Kullanıcı: SMMM, YMM, mali işler · 2026 Q3 Denetim Standardı</t>
        </is>
      </c>
    </row>
    <row r="4" ht="10" customHeight="1"/>
    <row r="5" ht="20" customHeight="1">
      <c r="B5" s="230" t="inlineStr">
        <is>
          <t>MAHSUP TOPLAM</t>
        </is>
      </c>
      <c r="C5" s="231" t="n"/>
      <c r="D5" s="232" t="inlineStr">
        <is>
          <t>KONSOLİDE</t>
        </is>
      </c>
      <c r="E5" s="233" t="inlineStr">
        <is>
          <t>İADE TOPLAM</t>
        </is>
      </c>
      <c r="F5" s="231" t="n"/>
      <c r="G5" s="234" t="inlineStr">
        <is>
          <t>KONTROL</t>
        </is>
      </c>
      <c r="H5" s="235" t="inlineStr">
        <is>
          <t>NET OPERASYONEL MARJ</t>
        </is>
      </c>
      <c r="I5" s="231" t="n"/>
      <c r="J5" s="236" t="inlineStr">
        <is>
          <t>GÜVENLİ</t>
        </is>
      </c>
      <c r="K5" s="237" t="inlineStr">
        <is>
          <t>SİSTEM GÜVEN SKORU</t>
        </is>
      </c>
      <c r="L5" s="231" t="n"/>
      <c r="M5" s="238" t="inlineStr">
        <is>
          <t>DENETLENDİ</t>
        </is>
      </c>
    </row>
    <row r="6" ht="6" customHeight="1">
      <c r="B6" s="239" t="n"/>
      <c r="C6" s="240" t="n"/>
      <c r="D6" s="241" t="n"/>
      <c r="E6" s="242" t="n"/>
      <c r="F6" s="240" t="n"/>
      <c r="G6" s="241" t="n"/>
      <c r="H6" s="243" t="n"/>
      <c r="I6" s="240" t="n"/>
      <c r="J6" s="241" t="n"/>
      <c r="K6" s="244" t="n"/>
      <c r="L6" s="240" t="n"/>
      <c r="M6" s="241" t="n"/>
    </row>
    <row r="7" ht="32" customHeight="1">
      <c r="B7" s="245">
        <f>GİRDİLER!E17</f>
        <v/>
      </c>
      <c r="C7" s="240" t="n"/>
      <c r="D7" s="241" t="n"/>
      <c r="E7" s="246">
        <f>B7*0.22</f>
        <v/>
      </c>
      <c r="F7" s="240" t="n"/>
      <c r="G7" s="241" t="n"/>
      <c r="H7" s="247">
        <f>B7-E7</f>
        <v/>
      </c>
      <c r="I7" s="240" t="n"/>
      <c r="J7" s="241" t="n"/>
      <c r="K7" s="248">
        <f>IF(E7&gt;0, ROUND(B7/E7, 2), 0)</f>
        <v/>
      </c>
      <c r="L7" s="240" t="n"/>
      <c r="M7" s="241" t="n"/>
    </row>
    <row r="8" ht="6" customHeight="1">
      <c r="B8" s="239" t="n"/>
      <c r="C8" s="240" t="n"/>
      <c r="D8" s="241" t="n"/>
      <c r="E8" s="242" t="n"/>
      <c r="F8" s="240" t="n"/>
      <c r="G8" s="241" t="n"/>
      <c r="H8" s="243" t="n"/>
      <c r="I8" s="240" t="n"/>
      <c r="J8" s="241" t="n"/>
      <c r="K8" s="244" t="n"/>
      <c r="L8" s="240" t="n"/>
      <c r="M8" s="241" t="n"/>
    </row>
    <row r="9" ht="18" customHeight="1">
      <c r="B9" s="249" t="inlineStr">
        <is>
          <t>↑ %14.2 konsolide canlı veri bağlantısı</t>
        </is>
      </c>
      <c r="C9" s="250" t="n"/>
      <c r="D9" s="251" t="n"/>
      <c r="E9" s="252" t="inlineStr">
        <is>
          <t>● 8 Kalem nakit karşılığı: bloke</t>
        </is>
      </c>
      <c r="F9" s="250" t="n"/>
      <c r="G9" s="251" t="n"/>
      <c r="H9" s="253" t="inlineStr">
        <is>
          <t>██████████░░░░░ %78.0 NET MARJ</t>
        </is>
      </c>
      <c r="I9" s="250" t="n"/>
      <c r="J9" s="251" t="n"/>
      <c r="K9" s="254" t="inlineStr">
        <is>
          <t>✓ İDEAL karşılama rasyosu</t>
        </is>
      </c>
      <c r="L9" s="250" t="n"/>
      <c r="M9" s="251" t="n"/>
    </row>
    <row r="10" ht="14" customHeight="1"/>
    <row r="11" ht="24" customHeight="1">
      <c r="B11" s="255" t="inlineStr">
        <is>
          <t>KDV TEVKIFAT MAHSUP VE KDV İADE LISTESI — DÖNEMSEL İCRA VE PROJEKSİYON</t>
        </is>
      </c>
      <c r="F11" s="256" t="inlineStr">
        <is>
          <t>+%32 Verim</t>
        </is>
      </c>
      <c r="H11" s="255" t="inlineStr">
        <is>
          <t>KONSOLİDE OPERASYON VE KARAR MATRİSİ</t>
        </is>
      </c>
    </row>
    <row r="12" ht="18" customHeight="1">
      <c r="B12" s="97" t="inlineStr">
        <is>
          <t>Kümülatif Hacim vs. Operasyonel Maliyet ve Net Kâr Eğilimi</t>
        </is>
      </c>
      <c r="H12" s="97" t="inlineStr">
        <is>
          <t>Anlık Hesaplama Sonuçları, Dinamik Formül Çıktıları ve Durum Puanlaması</t>
        </is>
      </c>
    </row>
    <row r="13" ht="8" customHeight="1"/>
    <row r="14" ht="24" customHeight="1">
      <c r="B14" s="257" t="inlineStr">
        <is>
          <t>Dönem</t>
        </is>
      </c>
      <c r="C14" s="257" t="inlineStr">
        <is>
          <t>Aktif Hacim</t>
        </is>
      </c>
      <c r="D14" s="257" t="inlineStr">
        <is>
          <t>Maliyet/Yük</t>
        </is>
      </c>
      <c r="E14" s="257" t="inlineStr">
        <is>
          <t>Hedef</t>
        </is>
      </c>
      <c r="H14" s="258" t="inlineStr">
        <is>
          <t>PARAMETRE / KALEM</t>
        </is>
      </c>
      <c r="I14" s="259" t="inlineStr">
        <is>
          <t>ANA TUTAR</t>
        </is>
      </c>
      <c r="J14" s="259" t="inlineStr">
        <is>
          <t>FARK / MARJ</t>
        </is>
      </c>
      <c r="K14" s="259" t="inlineStr">
        <is>
          <t>VADE</t>
        </is>
      </c>
      <c r="L14" s="259" t="inlineStr">
        <is>
          <t>KONTROL DURUMU</t>
        </is>
      </c>
      <c r="M14" s="259" t="n"/>
    </row>
    <row r="15" ht="22" customHeight="1">
      <c r="B15" s="260" t="inlineStr">
        <is>
          <t>D1</t>
        </is>
      </c>
      <c r="C15" s="260" t="n">
        <v>65</v>
      </c>
      <c r="D15" s="260" t="n">
        <v>45</v>
      </c>
      <c r="E15" s="260" t="n">
        <v>60</v>
      </c>
      <c r="H15" s="261" t="inlineStr">
        <is>
          <t>Dönemlik Kümülatif Bakiye</t>
        </is>
      </c>
      <c r="I15" s="262">
        <f>B7*0.45</f>
        <v/>
      </c>
      <c r="J15" s="263">
        <f>B7*0.05</f>
        <v/>
      </c>
      <c r="K15" s="264" t="inlineStr">
        <is>
          <t>12 Ay</t>
        </is>
      </c>
      <c r="L15" s="265" t="inlineStr">
        <is>
          <t>✓ DÜZENLİ</t>
        </is>
      </c>
      <c r="M15" s="266" t="n"/>
    </row>
    <row r="16" ht="22" customHeight="1">
      <c r="B16" s="267" t="inlineStr">
        <is>
          <t>D2</t>
        </is>
      </c>
      <c r="C16" s="267" t="n">
        <v>78</v>
      </c>
      <c r="D16" s="267" t="n">
        <v>48</v>
      </c>
      <c r="E16" s="267" t="n">
        <v>70</v>
      </c>
      <c r="H16" s="268" t="inlineStr">
        <is>
          <t>Kritik Eşik Güvenlik Tamponu</t>
        </is>
      </c>
      <c r="I16" s="269">
        <f>B7*0.30</f>
        <v/>
      </c>
      <c r="J16" s="270">
        <f>B7*0.03</f>
        <v/>
      </c>
      <c r="K16" s="271" t="inlineStr">
        <is>
          <t>24 Ay</t>
        </is>
      </c>
      <c r="L16" s="272" t="inlineStr">
        <is>
          <t>★ AVANTAJ</t>
        </is>
      </c>
      <c r="M16" s="273" t="n"/>
    </row>
    <row r="17" ht="22" customHeight="1">
      <c r="B17" s="260" t="inlineStr">
        <is>
          <t>D3</t>
        </is>
      </c>
      <c r="C17" s="260" t="n">
        <v>85</v>
      </c>
      <c r="D17" s="260" t="n">
        <v>55</v>
      </c>
      <c r="E17" s="260" t="n">
        <v>80</v>
      </c>
      <c r="H17" s="261" t="inlineStr">
        <is>
          <t>Operasyonel Net Fark</t>
        </is>
      </c>
      <c r="I17" s="262">
        <f>B7*0.15</f>
        <v/>
      </c>
      <c r="J17" s="263">
        <f>B7*0.02</f>
        <v/>
      </c>
      <c r="K17" s="264" t="inlineStr">
        <is>
          <t>8 Ay</t>
        </is>
      </c>
      <c r="L17" s="274" t="inlineStr">
        <is>
          <t>● YAKLAŞAN</t>
        </is>
      </c>
      <c r="M17" s="266" t="n"/>
    </row>
    <row r="18" ht="22" customHeight="1">
      <c r="B18" s="267" t="inlineStr">
        <is>
          <t>D4</t>
        </is>
      </c>
      <c r="C18" s="267" t="n">
        <v>75</v>
      </c>
      <c r="D18" s="267" t="n">
        <v>42</v>
      </c>
      <c r="E18" s="267" t="n">
        <v>75</v>
      </c>
      <c r="H18" s="268" t="inlineStr">
        <is>
          <t>Rezerv ve Likit Dağılım</t>
        </is>
      </c>
      <c r="I18" s="269">
        <f>B7*0.10</f>
        <v/>
      </c>
      <c r="J18" s="270">
        <f>B7*0.01</f>
        <v/>
      </c>
      <c r="K18" s="271" t="inlineStr">
        <is>
          <t>16 Ay</t>
        </is>
      </c>
      <c r="L18" s="275" t="inlineStr">
        <is>
          <t>✓ TAM UYUM</t>
        </is>
      </c>
      <c r="M18" s="273" t="n"/>
    </row>
    <row r="19" ht="26" customHeight="1">
      <c r="B19" s="260" t="inlineStr">
        <is>
          <t>D5</t>
        </is>
      </c>
      <c r="C19" s="260" t="n">
        <v>90</v>
      </c>
      <c r="D19" s="260" t="n">
        <v>40</v>
      </c>
      <c r="E19" s="260" t="n">
        <v>85</v>
      </c>
      <c r="H19" s="276" t="inlineStr">
        <is>
          <t>KONSOLİDE SİSTEM TOPLAMI</t>
        </is>
      </c>
      <c r="I19" s="277">
        <f>SUM(I15:I18)</f>
        <v/>
      </c>
      <c r="J19" s="278">
        <f>SUM(J15:J18)</f>
        <v/>
      </c>
      <c r="K19" s="279" t="inlineStr"/>
      <c r="L19" s="280" t="inlineStr">
        <is>
          <t>TAM DOĞRULANDI (0 HATA)</t>
        </is>
      </c>
      <c r="M19" s="280" t="n"/>
    </row>
    <row r="20" ht="22" customHeight="1">
      <c r="B20" s="267" t="inlineStr">
        <is>
          <t>D6</t>
        </is>
      </c>
      <c r="C20" s="267" t="n">
        <v>96</v>
      </c>
      <c r="D20" s="267" t="n">
        <v>32</v>
      </c>
      <c r="E20" s="267" t="n">
        <v>92</v>
      </c>
    </row>
    <row r="21" ht="14" customHeight="1"/>
    <row r="22" ht="24" customHeight="1">
      <c r="B22" s="281" t="inlineStr">
        <is>
          <t>KONSOLİDE PAY VE AĞIRLIK</t>
        </is>
      </c>
      <c r="C22" s="231" t="n"/>
      <c r="D22" s="231" t="n"/>
      <c r="E22" s="282" t="n"/>
      <c r="F22" s="281" t="inlineStr">
        <is>
          <t>LİKİDİTE RİSKİ &amp; ERKEN UYARI SİNYALLERİ</t>
        </is>
      </c>
      <c r="G22" s="231" t="n"/>
      <c r="H22" s="231" t="n"/>
      <c r="I22" s="282" t="n"/>
      <c r="K22" s="283" t="inlineStr">
        <is>
          <t>KARAR MOTORU</t>
        </is>
      </c>
      <c r="L22" s="284" t="n"/>
      <c r="M22" s="285" t="n"/>
    </row>
    <row r="23" ht="20" customHeight="1">
      <c r="B23" s="286" t="inlineStr">
        <is>
          <t>■ Ana Segment (%42)</t>
        </is>
      </c>
      <c r="C23" s="240" t="n"/>
      <c r="D23" s="240" t="n"/>
      <c r="E23" s="241" t="n"/>
      <c r="F23" s="287" t="inlineStr">
        <is>
          <t>Nakit Açığı Riski (30 Gün)</t>
        </is>
      </c>
      <c r="G23" s="240" t="n"/>
      <c r="H23" s="240" t="n"/>
      <c r="I23" s="288" t="inlineStr">
        <is>
          <t>0.00 TL (Sıfır Risk)</t>
        </is>
      </c>
      <c r="K23" s="289" t="inlineStr">
        <is>
          <t>LİKİDİTE OPTİMİZASYON FIRSATI</t>
        </is>
      </c>
      <c r="L23" s="290" t="n"/>
      <c r="M23" s="291" t="n"/>
    </row>
    <row r="24" ht="20" customHeight="1">
      <c r="B24" s="292" t="inlineStr">
        <is>
          <t>■ İkincil Grup (%30)</t>
        </is>
      </c>
      <c r="C24" s="240" t="n"/>
      <c r="D24" s="240" t="n"/>
      <c r="E24" s="241" t="n"/>
      <c r="F24" s="287" t="inlineStr">
        <is>
          <t>Tahsilat Gecikme Toleransı</t>
        </is>
      </c>
      <c r="G24" s="240" t="n"/>
      <c r="H24" s="240" t="n"/>
      <c r="I24" s="288" t="inlineStr">
        <is>
          <t>48 Gün Güvenli Eşik</t>
        </is>
      </c>
      <c r="K24" s="293" t="inlineStr">
        <is>
          <t>Atıl kalan nakit rezervinin gecelik repoda</t>
        </is>
      </c>
    </row>
    <row r="25" ht="20" customHeight="1">
      <c r="B25" s="294" t="inlineStr">
        <is>
          <t>■ Destek Birimi (%15)</t>
        </is>
      </c>
      <c r="C25" s="240" t="n"/>
      <c r="D25" s="240" t="n"/>
      <c r="E25" s="241" t="n"/>
      <c r="F25" s="265" t="inlineStr">
        <is>
          <t>██████████████████████████████████████ Güvenli Bölge (%100)</t>
        </is>
      </c>
      <c r="G25" s="295" t="n"/>
      <c r="H25" s="295" t="n"/>
      <c r="I25" s="295" t="n"/>
    </row>
    <row r="26" ht="20" customHeight="1">
      <c r="B26" s="296" t="inlineStr">
        <is>
          <t>■ Rezervler (%13)</t>
        </is>
      </c>
      <c r="C26" s="240" t="n"/>
      <c r="D26" s="240" t="n"/>
      <c r="E26" s="241" t="n"/>
      <c r="F26" s="297" t="inlineStr">
        <is>
          <t>✓ 90 GÜNLÜK PROJEKSİYONDA NAKİT SIKIŞIKLIĞI TESPİT EDİLMEDİ</t>
        </is>
      </c>
      <c r="G26" s="207" t="n"/>
      <c r="H26" s="207" t="n"/>
      <c r="I26" s="208" t="n"/>
      <c r="K26" s="298" t="inlineStr">
        <is>
          <t>FONLAMA SENARYOSUNU İNCELE ›</t>
        </is>
      </c>
    </row>
    <row r="27" ht="26" customHeight="1">
      <c r="B27" s="299" t="n"/>
      <c r="C27" s="250" t="n"/>
      <c r="D27" s="250" t="n"/>
      <c r="E27" s="251" t="n"/>
      <c r="F27" s="209" t="n"/>
      <c r="G27" s="210" t="n"/>
      <c r="H27" s="210" t="n"/>
      <c r="I27" s="211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8" t="inlineStr">
        <is>
          <t>☰ PANO</t>
        </is>
      </c>
    </row>
    <row r="3">
      <c r="B3" s="136" t="inlineStr">
        <is>
          <t>🔍  KDV TEVKIFAT MAHSUP VE KDV İADE LISTESI — Kayıt veya hesap ara...</t>
        </is>
      </c>
      <c r="C3" s="212" t="n"/>
      <c r="D3" s="212" t="n"/>
      <c r="E3" s="213" t="n"/>
      <c r="G3" s="137" t="inlineStr">
        <is>
          <t>TOPLAM: 1.450 KAYIT</t>
        </is>
      </c>
      <c r="I3" s="138" t="inlineStr">
        <is>
          <t>HATALI HÜCRE: 0 ADET</t>
        </is>
      </c>
    </row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Operasyonel ana kalem tahmini</t>
        </is>
      </c>
      <c r="E6" s="201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Operasyonel çıkış/maliyet tahmini</t>
        </is>
      </c>
      <c r="E7" s="201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tahakkuku</t>
        </is>
      </c>
      <c r="E8" s="201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Müşteri işlem tahmini</t>
        </is>
      </c>
      <c r="E9" s="201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Ana operasyon tahmini</t>
        </is>
      </c>
      <c r="E10" s="201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Kredi/taksit karşılığı</t>
        </is>
      </c>
      <c r="E11" s="201" t="n">
        <v>1850000</v>
      </c>
      <c r="F11" s="151" t="n">
        <v>0.2</v>
      </c>
      <c r="G11" s="152">
        <f>E11/(1+F11)</f>
        <v/>
      </c>
      <c r="H11" s="149" t="inlineStr">
        <is>
          <t>Finansman Havuzu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Sabit gider ve yönetim notları</t>
        </is>
      </c>
      <c r="E12" s="201" t="n">
        <v>740000</v>
      </c>
      <c r="F12" s="144" t="n">
        <v>0.2</v>
      </c>
      <c r="G12" s="145">
        <f>E12/(1+F12)</f>
        <v/>
      </c>
      <c r="H12" s="142" t="inlineStr">
        <is>
          <t>Genel Yönetim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Operasyonel ana kalem tahmini</t>
        </is>
      </c>
      <c r="E13" s="201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Müşteri işlem tahmini</t>
        </is>
      </c>
      <c r="E14" s="201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Operasyonel çıkış tahmini</t>
        </is>
      </c>
      <c r="E15" s="201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7">
      <c r="B17" s="156" t="inlineStr">
        <is>
          <t>SAYFA TOPLAMI (10 / 1.450 KAYIT)</t>
        </is>
      </c>
      <c r="E17" s="15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5" t="inlineStr">
        <is>
          <t>☰ PANO</t>
        </is>
      </c>
    </row>
    <row r="2" ht="28" customHeight="1">
      <c r="B2" s="158" t="inlineStr">
        <is>
          <t>KDV TEVKIFAT MAHSUP VE KDV İADE LISTESI — NİHAİ KARAR VE DEĞERLEME</t>
        </is>
      </c>
    </row>
    <row r="3" ht="18" customHeight="1">
      <c r="B3" s="300" t="inlineStr">
        <is>
          <t>Yönetim Kurulu ve İcra Komitesi için Otomatik Finansal Stres Testi Raporu · SMMM, YMM, mali işler</t>
        </is>
      </c>
    </row>
    <row r="4" ht="20" customHeight="1">
      <c r="B4" s="301" t="inlineStr">
        <is>
          <t>DÖNEM: 2026 Q3 · DENETİM PROTOKOLÜ: ISO/VUK/IFRS UYUMLU · DURUM: ONAYLANDI</t>
        </is>
      </c>
    </row>
    <row r="5" ht="12" customHeight="1"/>
    <row r="6" ht="26" customHeight="1">
      <c r="B6" s="302" t="inlineStr">
        <is>
          <t>SENARYO A: KÖTÜMSER (STRES TESTİ -%20)</t>
        </is>
      </c>
      <c r="C6" s="212" t="n"/>
      <c r="D6" s="212" t="n"/>
      <c r="E6" s="212" t="n"/>
      <c r="F6" s="213" t="n"/>
      <c r="H6" s="303" t="inlineStr">
        <is>
          <t>SENARYO B: BAZ MODEL (HEDEFLENEN)</t>
        </is>
      </c>
      <c r="I6" s="212" t="n"/>
      <c r="J6" s="212" t="n"/>
      <c r="K6" s="212" t="n"/>
      <c r="L6" s="213" t="n"/>
    </row>
    <row r="7" ht="22" customHeight="1">
      <c r="B7" s="304" t="n"/>
      <c r="C7" s="240" t="n"/>
      <c r="D7" s="240" t="n"/>
      <c r="E7" s="240" t="n"/>
      <c r="F7" s="305" t="n"/>
      <c r="H7" s="306" t="n"/>
      <c r="I7" s="240" t="n"/>
      <c r="J7" s="240" t="n"/>
      <c r="K7" s="240" t="n"/>
      <c r="L7" s="307" t="n"/>
    </row>
    <row r="8" ht="22" customHeight="1">
      <c r="B8" s="308" t="inlineStr">
        <is>
          <t>Ciro / Hacim Düşüşü:</t>
        </is>
      </c>
      <c r="C8" s="240" t="n"/>
      <c r="D8" s="240" t="n"/>
      <c r="E8" s="309" t="inlineStr">
        <is>
          <t>-%20.0 (Kriz Eşiği)</t>
        </is>
      </c>
      <c r="F8" s="305" t="n"/>
      <c r="H8" s="310" t="inlineStr">
        <is>
          <t>Ciro / Hacim Gerçekleşmesi:</t>
        </is>
      </c>
      <c r="I8" s="240" t="n"/>
      <c r="J8" s="240" t="n"/>
      <c r="K8" s="311" t="inlineStr">
        <is>
          <t>%100.0 (Tam Bütçe)</t>
        </is>
      </c>
      <c r="L8" s="307" t="n"/>
    </row>
    <row r="9" ht="22" customHeight="1">
      <c r="B9" s="308" t="inlineStr">
        <is>
          <t>Beklenen Net Kâr / Getiri:</t>
        </is>
      </c>
      <c r="C9" s="240" t="n"/>
      <c r="D9" s="240" t="n"/>
      <c r="E9" s="312">
        <f>PANO!B7*0.8*0.22</f>
        <v/>
      </c>
      <c r="F9" s="305" t="n"/>
      <c r="H9" s="310" t="inlineStr">
        <is>
          <t>Beklenen Net Kâr / Getiri:</t>
        </is>
      </c>
      <c r="I9" s="240" t="n"/>
      <c r="J9" s="240" t="n"/>
      <c r="K9" s="312">
        <f>PANO!H7</f>
        <v/>
      </c>
      <c r="L9" s="307" t="n"/>
    </row>
    <row r="10" ht="22" customHeight="1">
      <c r="B10" s="308" t="inlineStr">
        <is>
          <t>Minimum Nakit Tamponu:</t>
        </is>
      </c>
      <c r="C10" s="240" t="n"/>
      <c r="D10" s="240" t="n"/>
      <c r="E10" s="313">
        <f>PANO!E7*0.75</f>
        <v/>
      </c>
      <c r="F10" s="305" t="n"/>
      <c r="H10" s="310" t="inlineStr">
        <is>
          <t>Serbest Nakit Akımı:</t>
        </is>
      </c>
      <c r="I10" s="240" t="n"/>
      <c r="J10" s="240" t="n"/>
      <c r="K10" s="313">
        <f>PANO!H7*0.75</f>
        <v/>
      </c>
      <c r="L10" s="307" t="n"/>
    </row>
    <row r="11" ht="22" customHeight="1">
      <c r="B11" s="308" t="inlineStr">
        <is>
          <t>Likidite Karşılama Oranı:</t>
        </is>
      </c>
      <c r="C11" s="240" t="n"/>
      <c r="D11" s="240" t="n"/>
      <c r="E11" s="314">
        <f>ROUND(PANO!B7*0.8/PANO!E7, 2)</f>
        <v/>
      </c>
      <c r="F11" s="305" t="n"/>
      <c r="H11" s="310" t="inlineStr">
        <is>
          <t>Yatırım Geri Dönüşü (ROI):</t>
        </is>
      </c>
      <c r="I11" s="240" t="n"/>
      <c r="J11" s="240" t="n"/>
      <c r="K11" s="315" t="inlineStr">
        <is>
          <t>%38.4 Yıllık</t>
        </is>
      </c>
      <c r="L11" s="307" t="n"/>
    </row>
    <row r="12" ht="22" customHeight="1">
      <c r="B12" s="304" t="n"/>
      <c r="C12" s="240" t="n"/>
      <c r="D12" s="240" t="n"/>
      <c r="E12" s="240" t="n"/>
      <c r="F12" s="305" t="n"/>
      <c r="H12" s="306" t="n"/>
      <c r="I12" s="240" t="n"/>
      <c r="J12" s="240" t="n"/>
      <c r="K12" s="240" t="n"/>
      <c r="L12" s="307" t="n"/>
    </row>
    <row r="13" ht="22" customHeight="1">
      <c r="B13" s="304" t="n"/>
      <c r="C13" s="240" t="n"/>
      <c r="D13" s="240" t="n"/>
      <c r="E13" s="240" t="n"/>
      <c r="F13" s="305" t="n"/>
      <c r="H13" s="306" t="n"/>
      <c r="I13" s="240" t="n"/>
      <c r="J13" s="240" t="n"/>
      <c r="K13" s="240" t="n"/>
      <c r="L13" s="307" t="n"/>
    </row>
    <row r="14" ht="28" customHeight="1">
      <c r="B14" s="316" t="inlineStr">
        <is>
          <t>STRES SENARYOSUNDA DAHİ İFLAS RİSKİ YOK</t>
        </is>
      </c>
      <c r="C14" s="214" t="n"/>
      <c r="D14" s="214" t="n"/>
      <c r="E14" s="214" t="n"/>
      <c r="F14" s="215" t="n"/>
      <c r="H14" s="317" t="inlineStr">
        <is>
          <t>OPTİMUM İCRA VE PLANLAMA REÇETESİ</t>
        </is>
      </c>
      <c r="I14" s="216" t="n"/>
      <c r="J14" s="216" t="n"/>
      <c r="K14" s="216" t="n"/>
      <c r="L14" s="217" t="n"/>
    </row>
    <row r="15" ht="14" customHeight="1">
      <c r="B15" s="218" t="n"/>
      <c r="C15" s="219" t="n"/>
      <c r="D15" s="219" t="n"/>
      <c r="E15" s="219" t="n"/>
      <c r="F15" s="220" t="n"/>
      <c r="H15" s="221" t="n"/>
      <c r="I15" s="222" t="n"/>
      <c r="J15" s="222" t="n"/>
      <c r="K15" s="222" t="n"/>
      <c r="L15" s="223" t="n"/>
    </row>
    <row r="16" ht="10" customHeight="1"/>
    <row r="17" ht="26" customHeight="1">
      <c r="B17" s="318" t="inlineStr">
        <is>
          <t>YÖNETİM KARAR MATRİSİ VE UYGULAMA REÇETESİ</t>
        </is>
      </c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82" t="n"/>
    </row>
    <row r="18" ht="22" customHeight="1">
      <c r="B18" s="319" t="n"/>
      <c r="C18" s="240" t="n"/>
      <c r="D18" s="240" t="n"/>
      <c r="E18" s="240" t="n"/>
      <c r="F18" s="240" t="n"/>
      <c r="G18" s="240" t="n"/>
      <c r="H18" s="240" t="n"/>
      <c r="I18" s="240" t="n"/>
      <c r="J18" s="240" t="n"/>
      <c r="K18" s="240" t="n"/>
      <c r="L18" s="241" t="n"/>
    </row>
    <row r="19" ht="22" customHeight="1">
      <c r="B19" s="320" t="inlineStr">
        <is>
          <t>●  Öncelik 1: Acil Likidite ve Borç Servis Planlaması</t>
        </is>
      </c>
      <c r="C19" s="240" t="n"/>
      <c r="D19" s="240" t="n"/>
      <c r="E19" s="240" t="n"/>
      <c r="F19" s="240" t="n"/>
      <c r="G19" s="240" t="n"/>
      <c r="H19" s="240" t="n"/>
      <c r="I19" s="240" t="n"/>
      <c r="J19" s="240" t="n"/>
      <c r="K19" s="240" t="n"/>
      <c r="L19" s="241" t="n"/>
    </row>
    <row r="20" ht="22" customHeight="1">
      <c r="B20" s="321" t="inlineStr">
        <is>
          <t xml:space="preserve">   Sistemde hesaplanan vade günlerine sadık kalınarak nakit blokajı 3 gün önceden hazır edilmelidir.</t>
        </is>
      </c>
      <c r="C20" s="240" t="n"/>
      <c r="D20" s="240" t="n"/>
      <c r="E20" s="240" t="n"/>
      <c r="F20" s="240" t="n"/>
      <c r="G20" s="240" t="n"/>
      <c r="H20" s="240" t="n"/>
      <c r="I20" s="240" t="n"/>
      <c r="J20" s="240" t="n"/>
      <c r="K20" s="240" t="n"/>
      <c r="L20" s="241" t="n"/>
    </row>
    <row r="21" ht="22" customHeight="1">
      <c r="B21" s="320" t="inlineStr">
        <is>
          <t>●  Öncelik 2: Formül Doğrulama ve Çapraz Sağlama</t>
        </is>
      </c>
      <c r="C21" s="240" t="n"/>
      <c r="D21" s="240" t="n"/>
      <c r="E21" s="240" t="n"/>
      <c r="F21" s="240" t="n"/>
      <c r="G21" s="240" t="n"/>
      <c r="H21" s="240" t="n"/>
      <c r="I21" s="240" t="n"/>
      <c r="J21" s="240" t="n"/>
      <c r="K21" s="240" t="n"/>
      <c r="L21" s="241" t="n"/>
    </row>
    <row r="22" ht="22" customHeight="1">
      <c r="B22" s="321" t="inlineStr">
        <is>
          <t xml:space="preserve">   Tüm hücreler kilitli formül korumasında olup girdi sayfalarında sıfır döngüsel başvuru (circular ref) garantilidir.</t>
        </is>
      </c>
      <c r="C22" s="240" t="n"/>
      <c r="D22" s="240" t="n"/>
      <c r="E22" s="240" t="n"/>
      <c r="F22" s="240" t="n"/>
      <c r="G22" s="240" t="n"/>
      <c r="H22" s="240" t="n"/>
      <c r="I22" s="240" t="n"/>
      <c r="J22" s="240" t="n"/>
      <c r="K22" s="240" t="n"/>
      <c r="L22" s="241" t="n"/>
    </row>
    <row r="23" ht="22" customHeight="1">
      <c r="B23" s="320" t="inlineStr">
        <is>
          <t>●  Öncelik 3: Resmi Mevzuat ve Vergi Kalkanı Entegrasyonu</t>
        </is>
      </c>
      <c r="C23" s="240" t="n"/>
      <c r="D23" s="240" t="n"/>
      <c r="E23" s="240" t="n"/>
      <c r="F23" s="240" t="n"/>
      <c r="G23" s="240" t="n"/>
      <c r="H23" s="240" t="n"/>
      <c r="I23" s="240" t="n"/>
      <c r="J23" s="240" t="n"/>
      <c r="K23" s="240" t="n"/>
      <c r="L23" s="241" t="n"/>
    </row>
    <row r="24" ht="22" customHeight="1">
      <c r="B24" s="321" t="inlineStr">
        <is>
          <t xml:space="preserve">   2026 güncel vergi dilimleri, amortisman ve SGK teşvik parametreleri tam otomatik yansıtılmaktadır.</t>
        </is>
      </c>
      <c r="C24" s="240" t="n"/>
      <c r="D24" s="240" t="n"/>
      <c r="E24" s="240" t="n"/>
      <c r="F24" s="240" t="n"/>
      <c r="G24" s="240" t="n"/>
      <c r="H24" s="240" t="n"/>
      <c r="I24" s="240" t="n"/>
      <c r="J24" s="240" t="n"/>
      <c r="K24" s="240" t="n"/>
      <c r="L24" s="241" t="n"/>
    </row>
    <row r="25" ht="22" customHeight="1">
      <c r="B25" s="320" t="inlineStr">
        <is>
          <t>●  Öncelik 4: Yönetici İmzası ve Rapor Paylaşımı</t>
        </is>
      </c>
      <c r="C25" s="240" t="n"/>
      <c r="D25" s="240" t="n"/>
      <c r="E25" s="240" t="n"/>
      <c r="F25" s="240" t="n"/>
      <c r="G25" s="240" t="n"/>
      <c r="H25" s="240" t="n"/>
      <c r="I25" s="240" t="n"/>
      <c r="J25" s="240" t="n"/>
      <c r="K25" s="240" t="n"/>
      <c r="L25" s="241" t="n"/>
    </row>
    <row r="26" ht="22" customHeight="1">
      <c r="B26" s="321" t="inlineStr">
        <is>
          <t xml:space="preserve">   Tek tuşla PDF ve A4 çıktı formatına tam uyumlu sayfa yapısı kurgulanmıştır.</t>
        </is>
      </c>
      <c r="C26" s="240" t="n"/>
      <c r="D26" s="240" t="n"/>
      <c r="E26" s="240" t="n"/>
      <c r="F26" s="240" t="n"/>
      <c r="G26" s="240" t="n"/>
      <c r="H26" s="240" t="n"/>
      <c r="I26" s="240" t="n"/>
      <c r="J26" s="240" t="n"/>
      <c r="K26" s="240" t="n"/>
      <c r="L26" s="241" t="n"/>
    </row>
    <row r="27" ht="22" customHeight="1">
      <c r="B27" s="299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YÜRÜTME ÇEKİRDEĞİ — ZORUNLU ÜRETİM SIRASI</t>
        </is>
      </c>
    </row>
    <row r="3" ht="24" customHeight="1">
      <c r="A3" s="177" t="inlineStr">
        <is>
          <t>Adım</t>
        </is>
      </c>
      <c r="B3" s="177" t="inlineStr">
        <is>
          <t>Modül</t>
        </is>
      </c>
      <c r="C3" s="177" t="inlineStr">
        <is>
          <t>Tetikleyici</t>
        </is>
      </c>
      <c r="D3" s="177" t="inlineStr">
        <is>
          <t>Zorunlu Kanıt</t>
        </is>
      </c>
      <c r="E3" s="177" t="inlineStr">
        <is>
          <t>GEÇTİ Kuralı</t>
        </is>
      </c>
      <c r="F3" s="177" t="inlineStr">
        <is>
          <t>Hata Durumu</t>
        </is>
      </c>
      <c r="G3" s="177" t="inlineStr">
        <is>
          <t>Sonraki Aşama</t>
        </is>
      </c>
    </row>
    <row r="4">
      <c r="A4" s="178" t="n">
        <v>1</v>
      </c>
      <c r="B4" s="174" t="inlineStr">
        <is>
          <t>Excel Uygunluğu</t>
        </is>
      </c>
      <c r="C4" s="174" t="inlineStr">
        <is>
          <t>Her yeni model</t>
        </is>
      </c>
      <c r="D4" s="174" t="inlineStr">
        <is>
          <t>UYGUNLUK_KARARI</t>
        </is>
      </c>
      <c r="E4" s="174" t="inlineStr">
        <is>
          <t>Excel'in rolü açık</t>
        </is>
      </c>
      <c r="F4" s="174" t="inlineStr">
        <is>
          <t>HATA / BLOKE</t>
        </is>
      </c>
      <c r="G4" s="174" t="inlineStr">
        <is>
          <t>Yönetişim</t>
        </is>
      </c>
    </row>
    <row r="5">
      <c r="A5" s="178" t="n">
        <v>2</v>
      </c>
      <c r="B5" s="174" t="inlineStr">
        <is>
          <t>Yönetişim</t>
        </is>
      </c>
      <c r="C5" s="174" t="inlineStr">
        <is>
          <t>Her model</t>
        </is>
      </c>
      <c r="D5" s="174" t="inlineStr">
        <is>
          <t>Risk seviyesi + etki girdileri</t>
        </is>
      </c>
      <c r="E5" s="174" t="inlineStr">
        <is>
          <t>Seviye hesaplandı</t>
        </is>
      </c>
      <c r="F5" s="174" t="inlineStr">
        <is>
          <t>BLOKE</t>
        </is>
      </c>
      <c r="G5" s="174" t="inlineStr">
        <is>
          <t>Sözleşmeler</t>
        </is>
      </c>
    </row>
    <row r="6">
      <c r="A6" s="178" t="n">
        <v>3</v>
      </c>
      <c r="B6" s="174" t="inlineStr">
        <is>
          <t>Türk Muhasebe Eşlemesi</t>
        </is>
      </c>
      <c r="C6" s="174" t="inlineStr">
        <is>
          <t>Finansal model</t>
        </is>
      </c>
      <c r="D6" s="174" t="inlineStr">
        <is>
          <t>THP hesap eşleme tablosu</t>
        </is>
      </c>
      <c r="E6" s="174" t="inlineStr">
        <is>
          <t>Kritik satırlar THP ile uyumlu</t>
        </is>
      </c>
      <c r="F6" s="174" t="inlineStr">
        <is>
          <t>HATA</t>
        </is>
      </c>
      <c r="G6" s="174" t="inlineStr">
        <is>
          <t>Sözleşmeler</t>
        </is>
      </c>
    </row>
    <row r="7">
      <c r="A7" s="178" t="n">
        <v>4</v>
      </c>
      <c r="B7" s="174" t="inlineStr">
        <is>
          <t>Veri ve Anlam Sözleşmeleri</t>
        </is>
      </c>
      <c r="C7" s="174" t="inlineStr">
        <is>
          <t>Girdi/KPI varsa</t>
        </is>
      </c>
      <c r="D7" s="174" t="inlineStr">
        <is>
          <t>Veri + KPI sözleşmeleri</t>
        </is>
      </c>
      <c r="E7" s="174" t="inlineStr">
        <is>
          <t>Kapsam %100</t>
        </is>
      </c>
      <c r="F7" s="174" t="inlineStr">
        <is>
          <t>HATA</t>
        </is>
      </c>
      <c r="G7" s="174" t="inlineStr">
        <is>
          <t>Üretim</t>
        </is>
      </c>
    </row>
    <row r="8">
      <c r="A8" s="178" t="n">
        <v>5</v>
      </c>
      <c r="B8" s="174" t="inlineStr">
        <is>
          <t>Üretim</t>
        </is>
      </c>
      <c r="C8" s="174" t="inlineStr">
        <is>
          <t>Sözleşmeler GEÇTİ</t>
        </is>
      </c>
      <c r="D8" s="174" t="inlineStr">
        <is>
          <t>Çalışan Excel</t>
        </is>
      </c>
      <c r="E8" s="174" t="inlineStr">
        <is>
          <t>Tek gerçek kaynak korunmuş</t>
        </is>
      </c>
      <c r="F8" s="174" t="inlineStr">
        <is>
          <t>HATA</t>
        </is>
      </c>
      <c r="G8" s="174" t="inlineStr">
        <is>
          <t>Testler</t>
        </is>
      </c>
    </row>
    <row r="9" ht="28" customHeight="1">
      <c r="A9" s="178" t="n">
        <v>6</v>
      </c>
      <c r="B9" s="174" t="inlineStr">
        <is>
          <t>Görsel/Kullanım Katmanı</t>
        </is>
      </c>
      <c r="C9" s="174" t="inlineStr">
        <is>
          <t>Motor hazır</t>
        </is>
      </c>
      <c r="D9" s="174" t="inlineStr">
        <is>
          <t>Başlıklar + renk + grafik + yönlendirme</t>
        </is>
      </c>
      <c r="E9" s="174" t="inlineStr">
        <is>
          <t>Tüm kullanıcı sayfaları standarda uygun</t>
        </is>
      </c>
      <c r="F9" s="174" t="inlineStr">
        <is>
          <t>HATA</t>
        </is>
      </c>
      <c r="G9" s="174" t="inlineStr">
        <is>
          <t>Testler</t>
        </is>
      </c>
    </row>
    <row r="10" ht="28" customHeight="1">
      <c r="A10" s="178" t="n">
        <v>7</v>
      </c>
      <c r="B10" s="174" t="inlineStr">
        <is>
          <t>Testler</t>
        </is>
      </c>
      <c r="C10" s="174" t="inlineStr">
        <is>
          <t>Üretim tamam</t>
        </is>
      </c>
      <c r="D10" s="174" t="inlineStr">
        <is>
          <t>Formül/OOXML/kimlik/oracle/golden/metamorfik</t>
        </is>
      </c>
      <c r="E10" s="174" t="inlineStr">
        <is>
          <t>Uygulanabilir hard gate'ler GEÇTİ</t>
        </is>
      </c>
      <c r="F10" s="174" t="inlineStr">
        <is>
          <t>HATA</t>
        </is>
      </c>
      <c r="G10" s="174" t="inlineStr">
        <is>
          <t>Kanıt</t>
        </is>
      </c>
    </row>
    <row r="11">
      <c r="A11" s="178" t="n">
        <v>8</v>
      </c>
      <c r="B11" s="174" t="inlineStr">
        <is>
          <t>Hata-Kontrol Tutarlılığı</t>
        </is>
      </c>
      <c r="C11" s="174" t="inlineStr">
        <is>
          <t>Test sonucu var</t>
        </is>
      </c>
      <c r="D11" s="174" t="inlineStr">
        <is>
          <t>Hata taraması + kontrol sonuçları</t>
        </is>
      </c>
      <c r="E11" s="174" t="inlineStr">
        <is>
          <t>Formül hatası varken GEÇTİ yok</t>
        </is>
      </c>
      <c r="F11" s="174" t="inlineStr">
        <is>
          <t>HATA</t>
        </is>
      </c>
      <c r="G11" s="174" t="inlineStr">
        <is>
          <t>Kanıt</t>
        </is>
      </c>
    </row>
    <row r="12">
      <c r="A12" s="178" t="n">
        <v>9</v>
      </c>
      <c r="B12" s="174" t="inlineStr">
        <is>
          <t>Kanıt</t>
        </is>
      </c>
      <c r="C12" s="174" t="inlineStr">
        <is>
          <t>Test sonucu var</t>
        </is>
      </c>
      <c r="D12" s="174" t="inlineStr">
        <is>
          <t>Makine okunur artefakt + özet</t>
        </is>
      </c>
      <c r="E12" s="174" t="inlineStr">
        <is>
          <t>Kanıt fiziksel ve tutarlı</t>
        </is>
      </c>
      <c r="F12" s="174" t="inlineStr">
        <is>
          <t>HATA</t>
        </is>
      </c>
      <c r="G12" s="174" t="inlineStr">
        <is>
          <t>Kullanıcı Kabulü</t>
        </is>
      </c>
    </row>
    <row r="13">
      <c r="A13" s="178" t="n">
        <v>10</v>
      </c>
      <c r="B13" s="174" t="inlineStr">
        <is>
          <t>Kullanıcı Kabulü</t>
        </is>
      </c>
      <c r="C13" s="174" t="inlineStr">
        <is>
          <t>Kritik görevler</t>
        </is>
      </c>
      <c r="D13" s="174" t="inlineStr">
        <is>
          <t>Gerçek ekran davranışı</t>
        </is>
      </c>
      <c r="E13" s="174" t="inlineStr">
        <is>
          <t>Kritik görevler %100</t>
        </is>
      </c>
      <c r="F13" s="174" t="inlineStr">
        <is>
          <t>DIŞ_KABUL_GEREKLİ</t>
        </is>
      </c>
      <c r="G13" s="174" t="inlineStr">
        <is>
          <t>Ticari</t>
        </is>
      </c>
    </row>
    <row r="14">
      <c r="A14" s="178" t="n">
        <v>11</v>
      </c>
      <c r="B14" s="174" t="inlineStr">
        <is>
          <t>Ticari Değer</t>
        </is>
      </c>
      <c r="C14" s="174" t="inlineStr">
        <is>
          <t>Ürün satılacaksa</t>
        </is>
      </c>
      <c r="D14" s="174" t="inlineStr">
        <is>
          <t>ROI + demo + kanıt paketi</t>
        </is>
      </c>
      <c r="E14" s="174" t="inlineStr">
        <is>
          <t>Ekonomik değer kanıtlı</t>
        </is>
      </c>
      <c r="F14" s="174" t="inlineStr">
        <is>
          <t>UYARI / HATA</t>
        </is>
      </c>
      <c r="G14" s="174" t="inlineStr">
        <is>
          <t>Pazar Doğrulama</t>
        </is>
      </c>
    </row>
    <row r="15">
      <c r="A15" s="178" t="n">
        <v>12</v>
      </c>
      <c r="B15" s="174" t="inlineStr">
        <is>
          <t>Pazar Doğrulama</t>
        </is>
      </c>
      <c r="C15" s="174" t="inlineStr">
        <is>
          <t>Pazar iddiası varsa</t>
        </is>
      </c>
      <c r="D15" s="174" t="inlineStr">
        <is>
          <t>Ücretli satış/pilot/fiyat kabul kanıtı</t>
        </is>
      </c>
      <c r="E15" s="174" t="inlineStr">
        <is>
          <t>Gerçek fiyat kabul kanıtı</t>
        </is>
      </c>
      <c r="F15" s="174" t="inlineStr">
        <is>
          <t>UYGULANMAZ / HATA</t>
        </is>
      </c>
      <c r="G15" s="17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NİHAİ KONTROL LİSTESİ — KANITSIZ GEÇİŞ YOK</t>
        </is>
      </c>
    </row>
    <row r="3" ht="24" customHeight="1">
      <c r="A3" s="180" t="inlineStr">
        <is>
          <t>Kontrol No</t>
        </is>
      </c>
      <c r="B3" s="180" t="inlineStr">
        <is>
          <t>Kontrol</t>
        </is>
      </c>
      <c r="C3" s="180" t="inlineStr">
        <is>
          <t>Beklenen</t>
        </is>
      </c>
      <c r="D3" s="180" t="inlineStr">
        <is>
          <t>Zorunlu Kapı?</t>
        </is>
      </c>
      <c r="E3" s="180" t="inlineStr">
        <is>
          <t>Sonuç</t>
        </is>
      </c>
    </row>
    <row r="4">
      <c r="A4" s="181" t="inlineStr">
        <is>
          <t>K01</t>
        </is>
      </c>
      <c r="B4" s="174" t="inlineStr">
        <is>
          <t>Kullanıcının açık talebi öncelikli mi?</t>
        </is>
      </c>
      <c r="C4" s="174" t="inlineStr">
        <is>
          <t>Evet</t>
        </is>
      </c>
      <c r="D4" s="174" t="inlineStr">
        <is>
          <t>EVET</t>
        </is>
      </c>
    </row>
    <row r="5">
      <c r="A5" s="181" t="inlineStr">
        <is>
          <t>K02</t>
        </is>
      </c>
      <c r="B5" s="174" t="inlineStr">
        <is>
          <t>Mevcut yapı, formüller ve tek gerçek kaynak korunuyor mu?</t>
        </is>
      </c>
      <c r="C5" s="174" t="inlineStr">
        <is>
          <t>Evet, değişiklik gerekçeli</t>
        </is>
      </c>
      <c r="D5" s="174" t="inlineStr">
        <is>
          <t>EVET</t>
        </is>
      </c>
    </row>
    <row r="6">
      <c r="A6" s="181" t="inlineStr">
        <is>
          <t>K03</t>
        </is>
      </c>
      <c r="B6" s="174" t="inlineStr">
        <is>
          <t>Üst aşama HATA ise alt aşama GEÇTİ engelleniyor mu?</t>
        </is>
      </c>
      <c r="C6" s="174" t="inlineStr">
        <is>
          <t>Evet</t>
        </is>
      </c>
      <c r="D6" s="174" t="inlineStr">
        <is>
          <t>EVET</t>
        </is>
      </c>
    </row>
    <row r="7">
      <c r="A7" s="181" t="inlineStr">
        <is>
          <t>K04</t>
        </is>
      </c>
      <c r="B7" s="174" t="inlineStr">
        <is>
          <t>Kanıt fiziksel çıktı ve içerik doğrulaması içeriyor mu?</t>
        </is>
      </c>
      <c r="C7" s="174" t="inlineStr">
        <is>
          <t>Evet</t>
        </is>
      </c>
      <c r="D7" s="174" t="inlineStr">
        <is>
          <t>EVET</t>
        </is>
      </c>
    </row>
    <row r="8">
      <c r="A8" s="181" t="inlineStr">
        <is>
          <t>K05</t>
        </is>
      </c>
      <c r="B8" s="174" t="inlineStr">
        <is>
          <t>Excel GUI erişimi olmadan kullanıcı görünümü GEÇTİ yazılıyor mu?</t>
        </is>
      </c>
      <c r="C8" s="174" t="inlineStr">
        <is>
          <t>Hayır</t>
        </is>
      </c>
      <c r="D8" s="174" t="inlineStr">
        <is>
          <t>EVET</t>
        </is>
      </c>
    </row>
    <row r="9">
      <c r="A9" s="181" t="inlineStr">
        <is>
          <t>K06</t>
        </is>
      </c>
      <c r="B9" s="174" t="inlineStr">
        <is>
          <t>NİHAİ yalnız GEÇTİ / gerekçeli UYGULANMAZ ile mi?</t>
        </is>
      </c>
      <c r="C9" s="174" t="inlineStr">
        <is>
          <t>Evet</t>
        </is>
      </c>
      <c r="D9" s="174" t="inlineStr">
        <is>
          <t>EVET</t>
        </is>
      </c>
    </row>
    <row r="10">
      <c r="A10" s="181" t="inlineStr">
        <is>
          <t>K07</t>
        </is>
      </c>
      <c r="B10" s="174" t="inlineStr">
        <is>
          <t>Ekonomik fiyat savunusu pazar doğrulamasından ayrılmış mı?</t>
        </is>
      </c>
      <c r="C10" s="174" t="inlineStr">
        <is>
          <t>Evet</t>
        </is>
      </c>
      <c r="D10" s="174" t="inlineStr">
        <is>
          <t>EVET</t>
        </is>
      </c>
    </row>
    <row r="11">
      <c r="A11" s="181" t="inlineStr">
        <is>
          <t>K08</t>
        </is>
      </c>
      <c r="B11" s="174" t="inlineStr">
        <is>
          <t>Prestij için gereksiz modül var mı?</t>
        </is>
      </c>
      <c r="C11" s="174" t="inlineStr">
        <is>
          <t>Hayır</t>
        </is>
      </c>
      <c r="D11" s="174" t="inlineStr">
        <is>
          <t>HAYIR</t>
        </is>
      </c>
    </row>
    <row r="12">
      <c r="A12" s="181" t="inlineStr">
        <is>
          <t>K09</t>
        </is>
      </c>
      <c r="B12" s="174" t="inlineStr">
        <is>
          <t>Excel sınırları açık mı?</t>
        </is>
      </c>
      <c r="C12" s="174" t="inlineStr">
        <is>
          <t>Evet</t>
        </is>
      </c>
      <c r="D12" s="174" t="inlineStr">
        <is>
          <t>EVET</t>
        </is>
      </c>
    </row>
    <row r="13">
      <c r="A13" s="181" t="inlineStr">
        <is>
          <t>K10</t>
        </is>
      </c>
      <c r="B13" s="174" t="inlineStr">
        <is>
          <t>Teknik kaynak korunuyor mu?</t>
        </is>
      </c>
      <c r="C13" s="174" t="inlineStr">
        <is>
          <t>Evet</t>
        </is>
      </c>
      <c r="D13" s="174" t="inlineStr">
        <is>
          <t>EVET</t>
        </is>
      </c>
    </row>
    <row r="14">
      <c r="A14" s="181" t="inlineStr">
        <is>
          <t>K11</t>
        </is>
      </c>
      <c r="B14" s="174" t="inlineStr">
        <is>
          <t>Kullanıcıya görünen tüm metinler Türkçe mi?</t>
        </is>
      </c>
      <c r="C14" s="174" t="inlineStr">
        <is>
          <t>Evet</t>
        </is>
      </c>
      <c r="D14" s="174" t="inlineStr">
        <is>
          <t>EVET</t>
        </is>
      </c>
    </row>
    <row r="15">
      <c r="A15" s="181" t="inlineStr">
        <is>
          <t>K12</t>
        </is>
      </c>
      <c r="B15" s="174" t="inlineStr">
        <is>
          <t>Her kullanıcı sayfasında üst başlık var mı?</t>
        </is>
      </c>
      <c r="C15" s="174" t="inlineStr">
        <is>
          <t>Evet</t>
        </is>
      </c>
      <c r="D15" s="174" t="inlineStr">
        <is>
          <t>EVET</t>
        </is>
      </c>
    </row>
    <row r="16">
      <c r="A16" s="181" t="inlineStr">
        <is>
          <t>K13</t>
        </is>
      </c>
      <c r="B16" s="174" t="inlineStr">
        <is>
          <t>Sayfalar arasında tutarlı renk sistemi var mı?</t>
        </is>
      </c>
      <c r="C16" s="174" t="inlineStr">
        <is>
          <t>Evet</t>
        </is>
      </c>
      <c r="D16" s="174" t="inlineStr">
        <is>
          <t>EVET</t>
        </is>
      </c>
    </row>
    <row r="17">
      <c r="A17" s="181" t="inlineStr">
        <is>
          <t>K14</t>
        </is>
      </c>
      <c r="B17" s="174" t="inlineStr">
        <is>
          <t>Alt sayfa sekmeleri işlevine göre renklendirilmiş mi?</t>
        </is>
      </c>
      <c r="C17" s="174" t="inlineStr">
        <is>
          <t>Evet</t>
        </is>
      </c>
      <c r="D17" s="174" t="inlineStr">
        <is>
          <t>EVET</t>
        </is>
      </c>
    </row>
    <row r="18">
      <c r="A18" s="181" t="inlineStr">
        <is>
          <t>K15</t>
        </is>
      </c>
      <c r="B18" s="174" t="inlineStr">
        <is>
          <t>İçerik blokları arasında gereksiz boş kolon var mı?</t>
        </is>
      </c>
      <c r="C18" s="174" t="inlineStr">
        <is>
          <t>Hayır</t>
        </is>
      </c>
      <c r="D18" s="174" t="inlineStr">
        <is>
          <t>EVET</t>
        </is>
      </c>
    </row>
    <row r="19">
      <c r="A19" s="181" t="inlineStr">
        <is>
          <t>K16</t>
        </is>
      </c>
      <c r="B19" s="174" t="inlineStr">
        <is>
          <t>Grafikler premium ve karar odaklı mı?</t>
        </is>
      </c>
      <c r="C19" s="174" t="inlineStr">
        <is>
          <t>Evet</t>
        </is>
      </c>
      <c r="D19" s="174" t="inlineStr">
        <is>
          <t>EVET</t>
        </is>
      </c>
    </row>
    <row r="20">
      <c r="A20" s="181" t="inlineStr">
        <is>
          <t>K17</t>
        </is>
      </c>
      <c r="B20" s="174" t="inlineStr">
        <is>
          <t>Varsayılan Excel grafiği / 3B / dekoratif grafik var mı?</t>
        </is>
      </c>
      <c r="C20" s="174" t="inlineStr">
        <is>
          <t>Hayır</t>
        </is>
      </c>
      <c r="D20" s="174" t="inlineStr">
        <is>
          <t>EVET</t>
        </is>
      </c>
    </row>
    <row r="21">
      <c r="A21" s="181" t="inlineStr">
        <is>
          <t>K18</t>
        </is>
      </c>
      <c r="B21" s="174" t="inlineStr">
        <is>
          <t>Finansal ürün Türkiye Tekdüzen Hesap Planı ile eşleşiyor mu?</t>
        </is>
      </c>
      <c r="C21" s="174" t="inlineStr">
        <is>
          <t>Evet</t>
        </is>
      </c>
      <c r="D21" s="174" t="inlineStr">
        <is>
          <t>EVET</t>
        </is>
      </c>
    </row>
    <row r="22">
      <c r="A22" s="181" t="inlineStr">
        <is>
          <t>K19</t>
        </is>
      </c>
      <c r="B22" s="174" t="inlineStr">
        <is>
          <t>Muhasebe satır adları Türkiye kullanımına uygun mu?</t>
        </is>
      </c>
      <c r="C22" s="174" t="inlineStr">
        <is>
          <t>Evet</t>
        </is>
      </c>
      <c r="D22" s="174" t="inlineStr">
        <is>
          <t>EVET</t>
        </is>
      </c>
    </row>
    <row r="23">
      <c r="A23" s="181" t="inlineStr">
        <is>
          <t>K20</t>
        </is>
      </c>
      <c r="B23" s="174" t="inlineStr">
        <is>
          <t>Formül hatası varken herhangi bir kontrol GEÇTİ gösteriyor mu?</t>
        </is>
      </c>
      <c r="C23" s="174" t="inlineStr">
        <is>
          <t>Hayır</t>
        </is>
      </c>
      <c r="D23" s="174" t="inlineStr">
        <is>
          <t>EVET</t>
        </is>
      </c>
    </row>
    <row r="24">
      <c r="A24" s="181" t="inlineStr">
        <is>
          <t>K21</t>
        </is>
      </c>
      <c r="B24" s="174" t="inlineStr">
        <is>
          <t>Karar Motoru boş veya yalnız başlık düzeyinde mi?</t>
        </is>
      </c>
      <c r="C24" s="174" t="inlineStr">
        <is>
          <t>Hayır</t>
        </is>
      </c>
      <c r="D24" s="174" t="inlineStr">
        <is>
          <t>EVET</t>
        </is>
      </c>
    </row>
    <row r="25">
      <c r="A25" s="181" t="inlineStr">
        <is>
          <t>K22</t>
        </is>
      </c>
      <c r="B25" s="174" t="inlineStr">
        <is>
          <t>Senaryo/Stres modülü gerçekten sonuç değiştiriyor mu?</t>
        </is>
      </c>
      <c r="C25" s="174" t="inlineStr">
        <is>
          <t>Evet</t>
        </is>
      </c>
      <c r="D25" s="174" t="inlineStr">
        <is>
          <t>EVET</t>
        </is>
      </c>
    </row>
    <row r="26">
      <c r="A26" s="181" t="inlineStr">
        <is>
          <t>K23</t>
        </is>
      </c>
      <c r="B26" s="174" t="inlineStr">
        <is>
          <t>Oracle/bağımsız doğrulama gerçek veri üretiyor mu?</t>
        </is>
      </c>
      <c r="C26" s="174" t="inlineStr">
        <is>
          <t>Evet veya gerekçeli UYGULANMAZ</t>
        </is>
      </c>
      <c r="D26" s="174" t="inlineStr">
        <is>
          <t>EVET</t>
        </is>
      </c>
    </row>
    <row r="27">
      <c r="A27" s="181" t="inlineStr">
        <is>
          <t>K24</t>
        </is>
      </c>
      <c r="B27" s="174" t="inlineStr">
        <is>
          <t>Yönetici ekranı 5 saniyede sorunu ve aksiyonu anlatıyor mu?</t>
        </is>
      </c>
      <c r="C27" s="174" t="inlineStr">
        <is>
          <t>Evet</t>
        </is>
      </c>
      <c r="D27" s="174" t="inlineStr">
        <is>
          <t>EVET</t>
        </is>
      </c>
    </row>
    <row r="28">
      <c r="A28" s="181" t="inlineStr">
        <is>
          <t>K25</t>
        </is>
      </c>
      <c r="B28" s="174" t="inlineStr">
        <is>
          <t>Her kritik kararın parasal etkisi ve önerilen aksiyonu var mı?</t>
        </is>
      </c>
      <c r="C28" s="174" t="inlineStr">
        <is>
          <t>Evet</t>
        </is>
      </c>
      <c r="D28" s="174" t="inlineStr">
        <is>
          <t>EVET</t>
        </is>
      </c>
    </row>
    <row r="29">
      <c r="A29" s="181" t="inlineStr">
        <is>
          <t>K26</t>
        </is>
      </c>
      <c r="B29" s="174" t="inlineStr">
        <is>
          <t>Ürün sayfası/ürün içi demo satın alma gerekçesini kanıtlıyor mu?</t>
        </is>
      </c>
      <c r="C29" s="174" t="inlineStr">
        <is>
          <t>Evet</t>
        </is>
      </c>
      <c r="D29" s="174" t="inlineStr">
        <is>
          <t>EVET</t>
        </is>
      </c>
    </row>
    <row r="30" ht="30" customHeight="1">
      <c r="A30" s="182" t="inlineStr">
        <is>
          <t>K27</t>
        </is>
      </c>
      <c r="B30" s="183" t="inlineStr">
        <is>
          <t>Buton görünümü verilen tüm alanlar gerçekten tıklanabilir ve doğru hedefe gidiyor mu?</t>
        </is>
      </c>
      <c r="C30" s="183" t="inlineStr">
        <is>
          <t>Evet</t>
        </is>
      </c>
      <c r="D30" s="174" t="inlineStr">
        <is>
          <t>EVET</t>
        </is>
      </c>
    </row>
    <row r="31" ht="30" customHeight="1">
      <c r="A31" s="182" t="inlineStr">
        <is>
          <t>K28</t>
        </is>
      </c>
      <c r="B31" s="183" t="inlineStr">
        <is>
          <t>Tüm görünür kullanıcı sheet tabları kurumsal kategori rengi taşıyor mu?</t>
        </is>
      </c>
      <c r="C31" s="183" t="inlineStr">
        <is>
          <t>Evet</t>
        </is>
      </c>
      <c r="D31" s="174" t="inlineStr">
        <is>
          <t>EVET</t>
        </is>
      </c>
    </row>
    <row r="32" ht="16" customHeight="1">
      <c r="A32" s="182" t="inlineStr">
        <is>
          <t>K29</t>
        </is>
      </c>
      <c r="B32" s="183" t="inlineStr">
        <is>
          <t>Sheet sırası tanımlı kullanıcı iş akışıyla birebir aynı mı?</t>
        </is>
      </c>
      <c r="C32" s="183" t="inlineStr">
        <is>
          <t>Evet</t>
        </is>
      </c>
      <c r="D32" s="174" t="inlineStr">
        <is>
          <t>EVET</t>
        </is>
      </c>
    </row>
    <row r="33" ht="30" customHeight="1">
      <c r="A33" s="182" t="inlineStr">
        <is>
          <t>K30</t>
        </is>
      </c>
      <c r="B33" s="183" t="inlineStr">
        <is>
          <t>Kurumsal renk paleti tutarlı mı; rastgele/gökkuşağı renk kullanımı var mı?</t>
        </is>
      </c>
      <c r="C33" s="183" t="inlineStr">
        <is>
          <t>Evet / Hayır</t>
        </is>
      </c>
      <c r="D33" s="174" t="inlineStr">
        <is>
          <t>EVET</t>
        </is>
      </c>
    </row>
    <row r="34" ht="30" customHeight="1">
      <c r="A34" s="182" t="inlineStr">
        <is>
          <t>K31</t>
        </is>
      </c>
      <c r="B34" s="183" t="inlineStr">
        <is>
          <t>Premium vitrin, altyapı kadar güçlü ve satış fiyatını destekleyecek seviyede mi?</t>
        </is>
      </c>
      <c r="C34" s="183" t="inlineStr">
        <is>
          <t>Evet</t>
        </is>
      </c>
      <c r="D34" s="17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GÖRSEL TASARIM VE PREMIUM EXCEL STANDARDI</t>
        </is>
      </c>
    </row>
    <row r="3" ht="24" customHeight="1">
      <c r="A3" s="185" t="inlineStr">
        <is>
          <t>Alan</t>
        </is>
      </c>
      <c r="B3" s="185" t="inlineStr">
        <is>
          <t>Zorunlu Kural</t>
        </is>
      </c>
      <c r="C3" s="185" t="inlineStr">
        <is>
          <t>Uygulama</t>
        </is>
      </c>
      <c r="D3" s="185" t="inlineStr">
        <is>
          <t>Yasak</t>
        </is>
      </c>
      <c r="E3" s="185" t="inlineStr">
        <is>
          <t>Kontrol</t>
        </is>
      </c>
      <c r="F3" s="185" t="inlineStr">
        <is>
          <t>Durum</t>
        </is>
      </c>
    </row>
    <row r="4" ht="28" customHeight="1">
      <c r="A4" s="186" t="inlineStr">
        <is>
          <t>Sayfa başlığı</t>
        </is>
      </c>
      <c r="B4" s="174" t="inlineStr">
        <is>
          <t>Her kullanıcı sayfasının en üstünde tek ve açık sayfa başlığı</t>
        </is>
      </c>
      <c r="C4" s="174" t="inlineStr">
        <is>
          <t>A1'den başlayan koyu lacivert başlık bandı</t>
        </is>
      </c>
      <c r="D4" s="174" t="inlineStr">
        <is>
          <t>Başlıksız sayfa</t>
        </is>
      </c>
      <c r="E4" s="174" t="inlineStr">
        <is>
          <t>Başlık kapsama = %100</t>
        </is>
      </c>
      <c r="F4" s="187" t="inlineStr">
        <is>
          <t>ZORUNLU</t>
        </is>
      </c>
    </row>
    <row r="5" ht="28" customHeight="1">
      <c r="A5" s="186" t="inlineStr">
        <is>
          <t>Sekme renkleri</t>
        </is>
      </c>
      <c r="B5" s="174" t="inlineStr">
        <is>
          <t>Sayfalar işlevine göre renk kodlanır</t>
        </is>
      </c>
      <c r="C5" s="174" t="inlineStr">
        <is>
          <t>Girdi=mavi, hesap=gri, rapor=lacivert, kontrol=kırmızı, kılavuz=altın</t>
        </is>
      </c>
      <c r="D5" s="174" t="inlineStr">
        <is>
          <t>Rastgele renk</t>
        </is>
      </c>
      <c r="E5" s="174" t="inlineStr">
        <is>
          <t>Renk semantiği tutarlı</t>
        </is>
      </c>
      <c r="F5" s="187" t="inlineStr">
        <is>
          <t>ZORUNLU</t>
        </is>
      </c>
    </row>
    <row r="6" ht="28" customHeight="1">
      <c r="A6" s="186" t="inlineStr">
        <is>
          <t>Kolon düzeni</t>
        </is>
      </c>
      <c r="B6" s="174" t="inlineStr">
        <is>
          <t>Veri blokları bitişik kolonlarda ilerler</t>
        </is>
      </c>
      <c r="C6" s="174" t="inlineStr">
        <is>
          <t>Gereksiz boş kolon bırakma; yalnız gerçek bölüm ayrımı varsa kontrollü boşluk</t>
        </is>
      </c>
      <c r="D6" s="174" t="inlineStr">
        <is>
          <t>A:C veri, D boş, E:F veri gibi parçalı yapı</t>
        </is>
      </c>
      <c r="E6" s="174" t="inlineStr">
        <is>
          <t>Boş kolon taraması</t>
        </is>
      </c>
      <c r="F6" s="187" t="inlineStr">
        <is>
          <t>ZORUNLU</t>
        </is>
      </c>
    </row>
    <row r="7" ht="16" customHeight="1">
      <c r="A7" s="186" t="inlineStr">
        <is>
          <t>Girdi hücreleri</t>
        </is>
      </c>
      <c r="B7" s="174" t="inlineStr">
        <is>
          <t>Kullanıcının değiştireceği alan açıkça görünür</t>
        </is>
      </c>
      <c r="C7" s="174" t="inlineStr">
        <is>
          <t>Açık sarı dolgu + mavi yazı</t>
        </is>
      </c>
      <c r="D7" s="174" t="inlineStr">
        <is>
          <t>Formülle aynı görünüm</t>
        </is>
      </c>
      <c r="E7" s="174" t="inlineStr">
        <is>
          <t>Girdi/formül ayrımı</t>
        </is>
      </c>
      <c r="F7" s="187" t="inlineStr">
        <is>
          <t>ZORUNLU</t>
        </is>
      </c>
    </row>
    <row r="8" ht="16" customHeight="1">
      <c r="A8" s="186" t="inlineStr">
        <is>
          <t>Formüller</t>
        </is>
      </c>
      <c r="B8" s="174" t="inlineStr">
        <is>
          <t>Hesap hücreleri kullanıcı girdisinden ayrılır</t>
        </is>
      </c>
      <c r="C8" s="174" t="inlineStr">
        <is>
          <t>Siyah yazı; sayfalar arası bağlantı yeşil yazı</t>
        </is>
      </c>
      <c r="D8" s="174" t="inlineStr">
        <is>
          <t>Hard-code gizleme</t>
        </is>
      </c>
      <c r="E8" s="174" t="inlineStr">
        <is>
          <t>Formül sınıfı kontrolü</t>
        </is>
      </c>
      <c r="F8" s="187" t="inlineStr">
        <is>
          <t>ZORUNLU</t>
        </is>
      </c>
    </row>
    <row r="9" ht="16" customHeight="1">
      <c r="A9" s="186" t="inlineStr">
        <is>
          <t>Grafik sayısı</t>
        </is>
      </c>
      <c r="B9" s="174" t="inlineStr">
        <is>
          <t>Yönetici ekranında en fazla 3 ana karar grafiği</t>
        </is>
      </c>
      <c r="C9" s="174" t="inlineStr">
        <is>
          <t>Trend, karşılaştırma, köprü/dağılım; iş kararına bağlı</t>
        </is>
      </c>
      <c r="D9" s="174" t="inlineStr">
        <is>
          <t>Grafik kalabalığı</t>
        </is>
      </c>
      <c r="E9" s="174" t="inlineStr">
        <is>
          <t>Grafik başına karar sorusu</t>
        </is>
      </c>
      <c r="F9" s="187" t="inlineStr">
        <is>
          <t>ZORUNLU</t>
        </is>
      </c>
    </row>
    <row r="10" ht="16" customHeight="1">
      <c r="A10" s="186" t="inlineStr">
        <is>
          <t>Grafik stili</t>
        </is>
      </c>
      <c r="B10" s="174" t="inlineStr">
        <is>
          <t>Kurumsal ve yüksek okunabilirlik</t>
        </is>
      </c>
      <c r="C10" s="174" t="inlineStr">
        <is>
          <t>Beyaz zemin, ince gridline, tek vurgu rengi, açık birim/başlık</t>
        </is>
      </c>
      <c r="D10" s="174" t="inlineStr">
        <is>
          <t>3B, gölge, neon, gökkuşağı renkleri</t>
        </is>
      </c>
      <c r="E10" s="174" t="inlineStr">
        <is>
          <t>Görsel inceleme</t>
        </is>
      </c>
      <c r="F10" s="187" t="inlineStr">
        <is>
          <t>ZORUNLU</t>
        </is>
      </c>
    </row>
    <row r="11" ht="16" customHeight="1">
      <c r="A11" s="186" t="inlineStr">
        <is>
          <t>Grafik başlığı</t>
        </is>
      </c>
      <c r="B11" s="174" t="inlineStr">
        <is>
          <t>Grafik 'neyi' değil 'ne anlama geldiğini' söyler</t>
        </is>
      </c>
      <c r="C11" s="174" t="inlineStr">
        <is>
          <t>Örn: 'Nakit 2028'de kritik eşiğin altına iniyor'</t>
        </is>
      </c>
      <c r="D11" s="174" t="inlineStr">
        <is>
          <t>'Nakit Grafiği' gibi anlamsız başlık</t>
        </is>
      </c>
      <c r="E11" s="174" t="inlineStr">
        <is>
          <t>Başlık karar testi</t>
        </is>
      </c>
      <c r="F11" s="187" t="inlineStr">
        <is>
          <t>ZORUNLU</t>
        </is>
      </c>
    </row>
    <row r="12" ht="16" customHeight="1">
      <c r="A12" s="186" t="inlineStr">
        <is>
          <t>Birimler</t>
        </is>
      </c>
      <c r="B12" s="174" t="inlineStr">
        <is>
          <t>Tüm finansal görsellerde birim açık</t>
        </is>
      </c>
      <c r="C12" s="174" t="inlineStr">
        <is>
          <t>TL, bin TL, milyon TL, %, gün, x</t>
        </is>
      </c>
      <c r="D12" s="174" t="inlineStr">
        <is>
          <t>Birim belirsizliği</t>
        </is>
      </c>
      <c r="E12" s="174" t="inlineStr">
        <is>
          <t>Birim kapsama %100</t>
        </is>
      </c>
      <c r="F12" s="187" t="inlineStr">
        <is>
          <t>ZORUNLU</t>
        </is>
      </c>
    </row>
    <row r="13" ht="16" customHeight="1">
      <c r="A13" s="186" t="inlineStr">
        <is>
          <t>Sıfır/negatif</t>
        </is>
      </c>
      <c r="B13" s="174" t="inlineStr">
        <is>
          <t>Finansal format standardı</t>
        </is>
      </c>
      <c r="C13" s="174" t="inlineStr">
        <is>
          <t>Sıfır='-', negatif kırmızı parantez</t>
        </is>
      </c>
      <c r="D13" s="174" t="inlineStr">
        <is>
          <t>-500 veya 0,00 kalabalığı</t>
        </is>
      </c>
      <c r="E13" s="174" t="inlineStr">
        <is>
          <t>Format kontrolü</t>
        </is>
      </c>
      <c r="F13" s="187" t="inlineStr">
        <is>
          <t>ZORUNLU</t>
        </is>
      </c>
    </row>
    <row r="14" ht="16" customHeight="1">
      <c r="A14" s="186" t="inlineStr">
        <is>
          <t>Yazı tipi</t>
        </is>
      </c>
      <c r="B14" s="174" t="inlineStr">
        <is>
          <t>Tek aile</t>
        </is>
      </c>
      <c r="C14" s="174" t="inlineStr">
        <is>
          <t>Aptos veya Segoe UI</t>
        </is>
      </c>
      <c r="D14" s="174" t="inlineStr">
        <is>
          <t>Karışık font</t>
        </is>
      </c>
      <c r="E14" s="174" t="inlineStr">
        <is>
          <t>Tek font kontrolü</t>
        </is>
      </c>
      <c r="F14" s="187" t="inlineStr">
        <is>
          <t>ZORUNLU</t>
        </is>
      </c>
    </row>
    <row r="15" ht="16" customHeight="1">
      <c r="A15" s="186" t="inlineStr">
        <is>
          <t>Izgara</t>
        </is>
      </c>
      <c r="B15" s="174" t="inlineStr">
        <is>
          <t>Kullanıcı sayfalarında kapalı</t>
        </is>
      </c>
      <c r="C15" s="174" t="inlineStr">
        <is>
          <t>Bölüm çizgileri ve kart sınırlarıyla düzen</t>
        </is>
      </c>
      <c r="D15" s="174" t="inlineStr">
        <is>
          <t>Excel varsayılan gridline</t>
        </is>
      </c>
      <c r="E15" s="174" t="inlineStr">
        <is>
          <t>Gridline kontrolü</t>
        </is>
      </c>
      <c r="F15" s="187" t="inlineStr">
        <is>
          <t>ZORUNLU</t>
        </is>
      </c>
    </row>
    <row r="16" ht="16" customHeight="1">
      <c r="A16" s="186" t="inlineStr">
        <is>
          <t>Boş durum</t>
        </is>
      </c>
      <c r="B16" s="174" t="inlineStr">
        <is>
          <t>Veri yokken temiz ve anlaşılır</t>
        </is>
      </c>
      <c r="C16" s="174" t="inlineStr">
        <is>
          <t>'Henüz veri yok' / 'Girdi bekleniyor'</t>
        </is>
      </c>
      <c r="D16" s="174" t="inlineStr">
        <is>
          <t>0 yığını / hata kodu</t>
        </is>
      </c>
      <c r="E16" s="174" t="inlineStr">
        <is>
          <t>Boş veri testi</t>
        </is>
      </c>
      <c r="F16" s="187" t="inlineStr">
        <is>
          <t>ZORUNLU</t>
        </is>
      </c>
    </row>
    <row r="17" ht="28" customHeight="1">
      <c r="A17" s="186" t="inlineStr">
        <is>
          <t>Başlangıç deneyimi</t>
        </is>
      </c>
      <c r="B17" s="174" t="inlineStr">
        <is>
          <t>İlk 5 saniyede ne gireceği ve neye bakacağı anlaşılır</t>
        </is>
      </c>
      <c r="C17" s="174" t="inlineStr">
        <is>
          <t>Girdi → durum → aksiyon akışı</t>
        </is>
      </c>
      <c r="D17" s="174" t="inlineStr">
        <is>
          <t>Kılavuz aramaya zorlama</t>
        </is>
      </c>
      <c r="E17" s="174" t="inlineStr">
        <is>
          <t>5 saniye testi</t>
        </is>
      </c>
      <c r="F17" s="187" t="inlineStr">
        <is>
          <t>ZORUNLU</t>
        </is>
      </c>
    </row>
    <row r="18" ht="30" customHeight="1">
      <c r="A18" s="182" t="inlineStr">
        <is>
          <t>Buton standardı</t>
        </is>
      </c>
      <c r="B18" s="183" t="inlineStr">
        <is>
          <t>Buton görünümü verilen her alan gerçek işlev taşır</t>
        </is>
      </c>
      <c r="C18" s="183" t="inlineStr">
        <is>
          <t>Sayfa içi HYPERLINK / gerçek aksiyon; tıklanınca hedefe gider</t>
        </is>
      </c>
      <c r="D18" s="183" t="inlineStr">
        <is>
          <t>İşlevsiz dekoratif buton / sahte navigasyon</t>
        </is>
      </c>
      <c r="E18" s="183" t="inlineStr">
        <is>
          <t>Butonların %100'ü tıklanabilir ve hedefi doğru</t>
        </is>
      </c>
      <c r="F18" s="187" t="inlineStr">
        <is>
          <t>ZORUNLU</t>
        </is>
      </c>
    </row>
    <row r="19" ht="32" customHeight="1">
      <c r="A19" s="182" t="inlineStr">
        <is>
          <t>Native sayfa sekmesi rengi</t>
        </is>
      </c>
      <c r="B19" s="183" t="inlineStr">
        <is>
          <t>Excel alt sheet tabları kurumsal paletle renklendirilir</t>
        </is>
      </c>
      <c r="C19" s="183" t="inlineStr">
        <is>
          <t>Başlangıç/özet=lacivert; girdiler=mavi; hesap/finans=teal; karar/kontrol=burgundy; doküman=gri</t>
        </is>
      </c>
      <c r="D19" s="183" t="inlineStr">
        <is>
          <t>Renksiz sekmeler veya rastgele/gökkuşağı renkleri</t>
        </is>
      </c>
      <c r="E19" s="183" t="inlineStr">
        <is>
          <t>Tüm görünür kullanıcı sheet tabları renkli</t>
        </is>
      </c>
      <c r="F19" s="187" t="inlineStr">
        <is>
          <t>ZORUNLU</t>
        </is>
      </c>
    </row>
    <row r="20" ht="60" customHeight="1">
      <c r="A20" s="182" t="inlineStr">
        <is>
          <t>İş akışı sıralaması</t>
        </is>
      </c>
      <c r="B20" s="183" t="inlineStr">
        <is>
          <t>Sayfalar kullanıcının çalışma sırasına göre fiziksel olarak dizilir</t>
        </is>
      </c>
      <c r="C20" s="18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3" t="inlineStr">
        <is>
          <t>Teknik oluşturma sırasına göre dağınık sheet dizilimi</t>
        </is>
      </c>
      <c r="E20" s="183" t="inlineStr">
        <is>
          <t>Sheet order = tanımlı workflow</t>
        </is>
      </c>
      <c r="F20" s="187" t="inlineStr">
        <is>
          <t>ZORUNLU</t>
        </is>
      </c>
    </row>
    <row r="21" ht="30" customHeight="1">
      <c r="A21" s="182" t="inlineStr">
        <is>
          <t>Kurumsal renk paleti</t>
        </is>
      </c>
      <c r="B21" s="183" t="inlineStr">
        <is>
          <t>Sekme, başlık, buton ve vurgu renkleri tek kurumsal paletten gelir</t>
        </is>
      </c>
      <c r="C21" s="183" t="inlineStr">
        <is>
          <t>Lacivert + mavi + teal + kontrollü burgundy/gri; kategori semantiği sabit</t>
        </is>
      </c>
      <c r="D21" s="183" t="inlineStr">
        <is>
          <t>Neon, rastgele yüksek doygunluk, her sayfada farklı bağımsız renk</t>
        </is>
      </c>
      <c r="E21" s="183" t="inlineStr">
        <is>
          <t>Palette token kontrolü</t>
        </is>
      </c>
      <c r="F21" s="187" t="inlineStr">
        <is>
          <t>ZORUNLU</t>
        </is>
      </c>
    </row>
    <row r="22" ht="45" customHeight="1">
      <c r="A22" s="182" t="inlineStr">
        <is>
          <t>Premium vitrin</t>
        </is>
      </c>
      <c r="B22" s="183" t="inlineStr">
        <is>
          <t>Görsel kalite ürün değerinin zorunlu parçasıdır</t>
        </is>
      </c>
      <c r="C22" s="183" t="inlineStr">
        <is>
          <t>Kaliteli grafik, gerçek KPI kartı, finansal hiyerarşi, tab rengi, fonksiyonel navigasyon</t>
        </is>
      </c>
      <c r="D22" s="183" t="inlineStr">
        <is>
          <t>Sadece doğru hesap yapıp çıplak/varsayılan Excel görünümü bırakmak</t>
        </is>
      </c>
      <c r="E22" s="183" t="inlineStr">
        <is>
          <t>Görsel release incelemesi</t>
        </is>
      </c>
      <c r="F22" s="18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TÜRKİYE MUHASEBE VE TEKDÜZEN HESAP PLANI STANDARDI</t>
        </is>
      </c>
    </row>
    <row r="3" ht="24" customHeight="1">
      <c r="A3" s="189" t="inlineStr">
        <is>
          <t>Konu</t>
        </is>
      </c>
      <c r="B3" s="189" t="inlineStr">
        <is>
          <t>Zorunlu Standart</t>
        </is>
      </c>
      <c r="C3" s="189" t="inlineStr">
        <is>
          <t>Örnek Türkçe Ad</t>
        </is>
      </c>
      <c r="D3" s="189" t="inlineStr">
        <is>
          <t>THP / Mantık</t>
        </is>
      </c>
      <c r="E3" s="189" t="inlineStr">
        <is>
          <t>Hata Riski</t>
        </is>
      </c>
      <c r="F3" s="189" t="inlineStr">
        <is>
          <t>Kontrol</t>
        </is>
      </c>
    </row>
    <row r="4">
      <c r="A4" s="190" t="inlineStr">
        <is>
          <t>Dil</t>
        </is>
      </c>
      <c r="B4" s="174" t="inlineStr">
        <is>
          <t>Kullanıcıya görünen finansal terimler Türkçe</t>
        </is>
      </c>
      <c r="C4" s="174" t="inlineStr">
        <is>
          <t>Hasılat, Satışların Maliyeti, Brüt Kâr, Faaliyet Giderleri</t>
        </is>
      </c>
      <c r="D4" s="174" t="inlineStr">
        <is>
          <t>Türk işletme kullanımına uygun</t>
        </is>
      </c>
      <c r="E4" s="174" t="inlineStr">
        <is>
          <t>İngilizce jargon</t>
        </is>
      </c>
      <c r="F4" s="174" t="inlineStr">
        <is>
          <t>Terminoloji taraması</t>
        </is>
      </c>
    </row>
    <row r="5" ht="28" customHeight="1">
      <c r="A5" s="190" t="inlineStr">
        <is>
          <t>Gelir Tablosu</t>
        </is>
      </c>
      <c r="B5" s="174" t="inlineStr">
        <is>
          <t>Türk sunum sırası kullanılır</t>
        </is>
      </c>
      <c r="C5" s="174" t="inlineStr">
        <is>
          <t>Net Satışlar → Satışların Maliyeti → Brüt Kâr → Faaliyet Giderleri → Faaliyet Kârı</t>
        </is>
      </c>
      <c r="D5" s="174" t="inlineStr">
        <is>
          <t>600/610/611; 620-623; 63x</t>
        </is>
      </c>
      <c r="E5" s="174" t="inlineStr">
        <is>
          <t>Yanlış sınıflama</t>
        </is>
      </c>
      <c r="F5" s="174" t="inlineStr">
        <is>
          <t>Hesap eşleme</t>
        </is>
      </c>
    </row>
    <row r="6" ht="28" customHeight="1">
      <c r="A6" s="190" t="inlineStr">
        <is>
          <t>Bilanço</t>
        </is>
      </c>
      <c r="B6" s="174" t="inlineStr">
        <is>
          <t>Dönen/Duran Varlık ve Kısa/Uzun Vadeli Yükümlülük ayrımı</t>
        </is>
      </c>
      <c r="C6" s="174" t="inlineStr">
        <is>
          <t>Hazır Değerler, Ticari Alacaklar, Stoklar, Mali Borçlar</t>
        </is>
      </c>
      <c r="D6" s="174" t="inlineStr">
        <is>
          <t>1xx / 2xx / 3xx / 4xx / 5xx</t>
        </is>
      </c>
      <c r="E6" s="174" t="inlineStr">
        <is>
          <t>Vade sınıfı hatası</t>
        </is>
      </c>
      <c r="F6" s="174" t="inlineStr">
        <is>
          <t>Bilanço eşitliği</t>
        </is>
      </c>
    </row>
    <row r="7">
      <c r="A7" s="190" t="inlineStr">
        <is>
          <t>Nakit Akışı</t>
        </is>
      </c>
      <c r="B7" s="174" t="inlineStr">
        <is>
          <t>İşletme/Yatırım/Finansman nakit akışları ayrılır</t>
        </is>
      </c>
      <c r="C7" s="174" t="inlineStr">
        <is>
          <t>Faaliyetlerden Nakit, Yatırım Harcamaları, Finansman Nakit Akışı</t>
        </is>
      </c>
      <c r="D7" s="174" t="inlineStr">
        <is>
          <t>Dolaylı/doğrudan yöntem açık seçilir</t>
        </is>
      </c>
      <c r="E7" s="174" t="inlineStr">
        <is>
          <t>Kâr = nakit sanılması</t>
        </is>
      </c>
      <c r="F7" s="174" t="inlineStr">
        <is>
          <t>Nakit devri</t>
        </is>
      </c>
    </row>
    <row r="8">
      <c r="A8" s="190" t="inlineStr">
        <is>
          <t>Ticari Alacaklar</t>
        </is>
      </c>
      <c r="B8" s="174" t="inlineStr">
        <is>
          <t>Cari ve vade mantığı korunur</t>
        </is>
      </c>
      <c r="C8" s="174" t="inlineStr">
        <is>
          <t>120 Alıcılar</t>
        </is>
      </c>
      <c r="D8" s="174" t="inlineStr">
        <is>
          <t>120</t>
        </is>
      </c>
      <c r="E8" s="174" t="inlineStr">
        <is>
          <t>Tahakkuk/nakit karışması</t>
        </is>
      </c>
      <c r="F8" s="174" t="inlineStr">
        <is>
          <t>Alacak devir kontrolü</t>
        </is>
      </c>
    </row>
    <row r="9">
      <c r="A9" s="190" t="inlineStr">
        <is>
          <t>Ticari Borçlar</t>
        </is>
      </c>
      <c r="B9" s="174" t="inlineStr">
        <is>
          <t>Tedarikçi borcu ayrı izlenir</t>
        </is>
      </c>
      <c r="C9" s="174" t="inlineStr">
        <is>
          <t>320 Satıcılar</t>
        </is>
      </c>
      <c r="D9" s="174" t="inlineStr">
        <is>
          <t>320</t>
        </is>
      </c>
      <c r="E9" s="174" t="inlineStr">
        <is>
          <t>Gider/ödeme karışması</t>
        </is>
      </c>
      <c r="F9" s="174" t="inlineStr">
        <is>
          <t>Borç devir kontrolü</t>
        </is>
      </c>
    </row>
    <row r="10">
      <c r="A10" s="190" t="inlineStr">
        <is>
          <t>Kasa/Banka</t>
        </is>
      </c>
      <c r="B10" s="174" t="inlineStr">
        <is>
          <t>Hazır değerler ayrı izlenir</t>
        </is>
      </c>
      <c r="C10" s="174" t="inlineStr">
        <is>
          <t>100 Kasa, 102 Bankalar</t>
        </is>
      </c>
      <c r="D10" s="174" t="inlineStr">
        <is>
          <t>100 / 102</t>
        </is>
      </c>
      <c r="E10" s="174" t="inlineStr">
        <is>
          <t>Virmanla toplam nakdin değişmesi</t>
        </is>
      </c>
      <c r="F10" s="174" t="inlineStr">
        <is>
          <t>Virman değişmezi</t>
        </is>
      </c>
    </row>
    <row r="11">
      <c r="A11" s="190" t="inlineStr">
        <is>
          <t>Stok</t>
        </is>
      </c>
      <c r="B11" s="174" t="inlineStr">
        <is>
          <t>Dikeye uygun stok türü</t>
        </is>
      </c>
      <c r="C11" s="174" t="inlineStr">
        <is>
          <t>150 İlk Madde ve Malzeme, 153 Ticari Mallar</t>
        </is>
      </c>
      <c r="D11" s="174" t="inlineStr">
        <is>
          <t>15x</t>
        </is>
      </c>
      <c r="E11" s="174" t="inlineStr">
        <is>
          <t>Maliyet ve stok hareketinin kopması</t>
        </is>
      </c>
      <c r="F11" s="174" t="inlineStr">
        <is>
          <t>Stok devri</t>
        </is>
      </c>
    </row>
    <row r="12" ht="28" customHeight="1">
      <c r="A12" s="190" t="inlineStr">
        <is>
          <t>Maddi Duran Varlık</t>
        </is>
      </c>
      <c r="B12" s="174" t="inlineStr">
        <is>
          <t>Yatırım harcaması ve amortisman bağlantılı</t>
        </is>
      </c>
      <c r="C12" s="174" t="inlineStr">
        <is>
          <t>253 Tesis Makine Cihazlar, 255 Demirbaşlar, 257 Birikmiş Amortismanlar</t>
        </is>
      </c>
      <c r="D12" s="174" t="inlineStr">
        <is>
          <t>25x</t>
        </is>
      </c>
      <c r="E12" s="174" t="inlineStr">
        <is>
          <t>Yatırım/gider karışması</t>
        </is>
      </c>
      <c r="F12" s="174" t="inlineStr">
        <is>
          <t>Net defter değeri devri</t>
        </is>
      </c>
    </row>
    <row r="13">
      <c r="A13" s="190" t="inlineStr">
        <is>
          <t>Mali Borçlar</t>
        </is>
      </c>
      <c r="B13" s="174" t="inlineStr">
        <is>
          <t>Kısa/uzun vadeli borç ayrımı</t>
        </is>
      </c>
      <c r="C13" s="174" t="inlineStr">
        <is>
          <t>300 Banka Kredileri / 400 Banka Kredileri</t>
        </is>
      </c>
      <c r="D13" s="174" t="inlineStr">
        <is>
          <t>300 / 400</t>
        </is>
      </c>
      <c r="E13" s="174" t="inlineStr">
        <is>
          <t>Vade sınıfı yanlış</t>
        </is>
      </c>
      <c r="F13" s="174" t="inlineStr">
        <is>
          <t>Borç devri</t>
        </is>
      </c>
    </row>
    <row r="14">
      <c r="A14" s="190" t="inlineStr">
        <is>
          <t>Özkaynak</t>
        </is>
      </c>
      <c r="B14" s="174" t="inlineStr">
        <is>
          <t>Sermaye ve geçmiş yıl kârları ayrı</t>
        </is>
      </c>
      <c r="C14" s="174" t="inlineStr">
        <is>
          <t>500 Sermaye, 570 Geçmiş Yıllar Kârları, 590 Dönem Net Kârı</t>
        </is>
      </c>
      <c r="D14" s="174" t="inlineStr">
        <is>
          <t>5xx</t>
        </is>
      </c>
      <c r="E14" s="174" t="inlineStr">
        <is>
          <t>Net kâr bağının kopması</t>
        </is>
      </c>
      <c r="F14" s="174" t="inlineStr">
        <is>
          <t>Özkaynak devri</t>
        </is>
      </c>
    </row>
    <row r="15">
      <c r="A15" s="190" t="inlineStr">
        <is>
          <t>Vergi</t>
        </is>
      </c>
      <c r="B15" s="174" t="inlineStr">
        <is>
          <t>Vergi satırları Türkiye mantığına uygun</t>
        </is>
      </c>
      <c r="C15" s="174" t="inlineStr">
        <is>
          <t>Dönem Vergi ve Diğer Yasal Yükümlülük Karşılıkları</t>
        </is>
      </c>
      <c r="D15" s="174" t="inlineStr">
        <is>
          <t>37x / ilgili vergi hesapları</t>
        </is>
      </c>
      <c r="E15" s="174" t="inlineStr">
        <is>
          <t>Vergi etkisinin yanlış dönemlenmesi</t>
        </is>
      </c>
      <c r="F15" s="174" t="inlineStr">
        <is>
          <t>Vergi sözleşmesi</t>
        </is>
      </c>
    </row>
    <row r="16">
      <c r="A16" s="190" t="inlineStr">
        <is>
          <t>İsim standardı</t>
        </is>
      </c>
      <c r="B16" s="174" t="inlineStr">
        <is>
          <t>Tablo ve sayfa adları Türkçe ve işlevsel</t>
        </is>
      </c>
      <c r="C16" s="174" t="inlineStr">
        <is>
          <t>GELİR_TABLOSU, BİLANÇO, NAKİT_AKISI, BORC_PLANI</t>
        </is>
      </c>
      <c r="D16" s="174" t="inlineStr">
        <is>
          <t>Tekrarlanabilir standart</t>
        </is>
      </c>
      <c r="E16" s="174" t="inlineStr">
        <is>
          <t>İngilizce/karma isim</t>
        </is>
      </c>
      <c r="F16" s="174" t="inlineStr">
        <is>
          <t>Sayfa ve tablo taraması</t>
        </is>
      </c>
    </row>
    <row r="17">
      <c r="A17" s="190" t="inlineStr">
        <is>
          <t>THP eşleme tablosu</t>
        </is>
      </c>
      <c r="B17" s="174" t="inlineStr">
        <is>
          <t>Her kritik satır en az bir THP hesabına bağlanır</t>
        </is>
      </c>
      <c r="C17" s="174" t="inlineStr">
        <is>
          <t>RaporSatırı → HesapKodu → HesapAdı → İşaret → Dönem</t>
        </is>
      </c>
      <c r="D17" s="174" t="inlineStr">
        <is>
          <t>Kaynak izlenebilirliği</t>
        </is>
      </c>
      <c r="E17" s="174" t="inlineStr">
        <is>
          <t>Rapordan rapora kaynak</t>
        </is>
      </c>
      <c r="F17" s="174" t="inlineStr">
        <is>
          <t>Eşleme kapsama %100</t>
        </is>
      </c>
    </row>
    <row r="18">
      <c r="A18" s="190" t="inlineStr">
        <is>
          <t>İstisna</t>
        </is>
      </c>
      <c r="B18" s="174" t="inlineStr">
        <is>
          <t>TFRS özel ürün varsa fark açık yazılır</t>
        </is>
      </c>
      <c r="C18" s="174" t="inlineStr">
        <is>
          <t>Tekdüzen raporlama ≠ TFRS finansal tablo sunumu</t>
        </is>
      </c>
      <c r="D18" s="174" t="inlineStr">
        <is>
          <t>Amaç belirtilir</t>
        </is>
      </c>
      <c r="E18" s="174" t="inlineStr">
        <is>
          <t>Standartları karıştırma</t>
        </is>
      </c>
      <c r="F18" s="17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KARAR, GÜVEN VE SATIŞA HAZIRLIK STANDARDI</t>
        </is>
      </c>
    </row>
    <row r="3" ht="24" customHeight="1">
      <c r="A3" s="192" t="inlineStr">
        <is>
          <t>Alan</t>
        </is>
      </c>
      <c r="B3" s="192" t="inlineStr">
        <is>
          <t>Müşteri Sorusu</t>
        </is>
      </c>
      <c r="C3" s="192" t="inlineStr">
        <is>
          <t>Zorunlu Ürün Davranışı</t>
        </is>
      </c>
      <c r="D3" s="192" t="inlineStr">
        <is>
          <t>Kanıt</t>
        </is>
      </c>
      <c r="E3" s="192" t="inlineStr">
        <is>
          <t>Başarısızlık Durumu</t>
        </is>
      </c>
      <c r="F3" s="192" t="inlineStr">
        <is>
          <t>Kapı</t>
        </is>
      </c>
    </row>
    <row r="4">
      <c r="A4" s="193" t="inlineStr">
        <is>
          <t>5 saniye</t>
        </is>
      </c>
      <c r="B4" s="174" t="inlineStr">
        <is>
          <t>Bu ürün neyi çözüyor?</t>
        </is>
      </c>
      <c r="C4" s="174" t="inlineStr">
        <is>
          <t>İlk ekranda hedef kullanıcı + pahalı problem + sonuç görünür</t>
        </is>
      </c>
      <c r="D4" s="174" t="inlineStr">
        <is>
          <t>Başlık + alt mesaj + gerçek ekran</t>
        </is>
      </c>
      <c r="E4" s="174" t="inlineStr">
        <is>
          <t>Ürün yalnız teknik isim</t>
        </is>
      </c>
      <c r="F4" s="194" t="inlineStr">
        <is>
          <t>HATA</t>
        </is>
      </c>
    </row>
    <row r="5">
      <c r="A5" s="193" t="inlineStr">
        <is>
          <t>Acı</t>
        </is>
      </c>
      <c r="B5" s="174" t="inlineStr">
        <is>
          <t>Sorun bana neye mal oluyor?</t>
        </is>
      </c>
      <c r="C5" s="174" t="inlineStr">
        <is>
          <t>Mümkünse müşterinin kendi verisiyle parasal/zaman etkisi hesaplanır</t>
        </is>
      </c>
      <c r="D5" s="174" t="inlineStr">
        <is>
          <t>ROI/acı hesaplama yöntemi</t>
        </is>
      </c>
      <c r="E5" s="174" t="inlineStr">
        <is>
          <t>Uydurma tasarruf</t>
        </is>
      </c>
      <c r="F5" s="194" t="inlineStr">
        <is>
          <t>HATA</t>
        </is>
      </c>
    </row>
    <row r="6">
      <c r="A6" s="193" t="inlineStr">
        <is>
          <t>Karar</t>
        </is>
      </c>
      <c r="B6" s="174" t="inlineStr">
        <is>
          <t>Bu bilgiyle ne yapacağım?</t>
        </is>
      </c>
      <c r="C6" s="174" t="inlineStr">
        <is>
          <t>Her kritik KPI aksiyona bağlanır</t>
        </is>
      </c>
      <c r="D6" s="174" t="inlineStr">
        <is>
          <t>KARAR_KUYRUGU</t>
        </is>
      </c>
      <c r="E6" s="174" t="inlineStr">
        <is>
          <t>Sadece rapor</t>
        </is>
      </c>
      <c r="F6" s="194" t="inlineStr">
        <is>
          <t>HATA</t>
        </is>
      </c>
    </row>
    <row r="7">
      <c r="A7" s="193" t="inlineStr">
        <is>
          <t>Güven</t>
        </is>
      </c>
      <c r="B7" s="174" t="inlineStr">
        <is>
          <t>Bu sayıya neden inanayım?</t>
        </is>
      </c>
      <c r="C7" s="174" t="inlineStr">
        <is>
          <t>Kaynak, formül mantığı, kontrol ve son doğrulama görünür</t>
        </is>
      </c>
      <c r="D7" s="174" t="inlineStr">
        <is>
          <t>Kontroller + kaynak izi + sürüm</t>
        </is>
      </c>
      <c r="E7" s="174" t="inlineStr">
        <is>
          <t>Prestij kelimesi</t>
        </is>
      </c>
      <c r="F7" s="194" t="inlineStr">
        <is>
          <t>HATA</t>
        </is>
      </c>
    </row>
    <row r="8">
      <c r="A8" s="193" t="inlineStr">
        <is>
          <t>Referans</t>
        </is>
      </c>
      <c r="B8" s="174" t="inlineStr">
        <is>
          <t>Müşteri yorumu yoksa ne göstereceğim?</t>
        </is>
      </c>
      <c r="C8" s="174" t="inlineStr">
        <is>
          <t>Önce/Sonra + Karar Vakası + Hata Önleme Vakası üretilir</t>
        </is>
      </c>
      <c r="D8" s="174" t="inlineStr">
        <is>
          <t>Demo/örnek çıktı</t>
        </is>
      </c>
      <c r="E8" s="174" t="inlineStr">
        <is>
          <t>Kanıtsız iddia</t>
        </is>
      </c>
      <c r="F8" s="194" t="inlineStr">
        <is>
          <t>HATA</t>
        </is>
      </c>
    </row>
    <row r="9">
      <c r="A9" s="193" t="inlineStr">
        <is>
          <t>Senaryo</t>
        </is>
      </c>
      <c r="B9" s="174" t="inlineStr">
        <is>
          <t>Ne olursa işler bozulur?</t>
        </is>
      </c>
      <c r="C9" s="174" t="inlineStr">
        <is>
          <t>Baz/Aşağı/Yukarı veya uygun stres senaryosu</t>
        </is>
      </c>
      <c r="D9" s="174" t="inlineStr">
        <is>
          <t>Senaryo karşılaştırma</t>
        </is>
      </c>
      <c r="E9" s="174" t="inlineStr">
        <is>
          <t>Dekoratif senaryo</t>
        </is>
      </c>
      <c r="F9" s="194" t="inlineStr">
        <is>
          <t>HATA</t>
        </is>
      </c>
    </row>
    <row r="10">
      <c r="A10" s="193" t="inlineStr">
        <is>
          <t>Ters stres</t>
        </is>
      </c>
      <c r="B10" s="174" t="inlineStr">
        <is>
          <t>Hangi eşikte karar kırılır?</t>
        </is>
      </c>
      <c r="C10" s="174" t="inlineStr">
        <is>
          <t>En az bir kritik sürücü için kırılma eşiği</t>
        </is>
      </c>
      <c r="D10" s="174" t="inlineStr">
        <is>
          <t>Kırılma eşiği tablosu</t>
        </is>
      </c>
      <c r="E10" s="174" t="inlineStr">
        <is>
          <t>Sadece +/- %10</t>
        </is>
      </c>
      <c r="F10" s="194" t="inlineStr">
        <is>
          <t>UYARI/HATA</t>
        </is>
      </c>
    </row>
    <row r="11">
      <c r="A11" s="193" t="inlineStr">
        <is>
          <t>Hata tutarlılığı</t>
        </is>
      </c>
      <c r="B11" s="174" t="inlineStr">
        <is>
          <t>Formül hata verirse ne olur?</t>
        </is>
      </c>
      <c r="C11" s="174" t="inlineStr">
        <is>
          <t>Kontrol GEÇTİ veremez; BLOKE/HATA üretir</t>
        </is>
      </c>
      <c r="D11" s="174" t="inlineStr">
        <is>
          <t>Hata taraması</t>
        </is>
      </c>
      <c r="E11" s="174" t="inlineStr">
        <is>
          <t>Hata + GEÇTİ birlikte</t>
        </is>
      </c>
      <c r="F11" s="194" t="inlineStr">
        <is>
          <t>HATA</t>
        </is>
      </c>
    </row>
    <row r="12">
      <c r="A12" s="193" t="inlineStr">
        <is>
          <t>Karar motoru</t>
        </is>
      </c>
      <c r="B12" s="174" t="inlineStr">
        <is>
          <t>Ne oldu, neden oldu?</t>
        </is>
      </c>
      <c r="C12" s="174" t="inlineStr">
        <is>
          <t>Sorun + neden + parasal etki + aksiyon + son tarih</t>
        </is>
      </c>
      <c r="D12" s="174" t="inlineStr">
        <is>
          <t>Karar tablosu</t>
        </is>
      </c>
      <c r="E12" s="174" t="inlineStr">
        <is>
          <t>Boş sayfa / isim düzeyi modül</t>
        </is>
      </c>
      <c r="F12" s="194" t="inlineStr">
        <is>
          <t>HATA</t>
        </is>
      </c>
    </row>
    <row r="13">
      <c r="A13" s="193" t="inlineStr">
        <is>
          <t>Yönetici özeti</t>
        </is>
      </c>
      <c r="B13" s="174" t="inlineStr">
        <is>
          <t>5 saniyede ne görmeliyim?</t>
        </is>
      </c>
      <c r="C13" s="174" t="inlineStr">
        <is>
          <t>Bugün / ne değişti / ne bozulacak / neden / ne yapmalıyım / güven</t>
        </is>
      </c>
      <c r="D13" s="174" t="inlineStr">
        <is>
          <t>Yönetici özeti ekranı</t>
        </is>
      </c>
      <c r="E13" s="174" t="inlineStr">
        <is>
          <t>KPI kutusu yığını</t>
        </is>
      </c>
      <c r="F13" s="194" t="inlineStr">
        <is>
          <t>HATA</t>
        </is>
      </c>
    </row>
    <row r="14">
      <c r="A14" s="193" t="inlineStr">
        <is>
          <t>Teklif</t>
        </is>
      </c>
      <c r="B14" s="174" t="inlineStr">
        <is>
          <t>Neden satın almalıyım?</t>
        </is>
      </c>
      <c r="C14" s="174" t="inlineStr">
        <is>
          <t>Dosya özellikleri yerine sonuç ve kaçınılan maliyet sunulur</t>
        </is>
      </c>
      <c r="D14" s="174" t="inlineStr">
        <is>
          <t>Ürün sayfası kanıt eşlemesi</t>
        </is>
      </c>
      <c r="E14" s="174" t="inlineStr">
        <is>
          <t>Özellik listesiyle satış</t>
        </is>
      </c>
      <c r="F14" s="194" t="inlineStr">
        <is>
          <t>HATA</t>
        </is>
      </c>
    </row>
    <row r="15">
      <c r="A15" s="193" t="inlineStr">
        <is>
          <t>Dağıtım</t>
        </is>
      </c>
      <c r="B15" s="174" t="inlineStr">
        <is>
          <t>Beni nasıl bulacaklar?</t>
        </is>
      </c>
      <c r="C15" s="174" t="inlineStr">
        <is>
          <t>Sorun niyetine göre SEO sayfaları, iç bağlantı, temiz yapı, taranabilir metin</t>
        </is>
      </c>
      <c r="D15" s="174" t="inlineStr">
        <is>
          <t>Arama niyeti haritası</t>
        </is>
      </c>
      <c r="E15" s="174" t="inlineStr">
        <is>
          <t>Tek ürün sayfasına bağımlılık</t>
        </is>
      </c>
      <c r="F15" s="194" t="inlineStr">
        <is>
          <t>UYARI</t>
        </is>
      </c>
    </row>
    <row r="16" ht="28" customHeight="1">
      <c r="A16" s="193" t="inlineStr">
        <is>
          <t>LLM görünürlüğü</t>
        </is>
      </c>
      <c r="B16" s="174" t="inlineStr">
        <is>
          <t>AI ürünümü anlayabiliyor mu?</t>
        </is>
      </c>
      <c r="C16" s="174" t="inlineStr">
        <is>
          <t>Ürün tanımı, hedef kullanıcı, girdi/çıktı, metodoloji, sınırlar, SSS açık metindir</t>
        </is>
      </c>
      <c r="D16" s="174" t="inlineStr">
        <is>
          <t>Taranabilir ürün içeriği</t>
        </is>
      </c>
      <c r="E16" s="174" t="inlineStr">
        <is>
          <t>'AI SEO' iddiası</t>
        </is>
      </c>
      <c r="F16" s="194" t="inlineStr">
        <is>
          <t>UYARI</t>
        </is>
      </c>
    </row>
    <row r="17">
      <c r="A17" s="193" t="inlineStr">
        <is>
          <t>Satış kanalı</t>
        </is>
      </c>
      <c r="B17" s="174" t="inlineStr">
        <is>
          <t>Nerede satılmalı?</t>
        </is>
      </c>
      <c r="C17" s="174" t="inlineStr">
        <is>
          <t>Arama, LinkedIn, uzman/partner, demo/video; ürüne göre kanal seçilir</t>
        </is>
      </c>
      <c r="D17" s="174" t="inlineStr">
        <is>
          <t>Kanal matrisi</t>
        </is>
      </c>
      <c r="E17" s="174" t="inlineStr">
        <is>
          <t>Her ürüne aynı kanal</t>
        </is>
      </c>
      <c r="F17" s="194" t="inlineStr">
        <is>
          <t>UYARI</t>
        </is>
      </c>
    </row>
    <row r="18">
      <c r="A18" s="193" t="inlineStr">
        <is>
          <t>Fiyat</t>
        </is>
      </c>
      <c r="B18" s="174" t="inlineStr">
        <is>
          <t>Bu fiyat neden mantıklı?</t>
        </is>
      </c>
      <c r="C18" s="174" t="inlineStr">
        <is>
          <t>Fiyat, ekonomik karar değerine ve kanıtlanmış ürün derinliğine bağlanır</t>
        </is>
      </c>
      <c r="D18" s="174" t="inlineStr">
        <is>
          <t>Değer haritası + demo</t>
        </is>
      </c>
      <c r="E18" s="174" t="inlineStr">
        <is>
          <t>Sırf sayfa/formül sayısı</t>
        </is>
      </c>
      <c r="F18" s="194" t="inlineStr">
        <is>
          <t>HATA</t>
        </is>
      </c>
    </row>
    <row r="19">
      <c r="A19" s="193" t="inlineStr">
        <is>
          <t>Pazar kanıtı</t>
        </is>
      </c>
      <c r="B19" s="174" t="inlineStr">
        <is>
          <t>Piyasa gerçekten ödüyor mu?</t>
        </is>
      </c>
      <c r="C19" s="174" t="inlineStr">
        <is>
          <t>Satış/pilot/LOI/fiyat kabulü olmadan pazar doğrulandı yazılmaz</t>
        </is>
      </c>
      <c r="D19" s="174" t="inlineStr">
        <is>
          <t>Gerçek işlem kanıtı</t>
        </is>
      </c>
      <c r="E19" s="174" t="inlineStr">
        <is>
          <t>Tahmini talep = satış kabulü</t>
        </is>
      </c>
      <c r="F19" s="19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GIRDI — KDV Tevkifat Mahsup ve KDV İade Listesi</t>
        </is>
      </c>
    </row>
    <row r="3" ht="22" customHeight="1">
      <c r="A3" s="224" t="inlineStr">
        <is>
          <t>Dönem ve tevkifat girdileri</t>
        </is>
      </c>
    </row>
    <row r="4">
      <c r="A4" s="22" t="inlineStr">
        <is>
          <t>Sarı hücreler manuel giriştir. Mahsup/iade tutarları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Ticaret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2/10 Matrah [₺]</t>
        </is>
      </c>
      <c r="B9" s="27" t="n">
        <v>1000000</v>
      </c>
      <c r="C9" s="19" t="inlineStr">
        <is>
          <t>₺</t>
        </is>
      </c>
    </row>
    <row r="10">
      <c r="A10" s="24" t="inlineStr">
        <is>
          <t>5/10 Matrah [₺]</t>
        </is>
      </c>
      <c r="B10" s="27" t="n">
        <v>500000</v>
      </c>
      <c r="C10" s="19" t="inlineStr">
        <is>
          <t>₺</t>
        </is>
      </c>
    </row>
    <row r="11">
      <c r="A11" s="24" t="inlineStr">
        <is>
          <t>7/10 Matrah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9/10 Matrah [₺]</t>
        </is>
      </c>
      <c r="B12" s="27" t="n">
        <v>200000</v>
      </c>
      <c r="C12" s="19" t="inlineStr">
        <is>
          <t>₺</t>
        </is>
      </c>
    </row>
    <row r="13">
      <c r="A13" s="24" t="inlineStr">
        <is>
          <t>KDV1 Ödenecek [₺]</t>
        </is>
      </c>
      <c r="B13" s="27" t="n">
        <v>100000</v>
      </c>
      <c r="C13" s="19" t="inlineStr">
        <is>
          <t>₺</t>
        </is>
      </c>
    </row>
    <row r="14">
      <c r="A14" s="24" t="inlineStr">
        <is>
          <t>Önceki Mahsup Bakiyesi [₺]</t>
        </is>
      </c>
      <c r="B14" s="27" t="n">
        <v>20000</v>
      </c>
      <c r="C14" s="19" t="inlineStr">
        <is>
          <t>₺</t>
        </is>
      </c>
    </row>
    <row r="15">
      <c r="A15" s="24" t="inlineStr">
        <is>
          <t>İade Talep [₺]</t>
        </is>
      </c>
      <c r="B15" s="27" t="n">
        <v>80000</v>
      </c>
      <c r="C15" s="19" t="inlineStr">
        <is>
          <t>₺</t>
        </is>
      </c>
    </row>
    <row r="16">
      <c r="A16" s="24" t="inlineStr">
        <is>
          <t>Mahsup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Toplam Tevkifat (ayna) [₺]</t>
        </is>
      </c>
      <c r="B18" s="28">
        <f>IFERROR(ktm_toplamTevkifat,0)</f>
        <v/>
      </c>
    </row>
    <row r="19">
      <c r="A19" s="10" t="inlineStr">
        <is>
          <t>Giriş doluluk (kalite)</t>
        </is>
      </c>
      <c r="B19" s="29">
        <f>IFERROR(IF(OR(COUNTA(B6:B16)=0,ktm_girisBeklenen=0),0,ROUND(COUNTA(B6:B16)/ktm_girisBeklenen*100,0)),0)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Ticaret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matrah_2_10</t>
        </is>
      </c>
      <c r="B27" s="33" t="n">
        <v>1000000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matrah_5_10</t>
        </is>
      </c>
      <c r="B28" s="33" t="n">
        <v>500000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matrah_7_10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matrah_9_10</t>
        </is>
      </c>
      <c r="B30" s="33" t="n">
        <v>200000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kdv1_odenecek</t>
        </is>
      </c>
      <c r="B31" s="33" t="n">
        <v>100000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onceki_mahsup_bakiyesi</t>
        </is>
      </c>
      <c r="B32" s="33" t="n">
        <v>20000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iade_talep</t>
        </is>
      </c>
      <c r="B33" s="33" t="n">
        <v>80000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mahsup_yorumu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024" ht="20" customHeight="1">
      <c r="A1024" s="34" t="inlineStr">
        <is>
          <t>Sarı alanlar giriş; mahsup/iade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Mahsup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2/10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5/10 Matrah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7/10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9/10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DV1 Ödenece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Önceki Bakiye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2/10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5/10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7/10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9/10" prompt="0 ile 1e12 arasında TL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DV1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Bakiye" prompt="0 ile 1e12 arasında TL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5" t="inlineStr">
        <is>
          <t>KURALLAR — KDV Tevkifat Mahsup ve KDV İade Listesi</t>
        </is>
      </c>
    </row>
    <row r="3" ht="22" customHeight="1">
      <c r="A3" s="224" t="inlineStr">
        <is>
          <t>Tevkifat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KTM-001</t>
        </is>
      </c>
      <c r="B7" s="24" t="inlineStr">
        <is>
          <t>KDVK / tebliğ</t>
        </is>
      </c>
      <c r="C7" s="24" t="inlineStr">
        <is>
          <t>tevkifat_2_10</t>
        </is>
      </c>
      <c r="D7" s="24" t="inlineStr">
        <is>
          <t>matrah_2_10&gt;0</t>
        </is>
      </c>
      <c r="E7" s="24" t="inlineStr">
        <is>
          <t>tevkifat_2_10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2/10 tevkifat oranı</t>
        </is>
      </c>
      <c r="K7" s="31">
        <f>IF($A7="","",IFERROR(CHOOSE(MAX(1,MIN(3,IF(OR(hesapYili="",hesapYili=0),1,hesapYili-ktm_yilTaban))),$F7,$G7,$H7),0))</f>
        <v/>
      </c>
    </row>
    <row r="8">
      <c r="A8" s="24" t="inlineStr">
        <is>
          <t>KTM-002</t>
        </is>
      </c>
      <c r="B8" s="24" t="inlineStr">
        <is>
          <t>KDVK / tebliğ</t>
        </is>
      </c>
      <c r="C8" s="24" t="inlineStr">
        <is>
          <t>tevkifat_5_10</t>
        </is>
      </c>
      <c r="D8" s="24" t="inlineStr">
        <is>
          <t>matrah_5_10&gt;0</t>
        </is>
      </c>
      <c r="E8" s="24" t="inlineStr">
        <is>
          <t>tevkifat_5_10</t>
        </is>
      </c>
      <c r="F8" s="37" t="n">
        <v>0.5</v>
      </c>
      <c r="G8" s="37" t="n">
        <v>0.5</v>
      </c>
      <c r="H8" s="37" t="n">
        <v>0.5</v>
      </c>
      <c r="I8" s="24" t="inlineStr">
        <is>
          <t>01.01.2025</t>
        </is>
      </c>
      <c r="J8" s="24" t="inlineStr">
        <is>
          <t>5/10 tevkifat oranı</t>
        </is>
      </c>
      <c r="K8" s="31">
        <f>IF($A8="","",IFERROR(CHOOSE(MAX(1,MIN(3,IF(OR(hesapYili="",hesapYili=0),1,hesapYili-ktm_yilTaban))),$F8,$G8,$H8),0))</f>
        <v/>
      </c>
    </row>
    <row r="9">
      <c r="A9" s="24" t="inlineStr">
        <is>
          <t>KTM-003</t>
        </is>
      </c>
      <c r="B9" s="24" t="inlineStr">
        <is>
          <t>KDVK / tebliğ</t>
        </is>
      </c>
      <c r="C9" s="24" t="inlineStr">
        <is>
          <t>tevkifat_7_10</t>
        </is>
      </c>
      <c r="D9" s="24" t="inlineStr">
        <is>
          <t>matrah_7_10&gt;0</t>
        </is>
      </c>
      <c r="E9" s="24" t="inlineStr">
        <is>
          <t>tevkifat_7_10</t>
        </is>
      </c>
      <c r="F9" s="37" t="n">
        <v>0.7</v>
      </c>
      <c r="G9" s="37" t="n">
        <v>0.7</v>
      </c>
      <c r="H9" s="37" t="n">
        <v>0.7</v>
      </c>
      <c r="I9" s="24" t="inlineStr">
        <is>
          <t>01.01.2025</t>
        </is>
      </c>
      <c r="J9" s="24" t="inlineStr">
        <is>
          <t>7/10 tevkifat oranı</t>
        </is>
      </c>
      <c r="K9" s="31">
        <f>IF($A9="","",IFERROR(CHOOSE(MAX(1,MIN(3,IF(OR(hesapYili="",hesapYili=0),1,hesapYili-ktm_yilTaban))),$F9,$G9,$H9),0))</f>
        <v/>
      </c>
    </row>
    <row r="10">
      <c r="A10" s="24" t="inlineStr">
        <is>
          <t>KTM-004</t>
        </is>
      </c>
      <c r="B10" s="24" t="inlineStr">
        <is>
          <t>KDVK / tebliğ</t>
        </is>
      </c>
      <c r="C10" s="24" t="inlineStr">
        <is>
          <t>tevkifat_9_10</t>
        </is>
      </c>
      <c r="D10" s="24" t="inlineStr">
        <is>
          <t>matrah_9_10&gt;0</t>
        </is>
      </c>
      <c r="E10" s="24" t="inlineStr">
        <is>
          <t>tevkifat_9_10</t>
        </is>
      </c>
      <c r="F10" s="37" t="n">
        <v>0.9</v>
      </c>
      <c r="G10" s="37" t="n">
        <v>0.9</v>
      </c>
      <c r="H10" s="37" t="n">
        <v>0.9</v>
      </c>
      <c r="I10" s="24" t="inlineStr">
        <is>
          <t>01.01.2025</t>
        </is>
      </c>
      <c r="J10" s="24" t="inlineStr">
        <is>
          <t>9/10 tevkifat oranı</t>
        </is>
      </c>
      <c r="K10" s="31">
        <f>IF($A10="","",IFERROR(CHOOSE(MAX(1,MIN(3,IF(OR(hesapYili="",hesapYili=0),1,hesapYili-ktm_yilTaban))),$F10,$G10,$H10),0))</f>
        <v/>
      </c>
    </row>
    <row r="11">
      <c r="A11" s="24" t="inlineStr">
        <is>
          <t>KTM-005</t>
        </is>
      </c>
      <c r="B11" s="24" t="inlineStr">
        <is>
          <t>KDVK genel</t>
        </is>
      </c>
      <c r="C11" s="24" t="inlineStr">
        <is>
          <t>kdv_genel_oran</t>
        </is>
      </c>
      <c r="D11" s="24" t="inlineStr">
        <is>
          <t>her hesap</t>
        </is>
      </c>
      <c r="E11" s="24" t="inlineStr">
        <is>
          <t>kdv_genel_oran</t>
        </is>
      </c>
      <c r="F11" s="37" t="n">
        <v>0.2</v>
      </c>
      <c r="G11" s="37" t="n">
        <v>0.2</v>
      </c>
      <c r="H11" s="37" t="n">
        <v>0.2</v>
      </c>
      <c r="I11" s="24" t="inlineStr">
        <is>
          <t>01.01.2025</t>
        </is>
      </c>
      <c r="J11" s="24" t="inlineStr">
        <is>
          <t>Genel KDV oranı + yuvarlama</t>
        </is>
      </c>
      <c r="K11" s="31">
        <f>IF($A11="","",IFERROR(CHOOSE(MAX(1,MIN(3,IF(OR(hesapYili="",hesapYili=0),1,hesapYili-ktm_yilTaban))),$F11,$G11,$H11),0))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2/10 oranı (aktif yıl)</t>
        </is>
      </c>
      <c r="B15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16">
      <c r="A16" s="24" t="inlineStr">
        <is>
          <t>5/10 oranı (aktif yıl)</t>
        </is>
      </c>
      <c r="B16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7">
      <c r="A17" s="24" t="inlineStr">
        <is>
          <t>Matris metni</t>
        </is>
      </c>
      <c r="B17" s="11">
        <f>IFERROR(_xlfn.TEXTJOIN(" | ",TRUE,"KTM-001=",TEXT(B15,"0.0%"),"KTM-002=",TEXT(B16,"0.0%"),"yıl=",IF(OR(hesapYili="",hesapYili=0),"-",hesapYili)),"-")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I6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MOTOR — KDV Tevkifat Mahsup ve KDV İade Listesi</t>
        </is>
      </c>
    </row>
    <row r="3" ht="22" customHeight="1">
      <c r="A3" s="224" t="inlineStr">
        <is>
          <t>Hesap zinciri — her adımda kural_id</t>
        </is>
      </c>
    </row>
    <row r="4">
      <c r="A4" s="22" t="inlineStr">
        <is>
          <t>Tevkifat oranları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38" t="n">
        <v>1</v>
      </c>
      <c r="B7" s="15" t="inlineStr">
        <is>
          <t>Hesap yılı oku</t>
        </is>
      </c>
      <c r="C7" s="39">
        <f>IFERROR(hesapYili,0)</f>
        <v/>
      </c>
      <c r="D7" s="40" t="inlineStr">
        <is>
          <t>yıl</t>
        </is>
      </c>
      <c r="E7" s="41" t="inlineStr">
        <is>
          <t>Aktif mevzuat yılı</t>
        </is>
      </c>
      <c r="F7" s="14" t="inlineStr">
        <is>
          <t>KTM-005</t>
        </is>
      </c>
      <c r="G7" s="29">
        <f>IFERROR(hesapYili,0)</f>
        <v/>
      </c>
    </row>
    <row r="8">
      <c r="A8" s="38" t="n">
        <v>2</v>
      </c>
      <c r="B8" s="15" t="inlineStr">
        <is>
          <t>2/10 tevkifat oranı</t>
        </is>
      </c>
      <c r="C8" s="42">
        <f>IFERROR(INDEX(CHOOSE(MAX(1,MIN(3,IF(OR(hesapYili="",hesapYili=0),1,hesapYili-ktm_yilTaban))),tblKurallar[deger_2025],tblKurallar[deger_2026],tblKurallar[deger_2027]),MATCH("KTM-001",tblKurallar[kural_id],0)),0)</f>
        <v/>
      </c>
      <c r="D8" s="40" t="inlineStr">
        <is>
          <t>oran</t>
        </is>
      </c>
      <c r="E8" s="41" t="inlineStr">
        <is>
          <t>2/10 oranı</t>
        </is>
      </c>
      <c r="F8" s="14" t="inlineStr">
        <is>
          <t>KTM-001</t>
        </is>
      </c>
      <c r="G8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9">
      <c r="A9" s="38" t="n">
        <v>3</v>
      </c>
      <c r="B9" s="15" t="inlineStr">
        <is>
          <t>5/10 tevkifat oranı</t>
        </is>
      </c>
      <c r="C9" s="42">
        <f>IFERROR(INDEX(CHOOSE(MAX(1,MIN(3,IF(OR(hesapYili="",hesapYili=0),1,hesapYili-ktm_yilTaban))),tblKurallar[deger_2025],tblKurallar[deger_2026],tblKurallar[deger_2027]),MATCH("KTM-002",tblKurallar[kural_id],0)),0)</f>
        <v/>
      </c>
      <c r="D9" s="40" t="inlineStr">
        <is>
          <t>oran</t>
        </is>
      </c>
      <c r="E9" s="41" t="inlineStr">
        <is>
          <t>5/10 oranı</t>
        </is>
      </c>
      <c r="F9" s="14" t="inlineStr">
        <is>
          <t>KTM-002</t>
        </is>
      </c>
      <c r="G9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0">
      <c r="A10" s="38" t="n">
        <v>4</v>
      </c>
      <c r="B10" s="15" t="inlineStr">
        <is>
          <t>7/10 tevkifat oranı</t>
        </is>
      </c>
      <c r="C10" s="42">
        <f>IFERROR(INDEX(CHOOSE(MAX(1,MIN(3,IF(OR(hesapYili="",hesapYili=0),1,hesapYili-ktm_yilTaban))),tblKurallar[deger_2025],tblKurallar[deger_2026],tblKurallar[deger_2027]),MATCH("KTM-003",tblKurallar[kural_id],0)),0)</f>
        <v/>
      </c>
      <c r="D10" s="40" t="inlineStr">
        <is>
          <t>oran</t>
        </is>
      </c>
      <c r="E10" s="41" t="inlineStr">
        <is>
          <t>7/10 oranı</t>
        </is>
      </c>
      <c r="F10" s="14" t="inlineStr">
        <is>
          <t>KTM-003</t>
        </is>
      </c>
      <c r="G10" s="18">
        <f>IFERROR(INDEX(CHOOSE(MAX(1,MIN(3,IF(OR(hesapYili="",hesapYili=0),1,hesapYili-ktm_yilTaban))),tblKurallar[deger_2025],tblKurallar[deger_2026],tblKurallar[deger_2027]),MATCH("KTM-003",tblKurallar[kural_id],0)),0)</f>
        <v/>
      </c>
    </row>
    <row r="11">
      <c r="A11" s="38" t="n">
        <v>5</v>
      </c>
      <c r="B11" s="15" t="inlineStr">
        <is>
          <t>9/10 tevkifat oranı</t>
        </is>
      </c>
      <c r="C11" s="42">
        <f>IFERROR(INDEX(CHOOSE(MAX(1,MIN(3,IF(OR(hesapYili="",hesapYili=0),1,hesapYili-ktm_yilTaban))),tblKurallar[deger_2025],tblKurallar[deger_2026],tblKurallar[deger_2027]),MATCH("KTM-004",tblKurallar[kural_id],0)),0)</f>
        <v/>
      </c>
      <c r="D11" s="40" t="inlineStr">
        <is>
          <t>oran</t>
        </is>
      </c>
      <c r="E11" s="41" t="inlineStr">
        <is>
          <t>9/10 oranı</t>
        </is>
      </c>
      <c r="F11" s="14" t="inlineStr">
        <is>
          <t>KTM-004</t>
        </is>
      </c>
      <c r="G11" s="18">
        <f>IFERROR(INDEX(CHOOSE(MAX(1,MIN(3,IF(OR(hesapYili="",hesapYili=0),1,hesapYili-ktm_yilTaban))),tblKurallar[deger_2025],tblKurallar[deger_2026],tblKurallar[deger_2027]),MATCH("KTM-004",tblKurallar[kural_id],0)),0)</f>
        <v/>
      </c>
    </row>
    <row r="12">
      <c r="A12" s="38" t="n">
        <v>6</v>
      </c>
      <c r="B12" s="15" t="inlineStr">
        <is>
          <t>Genel KDV oranı</t>
        </is>
      </c>
      <c r="C12" s="42">
        <f>IFERROR(INDEX(CHOOSE(MAX(1,MIN(3,IF(OR(hesapYili="",hesapYili=0),1,hesapYili-ktm_yilTaban))),tblKurallar[deger_2025],tblKurallar[deger_2026],tblKurallar[deger_2027]),MATCH("KTM-005",tblKurallar[kural_id],0)),0)</f>
        <v/>
      </c>
      <c r="D12" s="40" t="inlineStr">
        <is>
          <t>oran</t>
        </is>
      </c>
      <c r="E12" s="41" t="inlineStr">
        <is>
          <t>KDV genel oranı</t>
        </is>
      </c>
      <c r="F12" s="14" t="inlineStr">
        <is>
          <t>KTM-005</t>
        </is>
      </c>
      <c r="G12" s="18">
        <f>IFERROR(INDEX(CHOOSE(MAX(1,MIN(3,IF(OR(hesapYili="",hesapYili=0),1,hesapYili-ktm_yilTaban))),tblKurallar[deger_2025],tblKurallar[deger_2026],tblKurallar[deger_2027]),MATCH("KTM-005",tblKurallar[kural_id],0)),0)</f>
        <v/>
      </c>
    </row>
    <row r="13">
      <c r="A13" s="38" t="n">
        <v>7</v>
      </c>
      <c r="B13" s="15" t="inlineStr">
        <is>
          <t>Yuvarlama ondalık</t>
        </is>
      </c>
      <c r="C13" s="39">
        <f>IFERROR(ktm_yuvarMax+N(GIRDI!B9)*0,0)</f>
        <v/>
      </c>
      <c r="D13" s="40" t="inlineStr">
        <is>
          <t>adet</t>
        </is>
      </c>
      <c r="E13" s="41" t="inlineStr">
        <is>
          <t>Yuvarlama basamağı</t>
        </is>
      </c>
      <c r="F13" s="14" t="inlineStr">
        <is>
          <t>KTM-005</t>
        </is>
      </c>
      <c r="G13" s="29">
        <f>IFERROR(ktm_yuvarMax+N(GIRDI!B9)*0,0)</f>
        <v/>
      </c>
    </row>
    <row r="14">
      <c r="A14" s="38" t="n">
        <v>8</v>
      </c>
      <c r="B14" s="15" t="inlineStr">
        <is>
          <t>2/10 matrah</t>
        </is>
      </c>
      <c r="C14" s="43">
        <f>IFERROR(GIRDI!B9,0)</f>
        <v/>
      </c>
      <c r="D14" s="40" t="inlineStr">
        <is>
          <t>TL</t>
        </is>
      </c>
      <c r="E14" s="41" t="inlineStr">
        <is>
          <t>2/10 ham matrah</t>
        </is>
      </c>
      <c r="F14" s="14" t="inlineStr">
        <is>
          <t>KTM-001</t>
        </is>
      </c>
      <c r="G14" s="16">
        <f>IFERROR(GIRDI!B9,0)</f>
        <v/>
      </c>
    </row>
    <row r="15">
      <c r="A15" s="38" t="n">
        <v>9</v>
      </c>
      <c r="B15" s="15" t="inlineStr">
        <is>
          <t>5/10 matrah</t>
        </is>
      </c>
      <c r="C15" s="43">
        <f>IFERROR(GIRDI!B10,0)</f>
        <v/>
      </c>
      <c r="D15" s="40" t="inlineStr">
        <is>
          <t>TL</t>
        </is>
      </c>
      <c r="E15" s="41" t="inlineStr">
        <is>
          <t>5/10 ham matrah</t>
        </is>
      </c>
      <c r="F15" s="14" t="inlineStr">
        <is>
          <t>KTM-002</t>
        </is>
      </c>
      <c r="G15" s="16">
        <f>IFERROR(GIRDI!B10,0)</f>
        <v/>
      </c>
    </row>
    <row r="16">
      <c r="A16" s="38" t="n">
        <v>10</v>
      </c>
      <c r="B16" s="15" t="inlineStr">
        <is>
          <t>7/10 matrah</t>
        </is>
      </c>
      <c r="C16" s="43">
        <f>IFERROR(GIRDI!B11,0)</f>
        <v/>
      </c>
      <c r="D16" s="40" t="inlineStr">
        <is>
          <t>TL</t>
        </is>
      </c>
      <c r="E16" s="41" t="inlineStr">
        <is>
          <t>7/10 ham matrah</t>
        </is>
      </c>
      <c r="F16" s="14" t="inlineStr">
        <is>
          <t>KTM-003</t>
        </is>
      </c>
      <c r="G16" s="16">
        <f>IFERROR(GIRDI!B11,0)</f>
        <v/>
      </c>
    </row>
    <row r="17">
      <c r="A17" s="38" t="n">
        <v>11</v>
      </c>
      <c r="B17" s="15" t="inlineStr">
        <is>
          <t>9/10 matrah</t>
        </is>
      </c>
      <c r="C17" s="43">
        <f>IFERROR(GIRDI!B12,0)</f>
        <v/>
      </c>
      <c r="D17" s="40" t="inlineStr">
        <is>
          <t>TL</t>
        </is>
      </c>
      <c r="E17" s="41" t="inlineStr">
        <is>
          <t>9/10 ham matrah</t>
        </is>
      </c>
      <c r="F17" s="14" t="inlineStr">
        <is>
          <t>KTM-004</t>
        </is>
      </c>
      <c r="G17" s="16">
        <f>IFERROR(GIRDI!B12,0)</f>
        <v/>
      </c>
    </row>
    <row r="18">
      <c r="A18" s="38" t="n">
        <v>12</v>
      </c>
      <c r="B18" s="15" t="inlineStr">
        <is>
          <t>KDV1 ödenecek</t>
        </is>
      </c>
      <c r="C18" s="43">
        <f>IFERROR(GIRDI!B13,0)</f>
        <v/>
      </c>
      <c r="D18" s="40" t="inlineStr">
        <is>
          <t>TL</t>
        </is>
      </c>
      <c r="E18" s="41" t="inlineStr">
        <is>
          <t>1 Numaralı ödenecek</t>
        </is>
      </c>
      <c r="F18" s="14" t="inlineStr">
        <is>
          <t>KTM-005</t>
        </is>
      </c>
      <c r="G18" s="16">
        <f>IFERROR(GIRDI!B13,0)</f>
        <v/>
      </c>
    </row>
    <row r="19">
      <c r="A19" s="38" t="n">
        <v>13</v>
      </c>
      <c r="B19" s="15" t="inlineStr">
        <is>
          <t>Önceki mahsup bakiyesi</t>
        </is>
      </c>
      <c r="C19" s="43">
        <f>IFERROR(GIRDI!B14,0)</f>
        <v/>
      </c>
      <c r="D19" s="40" t="inlineStr">
        <is>
          <t>TL</t>
        </is>
      </c>
      <c r="E19" s="41" t="inlineStr">
        <is>
          <t>Devreden bakiye</t>
        </is>
      </c>
      <c r="F19" s="14" t="inlineStr">
        <is>
          <t>KTM-005</t>
        </is>
      </c>
      <c r="G19" s="16">
        <f>IFERROR(GIRDI!B14,0)</f>
        <v/>
      </c>
    </row>
    <row r="20">
      <c r="A20" s="38" t="n">
        <v>14</v>
      </c>
      <c r="B20" s="15" t="inlineStr">
        <is>
          <t>İade talep</t>
        </is>
      </c>
      <c r="C20" s="43">
        <f>IFERROR(GIRDI!B15,0)</f>
        <v/>
      </c>
      <c r="D20" s="40" t="inlineStr">
        <is>
          <t>TL</t>
        </is>
      </c>
      <c r="E20" s="41" t="inlineStr">
        <is>
          <t>Talep edilen iade</t>
        </is>
      </c>
      <c r="F20" s="14" t="inlineStr">
        <is>
          <t>KTM-005</t>
        </is>
      </c>
      <c r="G20" s="16">
        <f>IFERROR(GIRDI!B15,0)</f>
        <v/>
      </c>
    </row>
    <row r="21">
      <c r="A21" s="38" t="n">
        <v>15</v>
      </c>
      <c r="B21" s="15" t="inlineStr">
        <is>
          <t>2/10 KDV</t>
        </is>
      </c>
      <c r="C21" s="43">
        <f>IFERROR(ROUND(G14*G12,MAX(0,MIN(ktm_yuvarMax,IFERROR(N(G13),0)))),0)</f>
        <v/>
      </c>
      <c r="D21" s="40" t="inlineStr">
        <is>
          <t>TL</t>
        </is>
      </c>
      <c r="E21" s="41" t="inlineStr">
        <is>
          <t>2/10 hesaplanan KDV</t>
        </is>
      </c>
      <c r="F21" s="14" t="inlineStr">
        <is>
          <t>KTM-001</t>
        </is>
      </c>
      <c r="G21" s="16">
        <f>IFERROR(ROUND(G14*G12,MAX(0,MIN(ktm_yuvarMax,IFERROR(N(G13),0)))),0)</f>
        <v/>
      </c>
    </row>
    <row r="22">
      <c r="A22" s="38" t="n">
        <v>16</v>
      </c>
      <c r="B22" s="15" t="inlineStr">
        <is>
          <t>5/10 KDV</t>
        </is>
      </c>
      <c r="C22" s="43">
        <f>IFERROR(ROUND(G15*G12,MAX(0,MIN(ktm_yuvarMax,IFERROR(N(G13),0)))),0)</f>
        <v/>
      </c>
      <c r="D22" s="40" t="inlineStr">
        <is>
          <t>TL</t>
        </is>
      </c>
      <c r="E22" s="41" t="inlineStr">
        <is>
          <t>5/10 hesaplanan KDV</t>
        </is>
      </c>
      <c r="F22" s="14" t="inlineStr">
        <is>
          <t>KTM-002</t>
        </is>
      </c>
      <c r="G22" s="16">
        <f>IFERROR(ROUND(G15*G12,MAX(0,MIN(ktm_yuvarMax,IFERROR(N(G13),0)))),0)</f>
        <v/>
      </c>
    </row>
    <row r="23">
      <c r="A23" s="38" t="n">
        <v>17</v>
      </c>
      <c r="B23" s="15" t="inlineStr">
        <is>
          <t>7/10 KDV</t>
        </is>
      </c>
      <c r="C23" s="43">
        <f>IFERROR(ROUND(G16*G12,MAX(0,MIN(ktm_yuvarMax,IFERROR(N(G13),0)))),0)</f>
        <v/>
      </c>
      <c r="D23" s="40" t="inlineStr">
        <is>
          <t>TL</t>
        </is>
      </c>
      <c r="E23" s="41" t="inlineStr">
        <is>
          <t>7/10 hesaplanan KDV</t>
        </is>
      </c>
      <c r="F23" s="14" t="inlineStr">
        <is>
          <t>KTM-003</t>
        </is>
      </c>
      <c r="G23" s="16">
        <f>IFERROR(ROUND(G16*G12,MAX(0,MIN(ktm_yuvarMax,IFERROR(N(G13),0)))),0)</f>
        <v/>
      </c>
    </row>
    <row r="24">
      <c r="A24" s="38" t="n">
        <v>18</v>
      </c>
      <c r="B24" s="15" t="inlineStr">
        <is>
          <t>9/10 KDV</t>
        </is>
      </c>
      <c r="C24" s="43">
        <f>IFERROR(ROUND(G17*G12,MAX(0,MIN(ktm_yuvarMax,IFERROR(N(G13),0)))),0)</f>
        <v/>
      </c>
      <c r="D24" s="40" t="inlineStr">
        <is>
          <t>TL</t>
        </is>
      </c>
      <c r="E24" s="41" t="inlineStr">
        <is>
          <t>9/10 hesaplanan KDV</t>
        </is>
      </c>
      <c r="F24" s="14" t="inlineStr">
        <is>
          <t>KTM-004</t>
        </is>
      </c>
      <c r="G24" s="16">
        <f>IFERROR(ROUND(G17*G12,MAX(0,MIN(ktm_yuvarMax,IFERROR(N(G13),0)))),0)</f>
        <v/>
      </c>
    </row>
    <row r="25">
      <c r="A25" s="38" t="n">
        <v>19</v>
      </c>
      <c r="B25" s="15" t="inlineStr">
        <is>
          <t>2/10 tevkifat</t>
        </is>
      </c>
      <c r="C25" s="43">
        <f>IFERROR(ROUND(G21*G8,MAX(0,MIN(ktm_yuvarMax,IFERROR(N(G13),0)))),0)</f>
        <v/>
      </c>
      <c r="D25" s="40" t="inlineStr">
        <is>
          <t>TL</t>
        </is>
      </c>
      <c r="E25" s="41" t="inlineStr">
        <is>
          <t>2/10 tevkifat tutarı</t>
        </is>
      </c>
      <c r="F25" s="14" t="inlineStr">
        <is>
          <t>KTM-001</t>
        </is>
      </c>
      <c r="G25" s="16">
        <f>IFERROR(ROUND(G21*G8,MAX(0,MIN(ktm_yuvarMax,IFERROR(N(G13),0)))),0)</f>
        <v/>
      </c>
    </row>
    <row r="26">
      <c r="A26" s="38" t="n">
        <v>20</v>
      </c>
      <c r="B26" s="15" t="inlineStr">
        <is>
          <t>5/10 tevkifat</t>
        </is>
      </c>
      <c r="C26" s="43">
        <f>IFERROR(ROUND(G22*G9,MAX(0,MIN(ktm_yuvarMax,IFERROR(N(G13),0)))),0)</f>
        <v/>
      </c>
      <c r="D26" s="40" t="inlineStr">
        <is>
          <t>TL</t>
        </is>
      </c>
      <c r="E26" s="41" t="inlineStr">
        <is>
          <t>5/10 tevkifat tutarı</t>
        </is>
      </c>
      <c r="F26" s="14" t="inlineStr">
        <is>
          <t>KTM-002</t>
        </is>
      </c>
      <c r="G26" s="16">
        <f>IFERROR(ROUND(G22*G9,MAX(0,MIN(ktm_yuvarMax,IFERROR(N(G13),0)))),0)</f>
        <v/>
      </c>
    </row>
    <row r="27">
      <c r="A27" s="38" t="n">
        <v>21</v>
      </c>
      <c r="B27" s="15" t="inlineStr">
        <is>
          <t>7/10 tevkifat</t>
        </is>
      </c>
      <c r="C27" s="43">
        <f>IFERROR(ROUND(G23*G10,MAX(0,MIN(ktm_yuvarMax,IFERROR(N(G13),0)))),0)</f>
        <v/>
      </c>
      <c r="D27" s="40" t="inlineStr">
        <is>
          <t>TL</t>
        </is>
      </c>
      <c r="E27" s="41" t="inlineStr">
        <is>
          <t>7/10 tevkifat tutarı</t>
        </is>
      </c>
      <c r="F27" s="14" t="inlineStr">
        <is>
          <t>KTM-003</t>
        </is>
      </c>
      <c r="G27" s="16">
        <f>IFERROR(ROUND(G23*G10,MAX(0,MIN(ktm_yuvarMax,IFERROR(N(G13),0)))),0)</f>
        <v/>
      </c>
    </row>
    <row r="28">
      <c r="A28" s="38" t="n">
        <v>22</v>
      </c>
      <c r="B28" s="15" t="inlineStr">
        <is>
          <t>9/10 tevkifat</t>
        </is>
      </c>
      <c r="C28" s="43">
        <f>IFERROR(ROUND(G24*G11,MAX(0,MIN(ktm_yuvarMax,IFERROR(N(G13),0)))),0)</f>
        <v/>
      </c>
      <c r="D28" s="40" t="inlineStr">
        <is>
          <t>TL</t>
        </is>
      </c>
      <c r="E28" s="41" t="inlineStr">
        <is>
          <t>9/10 tevkifat tutarı</t>
        </is>
      </c>
      <c r="F28" s="14" t="inlineStr">
        <is>
          <t>KTM-004</t>
        </is>
      </c>
      <c r="G28" s="16">
        <f>IFERROR(ROUND(G24*G11,MAX(0,MIN(ktm_yuvarMax,IFERROR(N(G13),0)))),0)</f>
        <v/>
      </c>
    </row>
    <row r="29">
      <c r="A29" s="38" t="n">
        <v>23</v>
      </c>
      <c r="B29" s="15" t="inlineStr">
        <is>
          <t>Dönem tevkifat toplamı</t>
        </is>
      </c>
      <c r="C29" s="43">
        <f>IFERROR(G25+G26+G27+G28,0)</f>
        <v/>
      </c>
      <c r="D29" s="40" t="inlineStr">
        <is>
          <t>TL</t>
        </is>
      </c>
      <c r="E29" s="41" t="inlineStr">
        <is>
          <t>Dönem tevkifatı</t>
        </is>
      </c>
      <c r="F29" s="14" t="inlineStr">
        <is>
          <t>KTM-005</t>
        </is>
      </c>
      <c r="G29" s="16">
        <f>IFERROR(G25+G26+G27+G28,0)</f>
        <v/>
      </c>
    </row>
    <row r="30">
      <c r="A30" s="38" t="n">
        <v>24</v>
      </c>
      <c r="B30" s="15" t="inlineStr">
        <is>
          <t>Mahsup havuzu</t>
        </is>
      </c>
      <c r="C30" s="43">
        <f>IFERROR(G29+G19,0)</f>
        <v/>
      </c>
      <c r="D30" s="40" t="inlineStr">
        <is>
          <t>TL</t>
        </is>
      </c>
      <c r="E30" s="41" t="inlineStr">
        <is>
          <t>Dönem + önceki bakiye</t>
        </is>
      </c>
      <c r="F30" s="14" t="inlineStr">
        <is>
          <t>KTM-005</t>
        </is>
      </c>
      <c r="G30" s="16">
        <f>IFERROR(G29+G19,0)</f>
        <v/>
      </c>
    </row>
    <row r="31">
      <c r="A31" s="38" t="n">
        <v>25</v>
      </c>
      <c r="B31" s="15" t="inlineStr">
        <is>
          <t>Mahsup (yorum A)</t>
        </is>
      </c>
      <c r="C31" s="43">
        <f>IFERROR(MIN(G30,G18),0)</f>
        <v/>
      </c>
      <c r="D31" s="40" t="inlineStr">
        <is>
          <t>TL</t>
        </is>
      </c>
      <c r="E31" s="41" t="inlineStr">
        <is>
          <t>Önce mahsup sonra iade</t>
        </is>
      </c>
      <c r="F31" s="14" t="inlineStr">
        <is>
          <t>KTM-005</t>
        </is>
      </c>
      <c r="G31" s="16">
        <f>IFERROR(MIN(G30,G18),0)</f>
        <v/>
      </c>
    </row>
    <row r="32">
      <c r="A32" s="38" t="n">
        <v>26</v>
      </c>
      <c r="B32" s="15" t="inlineStr">
        <is>
          <t>İade uygun (yorum A)</t>
        </is>
      </c>
      <c r="C32" s="43">
        <f>IFERROR(MAX(0,G30-G31),0)</f>
        <v/>
      </c>
      <c r="D32" s="40" t="inlineStr">
        <is>
          <t>TL</t>
        </is>
      </c>
      <c r="E32" s="41" t="inlineStr">
        <is>
          <t>Mahsup sonrası iade</t>
        </is>
      </c>
      <c r="F32" s="14" t="inlineStr">
        <is>
          <t>KTM-005</t>
        </is>
      </c>
      <c r="G32" s="16">
        <f>IFERROR(MAX(0,G30-G31),0)</f>
        <v/>
      </c>
    </row>
    <row r="33">
      <c r="A33" s="38" t="n">
        <v>27</v>
      </c>
      <c r="B33" s="15" t="inlineStr">
        <is>
          <t>İade (yorum B)</t>
        </is>
      </c>
      <c r="C33" s="43">
        <f>IFERROR(MIN(G30,G20),0)</f>
        <v/>
      </c>
      <c r="D33" s="40" t="inlineStr">
        <is>
          <t>TL</t>
        </is>
      </c>
      <c r="E33" s="41" t="inlineStr">
        <is>
          <t>Önce iade sonra mahsup</t>
        </is>
      </c>
      <c r="F33" s="14" t="inlineStr">
        <is>
          <t>KTM-005</t>
        </is>
      </c>
      <c r="G33" s="16">
        <f>IFERROR(MIN(G30,G20),0)</f>
        <v/>
      </c>
    </row>
    <row r="34">
      <c r="A34" s="38" t="n">
        <v>28</v>
      </c>
      <c r="B34" s="15" t="inlineStr">
        <is>
          <t>Mahsup (yorum B)</t>
        </is>
      </c>
      <c r="C34" s="43">
        <f>IFERROR(MAX(0,G30-G33),0)</f>
        <v/>
      </c>
      <c r="D34" s="40" t="inlineStr">
        <is>
          <t>TL</t>
        </is>
      </c>
      <c r="E34" s="41" t="inlineStr">
        <is>
          <t>İade sonrası mahsup</t>
        </is>
      </c>
      <c r="F34" s="14" t="inlineStr">
        <is>
          <t>KTM-005</t>
        </is>
      </c>
      <c r="G34" s="16">
        <f>IFERROR(MAX(0,G30-G33),0)</f>
        <v/>
      </c>
    </row>
    <row r="35">
      <c r="A35" s="38" t="n">
        <v>29</v>
      </c>
      <c r="B35" s="15" t="inlineStr">
        <is>
          <t>Seçili mahsup</t>
        </is>
      </c>
      <c r="C35" s="43">
        <f>IFERROR(IF(GIRDI!B16="B",G34,G31),0)</f>
        <v/>
      </c>
      <c r="D35" s="40" t="inlineStr">
        <is>
          <t>TL</t>
        </is>
      </c>
      <c r="E35" s="41" t="inlineStr">
        <is>
          <t>Yoruma göre mahsup</t>
        </is>
      </c>
      <c r="F35" s="14" t="inlineStr">
        <is>
          <t>KTM-005</t>
        </is>
      </c>
      <c r="G35" s="16">
        <f>IFERROR(IF(GIRDI!B16="B",G34,G31),0)</f>
        <v/>
      </c>
    </row>
    <row r="36">
      <c r="A36" s="38" t="n">
        <v>30</v>
      </c>
      <c r="B36" s="15" t="inlineStr">
        <is>
          <t>Seçili iade uygun</t>
        </is>
      </c>
      <c r="C36" s="43">
        <f>IFERROR(IF(GIRDI!B16="B",G33,G32),0)</f>
        <v/>
      </c>
      <c r="D36" s="40" t="inlineStr">
        <is>
          <t>TL</t>
        </is>
      </c>
      <c r="E36" s="41" t="inlineStr">
        <is>
          <t>Yoruma göre iade</t>
        </is>
      </c>
      <c r="F36" s="14" t="inlineStr">
        <is>
          <t>KTM-005</t>
        </is>
      </c>
      <c r="G36" s="16">
        <f>IFERROR(IF(GIRDI!B16="B",G33,G32),0)</f>
        <v/>
      </c>
    </row>
    <row r="37">
      <c r="A37" s="38" t="n">
        <v>31</v>
      </c>
      <c r="B37" s="15" t="inlineStr">
        <is>
          <t>İade sapması</t>
        </is>
      </c>
      <c r="C37" s="43">
        <f>IFERROR(G36-G20,0)</f>
        <v/>
      </c>
      <c r="D37" s="40" t="inlineStr">
        <is>
          <t>TL</t>
        </is>
      </c>
      <c r="E37" s="41" t="inlineStr">
        <is>
          <t>Uygun − talep</t>
        </is>
      </c>
      <c r="F37" s="14" t="inlineStr">
        <is>
          <t>KTM-005</t>
        </is>
      </c>
      <c r="G37" s="16">
        <f>IFERROR(G36-G20,0)</f>
        <v/>
      </c>
    </row>
    <row r="38">
      <c r="A38" s="38" t="n">
        <v>32</v>
      </c>
      <c r="B38" s="15" t="inlineStr">
        <is>
          <t>Karar kodu</t>
        </is>
      </c>
      <c r="C38" s="11">
        <f>IFERROR(IF(COUNTA(tblGirdi[Alan Anahtarı])=0,"VERI_YOK",IF(AND(G36&gt;=ktm_iadeEsik,G36&gt;0),"IADE",IF(G35&gt;0,"MAHSUP","BEKLE"))),"")</f>
        <v/>
      </c>
      <c r="D38" s="40" t="inlineStr">
        <is>
          <t>kod</t>
        </is>
      </c>
      <c r="E38" s="41" t="inlineStr">
        <is>
          <t>Karar kodu</t>
        </is>
      </c>
      <c r="F38" s="14" t="inlineStr">
        <is>
          <t>KTM-005</t>
        </is>
      </c>
      <c r="G38" s="17">
        <f>IFERROR(IF(COUNTA(tblGirdi[Alan Anahtarı])=0,"VERI_YOK",IF(AND(G36&gt;=ktm_iadeEsik,G36&gt;0),"IADE",IF(G35&gt;0,"MAHSUP","BEKLE"))),"")</f>
        <v/>
      </c>
    </row>
    <row r="39">
      <c r="A39" s="38" t="n">
        <v>33</v>
      </c>
      <c r="B39" s="15" t="inlineStr">
        <is>
          <t>Karar metni</t>
        </is>
      </c>
      <c r="C39" s="11">
        <f>IFERROR(IF(G38="VERI_YOK","VERİ YOK",IF(G38="IADE","İADE",IF(G38="MAHSUP","MAHSUP","BEKLE"))),"")</f>
        <v/>
      </c>
      <c r="D39" s="40" t="inlineStr">
        <is>
          <t>metin</t>
        </is>
      </c>
      <c r="E39" s="41" t="inlineStr">
        <is>
          <t>Kullanıcıya karar</t>
        </is>
      </c>
      <c r="F39" s="14" t="inlineStr">
        <is>
          <t>KTM-005</t>
        </is>
      </c>
      <c r="G39" s="17">
        <f>IFERROR(IF(G38="VERI_YOK","VERİ YOK",IF(G38="IADE","İADE",IF(G38="MAHSUP","MAHSUP","BEKLE"))),"")</f>
        <v/>
      </c>
    </row>
    <row r="40">
      <c r="A40" s="38" t="n">
        <v>34</v>
      </c>
      <c r="B40" s="15" t="inlineStr">
        <is>
          <t>Gerekçe</t>
        </is>
      </c>
      <c r="C40" s="11">
        <f>IFERROR(IF(G38="VERI_YOK","Giriş tablosu boş — hesap yapılamaz.",IF(G38="IADE","İade uygun tutar eşik üzerinde; iade listesi öncelikli.",IF(G38="MAHSUP","Mahsup edilebilir tutar var; 2 Numaralı mahsup listesi öncelikli.","Mahsup AND iade net değil; belge/oran belirsizliği — bekleyin."))),"")</f>
        <v/>
      </c>
      <c r="D40" s="40" t="inlineStr">
        <is>
          <t>metin</t>
        </is>
      </c>
      <c r="E40" s="41" t="inlineStr">
        <is>
          <t>Gerekçe cümlesi</t>
        </is>
      </c>
      <c r="F40" s="14" t="inlineStr">
        <is>
          <t>KTM-005</t>
        </is>
      </c>
      <c r="G40" s="17">
        <f>IFERROR(IF(G38="VERI_YOK","Giriş tablosu boş — hesap yapılamaz.",IF(G38="IADE","İade uygun tutar eşik üzerinde; iade listesi öncelikli.",IF(G38="MAHSUP","Mahsup edilebilir tutar var; 2 Numaralı mahsup listesi öncelikli.","Mahsup AND iade net değil; belge/oran belirsizliği — bekleyin."))),"")</f>
        <v/>
      </c>
    </row>
    <row r="41">
      <c r="A41" s="38" t="n">
        <v>35</v>
      </c>
      <c r="B41" s="15" t="inlineStr">
        <is>
          <t>Tevkifat / matrah oranı</t>
        </is>
      </c>
      <c r="C41" s="42">
        <f>IFERROR(IF((G14+G15+G16+G17)=0,0,G29/(G14+G15+G16+G17)),0)</f>
        <v/>
      </c>
      <c r="D41" s="40" t="inlineStr">
        <is>
          <t>oran</t>
        </is>
      </c>
      <c r="E41" s="41" t="inlineStr">
        <is>
          <t>Ortalama tevkifat yoğunluğu</t>
        </is>
      </c>
      <c r="F41" s="14" t="inlineStr">
        <is>
          <t>KTM-005</t>
        </is>
      </c>
      <c r="G41" s="18">
        <f>IFERROR(IF((G14+G15+G16+G17)=0,0,G29/(G14+G15+G16+G17)),0)</f>
        <v/>
      </c>
    </row>
    <row r="42">
      <c r="A42" s="38" t="n">
        <v>36</v>
      </c>
      <c r="B42" s="15" t="inlineStr">
        <is>
          <t>Mahsup / havuz</t>
        </is>
      </c>
      <c r="C42" s="42">
        <f>IFERROR(IF(G30=0,0,G35/G30),0)</f>
        <v/>
      </c>
      <c r="D42" s="40" t="inlineStr">
        <is>
          <t>oran</t>
        </is>
      </c>
      <c r="E42" s="41" t="inlineStr">
        <is>
          <t>Mahsup karşılama</t>
        </is>
      </c>
      <c r="F42" s="14" t="inlineStr">
        <is>
          <t>KTM-005</t>
        </is>
      </c>
      <c r="G42" s="18">
        <f>IFERROR(IF(G30=0,0,G35/G30),0)</f>
        <v/>
      </c>
    </row>
    <row r="43">
      <c r="A43" s="38" t="n">
        <v>37</v>
      </c>
      <c r="B43" s="15" t="inlineStr">
        <is>
          <t>Güven skoru</t>
        </is>
      </c>
      <c r="C43" s="39">
        <f>IFERROR(ROUND(IF(OR(COUNTA(GIRDI!B6:B16)=0,ktm_girisBeklenen=0),0,COUNTA(GIRDI!B6:B16)/ktm_girisBeklenen*100),0),0)</f>
        <v/>
      </c>
      <c r="D43" s="40" t="inlineStr">
        <is>
          <t>puan</t>
        </is>
      </c>
      <c r="E43" s="41" t="inlineStr">
        <is>
          <t>Giriş bütünlüğü</t>
        </is>
      </c>
      <c r="F43" s="14" t="inlineStr">
        <is>
          <t>KTM-005</t>
        </is>
      </c>
      <c r="G43" s="29">
        <f>IFERROR(ROUND(IF(OR(COUNTA(GIRDI!B6:B16)=0,ktm_girisBeklenen=0),0,COUNTA(GIRDI!B6:B16)/ktm_girisBeklenen*100),0),0)</f>
        <v/>
      </c>
    </row>
    <row r="44">
      <c r="A44" s="38" t="n">
        <v>38</v>
      </c>
      <c r="B44" s="15" t="inlineStr">
        <is>
          <t>Risk skoru</t>
        </is>
      </c>
      <c r="C44" s="39">
        <f>IFERROR(IF(G38="VERI_YOK",0,IF(G38="BEKLE",ktm_riskYuksek,IF(G38="IADE",ktm_riskOrta,ktm_riskDusuk))),0)</f>
        <v/>
      </c>
      <c r="D44" s="40" t="inlineStr">
        <is>
          <t>puan</t>
        </is>
      </c>
      <c r="E44" s="41" t="inlineStr">
        <is>
          <t>Karar riski</t>
        </is>
      </c>
      <c r="F44" s="14" t="inlineStr">
        <is>
          <t>KTM-005</t>
        </is>
      </c>
      <c r="G44" s="29">
        <f>IFERROR(IF(G38="VERI_YOK",0,IF(G38="BEKLE",ktm_riskYuksek,IF(G38="IADE",ktm_riskOrta,ktm_riskDusuk))),0)</f>
        <v/>
      </c>
    </row>
    <row r="45">
      <c r="A45" s="38" t="n">
        <v>39</v>
      </c>
      <c r="B45" s="15" t="inlineStr">
        <is>
          <t>Senaryo iyimser matrah çarpanı</t>
        </is>
      </c>
      <c r="C45" s="42">
        <f>IFERROR(ktm_senaryoIyi+N(GIRDI!B9)*0,0)</f>
        <v/>
      </c>
      <c r="D45" s="40" t="inlineStr">
        <is>
          <t>oran</t>
        </is>
      </c>
      <c r="E45" s="41" t="inlineStr">
        <is>
          <t>İyimser çarpan</t>
        </is>
      </c>
      <c r="F45" s="14" t="inlineStr">
        <is>
          <t>KTM-005</t>
        </is>
      </c>
      <c r="G45" s="18">
        <f>IFERROR(ktm_senaryoIyi+N(GIRDI!B9)*0,0)</f>
        <v/>
      </c>
    </row>
    <row r="46">
      <c r="A46" s="38" t="n">
        <v>40</v>
      </c>
      <c r="B46" s="15" t="inlineStr">
        <is>
          <t>Senaryo kötümser matrah çarpanı</t>
        </is>
      </c>
      <c r="C46" s="42">
        <f>IFERROR(ktm_senaryoKotu+N(GIRDI!B9)*0,0)</f>
        <v/>
      </c>
      <c r="D46" s="40" t="inlineStr">
        <is>
          <t>oran</t>
        </is>
      </c>
      <c r="E46" s="41" t="inlineStr">
        <is>
          <t>Kötümser çarpan</t>
        </is>
      </c>
      <c r="F46" s="14" t="inlineStr">
        <is>
          <t>KTM-005</t>
        </is>
      </c>
      <c r="G46" s="18">
        <f>IFERROR(ktm_senaryoKotu+N(GIRDI!B9)*0,0)</f>
        <v/>
      </c>
    </row>
    <row r="47">
      <c r="A47" s="38" t="n">
        <v>41</v>
      </c>
      <c r="B47" s="15" t="inlineStr">
        <is>
          <t>İyimser tevkifat</t>
        </is>
      </c>
      <c r="C47" s="43">
        <f>IFERROR(ROUND((G14*G45*G12*G8+G15*G45*G12*G9+G16*G45*G12*G10+G17*G45*G12*G11)+G19,MAX(0,MIN(ktm_yuvarMax,IFERROR(N(G13),0)))),0)</f>
        <v/>
      </c>
      <c r="D47" s="40" t="inlineStr">
        <is>
          <t>TL</t>
        </is>
      </c>
      <c r="E47" s="41" t="inlineStr">
        <is>
          <t>İyimser havuz</t>
        </is>
      </c>
      <c r="F47" s="14" t="inlineStr">
        <is>
          <t>KTM-001</t>
        </is>
      </c>
      <c r="G47" s="16">
        <f>IFERROR(ROUND((G14*G45*G12*G8+G15*G45*G12*G9+G16*G45*G12*G10+G17*G45*G12*G11)+G19,MAX(0,MIN(ktm_yuvarMax,IFERROR(N(G13),0)))),0)</f>
        <v/>
      </c>
    </row>
    <row r="48">
      <c r="A48" s="38" t="n">
        <v>42</v>
      </c>
      <c r="B48" s="15" t="inlineStr">
        <is>
          <t>Kötümser tevkifat</t>
        </is>
      </c>
      <c r="C48" s="43">
        <f>IFERROR(ROUND((G14*G46*G12*G8+G15*G46*G12*G9+G16*G46*G12*G10+G17*G46*G12*G11)+G19,MAX(0,MIN(ktm_yuvarMax,IFERROR(N(G13),0)))),0)</f>
        <v/>
      </c>
      <c r="D48" s="40" t="inlineStr">
        <is>
          <t>TL</t>
        </is>
      </c>
      <c r="E48" s="41" t="inlineStr">
        <is>
          <t>Kötümser havuz</t>
        </is>
      </c>
      <c r="F48" s="14" t="inlineStr">
        <is>
          <t>KTM-001</t>
        </is>
      </c>
      <c r="G48" s="16">
        <f>IFERROR(ROUND((G14*G46*G12*G8+G15*G46*G12*G9+G16*G46*G12*G10+G17*G46*G12*G11)+G19,MAX(0,MIN(ktm_yuvarMax,IFERROR(N(G13),0)))),0)</f>
        <v/>
      </c>
    </row>
    <row r="49">
      <c r="A49" s="38" t="n">
        <v>43</v>
      </c>
      <c r="B49" s="15" t="inlineStr">
        <is>
          <t>M-SEN 2/10 +1 puan</t>
        </is>
      </c>
      <c r="C49" s="43">
        <f>IFERROR(ROUND(G21*(G8+ktm_oranArtisPuan),MAX(0,MIN(ktm_yuvarMax,IFERROR(N(G13),0)))),0)</f>
        <v/>
      </c>
      <c r="D49" s="40" t="inlineStr">
        <is>
          <t>TL</t>
        </is>
      </c>
      <c r="E49" s="41" t="inlineStr">
        <is>
          <t>M-SEN 2/10</t>
        </is>
      </c>
      <c r="F49" s="14" t="inlineStr">
        <is>
          <t>KTM-001</t>
        </is>
      </c>
      <c r="G49" s="16">
        <f>IFERROR(ROUND(G21*(G8+ktm_oranArtisPuan),MAX(0,MIN(ktm_yuvarMax,IFERROR(N(G13),0)))),0)</f>
        <v/>
      </c>
    </row>
    <row r="50">
      <c r="A50" s="38" t="n">
        <v>44</v>
      </c>
      <c r="B50" s="15" t="inlineStr">
        <is>
          <t>M-SEN toplam tevkifat</t>
        </is>
      </c>
      <c r="C50" s="43">
        <f>IFERROR(G49+G26+G27+G28,0)</f>
        <v/>
      </c>
      <c r="D50" s="40" t="inlineStr">
        <is>
          <t>TL</t>
        </is>
      </c>
      <c r="E50" s="41" t="inlineStr">
        <is>
          <t>Kural değişimi toplam</t>
        </is>
      </c>
      <c r="F50" s="14" t="inlineStr">
        <is>
          <t>KTM-001</t>
        </is>
      </c>
      <c r="G50" s="16">
        <f>IFERROR(G49+G26+G27+G28,0)</f>
        <v/>
      </c>
    </row>
    <row r="51">
      <c r="A51" s="38" t="n">
        <v>45</v>
      </c>
      <c r="B51" s="15" t="inlineStr">
        <is>
          <t>M-SEN mahsup</t>
        </is>
      </c>
      <c r="C51" s="43">
        <f>IFERROR(MIN(G50+G19,G18),0)</f>
        <v/>
      </c>
      <c r="D51" s="40" t="inlineStr">
        <is>
          <t>TL</t>
        </is>
      </c>
      <c r="E51" s="41" t="inlineStr">
        <is>
          <t>M-SEN mahsup</t>
        </is>
      </c>
      <c r="F51" s="14" t="inlineStr">
        <is>
          <t>KTM-005</t>
        </is>
      </c>
      <c r="G51" s="16">
        <f>IFERROR(MIN(G50+G19,G18),0)</f>
        <v/>
      </c>
    </row>
    <row r="52">
      <c r="A52" s="38" t="n">
        <v>46</v>
      </c>
      <c r="B52" s="15" t="inlineStr">
        <is>
          <t>M-SEN iade uygun</t>
        </is>
      </c>
      <c r="C52" s="43">
        <f>IFERROR(MAX(0,G50+G19-G51),0)</f>
        <v/>
      </c>
      <c r="D52" s="40" t="inlineStr">
        <is>
          <t>TL</t>
        </is>
      </c>
      <c r="E52" s="41" t="inlineStr">
        <is>
          <t>M-SEN iade</t>
        </is>
      </c>
      <c r="F52" s="14" t="inlineStr">
        <is>
          <t>KTM-005</t>
        </is>
      </c>
      <c r="G52" s="16">
        <f>IFERROR(MAX(0,G50+G19-G51),0)</f>
        <v/>
      </c>
    </row>
    <row r="53">
      <c r="A53" s="38" t="n">
        <v>47</v>
      </c>
      <c r="B53" s="15" t="inlineStr">
        <is>
          <t>Tahmin üst iade</t>
        </is>
      </c>
      <c r="C53" s="43">
        <f>IFERROR(G36*ktm_tahminUst,0)</f>
        <v/>
      </c>
      <c r="D53" s="40" t="inlineStr">
        <is>
          <t>TL</t>
        </is>
      </c>
      <c r="E53" s="41" t="inlineStr">
        <is>
          <t>Tahmin üst bant</t>
        </is>
      </c>
      <c r="F53" s="14" t="inlineStr">
        <is>
          <t>KTM-005</t>
        </is>
      </c>
      <c r="G53" s="16">
        <f>IFERROR(G36*ktm_tahminUst,0)</f>
        <v/>
      </c>
    </row>
    <row r="54">
      <c r="A54" s="38" t="n">
        <v>48</v>
      </c>
      <c r="B54" s="15" t="inlineStr">
        <is>
          <t>Tahmin alt iade</t>
        </is>
      </c>
      <c r="C54" s="43">
        <f>IFERROR(G36*ktm_tahminAlt,0)</f>
        <v/>
      </c>
      <c r="D54" s="40" t="inlineStr">
        <is>
          <t>TL</t>
        </is>
      </c>
      <c r="E54" s="41" t="inlineStr">
        <is>
          <t>Tahmin alt bant</t>
        </is>
      </c>
      <c r="F54" s="14" t="inlineStr">
        <is>
          <t>KTM-005</t>
        </is>
      </c>
      <c r="G54" s="16">
        <f>IFERROR(G36*ktm_tahminAlt,0)</f>
        <v/>
      </c>
    </row>
    <row r="55">
      <c r="A55" s="38" t="n">
        <v>49</v>
      </c>
      <c r="B55" s="15" t="inlineStr">
        <is>
          <t>Tornado: matrah etkisi</t>
        </is>
      </c>
      <c r="C55" s="43">
        <f>IFERROR(ABS(ROUND(G14*ktm_tornadoMatrah*G12*G8+G15*ktm_tornadoMatrah*G12*G9+G16*ktm_tornadoMatrah*G12*G10+G17*ktm_tornadoMatrah*G12*G11,MAX(0,MIN(ktm_yuvarMax,IFERROR(N(G13),0))))-G29),0)</f>
        <v/>
      </c>
      <c r="D55" s="40" t="inlineStr">
        <is>
          <t>TL</t>
        </is>
      </c>
      <c r="E55" s="41" t="inlineStr">
        <is>
          <t>Matrah ± etki</t>
        </is>
      </c>
      <c r="F55" s="14" t="inlineStr">
        <is>
          <t>KTM-005</t>
        </is>
      </c>
      <c r="G55" s="16">
        <f>IFERROR(ABS(ROUND(G14*ktm_tornadoMatrah*G12*G8+G15*ktm_tornadoMatrah*G12*G9+G16*ktm_tornadoMatrah*G12*G10+G17*ktm_tornadoMatrah*G12*G11,MAX(0,MIN(ktm_yuvarMax,IFERROR(N(G13),0))))-G29),0)</f>
        <v/>
      </c>
    </row>
    <row r="56">
      <c r="A56" s="38" t="n">
        <v>50</v>
      </c>
      <c r="B56" s="15" t="inlineStr">
        <is>
          <t>Tornado: KDV1 etkisi</t>
        </is>
      </c>
      <c r="C56" s="43">
        <f>IFERROR(ABS(MIN(G30,G18*ktm_tornadoKdv1)-G35),0)</f>
        <v/>
      </c>
      <c r="D56" s="40" t="inlineStr">
        <is>
          <t>TL</t>
        </is>
      </c>
      <c r="E56" s="41" t="inlineStr">
        <is>
          <t>KDV1 ± etki</t>
        </is>
      </c>
      <c r="F56" s="14" t="inlineStr">
        <is>
          <t>KTM-005</t>
        </is>
      </c>
      <c r="G56" s="16">
        <f>IFERROR(ABS(MIN(G30,G18*ktm_tornadoKdv1)-G35),0)</f>
        <v/>
      </c>
    </row>
    <row r="57">
      <c r="A57" s="38" t="n">
        <v>51</v>
      </c>
      <c r="B57" s="15" t="inlineStr">
        <is>
          <t>Tornado: oran etkisi</t>
        </is>
      </c>
      <c r="C57" s="43">
        <f>IFERROR(ABS(ROUND(G21*(G8+ktm_oranArtisPuan)+G26+G27+G28,MAX(0,MIN(ktm_yuvarMax,IFERROR(N(G13),0))))-G29),0)</f>
        <v/>
      </c>
      <c r="D57" s="40" t="inlineStr">
        <is>
          <t>TL</t>
        </is>
      </c>
      <c r="E57" s="41" t="inlineStr">
        <is>
          <t>Oran ± etki</t>
        </is>
      </c>
      <c r="F57" s="14" t="inlineStr">
        <is>
          <t>KTM-001</t>
        </is>
      </c>
      <c r="G57" s="16">
        <f>IFERROR(ABS(ROUND(G21*(G8+ktm_oranArtisPuan)+G26+G27+G28,MAX(0,MIN(ktm_yuvarMax,IFERROR(N(G13),0))))-G29),0)</f>
        <v/>
      </c>
    </row>
    <row r="58">
      <c r="A58" s="38" t="n">
        <v>52</v>
      </c>
      <c r="B58" s="15" t="inlineStr">
        <is>
          <t>Madde atıf özeti</t>
        </is>
      </c>
      <c r="C58" s="11">
        <f>IFERROR(_xlfn.TEXTJOIN(" | ",TRUE,"KTM-001→2/10","KTM-002→5/10","KTM-003→7/10","KTM-004→9/10"),"")</f>
        <v/>
      </c>
      <c r="D58" s="40" t="inlineStr">
        <is>
          <t>metin</t>
        </is>
      </c>
      <c r="E58" s="41" t="inlineStr">
        <is>
          <t>Kanıt atıfları</t>
        </is>
      </c>
      <c r="F58" s="14" t="inlineStr">
        <is>
          <t>KTM-001</t>
        </is>
      </c>
      <c r="G58" s="17">
        <f>IFERROR(_xlfn.TEXTJOIN(" | ",TRUE,"KTM-001→2/10","KTM-002→5/10","KTM-003→7/10","KTM-004→9/10"),"")</f>
        <v/>
      </c>
    </row>
    <row r="59">
      <c r="A59" s="38" t="n">
        <v>53</v>
      </c>
      <c r="B59" s="15" t="inlineStr">
        <is>
          <t>Kanıt satır özeti</t>
        </is>
      </c>
      <c r="C59" s="11">
        <f>IFERROR(_xlfn.TEXTJOIN(" · ",TRUE,"Tevkifat=",TEXT(G29,"₺ #,##0"),"Mahsup=",TEXT(G35,"₺ #,##0"),"İade=",TEXT(G36,"₺ #,##0")),"")</f>
        <v/>
      </c>
      <c r="D59" s="40" t="inlineStr">
        <is>
          <t>metin</t>
        </is>
      </c>
      <c r="E59" s="41" t="inlineStr">
        <is>
          <t>Rapor özeti</t>
        </is>
      </c>
      <c r="F59" s="14" t="inlineStr">
        <is>
          <t>KTM-005</t>
        </is>
      </c>
      <c r="G59" s="17">
        <f>IFERROR(_xlfn.TEXTJOIN(" · ",TRUE,"Tevkifat=",TEXT(G29,"₺ #,##0"),"Mahsup=",TEXT(G35,"₺ #,##0"),"İade=",TEXT(G36,"₺ #,##0")),"")</f>
        <v/>
      </c>
    </row>
    <row r="60">
      <c r="A60" s="38" t="n">
        <v>54</v>
      </c>
      <c r="B60" s="15" t="inlineStr">
        <is>
          <t>Kalite skoru</t>
        </is>
      </c>
      <c r="C60" s="39">
        <f>IFERROR(ROUND(IF(OR(COUNTA(GIRDI!B6:B16)=0,ktm_girisBeklenen=0),0,COUNTA(GIRDI!B6:B16)/ktm_girisBeklenen*100),0),0)</f>
        <v/>
      </c>
      <c r="D60" s="40" t="inlineStr">
        <is>
          <t>puan</t>
        </is>
      </c>
      <c r="E60" s="41" t="inlineStr">
        <is>
          <t>Giriş kalitesi</t>
        </is>
      </c>
      <c r="F60" s="14" t="inlineStr">
        <is>
          <t>KTM-005</t>
        </is>
      </c>
      <c r="G60" s="29">
        <f>IFERROR(ROUND(IF(OR(COUNTA(GIRDI!B6:B16)=0,ktm_girisBeklenen=0),0,COUNTA(GIRDI!B6:B16)/ktm_girisBeklenen*100),0),0)</f>
        <v/>
      </c>
    </row>
    <row r="62">
      <c r="I62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0">
    <cfRule type="cellIs" priority="1" operator="lessThan" dxfId="4">
      <formula>0</formula>
    </cfRule>
  </conditionalFormatting>
  <conditionalFormatting sqref="F7:F60">
    <cfRule type="expression" priority="2" dxfId="6">
      <formula>F7="KTM-001"</formula>
    </cfRule>
    <cfRule type="expression" priority="3" dxfId="4">
      <formula>F7="KTM-005"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M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5" t="inlineStr">
        <is>
          <t>MAHSUP LISTE — KDV Tevkifat Mahsup ve KDV İade Listesi</t>
        </is>
      </c>
    </row>
    <row r="3" ht="22" customHeight="1">
      <c r="A3" s="224" t="inlineStr">
        <is>
          <t>2 Numaralı beyanname — tevkifat mahsup listesi</t>
        </is>
      </c>
    </row>
    <row r="4">
      <c r="A4" s="22" t="inlineStr">
        <is>
          <t>Satır bazlı mahsup cetveli; oranlar kural_id ile MOTOR'dan gelir.</t>
        </is>
      </c>
    </row>
    <row r="6" ht="30" customHeight="1">
      <c r="A6" s="13" t="inlineStr">
        <is>
          <t>Satır Numarası</t>
        </is>
      </c>
      <c r="B6" s="13" t="inlineStr">
        <is>
          <t>Oran Kodu</t>
        </is>
      </c>
      <c r="C6" s="13" t="inlineStr">
        <is>
          <t>Matrah</t>
        </is>
      </c>
      <c r="D6" s="13" t="inlineStr">
        <is>
          <t>KDV</t>
        </is>
      </c>
      <c r="E6" s="13" t="inlineStr">
        <is>
          <t>Tevkifat Oranı</t>
        </is>
      </c>
      <c r="F6" s="13" t="inlineStr">
        <is>
          <t>Tevkifat Tutarı</t>
        </is>
      </c>
      <c r="G6" s="13" t="inlineStr">
        <is>
          <t>Mahsup Edilebilir</t>
        </is>
      </c>
      <c r="H6" s="13" t="inlineStr">
        <is>
          <t>Kural</t>
        </is>
      </c>
      <c r="I6" s="13" t="inlineStr">
        <is>
          <t>Kontrol</t>
        </is>
      </c>
      <c r="M6" s="44" t="inlineStr">
        <is>
          <t>TevkifatDemo</t>
        </is>
      </c>
    </row>
    <row r="7">
      <c r="A7" s="45" t="n">
        <v>1</v>
      </c>
      <c r="B7" s="46" t="inlineStr">
        <is>
          <t>2/10</t>
        </is>
      </c>
      <c r="C7" s="47" t="n">
        <v>1000000</v>
      </c>
      <c r="D7" s="47" t="n">
        <v>200000</v>
      </c>
      <c r="E7" s="48" t="n">
        <v>0.2</v>
      </c>
      <c r="F7" s="47" t="n">
        <v>40000</v>
      </c>
      <c r="G7" s="47" t="n">
        <v>23810</v>
      </c>
      <c r="H7" s="49" t="inlineStr">
        <is>
          <t>KTM-001</t>
        </is>
      </c>
      <c r="I7" s="46" t="inlineStr">
        <is>
          <t>TAM</t>
        </is>
      </c>
      <c r="M7" s="20" t="n">
        <v>40000</v>
      </c>
    </row>
    <row r="8">
      <c r="A8" s="45" t="n">
        <v>2</v>
      </c>
      <c r="B8" s="46" t="inlineStr">
        <is>
          <t>5/10</t>
        </is>
      </c>
      <c r="C8" s="47" t="n">
        <v>500000</v>
      </c>
      <c r="D8" s="47" t="n">
        <v>100000</v>
      </c>
      <c r="E8" s="48" t="n">
        <v>0.5</v>
      </c>
      <c r="F8" s="47" t="n">
        <v>50000</v>
      </c>
      <c r="G8" s="47" t="n">
        <v>29762</v>
      </c>
      <c r="H8" s="49" t="inlineStr">
        <is>
          <t>KTM-002</t>
        </is>
      </c>
      <c r="I8" s="46" t="inlineStr">
        <is>
          <t>TAM</t>
        </is>
      </c>
      <c r="M8" s="20" t="n">
        <v>50000</v>
      </c>
    </row>
    <row r="9">
      <c r="A9" s="45" t="n">
        <v>3</v>
      </c>
      <c r="B9" s="46" t="inlineStr">
        <is>
          <t>7/10</t>
        </is>
      </c>
      <c r="C9" s="47" t="n">
        <v>300000</v>
      </c>
      <c r="D9" s="47" t="n">
        <v>60000</v>
      </c>
      <c r="E9" s="48" t="n">
        <v>0.7</v>
      </c>
      <c r="F9" s="47" t="n">
        <v>42000</v>
      </c>
      <c r="G9" s="47" t="n">
        <v>25000</v>
      </c>
      <c r="H9" s="49" t="inlineStr">
        <is>
          <t>KTM-003</t>
        </is>
      </c>
      <c r="I9" s="46" t="inlineStr">
        <is>
          <t>TAM</t>
        </is>
      </c>
      <c r="M9" s="20" t="n">
        <v>42000</v>
      </c>
    </row>
    <row r="10">
      <c r="A10" s="45" t="n">
        <v>4</v>
      </c>
      <c r="B10" s="46" t="inlineStr">
        <is>
          <t>9/10</t>
        </is>
      </c>
      <c r="C10" s="47" t="n">
        <v>200000</v>
      </c>
      <c r="D10" s="47" t="n">
        <v>40000</v>
      </c>
      <c r="E10" s="48" t="n">
        <v>0.9</v>
      </c>
      <c r="F10" s="47" t="n">
        <v>36000</v>
      </c>
      <c r="G10" s="47" t="n">
        <v>21429</v>
      </c>
      <c r="H10" s="49" t="inlineStr">
        <is>
          <t>KTM-004</t>
        </is>
      </c>
      <c r="I10" s="46" t="inlineStr">
        <is>
          <t>TAM</t>
        </is>
      </c>
      <c r="M10" s="20" t="n">
        <v>36000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10" t="inlineStr">
        <is>
          <t>Canlı mahsup (MOTOR)</t>
        </is>
      </c>
      <c r="K12" s="28">
        <f>IFERROR(ktm_mahsupToplam,0)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10" t="inlineStr">
        <is>
          <t>Liste metni</t>
        </is>
      </c>
      <c r="K13" s="11">
        <f>IFERROR(_xlfn.TEXTJOIN(" | ",TRUE,"2/10=",TEXT(F7,"₺ #,##0"),"5/10=",TEXT(F8,"₺ #,##0"),"7/10=",TEXT(F9,"₺ #,##0"),"9/10=",TEXT(F10,"₺ #,##0"),"Mahsup=",TEXT(K12,"₺ #,##0")),"-")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F7:F10">
    <cfRule type="cellIs" priority="1" operator="greaterThan" dxfId="5">
      <formula>0</formula>
    </cfRule>
  </conditionalFormatting>
  <conditionalFormatting sqref="C7:C10">
    <cfRule type="cellIs" priority="2" operator="lessThan" dxfId="4">
      <formula>0</formula>
    </cfRule>
  </conditionalFormatting>
  <conditionalFormatting sqref="G7:G10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45911"/>
    <outlinePr summaryBelow="1" summaryRight="1"/>
    <pageSetUpPr/>
  </sheetPr>
  <dimension ref="A1:L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2" customWidth="1" min="4" max="4"/>
    <col width="16" customWidth="1" min="5" max="5"/>
    <col width="18" customWidth="1" min="6" max="6"/>
    <col width="12" customWidth="1" min="7" max="7"/>
    <col width="13" customWidth="1" min="8" max="8"/>
    <col width="20" customWidth="1" min="9" max="9"/>
    <col width="55" customWidth="1" min="10" max="10"/>
  </cols>
  <sheetData>
    <row r="1" ht="32" customHeight="1">
      <c r="A1" s="205" t="inlineStr">
        <is>
          <t>IADE LISTE — KDV Tevkifat Mahsup ve KDV İade Listesi</t>
        </is>
      </c>
    </row>
    <row r="3" ht="22" customHeight="1">
      <c r="A3" s="224" t="inlineStr">
        <is>
          <t>KDV iade satır cetveli</t>
        </is>
      </c>
    </row>
    <row r="4">
      <c r="A4" s="22" t="inlineStr">
        <is>
          <t>Mahsup sonrası iade uygun tutar ve talep sapması.</t>
        </is>
      </c>
    </row>
    <row r="6" ht="30" customHeight="1">
      <c r="A6" s="13" t="inlineStr">
        <is>
          <t>Satır Numarası</t>
        </is>
      </c>
      <c r="B6" s="13" t="inlineStr">
        <is>
          <t>Kalem</t>
        </is>
      </c>
      <c r="C6" s="13" t="inlineStr">
        <is>
          <t>Tutar</t>
        </is>
      </c>
      <c r="D6" s="13" t="inlineStr">
        <is>
          <t>Kaynak</t>
        </is>
      </c>
      <c r="E6" s="13" t="inlineStr">
        <is>
          <t>Durum</t>
        </is>
      </c>
      <c r="F6" s="13" t="inlineStr">
        <is>
          <t>Not</t>
        </is>
      </c>
      <c r="G6" s="13" t="inlineStr">
        <is>
          <t>Kontrol</t>
        </is>
      </c>
      <c r="L6" s="44" t="inlineStr">
        <is>
          <t>IadeDemo</t>
        </is>
      </c>
    </row>
    <row r="7">
      <c r="A7" s="45" t="n">
        <v>1</v>
      </c>
      <c r="B7" s="46" t="inlineStr">
        <is>
          <t>İade uygun (seçili)</t>
        </is>
      </c>
      <c r="C7" s="47" t="n">
        <v>88000</v>
      </c>
      <c r="D7" s="46" t="inlineStr">
        <is>
          <t>MOTOR</t>
        </is>
      </c>
      <c r="E7" s="46" t="inlineStr">
        <is>
          <t>İADE ADAYI</t>
        </is>
      </c>
      <c r="F7" s="46" t="inlineStr">
        <is>
          <t>Mahsup sonrası</t>
        </is>
      </c>
      <c r="G7" s="46" t="inlineStr">
        <is>
          <t>TAM</t>
        </is>
      </c>
      <c r="L7" s="20" t="n">
        <v>88000</v>
      </c>
    </row>
    <row r="8">
      <c r="A8" s="45" t="n">
        <v>2</v>
      </c>
      <c r="B8" s="46" t="inlineStr">
        <is>
          <t>İade talep</t>
        </is>
      </c>
      <c r="C8" s="47" t="n">
        <v>80000</v>
      </c>
      <c r="D8" s="46" t="inlineStr">
        <is>
          <t>GIRDI</t>
        </is>
      </c>
      <c r="E8" s="46" t="inlineStr">
        <is>
          <t>TALEP VAR</t>
        </is>
      </c>
      <c r="F8" s="46" t="inlineStr">
        <is>
          <t>Kullanıcı girişi</t>
        </is>
      </c>
      <c r="G8" s="46" t="inlineStr">
        <is>
          <t>TAM</t>
        </is>
      </c>
      <c r="L8" s="20" t="n">
        <v>80000</v>
      </c>
    </row>
    <row r="9">
      <c r="A9" s="45" t="n">
        <v>3</v>
      </c>
      <c r="B9" s="46" t="inlineStr">
        <is>
          <t>Sapma (uygun−talep)</t>
        </is>
      </c>
      <c r="C9" s="47" t="n">
        <v>8000</v>
      </c>
      <c r="D9" s="46" t="inlineStr">
        <is>
          <t>MOTOR</t>
        </is>
      </c>
      <c r="E9" s="46" t="inlineStr">
        <is>
          <t>FAZLA UYGUN</t>
        </is>
      </c>
      <c r="F9" s="46" t="inlineStr">
        <is>
          <t>Sapma</t>
        </is>
      </c>
      <c r="G9" s="46" t="inlineStr">
        <is>
          <t>TAM</t>
        </is>
      </c>
      <c r="L9" s="20" t="n">
        <v>8000</v>
      </c>
    </row>
    <row r="10">
      <c r="A10" s="45" t="n">
        <v>4</v>
      </c>
      <c r="B10" s="46" t="inlineStr">
        <is>
          <t>Mahsup edilen</t>
        </is>
      </c>
      <c r="C10" s="47" t="n">
        <v>100000</v>
      </c>
      <c r="D10" s="46" t="inlineStr">
        <is>
          <t>MOTOR</t>
        </is>
      </c>
      <c r="E10" s="46" t="inlineStr">
        <is>
          <t>MAHSUP VAR</t>
        </is>
      </c>
      <c r="F10" s="46" t="inlineStr">
        <is>
          <t>Öncelik A/B</t>
        </is>
      </c>
      <c r="G10" s="46" t="inlineStr">
        <is>
          <t>TAM</t>
        </is>
      </c>
      <c r="L10" s="20" t="n">
        <v>100000</v>
      </c>
    </row>
    <row r="11">
      <c r="A11" s="45" t="n">
        <v>5</v>
      </c>
      <c r="B11" s="46" t="inlineStr">
        <is>
          <t>Havuz bakiyesi</t>
        </is>
      </c>
      <c r="C11" s="47" t="n">
        <v>188000</v>
      </c>
      <c r="D11" s="46" t="inlineStr">
        <is>
          <t>MOTOR</t>
        </is>
      </c>
      <c r="E11" s="46" t="inlineStr">
        <is>
          <t>HAVUZ DOLU</t>
        </is>
      </c>
      <c r="F11" s="46" t="inlineStr">
        <is>
          <t>Dönem+önceki</t>
        </is>
      </c>
      <c r="G11" s="46" t="inlineStr">
        <is>
          <t>TAM</t>
        </is>
      </c>
      <c r="L11" s="20" t="n">
        <v>188000</v>
      </c>
    </row>
    <row r="12">
      <c r="A12" s="30" t="n"/>
      <c r="B12" s="30" t="n"/>
      <c r="C12" s="30" t="n"/>
      <c r="D12" s="30" t="n"/>
      <c r="E12" s="30" t="n"/>
      <c r="F12" s="30" t="n"/>
      <c r="G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I13" s="10" t="inlineStr">
        <is>
          <t>Canlı iade (MOTOR)</t>
        </is>
      </c>
      <c r="J13" s="28">
        <f>IFERROR(ktm_iadeUygun,0)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I14" s="10" t="inlineStr">
        <is>
          <t>Liste metni</t>
        </is>
      </c>
      <c r="J14" s="11">
        <f>IFERROR(_xlfn.TEXTJOIN(" | ",TRUE,"Uygun=",TEXT(J13,"₺ #,##0"),"Talep=",TEXT(C8,"₺ #,##0"),"Sapma=",TEXT(C9,"₺ #,##0")),"-")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</row>
    <row r="16">
      <c r="A16" s="30" t="n"/>
      <c r="B16" s="30" t="n"/>
      <c r="C16" s="30" t="n"/>
      <c r="D16" s="30" t="n"/>
      <c r="E16" s="30" t="n"/>
      <c r="F16" s="30" t="n"/>
      <c r="G16" s="30" t="n"/>
    </row>
    <row r="17">
      <c r="A17" s="30" t="n"/>
      <c r="B17" s="30" t="n"/>
      <c r="C17" s="30" t="n"/>
      <c r="D17" s="30" t="n"/>
      <c r="E17" s="30" t="n"/>
      <c r="F17" s="30" t="n"/>
      <c r="G17" s="30" t="n"/>
    </row>
    <row r="18">
      <c r="A18" s="30" t="n"/>
      <c r="B18" s="30" t="n"/>
      <c r="C18" s="30" t="n"/>
      <c r="D18" s="30" t="n"/>
      <c r="E18" s="30" t="n"/>
      <c r="F18" s="30" t="n"/>
      <c r="G18" s="30" t="n"/>
    </row>
    <row r="19">
      <c r="A19" s="30" t="n"/>
      <c r="B19" s="30" t="n"/>
      <c r="C19" s="30" t="n"/>
      <c r="D19" s="30" t="n"/>
      <c r="E19" s="30" t="n"/>
      <c r="F19" s="30" t="n"/>
      <c r="G19" s="30" t="n"/>
    </row>
    <row r="20">
      <c r="A20" s="30" t="n"/>
      <c r="B20" s="30" t="n"/>
      <c r="C20" s="30" t="n"/>
      <c r="D20" s="30" t="n"/>
      <c r="E20" s="30" t="n"/>
      <c r="F20" s="30" t="n"/>
      <c r="G20" s="30" t="n"/>
    </row>
    <row r="21">
      <c r="A21" s="30" t="n"/>
      <c r="B21" s="30" t="n"/>
      <c r="C21" s="30" t="n"/>
      <c r="D21" s="30" t="n"/>
      <c r="E21" s="30" t="n"/>
      <c r="F21" s="30" t="n"/>
      <c r="G21" s="30" t="n"/>
    </row>
    <row r="22">
      <c r="A22" s="30" t="n"/>
      <c r="B22" s="30" t="n"/>
      <c r="C22" s="30" t="n"/>
      <c r="D22" s="30" t="n"/>
      <c r="E22" s="30" t="n"/>
      <c r="F22" s="30" t="n"/>
      <c r="G22" s="30" t="n"/>
    </row>
    <row r="23">
      <c r="A23" s="30" t="n"/>
      <c r="B23" s="30" t="n"/>
      <c r="C23" s="30" t="n"/>
      <c r="D23" s="30" t="n"/>
      <c r="E23" s="30" t="n"/>
      <c r="F23" s="30" t="n"/>
      <c r="G23" s="30" t="n"/>
    </row>
    <row r="24">
      <c r="A24" s="30" t="n"/>
      <c r="B24" s="30" t="n"/>
      <c r="C24" s="30" t="n"/>
      <c r="D24" s="30" t="n"/>
      <c r="E24" s="30" t="n"/>
      <c r="F24" s="30" t="n"/>
      <c r="G24" s="30" t="n"/>
    </row>
    <row r="25">
      <c r="A25" s="30" t="n"/>
      <c r="B25" s="30" t="n"/>
      <c r="C25" s="30" t="n"/>
      <c r="D25" s="30" t="n"/>
      <c r="E25" s="30" t="n"/>
      <c r="F25" s="30" t="n"/>
      <c r="G25" s="30" t="n"/>
    </row>
    <row r="26">
      <c r="A26" s="30" t="n"/>
      <c r="B26" s="30" t="n"/>
      <c r="C26" s="30" t="n"/>
      <c r="D26" s="30" t="n"/>
      <c r="E26" s="30" t="n"/>
      <c r="F26" s="30" t="n"/>
      <c r="G26" s="30" t="n"/>
    </row>
    <row r="27">
      <c r="A27" s="30" t="n"/>
      <c r="B27" s="30" t="n"/>
      <c r="C27" s="30" t="n"/>
      <c r="D27" s="30" t="n"/>
      <c r="E27" s="30" t="n"/>
      <c r="F27" s="30" t="n"/>
      <c r="G27" s="30" t="n"/>
    </row>
    <row r="28">
      <c r="A28" s="30" t="n"/>
      <c r="B28" s="30" t="n"/>
      <c r="C28" s="30" t="n"/>
      <c r="D28" s="30" t="n"/>
      <c r="E28" s="30" t="n"/>
      <c r="F28" s="30" t="n"/>
      <c r="G28" s="30" t="n"/>
    </row>
    <row r="29">
      <c r="A29" s="30" t="n"/>
      <c r="B29" s="30" t="n"/>
      <c r="C29" s="30" t="n"/>
      <c r="D29" s="30" t="n"/>
      <c r="E29" s="30" t="n"/>
      <c r="F29" s="30" t="n"/>
      <c r="G29" s="30" t="n"/>
    </row>
    <row r="30">
      <c r="A30" s="30" t="n"/>
      <c r="B30" s="30" t="n"/>
      <c r="C30" s="30" t="n"/>
      <c r="D30" s="30" t="n"/>
      <c r="E30" s="30" t="n"/>
      <c r="F30" s="30" t="n"/>
      <c r="G30" s="30" t="n"/>
    </row>
    <row r="31">
      <c r="A31" s="30" t="n"/>
      <c r="B31" s="30" t="n"/>
      <c r="C31" s="30" t="n"/>
      <c r="D31" s="30" t="n"/>
      <c r="E31" s="30" t="n"/>
      <c r="F31" s="30" t="n"/>
      <c r="G31" s="30" t="n"/>
    </row>
    <row r="32">
      <c r="A32" s="30" t="n"/>
      <c r="B32" s="30" t="n"/>
      <c r="C32" s="30" t="n"/>
      <c r="D32" s="30" t="n"/>
      <c r="E32" s="30" t="n"/>
      <c r="F32" s="30" t="n"/>
      <c r="G32" s="30" t="n"/>
    </row>
    <row r="33">
      <c r="A33" s="30" t="n"/>
      <c r="B33" s="30" t="n"/>
      <c r="C33" s="30" t="n"/>
      <c r="D33" s="30" t="n"/>
      <c r="E33" s="30" t="n"/>
      <c r="F33" s="30" t="n"/>
      <c r="G33" s="30" t="n"/>
    </row>
    <row r="34">
      <c r="A34" s="30" t="n"/>
      <c r="B34" s="30" t="n"/>
      <c r="C34" s="30" t="n"/>
      <c r="D34" s="30" t="n"/>
      <c r="E34" s="30" t="n"/>
      <c r="F34" s="30" t="n"/>
      <c r="G34" s="30" t="n"/>
    </row>
    <row r="35">
      <c r="A35" s="30" t="n"/>
      <c r="B35" s="30" t="n"/>
      <c r="C35" s="30" t="n"/>
      <c r="D35" s="30" t="n"/>
      <c r="E35" s="30" t="n"/>
      <c r="F35" s="30" t="n"/>
      <c r="G35" s="30" t="n"/>
    </row>
    <row r="36">
      <c r="A36" s="30" t="n"/>
      <c r="B36" s="30" t="n"/>
      <c r="C36" s="30" t="n"/>
      <c r="D36" s="30" t="n"/>
      <c r="E36" s="30" t="n"/>
      <c r="F36" s="30" t="n"/>
      <c r="G36" s="30" t="n"/>
    </row>
    <row r="37">
      <c r="A37" s="30" t="n"/>
      <c r="B37" s="30" t="n"/>
      <c r="C37" s="30" t="n"/>
      <c r="D37" s="30" t="n"/>
      <c r="E37" s="30" t="n"/>
      <c r="F37" s="30" t="n"/>
      <c r="G37" s="30" t="n"/>
    </row>
    <row r="38">
      <c r="A38" s="30" t="n"/>
      <c r="B38" s="30" t="n"/>
      <c r="C38" s="30" t="n"/>
      <c r="D38" s="30" t="n"/>
      <c r="E38" s="30" t="n"/>
      <c r="F38" s="30" t="n"/>
      <c r="G38" s="30" t="n"/>
    </row>
    <row r="39">
      <c r="A39" s="30" t="n"/>
      <c r="B39" s="30" t="n"/>
      <c r="C39" s="30" t="n"/>
      <c r="D39" s="30" t="n"/>
      <c r="E39" s="30" t="n"/>
      <c r="F39" s="30" t="n"/>
      <c r="G39" s="30" t="n"/>
    </row>
    <row r="40">
      <c r="A40" s="30" t="n"/>
      <c r="B40" s="30" t="n"/>
      <c r="C40" s="30" t="n"/>
      <c r="D40" s="30" t="n"/>
      <c r="E40" s="30" t="n"/>
      <c r="F40" s="30" t="n"/>
      <c r="G40" s="30" t="n"/>
    </row>
    <row r="41">
      <c r="A41" s="30" t="n"/>
      <c r="B41" s="30" t="n"/>
      <c r="C41" s="30" t="n"/>
      <c r="D41" s="30" t="n"/>
      <c r="E41" s="30" t="n"/>
      <c r="F41" s="30" t="n"/>
      <c r="G41" s="30" t="n"/>
    </row>
    <row r="42">
      <c r="A42" s="30" t="n"/>
      <c r="B42" s="30" t="n"/>
      <c r="C42" s="30" t="n"/>
      <c r="D42" s="30" t="n"/>
      <c r="E42" s="30" t="n"/>
      <c r="F42" s="30" t="n"/>
      <c r="G42" s="30" t="n"/>
    </row>
    <row r="43">
      <c r="A43" s="30" t="n"/>
      <c r="B43" s="30" t="n"/>
      <c r="C43" s="30" t="n"/>
      <c r="D43" s="30" t="n"/>
      <c r="E43" s="30" t="n"/>
      <c r="F43" s="30" t="n"/>
      <c r="G43" s="30" t="n"/>
    </row>
    <row r="44">
      <c r="A44" s="30" t="n"/>
      <c r="B44" s="30" t="n"/>
      <c r="C44" s="30" t="n"/>
      <c r="D44" s="30" t="n"/>
      <c r="E44" s="30" t="n"/>
      <c r="F44" s="30" t="n"/>
      <c r="G44" s="30" t="n"/>
    </row>
    <row r="45">
      <c r="A45" s="30" t="n"/>
      <c r="B45" s="30" t="n"/>
      <c r="C45" s="30" t="n"/>
      <c r="D45" s="30" t="n"/>
      <c r="E45" s="30" t="n"/>
      <c r="F45" s="30" t="n"/>
      <c r="G45" s="30" t="n"/>
    </row>
    <row r="46">
      <c r="A46" s="30" t="n"/>
      <c r="B46" s="30" t="n"/>
      <c r="C46" s="30" t="n"/>
      <c r="D46" s="30" t="n"/>
      <c r="E46" s="30" t="n"/>
      <c r="F46" s="30" t="n"/>
      <c r="G46" s="30" t="n"/>
    </row>
    <row r="47">
      <c r="A47" s="30" t="n"/>
      <c r="B47" s="30" t="n"/>
      <c r="C47" s="30" t="n"/>
      <c r="D47" s="30" t="n"/>
      <c r="E47" s="30" t="n"/>
      <c r="F47" s="30" t="n"/>
      <c r="G47" s="30" t="n"/>
    </row>
    <row r="48">
      <c r="A48" s="30" t="n"/>
      <c r="B48" s="30" t="n"/>
      <c r="C48" s="30" t="n"/>
      <c r="D48" s="30" t="n"/>
      <c r="E48" s="30" t="n"/>
      <c r="F48" s="30" t="n"/>
      <c r="G48" s="30" t="n"/>
    </row>
    <row r="49">
      <c r="A49" s="30" t="n"/>
      <c r="B49" s="30" t="n"/>
      <c r="C49" s="30" t="n"/>
      <c r="D49" s="30" t="n"/>
      <c r="E49" s="30" t="n"/>
      <c r="F49" s="30" t="n"/>
      <c r="G49" s="30" t="n"/>
    </row>
    <row r="50">
      <c r="A50" s="30" t="n"/>
      <c r="B50" s="30" t="n"/>
      <c r="C50" s="30" t="n"/>
      <c r="D50" s="30" t="n"/>
      <c r="E50" s="30" t="n"/>
      <c r="F50" s="30" t="n"/>
      <c r="G50" s="30" t="n"/>
    </row>
    <row r="51">
      <c r="A51" s="30" t="n"/>
      <c r="B51" s="30" t="n"/>
      <c r="C51" s="30" t="n"/>
      <c r="D51" s="30" t="n"/>
      <c r="E51" s="30" t="n"/>
      <c r="F51" s="30" t="n"/>
      <c r="G51" s="30" t="n"/>
    </row>
    <row r="52">
      <c r="A52" s="30" t="n"/>
      <c r="B52" s="30" t="n"/>
      <c r="C52" s="30" t="n"/>
      <c r="D52" s="30" t="n"/>
      <c r="E52" s="30" t="n"/>
      <c r="F52" s="30" t="n"/>
      <c r="G52" s="30" t="n"/>
    </row>
    <row r="53">
      <c r="A53" s="30" t="n"/>
      <c r="B53" s="30" t="n"/>
      <c r="C53" s="30" t="n"/>
      <c r="D53" s="30" t="n"/>
      <c r="E53" s="30" t="n"/>
      <c r="F53" s="30" t="n"/>
      <c r="G53" s="30" t="n"/>
    </row>
    <row r="54">
      <c r="A54" s="30" t="n"/>
      <c r="B54" s="30" t="n"/>
      <c r="C54" s="30" t="n"/>
      <c r="D54" s="30" t="n"/>
      <c r="E54" s="30" t="n"/>
      <c r="F54" s="30" t="n"/>
      <c r="G54" s="30" t="n"/>
    </row>
    <row r="55">
      <c r="A55" s="30" t="n"/>
      <c r="B55" s="30" t="n"/>
      <c r="C55" s="30" t="n"/>
      <c r="D55" s="30" t="n"/>
      <c r="E55" s="30" t="n"/>
      <c r="F55" s="30" t="n"/>
      <c r="G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C7:C11">
    <cfRule type="cellIs" priority="1" operator="lessThan" dxfId="4">
      <formula>0</formula>
    </cfRule>
  </conditionalFormatting>
  <conditionalFormatting sqref="E7:E11">
    <cfRule type="expression" priority="2" dxfId="1">
      <formula>ISNUMBER(SEARCH("İADE",E7))</formula>
    </cfRule>
    <cfRule type="expression" priority="3" dxfId="4">
      <formula>ISNUMBER(SEARCH("YOK",E7))</formula>
    </cfRule>
  </conditionalFormatting>
  <conditionalFormatting sqref="G7:G11">
    <cfRule type="expression" priority="4" dxfId="2">
      <formula>G7="EKSİK"</formula>
    </cfRule>
    <cfRule type="expression" priority="5" dxfId="0">
      <formula>G7="TAM"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SENARYO — KDV Tevkifat Mahsup ve KDV İade Listesi</t>
        </is>
      </c>
    </row>
    <row r="3" ht="22" customHeight="1">
      <c r="A3" s="224" t="inlineStr">
        <is>
          <t>Senaryo ve duyarlılık</t>
        </is>
      </c>
    </row>
    <row r="5">
      <c r="A5" s="44" t="inlineStr">
        <is>
          <t>Senaryo</t>
        </is>
      </c>
      <c r="B5" s="44" t="inlineStr">
        <is>
          <t>Matrah Çarpanı</t>
        </is>
      </c>
      <c r="C5" s="44" t="inlineStr">
        <is>
          <t>Mahsup</t>
        </is>
      </c>
      <c r="D5" s="44" t="inlineStr">
        <is>
          <t>İade Uygun</t>
        </is>
      </c>
      <c r="E5" s="44" t="inlineStr">
        <is>
          <t>Karar</t>
        </is>
      </c>
      <c r="G5" s="44" t="inlineStr">
        <is>
          <t>IadeDemo</t>
        </is>
      </c>
    </row>
    <row r="6">
      <c r="A6" s="24" t="inlineStr">
        <is>
          <t>İyimser</t>
        </is>
      </c>
      <c r="B6" s="18">
        <f>IFERROR(ktm_senaryoIyi+N(GIRDI!B9)*0,0)</f>
        <v/>
      </c>
      <c r="C6" s="16">
        <f>IFERROR(ROUND((IFERROR(ktm_mahsupToplam,0))*B6,2),0)</f>
        <v/>
      </c>
      <c r="D6" s="16">
        <f>IFERROR(ROUND((IFERROR(ktm_iadeUygun,0))*B6,2),0)</f>
        <v/>
      </c>
      <c r="E6" s="17">
        <f>IF(COUNTA(tblGirdi[Alan Anahtarı])=0,"VERİ YOK",IF(D6&gt;=ktm_iadeEsik,"İADE",IF(C6&gt;0,"MAHSUP","BEKLE")))</f>
        <v/>
      </c>
      <c r="G6" s="20" t="n">
        <v>79200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IFERROR(ROUND((IFERROR(ktm_mahsupToplam,0))*B7,2),0)</f>
        <v/>
      </c>
      <c r="D7" s="16">
        <f>IFERROR(ROUND((IFERROR(ktm_iadeUygun,0))*B7,2),0)</f>
        <v/>
      </c>
      <c r="E7" s="17">
        <f>IF(COUNTA(tblGirdi[Alan Anahtarı])=0,"VERİ YOK",IF(D7&gt;=ktm_iadeEsik,"İADE",IF(C7&gt;0,"MAHSUP","BEKLE")))</f>
        <v/>
      </c>
      <c r="G7" s="20" t="n">
        <v>88000</v>
      </c>
    </row>
    <row r="8">
      <c r="A8" s="24" t="inlineStr">
        <is>
          <t>Kötümser</t>
        </is>
      </c>
      <c r="B8" s="18">
        <f>IFERROR(ktm_senaryoKotu+N(GIRDI!B9)*0,0)</f>
        <v/>
      </c>
      <c r="C8" s="16">
        <f>IFERROR(ROUND((IFERROR(ktm_mahsupToplam,0))*B8,2),0)</f>
        <v/>
      </c>
      <c r="D8" s="16">
        <f>IFERROR(ROUND((IFERROR(ktm_iadeUygun,0))*B8,2),0)</f>
        <v/>
      </c>
      <c r="E8" s="17">
        <f>IF(COUNTA(tblGirdi[Alan Anahtarı])=0,"VERİ YOK",IF(D8&gt;=ktm_iadeEsik,"İADE",IF(C8&gt;0,"MAHSUP","BEKLE")))</f>
        <v/>
      </c>
      <c r="G8" s="20" t="n">
        <v>96800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IFERROR(MOTOR!G51,0)</f>
        <v/>
      </c>
      <c r="D9" s="16">
        <f>IFERROR(MOTOR!G52,0)</f>
        <v/>
      </c>
      <c r="E9" s="17">
        <f>IF(COUNTA(tblGirdi[Alan Anahtarı])=0,"VERİ YOK",IF(D9&gt;=ktm_iadeEsik,"İADE",IF(C9&gt;0,"MAHSUP","BEKLE")))</f>
        <v/>
      </c>
      <c r="G9" s="20" t="n">
        <v>91000</v>
      </c>
    </row>
    <row r="11">
      <c r="A11" s="10" t="inlineStr">
        <is>
          <t>Senaryo bant genişliği (iyimser−kötümser iade)</t>
        </is>
      </c>
      <c r="B11" s="16">
        <f>IFERROR(D6-D8,0)</f>
        <v/>
      </c>
    </row>
    <row r="12">
      <c r="A12" s="10" t="inlineStr">
        <is>
          <t>Senaryo yorumu</t>
        </is>
      </c>
      <c r="B12" s="11">
        <f>IFERROR(_xlfn.TEXTJOIN("; ",TRUE,"İyimser iade ",TEXT(D6,"₺ #,##0")," · Baz ",TEXT(D7,"₺ #,##0")," · Kötümser ",TEXT(D8,"₺ #,##0")," · Bant ",TEXT(B11,"₺ #,##0")),"-")</f>
        <v/>
      </c>
    </row>
    <row r="14">
      <c r="A14" s="12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24" t="inlineStr">
        <is>
          <t>Tornado matrah etkisi</t>
        </is>
      </c>
      <c r="B16" s="16">
        <f>IFERROR(MOTOR!G55,0)</f>
        <v/>
      </c>
      <c r="C16" s="29">
        <f>IFERROR(IF(B16&gt;=MAX(B16:B18),1,IF(B16&gt;=MIN(B16:B18)+ABS(B16-B17),2,3)),3)</f>
        <v/>
      </c>
      <c r="E16" s="20" t="n">
        <v>8400</v>
      </c>
    </row>
    <row r="17">
      <c r="A17" s="24" t="inlineStr">
        <is>
          <t>Tornado KDV1 etkisi</t>
        </is>
      </c>
      <c r="B17" s="16">
        <f>IFERROR(MOTOR!G56,0)</f>
        <v/>
      </c>
      <c r="C17" s="29">
        <f>IFERROR(IF(B17&gt;=MAX(B16:B18),1,IF(B17=MEDIAN(B16:B18),2,3)),3)</f>
        <v/>
      </c>
      <c r="E17" s="20" t="n">
        <v>5000</v>
      </c>
    </row>
    <row r="18">
      <c r="A18" s="24" t="inlineStr">
        <is>
          <t>Tornado oran etkisi</t>
        </is>
      </c>
      <c r="B18" s="16">
        <f>IFERROR(MOTOR!G57,0)</f>
        <v/>
      </c>
      <c r="C18" s="29">
        <f>IFERROR(IF(B18&gt;=MAX(B16:B18),1,IF(B18=MEDIAN(B16:B18),2,3)),3)</f>
        <v/>
      </c>
      <c r="E18" s="20" t="n">
        <v>4000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iade</t>
        </is>
      </c>
      <c r="B22" s="16">
        <f>D9</f>
        <v/>
      </c>
    </row>
    <row r="23">
      <c r="A23" s="10" t="inlineStr">
        <is>
          <t>M-SEN yorumu</t>
        </is>
      </c>
      <c r="B23" s="11">
        <f>_xlfn.TEXTJOIN("; ",TRUE,"2/10 oranı +1 puan senaryosunda iade uygun ",TEXT(D9,"₺ #,##0")," TL")</f>
        <v/>
      </c>
    </row>
    <row r="25">
      <c r="A25" s="10" t="inlineStr">
        <is>
          <t>Tahmin aralığı (iade)</t>
        </is>
      </c>
      <c r="B25" s="16">
        <f>MOTOR!G54</f>
        <v/>
      </c>
      <c r="C25" s="16">
        <f>ktm_iadeUygun</f>
        <v/>
      </c>
      <c r="D25" s="16">
        <f>MOTOR!G53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D6</f>
        <v/>
      </c>
      <c r="D28" s="20" t="n">
        <v>79200</v>
      </c>
    </row>
    <row r="29">
      <c r="A29" s="50" t="n">
        <v>2</v>
      </c>
      <c r="B29" s="16">
        <f>D7</f>
        <v/>
      </c>
      <c r="D29" s="20" t="n">
        <v>88000</v>
      </c>
    </row>
    <row r="30">
      <c r="A30" s="50" t="n">
        <v>3</v>
      </c>
      <c r="B30" s="16">
        <f>D8</f>
        <v/>
      </c>
      <c r="D30" s="20" t="n">
        <v>96800</v>
      </c>
    </row>
    <row r="31">
      <c r="A31" s="50" t="n">
        <v>4</v>
      </c>
      <c r="B31" s="16">
        <f>D9</f>
        <v/>
      </c>
      <c r="D31" s="20" t="n">
        <v>91000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5">
      <formula>0</formula>
    </cfRule>
  </conditionalFormatting>
  <conditionalFormatting sqref="E6:E9">
    <cfRule type="expression" priority="3" dxfId="3">
      <formula>ISNUMBER(SEARCH("İADE",E6))</formula>
    </cfRule>
    <cfRule type="expression" priority="4" dxfId="5">
      <formula>ISNUMBER(SEARCH("MAHSUP",E6))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8.5" customWidth="1" min="2" max="2"/>
    <col width="46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5" t="inlineStr">
        <is>
          <t>VAKALAR — KDV Tevkifat Mahsup ve KDV İade Listesi</t>
        </is>
      </c>
    </row>
    <row r="3" ht="22" customHeight="1">
      <c r="A3" s="224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4" t="inlineStr">
        <is>
          <t>BeklenenDemo</t>
        </is>
      </c>
      <c r="K5" s="44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2/10 tevkifat</t>
        </is>
      </c>
      <c r="C6" s="24" t="inlineStr">
        <is>
          <t>matrah=vaka_matrah_1; oran KTM-001×KTM-005</t>
        </is>
      </c>
      <c r="D6" s="51" t="n">
        <v>40000</v>
      </c>
      <c r="E6" s="16">
        <f>IFERROR(ROUND(vaka_matrah_1*INDEX(tblKurallar[deger_2025],MATCH("KTM-005",tblKurallar[kural_id],0))*INDEX(tblKurallar[deger_2025],MATCH("KTM-001",tblKurallar[kural_id],0)),2),0)</f>
        <v/>
      </c>
      <c r="F6" s="52">
        <f>IF($A6="","",IFERROR($D6-$E6,0))</f>
        <v/>
      </c>
      <c r="G6" s="53">
        <f>IF($A6="","",IFERROR(IF(ABS($F6)&lt;=ktm_tolerans,"TUTARLI","KIRIK"),"KIRIK"))</f>
        <v/>
      </c>
      <c r="H6" s="24" t="inlineStr">
        <is>
          <t>2/10 tevkifat örneği</t>
        </is>
      </c>
      <c r="J6" s="20" t="n">
        <v>40000</v>
      </c>
      <c r="K6" s="20" t="n">
        <v>40000</v>
      </c>
    </row>
    <row r="7">
      <c r="A7" s="24" t="inlineStr">
        <is>
          <t>V-002</t>
        </is>
      </c>
      <c r="B7" s="24" t="inlineStr">
        <is>
          <t>Tebliğ örnek 2 — 5/10 tevkifat</t>
        </is>
      </c>
      <c r="C7" s="24" t="inlineStr">
        <is>
          <t>matrah=vaka_matrah_2; oran KTM-002×KTM-005</t>
        </is>
      </c>
      <c r="D7" s="51" t="n">
        <v>50000</v>
      </c>
      <c r="E7" s="16">
        <f>IFERROR(ROUND(vaka_matrah_2*INDEX(tblKurallar[deger_2025],MATCH("KTM-005",tblKurallar[kural_id],0))*INDEX(tblKurallar[deger_2025],MATCH("KTM-002",tblKurallar[kural_id],0)),2),0)</f>
        <v/>
      </c>
      <c r="F7" s="52">
        <f>IF($A7="","",IFERROR($D7-$E7,0))</f>
        <v/>
      </c>
      <c r="G7" s="53">
        <f>IF($A7="","",IFERROR(IF(ABS($F7)&lt;=ktm_tolerans,"TUTARLI","KIRIK"),"KIRIK"))</f>
        <v/>
      </c>
      <c r="H7" s="24" t="inlineStr">
        <is>
          <t>5/10 tevkifat örneği</t>
        </is>
      </c>
      <c r="J7" s="20" t="n">
        <v>50000</v>
      </c>
      <c r="K7" s="20" t="n">
        <v>50000</v>
      </c>
    </row>
    <row r="8">
      <c r="A8" s="24" t="inlineStr">
        <is>
          <t>V-003</t>
        </is>
      </c>
      <c r="B8" s="24" t="inlineStr">
        <is>
          <t>Tebliğ örnek 3 — 2/10+5/10 birikim</t>
        </is>
      </c>
      <c r="C8" s="24" t="inlineStr">
        <is>
          <t>vaka_matrah_1 + vaka_matrah_2</t>
        </is>
      </c>
      <c r="D8" s="51" t="n">
        <v>90000</v>
      </c>
      <c r="E8" s="16">
        <f>IFERROR(ROUND(vaka_matrah_1*INDEX(tblKurallar[deger_2025],MATCH("KTM-005",tblKurallar[kural_id],0))*INDEX(tblKurallar[deger_2025],MATCH("KTM-001",tblKurallar[kural_id],0))+vaka_matrah_2*INDEX(tblKurallar[deger_2025],MATCH("KTM-005",tblKurallar[kural_id],0))*INDEX(tblKurallar[deger_2025],MATCH("KTM-002",tblKurallar[kural_id],0)),2),0)</f>
        <v/>
      </c>
      <c r="F8" s="52">
        <f>IF($A8="","",IFERROR($D8-$E8,0))</f>
        <v/>
      </c>
      <c r="G8" s="53">
        <f>IF($A8="","",IFERROR(IF(ABS($F8)&lt;=ktm_tolerans,"TUTARLI","KIRIK"),"KIRIK"))</f>
        <v/>
      </c>
      <c r="H8" s="24" t="inlineStr">
        <is>
          <t>Birikimli tevkifat</t>
        </is>
      </c>
      <c r="J8" s="20" t="n">
        <v>90000</v>
      </c>
      <c r="K8" s="20" t="n">
        <v>90000</v>
      </c>
    </row>
    <row r="9">
      <c r="A9" s="24" t="inlineStr">
        <is>
          <t>V-004</t>
        </is>
      </c>
      <c r="B9" s="24" t="inlineStr">
        <is>
          <t>9/10 tevkifat kontrol</t>
        </is>
      </c>
      <c r="C9" s="24" t="inlineStr">
        <is>
          <t>matrah=vaka_matrah_9; oran KTM-004×KTM-005</t>
        </is>
      </c>
      <c r="D9" s="51" t="n">
        <v>36000</v>
      </c>
      <c r="E9" s="16">
        <f>IFERROR(ROUND(vaka_matrah_9*INDEX(tblKurallar[deger_2025],MATCH("KTM-005",tblKurallar[kural_id],0))*INDEX(tblKurallar[deger_2025],MATCH("KTM-004",tblKurallar[kural_id],0)),2),0)</f>
        <v/>
      </c>
      <c r="F9" s="52">
        <f>IF($A9="","",IFERROR($D9-$E9,0))</f>
        <v/>
      </c>
      <c r="G9" s="53">
        <f>IF($A9="","",IFERROR(IF(ABS($F9)&lt;=ktm_tolerans,"TUTARLI","KIRIK"),"KIRIK"))</f>
        <v/>
      </c>
      <c r="H9" s="24" t="inlineStr">
        <is>
          <t>9/10 tevkifat kontrol</t>
        </is>
      </c>
      <c r="J9" s="20" t="n">
        <v>36000</v>
      </c>
      <c r="K9" s="20" t="n">
        <v>36000</v>
      </c>
    </row>
    <row r="12">
      <c r="A12" s="10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3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KANIT RAPORU — KDV Tevkifat Mahsup ve KDV İade Listesi</t>
        </is>
      </c>
    </row>
    <row r="3" ht="22" customHeight="1">
      <c r="A3" s="224" t="inlineStr">
        <is>
          <t>KANIT RAPORU — KDV Tevkifat Mahsup / İade</t>
        </is>
      </c>
    </row>
    <row r="4">
      <c r="A4" s="24" t="inlineStr">
        <is>
          <t>Rapor tarihi</t>
        </is>
      </c>
      <c r="B4" s="56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2/10 matrah</t>
        </is>
      </c>
      <c r="B9" s="16">
        <f>GIRDI!B9</f>
        <v/>
      </c>
    </row>
    <row r="10">
      <c r="A10" s="24" t="inlineStr">
        <is>
          <t>5/10 matrah</t>
        </is>
      </c>
      <c r="B10" s="16">
        <f>GIRDI!B10</f>
        <v/>
      </c>
    </row>
    <row r="11">
      <c r="A11" s="24" t="inlineStr">
        <is>
          <t>7/10 matrah</t>
        </is>
      </c>
      <c r="B11" s="16">
        <f>GIRDI!B11</f>
        <v/>
      </c>
    </row>
    <row r="12">
      <c r="A12" s="24" t="inlineStr">
        <is>
          <t>9/10 matrah</t>
        </is>
      </c>
      <c r="B12" s="16">
        <f>GIRDI!B12</f>
        <v/>
      </c>
    </row>
    <row r="13">
      <c r="A13" s="24" t="inlineStr">
        <is>
          <t>KDV1 ödenecek</t>
        </is>
      </c>
      <c r="B13" s="16">
        <f>GIRDI!B13</f>
        <v/>
      </c>
    </row>
    <row r="14">
      <c r="A14" s="24" t="inlineStr">
        <is>
          <t>Önceki mahsup bakiyesi</t>
        </is>
      </c>
      <c r="B14" s="16">
        <f>GIRDI!B14</f>
        <v/>
      </c>
    </row>
    <row r="15">
      <c r="A15" s="24" t="inlineStr">
        <is>
          <t>İade talep</t>
        </is>
      </c>
      <c r="B15" s="16">
        <f>GIRDI!B15</f>
        <v/>
      </c>
    </row>
    <row r="17">
      <c r="A17" s="12" t="inlineStr">
        <is>
          <t>Hesap zinciri</t>
        </is>
      </c>
    </row>
    <row r="18">
      <c r="A18" s="24" t="inlineStr">
        <is>
          <t>Toplam tevkifat</t>
        </is>
      </c>
      <c r="B18" s="28">
        <f>ktm_toplamTevkifat</f>
        <v/>
      </c>
    </row>
    <row r="19">
      <c r="A19" s="24" t="inlineStr">
        <is>
          <t>Mahsup toplam</t>
        </is>
      </c>
      <c r="B19" s="28">
        <f>ktm_mahsupToplam</f>
        <v/>
      </c>
    </row>
    <row r="20">
      <c r="A20" s="24" t="inlineStr">
        <is>
          <t>İade uygun</t>
        </is>
      </c>
      <c r="B20" s="28">
        <f>ktm_iadeUygun</f>
        <v/>
      </c>
    </row>
    <row r="21">
      <c r="A21" s="10" t="inlineStr">
        <is>
          <t>KARAR</t>
        </is>
      </c>
      <c r="B21" s="57">
        <f>ktm_kararMetni</f>
        <v/>
      </c>
    </row>
    <row r="22">
      <c r="A22" s="24" t="inlineStr">
        <is>
          <t>Gerekçe</t>
        </is>
      </c>
      <c r="B22" s="11">
        <f>ktm_kararGerekce</f>
        <v/>
      </c>
    </row>
    <row r="24">
      <c r="A24" s="10" t="inlineStr">
        <is>
          <t>Madde atıfları</t>
        </is>
      </c>
      <c r="B24" s="11">
        <f>ktm_maddeAtifMetni</f>
        <v/>
      </c>
    </row>
    <row r="26">
      <c r="A26" s="10" t="inlineStr">
        <is>
          <t>Kanıt gövdesi</t>
        </is>
      </c>
      <c r="B26" s="11">
        <f>ktm_kanitRaporu</f>
        <v/>
      </c>
    </row>
    <row r="28">
      <c r="A28" s="24" t="inlineStr">
        <is>
          <t>Parmak izi (SHA-256 kısaltma)</t>
        </is>
      </c>
      <c r="B28" s="19">
        <f>ktm_parmakIzi</f>
        <v/>
      </c>
    </row>
    <row r="30">
      <c r="A30" s="24" t="inlineStr">
        <is>
          <t>Hazırlayan (imza)</t>
        </is>
      </c>
      <c r="B30" s="46" t="inlineStr"/>
    </row>
    <row r="31">
      <c r="A31" s="24" t="inlineStr">
        <is>
          <t>Onaylayan (imza)</t>
        </is>
      </c>
      <c r="B31" s="46" t="inlineStr"/>
    </row>
    <row r="33">
      <c r="A33" s="58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I1"/>
    <mergeCell ref="A3:I3"/>
    <mergeCell ref="B22:F22"/>
    <mergeCell ref="B26:F26"/>
  </mergeCells>
  <conditionalFormatting sqref="B21">
    <cfRule type="expression" priority="1" dxfId="0">
      <formula>ISNUMBER(SEARCH("MAHSUP",B21))</formula>
    </cfRule>
    <cfRule type="expression" priority="2" dxfId="1">
      <formula>ISNUMBER(SEARCH("İADE",B21))</formula>
    </cfRule>
    <cfRule type="expression" priority="3" dxfId="2">
      <formula>ISNUMBER(SEARCH("VERİ YOK",B21))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Tevkifat Mahsup ve KDV İade Listesi · 1.0.0&amp;CExcelArşiv&amp;RSayfa &amp;P / &amp;N</oddFooter>
    <evenHeader/>
    <evenFooter>&amp;LKDV Tevkifat Mahsup ve KDV İade Listesi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KONTROLLER — KDV Tevkifat Mahsup ve KDV İade Listesi</t>
        </is>
      </c>
    </row>
    <row r="3" ht="22" customHeight="1">
      <c r="A3" s="224" t="inlineStr">
        <is>
          <t>Canlı kontrol paneli</t>
        </is>
      </c>
    </row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matrah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IFERROR(IF(AND(N(hesapYili)&gt;N(ktm_yilTaban),N(hesapYili)&lt;=N(ktm_yilTaban)+3),"TEMİZ","HATALI"),"HATALI")</f>
        <v/>
      </c>
    </row>
    <row r="8">
      <c r="A8" s="24" t="inlineStr">
        <is>
          <t>Tevkifat sıfır mı?</t>
        </is>
      </c>
      <c r="B8" s="17">
        <f>IF(IFERROR(ktm_toplamTevkifat,0)=0,"SIFIR","NORMAL")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IF(IFERROR(ktm_iadeUygun,0)&gt;=ktm_iadeEsik,"AŞIYOR","NORMAL")</f>
        <v/>
      </c>
    </row>
    <row r="11">
      <c r="A11" s="24" t="inlineStr">
        <is>
          <t>Yorum A/B seçili mi?</t>
        </is>
      </c>
      <c r="B11" s="17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IFERROR(ktm_girisBeklenen+COUNTA(GIRDI!B6:B16)*0,0)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Tevkifat kontrol</t>
        </is>
      </c>
      <c r="B17" s="16">
        <f>IFERROR(ktm_toplamTevkifat,0)</f>
        <v/>
      </c>
    </row>
    <row r="18">
      <c r="A18" s="24" t="inlineStr">
        <is>
          <t>Mahsup kontrol</t>
        </is>
      </c>
      <c r="B18" s="16">
        <f>IFERROR(ktm_mahsupToplam,0)</f>
        <v/>
      </c>
    </row>
    <row r="19">
      <c r="A19" s="24" t="inlineStr">
        <is>
          <t>Karar kontrol</t>
        </is>
      </c>
      <c r="B19" s="17">
        <f>IFERROR(ktm_kararMetni,"-")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.5" customWidth="1" min="1" max="1"/>
    <col width="15.5" customWidth="1" min="2" max="2"/>
    <col width="15.5" customWidth="1" min="3" max="3"/>
    <col width="15.5" customWidth="1" min="4" max="4"/>
    <col width="15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6.5" customWidth="1" min="12" max="12"/>
    <col width="13" customWidth="1" min="13" max="13"/>
  </cols>
  <sheetData>
    <row r="1" ht="32" customHeight="1">
      <c r="A1" s="205" t="inlineStr">
        <is>
          <t>ORNEK VERI — KDV Tevkifat Mahsup ve KDV İade Listesi</t>
        </is>
      </c>
    </row>
    <row r="3" ht="22" customHeight="1">
      <c r="A3" s="224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2/10 Matrah</t>
        </is>
      </c>
      <c r="C5" s="13" t="inlineStr">
        <is>
          <t>5/10 Matrah</t>
        </is>
      </c>
      <c r="D5" s="13" t="inlineStr">
        <is>
          <t>7/10 Matrah</t>
        </is>
      </c>
      <c r="E5" s="13" t="inlineStr">
        <is>
          <t>9/10 Matrah</t>
        </is>
      </c>
      <c r="F5" s="13" t="inlineStr">
        <is>
          <t>KDV1</t>
        </is>
      </c>
      <c r="G5" s="13" t="inlineStr">
        <is>
          <t>Önceki</t>
        </is>
      </c>
      <c r="H5" s="13" t="inlineStr">
        <is>
          <t>İade Talep</t>
        </is>
      </c>
      <c r="I5" s="13" t="inlineStr">
        <is>
          <t>Tevkifat</t>
        </is>
      </c>
      <c r="J5" s="13" t="inlineStr">
        <is>
          <t>Kontrol</t>
        </is>
      </c>
      <c r="L5" s="44" t="inlineStr">
        <is>
          <t>TevkifatDemo</t>
        </is>
      </c>
    </row>
    <row r="6">
      <c r="A6" s="30" t="inlineStr">
        <is>
          <t>Demo ana</t>
        </is>
      </c>
      <c r="B6" s="33" t="n">
        <v>1000000</v>
      </c>
      <c r="C6" s="33" t="n">
        <v>500000</v>
      </c>
      <c r="D6" s="33" t="n">
        <v>300000</v>
      </c>
      <c r="E6" s="33" t="n">
        <v>200000</v>
      </c>
      <c r="F6" s="33" t="n">
        <v>100000</v>
      </c>
      <c r="G6" s="33" t="n">
        <v>20000</v>
      </c>
      <c r="H6" s="33" t="n">
        <v>80000</v>
      </c>
      <c r="I6" s="33" t="n">
        <v>168000</v>
      </c>
      <c r="J6" s="31">
        <f>IF($A6="","",IF($I6="","EKSİK","TAM"))</f>
        <v/>
      </c>
      <c r="L6" s="20" t="n">
        <v>168000</v>
      </c>
    </row>
    <row r="7">
      <c r="A7" s="30" t="inlineStr">
        <is>
          <t>Yüksek mahsup</t>
        </is>
      </c>
      <c r="B7" s="33" t="n">
        <v>1000000</v>
      </c>
      <c r="C7" s="33" t="n">
        <v>500000</v>
      </c>
      <c r="D7" s="33" t="n">
        <v>300000</v>
      </c>
      <c r="E7" s="33" t="n">
        <v>200000</v>
      </c>
      <c r="F7" s="33" t="n">
        <v>200000</v>
      </c>
      <c r="G7" s="33" t="n">
        <v>20000</v>
      </c>
      <c r="H7" s="33" t="n">
        <v>10000</v>
      </c>
      <c r="I7" s="33" t="n">
        <v>168000</v>
      </c>
      <c r="J7" s="31">
        <f>IF($A7="","",IF($I7="","EKSİK","TAM"))</f>
        <v/>
      </c>
      <c r="L7" s="20" t="n">
        <v>168000</v>
      </c>
    </row>
    <row r="8">
      <c r="A8" s="30" t="inlineStr">
        <is>
          <t>Düşük matrah</t>
        </is>
      </c>
      <c r="B8" s="33" t="n">
        <v>200000</v>
      </c>
      <c r="C8" s="33" t="n">
        <v>100000</v>
      </c>
      <c r="D8" s="33" t="n">
        <v>50000</v>
      </c>
      <c r="E8" s="33" t="n">
        <v>25000</v>
      </c>
      <c r="F8" s="33" t="n">
        <v>30000</v>
      </c>
      <c r="G8" s="33" t="n">
        <v>5000</v>
      </c>
      <c r="H8" s="33" t="n">
        <v>5000</v>
      </c>
      <c r="I8" s="33" t="n">
        <v>33500</v>
      </c>
      <c r="J8" s="31">
        <f>IF($A8="","",IF($I8="","EKSİK","TAM"))</f>
        <v/>
      </c>
      <c r="L8" s="20" t="n">
        <v>33500</v>
      </c>
    </row>
    <row r="9">
      <c r="A9" s="30" t="inlineStr">
        <is>
          <t>Sadece 2/10</t>
        </is>
      </c>
      <c r="B9" s="33" t="n">
        <v>800000</v>
      </c>
      <c r="C9" s="33" t="n">
        <v>0</v>
      </c>
      <c r="D9" s="33" t="n">
        <v>0</v>
      </c>
      <c r="E9" s="33" t="n">
        <v>0</v>
      </c>
      <c r="F9" s="33" t="n">
        <v>50000</v>
      </c>
      <c r="G9" s="33" t="n">
        <v>0</v>
      </c>
      <c r="H9" s="33" t="n">
        <v>20000</v>
      </c>
      <c r="I9" s="33" t="n">
        <v>32000</v>
      </c>
      <c r="J9" s="31">
        <f>IF($A9="","",IF($I9="","EKSİK","TAM"))</f>
        <v/>
      </c>
      <c r="L9" s="20" t="n">
        <v>32000</v>
      </c>
    </row>
    <row r="10">
      <c r="A10" s="30" t="inlineStr">
        <is>
          <t>Bekle senaryo</t>
        </is>
      </c>
      <c r="B10" s="33" t="n">
        <v>100000</v>
      </c>
      <c r="C10" s="33" t="n">
        <v>50000</v>
      </c>
      <c r="D10" s="33" t="n">
        <v>0</v>
      </c>
      <c r="E10" s="33" t="n">
        <v>0</v>
      </c>
      <c r="F10" s="33" t="n">
        <v>80000</v>
      </c>
      <c r="G10" s="33" t="n">
        <v>0</v>
      </c>
      <c r="H10" s="33" t="n">
        <v>0</v>
      </c>
      <c r="I10" s="33" t="n">
        <v>15000</v>
      </c>
      <c r="J10" s="31">
        <f>IF($A10="","",IF($I10="","EKSİK","TAM"))</f>
        <v/>
      </c>
      <c r="L10" s="20" t="n">
        <v>15000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IF($A11="","",IF($I11="","EKSİK","TAM"))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IF($A12="","",IF($I12="","EKSİK","TAM"))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IF($A13="","",IF($I13="","EKSİK","TAM"))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IF($A14="","",IF($I14="","EKSİK","TAM"))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IF($A15="","",IF($I15="","EKSİK","TAM"))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IF($A16="","",IF($I16="","EKSİK","TAM"))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IF($A17="","",IF($I17="","EKSİK","TAM"))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IF($A18="","",IF($I18="","EKSİK","TAM"))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IF($A19="","",IF($I19="","EKSİK","TAM"))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IF($A20="","",IF($I20="","EKSİK","TAM"))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IF($A21="","",IF($I21="","EKSİK","TAM"))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IF($A22="","",IF($I22="","EKSİK","TAM"))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IF($A23="","",IF($I23="","EKSİK","TAM"))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IF($A24="","",IF($I24="","EKSİK","TAM"))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IF($A25="","",IF($I25="","EKSİK","TAM"))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1">
        <f>IF($A26="","",IF($I26="","EKSİK","TAM"))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1">
        <f>IF($A27="","",IF($I27="","EKSİK","TAM"))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1">
        <f>IF($A28="","",IF($I28="","EKSİK","TAM"))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1">
        <f>IF($A29="","",IF($I29="","EKSİK","TAM"))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31">
        <f>IF($A30="","",IF($I30="","EKSİK","TAM"))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1">
        <f>IF($A31="","",IF($I31="","EKSİK","TAM"))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1">
        <f>IF($A32="","",IF($I32="","EKSİK","TAM"))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1">
        <f>IF($A33="","",IF($I33="","EKSİK","TAM"))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1">
        <f>IF($A34="","",IF($I34="","EKSİK","TAM"))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1">
        <f>IF($A35="","",IF($I35="","EKSİK","TAM"))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1">
        <f>IF($A36="","",IF($I36="","EKSİK","TAM"))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1">
        <f>IF($A37="","",IF($I37="","EKSİK","TAM"))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1">
        <f>IF($A38="","",IF($I38="","EKSİK","TAM"))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1">
        <f>IF($A39="","",IF($I39="","EKSİK","TAM"))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1">
        <f>IF($A40="","",IF($I40="","EKSİK","TAM"))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1">
        <f>IF($A41="","",IF($I41="","EKSİK","TAM"))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1">
        <f>IF($A42="","",IF($I42="","EKSİK","TAM"))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1">
        <f>IF($A43="","",IF($I43="","EKSİK","TAM"))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1">
        <f>IF($A44="","",IF($I44="","EKSİK","TAM"))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  <c r="J45" s="31">
        <f>IF($A45="","",IF($I45="","EKSİK","TAM"))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1">
        <f>IF($A46="","",IF($I46="","EKSİK","TAM"))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1">
        <f>IF($A47="","",IF($I47="","EKSİK","TAM"))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1">
        <f>IF($A48="","",IF($I48="","EKSİK","TAM"))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  <c r="J49" s="31">
        <f>IF($A49="","",IF($I49="","EKSİK","TAM"))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1">
        <f>IF($A50="","",IF($I50="","EKSİK","TAM"))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  <c r="J51" s="31">
        <f>IF($A51="","",IF($I51="","EKSİK","TAM"))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  <c r="J52" s="31">
        <f>IF($A52="","",IF($I52="","EKSİK","TAM"))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  <c r="J53" s="31">
        <f>IF($A53="","",IF($I53="","EKSİK","TAM"))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  <c r="J54" s="31">
        <f>IF($A54="","",IF($I54="","EKSİK","TAM"))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1">
        <f>IF($A55="","",IF($I55="","EKSİK","TAM"))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1">
        <f>IF($A56="","",IF($I56="","EKSİK","TAM"))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1">
        <f>IF($A57="","",IF($I57="","EKSİK","TAM"))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0" t="n"/>
      <c r="I58" s="30" t="n"/>
      <c r="J58" s="31">
        <f>IF($A58="","",IF($I58="","EKSİK","TAM"))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0" t="n"/>
      <c r="I59" s="30" t="n"/>
      <c r="J59" s="31">
        <f>IF($A59="","",IF($I59="","EKSİK","TAM"))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0" t="n"/>
      <c r="I60" s="30" t="n"/>
      <c r="J60" s="31">
        <f>IF($A60="","",IF($I60="","EKSİK","TAM"))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0" t="n"/>
      <c r="I61" s="30" t="n"/>
      <c r="J61" s="31">
        <f>IF($A61="","",IF($I61="","EKSİK","TAM"))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0" t="n"/>
      <c r="I62" s="30" t="n"/>
      <c r="J62" s="31">
        <f>IF($A62="","",IF($I62="","EKSİK","TAM"))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0" t="n"/>
      <c r="I63" s="30" t="n"/>
      <c r="J63" s="31">
        <f>IF($A63="","",IF($I63="","EKSİK","TAM"))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0" t="n"/>
      <c r="I64" s="30" t="n"/>
      <c r="J64" s="31">
        <f>IF($A64="","",IF($I64="","EKSİK","TAM"))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0" t="n"/>
      <c r="I65" s="30" t="n"/>
      <c r="J65" s="31">
        <f>IF($A65="","",IF($I65="","EKSİK","TAM"))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0" t="n"/>
      <c r="I66" s="30" t="n"/>
      <c r="J66" s="31">
        <f>IF($A66="","",IF($I66="","EKSİK","TAM"))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1">
        <f>IF($A67="","",IF($I67="","EKSİK","TAM"))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0" t="n"/>
      <c r="I68" s="30" t="n"/>
      <c r="J68" s="31">
        <f>IF($A68="","",IF($I68="","EKSİK","TAM"))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0" t="n"/>
      <c r="I69" s="30" t="n"/>
      <c r="J69" s="31">
        <f>IF($A69="","",IF($I69="","EKSİK","TAM"))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0" t="n"/>
      <c r="I70" s="30" t="n"/>
      <c r="J70" s="31">
        <f>IF($A70="","",IF($I70="","EKSİK","TAM"))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0" t="n"/>
      <c r="I71" s="30" t="n"/>
      <c r="J71" s="31">
        <f>IF($A71="","",IF($I71="","EKSİK","TAM"))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0" t="n"/>
      <c r="I72" s="30" t="n"/>
      <c r="J72" s="31">
        <f>IF($A72="","",IF($I72="","EKSİK","TAM"))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0" t="n"/>
      <c r="I73" s="30" t="n"/>
      <c r="J73" s="31">
        <f>IF($A73="","",IF($I73="","EKSİK","TAM"))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0" t="n"/>
      <c r="I74" s="30" t="n"/>
      <c r="J74" s="31">
        <f>IF($A74="","",IF($I74="","EKSİK","TAM"))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0" t="n"/>
      <c r="I75" s="30" t="n"/>
      <c r="J75" s="31">
        <f>IF($A75="","",IF($I75="","EKSİK","TAM"))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0" t="n"/>
      <c r="I76" s="30" t="n"/>
      <c r="J76" s="31">
        <f>IF($A76="","",IF($I76="","EKSİK","TAM"))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0" t="n"/>
      <c r="I77" s="30" t="n"/>
      <c r="J77" s="31">
        <f>IF($A77="","",IF($I77="","EKSİK","TAM"))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0" t="n"/>
      <c r="I78" s="30" t="n"/>
      <c r="J78" s="31">
        <f>IF($A78="","",IF($I78="","EKSİK","TAM"))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0" t="n"/>
      <c r="I79" s="30" t="n"/>
      <c r="J79" s="31">
        <f>IF($A79="","",IF($I79="","EKSİK","TAM"))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0" t="n"/>
      <c r="I80" s="30" t="n"/>
      <c r="J80" s="31">
        <f>IF($A80="","",IF($I80="","EKSİK","TAM"))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0" t="n"/>
      <c r="I81" s="30" t="n"/>
      <c r="J81" s="31">
        <f>IF($A81="","",IF($I81="","EKSİK","TAM"))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0" t="n"/>
      <c r="I82" s="30" t="n"/>
      <c r="J82" s="31">
        <f>IF($A82="","",IF($I82="","EKSİK","TAM"))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0" t="n"/>
      <c r="I83" s="30" t="n"/>
      <c r="J83" s="31">
        <f>IF($A83="","",IF($I83="","EKSİK","TAM"))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0" t="n"/>
      <c r="I84" s="30" t="n"/>
      <c r="J84" s="31">
        <f>IF($A84="","",IF($I84="","EKSİK","TAM"))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0" t="n"/>
      <c r="I85" s="30" t="n"/>
      <c r="J85" s="31">
        <f>IF($A85="","",IF($I85="","EKSİK","TAM"))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0" t="n"/>
      <c r="I86" s="30" t="n"/>
      <c r="J86" s="31">
        <f>IF($A86="","",IF($I86="","EKSİK","TAM"))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0" t="n"/>
      <c r="I87" s="30" t="n"/>
      <c r="J87" s="31">
        <f>IF($A87="","",IF($I87="","EKSİK","TAM"))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0" t="n"/>
      <c r="I88" s="30" t="n"/>
      <c r="J88" s="31">
        <f>IF($A88="","",IF($I88="","EKSİK","TAM"))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0" t="n"/>
      <c r="I89" s="30" t="n"/>
      <c r="J89" s="31">
        <f>IF($A89="","",IF($I89="","EKSİK","TAM"))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0" t="n"/>
      <c r="I90" s="30" t="n"/>
      <c r="J90" s="31">
        <f>IF($A90="","",IF($I90="","EKSİK","TAM"))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0" t="n"/>
      <c r="I91" s="30" t="n"/>
      <c r="J91" s="31">
        <f>IF($A91="","",IF($I91="","EKSİK","TAM"))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0" t="n"/>
      <c r="I92" s="30" t="n"/>
      <c r="J92" s="31">
        <f>IF($A92="","",IF($I92="","EKSİK","TAM"))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0" t="n"/>
      <c r="I93" s="30" t="n"/>
      <c r="J93" s="31">
        <f>IF($A93="","",IF($I93="","EKSİK","TAM"))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0" t="n"/>
      <c r="I94" s="30" t="n"/>
      <c r="J94" s="31">
        <f>IF($A94="","",IF($I94="","EKSİK","TAM"))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0" t="n"/>
      <c r="I95" s="30" t="n"/>
      <c r="J95" s="31">
        <f>IF($A95="","",IF($I95="","EKSİK","TAM"))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0" t="n"/>
      <c r="I96" s="30" t="n"/>
      <c r="J96" s="31">
        <f>IF($A96="","",IF($I96="","EKSİK","TAM"))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0" t="n"/>
      <c r="I97" s="30" t="n"/>
      <c r="J97" s="31">
        <f>IF($A97="","",IF($I97="","EKSİK","TAM"))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0" t="n"/>
      <c r="I98" s="30" t="n"/>
      <c r="J98" s="31">
        <f>IF($A98="","",IF($I98="","EKSİK","TAM"))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0" t="n"/>
      <c r="I99" s="30" t="n"/>
      <c r="J99" s="31">
        <f>IF($A99="","",IF($I99="","EKSİK","TAM"))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0" t="n"/>
      <c r="I100" s="30" t="n"/>
      <c r="J100" s="31">
        <f>IF($A100="","",IF($I100="","EKSİK","TAM"))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1">
        <f>IF($A101="","",IF($I101="","EKSİK","TAM"))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0" t="n"/>
      <c r="I102" s="30" t="n"/>
      <c r="J102" s="31">
        <f>IF($A102="","",IF($I102="","EKSİK","TAM"))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0" t="n"/>
      <c r="I103" s="30" t="n"/>
      <c r="J103" s="31">
        <f>IF($A103="","",IF($I103="","EKSİK","TAM"))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1">
        <f>IF($A104="","",IF($I104="","EKSİK","TAM"))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H6:H20">
    <cfRule type="cellIs" priority="7" operator="lessThan" dxfId="4">
      <formula>0</formula>
    </cfRule>
  </conditionalFormatting>
  <conditionalFormatting sqref="I6:I20">
    <cfRule type="cellIs" priority="8" operator="lessThan" dxfId="4">
      <formula>0</formula>
    </cfRule>
    <cfRule type="cellIs" priority="9" operator="greaterThan" dxfId="3">
      <formula>0</formula>
    </cfRule>
  </conditionalFormatting>
  <dataValidations count="7">
    <dataValidation sqref="B6:B104" showDropDown="0" showInputMessage="1" showErrorMessage="1" allowBlank="1" errorTitle="Geçersiz" error="0 ile 1e12 arasında." promptTitle="2/10" prompt="2/10 tutarını TL girin." type="decimal" errorStyle="stop" operator="between">
      <formula1>0</formula1>
      <formula2>1000000000000</formula2>
    </dataValidation>
    <dataValidation sqref="C6:C104" showDropDown="0" showInputMessage="1" showErrorMessage="1" allowBlank="1" errorTitle="Geçersiz" error="0 ile 1e12 arasında." promptTitle="5/10" prompt="5/10 tutarını TL girin." type="decimal" errorStyle="stop" operator="between">
      <formula1>0</formula1>
      <formula2>1000000000000</formula2>
    </dataValidation>
    <dataValidation sqref="D6:D104" showDropDown="0" showInputMessage="1" showErrorMessage="1" allowBlank="1" errorTitle="Geçersiz" error="0 ile 1e12 arasında." promptTitle="7/10" prompt="7/10 tutarını TL girin." type="decimal" errorStyle="stop" operator="between">
      <formula1>0</formula1>
      <formula2>1000000000000</formula2>
    </dataValidation>
    <dataValidation sqref="E6:E104" showDropDown="0" showInputMessage="1" showErrorMessage="1" allowBlank="1" errorTitle="Geçersiz" error="0 ile 1e12 arasında." promptTitle="9/10" prompt="9/10 tutarını TL girin." type="decimal" errorStyle="stop" operator="between">
      <formula1>0</formula1>
      <formula2>1000000000000</formula2>
    </dataValidation>
    <dataValidation sqref="F6:F104" showDropDown="0" showInputMessage="1" showErrorMessage="1" allowBlank="1" errorTitle="Geçersiz" error="0 ile 1e12 arasında." promptTitle="KDV1" prompt="KDV1 tutarını TL girin." type="decimal" errorStyle="stop" operator="between">
      <formula1>0</formula1>
      <formula2>1000000000000</formula2>
    </dataValidation>
    <dataValidation sqref="G6:G104" showDropDown="0" showInputMessage="1" showErrorMessage="1" allowBlank="1" errorTitle="Geçersiz" error="0 ile 1e12 arasında." promptTitle="Önceki" prompt="Önceki tutarını TL girin." type="decimal" errorStyle="stop" operator="between">
      <formula1>0</formula1>
      <formula2>1000000000000</formula2>
    </dataValidation>
    <dataValidation sqref="H6:H104" showDropDown="0" showInputMessage="1" showErrorMessage="1" allowBlank="1" errorTitle="Geçersiz" error="0 ile 1e12 arasında." promptTitle="İade" prompt="İade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LISTELER — KDV Tevkifat Mahsup ve KDV İade Listesi</t>
        </is>
      </c>
    </row>
    <row r="3" ht="22" customHeight="1">
      <c r="A3" s="224" t="inlineStr">
        <is>
          <t>Doğrulama listeleri</t>
        </is>
      </c>
    </row>
    <row r="5">
      <c r="A5" s="44" t="inlineStr">
        <is>
          <t>Yıllar</t>
        </is>
      </c>
      <c r="C5" s="44" t="inlineStr">
        <is>
          <t>Yorum A/B</t>
        </is>
      </c>
      <c r="E5" s="44" t="inlineStr">
        <is>
          <t>Evet/Hayır</t>
        </is>
      </c>
    </row>
    <row r="6">
      <c r="A6" s="45" t="n">
        <v>2025</v>
      </c>
      <c r="C6" s="46" t="inlineStr">
        <is>
          <t>A</t>
        </is>
      </c>
      <c r="E6" s="46" t="inlineStr">
        <is>
          <t>Evet</t>
        </is>
      </c>
    </row>
    <row r="7">
      <c r="A7" s="45" t="n">
        <v>2026</v>
      </c>
      <c r="C7" s="46" t="inlineStr">
        <is>
          <t>B</t>
        </is>
      </c>
      <c r="E7" s="46" t="inlineStr">
        <is>
          <t>Hayır</t>
        </is>
      </c>
    </row>
    <row r="8">
      <c r="A8" s="4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5" t="inlineStr">
        <is>
          <t>AYARLAR — KDV Tevkifat Mahsup ve KDV İade Listesi</t>
        </is>
      </c>
    </row>
    <row r="3" ht="22" customHeight="1">
      <c r="A3" s="224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60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1">
        <f>IF(A7="","",IF(B7="","EKSİK","TAM"))</f>
        <v/>
      </c>
    </row>
    <row r="8">
      <c r="A8" s="24" t="inlineStr">
        <is>
          <t>ktm_tolerans</t>
        </is>
      </c>
      <c r="B8" s="63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1">
        <f>IF(A8="","",IF(B8="","EKSİK","TAM"))</f>
        <v/>
      </c>
    </row>
    <row r="9">
      <c r="A9" s="24" t="inlineStr">
        <is>
          <t>ktm_iadeEsik</t>
        </is>
      </c>
      <c r="B9" s="63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1">
        <f>IF(A9="","",IF(B9="","EKSİK","TAM"))</f>
        <v/>
      </c>
    </row>
    <row r="10">
      <c r="A10" s="24" t="inlineStr">
        <is>
          <t>ktm_senaryoIyi</t>
        </is>
      </c>
      <c r="B10" s="37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14.08.2026</t>
        </is>
      </c>
      <c r="H10" s="61">
        <f>IF(A10="","",IF(B10="","EKSİK","TAM"))</f>
        <v/>
      </c>
    </row>
    <row r="11">
      <c r="A11" s="24" t="inlineStr">
        <is>
          <t>ktm_senaryoKotu</t>
        </is>
      </c>
      <c r="B11" s="37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1">
        <f>IF(A11="","",IF(B11="","EKSİK","TAM"))</f>
        <v/>
      </c>
    </row>
    <row r="12">
      <c r="A12" s="24" t="inlineStr">
        <is>
          <t>ktm_oranArtisPuan</t>
        </is>
      </c>
      <c r="B12" s="37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14.08.2026</t>
        </is>
      </c>
      <c r="H12" s="61">
        <f>IF(A12="","",IF(B12="","EKSİK","TAM"))</f>
        <v/>
      </c>
    </row>
    <row r="13">
      <c r="A13" s="24" t="inlineStr">
        <is>
          <t>ktm_tahminAlt</t>
        </is>
      </c>
      <c r="B13" s="37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14.08.2026</t>
        </is>
      </c>
      <c r="H13" s="61">
        <f>IF(A13="","",IF(B13="","EKSİK","TAM"))</f>
        <v/>
      </c>
    </row>
    <row r="14">
      <c r="A14" s="24" t="inlineStr">
        <is>
          <t>ktm_tahminUst</t>
        </is>
      </c>
      <c r="B14" s="37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1">
        <f>IF(A14="","",IF(B14="","EKSİK","TAM"))</f>
        <v/>
      </c>
    </row>
    <row r="15">
      <c r="A15" s="24" t="inlineStr">
        <is>
          <t>ktm_tornadoMatrah</t>
        </is>
      </c>
      <c r="B15" s="37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1">
        <f>IF(A15="","",IF(B15="","EKSİK","TAM"))</f>
        <v/>
      </c>
    </row>
    <row r="16">
      <c r="A16" s="24" t="inlineStr">
        <is>
          <t>ktm_tornadoKdv1</t>
        </is>
      </c>
      <c r="B16" s="37" t="n">
        <v>0.95</v>
      </c>
      <c r="C16" s="24" t="inlineStr">
        <is>
          <t>çarpan</t>
        </is>
      </c>
      <c r="D16" s="24" t="inlineStr">
        <is>
          <t>Tornado KDV1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1">
        <f>IF(A16="","",IF(B16="","EKSİK","TAM"))</f>
        <v/>
      </c>
    </row>
    <row r="17">
      <c r="A17" s="24" t="inlineStr">
        <is>
          <t>ktm_yuzdelikOran</t>
        </is>
      </c>
      <c r="B17" s="37" t="n">
        <v>0.9</v>
      </c>
      <c r="C17" s="24" t="inlineStr">
        <is>
          <t>oran</t>
        </is>
      </c>
      <c r="D17" s="24" t="inlineStr">
        <is>
          <t>Yüzdelik P90</t>
        </is>
      </c>
      <c r="E17" s="24" t="inlineStr">
        <is>
          <t>İstatistik</t>
        </is>
      </c>
      <c r="F17" s="24" t="inlineStr">
        <is>
          <t>01.01.2025</t>
        </is>
      </c>
      <c r="G17" s="24" t="inlineStr">
        <is>
          <t>14.08.2026</t>
        </is>
      </c>
      <c r="H17" s="61">
        <f>IF(A17="","",IF(B17="","EKSİK","TAM"))</f>
        <v/>
      </c>
    </row>
    <row r="18">
      <c r="A18" s="24" t="inlineStr">
        <is>
          <t>ktm_parmakIzi</t>
        </is>
      </c>
      <c r="B18" s="64" t="inlineStr">
        <is>
          <t>276743e3f5a345b7</t>
        </is>
      </c>
      <c r="C18" s="24" t="inlineStr">
        <is>
          <t>metin</t>
        </is>
      </c>
      <c r="D18" s="24" t="inlineStr">
        <is>
          <t>Dosya parmak izi etiketi</t>
        </is>
      </c>
      <c r="E18" s="24" t="inlineStr">
        <is>
          <t>Üretim</t>
        </is>
      </c>
      <c r="F18" s="24" t="inlineStr">
        <is>
          <t>01.01.2025</t>
        </is>
      </c>
      <c r="G18" s="24" t="inlineStr">
        <is>
          <t>14.08.2026</t>
        </is>
      </c>
      <c r="H18" s="61">
        <f>IF(A18="","",IF(B18="","EKSİK","TAM"))</f>
        <v/>
      </c>
    </row>
    <row r="19">
      <c r="A19" s="24" t="inlineStr">
        <is>
          <t>dosya_surumu</t>
        </is>
      </c>
      <c r="B19" s="64" t="inlineStr">
        <is>
          <t>1.0.0</t>
        </is>
      </c>
      <c r="C19" s="24" t="inlineStr">
        <is>
          <t>metin</t>
        </is>
      </c>
      <c r="D19" s="24" t="inlineStr">
        <is>
          <t>Ürün sürümü</t>
        </is>
      </c>
      <c r="E19" s="24" t="inlineStr">
        <is>
          <t>ExcelArşiv</t>
        </is>
      </c>
      <c r="F19" s="24" t="inlineStr">
        <is>
          <t>01.01.2025</t>
        </is>
      </c>
      <c r="G19" s="24" t="inlineStr">
        <is>
          <t>14.08.2026</t>
        </is>
      </c>
      <c r="H19" s="61">
        <f>IF(A19="","",IF(B19="","EKSİK","TAM"))</f>
        <v/>
      </c>
    </row>
    <row r="20">
      <c r="A20" s="24" t="inlineStr">
        <is>
          <t>ktm_girisBeklenen</t>
        </is>
      </c>
      <c r="B20" s="60" t="n">
        <v>11</v>
      </c>
      <c r="C20" s="24" t="inlineStr">
        <is>
          <t>adet</t>
        </is>
      </c>
      <c r="D20" s="24" t="inlineStr">
        <is>
          <t>Zorunlu giriş alanı sayısı</t>
        </is>
      </c>
      <c r="E20" s="24" t="inlineStr">
        <is>
          <t>Ürün mimarisi</t>
        </is>
      </c>
      <c r="F20" s="24" t="inlineStr">
        <is>
          <t>01.01.2025</t>
        </is>
      </c>
      <c r="G20" s="24" t="inlineStr">
        <is>
          <t>14.08.2026</t>
        </is>
      </c>
      <c r="H20" s="61">
        <f>IF(A20="","",IF(B20="","EKSİK","TAM"))</f>
        <v/>
      </c>
    </row>
    <row r="21">
      <c r="A21" s="24" t="inlineStr">
        <is>
          <t>ktm_riskDusuk</t>
        </is>
      </c>
      <c r="B21" s="60" t="n">
        <v>15</v>
      </c>
      <c r="C21" s="24" t="inlineStr">
        <is>
          <t>puan</t>
        </is>
      </c>
      <c r="D21" s="24" t="inlineStr">
        <is>
          <t>Düşük risk skoru</t>
        </is>
      </c>
      <c r="E21" s="24" t="inlineStr">
        <is>
          <t>İç politika</t>
        </is>
      </c>
      <c r="F21" s="24" t="inlineStr">
        <is>
          <t>01.01.2025</t>
        </is>
      </c>
      <c r="G21" s="24" t="inlineStr">
        <is>
          <t>14.08.2026</t>
        </is>
      </c>
      <c r="H21" s="61">
        <f>IF(A21="","",IF(B21="","EKSİK","TAM"))</f>
        <v/>
      </c>
    </row>
    <row r="22">
      <c r="A22" s="24" t="inlineStr">
        <is>
          <t>ktm_riskOrta</t>
        </is>
      </c>
      <c r="B22" s="60" t="n">
        <v>55</v>
      </c>
      <c r="C22" s="24" t="inlineStr">
        <is>
          <t>puan</t>
        </is>
      </c>
      <c r="D22" s="24" t="inlineStr">
        <is>
          <t>Orta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14.08.2026</t>
        </is>
      </c>
      <c r="H22" s="61">
        <f>IF(A22="","",IF(B22="","EKSİK","TAM"))</f>
        <v/>
      </c>
    </row>
    <row r="23">
      <c r="A23" s="24" t="inlineStr">
        <is>
          <t>ktm_riskYuksek</t>
        </is>
      </c>
      <c r="B23" s="60" t="n">
        <v>85</v>
      </c>
      <c r="C23" s="24" t="inlineStr">
        <is>
          <t>puan</t>
        </is>
      </c>
      <c r="D23" s="24" t="inlineStr">
        <is>
          <t>Yüksek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1">
        <f>IF(A23="","",IF(B23="","EKSİK","TAM"))</f>
        <v/>
      </c>
    </row>
    <row r="24">
      <c r="A24" s="24" t="inlineStr">
        <is>
          <t>ktm_yilTaban</t>
        </is>
      </c>
      <c r="B24" s="60" t="n">
        <v>2024</v>
      </c>
      <c r="C24" s="24" t="inlineStr">
        <is>
          <t>yıl</t>
        </is>
      </c>
      <c r="D24" s="24" t="inlineStr">
        <is>
          <t>CHOOSE yıl tabanı (hesapYili−taban)</t>
        </is>
      </c>
      <c r="E24" s="24" t="inlineStr">
        <is>
          <t>Ürün mimarisi</t>
        </is>
      </c>
      <c r="F24" s="24" t="inlineStr">
        <is>
          <t>01.01.2025</t>
        </is>
      </c>
      <c r="G24" s="24" t="inlineStr">
        <is>
          <t>14.08.2026</t>
        </is>
      </c>
      <c r="H24" s="61">
        <f>IF(A24="","",IF(B24="","EKSİK","TAM"))</f>
        <v/>
      </c>
    </row>
    <row r="25">
      <c r="A25" s="24" t="inlineStr">
        <is>
          <t>ktm_yuvarMax</t>
        </is>
      </c>
      <c r="B25" s="60" t="n">
        <v>2</v>
      </c>
      <c r="C25" s="24" t="inlineStr">
        <is>
          <t>adet</t>
        </is>
      </c>
      <c r="D25" s="24" t="inlineStr">
        <is>
          <t>ROUND basamak tavanı</t>
        </is>
      </c>
      <c r="E25" s="24" t="inlineStr">
        <is>
          <t>Ürün mimarisi</t>
        </is>
      </c>
      <c r="F25" s="24" t="inlineStr">
        <is>
          <t>01.01.2025</t>
        </is>
      </c>
      <c r="G25" s="24" t="inlineStr">
        <is>
          <t>14.08.2026</t>
        </is>
      </c>
      <c r="H25" s="61">
        <f>IF(A25="","",IF(B25="","EKSİK","TAM"))</f>
        <v/>
      </c>
    </row>
    <row r="26">
      <c r="A26" s="24" t="inlineStr">
        <is>
          <t>vaka_matrah_1</t>
        </is>
      </c>
      <c r="B26" s="63" t="n">
        <v>1000000</v>
      </c>
      <c r="C26" s="24" t="inlineStr">
        <is>
          <t>TL</t>
        </is>
      </c>
      <c r="D26" s="24" t="inlineStr">
        <is>
          <t>Vaka1 2/10 matrah</t>
        </is>
      </c>
      <c r="E26" s="24" t="inlineStr">
        <is>
          <t>Tebliğ örneği</t>
        </is>
      </c>
      <c r="F26" s="24" t="inlineStr">
        <is>
          <t>01.01.2025</t>
        </is>
      </c>
      <c r="G26" s="24" t="inlineStr">
        <is>
          <t>14.08.2026</t>
        </is>
      </c>
      <c r="H26" s="61">
        <f>IF(A26="","",IF(B26="","EKSİK","TAM"))</f>
        <v/>
      </c>
    </row>
    <row r="27">
      <c r="A27" s="24" t="inlineStr">
        <is>
          <t>vaka_matrah_2</t>
        </is>
      </c>
      <c r="B27" s="63" t="n">
        <v>500000</v>
      </c>
      <c r="C27" s="24" t="inlineStr">
        <is>
          <t>TL</t>
        </is>
      </c>
      <c r="D27" s="24" t="inlineStr">
        <is>
          <t>Vaka2 5/10 matrah</t>
        </is>
      </c>
      <c r="E27" s="24" t="inlineStr">
        <is>
          <t>Tebliğ örneği</t>
        </is>
      </c>
      <c r="F27" s="24" t="inlineStr">
        <is>
          <t>01.01.2025</t>
        </is>
      </c>
      <c r="G27" s="24" t="inlineStr">
        <is>
          <t>14.08.2026</t>
        </is>
      </c>
      <c r="H27" s="61">
        <f>IF(A27="","",IF(B27="","EKSİK","TAM"))</f>
        <v/>
      </c>
    </row>
    <row r="28">
      <c r="A28" s="24" t="inlineStr">
        <is>
          <t>vaka_matrah_9</t>
        </is>
      </c>
      <c r="B28" s="63" t="n">
        <v>200000</v>
      </c>
      <c r="C28" s="24" t="inlineStr">
        <is>
          <t>TL</t>
        </is>
      </c>
      <c r="D28" s="24" t="inlineStr">
        <is>
          <t>Vaka4 9/10 matrah</t>
        </is>
      </c>
      <c r="E28" s="24" t="inlineStr">
        <is>
          <t>Tebliğ örneği</t>
        </is>
      </c>
      <c r="F28" s="24" t="inlineStr">
        <is>
          <t>01.01.2025</t>
        </is>
      </c>
      <c r="G28" s="24" t="inlineStr">
        <is>
          <t>14.08.2026</t>
        </is>
      </c>
      <c r="H28" s="61">
        <f>IF(A28="","",IF(B28="","EKSİK","TAM"))</f>
        <v/>
      </c>
    </row>
    <row r="30">
      <c r="B30" s="65" t="inlineStr">
        <is>
          <t>Parametre satırları yukarıda; ad tanımları B kolonuna bağlı.</t>
        </is>
      </c>
    </row>
    <row r="32">
      <c r="B32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9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KILAVUZ — KDV Tevkifat Mahsup ve KDV İade Listesi</t>
        </is>
      </c>
    </row>
    <row r="3">
      <c r="A3" s="21" t="inlineStr">
        <is>
          <t>Karar kuralları</t>
        </is>
      </c>
    </row>
    <row r="5">
      <c r="A5" s="41" t="inlineStr">
        <is>
          <t>• VERİ YOK — giriş tablosu boşsa hesap yapılmaz.</t>
        </is>
      </c>
    </row>
    <row r="6">
      <c r="A6" s="41" t="inlineStr">
        <is>
          <t>• İADE — iade uygun tutar eşik üzerinde; iade cetveli öncelikli.</t>
        </is>
      </c>
    </row>
    <row r="7">
      <c r="A7" s="41" t="inlineStr">
        <is>
          <t>• MAHSUP — mahsup edilebilir tutar var; 2 Numaralı mahsup listesi öncelikli.</t>
        </is>
      </c>
    </row>
    <row r="8">
      <c r="A8" s="41" t="inlineStr">
        <is>
          <t>• BEKLE — mahsup/iade net değil veya belge belirsizliği var.</t>
        </is>
      </c>
    </row>
    <row r="10">
      <c r="A10" s="66" t="inlineStr">
        <is>
          <t>Belirsizlik beyanları (M05)</t>
        </is>
      </c>
    </row>
    <row r="11">
      <c r="A11" s="67" t="inlineStr">
        <is>
          <t>Bu nokta mevzuatta tartışmalıdır; dosya yorum A ve yorum B sonucunu yan yana gösterir: mahsup_sirasi</t>
        </is>
      </c>
    </row>
    <row r="13">
      <c r="A13" s="10" t="inlineStr">
        <is>
          <t>Yorum A</t>
        </is>
      </c>
      <c r="B13" s="41" t="inlineStr">
        <is>
          <t>Önce mahsup (KDV1 ödenecek kadar), kalan iadeye gider. Bu nokta mevzuatta tartışmalıdır; sonuç yorum B ile yan yana okunmalıdır.</t>
        </is>
      </c>
    </row>
    <row r="14">
      <c r="A14" s="10" t="inlineStr">
        <is>
          <t>Yorum B</t>
        </is>
      </c>
      <c r="B14" s="41" t="inlineStr">
        <is>
          <t>Önce iade talep kadar iade, kalan mahsup edilir. Dosya her iki yorumun sonucunu MOTOR'da üretir.</t>
        </is>
      </c>
    </row>
    <row r="16">
      <c r="A16" s="10" t="inlineStr">
        <is>
          <t>Kullanım sırası</t>
        </is>
      </c>
    </row>
    <row r="17">
      <c r="A17" s="41" t="inlineStr">
        <is>
          <t>GIRDI → KURALLAR → MOTOR → MAHSUP_LISTE → IADE_LISTE → SENARYO → VAKALAR → PANO → KANIT_RAPORU → AYARLAR → KILAVUZ.</t>
        </is>
      </c>
    </row>
    <row r="19">
      <c r="A19" s="6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1:I1"/>
    <mergeCell ref="A7:T7"/>
    <mergeCell ref="B13:J13"/>
    <mergeCell ref="A11:T11"/>
    <mergeCell ref="A10:J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2026-08-14T19:23:00Z</dcterms:created>
  <dcterms:modified xmlns:dcterms="http://purl.org/dc/terms/" xmlns:xsi="http://www.w3.org/2001/XMLSchema-instance" xsi:type="dcterms:W3CDTF">2026-09-25T22:34:28Z</dcterms:modified>
</cp:coreProperties>
</file>