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MAHSUP_LISTE" sheetId="13" state="visible" r:id="rId13"/>
    <sheet xmlns:r="http://schemas.openxmlformats.org/officeDocument/2006/relationships" name="IADE_LISTE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1" t="inlineStr">
        <is>
          <t>EXCELARŞİV KARAR SİSTEMİ v15.1 — ÜRETİM REFERANSI</t>
        </is>
      </c>
    </row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8" t="inlineStr">
        <is>
          <t>☰ PANO</t>
        </is>
      </c>
    </row>
    <row r="2">
      <c r="B2" s="94" t="inlineStr">
        <is>
          <t>KDV TEVKIFAT MAHSUP IADE LISTESI — YÖNETİM VE KARAR SİSTEMİ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Yönetici Karar Kokpiti, Otomatik Doğrulama ve Dinamik Hesaplama Sistemi · 2026</t>
        </is>
      </c>
    </row>
    <row r="5">
      <c r="B5" s="98" t="inlineStr">
        <is>
          <t>TOPLAM İŞLEM HACMİ</t>
        </is>
      </c>
      <c r="C5" s="99" t="n"/>
      <c r="D5" s="100" t="inlineStr">
        <is>
          <t>DOĞRULANMIŞ</t>
        </is>
      </c>
      <c r="E5" s="101" t="inlineStr">
        <is>
          <t>RİSKLİ / BEKLEYEN İŞLEM</t>
        </is>
      </c>
      <c r="F5" s="99" t="n"/>
      <c r="G5" s="102" t="inlineStr">
        <is>
          <t>MİNİMUM</t>
        </is>
      </c>
      <c r="H5" s="98" t="inlineStr">
        <is>
          <t>OPERASYONEL NET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08" t="inlineStr">
        <is>
          <t>₺28.450.000</t>
        </is>
      </c>
      <c r="C7" s="99" t="n"/>
      <c r="D7" s="99" t="n"/>
      <c r="E7" s="109" t="inlineStr">
        <is>
          <t>₺940.000</t>
        </is>
      </c>
      <c r="F7" s="99" t="n"/>
      <c r="G7" s="99" t="n"/>
      <c r="H7" s="108" t="inlineStr">
        <is>
          <t>₺8.120.000</t>
        </is>
      </c>
      <c r="I7" s="99" t="n"/>
      <c r="J7" s="99" t="n"/>
      <c r="K7" s="110" t="inlineStr">
        <is>
          <t>98/100</t>
        </is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Konsolide yıllıklandırılmış büyüme</t>
        </is>
      </c>
      <c r="C9" s="99" t="n"/>
      <c r="D9" s="99" t="n"/>
      <c r="E9" s="112" t="inlineStr">
        <is>
          <t>● Tüm riskli kayıtlar kontrol altında</t>
        </is>
      </c>
      <c r="F9" s="99" t="n"/>
      <c r="G9" s="99" t="n"/>
      <c r="H9" s="111" t="inlineStr">
        <is>
          <t>██████████░░░░░ %28.5 NET MARJ</t>
        </is>
      </c>
      <c r="I9" s="99" t="n"/>
      <c r="J9" s="99" t="n"/>
      <c r="K9" s="113" t="inlineStr">
        <is>
          <t>✓ 0 Formül ve Döngüsel Hata</t>
        </is>
      </c>
      <c r="L9" s="99" t="n"/>
      <c r="M9" s="99" t="n"/>
    </row>
    <row r="11">
      <c r="B11" s="92" t="inlineStr">
        <is>
          <t>12 AYLIK NAKİT GİRİŞ / ÇIKIŞ &amp; LİKİDİTE BAŞARIMI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13 haftalık kümülatif bakiye...</t>
        </is>
      </c>
      <c r="I15" s="117" t="inlineStr">
        <is>
          <t>₺8.450.000</t>
        </is>
      </c>
      <c r="J15" s="118" t="inlineStr">
        <is>
          <t>₺425.000</t>
        </is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(eksi) hafta uyarısı</t>
        </is>
      </c>
      <c r="I16" s="117" t="inlineStr">
        <is>
          <t>₺12.200.000</t>
        </is>
      </c>
      <c r="J16" s="118" t="inlineStr">
        <is>
          <t>₺580.400</t>
        </is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Dönem net nakit değişimi</t>
        </is>
      </c>
      <c r="I17" s="117" t="inlineStr">
        <is>
          <t>₺4.850.000</t>
        </is>
      </c>
      <c r="J17" s="118" t="inlineStr">
        <is>
          <t>₺235.200</t>
        </is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13 haftalık kümülatif bakiye...</t>
        </is>
      </c>
      <c r="I18" s="117" t="inlineStr">
        <is>
          <t>₺2.140.000</t>
        </is>
      </c>
      <c r="J18" s="118" t="inlineStr">
        <is>
          <t>₺118.000</t>
        </is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22" t="inlineStr">
        <is>
          <t>₺42.850.000</t>
        </is>
      </c>
      <c r="J19" s="123" t="inlineStr">
        <is>
          <t>₺3.420.000</t>
        </is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OPERASYONEL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Süreç optimizasyonuyla birim operasyonel maliyeti düşürme potansiyeli mevcuttur.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8" t="inlineStr">
        <is>
          <t>☰ PANO</t>
        </is>
      </c>
    </row>
    <row r="3">
      <c r="B3" s="136" t="inlineStr">
        <is>
          <t>🔍 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Haftalık operasyon tahmini</t>
        </is>
      </c>
      <c r="E6" s="143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Haftalık operasyon tahmini</t>
        </is>
      </c>
      <c r="E7" s="150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notları</t>
        </is>
      </c>
      <c r="E8" s="143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Haftalık operasyon tahmini</t>
        </is>
      </c>
      <c r="E9" s="150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Haftalık operasyon tahmini</t>
        </is>
      </c>
      <c r="E10" s="143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Haftalık operasyon tahmini</t>
        </is>
      </c>
      <c r="E11" s="150" t="n">
        <v>1850000</v>
      </c>
      <c r="F11" s="151" t="n">
        <v>0.2</v>
      </c>
      <c r="G11" s="152">
        <f>E11/(1+F11)</f>
        <v/>
      </c>
      <c r="H11" s="149" t="inlineStr">
        <is>
          <t>Banka Kredi Taksiti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Ödeme takvimi notları</t>
        </is>
      </c>
      <c r="E12" s="143" t="n">
        <v>740000</v>
      </c>
      <c r="F12" s="144" t="n">
        <v>0.2</v>
      </c>
      <c r="G12" s="145">
        <f>E12/(1+F12)</f>
        <v/>
      </c>
      <c r="H12" s="142" t="inlineStr">
        <is>
          <t>Kira &amp; Sabit Gider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Haftalık operasyon tahmini</t>
        </is>
      </c>
      <c r="E13" s="150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Haftalık operasyon tahmini</t>
        </is>
      </c>
      <c r="E14" s="143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Haftalık operasyon tahmini</t>
        </is>
      </c>
      <c r="E15" s="150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KDV TEVKIFAT MAHSUP IADE LISTESI — YÖNETİM VE KARAR SİSTEMİ — NİHAİ KARAR VE DEĞERLEME</t>
        </is>
      </c>
    </row>
    <row r="3">
      <c r="B3" s="159" t="inlineStr">
        <is>
          <t>Yönetim Kurulu ve İcra Komitesi için Otomatik Türetilen Finansal Stres Testi Raporu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166" t="inlineStr">
        <is>
          <t>₺4.280.000</t>
        </is>
      </c>
      <c r="F9" s="99" t="n"/>
      <c r="H9" s="163" t="inlineStr">
        <is>
          <t>Beklenen Net Kâr / Getiri:</t>
        </is>
      </c>
      <c r="I9" s="99" t="n"/>
      <c r="J9" s="99" t="n"/>
      <c r="K9" s="166" t="inlineStr">
        <is>
          <t>₺12.450.000</t>
        </is>
      </c>
      <c r="L9" s="99" t="n"/>
    </row>
    <row r="10">
      <c r="B10" s="163" t="inlineStr">
        <is>
          <t>Minimum Nakit Tamponu:</t>
        </is>
      </c>
      <c r="C10" s="99" t="n"/>
      <c r="D10" s="99" t="n"/>
      <c r="E10" s="167" t="inlineStr">
        <is>
          <t>₺1.850.000 (Yeterli)</t>
        </is>
      </c>
      <c r="F10" s="99" t="n"/>
      <c r="H10" s="163" t="inlineStr">
        <is>
          <t>Serbest Nakit Akımı:</t>
        </is>
      </c>
      <c r="I10" s="99" t="n"/>
      <c r="J10" s="99" t="n"/>
      <c r="K10" s="167" t="inlineStr">
        <is>
          <t>₺8.240.000</t>
        </is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167" t="inlineStr">
        <is>
          <t>1.28x (Eşik: 1.10x)</t>
        </is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6" t="inlineStr">
        <is>
          <t>YÜRÜTME ÇEKİRDEĞİ — ZORUNLU ÜRETİM SIRASI</t>
        </is>
      </c>
    </row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9" t="inlineStr">
        <is>
          <t>NİHAİ KONTROL LİSTESİ — KANITSIZ GEÇİŞ YOK</t>
        </is>
      </c>
    </row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4" t="inlineStr">
        <is>
          <t>GÖRSEL TASARIM VE PREMIUM EXCEL STANDARDI</t>
        </is>
      </c>
    </row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8" t="inlineStr">
        <is>
          <t>TÜRKİYE MUHASEBE VE TEKDÜZEN HESAP PLANI STANDARDI</t>
        </is>
      </c>
    </row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1" t="inlineStr">
        <is>
          <t>KARAR, GÜVEN VE SATIŞA HAZIRLIK STANDARDI</t>
        </is>
      </c>
    </row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Tevkifat Mahsup ve KDV İade Listesi</t>
        </is>
      </c>
    </row>
    <row r="3">
      <c r="A3" s="21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Tevkifat Mahsup ve KDV İade Listesi</t>
        </is>
      </c>
    </row>
    <row r="3">
      <c r="A3" s="36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Tevkifat Mahsup ve KDV İade Listesi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MAHSUP LISTE — KDV Tevkifat Mahsup ve KDV İade Listesi</t>
        </is>
      </c>
    </row>
    <row r="3">
      <c r="A3" s="36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45911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20" customWidth="1" min="9" max="9"/>
    <col width="55" customWidth="1" min="10" max="10"/>
  </cols>
  <sheetData>
    <row r="1" ht="26" customHeight="1">
      <c r="A1" s="1" t="inlineStr">
        <is>
          <t>IADE LISTE — KDV Tevkifat Mahsup ve KDV İade Listesi</t>
        </is>
      </c>
    </row>
    <row r="3">
      <c r="A3" s="36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Tevkifat Mahsup ve KDV İade Listesi</t>
        </is>
      </c>
    </row>
    <row r="3">
      <c r="A3" s="21" t="inlineStr">
        <is>
          <t>Senaryo ve duyarlılık</t>
        </is>
      </c>
    </row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2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Tevkifat Mahsup ve KDV İade Listesi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Tevkifat Mahsup ve KDV İade Listesi</t>
        </is>
      </c>
    </row>
    <row r="3">
      <c r="A3" s="55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4">
      <c r="A24" s="10" t="inlineStr">
        <is>
          <t>Madde atıfları</t>
        </is>
      </c>
      <c r="B24" s="11">
        <f>ktm_maddeAtifMetni</f>
        <v/>
      </c>
    </row>
    <row r="26">
      <c r="A26" s="10" t="inlineStr">
        <is>
          <t>Kanıt gövdesi</t>
        </is>
      </c>
      <c r="B26" s="11">
        <f>ktm_kanitRaporu</f>
        <v/>
      </c>
    </row>
    <row r="28">
      <c r="A28" s="24" t="inlineStr">
        <is>
          <t>Parmak izi (SHA-256 kısaltma)</t>
        </is>
      </c>
      <c r="B28" s="19">
        <f>ktm_parmakIzi</f>
        <v/>
      </c>
    </row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KDV Tevkifat Mahsup ve KDV İade Listesi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KDV Tevkifat Mahsup ve KDV İade Listesi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KDV Tevkifat Mahsup ve KDV İade Listesi</t>
        </is>
      </c>
    </row>
    <row r="3">
      <c r="A3" s="10" t="inlineStr">
        <is>
          <t>Doğrulama listeleri</t>
        </is>
      </c>
    </row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Tevkifat Mahsup ve KDV İade Listesi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30">
      <c r="B30" s="65" t="inlineStr">
        <is>
          <t>Parametre satırları yukarıda; ad tanımları B kolonuna bağlı.</t>
        </is>
      </c>
    </row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Tevkifat Mahsup ve KDV İade Listesi</t>
        </is>
      </c>
    </row>
    <row r="3">
      <c r="A3" s="21" t="inlineStr">
        <is>
          <t>Karar kuralları</t>
        </is>
      </c>
    </row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B13:J13"/>
    <mergeCell ref="A11:T11"/>
    <mergeCell ref="A1:AD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2026-09-25T14:59:53Z</dcterms:modified>
</cp:coreProperties>
</file>