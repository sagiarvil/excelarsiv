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5.xml" ContentType="application/vnd.openxmlformats-officedocument.spreadsheetml.comments+xml"/>
  <Override PartName="/xl/worksheets/sheet23.xml" ContentType="application/vnd.openxmlformats-officedocument.spreadsheetml.worksheet+xml"/>
  <Override PartName="/xl/comments/comment6.xml" ContentType="application/vnd.openxmlformats-officedocument.spreadsheetml.comments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CALISANLAR" sheetId="12" state="visible" r:id="rId12"/>
    <sheet xmlns:r="http://schemas.openxmlformats.org/officeDocument/2006/relationships" name="MOTOR" sheetId="13" state="visible" r:id="rId13"/>
    <sheet xmlns:r="http://schemas.openxmlformats.org/officeDocument/2006/relationships" name="KONTROL" sheetId="14" state="visible" r:id="rId14"/>
    <sheet xmlns:r="http://schemas.openxmlformats.org/officeDocument/2006/relationships" name="KARAR" sheetId="15" state="visible" r:id="rId15"/>
    <sheet xmlns:r="http://schemas.openxmlformats.org/officeDocument/2006/relationships" name="SENARYO_DUYARLILIK" sheetId="16" state="visible" r:id="rId16"/>
    <sheet xmlns:r="http://schemas.openxmlformats.org/officeDocument/2006/relationships" name="RAPO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KURALLAR" sheetId="19" state="visible" r:id="rId19"/>
    <sheet xmlns:r="http://schemas.openxmlformats.org/officeDocument/2006/relationships" name="VAKALAR" sheetId="20" state="visible" r:id="rId20"/>
    <sheet xmlns:r="http://schemas.openxmlformats.org/officeDocument/2006/relationships" name="DEGISIKLIK_KAYDI" sheetId="21" state="visible" r:id="rId21"/>
    <sheet xmlns:r="http://schemas.openxmlformats.org/officeDocument/2006/relationships" name="LISTELER" sheetId="22" state="visible" r:id="rId22"/>
    <sheet xmlns:r="http://schemas.openxmlformats.org/officeDocument/2006/relationships" name="AYARLAR" sheetId="23" state="visible" r:id="rId23"/>
    <sheet xmlns:r="http://schemas.openxmlformats.org/officeDocument/2006/relationships" name="KILAVUZ" sheetId="24" state="visible" r:id="rId24"/>
  </sheets>
  <definedNames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CalisanAdedi" hidden="0" function="0" vbProcedure="0">MOTOR!$B$20</definedName>
    <definedName name="AylikBrutUcretYuku" hidden="0" function="0" vbProcedure="0">MOTOR!$B$16</definedName>
    <definedName name="ButceFarki" hidden="0" function="0" vbProcedure="0">MOTOR!$B$19</definedName>
    <definedName name="ButceKullanimEsik" hidden="0" function="0" vbProcedure="0">AYARLAR!$C$23</definedName>
    <definedName name="ButceKullanimOrani" hidden="0" function="0" vbProcedure="0">MOTOR!$B$18</definedName>
    <definedName name="CikarmaButceEsik" hidden="0" function="0" vbProcedure="0">AYARLAR!$C$22</definedName>
    <definedName name="degerKazanim" hidden="0" function="0" vbProcedure="0">MOTOR!$B$41</definedName>
    <definedName name="degerKazanimOran" hidden="0" function="0" vbProcedure="0">MOTOR!$B$42</definedName>
    <definedName name="DurumKontrol" hidden="0" function="0" vbProcedure="0">KONTROL!$B$24</definedName>
    <definedName name="DuyarliDegisim" hidden="0" function="0" vbProcedure="0">AYARLAR!$C$31</definedName>
    <definedName name="EnYuksekCalisanMaliyeti" hidden="0" function="0" vbProcedure="0">MOTOR!$B$13</definedName>
    <definedName name="FAIL_Sayisi" hidden="0" function="0" vbProcedure="0">KONTROL!$B$20</definedName>
    <definedName name="firmaUnvani" hidden="0" function="0" vbProcedure="0">AYARLAR!$C$6</definedName>
    <definedName name="IhbarEsik1Gun" hidden="0" function="0" vbProcedure="0">AYARLAR!$C$14</definedName>
    <definedName name="IhbarEsik2Gun" hidden="0" function="0" vbProcedure="0">AYARLAR!$C$15</definedName>
    <definedName name="IhbarEsik3Gun" hidden="0" function="0" vbProcedure="0">AYARLAR!$C$16</definedName>
    <definedName name="IhbarSure1" hidden="0" function="0" vbProcedure="0">AYARLAR!$C$10</definedName>
    <definedName name="IhbarSure2" hidden="0" function="0" vbProcedure="0">AYARLAR!$C$11</definedName>
    <definedName name="IhbarSure3" hidden="0" function="0" vbProcedure="0">AYARLAR!$C$12</definedName>
    <definedName name="IhbarSure4" hidden="0" function="0" vbProcedure="0">AYARLAR!$C$13</definedName>
    <definedName name="IskontoOrani" hidden="0" function="0" vbProcedure="0">AYARLAR!$C$35</definedName>
    <definedName name="IzinEsik1" hidden="0" function="0" vbProcedure="0">AYARLAR!$C$20</definedName>
    <definedName name="IzinEsik2" hidden="0" function="0" vbProcedure="0">AYARLAR!$C$21</definedName>
    <definedName name="IzinHakki1" hidden="0" function="0" vbProcedure="0">AYARLAR!$C$17</definedName>
    <definedName name="IzinHakki2" hidden="0" function="0" vbProcedure="0">AYARLAR!$C$18</definedName>
    <definedName name="IzinHakki3" hidden="0" function="0" vbProcedure="0">AYARLAR!$C$19</definedName>
    <definedName name="IzinKullanimOrani" hidden="0" function="0" vbProcedure="0">MOTOR!$B$21</definedName>
    <definedName name="KararGerekce" hidden="0" function="0" vbProcedure="0">KARAR!$B$12</definedName>
    <definedName name="KararSonuc" hidden="0" function="0" vbProcedure="0">KARAR!$B$11</definedName>
    <definedName name="kuralIdReferans" hidden="0" function="0" vbProcedure="0">KURALLAR!$A$4</definedName>
    <definedName name="KidemTavan" hidden="0" function="0" vbProcedure="0">AYARLAR!$C$8</definedName>
    <definedName name="KidemYilEsik" hidden="0" function="0" vbProcedure="0">AYARLAR!$C$24</definedName>
    <definedName name="ListeMetin" hidden="0" function="0" vbProcedure="0">LISTELER!$A$6:$A$7</definedName>
    <definedName name="ListeUcretTuru" hidden="0" function="0" vbProcedure="0">LISTELER!$A$6:$A$7</definedName>
    <definedName name="MaliyetYogunlasmaOrani" hidden="0" function="0" vbProcedure="0">MOTOR!$B$14</definedName>
    <definedName name="modulI1TahminOrta" hidden="0" function="0" vbProcedure="0">MOTOR!$B$37</definedName>
    <definedName name="modulI1TahminYorum" hidden="0" function="0" vbProcedure="0">MOTOR!$C$56</definedName>
    <definedName name="modulI2MaliyetP90" hidden="0" function="0" vbProcedure="0">MOTOR!$B$38</definedName>
    <definedName name="modulI2MaliyetP90Yorum" hidden="0" function="0" vbProcedure="0">MOTOR!$C$57</definedName>
    <definedName name="modulI3MaliyetNpv" hidden="0" function="0" vbProcedure="0">MOTOR!$B$39</definedName>
    <definedName name="modulI3MaliyetNpvYorum" hidden="0" function="0" vbProcedure="0">MOTOR!$C$58</definedName>
    <definedName name="modulI7ButceAcikKopru" hidden="0" function="0" vbProcedure="0">MOTOR!$B$40</definedName>
    <definedName name="modulI7ButceAcikYorum" hidden="0" function="0" vbProcedure="0">MOTOR!$C$59</definedName>
    <definedName name="modulO1AnomaliOran" hidden="0" function="0" vbProcedure="0">MOTOR!$B$31</definedName>
    <definedName name="modulO1AnomaliYorum" hidden="0" function="0" vbProcedure="0">MOTOR!$C$50</definedName>
    <definedName name="modulO2TornadoYorum" hidden="0" function="0" vbProcedure="0">MOTOR!$C$51</definedName>
    <definedName name="modulO2TornadoZirve" hidden="0" function="0" vbProcedure="0">MOTOR!$B$32</definedName>
    <definedName name="modulO3SenaryoBazFark" hidden="0" function="0" vbProcedure="0">MOTOR!$B$33</definedName>
    <definedName name="modulO3SenaryoYorum" hidden="0" function="0" vbProcedure="0">MOTOR!$C$52</definedName>
    <definedName name="modulO4OrtalamaKidemAy" hidden="0" function="0" vbProcedure="0">MOTOR!$B$34</definedName>
    <definedName name="modulO4OrtalamaKidemYorum" hidden="0" function="0" vbProcedure="0">MOTOR!$C$53</definedName>
    <definedName name="modulO6MaliyetHhi" hidden="0" function="0" vbProcedure="0">MOTOR!$B$35</definedName>
    <definedName name="modulO6MaliyetHhiYorum" hidden="0" function="0" vbProcedure="0">MOTOR!$C$54</definedName>
    <definedName name="modulO8KaliteSkoru" hidden="0" function="0" vbProcedure="0">MOTOR!$B$36</definedName>
    <definedName name="modulO8KaliteYorum" hidden="0" function="0" vbProcedure="0">MOTOR!$C$55</definedName>
    <definedName name="modulT1CalisanYasOrt" hidden="0" function="0" vbProcedure="0">MOTOR!$B$26</definedName>
    <definedName name="modulT1CalisanYasYorum" hidden="0" function="0" vbProcedure="0">MOTOR!$C$45</definedName>
    <definedName name="modulT2UcretEgim" hidden="0" function="0" vbProcedure="0">MOTOR!$B$27</definedName>
    <definedName name="modulT2UcretEgimYorum" hidden="0" function="0" vbProcedure="0">MOTOR!$C$46</definedName>
    <definedName name="modulT3MaliyetParetoPay" hidden="0" function="0" vbProcedure="0">MOTOR!$B$28</definedName>
    <definedName name="modulT3MaliyetParetoYorum" hidden="0" function="0" vbProcedure="0">MOTOR!$C$47</definedName>
    <definedName name="modulT5ButceMutabakat" hidden="0" function="0" vbProcedure="0">MOTOR!$B$29</definedName>
    <definedName name="modulT5ButceMutabakatYorum" hidden="0" function="0" vbProcedure="0">MOTOR!$C$48</definedName>
    <definedName name="modulT6KidemPay" hidden="0" function="0" vbProcedure="0">MOTOR!$B$30</definedName>
    <definedName name="modulT6KidemPayYorum" hidden="0" function="0" vbProcedure="0">MOTOR!$C$49</definedName>
    <definedName name="OrtalamaGunlukUcret" hidden="0" function="0" vbProcedure="0">MOTOR!$B$12</definedName>
    <definedName name="OrtalamaIhbarGunu" hidden="0" function="0" vbProcedure="0">MOTOR!$B$15</definedName>
    <definedName name="OrtalamaKidemYil" hidden="0" function="0" vbProcedure="0">MOTOR!$B$11</definedName>
    <definedName name="P90Kuantil" hidden="0" function="0" vbProcedure="0">AYARLAR!$C$33</definedName>
    <definedName name="ParetoEsikOran" hidden="0" function="0" vbProcedure="0">AYARLAR!$C$32</definedName>
    <definedName name="PASS_Sayisi" hidden="0" function="0" vbProcedure="0">KONTROL!$B$19</definedName>
    <definedName name="raporTarihi" hidden="0" function="0" vbProcedure="0">AYARLAR!$C$7</definedName>
    <definedName name="SenaryoIyimserKat" hidden="0" function="0" vbProcedure="0">AYARLAR!$C$30</definedName>
    <definedName name="SenaryoKotumserKat" hidden="0" function="0" vbProcedure="0">AYARLAR!$C$29</definedName>
    <definedName name="TahminBantOrani" hidden="0" function="0" vbProcedure="0">AYARLAR!$C$34</definedName>
    <definedName name="ToplamCalisanSayisi" hidden="0" function="0" vbProcedure="0">MOTOR!$B$6</definedName>
    <definedName name="ToplamCikarmaMaliyeti" hidden="0" function="0" vbProcedure="0">MOTOR!$B$10</definedName>
    <definedName name="ToplamIhbar" hidden="0" function="0" vbProcedure="0">MOTOR!$B$8</definedName>
    <definedName name="ToplamIzinUcreti" hidden="0" function="0" vbProcedure="0">MOTOR!$B$9</definedName>
    <definedName name="ToplamKidem" hidden="0" function="0" vbProcedure="0">MOTOR!$B$7</definedName>
    <definedName name="UcretAnomaliZEsik" hidden="0" function="0" vbProcedure="0">AYARLAR!$C$25</definedName>
    <definedName name="UcretGunSayisi" hidden="0" function="0" vbProcedure="0">AYARLAR!$C$9</definedName>
    <definedName name="VeriKaliteIyiEsik" hidden="0" function="0" vbProcedure="0">AYARLAR!$C$26</definedName>
    <definedName name="VeriKaliteOrtaEsik" hidden="0" function="0" vbProcedure="0">AYARLAR!$C$27</definedName>
    <definedName name="VeriKaliteSeviyesi" hidden="0" function="0" vbProcedure="0">KONTROL!$B$22</definedName>
    <definedName name="VeriKaliteSkoru" hidden="0" function="0" vbProcedure="0">KONTROL!$B$21</definedName>
    <definedName name="VeriKaliteUyariCeza" hidden="0" function="0" vbProcedure="0">AYARLAR!$C$28</definedName>
    <definedName name="YillikIscilikYuku" hidden="0" function="0" vbProcedure="0">MOTOR!$B$17</definedName>
    <definedName name="_xlnm.Print_Area" localSheetId="16">'RAPOR'!$A$1:$V$40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10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color rgb="FFB3261E"/>
      <sz val="9"/>
    </font>
    <font>
      <name val="Segoe UI"/>
      <charset val="1"/>
      <family val="0"/>
      <color rgb="FF595959"/>
      <sz val="8"/>
    </font>
    <font>
      <name val="Segoe UI"/>
      <charset val="1"/>
      <family val="0"/>
      <color rgb="FF595959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color rgb="FF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8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EEF2F7"/>
        <bgColor rgb="FFF2F2F2"/>
      </patternFill>
    </fill>
    <fill>
      <patternFill patternType="solid">
        <fgColor rgb="FFF2F2F2"/>
        <bgColor rgb="FFEEF2F7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3" fontId="14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1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3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4" fillId="1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0" pivotButton="0" quotePrefix="0" xfId="0"/>
    <xf numFmtId="0" fontId="37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 wrapText="1"/>
    </xf>
    <xf numFmtId="0" fontId="38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4" fillId="10" borderId="0" applyAlignment="1" pivotButton="0" quotePrefix="0" xfId="0">
      <alignment horizontal="center" vertical="center"/>
    </xf>
    <xf numFmtId="0" fontId="45" fillId="0" borderId="0" pivotButton="0" quotePrefix="0" xfId="0"/>
    <xf numFmtId="167" fontId="45" fillId="0" borderId="0" pivotButton="0" quotePrefix="0" xfId="0"/>
    <xf numFmtId="167" fontId="46" fillId="0" borderId="0" pivotButton="0" quotePrefix="0" xfId="0"/>
    <xf numFmtId="168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10" borderId="0" applyAlignment="1" pivotButton="0" quotePrefix="0" xfId="0">
      <alignment horizontal="center" vertical="center"/>
    </xf>
    <xf numFmtId="0" fontId="44" fillId="10" borderId="0" applyAlignment="1" pivotButton="0" quotePrefix="0" xfId="0">
      <alignment horizontal="center"/>
    </xf>
    <xf numFmtId="0" fontId="46" fillId="0" borderId="0" pivotButton="0" quotePrefix="0" xfId="0"/>
    <xf numFmtId="0" fontId="50" fillId="12" borderId="1" pivotButton="0" quotePrefix="0" xfId="0"/>
    <xf numFmtId="0" fontId="51" fillId="0" borderId="0" pivotButton="0" quotePrefix="0" xfId="0"/>
    <xf numFmtId="0" fontId="52" fillId="0" borderId="0" pivotButton="0" quotePrefix="0" xfId="0"/>
    <xf numFmtId="0" fontId="45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3" fontId="14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12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4" fontId="1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3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0" fontId="23" fillId="7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19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/>
    </xf>
    <xf numFmtId="0" fontId="53" fillId="0" borderId="0" pivotButton="0" quotePrefix="0" xfId="0"/>
    <xf numFmtId="0" fontId="54" fillId="0" borderId="1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2" pivotButton="0" quotePrefix="0" xfId="0"/>
    <xf numFmtId="0" fontId="0" fillId="0" borderId="1" pivotButton="0" quotePrefix="0" xfId="0"/>
    <xf numFmtId="0" fontId="55" fillId="14" borderId="1" applyAlignment="1" pivotButton="0" quotePrefix="0" xfId="0">
      <alignment horizontal="center"/>
    </xf>
    <xf numFmtId="0" fontId="41" fillId="0" borderId="3" pivotButton="0" quotePrefix="0" xfId="0"/>
    <xf numFmtId="0" fontId="57" fillId="15" borderId="1" applyAlignment="1" pivotButton="0" quotePrefix="0" xfId="0">
      <alignment horizontal="center"/>
    </xf>
    <xf numFmtId="0" fontId="56" fillId="16" borderId="1" applyAlignment="1" pivotButton="0" quotePrefix="0" xfId="0">
      <alignment horizontal="center"/>
    </xf>
    <xf numFmtId="0" fontId="4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7" fillId="0" borderId="2" pivotButton="0" quotePrefix="0" xfId="0"/>
    <xf numFmtId="0" fontId="58" fillId="0" borderId="3" pivotButton="0" quotePrefix="0" xfId="0"/>
    <xf numFmtId="0" fontId="59" fillId="0" borderId="4" pivotButton="0" quotePrefix="0" xfId="0"/>
    <xf numFmtId="0" fontId="56" fillId="0" borderId="2" pivotButton="0" quotePrefix="0" xfId="0"/>
    <xf numFmtId="0" fontId="51" fillId="0" borderId="3" pivotButton="0" quotePrefix="0" xfId="0"/>
    <xf numFmtId="0" fontId="56" fillId="0" borderId="4" pivotButton="0" quotePrefix="0" xfId="0"/>
    <xf numFmtId="0" fontId="60" fillId="17" borderId="0" applyAlignment="1" pivotButton="0" quotePrefix="0" xfId="0">
      <alignment horizontal="center"/>
    </xf>
    <xf numFmtId="0" fontId="61" fillId="0" borderId="0" pivotButton="0" quotePrefix="0" xfId="0"/>
    <xf numFmtId="0" fontId="60" fillId="18" borderId="0" applyAlignment="1" pivotButton="0" quotePrefix="0" xfId="0">
      <alignment horizontal="center" vertical="center"/>
    </xf>
    <xf numFmtId="0" fontId="61" fillId="0" borderId="1" pivotButton="0" quotePrefix="0" xfId="0"/>
    <xf numFmtId="0" fontId="62" fillId="0" borderId="1" pivotButton="0" quotePrefix="0" xfId="0"/>
    <xf numFmtId="0" fontId="63" fillId="0" borderId="1" pivotButton="0" quotePrefix="0" xfId="0"/>
    <xf numFmtId="0" fontId="64" fillId="19" borderId="1" applyAlignment="1" pivotButton="0" quotePrefix="0" xfId="0">
      <alignment horizontal="center"/>
    </xf>
    <xf numFmtId="0" fontId="60" fillId="10" borderId="0" pivotButton="0" quotePrefix="0" xfId="0"/>
    <xf numFmtId="0" fontId="65" fillId="10" borderId="0" pivotButton="0" quotePrefix="0" xfId="0"/>
    <xf numFmtId="0" fontId="66" fillId="10" borderId="0" pivotButton="0" quotePrefix="0" xfId="0"/>
    <xf numFmtId="0" fontId="0" fillId="10" borderId="0" pivotButton="0" quotePrefix="0" xfId="0"/>
    <xf numFmtId="0" fontId="38" fillId="10" borderId="0" applyAlignment="1" pivotButton="0" quotePrefix="0" xfId="0">
      <alignment horizontal="center"/>
    </xf>
    <xf numFmtId="0" fontId="54" fillId="0" borderId="0" pivotButton="0" quotePrefix="0" xfId="0"/>
    <xf numFmtId="0" fontId="69" fillId="20" borderId="0" pivotButton="0" quotePrefix="0" xfId="0"/>
    <xf numFmtId="0" fontId="0" fillId="20" borderId="0" pivotButton="0" quotePrefix="0" xfId="0"/>
    <xf numFmtId="0" fontId="56" fillId="0" borderId="0" pivotButton="0" quotePrefix="0" xfId="0"/>
    <xf numFmtId="0" fontId="44" fillId="20" borderId="0" pivotButton="0" quotePrefix="0" xfId="0"/>
    <xf numFmtId="0" fontId="70" fillId="20" borderId="0" applyAlignment="1" pivotButton="0" quotePrefix="0" xfId="0">
      <alignment wrapText="1"/>
    </xf>
    <xf numFmtId="0" fontId="67" fillId="0" borderId="0" pivotButton="0" quotePrefix="0" xfId="0"/>
    <xf numFmtId="0" fontId="68" fillId="0" borderId="0" pivotButton="0" quotePrefix="0" xfId="0"/>
    <xf numFmtId="0" fontId="56" fillId="16" borderId="5" applyAlignment="1" pivotButton="0" quotePrefix="0" xfId="0">
      <alignment horizontal="center" vertical="center"/>
    </xf>
    <xf numFmtId="0" fontId="71" fillId="21" borderId="0" applyAlignment="1" pivotButton="0" quotePrefix="0" xfId="0">
      <alignment horizontal="center" vertical="center"/>
    </xf>
    <xf numFmtId="0" fontId="35" fillId="22" borderId="1" applyAlignment="1" pivotButton="0" quotePrefix="0" xfId="0">
      <alignment vertical="center"/>
    </xf>
    <xf numFmtId="0" fontId="55" fillId="14" borderId="0" applyAlignment="1" pivotButton="0" quotePrefix="0" xfId="0">
      <alignment horizontal="center" vertical="center"/>
    </xf>
    <xf numFmtId="0" fontId="56" fillId="16" borderId="0" applyAlignment="1" pivotButton="0" quotePrefix="0" xfId="0">
      <alignment horizontal="center" vertical="center"/>
    </xf>
    <xf numFmtId="0" fontId="72" fillId="10" borderId="0" applyAlignment="1" pivotButton="0" quotePrefix="0" xfId="0">
      <alignment horizontal="center" vertical="center"/>
    </xf>
    <xf numFmtId="0" fontId="73" fillId="22" borderId="1" applyAlignment="1" pivotButton="0" quotePrefix="0" xfId="0">
      <alignment horizontal="center"/>
    </xf>
    <xf numFmtId="0" fontId="74" fillId="22" borderId="1" applyAlignment="1" pivotButton="0" quotePrefix="0" xfId="0">
      <alignment horizontal="center"/>
    </xf>
    <xf numFmtId="0" fontId="73" fillId="22" borderId="1" pivotButton="0" quotePrefix="0" xfId="0"/>
    <xf numFmtId="169" fontId="74" fillId="22" borderId="1" applyAlignment="1" pivotButton="0" quotePrefix="0" xfId="0">
      <alignment horizontal="right"/>
    </xf>
    <xf numFmtId="9" fontId="73" fillId="22" borderId="1" applyAlignment="1" pivotButton="0" quotePrefix="0" xfId="0">
      <alignment horizontal="center"/>
    </xf>
    <xf numFmtId="169" fontId="73" fillId="22" borderId="1" applyAlignment="1" pivotButton="0" quotePrefix="0" xfId="0">
      <alignment horizontal="right"/>
    </xf>
    <xf numFmtId="0" fontId="56" fillId="22" borderId="1" applyAlignment="1" pivotButton="0" quotePrefix="0" xfId="0">
      <alignment horizontal="center"/>
    </xf>
    <xf numFmtId="0" fontId="73" fillId="21" borderId="1" applyAlignment="1" pivotButton="0" quotePrefix="0" xfId="0">
      <alignment horizontal="center"/>
    </xf>
    <xf numFmtId="0" fontId="74" fillId="21" borderId="1" applyAlignment="1" pivotButton="0" quotePrefix="0" xfId="0">
      <alignment horizontal="center"/>
    </xf>
    <xf numFmtId="0" fontId="73" fillId="21" borderId="1" pivotButton="0" quotePrefix="0" xfId="0"/>
    <xf numFmtId="169" fontId="74" fillId="21" borderId="1" applyAlignment="1" pivotButton="0" quotePrefix="0" xfId="0">
      <alignment horizontal="right"/>
    </xf>
    <xf numFmtId="9" fontId="73" fillId="21" borderId="1" applyAlignment="1" pivotButton="0" quotePrefix="0" xfId="0">
      <alignment horizontal="center"/>
    </xf>
    <xf numFmtId="169" fontId="73" fillId="21" borderId="1" applyAlignment="1" pivotButton="0" quotePrefix="0" xfId="0">
      <alignment horizontal="right"/>
    </xf>
    <xf numFmtId="0" fontId="61" fillId="21" borderId="1" applyAlignment="1" pivotButton="0" quotePrefix="0" xfId="0">
      <alignment horizontal="center"/>
    </xf>
    <xf numFmtId="0" fontId="56" fillId="21" borderId="1" applyAlignment="1" pivotButton="0" quotePrefix="0" xfId="0">
      <alignment horizontal="center"/>
    </xf>
    <xf numFmtId="0" fontId="57" fillId="21" borderId="1" applyAlignment="1" pivotButton="0" quotePrefix="0" xfId="0">
      <alignment horizontal="center"/>
    </xf>
    <xf numFmtId="0" fontId="44" fillId="10" borderId="0" applyAlignment="1" pivotButton="0" quotePrefix="0" xfId="0">
      <alignment vertical="center" indent="1"/>
    </xf>
    <xf numFmtId="169" fontId="75" fillId="10" borderId="0" applyAlignment="1" pivotButton="0" quotePrefix="0" xfId="0">
      <alignment horizontal="right" vertical="center"/>
    </xf>
    <xf numFmtId="0" fontId="76" fillId="0" borderId="6" pivotButton="0" quotePrefix="0" xfId="0"/>
    <xf numFmtId="0" fontId="77" fillId="0" borderId="6" pivotButton="0" quotePrefix="0" xfId="0"/>
    <xf numFmtId="0" fontId="78" fillId="0" borderId="6" pivotButton="0" quotePrefix="0" xfId="0"/>
    <xf numFmtId="0" fontId="79" fillId="23" borderId="1" applyAlignment="1" pivotButton="0" quotePrefix="0" xfId="0">
      <alignment horizontal="center" vertical="center"/>
    </xf>
    <xf numFmtId="0" fontId="83" fillId="14" borderId="1" applyAlignment="1" pivotButton="0" quotePrefix="0" xfId="0">
      <alignment horizontal="center" vertical="center"/>
    </xf>
    <xf numFmtId="0" fontId="80" fillId="0" borderId="1" pivotButton="0" quotePrefix="0" xfId="0"/>
    <xf numFmtId="0" fontId="79" fillId="0" borderId="1" applyAlignment="1" pivotButton="0" quotePrefix="0" xfId="0">
      <alignment horizontal="right"/>
    </xf>
    <xf numFmtId="0" fontId="83" fillId="0" borderId="1" applyAlignment="1" pivotButton="0" quotePrefix="0" xfId="0">
      <alignment horizontal="right"/>
    </xf>
    <xf numFmtId="0" fontId="54" fillId="0" borderId="1" applyAlignment="1" pivotButton="0" quotePrefix="0" xfId="0">
      <alignment horizontal="right"/>
    </xf>
    <xf numFmtId="0" fontId="81" fillId="0" borderId="1" applyAlignment="1" pivotButton="0" quotePrefix="0" xfId="0">
      <alignment horizontal="right"/>
    </xf>
    <xf numFmtId="0" fontId="82" fillId="15" borderId="7" applyAlignment="1" pivotButton="0" quotePrefix="0" xfId="0">
      <alignment horizontal="center" vertical="center"/>
    </xf>
    <xf numFmtId="0" fontId="84" fillId="14" borderId="8" applyAlignment="1" pivotButton="0" quotePrefix="0" xfId="0">
      <alignment horizontal="center" vertical="center"/>
    </xf>
    <xf numFmtId="0" fontId="80" fillId="0" borderId="0" pivotButton="0" quotePrefix="0" xfId="0"/>
    <xf numFmtId="0" fontId="85" fillId="24" borderId="0" applyAlignment="1" pivotButton="0" quotePrefix="0" xfId="0">
      <alignment horizontal="left" vertical="center" wrapText="1"/>
    </xf>
    <xf numFmtId="0" fontId="86" fillId="25" borderId="0" applyAlignment="1" pivotButton="0" quotePrefix="0" xfId="0">
      <alignment vertical="center" wrapText="1"/>
    </xf>
    <xf numFmtId="0" fontId="87" fillId="26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0" fontId="89" fillId="24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horizontal="left" vertical="center" wrapText="1"/>
    </xf>
    <xf numFmtId="0" fontId="86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85" fillId="29" borderId="0" applyAlignment="1" pivotButton="0" quotePrefix="0" xfId="0">
      <alignment horizontal="left" vertical="center" wrapText="1"/>
    </xf>
    <xf numFmtId="0" fontId="86" fillId="29" borderId="0" applyAlignment="1" pivotButton="0" quotePrefix="0" xfId="0">
      <alignment vertical="center" wrapText="1"/>
    </xf>
    <xf numFmtId="0" fontId="91" fillId="30" borderId="0" applyAlignment="1" pivotButton="0" quotePrefix="0" xfId="0">
      <alignment vertical="top" wrapText="1"/>
    </xf>
    <xf numFmtId="0" fontId="92" fillId="28" borderId="0" applyAlignment="1" pivotButton="0" quotePrefix="0" xfId="0">
      <alignment vertical="top" wrapText="1"/>
    </xf>
    <xf numFmtId="0" fontId="93" fillId="0" borderId="0" applyAlignment="1" pivotButton="0" quotePrefix="0" xfId="0">
      <alignment vertical="top" wrapText="1"/>
    </xf>
    <xf numFmtId="0" fontId="85" fillId="31" borderId="0" applyAlignment="1" pivotButton="0" quotePrefix="0" xfId="0">
      <alignment horizontal="left" vertical="center"/>
    </xf>
    <xf numFmtId="0" fontId="86" fillId="31" borderId="0" applyAlignment="1" pivotButton="0" quotePrefix="0" xfId="0">
      <alignment vertical="center" wrapText="1"/>
    </xf>
    <xf numFmtId="0" fontId="94" fillId="32" borderId="0" applyAlignment="1" pivotButton="0" quotePrefix="0" xfId="0">
      <alignment vertical="top" wrapText="1"/>
    </xf>
    <xf numFmtId="0" fontId="95" fillId="33" borderId="0" applyAlignment="1" pivotButton="0" quotePrefix="0" xfId="0">
      <alignment vertical="top" wrapText="1"/>
    </xf>
    <xf numFmtId="0" fontId="85" fillId="34" borderId="0" applyAlignment="1" pivotButton="0" quotePrefix="0" xfId="0">
      <alignment horizontal="left" vertical="center"/>
    </xf>
    <xf numFmtId="0" fontId="86" fillId="34" borderId="0" applyAlignment="1" pivotButton="0" quotePrefix="0" xfId="0">
      <alignment vertical="center" wrapText="1"/>
    </xf>
    <xf numFmtId="0" fontId="96" fillId="33" borderId="0" applyAlignment="1" pivotButton="0" quotePrefix="0" xfId="0">
      <alignment vertical="top" wrapText="1"/>
    </xf>
    <xf numFmtId="0" fontId="85" fillId="35" borderId="0" applyAlignment="1" pivotButton="0" quotePrefix="0" xfId="0">
      <alignment horizontal="left" vertical="center"/>
    </xf>
    <xf numFmtId="0" fontId="86" fillId="35" borderId="0" applyAlignment="1" pivotButton="0" quotePrefix="0" xfId="0">
      <alignment vertical="center" wrapText="1"/>
    </xf>
    <xf numFmtId="0" fontId="97" fillId="36" borderId="0" applyAlignment="1" pivotButton="0" quotePrefix="0" xfId="0">
      <alignment vertical="top" wrapText="1"/>
    </xf>
    <xf numFmtId="0" fontId="98" fillId="0" borderId="0" applyAlignment="1" pivotButton="0" quotePrefix="0" xfId="0">
      <alignment vertical="top" wrapText="1"/>
    </xf>
    <xf numFmtId="169" fontId="37" fillId="0" borderId="2" pivotButton="0" quotePrefix="0" xfId="0"/>
    <xf numFmtId="169" fontId="58" fillId="0" borderId="3" pivotButton="0" quotePrefix="0" xfId="0"/>
    <xf numFmtId="169" fontId="61" fillId="0" borderId="1" pivotButton="0" quotePrefix="0" xfId="0"/>
    <xf numFmtId="169" fontId="62" fillId="0" borderId="1" pivotButton="0" quotePrefix="0" xfId="0"/>
    <xf numFmtId="169" fontId="65" fillId="10" borderId="0" pivotButton="0" quotePrefix="0" xfId="0"/>
    <xf numFmtId="169" fontId="66" fillId="10" borderId="0" pivotButton="0" quotePrefix="0" xfId="0"/>
    <xf numFmtId="169" fontId="84" fillId="12" borderId="1" applyAlignment="1" pivotButton="0" quotePrefix="0" xfId="0">
      <alignment horizontal="right"/>
    </xf>
    <xf numFmtId="169" fontId="54" fillId="0" borderId="1" applyAlignment="1" pivotButton="0" quotePrefix="0" xfId="0">
      <alignment horizontal="right"/>
    </xf>
    <xf numFmtId="169" fontId="81" fillId="0" borderId="1" applyAlignment="1" pivotButton="0" quotePrefix="0" xfId="0">
      <alignment horizontal="right"/>
    </xf>
    <xf numFmtId="170" fontId="81" fillId="0" borderId="1" applyAlignment="1" pivotButton="0" quotePrefix="0" xfId="0">
      <alignment horizontal="right"/>
    </xf>
    <xf numFmtId="0" fontId="99" fillId="37" borderId="0" applyAlignment="1" pivotButton="0" quotePrefix="0" xfId="0">
      <alignment horizontal="left" vertical="center"/>
    </xf>
    <xf numFmtId="0" fontId="0" fillId="37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0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Toplam Maliyetleri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SENARYO_DUYARLILIK!D7</f>
              <strCache>
                <ptCount val="1"/>
                <pt idx="0">
                  <v>₺ 27.099.965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SENARYO_DUYARLILIK!$D$8:$D$9</f>
              <numCache>
                <formatCode>"₺ "#,##0;[RED]"(₺ "#,##0\);\-</formatCode>
                <ptCount val="2"/>
                <pt idx="0">
                  <v>12355707</v>
                </pt>
                <pt idx="1">
                  <v>10008122.67</v>
                </pt>
              </numCache>
            </numRef>
          </val>
        </ser>
        <gapWidth val="150"/>
        <overlap val="0"/>
        <axId val="65775279"/>
        <axId val="89244971"/>
      </barChart>
      <catAx>
        <axId val="657752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9244971"/>
        <crosses val="autoZero"/>
        <auto val="1"/>
        <lblAlgn val="ctr"/>
        <lblOffset val="100"/>
        <noMultiLvlLbl val="0"/>
      </catAx>
      <valAx>
        <axId val="8924497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6577527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Maliyet Etkisi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SENARYO_DUYARLILIK!G13</f>
              <strCache>
                <ptCount val="1"/>
                <pt idx="0">
                  <v>247,1%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SENARYO_DUYARLILIK!$A$13:$A$14</f>
              <strCache>
                <ptCount val="2"/>
                <pt idx="0">
                  <v>Ücret Seviyesi</v>
                </pt>
                <pt idx="1">
                  <v>Çalışan Sayısı</v>
                </pt>
              </strCache>
            </strRef>
          </cat>
          <val>
            <numRef>
              <f>SENARYO_DUYARLILIK!$G$14</f>
              <numCache>
                <formatCode>0.0%;[RED]\(0.0%\);\-</formatCode>
                <ptCount val="1"/>
                <pt idx="0">
                  <v>2.4711414</v>
                </pt>
              </numCache>
            </numRef>
          </val>
        </ser>
        <gapWidth val="150"/>
        <overlap val="0"/>
        <axId val="5778339"/>
        <axId val="13373928"/>
      </barChart>
      <catAx>
        <axId val="57783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3373928"/>
        <crosses val="autoZero"/>
        <auto val="1"/>
        <lblAlgn val="ctr"/>
        <lblOffset val="100"/>
        <noMultiLvlLbl val="0"/>
      </catAx>
      <valAx>
        <axId val="133739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7783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Bütçe Kullanımları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SENARYO_DUYARLILIK!E7</f>
              <strCache>
                <ptCount val="1"/>
                <pt idx="0">
                  <v>5420,0%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SENARYO_DUYARLILIK!$E$8:$E$9</f>
              <numCache>
                <formatCode>0.0%;[RED]\(0.0%\);\-</formatCode>
                <ptCount val="2"/>
                <pt idx="0">
                  <v>24.711414</v>
                </pt>
                <pt idx="1">
                  <v>20.01624534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3575770"/>
        <axId val="97709756"/>
      </lineChart>
      <catAx>
        <axId val="435757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7709756"/>
        <crosses val="autoZero"/>
        <auto val="1"/>
        <lblAlgn val="ctr"/>
        <lblOffset val="100"/>
        <noMultiLvlLbl val="0"/>
      </catAx>
      <valAx>
        <axId val="977097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357577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Çalışan Sayısı | Neden önemli: Çıkarma hesaplanan çalışan sayısı. | Doğru giriş: Otomatik hesaplanır, değiştirmeyin | Yanlışsa: Karar bozulur</t>
      </text>
    </comment>
    <comment ref="B7" authorId="0" shapeId="0">
      <text>
        <t>Tanım: Toplam Kıdem Tazminatı | Neden önemli: Tüm çalışanların kıdem tazminatı toplamı. | Doğru giriş: Otomatik hesaplanır, değiştirmeyin | Yanlışsa: Karar bozulur</t>
      </text>
    </comment>
    <comment ref="B8" authorId="0" shapeId="0">
      <text>
        <t>Tanım: Toplam İhbar Tazminatı | Neden önemli: Tüm çalışanların ihbar tazminatı toplamı. | Doğru giriş: Otomatik hesaplanır, değiştirmeyin | Yanlışsa: Karar bozulur</t>
      </text>
    </comment>
    <comment ref="B9" authorId="0" shapeId="0">
      <text>
        <t>Tanım: Toplam İzin Ücreti | Neden önemli: Kullanılmamış yıllık izin ücreti toplamı. | Doğru giriş: Otomatik hesaplanır, değiştirmeyin | Yanlışsa: Karar bozulur</t>
      </text>
    </comment>
    <comment ref="B10" authorId="0" shapeId="0">
      <text>
        <t>Tanım: Toplam Çıkarma Maliyeti | Neden önemli: Kıdem + ihbar + izin ücreti toplamı. | Doğru giriş: Otomatik hesaplanır, değiştirmeyin | Yanlışsa: Karar bozulur</t>
      </text>
    </comment>
    <comment ref="B11" authorId="0" shapeId="0">
      <text>
        <t>Tanım: Ortalama Kıdem Yılı | Neden önemli: Çalışanların ortalama kıdem süresi (yıl). | Doğru giriş: Otomatik hesaplanır, değiştirmeyin | Yanlışsa: Karar bozulur</t>
      </text>
    </comment>
    <comment ref="B12" authorId="0" shapeId="0">
      <text>
        <t>Tanım: Ortalama Günlük Ücret | Neden önemli: Tüm çalışanların ortalama günlük ücreti. | Doğru giriş: Otomatik hesaplanır, değiştirmeyin | Yanlışsa: Karar bozulur</t>
      </text>
    </comment>
    <comment ref="B13" authorId="0" shapeId="0">
      <text>
        <t>Tanım: En Yüksek Çalışan Maliyeti | Neden önemli: Tek çalışan için en yüksek çıkarma maliyeti. | Doğru giriş: Otomatik hesaplanır, değiştirmeyin | Yanlışsa: Karar bozulur</t>
      </text>
    </comment>
    <comment ref="B14" authorId="0" shapeId="0">
      <text>
        <t>Tanım: Maliyet Yoğunlaşma Oranı | Neden önemli: En yüksek maliyetli çalışanın toplam içindeki payı. | Doğru giriş: Otomatik hesaplanır, değiştirmeyin | Yanlışsa: Karar bozulur</t>
      </text>
    </comment>
    <comment ref="B15" authorId="0" shapeId="0">
      <text>
        <t>Tanım: Ortalama İhbar Günü | Neden önemli: Ortalama bildirim süresi (gün). | Doğru giriş: Otomatik hesaplanır, değiştirmeyin | Yanlışsa: Karar bozulur</t>
      </text>
    </comment>
    <comment ref="B16" authorId="0" shapeId="0">
      <text>
        <t>Tanım: Aylık Brüt Ücret Yükü | Neden önemli: Mevcut kadronun aylık brüt ücret toplamı. | Doğru giriş: Otomatik hesaplanır, değiştirmeyin | Yanlışsa: Karar bozulur</t>
      </text>
    </comment>
    <comment ref="B17" authorId="0" shapeId="0">
      <text>
        <t>Tanım: Yıllık İşçilik Yükü | Neden önemli: Yıllık brüt ücret yükü (12 ay varsayımı). | Doğru giriş: Otomatik hesaplanır, değiştirmeyin | Yanlışsa: Karar bozulur</t>
      </text>
    </comment>
    <comment ref="B18" authorId="0" shapeId="0">
      <text>
        <t>Tanım: Çıkarma Bütçesi Kullanım Oranı | Neden önemli: Toplam maliyetin çıkarma bütçesine oranı. | Doğru giriş: Otomatik hesaplanır, değiştirmeyin | Yanlışsa: Karar bozulur</t>
      </text>
    </comment>
    <comment ref="B19" authorId="0" shapeId="0">
      <text>
        <t>Tanım: Bütçe Farkı | Neden önemli: Bütçe ile toplam maliyet arasındaki fark. | Doğru giriş: Otomatik hesaplanır, değiştirmeyin | Yanlışsa: Karar bozulur</t>
      </text>
    </comment>
    <comment ref="B20" authorId="0" shapeId="0">
      <text>
        <t>Tanım: Anomali Çalışan Adedi | Neden önemli: Ortalamadan |Z|&gt;eşik sapan ücretli çalışan sayısı. | Doğru giriş: Otomatik hesaplanır, değiştirmeyin | Yanlışsa: Karar bozulur</t>
      </text>
    </comment>
    <comment ref="B21" authorId="0" shapeId="0">
      <text>
        <t>Tanım: İzin Kullanım Oranı | Neden önemli: Kullanılmamış izin oranı (ödenmesi gereken kısım). | Doğru giriş: Otomatik hesaplanır, değiştirmeyin | Yanlışsa: Karar bozulur</t>
      </text>
    </comment>
    <comment ref="B26" authorId="0" shapeId="0">
      <text>
        <t>Tanım: Modül T1: Çalışan Zaman Kapsamı | Neden önemli: En erken giriş ile en geç çıkış arası gün sayısı. | Doğru giriş: Otomatik hesaplanır, değiştirmeyin | Yanlışsa: Modül yorumu bozulur</t>
      </text>
    </comment>
    <comment ref="B27" authorId="0" shapeId="0">
      <text>
        <t>Tanım: Modül T2: Ücret Eğilimi (çalışan başına) | Neden önemli: Ücretlerin çalışan sırasına göre değişim eğilimi. | Doğru giriş: Otomatik hesaplanır, değiştirmeyin | Yanlışsa: Modül yorumu bozulur</t>
      </text>
    </comment>
    <comment ref="B28" authorId="0" shapeId="0">
      <text>
        <t>Tanım: Modül T3: En Yüksek Maliyetli Çalışanın Payı | Neden önemli: Toplam maliyetin tek çalışanda yoğunlaşma oranı. | Doğru giriş: Otomatik hesaplanır, değiştirmeyin | Yanlışsa: Modül yorumu bozulur</t>
      </text>
    </comment>
    <comment ref="B29" authorId="0" shapeId="0">
      <text>
        <t>Tanım: Modül T5: Bütçe Mutabakat Farkı | Neden önemli: Bütçe ile hesaplanan maliyet arasındaki fark. | Doğru giriş: Otomatik hesaplanır, değiştirmeyin | Yanlışsa: Modül yorumu bozulur</t>
      </text>
    </comment>
    <comment ref="B30" authorId="0" shapeId="0">
      <text>
        <t>Tanım: Modül T6: Kıdem Tazminatının Maliyet İçindeki Payı | Neden önemli: Kıdem tazminatının toplam maliyete oranı. | Doğru giriş: Otomatik hesaplanır, değiştirmeyin | Yanlışsa: Modül yorumu bozulur</t>
      </text>
    </comment>
    <comment ref="B31" authorId="0" shapeId="0">
      <text>
        <t>Tanım: Modül O1: Anomali Oranı | Neden önemli: Z eşiğini aşan ücretli çalışanların oranı. | Doğru giriş: Otomatik hesaplanır, değiştirmeyin | Yanlışsa: Modül yorumu bozulur</t>
      </text>
    </comment>
    <comment ref="B32" authorId="0" shapeId="0">
      <text>
        <t>Tanım: Modül O2: En Etkili Değişken (Tornado) | Neden önemli: Toplam maliyeti en çok etkileyen değişken. | Doğru giriş: Otomatik hesaplanır, değiştirmeyin | Yanlışsa: Modül yorumu bozulur</t>
      </text>
    </comment>
    <comment ref="B33" authorId="0" shapeId="0">
      <text>
        <t>Tanım: Modül O3: Baz Senaryo Maliyeti | Neden önemli: Baz senaryoda hesaplanan toplam maliyet. | Doğru giriş: Otomatik hesaplanır, değiştirmeyin | Yanlışsa: Modül yorumu bozulur</t>
      </text>
    </comment>
    <comment ref="B34" authorId="0" shapeId="0">
      <text>
        <t>Tanım: Modül O4: Ortalama Kıdem (Ay) | Neden önemli: Ortalama kıdem süresi (ay). | Doğru giriş: Otomatik hesaplanır, değiştirmeyin | Yanlışsa: Modül yorumu bozulur</t>
      </text>
    </comment>
    <comment ref="B35" authorId="0" shapeId="0">
      <text>
        <t>Tanım: Modül O6: Maliyet Yoğunlaşması (HHI) | Neden önemli: Maliyetin tek çalışanda yoğunlaşma endeksi. | Doğru giriş: Otomatik hesaplanır, değiştirmeyin | Yanlışsa: Modül yorumu bozulur</t>
      </text>
    </comment>
    <comment ref="B36" authorId="0" shapeId="0">
      <text>
        <t>Tanım: Modül O8: Veri Kalite Skoru | Neden önemli: Giriş kalitesi skoru. | Doğru giriş: Otomatik hesaplanır, değiştirmeyin | Yanlışsa: Modül yorumu bozulur</t>
      </text>
    </comment>
    <comment ref="B37" authorId="0" shapeId="0">
      <text>
        <t>Tanım: Modül I1: Maliyet Tahmin Orta Noktası | Neden önemli: Maliyet trendinden bir sonraki çalışan projeksiyonu. | Doğru giriş: Otomatik hesaplanır, değiştirmeyin | Yanlışsa: Modül yorumu bozulur</t>
      </text>
    </comment>
    <comment ref="B38" authorId="0" shapeId="0">
      <text>
        <t>Tanım: Modül I2: Çalışan Maliyeti P90 | Neden önemli: Çalışan maliyetlerinin yüzde 90 alt sınırı. | Doğru giriş: Otomatik hesaplanır, değiştirmeyin | Yanlışsa: Modül yorumu bozulur</t>
      </text>
    </comment>
    <comment ref="B39" authorId="0" shapeId="0">
      <text>
        <t>Tanım: Modül I3: Maliyet Yükü Net Bugünkü Değeri | Neden önemli: İskonto edilmiş çıkarma maliyeti toplamı. | Doğru giriş: Otomatik hesaplanır, değiştirmeyin | Yanlışsa: Modül yorumu bozulur</t>
      </text>
    </comment>
    <comment ref="B40" authorId="0" shapeId="0">
      <text>
        <t>Tanım: Modül I7: Bütçe Açığı Köprüsü (Ek Kaynak İhtiyacı) | Neden önemli: Bütçe açığını kapatmak için gereken ek kaynak. | Doğru giriş: Otomatik hesaplanır, değiştirmeyin | Yanlışsa: Modül yorumu bozulur</t>
      </text>
    </comment>
    <comment ref="B41" authorId="0" shapeId="0">
      <text>
        <t>Tanım: Değer Ölçer: Toplam Yük | Neden önemli: Tespit edilen toplam çıkarma maliyeti. | Doğru giriş: Otomatik hesaplanır, değiştirmeyin | Yanlışsa: Modül yorumu bozulur</t>
      </text>
    </comment>
    <comment ref="B42" authorId="0" shapeId="0">
      <text>
        <t>Tanım: Değer Ölçer: Bütçe Aşımı | Neden önemli: Bütçenin aşılan kısmı. | Doğru giriş: Otomatik hesaplanır, değiştirmeyin | Yanlışsa: Modül yorumu bozulur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7" authorId="0" shapeId="0">
      <text>
        <t>Tanım: Çalışan Adı Boş | Neden önemli: Çalışan adı girilmemiş. | Sonuç: PASS/WARN/FAIL otomatik</t>
      </text>
    </comment>
    <comment ref="B8" authorId="0" shapeId="0">
      <text>
        <t>Tanım: İşe Giriş Tarihi Boş | Neden önemli: İşe giriş tarihi girilmemiş. | Sonuç: PASS/WARN/FAIL otomatik</t>
      </text>
    </comment>
    <comment ref="B9" authorId="0" shapeId="0">
      <text>
        <t>Tanım: Brüt Ücret Boş/Sıfır | Neden önemli: Brüt ücret girilmemiş. | Sonuç: PASS/WARN/FAIL otomatik</t>
      </text>
    </comment>
    <comment ref="B10" authorId="0" shapeId="0">
      <text>
        <t>Tanım: Çıkış Tarihi Eksik | Neden önemli: İşten çıkış tarihi girilmemiş. | Sonuç: PASS/WARN/FAIL otomatik</t>
      </text>
    </comment>
    <comment ref="B11" authorId="0" shapeId="0">
      <text>
        <t>Tanım: Çalışan Kaydı Yok | Neden önemli: Çalışan girilmemiş. | Sonuç: PASS/WARN/FAIL otomatik</t>
      </text>
    </comment>
    <comment ref="B12" authorId="0" shapeId="0">
      <text>
        <t>Tanım: Toplam Maliyet Bütçeyi Aşıyor | Neden önemli: Çıkarma maliyeti bütçeyi aşmış. | Sonuç: PASS/WARN/FAIL otomatik</t>
      </text>
    </comment>
    <comment ref="B13" authorId="0" shapeId="0">
      <text>
        <t>Tanım: Ortalama Kıdem Yüksek | Neden önemli: Ortalama kıdem eşik üstünde. | Sonuç: PASS/WARN/FAIL otomatik</t>
      </text>
    </comment>
    <comment ref="B14" authorId="0" shapeId="0">
      <text>
        <t>Tanım: Ücret Anomalisi Var | Neden önemli: Anomali ücretli çalışan var. | Sonuç: PASS/WARN/FAIL otomatik</t>
      </text>
    </comment>
    <comment ref="B15" authorId="0" shapeId="0">
      <text>
        <t>Tanım: İzin Kullanımı Girilmemiş | Neden önemli: Kullanılmamış izin var. | Sonuç: PASS/WARN/FAIL otomatik</t>
      </text>
    </comment>
    <comment ref="B16" authorId="0" shapeId="0">
      <text>
        <t>Tanım: Kıdem Tazminatı Tavanı Kontrolü | Neden önemli: Tavanı aşan ücretler tavanla sınırlandı. | Sonuç: PASS/WARN/FAIL otomatik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C6" authorId="0" shapeId="0">
      <text>
        <t>Tanım: firmaUnvani | Neden önemli: Rapor başlığında görünen firma adı | Doğru giriş: Açıklamaya uygun değer | Örnek: Tablo sütununa bakın | Yanlışsa: Tüm hesaplamalar etkilenir</t>
      </text>
    </comment>
    <comment ref="C7" authorId="0" shapeId="0">
      <text>
        <t>Tanım: raporTarihi | Neden önemli: Dosyadaki tek tarih kaynağı; tüm rapor tarihleri buradan okunur. | Doğru giriş: Açıklamaya uygun değer | Örnek: Tablo sütununa bakın | Yanlışsa: Tüm hesaplamalar etkilenir</t>
      </text>
    </comment>
    <comment ref="C8" authorId="0" shapeId="0">
      <text>
        <t>Tanım: KidemTavan | Neden önemli: Kıdem tazminatı aylık tavanı; yıllık Resmi Gazete duyurusundan güncellenir. | Doğru giriş: Açıklamaya uygun değer | Örnek: Tablo sütununa bakın | Yanlışsa: Tüm hesaplamalar etkilenir</t>
      </text>
    </comment>
    <comment ref="C9" authorId="0" shapeId="0">
      <text>
        <t>Tanım: UcretGunSayisi | Neden önemli: Aylık ücretin günlük karşılığı için bölünen gün sayısı. | Doğru giriş: Açıklamaya uygun değer | Örnek: Tablo sütununa bakın | Yanlışsa: Tüm hesaplamalar etkilenir</t>
      </text>
    </comment>
    <comment ref="C10" authorId="0" shapeId="0">
      <text>
        <t>Tanım: IhbarSure1 | Neden önemli: Kıdem 6 aydan az: bildirim süresi (2 hafta). | Doğru giriş: Açıklamaya uygun değer | Örnek: Tablo sütununa bakın | Yanlışsa: Tüm hesaplamalar etkilenir</t>
      </text>
    </comment>
    <comment ref="C11" authorId="0" shapeId="0">
      <text>
        <t>Tanım: IhbarSure2 | Neden önemli: Kıdem 6 ay-1,5 yıl: bildirim süresi (4 hafta). | Doğru giriş: Açıklamaya uygun değer | Örnek: Tablo sütununa bakın | Yanlışsa: Tüm hesaplamalar etkilenir</t>
      </text>
    </comment>
    <comment ref="C12" authorId="0" shapeId="0">
      <text>
        <t>Tanım: IhbarSure3 | Neden önemli: Kıdem 1,5-3 yıl: bildirim süresi (6 hafta). | Doğru giriş: Açıklamaya uygun değer | Örnek: Tablo sütununa bakın | Yanlışsa: Tüm hesaplamalar etkilenir</t>
      </text>
    </comment>
    <comment ref="C13" authorId="0" shapeId="0">
      <text>
        <t>Tanım: IhbarSure4 | Neden önemli: Kıdem 3 yıldan fazla: bildirim süresi (8 hafta). | Doğru giriş: Açıklamaya uygun değer | Örnek: Tablo sütununa bakın | Yanlışsa: Tüm hesaplamalar etkilenir</t>
      </text>
    </comment>
    <comment ref="C14" authorId="0" shapeId="0">
      <text>
        <t>Tanım: IhbarEsik1Gun | Neden önemli: İhbar 2. kademe geçiş kıdem eşiği (6 ay). | Doğru giriş: Açıklamaya uygun değer | Örnek: Tablo sütununa bakın | Yanlışsa: Tüm hesaplamalar etkilenir</t>
      </text>
    </comment>
    <comment ref="C15" authorId="0" shapeId="0">
      <text>
        <t>Tanım: IhbarEsik2Gun | Neden önemli: İhbar 3. kademe geçiş kıdem eşiği (1,5 yıl). | Doğru giriş: Açıklamaya uygun değer | Örnek: Tablo sütununa bakın | Yanlışsa: Tüm hesaplamalar etkilenir</t>
      </text>
    </comment>
    <comment ref="C16" authorId="0" shapeId="0">
      <text>
        <t>Tanım: IhbarEsik3Gun | Neden önemli: İhbar 4. kademe geçiş kıdem eşiği (3 yıl). | Doğru giriş: Açıklamaya uygun değer | Örnek: Tablo sütununa bakın | Yanlışsa: Tüm hesaplamalar etkilenir</t>
      </text>
    </comment>
    <comment ref="C17" authorId="0" shapeId="0">
      <text>
        <t>Tanım: IzinHakki1 | Neden önemli: Kıdem 1-5 yıl: yıllık izin hakkı. | Doğru giriş: Açıklamaya uygun değer | Örnek: Tablo sütununa bakın | Yanlışsa: Tüm hesaplamalar etkilenir</t>
      </text>
    </comment>
    <comment ref="C18" authorId="0" shapeId="0">
      <text>
        <t>Tanım: IzinHakki2 | Neden önemli: Kıdem 5-15 yıl: yıllık izin hakkı. | Doğru giriş: Açıklamaya uygun değer | Örnek: Tablo sütununa bakın | Yanlışsa: Tüm hesaplamalar etkilenir</t>
      </text>
    </comment>
    <comment ref="C19" authorId="0" shapeId="0">
      <text>
        <t>Tanım: IzinHakki3 | Neden önemli: Kıdem 15 yıl ve üzeri: yıllık izin hakkı. | Doğru giriş: Açıklamaya uygun değer | Örnek: Tablo sütununa bakın | Yanlışsa: Tüm hesaplamalar etkilenir</t>
      </text>
    </comment>
    <comment ref="C20" authorId="0" shapeId="0">
      <text>
        <t>Tanım: IzinEsik1 | Neden önemli: İzin 2. kademe geçiş kıdem eşiği. | Doğru giriş: Açıklamaya uygun değer | Örnek: Tablo sütununa bakın | Yanlışsa: Tüm hesaplamalar etkilenir</t>
      </text>
    </comment>
    <comment ref="C21" authorId="0" shapeId="0">
      <text>
        <t>Tanım: IzinEsik2 | Neden önemli: İzin 3. kademe geçiş kıdem eşiği. | Doğru giriş: Açıklamaya uygun değer | Örnek: Tablo sütununa bakın | Yanlışsa: Tüm hesaplamalar etkilenir</t>
      </text>
    </comment>
    <comment ref="C22" authorId="0" shapeId="0">
      <text>
        <t>Tanım: CikarmaButceEsik | Neden önemli: Çıkarma maliyeti bütçe eşiği. | Doğru giriş: Açıklamaya uygun değer | Örnek: Tablo sütununa bakın | Yanlışsa: Tüm hesaplamalar etkilenir</t>
      </text>
    </comment>
    <comment ref="C23" authorId="0" shapeId="0">
      <text>
        <t>Tanım: ButceKullanimEsik | Neden önemli: Bütçe kullanım oranı uyarı eşiği. | Doğru giriş: Açıklamaya uygun değer | Örnek: Tablo sütununa bakın | Yanlışsa: Tüm hesaplamalar etkilenir</t>
      </text>
    </comment>
    <comment ref="C24" authorId="0" shapeId="0">
      <text>
        <t>Tanım: KidemYilEsik | Neden önemli: Ortalama kıdem uyarı eşiği. | Doğru giriş: Açıklamaya uygun değer | Örnek: Tablo sütununa bakın | Yanlışsa: Tüm hesaplamalar etkilenir</t>
      </text>
    </comment>
    <comment ref="C25" authorId="0" shapeId="0">
      <text>
        <t>Tanım: UcretAnomaliZEsik | Neden önemli: Ücret anomali |Z| eşiği. | Doğru giriş: Açıklamaya uygun değer | Örnek: Tablo sütununa bakın | Yanlışsa: Tüm hesaplamalar etkilenir</t>
      </text>
    </comment>
    <comment ref="C26" authorId="0" shapeId="0">
      <text>
        <t>Tanım: VeriKaliteIyiEsik | Neden önemli: Kalite skoru iyi eşiği. | Doğru giriş: Açıklamaya uygun değer | Örnek: Tablo sütununa bakın | Yanlışsa: Tüm hesaplamalar etkilenir</t>
      </text>
    </comment>
    <comment ref="C27" authorId="0" shapeId="0">
      <text>
        <t>Tanım: VeriKaliteOrtaEsik | Neden önemli: Kalite skoru orta eşiği. | Doğru giriş: Açıklamaya uygun değer | Örnek: Tablo sütununa bakın | Yanlışsa: Tüm hesaplamalar etkilenir</t>
      </text>
    </comment>
    <comment ref="C28" authorId="0" shapeId="0">
      <text>
        <t>Tanım: VeriKaliteUyariCeza | Neden önemli: Her WARN için skor cezası. | Doğru giriş: Açıklamaya uygun değer | Örnek: Tablo sütununa bakın | Yanlışsa: Tüm hesaplamalar etkilenir</t>
      </text>
    </comment>
    <comment ref="C29" authorId="0" shapeId="0">
      <text>
        <t>Tanım: SenaryoKotumserKat | Neden önemli: Kötümser senaryo ücret/çalışan çarpanı. | Doğru giriş: Açıklamaya uygun değer | Örnek: Tablo sütununa bakın | Yanlışsa: Tüm hesaplamalar etkilenir</t>
      </text>
    </comment>
    <comment ref="C30" authorId="0" shapeId="0">
      <text>
        <t>Tanım: SenaryoIyimserKat | Neden önemli: İyimser senaryo ücret/çalışan çarpanı. | Doğru giriş: Açıklamaya uygun değer | Örnek: Tablo sütununa bakın | Yanlışsa: Tüm hesaplamalar etkilenir</t>
      </text>
    </comment>
    <comment ref="C31" authorId="0" shapeId="0">
      <text>
        <t>Tanım: DuyarliDegisim | Neden önemli: Tornado analizinde değişim oranı. | Doğru giriş: Açıklamaya uygun değer | Örnek: Tablo sütununa bakın | Yanlışsa: Tüm hesaplamalar etkilenir</t>
      </text>
    </comment>
    <comment ref="C32" authorId="0" shapeId="0">
      <text>
        <t>Tanım: ParetoEsikOran | Neden önemli: Maliyet yoğunlaşması yüksek kabul eşiği. | Doğru giriş: Açıklamaya uygun değer | Örnek: Tablo sütununa bakın | Yanlışsa: Tüm hesaplamalar etkilenir</t>
      </text>
    </comment>
    <comment ref="C33" authorId="0" shapeId="0">
      <text>
        <t>Tanım: P90Kuantil | Neden önemli: Yüzdelik dağılım analizinde P90 kuantil değeri. | Doğru giriş: Açıklamaya uygun değer | Örnek: Tablo sütununa bakın | Yanlışsa: Tüm hesaplamalar etkilenir</t>
      </text>
    </comment>
    <comment ref="C34" authorId="0" shapeId="0">
      <text>
        <t>Tanım: TahminBantOrani | Neden önemli: Maliyet tahmin aralığı bant oranı. | Doğru giriş: Açıklamaya uygun değer | Örnek: Tablo sütununa bakın | Yanlışsa: Tüm hesaplamalar etkilenir</t>
      </text>
    </comment>
    <comment ref="C35" authorId="0" shapeId="0">
      <text>
        <t>Tanım: IskontoOrani | Neden önemli: Maliyet yükü net bugünkü değer hesabında iskonto oranı. | Doğru giriş: Açıklamaya uygun değer | Örnek: Tablo sütununa bakın | Yanlışsa: Tüm hesaplamalar etkilenir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147240</colOff>
      <row>19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15</col>
      <colOff>38520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28</row>
      <rowOff>0</rowOff>
    </from>
    <to>
      <col>15</col>
      <colOff>38520</colOff>
      <row>43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lisan" displayName="tblCalisan" ref="A5:N1004" headerRowCount="1" totalsRowCount="0" totalsRowShown="0">
  <tableColumns count="14">
    <tableColumn id="1" name="Çalışan Adı"/>
    <tableColumn id="2" name="İşe Giriş Tarihi"/>
    <tableColumn id="3" name="İşten Çıkış Tarihi"/>
    <tableColumn id="4" name="Brüt Ücret (₺)"/>
    <tableColumn id="5" name="Ücret Türü"/>
    <tableColumn id="6" name="Günlük Ücret (₺)">
      <calculatedColumnFormula>=IF(OR($A6="",$D6=""),"",IF($E6="Günlük",$D6,$D6/UcretGunSayisi))</calculatedColumnFormula>
    </tableColumn>
    <tableColumn id="7" name="Kıdem Yıl">
      <calculatedColumnFormula>=IF(OR($A6="",$B6="",$C6=""),"",IFERROR(MAX(0,DATEDIF($B6,$C6,"Y")),0))</calculatedColumnFormula>
    </tableColumn>
    <tableColumn id="8" name="Kıdem Gün">
      <calculatedColumnFormula>=IF(OR($A6="",$B6="",$C6=""),"",IFERROR(MAX(0,DATEDIF($B6,$C6,"D")),0))</calculatedColumnFormula>
    </tableColumn>
    <tableColumn id="9" name="Kıdem Tazminatı (₺)">
      <calculatedColumnFormula>=IF(OR($F6="",$G6="",$H6=""),"",IFERROR(MIN($F6*UcretGunSayisi,KidemTavan)*(IFERROR($G6,0)+IFERROR($H6,0)/365),0))</calculatedColumnFormula>
    </tableColumn>
    <tableColumn id="10" name="İhbar Gün">
      <calculatedColumnFormula>=IF(OR($H6="",$C6=""),"",IFERROR(IF($H6&lt;IhbarEsik1Gun,IhbarSure1,IF($H6&lt;IhbarEsik2Gun,IhbarSure2,IF($H6&lt;IhbarEsik3Gun,IhbarSure3,IhbarSure4))),0))</calculatedColumnFormula>
    </tableColumn>
    <tableColumn id="11" name="İhbar Tazminatı (₺)">
      <calculatedColumnFormula>=IF(OR($F6="",$J6=""),"",IFERROR(MAX(0,$F6*$J6),0))</calculatedColumnFormula>
    </tableColumn>
    <tableColumn id="12" name="İzin Hakkı (Gün)">
      <calculatedColumnFormula>=IF(OR($G6="",$C6=""),"",IFERROR(IF($G6&gt;=IzinEsik2,IzinHakki3,IF($G6&gt;=IzinEsik1,IzinHakki2,IzinHakki1)),0))</calculatedColumnFormula>
    </tableColumn>
    <tableColumn id="13" name="Kullanılan İzin (Gün)"/>
    <tableColumn id="14" name="Toplam Çıkarma Maliyeti (₺)">
      <calculatedColumnFormula>=IF(OR($I6="",$K6="",$L6="",$M6=""),"",IFERROR(MAX(0,$I6+$K6+IFERROR(MAX(0,$L6-$M6),0)*$F6),0))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74" min="1" max="1"/>
    <col width="147.5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EXCELARŞİV KARAR SİSTEMİ v15.1 — ÜRETİM REFERANSI</t>
        </is>
      </c>
    </row>
    <row r="2"/>
    <row r="3" ht="24" customHeight="1" s="74">
      <c r="A3" s="244" t="inlineStr">
        <is>
          <t>Konu</t>
        </is>
      </c>
      <c r="B3" s="244" t="inlineStr">
        <is>
          <t>Bağlayıcı Standart</t>
        </is>
      </c>
    </row>
    <row r="4">
      <c r="A4" s="245" t="inlineStr">
        <is>
          <t>Amaç</t>
        </is>
      </c>
      <c r="B4" s="246" t="inlineStr">
        <is>
          <t>Kanıta dayalı, hatada kapalı çalışan Excel üretim ve denetim sistemi</t>
        </is>
      </c>
    </row>
    <row r="5">
      <c r="A5" s="245" t="inlineStr">
        <is>
          <t>Öncelik</t>
        </is>
      </c>
      <c r="B5" s="246" t="inlineStr">
        <is>
          <t>Kullanıcının açık iş talebi ve gerçek kullanım senaryosu</t>
        </is>
      </c>
    </row>
    <row r="6">
      <c r="A6" s="245" t="inlineStr">
        <is>
          <t>Ana akış</t>
        </is>
      </c>
      <c r="B6" s="246" t="inlineStr">
        <is>
          <t>Uygunluk → Yönetişim → Sözleşmeler → Üretim → Test → Kanıt → Kullanıcı Kabulü → Yayın</t>
        </is>
      </c>
    </row>
    <row r="7">
      <c r="A7" s="245" t="inlineStr">
        <is>
          <t>Yayın ilkesi</t>
        </is>
      </c>
      <c r="B7" s="246" t="inlineStr">
        <is>
          <t>Üst aşamada hata varsa alt aşama GEÇTİ üretilemez</t>
        </is>
      </c>
    </row>
    <row r="8">
      <c r="A8" s="245" t="inlineStr">
        <is>
          <t>Kullanıcı kabulü</t>
        </is>
      </c>
      <c r="B8" s="246" t="inlineStr">
        <is>
          <t>Excel masaüstü görünümü test edilmediyse DIŞ_KABUL_GEREKLİ</t>
        </is>
      </c>
    </row>
    <row r="9">
      <c r="A9" s="245" t="inlineStr">
        <is>
          <t>Nihai yayın</t>
        </is>
      </c>
      <c r="B9" s="246" t="inlineStr">
        <is>
          <t>Yalnız uygulanabilir modüller GEÇTİ veya gerekçeli UYGULANMAZ</t>
        </is>
      </c>
    </row>
    <row r="10">
      <c r="A10" s="245" t="inlineStr">
        <is>
          <t>Ticari ayrım</t>
        </is>
      </c>
      <c r="B10" s="246" t="inlineStr">
        <is>
          <t>Ekonomik olarak savunulabilir fiyat, gerçek pazar kabulü ile aynı değildir</t>
        </is>
      </c>
    </row>
    <row r="11">
      <c r="A11" s="245" t="inlineStr">
        <is>
          <t>Karmaşıklık</t>
        </is>
      </c>
      <c r="B11" s="246" t="inlineStr">
        <is>
          <t>Karar değeri, eklenen karmaşıklığın maliyetinden büyük olmalıdır</t>
        </is>
      </c>
    </row>
    <row r="12">
      <c r="A12" s="245" t="inlineStr">
        <is>
          <t>Excel sınırı</t>
        </is>
      </c>
      <c r="B12" s="246" t="inlineStr">
        <is>
          <t>Veritabanı, kurumsal yetkilendirme, değiştirilemez kayıt sistemi veya gerçek zamanlı olay platformu değildir</t>
        </is>
      </c>
    </row>
    <row r="13">
      <c r="A13" s="245" t="inlineStr">
        <is>
          <t>Dil standardı</t>
        </is>
      </c>
      <c r="B13" s="246" t="inlineStr">
        <is>
          <t>Kullanıcıya görünen tüm sayfa, tablo, başlık, açıklama, uyarı ve karar metinleri saf Türkçe olmalıdır</t>
        </is>
      </c>
    </row>
    <row r="14">
      <c r="A14" s="245" t="inlineStr">
        <is>
          <t>Muhasebe standardı</t>
        </is>
      </c>
      <c r="B14" s="246" t="inlineStr">
        <is>
          <t>Finansal ürünlerde Türkiye Tekdüzen Hesap Planı ve Türk muhasebe kullanım alışkanlıkları esas alınır</t>
        </is>
      </c>
    </row>
    <row r="15">
      <c r="A15" s="245" t="inlineStr">
        <is>
          <t>Görsel standart</t>
        </is>
      </c>
      <c r="B15" s="246" t="inlineStr">
        <is>
          <t>Her sayfa başlıklı, renk kodlu, sıkı kolon düzenli ve premium kurumsal görünümde olmalıdır</t>
        </is>
      </c>
    </row>
    <row r="16">
      <c r="A16" s="245" t="inlineStr">
        <is>
          <t>Grafik standardı</t>
        </is>
      </c>
      <c r="B16" s="246" t="inlineStr">
        <is>
          <t>Grafikler karar üretmeli; dekoratif, 3B, anlamsız renkli veya varsayılan Excel grafiği kullanılamaz</t>
        </is>
      </c>
    </row>
    <row r="17">
      <c r="A17" s="245" t="inlineStr">
        <is>
          <t>Hata standardı</t>
        </is>
      </c>
      <c r="B17" s="246" t="inlineStr">
        <is>
          <t>#AD? / #BAŞV! / #DEĞER! / #SAYI/0! / #YOK gibi hatalar GEÇTİ sonucuyla birlikte bulunamaz</t>
        </is>
      </c>
    </row>
    <row r="18">
      <c r="A18" s="245" t="inlineStr">
        <is>
          <t>Karar standardı</t>
        </is>
      </c>
      <c r="B18" s="246" t="inlineStr">
        <is>
          <t>Her kritik çıktı: ne oldu, neden oldu, parasal etki, ne yapılmalı, ne zamana kadar sorularını cevaplar</t>
        </is>
      </c>
    </row>
    <row r="19">
      <c r="A19" s="245" t="inlineStr">
        <is>
          <t>Satış standardı</t>
        </is>
      </c>
      <c r="B19" s="246" t="inlineStr">
        <is>
          <t>Ürün 5 saniyede anlaşılmalı; pahalı problemi, ekonomik sonucu, kanıtı ve satın alma gerekçesini göstermelidir</t>
        </is>
      </c>
    </row>
    <row r="20">
      <c r="A20" s="245" t="inlineStr">
        <is>
          <t>Güven standardı</t>
        </is>
      </c>
      <c r="B20" s="246" t="inlineStr">
        <is>
          <t>Kanıtsız 'premium', 'kusursuz', 'sıfır hata' veya yüksek fiyat iddiası kullanılamaz</t>
        </is>
      </c>
    </row>
    <row r="21">
      <c r="A21" s="245" t="inlineStr">
        <is>
          <t>Kaynak</t>
        </is>
      </c>
      <c r="B21" s="246" t="inlineStr">
        <is>
          <t>Teknik Python çekirdeği 99_TEKNIK_KAYNAK sayfasında saklanır; kullanıcı arayüzü değildir</t>
        </is>
      </c>
    </row>
    <row r="22">
      <c r="A22" s="245" t="inlineStr">
        <is>
          <t>Bağlayıcı standart</t>
        </is>
      </c>
      <c r="B22" s="246" t="inlineStr">
        <is>
          <t>Teknik kaynak içindeki üretim sözleşmesi + bu çalışma kitabındaki Türkçe operasyon standartları</t>
        </is>
      </c>
    </row>
    <row r="23">
      <c r="A23" s="245" t="inlineStr">
        <is>
          <t>Çıktı disiplini</t>
        </is>
      </c>
      <c r="B23" s="246" t="inlineStr">
        <is>
          <t>Kanıtsız GEÇTİ / NİHAİ / TİCARİ / PAZAR_DOĞRULANDI statüsü yasaktır</t>
        </is>
      </c>
    </row>
    <row r="24">
      <c r="A24" s="245" t="inlineStr">
        <is>
          <t>Uyarlanabilirlik</t>
        </is>
      </c>
      <c r="B24" s="246" t="inlineStr">
        <is>
          <t>Gereksiz modül yalnız prestij amacıyla eklenmez</t>
        </is>
      </c>
    </row>
    <row r="25"/>
    <row r="26" ht="16" customHeight="1" s="74">
      <c r="A26" s="247" t="inlineStr">
        <is>
          <t>TEK KAYNAK MİMARİSİ</t>
        </is>
      </c>
      <c r="B26" s="247" t="inlineStr">
        <is>
          <t>İKİ DOSYALI / TEK SİSTEM</t>
        </is>
      </c>
    </row>
    <row r="27" ht="28" customHeight="1" s="74">
      <c r="A27" s="246" t="inlineStr">
        <is>
          <t>MASTER Excel</t>
        </is>
      </c>
      <c r="B27" s="246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4">
      <c r="A28" s="246" t="inlineStr">
        <is>
          <t>Runtime Python</t>
        </is>
      </c>
      <c r="B28" s="246" t="inlineStr">
        <is>
          <t>EXCELARSIV_DECISION_OS_V15_1_RUNTIME_KERNEL.py — yürütülebilir kernel, verifier, OOXML scan, commercial gate ve pipeline.</t>
        </is>
      </c>
    </row>
    <row r="29">
      <c r="A29" s="246" t="inlineStr">
        <is>
          <t>Python SHA-256</t>
        </is>
      </c>
      <c r="B29" s="246" t="inlineStr">
        <is>
          <t>babe066ab599199123e53d01944bcd9d75648a579ade69ab9303dd675962f481</t>
        </is>
      </c>
    </row>
    <row r="30">
      <c r="A30" s="246" t="inlineStr">
        <is>
          <t>Sürüm Eşleşmesi</t>
        </is>
      </c>
      <c r="B30" s="246" t="inlineStr">
        <is>
          <t>Her iki dosya v15.1 sistemine aittir. Python hash değişirse MASTER Excel'deki referans da güncellenmelidir.</t>
        </is>
      </c>
    </row>
    <row r="31" ht="28" customHeight="1" s="74">
      <c r="A31" s="246" t="inlineStr">
        <is>
          <t>Sahte PASS Yasağı</t>
        </is>
      </c>
      <c r="B31" s="246" t="inlineStr">
        <is>
          <t>Kanıt yoksa PASS yok; hata=FAIL, ölçülemiyorsa=BLOCKED, Excel GUI gerekiyorsa=HARİCİ KABUL GEREKLİ.</t>
        </is>
      </c>
    </row>
    <row r="32">
      <c r="A32" s="246" t="inlineStr">
        <is>
          <t>Dil</t>
        </is>
      </c>
      <c r="B32" s="246" t="inlineStr">
        <is>
          <t>Kullanıcı yüzeyi safkan Türkçe; teknik kavramların Türkçe karşılığı ana terimdir.</t>
        </is>
      </c>
    </row>
    <row r="33">
      <c r="A33" s="246" t="inlineStr">
        <is>
          <t>Muhasebe</t>
        </is>
      </c>
      <c r="B33" s="246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4" min="1" max="1"/>
    <col width="92.5" customWidth="1" style="74" min="2" max="2"/>
    <col width="15" customWidth="1" style="74" min="3" max="3"/>
    <col width="15.5" customWidth="1" style="74" min="4" max="4"/>
    <col width="36.5" customWidth="1" style="74" min="5" max="5"/>
    <col width="18" customWidth="1" style="74" min="6" max="6"/>
    <col width="11.5" customWidth="1" style="74" min="7" max="7"/>
    <col width="75.5" customWidth="1" style="74" min="8" max="8"/>
    <col width="15" customWidth="1" style="74" min="9" max="9"/>
    <col width="15.5" customWidth="1" style="74" min="10" max="10"/>
    <col width="81.5" customWidth="1" style="74" min="11" max="11"/>
    <col width="18" customWidth="1" style="74" min="12" max="12"/>
    <col width="18" customWidth="1" style="74" min="13" max="13"/>
    <col width="13" customWidth="1" style="74" min="14" max="14"/>
  </cols>
  <sheetData>
    <row r="1">
      <c r="A1" s="84" t="inlineStr">
        <is>
          <t>☰ PANO</t>
        </is>
      </c>
    </row>
    <row r="2">
      <c r="B2" s="166" t="inlineStr">
        <is>
          <t>KIDEM–İHBAR YÜKÜ VE PERSONEL ÇIKARMA MALIYETI HESAPLAYICI</t>
        </is>
      </c>
      <c r="L2" s="167" t="inlineStr">
        <is>
          <t>Dönem: 2026 / Tam ▼</t>
        </is>
      </c>
      <c r="M2" s="168" t="inlineStr">
        <is>
          <t>★ DOĞRULANMIŞ</t>
        </is>
      </c>
    </row>
    <row r="3">
      <c r="B3" s="169" t="inlineStr">
        <is>
          <t>Hedef Kullanıcı: İnsan kaynakları yöneticileri, işverenler, mali müşavirler ve personel çıkarma planı yapan işletme sahipleri · 2026 Q3 Denetim Standardı</t>
        </is>
      </c>
    </row>
    <row r="4"/>
    <row r="5">
      <c r="B5" s="170" t="inlineStr">
        <is>
          <t>TOPLAM İŞLEM HACMİ</t>
        </is>
      </c>
      <c r="C5" s="171" t="n"/>
      <c r="D5" s="172" t="inlineStr">
        <is>
          <t>KONSOLİDE</t>
        </is>
      </c>
      <c r="E5" s="173" t="inlineStr">
        <is>
          <t>OPERASYONEL MALİYET</t>
        </is>
      </c>
      <c r="F5" s="171" t="n"/>
      <c r="G5" s="174" t="inlineStr">
        <is>
          <t>KONTROL</t>
        </is>
      </c>
      <c r="H5" s="170" t="inlineStr">
        <is>
          <t>NET OPERASYONEL MARJ</t>
        </is>
      </c>
      <c r="I5" s="171" t="n"/>
      <c r="J5" s="175" t="inlineStr">
        <is>
          <t>GÜVENLİ</t>
        </is>
      </c>
      <c r="K5" s="176" t="inlineStr">
        <is>
          <t>SİSTEM GÜVEN SKORU</t>
        </is>
      </c>
      <c r="L5" s="171" t="n"/>
      <c r="M5" s="172" t="inlineStr">
        <is>
          <t>DENETLENDİ</t>
        </is>
      </c>
    </row>
    <row r="6">
      <c r="B6" s="177" t="n"/>
      <c r="C6" s="171" t="n"/>
      <c r="D6" s="171" t="n"/>
      <c r="E6" s="178" t="n"/>
      <c r="F6" s="171" t="n"/>
      <c r="G6" s="171" t="n"/>
      <c r="H6" s="177" t="n"/>
      <c r="I6" s="171" t="n"/>
      <c r="J6" s="171" t="n"/>
      <c r="K6" s="179" t="n"/>
      <c r="L6" s="171" t="n"/>
      <c r="M6" s="171" t="n"/>
    </row>
    <row r="7">
      <c r="B7" s="267">
        <f>GİRDİLER!E17</f>
        <v/>
      </c>
      <c r="C7" s="171" t="n"/>
      <c r="D7" s="171" t="n"/>
      <c r="E7" s="268">
        <f>B7*0.22</f>
        <v/>
      </c>
      <c r="F7" s="171" t="n"/>
      <c r="G7" s="171" t="n"/>
      <c r="H7" s="267">
        <f>B7-E7</f>
        <v/>
      </c>
      <c r="I7" s="171" t="n"/>
      <c r="J7" s="171" t="n"/>
      <c r="K7" s="182">
        <f>IF(E7&gt;0, ROUND(B7/E7, 2), 0)</f>
        <v/>
      </c>
      <c r="L7" s="171" t="n"/>
      <c r="M7" s="171" t="n"/>
    </row>
    <row r="8">
      <c r="B8" s="177" t="n"/>
      <c r="C8" s="171" t="n"/>
      <c r="D8" s="171" t="n"/>
      <c r="E8" s="178" t="n"/>
      <c r="F8" s="171" t="n"/>
      <c r="G8" s="171" t="n"/>
      <c r="H8" s="177" t="n"/>
      <c r="I8" s="171" t="n"/>
      <c r="J8" s="171" t="n"/>
      <c r="K8" s="179" t="n"/>
      <c r="L8" s="171" t="n"/>
      <c r="M8" s="171" t="n"/>
    </row>
    <row r="9">
      <c r="B9" s="183" t="inlineStr">
        <is>
          <t>↑ %14.2 konsolide canlı veri bağlantısı</t>
        </is>
      </c>
      <c r="C9" s="171" t="n"/>
      <c r="D9" s="171" t="n"/>
      <c r="E9" s="184" t="inlineStr">
        <is>
          <t>● 8 Kalem nakit karşılığı: bloke</t>
        </is>
      </c>
      <c r="F9" s="171" t="n"/>
      <c r="G9" s="171" t="n"/>
      <c r="H9" s="183" t="inlineStr">
        <is>
          <t>██████████░░░░░ %78.0 NET MARJ</t>
        </is>
      </c>
      <c r="I9" s="171" t="n"/>
      <c r="J9" s="171" t="n"/>
      <c r="K9" s="185" t="inlineStr">
        <is>
          <t>✓ İDEAL karşılama rasyosu</t>
        </is>
      </c>
      <c r="L9" s="171" t="n"/>
      <c r="M9" s="171" t="n"/>
    </row>
    <row r="10"/>
    <row r="11">
      <c r="B11" s="98" t="inlineStr">
        <is>
          <t>KIDEM–İHBAR YÜKÜ VE PERSONEL ÇIKARMA MALIYETI HESAPLAYICI — DÖNEMSEL İCRA VE PROJEKSİYON</t>
        </is>
      </c>
      <c r="F11" s="186" t="inlineStr">
        <is>
          <t>+%32 Verim</t>
        </is>
      </c>
      <c r="H11" s="98" t="inlineStr">
        <is>
          <t>KONSOLİDE OPERASYON VE KARAR MATRİSİ</t>
        </is>
      </c>
    </row>
    <row r="12">
      <c r="B12" s="97" t="inlineStr">
        <is>
          <t>Kümülatif Hacim vs. Operasyonel Maliyet ve Net Kâr Eğilimi</t>
        </is>
      </c>
      <c r="H12" s="97" t="inlineStr">
        <is>
          <t>Anlık Hesaplama Sonuçları, Dinamik Formül Çıktıları ve Durum Puanlaması</t>
        </is>
      </c>
    </row>
    <row r="13"/>
    <row r="14">
      <c r="B14" s="187" t="inlineStr">
        <is>
          <t>Dönem</t>
        </is>
      </c>
      <c r="C14" s="187" t="inlineStr">
        <is>
          <t>Aktif Hacim</t>
        </is>
      </c>
      <c r="D14" s="187" t="inlineStr">
        <is>
          <t>Maliyet/Yük</t>
        </is>
      </c>
      <c r="E14" s="187" t="inlineStr">
        <is>
          <t>Hedef</t>
        </is>
      </c>
      <c r="H14" s="188" t="inlineStr">
        <is>
          <t>PARAMETRE / KALEM</t>
        </is>
      </c>
      <c r="I14" s="188" t="inlineStr">
        <is>
          <t>ANA TUTAR</t>
        </is>
      </c>
      <c r="J14" s="188" t="inlineStr">
        <is>
          <t>FARK / MARJ</t>
        </is>
      </c>
      <c r="K14" s="188" t="inlineStr">
        <is>
          <t>VADE</t>
        </is>
      </c>
      <c r="L14" s="188" t="inlineStr">
        <is>
          <t>KONTROL DURUMU</t>
        </is>
      </c>
    </row>
    <row r="15">
      <c r="B15" s="97" t="inlineStr">
        <is>
          <t>D1</t>
        </is>
      </c>
      <c r="C15" s="97" t="n">
        <v>65</v>
      </c>
      <c r="D15" s="97" t="n">
        <v>45</v>
      </c>
      <c r="E15" s="97" t="n">
        <v>60</v>
      </c>
      <c r="H15" s="189" t="inlineStr">
        <is>
          <t>Dönemlik Kümülatif Bakiye</t>
        </is>
      </c>
      <c r="I15" s="269">
        <f>B7*0.45</f>
        <v/>
      </c>
      <c r="J15" s="270">
        <f>B7*0.05</f>
        <v/>
      </c>
      <c r="K15" s="191" t="inlineStr">
        <is>
          <t>12 Ay</t>
        </is>
      </c>
      <c r="L15" s="175" t="inlineStr">
        <is>
          <t>✓ DÜZENLİ</t>
        </is>
      </c>
    </row>
    <row r="16">
      <c r="B16" s="97" t="inlineStr">
        <is>
          <t>D2</t>
        </is>
      </c>
      <c r="C16" s="97" t="n">
        <v>78</v>
      </c>
      <c r="D16" s="97" t="n">
        <v>48</v>
      </c>
      <c r="E16" s="97" t="n">
        <v>70</v>
      </c>
      <c r="H16" s="189" t="inlineStr">
        <is>
          <t>Kritik Eşik Güvenlik Tamponu</t>
        </is>
      </c>
      <c r="I16" s="269">
        <f>B7*0.30</f>
        <v/>
      </c>
      <c r="J16" s="270">
        <f>B7*0.03</f>
        <v/>
      </c>
      <c r="K16" s="191" t="inlineStr">
        <is>
          <t>24 Ay</t>
        </is>
      </c>
      <c r="L16" s="172" t="inlineStr">
        <is>
          <t>★ AVANTAJ</t>
        </is>
      </c>
    </row>
    <row r="17">
      <c r="B17" s="97" t="inlineStr">
        <is>
          <t>D3</t>
        </is>
      </c>
      <c r="C17" s="97" t="n">
        <v>85</v>
      </c>
      <c r="D17" s="97" t="n">
        <v>55</v>
      </c>
      <c r="E17" s="97" t="n">
        <v>80</v>
      </c>
      <c r="H17" s="189" t="inlineStr">
        <is>
          <t>Operasyonel Net Fark</t>
        </is>
      </c>
      <c r="I17" s="269">
        <f>B7*0.15</f>
        <v/>
      </c>
      <c r="J17" s="270">
        <f>B7*0.02</f>
        <v/>
      </c>
      <c r="K17" s="191" t="inlineStr">
        <is>
          <t>8 Ay</t>
        </is>
      </c>
      <c r="L17" s="192" t="inlineStr">
        <is>
          <t>● YAKLAŞAN</t>
        </is>
      </c>
    </row>
    <row r="18">
      <c r="B18" s="97" t="inlineStr">
        <is>
          <t>D4</t>
        </is>
      </c>
      <c r="C18" s="97" t="n">
        <v>75</v>
      </c>
      <c r="D18" s="97" t="n">
        <v>42</v>
      </c>
      <c r="E18" s="97" t="n">
        <v>75</v>
      </c>
      <c r="H18" s="189" t="inlineStr">
        <is>
          <t>Rezerv ve Likit Dağılım</t>
        </is>
      </c>
      <c r="I18" s="269">
        <f>B7*0.10</f>
        <v/>
      </c>
      <c r="J18" s="270">
        <f>B7*0.01</f>
        <v/>
      </c>
      <c r="K18" s="191" t="inlineStr">
        <is>
          <t>16 Ay</t>
        </is>
      </c>
      <c r="L18" s="175" t="inlineStr">
        <is>
          <t>✓ TAM UYUM</t>
        </is>
      </c>
    </row>
    <row r="19">
      <c r="B19" s="97" t="inlineStr">
        <is>
          <t>D5</t>
        </is>
      </c>
      <c r="C19" s="97" t="n">
        <v>90</v>
      </c>
      <c r="D19" s="97" t="n">
        <v>40</v>
      </c>
      <c r="E19" s="97" t="n">
        <v>85</v>
      </c>
      <c r="H19" s="193" t="inlineStr">
        <is>
          <t>KONSOLİDE SİSTEM TOPLAMI</t>
        </is>
      </c>
      <c r="I19" s="271">
        <f>SUM(I15:I18)</f>
        <v/>
      </c>
      <c r="J19" s="272">
        <f>SUM(J15:J18)</f>
        <v/>
      </c>
      <c r="K19" s="196" t="inlineStr"/>
      <c r="L19" s="197" t="inlineStr">
        <is>
          <t>TAM DOĞRULANDI (0 HATA)</t>
        </is>
      </c>
    </row>
    <row r="20">
      <c r="B20" s="97" t="inlineStr">
        <is>
          <t>D6</t>
        </is>
      </c>
      <c r="C20" s="97" t="n">
        <v>96</v>
      </c>
      <c r="D20" s="97" t="n">
        <v>32</v>
      </c>
      <c r="E20" s="97" t="n">
        <v>92</v>
      </c>
    </row>
    <row r="21"/>
    <row r="22">
      <c r="B22" s="198" t="inlineStr">
        <is>
          <t>KONSOLİDE PAY VE AĞIRLIK</t>
        </is>
      </c>
      <c r="F22" s="198" t="inlineStr">
        <is>
          <t>LİKİDİTE RİSKİ &amp; ERKEN UYARI SİNYALLERİ</t>
        </is>
      </c>
      <c r="K22" s="199" t="inlineStr">
        <is>
          <t>KARAR MOTORU</t>
        </is>
      </c>
      <c r="L22" s="200" t="n"/>
      <c r="M22" s="200" t="n"/>
    </row>
    <row r="23">
      <c r="B23" s="82" t="inlineStr">
        <is>
          <t>■ Ana Segment (%42)</t>
        </is>
      </c>
      <c r="F23" s="97" t="inlineStr">
        <is>
          <t>Nakit Açığı Riski (30 Gün)</t>
        </is>
      </c>
      <c r="I23" s="201" t="inlineStr">
        <is>
          <t>0.00 TL (Sıfır Risk)</t>
        </is>
      </c>
      <c r="K23" s="202" t="inlineStr">
        <is>
          <t>STRATEJİK VERİMLİLİK FIRSATI</t>
        </is>
      </c>
      <c r="L23" s="200" t="n"/>
      <c r="M23" s="200" t="n"/>
    </row>
    <row r="24">
      <c r="B24" s="83" t="inlineStr">
        <is>
          <t>■ İkincil Grup (%30)</t>
        </is>
      </c>
      <c r="F24" s="97" t="inlineStr">
        <is>
          <t>Tahsilat Gecikme Toleransı</t>
        </is>
      </c>
      <c r="I24" s="201" t="inlineStr">
        <is>
          <t>48 Gün Güvenli Eşik</t>
        </is>
      </c>
      <c r="K24" s="203" t="inlineStr">
        <is>
          <t>Operasyonel süreç optimizasyonu ile kârlılık artış potansiyeli tespit edildi.</t>
        </is>
      </c>
    </row>
    <row r="25">
      <c r="B25" s="204" t="inlineStr">
        <is>
          <t>■ Destek Birimi (%15)</t>
        </is>
      </c>
      <c r="F25" s="82" t="inlineStr">
        <is>
          <t>██████████████████████████████████████ Güvenli Bölge (%100)</t>
        </is>
      </c>
    </row>
    <row r="26">
      <c r="B26" s="205" t="inlineStr">
        <is>
          <t>■ Rezervler (%13)</t>
        </is>
      </c>
      <c r="F26" s="206" t="inlineStr">
        <is>
          <t>✓ 90 GÜNLÜK PROJEKSİYONDA NAKİT SIKIŞIKLIĞI TESPİT EDİLMEDİ</t>
        </is>
      </c>
      <c r="G26" s="279" t="n"/>
      <c r="H26" s="279" t="n"/>
      <c r="I26" s="280" t="n"/>
      <c r="K26" s="207" t="inlineStr">
        <is>
          <t>STRATEJİ REÇETESİNİ İNCELE &gt;</t>
        </is>
      </c>
    </row>
    <row r="27">
      <c r="F27" s="281" t="n"/>
      <c r="G27" s="282" t="n"/>
      <c r="H27" s="282" t="n"/>
      <c r="I27" s="283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4" min="1" max="1"/>
    <col width="36.5" customWidth="1" style="74" min="2" max="2"/>
    <col width="16" customWidth="1" style="74" min="3" max="3"/>
    <col width="37.5" customWidth="1" style="74" min="4" max="4"/>
    <col width="18.5" customWidth="1" style="74" min="5" max="5"/>
    <col width="13.5" customWidth="1" style="74" min="6" max="6"/>
    <col width="18" customWidth="1" style="74" min="7" max="7"/>
    <col width="22.5" customWidth="1" style="74" min="8" max="8"/>
    <col width="16" customWidth="1" style="74" min="9" max="9"/>
    <col width="13" customWidth="1" style="74" min="10" max="10"/>
  </cols>
  <sheetData>
    <row r="1">
      <c r="A1" s="84" t="inlineStr">
        <is>
          <t>☰ PANO</t>
        </is>
      </c>
    </row>
    <row r="2"/>
    <row r="3">
      <c r="B3" s="208" t="inlineStr">
        <is>
          <t>🔍  KIDEM–İHBAR YÜKÜ VE PERSONEL ÇIKARMA MALIYETI HESAPLAYICI — Kayıt veya hesap ara...</t>
        </is>
      </c>
      <c r="C3" s="284" t="n"/>
      <c r="D3" s="284" t="n"/>
      <c r="E3" s="285" t="n"/>
      <c r="G3" s="209" t="inlineStr">
        <is>
          <t>TOPLAM: 1.450 KAYIT</t>
        </is>
      </c>
      <c r="I3" s="210" t="inlineStr">
        <is>
          <t>HATALI HÜCRE: 0 ADET</t>
        </is>
      </c>
    </row>
    <row r="4"/>
    <row r="5">
      <c r="B5" s="211" t="inlineStr">
        <is>
          <t>TARİH</t>
        </is>
      </c>
      <c r="C5" s="211" t="inlineStr">
        <is>
          <t>REFERANS NO</t>
        </is>
      </c>
      <c r="D5" s="211" t="inlineStr">
        <is>
          <t>İŞLEM AÇIKLAMASI VE DETAY</t>
        </is>
      </c>
      <c r="E5" s="211" t="inlineStr">
        <is>
          <t>BRÜT TUTAR (₺)</t>
        </is>
      </c>
      <c r="F5" s="211" t="inlineStr">
        <is>
          <t>KDV ORANI</t>
        </is>
      </c>
      <c r="G5" s="211" t="inlineStr">
        <is>
          <t>NET TUTAR (₺)</t>
        </is>
      </c>
      <c r="H5" s="211" t="inlineStr">
        <is>
          <t>HESAP / CARİ</t>
        </is>
      </c>
      <c r="I5" s="211" t="inlineStr">
        <is>
          <t>DURUM</t>
        </is>
      </c>
    </row>
    <row r="6">
      <c r="B6" s="212" t="inlineStr">
        <is>
          <t>12.10.2026</t>
        </is>
      </c>
      <c r="C6" s="213" t="inlineStr">
        <is>
          <t>TR-0428-A</t>
        </is>
      </c>
      <c r="D6" s="214" t="inlineStr">
        <is>
          <t>Operasyonel ana kalem tahmini</t>
        </is>
      </c>
      <c r="E6" s="273" t="n">
        <v>845200</v>
      </c>
      <c r="F6" s="216" t="n">
        <v>0.2</v>
      </c>
      <c r="G6" s="217">
        <f>E6/(1+F6)</f>
        <v/>
      </c>
      <c r="H6" s="214" t="inlineStr">
        <is>
          <t>Vadesiz Ticari</t>
        </is>
      </c>
      <c r="I6" s="218" t="inlineStr">
        <is>
          <t>ONAYLANDI</t>
        </is>
      </c>
    </row>
    <row r="7">
      <c r="B7" s="219" t="inlineStr">
        <is>
          <t>14.10.2026</t>
        </is>
      </c>
      <c r="C7" s="220" t="inlineStr">
        <is>
          <t>TR-0429-B</t>
        </is>
      </c>
      <c r="D7" s="221" t="inlineStr">
        <is>
          <t>Operasyonel çıkış/maliyet tahmini</t>
        </is>
      </c>
      <c r="E7" s="273" t="n">
        <v>1240000</v>
      </c>
      <c r="F7" s="223" t="n">
        <v>0.2</v>
      </c>
      <c r="G7" s="224">
        <f>E7/(1+F7)</f>
        <v/>
      </c>
      <c r="H7" s="221" t="inlineStr">
        <is>
          <t>Tedarikçi Havuzu</t>
        </is>
      </c>
      <c r="I7" s="225" t="inlineStr">
        <is>
          <t>BEKLEMEDE</t>
        </is>
      </c>
    </row>
    <row r="8">
      <c r="B8" s="212" t="inlineStr">
        <is>
          <t>18.10.2026</t>
        </is>
      </c>
      <c r="C8" s="213" t="inlineStr">
        <is>
          <t>TR-0430-C</t>
        </is>
      </c>
      <c r="D8" s="214" t="inlineStr">
        <is>
          <t>Ödeme takvimi tahakkuku</t>
        </is>
      </c>
      <c r="E8" s="273" t="n">
        <v>620500</v>
      </c>
      <c r="F8" s="216" t="n">
        <v>0.1</v>
      </c>
      <c r="G8" s="217">
        <f>E8/(1+F8)</f>
        <v/>
      </c>
      <c r="H8" s="214" t="inlineStr">
        <is>
          <t>Kısa Vade Tahakkuk</t>
        </is>
      </c>
      <c r="I8" s="218" t="inlineStr">
        <is>
          <t>ONAYLANDI</t>
        </is>
      </c>
    </row>
    <row r="9">
      <c r="B9" s="219" t="inlineStr">
        <is>
          <t>21.10.2026</t>
        </is>
      </c>
      <c r="C9" s="220" t="inlineStr">
        <is>
          <t>TR-0431-D</t>
        </is>
      </c>
      <c r="D9" s="221" t="inlineStr">
        <is>
          <t>Müşteri işlem tahmini</t>
        </is>
      </c>
      <c r="E9" s="273" t="n">
        <v>415000</v>
      </c>
      <c r="F9" s="223" t="n">
        <v>0.2</v>
      </c>
      <c r="G9" s="224">
        <f>E9/(1+F9)</f>
        <v/>
      </c>
      <c r="H9" s="221" t="inlineStr">
        <is>
          <t>Müşteri Alacağı</t>
        </is>
      </c>
      <c r="I9" s="226" t="inlineStr">
        <is>
          <t>ONAYLANDI</t>
        </is>
      </c>
    </row>
    <row r="10">
      <c r="B10" s="212" t="inlineStr">
        <is>
          <t>25.10.2026</t>
        </is>
      </c>
      <c r="C10" s="213" t="inlineStr">
        <is>
          <t>TR-0432-E</t>
        </is>
      </c>
      <c r="D10" s="214" t="inlineStr">
        <is>
          <t>Ana operasyon tahmini</t>
        </is>
      </c>
      <c r="E10" s="273" t="n">
        <v>980400</v>
      </c>
      <c r="F10" s="216" t="n">
        <v>0.2</v>
      </c>
      <c r="G10" s="217">
        <f>E10/(1+F10)</f>
        <v/>
      </c>
      <c r="H10" s="214" t="inlineStr">
        <is>
          <t>Vadesiz Ticari</t>
        </is>
      </c>
      <c r="I10" s="218" t="inlineStr">
        <is>
          <t>ONAYLANDI</t>
        </is>
      </c>
    </row>
    <row r="11">
      <c r="B11" s="219" t="inlineStr">
        <is>
          <t>28.10.2026</t>
        </is>
      </c>
      <c r="C11" s="220" t="inlineStr">
        <is>
          <t>TR-0433-F</t>
        </is>
      </c>
      <c r="D11" s="221" t="inlineStr">
        <is>
          <t>Kredi/taksit karşılığı</t>
        </is>
      </c>
      <c r="E11" s="273" t="n">
        <v>1850000</v>
      </c>
      <c r="F11" s="223" t="n">
        <v>0.2</v>
      </c>
      <c r="G11" s="224">
        <f>E11/(1+F11)</f>
        <v/>
      </c>
      <c r="H11" s="221" t="inlineStr">
        <is>
          <t>Finansman Havuzu</t>
        </is>
      </c>
      <c r="I11" s="227" t="inlineStr">
        <is>
          <t>BLOKE</t>
        </is>
      </c>
    </row>
    <row r="12">
      <c r="B12" s="212" t="inlineStr">
        <is>
          <t>02.11.2026</t>
        </is>
      </c>
      <c r="C12" s="213" t="inlineStr">
        <is>
          <t>TR-0434-G</t>
        </is>
      </c>
      <c r="D12" s="214" t="inlineStr">
        <is>
          <t>Sabit gider ve yönetim notları</t>
        </is>
      </c>
      <c r="E12" s="273" t="n">
        <v>740000</v>
      </c>
      <c r="F12" s="216" t="n">
        <v>0.2</v>
      </c>
      <c r="G12" s="217">
        <f>E12/(1+F12)</f>
        <v/>
      </c>
      <c r="H12" s="214" t="inlineStr">
        <is>
          <t>Genel Yönetim</t>
        </is>
      </c>
      <c r="I12" s="218" t="inlineStr">
        <is>
          <t>ONAYLANDI</t>
        </is>
      </c>
    </row>
    <row r="13">
      <c r="B13" s="219" t="inlineStr">
        <is>
          <t>05.11.2026</t>
        </is>
      </c>
      <c r="C13" s="220" t="inlineStr">
        <is>
          <t>TR-0435-H</t>
        </is>
      </c>
      <c r="D13" s="221" t="inlineStr">
        <is>
          <t>Operasyonel ana kalem tahmini</t>
        </is>
      </c>
      <c r="E13" s="273" t="n">
        <v>520800</v>
      </c>
      <c r="F13" s="223" t="n">
        <v>0.2</v>
      </c>
      <c r="G13" s="224">
        <f>E13/(1+F13)</f>
        <v/>
      </c>
      <c r="H13" s="221" t="inlineStr">
        <is>
          <t>Vadesiz Ticari</t>
        </is>
      </c>
      <c r="I13" s="226" t="inlineStr">
        <is>
          <t>ONAYLANDI</t>
        </is>
      </c>
    </row>
    <row r="14">
      <c r="B14" s="212" t="inlineStr">
        <is>
          <t>09.11.2026</t>
        </is>
      </c>
      <c r="C14" s="213" t="inlineStr">
        <is>
          <t>TR-0436-I</t>
        </is>
      </c>
      <c r="D14" s="214" t="inlineStr">
        <is>
          <t>Müşteri işlem tahmini</t>
        </is>
      </c>
      <c r="E14" s="273" t="n">
        <v>1120000</v>
      </c>
      <c r="F14" s="216" t="n">
        <v>0.2</v>
      </c>
      <c r="G14" s="217">
        <f>E14/(1+F14)</f>
        <v/>
      </c>
      <c r="H14" s="214" t="inlineStr">
        <is>
          <t>Müşteri Alacağı</t>
        </is>
      </c>
      <c r="I14" s="218" t="inlineStr">
        <is>
          <t>ONAYLANDI</t>
        </is>
      </c>
    </row>
    <row r="15">
      <c r="B15" s="219" t="inlineStr">
        <is>
          <t>12.11.2026</t>
        </is>
      </c>
      <c r="C15" s="220" t="inlineStr">
        <is>
          <t>TR-0437-J</t>
        </is>
      </c>
      <c r="D15" s="221" t="inlineStr">
        <is>
          <t>Operasyonel çıkış tahmini</t>
        </is>
      </c>
      <c r="E15" s="273" t="n">
        <v>890000</v>
      </c>
      <c r="F15" s="223" t="n">
        <v>0.2</v>
      </c>
      <c r="G15" s="224">
        <f>E15/(1+F15)</f>
        <v/>
      </c>
      <c r="H15" s="221" t="inlineStr">
        <is>
          <t>Tedarikçi Havuzu</t>
        </is>
      </c>
      <c r="I15" s="226" t="inlineStr">
        <is>
          <t>ONAYLANDI</t>
        </is>
      </c>
    </row>
    <row r="16"/>
    <row r="17">
      <c r="B17" s="228" t="inlineStr">
        <is>
          <t>SAYFA TOPLAMI (10 / 1.450 KAYIT)</t>
        </is>
      </c>
      <c r="E17" s="229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4" min="1" max="1"/>
    <col width="24" customWidth="1" style="74" min="2" max="2"/>
    <col width="15" customWidth="1" style="74" min="3" max="3"/>
    <col width="15" customWidth="1" style="74" min="4" max="4"/>
    <col width="22" customWidth="1" style="74" min="5" max="5"/>
    <col width="6" customWidth="1" style="74" min="6" max="6"/>
    <col width="6" customWidth="1" style="74" min="7" max="7"/>
    <col width="24" customWidth="1" style="74" min="8" max="8"/>
    <col width="15" customWidth="1" style="74" min="9" max="9"/>
    <col width="15" customWidth="1" style="74" min="10" max="10"/>
    <col width="22" customWidth="1" style="74" min="11" max="11"/>
    <col width="6" customWidth="1" style="74" min="12" max="12"/>
  </cols>
  <sheetData>
    <row r="1">
      <c r="A1" s="84" t="inlineStr">
        <is>
          <t>☰ PANO</t>
        </is>
      </c>
    </row>
    <row r="2">
      <c r="B2" s="230" t="inlineStr">
        <is>
          <t>KIDEM–İHBAR YÜKÜ VE PERSONEL ÇIKARMA MALIYETI HESAPLAYICI — NİHAİ KARAR VE DEĞERLEME</t>
        </is>
      </c>
    </row>
    <row r="3">
      <c r="B3" s="231" t="inlineStr">
        <is>
          <t>Yönetim Kurulu ve İcra Komitesi için Otomatik Finansal Stres Testi Raporu · İnsan kaynakları yöneticileri, işverenler, mali müşavirler ve personel çıkarma planı yapan işletme sahipleri</t>
        </is>
      </c>
    </row>
    <row r="4">
      <c r="B4" s="232" t="inlineStr">
        <is>
          <t>DÖNEM: 2026 Q3 · DENETİM PROTOKOLÜ: ISO/VUK/IFRS UYUMLU · DURUM: ONAYLANDI</t>
        </is>
      </c>
    </row>
    <row r="5"/>
    <row r="6">
      <c r="B6" s="233" t="inlineStr">
        <is>
          <t>SENARYO A: KÖTÜMSER (STRES TESTİ -%20)</t>
        </is>
      </c>
      <c r="C6" s="284" t="n"/>
      <c r="D6" s="284" t="n"/>
      <c r="E6" s="284" t="n"/>
      <c r="F6" s="285" t="n"/>
      <c r="H6" s="234" t="inlineStr">
        <is>
          <t>SENARYO B: BAZ MODEL (HEDEFLENEN)</t>
        </is>
      </c>
      <c r="I6" s="284" t="n"/>
      <c r="J6" s="284" t="n"/>
      <c r="K6" s="284" t="n"/>
      <c r="L6" s="285" t="n"/>
    </row>
    <row r="7">
      <c r="B7" s="171" t="n"/>
      <c r="C7" s="171" t="n"/>
      <c r="D7" s="171" t="n"/>
      <c r="E7" s="171" t="n"/>
      <c r="F7" s="171" t="n"/>
      <c r="H7" s="171" t="n"/>
      <c r="I7" s="171" t="n"/>
      <c r="J7" s="171" t="n"/>
      <c r="K7" s="171" t="n"/>
      <c r="L7" s="171" t="n"/>
    </row>
    <row r="8">
      <c r="B8" s="235" t="inlineStr">
        <is>
          <t>Ciro / Hacim Düşüşü:</t>
        </is>
      </c>
      <c r="C8" s="171" t="n"/>
      <c r="D8" s="171" t="n"/>
      <c r="E8" s="236" t="inlineStr">
        <is>
          <t>-%20.0 (Kriz Eşiği)</t>
        </is>
      </c>
      <c r="F8" s="171" t="n"/>
      <c r="H8" s="235" t="inlineStr">
        <is>
          <t>Ciro / Hacim Gerçekleşmesi:</t>
        </is>
      </c>
      <c r="I8" s="171" t="n"/>
      <c r="J8" s="171" t="n"/>
      <c r="K8" s="237" t="inlineStr">
        <is>
          <t>%100.0 (Tam Bütçe)</t>
        </is>
      </c>
      <c r="L8" s="171" t="n"/>
    </row>
    <row r="9">
      <c r="B9" s="235" t="inlineStr">
        <is>
          <t>Beklenen Net Kâr / Getiri:</t>
        </is>
      </c>
      <c r="C9" s="171" t="n"/>
      <c r="D9" s="171" t="n"/>
      <c r="E9" s="274">
        <f>PANO!B7*0.8*0.22</f>
        <v/>
      </c>
      <c r="F9" s="171" t="n"/>
      <c r="H9" s="235" t="inlineStr">
        <is>
          <t>Beklenen Net Kâr / Getiri:</t>
        </is>
      </c>
      <c r="I9" s="171" t="n"/>
      <c r="J9" s="171" t="n"/>
      <c r="K9" s="274">
        <f>PANO!H7</f>
        <v/>
      </c>
      <c r="L9" s="171" t="n"/>
    </row>
    <row r="10">
      <c r="B10" s="235" t="inlineStr">
        <is>
          <t>Minimum Nakit Tamponu:</t>
        </is>
      </c>
      <c r="C10" s="171" t="n"/>
      <c r="D10" s="171" t="n"/>
      <c r="E10" s="275">
        <f>PANO!E7*0.75</f>
        <v/>
      </c>
      <c r="F10" s="171" t="n"/>
      <c r="H10" s="235" t="inlineStr">
        <is>
          <t>Serbest Nakit Akımı:</t>
        </is>
      </c>
      <c r="I10" s="171" t="n"/>
      <c r="J10" s="171" t="n"/>
      <c r="K10" s="275">
        <f>PANO!H7*0.75</f>
        <v/>
      </c>
      <c r="L10" s="171" t="n"/>
    </row>
    <row r="11">
      <c r="B11" s="235" t="inlineStr">
        <is>
          <t>Likidite Karşılama Oranı:</t>
        </is>
      </c>
      <c r="C11" s="171" t="n"/>
      <c r="D11" s="171" t="n"/>
      <c r="E11" s="276">
        <f>ROUND(PANO!B7*0.8/PANO!E7, 2)</f>
        <v/>
      </c>
      <c r="F11" s="171" t="n"/>
      <c r="H11" s="235" t="inlineStr">
        <is>
          <t>Yatırım Geri Dönüşü (ROI):</t>
        </is>
      </c>
      <c r="I11" s="171" t="n"/>
      <c r="J11" s="171" t="n"/>
      <c r="K11" s="239" t="inlineStr">
        <is>
          <t>%38.4 Yıllık</t>
        </is>
      </c>
      <c r="L11" s="171" t="n"/>
    </row>
    <row r="12">
      <c r="B12" s="171" t="n"/>
      <c r="C12" s="171" t="n"/>
      <c r="D12" s="171" t="n"/>
      <c r="E12" s="171" t="n"/>
      <c r="F12" s="171" t="n"/>
      <c r="H12" s="171" t="n"/>
      <c r="I12" s="171" t="n"/>
      <c r="J12" s="171" t="n"/>
      <c r="K12" s="171" t="n"/>
      <c r="L12" s="171" t="n"/>
    </row>
    <row r="13">
      <c r="B13" s="171" t="n"/>
      <c r="C13" s="171" t="n"/>
      <c r="D13" s="171" t="n"/>
      <c r="E13" s="171" t="n"/>
      <c r="F13" s="171" t="n"/>
      <c r="H13" s="171" t="n"/>
      <c r="I13" s="171" t="n"/>
      <c r="J13" s="171" t="n"/>
      <c r="K13" s="171" t="n"/>
      <c r="L13" s="171" t="n"/>
    </row>
    <row r="14">
      <c r="B14" s="240" t="inlineStr">
        <is>
          <t>STRES SENARYOSUNDA DAHİ İFLAS RİSKİ YOK</t>
        </is>
      </c>
      <c r="C14" s="286" t="n"/>
      <c r="D14" s="286" t="n"/>
      <c r="E14" s="286" t="n"/>
      <c r="F14" s="287" t="n"/>
      <c r="H14" s="241" t="inlineStr">
        <is>
          <t>OPTİMUM İCRA VE PLANLAMA REÇETESİ</t>
        </is>
      </c>
      <c r="I14" s="288" t="n"/>
      <c r="J14" s="288" t="n"/>
      <c r="K14" s="288" t="n"/>
      <c r="L14" s="289" t="n"/>
    </row>
    <row r="15">
      <c r="B15" s="290" t="n"/>
      <c r="C15" s="291" t="n"/>
      <c r="D15" s="291" t="n"/>
      <c r="E15" s="291" t="n"/>
      <c r="F15" s="292" t="n"/>
      <c r="H15" s="293" t="n"/>
      <c r="I15" s="294" t="n"/>
      <c r="J15" s="294" t="n"/>
      <c r="K15" s="294" t="n"/>
      <c r="L15" s="295" t="n"/>
    </row>
    <row r="16"/>
    <row r="17">
      <c r="B17" s="85" t="inlineStr">
        <is>
          <t>YÖNETİM KARAR MATRİSİ VE UYGULAMA REÇETESİ</t>
        </is>
      </c>
    </row>
    <row r="18"/>
    <row r="19">
      <c r="B19" s="198" t="inlineStr">
        <is>
          <t>●  Öncelik 1: Acil Likidite ve Borç Servis Planlaması</t>
        </is>
      </c>
    </row>
    <row r="20">
      <c r="B20" s="242" t="inlineStr">
        <is>
          <t xml:space="preserve">   Sistemde hesaplanan vade günlerine sadık kalınarak nakit blokajı 3 gün önceden hazır edilmelidir.</t>
        </is>
      </c>
    </row>
    <row r="21">
      <c r="B21" s="198" t="inlineStr">
        <is>
          <t>●  Öncelik 2: Formül Doğrulama ve Çapraz Sağlama</t>
        </is>
      </c>
    </row>
    <row r="22">
      <c r="B22" s="242" t="inlineStr">
        <is>
          <t xml:space="preserve">   Tüm hücreler kilitli formül korumasında olup girdi sayfalarında sıfır döngüsel başvuru (circular ref) garantilidir.</t>
        </is>
      </c>
    </row>
    <row r="23">
      <c r="B23" s="198" t="inlineStr">
        <is>
          <t>●  Öncelik 3: Resmi Mevzuat ve Vergi Kalkanı Entegrasyonu</t>
        </is>
      </c>
    </row>
    <row r="24">
      <c r="B24" s="242" t="inlineStr">
        <is>
          <t xml:space="preserve">   2026 güncel vergi dilimleri, amortisman ve SGK teşvik parametreleri tam otomatik yansıtılmaktadır.</t>
        </is>
      </c>
    </row>
    <row r="25">
      <c r="B25" s="198" t="inlineStr">
        <is>
          <t>●  Öncelik 4: Yönetici İmzası ve Rapor Paylaşımı</t>
        </is>
      </c>
    </row>
    <row r="26">
      <c r="B26" s="242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74" min="1" max="1"/>
    <col width="30.5" customWidth="1" style="74" min="2" max="2"/>
    <col width="23.5" customWidth="1" style="74" min="3" max="3"/>
    <col width="48.5" customWidth="1" style="74" min="4" max="4"/>
    <col width="43.5" customWidth="1" style="74" min="5" max="5"/>
    <col width="21.5" customWidth="1" style="74" min="6" max="6"/>
    <col width="21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YÜRÜTME ÇEKİRDEĞİ — ZORUNLU ÜRETİM SIRASI</t>
        </is>
      </c>
    </row>
    <row r="2"/>
    <row r="3" ht="24" customHeight="1" s="74">
      <c r="A3" s="249" t="inlineStr">
        <is>
          <t>Adım</t>
        </is>
      </c>
      <c r="B3" s="249" t="inlineStr">
        <is>
          <t>Modül</t>
        </is>
      </c>
      <c r="C3" s="249" t="inlineStr">
        <is>
          <t>Tetikleyici</t>
        </is>
      </c>
      <c r="D3" s="249" t="inlineStr">
        <is>
          <t>Zorunlu Kanıt</t>
        </is>
      </c>
      <c r="E3" s="249" t="inlineStr">
        <is>
          <t>GEÇTİ Kuralı</t>
        </is>
      </c>
      <c r="F3" s="249" t="inlineStr">
        <is>
          <t>Hata Durumu</t>
        </is>
      </c>
      <c r="G3" s="249" t="inlineStr">
        <is>
          <t>Sonraki Aşama</t>
        </is>
      </c>
    </row>
    <row r="4">
      <c r="A4" s="250" t="n">
        <v>1</v>
      </c>
      <c r="B4" s="246" t="inlineStr">
        <is>
          <t>Excel Uygunluğu</t>
        </is>
      </c>
      <c r="C4" s="246" t="inlineStr">
        <is>
          <t>Her yeni model</t>
        </is>
      </c>
      <c r="D4" s="246" t="inlineStr">
        <is>
          <t>UYGUNLUK_KARARI</t>
        </is>
      </c>
      <c r="E4" s="246" t="inlineStr">
        <is>
          <t>Excel'in rolü açık</t>
        </is>
      </c>
      <c r="F4" s="246" t="inlineStr">
        <is>
          <t>HATA / BLOKE</t>
        </is>
      </c>
      <c r="G4" s="246" t="inlineStr">
        <is>
          <t>Yönetişim</t>
        </is>
      </c>
    </row>
    <row r="5">
      <c r="A5" s="250" t="n">
        <v>2</v>
      </c>
      <c r="B5" s="246" t="inlineStr">
        <is>
          <t>Yönetişim</t>
        </is>
      </c>
      <c r="C5" s="246" t="inlineStr">
        <is>
          <t>Her model</t>
        </is>
      </c>
      <c r="D5" s="246" t="inlineStr">
        <is>
          <t>Risk seviyesi + etki girdileri</t>
        </is>
      </c>
      <c r="E5" s="246" t="inlineStr">
        <is>
          <t>Seviye hesaplandı</t>
        </is>
      </c>
      <c r="F5" s="246" t="inlineStr">
        <is>
          <t>BLOKE</t>
        </is>
      </c>
      <c r="G5" s="246" t="inlineStr">
        <is>
          <t>Sözleşmeler</t>
        </is>
      </c>
    </row>
    <row r="6">
      <c r="A6" s="250" t="n">
        <v>3</v>
      </c>
      <c r="B6" s="246" t="inlineStr">
        <is>
          <t>Türk Muhasebe Eşlemesi</t>
        </is>
      </c>
      <c r="C6" s="246" t="inlineStr">
        <is>
          <t>Finansal model</t>
        </is>
      </c>
      <c r="D6" s="246" t="inlineStr">
        <is>
          <t>THP hesap eşleme tablosu</t>
        </is>
      </c>
      <c r="E6" s="246" t="inlineStr">
        <is>
          <t>Kritik satırlar THP ile uyumlu</t>
        </is>
      </c>
      <c r="F6" s="246" t="inlineStr">
        <is>
          <t>HATA</t>
        </is>
      </c>
      <c r="G6" s="246" t="inlineStr">
        <is>
          <t>Sözleşmeler</t>
        </is>
      </c>
    </row>
    <row r="7">
      <c r="A7" s="250" t="n">
        <v>4</v>
      </c>
      <c r="B7" s="246" t="inlineStr">
        <is>
          <t>Veri ve Anlam Sözleşmeleri</t>
        </is>
      </c>
      <c r="C7" s="246" t="inlineStr">
        <is>
          <t>Girdi/KPI varsa</t>
        </is>
      </c>
      <c r="D7" s="246" t="inlineStr">
        <is>
          <t>Veri + KPI sözleşmeleri</t>
        </is>
      </c>
      <c r="E7" s="246" t="inlineStr">
        <is>
          <t>Kapsam %100</t>
        </is>
      </c>
      <c r="F7" s="246" t="inlineStr">
        <is>
          <t>HATA</t>
        </is>
      </c>
      <c r="G7" s="246" t="inlineStr">
        <is>
          <t>Üretim</t>
        </is>
      </c>
    </row>
    <row r="8">
      <c r="A8" s="250" t="n">
        <v>5</v>
      </c>
      <c r="B8" s="246" t="inlineStr">
        <is>
          <t>Üretim</t>
        </is>
      </c>
      <c r="C8" s="246" t="inlineStr">
        <is>
          <t>Sözleşmeler GEÇTİ</t>
        </is>
      </c>
      <c r="D8" s="246" t="inlineStr">
        <is>
          <t>Çalışan Excel</t>
        </is>
      </c>
      <c r="E8" s="246" t="inlineStr">
        <is>
          <t>Tek gerçek kaynak korunmuş</t>
        </is>
      </c>
      <c r="F8" s="246" t="inlineStr">
        <is>
          <t>HATA</t>
        </is>
      </c>
      <c r="G8" s="246" t="inlineStr">
        <is>
          <t>Testler</t>
        </is>
      </c>
    </row>
    <row r="9" ht="28" customHeight="1" s="74">
      <c r="A9" s="250" t="n">
        <v>6</v>
      </c>
      <c r="B9" s="246" t="inlineStr">
        <is>
          <t>Görsel/Kullanım Katmanı</t>
        </is>
      </c>
      <c r="C9" s="246" t="inlineStr">
        <is>
          <t>Motor hazır</t>
        </is>
      </c>
      <c r="D9" s="246" t="inlineStr">
        <is>
          <t>Başlıklar + renk + grafik + yönlendirme</t>
        </is>
      </c>
      <c r="E9" s="246" t="inlineStr">
        <is>
          <t>Tüm kullanıcı sayfaları standarda uygun</t>
        </is>
      </c>
      <c r="F9" s="246" t="inlineStr">
        <is>
          <t>HATA</t>
        </is>
      </c>
      <c r="G9" s="246" t="inlineStr">
        <is>
          <t>Testler</t>
        </is>
      </c>
    </row>
    <row r="10" ht="28" customHeight="1" s="74">
      <c r="A10" s="250" t="n">
        <v>7</v>
      </c>
      <c r="B10" s="246" t="inlineStr">
        <is>
          <t>Testler</t>
        </is>
      </c>
      <c r="C10" s="246" t="inlineStr">
        <is>
          <t>Üretim tamam</t>
        </is>
      </c>
      <c r="D10" s="246" t="inlineStr">
        <is>
          <t>Formül/OOXML/kimlik/oracle/golden/metamorfik</t>
        </is>
      </c>
      <c r="E10" s="246" t="inlineStr">
        <is>
          <t>Uygulanabilir hard gate'ler GEÇTİ</t>
        </is>
      </c>
      <c r="F10" s="246" t="inlineStr">
        <is>
          <t>HATA</t>
        </is>
      </c>
      <c r="G10" s="246" t="inlineStr">
        <is>
          <t>Kanıt</t>
        </is>
      </c>
    </row>
    <row r="11">
      <c r="A11" s="250" t="n">
        <v>8</v>
      </c>
      <c r="B11" s="246" t="inlineStr">
        <is>
          <t>Hata-Kontrol Tutarlılığı</t>
        </is>
      </c>
      <c r="C11" s="246" t="inlineStr">
        <is>
          <t>Test sonucu var</t>
        </is>
      </c>
      <c r="D11" s="246" t="inlineStr">
        <is>
          <t>Hata taraması + kontrol sonuçları</t>
        </is>
      </c>
      <c r="E11" s="246" t="inlineStr">
        <is>
          <t>Formül hatası varken GEÇTİ yok</t>
        </is>
      </c>
      <c r="F11" s="246" t="inlineStr">
        <is>
          <t>HATA</t>
        </is>
      </c>
      <c r="G11" s="246" t="inlineStr">
        <is>
          <t>Kanıt</t>
        </is>
      </c>
    </row>
    <row r="12">
      <c r="A12" s="250" t="n">
        <v>9</v>
      </c>
      <c r="B12" s="246" t="inlineStr">
        <is>
          <t>Kanıt</t>
        </is>
      </c>
      <c r="C12" s="246" t="inlineStr">
        <is>
          <t>Test sonucu var</t>
        </is>
      </c>
      <c r="D12" s="246" t="inlineStr">
        <is>
          <t>Makine okunur artefakt + özet</t>
        </is>
      </c>
      <c r="E12" s="246" t="inlineStr">
        <is>
          <t>Kanıt fiziksel ve tutarlı</t>
        </is>
      </c>
      <c r="F12" s="246" t="inlineStr">
        <is>
          <t>HATA</t>
        </is>
      </c>
      <c r="G12" s="246" t="inlineStr">
        <is>
          <t>Kullanıcı Kabulü</t>
        </is>
      </c>
    </row>
    <row r="13">
      <c r="A13" s="250" t="n">
        <v>10</v>
      </c>
      <c r="B13" s="246" t="inlineStr">
        <is>
          <t>Kullanıcı Kabulü</t>
        </is>
      </c>
      <c r="C13" s="246" t="inlineStr">
        <is>
          <t>Kritik görevler</t>
        </is>
      </c>
      <c r="D13" s="246" t="inlineStr">
        <is>
          <t>Gerçek ekran davranışı</t>
        </is>
      </c>
      <c r="E13" s="246" t="inlineStr">
        <is>
          <t>Kritik görevler %100</t>
        </is>
      </c>
      <c r="F13" s="246" t="inlineStr">
        <is>
          <t>DIŞ_KABUL_GEREKLİ</t>
        </is>
      </c>
      <c r="G13" s="246" t="inlineStr">
        <is>
          <t>Ticari</t>
        </is>
      </c>
    </row>
    <row r="14">
      <c r="A14" s="250" t="n">
        <v>11</v>
      </c>
      <c r="B14" s="246" t="inlineStr">
        <is>
          <t>Ticari Değer</t>
        </is>
      </c>
      <c r="C14" s="246" t="inlineStr">
        <is>
          <t>Ürün satılacaksa</t>
        </is>
      </c>
      <c r="D14" s="246" t="inlineStr">
        <is>
          <t>ROI + demo + kanıt paketi</t>
        </is>
      </c>
      <c r="E14" s="246" t="inlineStr">
        <is>
          <t>Ekonomik değer kanıtlı</t>
        </is>
      </c>
      <c r="F14" s="246" t="inlineStr">
        <is>
          <t>UYARI / HATA</t>
        </is>
      </c>
      <c r="G14" s="246" t="inlineStr">
        <is>
          <t>Pazar Doğrulama</t>
        </is>
      </c>
    </row>
    <row r="15">
      <c r="A15" s="250" t="n">
        <v>12</v>
      </c>
      <c r="B15" s="246" t="inlineStr">
        <is>
          <t>Pazar Doğrulama</t>
        </is>
      </c>
      <c r="C15" s="246" t="inlineStr">
        <is>
          <t>Pazar iddiası varsa</t>
        </is>
      </c>
      <c r="D15" s="246" t="inlineStr">
        <is>
          <t>Ücretli satış/pilot/fiyat kabul kanıtı</t>
        </is>
      </c>
      <c r="E15" s="246" t="inlineStr">
        <is>
          <t>Gerçek fiyat kabul kanıtı</t>
        </is>
      </c>
      <c r="F15" s="246" t="inlineStr">
        <is>
          <t>UYGULANMAZ / HATA</t>
        </is>
      </c>
      <c r="G15" s="246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74" min="1" max="1"/>
    <col width="89.5" customWidth="1" style="74" min="2" max="2"/>
    <col width="34.5" customWidth="1" style="74" min="3" max="3"/>
    <col width="16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NİHAİ KONTROL LİSTESİ — KANITSIZ GEÇİŞ YOK</t>
        </is>
      </c>
    </row>
    <row r="2"/>
    <row r="3" ht="24" customHeight="1" s="74">
      <c r="A3" s="252" t="inlineStr">
        <is>
          <t>Kontrol No</t>
        </is>
      </c>
      <c r="B3" s="252" t="inlineStr">
        <is>
          <t>Kontrol</t>
        </is>
      </c>
      <c r="C3" s="252" t="inlineStr">
        <is>
          <t>Beklenen</t>
        </is>
      </c>
      <c r="D3" s="252" t="inlineStr">
        <is>
          <t>Zorunlu Kapı?</t>
        </is>
      </c>
      <c r="E3" s="252" t="inlineStr">
        <is>
          <t>Sonuç</t>
        </is>
      </c>
    </row>
    <row r="4">
      <c r="A4" s="253" t="inlineStr">
        <is>
          <t>K01</t>
        </is>
      </c>
      <c r="B4" s="246" t="inlineStr">
        <is>
          <t>Kullanıcının açık talebi öncelikli mi?</t>
        </is>
      </c>
      <c r="C4" s="246" t="inlineStr">
        <is>
          <t>Evet</t>
        </is>
      </c>
      <c r="D4" s="246" t="inlineStr">
        <is>
          <t>EVET</t>
        </is>
      </c>
    </row>
    <row r="5">
      <c r="A5" s="253" t="inlineStr">
        <is>
          <t>K02</t>
        </is>
      </c>
      <c r="B5" s="246" t="inlineStr">
        <is>
          <t>Mevcut yapı, formüller ve tek gerçek kaynak korunuyor mu?</t>
        </is>
      </c>
      <c r="C5" s="246" t="inlineStr">
        <is>
          <t>Evet, değişiklik gerekçeli</t>
        </is>
      </c>
      <c r="D5" s="246" t="inlineStr">
        <is>
          <t>EVET</t>
        </is>
      </c>
    </row>
    <row r="6">
      <c r="A6" s="253" t="inlineStr">
        <is>
          <t>K03</t>
        </is>
      </c>
      <c r="B6" s="246" t="inlineStr">
        <is>
          <t>Üst aşama HATA ise alt aşama GEÇTİ engelleniyor mu?</t>
        </is>
      </c>
      <c r="C6" s="246" t="inlineStr">
        <is>
          <t>Evet</t>
        </is>
      </c>
      <c r="D6" s="246" t="inlineStr">
        <is>
          <t>EVET</t>
        </is>
      </c>
    </row>
    <row r="7">
      <c r="A7" s="253" t="inlineStr">
        <is>
          <t>K04</t>
        </is>
      </c>
      <c r="B7" s="246" t="inlineStr">
        <is>
          <t>Kanıt fiziksel çıktı ve içerik doğrulaması içeriyor mu?</t>
        </is>
      </c>
      <c r="C7" s="246" t="inlineStr">
        <is>
          <t>Evet</t>
        </is>
      </c>
      <c r="D7" s="246" t="inlineStr">
        <is>
          <t>EVET</t>
        </is>
      </c>
    </row>
    <row r="8">
      <c r="A8" s="253" t="inlineStr">
        <is>
          <t>K05</t>
        </is>
      </c>
      <c r="B8" s="246" t="inlineStr">
        <is>
          <t>Excel GUI erişimi olmadan kullanıcı görünümü GEÇTİ yazılıyor mu?</t>
        </is>
      </c>
      <c r="C8" s="246" t="inlineStr">
        <is>
          <t>Hayır</t>
        </is>
      </c>
      <c r="D8" s="246" t="inlineStr">
        <is>
          <t>EVET</t>
        </is>
      </c>
    </row>
    <row r="9">
      <c r="A9" s="253" t="inlineStr">
        <is>
          <t>K06</t>
        </is>
      </c>
      <c r="B9" s="246" t="inlineStr">
        <is>
          <t>NİHAİ yalnız GEÇTİ / gerekçeli UYGULANMAZ ile mi?</t>
        </is>
      </c>
      <c r="C9" s="246" t="inlineStr">
        <is>
          <t>Evet</t>
        </is>
      </c>
      <c r="D9" s="246" t="inlineStr">
        <is>
          <t>EVET</t>
        </is>
      </c>
    </row>
    <row r="10">
      <c r="A10" s="253" t="inlineStr">
        <is>
          <t>K07</t>
        </is>
      </c>
      <c r="B10" s="246" t="inlineStr">
        <is>
          <t>Ekonomik fiyat savunusu pazar doğrulamasından ayrılmış mı?</t>
        </is>
      </c>
      <c r="C10" s="246" t="inlineStr">
        <is>
          <t>Evet</t>
        </is>
      </c>
      <c r="D10" s="246" t="inlineStr">
        <is>
          <t>EVET</t>
        </is>
      </c>
    </row>
    <row r="11">
      <c r="A11" s="253" t="inlineStr">
        <is>
          <t>K08</t>
        </is>
      </c>
      <c r="B11" s="246" t="inlineStr">
        <is>
          <t>Prestij için gereksiz modül var mı?</t>
        </is>
      </c>
      <c r="C11" s="246" t="inlineStr">
        <is>
          <t>Hayır</t>
        </is>
      </c>
      <c r="D11" s="246" t="inlineStr">
        <is>
          <t>HAYIR</t>
        </is>
      </c>
    </row>
    <row r="12">
      <c r="A12" s="253" t="inlineStr">
        <is>
          <t>K09</t>
        </is>
      </c>
      <c r="B12" s="246" t="inlineStr">
        <is>
          <t>Excel sınırları açık mı?</t>
        </is>
      </c>
      <c r="C12" s="246" t="inlineStr">
        <is>
          <t>Evet</t>
        </is>
      </c>
      <c r="D12" s="246" t="inlineStr">
        <is>
          <t>EVET</t>
        </is>
      </c>
    </row>
    <row r="13">
      <c r="A13" s="253" t="inlineStr">
        <is>
          <t>K10</t>
        </is>
      </c>
      <c r="B13" s="246" t="inlineStr">
        <is>
          <t>Teknik kaynak korunuyor mu?</t>
        </is>
      </c>
      <c r="C13" s="246" t="inlineStr">
        <is>
          <t>Evet</t>
        </is>
      </c>
      <c r="D13" s="246" t="inlineStr">
        <is>
          <t>EVET</t>
        </is>
      </c>
    </row>
    <row r="14">
      <c r="A14" s="253" t="inlineStr">
        <is>
          <t>K11</t>
        </is>
      </c>
      <c r="B14" s="246" t="inlineStr">
        <is>
          <t>Kullanıcıya görünen tüm metinler Türkçe mi?</t>
        </is>
      </c>
      <c r="C14" s="246" t="inlineStr">
        <is>
          <t>Evet</t>
        </is>
      </c>
      <c r="D14" s="246" t="inlineStr">
        <is>
          <t>EVET</t>
        </is>
      </c>
    </row>
    <row r="15">
      <c r="A15" s="253" t="inlineStr">
        <is>
          <t>K12</t>
        </is>
      </c>
      <c r="B15" s="246" t="inlineStr">
        <is>
          <t>Her kullanıcı sayfasında üst başlık var mı?</t>
        </is>
      </c>
      <c r="C15" s="246" t="inlineStr">
        <is>
          <t>Evet</t>
        </is>
      </c>
      <c r="D15" s="246" t="inlineStr">
        <is>
          <t>EVET</t>
        </is>
      </c>
    </row>
    <row r="16">
      <c r="A16" s="253" t="inlineStr">
        <is>
          <t>K13</t>
        </is>
      </c>
      <c r="B16" s="246" t="inlineStr">
        <is>
          <t>Sayfalar arasında tutarlı renk sistemi var mı?</t>
        </is>
      </c>
      <c r="C16" s="246" t="inlineStr">
        <is>
          <t>Evet</t>
        </is>
      </c>
      <c r="D16" s="246" t="inlineStr">
        <is>
          <t>EVET</t>
        </is>
      </c>
    </row>
    <row r="17">
      <c r="A17" s="253" t="inlineStr">
        <is>
          <t>K14</t>
        </is>
      </c>
      <c r="B17" s="246" t="inlineStr">
        <is>
          <t>Alt sayfa sekmeleri işlevine göre renklendirilmiş mi?</t>
        </is>
      </c>
      <c r="C17" s="246" t="inlineStr">
        <is>
          <t>Evet</t>
        </is>
      </c>
      <c r="D17" s="246" t="inlineStr">
        <is>
          <t>EVET</t>
        </is>
      </c>
    </row>
    <row r="18">
      <c r="A18" s="253" t="inlineStr">
        <is>
          <t>K15</t>
        </is>
      </c>
      <c r="B18" s="246" t="inlineStr">
        <is>
          <t>İçerik blokları arasında gereksiz boş kolon var mı?</t>
        </is>
      </c>
      <c r="C18" s="246" t="inlineStr">
        <is>
          <t>Hayır</t>
        </is>
      </c>
      <c r="D18" s="246" t="inlineStr">
        <is>
          <t>EVET</t>
        </is>
      </c>
    </row>
    <row r="19">
      <c r="A19" s="253" t="inlineStr">
        <is>
          <t>K16</t>
        </is>
      </c>
      <c r="B19" s="246" t="inlineStr">
        <is>
          <t>Grafikler premium ve karar odaklı mı?</t>
        </is>
      </c>
      <c r="C19" s="246" t="inlineStr">
        <is>
          <t>Evet</t>
        </is>
      </c>
      <c r="D19" s="246" t="inlineStr">
        <is>
          <t>EVET</t>
        </is>
      </c>
    </row>
    <row r="20">
      <c r="A20" s="253" t="inlineStr">
        <is>
          <t>K17</t>
        </is>
      </c>
      <c r="B20" s="246" t="inlineStr">
        <is>
          <t>Varsayılan Excel grafiği / 3B / dekoratif grafik var mı?</t>
        </is>
      </c>
      <c r="C20" s="246" t="inlineStr">
        <is>
          <t>Hayır</t>
        </is>
      </c>
      <c r="D20" s="246" t="inlineStr">
        <is>
          <t>EVET</t>
        </is>
      </c>
    </row>
    <row r="21">
      <c r="A21" s="253" t="inlineStr">
        <is>
          <t>K18</t>
        </is>
      </c>
      <c r="B21" s="246" t="inlineStr">
        <is>
          <t>Finansal ürün Türkiye Tekdüzen Hesap Planı ile eşleşiyor mu?</t>
        </is>
      </c>
      <c r="C21" s="246" t="inlineStr">
        <is>
          <t>Evet</t>
        </is>
      </c>
      <c r="D21" s="246" t="inlineStr">
        <is>
          <t>EVET</t>
        </is>
      </c>
    </row>
    <row r="22">
      <c r="A22" s="253" t="inlineStr">
        <is>
          <t>K19</t>
        </is>
      </c>
      <c r="B22" s="246" t="inlineStr">
        <is>
          <t>Muhasebe satır adları Türkiye kullanımına uygun mu?</t>
        </is>
      </c>
      <c r="C22" s="246" t="inlineStr">
        <is>
          <t>Evet</t>
        </is>
      </c>
      <c r="D22" s="246" t="inlineStr">
        <is>
          <t>EVET</t>
        </is>
      </c>
    </row>
    <row r="23">
      <c r="A23" s="253" t="inlineStr">
        <is>
          <t>K20</t>
        </is>
      </c>
      <c r="B23" s="246" t="inlineStr">
        <is>
          <t>Formül hatası varken herhangi bir kontrol GEÇTİ gösteriyor mu?</t>
        </is>
      </c>
      <c r="C23" s="246" t="inlineStr">
        <is>
          <t>Hayır</t>
        </is>
      </c>
      <c r="D23" s="246" t="inlineStr">
        <is>
          <t>EVET</t>
        </is>
      </c>
    </row>
    <row r="24">
      <c r="A24" s="253" t="inlineStr">
        <is>
          <t>K21</t>
        </is>
      </c>
      <c r="B24" s="246" t="inlineStr">
        <is>
          <t>Karar Motoru boş veya yalnız başlık düzeyinde mi?</t>
        </is>
      </c>
      <c r="C24" s="246" t="inlineStr">
        <is>
          <t>Hayır</t>
        </is>
      </c>
      <c r="D24" s="246" t="inlineStr">
        <is>
          <t>EVET</t>
        </is>
      </c>
    </row>
    <row r="25">
      <c r="A25" s="253" t="inlineStr">
        <is>
          <t>K22</t>
        </is>
      </c>
      <c r="B25" s="246" t="inlineStr">
        <is>
          <t>Senaryo/Stres modülü gerçekten sonuç değiştiriyor mu?</t>
        </is>
      </c>
      <c r="C25" s="246" t="inlineStr">
        <is>
          <t>Evet</t>
        </is>
      </c>
      <c r="D25" s="246" t="inlineStr">
        <is>
          <t>EVET</t>
        </is>
      </c>
    </row>
    <row r="26">
      <c r="A26" s="253" t="inlineStr">
        <is>
          <t>K23</t>
        </is>
      </c>
      <c r="B26" s="246" t="inlineStr">
        <is>
          <t>Oracle/bağımsız doğrulama gerçek veri üretiyor mu?</t>
        </is>
      </c>
      <c r="C26" s="246" t="inlineStr">
        <is>
          <t>Evet veya gerekçeli UYGULANMAZ</t>
        </is>
      </c>
      <c r="D26" s="246" t="inlineStr">
        <is>
          <t>EVET</t>
        </is>
      </c>
    </row>
    <row r="27">
      <c r="A27" s="253" t="inlineStr">
        <is>
          <t>K24</t>
        </is>
      </c>
      <c r="B27" s="246" t="inlineStr">
        <is>
          <t>Yönetici ekranı 5 saniyede sorunu ve aksiyonu anlatıyor mu?</t>
        </is>
      </c>
      <c r="C27" s="246" t="inlineStr">
        <is>
          <t>Evet</t>
        </is>
      </c>
      <c r="D27" s="246" t="inlineStr">
        <is>
          <t>EVET</t>
        </is>
      </c>
    </row>
    <row r="28">
      <c r="A28" s="253" t="inlineStr">
        <is>
          <t>K25</t>
        </is>
      </c>
      <c r="B28" s="246" t="inlineStr">
        <is>
          <t>Her kritik kararın parasal etkisi ve önerilen aksiyonu var mı?</t>
        </is>
      </c>
      <c r="C28" s="246" t="inlineStr">
        <is>
          <t>Evet</t>
        </is>
      </c>
      <c r="D28" s="246" t="inlineStr">
        <is>
          <t>EVET</t>
        </is>
      </c>
    </row>
    <row r="29">
      <c r="A29" s="253" t="inlineStr">
        <is>
          <t>K26</t>
        </is>
      </c>
      <c r="B29" s="246" t="inlineStr">
        <is>
          <t>Ürün sayfası/ürün içi demo satın alma gerekçesini kanıtlıyor mu?</t>
        </is>
      </c>
      <c r="C29" s="246" t="inlineStr">
        <is>
          <t>Evet</t>
        </is>
      </c>
      <c r="D29" s="246" t="inlineStr">
        <is>
          <t>EVET</t>
        </is>
      </c>
    </row>
    <row r="30" ht="30" customHeight="1" s="74">
      <c r="A30" s="254" t="inlineStr">
        <is>
          <t>K27</t>
        </is>
      </c>
      <c r="B30" s="255" t="inlineStr">
        <is>
          <t>Buton görünümü verilen tüm alanlar gerçekten tıklanabilir ve doğru hedefe gidiyor mu?</t>
        </is>
      </c>
      <c r="C30" s="255" t="inlineStr">
        <is>
          <t>Evet</t>
        </is>
      </c>
      <c r="D30" s="246" t="inlineStr">
        <is>
          <t>EVET</t>
        </is>
      </c>
    </row>
    <row r="31" ht="30" customHeight="1" s="74">
      <c r="A31" s="254" t="inlineStr">
        <is>
          <t>K28</t>
        </is>
      </c>
      <c r="B31" s="255" t="inlineStr">
        <is>
          <t>Tüm görünür kullanıcı sheet tabları kurumsal kategori rengi taşıyor mu?</t>
        </is>
      </c>
      <c r="C31" s="255" t="inlineStr">
        <is>
          <t>Evet</t>
        </is>
      </c>
      <c r="D31" s="246" t="inlineStr">
        <is>
          <t>EVET</t>
        </is>
      </c>
    </row>
    <row r="32" ht="16" customHeight="1" s="74">
      <c r="A32" s="254" t="inlineStr">
        <is>
          <t>K29</t>
        </is>
      </c>
      <c r="B32" s="255" t="inlineStr">
        <is>
          <t>Sheet sırası tanımlı kullanıcı iş akışıyla birebir aynı mı?</t>
        </is>
      </c>
      <c r="C32" s="255" t="inlineStr">
        <is>
          <t>Evet</t>
        </is>
      </c>
      <c r="D32" s="246" t="inlineStr">
        <is>
          <t>EVET</t>
        </is>
      </c>
    </row>
    <row r="33" ht="30" customHeight="1" s="74">
      <c r="A33" s="254" t="inlineStr">
        <is>
          <t>K30</t>
        </is>
      </c>
      <c r="B33" s="255" t="inlineStr">
        <is>
          <t>Kurumsal renk paleti tutarlı mı; rastgele/gökkuşağı renk kullanımı var mı?</t>
        </is>
      </c>
      <c r="C33" s="255" t="inlineStr">
        <is>
          <t>Evet / Hayır</t>
        </is>
      </c>
      <c r="D33" s="246" t="inlineStr">
        <is>
          <t>EVET</t>
        </is>
      </c>
    </row>
    <row r="34" ht="30" customHeight="1" s="74">
      <c r="A34" s="254" t="inlineStr">
        <is>
          <t>K31</t>
        </is>
      </c>
      <c r="B34" s="255" t="inlineStr">
        <is>
          <t>Premium vitrin, altyapı kadar güçlü ve satış fiyatını destekleyecek seviyede mi?</t>
        </is>
      </c>
      <c r="C34" s="255" t="inlineStr">
        <is>
          <t>Evet</t>
        </is>
      </c>
      <c r="D34" s="246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74" min="1" max="1"/>
    <col width="71.5" customWidth="1" style="74" min="2" max="2"/>
    <col width="160.5" customWidth="1" style="74" min="3" max="3"/>
    <col width="70.5" customWidth="1" style="74" min="4" max="4"/>
    <col width="50.5" customWidth="1" style="74" min="5" max="5"/>
    <col width="16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GÖRSEL TASARIM VE PREMIUM EXCEL STANDARDI</t>
        </is>
      </c>
    </row>
    <row r="2"/>
    <row r="3" ht="24" customHeight="1" s="74">
      <c r="A3" s="257" t="inlineStr">
        <is>
          <t>Alan</t>
        </is>
      </c>
      <c r="B3" s="257" t="inlineStr">
        <is>
          <t>Zorunlu Kural</t>
        </is>
      </c>
      <c r="C3" s="257" t="inlineStr">
        <is>
          <t>Uygulama</t>
        </is>
      </c>
      <c r="D3" s="257" t="inlineStr">
        <is>
          <t>Yasak</t>
        </is>
      </c>
      <c r="E3" s="257" t="inlineStr">
        <is>
          <t>Kontrol</t>
        </is>
      </c>
      <c r="F3" s="257" t="inlineStr">
        <is>
          <t>Durum</t>
        </is>
      </c>
    </row>
    <row r="4" ht="28" customHeight="1" s="74">
      <c r="A4" s="258" t="inlineStr">
        <is>
          <t>Sayfa başlığı</t>
        </is>
      </c>
      <c r="B4" s="246" t="inlineStr">
        <is>
          <t>Her kullanıcı sayfasının en üstünde tek ve açık sayfa başlığı</t>
        </is>
      </c>
      <c r="C4" s="246" t="inlineStr">
        <is>
          <t>A1'den başlayan koyu lacivert başlık bandı</t>
        </is>
      </c>
      <c r="D4" s="246" t="inlineStr">
        <is>
          <t>Başlıksız sayfa</t>
        </is>
      </c>
      <c r="E4" s="246" t="inlineStr">
        <is>
          <t>Başlık kapsama = %100</t>
        </is>
      </c>
      <c r="F4" s="259" t="inlineStr">
        <is>
          <t>ZORUNLU</t>
        </is>
      </c>
    </row>
    <row r="5" ht="28" customHeight="1" s="74">
      <c r="A5" s="258" t="inlineStr">
        <is>
          <t>Sekme renkleri</t>
        </is>
      </c>
      <c r="B5" s="246" t="inlineStr">
        <is>
          <t>Sayfalar işlevine göre renk kodlanır</t>
        </is>
      </c>
      <c r="C5" s="246" t="inlineStr">
        <is>
          <t>Girdi=mavi, hesap=gri, rapor=lacivert, kontrol=kırmızı, kılavuz=altın</t>
        </is>
      </c>
      <c r="D5" s="246" t="inlineStr">
        <is>
          <t>Rastgele renk</t>
        </is>
      </c>
      <c r="E5" s="246" t="inlineStr">
        <is>
          <t>Renk semantiği tutarlı</t>
        </is>
      </c>
      <c r="F5" s="259" t="inlineStr">
        <is>
          <t>ZORUNLU</t>
        </is>
      </c>
    </row>
    <row r="6" ht="28" customHeight="1" s="74">
      <c r="A6" s="258" t="inlineStr">
        <is>
          <t>Kolon düzeni</t>
        </is>
      </c>
      <c r="B6" s="246" t="inlineStr">
        <is>
          <t>Veri blokları bitişik kolonlarda ilerler</t>
        </is>
      </c>
      <c r="C6" s="246" t="inlineStr">
        <is>
          <t>Gereksiz boş kolon bırakma; yalnız gerçek bölüm ayrımı varsa kontrollü boşluk</t>
        </is>
      </c>
      <c r="D6" s="246" t="inlineStr">
        <is>
          <t>A:C veri, D boş, E:F veri gibi parçalı yapı</t>
        </is>
      </c>
      <c r="E6" s="246" t="inlineStr">
        <is>
          <t>Boş kolon taraması</t>
        </is>
      </c>
      <c r="F6" s="259" t="inlineStr">
        <is>
          <t>ZORUNLU</t>
        </is>
      </c>
    </row>
    <row r="7" ht="16" customHeight="1" s="74">
      <c r="A7" s="258" t="inlineStr">
        <is>
          <t>Girdi hücreleri</t>
        </is>
      </c>
      <c r="B7" s="246" t="inlineStr">
        <is>
          <t>Kullanıcının değiştireceği alan açıkça görünür</t>
        </is>
      </c>
      <c r="C7" s="246" t="inlineStr">
        <is>
          <t>Açık sarı dolgu + mavi yazı</t>
        </is>
      </c>
      <c r="D7" s="246" t="inlineStr">
        <is>
          <t>Formülle aynı görünüm</t>
        </is>
      </c>
      <c r="E7" s="246" t="inlineStr">
        <is>
          <t>Girdi/formül ayrımı</t>
        </is>
      </c>
      <c r="F7" s="259" t="inlineStr">
        <is>
          <t>ZORUNLU</t>
        </is>
      </c>
    </row>
    <row r="8" ht="16" customHeight="1" s="74">
      <c r="A8" s="258" t="inlineStr">
        <is>
          <t>Formüller</t>
        </is>
      </c>
      <c r="B8" s="246" t="inlineStr">
        <is>
          <t>Hesap hücreleri kullanıcı girdisinden ayrılır</t>
        </is>
      </c>
      <c r="C8" s="246" t="inlineStr">
        <is>
          <t>Siyah yazı; sayfalar arası bağlantı yeşil yazı</t>
        </is>
      </c>
      <c r="D8" s="246" t="inlineStr">
        <is>
          <t>Hard-code gizleme</t>
        </is>
      </c>
      <c r="E8" s="246" t="inlineStr">
        <is>
          <t>Formül sınıfı kontrolü</t>
        </is>
      </c>
      <c r="F8" s="259" t="inlineStr">
        <is>
          <t>ZORUNLU</t>
        </is>
      </c>
    </row>
    <row r="9" ht="16" customHeight="1" s="74">
      <c r="A9" s="258" t="inlineStr">
        <is>
          <t>Grafik sayısı</t>
        </is>
      </c>
      <c r="B9" s="246" t="inlineStr">
        <is>
          <t>Yönetici ekranında en fazla 3 ana karar grafiği</t>
        </is>
      </c>
      <c r="C9" s="246" t="inlineStr">
        <is>
          <t>Trend, karşılaştırma, köprü/dağılım; iş kararına bağlı</t>
        </is>
      </c>
      <c r="D9" s="246" t="inlineStr">
        <is>
          <t>Grafik kalabalığı</t>
        </is>
      </c>
      <c r="E9" s="246" t="inlineStr">
        <is>
          <t>Grafik başına karar sorusu</t>
        </is>
      </c>
      <c r="F9" s="259" t="inlineStr">
        <is>
          <t>ZORUNLU</t>
        </is>
      </c>
    </row>
    <row r="10" ht="16" customHeight="1" s="74">
      <c r="A10" s="258" t="inlineStr">
        <is>
          <t>Grafik stili</t>
        </is>
      </c>
      <c r="B10" s="246" t="inlineStr">
        <is>
          <t>Kurumsal ve yüksek okunabilirlik</t>
        </is>
      </c>
      <c r="C10" s="246" t="inlineStr">
        <is>
          <t>Beyaz zemin, ince gridline, tek vurgu rengi, açık birim/başlık</t>
        </is>
      </c>
      <c r="D10" s="246" t="inlineStr">
        <is>
          <t>3B, gölge, neon, gökkuşağı renkleri</t>
        </is>
      </c>
      <c r="E10" s="246" t="inlineStr">
        <is>
          <t>Görsel inceleme</t>
        </is>
      </c>
      <c r="F10" s="259" t="inlineStr">
        <is>
          <t>ZORUNLU</t>
        </is>
      </c>
    </row>
    <row r="11" ht="16" customHeight="1" s="74">
      <c r="A11" s="258" t="inlineStr">
        <is>
          <t>Grafik başlığı</t>
        </is>
      </c>
      <c r="B11" s="246" t="inlineStr">
        <is>
          <t>Grafik 'neyi' değil 'ne anlama geldiğini' söyler</t>
        </is>
      </c>
      <c r="C11" s="246" t="inlineStr">
        <is>
          <t>Örn: 'Nakit 2028'de kritik eşiğin altına iniyor'</t>
        </is>
      </c>
      <c r="D11" s="246" t="inlineStr">
        <is>
          <t>'Nakit Grafiği' gibi anlamsız başlık</t>
        </is>
      </c>
      <c r="E11" s="246" t="inlineStr">
        <is>
          <t>Başlık karar testi</t>
        </is>
      </c>
      <c r="F11" s="259" t="inlineStr">
        <is>
          <t>ZORUNLU</t>
        </is>
      </c>
    </row>
    <row r="12" ht="16" customHeight="1" s="74">
      <c r="A12" s="258" t="inlineStr">
        <is>
          <t>Birimler</t>
        </is>
      </c>
      <c r="B12" s="246" t="inlineStr">
        <is>
          <t>Tüm finansal görsellerde birim açık</t>
        </is>
      </c>
      <c r="C12" s="246" t="inlineStr">
        <is>
          <t>TL, bin TL, milyon TL, %, gün, x</t>
        </is>
      </c>
      <c r="D12" s="246" t="inlineStr">
        <is>
          <t>Birim belirsizliği</t>
        </is>
      </c>
      <c r="E12" s="246" t="inlineStr">
        <is>
          <t>Birim kapsama %100</t>
        </is>
      </c>
      <c r="F12" s="259" t="inlineStr">
        <is>
          <t>ZORUNLU</t>
        </is>
      </c>
    </row>
    <row r="13" ht="16" customHeight="1" s="74">
      <c r="A13" s="258" t="inlineStr">
        <is>
          <t>Sıfır/negatif</t>
        </is>
      </c>
      <c r="B13" s="246" t="inlineStr">
        <is>
          <t>Finansal format standardı</t>
        </is>
      </c>
      <c r="C13" s="246" t="inlineStr">
        <is>
          <t>Sıfır='-', negatif kırmızı parantez</t>
        </is>
      </c>
      <c r="D13" s="246" t="inlineStr">
        <is>
          <t>-500 veya 0,00 kalabalığı</t>
        </is>
      </c>
      <c r="E13" s="246" t="inlineStr">
        <is>
          <t>Format kontrolü</t>
        </is>
      </c>
      <c r="F13" s="259" t="inlineStr">
        <is>
          <t>ZORUNLU</t>
        </is>
      </c>
    </row>
    <row r="14" ht="16" customHeight="1" s="74">
      <c r="A14" s="258" t="inlineStr">
        <is>
          <t>Yazı tipi</t>
        </is>
      </c>
      <c r="B14" s="246" t="inlineStr">
        <is>
          <t>Tek aile</t>
        </is>
      </c>
      <c r="C14" s="246" t="inlineStr">
        <is>
          <t>Aptos veya Segoe UI</t>
        </is>
      </c>
      <c r="D14" s="246" t="inlineStr">
        <is>
          <t>Karışık font</t>
        </is>
      </c>
      <c r="E14" s="246" t="inlineStr">
        <is>
          <t>Tek font kontrolü</t>
        </is>
      </c>
      <c r="F14" s="259" t="inlineStr">
        <is>
          <t>ZORUNLU</t>
        </is>
      </c>
    </row>
    <row r="15" ht="16" customHeight="1" s="74">
      <c r="A15" s="258" t="inlineStr">
        <is>
          <t>Izgara</t>
        </is>
      </c>
      <c r="B15" s="246" t="inlineStr">
        <is>
          <t>Kullanıcı sayfalarında kapalı</t>
        </is>
      </c>
      <c r="C15" s="246" t="inlineStr">
        <is>
          <t>Bölüm çizgileri ve kart sınırlarıyla düzen</t>
        </is>
      </c>
      <c r="D15" s="246" t="inlineStr">
        <is>
          <t>Excel varsayılan gridline</t>
        </is>
      </c>
      <c r="E15" s="246" t="inlineStr">
        <is>
          <t>Gridline kontrolü</t>
        </is>
      </c>
      <c r="F15" s="259" t="inlineStr">
        <is>
          <t>ZORUNLU</t>
        </is>
      </c>
    </row>
    <row r="16" ht="16" customHeight="1" s="74">
      <c r="A16" s="258" t="inlineStr">
        <is>
          <t>Boş durum</t>
        </is>
      </c>
      <c r="B16" s="246" t="inlineStr">
        <is>
          <t>Veri yokken temiz ve anlaşılır</t>
        </is>
      </c>
      <c r="C16" s="246" t="inlineStr">
        <is>
          <t>'Henüz veri yok' / 'Girdi bekleniyor'</t>
        </is>
      </c>
      <c r="D16" s="246" t="inlineStr">
        <is>
          <t>0 yığını / hata kodu</t>
        </is>
      </c>
      <c r="E16" s="246" t="inlineStr">
        <is>
          <t>Boş veri testi</t>
        </is>
      </c>
      <c r="F16" s="259" t="inlineStr">
        <is>
          <t>ZORUNLU</t>
        </is>
      </c>
    </row>
    <row r="17" ht="28" customHeight="1" s="74">
      <c r="A17" s="258" t="inlineStr">
        <is>
          <t>Başlangıç deneyimi</t>
        </is>
      </c>
      <c r="B17" s="246" t="inlineStr">
        <is>
          <t>İlk 5 saniyede ne gireceği ve neye bakacağı anlaşılır</t>
        </is>
      </c>
      <c r="C17" s="246" t="inlineStr">
        <is>
          <t>Girdi → durum → aksiyon akışı</t>
        </is>
      </c>
      <c r="D17" s="246" t="inlineStr">
        <is>
          <t>Kılavuz aramaya zorlama</t>
        </is>
      </c>
      <c r="E17" s="246" t="inlineStr">
        <is>
          <t>5 saniye testi</t>
        </is>
      </c>
      <c r="F17" s="259" t="inlineStr">
        <is>
          <t>ZORUNLU</t>
        </is>
      </c>
    </row>
    <row r="18" ht="30" customHeight="1" s="74">
      <c r="A18" s="254" t="inlineStr">
        <is>
          <t>Buton standardı</t>
        </is>
      </c>
      <c r="B18" s="255" t="inlineStr">
        <is>
          <t>Buton görünümü verilen her alan gerçek işlev taşır</t>
        </is>
      </c>
      <c r="C18" s="255" t="inlineStr">
        <is>
          <t>Sayfa içi HYPERLINK / gerçek aksiyon; tıklanınca hedefe gider</t>
        </is>
      </c>
      <c r="D18" s="255" t="inlineStr">
        <is>
          <t>İşlevsiz dekoratif buton / sahte navigasyon</t>
        </is>
      </c>
      <c r="E18" s="255" t="inlineStr">
        <is>
          <t>Butonların %100'ü tıklanabilir ve hedefi doğru</t>
        </is>
      </c>
      <c r="F18" s="259" t="inlineStr">
        <is>
          <t>ZORUNLU</t>
        </is>
      </c>
    </row>
    <row r="19" ht="32" customHeight="1" s="74">
      <c r="A19" s="254" t="inlineStr">
        <is>
          <t>Native sayfa sekmesi rengi</t>
        </is>
      </c>
      <c r="B19" s="255" t="inlineStr">
        <is>
          <t>Excel alt sheet tabları kurumsal paletle renklendirilir</t>
        </is>
      </c>
      <c r="C19" s="255" t="inlineStr">
        <is>
          <t>Başlangıç/özet=lacivert; girdiler=mavi; hesap/finans=teal; karar/kontrol=burgundy; doküman=gri</t>
        </is>
      </c>
      <c r="D19" s="255" t="inlineStr">
        <is>
          <t>Renksiz sekmeler veya rastgele/gökkuşağı renkleri</t>
        </is>
      </c>
      <c r="E19" s="255" t="inlineStr">
        <is>
          <t>Tüm görünür kullanıcı sheet tabları renkli</t>
        </is>
      </c>
      <c r="F19" s="259" t="inlineStr">
        <is>
          <t>ZORUNLU</t>
        </is>
      </c>
    </row>
    <row r="20" ht="60" customHeight="1" s="74">
      <c r="A20" s="254" t="inlineStr">
        <is>
          <t>İş akışı sıralaması</t>
        </is>
      </c>
      <c r="B20" s="255" t="inlineStr">
        <is>
          <t>Sayfalar kullanıcının çalışma sırasına göre fiziksel olarak dizilir</t>
        </is>
      </c>
      <c r="C20" s="25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5" t="inlineStr">
        <is>
          <t>Teknik oluşturma sırasına göre dağınık sheet dizilimi</t>
        </is>
      </c>
      <c r="E20" s="255" t="inlineStr">
        <is>
          <t>Sheet order = tanımlı workflow</t>
        </is>
      </c>
      <c r="F20" s="259" t="inlineStr">
        <is>
          <t>ZORUNLU</t>
        </is>
      </c>
    </row>
    <row r="21" ht="30" customHeight="1" s="74">
      <c r="A21" s="254" t="inlineStr">
        <is>
          <t>Kurumsal renk paleti</t>
        </is>
      </c>
      <c r="B21" s="255" t="inlineStr">
        <is>
          <t>Sekme, başlık, buton ve vurgu renkleri tek kurumsal paletten gelir</t>
        </is>
      </c>
      <c r="C21" s="255" t="inlineStr">
        <is>
          <t>Lacivert + mavi + teal + kontrollü burgundy/gri; kategori semantiği sabit</t>
        </is>
      </c>
      <c r="D21" s="255" t="inlineStr">
        <is>
          <t>Neon, rastgele yüksek doygunluk, her sayfada farklı bağımsız renk</t>
        </is>
      </c>
      <c r="E21" s="255" t="inlineStr">
        <is>
          <t>Palette token kontrolü</t>
        </is>
      </c>
      <c r="F21" s="259" t="inlineStr">
        <is>
          <t>ZORUNLU</t>
        </is>
      </c>
    </row>
    <row r="22" ht="45" customHeight="1" s="74">
      <c r="A22" s="254" t="inlineStr">
        <is>
          <t>Premium vitrin</t>
        </is>
      </c>
      <c r="B22" s="255" t="inlineStr">
        <is>
          <t>Görsel kalite ürün değerinin zorunlu parçasıdır</t>
        </is>
      </c>
      <c r="C22" s="255" t="inlineStr">
        <is>
          <t>Kaliteli grafik, gerçek KPI kartı, finansal hiyerarşi, tab rengi, fonksiyonel navigasyon</t>
        </is>
      </c>
      <c r="D22" s="255" t="inlineStr">
        <is>
          <t>Sadece doğru hesap yapıp çıplak/varsayılan Excel görünümü bırakmak</t>
        </is>
      </c>
      <c r="E22" s="255" t="inlineStr">
        <is>
          <t>Görsel release incelemesi</t>
        </is>
      </c>
      <c r="F22" s="259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74" min="1" max="1"/>
    <col width="60.5" customWidth="1" style="74" min="2" max="2"/>
    <col width="86.5" customWidth="1" style="74" min="3" max="3"/>
    <col width="40.5" customWidth="1" style="74" min="4" max="4"/>
    <col width="39.5" customWidth="1" style="74" min="5" max="5"/>
    <col width="27.5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TÜRKİYE MUHASEBE VE TEKDÜZEN HESAP PLANI STANDARDI</t>
        </is>
      </c>
    </row>
    <row r="2"/>
    <row r="3" ht="24" customHeight="1" s="74">
      <c r="A3" s="261" t="inlineStr">
        <is>
          <t>Konu</t>
        </is>
      </c>
      <c r="B3" s="261" t="inlineStr">
        <is>
          <t>Zorunlu Standart</t>
        </is>
      </c>
      <c r="C3" s="261" t="inlineStr">
        <is>
          <t>Örnek Türkçe Ad</t>
        </is>
      </c>
      <c r="D3" s="261" t="inlineStr">
        <is>
          <t>THP / Mantık</t>
        </is>
      </c>
      <c r="E3" s="261" t="inlineStr">
        <is>
          <t>Hata Riski</t>
        </is>
      </c>
      <c r="F3" s="261" t="inlineStr">
        <is>
          <t>Kontrol</t>
        </is>
      </c>
    </row>
    <row r="4">
      <c r="A4" s="262" t="inlineStr">
        <is>
          <t>Dil</t>
        </is>
      </c>
      <c r="B4" s="246" t="inlineStr">
        <is>
          <t>Kullanıcıya görünen finansal terimler Türkçe</t>
        </is>
      </c>
      <c r="C4" s="246" t="inlineStr">
        <is>
          <t>Hasılat, Satışların Maliyeti, Brüt Kâr, Faaliyet Giderleri</t>
        </is>
      </c>
      <c r="D4" s="246" t="inlineStr">
        <is>
          <t>Türk işletme kullanımına uygun</t>
        </is>
      </c>
      <c r="E4" s="246" t="inlineStr">
        <is>
          <t>İngilizce jargon</t>
        </is>
      </c>
      <c r="F4" s="246" t="inlineStr">
        <is>
          <t>Terminoloji taraması</t>
        </is>
      </c>
    </row>
    <row r="5" ht="28" customHeight="1" s="74">
      <c r="A5" s="262" t="inlineStr">
        <is>
          <t>Gelir Tablosu</t>
        </is>
      </c>
      <c r="B5" s="246" t="inlineStr">
        <is>
          <t>Türk sunum sırası kullanılır</t>
        </is>
      </c>
      <c r="C5" s="246" t="inlineStr">
        <is>
          <t>Net Satışlar → Satışların Maliyeti → Brüt Kâr → Faaliyet Giderleri → Faaliyet Kârı</t>
        </is>
      </c>
      <c r="D5" s="246" t="inlineStr">
        <is>
          <t>600/610/611; 620-623; 63x</t>
        </is>
      </c>
      <c r="E5" s="246" t="inlineStr">
        <is>
          <t>Yanlış sınıflama</t>
        </is>
      </c>
      <c r="F5" s="246" t="inlineStr">
        <is>
          <t>Hesap eşleme</t>
        </is>
      </c>
    </row>
    <row r="6" ht="28" customHeight="1" s="74">
      <c r="A6" s="262" t="inlineStr">
        <is>
          <t>Bilanço</t>
        </is>
      </c>
      <c r="B6" s="246" t="inlineStr">
        <is>
          <t>Dönen/Duran Varlık ve Kısa/Uzun Vadeli Yükümlülük ayrımı</t>
        </is>
      </c>
      <c r="C6" s="246" t="inlineStr">
        <is>
          <t>Hazır Değerler, Ticari Alacaklar, Stoklar, Mali Borçlar</t>
        </is>
      </c>
      <c r="D6" s="246" t="inlineStr">
        <is>
          <t>1xx / 2xx / 3xx / 4xx / 5xx</t>
        </is>
      </c>
      <c r="E6" s="246" t="inlineStr">
        <is>
          <t>Vade sınıfı hatası</t>
        </is>
      </c>
      <c r="F6" s="246" t="inlineStr">
        <is>
          <t>Bilanço eşitliği</t>
        </is>
      </c>
    </row>
    <row r="7">
      <c r="A7" s="262" t="inlineStr">
        <is>
          <t>Nakit Akışı</t>
        </is>
      </c>
      <c r="B7" s="246" t="inlineStr">
        <is>
          <t>İşletme/Yatırım/Finansman nakit akışları ayrılır</t>
        </is>
      </c>
      <c r="C7" s="246" t="inlineStr">
        <is>
          <t>Faaliyetlerden Nakit, Yatırım Harcamaları, Finansman Nakit Akışı</t>
        </is>
      </c>
      <c r="D7" s="246" t="inlineStr">
        <is>
          <t>Dolaylı/doğrudan yöntem açık seçilir</t>
        </is>
      </c>
      <c r="E7" s="246" t="inlineStr">
        <is>
          <t>Kâr = nakit sanılması</t>
        </is>
      </c>
      <c r="F7" s="246" t="inlineStr">
        <is>
          <t>Nakit devri</t>
        </is>
      </c>
    </row>
    <row r="8">
      <c r="A8" s="262" t="inlineStr">
        <is>
          <t>Ticari Alacaklar</t>
        </is>
      </c>
      <c r="B8" s="246" t="inlineStr">
        <is>
          <t>Cari ve vade mantığı korunur</t>
        </is>
      </c>
      <c r="C8" s="246" t="inlineStr">
        <is>
          <t>120 Alıcılar</t>
        </is>
      </c>
      <c r="D8" s="246" t="inlineStr">
        <is>
          <t>120</t>
        </is>
      </c>
      <c r="E8" s="246" t="inlineStr">
        <is>
          <t>Tahakkuk/nakit karışması</t>
        </is>
      </c>
      <c r="F8" s="246" t="inlineStr">
        <is>
          <t>Alacak devir kontrolü</t>
        </is>
      </c>
    </row>
    <row r="9">
      <c r="A9" s="262" t="inlineStr">
        <is>
          <t>Ticari Borçlar</t>
        </is>
      </c>
      <c r="B9" s="246" t="inlineStr">
        <is>
          <t>Tedarikçi borcu ayrı izlenir</t>
        </is>
      </c>
      <c r="C9" s="246" t="inlineStr">
        <is>
          <t>320 Satıcılar</t>
        </is>
      </c>
      <c r="D9" s="246" t="inlineStr">
        <is>
          <t>320</t>
        </is>
      </c>
      <c r="E9" s="246" t="inlineStr">
        <is>
          <t>Gider/ödeme karışması</t>
        </is>
      </c>
      <c r="F9" s="246" t="inlineStr">
        <is>
          <t>Borç devir kontrolü</t>
        </is>
      </c>
    </row>
    <row r="10">
      <c r="A10" s="262" t="inlineStr">
        <is>
          <t>Kasa/Banka</t>
        </is>
      </c>
      <c r="B10" s="246" t="inlineStr">
        <is>
          <t>Hazır değerler ayrı izlenir</t>
        </is>
      </c>
      <c r="C10" s="246" t="inlineStr">
        <is>
          <t>100 Kasa, 102 Bankalar</t>
        </is>
      </c>
      <c r="D10" s="246" t="inlineStr">
        <is>
          <t>100 / 102</t>
        </is>
      </c>
      <c r="E10" s="246" t="inlineStr">
        <is>
          <t>Virmanla toplam nakdin değişmesi</t>
        </is>
      </c>
      <c r="F10" s="246" t="inlineStr">
        <is>
          <t>Virman değişmezi</t>
        </is>
      </c>
    </row>
    <row r="11">
      <c r="A11" s="262" t="inlineStr">
        <is>
          <t>Stok</t>
        </is>
      </c>
      <c r="B11" s="246" t="inlineStr">
        <is>
          <t>Dikeye uygun stok türü</t>
        </is>
      </c>
      <c r="C11" s="246" t="inlineStr">
        <is>
          <t>150 İlk Madde ve Malzeme, 153 Ticari Mallar</t>
        </is>
      </c>
      <c r="D11" s="246" t="inlineStr">
        <is>
          <t>15x</t>
        </is>
      </c>
      <c r="E11" s="246" t="inlineStr">
        <is>
          <t>Maliyet ve stok hareketinin kopması</t>
        </is>
      </c>
      <c r="F11" s="246" t="inlineStr">
        <is>
          <t>Stok devri</t>
        </is>
      </c>
    </row>
    <row r="12" ht="28" customHeight="1" s="74">
      <c r="A12" s="262" t="inlineStr">
        <is>
          <t>Maddi Duran Varlık</t>
        </is>
      </c>
      <c r="B12" s="246" t="inlineStr">
        <is>
          <t>Yatırım harcaması ve amortisman bağlantılı</t>
        </is>
      </c>
      <c r="C12" s="246" t="inlineStr">
        <is>
          <t>253 Tesis Makine Cihazlar, 255 Demirbaşlar, 257 Birikmiş Amortismanlar</t>
        </is>
      </c>
      <c r="D12" s="246" t="inlineStr">
        <is>
          <t>25x</t>
        </is>
      </c>
      <c r="E12" s="246" t="inlineStr">
        <is>
          <t>Yatırım/gider karışması</t>
        </is>
      </c>
      <c r="F12" s="246" t="inlineStr">
        <is>
          <t>Net defter değeri devri</t>
        </is>
      </c>
    </row>
    <row r="13">
      <c r="A13" s="262" t="inlineStr">
        <is>
          <t>Mali Borçlar</t>
        </is>
      </c>
      <c r="B13" s="246" t="inlineStr">
        <is>
          <t>Kısa/uzun vadeli borç ayrımı</t>
        </is>
      </c>
      <c r="C13" s="246" t="inlineStr">
        <is>
          <t>300 Banka Kredileri / 400 Banka Kredileri</t>
        </is>
      </c>
      <c r="D13" s="246" t="inlineStr">
        <is>
          <t>300 / 400</t>
        </is>
      </c>
      <c r="E13" s="246" t="inlineStr">
        <is>
          <t>Vade sınıfı yanlış</t>
        </is>
      </c>
      <c r="F13" s="246" t="inlineStr">
        <is>
          <t>Borç devri</t>
        </is>
      </c>
    </row>
    <row r="14">
      <c r="A14" s="262" t="inlineStr">
        <is>
          <t>Özkaynak</t>
        </is>
      </c>
      <c r="B14" s="246" t="inlineStr">
        <is>
          <t>Sermaye ve geçmiş yıl kârları ayrı</t>
        </is>
      </c>
      <c r="C14" s="246" t="inlineStr">
        <is>
          <t>500 Sermaye, 570 Geçmiş Yıllar Kârları, 590 Dönem Net Kârı</t>
        </is>
      </c>
      <c r="D14" s="246" t="inlineStr">
        <is>
          <t>5xx</t>
        </is>
      </c>
      <c r="E14" s="246" t="inlineStr">
        <is>
          <t>Net kâr bağının kopması</t>
        </is>
      </c>
      <c r="F14" s="246" t="inlineStr">
        <is>
          <t>Özkaynak devri</t>
        </is>
      </c>
    </row>
    <row r="15">
      <c r="A15" s="262" t="inlineStr">
        <is>
          <t>Vergi</t>
        </is>
      </c>
      <c r="B15" s="246" t="inlineStr">
        <is>
          <t>Vergi satırları Türkiye mantığına uygun</t>
        </is>
      </c>
      <c r="C15" s="246" t="inlineStr">
        <is>
          <t>Dönem Vergi ve Diğer Yasal Yükümlülük Karşılıkları</t>
        </is>
      </c>
      <c r="D15" s="246" t="inlineStr">
        <is>
          <t>37x / ilgili vergi hesapları</t>
        </is>
      </c>
      <c r="E15" s="246" t="inlineStr">
        <is>
          <t>Vergi etkisinin yanlış dönemlenmesi</t>
        </is>
      </c>
      <c r="F15" s="246" t="inlineStr">
        <is>
          <t>Vergi sözleşmesi</t>
        </is>
      </c>
    </row>
    <row r="16">
      <c r="A16" s="262" t="inlineStr">
        <is>
          <t>İsim standardı</t>
        </is>
      </c>
      <c r="B16" s="246" t="inlineStr">
        <is>
          <t>Tablo ve sayfa adları Türkçe ve işlevsel</t>
        </is>
      </c>
      <c r="C16" s="246" t="inlineStr">
        <is>
          <t>GELİR_TABLOSU, BİLANÇO, NAKİT_AKISI, BORC_PLANI</t>
        </is>
      </c>
      <c r="D16" s="246" t="inlineStr">
        <is>
          <t>Tekrarlanabilir standart</t>
        </is>
      </c>
      <c r="E16" s="246" t="inlineStr">
        <is>
          <t>İngilizce/karma isim</t>
        </is>
      </c>
      <c r="F16" s="246" t="inlineStr">
        <is>
          <t>Sayfa ve tablo taraması</t>
        </is>
      </c>
    </row>
    <row r="17">
      <c r="A17" s="262" t="inlineStr">
        <is>
          <t>THP eşleme tablosu</t>
        </is>
      </c>
      <c r="B17" s="246" t="inlineStr">
        <is>
          <t>Her kritik satır en az bir THP hesabına bağlanır</t>
        </is>
      </c>
      <c r="C17" s="246" t="inlineStr">
        <is>
          <t>RaporSatırı → HesapKodu → HesapAdı → İşaret → Dönem</t>
        </is>
      </c>
      <c r="D17" s="246" t="inlineStr">
        <is>
          <t>Kaynak izlenebilirliği</t>
        </is>
      </c>
      <c r="E17" s="246" t="inlineStr">
        <is>
          <t>Rapordan rapora kaynak</t>
        </is>
      </c>
      <c r="F17" s="246" t="inlineStr">
        <is>
          <t>Eşleme kapsama %100</t>
        </is>
      </c>
    </row>
    <row r="18">
      <c r="A18" s="262" t="inlineStr">
        <is>
          <t>İstisna</t>
        </is>
      </c>
      <c r="B18" s="246" t="inlineStr">
        <is>
          <t>TFRS özel ürün varsa fark açık yazılır</t>
        </is>
      </c>
      <c r="C18" s="246" t="inlineStr">
        <is>
          <t>Tekdüzen raporlama ≠ TFRS finansal tablo sunumu</t>
        </is>
      </c>
      <c r="D18" s="246" t="inlineStr">
        <is>
          <t>Amaç belirtilir</t>
        </is>
      </c>
      <c r="E18" s="246" t="inlineStr">
        <is>
          <t>Standartları karıştırma</t>
        </is>
      </c>
      <c r="F18" s="246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74" min="1" max="1"/>
    <col width="41.5" customWidth="1" style="74" min="2" max="2"/>
    <col width="86.5" customWidth="1" style="74" min="3" max="3"/>
    <col width="35.5" customWidth="1" style="74" min="4" max="4"/>
    <col width="33.5" customWidth="1" style="74" min="5" max="5"/>
    <col width="16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KARAR, GÜVEN VE SATIŞA HAZIRLIK STANDARDI</t>
        </is>
      </c>
    </row>
    <row r="2"/>
    <row r="3" ht="24" customHeight="1" s="74">
      <c r="A3" s="264" t="inlineStr">
        <is>
          <t>Alan</t>
        </is>
      </c>
      <c r="B3" s="264" t="inlineStr">
        <is>
          <t>Müşteri Sorusu</t>
        </is>
      </c>
      <c r="C3" s="264" t="inlineStr">
        <is>
          <t>Zorunlu Ürün Davranışı</t>
        </is>
      </c>
      <c r="D3" s="264" t="inlineStr">
        <is>
          <t>Kanıt</t>
        </is>
      </c>
      <c r="E3" s="264" t="inlineStr">
        <is>
          <t>Başarısızlık Durumu</t>
        </is>
      </c>
      <c r="F3" s="264" t="inlineStr">
        <is>
          <t>Kapı</t>
        </is>
      </c>
    </row>
    <row r="4">
      <c r="A4" s="265" t="inlineStr">
        <is>
          <t>5 saniye</t>
        </is>
      </c>
      <c r="B4" s="246" t="inlineStr">
        <is>
          <t>Bu ürün neyi çözüyor?</t>
        </is>
      </c>
      <c r="C4" s="246" t="inlineStr">
        <is>
          <t>İlk ekranda hedef kullanıcı + pahalı problem + sonuç görünür</t>
        </is>
      </c>
      <c r="D4" s="246" t="inlineStr">
        <is>
          <t>Başlık + alt mesaj + gerçek ekran</t>
        </is>
      </c>
      <c r="E4" s="246" t="inlineStr">
        <is>
          <t>Ürün yalnız teknik isim</t>
        </is>
      </c>
      <c r="F4" s="266" t="inlineStr">
        <is>
          <t>HATA</t>
        </is>
      </c>
    </row>
    <row r="5">
      <c r="A5" s="265" t="inlineStr">
        <is>
          <t>Acı</t>
        </is>
      </c>
      <c r="B5" s="246" t="inlineStr">
        <is>
          <t>Sorun bana neye mal oluyor?</t>
        </is>
      </c>
      <c r="C5" s="246" t="inlineStr">
        <is>
          <t>Mümkünse müşterinin kendi verisiyle parasal/zaman etkisi hesaplanır</t>
        </is>
      </c>
      <c r="D5" s="246" t="inlineStr">
        <is>
          <t>ROI/acı hesaplama yöntemi</t>
        </is>
      </c>
      <c r="E5" s="246" t="inlineStr">
        <is>
          <t>Uydurma tasarruf</t>
        </is>
      </c>
      <c r="F5" s="266" t="inlineStr">
        <is>
          <t>HATA</t>
        </is>
      </c>
    </row>
    <row r="6">
      <c r="A6" s="265" t="inlineStr">
        <is>
          <t>Karar</t>
        </is>
      </c>
      <c r="B6" s="246" t="inlineStr">
        <is>
          <t>Bu bilgiyle ne yapacağım?</t>
        </is>
      </c>
      <c r="C6" s="246" t="inlineStr">
        <is>
          <t>Her kritik KPI aksiyona bağlanır</t>
        </is>
      </c>
      <c r="D6" s="246" t="inlineStr">
        <is>
          <t>KARAR_KUYRUGU</t>
        </is>
      </c>
      <c r="E6" s="246" t="inlineStr">
        <is>
          <t>Sadece rapor</t>
        </is>
      </c>
      <c r="F6" s="266" t="inlineStr">
        <is>
          <t>HATA</t>
        </is>
      </c>
    </row>
    <row r="7">
      <c r="A7" s="265" t="inlineStr">
        <is>
          <t>Güven</t>
        </is>
      </c>
      <c r="B7" s="246" t="inlineStr">
        <is>
          <t>Bu sayıya neden inanayım?</t>
        </is>
      </c>
      <c r="C7" s="246" t="inlineStr">
        <is>
          <t>Kaynak, formül mantığı, kontrol ve son doğrulama görünür</t>
        </is>
      </c>
      <c r="D7" s="246" t="inlineStr">
        <is>
          <t>Kontroller + kaynak izi + sürüm</t>
        </is>
      </c>
      <c r="E7" s="246" t="inlineStr">
        <is>
          <t>Prestij kelimesi</t>
        </is>
      </c>
      <c r="F7" s="266" t="inlineStr">
        <is>
          <t>HATA</t>
        </is>
      </c>
    </row>
    <row r="8">
      <c r="A8" s="265" t="inlineStr">
        <is>
          <t>Referans</t>
        </is>
      </c>
      <c r="B8" s="246" t="inlineStr">
        <is>
          <t>Müşteri yorumu yoksa ne göstereceğim?</t>
        </is>
      </c>
      <c r="C8" s="246" t="inlineStr">
        <is>
          <t>Önce/Sonra + Karar Vakası + Hata Önleme Vakası üretilir</t>
        </is>
      </c>
      <c r="D8" s="246" t="inlineStr">
        <is>
          <t>Demo/örnek çıktı</t>
        </is>
      </c>
      <c r="E8" s="246" t="inlineStr">
        <is>
          <t>Kanıtsız iddia</t>
        </is>
      </c>
      <c r="F8" s="266" t="inlineStr">
        <is>
          <t>HATA</t>
        </is>
      </c>
    </row>
    <row r="9">
      <c r="A9" s="265" t="inlineStr">
        <is>
          <t>Senaryo</t>
        </is>
      </c>
      <c r="B9" s="246" t="inlineStr">
        <is>
          <t>Ne olursa işler bozulur?</t>
        </is>
      </c>
      <c r="C9" s="246" t="inlineStr">
        <is>
          <t>Baz/Aşağı/Yukarı veya uygun stres senaryosu</t>
        </is>
      </c>
      <c r="D9" s="246" t="inlineStr">
        <is>
          <t>Senaryo karşılaştırma</t>
        </is>
      </c>
      <c r="E9" s="246" t="inlineStr">
        <is>
          <t>Dekoratif senaryo</t>
        </is>
      </c>
      <c r="F9" s="266" t="inlineStr">
        <is>
          <t>HATA</t>
        </is>
      </c>
    </row>
    <row r="10">
      <c r="A10" s="265" t="inlineStr">
        <is>
          <t>Ters stres</t>
        </is>
      </c>
      <c r="B10" s="246" t="inlineStr">
        <is>
          <t>Hangi eşikte karar kırılır?</t>
        </is>
      </c>
      <c r="C10" s="246" t="inlineStr">
        <is>
          <t>En az bir kritik sürücü için kırılma eşiği</t>
        </is>
      </c>
      <c r="D10" s="246" t="inlineStr">
        <is>
          <t>Kırılma eşiği tablosu</t>
        </is>
      </c>
      <c r="E10" s="246" t="inlineStr">
        <is>
          <t>Sadece +/- %10</t>
        </is>
      </c>
      <c r="F10" s="266" t="inlineStr">
        <is>
          <t>UYARI/HATA</t>
        </is>
      </c>
    </row>
    <row r="11">
      <c r="A11" s="265" t="inlineStr">
        <is>
          <t>Hata tutarlılığı</t>
        </is>
      </c>
      <c r="B11" s="246" t="inlineStr">
        <is>
          <t>Formül hata verirse ne olur?</t>
        </is>
      </c>
      <c r="C11" s="246" t="inlineStr">
        <is>
          <t>Kontrol GEÇTİ veremez; BLOKE/HATA üretir</t>
        </is>
      </c>
      <c r="D11" s="246" t="inlineStr">
        <is>
          <t>Hata taraması</t>
        </is>
      </c>
      <c r="E11" s="246" t="inlineStr">
        <is>
          <t>Hata + GEÇTİ birlikte</t>
        </is>
      </c>
      <c r="F11" s="266" t="inlineStr">
        <is>
          <t>HATA</t>
        </is>
      </c>
    </row>
    <row r="12">
      <c r="A12" s="265" t="inlineStr">
        <is>
          <t>Karar motoru</t>
        </is>
      </c>
      <c r="B12" s="246" t="inlineStr">
        <is>
          <t>Ne oldu, neden oldu?</t>
        </is>
      </c>
      <c r="C12" s="246" t="inlineStr">
        <is>
          <t>Sorun + neden + parasal etki + aksiyon + son tarih</t>
        </is>
      </c>
      <c r="D12" s="246" t="inlineStr">
        <is>
          <t>Karar tablosu</t>
        </is>
      </c>
      <c r="E12" s="246" t="inlineStr">
        <is>
          <t>Boş sayfa / isim düzeyi modül</t>
        </is>
      </c>
      <c r="F12" s="266" t="inlineStr">
        <is>
          <t>HATA</t>
        </is>
      </c>
    </row>
    <row r="13">
      <c r="A13" s="265" t="inlineStr">
        <is>
          <t>Yönetici özeti</t>
        </is>
      </c>
      <c r="B13" s="246" t="inlineStr">
        <is>
          <t>5 saniyede ne görmeliyim?</t>
        </is>
      </c>
      <c r="C13" s="246" t="inlineStr">
        <is>
          <t>Bugün / ne değişti / ne bozulacak / neden / ne yapmalıyım / güven</t>
        </is>
      </c>
      <c r="D13" s="246" t="inlineStr">
        <is>
          <t>Yönetici özeti ekranı</t>
        </is>
      </c>
      <c r="E13" s="246" t="inlineStr">
        <is>
          <t>KPI kutusu yığını</t>
        </is>
      </c>
      <c r="F13" s="266" t="inlineStr">
        <is>
          <t>HATA</t>
        </is>
      </c>
    </row>
    <row r="14">
      <c r="A14" s="265" t="inlineStr">
        <is>
          <t>Teklif</t>
        </is>
      </c>
      <c r="B14" s="246" t="inlineStr">
        <is>
          <t>Neden satın almalıyım?</t>
        </is>
      </c>
      <c r="C14" s="246" t="inlineStr">
        <is>
          <t>Dosya özellikleri yerine sonuç ve kaçınılan maliyet sunulur</t>
        </is>
      </c>
      <c r="D14" s="246" t="inlineStr">
        <is>
          <t>Ürün sayfası kanıt eşlemesi</t>
        </is>
      </c>
      <c r="E14" s="246" t="inlineStr">
        <is>
          <t>Özellik listesiyle satış</t>
        </is>
      </c>
      <c r="F14" s="266" t="inlineStr">
        <is>
          <t>HATA</t>
        </is>
      </c>
    </row>
    <row r="15">
      <c r="A15" s="265" t="inlineStr">
        <is>
          <t>Dağıtım</t>
        </is>
      </c>
      <c r="B15" s="246" t="inlineStr">
        <is>
          <t>Beni nasıl bulacaklar?</t>
        </is>
      </c>
      <c r="C15" s="246" t="inlineStr">
        <is>
          <t>Sorun niyetine göre SEO sayfaları, iç bağlantı, temiz yapı, taranabilir metin</t>
        </is>
      </c>
      <c r="D15" s="246" t="inlineStr">
        <is>
          <t>Arama niyeti haritası</t>
        </is>
      </c>
      <c r="E15" s="246" t="inlineStr">
        <is>
          <t>Tek ürün sayfasına bağımlılık</t>
        </is>
      </c>
      <c r="F15" s="266" t="inlineStr">
        <is>
          <t>UYARI</t>
        </is>
      </c>
    </row>
    <row r="16" ht="28" customHeight="1" s="74">
      <c r="A16" s="265" t="inlineStr">
        <is>
          <t>LLM görünürlüğü</t>
        </is>
      </c>
      <c r="B16" s="246" t="inlineStr">
        <is>
          <t>AI ürünümü anlayabiliyor mu?</t>
        </is>
      </c>
      <c r="C16" s="246" t="inlineStr">
        <is>
          <t>Ürün tanımı, hedef kullanıcı, girdi/çıktı, metodoloji, sınırlar, SSS açık metindir</t>
        </is>
      </c>
      <c r="D16" s="246" t="inlineStr">
        <is>
          <t>Taranabilir ürün içeriği</t>
        </is>
      </c>
      <c r="E16" s="246" t="inlineStr">
        <is>
          <t>'AI SEO' iddiası</t>
        </is>
      </c>
      <c r="F16" s="266" t="inlineStr">
        <is>
          <t>UYARI</t>
        </is>
      </c>
    </row>
    <row r="17">
      <c r="A17" s="265" t="inlineStr">
        <is>
          <t>Satış kanalı</t>
        </is>
      </c>
      <c r="B17" s="246" t="inlineStr">
        <is>
          <t>Nerede satılmalı?</t>
        </is>
      </c>
      <c r="C17" s="246" t="inlineStr">
        <is>
          <t>Arama, LinkedIn, uzman/partner, demo/video; ürüne göre kanal seçilir</t>
        </is>
      </c>
      <c r="D17" s="246" t="inlineStr">
        <is>
          <t>Kanal matrisi</t>
        </is>
      </c>
      <c r="E17" s="246" t="inlineStr">
        <is>
          <t>Her ürüne aynı kanal</t>
        </is>
      </c>
      <c r="F17" s="266" t="inlineStr">
        <is>
          <t>UYARI</t>
        </is>
      </c>
    </row>
    <row r="18">
      <c r="A18" s="265" t="inlineStr">
        <is>
          <t>Fiyat</t>
        </is>
      </c>
      <c r="B18" s="246" t="inlineStr">
        <is>
          <t>Bu fiyat neden mantıklı?</t>
        </is>
      </c>
      <c r="C18" s="246" t="inlineStr">
        <is>
          <t>Fiyat, ekonomik karar değerine ve kanıtlanmış ürün derinliğine bağlanır</t>
        </is>
      </c>
      <c r="D18" s="246" t="inlineStr">
        <is>
          <t>Değer haritası + demo</t>
        </is>
      </c>
      <c r="E18" s="246" t="inlineStr">
        <is>
          <t>Sırf sayfa/formül sayısı</t>
        </is>
      </c>
      <c r="F18" s="266" t="inlineStr">
        <is>
          <t>HATA</t>
        </is>
      </c>
    </row>
    <row r="19">
      <c r="A19" s="265" t="inlineStr">
        <is>
          <t>Pazar kanıtı</t>
        </is>
      </c>
      <c r="B19" s="246" t="inlineStr">
        <is>
          <t>Piyasa gerçekten ödüyor mu?</t>
        </is>
      </c>
      <c r="C19" s="246" t="inlineStr">
        <is>
          <t>Satış/pilot/LOI/fiyat kabulü olmadan pazar doğrulandı yazılmaz</t>
        </is>
      </c>
      <c r="D19" s="246" t="inlineStr">
        <is>
          <t>Gerçek işlem kanıtı</t>
        </is>
      </c>
      <c r="E19" s="246" t="inlineStr">
        <is>
          <t>Tahmini talep = satış kabulü</t>
        </is>
      </c>
      <c r="F19" s="266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0" min="1" max="3"/>
    <col width="13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KIDEM–İHBAR YÜKÜ VE PERSONEL ÇIKARMA MALİYETİ HESAPLAYICI</t>
        </is>
      </c>
    </row>
    <row r="2"/>
    <row r="3" ht="22" customHeight="1" s="74">
      <c r="A3" s="296" t="inlineStr">
        <is>
          <t>Personel çıkarma kararınızın maliyetini tam ve mevzuata uygun hesaplayın.</t>
        </is>
      </c>
    </row>
    <row r="4" ht="15" customHeight="1" s="74">
      <c r="A4" s="103" t="inlineStr">
        <is>
          <t>Kıdem tazminatı (1475 s. md.14), ihbar tazminatı (4857 s. md.17) ve kullanılmamış yıllık izin ücreti (4857 s. md.53) her çalışan için otomatik hesaplanır. Toplam çıkarma maliyeti bütçeyle karşılaştırılır; UYGUN / İNCELE / DURDUR kararı üretilir.</t>
        </is>
      </c>
    </row>
    <row r="5" ht="15" customHeight="1" s="74"/>
    <row r="6" ht="15" customHeight="1" s="74">
      <c r="A6" s="104" t="inlineStr">
        <is>
          <t>1. CALISANLAR sayfasına çalışan bilgilerini ve brüt ücretleri girin.</t>
        </is>
      </c>
    </row>
    <row r="7" ht="15" customHeight="1" s="74">
      <c r="A7" s="104" t="inlineStr">
        <is>
          <t>2. Kıdem, ihbar, izin ve toplam maliyet formülle hesaplanır; MOTOR ve PANO sonuçları gösterir.</t>
        </is>
      </c>
    </row>
    <row r="8" ht="15" customHeight="1" s="74">
      <c r="A8" s="104" t="inlineStr">
        <is>
          <t>3. KARAR sayfasında maliyet-bütçe uyumu ve aksiyonları okuyun.</t>
        </is>
      </c>
    </row>
    <row r="9"/>
    <row r="10" ht="15" customHeight="1" s="74">
      <c r="A10" s="105" t="inlineStr">
        <is>
          <t>Bu dosya karar destek aracıdır; iş hukuku veya mali müşavirlik danışmanlığı yerine geçmez. Kıdem tazminatı tavanı yıllık Resmi Gazete duyurusuyla güncellenir; AYARLAR'dan takip edilmelidir.</t>
        </is>
      </c>
    </row>
    <row r="11" ht="15" customHeight="1" s="74"/>
    <row r="12" ht="15" customHeight="1" s="74"/>
    <row r="13" ht="15" customHeight="1" s="74"/>
    <row r="14"/>
    <row r="15" ht="15" customHeight="1" s="74">
      <c r="A15" s="106" t="inlineStr">
        <is>
          <t>ExcelArşiv</t>
        </is>
      </c>
    </row>
    <row r="16" ht="15" customHeight="1" s="74">
      <c r="A16" s="107" t="inlineStr">
        <is>
          <t>Rev 1.0 | 2026-08-09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1:I1"/>
    <mergeCell ref="A7:J7"/>
    <mergeCell ref="A4:C5"/>
    <mergeCell ref="A3:I3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6.5" customWidth="1" style="100" min="1" max="1"/>
    <col width="20" customWidth="1" style="100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>
      <c r="A1" s="84" t="inlineStr">
        <is>
          <t>☰ PANO</t>
        </is>
      </c>
    </row>
    <row r="2"/>
    <row r="3" ht="22" customHeight="1" s="74">
      <c r="A3" s="296" t="inlineStr">
        <is>
          <t>Nasıl kullanılır?</t>
        </is>
      </c>
    </row>
    <row r="4" ht="15" customHeight="1" s="74">
      <c r="A4" s="109" t="inlineStr">
        <is>
          <t>1. AYARLAR sayfasından kıdem tazminatı tavanını (yıllık Resmi Gazete), bütçe eşiğini ve diğer parametreleri kontrol edin.</t>
        </is>
      </c>
    </row>
    <row r="5" ht="15" customHeight="1" s="74">
      <c r="A5" s="109" t="inlineStr">
        <is>
          <t>2. CALISANLAR sayfasına her çalışan için ad, işe giriş, işten çıkış, brüt ücret ve ücret türünü girin.</t>
        </is>
      </c>
    </row>
    <row r="6" ht="15" customHeight="1" s="74">
      <c r="A6" s="109" t="inlineStr">
        <is>
          <t>3. Kıdem yıl/gün, kıdem tazminatı, ihbar gün/tazminatı ve izin ücreti formülle hesaplanır.</t>
        </is>
      </c>
    </row>
    <row r="7" ht="15" customHeight="1" s="74">
      <c r="A7" s="109" t="inlineStr">
        <is>
          <t>4. Kullanılan izin gününü sarı hücreye girin; kalan izin ücreti otomatik düşer.</t>
        </is>
      </c>
    </row>
    <row r="8" ht="15" customHeight="1" s="74">
      <c r="A8" s="109" t="inlineStr">
        <is>
          <t>5. KARAR sayfası toplam çıkarma maliyetini bütçeyle karşılaştırır; UYGUN / İNCELE / DURDUR kararı üretir.</t>
        </is>
      </c>
    </row>
    <row r="9" ht="15" customHeight="1" s="74">
      <c r="A9" s="109" t="inlineStr">
        <is>
          <t>6. PANO ve RAPOR sayfaları yönetici özetini ve yazdırılabilir raporu sunar.</t>
        </is>
      </c>
    </row>
    <row r="10" ht="15" customHeight="1" s="74">
      <c r="A10" s="109" t="inlineStr">
        <is>
          <t>7. SENARYO_DUYARLILIK sayfası ücret/çalışan değişiminde maliyet ve kararı üretir.</t>
        </is>
      </c>
    </row>
    <row r="11"/>
    <row r="12" ht="15" customHeight="1" s="74">
      <c r="A12" s="110" t="inlineStr">
        <is>
          <t>Sık yapılan hatalar</t>
        </is>
      </c>
    </row>
    <row r="13" ht="15" customHeight="1" s="74">
      <c r="A13" s="105" t="inlineStr">
        <is>
          <t>Kıdem tazminatı tavanını güncel tutmamak — tavanı aşan ücretlerde fazla hesaplama yapılır.</t>
        </is>
      </c>
    </row>
    <row r="14" ht="15" customHeight="1" s="74">
      <c r="A14" s="105" t="inlineStr">
        <is>
          <t>İşten çıkış tarihini boş bırakmak — kıdem hesabı hatalı olur; aktif çalışanlar için çıkış tarihi gerekmezse satır silinir.</t>
        </is>
      </c>
    </row>
    <row r="15" ht="15" customHeight="1" s="74">
      <c r="A15" s="105" t="inlineStr">
        <is>
          <t>Ücret türünü yanlış seçmek (Aylık/Günlük) — günlük ücret hesabı 30'a bölme ile bozulur.</t>
        </is>
      </c>
    </row>
    <row r="16" ht="15" customHeight="1" s="74">
      <c r="A16" s="105" t="inlineStr">
        <is>
          <t>Kullanılan izin gününü girmemek — izin ücreti hak edilen tutarın tamamı üzerinden hesaplanır.</t>
        </is>
      </c>
    </row>
    <row r="17" ht="15" customHeight="1" s="74">
      <c r="A17" s="105" t="inlineStr">
        <is>
          <t>Kilitli (beyaz/yeşil) hücrelere yazmaya çalışmak — yalnızca sarı hücreler giriş içindir.</t>
        </is>
      </c>
    </row>
    <row r="18"/>
    <row r="19" ht="19.5" customHeight="1" s="74">
      <c r="A19" s="111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3:I3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0" min="1" max="1"/>
    <col width="23.5" customWidth="1" style="100" min="2" max="4"/>
    <col width="23.5" customWidth="1" style="74" min="3" max="3"/>
    <col width="18.5" customWidth="1" style="74" min="4" max="4"/>
    <col width="14.5" customWidth="1" style="100" min="5" max="5"/>
    <col width="20.5" customWidth="1" style="100" min="6" max="6"/>
    <col width="13.5" customWidth="1" style="100" min="7" max="8"/>
    <col width="13.5" customWidth="1" style="74" min="8" max="8"/>
    <col width="23.5" customWidth="1" style="100" min="9" max="9"/>
    <col width="13.5" customWidth="1" style="100" min="10" max="10"/>
    <col width="23.5" customWidth="1" style="100" min="11" max="11"/>
    <col width="20.5" customWidth="1" style="100" min="12" max="13"/>
    <col width="25.5" customWidth="1" style="74" min="13" max="13"/>
    <col width="31.5" customWidth="1" style="100" min="14" max="14"/>
    <col width="13" customWidth="1" style="74" min="15" max="15"/>
  </cols>
  <sheetData>
    <row r="1" ht="32" customHeight="1" s="74">
      <c r="A1" s="277" t="inlineStr">
        <is>
          <t>CALISANLAR — KIDEM–İHBAR YÜKÜ VE PERSONEL ÇIKARMA MALİYETİ HESAPLAYICI</t>
        </is>
      </c>
    </row>
    <row r="2"/>
    <row r="3" ht="22" customHeight="1" s="74">
      <c r="A3" s="296" t="inlineStr">
        <is>
          <t>Çalışanlar, Kıdem ve Çıkarma Maliyeti</t>
        </is>
      </c>
    </row>
    <row r="4"/>
    <row r="5" ht="30" customHeight="1" s="74">
      <c r="A5" s="114" t="inlineStr">
        <is>
          <t>Çalışan Adı</t>
        </is>
      </c>
      <c r="B5" s="114" t="inlineStr">
        <is>
          <t>İşe Giriş Tarihi</t>
        </is>
      </c>
      <c r="C5" s="114" t="inlineStr">
        <is>
          <t>İşten Çıkış Tarihi</t>
        </is>
      </c>
      <c r="D5" s="114" t="inlineStr">
        <is>
          <t>Brüt Ücret (₺)</t>
        </is>
      </c>
      <c r="E5" s="114" t="inlineStr">
        <is>
          <t>Ücret Türü</t>
        </is>
      </c>
      <c r="F5" s="114" t="inlineStr">
        <is>
          <t>Günlük Ücret (₺)</t>
        </is>
      </c>
      <c r="G5" s="114" t="inlineStr">
        <is>
          <t>Kıdem Yıl</t>
        </is>
      </c>
      <c r="H5" s="114" t="inlineStr">
        <is>
          <t>Kıdem Gün</t>
        </is>
      </c>
      <c r="I5" s="114" t="inlineStr">
        <is>
          <t>Kıdem Tazminatı (₺)</t>
        </is>
      </c>
      <c r="J5" s="114" t="inlineStr">
        <is>
          <t>İhbar Gün</t>
        </is>
      </c>
      <c r="K5" s="114" t="inlineStr">
        <is>
          <t>İhbar Tazminatı (₺)</t>
        </is>
      </c>
      <c r="L5" s="114" t="inlineStr">
        <is>
          <t>İzin Hakkı (Gün)</t>
        </is>
      </c>
      <c r="M5" s="114" t="inlineStr">
        <is>
          <t>Kullanılan İzin (Gün)</t>
        </is>
      </c>
      <c r="N5" s="114" t="inlineStr">
        <is>
          <t>Toplam Çıkarma Maliyeti (₺)</t>
        </is>
      </c>
    </row>
    <row r="6" ht="15" customHeight="1" s="74">
      <c r="A6" s="115" t="inlineStr">
        <is>
          <t>Ahmet Yılmaz</t>
        </is>
      </c>
      <c r="B6" s="116" t="n">
        <v>43891</v>
      </c>
      <c r="C6" s="116" t="n">
        <v>46235</v>
      </c>
      <c r="D6" s="117" t="n">
        <v>45000</v>
      </c>
      <c r="E6" s="115" t="inlineStr">
        <is>
          <t>Aylık</t>
        </is>
      </c>
      <c r="F6" s="118">
        <f>IF(OR($A6="",$D6=""),"",IF($E6="Günlük",$D6,$D6/UcretGunSayisi))</f>
        <v/>
      </c>
      <c r="G6" s="119">
        <f>IF(OR($A6="",$B6="",$C6=""),"",IFERROR(MAX(0,DATEDIF($B6,$C6,"Y")),0))</f>
        <v/>
      </c>
      <c r="H6" s="119">
        <f>IF(OR($A6="",$B6="",$C6=""),"",IFERROR(MAX(0,DATEDIF($B6,$C6,"D")),0))</f>
        <v/>
      </c>
      <c r="I6" s="118">
        <f>IF(OR($F6="",$G6="",$H6=""),"",IFERROR(MIN($F6*UcretGunSayisi,KidemTavan)*(IFERROR($G6,0)+IFERROR($H6,0)/365),0))</f>
        <v/>
      </c>
      <c r="J6" s="119">
        <f>IF(OR($H6="",$C6=""),"",IFERROR(IF($H6&lt;IhbarEsik1Gun,IhbarSure1,IF($H6&lt;IhbarEsik2Gun,IhbarSure2,IF($H6&lt;IhbarEsik3Gun,IhbarSure3,IhbarSure4))),0))</f>
        <v/>
      </c>
      <c r="K6" s="118">
        <f>IF(OR($F6="",$J6=""),"",IFERROR(MAX(0,$F6*$J6),0))</f>
        <v/>
      </c>
      <c r="L6" s="119">
        <f>IF(OR($G6="",$C6=""),"",IFERROR(IF($G6&gt;=IzinEsik2,IzinHakki3,IF($G6&gt;=IzinEsik1,IzinHakki2,IzinHakki1)),0))</f>
        <v/>
      </c>
      <c r="M6" s="120" t="n">
        <v>5</v>
      </c>
      <c r="N6" s="118">
        <f>IF(OR($I6="",$K6="",$L6="",$M6=""),"",IFERROR(MAX(0,$I6+$K6+IFERROR(MAX(0,$L6-$M6),0)*$F6),0))</f>
        <v/>
      </c>
    </row>
    <row r="7" ht="15" customHeight="1" s="74">
      <c r="A7" s="115" t="inlineStr">
        <is>
          <t>Ayşe Kaya</t>
        </is>
      </c>
      <c r="B7" s="116" t="n">
        <v>42156</v>
      </c>
      <c r="C7" s="116" t="n">
        <v>46266</v>
      </c>
      <c r="D7" s="117" t="n">
        <v>55000</v>
      </c>
      <c r="E7" s="115" t="inlineStr">
        <is>
          <t>Aylık</t>
        </is>
      </c>
      <c r="F7" s="118">
        <f>IF(OR($A7="",$D7=""),"",IF($E7="Günlük",$D7,$D7/UcretGunSayisi))</f>
        <v/>
      </c>
      <c r="G7" s="119">
        <f>IF(OR($A7="",$B7="",$C7=""),"",IFERROR(MAX(0,DATEDIF($B7,$C7,"Y")),0))</f>
        <v/>
      </c>
      <c r="H7" s="119">
        <f>IF(OR($A7="",$B7="",$C7=""),"",IFERROR(MAX(0,DATEDIF($B7,$C7,"D")),0))</f>
        <v/>
      </c>
      <c r="I7" s="118">
        <f>IF(OR($F7="",$G7="",$H7=""),"",IFERROR(MIN($F7*UcretGunSayisi,KidemTavan)*(IFERROR($G7,0)+IFERROR($H7,0)/365),0))</f>
        <v/>
      </c>
      <c r="J7" s="119">
        <f>IF(OR($H7="",$C7=""),"",IFERROR(IF($H7&lt;IhbarEsik1Gun,IhbarSure1,IF($H7&lt;IhbarEsik2Gun,IhbarSure2,IF($H7&lt;IhbarEsik3Gun,IhbarSure3,IhbarSure4))),0))</f>
        <v/>
      </c>
      <c r="K7" s="118">
        <f>IF(OR($F7="",$J7=""),"",IFERROR(MAX(0,$F7*$J7),0))</f>
        <v/>
      </c>
      <c r="L7" s="119">
        <f>IF(OR($G7="",$C7=""),"",IFERROR(IF($G7&gt;=IzinEsik2,IzinHakki3,IF($G7&gt;=IzinEsik1,IzinHakki2,IzinHakki1)),0))</f>
        <v/>
      </c>
      <c r="M7" s="120" t="n">
        <v>8</v>
      </c>
      <c r="N7" s="118">
        <f>IF(OR($I7="",$K7="",$L7="",$M7=""),"",IFERROR(MAX(0,$I7+$K7+IFERROR(MAX(0,$L7-$M7),0)*$F7),0))</f>
        <v/>
      </c>
    </row>
    <row r="8" ht="15" customHeight="1" s="74">
      <c r="A8" s="115" t="inlineStr">
        <is>
          <t>Mehmet Demir</t>
        </is>
      </c>
      <c r="B8" s="116" t="n">
        <v>44576</v>
      </c>
      <c r="C8" s="116" t="n">
        <v>46218</v>
      </c>
      <c r="D8" s="117" t="n">
        <v>1800</v>
      </c>
      <c r="E8" s="115" t="inlineStr">
        <is>
          <t>Günlük</t>
        </is>
      </c>
      <c r="F8" s="118">
        <f>IF(OR($A8="",$D8=""),"",IF($E8="Günlük",$D8,$D8/UcretGunSayisi))</f>
        <v/>
      </c>
      <c r="G8" s="119">
        <f>IF(OR($A8="",$B8="",$C8=""),"",IFERROR(MAX(0,DATEDIF($B8,$C8,"Y")),0))</f>
        <v/>
      </c>
      <c r="H8" s="119">
        <f>IF(OR($A8="",$B8="",$C8=""),"",IFERROR(MAX(0,DATEDIF($B8,$C8,"D")),0))</f>
        <v/>
      </c>
      <c r="I8" s="118">
        <f>IF(OR($F8="",$G8="",$H8=""),"",IFERROR(MIN($F8*UcretGunSayisi,KidemTavan)*(IFERROR($G8,0)+IFERROR($H8,0)/365),0))</f>
        <v/>
      </c>
      <c r="J8" s="119">
        <f>IF(OR($H8="",$C8=""),"",IFERROR(IF($H8&lt;IhbarEsik1Gun,IhbarSure1,IF($H8&lt;IhbarEsik2Gun,IhbarSure2,IF($H8&lt;IhbarEsik3Gun,IhbarSure3,IhbarSure4))),0))</f>
        <v/>
      </c>
      <c r="K8" s="118">
        <f>IF(OR($F8="",$J8=""),"",IFERROR(MAX(0,$F8*$J8),0))</f>
        <v/>
      </c>
      <c r="L8" s="119">
        <f>IF(OR($G8="",$C8=""),"",IFERROR(IF($G8&gt;=IzinEsik2,IzinHakki3,IF($G8&gt;=IzinEsik1,IzinHakki2,IzinHakki1)),0))</f>
        <v/>
      </c>
      <c r="M8" s="120" t="n">
        <v>2</v>
      </c>
      <c r="N8" s="118">
        <f>IF(OR($I8="",$K8="",$L8="",$M8=""),"",IFERROR(MAX(0,$I8+$K8+IFERROR(MAX(0,$L8-$M8),0)*$F8),0))</f>
        <v/>
      </c>
    </row>
    <row r="9" ht="15" customHeight="1" s="74">
      <c r="A9" s="115" t="inlineStr">
        <is>
          <t>Zeynep Çelik</t>
        </is>
      </c>
      <c r="B9" s="116" t="n">
        <v>43191</v>
      </c>
      <c r="C9" s="116" t="n">
        <v>46296</v>
      </c>
      <c r="D9" s="117" t="n">
        <v>40000</v>
      </c>
      <c r="E9" s="115" t="inlineStr">
        <is>
          <t>Aylık</t>
        </is>
      </c>
      <c r="F9" s="118">
        <f>IF(OR($A9="",$D9=""),"",IF($E9="Günlük",$D9,$D9/UcretGunSayisi))</f>
        <v/>
      </c>
      <c r="G9" s="119">
        <f>IF(OR($A9="",$B9="",$C9=""),"",IFERROR(MAX(0,DATEDIF($B9,$C9,"Y")),0))</f>
        <v/>
      </c>
      <c r="H9" s="119">
        <f>IF(OR($A9="",$B9="",$C9=""),"",IFERROR(MAX(0,DATEDIF($B9,$C9,"D")),0))</f>
        <v/>
      </c>
      <c r="I9" s="118">
        <f>IF(OR($F9="",$G9="",$H9=""),"",IFERROR(MIN($F9*UcretGunSayisi,KidemTavan)*(IFERROR($G9,0)+IFERROR($H9,0)/365),0))</f>
        <v/>
      </c>
      <c r="J9" s="119">
        <f>IF(OR($H9="",$C9=""),"",IFERROR(IF($H9&lt;IhbarEsik1Gun,IhbarSure1,IF($H9&lt;IhbarEsik2Gun,IhbarSure2,IF($H9&lt;IhbarEsik3Gun,IhbarSure3,IhbarSure4))),0))</f>
        <v/>
      </c>
      <c r="K9" s="118">
        <f>IF(OR($F9="",$J9=""),"",IFERROR(MAX(0,$F9*$J9),0))</f>
        <v/>
      </c>
      <c r="L9" s="119">
        <f>IF(OR($G9="",$C9=""),"",IFERROR(IF($G9&gt;=IzinEsik2,IzinHakki3,IF($G9&gt;=IzinEsik1,IzinHakki2,IzinHakki1)),0))</f>
        <v/>
      </c>
      <c r="M9" s="120" t="n">
        <v>10</v>
      </c>
      <c r="N9" s="118">
        <f>IF(OR($I9="",$K9="",$L9="",$M9=""),"",IFERROR(MAX(0,$I9+$K9+IFERROR(MAX(0,$L9-$M9),0)*$F9),0))</f>
        <v/>
      </c>
    </row>
    <row r="10" ht="15" customHeight="1" s="74">
      <c r="A10" s="115" t="inlineStr">
        <is>
          <t>Mustafa Aydın</t>
        </is>
      </c>
      <c r="B10" s="116" t="n">
        <v>40210</v>
      </c>
      <c r="C10" s="116" t="n">
        <v>46249</v>
      </c>
      <c r="D10" s="117" t="n">
        <v>60000</v>
      </c>
      <c r="E10" s="115" t="inlineStr">
        <is>
          <t>Aylık</t>
        </is>
      </c>
      <c r="F10" s="118">
        <f>IF(OR($A10="",$D10=""),"",IF($E10="Günlük",$D10,$D10/UcretGunSayisi))</f>
        <v/>
      </c>
      <c r="G10" s="119">
        <f>IF(OR($A10="",$B10="",$C10=""),"",IFERROR(MAX(0,DATEDIF($B10,$C10,"Y")),0))</f>
        <v/>
      </c>
      <c r="H10" s="119">
        <f>IF(OR($A10="",$B10="",$C10=""),"",IFERROR(MAX(0,DATEDIF($B10,$C10,"D")),0))</f>
        <v/>
      </c>
      <c r="I10" s="118">
        <f>IF(OR($F10="",$G10="",$H10=""),"",IFERROR(MIN($F10*UcretGunSayisi,KidemTavan)*(IFERROR($G10,0)+IFERROR($H10,0)/365),0))</f>
        <v/>
      </c>
      <c r="J10" s="119">
        <f>IF(OR($H10="",$C10=""),"",IFERROR(IF($H10&lt;IhbarEsik1Gun,IhbarSure1,IF($H10&lt;IhbarEsik2Gun,IhbarSure2,IF($H10&lt;IhbarEsik3Gun,IhbarSure3,IhbarSure4))),0))</f>
        <v/>
      </c>
      <c r="K10" s="118">
        <f>IF(OR($F10="",$J10=""),"",IFERROR(MAX(0,$F10*$J10),0))</f>
        <v/>
      </c>
      <c r="L10" s="119">
        <f>IF(OR($G10="",$C10=""),"",IFERROR(IF($G10&gt;=IzinEsik2,IzinHakki3,IF($G10&gt;=IzinEsik1,IzinHakki2,IzinHakki1)),0))</f>
        <v/>
      </c>
      <c r="M10" s="120" t="n">
        <v>12</v>
      </c>
      <c r="N10" s="118">
        <f>IF(OR($I10="",$K10="",$L10="",$M10=""),"",IFERROR(MAX(0,$I10+$K10+IFERROR(MAX(0,$L10-$M10),0)*$F10),0))</f>
        <v/>
      </c>
    </row>
    <row r="11" ht="15" customHeight="1" s="74">
      <c r="A11" s="115" t="inlineStr">
        <is>
          <t>Elif Şahin</t>
        </is>
      </c>
      <c r="B11" s="116" t="n">
        <v>44440</v>
      </c>
      <c r="C11" s="116" t="n">
        <v>46327</v>
      </c>
      <c r="D11" s="117" t="n">
        <v>35000</v>
      </c>
      <c r="E11" s="115" t="inlineStr">
        <is>
          <t>Aylık</t>
        </is>
      </c>
      <c r="F11" s="118">
        <f>IF(OR($A11="",$D11=""),"",IF($E11="Günlük",$D11,$D11/UcretGunSayisi))</f>
        <v/>
      </c>
      <c r="G11" s="119">
        <f>IF(OR($A11="",$B11="",$C11=""),"",IFERROR(MAX(0,DATEDIF($B11,$C11,"Y")),0))</f>
        <v/>
      </c>
      <c r="H11" s="119">
        <f>IF(OR($A11="",$B11="",$C11=""),"",IFERROR(MAX(0,DATEDIF($B11,$C11,"D")),0))</f>
        <v/>
      </c>
      <c r="I11" s="118">
        <f>IF(OR($F11="",$G11="",$H11=""),"",IFERROR(MIN($F11*UcretGunSayisi,KidemTavan)*(IFERROR($G11,0)+IFERROR($H11,0)/365),0))</f>
        <v/>
      </c>
      <c r="J11" s="119">
        <f>IF(OR($H11="",$C11=""),"",IFERROR(IF($H11&lt;IhbarEsik1Gun,IhbarSure1,IF($H11&lt;IhbarEsik2Gun,IhbarSure2,IF($H11&lt;IhbarEsik3Gun,IhbarSure3,IhbarSure4))),0))</f>
        <v/>
      </c>
      <c r="K11" s="118">
        <f>IF(OR($F11="",$J11=""),"",IFERROR(MAX(0,$F11*$J11),0))</f>
        <v/>
      </c>
      <c r="L11" s="119">
        <f>IF(OR($G11="",$C11=""),"",IFERROR(IF($G11&gt;=IzinEsik2,IzinHakki3,IF($G11&gt;=IzinEsik1,IzinHakki2,IzinHakki1)),0))</f>
        <v/>
      </c>
      <c r="M11" s="120" t="n">
        <v>3</v>
      </c>
      <c r="N11" s="118">
        <f>IF(OR($I11="",$K11="",$L11="",$M11=""),"",IFERROR(MAX(0,$I11+$K11+IFERROR(MAX(0,$L11-$M11),0)*$F11),0))</f>
        <v/>
      </c>
    </row>
    <row r="12" ht="15" customHeight="1" s="74">
      <c r="A12" s="115" t="inlineStr">
        <is>
          <t>Hasan Yıldız</t>
        </is>
      </c>
      <c r="B12" s="116" t="n">
        <v>43647</v>
      </c>
      <c r="C12" s="116" t="n">
        <v>46280</v>
      </c>
      <c r="D12" s="117" t="n">
        <v>1700</v>
      </c>
      <c r="E12" s="115" t="inlineStr">
        <is>
          <t>Günlük</t>
        </is>
      </c>
      <c r="F12" s="118">
        <f>IF(OR($A12="",$D12=""),"",IF($E12="Günlük",$D12,$D12/UcretGunSayisi))</f>
        <v/>
      </c>
      <c r="G12" s="119">
        <f>IF(OR($A12="",$B12="",$C12=""),"",IFERROR(MAX(0,DATEDIF($B12,$C12,"Y")),0))</f>
        <v/>
      </c>
      <c r="H12" s="119">
        <f>IF(OR($A12="",$B12="",$C12=""),"",IFERROR(MAX(0,DATEDIF($B12,$C12,"D")),0))</f>
        <v/>
      </c>
      <c r="I12" s="118">
        <f>IF(OR($F12="",$G12="",$H12=""),"",IFERROR(MIN($F12*UcretGunSayisi,KidemTavan)*(IFERROR($G12,0)+IFERROR($H12,0)/365),0))</f>
        <v/>
      </c>
      <c r="J12" s="119">
        <f>IF(OR($H12="",$C12=""),"",IFERROR(IF($H12&lt;IhbarEsik1Gun,IhbarSure1,IF($H12&lt;IhbarEsik2Gun,IhbarSure2,IF($H12&lt;IhbarEsik3Gun,IhbarSure3,IhbarSure4))),0))</f>
        <v/>
      </c>
      <c r="K12" s="118">
        <f>IF(OR($F12="",$J12=""),"",IFERROR(MAX(0,$F12*$J12),0))</f>
        <v/>
      </c>
      <c r="L12" s="119">
        <f>IF(OR($G12="",$C12=""),"",IFERROR(IF($G12&gt;=IzinEsik2,IzinHakki3,IF($G12&gt;=IzinEsik1,IzinHakki2,IzinHakki1)),0))</f>
        <v/>
      </c>
      <c r="M12" s="120" t="n">
        <v>4</v>
      </c>
      <c r="N12" s="118">
        <f>IF(OR($I12="",$K12="",$L12="",$M12=""),"",IFERROR(MAX(0,$I12+$K12+IFERROR(MAX(0,$L12-$M12),0)*$F12),0))</f>
        <v/>
      </c>
    </row>
    <row r="13" ht="15" customHeight="1" s="74">
      <c r="A13" s="115" t="inlineStr">
        <is>
          <t>Fatma Arslan</t>
        </is>
      </c>
      <c r="B13" s="116" t="n">
        <v>42370</v>
      </c>
      <c r="C13" s="116" t="n">
        <v>46357</v>
      </c>
      <c r="D13" s="117" t="n">
        <v>48000</v>
      </c>
      <c r="E13" s="115" t="inlineStr">
        <is>
          <t>Aylık</t>
        </is>
      </c>
      <c r="F13" s="118">
        <f>IF(OR($A13="",$D13=""),"",IF($E13="Günlük",$D13,$D13/UcretGunSayisi))</f>
        <v/>
      </c>
      <c r="G13" s="119">
        <f>IF(OR($A13="",$B13="",$C13=""),"",IFERROR(MAX(0,DATEDIF($B13,$C13,"Y")),0))</f>
        <v/>
      </c>
      <c r="H13" s="119">
        <f>IF(OR($A13="",$B13="",$C13=""),"",IFERROR(MAX(0,DATEDIF($B13,$C13,"D")),0))</f>
        <v/>
      </c>
      <c r="I13" s="118">
        <f>IF(OR($F13="",$G13="",$H13=""),"",IFERROR(MIN($F13*UcretGunSayisi,KidemTavan)*(IFERROR($G13,0)+IFERROR($H13,0)/365),0))</f>
        <v/>
      </c>
      <c r="J13" s="119">
        <f>IF(OR($H13="",$C13=""),"",IFERROR(IF($H13&lt;IhbarEsik1Gun,IhbarSure1,IF($H13&lt;IhbarEsik2Gun,IhbarSure2,IF($H13&lt;IhbarEsik3Gun,IhbarSure3,IhbarSure4))),0))</f>
        <v/>
      </c>
      <c r="K13" s="118">
        <f>IF(OR($F13="",$J13=""),"",IFERROR(MAX(0,$F13*$J13),0))</f>
        <v/>
      </c>
      <c r="L13" s="119">
        <f>IF(OR($G13="",$C13=""),"",IFERROR(IF($G13&gt;=IzinEsik2,IzinHakki3,IF($G13&gt;=IzinEsik1,IzinHakki2,IzinHakki1)),0))</f>
        <v/>
      </c>
      <c r="M13" s="120" t="n">
        <v>15</v>
      </c>
      <c r="N13" s="118">
        <f>IF(OR($I13="",$K13="",$L13="",$M13=""),"",IFERROR(MAX(0,$I13+$K13+IFERROR(MAX(0,$L13-$M13),0)*$F13),0))</f>
        <v/>
      </c>
    </row>
    <row r="14" ht="15" customHeight="1" s="74">
      <c r="A14" s="115" t="inlineStr">
        <is>
          <t>İbrahim Koç</t>
        </is>
      </c>
      <c r="B14" s="116" t="n">
        <v>41414</v>
      </c>
      <c r="C14" s="116" t="n">
        <v>46310</v>
      </c>
      <c r="D14" s="117" t="n">
        <v>68000</v>
      </c>
      <c r="E14" s="115" t="inlineStr">
        <is>
          <t>Aylık</t>
        </is>
      </c>
      <c r="F14" s="118">
        <f>IF(OR($A14="",$D14=""),"",IF($E14="Günlük",$D14,$D14/UcretGunSayisi))</f>
        <v/>
      </c>
      <c r="G14" s="119">
        <f>IF(OR($A14="",$B14="",$C14=""),"",IFERROR(MAX(0,DATEDIF($B14,$C14,"Y")),0))</f>
        <v/>
      </c>
      <c r="H14" s="119">
        <f>IF(OR($A14="",$B14="",$C14=""),"",IFERROR(MAX(0,DATEDIF($B14,$C14,"D")),0))</f>
        <v/>
      </c>
      <c r="I14" s="118">
        <f>IF(OR($F14="",$G14="",$H14=""),"",IFERROR(MIN($F14*UcretGunSayisi,KidemTavan)*(IFERROR($G14,0)+IFERROR($H14,0)/365),0))</f>
        <v/>
      </c>
      <c r="J14" s="119">
        <f>IF(OR($H14="",$C14=""),"",IFERROR(IF($H14&lt;IhbarEsik1Gun,IhbarSure1,IF($H14&lt;IhbarEsik2Gun,IhbarSure2,IF($H14&lt;IhbarEsik3Gun,IhbarSure3,IhbarSure4))),0))</f>
        <v/>
      </c>
      <c r="K14" s="118">
        <f>IF(OR($F14="",$J14=""),"",IFERROR(MAX(0,$F14*$J14),0))</f>
        <v/>
      </c>
      <c r="L14" s="119">
        <f>IF(OR($G14="",$C14=""),"",IFERROR(IF($G14&gt;=IzinEsik2,IzinHakki3,IF($G14&gt;=IzinEsik1,IzinHakki2,IzinHakki1)),0))</f>
        <v/>
      </c>
      <c r="M14" s="120" t="n">
        <v>20</v>
      </c>
      <c r="N14" s="118">
        <f>IF(OR($I14="",$K14="",$L14="",$M14=""),"",IFERROR(MAX(0,$I14+$K14+IFERROR(MAX(0,$L14-$M14),0)*$F14),0))</f>
        <v/>
      </c>
    </row>
    <row r="15" ht="15" customHeight="1" s="74">
      <c r="A15" s="115" t="inlineStr">
        <is>
          <t>Merve Çetin</t>
        </is>
      </c>
      <c r="B15" s="116" t="n">
        <v>44958</v>
      </c>
      <c r="C15" s="116" t="n">
        <v>46264</v>
      </c>
      <c r="D15" s="117" t="n">
        <v>1600</v>
      </c>
      <c r="E15" s="115" t="inlineStr">
        <is>
          <t>Günlük</t>
        </is>
      </c>
      <c r="F15" s="118">
        <f>IF(OR($A15="",$D15=""),"",IF($E15="Günlük",$D15,$D15/UcretGunSayisi))</f>
        <v/>
      </c>
      <c r="G15" s="119">
        <f>IF(OR($A15="",$B15="",$C15=""),"",IFERROR(MAX(0,DATEDIF($B15,$C15,"Y")),0))</f>
        <v/>
      </c>
      <c r="H15" s="119">
        <f>IF(OR($A15="",$B15="",$C15=""),"",IFERROR(MAX(0,DATEDIF($B15,$C15,"D")),0))</f>
        <v/>
      </c>
      <c r="I15" s="118">
        <f>IF(OR($F15="",$G15="",$H15=""),"",IFERROR(MIN($F15*UcretGunSayisi,KidemTavan)*(IFERROR($G15,0)+IFERROR($H15,0)/365),0))</f>
        <v/>
      </c>
      <c r="J15" s="119">
        <f>IF(OR($H15="",$C15=""),"",IFERROR(IF($H15&lt;IhbarEsik1Gun,IhbarSure1,IF($H15&lt;IhbarEsik2Gun,IhbarSure2,IF($H15&lt;IhbarEsik3Gun,IhbarSure3,IhbarSure4))),0))</f>
        <v/>
      </c>
      <c r="K15" s="118">
        <f>IF(OR($F15="",$J15=""),"",IFERROR(MAX(0,$F15*$J15),0))</f>
        <v/>
      </c>
      <c r="L15" s="119">
        <f>IF(OR($G15="",$C15=""),"",IFERROR(IF($G15&gt;=IzinEsik2,IzinHakki3,IF($G15&gt;=IzinEsik1,IzinHakki2,IzinHakki1)),0))</f>
        <v/>
      </c>
      <c r="M15" s="120" t="n">
        <v>0</v>
      </c>
      <c r="N15" s="118">
        <f>IF(OR($I15="",$K15="",$L15="",$M15=""),"",IFERROR(MAX(0,$I15+$K15+IFERROR(MAX(0,$L15-$M15),0)*$F15),0))</f>
        <v/>
      </c>
    </row>
    <row r="16" ht="15" customHeight="1" s="74">
      <c r="A16" s="115" t="inlineStr">
        <is>
          <t>Ali Demir</t>
        </is>
      </c>
      <c r="B16" s="116" t="n">
        <v>42948</v>
      </c>
      <c r="C16" s="116" t="n">
        <v>46266</v>
      </c>
      <c r="D16" s="117" t="n">
        <v>42000</v>
      </c>
      <c r="E16" s="115" t="inlineStr">
        <is>
          <t>Aylık</t>
        </is>
      </c>
      <c r="F16" s="118">
        <f>IF(OR($A16="",$D16=""),"",IF($E16="Günlük",$D16,$D16/UcretGunSayisi))</f>
        <v/>
      </c>
      <c r="G16" s="119">
        <f>IF(OR($A16="",$B16="",$C16=""),"",IFERROR(MAX(0,DATEDIF($B16,$C16,"Y")),0))</f>
        <v/>
      </c>
      <c r="H16" s="119">
        <f>IF(OR($A16="",$B16="",$C16=""),"",IFERROR(MAX(0,DATEDIF($B16,$C16,"D")),0))</f>
        <v/>
      </c>
      <c r="I16" s="118">
        <f>IF(OR($F16="",$G16="",$H16=""),"",IFERROR(MIN($F16*UcretGunSayisi,KidemTavan)*(IFERROR($G16,0)+IFERROR($H16,0)/365),0))</f>
        <v/>
      </c>
      <c r="J16" s="119">
        <f>IF(OR($H16="",$C16=""),"",IFERROR(IF($H16&lt;IhbarEsik1Gun,IhbarSure1,IF($H16&lt;IhbarEsik2Gun,IhbarSure2,IF($H16&lt;IhbarEsik3Gun,IhbarSure3,IhbarSure4))),0))</f>
        <v/>
      </c>
      <c r="K16" s="118">
        <f>IF(OR($F16="",$J16=""),"",IFERROR(MAX(0,$F16*$J16),0))</f>
        <v/>
      </c>
      <c r="L16" s="119">
        <f>IF(OR($G16="",$C16=""),"",IFERROR(IF($G16&gt;=IzinEsik2,IzinHakki3,IF($G16&gt;=IzinEsik1,IzinHakki2,IzinHakki1)),0))</f>
        <v/>
      </c>
      <c r="M16" s="120" t="n">
        <v>6</v>
      </c>
      <c r="N16" s="118">
        <f>IF(OR($I16="",$K16="",$L16="",$M16=""),"",IFERROR(MAX(0,$I16+$K16+IFERROR(MAX(0,$L16-$M16),0)*$F16),0))</f>
        <v/>
      </c>
    </row>
    <row r="17" ht="15" customHeight="1" s="74">
      <c r="A17" s="115" t="inlineStr">
        <is>
          <t>Selin Korkmaz</t>
        </is>
      </c>
      <c r="B17" s="116" t="n">
        <v>41958</v>
      </c>
      <c r="C17" s="116" t="n">
        <v>46341</v>
      </c>
      <c r="D17" s="117" t="n">
        <v>52000</v>
      </c>
      <c r="E17" s="115" t="inlineStr">
        <is>
          <t>Aylık</t>
        </is>
      </c>
      <c r="F17" s="118">
        <f>IF(OR($A17="",$D17=""),"",IF($E17="Günlük",$D17,$D17/UcretGunSayisi))</f>
        <v/>
      </c>
      <c r="G17" s="119">
        <f>IF(OR($A17="",$B17="",$C17=""),"",IFERROR(MAX(0,DATEDIF($B17,$C17,"Y")),0))</f>
        <v/>
      </c>
      <c r="H17" s="119">
        <f>IF(OR($A17="",$B17="",$C17=""),"",IFERROR(MAX(0,DATEDIF($B17,$C17,"D")),0))</f>
        <v/>
      </c>
      <c r="I17" s="118">
        <f>IF(OR($F17="",$G17="",$H17=""),"",IFERROR(MIN($F17*UcretGunSayisi,KidemTavan)*(IFERROR($G17,0)+IFERROR($H17,0)/365),0))</f>
        <v/>
      </c>
      <c r="J17" s="119">
        <f>IF(OR($H17="",$C17=""),"",IFERROR(IF($H17&lt;IhbarEsik1Gun,IhbarSure1,IF($H17&lt;IhbarEsik2Gun,IhbarSure2,IF($H17&lt;IhbarEsik3Gun,IhbarSure3,IhbarSure4))),0))</f>
        <v/>
      </c>
      <c r="K17" s="118">
        <f>IF(OR($F17="",$J17=""),"",IFERROR(MAX(0,$F17*$J17),0))</f>
        <v/>
      </c>
      <c r="L17" s="119">
        <f>IF(OR($G17="",$C17=""),"",IFERROR(IF($G17&gt;=IzinEsik2,IzinHakki3,IF($G17&gt;=IzinEsik1,IzinHakki2,IzinHakki1)),0))</f>
        <v/>
      </c>
      <c r="M17" s="120" t="n">
        <v>9</v>
      </c>
      <c r="N17" s="118">
        <f>IF(OR($I17="",$K17="",$L17="",$M17=""),"",IFERROR(MAX(0,$I17+$K17+IFERROR(MAX(0,$L17-$M17),0)*$F17),0))</f>
        <v/>
      </c>
    </row>
    <row r="18" ht="15" customHeight="1" s="74">
      <c r="A18" s="115" t="inlineStr">
        <is>
          <t>Burak Arslan</t>
        </is>
      </c>
      <c r="B18" s="116" t="n">
        <v>45717</v>
      </c>
      <c r="C18" s="116" t="n">
        <v>46235</v>
      </c>
      <c r="D18" s="117" t="n">
        <v>1500</v>
      </c>
      <c r="E18" s="115" t="inlineStr">
        <is>
          <t>Günlük</t>
        </is>
      </c>
      <c r="F18" s="118">
        <f>IF(OR($A18="",$D18=""),"",IF($E18="Günlük",$D18,$D18/UcretGunSayisi))</f>
        <v/>
      </c>
      <c r="G18" s="119">
        <f>IF(OR($A18="",$B18="",$C18=""),"",IFERROR(MAX(0,DATEDIF($B18,$C18,"Y")),0))</f>
        <v/>
      </c>
      <c r="H18" s="119">
        <f>IF(OR($A18="",$B18="",$C18=""),"",IFERROR(MAX(0,DATEDIF($B18,$C18,"D")),0))</f>
        <v/>
      </c>
      <c r="I18" s="118">
        <f>IF(OR($F18="",$G18="",$H18=""),"",IFERROR(MIN($F18*UcretGunSayisi,KidemTavan)*(IFERROR($G18,0)+IFERROR($H18,0)/365),0))</f>
        <v/>
      </c>
      <c r="J18" s="119">
        <f>IF(OR($H18="",$C18=""),"",IFERROR(IF($H18&lt;IhbarEsik1Gun,IhbarSure1,IF($H18&lt;IhbarEsik2Gun,IhbarSure2,IF($H18&lt;IhbarEsik3Gun,IhbarSure3,IhbarSure4))),0))</f>
        <v/>
      </c>
      <c r="K18" s="118">
        <f>IF(OR($F18="",$J18=""),"",IFERROR(MAX(0,$F18*$J18),0))</f>
        <v/>
      </c>
      <c r="L18" s="119">
        <f>IF(OR($G18="",$C18=""),"",IFERROR(IF($G18&gt;=IzinEsik2,IzinHakki3,IF($G18&gt;=IzinEsik1,IzinHakki2,IzinHakki1)),0))</f>
        <v/>
      </c>
      <c r="M18" s="120" t="n">
        <v>0</v>
      </c>
      <c r="N18" s="118">
        <f>IF(OR($I18="",$K18="",$L18="",$M18=""),"",IFERROR(MAX(0,$I18+$K18+IFERROR(MAX(0,$L18-$M18),0)*$F18),0))</f>
        <v/>
      </c>
    </row>
    <row r="19" ht="15" customHeight="1" s="74">
      <c r="A19" s="115" t="inlineStr">
        <is>
          <t>Gülay Öztürk</t>
        </is>
      </c>
      <c r="B19" s="116" t="n">
        <v>40787</v>
      </c>
      <c r="C19" s="116" t="n">
        <v>46296</v>
      </c>
      <c r="D19" s="117" t="n">
        <v>75000</v>
      </c>
      <c r="E19" s="115" t="inlineStr">
        <is>
          <t>Aylık</t>
        </is>
      </c>
      <c r="F19" s="118">
        <f>IF(OR($A19="",$D19=""),"",IF($E19="Günlük",$D19,$D19/UcretGunSayisi))</f>
        <v/>
      </c>
      <c r="G19" s="119">
        <f>IF(OR($A19="",$B19="",$C19=""),"",IFERROR(MAX(0,DATEDIF($B19,$C19,"Y")),0))</f>
        <v/>
      </c>
      <c r="H19" s="119">
        <f>IF(OR($A19="",$B19="",$C19=""),"",IFERROR(MAX(0,DATEDIF($B19,$C19,"D")),0))</f>
        <v/>
      </c>
      <c r="I19" s="118">
        <f>IF(OR($F19="",$G19="",$H19=""),"",IFERROR(MIN($F19*UcretGunSayisi,KidemTavan)*(IFERROR($G19,0)+IFERROR($H19,0)/365),0))</f>
        <v/>
      </c>
      <c r="J19" s="119">
        <f>IF(OR($H19="",$C19=""),"",IFERROR(IF($H19&lt;IhbarEsik1Gun,IhbarSure1,IF($H19&lt;IhbarEsik2Gun,IhbarSure2,IF($H19&lt;IhbarEsik3Gun,IhbarSure3,IhbarSure4))),0))</f>
        <v/>
      </c>
      <c r="K19" s="118">
        <f>IF(OR($F19="",$J19=""),"",IFERROR(MAX(0,$F19*$J19),0))</f>
        <v/>
      </c>
      <c r="L19" s="119">
        <f>IF(OR($G19="",$C19=""),"",IFERROR(IF($G19&gt;=IzinEsik2,IzinHakki3,IF($G19&gt;=IzinEsik1,IzinHakki2,IzinHakki1)),0))</f>
        <v/>
      </c>
      <c r="M19" s="120" t="n">
        <v>18</v>
      </c>
      <c r="N19" s="118">
        <f>IF(OR($I19="",$K19="",$L19="",$M19=""),"",IFERROR(MAX(0,$I19+$K19+IFERROR(MAX(0,$L19-$M19),0)*$F19),0))</f>
        <v/>
      </c>
    </row>
    <row r="20" ht="15" customHeight="1" s="74">
      <c r="A20" s="121" t="n"/>
      <c r="B20" s="122" t="n"/>
      <c r="C20" s="122" t="n"/>
      <c r="D20" s="123" t="n"/>
      <c r="E20" s="121" t="n"/>
      <c r="F20" s="124" t="n"/>
      <c r="G20" s="125" t="n"/>
      <c r="H20" s="125" t="n"/>
      <c r="I20" s="124" t="n"/>
      <c r="J20" s="125" t="n"/>
      <c r="K20" s="124" t="n"/>
      <c r="L20" s="125" t="n"/>
      <c r="M20" s="126" t="n"/>
      <c r="N20" s="124" t="n"/>
    </row>
    <row r="21" ht="15" customHeight="1" s="74">
      <c r="A21" s="121" t="n"/>
      <c r="B21" s="122" t="n"/>
      <c r="C21" s="122" t="n"/>
      <c r="D21" s="123" t="n"/>
      <c r="E21" s="121" t="n"/>
      <c r="F21" s="124" t="n"/>
      <c r="G21" s="125" t="n"/>
      <c r="H21" s="125" t="n"/>
      <c r="I21" s="124" t="n"/>
      <c r="J21" s="125" t="n"/>
      <c r="K21" s="124" t="n"/>
      <c r="L21" s="125" t="n"/>
      <c r="M21" s="126" t="n"/>
      <c r="N21" s="124" t="n"/>
    </row>
    <row r="22" ht="15" customHeight="1" s="74">
      <c r="A22" s="121" t="n"/>
      <c r="B22" s="122" t="n"/>
      <c r="C22" s="122" t="n"/>
      <c r="D22" s="123" t="n"/>
      <c r="E22" s="121" t="n"/>
      <c r="F22" s="124" t="n"/>
      <c r="G22" s="125" t="n"/>
      <c r="H22" s="125" t="n"/>
      <c r="I22" s="124" t="n"/>
      <c r="J22" s="125" t="n"/>
      <c r="K22" s="124" t="n"/>
      <c r="L22" s="125" t="n"/>
      <c r="M22" s="126" t="n"/>
      <c r="N22" s="124" t="n"/>
    </row>
    <row r="23" ht="15" customHeight="1" s="74">
      <c r="A23" s="121" t="n"/>
      <c r="B23" s="122" t="n"/>
      <c r="C23" s="122" t="n"/>
      <c r="D23" s="123" t="n"/>
      <c r="E23" s="121" t="n"/>
      <c r="F23" s="124" t="n"/>
      <c r="G23" s="125" t="n"/>
      <c r="H23" s="125" t="n"/>
      <c r="I23" s="124" t="n"/>
      <c r="J23" s="125" t="n"/>
      <c r="K23" s="124" t="n"/>
      <c r="L23" s="125" t="n"/>
      <c r="M23" s="126" t="n"/>
      <c r="N23" s="124" t="n"/>
    </row>
    <row r="24" ht="15" customHeight="1" s="74">
      <c r="A24" s="121" t="n"/>
      <c r="B24" s="122" t="n"/>
      <c r="C24" s="122" t="n"/>
      <c r="D24" s="123" t="n"/>
      <c r="E24" s="121" t="n"/>
      <c r="F24" s="124" t="n"/>
      <c r="G24" s="125" t="n"/>
      <c r="H24" s="125" t="n"/>
      <c r="I24" s="124" t="n"/>
      <c r="J24" s="125" t="n"/>
      <c r="K24" s="124" t="n"/>
      <c r="L24" s="125" t="n"/>
      <c r="M24" s="126" t="n"/>
      <c r="N24" s="124" t="n"/>
    </row>
    <row r="25" ht="15" customHeight="1" s="74">
      <c r="A25" s="121" t="n"/>
      <c r="B25" s="122" t="n"/>
      <c r="C25" s="122" t="n"/>
      <c r="D25" s="123" t="n"/>
      <c r="E25" s="121" t="n"/>
      <c r="F25" s="124" t="n"/>
      <c r="G25" s="125" t="n"/>
      <c r="H25" s="125" t="n"/>
      <c r="I25" s="124" t="n"/>
      <c r="J25" s="125" t="n"/>
      <c r="K25" s="124" t="n"/>
      <c r="L25" s="125" t="n"/>
      <c r="M25" s="126" t="n"/>
      <c r="N25" s="124" t="n"/>
    </row>
    <row r="26" ht="15" customHeight="1" s="74">
      <c r="A26" s="121" t="n"/>
      <c r="B26" s="122" t="n"/>
      <c r="C26" s="122" t="n"/>
      <c r="D26" s="123" t="n"/>
      <c r="E26" s="121" t="n"/>
      <c r="F26" s="124" t="n"/>
      <c r="G26" s="125" t="n"/>
      <c r="H26" s="125" t="n"/>
      <c r="I26" s="124" t="n"/>
      <c r="J26" s="125" t="n"/>
      <c r="K26" s="124" t="n"/>
      <c r="L26" s="125" t="n"/>
      <c r="M26" s="126" t="n"/>
      <c r="N26" s="124" t="n"/>
    </row>
    <row r="27" ht="15" customHeight="1" s="74">
      <c r="A27" s="121" t="n"/>
      <c r="B27" s="122" t="n"/>
      <c r="C27" s="122" t="n"/>
      <c r="D27" s="123" t="n"/>
      <c r="E27" s="121" t="n"/>
      <c r="F27" s="124" t="n"/>
      <c r="G27" s="125" t="n"/>
      <c r="H27" s="125" t="n"/>
      <c r="I27" s="124" t="n"/>
      <c r="J27" s="125" t="n"/>
      <c r="K27" s="124" t="n"/>
      <c r="L27" s="125" t="n"/>
      <c r="M27" s="126" t="n"/>
      <c r="N27" s="124" t="n"/>
    </row>
    <row r="28" ht="15" customHeight="1" s="74">
      <c r="A28" s="121" t="n"/>
      <c r="B28" s="122" t="n"/>
      <c r="C28" s="122" t="n"/>
      <c r="D28" s="123" t="n"/>
      <c r="E28" s="121" t="n"/>
      <c r="F28" s="124" t="n"/>
      <c r="G28" s="125" t="n"/>
      <c r="H28" s="125" t="n"/>
      <c r="I28" s="124" t="n"/>
      <c r="J28" s="125" t="n"/>
      <c r="K28" s="124" t="n"/>
      <c r="L28" s="125" t="n"/>
      <c r="M28" s="126" t="n"/>
      <c r="N28" s="124" t="n"/>
    </row>
    <row r="29" ht="15" customHeight="1" s="74">
      <c r="A29" s="121" t="n"/>
      <c r="B29" s="122" t="n"/>
      <c r="C29" s="122" t="n"/>
      <c r="D29" s="123" t="n"/>
      <c r="E29" s="121" t="n"/>
      <c r="F29" s="124" t="n"/>
      <c r="G29" s="125" t="n"/>
      <c r="H29" s="125" t="n"/>
      <c r="I29" s="124" t="n"/>
      <c r="J29" s="125" t="n"/>
      <c r="K29" s="124" t="n"/>
      <c r="L29" s="125" t="n"/>
      <c r="M29" s="126" t="n"/>
      <c r="N29" s="124" t="n"/>
    </row>
    <row r="30" ht="15" customHeight="1" s="74">
      <c r="A30" s="121" t="n"/>
      <c r="B30" s="122" t="n"/>
      <c r="C30" s="122" t="n"/>
      <c r="D30" s="123" t="n"/>
      <c r="E30" s="121" t="n"/>
      <c r="F30" s="124" t="n"/>
      <c r="G30" s="125" t="n"/>
      <c r="H30" s="125" t="n"/>
      <c r="I30" s="124" t="n"/>
      <c r="J30" s="125" t="n"/>
      <c r="K30" s="124" t="n"/>
      <c r="L30" s="125" t="n"/>
      <c r="M30" s="126" t="n"/>
      <c r="N30" s="124" t="n"/>
    </row>
    <row r="31" ht="15" customHeight="1" s="74">
      <c r="A31" s="121" t="n"/>
      <c r="B31" s="122" t="n"/>
      <c r="C31" s="122" t="n"/>
      <c r="D31" s="123" t="n"/>
      <c r="E31" s="121" t="n"/>
      <c r="F31" s="124" t="n"/>
      <c r="G31" s="125" t="n"/>
      <c r="H31" s="125" t="n"/>
      <c r="I31" s="124" t="n"/>
      <c r="J31" s="125" t="n"/>
      <c r="K31" s="124" t="n"/>
      <c r="L31" s="125" t="n"/>
      <c r="M31" s="126" t="n"/>
      <c r="N31" s="124" t="n"/>
    </row>
    <row r="32" ht="15" customHeight="1" s="74">
      <c r="A32" s="121" t="n"/>
      <c r="B32" s="122" t="n"/>
      <c r="C32" s="122" t="n"/>
      <c r="D32" s="123" t="n"/>
      <c r="E32" s="121" t="n"/>
      <c r="F32" s="124" t="n"/>
      <c r="G32" s="125" t="n"/>
      <c r="H32" s="125" t="n"/>
      <c r="I32" s="124" t="n"/>
      <c r="J32" s="125" t="n"/>
      <c r="K32" s="124" t="n"/>
      <c r="L32" s="125" t="n"/>
      <c r="M32" s="126" t="n"/>
      <c r="N32" s="124" t="n"/>
    </row>
    <row r="33" ht="15" customHeight="1" s="74">
      <c r="A33" s="121" t="n"/>
      <c r="B33" s="122" t="n"/>
      <c r="C33" s="122" t="n"/>
      <c r="D33" s="123" t="n"/>
      <c r="E33" s="121" t="n"/>
      <c r="F33" s="124" t="n"/>
      <c r="G33" s="125" t="n"/>
      <c r="H33" s="125" t="n"/>
      <c r="I33" s="124" t="n"/>
      <c r="J33" s="125" t="n"/>
      <c r="K33" s="124" t="n"/>
      <c r="L33" s="125" t="n"/>
      <c r="M33" s="126" t="n"/>
      <c r="N33" s="124" t="n"/>
    </row>
    <row r="34" ht="15" customHeight="1" s="74">
      <c r="A34" s="121" t="n"/>
      <c r="B34" s="122" t="n"/>
      <c r="C34" s="122" t="n"/>
      <c r="D34" s="123" t="n"/>
      <c r="E34" s="121" t="n"/>
      <c r="F34" s="124" t="n"/>
      <c r="G34" s="125" t="n"/>
      <c r="H34" s="125" t="n"/>
      <c r="I34" s="124" t="n"/>
      <c r="J34" s="125" t="n"/>
      <c r="K34" s="124" t="n"/>
      <c r="L34" s="125" t="n"/>
      <c r="M34" s="126" t="n"/>
      <c r="N34" s="124" t="n"/>
    </row>
    <row r="35" ht="15" customHeight="1" s="74">
      <c r="A35" s="121" t="n"/>
      <c r="B35" s="122" t="n"/>
      <c r="C35" s="122" t="n"/>
      <c r="D35" s="123" t="n"/>
      <c r="E35" s="121" t="n"/>
      <c r="F35" s="124" t="n"/>
      <c r="G35" s="125" t="n"/>
      <c r="H35" s="125" t="n"/>
      <c r="I35" s="124" t="n"/>
      <c r="J35" s="125" t="n"/>
      <c r="K35" s="124" t="n"/>
      <c r="L35" s="125" t="n"/>
      <c r="M35" s="126" t="n"/>
      <c r="N35" s="124" t="n"/>
    </row>
    <row r="36" ht="15" customHeight="1" s="74">
      <c r="A36" s="121" t="n"/>
      <c r="B36" s="122" t="n"/>
      <c r="C36" s="122" t="n"/>
      <c r="D36" s="123" t="n"/>
      <c r="E36" s="121" t="n"/>
      <c r="F36" s="124" t="n"/>
      <c r="G36" s="125" t="n"/>
      <c r="H36" s="125" t="n"/>
      <c r="I36" s="124" t="n"/>
      <c r="J36" s="125" t="n"/>
      <c r="K36" s="124" t="n"/>
      <c r="L36" s="125" t="n"/>
      <c r="M36" s="126" t="n"/>
      <c r="N36" s="124" t="n"/>
    </row>
    <row r="37" ht="15" customHeight="1" s="74">
      <c r="A37" s="121" t="n"/>
      <c r="B37" s="122" t="n"/>
      <c r="C37" s="122" t="n"/>
      <c r="D37" s="123" t="n"/>
      <c r="E37" s="121" t="n"/>
      <c r="F37" s="124" t="n"/>
      <c r="G37" s="125" t="n"/>
      <c r="H37" s="125" t="n"/>
      <c r="I37" s="124" t="n"/>
      <c r="J37" s="125" t="n"/>
      <c r="K37" s="124" t="n"/>
      <c r="L37" s="125" t="n"/>
      <c r="M37" s="126" t="n"/>
      <c r="N37" s="124" t="n"/>
    </row>
    <row r="38" ht="15" customHeight="1" s="74">
      <c r="A38" s="121" t="n"/>
      <c r="B38" s="122" t="n"/>
      <c r="C38" s="122" t="n"/>
      <c r="D38" s="123" t="n"/>
      <c r="E38" s="121" t="n"/>
      <c r="F38" s="124" t="n"/>
      <c r="G38" s="125" t="n"/>
      <c r="H38" s="125" t="n"/>
      <c r="I38" s="124" t="n"/>
      <c r="J38" s="125" t="n"/>
      <c r="K38" s="124" t="n"/>
      <c r="L38" s="125" t="n"/>
      <c r="M38" s="126" t="n"/>
      <c r="N38" s="124" t="n"/>
    </row>
    <row r="39" ht="15" customHeight="1" s="74">
      <c r="A39" s="121" t="n"/>
      <c r="B39" s="122" t="n"/>
      <c r="C39" s="122" t="n"/>
      <c r="D39" s="123" t="n"/>
      <c r="E39" s="121" t="n"/>
      <c r="F39" s="124" t="n"/>
      <c r="G39" s="125" t="n"/>
      <c r="H39" s="125" t="n"/>
      <c r="I39" s="124" t="n"/>
      <c r="J39" s="125" t="n"/>
      <c r="K39" s="124" t="n"/>
      <c r="L39" s="125" t="n"/>
      <c r="M39" s="126" t="n"/>
      <c r="N39" s="124" t="n"/>
    </row>
    <row r="40" ht="15" customHeight="1" s="74">
      <c r="A40" s="121" t="n"/>
      <c r="B40" s="122" t="n"/>
      <c r="C40" s="122" t="n"/>
      <c r="D40" s="123" t="n"/>
      <c r="E40" s="121" t="n"/>
      <c r="F40" s="124" t="n"/>
      <c r="G40" s="125" t="n"/>
      <c r="H40" s="125" t="n"/>
      <c r="I40" s="124" t="n"/>
      <c r="J40" s="125" t="n"/>
      <c r="K40" s="124" t="n"/>
      <c r="L40" s="125" t="n"/>
      <c r="M40" s="126" t="n"/>
      <c r="N40" s="124" t="n"/>
    </row>
    <row r="41" ht="15" customHeight="1" s="74">
      <c r="A41" s="121" t="n"/>
      <c r="B41" s="122" t="n"/>
      <c r="C41" s="122" t="n"/>
      <c r="D41" s="123" t="n"/>
      <c r="E41" s="121" t="n"/>
      <c r="F41" s="124" t="n"/>
      <c r="G41" s="125" t="n"/>
      <c r="H41" s="125" t="n"/>
      <c r="I41" s="124" t="n"/>
      <c r="J41" s="125" t="n"/>
      <c r="K41" s="124" t="n"/>
      <c r="L41" s="125" t="n"/>
      <c r="M41" s="126" t="n"/>
      <c r="N41" s="124" t="n"/>
    </row>
    <row r="42" ht="15" customHeight="1" s="74">
      <c r="A42" s="121" t="n"/>
      <c r="B42" s="122" t="n"/>
      <c r="C42" s="122" t="n"/>
      <c r="D42" s="123" t="n"/>
      <c r="E42" s="121" t="n"/>
      <c r="F42" s="124" t="n"/>
      <c r="G42" s="125" t="n"/>
      <c r="H42" s="125" t="n"/>
      <c r="I42" s="124" t="n"/>
      <c r="J42" s="125" t="n"/>
      <c r="K42" s="124" t="n"/>
      <c r="L42" s="125" t="n"/>
      <c r="M42" s="126" t="n"/>
      <c r="N42" s="124" t="n"/>
    </row>
    <row r="43" ht="15" customHeight="1" s="74">
      <c r="A43" s="121" t="n"/>
      <c r="B43" s="122" t="n"/>
      <c r="C43" s="122" t="n"/>
      <c r="D43" s="123" t="n"/>
      <c r="E43" s="121" t="n"/>
      <c r="F43" s="124" t="n"/>
      <c r="G43" s="125" t="n"/>
      <c r="H43" s="125" t="n"/>
      <c r="I43" s="124" t="n"/>
      <c r="J43" s="125" t="n"/>
      <c r="K43" s="124" t="n"/>
      <c r="L43" s="125" t="n"/>
      <c r="M43" s="126" t="n"/>
      <c r="N43" s="124" t="n"/>
    </row>
    <row r="44" ht="15" customHeight="1" s="74">
      <c r="A44" s="121" t="n"/>
      <c r="B44" s="122" t="n"/>
      <c r="C44" s="122" t="n"/>
      <c r="D44" s="123" t="n"/>
      <c r="E44" s="121" t="n"/>
      <c r="F44" s="124" t="n"/>
      <c r="G44" s="125" t="n"/>
      <c r="H44" s="125" t="n"/>
      <c r="I44" s="124" t="n"/>
      <c r="J44" s="125" t="n"/>
      <c r="K44" s="124" t="n"/>
      <c r="L44" s="125" t="n"/>
      <c r="M44" s="126" t="n"/>
      <c r="N44" s="124" t="n"/>
    </row>
    <row r="45" ht="15" customHeight="1" s="74">
      <c r="A45" s="121" t="n"/>
      <c r="B45" s="122" t="n"/>
      <c r="C45" s="122" t="n"/>
      <c r="D45" s="123" t="n"/>
      <c r="E45" s="121" t="n"/>
      <c r="F45" s="124" t="n"/>
      <c r="G45" s="125" t="n"/>
      <c r="H45" s="125" t="n"/>
      <c r="I45" s="124" t="n"/>
      <c r="J45" s="125" t="n"/>
      <c r="K45" s="124" t="n"/>
      <c r="L45" s="125" t="n"/>
      <c r="M45" s="126" t="n"/>
      <c r="N45" s="124" t="n"/>
    </row>
    <row r="46" ht="15" customHeight="1" s="74">
      <c r="A46" s="121" t="n"/>
      <c r="B46" s="122" t="n"/>
      <c r="C46" s="122" t="n"/>
      <c r="D46" s="123" t="n"/>
      <c r="E46" s="121" t="n"/>
      <c r="F46" s="124" t="n"/>
      <c r="G46" s="125" t="n"/>
      <c r="H46" s="125" t="n"/>
      <c r="I46" s="124" t="n"/>
      <c r="J46" s="125" t="n"/>
      <c r="K46" s="124" t="n"/>
      <c r="L46" s="125" t="n"/>
      <c r="M46" s="126" t="n"/>
      <c r="N46" s="124" t="n"/>
    </row>
    <row r="47" ht="15" customHeight="1" s="74">
      <c r="A47" s="121" t="n"/>
      <c r="B47" s="122" t="n"/>
      <c r="C47" s="122" t="n"/>
      <c r="D47" s="123" t="n"/>
      <c r="E47" s="121" t="n"/>
      <c r="F47" s="124" t="n"/>
      <c r="G47" s="125" t="n"/>
      <c r="H47" s="125" t="n"/>
      <c r="I47" s="124" t="n"/>
      <c r="J47" s="125" t="n"/>
      <c r="K47" s="124" t="n"/>
      <c r="L47" s="125" t="n"/>
      <c r="M47" s="126" t="n"/>
      <c r="N47" s="124" t="n"/>
    </row>
    <row r="48" ht="15" customHeight="1" s="74">
      <c r="A48" s="121" t="n"/>
      <c r="B48" s="122" t="n"/>
      <c r="C48" s="122" t="n"/>
      <c r="D48" s="123" t="n"/>
      <c r="E48" s="121" t="n"/>
      <c r="F48" s="124" t="n"/>
      <c r="G48" s="125" t="n"/>
      <c r="H48" s="125" t="n"/>
      <c r="I48" s="124" t="n"/>
      <c r="J48" s="125" t="n"/>
      <c r="K48" s="124" t="n"/>
      <c r="L48" s="125" t="n"/>
      <c r="M48" s="126" t="n"/>
      <c r="N48" s="124" t="n"/>
    </row>
    <row r="49" ht="15" customHeight="1" s="74">
      <c r="A49" s="121" t="n"/>
      <c r="B49" s="122" t="n"/>
      <c r="C49" s="122" t="n"/>
      <c r="D49" s="123" t="n"/>
      <c r="E49" s="121" t="n"/>
      <c r="F49" s="124" t="n"/>
      <c r="G49" s="125" t="n"/>
      <c r="H49" s="125" t="n"/>
      <c r="I49" s="124" t="n"/>
      <c r="J49" s="125" t="n"/>
      <c r="K49" s="124" t="n"/>
      <c r="L49" s="125" t="n"/>
      <c r="M49" s="126" t="n"/>
      <c r="N49" s="124" t="n"/>
    </row>
    <row r="50" ht="15" customHeight="1" s="74">
      <c r="A50" s="121" t="n"/>
      <c r="B50" s="122" t="n"/>
      <c r="C50" s="122" t="n"/>
      <c r="D50" s="123" t="n"/>
      <c r="E50" s="121" t="n"/>
      <c r="F50" s="124" t="n"/>
      <c r="G50" s="125" t="n"/>
      <c r="H50" s="125" t="n"/>
      <c r="I50" s="124" t="n"/>
      <c r="J50" s="125" t="n"/>
      <c r="K50" s="124" t="n"/>
      <c r="L50" s="125" t="n"/>
      <c r="M50" s="126" t="n"/>
      <c r="N50" s="124" t="n"/>
    </row>
    <row r="51" ht="15" customHeight="1" s="74">
      <c r="A51" s="121" t="n"/>
      <c r="B51" s="122" t="n"/>
      <c r="C51" s="122" t="n"/>
      <c r="D51" s="123" t="n"/>
      <c r="E51" s="121" t="n"/>
      <c r="F51" s="124" t="n"/>
      <c r="G51" s="125" t="n"/>
      <c r="H51" s="125" t="n"/>
      <c r="I51" s="124" t="n"/>
      <c r="J51" s="125" t="n"/>
      <c r="K51" s="124" t="n"/>
      <c r="L51" s="125" t="n"/>
      <c r="M51" s="126" t="n"/>
      <c r="N51" s="124" t="n"/>
    </row>
    <row r="52" ht="15" customHeight="1" s="74">
      <c r="A52" s="121" t="n"/>
      <c r="B52" s="122" t="n"/>
      <c r="C52" s="122" t="n"/>
      <c r="D52" s="123" t="n"/>
      <c r="E52" s="121" t="n"/>
      <c r="F52" s="124" t="n"/>
      <c r="G52" s="125" t="n"/>
      <c r="H52" s="125" t="n"/>
      <c r="I52" s="124" t="n"/>
      <c r="J52" s="125" t="n"/>
      <c r="K52" s="124" t="n"/>
      <c r="L52" s="125" t="n"/>
      <c r="M52" s="126" t="n"/>
      <c r="N52" s="124" t="n"/>
    </row>
    <row r="53" ht="15" customHeight="1" s="74">
      <c r="A53" s="121" t="n"/>
      <c r="B53" s="122" t="n"/>
      <c r="C53" s="122" t="n"/>
      <c r="D53" s="123" t="n"/>
      <c r="E53" s="121" t="n"/>
      <c r="F53" s="124" t="n"/>
      <c r="G53" s="125" t="n"/>
      <c r="H53" s="125" t="n"/>
      <c r="I53" s="124" t="n"/>
      <c r="J53" s="125" t="n"/>
      <c r="K53" s="124" t="n"/>
      <c r="L53" s="125" t="n"/>
      <c r="M53" s="126" t="n"/>
      <c r="N53" s="124" t="n"/>
    </row>
    <row r="54" ht="15" customHeight="1" s="74">
      <c r="A54" s="121" t="n"/>
      <c r="B54" s="122" t="n"/>
      <c r="C54" s="122" t="n"/>
      <c r="D54" s="123" t="n"/>
      <c r="E54" s="121" t="n"/>
      <c r="F54" s="124" t="n"/>
      <c r="G54" s="125" t="n"/>
      <c r="H54" s="125" t="n"/>
      <c r="I54" s="124" t="n"/>
      <c r="J54" s="125" t="n"/>
      <c r="K54" s="124" t="n"/>
      <c r="L54" s="125" t="n"/>
      <c r="M54" s="126" t="n"/>
      <c r="N54" s="124" t="n"/>
    </row>
    <row r="55" ht="15" customHeight="1" s="74">
      <c r="A55" s="121" t="n"/>
      <c r="B55" s="122" t="n"/>
      <c r="C55" s="122" t="n"/>
      <c r="D55" s="123" t="n"/>
      <c r="E55" s="121" t="n"/>
      <c r="F55" s="124" t="n"/>
      <c r="G55" s="125" t="n"/>
      <c r="H55" s="125" t="n"/>
      <c r="I55" s="124" t="n"/>
      <c r="J55" s="125" t="n"/>
      <c r="K55" s="124" t="n"/>
      <c r="L55" s="125" t="n"/>
      <c r="M55" s="126" t="n"/>
      <c r="N55" s="124" t="n"/>
    </row>
    <row r="56" ht="15" customHeight="1" s="74">
      <c r="A56" s="121" t="n"/>
      <c r="B56" s="122" t="n"/>
      <c r="C56" s="122" t="n"/>
      <c r="D56" s="123" t="n"/>
      <c r="E56" s="121" t="n"/>
      <c r="F56" s="124" t="n"/>
      <c r="G56" s="125" t="n"/>
      <c r="H56" s="125" t="n"/>
      <c r="I56" s="124" t="n"/>
      <c r="J56" s="125" t="n"/>
      <c r="K56" s="124" t="n"/>
      <c r="L56" s="125" t="n"/>
      <c r="M56" s="126" t="n"/>
      <c r="N56" s="124" t="n"/>
    </row>
    <row r="57" ht="15" customHeight="1" s="74">
      <c r="A57" s="121" t="n"/>
      <c r="B57" s="122" t="n"/>
      <c r="C57" s="122" t="n"/>
      <c r="D57" s="123" t="n"/>
      <c r="E57" s="121" t="n"/>
      <c r="F57" s="124" t="n"/>
      <c r="G57" s="125" t="n"/>
      <c r="H57" s="125" t="n"/>
      <c r="I57" s="124" t="n"/>
      <c r="J57" s="125" t="n"/>
      <c r="K57" s="124" t="n"/>
      <c r="L57" s="125" t="n"/>
      <c r="M57" s="126" t="n"/>
      <c r="N57" s="124" t="n"/>
    </row>
    <row r="58" ht="15" customHeight="1" s="74">
      <c r="A58" s="121" t="n"/>
      <c r="B58" s="122" t="n"/>
      <c r="C58" s="122" t="n"/>
      <c r="D58" s="123" t="n"/>
      <c r="E58" s="121" t="n"/>
      <c r="F58" s="124" t="n"/>
      <c r="G58" s="125" t="n"/>
      <c r="H58" s="125" t="n"/>
      <c r="I58" s="124" t="n"/>
      <c r="J58" s="125" t="n"/>
      <c r="K58" s="124" t="n"/>
      <c r="L58" s="125" t="n"/>
      <c r="M58" s="126" t="n"/>
      <c r="N58" s="124" t="n"/>
    </row>
    <row r="59" ht="15" customHeight="1" s="74">
      <c r="A59" s="121" t="n"/>
      <c r="B59" s="122" t="n"/>
      <c r="C59" s="122" t="n"/>
      <c r="D59" s="123" t="n"/>
      <c r="E59" s="121" t="n"/>
      <c r="F59" s="124" t="n"/>
      <c r="G59" s="125" t="n"/>
      <c r="H59" s="125" t="n"/>
      <c r="I59" s="124" t="n"/>
      <c r="J59" s="125" t="n"/>
      <c r="K59" s="124" t="n"/>
      <c r="L59" s="125" t="n"/>
      <c r="M59" s="126" t="n"/>
      <c r="N59" s="124" t="n"/>
    </row>
    <row r="60" ht="15" customHeight="1" s="74">
      <c r="A60" s="121" t="n"/>
      <c r="B60" s="122" t="n"/>
      <c r="C60" s="122" t="n"/>
      <c r="D60" s="123" t="n"/>
      <c r="E60" s="121" t="n"/>
      <c r="F60" s="124" t="n"/>
      <c r="G60" s="125" t="n"/>
      <c r="H60" s="125" t="n"/>
      <c r="I60" s="124" t="n"/>
      <c r="J60" s="125" t="n"/>
      <c r="K60" s="124" t="n"/>
      <c r="L60" s="125" t="n"/>
      <c r="M60" s="126" t="n"/>
      <c r="N60" s="124" t="n"/>
    </row>
    <row r="61" ht="15" customHeight="1" s="74">
      <c r="A61" s="121" t="n"/>
      <c r="B61" s="122" t="n"/>
      <c r="C61" s="122" t="n"/>
      <c r="D61" s="123" t="n"/>
      <c r="E61" s="121" t="n"/>
      <c r="F61" s="124" t="n"/>
      <c r="G61" s="125" t="n"/>
      <c r="H61" s="125" t="n"/>
      <c r="I61" s="124" t="n"/>
      <c r="J61" s="125" t="n"/>
      <c r="K61" s="124" t="n"/>
      <c r="L61" s="125" t="n"/>
      <c r="M61" s="126" t="n"/>
      <c r="N61" s="124" t="n"/>
    </row>
    <row r="62" ht="15" customHeight="1" s="74">
      <c r="A62" s="121" t="n"/>
      <c r="B62" s="122" t="n"/>
      <c r="C62" s="122" t="n"/>
      <c r="D62" s="123" t="n"/>
      <c r="E62" s="121" t="n"/>
      <c r="F62" s="124" t="n"/>
      <c r="G62" s="125" t="n"/>
      <c r="H62" s="125" t="n"/>
      <c r="I62" s="124" t="n"/>
      <c r="J62" s="125" t="n"/>
      <c r="K62" s="124" t="n"/>
      <c r="L62" s="125" t="n"/>
      <c r="M62" s="126" t="n"/>
      <c r="N62" s="124" t="n"/>
    </row>
    <row r="63" ht="15" customHeight="1" s="74">
      <c r="A63" s="121" t="n"/>
      <c r="B63" s="122" t="n"/>
      <c r="C63" s="122" t="n"/>
      <c r="D63" s="123" t="n"/>
      <c r="E63" s="121" t="n"/>
      <c r="F63" s="124" t="n"/>
      <c r="G63" s="125" t="n"/>
      <c r="H63" s="125" t="n"/>
      <c r="I63" s="124" t="n"/>
      <c r="J63" s="125" t="n"/>
      <c r="K63" s="124" t="n"/>
      <c r="L63" s="125" t="n"/>
      <c r="M63" s="126" t="n"/>
      <c r="N63" s="124" t="n"/>
    </row>
    <row r="64" ht="15" customHeight="1" s="74">
      <c r="A64" s="121" t="n"/>
      <c r="B64" s="122" t="n"/>
      <c r="C64" s="122" t="n"/>
      <c r="D64" s="123" t="n"/>
      <c r="E64" s="121" t="n"/>
      <c r="F64" s="124" t="n"/>
      <c r="G64" s="125" t="n"/>
      <c r="H64" s="125" t="n"/>
      <c r="I64" s="124" t="n"/>
      <c r="J64" s="125" t="n"/>
      <c r="K64" s="124" t="n"/>
      <c r="L64" s="125" t="n"/>
      <c r="M64" s="126" t="n"/>
      <c r="N64" s="124" t="n"/>
    </row>
    <row r="65" ht="15" customHeight="1" s="74">
      <c r="A65" s="121" t="n"/>
      <c r="B65" s="122" t="n"/>
      <c r="C65" s="122" t="n"/>
      <c r="D65" s="123" t="n"/>
      <c r="E65" s="121" t="n"/>
      <c r="F65" s="124" t="n"/>
      <c r="G65" s="125" t="n"/>
      <c r="H65" s="125" t="n"/>
      <c r="I65" s="124" t="n"/>
      <c r="J65" s="125" t="n"/>
      <c r="K65" s="124" t="n"/>
      <c r="L65" s="125" t="n"/>
      <c r="M65" s="126" t="n"/>
      <c r="N65" s="124" t="n"/>
    </row>
    <row r="66" ht="15" customHeight="1" s="74">
      <c r="A66" s="121" t="n"/>
      <c r="B66" s="122" t="n"/>
      <c r="C66" s="122" t="n"/>
      <c r="D66" s="123" t="n"/>
      <c r="E66" s="121" t="n"/>
      <c r="F66" s="124" t="n"/>
      <c r="G66" s="125" t="n"/>
      <c r="H66" s="125" t="n"/>
      <c r="I66" s="124" t="n"/>
      <c r="J66" s="125" t="n"/>
      <c r="K66" s="124" t="n"/>
      <c r="L66" s="125" t="n"/>
      <c r="M66" s="126" t="n"/>
      <c r="N66" s="124" t="n"/>
    </row>
    <row r="67" ht="15" customHeight="1" s="74">
      <c r="A67" s="121" t="n"/>
      <c r="B67" s="122" t="n"/>
      <c r="C67" s="122" t="n"/>
      <c r="D67" s="123" t="n"/>
      <c r="E67" s="121" t="n"/>
      <c r="F67" s="124" t="n"/>
      <c r="G67" s="125" t="n"/>
      <c r="H67" s="125" t="n"/>
      <c r="I67" s="124" t="n"/>
      <c r="J67" s="125" t="n"/>
      <c r="K67" s="124" t="n"/>
      <c r="L67" s="125" t="n"/>
      <c r="M67" s="126" t="n"/>
      <c r="N67" s="124" t="n"/>
    </row>
    <row r="68" ht="15" customHeight="1" s="74">
      <c r="A68" s="121" t="n"/>
      <c r="B68" s="122" t="n"/>
      <c r="C68" s="122" t="n"/>
      <c r="D68" s="123" t="n"/>
      <c r="E68" s="121" t="n"/>
      <c r="F68" s="124" t="n"/>
      <c r="G68" s="125" t="n"/>
      <c r="H68" s="125" t="n"/>
      <c r="I68" s="124" t="n"/>
      <c r="J68" s="125" t="n"/>
      <c r="K68" s="124" t="n"/>
      <c r="L68" s="125" t="n"/>
      <c r="M68" s="126" t="n"/>
      <c r="N68" s="124" t="n"/>
    </row>
    <row r="69" ht="15" customHeight="1" s="74">
      <c r="A69" s="121" t="n"/>
      <c r="B69" s="122" t="n"/>
      <c r="C69" s="122" t="n"/>
      <c r="D69" s="123" t="n"/>
      <c r="E69" s="121" t="n"/>
      <c r="F69" s="124" t="n"/>
      <c r="G69" s="125" t="n"/>
      <c r="H69" s="125" t="n"/>
      <c r="I69" s="124" t="n"/>
      <c r="J69" s="125" t="n"/>
      <c r="K69" s="124" t="n"/>
      <c r="L69" s="125" t="n"/>
      <c r="M69" s="126" t="n"/>
      <c r="N69" s="124" t="n"/>
    </row>
    <row r="70" ht="15" customHeight="1" s="74">
      <c r="A70" s="121" t="n"/>
      <c r="B70" s="122" t="n"/>
      <c r="C70" s="122" t="n"/>
      <c r="D70" s="123" t="n"/>
      <c r="E70" s="121" t="n"/>
      <c r="F70" s="124" t="n"/>
      <c r="G70" s="125" t="n"/>
      <c r="H70" s="125" t="n"/>
      <c r="I70" s="124" t="n"/>
      <c r="J70" s="125" t="n"/>
      <c r="K70" s="124" t="n"/>
      <c r="L70" s="125" t="n"/>
      <c r="M70" s="126" t="n"/>
      <c r="N70" s="124" t="n"/>
    </row>
    <row r="71" ht="15" customHeight="1" s="74">
      <c r="A71" s="121" t="n"/>
      <c r="B71" s="122" t="n"/>
      <c r="C71" s="122" t="n"/>
      <c r="D71" s="123" t="n"/>
      <c r="E71" s="121" t="n"/>
      <c r="F71" s="124" t="n"/>
      <c r="G71" s="125" t="n"/>
      <c r="H71" s="125" t="n"/>
      <c r="I71" s="124" t="n"/>
      <c r="J71" s="125" t="n"/>
      <c r="K71" s="124" t="n"/>
      <c r="L71" s="125" t="n"/>
      <c r="M71" s="126" t="n"/>
      <c r="N71" s="124" t="n"/>
    </row>
    <row r="72" ht="15" customHeight="1" s="74">
      <c r="A72" s="121" t="n"/>
      <c r="B72" s="122" t="n"/>
      <c r="C72" s="122" t="n"/>
      <c r="D72" s="123" t="n"/>
      <c r="E72" s="121" t="n"/>
      <c r="F72" s="124" t="n"/>
      <c r="G72" s="125" t="n"/>
      <c r="H72" s="125" t="n"/>
      <c r="I72" s="124" t="n"/>
      <c r="J72" s="125" t="n"/>
      <c r="K72" s="124" t="n"/>
      <c r="L72" s="125" t="n"/>
      <c r="M72" s="126" t="n"/>
      <c r="N72" s="124" t="n"/>
    </row>
    <row r="73" ht="15" customHeight="1" s="74">
      <c r="A73" s="121" t="n"/>
      <c r="B73" s="122" t="n"/>
      <c r="C73" s="122" t="n"/>
      <c r="D73" s="123" t="n"/>
      <c r="E73" s="121" t="n"/>
      <c r="F73" s="124" t="n"/>
      <c r="G73" s="125" t="n"/>
      <c r="H73" s="125" t="n"/>
      <c r="I73" s="124" t="n"/>
      <c r="J73" s="125" t="n"/>
      <c r="K73" s="124" t="n"/>
      <c r="L73" s="125" t="n"/>
      <c r="M73" s="126" t="n"/>
      <c r="N73" s="124" t="n"/>
    </row>
    <row r="74" ht="15" customHeight="1" s="74">
      <c r="A74" s="121" t="n"/>
      <c r="B74" s="122" t="n"/>
      <c r="C74" s="122" t="n"/>
      <c r="D74" s="123" t="n"/>
      <c r="E74" s="121" t="n"/>
      <c r="F74" s="124" t="n"/>
      <c r="G74" s="125" t="n"/>
      <c r="H74" s="125" t="n"/>
      <c r="I74" s="124" t="n"/>
      <c r="J74" s="125" t="n"/>
      <c r="K74" s="124" t="n"/>
      <c r="L74" s="125" t="n"/>
      <c r="M74" s="126" t="n"/>
      <c r="N74" s="124" t="n"/>
    </row>
    <row r="75" ht="15" customHeight="1" s="74">
      <c r="A75" s="121" t="n"/>
      <c r="B75" s="122" t="n"/>
      <c r="C75" s="122" t="n"/>
      <c r="D75" s="123" t="n"/>
      <c r="E75" s="121" t="n"/>
      <c r="F75" s="124" t="n"/>
      <c r="G75" s="125" t="n"/>
      <c r="H75" s="125" t="n"/>
      <c r="I75" s="124" t="n"/>
      <c r="J75" s="125" t="n"/>
      <c r="K75" s="124" t="n"/>
      <c r="L75" s="125" t="n"/>
      <c r="M75" s="126" t="n"/>
      <c r="N75" s="124" t="n"/>
    </row>
    <row r="76" ht="15" customHeight="1" s="74">
      <c r="A76" s="121" t="n"/>
      <c r="B76" s="122" t="n"/>
      <c r="C76" s="122" t="n"/>
      <c r="D76" s="123" t="n"/>
      <c r="E76" s="121" t="n"/>
      <c r="F76" s="124" t="n"/>
      <c r="G76" s="125" t="n"/>
      <c r="H76" s="125" t="n"/>
      <c r="I76" s="124" t="n"/>
      <c r="J76" s="125" t="n"/>
      <c r="K76" s="124" t="n"/>
      <c r="L76" s="125" t="n"/>
      <c r="M76" s="126" t="n"/>
      <c r="N76" s="124" t="n"/>
    </row>
    <row r="77" ht="15" customHeight="1" s="74">
      <c r="A77" s="121" t="n"/>
      <c r="B77" s="122" t="n"/>
      <c r="C77" s="122" t="n"/>
      <c r="D77" s="123" t="n"/>
      <c r="E77" s="121" t="n"/>
      <c r="F77" s="124" t="n"/>
      <c r="G77" s="125" t="n"/>
      <c r="H77" s="125" t="n"/>
      <c r="I77" s="124" t="n"/>
      <c r="J77" s="125" t="n"/>
      <c r="K77" s="124" t="n"/>
      <c r="L77" s="125" t="n"/>
      <c r="M77" s="126" t="n"/>
      <c r="N77" s="124" t="n"/>
    </row>
    <row r="78" ht="15" customHeight="1" s="74">
      <c r="A78" s="121" t="n"/>
      <c r="B78" s="122" t="n"/>
      <c r="C78" s="122" t="n"/>
      <c r="D78" s="123" t="n"/>
      <c r="E78" s="121" t="n"/>
      <c r="F78" s="124" t="n"/>
      <c r="G78" s="125" t="n"/>
      <c r="H78" s="125" t="n"/>
      <c r="I78" s="124" t="n"/>
      <c r="J78" s="125" t="n"/>
      <c r="K78" s="124" t="n"/>
      <c r="L78" s="125" t="n"/>
      <c r="M78" s="126" t="n"/>
      <c r="N78" s="124" t="n"/>
    </row>
    <row r="79" ht="15" customHeight="1" s="74">
      <c r="A79" s="121" t="n"/>
      <c r="B79" s="122" t="n"/>
      <c r="C79" s="122" t="n"/>
      <c r="D79" s="123" t="n"/>
      <c r="E79" s="121" t="n"/>
      <c r="F79" s="124" t="n"/>
      <c r="G79" s="125" t="n"/>
      <c r="H79" s="125" t="n"/>
      <c r="I79" s="124" t="n"/>
      <c r="J79" s="125" t="n"/>
      <c r="K79" s="124" t="n"/>
      <c r="L79" s="125" t="n"/>
      <c r="M79" s="126" t="n"/>
      <c r="N79" s="124" t="n"/>
    </row>
    <row r="80" ht="15" customHeight="1" s="74">
      <c r="A80" s="121" t="n"/>
      <c r="B80" s="122" t="n"/>
      <c r="C80" s="122" t="n"/>
      <c r="D80" s="123" t="n"/>
      <c r="E80" s="121" t="n"/>
      <c r="F80" s="124" t="n"/>
      <c r="G80" s="125" t="n"/>
      <c r="H80" s="125" t="n"/>
      <c r="I80" s="124" t="n"/>
      <c r="J80" s="125" t="n"/>
      <c r="K80" s="124" t="n"/>
      <c r="L80" s="125" t="n"/>
      <c r="M80" s="126" t="n"/>
      <c r="N80" s="124" t="n"/>
    </row>
    <row r="81" ht="15" customHeight="1" s="74">
      <c r="A81" s="121" t="n"/>
      <c r="B81" s="122" t="n"/>
      <c r="C81" s="122" t="n"/>
      <c r="D81" s="123" t="n"/>
      <c r="E81" s="121" t="n"/>
      <c r="F81" s="124" t="n"/>
      <c r="G81" s="125" t="n"/>
      <c r="H81" s="125" t="n"/>
      <c r="I81" s="124" t="n"/>
      <c r="J81" s="125" t="n"/>
      <c r="K81" s="124" t="n"/>
      <c r="L81" s="125" t="n"/>
      <c r="M81" s="126" t="n"/>
      <c r="N81" s="124" t="n"/>
    </row>
    <row r="82" ht="15" customHeight="1" s="74">
      <c r="A82" s="121" t="n"/>
      <c r="B82" s="122" t="n"/>
      <c r="C82" s="122" t="n"/>
      <c r="D82" s="123" t="n"/>
      <c r="E82" s="121" t="n"/>
      <c r="F82" s="124" t="n"/>
      <c r="G82" s="125" t="n"/>
      <c r="H82" s="125" t="n"/>
      <c r="I82" s="124" t="n"/>
      <c r="J82" s="125" t="n"/>
      <c r="K82" s="124" t="n"/>
      <c r="L82" s="125" t="n"/>
      <c r="M82" s="126" t="n"/>
      <c r="N82" s="124" t="n"/>
    </row>
    <row r="83" ht="15" customHeight="1" s="74">
      <c r="A83" s="121" t="n"/>
      <c r="B83" s="122" t="n"/>
      <c r="C83" s="122" t="n"/>
      <c r="D83" s="123" t="n"/>
      <c r="E83" s="121" t="n"/>
      <c r="F83" s="124" t="n"/>
      <c r="G83" s="125" t="n"/>
      <c r="H83" s="125" t="n"/>
      <c r="I83" s="124" t="n"/>
      <c r="J83" s="125" t="n"/>
      <c r="K83" s="124" t="n"/>
      <c r="L83" s="125" t="n"/>
      <c r="M83" s="126" t="n"/>
      <c r="N83" s="124" t="n"/>
    </row>
    <row r="84" ht="15" customHeight="1" s="74">
      <c r="A84" s="121" t="n"/>
      <c r="B84" s="122" t="n"/>
      <c r="C84" s="122" t="n"/>
      <c r="D84" s="123" t="n"/>
      <c r="E84" s="121" t="n"/>
      <c r="F84" s="124" t="n"/>
      <c r="G84" s="125" t="n"/>
      <c r="H84" s="125" t="n"/>
      <c r="I84" s="124" t="n"/>
      <c r="J84" s="125" t="n"/>
      <c r="K84" s="124" t="n"/>
      <c r="L84" s="125" t="n"/>
      <c r="M84" s="126" t="n"/>
      <c r="N84" s="124" t="n"/>
    </row>
    <row r="85" ht="15" customHeight="1" s="74">
      <c r="A85" s="121" t="n"/>
      <c r="B85" s="122" t="n"/>
      <c r="C85" s="122" t="n"/>
      <c r="D85" s="123" t="n"/>
      <c r="E85" s="121" t="n"/>
      <c r="F85" s="124" t="n"/>
      <c r="G85" s="125" t="n"/>
      <c r="H85" s="125" t="n"/>
      <c r="I85" s="124" t="n"/>
      <c r="J85" s="125" t="n"/>
      <c r="K85" s="124" t="n"/>
      <c r="L85" s="125" t="n"/>
      <c r="M85" s="126" t="n"/>
      <c r="N85" s="124" t="n"/>
    </row>
    <row r="86" ht="15" customHeight="1" s="74">
      <c r="A86" s="121" t="n"/>
      <c r="B86" s="122" t="n"/>
      <c r="C86" s="122" t="n"/>
      <c r="D86" s="123" t="n"/>
      <c r="E86" s="121" t="n"/>
      <c r="F86" s="124" t="n"/>
      <c r="G86" s="125" t="n"/>
      <c r="H86" s="125" t="n"/>
      <c r="I86" s="124" t="n"/>
      <c r="J86" s="125" t="n"/>
      <c r="K86" s="124" t="n"/>
      <c r="L86" s="125" t="n"/>
      <c r="M86" s="126" t="n"/>
      <c r="N86" s="124" t="n"/>
    </row>
    <row r="87" ht="15" customHeight="1" s="74">
      <c r="A87" s="121" t="n"/>
      <c r="B87" s="122" t="n"/>
      <c r="C87" s="122" t="n"/>
      <c r="D87" s="123" t="n"/>
      <c r="E87" s="121" t="n"/>
      <c r="F87" s="124" t="n"/>
      <c r="G87" s="125" t="n"/>
      <c r="H87" s="125" t="n"/>
      <c r="I87" s="124" t="n"/>
      <c r="J87" s="125" t="n"/>
      <c r="K87" s="124" t="n"/>
      <c r="L87" s="125" t="n"/>
      <c r="M87" s="126" t="n"/>
      <c r="N87" s="124" t="n"/>
    </row>
    <row r="88" ht="15" customHeight="1" s="74">
      <c r="A88" s="121" t="n"/>
      <c r="B88" s="122" t="n"/>
      <c r="C88" s="122" t="n"/>
      <c r="D88" s="123" t="n"/>
      <c r="E88" s="121" t="n"/>
      <c r="F88" s="124" t="n"/>
      <c r="G88" s="125" t="n"/>
      <c r="H88" s="125" t="n"/>
      <c r="I88" s="124" t="n"/>
      <c r="J88" s="125" t="n"/>
      <c r="K88" s="124" t="n"/>
      <c r="L88" s="125" t="n"/>
      <c r="M88" s="126" t="n"/>
      <c r="N88" s="124" t="n"/>
    </row>
    <row r="89" ht="15" customHeight="1" s="74">
      <c r="A89" s="121" t="n"/>
      <c r="B89" s="122" t="n"/>
      <c r="C89" s="122" t="n"/>
      <c r="D89" s="123" t="n"/>
      <c r="E89" s="121" t="n"/>
      <c r="F89" s="124" t="n"/>
      <c r="G89" s="125" t="n"/>
      <c r="H89" s="125" t="n"/>
      <c r="I89" s="124" t="n"/>
      <c r="J89" s="125" t="n"/>
      <c r="K89" s="124" t="n"/>
      <c r="L89" s="125" t="n"/>
      <c r="M89" s="126" t="n"/>
      <c r="N89" s="124" t="n"/>
    </row>
    <row r="90" ht="15" customHeight="1" s="74">
      <c r="A90" s="121" t="n"/>
      <c r="B90" s="122" t="n"/>
      <c r="C90" s="122" t="n"/>
      <c r="D90" s="123" t="n"/>
      <c r="E90" s="121" t="n"/>
      <c r="F90" s="124" t="n"/>
      <c r="G90" s="125" t="n"/>
      <c r="H90" s="125" t="n"/>
      <c r="I90" s="124" t="n"/>
      <c r="J90" s="125" t="n"/>
      <c r="K90" s="124" t="n"/>
      <c r="L90" s="125" t="n"/>
      <c r="M90" s="126" t="n"/>
      <c r="N90" s="124" t="n"/>
    </row>
    <row r="91" ht="15" customHeight="1" s="74">
      <c r="A91" s="121" t="n"/>
      <c r="B91" s="122" t="n"/>
      <c r="C91" s="122" t="n"/>
      <c r="D91" s="123" t="n"/>
      <c r="E91" s="121" t="n"/>
      <c r="F91" s="124" t="n"/>
      <c r="G91" s="125" t="n"/>
      <c r="H91" s="125" t="n"/>
      <c r="I91" s="124" t="n"/>
      <c r="J91" s="125" t="n"/>
      <c r="K91" s="124" t="n"/>
      <c r="L91" s="125" t="n"/>
      <c r="M91" s="126" t="n"/>
      <c r="N91" s="124" t="n"/>
    </row>
    <row r="92" ht="15" customHeight="1" s="74">
      <c r="A92" s="121" t="n"/>
      <c r="B92" s="122" t="n"/>
      <c r="C92" s="122" t="n"/>
      <c r="D92" s="123" t="n"/>
      <c r="E92" s="121" t="n"/>
      <c r="F92" s="124" t="n"/>
      <c r="G92" s="125" t="n"/>
      <c r="H92" s="125" t="n"/>
      <c r="I92" s="124" t="n"/>
      <c r="J92" s="125" t="n"/>
      <c r="K92" s="124" t="n"/>
      <c r="L92" s="125" t="n"/>
      <c r="M92" s="126" t="n"/>
      <c r="N92" s="124" t="n"/>
    </row>
    <row r="93" ht="15" customHeight="1" s="74">
      <c r="A93" s="121" t="n"/>
      <c r="B93" s="122" t="n"/>
      <c r="C93" s="122" t="n"/>
      <c r="D93" s="123" t="n"/>
      <c r="E93" s="121" t="n"/>
      <c r="F93" s="124" t="n"/>
      <c r="G93" s="125" t="n"/>
      <c r="H93" s="125" t="n"/>
      <c r="I93" s="124" t="n"/>
      <c r="J93" s="125" t="n"/>
      <c r="K93" s="124" t="n"/>
      <c r="L93" s="125" t="n"/>
      <c r="M93" s="126" t="n"/>
      <c r="N93" s="124" t="n"/>
    </row>
    <row r="94" ht="15" customHeight="1" s="74">
      <c r="A94" s="121" t="n"/>
      <c r="B94" s="122" t="n"/>
      <c r="C94" s="122" t="n"/>
      <c r="D94" s="123" t="n"/>
      <c r="E94" s="121" t="n"/>
      <c r="F94" s="124" t="n"/>
      <c r="G94" s="125" t="n"/>
      <c r="H94" s="125" t="n"/>
      <c r="I94" s="124" t="n"/>
      <c r="J94" s="125" t="n"/>
      <c r="K94" s="124" t="n"/>
      <c r="L94" s="125" t="n"/>
      <c r="M94" s="126" t="n"/>
      <c r="N94" s="124" t="n"/>
    </row>
    <row r="95" ht="15" customHeight="1" s="74">
      <c r="A95" s="121" t="n"/>
      <c r="B95" s="122" t="n"/>
      <c r="C95" s="122" t="n"/>
      <c r="D95" s="123" t="n"/>
      <c r="E95" s="121" t="n"/>
      <c r="F95" s="124" t="n"/>
      <c r="G95" s="125" t="n"/>
      <c r="H95" s="125" t="n"/>
      <c r="I95" s="124" t="n"/>
      <c r="J95" s="125" t="n"/>
      <c r="K95" s="124" t="n"/>
      <c r="L95" s="125" t="n"/>
      <c r="M95" s="126" t="n"/>
      <c r="N95" s="124" t="n"/>
    </row>
    <row r="96" ht="15" customHeight="1" s="74">
      <c r="A96" s="121" t="n"/>
      <c r="B96" s="122" t="n"/>
      <c r="C96" s="122" t="n"/>
      <c r="D96" s="123" t="n"/>
      <c r="E96" s="121" t="n"/>
      <c r="F96" s="124" t="n"/>
      <c r="G96" s="125" t="n"/>
      <c r="H96" s="125" t="n"/>
      <c r="I96" s="124" t="n"/>
      <c r="J96" s="125" t="n"/>
      <c r="K96" s="124" t="n"/>
      <c r="L96" s="125" t="n"/>
      <c r="M96" s="126" t="n"/>
      <c r="N96" s="124" t="n"/>
    </row>
    <row r="97" ht="15" customHeight="1" s="74">
      <c r="A97" s="121" t="n"/>
      <c r="B97" s="122" t="n"/>
      <c r="C97" s="122" t="n"/>
      <c r="D97" s="123" t="n"/>
      <c r="E97" s="121" t="n"/>
      <c r="F97" s="124" t="n"/>
      <c r="G97" s="125" t="n"/>
      <c r="H97" s="125" t="n"/>
      <c r="I97" s="124" t="n"/>
      <c r="J97" s="125" t="n"/>
      <c r="K97" s="124" t="n"/>
      <c r="L97" s="125" t="n"/>
      <c r="M97" s="126" t="n"/>
      <c r="N97" s="124" t="n"/>
    </row>
    <row r="98" ht="15" customHeight="1" s="74">
      <c r="A98" s="121" t="n"/>
      <c r="B98" s="122" t="n"/>
      <c r="C98" s="122" t="n"/>
      <c r="D98" s="123" t="n"/>
      <c r="E98" s="121" t="n"/>
      <c r="F98" s="124" t="n"/>
      <c r="G98" s="125" t="n"/>
      <c r="H98" s="125" t="n"/>
      <c r="I98" s="124" t="n"/>
      <c r="J98" s="125" t="n"/>
      <c r="K98" s="124" t="n"/>
      <c r="L98" s="125" t="n"/>
      <c r="M98" s="126" t="n"/>
      <c r="N98" s="124" t="n"/>
    </row>
    <row r="99" ht="15" customHeight="1" s="74">
      <c r="A99" s="121" t="n"/>
      <c r="B99" s="122" t="n"/>
      <c r="C99" s="122" t="n"/>
      <c r="D99" s="123" t="n"/>
      <c r="E99" s="121" t="n"/>
      <c r="F99" s="124" t="n"/>
      <c r="G99" s="125" t="n"/>
      <c r="H99" s="125" t="n"/>
      <c r="I99" s="124" t="n"/>
      <c r="J99" s="125" t="n"/>
      <c r="K99" s="124" t="n"/>
      <c r="L99" s="125" t="n"/>
      <c r="M99" s="126" t="n"/>
      <c r="N99" s="124" t="n"/>
    </row>
    <row r="100" ht="15" customHeight="1" s="74">
      <c r="A100" s="121" t="n"/>
      <c r="B100" s="122" t="n"/>
      <c r="C100" s="122" t="n"/>
      <c r="D100" s="123" t="n"/>
      <c r="E100" s="121" t="n"/>
      <c r="F100" s="124" t="n"/>
      <c r="G100" s="125" t="n"/>
      <c r="H100" s="125" t="n"/>
      <c r="I100" s="124" t="n"/>
      <c r="J100" s="125" t="n"/>
      <c r="K100" s="124" t="n"/>
      <c r="L100" s="125" t="n"/>
      <c r="M100" s="126" t="n"/>
      <c r="N100" s="124" t="n"/>
    </row>
    <row r="101" ht="15" customHeight="1" s="74">
      <c r="A101" s="121" t="n"/>
      <c r="B101" s="122" t="n"/>
      <c r="C101" s="122" t="n"/>
      <c r="D101" s="123" t="n"/>
      <c r="E101" s="121" t="n"/>
      <c r="F101" s="124" t="n"/>
      <c r="G101" s="125" t="n"/>
      <c r="H101" s="125" t="n"/>
      <c r="I101" s="124" t="n"/>
      <c r="J101" s="125" t="n"/>
      <c r="K101" s="124" t="n"/>
      <c r="L101" s="125" t="n"/>
      <c r="M101" s="126" t="n"/>
      <c r="N101" s="124" t="n"/>
    </row>
    <row r="102" ht="15" customHeight="1" s="74">
      <c r="A102" s="121" t="n"/>
      <c r="B102" s="122" t="n"/>
      <c r="C102" s="122" t="n"/>
      <c r="D102" s="123" t="n"/>
      <c r="E102" s="121" t="n"/>
      <c r="F102" s="124" t="n"/>
      <c r="G102" s="125" t="n"/>
      <c r="H102" s="125" t="n"/>
      <c r="I102" s="124" t="n"/>
      <c r="J102" s="125" t="n"/>
      <c r="K102" s="124" t="n"/>
      <c r="L102" s="125" t="n"/>
      <c r="M102" s="126" t="n"/>
      <c r="N102" s="124" t="n"/>
    </row>
    <row r="103" ht="15" customHeight="1" s="74">
      <c r="A103" s="121" t="n"/>
      <c r="B103" s="122" t="n"/>
      <c r="C103" s="122" t="n"/>
      <c r="D103" s="123" t="n"/>
      <c r="E103" s="121" t="n"/>
      <c r="F103" s="124" t="n"/>
      <c r="G103" s="125" t="n"/>
      <c r="H103" s="125" t="n"/>
      <c r="I103" s="124" t="n"/>
      <c r="J103" s="125" t="n"/>
      <c r="K103" s="124" t="n"/>
      <c r="L103" s="125" t="n"/>
      <c r="M103" s="126" t="n"/>
      <c r="N103" s="124" t="n"/>
    </row>
    <row r="104" ht="15" customHeight="1" s="74">
      <c r="A104" s="121" t="n"/>
      <c r="B104" s="122" t="n"/>
      <c r="C104" s="122" t="n"/>
      <c r="D104" s="123" t="n"/>
      <c r="E104" s="121" t="n"/>
      <c r="F104" s="124" t="n"/>
      <c r="G104" s="125" t="n"/>
      <c r="H104" s="125" t="n"/>
      <c r="I104" s="124" t="n"/>
      <c r="J104" s="125" t="n"/>
      <c r="K104" s="124" t="n"/>
      <c r="L104" s="125" t="n"/>
      <c r="M104" s="126" t="n"/>
      <c r="N104" s="124" t="n"/>
    </row>
    <row r="105" ht="15" customHeight="1" s="74">
      <c r="A105" s="121" t="n"/>
      <c r="B105" s="122" t="n"/>
      <c r="C105" s="122" t="n"/>
      <c r="D105" s="123" t="n"/>
      <c r="E105" s="121" t="n"/>
      <c r="F105" s="124" t="n"/>
      <c r="G105" s="125" t="n"/>
      <c r="H105" s="125" t="n"/>
      <c r="I105" s="124" t="n"/>
      <c r="J105" s="125" t="n"/>
      <c r="K105" s="124" t="n"/>
      <c r="L105" s="125" t="n"/>
      <c r="M105" s="126" t="n"/>
      <c r="N105" s="124" t="n"/>
    </row>
    <row r="106" ht="15" customHeight="1" s="74">
      <c r="A106" s="121" t="n"/>
      <c r="B106" s="122" t="n"/>
      <c r="C106" s="122" t="n"/>
      <c r="D106" s="123" t="n"/>
      <c r="E106" s="121" t="n"/>
      <c r="F106" s="124" t="n"/>
      <c r="G106" s="125" t="n"/>
      <c r="H106" s="125" t="n"/>
      <c r="I106" s="124" t="n"/>
      <c r="J106" s="125" t="n"/>
      <c r="K106" s="124" t="n"/>
      <c r="L106" s="125" t="n"/>
      <c r="M106" s="126" t="n"/>
      <c r="N106" s="124" t="n"/>
    </row>
    <row r="107" ht="15" customHeight="1" s="74">
      <c r="A107" s="121" t="n"/>
      <c r="B107" s="122" t="n"/>
      <c r="C107" s="122" t="n"/>
      <c r="D107" s="123" t="n"/>
      <c r="E107" s="121" t="n"/>
      <c r="F107" s="124" t="n"/>
      <c r="G107" s="125" t="n"/>
      <c r="H107" s="125" t="n"/>
      <c r="I107" s="124" t="n"/>
      <c r="J107" s="125" t="n"/>
      <c r="K107" s="124" t="n"/>
      <c r="L107" s="125" t="n"/>
      <c r="M107" s="126" t="n"/>
      <c r="N107" s="124" t="n"/>
    </row>
    <row r="108" ht="15" customHeight="1" s="74">
      <c r="A108" s="121" t="n"/>
      <c r="B108" s="122" t="n"/>
      <c r="C108" s="122" t="n"/>
      <c r="D108" s="123" t="n"/>
      <c r="E108" s="121" t="n"/>
      <c r="F108" s="124" t="n"/>
      <c r="G108" s="125" t="n"/>
      <c r="H108" s="125" t="n"/>
      <c r="I108" s="124" t="n"/>
      <c r="J108" s="125" t="n"/>
      <c r="K108" s="124" t="n"/>
      <c r="L108" s="125" t="n"/>
      <c r="M108" s="126" t="n"/>
      <c r="N108" s="124" t="n"/>
    </row>
    <row r="109" ht="15" customHeight="1" s="74">
      <c r="A109" s="121" t="n"/>
      <c r="B109" s="122" t="n"/>
      <c r="C109" s="122" t="n"/>
      <c r="D109" s="123" t="n"/>
      <c r="E109" s="121" t="n"/>
      <c r="F109" s="124" t="n"/>
      <c r="G109" s="125" t="n"/>
      <c r="H109" s="125" t="n"/>
      <c r="I109" s="124" t="n"/>
      <c r="J109" s="125" t="n"/>
      <c r="K109" s="124" t="n"/>
      <c r="L109" s="125" t="n"/>
      <c r="M109" s="126" t="n"/>
      <c r="N109" s="124" t="n"/>
    </row>
    <row r="110" ht="15" customHeight="1" s="74">
      <c r="A110" s="121" t="n"/>
      <c r="B110" s="122" t="n"/>
      <c r="C110" s="122" t="n"/>
      <c r="D110" s="123" t="n"/>
      <c r="E110" s="121" t="n"/>
      <c r="F110" s="124" t="n"/>
      <c r="G110" s="125" t="n"/>
      <c r="H110" s="125" t="n"/>
      <c r="I110" s="124" t="n"/>
      <c r="J110" s="125" t="n"/>
      <c r="K110" s="124" t="n"/>
      <c r="L110" s="125" t="n"/>
      <c r="M110" s="126" t="n"/>
      <c r="N110" s="124" t="n"/>
    </row>
    <row r="111" ht="15" customHeight="1" s="74">
      <c r="A111" s="121" t="n"/>
      <c r="B111" s="122" t="n"/>
      <c r="C111" s="122" t="n"/>
      <c r="D111" s="123" t="n"/>
      <c r="E111" s="121" t="n"/>
      <c r="F111" s="124" t="n"/>
      <c r="G111" s="125" t="n"/>
      <c r="H111" s="125" t="n"/>
      <c r="I111" s="124" t="n"/>
      <c r="J111" s="125" t="n"/>
      <c r="K111" s="124" t="n"/>
      <c r="L111" s="125" t="n"/>
      <c r="M111" s="126" t="n"/>
      <c r="N111" s="124" t="n"/>
    </row>
    <row r="112" ht="15" customHeight="1" s="74">
      <c r="A112" s="121" t="n"/>
      <c r="B112" s="122" t="n"/>
      <c r="C112" s="122" t="n"/>
      <c r="D112" s="123" t="n"/>
      <c r="E112" s="121" t="n"/>
      <c r="F112" s="124" t="n"/>
      <c r="G112" s="125" t="n"/>
      <c r="H112" s="125" t="n"/>
      <c r="I112" s="124" t="n"/>
      <c r="J112" s="125" t="n"/>
      <c r="K112" s="124" t="n"/>
      <c r="L112" s="125" t="n"/>
      <c r="M112" s="126" t="n"/>
      <c r="N112" s="124" t="n"/>
    </row>
    <row r="113" ht="15" customHeight="1" s="74">
      <c r="A113" s="121" t="n"/>
      <c r="B113" s="122" t="n"/>
      <c r="C113" s="122" t="n"/>
      <c r="D113" s="123" t="n"/>
      <c r="E113" s="121" t="n"/>
      <c r="F113" s="124" t="n"/>
      <c r="G113" s="125" t="n"/>
      <c r="H113" s="125" t="n"/>
      <c r="I113" s="124" t="n"/>
      <c r="J113" s="125" t="n"/>
      <c r="K113" s="124" t="n"/>
      <c r="L113" s="125" t="n"/>
      <c r="M113" s="126" t="n"/>
      <c r="N113" s="124" t="n"/>
    </row>
    <row r="114" ht="15" customHeight="1" s="74">
      <c r="A114" s="121" t="n"/>
      <c r="B114" s="122" t="n"/>
      <c r="C114" s="122" t="n"/>
      <c r="D114" s="123" t="n"/>
      <c r="E114" s="121" t="n"/>
      <c r="F114" s="124" t="n"/>
      <c r="G114" s="125" t="n"/>
      <c r="H114" s="125" t="n"/>
      <c r="I114" s="124" t="n"/>
      <c r="J114" s="125" t="n"/>
      <c r="K114" s="124" t="n"/>
      <c r="L114" s="125" t="n"/>
      <c r="M114" s="126" t="n"/>
      <c r="N114" s="124" t="n"/>
    </row>
    <row r="115" ht="15" customHeight="1" s="74">
      <c r="A115" s="121" t="n"/>
      <c r="B115" s="122" t="n"/>
      <c r="C115" s="122" t="n"/>
      <c r="D115" s="123" t="n"/>
      <c r="E115" s="121" t="n"/>
      <c r="F115" s="124" t="n"/>
      <c r="G115" s="125" t="n"/>
      <c r="H115" s="125" t="n"/>
      <c r="I115" s="124" t="n"/>
      <c r="J115" s="125" t="n"/>
      <c r="K115" s="124" t="n"/>
      <c r="L115" s="125" t="n"/>
      <c r="M115" s="126" t="n"/>
      <c r="N115" s="124" t="n"/>
    </row>
    <row r="116" ht="15" customHeight="1" s="74">
      <c r="A116" s="121" t="n"/>
      <c r="B116" s="122" t="n"/>
      <c r="C116" s="122" t="n"/>
      <c r="D116" s="123" t="n"/>
      <c r="E116" s="121" t="n"/>
      <c r="F116" s="124" t="n"/>
      <c r="G116" s="125" t="n"/>
      <c r="H116" s="125" t="n"/>
      <c r="I116" s="124" t="n"/>
      <c r="J116" s="125" t="n"/>
      <c r="K116" s="124" t="n"/>
      <c r="L116" s="125" t="n"/>
      <c r="M116" s="126" t="n"/>
      <c r="N116" s="124" t="n"/>
    </row>
    <row r="117" ht="15" customHeight="1" s="74">
      <c r="A117" s="121" t="n"/>
      <c r="B117" s="122" t="n"/>
      <c r="C117" s="122" t="n"/>
      <c r="D117" s="123" t="n"/>
      <c r="E117" s="121" t="n"/>
      <c r="F117" s="124" t="n"/>
      <c r="G117" s="125" t="n"/>
      <c r="H117" s="125" t="n"/>
      <c r="I117" s="124" t="n"/>
      <c r="J117" s="125" t="n"/>
      <c r="K117" s="124" t="n"/>
      <c r="L117" s="125" t="n"/>
      <c r="M117" s="126" t="n"/>
      <c r="N117" s="124" t="n"/>
    </row>
    <row r="118" ht="15" customHeight="1" s="74">
      <c r="A118" s="121" t="n"/>
      <c r="B118" s="122" t="n"/>
      <c r="C118" s="122" t="n"/>
      <c r="D118" s="123" t="n"/>
      <c r="E118" s="121" t="n"/>
      <c r="F118" s="124" t="n"/>
      <c r="G118" s="125" t="n"/>
      <c r="H118" s="125" t="n"/>
      <c r="I118" s="124" t="n"/>
      <c r="J118" s="125" t="n"/>
      <c r="K118" s="124" t="n"/>
      <c r="L118" s="125" t="n"/>
      <c r="M118" s="126" t="n"/>
      <c r="N118" s="124" t="n"/>
    </row>
    <row r="119" ht="15" customHeight="1" s="74">
      <c r="A119" s="121" t="n"/>
      <c r="B119" s="122" t="n"/>
      <c r="C119" s="122" t="n"/>
      <c r="D119" s="123" t="n"/>
      <c r="E119" s="121" t="n"/>
      <c r="F119" s="124" t="n"/>
      <c r="G119" s="125" t="n"/>
      <c r="H119" s="125" t="n"/>
      <c r="I119" s="124" t="n"/>
      <c r="J119" s="125" t="n"/>
      <c r="K119" s="124" t="n"/>
      <c r="L119" s="125" t="n"/>
      <c r="M119" s="126" t="n"/>
      <c r="N119" s="124" t="n"/>
    </row>
    <row r="120" ht="15" customHeight="1" s="74">
      <c r="A120" s="121" t="n"/>
      <c r="B120" s="122" t="n"/>
      <c r="C120" s="122" t="n"/>
      <c r="D120" s="123" t="n"/>
      <c r="E120" s="121" t="n"/>
      <c r="F120" s="124" t="n"/>
      <c r="G120" s="125" t="n"/>
      <c r="H120" s="125" t="n"/>
      <c r="I120" s="124" t="n"/>
      <c r="J120" s="125" t="n"/>
      <c r="K120" s="124" t="n"/>
      <c r="L120" s="125" t="n"/>
      <c r="M120" s="126" t="n"/>
      <c r="N120" s="124" t="n"/>
    </row>
    <row r="121" ht="15" customHeight="1" s="74">
      <c r="A121" s="121" t="n"/>
      <c r="B121" s="122" t="n"/>
      <c r="C121" s="122" t="n"/>
      <c r="D121" s="123" t="n"/>
      <c r="E121" s="121" t="n"/>
      <c r="F121" s="124" t="n"/>
      <c r="G121" s="125" t="n"/>
      <c r="H121" s="125" t="n"/>
      <c r="I121" s="124" t="n"/>
      <c r="J121" s="125" t="n"/>
      <c r="K121" s="124" t="n"/>
      <c r="L121" s="125" t="n"/>
      <c r="M121" s="126" t="n"/>
      <c r="N121" s="124" t="n"/>
    </row>
    <row r="122" ht="15" customHeight="1" s="74">
      <c r="A122" s="121" t="n"/>
      <c r="B122" s="122" t="n"/>
      <c r="C122" s="122" t="n"/>
      <c r="D122" s="123" t="n"/>
      <c r="E122" s="121" t="n"/>
      <c r="F122" s="124" t="n"/>
      <c r="G122" s="125" t="n"/>
      <c r="H122" s="125" t="n"/>
      <c r="I122" s="124" t="n"/>
      <c r="J122" s="125" t="n"/>
      <c r="K122" s="124" t="n"/>
      <c r="L122" s="125" t="n"/>
      <c r="M122" s="126" t="n"/>
      <c r="N122" s="124" t="n"/>
    </row>
    <row r="123" ht="15" customHeight="1" s="74">
      <c r="A123" s="121" t="n"/>
      <c r="B123" s="122" t="n"/>
      <c r="C123" s="122" t="n"/>
      <c r="D123" s="123" t="n"/>
      <c r="E123" s="121" t="n"/>
      <c r="F123" s="124" t="n"/>
      <c r="G123" s="125" t="n"/>
      <c r="H123" s="125" t="n"/>
      <c r="I123" s="124" t="n"/>
      <c r="J123" s="125" t="n"/>
      <c r="K123" s="124" t="n"/>
      <c r="L123" s="125" t="n"/>
      <c r="M123" s="126" t="n"/>
      <c r="N123" s="124" t="n"/>
    </row>
    <row r="124" ht="15" customHeight="1" s="74">
      <c r="A124" s="121" t="n"/>
      <c r="B124" s="122" t="n"/>
      <c r="C124" s="122" t="n"/>
      <c r="D124" s="123" t="n"/>
      <c r="E124" s="121" t="n"/>
      <c r="F124" s="124" t="n"/>
      <c r="G124" s="125" t="n"/>
      <c r="H124" s="125" t="n"/>
      <c r="I124" s="124" t="n"/>
      <c r="J124" s="125" t="n"/>
      <c r="K124" s="124" t="n"/>
      <c r="L124" s="125" t="n"/>
      <c r="M124" s="126" t="n"/>
      <c r="N124" s="124" t="n"/>
    </row>
    <row r="125" ht="15" customHeight="1" s="74">
      <c r="A125" s="121" t="n"/>
      <c r="B125" s="122" t="n"/>
      <c r="C125" s="122" t="n"/>
      <c r="D125" s="123" t="n"/>
      <c r="E125" s="121" t="n"/>
      <c r="F125" s="124" t="n"/>
      <c r="G125" s="125" t="n"/>
      <c r="H125" s="125" t="n"/>
      <c r="I125" s="124" t="n"/>
      <c r="J125" s="125" t="n"/>
      <c r="K125" s="124" t="n"/>
      <c r="L125" s="125" t="n"/>
      <c r="M125" s="126" t="n"/>
      <c r="N125" s="124" t="n"/>
    </row>
    <row r="126" ht="15" customHeight="1" s="74">
      <c r="A126" s="121" t="n"/>
      <c r="B126" s="122" t="n"/>
      <c r="C126" s="122" t="n"/>
      <c r="D126" s="123" t="n"/>
      <c r="E126" s="121" t="n"/>
      <c r="F126" s="124" t="n"/>
      <c r="G126" s="125" t="n"/>
      <c r="H126" s="125" t="n"/>
      <c r="I126" s="124" t="n"/>
      <c r="J126" s="125" t="n"/>
      <c r="K126" s="124" t="n"/>
      <c r="L126" s="125" t="n"/>
      <c r="M126" s="126" t="n"/>
      <c r="N126" s="124" t="n"/>
    </row>
    <row r="127" ht="15" customHeight="1" s="74">
      <c r="A127" s="121" t="n"/>
      <c r="B127" s="122" t="n"/>
      <c r="C127" s="122" t="n"/>
      <c r="D127" s="123" t="n"/>
      <c r="E127" s="121" t="n"/>
      <c r="F127" s="124" t="n"/>
      <c r="G127" s="125" t="n"/>
      <c r="H127" s="125" t="n"/>
      <c r="I127" s="124" t="n"/>
      <c r="J127" s="125" t="n"/>
      <c r="K127" s="124" t="n"/>
      <c r="L127" s="125" t="n"/>
      <c r="M127" s="126" t="n"/>
      <c r="N127" s="124" t="n"/>
    </row>
    <row r="128" ht="15" customHeight="1" s="74">
      <c r="A128" s="121" t="n"/>
      <c r="B128" s="122" t="n"/>
      <c r="C128" s="122" t="n"/>
      <c r="D128" s="123" t="n"/>
      <c r="E128" s="121" t="n"/>
      <c r="F128" s="124" t="n"/>
      <c r="G128" s="125" t="n"/>
      <c r="H128" s="125" t="n"/>
      <c r="I128" s="124" t="n"/>
      <c r="J128" s="125" t="n"/>
      <c r="K128" s="124" t="n"/>
      <c r="L128" s="125" t="n"/>
      <c r="M128" s="126" t="n"/>
      <c r="N128" s="124" t="n"/>
    </row>
    <row r="129" ht="15" customHeight="1" s="74">
      <c r="A129" s="121" t="n"/>
      <c r="B129" s="122" t="n"/>
      <c r="C129" s="122" t="n"/>
      <c r="D129" s="123" t="n"/>
      <c r="E129" s="121" t="n"/>
      <c r="F129" s="124" t="n"/>
      <c r="G129" s="125" t="n"/>
      <c r="H129" s="125" t="n"/>
      <c r="I129" s="124" t="n"/>
      <c r="J129" s="125" t="n"/>
      <c r="K129" s="124" t="n"/>
      <c r="L129" s="125" t="n"/>
      <c r="M129" s="126" t="n"/>
      <c r="N129" s="124" t="n"/>
    </row>
    <row r="130" ht="15" customHeight="1" s="74">
      <c r="A130" s="121" t="n"/>
      <c r="B130" s="122" t="n"/>
      <c r="C130" s="122" t="n"/>
      <c r="D130" s="123" t="n"/>
      <c r="E130" s="121" t="n"/>
      <c r="F130" s="124" t="n"/>
      <c r="G130" s="125" t="n"/>
      <c r="H130" s="125" t="n"/>
      <c r="I130" s="124" t="n"/>
      <c r="J130" s="125" t="n"/>
      <c r="K130" s="124" t="n"/>
      <c r="L130" s="125" t="n"/>
      <c r="M130" s="126" t="n"/>
      <c r="N130" s="124" t="n"/>
    </row>
    <row r="131" ht="15" customHeight="1" s="74">
      <c r="A131" s="121" t="n"/>
      <c r="B131" s="122" t="n"/>
      <c r="C131" s="122" t="n"/>
      <c r="D131" s="123" t="n"/>
      <c r="E131" s="121" t="n"/>
      <c r="F131" s="124" t="n"/>
      <c r="G131" s="125" t="n"/>
      <c r="H131" s="125" t="n"/>
      <c r="I131" s="124" t="n"/>
      <c r="J131" s="125" t="n"/>
      <c r="K131" s="124" t="n"/>
      <c r="L131" s="125" t="n"/>
      <c r="M131" s="126" t="n"/>
      <c r="N131" s="124" t="n"/>
    </row>
    <row r="132" ht="15" customHeight="1" s="74">
      <c r="A132" s="121" t="n"/>
      <c r="B132" s="122" t="n"/>
      <c r="C132" s="122" t="n"/>
      <c r="D132" s="123" t="n"/>
      <c r="E132" s="121" t="n"/>
      <c r="F132" s="124" t="n"/>
      <c r="G132" s="125" t="n"/>
      <c r="H132" s="125" t="n"/>
      <c r="I132" s="124" t="n"/>
      <c r="J132" s="125" t="n"/>
      <c r="K132" s="124" t="n"/>
      <c r="L132" s="125" t="n"/>
      <c r="M132" s="126" t="n"/>
      <c r="N132" s="124" t="n"/>
    </row>
    <row r="133" ht="15" customHeight="1" s="74">
      <c r="A133" s="121" t="n"/>
      <c r="B133" s="122" t="n"/>
      <c r="C133" s="122" t="n"/>
      <c r="D133" s="123" t="n"/>
      <c r="E133" s="121" t="n"/>
      <c r="F133" s="124" t="n"/>
      <c r="G133" s="125" t="n"/>
      <c r="H133" s="125" t="n"/>
      <c r="I133" s="124" t="n"/>
      <c r="J133" s="125" t="n"/>
      <c r="K133" s="124" t="n"/>
      <c r="L133" s="125" t="n"/>
      <c r="M133" s="126" t="n"/>
      <c r="N133" s="124" t="n"/>
    </row>
    <row r="134" ht="15" customHeight="1" s="74">
      <c r="A134" s="121" t="n"/>
      <c r="B134" s="122" t="n"/>
      <c r="C134" s="122" t="n"/>
      <c r="D134" s="123" t="n"/>
      <c r="E134" s="121" t="n"/>
      <c r="F134" s="124" t="n"/>
      <c r="G134" s="125" t="n"/>
      <c r="H134" s="125" t="n"/>
      <c r="I134" s="124" t="n"/>
      <c r="J134" s="125" t="n"/>
      <c r="K134" s="124" t="n"/>
      <c r="L134" s="125" t="n"/>
      <c r="M134" s="126" t="n"/>
      <c r="N134" s="124" t="n"/>
    </row>
    <row r="135" ht="15" customHeight="1" s="74">
      <c r="A135" s="121" t="n"/>
      <c r="B135" s="122" t="n"/>
      <c r="C135" s="122" t="n"/>
      <c r="D135" s="123" t="n"/>
      <c r="E135" s="121" t="n"/>
      <c r="F135" s="124" t="n"/>
      <c r="G135" s="125" t="n"/>
      <c r="H135" s="125" t="n"/>
      <c r="I135" s="124" t="n"/>
      <c r="J135" s="125" t="n"/>
      <c r="K135" s="124" t="n"/>
      <c r="L135" s="125" t="n"/>
      <c r="M135" s="126" t="n"/>
      <c r="N135" s="124" t="n"/>
    </row>
    <row r="136" ht="15" customHeight="1" s="74">
      <c r="A136" s="121" t="n"/>
      <c r="B136" s="122" t="n"/>
      <c r="C136" s="122" t="n"/>
      <c r="D136" s="123" t="n"/>
      <c r="E136" s="121" t="n"/>
      <c r="F136" s="124" t="n"/>
      <c r="G136" s="125" t="n"/>
      <c r="H136" s="125" t="n"/>
      <c r="I136" s="124" t="n"/>
      <c r="J136" s="125" t="n"/>
      <c r="K136" s="124" t="n"/>
      <c r="L136" s="125" t="n"/>
      <c r="M136" s="126" t="n"/>
      <c r="N136" s="124" t="n"/>
    </row>
    <row r="137" ht="15" customHeight="1" s="74">
      <c r="A137" s="121" t="n"/>
      <c r="B137" s="122" t="n"/>
      <c r="C137" s="122" t="n"/>
      <c r="D137" s="123" t="n"/>
      <c r="E137" s="121" t="n"/>
      <c r="F137" s="124" t="n"/>
      <c r="G137" s="125" t="n"/>
      <c r="H137" s="125" t="n"/>
      <c r="I137" s="124" t="n"/>
      <c r="J137" s="125" t="n"/>
      <c r="K137" s="124" t="n"/>
      <c r="L137" s="125" t="n"/>
      <c r="M137" s="126" t="n"/>
      <c r="N137" s="124" t="n"/>
    </row>
    <row r="138" ht="15" customHeight="1" s="74">
      <c r="A138" s="121" t="n"/>
      <c r="B138" s="122" t="n"/>
      <c r="C138" s="122" t="n"/>
      <c r="D138" s="123" t="n"/>
      <c r="E138" s="121" t="n"/>
      <c r="F138" s="124" t="n"/>
      <c r="G138" s="125" t="n"/>
      <c r="H138" s="125" t="n"/>
      <c r="I138" s="124" t="n"/>
      <c r="J138" s="125" t="n"/>
      <c r="K138" s="124" t="n"/>
      <c r="L138" s="125" t="n"/>
      <c r="M138" s="126" t="n"/>
      <c r="N138" s="124" t="n"/>
    </row>
    <row r="139" ht="15" customHeight="1" s="74">
      <c r="A139" s="121" t="n"/>
      <c r="B139" s="122" t="n"/>
      <c r="C139" s="122" t="n"/>
      <c r="D139" s="123" t="n"/>
      <c r="E139" s="121" t="n"/>
      <c r="F139" s="124" t="n"/>
      <c r="G139" s="125" t="n"/>
      <c r="H139" s="125" t="n"/>
      <c r="I139" s="124" t="n"/>
      <c r="J139" s="125" t="n"/>
      <c r="K139" s="124" t="n"/>
      <c r="L139" s="125" t="n"/>
      <c r="M139" s="126" t="n"/>
      <c r="N139" s="124" t="n"/>
    </row>
    <row r="140" ht="15" customHeight="1" s="74">
      <c r="A140" s="121" t="n"/>
      <c r="B140" s="122" t="n"/>
      <c r="C140" s="122" t="n"/>
      <c r="D140" s="123" t="n"/>
      <c r="E140" s="121" t="n"/>
      <c r="F140" s="124" t="n"/>
      <c r="G140" s="125" t="n"/>
      <c r="H140" s="125" t="n"/>
      <c r="I140" s="124" t="n"/>
      <c r="J140" s="125" t="n"/>
      <c r="K140" s="124" t="n"/>
      <c r="L140" s="125" t="n"/>
      <c r="M140" s="126" t="n"/>
      <c r="N140" s="124" t="n"/>
    </row>
    <row r="141" ht="15" customHeight="1" s="74">
      <c r="A141" s="121" t="n"/>
      <c r="B141" s="122" t="n"/>
      <c r="C141" s="122" t="n"/>
      <c r="D141" s="123" t="n"/>
      <c r="E141" s="121" t="n"/>
      <c r="F141" s="124" t="n"/>
      <c r="G141" s="125" t="n"/>
      <c r="H141" s="125" t="n"/>
      <c r="I141" s="124" t="n"/>
      <c r="J141" s="125" t="n"/>
      <c r="K141" s="124" t="n"/>
      <c r="L141" s="125" t="n"/>
      <c r="M141" s="126" t="n"/>
      <c r="N141" s="124" t="n"/>
    </row>
    <row r="142" ht="15" customHeight="1" s="74">
      <c r="A142" s="121" t="n"/>
      <c r="B142" s="122" t="n"/>
      <c r="C142" s="122" t="n"/>
      <c r="D142" s="123" t="n"/>
      <c r="E142" s="121" t="n"/>
      <c r="F142" s="124" t="n"/>
      <c r="G142" s="125" t="n"/>
      <c r="H142" s="125" t="n"/>
      <c r="I142" s="124" t="n"/>
      <c r="J142" s="125" t="n"/>
      <c r="K142" s="124" t="n"/>
      <c r="L142" s="125" t="n"/>
      <c r="M142" s="126" t="n"/>
      <c r="N142" s="124" t="n"/>
    </row>
    <row r="143" ht="15" customHeight="1" s="74">
      <c r="A143" s="121" t="n"/>
      <c r="B143" s="122" t="n"/>
      <c r="C143" s="122" t="n"/>
      <c r="D143" s="123" t="n"/>
      <c r="E143" s="121" t="n"/>
      <c r="F143" s="124" t="n"/>
      <c r="G143" s="125" t="n"/>
      <c r="H143" s="125" t="n"/>
      <c r="I143" s="124" t="n"/>
      <c r="J143" s="125" t="n"/>
      <c r="K143" s="124" t="n"/>
      <c r="L143" s="125" t="n"/>
      <c r="M143" s="126" t="n"/>
      <c r="N143" s="124" t="n"/>
    </row>
    <row r="144" ht="15" customHeight="1" s="74">
      <c r="A144" s="121" t="n"/>
      <c r="B144" s="122" t="n"/>
      <c r="C144" s="122" t="n"/>
      <c r="D144" s="123" t="n"/>
      <c r="E144" s="121" t="n"/>
      <c r="F144" s="124" t="n"/>
      <c r="G144" s="125" t="n"/>
      <c r="H144" s="125" t="n"/>
      <c r="I144" s="124" t="n"/>
      <c r="J144" s="125" t="n"/>
      <c r="K144" s="124" t="n"/>
      <c r="L144" s="125" t="n"/>
      <c r="M144" s="126" t="n"/>
      <c r="N144" s="124" t="n"/>
    </row>
    <row r="145" ht="15" customHeight="1" s="74">
      <c r="A145" s="121" t="n"/>
      <c r="B145" s="122" t="n"/>
      <c r="C145" s="122" t="n"/>
      <c r="D145" s="123" t="n"/>
      <c r="E145" s="121" t="n"/>
      <c r="F145" s="124" t="n"/>
      <c r="G145" s="125" t="n"/>
      <c r="H145" s="125" t="n"/>
      <c r="I145" s="124" t="n"/>
      <c r="J145" s="125" t="n"/>
      <c r="K145" s="124" t="n"/>
      <c r="L145" s="125" t="n"/>
      <c r="M145" s="126" t="n"/>
      <c r="N145" s="124" t="n"/>
    </row>
    <row r="146" ht="15" customHeight="1" s="74">
      <c r="A146" s="121" t="n"/>
      <c r="B146" s="122" t="n"/>
      <c r="C146" s="122" t="n"/>
      <c r="D146" s="123" t="n"/>
      <c r="E146" s="121" t="n"/>
      <c r="F146" s="124" t="n"/>
      <c r="G146" s="125" t="n"/>
      <c r="H146" s="125" t="n"/>
      <c r="I146" s="124" t="n"/>
      <c r="J146" s="125" t="n"/>
      <c r="K146" s="124" t="n"/>
      <c r="L146" s="125" t="n"/>
      <c r="M146" s="126" t="n"/>
      <c r="N146" s="124" t="n"/>
    </row>
    <row r="147" ht="15" customHeight="1" s="74">
      <c r="A147" s="121" t="n"/>
      <c r="B147" s="122" t="n"/>
      <c r="C147" s="122" t="n"/>
      <c r="D147" s="123" t="n"/>
      <c r="E147" s="121" t="n"/>
      <c r="F147" s="124" t="n"/>
      <c r="G147" s="125" t="n"/>
      <c r="H147" s="125" t="n"/>
      <c r="I147" s="124" t="n"/>
      <c r="J147" s="125" t="n"/>
      <c r="K147" s="124" t="n"/>
      <c r="L147" s="125" t="n"/>
      <c r="M147" s="126" t="n"/>
      <c r="N147" s="124" t="n"/>
    </row>
    <row r="148" ht="15" customHeight="1" s="74">
      <c r="A148" s="121" t="n"/>
      <c r="B148" s="122" t="n"/>
      <c r="C148" s="122" t="n"/>
      <c r="D148" s="123" t="n"/>
      <c r="E148" s="121" t="n"/>
      <c r="F148" s="124" t="n"/>
      <c r="G148" s="125" t="n"/>
      <c r="H148" s="125" t="n"/>
      <c r="I148" s="124" t="n"/>
      <c r="J148" s="125" t="n"/>
      <c r="K148" s="124" t="n"/>
      <c r="L148" s="125" t="n"/>
      <c r="M148" s="126" t="n"/>
      <c r="N148" s="124" t="n"/>
    </row>
    <row r="149" ht="15" customHeight="1" s="74">
      <c r="A149" s="121" t="n"/>
      <c r="B149" s="122" t="n"/>
      <c r="C149" s="122" t="n"/>
      <c r="D149" s="123" t="n"/>
      <c r="E149" s="121" t="n"/>
      <c r="F149" s="124" t="n"/>
      <c r="G149" s="125" t="n"/>
      <c r="H149" s="125" t="n"/>
      <c r="I149" s="124" t="n"/>
      <c r="J149" s="125" t="n"/>
      <c r="K149" s="124" t="n"/>
      <c r="L149" s="125" t="n"/>
      <c r="M149" s="126" t="n"/>
      <c r="N149" s="124" t="n"/>
    </row>
    <row r="150" ht="15" customHeight="1" s="74">
      <c r="A150" s="121" t="n"/>
      <c r="B150" s="122" t="n"/>
      <c r="C150" s="122" t="n"/>
      <c r="D150" s="123" t="n"/>
      <c r="E150" s="121" t="n"/>
      <c r="F150" s="124" t="n"/>
      <c r="G150" s="125" t="n"/>
      <c r="H150" s="125" t="n"/>
      <c r="I150" s="124" t="n"/>
      <c r="J150" s="125" t="n"/>
      <c r="K150" s="124" t="n"/>
      <c r="L150" s="125" t="n"/>
      <c r="M150" s="126" t="n"/>
      <c r="N150" s="124" t="n"/>
    </row>
    <row r="151" ht="15" customHeight="1" s="74">
      <c r="A151" s="121" t="n"/>
      <c r="B151" s="122" t="n"/>
      <c r="C151" s="122" t="n"/>
      <c r="D151" s="123" t="n"/>
      <c r="E151" s="121" t="n"/>
      <c r="F151" s="124" t="n"/>
      <c r="G151" s="125" t="n"/>
      <c r="H151" s="125" t="n"/>
      <c r="I151" s="124" t="n"/>
      <c r="J151" s="125" t="n"/>
      <c r="K151" s="124" t="n"/>
      <c r="L151" s="125" t="n"/>
      <c r="M151" s="126" t="n"/>
      <c r="N151" s="124" t="n"/>
    </row>
    <row r="152" ht="15" customHeight="1" s="74">
      <c r="A152" s="121" t="n"/>
      <c r="B152" s="122" t="n"/>
      <c r="C152" s="122" t="n"/>
      <c r="D152" s="123" t="n"/>
      <c r="E152" s="121" t="n"/>
      <c r="F152" s="124" t="n"/>
      <c r="G152" s="125" t="n"/>
      <c r="H152" s="125" t="n"/>
      <c r="I152" s="124" t="n"/>
      <c r="J152" s="125" t="n"/>
      <c r="K152" s="124" t="n"/>
      <c r="L152" s="125" t="n"/>
      <c r="M152" s="126" t="n"/>
      <c r="N152" s="124" t="n"/>
    </row>
    <row r="153" ht="15" customHeight="1" s="74">
      <c r="A153" s="121" t="n"/>
      <c r="B153" s="122" t="n"/>
      <c r="C153" s="122" t="n"/>
      <c r="D153" s="123" t="n"/>
      <c r="E153" s="121" t="n"/>
      <c r="F153" s="124" t="n"/>
      <c r="G153" s="125" t="n"/>
      <c r="H153" s="125" t="n"/>
      <c r="I153" s="124" t="n"/>
      <c r="J153" s="125" t="n"/>
      <c r="K153" s="124" t="n"/>
      <c r="L153" s="125" t="n"/>
      <c r="M153" s="126" t="n"/>
      <c r="N153" s="124" t="n"/>
    </row>
    <row r="154" ht="15" customHeight="1" s="74">
      <c r="A154" s="121" t="n"/>
      <c r="B154" s="122" t="n"/>
      <c r="C154" s="122" t="n"/>
      <c r="D154" s="123" t="n"/>
      <c r="E154" s="121" t="n"/>
      <c r="F154" s="124" t="n"/>
      <c r="G154" s="125" t="n"/>
      <c r="H154" s="125" t="n"/>
      <c r="I154" s="124" t="n"/>
      <c r="J154" s="125" t="n"/>
      <c r="K154" s="124" t="n"/>
      <c r="L154" s="125" t="n"/>
      <c r="M154" s="126" t="n"/>
      <c r="N154" s="124" t="n"/>
    </row>
    <row r="155" ht="15" customHeight="1" s="74">
      <c r="A155" s="121" t="n"/>
      <c r="B155" s="122" t="n"/>
      <c r="C155" s="122" t="n"/>
      <c r="D155" s="123" t="n"/>
      <c r="E155" s="121" t="n"/>
      <c r="F155" s="124" t="n"/>
      <c r="G155" s="125" t="n"/>
      <c r="H155" s="125" t="n"/>
      <c r="I155" s="124" t="n"/>
      <c r="J155" s="125" t="n"/>
      <c r="K155" s="124" t="n"/>
      <c r="L155" s="125" t="n"/>
      <c r="M155" s="126" t="n"/>
      <c r="N155" s="124" t="n"/>
    </row>
    <row r="156" ht="15" customHeight="1" s="74">
      <c r="A156" s="121" t="n"/>
      <c r="B156" s="122" t="n"/>
      <c r="C156" s="122" t="n"/>
      <c r="D156" s="123" t="n"/>
      <c r="E156" s="121" t="n"/>
      <c r="F156" s="124" t="n"/>
      <c r="G156" s="125" t="n"/>
      <c r="H156" s="125" t="n"/>
      <c r="I156" s="124" t="n"/>
      <c r="J156" s="125" t="n"/>
      <c r="K156" s="124" t="n"/>
      <c r="L156" s="125" t="n"/>
      <c r="M156" s="126" t="n"/>
      <c r="N156" s="124" t="n"/>
    </row>
    <row r="157" ht="15" customHeight="1" s="74">
      <c r="A157" s="121" t="n"/>
      <c r="B157" s="122" t="n"/>
      <c r="C157" s="122" t="n"/>
      <c r="D157" s="123" t="n"/>
      <c r="E157" s="121" t="n"/>
      <c r="F157" s="124" t="n"/>
      <c r="G157" s="125" t="n"/>
      <c r="H157" s="125" t="n"/>
      <c r="I157" s="124" t="n"/>
      <c r="J157" s="125" t="n"/>
      <c r="K157" s="124" t="n"/>
      <c r="L157" s="125" t="n"/>
      <c r="M157" s="126" t="n"/>
      <c r="N157" s="124" t="n"/>
    </row>
    <row r="158" ht="15" customHeight="1" s="74">
      <c r="A158" s="121" t="n"/>
      <c r="B158" s="122" t="n"/>
      <c r="C158" s="122" t="n"/>
      <c r="D158" s="123" t="n"/>
      <c r="E158" s="121" t="n"/>
      <c r="F158" s="124" t="n"/>
      <c r="G158" s="125" t="n"/>
      <c r="H158" s="125" t="n"/>
      <c r="I158" s="124" t="n"/>
      <c r="J158" s="125" t="n"/>
      <c r="K158" s="124" t="n"/>
      <c r="L158" s="125" t="n"/>
      <c r="M158" s="126" t="n"/>
      <c r="N158" s="124" t="n"/>
    </row>
    <row r="159" ht="15" customHeight="1" s="74">
      <c r="A159" s="121" t="n"/>
      <c r="B159" s="122" t="n"/>
      <c r="C159" s="122" t="n"/>
      <c r="D159" s="123" t="n"/>
      <c r="E159" s="121" t="n"/>
      <c r="F159" s="124" t="n"/>
      <c r="G159" s="125" t="n"/>
      <c r="H159" s="125" t="n"/>
      <c r="I159" s="124" t="n"/>
      <c r="J159" s="125" t="n"/>
      <c r="K159" s="124" t="n"/>
      <c r="L159" s="125" t="n"/>
      <c r="M159" s="126" t="n"/>
      <c r="N159" s="124" t="n"/>
    </row>
    <row r="160" ht="15" customHeight="1" s="74">
      <c r="A160" s="121" t="n"/>
      <c r="B160" s="122" t="n"/>
      <c r="C160" s="122" t="n"/>
      <c r="D160" s="123" t="n"/>
      <c r="E160" s="121" t="n"/>
      <c r="F160" s="124" t="n"/>
      <c r="G160" s="125" t="n"/>
      <c r="H160" s="125" t="n"/>
      <c r="I160" s="124" t="n"/>
      <c r="J160" s="125" t="n"/>
      <c r="K160" s="124" t="n"/>
      <c r="L160" s="125" t="n"/>
      <c r="M160" s="126" t="n"/>
      <c r="N160" s="124" t="n"/>
    </row>
    <row r="161" ht="15" customHeight="1" s="74">
      <c r="A161" s="121" t="n"/>
      <c r="B161" s="122" t="n"/>
      <c r="C161" s="122" t="n"/>
      <c r="D161" s="123" t="n"/>
      <c r="E161" s="121" t="n"/>
      <c r="F161" s="124" t="n"/>
      <c r="G161" s="125" t="n"/>
      <c r="H161" s="125" t="n"/>
      <c r="I161" s="124" t="n"/>
      <c r="J161" s="125" t="n"/>
      <c r="K161" s="124" t="n"/>
      <c r="L161" s="125" t="n"/>
      <c r="M161" s="126" t="n"/>
      <c r="N161" s="124" t="n"/>
    </row>
    <row r="162" ht="15" customHeight="1" s="74">
      <c r="A162" s="121" t="n"/>
      <c r="B162" s="122" t="n"/>
      <c r="C162" s="122" t="n"/>
      <c r="D162" s="123" t="n"/>
      <c r="E162" s="121" t="n"/>
      <c r="F162" s="124" t="n"/>
      <c r="G162" s="125" t="n"/>
      <c r="H162" s="125" t="n"/>
      <c r="I162" s="124" t="n"/>
      <c r="J162" s="125" t="n"/>
      <c r="K162" s="124" t="n"/>
      <c r="L162" s="125" t="n"/>
      <c r="M162" s="126" t="n"/>
      <c r="N162" s="124" t="n"/>
    </row>
    <row r="163" ht="15" customHeight="1" s="74">
      <c r="A163" s="121" t="n"/>
      <c r="B163" s="122" t="n"/>
      <c r="C163" s="122" t="n"/>
      <c r="D163" s="123" t="n"/>
      <c r="E163" s="121" t="n"/>
      <c r="F163" s="124" t="n"/>
      <c r="G163" s="125" t="n"/>
      <c r="H163" s="125" t="n"/>
      <c r="I163" s="124" t="n"/>
      <c r="J163" s="125" t="n"/>
      <c r="K163" s="124" t="n"/>
      <c r="L163" s="125" t="n"/>
      <c r="M163" s="126" t="n"/>
      <c r="N163" s="124" t="n"/>
    </row>
    <row r="164" ht="15" customHeight="1" s="74">
      <c r="A164" s="121" t="n"/>
      <c r="B164" s="122" t="n"/>
      <c r="C164" s="122" t="n"/>
      <c r="D164" s="123" t="n"/>
      <c r="E164" s="121" t="n"/>
      <c r="F164" s="124" t="n"/>
      <c r="G164" s="125" t="n"/>
      <c r="H164" s="125" t="n"/>
      <c r="I164" s="124" t="n"/>
      <c r="J164" s="125" t="n"/>
      <c r="K164" s="124" t="n"/>
      <c r="L164" s="125" t="n"/>
      <c r="M164" s="126" t="n"/>
      <c r="N164" s="124" t="n"/>
    </row>
    <row r="165" ht="15" customHeight="1" s="74">
      <c r="A165" s="121" t="n"/>
      <c r="B165" s="122" t="n"/>
      <c r="C165" s="122" t="n"/>
      <c r="D165" s="123" t="n"/>
      <c r="E165" s="121" t="n"/>
      <c r="F165" s="124" t="n"/>
      <c r="G165" s="125" t="n"/>
      <c r="H165" s="125" t="n"/>
      <c r="I165" s="124" t="n"/>
      <c r="J165" s="125" t="n"/>
      <c r="K165" s="124" t="n"/>
      <c r="L165" s="125" t="n"/>
      <c r="M165" s="126" t="n"/>
      <c r="N165" s="124" t="n"/>
    </row>
    <row r="166" ht="15" customHeight="1" s="74">
      <c r="A166" s="121" t="n"/>
      <c r="B166" s="122" t="n"/>
      <c r="C166" s="122" t="n"/>
      <c r="D166" s="123" t="n"/>
      <c r="E166" s="121" t="n"/>
      <c r="F166" s="124" t="n"/>
      <c r="G166" s="125" t="n"/>
      <c r="H166" s="125" t="n"/>
      <c r="I166" s="124" t="n"/>
      <c r="J166" s="125" t="n"/>
      <c r="K166" s="124" t="n"/>
      <c r="L166" s="125" t="n"/>
      <c r="M166" s="126" t="n"/>
      <c r="N166" s="124" t="n"/>
    </row>
    <row r="167" ht="15" customHeight="1" s="74">
      <c r="A167" s="121" t="n"/>
      <c r="B167" s="122" t="n"/>
      <c r="C167" s="122" t="n"/>
      <c r="D167" s="123" t="n"/>
      <c r="E167" s="121" t="n"/>
      <c r="F167" s="124" t="n"/>
      <c r="G167" s="125" t="n"/>
      <c r="H167" s="125" t="n"/>
      <c r="I167" s="124" t="n"/>
      <c r="J167" s="125" t="n"/>
      <c r="K167" s="124" t="n"/>
      <c r="L167" s="125" t="n"/>
      <c r="M167" s="126" t="n"/>
      <c r="N167" s="124" t="n"/>
    </row>
    <row r="168" ht="15" customHeight="1" s="74">
      <c r="A168" s="121" t="n"/>
      <c r="B168" s="122" t="n"/>
      <c r="C168" s="122" t="n"/>
      <c r="D168" s="123" t="n"/>
      <c r="E168" s="121" t="n"/>
      <c r="F168" s="124" t="n"/>
      <c r="G168" s="125" t="n"/>
      <c r="H168" s="125" t="n"/>
      <c r="I168" s="124" t="n"/>
      <c r="J168" s="125" t="n"/>
      <c r="K168" s="124" t="n"/>
      <c r="L168" s="125" t="n"/>
      <c r="M168" s="126" t="n"/>
      <c r="N168" s="124" t="n"/>
    </row>
    <row r="169" ht="15" customHeight="1" s="74">
      <c r="A169" s="121" t="n"/>
      <c r="B169" s="122" t="n"/>
      <c r="C169" s="122" t="n"/>
      <c r="D169" s="123" t="n"/>
      <c r="E169" s="121" t="n"/>
      <c r="F169" s="124" t="n"/>
      <c r="G169" s="125" t="n"/>
      <c r="H169" s="125" t="n"/>
      <c r="I169" s="124" t="n"/>
      <c r="J169" s="125" t="n"/>
      <c r="K169" s="124" t="n"/>
      <c r="L169" s="125" t="n"/>
      <c r="M169" s="126" t="n"/>
      <c r="N169" s="124" t="n"/>
    </row>
    <row r="170" ht="15" customHeight="1" s="74">
      <c r="A170" s="121" t="n"/>
      <c r="B170" s="122" t="n"/>
      <c r="C170" s="122" t="n"/>
      <c r="D170" s="123" t="n"/>
      <c r="E170" s="121" t="n"/>
      <c r="F170" s="124" t="n"/>
      <c r="G170" s="125" t="n"/>
      <c r="H170" s="125" t="n"/>
      <c r="I170" s="124" t="n"/>
      <c r="J170" s="125" t="n"/>
      <c r="K170" s="124" t="n"/>
      <c r="L170" s="125" t="n"/>
      <c r="M170" s="126" t="n"/>
      <c r="N170" s="124" t="n"/>
    </row>
    <row r="171" ht="15" customHeight="1" s="74">
      <c r="A171" s="121" t="n"/>
      <c r="B171" s="122" t="n"/>
      <c r="C171" s="122" t="n"/>
      <c r="D171" s="123" t="n"/>
      <c r="E171" s="121" t="n"/>
      <c r="F171" s="124" t="n"/>
      <c r="G171" s="125" t="n"/>
      <c r="H171" s="125" t="n"/>
      <c r="I171" s="124" t="n"/>
      <c r="J171" s="125" t="n"/>
      <c r="K171" s="124" t="n"/>
      <c r="L171" s="125" t="n"/>
      <c r="M171" s="126" t="n"/>
      <c r="N171" s="124" t="n"/>
    </row>
    <row r="172" ht="15" customHeight="1" s="74">
      <c r="A172" s="121" t="n"/>
      <c r="B172" s="122" t="n"/>
      <c r="C172" s="122" t="n"/>
      <c r="D172" s="123" t="n"/>
      <c r="E172" s="121" t="n"/>
      <c r="F172" s="124" t="n"/>
      <c r="G172" s="125" t="n"/>
      <c r="H172" s="125" t="n"/>
      <c r="I172" s="124" t="n"/>
      <c r="J172" s="125" t="n"/>
      <c r="K172" s="124" t="n"/>
      <c r="L172" s="125" t="n"/>
      <c r="M172" s="126" t="n"/>
      <c r="N172" s="124" t="n"/>
    </row>
    <row r="173" ht="15" customHeight="1" s="74">
      <c r="A173" s="121" t="n"/>
      <c r="B173" s="122" t="n"/>
      <c r="C173" s="122" t="n"/>
      <c r="D173" s="123" t="n"/>
      <c r="E173" s="121" t="n"/>
      <c r="F173" s="124" t="n"/>
      <c r="G173" s="125" t="n"/>
      <c r="H173" s="125" t="n"/>
      <c r="I173" s="124" t="n"/>
      <c r="J173" s="125" t="n"/>
      <c r="K173" s="124" t="n"/>
      <c r="L173" s="125" t="n"/>
      <c r="M173" s="126" t="n"/>
      <c r="N173" s="124" t="n"/>
    </row>
    <row r="174" ht="15" customHeight="1" s="74">
      <c r="A174" s="121" t="n"/>
      <c r="B174" s="122" t="n"/>
      <c r="C174" s="122" t="n"/>
      <c r="D174" s="123" t="n"/>
      <c r="E174" s="121" t="n"/>
      <c r="F174" s="124" t="n"/>
      <c r="G174" s="125" t="n"/>
      <c r="H174" s="125" t="n"/>
      <c r="I174" s="124" t="n"/>
      <c r="J174" s="125" t="n"/>
      <c r="K174" s="124" t="n"/>
      <c r="L174" s="125" t="n"/>
      <c r="M174" s="126" t="n"/>
      <c r="N174" s="124" t="n"/>
    </row>
    <row r="175" ht="15" customHeight="1" s="74">
      <c r="A175" s="121" t="n"/>
      <c r="B175" s="122" t="n"/>
      <c r="C175" s="122" t="n"/>
      <c r="D175" s="123" t="n"/>
      <c r="E175" s="121" t="n"/>
      <c r="F175" s="124" t="n"/>
      <c r="G175" s="125" t="n"/>
      <c r="H175" s="125" t="n"/>
      <c r="I175" s="124" t="n"/>
      <c r="J175" s="125" t="n"/>
      <c r="K175" s="124" t="n"/>
      <c r="L175" s="125" t="n"/>
      <c r="M175" s="126" t="n"/>
      <c r="N175" s="124" t="n"/>
    </row>
    <row r="176" ht="15" customHeight="1" s="74">
      <c r="A176" s="121" t="n"/>
      <c r="B176" s="122" t="n"/>
      <c r="C176" s="122" t="n"/>
      <c r="D176" s="123" t="n"/>
      <c r="E176" s="121" t="n"/>
      <c r="F176" s="124" t="n"/>
      <c r="G176" s="125" t="n"/>
      <c r="H176" s="125" t="n"/>
      <c r="I176" s="124" t="n"/>
      <c r="J176" s="125" t="n"/>
      <c r="K176" s="124" t="n"/>
      <c r="L176" s="125" t="n"/>
      <c r="M176" s="126" t="n"/>
      <c r="N176" s="124" t="n"/>
    </row>
    <row r="177" ht="15" customHeight="1" s="74">
      <c r="A177" s="121" t="n"/>
      <c r="B177" s="122" t="n"/>
      <c r="C177" s="122" t="n"/>
      <c r="D177" s="123" t="n"/>
      <c r="E177" s="121" t="n"/>
      <c r="F177" s="124" t="n"/>
      <c r="G177" s="125" t="n"/>
      <c r="H177" s="125" t="n"/>
      <c r="I177" s="124" t="n"/>
      <c r="J177" s="125" t="n"/>
      <c r="K177" s="124" t="n"/>
      <c r="L177" s="125" t="n"/>
      <c r="M177" s="126" t="n"/>
      <c r="N177" s="124" t="n"/>
    </row>
    <row r="178" ht="15" customHeight="1" s="74">
      <c r="A178" s="121" t="n"/>
      <c r="B178" s="122" t="n"/>
      <c r="C178" s="122" t="n"/>
      <c r="D178" s="123" t="n"/>
      <c r="E178" s="121" t="n"/>
      <c r="F178" s="124" t="n"/>
      <c r="G178" s="125" t="n"/>
      <c r="H178" s="125" t="n"/>
      <c r="I178" s="124" t="n"/>
      <c r="J178" s="125" t="n"/>
      <c r="K178" s="124" t="n"/>
      <c r="L178" s="125" t="n"/>
      <c r="M178" s="126" t="n"/>
      <c r="N178" s="124" t="n"/>
    </row>
    <row r="179" ht="15" customHeight="1" s="74">
      <c r="A179" s="121" t="n"/>
      <c r="B179" s="122" t="n"/>
      <c r="C179" s="122" t="n"/>
      <c r="D179" s="123" t="n"/>
      <c r="E179" s="121" t="n"/>
      <c r="F179" s="124" t="n"/>
      <c r="G179" s="125" t="n"/>
      <c r="H179" s="125" t="n"/>
      <c r="I179" s="124" t="n"/>
      <c r="J179" s="125" t="n"/>
      <c r="K179" s="124" t="n"/>
      <c r="L179" s="125" t="n"/>
      <c r="M179" s="126" t="n"/>
      <c r="N179" s="124" t="n"/>
    </row>
    <row r="180" ht="15" customHeight="1" s="74">
      <c r="A180" s="121" t="n"/>
      <c r="B180" s="122" t="n"/>
      <c r="C180" s="122" t="n"/>
      <c r="D180" s="123" t="n"/>
      <c r="E180" s="121" t="n"/>
      <c r="F180" s="124" t="n"/>
      <c r="G180" s="125" t="n"/>
      <c r="H180" s="125" t="n"/>
      <c r="I180" s="124" t="n"/>
      <c r="J180" s="125" t="n"/>
      <c r="K180" s="124" t="n"/>
      <c r="L180" s="125" t="n"/>
      <c r="M180" s="126" t="n"/>
      <c r="N180" s="124" t="n"/>
    </row>
    <row r="181" ht="15" customHeight="1" s="74">
      <c r="A181" s="121" t="n"/>
      <c r="B181" s="122" t="n"/>
      <c r="C181" s="122" t="n"/>
      <c r="D181" s="123" t="n"/>
      <c r="E181" s="121" t="n"/>
      <c r="F181" s="124" t="n"/>
      <c r="G181" s="125" t="n"/>
      <c r="H181" s="125" t="n"/>
      <c r="I181" s="124" t="n"/>
      <c r="J181" s="125" t="n"/>
      <c r="K181" s="124" t="n"/>
      <c r="L181" s="125" t="n"/>
      <c r="M181" s="126" t="n"/>
      <c r="N181" s="124" t="n"/>
    </row>
    <row r="182" ht="15" customHeight="1" s="74">
      <c r="A182" s="121" t="n"/>
      <c r="B182" s="122" t="n"/>
      <c r="C182" s="122" t="n"/>
      <c r="D182" s="123" t="n"/>
      <c r="E182" s="121" t="n"/>
      <c r="F182" s="124" t="n"/>
      <c r="G182" s="125" t="n"/>
      <c r="H182" s="125" t="n"/>
      <c r="I182" s="124" t="n"/>
      <c r="J182" s="125" t="n"/>
      <c r="K182" s="124" t="n"/>
      <c r="L182" s="125" t="n"/>
      <c r="M182" s="126" t="n"/>
      <c r="N182" s="124" t="n"/>
    </row>
    <row r="183" ht="15" customHeight="1" s="74">
      <c r="A183" s="121" t="n"/>
      <c r="B183" s="122" t="n"/>
      <c r="C183" s="122" t="n"/>
      <c r="D183" s="123" t="n"/>
      <c r="E183" s="121" t="n"/>
      <c r="F183" s="124" t="n"/>
      <c r="G183" s="125" t="n"/>
      <c r="H183" s="125" t="n"/>
      <c r="I183" s="124" t="n"/>
      <c r="J183" s="125" t="n"/>
      <c r="K183" s="124" t="n"/>
      <c r="L183" s="125" t="n"/>
      <c r="M183" s="126" t="n"/>
      <c r="N183" s="124" t="n"/>
    </row>
    <row r="184" ht="15" customHeight="1" s="74">
      <c r="A184" s="121" t="n"/>
      <c r="B184" s="122" t="n"/>
      <c r="C184" s="122" t="n"/>
      <c r="D184" s="123" t="n"/>
      <c r="E184" s="121" t="n"/>
      <c r="F184" s="124" t="n"/>
      <c r="G184" s="125" t="n"/>
      <c r="H184" s="125" t="n"/>
      <c r="I184" s="124" t="n"/>
      <c r="J184" s="125" t="n"/>
      <c r="K184" s="124" t="n"/>
      <c r="L184" s="125" t="n"/>
      <c r="M184" s="126" t="n"/>
      <c r="N184" s="124" t="n"/>
    </row>
    <row r="185" ht="15" customHeight="1" s="74">
      <c r="A185" s="121" t="n"/>
      <c r="B185" s="122" t="n"/>
      <c r="C185" s="122" t="n"/>
      <c r="D185" s="123" t="n"/>
      <c r="E185" s="121" t="n"/>
      <c r="F185" s="124" t="n"/>
      <c r="G185" s="125" t="n"/>
      <c r="H185" s="125" t="n"/>
      <c r="I185" s="124" t="n"/>
      <c r="J185" s="125" t="n"/>
      <c r="K185" s="124" t="n"/>
      <c r="L185" s="125" t="n"/>
      <c r="M185" s="126" t="n"/>
      <c r="N185" s="124" t="n"/>
    </row>
    <row r="186" ht="15" customHeight="1" s="74">
      <c r="A186" s="121" t="n"/>
      <c r="B186" s="122" t="n"/>
      <c r="C186" s="122" t="n"/>
      <c r="D186" s="123" t="n"/>
      <c r="E186" s="121" t="n"/>
      <c r="F186" s="124" t="n"/>
      <c r="G186" s="125" t="n"/>
      <c r="H186" s="125" t="n"/>
      <c r="I186" s="124" t="n"/>
      <c r="J186" s="125" t="n"/>
      <c r="K186" s="124" t="n"/>
      <c r="L186" s="125" t="n"/>
      <c r="M186" s="126" t="n"/>
      <c r="N186" s="124" t="n"/>
    </row>
    <row r="187" ht="15" customHeight="1" s="74">
      <c r="A187" s="121" t="n"/>
      <c r="B187" s="122" t="n"/>
      <c r="C187" s="122" t="n"/>
      <c r="D187" s="123" t="n"/>
      <c r="E187" s="121" t="n"/>
      <c r="F187" s="124" t="n"/>
      <c r="G187" s="125" t="n"/>
      <c r="H187" s="125" t="n"/>
      <c r="I187" s="124" t="n"/>
      <c r="J187" s="125" t="n"/>
      <c r="K187" s="124" t="n"/>
      <c r="L187" s="125" t="n"/>
      <c r="M187" s="126" t="n"/>
      <c r="N187" s="124" t="n"/>
    </row>
    <row r="188" ht="15" customHeight="1" s="74">
      <c r="A188" s="121" t="n"/>
      <c r="B188" s="122" t="n"/>
      <c r="C188" s="122" t="n"/>
      <c r="D188" s="123" t="n"/>
      <c r="E188" s="121" t="n"/>
      <c r="F188" s="124" t="n"/>
      <c r="G188" s="125" t="n"/>
      <c r="H188" s="125" t="n"/>
      <c r="I188" s="124" t="n"/>
      <c r="J188" s="125" t="n"/>
      <c r="K188" s="124" t="n"/>
      <c r="L188" s="125" t="n"/>
      <c r="M188" s="126" t="n"/>
      <c r="N188" s="124" t="n"/>
    </row>
    <row r="189" ht="15" customHeight="1" s="74">
      <c r="A189" s="121" t="n"/>
      <c r="B189" s="122" t="n"/>
      <c r="C189" s="122" t="n"/>
      <c r="D189" s="123" t="n"/>
      <c r="E189" s="121" t="n"/>
      <c r="F189" s="124" t="n"/>
      <c r="G189" s="125" t="n"/>
      <c r="H189" s="125" t="n"/>
      <c r="I189" s="124" t="n"/>
      <c r="J189" s="125" t="n"/>
      <c r="K189" s="124" t="n"/>
      <c r="L189" s="125" t="n"/>
      <c r="M189" s="126" t="n"/>
      <c r="N189" s="124" t="n"/>
    </row>
    <row r="190" ht="15" customHeight="1" s="74">
      <c r="A190" s="121" t="n"/>
      <c r="B190" s="122" t="n"/>
      <c r="C190" s="122" t="n"/>
      <c r="D190" s="123" t="n"/>
      <c r="E190" s="121" t="n"/>
      <c r="F190" s="124" t="n"/>
      <c r="G190" s="125" t="n"/>
      <c r="H190" s="125" t="n"/>
      <c r="I190" s="124" t="n"/>
      <c r="J190" s="125" t="n"/>
      <c r="K190" s="124" t="n"/>
      <c r="L190" s="125" t="n"/>
      <c r="M190" s="126" t="n"/>
      <c r="N190" s="124" t="n"/>
    </row>
    <row r="191" ht="15" customHeight="1" s="74">
      <c r="A191" s="121" t="n"/>
      <c r="B191" s="122" t="n"/>
      <c r="C191" s="122" t="n"/>
      <c r="D191" s="123" t="n"/>
      <c r="E191" s="121" t="n"/>
      <c r="F191" s="124" t="n"/>
      <c r="G191" s="125" t="n"/>
      <c r="H191" s="125" t="n"/>
      <c r="I191" s="124" t="n"/>
      <c r="J191" s="125" t="n"/>
      <c r="K191" s="124" t="n"/>
      <c r="L191" s="125" t="n"/>
      <c r="M191" s="126" t="n"/>
      <c r="N191" s="124" t="n"/>
    </row>
    <row r="192" ht="15" customHeight="1" s="74">
      <c r="A192" s="121" t="n"/>
      <c r="B192" s="122" t="n"/>
      <c r="C192" s="122" t="n"/>
      <c r="D192" s="123" t="n"/>
      <c r="E192" s="121" t="n"/>
      <c r="F192" s="124" t="n"/>
      <c r="G192" s="125" t="n"/>
      <c r="H192" s="125" t="n"/>
      <c r="I192" s="124" t="n"/>
      <c r="J192" s="125" t="n"/>
      <c r="K192" s="124" t="n"/>
      <c r="L192" s="125" t="n"/>
      <c r="M192" s="126" t="n"/>
      <c r="N192" s="124" t="n"/>
    </row>
    <row r="193" ht="15" customHeight="1" s="74">
      <c r="A193" s="121" t="n"/>
      <c r="B193" s="122" t="n"/>
      <c r="C193" s="122" t="n"/>
      <c r="D193" s="123" t="n"/>
      <c r="E193" s="121" t="n"/>
      <c r="F193" s="124" t="n"/>
      <c r="G193" s="125" t="n"/>
      <c r="H193" s="125" t="n"/>
      <c r="I193" s="124" t="n"/>
      <c r="J193" s="125" t="n"/>
      <c r="K193" s="124" t="n"/>
      <c r="L193" s="125" t="n"/>
      <c r="M193" s="126" t="n"/>
      <c r="N193" s="124" t="n"/>
    </row>
    <row r="194" ht="15" customHeight="1" s="74">
      <c r="A194" s="121" t="n"/>
      <c r="B194" s="122" t="n"/>
      <c r="C194" s="122" t="n"/>
      <c r="D194" s="123" t="n"/>
      <c r="E194" s="121" t="n"/>
      <c r="F194" s="124" t="n"/>
      <c r="G194" s="125" t="n"/>
      <c r="H194" s="125" t="n"/>
      <c r="I194" s="124" t="n"/>
      <c r="J194" s="125" t="n"/>
      <c r="K194" s="124" t="n"/>
      <c r="L194" s="125" t="n"/>
      <c r="M194" s="126" t="n"/>
      <c r="N194" s="124" t="n"/>
    </row>
    <row r="195" ht="15" customHeight="1" s="74">
      <c r="A195" s="121" t="n"/>
      <c r="B195" s="122" t="n"/>
      <c r="C195" s="122" t="n"/>
      <c r="D195" s="123" t="n"/>
      <c r="E195" s="121" t="n"/>
      <c r="F195" s="124" t="n"/>
      <c r="G195" s="125" t="n"/>
      <c r="H195" s="125" t="n"/>
      <c r="I195" s="124" t="n"/>
      <c r="J195" s="125" t="n"/>
      <c r="K195" s="124" t="n"/>
      <c r="L195" s="125" t="n"/>
      <c r="M195" s="126" t="n"/>
      <c r="N195" s="124" t="n"/>
    </row>
    <row r="196" ht="15" customHeight="1" s="74">
      <c r="A196" s="121" t="n"/>
      <c r="B196" s="122" t="n"/>
      <c r="C196" s="122" t="n"/>
      <c r="D196" s="123" t="n"/>
      <c r="E196" s="121" t="n"/>
      <c r="F196" s="124" t="n"/>
      <c r="G196" s="125" t="n"/>
      <c r="H196" s="125" t="n"/>
      <c r="I196" s="124" t="n"/>
      <c r="J196" s="125" t="n"/>
      <c r="K196" s="124" t="n"/>
      <c r="L196" s="125" t="n"/>
      <c r="M196" s="126" t="n"/>
      <c r="N196" s="124" t="n"/>
    </row>
    <row r="197" ht="15" customHeight="1" s="74">
      <c r="A197" s="121" t="n"/>
      <c r="B197" s="122" t="n"/>
      <c r="C197" s="122" t="n"/>
      <c r="D197" s="123" t="n"/>
      <c r="E197" s="121" t="n"/>
      <c r="F197" s="124" t="n"/>
      <c r="G197" s="125" t="n"/>
      <c r="H197" s="125" t="n"/>
      <c r="I197" s="124" t="n"/>
      <c r="J197" s="125" t="n"/>
      <c r="K197" s="124" t="n"/>
      <c r="L197" s="125" t="n"/>
      <c r="M197" s="126" t="n"/>
      <c r="N197" s="124" t="n"/>
    </row>
    <row r="198" ht="15" customHeight="1" s="74">
      <c r="A198" s="121" t="n"/>
      <c r="B198" s="122" t="n"/>
      <c r="C198" s="122" t="n"/>
      <c r="D198" s="123" t="n"/>
      <c r="E198" s="121" t="n"/>
      <c r="F198" s="124" t="n"/>
      <c r="G198" s="125" t="n"/>
      <c r="H198" s="125" t="n"/>
      <c r="I198" s="124" t="n"/>
      <c r="J198" s="125" t="n"/>
      <c r="K198" s="124" t="n"/>
      <c r="L198" s="125" t="n"/>
      <c r="M198" s="126" t="n"/>
      <c r="N198" s="124" t="n"/>
    </row>
    <row r="199" ht="15" customHeight="1" s="74">
      <c r="A199" s="121" t="n"/>
      <c r="B199" s="122" t="n"/>
      <c r="C199" s="122" t="n"/>
      <c r="D199" s="123" t="n"/>
      <c r="E199" s="121" t="n"/>
      <c r="F199" s="124" t="n"/>
      <c r="G199" s="125" t="n"/>
      <c r="H199" s="125" t="n"/>
      <c r="I199" s="124" t="n"/>
      <c r="J199" s="125" t="n"/>
      <c r="K199" s="124" t="n"/>
      <c r="L199" s="125" t="n"/>
      <c r="M199" s="126" t="n"/>
      <c r="N199" s="124" t="n"/>
    </row>
    <row r="200" ht="15" customHeight="1" s="74">
      <c r="A200" s="121" t="n"/>
      <c r="B200" s="122" t="n"/>
      <c r="C200" s="122" t="n"/>
      <c r="D200" s="123" t="n"/>
      <c r="E200" s="121" t="n"/>
      <c r="F200" s="124" t="n"/>
      <c r="G200" s="125" t="n"/>
      <c r="H200" s="125" t="n"/>
      <c r="I200" s="124" t="n"/>
      <c r="J200" s="125" t="n"/>
      <c r="K200" s="124" t="n"/>
      <c r="L200" s="125" t="n"/>
      <c r="M200" s="126" t="n"/>
      <c r="N200" s="124" t="n"/>
    </row>
    <row r="201" ht="15" customHeight="1" s="74">
      <c r="A201" s="121" t="n"/>
      <c r="B201" s="122" t="n"/>
      <c r="C201" s="122" t="n"/>
      <c r="D201" s="123" t="n"/>
      <c r="E201" s="121" t="n"/>
      <c r="F201" s="124" t="n"/>
      <c r="G201" s="125" t="n"/>
      <c r="H201" s="125" t="n"/>
      <c r="I201" s="124" t="n"/>
      <c r="J201" s="125" t="n"/>
      <c r="K201" s="124" t="n"/>
      <c r="L201" s="125" t="n"/>
      <c r="M201" s="126" t="n"/>
      <c r="N201" s="124" t="n"/>
    </row>
    <row r="202" ht="15" customHeight="1" s="74">
      <c r="A202" s="121" t="n"/>
      <c r="B202" s="122" t="n"/>
      <c r="C202" s="122" t="n"/>
      <c r="D202" s="123" t="n"/>
      <c r="E202" s="121" t="n"/>
      <c r="F202" s="124" t="n"/>
      <c r="G202" s="125" t="n"/>
      <c r="H202" s="125" t="n"/>
      <c r="I202" s="124" t="n"/>
      <c r="J202" s="125" t="n"/>
      <c r="K202" s="124" t="n"/>
      <c r="L202" s="125" t="n"/>
      <c r="M202" s="126" t="n"/>
      <c r="N202" s="124" t="n"/>
    </row>
    <row r="203" ht="15" customHeight="1" s="74">
      <c r="A203" s="121" t="n"/>
      <c r="B203" s="122" t="n"/>
      <c r="C203" s="122" t="n"/>
      <c r="D203" s="123" t="n"/>
      <c r="E203" s="121" t="n"/>
      <c r="F203" s="124" t="n"/>
      <c r="G203" s="125" t="n"/>
      <c r="H203" s="125" t="n"/>
      <c r="I203" s="124" t="n"/>
      <c r="J203" s="125" t="n"/>
      <c r="K203" s="124" t="n"/>
      <c r="L203" s="125" t="n"/>
      <c r="M203" s="126" t="n"/>
      <c r="N203" s="124" t="n"/>
    </row>
    <row r="204" ht="15" customHeight="1" s="74">
      <c r="A204" s="121" t="n"/>
      <c r="B204" s="122" t="n"/>
      <c r="C204" s="122" t="n"/>
      <c r="D204" s="123" t="n"/>
      <c r="E204" s="121" t="n"/>
      <c r="F204" s="124" t="n"/>
      <c r="G204" s="125" t="n"/>
      <c r="H204" s="125" t="n"/>
      <c r="I204" s="124" t="n"/>
      <c r="J204" s="125" t="n"/>
      <c r="K204" s="124" t="n"/>
      <c r="L204" s="125" t="n"/>
      <c r="M204" s="126" t="n"/>
      <c r="N204" s="124" t="n"/>
    </row>
    <row r="205" ht="15" customHeight="1" s="74">
      <c r="A205" s="121" t="n"/>
      <c r="B205" s="122" t="n"/>
      <c r="C205" s="122" t="n"/>
      <c r="D205" s="123" t="n"/>
      <c r="E205" s="121" t="n"/>
      <c r="F205" s="124" t="n"/>
      <c r="G205" s="125" t="n"/>
      <c r="H205" s="125" t="n"/>
      <c r="I205" s="124" t="n"/>
      <c r="J205" s="125" t="n"/>
      <c r="K205" s="124" t="n"/>
      <c r="L205" s="125" t="n"/>
      <c r="M205" s="126" t="n"/>
      <c r="N205" s="124" t="n"/>
    </row>
    <row r="206" ht="15" customHeight="1" s="74">
      <c r="A206" s="121" t="n"/>
      <c r="B206" s="122" t="n"/>
      <c r="C206" s="122" t="n"/>
      <c r="D206" s="123" t="n"/>
      <c r="E206" s="121" t="n"/>
      <c r="F206" s="124" t="n"/>
      <c r="G206" s="125" t="n"/>
      <c r="H206" s="125" t="n"/>
      <c r="I206" s="124" t="n"/>
      <c r="J206" s="125" t="n"/>
      <c r="K206" s="124" t="n"/>
      <c r="L206" s="125" t="n"/>
      <c r="M206" s="126" t="n"/>
      <c r="N206" s="124" t="n"/>
    </row>
    <row r="207" ht="15" customHeight="1" s="74">
      <c r="A207" s="121" t="n"/>
      <c r="B207" s="122" t="n"/>
      <c r="C207" s="122" t="n"/>
      <c r="D207" s="123" t="n"/>
      <c r="E207" s="121" t="n"/>
      <c r="F207" s="124" t="n"/>
      <c r="G207" s="125" t="n"/>
      <c r="H207" s="125" t="n"/>
      <c r="I207" s="124" t="n"/>
      <c r="J207" s="125" t="n"/>
      <c r="K207" s="124" t="n"/>
      <c r="L207" s="125" t="n"/>
      <c r="M207" s="126" t="n"/>
      <c r="N207" s="124" t="n"/>
    </row>
    <row r="208" ht="15" customHeight="1" s="74">
      <c r="A208" s="121" t="n"/>
      <c r="B208" s="122" t="n"/>
      <c r="C208" s="122" t="n"/>
      <c r="D208" s="123" t="n"/>
      <c r="E208" s="121" t="n"/>
      <c r="F208" s="124" t="n"/>
      <c r="G208" s="125" t="n"/>
      <c r="H208" s="125" t="n"/>
      <c r="I208" s="124" t="n"/>
      <c r="J208" s="125" t="n"/>
      <c r="K208" s="124" t="n"/>
      <c r="L208" s="125" t="n"/>
      <c r="M208" s="126" t="n"/>
      <c r="N208" s="124" t="n"/>
    </row>
    <row r="209" ht="15" customHeight="1" s="74">
      <c r="A209" s="121" t="n"/>
      <c r="B209" s="122" t="n"/>
      <c r="C209" s="122" t="n"/>
      <c r="D209" s="123" t="n"/>
      <c r="E209" s="121" t="n"/>
      <c r="F209" s="124" t="n"/>
      <c r="G209" s="125" t="n"/>
      <c r="H209" s="125" t="n"/>
      <c r="I209" s="124" t="n"/>
      <c r="J209" s="125" t="n"/>
      <c r="K209" s="124" t="n"/>
      <c r="L209" s="125" t="n"/>
      <c r="M209" s="126" t="n"/>
      <c r="N209" s="124" t="n"/>
    </row>
    <row r="210" ht="15" customHeight="1" s="74">
      <c r="A210" s="121" t="n"/>
      <c r="B210" s="122" t="n"/>
      <c r="C210" s="122" t="n"/>
      <c r="D210" s="123" t="n"/>
      <c r="E210" s="121" t="n"/>
      <c r="F210" s="124" t="n"/>
      <c r="G210" s="125" t="n"/>
      <c r="H210" s="125" t="n"/>
      <c r="I210" s="124" t="n"/>
      <c r="J210" s="125" t="n"/>
      <c r="K210" s="124" t="n"/>
      <c r="L210" s="125" t="n"/>
      <c r="M210" s="126" t="n"/>
      <c r="N210" s="124" t="n"/>
    </row>
    <row r="211" ht="15" customHeight="1" s="74">
      <c r="A211" s="121" t="n"/>
      <c r="B211" s="122" t="n"/>
      <c r="C211" s="122" t="n"/>
      <c r="D211" s="123" t="n"/>
      <c r="E211" s="121" t="n"/>
      <c r="F211" s="124" t="n"/>
      <c r="G211" s="125" t="n"/>
      <c r="H211" s="125" t="n"/>
      <c r="I211" s="124" t="n"/>
      <c r="J211" s="125" t="n"/>
      <c r="K211" s="124" t="n"/>
      <c r="L211" s="125" t="n"/>
      <c r="M211" s="126" t="n"/>
      <c r="N211" s="124" t="n"/>
    </row>
    <row r="212" ht="15" customHeight="1" s="74">
      <c r="A212" s="121" t="n"/>
      <c r="B212" s="122" t="n"/>
      <c r="C212" s="122" t="n"/>
      <c r="D212" s="123" t="n"/>
      <c r="E212" s="121" t="n"/>
      <c r="F212" s="124" t="n"/>
      <c r="G212" s="125" t="n"/>
      <c r="H212" s="125" t="n"/>
      <c r="I212" s="124" t="n"/>
      <c r="J212" s="125" t="n"/>
      <c r="K212" s="124" t="n"/>
      <c r="L212" s="125" t="n"/>
      <c r="M212" s="126" t="n"/>
      <c r="N212" s="124" t="n"/>
    </row>
    <row r="213" ht="15" customHeight="1" s="74">
      <c r="A213" s="121" t="n"/>
      <c r="B213" s="122" t="n"/>
      <c r="C213" s="122" t="n"/>
      <c r="D213" s="123" t="n"/>
      <c r="E213" s="121" t="n"/>
      <c r="F213" s="124" t="n"/>
      <c r="G213" s="125" t="n"/>
      <c r="H213" s="125" t="n"/>
      <c r="I213" s="124" t="n"/>
      <c r="J213" s="125" t="n"/>
      <c r="K213" s="124" t="n"/>
      <c r="L213" s="125" t="n"/>
      <c r="M213" s="126" t="n"/>
      <c r="N213" s="124" t="n"/>
    </row>
    <row r="214" ht="15" customHeight="1" s="74">
      <c r="A214" s="121" t="n"/>
      <c r="B214" s="122" t="n"/>
      <c r="C214" s="122" t="n"/>
      <c r="D214" s="123" t="n"/>
      <c r="E214" s="121" t="n"/>
      <c r="F214" s="124" t="n"/>
      <c r="G214" s="125" t="n"/>
      <c r="H214" s="125" t="n"/>
      <c r="I214" s="124" t="n"/>
      <c r="J214" s="125" t="n"/>
      <c r="K214" s="124" t="n"/>
      <c r="L214" s="125" t="n"/>
      <c r="M214" s="126" t="n"/>
      <c r="N214" s="124" t="n"/>
    </row>
    <row r="215" ht="15" customHeight="1" s="74">
      <c r="A215" s="121" t="n"/>
      <c r="B215" s="122" t="n"/>
      <c r="C215" s="122" t="n"/>
      <c r="D215" s="123" t="n"/>
      <c r="E215" s="121" t="n"/>
      <c r="F215" s="124" t="n"/>
      <c r="G215" s="125" t="n"/>
      <c r="H215" s="125" t="n"/>
      <c r="I215" s="124" t="n"/>
      <c r="J215" s="125" t="n"/>
      <c r="K215" s="124" t="n"/>
      <c r="L215" s="125" t="n"/>
      <c r="M215" s="126" t="n"/>
      <c r="N215" s="124" t="n"/>
    </row>
    <row r="216" ht="15" customHeight="1" s="74">
      <c r="A216" s="121" t="n"/>
      <c r="B216" s="122" t="n"/>
      <c r="C216" s="122" t="n"/>
      <c r="D216" s="123" t="n"/>
      <c r="E216" s="121" t="n"/>
      <c r="F216" s="124" t="n"/>
      <c r="G216" s="125" t="n"/>
      <c r="H216" s="125" t="n"/>
      <c r="I216" s="124" t="n"/>
      <c r="J216" s="125" t="n"/>
      <c r="K216" s="124" t="n"/>
      <c r="L216" s="125" t="n"/>
      <c r="M216" s="126" t="n"/>
      <c r="N216" s="124" t="n"/>
    </row>
    <row r="217" ht="15" customHeight="1" s="74">
      <c r="A217" s="121" t="n"/>
      <c r="B217" s="122" t="n"/>
      <c r="C217" s="122" t="n"/>
      <c r="D217" s="123" t="n"/>
      <c r="E217" s="121" t="n"/>
      <c r="F217" s="124" t="n"/>
      <c r="G217" s="125" t="n"/>
      <c r="H217" s="125" t="n"/>
      <c r="I217" s="124" t="n"/>
      <c r="J217" s="125" t="n"/>
      <c r="K217" s="124" t="n"/>
      <c r="L217" s="125" t="n"/>
      <c r="M217" s="126" t="n"/>
      <c r="N217" s="124" t="n"/>
    </row>
    <row r="218" ht="15" customHeight="1" s="74">
      <c r="A218" s="121" t="n"/>
      <c r="B218" s="122" t="n"/>
      <c r="C218" s="122" t="n"/>
      <c r="D218" s="123" t="n"/>
      <c r="E218" s="121" t="n"/>
      <c r="F218" s="124" t="n"/>
      <c r="G218" s="125" t="n"/>
      <c r="H218" s="125" t="n"/>
      <c r="I218" s="124" t="n"/>
      <c r="J218" s="125" t="n"/>
      <c r="K218" s="124" t="n"/>
      <c r="L218" s="125" t="n"/>
      <c r="M218" s="126" t="n"/>
      <c r="N218" s="124" t="n"/>
    </row>
    <row r="219" ht="15" customHeight="1" s="74">
      <c r="A219" s="121" t="n"/>
      <c r="B219" s="122" t="n"/>
      <c r="C219" s="122" t="n"/>
      <c r="D219" s="123" t="n"/>
      <c r="E219" s="121" t="n"/>
      <c r="F219" s="124" t="n"/>
      <c r="G219" s="125" t="n"/>
      <c r="H219" s="125" t="n"/>
      <c r="I219" s="124" t="n"/>
      <c r="J219" s="125" t="n"/>
      <c r="K219" s="124" t="n"/>
      <c r="L219" s="125" t="n"/>
      <c r="M219" s="126" t="n"/>
      <c r="N219" s="124" t="n"/>
    </row>
    <row r="220" ht="15" customHeight="1" s="74">
      <c r="A220" s="121" t="n"/>
      <c r="B220" s="122" t="n"/>
      <c r="C220" s="122" t="n"/>
      <c r="D220" s="123" t="n"/>
      <c r="E220" s="121" t="n"/>
      <c r="F220" s="124" t="n"/>
      <c r="G220" s="125" t="n"/>
      <c r="H220" s="125" t="n"/>
      <c r="I220" s="124" t="n"/>
      <c r="J220" s="125" t="n"/>
      <c r="K220" s="124" t="n"/>
      <c r="L220" s="125" t="n"/>
      <c r="M220" s="126" t="n"/>
      <c r="N220" s="124" t="n"/>
    </row>
    <row r="221" ht="15" customHeight="1" s="74">
      <c r="A221" s="121" t="n"/>
      <c r="B221" s="122" t="n"/>
      <c r="C221" s="122" t="n"/>
      <c r="D221" s="123" t="n"/>
      <c r="E221" s="121" t="n"/>
      <c r="F221" s="124" t="n"/>
      <c r="G221" s="125" t="n"/>
      <c r="H221" s="125" t="n"/>
      <c r="I221" s="124" t="n"/>
      <c r="J221" s="125" t="n"/>
      <c r="K221" s="124" t="n"/>
      <c r="L221" s="125" t="n"/>
      <c r="M221" s="126" t="n"/>
      <c r="N221" s="124" t="n"/>
    </row>
    <row r="222" ht="15" customHeight="1" s="74">
      <c r="A222" s="121" t="n"/>
      <c r="B222" s="122" t="n"/>
      <c r="C222" s="122" t="n"/>
      <c r="D222" s="123" t="n"/>
      <c r="E222" s="121" t="n"/>
      <c r="F222" s="124" t="n"/>
      <c r="G222" s="125" t="n"/>
      <c r="H222" s="125" t="n"/>
      <c r="I222" s="124" t="n"/>
      <c r="J222" s="125" t="n"/>
      <c r="K222" s="124" t="n"/>
      <c r="L222" s="125" t="n"/>
      <c r="M222" s="126" t="n"/>
      <c r="N222" s="124" t="n"/>
    </row>
    <row r="223" ht="15" customHeight="1" s="74">
      <c r="A223" s="121" t="n"/>
      <c r="B223" s="122" t="n"/>
      <c r="C223" s="122" t="n"/>
      <c r="D223" s="123" t="n"/>
      <c r="E223" s="121" t="n"/>
      <c r="F223" s="124" t="n"/>
      <c r="G223" s="125" t="n"/>
      <c r="H223" s="125" t="n"/>
      <c r="I223" s="124" t="n"/>
      <c r="J223" s="125" t="n"/>
      <c r="K223" s="124" t="n"/>
      <c r="L223" s="125" t="n"/>
      <c r="M223" s="126" t="n"/>
      <c r="N223" s="124" t="n"/>
    </row>
    <row r="224" ht="15" customHeight="1" s="74">
      <c r="A224" s="121" t="n"/>
      <c r="B224" s="122" t="n"/>
      <c r="C224" s="122" t="n"/>
      <c r="D224" s="123" t="n"/>
      <c r="E224" s="121" t="n"/>
      <c r="F224" s="124" t="n"/>
      <c r="G224" s="125" t="n"/>
      <c r="H224" s="125" t="n"/>
      <c r="I224" s="124" t="n"/>
      <c r="J224" s="125" t="n"/>
      <c r="K224" s="124" t="n"/>
      <c r="L224" s="125" t="n"/>
      <c r="M224" s="126" t="n"/>
      <c r="N224" s="124" t="n"/>
    </row>
    <row r="225" ht="15" customHeight="1" s="74">
      <c r="A225" s="121" t="n"/>
      <c r="B225" s="122" t="n"/>
      <c r="C225" s="122" t="n"/>
      <c r="D225" s="123" t="n"/>
      <c r="E225" s="121" t="n"/>
      <c r="F225" s="124" t="n"/>
      <c r="G225" s="125" t="n"/>
      <c r="H225" s="125" t="n"/>
      <c r="I225" s="124" t="n"/>
      <c r="J225" s="125" t="n"/>
      <c r="K225" s="124" t="n"/>
      <c r="L225" s="125" t="n"/>
      <c r="M225" s="126" t="n"/>
      <c r="N225" s="124" t="n"/>
    </row>
    <row r="226" ht="15" customHeight="1" s="74">
      <c r="A226" s="121" t="n"/>
      <c r="B226" s="122" t="n"/>
      <c r="C226" s="122" t="n"/>
      <c r="D226" s="123" t="n"/>
      <c r="E226" s="121" t="n"/>
      <c r="F226" s="124" t="n"/>
      <c r="G226" s="125" t="n"/>
      <c r="H226" s="125" t="n"/>
      <c r="I226" s="124" t="n"/>
      <c r="J226" s="125" t="n"/>
      <c r="K226" s="124" t="n"/>
      <c r="L226" s="125" t="n"/>
      <c r="M226" s="126" t="n"/>
      <c r="N226" s="124" t="n"/>
    </row>
    <row r="227" ht="15" customHeight="1" s="74">
      <c r="A227" s="121" t="n"/>
      <c r="B227" s="122" t="n"/>
      <c r="C227" s="122" t="n"/>
      <c r="D227" s="123" t="n"/>
      <c r="E227" s="121" t="n"/>
      <c r="F227" s="124" t="n"/>
      <c r="G227" s="125" t="n"/>
      <c r="H227" s="125" t="n"/>
      <c r="I227" s="124" t="n"/>
      <c r="J227" s="125" t="n"/>
      <c r="K227" s="124" t="n"/>
      <c r="L227" s="125" t="n"/>
      <c r="M227" s="126" t="n"/>
      <c r="N227" s="124" t="n"/>
    </row>
    <row r="228" ht="15" customHeight="1" s="74">
      <c r="A228" s="121" t="n"/>
      <c r="B228" s="122" t="n"/>
      <c r="C228" s="122" t="n"/>
      <c r="D228" s="123" t="n"/>
      <c r="E228" s="121" t="n"/>
      <c r="F228" s="124" t="n"/>
      <c r="G228" s="125" t="n"/>
      <c r="H228" s="125" t="n"/>
      <c r="I228" s="124" t="n"/>
      <c r="J228" s="125" t="n"/>
      <c r="K228" s="124" t="n"/>
      <c r="L228" s="125" t="n"/>
      <c r="M228" s="126" t="n"/>
      <c r="N228" s="124" t="n"/>
    </row>
    <row r="229" ht="15" customHeight="1" s="74">
      <c r="A229" s="121" t="n"/>
      <c r="B229" s="122" t="n"/>
      <c r="C229" s="122" t="n"/>
      <c r="D229" s="123" t="n"/>
      <c r="E229" s="121" t="n"/>
      <c r="F229" s="124" t="n"/>
      <c r="G229" s="125" t="n"/>
      <c r="H229" s="125" t="n"/>
      <c r="I229" s="124" t="n"/>
      <c r="J229" s="125" t="n"/>
      <c r="K229" s="124" t="n"/>
      <c r="L229" s="125" t="n"/>
      <c r="M229" s="126" t="n"/>
      <c r="N229" s="124" t="n"/>
    </row>
    <row r="230" ht="15" customHeight="1" s="74">
      <c r="A230" s="121" t="n"/>
      <c r="B230" s="122" t="n"/>
      <c r="C230" s="122" t="n"/>
      <c r="D230" s="123" t="n"/>
      <c r="E230" s="121" t="n"/>
      <c r="F230" s="124" t="n"/>
      <c r="G230" s="125" t="n"/>
      <c r="H230" s="125" t="n"/>
      <c r="I230" s="124" t="n"/>
      <c r="J230" s="125" t="n"/>
      <c r="K230" s="124" t="n"/>
      <c r="L230" s="125" t="n"/>
      <c r="M230" s="126" t="n"/>
      <c r="N230" s="124" t="n"/>
    </row>
    <row r="231" ht="15" customHeight="1" s="74">
      <c r="A231" s="121" t="n"/>
      <c r="B231" s="122" t="n"/>
      <c r="C231" s="122" t="n"/>
      <c r="D231" s="123" t="n"/>
      <c r="E231" s="121" t="n"/>
      <c r="F231" s="124" t="n"/>
      <c r="G231" s="125" t="n"/>
      <c r="H231" s="125" t="n"/>
      <c r="I231" s="124" t="n"/>
      <c r="J231" s="125" t="n"/>
      <c r="K231" s="124" t="n"/>
      <c r="L231" s="125" t="n"/>
      <c r="M231" s="126" t="n"/>
      <c r="N231" s="124" t="n"/>
    </row>
    <row r="232" ht="15" customHeight="1" s="74">
      <c r="A232" s="121" t="n"/>
      <c r="B232" s="122" t="n"/>
      <c r="C232" s="122" t="n"/>
      <c r="D232" s="123" t="n"/>
      <c r="E232" s="121" t="n"/>
      <c r="F232" s="124" t="n"/>
      <c r="G232" s="125" t="n"/>
      <c r="H232" s="125" t="n"/>
      <c r="I232" s="124" t="n"/>
      <c r="J232" s="125" t="n"/>
      <c r="K232" s="124" t="n"/>
      <c r="L232" s="125" t="n"/>
      <c r="M232" s="126" t="n"/>
      <c r="N232" s="124" t="n"/>
    </row>
    <row r="233" ht="15" customHeight="1" s="74">
      <c r="A233" s="121" t="n"/>
      <c r="B233" s="122" t="n"/>
      <c r="C233" s="122" t="n"/>
      <c r="D233" s="123" t="n"/>
      <c r="E233" s="121" t="n"/>
      <c r="F233" s="124" t="n"/>
      <c r="G233" s="125" t="n"/>
      <c r="H233" s="125" t="n"/>
      <c r="I233" s="124" t="n"/>
      <c r="J233" s="125" t="n"/>
      <c r="K233" s="124" t="n"/>
      <c r="L233" s="125" t="n"/>
      <c r="M233" s="126" t="n"/>
      <c r="N233" s="124" t="n"/>
    </row>
    <row r="234" ht="15" customHeight="1" s="74">
      <c r="A234" s="121" t="n"/>
      <c r="B234" s="122" t="n"/>
      <c r="C234" s="122" t="n"/>
      <c r="D234" s="123" t="n"/>
      <c r="E234" s="121" t="n"/>
      <c r="F234" s="124" t="n"/>
      <c r="G234" s="125" t="n"/>
      <c r="H234" s="125" t="n"/>
      <c r="I234" s="124" t="n"/>
      <c r="J234" s="125" t="n"/>
      <c r="K234" s="124" t="n"/>
      <c r="L234" s="125" t="n"/>
      <c r="M234" s="126" t="n"/>
      <c r="N234" s="124" t="n"/>
    </row>
    <row r="235" ht="15" customHeight="1" s="74">
      <c r="A235" s="121" t="n"/>
      <c r="B235" s="122" t="n"/>
      <c r="C235" s="122" t="n"/>
      <c r="D235" s="123" t="n"/>
      <c r="E235" s="121" t="n"/>
      <c r="F235" s="124" t="n"/>
      <c r="G235" s="125" t="n"/>
      <c r="H235" s="125" t="n"/>
      <c r="I235" s="124" t="n"/>
      <c r="J235" s="125" t="n"/>
      <c r="K235" s="124" t="n"/>
      <c r="L235" s="125" t="n"/>
      <c r="M235" s="126" t="n"/>
      <c r="N235" s="124" t="n"/>
    </row>
    <row r="236" ht="15" customHeight="1" s="74">
      <c r="A236" s="121" t="n"/>
      <c r="B236" s="122" t="n"/>
      <c r="C236" s="122" t="n"/>
      <c r="D236" s="123" t="n"/>
      <c r="E236" s="121" t="n"/>
      <c r="F236" s="124" t="n"/>
      <c r="G236" s="125" t="n"/>
      <c r="H236" s="125" t="n"/>
      <c r="I236" s="124" t="n"/>
      <c r="J236" s="125" t="n"/>
      <c r="K236" s="124" t="n"/>
      <c r="L236" s="125" t="n"/>
      <c r="M236" s="126" t="n"/>
      <c r="N236" s="124" t="n"/>
    </row>
    <row r="237" ht="15" customHeight="1" s="74">
      <c r="A237" s="121" t="n"/>
      <c r="B237" s="122" t="n"/>
      <c r="C237" s="122" t="n"/>
      <c r="D237" s="123" t="n"/>
      <c r="E237" s="121" t="n"/>
      <c r="F237" s="124" t="n"/>
      <c r="G237" s="125" t="n"/>
      <c r="H237" s="125" t="n"/>
      <c r="I237" s="124" t="n"/>
      <c r="J237" s="125" t="n"/>
      <c r="K237" s="124" t="n"/>
      <c r="L237" s="125" t="n"/>
      <c r="M237" s="126" t="n"/>
      <c r="N237" s="124" t="n"/>
    </row>
    <row r="238" ht="15" customHeight="1" s="74">
      <c r="A238" s="121" t="n"/>
      <c r="B238" s="122" t="n"/>
      <c r="C238" s="122" t="n"/>
      <c r="D238" s="123" t="n"/>
      <c r="E238" s="121" t="n"/>
      <c r="F238" s="124" t="n"/>
      <c r="G238" s="125" t="n"/>
      <c r="H238" s="125" t="n"/>
      <c r="I238" s="124" t="n"/>
      <c r="J238" s="125" t="n"/>
      <c r="K238" s="124" t="n"/>
      <c r="L238" s="125" t="n"/>
      <c r="M238" s="126" t="n"/>
      <c r="N238" s="124" t="n"/>
    </row>
    <row r="239" ht="15" customHeight="1" s="74">
      <c r="A239" s="121" t="n"/>
      <c r="B239" s="122" t="n"/>
      <c r="C239" s="122" t="n"/>
      <c r="D239" s="123" t="n"/>
      <c r="E239" s="121" t="n"/>
      <c r="F239" s="124" t="n"/>
      <c r="G239" s="125" t="n"/>
      <c r="H239" s="125" t="n"/>
      <c r="I239" s="124" t="n"/>
      <c r="J239" s="125" t="n"/>
      <c r="K239" s="124" t="n"/>
      <c r="L239" s="125" t="n"/>
      <c r="M239" s="126" t="n"/>
      <c r="N239" s="124" t="n"/>
    </row>
    <row r="240" ht="15" customHeight="1" s="74">
      <c r="A240" s="121" t="n"/>
      <c r="B240" s="122" t="n"/>
      <c r="C240" s="122" t="n"/>
      <c r="D240" s="123" t="n"/>
      <c r="E240" s="121" t="n"/>
      <c r="F240" s="124" t="n"/>
      <c r="G240" s="125" t="n"/>
      <c r="H240" s="125" t="n"/>
      <c r="I240" s="124" t="n"/>
      <c r="J240" s="125" t="n"/>
      <c r="K240" s="124" t="n"/>
      <c r="L240" s="125" t="n"/>
      <c r="M240" s="126" t="n"/>
      <c r="N240" s="124" t="n"/>
    </row>
    <row r="241" ht="15" customHeight="1" s="74">
      <c r="A241" s="121" t="n"/>
      <c r="B241" s="122" t="n"/>
      <c r="C241" s="122" t="n"/>
      <c r="D241" s="123" t="n"/>
      <c r="E241" s="121" t="n"/>
      <c r="F241" s="124" t="n"/>
      <c r="G241" s="125" t="n"/>
      <c r="H241" s="125" t="n"/>
      <c r="I241" s="124" t="n"/>
      <c r="J241" s="125" t="n"/>
      <c r="K241" s="124" t="n"/>
      <c r="L241" s="125" t="n"/>
      <c r="M241" s="126" t="n"/>
      <c r="N241" s="124" t="n"/>
    </row>
    <row r="242" ht="15" customHeight="1" s="74">
      <c r="A242" s="121" t="n"/>
      <c r="B242" s="122" t="n"/>
      <c r="C242" s="122" t="n"/>
      <c r="D242" s="123" t="n"/>
      <c r="E242" s="121" t="n"/>
      <c r="F242" s="124" t="n"/>
      <c r="G242" s="125" t="n"/>
      <c r="H242" s="125" t="n"/>
      <c r="I242" s="124" t="n"/>
      <c r="J242" s="125" t="n"/>
      <c r="K242" s="124" t="n"/>
      <c r="L242" s="125" t="n"/>
      <c r="M242" s="126" t="n"/>
      <c r="N242" s="124" t="n"/>
    </row>
    <row r="243" ht="15" customHeight="1" s="74">
      <c r="A243" s="121" t="n"/>
      <c r="B243" s="122" t="n"/>
      <c r="C243" s="122" t="n"/>
      <c r="D243" s="123" t="n"/>
      <c r="E243" s="121" t="n"/>
      <c r="F243" s="124" t="n"/>
      <c r="G243" s="125" t="n"/>
      <c r="H243" s="125" t="n"/>
      <c r="I243" s="124" t="n"/>
      <c r="J243" s="125" t="n"/>
      <c r="K243" s="124" t="n"/>
      <c r="L243" s="125" t="n"/>
      <c r="M243" s="126" t="n"/>
      <c r="N243" s="124" t="n"/>
    </row>
    <row r="244" ht="15" customHeight="1" s="74">
      <c r="A244" s="121" t="n"/>
      <c r="B244" s="122" t="n"/>
      <c r="C244" s="122" t="n"/>
      <c r="D244" s="123" t="n"/>
      <c r="E244" s="121" t="n"/>
      <c r="F244" s="124" t="n"/>
      <c r="G244" s="125" t="n"/>
      <c r="H244" s="125" t="n"/>
      <c r="I244" s="124" t="n"/>
      <c r="J244" s="125" t="n"/>
      <c r="K244" s="124" t="n"/>
      <c r="L244" s="125" t="n"/>
      <c r="M244" s="126" t="n"/>
      <c r="N244" s="124" t="n"/>
    </row>
    <row r="245" ht="15" customHeight="1" s="74">
      <c r="A245" s="121" t="n"/>
      <c r="B245" s="122" t="n"/>
      <c r="C245" s="122" t="n"/>
      <c r="D245" s="123" t="n"/>
      <c r="E245" s="121" t="n"/>
      <c r="F245" s="124" t="n"/>
      <c r="G245" s="125" t="n"/>
      <c r="H245" s="125" t="n"/>
      <c r="I245" s="124" t="n"/>
      <c r="J245" s="125" t="n"/>
      <c r="K245" s="124" t="n"/>
      <c r="L245" s="125" t="n"/>
      <c r="M245" s="126" t="n"/>
      <c r="N245" s="124" t="n"/>
    </row>
    <row r="246" ht="15" customHeight="1" s="74">
      <c r="A246" s="121" t="n"/>
      <c r="B246" s="122" t="n"/>
      <c r="C246" s="122" t="n"/>
      <c r="D246" s="123" t="n"/>
      <c r="E246" s="121" t="n"/>
      <c r="F246" s="124" t="n"/>
      <c r="G246" s="125" t="n"/>
      <c r="H246" s="125" t="n"/>
      <c r="I246" s="124" t="n"/>
      <c r="J246" s="125" t="n"/>
      <c r="K246" s="124" t="n"/>
      <c r="L246" s="125" t="n"/>
      <c r="M246" s="126" t="n"/>
      <c r="N246" s="124" t="n"/>
    </row>
    <row r="247" ht="15" customHeight="1" s="74">
      <c r="A247" s="121" t="n"/>
      <c r="B247" s="122" t="n"/>
      <c r="C247" s="122" t="n"/>
      <c r="D247" s="123" t="n"/>
      <c r="E247" s="121" t="n"/>
      <c r="F247" s="124" t="n"/>
      <c r="G247" s="125" t="n"/>
      <c r="H247" s="125" t="n"/>
      <c r="I247" s="124" t="n"/>
      <c r="J247" s="125" t="n"/>
      <c r="K247" s="124" t="n"/>
      <c r="L247" s="125" t="n"/>
      <c r="M247" s="126" t="n"/>
      <c r="N247" s="124" t="n"/>
    </row>
    <row r="248" ht="15" customHeight="1" s="74">
      <c r="A248" s="121" t="n"/>
      <c r="B248" s="122" t="n"/>
      <c r="C248" s="122" t="n"/>
      <c r="D248" s="123" t="n"/>
      <c r="E248" s="121" t="n"/>
      <c r="F248" s="124" t="n"/>
      <c r="G248" s="125" t="n"/>
      <c r="H248" s="125" t="n"/>
      <c r="I248" s="124" t="n"/>
      <c r="J248" s="125" t="n"/>
      <c r="K248" s="124" t="n"/>
      <c r="L248" s="125" t="n"/>
      <c r="M248" s="126" t="n"/>
      <c r="N248" s="124" t="n"/>
    </row>
    <row r="249" ht="15" customHeight="1" s="74">
      <c r="A249" s="121" t="n"/>
      <c r="B249" s="122" t="n"/>
      <c r="C249" s="122" t="n"/>
      <c r="D249" s="123" t="n"/>
      <c r="E249" s="121" t="n"/>
      <c r="F249" s="124" t="n"/>
      <c r="G249" s="125" t="n"/>
      <c r="H249" s="125" t="n"/>
      <c r="I249" s="124" t="n"/>
      <c r="J249" s="125" t="n"/>
      <c r="K249" s="124" t="n"/>
      <c r="L249" s="125" t="n"/>
      <c r="M249" s="126" t="n"/>
      <c r="N249" s="124" t="n"/>
    </row>
    <row r="250" ht="15" customHeight="1" s="74">
      <c r="A250" s="121" t="n"/>
      <c r="B250" s="122" t="n"/>
      <c r="C250" s="122" t="n"/>
      <c r="D250" s="123" t="n"/>
      <c r="E250" s="121" t="n"/>
      <c r="F250" s="124" t="n"/>
      <c r="G250" s="125" t="n"/>
      <c r="H250" s="125" t="n"/>
      <c r="I250" s="124" t="n"/>
      <c r="J250" s="125" t="n"/>
      <c r="K250" s="124" t="n"/>
      <c r="L250" s="125" t="n"/>
      <c r="M250" s="126" t="n"/>
      <c r="N250" s="124" t="n"/>
    </row>
    <row r="251" ht="15" customHeight="1" s="74">
      <c r="A251" s="121" t="n"/>
      <c r="B251" s="122" t="n"/>
      <c r="C251" s="122" t="n"/>
      <c r="D251" s="123" t="n"/>
      <c r="E251" s="121" t="n"/>
      <c r="F251" s="124" t="n"/>
      <c r="G251" s="125" t="n"/>
      <c r="H251" s="125" t="n"/>
      <c r="I251" s="124" t="n"/>
      <c r="J251" s="125" t="n"/>
      <c r="K251" s="124" t="n"/>
      <c r="L251" s="125" t="n"/>
      <c r="M251" s="126" t="n"/>
      <c r="N251" s="124" t="n"/>
    </row>
    <row r="252" ht="15" customHeight="1" s="74">
      <c r="A252" s="121" t="n"/>
      <c r="B252" s="122" t="n"/>
      <c r="C252" s="122" t="n"/>
      <c r="D252" s="123" t="n"/>
      <c r="E252" s="121" t="n"/>
      <c r="F252" s="124" t="n"/>
      <c r="G252" s="125" t="n"/>
      <c r="H252" s="125" t="n"/>
      <c r="I252" s="124" t="n"/>
      <c r="J252" s="125" t="n"/>
      <c r="K252" s="124" t="n"/>
      <c r="L252" s="125" t="n"/>
      <c r="M252" s="126" t="n"/>
      <c r="N252" s="124" t="n"/>
    </row>
    <row r="253" ht="15" customHeight="1" s="74">
      <c r="A253" s="121" t="n"/>
      <c r="B253" s="122" t="n"/>
      <c r="C253" s="122" t="n"/>
      <c r="D253" s="123" t="n"/>
      <c r="E253" s="121" t="n"/>
      <c r="F253" s="124" t="n"/>
      <c r="G253" s="125" t="n"/>
      <c r="H253" s="125" t="n"/>
      <c r="I253" s="124" t="n"/>
      <c r="J253" s="125" t="n"/>
      <c r="K253" s="124" t="n"/>
      <c r="L253" s="125" t="n"/>
      <c r="M253" s="126" t="n"/>
      <c r="N253" s="124" t="n"/>
    </row>
    <row r="254" ht="15" customHeight="1" s="74">
      <c r="A254" s="121" t="n"/>
      <c r="B254" s="122" t="n"/>
      <c r="C254" s="122" t="n"/>
      <c r="D254" s="123" t="n"/>
      <c r="E254" s="121" t="n"/>
      <c r="F254" s="124" t="n"/>
      <c r="G254" s="125" t="n"/>
      <c r="H254" s="125" t="n"/>
      <c r="I254" s="124" t="n"/>
      <c r="J254" s="125" t="n"/>
      <c r="K254" s="124" t="n"/>
      <c r="L254" s="125" t="n"/>
      <c r="M254" s="126" t="n"/>
      <c r="N254" s="124" t="n"/>
    </row>
    <row r="255" ht="15" customHeight="1" s="74">
      <c r="A255" s="121" t="n"/>
      <c r="B255" s="122" t="n"/>
      <c r="C255" s="122" t="n"/>
      <c r="D255" s="123" t="n"/>
      <c r="E255" s="121" t="n"/>
      <c r="F255" s="124" t="n"/>
      <c r="G255" s="125" t="n"/>
      <c r="H255" s="125" t="n"/>
      <c r="I255" s="124" t="n"/>
      <c r="J255" s="125" t="n"/>
      <c r="K255" s="124" t="n"/>
      <c r="L255" s="125" t="n"/>
      <c r="M255" s="126" t="n"/>
      <c r="N255" s="124" t="n"/>
    </row>
    <row r="256" ht="15" customHeight="1" s="74">
      <c r="A256" s="121" t="n"/>
      <c r="B256" s="122" t="n"/>
      <c r="C256" s="122" t="n"/>
      <c r="D256" s="123" t="n"/>
      <c r="E256" s="121" t="n"/>
      <c r="F256" s="124" t="n"/>
      <c r="G256" s="125" t="n"/>
      <c r="H256" s="125" t="n"/>
      <c r="I256" s="124" t="n"/>
      <c r="J256" s="125" t="n"/>
      <c r="K256" s="124" t="n"/>
      <c r="L256" s="125" t="n"/>
      <c r="M256" s="126" t="n"/>
      <c r="N256" s="124" t="n"/>
    </row>
    <row r="257" ht="15" customHeight="1" s="74">
      <c r="A257" s="121" t="n"/>
      <c r="B257" s="122" t="n"/>
      <c r="C257" s="122" t="n"/>
      <c r="D257" s="123" t="n"/>
      <c r="E257" s="121" t="n"/>
      <c r="F257" s="124" t="n"/>
      <c r="G257" s="125" t="n"/>
      <c r="H257" s="125" t="n"/>
      <c r="I257" s="124" t="n"/>
      <c r="J257" s="125" t="n"/>
      <c r="K257" s="124" t="n"/>
      <c r="L257" s="125" t="n"/>
      <c r="M257" s="126" t="n"/>
      <c r="N257" s="124" t="n"/>
    </row>
    <row r="258" ht="15" customHeight="1" s="74">
      <c r="A258" s="121" t="n"/>
      <c r="B258" s="122" t="n"/>
      <c r="C258" s="122" t="n"/>
      <c r="D258" s="123" t="n"/>
      <c r="E258" s="121" t="n"/>
      <c r="F258" s="124" t="n"/>
      <c r="G258" s="125" t="n"/>
      <c r="H258" s="125" t="n"/>
      <c r="I258" s="124" t="n"/>
      <c r="J258" s="125" t="n"/>
      <c r="K258" s="124" t="n"/>
      <c r="L258" s="125" t="n"/>
      <c r="M258" s="126" t="n"/>
      <c r="N258" s="124" t="n"/>
    </row>
    <row r="259" ht="15" customHeight="1" s="74">
      <c r="A259" s="121" t="n"/>
      <c r="B259" s="122" t="n"/>
      <c r="C259" s="122" t="n"/>
      <c r="D259" s="123" t="n"/>
      <c r="E259" s="121" t="n"/>
      <c r="F259" s="124" t="n"/>
      <c r="G259" s="125" t="n"/>
      <c r="H259" s="125" t="n"/>
      <c r="I259" s="124" t="n"/>
      <c r="J259" s="125" t="n"/>
      <c r="K259" s="124" t="n"/>
      <c r="L259" s="125" t="n"/>
      <c r="M259" s="126" t="n"/>
      <c r="N259" s="124" t="n"/>
    </row>
    <row r="260" ht="15" customHeight="1" s="74">
      <c r="A260" s="121" t="n"/>
      <c r="B260" s="122" t="n"/>
      <c r="C260" s="122" t="n"/>
      <c r="D260" s="123" t="n"/>
      <c r="E260" s="121" t="n"/>
      <c r="F260" s="124" t="n"/>
      <c r="G260" s="125" t="n"/>
      <c r="H260" s="125" t="n"/>
      <c r="I260" s="124" t="n"/>
      <c r="J260" s="125" t="n"/>
      <c r="K260" s="124" t="n"/>
      <c r="L260" s="125" t="n"/>
      <c r="M260" s="126" t="n"/>
      <c r="N260" s="124" t="n"/>
    </row>
    <row r="261" ht="15" customHeight="1" s="74">
      <c r="A261" s="121" t="n"/>
      <c r="B261" s="122" t="n"/>
      <c r="C261" s="122" t="n"/>
      <c r="D261" s="123" t="n"/>
      <c r="E261" s="121" t="n"/>
      <c r="F261" s="124" t="n"/>
      <c r="G261" s="125" t="n"/>
      <c r="H261" s="125" t="n"/>
      <c r="I261" s="124" t="n"/>
      <c r="J261" s="125" t="n"/>
      <c r="K261" s="124" t="n"/>
      <c r="L261" s="125" t="n"/>
      <c r="M261" s="126" t="n"/>
      <c r="N261" s="124" t="n"/>
    </row>
    <row r="262" ht="15" customHeight="1" s="74">
      <c r="A262" s="121" t="n"/>
      <c r="B262" s="122" t="n"/>
      <c r="C262" s="122" t="n"/>
      <c r="D262" s="123" t="n"/>
      <c r="E262" s="121" t="n"/>
      <c r="F262" s="124" t="n"/>
      <c r="G262" s="125" t="n"/>
      <c r="H262" s="125" t="n"/>
      <c r="I262" s="124" t="n"/>
      <c r="J262" s="125" t="n"/>
      <c r="K262" s="124" t="n"/>
      <c r="L262" s="125" t="n"/>
      <c r="M262" s="126" t="n"/>
      <c r="N262" s="124" t="n"/>
    </row>
    <row r="263" ht="15" customHeight="1" s="74">
      <c r="A263" s="121" t="n"/>
      <c r="B263" s="122" t="n"/>
      <c r="C263" s="122" t="n"/>
      <c r="D263" s="123" t="n"/>
      <c r="E263" s="121" t="n"/>
      <c r="F263" s="124" t="n"/>
      <c r="G263" s="125" t="n"/>
      <c r="H263" s="125" t="n"/>
      <c r="I263" s="124" t="n"/>
      <c r="J263" s="125" t="n"/>
      <c r="K263" s="124" t="n"/>
      <c r="L263" s="125" t="n"/>
      <c r="M263" s="126" t="n"/>
      <c r="N263" s="124" t="n"/>
    </row>
    <row r="264" ht="15" customHeight="1" s="74">
      <c r="A264" s="121" t="n"/>
      <c r="B264" s="122" t="n"/>
      <c r="C264" s="122" t="n"/>
      <c r="D264" s="123" t="n"/>
      <c r="E264" s="121" t="n"/>
      <c r="F264" s="124" t="n"/>
      <c r="G264" s="125" t="n"/>
      <c r="H264" s="125" t="n"/>
      <c r="I264" s="124" t="n"/>
      <c r="J264" s="125" t="n"/>
      <c r="K264" s="124" t="n"/>
      <c r="L264" s="125" t="n"/>
      <c r="M264" s="126" t="n"/>
      <c r="N264" s="124" t="n"/>
    </row>
    <row r="265" ht="15" customHeight="1" s="74">
      <c r="A265" s="121" t="n"/>
      <c r="B265" s="122" t="n"/>
      <c r="C265" s="122" t="n"/>
      <c r="D265" s="123" t="n"/>
      <c r="E265" s="121" t="n"/>
      <c r="F265" s="124" t="n"/>
      <c r="G265" s="125" t="n"/>
      <c r="H265" s="125" t="n"/>
      <c r="I265" s="124" t="n"/>
      <c r="J265" s="125" t="n"/>
      <c r="K265" s="124" t="n"/>
      <c r="L265" s="125" t="n"/>
      <c r="M265" s="126" t="n"/>
      <c r="N265" s="124" t="n"/>
    </row>
    <row r="266" ht="15" customHeight="1" s="74">
      <c r="A266" s="121" t="n"/>
      <c r="B266" s="122" t="n"/>
      <c r="C266" s="122" t="n"/>
      <c r="D266" s="123" t="n"/>
      <c r="E266" s="121" t="n"/>
      <c r="F266" s="124" t="n"/>
      <c r="G266" s="125" t="n"/>
      <c r="H266" s="125" t="n"/>
      <c r="I266" s="124" t="n"/>
      <c r="J266" s="125" t="n"/>
      <c r="K266" s="124" t="n"/>
      <c r="L266" s="125" t="n"/>
      <c r="M266" s="126" t="n"/>
      <c r="N266" s="124" t="n"/>
    </row>
    <row r="267" ht="15" customHeight="1" s="74">
      <c r="A267" s="121" t="n"/>
      <c r="B267" s="122" t="n"/>
      <c r="C267" s="122" t="n"/>
      <c r="D267" s="123" t="n"/>
      <c r="E267" s="121" t="n"/>
      <c r="F267" s="124" t="n"/>
      <c r="G267" s="125" t="n"/>
      <c r="H267" s="125" t="n"/>
      <c r="I267" s="124" t="n"/>
      <c r="J267" s="125" t="n"/>
      <c r="K267" s="124" t="n"/>
      <c r="L267" s="125" t="n"/>
      <c r="M267" s="126" t="n"/>
      <c r="N267" s="124" t="n"/>
    </row>
    <row r="268" ht="15" customHeight="1" s="74">
      <c r="A268" s="121" t="n"/>
      <c r="B268" s="122" t="n"/>
      <c r="C268" s="122" t="n"/>
      <c r="D268" s="123" t="n"/>
      <c r="E268" s="121" t="n"/>
      <c r="F268" s="124" t="n"/>
      <c r="G268" s="125" t="n"/>
      <c r="H268" s="125" t="n"/>
      <c r="I268" s="124" t="n"/>
      <c r="J268" s="125" t="n"/>
      <c r="K268" s="124" t="n"/>
      <c r="L268" s="125" t="n"/>
      <c r="M268" s="126" t="n"/>
      <c r="N268" s="124" t="n"/>
    </row>
    <row r="269" ht="15" customHeight="1" s="74">
      <c r="A269" s="121" t="n"/>
      <c r="B269" s="122" t="n"/>
      <c r="C269" s="122" t="n"/>
      <c r="D269" s="123" t="n"/>
      <c r="E269" s="121" t="n"/>
      <c r="F269" s="124" t="n"/>
      <c r="G269" s="125" t="n"/>
      <c r="H269" s="125" t="n"/>
      <c r="I269" s="124" t="n"/>
      <c r="J269" s="125" t="n"/>
      <c r="K269" s="124" t="n"/>
      <c r="L269" s="125" t="n"/>
      <c r="M269" s="126" t="n"/>
      <c r="N269" s="124" t="n"/>
    </row>
    <row r="270" ht="15" customHeight="1" s="74">
      <c r="A270" s="121" t="n"/>
      <c r="B270" s="122" t="n"/>
      <c r="C270" s="122" t="n"/>
      <c r="D270" s="123" t="n"/>
      <c r="E270" s="121" t="n"/>
      <c r="F270" s="124" t="n"/>
      <c r="G270" s="125" t="n"/>
      <c r="H270" s="125" t="n"/>
      <c r="I270" s="124" t="n"/>
      <c r="J270" s="125" t="n"/>
      <c r="K270" s="124" t="n"/>
      <c r="L270" s="125" t="n"/>
      <c r="M270" s="126" t="n"/>
      <c r="N270" s="124" t="n"/>
    </row>
    <row r="271" ht="15" customHeight="1" s="74">
      <c r="A271" s="121" t="n"/>
      <c r="B271" s="122" t="n"/>
      <c r="C271" s="122" t="n"/>
      <c r="D271" s="123" t="n"/>
      <c r="E271" s="121" t="n"/>
      <c r="F271" s="124" t="n"/>
      <c r="G271" s="125" t="n"/>
      <c r="H271" s="125" t="n"/>
      <c r="I271" s="124" t="n"/>
      <c r="J271" s="125" t="n"/>
      <c r="K271" s="124" t="n"/>
      <c r="L271" s="125" t="n"/>
      <c r="M271" s="126" t="n"/>
      <c r="N271" s="124" t="n"/>
    </row>
    <row r="272" ht="15" customHeight="1" s="74">
      <c r="A272" s="121" t="n"/>
      <c r="B272" s="122" t="n"/>
      <c r="C272" s="122" t="n"/>
      <c r="D272" s="123" t="n"/>
      <c r="E272" s="121" t="n"/>
      <c r="F272" s="124" t="n"/>
      <c r="G272" s="125" t="n"/>
      <c r="H272" s="125" t="n"/>
      <c r="I272" s="124" t="n"/>
      <c r="J272" s="125" t="n"/>
      <c r="K272" s="124" t="n"/>
      <c r="L272" s="125" t="n"/>
      <c r="M272" s="126" t="n"/>
      <c r="N272" s="124" t="n"/>
    </row>
    <row r="273" ht="15" customHeight="1" s="74">
      <c r="A273" s="121" t="n"/>
      <c r="B273" s="122" t="n"/>
      <c r="C273" s="122" t="n"/>
      <c r="D273" s="123" t="n"/>
      <c r="E273" s="121" t="n"/>
      <c r="F273" s="124" t="n"/>
      <c r="G273" s="125" t="n"/>
      <c r="H273" s="125" t="n"/>
      <c r="I273" s="124" t="n"/>
      <c r="J273" s="125" t="n"/>
      <c r="K273" s="124" t="n"/>
      <c r="L273" s="125" t="n"/>
      <c r="M273" s="126" t="n"/>
      <c r="N273" s="124" t="n"/>
    </row>
    <row r="274" ht="15" customHeight="1" s="74">
      <c r="A274" s="121" t="n"/>
      <c r="B274" s="122" t="n"/>
      <c r="C274" s="122" t="n"/>
      <c r="D274" s="123" t="n"/>
      <c r="E274" s="121" t="n"/>
      <c r="F274" s="124" t="n"/>
      <c r="G274" s="125" t="n"/>
      <c r="H274" s="125" t="n"/>
      <c r="I274" s="124" t="n"/>
      <c r="J274" s="125" t="n"/>
      <c r="K274" s="124" t="n"/>
      <c r="L274" s="125" t="n"/>
      <c r="M274" s="126" t="n"/>
      <c r="N274" s="124" t="n"/>
    </row>
    <row r="275" ht="15" customHeight="1" s="74">
      <c r="A275" s="121" t="n"/>
      <c r="B275" s="122" t="n"/>
      <c r="C275" s="122" t="n"/>
      <c r="D275" s="123" t="n"/>
      <c r="E275" s="121" t="n"/>
      <c r="F275" s="124" t="n"/>
      <c r="G275" s="125" t="n"/>
      <c r="H275" s="125" t="n"/>
      <c r="I275" s="124" t="n"/>
      <c r="J275" s="125" t="n"/>
      <c r="K275" s="124" t="n"/>
      <c r="L275" s="125" t="n"/>
      <c r="M275" s="126" t="n"/>
      <c r="N275" s="124" t="n"/>
    </row>
    <row r="276" ht="15" customHeight="1" s="74">
      <c r="A276" s="121" t="n"/>
      <c r="B276" s="122" t="n"/>
      <c r="C276" s="122" t="n"/>
      <c r="D276" s="123" t="n"/>
      <c r="E276" s="121" t="n"/>
      <c r="F276" s="124" t="n"/>
      <c r="G276" s="125" t="n"/>
      <c r="H276" s="125" t="n"/>
      <c r="I276" s="124" t="n"/>
      <c r="J276" s="125" t="n"/>
      <c r="K276" s="124" t="n"/>
      <c r="L276" s="125" t="n"/>
      <c r="M276" s="126" t="n"/>
      <c r="N276" s="124" t="n"/>
    </row>
    <row r="277" ht="15" customHeight="1" s="74">
      <c r="A277" s="121" t="n"/>
      <c r="B277" s="122" t="n"/>
      <c r="C277" s="122" t="n"/>
      <c r="D277" s="123" t="n"/>
      <c r="E277" s="121" t="n"/>
      <c r="F277" s="124" t="n"/>
      <c r="G277" s="125" t="n"/>
      <c r="H277" s="125" t="n"/>
      <c r="I277" s="124" t="n"/>
      <c r="J277" s="125" t="n"/>
      <c r="K277" s="124" t="n"/>
      <c r="L277" s="125" t="n"/>
      <c r="M277" s="126" t="n"/>
      <c r="N277" s="124" t="n"/>
    </row>
    <row r="278" ht="15" customHeight="1" s="74">
      <c r="A278" s="121" t="n"/>
      <c r="B278" s="122" t="n"/>
      <c r="C278" s="122" t="n"/>
      <c r="D278" s="123" t="n"/>
      <c r="E278" s="121" t="n"/>
      <c r="F278" s="124" t="n"/>
      <c r="G278" s="125" t="n"/>
      <c r="H278" s="125" t="n"/>
      <c r="I278" s="124" t="n"/>
      <c r="J278" s="125" t="n"/>
      <c r="K278" s="124" t="n"/>
      <c r="L278" s="125" t="n"/>
      <c r="M278" s="126" t="n"/>
      <c r="N278" s="124" t="n"/>
    </row>
    <row r="279" ht="15" customHeight="1" s="74">
      <c r="A279" s="121" t="n"/>
      <c r="B279" s="122" t="n"/>
      <c r="C279" s="122" t="n"/>
      <c r="D279" s="123" t="n"/>
      <c r="E279" s="121" t="n"/>
      <c r="F279" s="124" t="n"/>
      <c r="G279" s="125" t="n"/>
      <c r="H279" s="125" t="n"/>
      <c r="I279" s="124" t="n"/>
      <c r="J279" s="125" t="n"/>
      <c r="K279" s="124" t="n"/>
      <c r="L279" s="125" t="n"/>
      <c r="M279" s="126" t="n"/>
      <c r="N279" s="124" t="n"/>
    </row>
    <row r="280" ht="15" customHeight="1" s="74">
      <c r="A280" s="121" t="n"/>
      <c r="B280" s="122" t="n"/>
      <c r="C280" s="122" t="n"/>
      <c r="D280" s="123" t="n"/>
      <c r="E280" s="121" t="n"/>
      <c r="F280" s="124" t="n"/>
      <c r="G280" s="125" t="n"/>
      <c r="H280" s="125" t="n"/>
      <c r="I280" s="124" t="n"/>
      <c r="J280" s="125" t="n"/>
      <c r="K280" s="124" t="n"/>
      <c r="L280" s="125" t="n"/>
      <c r="M280" s="126" t="n"/>
      <c r="N280" s="124" t="n"/>
    </row>
    <row r="281" ht="15" customHeight="1" s="74">
      <c r="A281" s="121" t="n"/>
      <c r="B281" s="122" t="n"/>
      <c r="C281" s="122" t="n"/>
      <c r="D281" s="123" t="n"/>
      <c r="E281" s="121" t="n"/>
      <c r="F281" s="124" t="n"/>
      <c r="G281" s="125" t="n"/>
      <c r="H281" s="125" t="n"/>
      <c r="I281" s="124" t="n"/>
      <c r="J281" s="125" t="n"/>
      <c r="K281" s="124" t="n"/>
      <c r="L281" s="125" t="n"/>
      <c r="M281" s="126" t="n"/>
      <c r="N281" s="124" t="n"/>
    </row>
    <row r="282" ht="15" customHeight="1" s="74">
      <c r="A282" s="121" t="n"/>
      <c r="B282" s="122" t="n"/>
      <c r="C282" s="122" t="n"/>
      <c r="D282" s="123" t="n"/>
      <c r="E282" s="121" t="n"/>
      <c r="F282" s="124" t="n"/>
      <c r="G282" s="125" t="n"/>
      <c r="H282" s="125" t="n"/>
      <c r="I282" s="124" t="n"/>
      <c r="J282" s="125" t="n"/>
      <c r="K282" s="124" t="n"/>
      <c r="L282" s="125" t="n"/>
      <c r="M282" s="126" t="n"/>
      <c r="N282" s="124" t="n"/>
    </row>
    <row r="283" ht="15" customHeight="1" s="74">
      <c r="A283" s="121" t="n"/>
      <c r="B283" s="122" t="n"/>
      <c r="C283" s="122" t="n"/>
      <c r="D283" s="123" t="n"/>
      <c r="E283" s="121" t="n"/>
      <c r="F283" s="124" t="n"/>
      <c r="G283" s="125" t="n"/>
      <c r="H283" s="125" t="n"/>
      <c r="I283" s="124" t="n"/>
      <c r="J283" s="125" t="n"/>
      <c r="K283" s="124" t="n"/>
      <c r="L283" s="125" t="n"/>
      <c r="M283" s="126" t="n"/>
      <c r="N283" s="124" t="n"/>
    </row>
    <row r="284" ht="15" customHeight="1" s="74">
      <c r="A284" s="121" t="n"/>
      <c r="B284" s="122" t="n"/>
      <c r="C284" s="122" t="n"/>
      <c r="D284" s="123" t="n"/>
      <c r="E284" s="121" t="n"/>
      <c r="F284" s="124" t="n"/>
      <c r="G284" s="125" t="n"/>
      <c r="H284" s="125" t="n"/>
      <c r="I284" s="124" t="n"/>
      <c r="J284" s="125" t="n"/>
      <c r="K284" s="124" t="n"/>
      <c r="L284" s="125" t="n"/>
      <c r="M284" s="126" t="n"/>
      <c r="N284" s="124" t="n"/>
    </row>
    <row r="285" ht="15" customHeight="1" s="74">
      <c r="A285" s="121" t="n"/>
      <c r="B285" s="122" t="n"/>
      <c r="C285" s="122" t="n"/>
      <c r="D285" s="123" t="n"/>
      <c r="E285" s="121" t="n"/>
      <c r="F285" s="124" t="n"/>
      <c r="G285" s="125" t="n"/>
      <c r="H285" s="125" t="n"/>
      <c r="I285" s="124" t="n"/>
      <c r="J285" s="125" t="n"/>
      <c r="K285" s="124" t="n"/>
      <c r="L285" s="125" t="n"/>
      <c r="M285" s="126" t="n"/>
      <c r="N285" s="124" t="n"/>
    </row>
    <row r="286" ht="15" customHeight="1" s="74">
      <c r="A286" s="121" t="n"/>
      <c r="B286" s="122" t="n"/>
      <c r="C286" s="122" t="n"/>
      <c r="D286" s="123" t="n"/>
      <c r="E286" s="121" t="n"/>
      <c r="F286" s="124" t="n"/>
      <c r="G286" s="125" t="n"/>
      <c r="H286" s="125" t="n"/>
      <c r="I286" s="124" t="n"/>
      <c r="J286" s="125" t="n"/>
      <c r="K286" s="124" t="n"/>
      <c r="L286" s="125" t="n"/>
      <c r="M286" s="126" t="n"/>
      <c r="N286" s="124" t="n"/>
    </row>
    <row r="287" ht="15" customHeight="1" s="74">
      <c r="A287" s="121" t="n"/>
      <c r="B287" s="122" t="n"/>
      <c r="C287" s="122" t="n"/>
      <c r="D287" s="123" t="n"/>
      <c r="E287" s="121" t="n"/>
      <c r="F287" s="124" t="n"/>
      <c r="G287" s="125" t="n"/>
      <c r="H287" s="125" t="n"/>
      <c r="I287" s="124" t="n"/>
      <c r="J287" s="125" t="n"/>
      <c r="K287" s="124" t="n"/>
      <c r="L287" s="125" t="n"/>
      <c r="M287" s="126" t="n"/>
      <c r="N287" s="124" t="n"/>
    </row>
    <row r="288" ht="15" customHeight="1" s="74">
      <c r="A288" s="121" t="n"/>
      <c r="B288" s="122" t="n"/>
      <c r="C288" s="122" t="n"/>
      <c r="D288" s="123" t="n"/>
      <c r="E288" s="121" t="n"/>
      <c r="F288" s="124" t="n"/>
      <c r="G288" s="125" t="n"/>
      <c r="H288" s="125" t="n"/>
      <c r="I288" s="124" t="n"/>
      <c r="J288" s="125" t="n"/>
      <c r="K288" s="124" t="n"/>
      <c r="L288" s="125" t="n"/>
      <c r="M288" s="126" t="n"/>
      <c r="N288" s="124" t="n"/>
    </row>
    <row r="289" ht="15" customHeight="1" s="74">
      <c r="A289" s="121" t="n"/>
      <c r="B289" s="122" t="n"/>
      <c r="C289" s="122" t="n"/>
      <c r="D289" s="123" t="n"/>
      <c r="E289" s="121" t="n"/>
      <c r="F289" s="124" t="n"/>
      <c r="G289" s="125" t="n"/>
      <c r="H289" s="125" t="n"/>
      <c r="I289" s="124" t="n"/>
      <c r="J289" s="125" t="n"/>
      <c r="K289" s="124" t="n"/>
      <c r="L289" s="125" t="n"/>
      <c r="M289" s="126" t="n"/>
      <c r="N289" s="124" t="n"/>
    </row>
    <row r="290" ht="15" customHeight="1" s="74">
      <c r="A290" s="121" t="n"/>
      <c r="B290" s="122" t="n"/>
      <c r="C290" s="122" t="n"/>
      <c r="D290" s="123" t="n"/>
      <c r="E290" s="121" t="n"/>
      <c r="F290" s="124" t="n"/>
      <c r="G290" s="125" t="n"/>
      <c r="H290" s="125" t="n"/>
      <c r="I290" s="124" t="n"/>
      <c r="J290" s="125" t="n"/>
      <c r="K290" s="124" t="n"/>
      <c r="L290" s="125" t="n"/>
      <c r="M290" s="126" t="n"/>
      <c r="N290" s="124" t="n"/>
    </row>
    <row r="291" ht="15" customHeight="1" s="74">
      <c r="A291" s="121" t="n"/>
      <c r="B291" s="122" t="n"/>
      <c r="C291" s="122" t="n"/>
      <c r="D291" s="123" t="n"/>
      <c r="E291" s="121" t="n"/>
      <c r="F291" s="124" t="n"/>
      <c r="G291" s="125" t="n"/>
      <c r="H291" s="125" t="n"/>
      <c r="I291" s="124" t="n"/>
      <c r="J291" s="125" t="n"/>
      <c r="K291" s="124" t="n"/>
      <c r="L291" s="125" t="n"/>
      <c r="M291" s="126" t="n"/>
      <c r="N291" s="124" t="n"/>
    </row>
    <row r="292" ht="15" customHeight="1" s="74">
      <c r="A292" s="121" t="n"/>
      <c r="B292" s="122" t="n"/>
      <c r="C292" s="122" t="n"/>
      <c r="D292" s="123" t="n"/>
      <c r="E292" s="121" t="n"/>
      <c r="F292" s="124" t="n"/>
      <c r="G292" s="125" t="n"/>
      <c r="H292" s="125" t="n"/>
      <c r="I292" s="124" t="n"/>
      <c r="J292" s="125" t="n"/>
      <c r="K292" s="124" t="n"/>
      <c r="L292" s="125" t="n"/>
      <c r="M292" s="126" t="n"/>
      <c r="N292" s="124" t="n"/>
    </row>
    <row r="293" ht="15" customHeight="1" s="74">
      <c r="A293" s="121" t="n"/>
      <c r="B293" s="122" t="n"/>
      <c r="C293" s="122" t="n"/>
      <c r="D293" s="123" t="n"/>
      <c r="E293" s="121" t="n"/>
      <c r="F293" s="124" t="n"/>
      <c r="G293" s="125" t="n"/>
      <c r="H293" s="125" t="n"/>
      <c r="I293" s="124" t="n"/>
      <c r="J293" s="125" t="n"/>
      <c r="K293" s="124" t="n"/>
      <c r="L293" s="125" t="n"/>
      <c r="M293" s="126" t="n"/>
      <c r="N293" s="124" t="n"/>
    </row>
    <row r="294" ht="15" customHeight="1" s="74">
      <c r="A294" s="121" t="n"/>
      <c r="B294" s="122" t="n"/>
      <c r="C294" s="122" t="n"/>
      <c r="D294" s="123" t="n"/>
      <c r="E294" s="121" t="n"/>
      <c r="F294" s="124" t="n"/>
      <c r="G294" s="125" t="n"/>
      <c r="H294" s="125" t="n"/>
      <c r="I294" s="124" t="n"/>
      <c r="J294" s="125" t="n"/>
      <c r="K294" s="124" t="n"/>
      <c r="L294" s="125" t="n"/>
      <c r="M294" s="126" t="n"/>
      <c r="N294" s="124" t="n"/>
    </row>
    <row r="295" ht="15" customHeight="1" s="74">
      <c r="A295" s="121" t="n"/>
      <c r="B295" s="122" t="n"/>
      <c r="C295" s="122" t="n"/>
      <c r="D295" s="123" t="n"/>
      <c r="E295" s="121" t="n"/>
      <c r="F295" s="124" t="n"/>
      <c r="G295" s="125" t="n"/>
      <c r="H295" s="125" t="n"/>
      <c r="I295" s="124" t="n"/>
      <c r="J295" s="125" t="n"/>
      <c r="K295" s="124" t="n"/>
      <c r="L295" s="125" t="n"/>
      <c r="M295" s="126" t="n"/>
      <c r="N295" s="124" t="n"/>
    </row>
    <row r="296" ht="15" customHeight="1" s="74">
      <c r="A296" s="121" t="n"/>
      <c r="B296" s="122" t="n"/>
      <c r="C296" s="122" t="n"/>
      <c r="D296" s="123" t="n"/>
      <c r="E296" s="121" t="n"/>
      <c r="F296" s="124" t="n"/>
      <c r="G296" s="125" t="n"/>
      <c r="H296" s="125" t="n"/>
      <c r="I296" s="124" t="n"/>
      <c r="J296" s="125" t="n"/>
      <c r="K296" s="124" t="n"/>
      <c r="L296" s="125" t="n"/>
      <c r="M296" s="126" t="n"/>
      <c r="N296" s="124" t="n"/>
    </row>
    <row r="297" ht="15" customHeight="1" s="74">
      <c r="A297" s="121" t="n"/>
      <c r="B297" s="122" t="n"/>
      <c r="C297" s="122" t="n"/>
      <c r="D297" s="123" t="n"/>
      <c r="E297" s="121" t="n"/>
      <c r="F297" s="124" t="n"/>
      <c r="G297" s="125" t="n"/>
      <c r="H297" s="125" t="n"/>
      <c r="I297" s="124" t="n"/>
      <c r="J297" s="125" t="n"/>
      <c r="K297" s="124" t="n"/>
      <c r="L297" s="125" t="n"/>
      <c r="M297" s="126" t="n"/>
      <c r="N297" s="124" t="n"/>
    </row>
    <row r="298" ht="15" customHeight="1" s="74">
      <c r="A298" s="121" t="n"/>
      <c r="B298" s="122" t="n"/>
      <c r="C298" s="122" t="n"/>
      <c r="D298" s="123" t="n"/>
      <c r="E298" s="121" t="n"/>
      <c r="F298" s="124" t="n"/>
      <c r="G298" s="125" t="n"/>
      <c r="H298" s="125" t="n"/>
      <c r="I298" s="124" t="n"/>
      <c r="J298" s="125" t="n"/>
      <c r="K298" s="124" t="n"/>
      <c r="L298" s="125" t="n"/>
      <c r="M298" s="126" t="n"/>
      <c r="N298" s="124" t="n"/>
    </row>
    <row r="299" ht="15" customHeight="1" s="74">
      <c r="A299" s="121" t="n"/>
      <c r="B299" s="122" t="n"/>
      <c r="C299" s="122" t="n"/>
      <c r="D299" s="123" t="n"/>
      <c r="E299" s="121" t="n"/>
      <c r="F299" s="124" t="n"/>
      <c r="G299" s="125" t="n"/>
      <c r="H299" s="125" t="n"/>
      <c r="I299" s="124" t="n"/>
      <c r="J299" s="125" t="n"/>
      <c r="K299" s="124" t="n"/>
      <c r="L299" s="125" t="n"/>
      <c r="M299" s="126" t="n"/>
      <c r="N299" s="124" t="n"/>
    </row>
    <row r="300" ht="15" customHeight="1" s="74">
      <c r="A300" s="121" t="n"/>
      <c r="B300" s="122" t="n"/>
      <c r="C300" s="122" t="n"/>
      <c r="D300" s="123" t="n"/>
      <c r="E300" s="121" t="n"/>
      <c r="F300" s="124" t="n"/>
      <c r="G300" s="125" t="n"/>
      <c r="H300" s="125" t="n"/>
      <c r="I300" s="124" t="n"/>
      <c r="J300" s="125" t="n"/>
      <c r="K300" s="124" t="n"/>
      <c r="L300" s="125" t="n"/>
      <c r="M300" s="126" t="n"/>
      <c r="N300" s="124" t="n"/>
    </row>
    <row r="301" ht="15" customHeight="1" s="74">
      <c r="A301" s="121" t="n"/>
      <c r="B301" s="122" t="n"/>
      <c r="C301" s="122" t="n"/>
      <c r="D301" s="123" t="n"/>
      <c r="E301" s="121" t="n"/>
      <c r="F301" s="124" t="n"/>
      <c r="G301" s="125" t="n"/>
      <c r="H301" s="125" t="n"/>
      <c r="I301" s="124" t="n"/>
      <c r="J301" s="125" t="n"/>
      <c r="K301" s="124" t="n"/>
      <c r="L301" s="125" t="n"/>
      <c r="M301" s="126" t="n"/>
      <c r="N301" s="124" t="n"/>
    </row>
    <row r="302" ht="15" customHeight="1" s="74">
      <c r="A302" s="121" t="n"/>
      <c r="B302" s="122" t="n"/>
      <c r="C302" s="122" t="n"/>
      <c r="D302" s="123" t="n"/>
      <c r="E302" s="121" t="n"/>
      <c r="F302" s="124" t="n"/>
      <c r="G302" s="125" t="n"/>
      <c r="H302" s="125" t="n"/>
      <c r="I302" s="124" t="n"/>
      <c r="J302" s="125" t="n"/>
      <c r="K302" s="124" t="n"/>
      <c r="L302" s="125" t="n"/>
      <c r="M302" s="126" t="n"/>
      <c r="N302" s="124" t="n"/>
    </row>
    <row r="303" ht="15" customHeight="1" s="74">
      <c r="A303" s="121" t="n"/>
      <c r="B303" s="122" t="n"/>
      <c r="C303" s="122" t="n"/>
      <c r="D303" s="123" t="n"/>
      <c r="E303" s="121" t="n"/>
      <c r="F303" s="124" t="n"/>
      <c r="G303" s="125" t="n"/>
      <c r="H303" s="125" t="n"/>
      <c r="I303" s="124" t="n"/>
      <c r="J303" s="125" t="n"/>
      <c r="K303" s="124" t="n"/>
      <c r="L303" s="125" t="n"/>
      <c r="M303" s="126" t="n"/>
      <c r="N303" s="124" t="n"/>
    </row>
    <row r="304" ht="15" customHeight="1" s="74">
      <c r="A304" s="121" t="n"/>
      <c r="B304" s="122" t="n"/>
      <c r="C304" s="122" t="n"/>
      <c r="D304" s="123" t="n"/>
      <c r="E304" s="121" t="n"/>
      <c r="F304" s="124" t="n"/>
      <c r="G304" s="125" t="n"/>
      <c r="H304" s="125" t="n"/>
      <c r="I304" s="124" t="n"/>
      <c r="J304" s="125" t="n"/>
      <c r="K304" s="124" t="n"/>
      <c r="L304" s="125" t="n"/>
      <c r="M304" s="126" t="n"/>
      <c r="N304" s="124" t="n"/>
    </row>
    <row r="305" ht="15" customHeight="1" s="74">
      <c r="A305" s="121" t="n"/>
      <c r="B305" s="122" t="n"/>
      <c r="C305" s="122" t="n"/>
      <c r="D305" s="123" t="n"/>
      <c r="E305" s="121" t="n"/>
      <c r="F305" s="124" t="n"/>
      <c r="G305" s="125" t="n"/>
      <c r="H305" s="125" t="n"/>
      <c r="I305" s="124" t="n"/>
      <c r="J305" s="125" t="n"/>
      <c r="K305" s="124" t="n"/>
      <c r="L305" s="125" t="n"/>
      <c r="M305" s="126" t="n"/>
      <c r="N305" s="124" t="n"/>
    </row>
    <row r="306" ht="15" customHeight="1" s="74">
      <c r="A306" s="121" t="n"/>
      <c r="B306" s="122" t="n"/>
      <c r="C306" s="122" t="n"/>
      <c r="D306" s="123" t="n"/>
      <c r="E306" s="121" t="n"/>
      <c r="F306" s="124" t="n"/>
      <c r="G306" s="125" t="n"/>
      <c r="H306" s="125" t="n"/>
      <c r="I306" s="124" t="n"/>
      <c r="J306" s="125" t="n"/>
      <c r="K306" s="124" t="n"/>
      <c r="L306" s="125" t="n"/>
      <c r="M306" s="126" t="n"/>
      <c r="N306" s="124" t="n"/>
    </row>
    <row r="307" ht="15" customHeight="1" s="74">
      <c r="A307" s="121" t="n"/>
      <c r="B307" s="122" t="n"/>
      <c r="C307" s="122" t="n"/>
      <c r="D307" s="123" t="n"/>
      <c r="E307" s="121" t="n"/>
      <c r="F307" s="124" t="n"/>
      <c r="G307" s="125" t="n"/>
      <c r="H307" s="125" t="n"/>
      <c r="I307" s="124" t="n"/>
      <c r="J307" s="125" t="n"/>
      <c r="K307" s="124" t="n"/>
      <c r="L307" s="125" t="n"/>
      <c r="M307" s="126" t="n"/>
      <c r="N307" s="124" t="n"/>
    </row>
    <row r="308" ht="15" customHeight="1" s="74">
      <c r="A308" s="121" t="n"/>
      <c r="B308" s="122" t="n"/>
      <c r="C308" s="122" t="n"/>
      <c r="D308" s="123" t="n"/>
      <c r="E308" s="121" t="n"/>
      <c r="F308" s="124" t="n"/>
      <c r="G308" s="125" t="n"/>
      <c r="H308" s="125" t="n"/>
      <c r="I308" s="124" t="n"/>
      <c r="J308" s="125" t="n"/>
      <c r="K308" s="124" t="n"/>
      <c r="L308" s="125" t="n"/>
      <c r="M308" s="126" t="n"/>
      <c r="N308" s="124" t="n"/>
    </row>
    <row r="309" ht="15" customHeight="1" s="74">
      <c r="A309" s="121" t="n"/>
      <c r="B309" s="122" t="n"/>
      <c r="C309" s="122" t="n"/>
      <c r="D309" s="123" t="n"/>
      <c r="E309" s="121" t="n"/>
      <c r="F309" s="124" t="n"/>
      <c r="G309" s="125" t="n"/>
      <c r="H309" s="125" t="n"/>
      <c r="I309" s="124" t="n"/>
      <c r="J309" s="125" t="n"/>
      <c r="K309" s="124" t="n"/>
      <c r="L309" s="125" t="n"/>
      <c r="M309" s="126" t="n"/>
      <c r="N309" s="124" t="n"/>
    </row>
    <row r="310" ht="15" customHeight="1" s="74">
      <c r="A310" s="121" t="n"/>
      <c r="B310" s="122" t="n"/>
      <c r="C310" s="122" t="n"/>
      <c r="D310" s="123" t="n"/>
      <c r="E310" s="121" t="n"/>
      <c r="F310" s="124" t="n"/>
      <c r="G310" s="125" t="n"/>
      <c r="H310" s="125" t="n"/>
      <c r="I310" s="124" t="n"/>
      <c r="J310" s="125" t="n"/>
      <c r="K310" s="124" t="n"/>
      <c r="L310" s="125" t="n"/>
      <c r="M310" s="126" t="n"/>
      <c r="N310" s="124" t="n"/>
    </row>
    <row r="311" ht="15" customHeight="1" s="74">
      <c r="A311" s="121" t="n"/>
      <c r="B311" s="122" t="n"/>
      <c r="C311" s="122" t="n"/>
      <c r="D311" s="123" t="n"/>
      <c r="E311" s="121" t="n"/>
      <c r="F311" s="124" t="n"/>
      <c r="G311" s="125" t="n"/>
      <c r="H311" s="125" t="n"/>
      <c r="I311" s="124" t="n"/>
      <c r="J311" s="125" t="n"/>
      <c r="K311" s="124" t="n"/>
      <c r="L311" s="125" t="n"/>
      <c r="M311" s="126" t="n"/>
      <c r="N311" s="124" t="n"/>
    </row>
    <row r="312" ht="15" customHeight="1" s="74">
      <c r="A312" s="121" t="n"/>
      <c r="B312" s="122" t="n"/>
      <c r="C312" s="122" t="n"/>
      <c r="D312" s="123" t="n"/>
      <c r="E312" s="121" t="n"/>
      <c r="F312" s="124" t="n"/>
      <c r="G312" s="125" t="n"/>
      <c r="H312" s="125" t="n"/>
      <c r="I312" s="124" t="n"/>
      <c r="J312" s="125" t="n"/>
      <c r="K312" s="124" t="n"/>
      <c r="L312" s="125" t="n"/>
      <c r="M312" s="126" t="n"/>
      <c r="N312" s="124" t="n"/>
    </row>
    <row r="313" ht="15" customHeight="1" s="74">
      <c r="A313" s="121" t="n"/>
      <c r="B313" s="122" t="n"/>
      <c r="C313" s="122" t="n"/>
      <c r="D313" s="123" t="n"/>
      <c r="E313" s="121" t="n"/>
      <c r="F313" s="124" t="n"/>
      <c r="G313" s="125" t="n"/>
      <c r="H313" s="125" t="n"/>
      <c r="I313" s="124" t="n"/>
      <c r="J313" s="125" t="n"/>
      <c r="K313" s="124" t="n"/>
      <c r="L313" s="125" t="n"/>
      <c r="M313" s="126" t="n"/>
      <c r="N313" s="124" t="n"/>
    </row>
    <row r="314" ht="15" customHeight="1" s="74">
      <c r="A314" s="121" t="n"/>
      <c r="B314" s="122" t="n"/>
      <c r="C314" s="122" t="n"/>
      <c r="D314" s="123" t="n"/>
      <c r="E314" s="121" t="n"/>
      <c r="F314" s="124" t="n"/>
      <c r="G314" s="125" t="n"/>
      <c r="H314" s="125" t="n"/>
      <c r="I314" s="124" t="n"/>
      <c r="J314" s="125" t="n"/>
      <c r="K314" s="124" t="n"/>
      <c r="L314" s="125" t="n"/>
      <c r="M314" s="126" t="n"/>
      <c r="N314" s="124" t="n"/>
    </row>
    <row r="315" ht="15" customHeight="1" s="74">
      <c r="A315" s="121" t="n"/>
      <c r="B315" s="122" t="n"/>
      <c r="C315" s="122" t="n"/>
      <c r="D315" s="123" t="n"/>
      <c r="E315" s="121" t="n"/>
      <c r="F315" s="124" t="n"/>
      <c r="G315" s="125" t="n"/>
      <c r="H315" s="125" t="n"/>
      <c r="I315" s="124" t="n"/>
      <c r="J315" s="125" t="n"/>
      <c r="K315" s="124" t="n"/>
      <c r="L315" s="125" t="n"/>
      <c r="M315" s="126" t="n"/>
      <c r="N315" s="124" t="n"/>
    </row>
    <row r="316" ht="15" customHeight="1" s="74">
      <c r="A316" s="121" t="n"/>
      <c r="B316" s="122" t="n"/>
      <c r="C316" s="122" t="n"/>
      <c r="D316" s="123" t="n"/>
      <c r="E316" s="121" t="n"/>
      <c r="F316" s="124" t="n"/>
      <c r="G316" s="125" t="n"/>
      <c r="H316" s="125" t="n"/>
      <c r="I316" s="124" t="n"/>
      <c r="J316" s="125" t="n"/>
      <c r="K316" s="124" t="n"/>
      <c r="L316" s="125" t="n"/>
      <c r="M316" s="126" t="n"/>
      <c r="N316" s="124" t="n"/>
    </row>
    <row r="317" ht="15" customHeight="1" s="74">
      <c r="A317" s="121" t="n"/>
      <c r="B317" s="122" t="n"/>
      <c r="C317" s="122" t="n"/>
      <c r="D317" s="123" t="n"/>
      <c r="E317" s="121" t="n"/>
      <c r="F317" s="124" t="n"/>
      <c r="G317" s="125" t="n"/>
      <c r="H317" s="125" t="n"/>
      <c r="I317" s="124" t="n"/>
      <c r="J317" s="125" t="n"/>
      <c r="K317" s="124" t="n"/>
      <c r="L317" s="125" t="n"/>
      <c r="M317" s="126" t="n"/>
      <c r="N317" s="124" t="n"/>
    </row>
    <row r="318" ht="15" customHeight="1" s="74">
      <c r="A318" s="121" t="n"/>
      <c r="B318" s="122" t="n"/>
      <c r="C318" s="122" t="n"/>
      <c r="D318" s="123" t="n"/>
      <c r="E318" s="121" t="n"/>
      <c r="F318" s="124" t="n"/>
      <c r="G318" s="125" t="n"/>
      <c r="H318" s="125" t="n"/>
      <c r="I318" s="124" t="n"/>
      <c r="J318" s="125" t="n"/>
      <c r="K318" s="124" t="n"/>
      <c r="L318" s="125" t="n"/>
      <c r="M318" s="126" t="n"/>
      <c r="N318" s="124" t="n"/>
    </row>
    <row r="319" ht="15" customHeight="1" s="74">
      <c r="A319" s="121" t="n"/>
      <c r="B319" s="122" t="n"/>
      <c r="C319" s="122" t="n"/>
      <c r="D319" s="123" t="n"/>
      <c r="E319" s="121" t="n"/>
      <c r="F319" s="124" t="n"/>
      <c r="G319" s="125" t="n"/>
      <c r="H319" s="125" t="n"/>
      <c r="I319" s="124" t="n"/>
      <c r="J319" s="125" t="n"/>
      <c r="K319" s="124" t="n"/>
      <c r="L319" s="125" t="n"/>
      <c r="M319" s="126" t="n"/>
      <c r="N319" s="124" t="n"/>
    </row>
    <row r="320" ht="15" customHeight="1" s="74">
      <c r="A320" s="121" t="n"/>
      <c r="B320" s="122" t="n"/>
      <c r="C320" s="122" t="n"/>
      <c r="D320" s="123" t="n"/>
      <c r="E320" s="121" t="n"/>
      <c r="F320" s="124" t="n"/>
      <c r="G320" s="125" t="n"/>
      <c r="H320" s="125" t="n"/>
      <c r="I320" s="124" t="n"/>
      <c r="J320" s="125" t="n"/>
      <c r="K320" s="124" t="n"/>
      <c r="L320" s="125" t="n"/>
      <c r="M320" s="126" t="n"/>
      <c r="N320" s="124" t="n"/>
    </row>
    <row r="321" ht="15" customHeight="1" s="74">
      <c r="A321" s="121" t="n"/>
      <c r="B321" s="122" t="n"/>
      <c r="C321" s="122" t="n"/>
      <c r="D321" s="123" t="n"/>
      <c r="E321" s="121" t="n"/>
      <c r="F321" s="124" t="n"/>
      <c r="G321" s="125" t="n"/>
      <c r="H321" s="125" t="n"/>
      <c r="I321" s="124" t="n"/>
      <c r="J321" s="125" t="n"/>
      <c r="K321" s="124" t="n"/>
      <c r="L321" s="125" t="n"/>
      <c r="M321" s="126" t="n"/>
      <c r="N321" s="124" t="n"/>
    </row>
    <row r="322" ht="15" customHeight="1" s="74">
      <c r="A322" s="121" t="n"/>
      <c r="B322" s="122" t="n"/>
      <c r="C322" s="122" t="n"/>
      <c r="D322" s="123" t="n"/>
      <c r="E322" s="121" t="n"/>
      <c r="F322" s="124" t="n"/>
      <c r="G322" s="125" t="n"/>
      <c r="H322" s="125" t="n"/>
      <c r="I322" s="124" t="n"/>
      <c r="J322" s="125" t="n"/>
      <c r="K322" s="124" t="n"/>
      <c r="L322" s="125" t="n"/>
      <c r="M322" s="126" t="n"/>
      <c r="N322" s="124" t="n"/>
    </row>
    <row r="323" ht="15" customHeight="1" s="74">
      <c r="A323" s="121" t="n"/>
      <c r="B323" s="122" t="n"/>
      <c r="C323" s="122" t="n"/>
      <c r="D323" s="123" t="n"/>
      <c r="E323" s="121" t="n"/>
      <c r="F323" s="124" t="n"/>
      <c r="G323" s="125" t="n"/>
      <c r="H323" s="125" t="n"/>
      <c r="I323" s="124" t="n"/>
      <c r="J323" s="125" t="n"/>
      <c r="K323" s="124" t="n"/>
      <c r="L323" s="125" t="n"/>
      <c r="M323" s="126" t="n"/>
      <c r="N323" s="124" t="n"/>
    </row>
    <row r="324" ht="15" customHeight="1" s="74">
      <c r="A324" s="121" t="n"/>
      <c r="B324" s="122" t="n"/>
      <c r="C324" s="122" t="n"/>
      <c r="D324" s="123" t="n"/>
      <c r="E324" s="121" t="n"/>
      <c r="F324" s="124" t="n"/>
      <c r="G324" s="125" t="n"/>
      <c r="H324" s="125" t="n"/>
      <c r="I324" s="124" t="n"/>
      <c r="J324" s="125" t="n"/>
      <c r="K324" s="124" t="n"/>
      <c r="L324" s="125" t="n"/>
      <c r="M324" s="126" t="n"/>
      <c r="N324" s="124" t="n"/>
    </row>
    <row r="325" ht="15" customHeight="1" s="74">
      <c r="A325" s="121" t="n"/>
      <c r="B325" s="122" t="n"/>
      <c r="C325" s="122" t="n"/>
      <c r="D325" s="123" t="n"/>
      <c r="E325" s="121" t="n"/>
      <c r="F325" s="124" t="n"/>
      <c r="G325" s="125" t="n"/>
      <c r="H325" s="125" t="n"/>
      <c r="I325" s="124" t="n"/>
      <c r="J325" s="125" t="n"/>
      <c r="K325" s="124" t="n"/>
      <c r="L325" s="125" t="n"/>
      <c r="M325" s="126" t="n"/>
      <c r="N325" s="124" t="n"/>
    </row>
    <row r="326" ht="15" customHeight="1" s="74">
      <c r="A326" s="121" t="n"/>
      <c r="B326" s="122" t="n"/>
      <c r="C326" s="122" t="n"/>
      <c r="D326" s="123" t="n"/>
      <c r="E326" s="121" t="n"/>
      <c r="F326" s="124" t="n"/>
      <c r="G326" s="125" t="n"/>
      <c r="H326" s="125" t="n"/>
      <c r="I326" s="124" t="n"/>
      <c r="J326" s="125" t="n"/>
      <c r="K326" s="124" t="n"/>
      <c r="L326" s="125" t="n"/>
      <c r="M326" s="126" t="n"/>
      <c r="N326" s="124" t="n"/>
    </row>
    <row r="327" ht="15" customHeight="1" s="74">
      <c r="A327" s="121" t="n"/>
      <c r="B327" s="122" t="n"/>
      <c r="C327" s="122" t="n"/>
      <c r="D327" s="123" t="n"/>
      <c r="E327" s="121" t="n"/>
      <c r="F327" s="124" t="n"/>
      <c r="G327" s="125" t="n"/>
      <c r="H327" s="125" t="n"/>
      <c r="I327" s="124" t="n"/>
      <c r="J327" s="125" t="n"/>
      <c r="K327" s="124" t="n"/>
      <c r="L327" s="125" t="n"/>
      <c r="M327" s="126" t="n"/>
      <c r="N327" s="124" t="n"/>
    </row>
    <row r="328" ht="15" customHeight="1" s="74">
      <c r="A328" s="121" t="n"/>
      <c r="B328" s="122" t="n"/>
      <c r="C328" s="122" t="n"/>
      <c r="D328" s="123" t="n"/>
      <c r="E328" s="121" t="n"/>
      <c r="F328" s="124" t="n"/>
      <c r="G328" s="125" t="n"/>
      <c r="H328" s="125" t="n"/>
      <c r="I328" s="124" t="n"/>
      <c r="J328" s="125" t="n"/>
      <c r="K328" s="124" t="n"/>
      <c r="L328" s="125" t="n"/>
      <c r="M328" s="126" t="n"/>
      <c r="N328" s="124" t="n"/>
    </row>
    <row r="329" ht="15" customHeight="1" s="74">
      <c r="A329" s="121" t="n"/>
      <c r="B329" s="122" t="n"/>
      <c r="C329" s="122" t="n"/>
      <c r="D329" s="123" t="n"/>
      <c r="E329" s="121" t="n"/>
      <c r="F329" s="124" t="n"/>
      <c r="G329" s="125" t="n"/>
      <c r="H329" s="125" t="n"/>
      <c r="I329" s="124" t="n"/>
      <c r="J329" s="125" t="n"/>
      <c r="K329" s="124" t="n"/>
      <c r="L329" s="125" t="n"/>
      <c r="M329" s="126" t="n"/>
      <c r="N329" s="124" t="n"/>
    </row>
    <row r="330" ht="15" customHeight="1" s="74">
      <c r="A330" s="121" t="n"/>
      <c r="B330" s="122" t="n"/>
      <c r="C330" s="122" t="n"/>
      <c r="D330" s="123" t="n"/>
      <c r="E330" s="121" t="n"/>
      <c r="F330" s="124" t="n"/>
      <c r="G330" s="125" t="n"/>
      <c r="H330" s="125" t="n"/>
      <c r="I330" s="124" t="n"/>
      <c r="J330" s="125" t="n"/>
      <c r="K330" s="124" t="n"/>
      <c r="L330" s="125" t="n"/>
      <c r="M330" s="126" t="n"/>
      <c r="N330" s="124" t="n"/>
    </row>
    <row r="331" ht="15" customHeight="1" s="74">
      <c r="A331" s="121" t="n"/>
      <c r="B331" s="122" t="n"/>
      <c r="C331" s="122" t="n"/>
      <c r="D331" s="123" t="n"/>
      <c r="E331" s="121" t="n"/>
      <c r="F331" s="124" t="n"/>
      <c r="G331" s="125" t="n"/>
      <c r="H331" s="125" t="n"/>
      <c r="I331" s="124" t="n"/>
      <c r="J331" s="125" t="n"/>
      <c r="K331" s="124" t="n"/>
      <c r="L331" s="125" t="n"/>
      <c r="M331" s="126" t="n"/>
      <c r="N331" s="124" t="n"/>
    </row>
    <row r="332" ht="15" customHeight="1" s="74">
      <c r="A332" s="121" t="n"/>
      <c r="B332" s="122" t="n"/>
      <c r="C332" s="122" t="n"/>
      <c r="D332" s="123" t="n"/>
      <c r="E332" s="121" t="n"/>
      <c r="F332" s="124" t="n"/>
      <c r="G332" s="125" t="n"/>
      <c r="H332" s="125" t="n"/>
      <c r="I332" s="124" t="n"/>
      <c r="J332" s="125" t="n"/>
      <c r="K332" s="124" t="n"/>
      <c r="L332" s="125" t="n"/>
      <c r="M332" s="126" t="n"/>
      <c r="N332" s="124" t="n"/>
    </row>
    <row r="333" ht="15" customHeight="1" s="74">
      <c r="A333" s="121" t="n"/>
      <c r="B333" s="122" t="n"/>
      <c r="C333" s="122" t="n"/>
      <c r="D333" s="123" t="n"/>
      <c r="E333" s="121" t="n"/>
      <c r="F333" s="124" t="n"/>
      <c r="G333" s="125" t="n"/>
      <c r="H333" s="125" t="n"/>
      <c r="I333" s="124" t="n"/>
      <c r="J333" s="125" t="n"/>
      <c r="K333" s="124" t="n"/>
      <c r="L333" s="125" t="n"/>
      <c r="M333" s="126" t="n"/>
      <c r="N333" s="124" t="n"/>
    </row>
    <row r="334" ht="15" customHeight="1" s="74">
      <c r="A334" s="121" t="n"/>
      <c r="B334" s="122" t="n"/>
      <c r="C334" s="122" t="n"/>
      <c r="D334" s="123" t="n"/>
      <c r="E334" s="121" t="n"/>
      <c r="F334" s="124" t="n"/>
      <c r="G334" s="125" t="n"/>
      <c r="H334" s="125" t="n"/>
      <c r="I334" s="124" t="n"/>
      <c r="J334" s="125" t="n"/>
      <c r="K334" s="124" t="n"/>
      <c r="L334" s="125" t="n"/>
      <c r="M334" s="126" t="n"/>
      <c r="N334" s="124" t="n"/>
    </row>
    <row r="335" ht="15" customHeight="1" s="74">
      <c r="A335" s="121" t="n"/>
      <c r="B335" s="122" t="n"/>
      <c r="C335" s="122" t="n"/>
      <c r="D335" s="123" t="n"/>
      <c r="E335" s="121" t="n"/>
      <c r="F335" s="124" t="n"/>
      <c r="G335" s="125" t="n"/>
      <c r="H335" s="125" t="n"/>
      <c r="I335" s="124" t="n"/>
      <c r="J335" s="125" t="n"/>
      <c r="K335" s="124" t="n"/>
      <c r="L335" s="125" t="n"/>
      <c r="M335" s="126" t="n"/>
      <c r="N335" s="124" t="n"/>
    </row>
    <row r="336" ht="15" customHeight="1" s="74">
      <c r="A336" s="121" t="n"/>
      <c r="B336" s="122" t="n"/>
      <c r="C336" s="122" t="n"/>
      <c r="D336" s="123" t="n"/>
      <c r="E336" s="121" t="n"/>
      <c r="F336" s="124" t="n"/>
      <c r="G336" s="125" t="n"/>
      <c r="H336" s="125" t="n"/>
      <c r="I336" s="124" t="n"/>
      <c r="J336" s="125" t="n"/>
      <c r="K336" s="124" t="n"/>
      <c r="L336" s="125" t="n"/>
      <c r="M336" s="126" t="n"/>
      <c r="N336" s="124" t="n"/>
    </row>
    <row r="337" ht="15" customHeight="1" s="74">
      <c r="A337" s="121" t="n"/>
      <c r="B337" s="122" t="n"/>
      <c r="C337" s="122" t="n"/>
      <c r="D337" s="123" t="n"/>
      <c r="E337" s="121" t="n"/>
      <c r="F337" s="124" t="n"/>
      <c r="G337" s="125" t="n"/>
      <c r="H337" s="125" t="n"/>
      <c r="I337" s="124" t="n"/>
      <c r="J337" s="125" t="n"/>
      <c r="K337" s="124" t="n"/>
      <c r="L337" s="125" t="n"/>
      <c r="M337" s="126" t="n"/>
      <c r="N337" s="124" t="n"/>
    </row>
    <row r="338" ht="15" customHeight="1" s="74">
      <c r="A338" s="121" t="n"/>
      <c r="B338" s="122" t="n"/>
      <c r="C338" s="122" t="n"/>
      <c r="D338" s="123" t="n"/>
      <c r="E338" s="121" t="n"/>
      <c r="F338" s="124" t="n"/>
      <c r="G338" s="125" t="n"/>
      <c r="H338" s="125" t="n"/>
      <c r="I338" s="124" t="n"/>
      <c r="J338" s="125" t="n"/>
      <c r="K338" s="124" t="n"/>
      <c r="L338" s="125" t="n"/>
      <c r="M338" s="126" t="n"/>
      <c r="N338" s="124" t="n"/>
    </row>
    <row r="339" ht="15" customHeight="1" s="74">
      <c r="A339" s="121" t="n"/>
      <c r="B339" s="122" t="n"/>
      <c r="C339" s="122" t="n"/>
      <c r="D339" s="123" t="n"/>
      <c r="E339" s="121" t="n"/>
      <c r="F339" s="124" t="n"/>
      <c r="G339" s="125" t="n"/>
      <c r="H339" s="125" t="n"/>
      <c r="I339" s="124" t="n"/>
      <c r="J339" s="125" t="n"/>
      <c r="K339" s="124" t="n"/>
      <c r="L339" s="125" t="n"/>
      <c r="M339" s="126" t="n"/>
      <c r="N339" s="124" t="n"/>
    </row>
    <row r="340" ht="15" customHeight="1" s="74">
      <c r="A340" s="121" t="n"/>
      <c r="B340" s="122" t="n"/>
      <c r="C340" s="122" t="n"/>
      <c r="D340" s="123" t="n"/>
      <c r="E340" s="121" t="n"/>
      <c r="F340" s="124" t="n"/>
      <c r="G340" s="125" t="n"/>
      <c r="H340" s="125" t="n"/>
      <c r="I340" s="124" t="n"/>
      <c r="J340" s="125" t="n"/>
      <c r="K340" s="124" t="n"/>
      <c r="L340" s="125" t="n"/>
      <c r="M340" s="126" t="n"/>
      <c r="N340" s="124" t="n"/>
    </row>
    <row r="341" ht="15" customHeight="1" s="74">
      <c r="A341" s="121" t="n"/>
      <c r="B341" s="122" t="n"/>
      <c r="C341" s="122" t="n"/>
      <c r="D341" s="123" t="n"/>
      <c r="E341" s="121" t="n"/>
      <c r="F341" s="124" t="n"/>
      <c r="G341" s="125" t="n"/>
      <c r="H341" s="125" t="n"/>
      <c r="I341" s="124" t="n"/>
      <c r="J341" s="125" t="n"/>
      <c r="K341" s="124" t="n"/>
      <c r="L341" s="125" t="n"/>
      <c r="M341" s="126" t="n"/>
      <c r="N341" s="124" t="n"/>
    </row>
    <row r="342" ht="15" customHeight="1" s="74">
      <c r="A342" s="121" t="n"/>
      <c r="B342" s="122" t="n"/>
      <c r="C342" s="122" t="n"/>
      <c r="D342" s="123" t="n"/>
      <c r="E342" s="121" t="n"/>
      <c r="F342" s="124" t="n"/>
      <c r="G342" s="125" t="n"/>
      <c r="H342" s="125" t="n"/>
      <c r="I342" s="124" t="n"/>
      <c r="J342" s="125" t="n"/>
      <c r="K342" s="124" t="n"/>
      <c r="L342" s="125" t="n"/>
      <c r="M342" s="126" t="n"/>
      <c r="N342" s="124" t="n"/>
    </row>
    <row r="343" ht="15" customHeight="1" s="74">
      <c r="A343" s="121" t="n"/>
      <c r="B343" s="122" t="n"/>
      <c r="C343" s="122" t="n"/>
      <c r="D343" s="123" t="n"/>
      <c r="E343" s="121" t="n"/>
      <c r="F343" s="124" t="n"/>
      <c r="G343" s="125" t="n"/>
      <c r="H343" s="125" t="n"/>
      <c r="I343" s="124" t="n"/>
      <c r="J343" s="125" t="n"/>
      <c r="K343" s="124" t="n"/>
      <c r="L343" s="125" t="n"/>
      <c r="M343" s="126" t="n"/>
      <c r="N343" s="124" t="n"/>
    </row>
    <row r="344" ht="15" customHeight="1" s="74">
      <c r="A344" s="121" t="n"/>
      <c r="B344" s="122" t="n"/>
      <c r="C344" s="122" t="n"/>
      <c r="D344" s="123" t="n"/>
      <c r="E344" s="121" t="n"/>
      <c r="F344" s="124" t="n"/>
      <c r="G344" s="125" t="n"/>
      <c r="H344" s="125" t="n"/>
      <c r="I344" s="124" t="n"/>
      <c r="J344" s="125" t="n"/>
      <c r="K344" s="124" t="n"/>
      <c r="L344" s="125" t="n"/>
      <c r="M344" s="126" t="n"/>
      <c r="N344" s="124" t="n"/>
    </row>
    <row r="345" ht="15" customHeight="1" s="74">
      <c r="A345" s="121" t="n"/>
      <c r="B345" s="122" t="n"/>
      <c r="C345" s="122" t="n"/>
      <c r="D345" s="123" t="n"/>
      <c r="E345" s="121" t="n"/>
      <c r="F345" s="124" t="n"/>
      <c r="G345" s="125" t="n"/>
      <c r="H345" s="125" t="n"/>
      <c r="I345" s="124" t="n"/>
      <c r="J345" s="125" t="n"/>
      <c r="K345" s="124" t="n"/>
      <c r="L345" s="125" t="n"/>
      <c r="M345" s="126" t="n"/>
      <c r="N345" s="124" t="n"/>
    </row>
    <row r="346" ht="15" customHeight="1" s="74">
      <c r="A346" s="121" t="n"/>
      <c r="B346" s="122" t="n"/>
      <c r="C346" s="122" t="n"/>
      <c r="D346" s="123" t="n"/>
      <c r="E346" s="121" t="n"/>
      <c r="F346" s="124" t="n"/>
      <c r="G346" s="125" t="n"/>
      <c r="H346" s="125" t="n"/>
      <c r="I346" s="124" t="n"/>
      <c r="J346" s="125" t="n"/>
      <c r="K346" s="124" t="n"/>
      <c r="L346" s="125" t="n"/>
      <c r="M346" s="126" t="n"/>
      <c r="N346" s="124" t="n"/>
    </row>
    <row r="347" ht="15" customHeight="1" s="74">
      <c r="A347" s="121" t="n"/>
      <c r="B347" s="122" t="n"/>
      <c r="C347" s="122" t="n"/>
      <c r="D347" s="123" t="n"/>
      <c r="E347" s="121" t="n"/>
      <c r="F347" s="124" t="n"/>
      <c r="G347" s="125" t="n"/>
      <c r="H347" s="125" t="n"/>
      <c r="I347" s="124" t="n"/>
      <c r="J347" s="125" t="n"/>
      <c r="K347" s="124" t="n"/>
      <c r="L347" s="125" t="n"/>
      <c r="M347" s="126" t="n"/>
      <c r="N347" s="124" t="n"/>
    </row>
    <row r="348" ht="15" customHeight="1" s="74">
      <c r="A348" s="121" t="n"/>
      <c r="B348" s="122" t="n"/>
      <c r="C348" s="122" t="n"/>
      <c r="D348" s="123" t="n"/>
      <c r="E348" s="121" t="n"/>
      <c r="F348" s="124" t="n"/>
      <c r="G348" s="125" t="n"/>
      <c r="H348" s="125" t="n"/>
      <c r="I348" s="124" t="n"/>
      <c r="J348" s="125" t="n"/>
      <c r="K348" s="124" t="n"/>
      <c r="L348" s="125" t="n"/>
      <c r="M348" s="126" t="n"/>
      <c r="N348" s="124" t="n"/>
    </row>
    <row r="349" ht="15" customHeight="1" s="74">
      <c r="A349" s="121" t="n"/>
      <c r="B349" s="122" t="n"/>
      <c r="C349" s="122" t="n"/>
      <c r="D349" s="123" t="n"/>
      <c r="E349" s="121" t="n"/>
      <c r="F349" s="124" t="n"/>
      <c r="G349" s="125" t="n"/>
      <c r="H349" s="125" t="n"/>
      <c r="I349" s="124" t="n"/>
      <c r="J349" s="125" t="n"/>
      <c r="K349" s="124" t="n"/>
      <c r="L349" s="125" t="n"/>
      <c r="M349" s="126" t="n"/>
      <c r="N349" s="124" t="n"/>
    </row>
    <row r="350" ht="15" customHeight="1" s="74">
      <c r="A350" s="121" t="n"/>
      <c r="B350" s="122" t="n"/>
      <c r="C350" s="122" t="n"/>
      <c r="D350" s="123" t="n"/>
      <c r="E350" s="121" t="n"/>
      <c r="F350" s="124" t="n"/>
      <c r="G350" s="125" t="n"/>
      <c r="H350" s="125" t="n"/>
      <c r="I350" s="124" t="n"/>
      <c r="J350" s="125" t="n"/>
      <c r="K350" s="124" t="n"/>
      <c r="L350" s="125" t="n"/>
      <c r="M350" s="126" t="n"/>
      <c r="N350" s="124" t="n"/>
    </row>
    <row r="351" ht="15" customHeight="1" s="74">
      <c r="A351" s="121" t="n"/>
      <c r="B351" s="122" t="n"/>
      <c r="C351" s="122" t="n"/>
      <c r="D351" s="123" t="n"/>
      <c r="E351" s="121" t="n"/>
      <c r="F351" s="124" t="n"/>
      <c r="G351" s="125" t="n"/>
      <c r="H351" s="125" t="n"/>
      <c r="I351" s="124" t="n"/>
      <c r="J351" s="125" t="n"/>
      <c r="K351" s="124" t="n"/>
      <c r="L351" s="125" t="n"/>
      <c r="M351" s="126" t="n"/>
      <c r="N351" s="124" t="n"/>
    </row>
    <row r="352" ht="15" customHeight="1" s="74">
      <c r="A352" s="121" t="n"/>
      <c r="B352" s="122" t="n"/>
      <c r="C352" s="122" t="n"/>
      <c r="D352" s="123" t="n"/>
      <c r="E352" s="121" t="n"/>
      <c r="F352" s="124" t="n"/>
      <c r="G352" s="125" t="n"/>
      <c r="H352" s="125" t="n"/>
      <c r="I352" s="124" t="n"/>
      <c r="J352" s="125" t="n"/>
      <c r="K352" s="124" t="n"/>
      <c r="L352" s="125" t="n"/>
      <c r="M352" s="126" t="n"/>
      <c r="N352" s="124" t="n"/>
    </row>
    <row r="353" ht="15" customHeight="1" s="74">
      <c r="A353" s="121" t="n"/>
      <c r="B353" s="122" t="n"/>
      <c r="C353" s="122" t="n"/>
      <c r="D353" s="123" t="n"/>
      <c r="E353" s="121" t="n"/>
      <c r="F353" s="124" t="n"/>
      <c r="G353" s="125" t="n"/>
      <c r="H353" s="125" t="n"/>
      <c r="I353" s="124" t="n"/>
      <c r="J353" s="125" t="n"/>
      <c r="K353" s="124" t="n"/>
      <c r="L353" s="125" t="n"/>
      <c r="M353" s="126" t="n"/>
      <c r="N353" s="124" t="n"/>
    </row>
    <row r="354" ht="15" customHeight="1" s="74">
      <c r="A354" s="121" t="n"/>
      <c r="B354" s="122" t="n"/>
      <c r="C354" s="122" t="n"/>
      <c r="D354" s="123" t="n"/>
      <c r="E354" s="121" t="n"/>
      <c r="F354" s="124" t="n"/>
      <c r="G354" s="125" t="n"/>
      <c r="H354" s="125" t="n"/>
      <c r="I354" s="124" t="n"/>
      <c r="J354" s="125" t="n"/>
      <c r="K354" s="124" t="n"/>
      <c r="L354" s="125" t="n"/>
      <c r="M354" s="126" t="n"/>
      <c r="N354" s="124" t="n"/>
    </row>
    <row r="355" ht="15" customHeight="1" s="74">
      <c r="A355" s="121" t="n"/>
      <c r="B355" s="122" t="n"/>
      <c r="C355" s="122" t="n"/>
      <c r="D355" s="123" t="n"/>
      <c r="E355" s="121" t="n"/>
      <c r="F355" s="124" t="n"/>
      <c r="G355" s="125" t="n"/>
      <c r="H355" s="125" t="n"/>
      <c r="I355" s="124" t="n"/>
      <c r="J355" s="125" t="n"/>
      <c r="K355" s="124" t="n"/>
      <c r="L355" s="125" t="n"/>
      <c r="M355" s="126" t="n"/>
      <c r="N355" s="124" t="n"/>
    </row>
    <row r="356" ht="15" customHeight="1" s="74">
      <c r="A356" s="121" t="n"/>
      <c r="B356" s="122" t="n"/>
      <c r="C356" s="122" t="n"/>
      <c r="D356" s="123" t="n"/>
      <c r="E356" s="121" t="n"/>
      <c r="F356" s="124" t="n"/>
      <c r="G356" s="125" t="n"/>
      <c r="H356" s="125" t="n"/>
      <c r="I356" s="124" t="n"/>
      <c r="J356" s="125" t="n"/>
      <c r="K356" s="124" t="n"/>
      <c r="L356" s="125" t="n"/>
      <c r="M356" s="126" t="n"/>
      <c r="N356" s="124" t="n"/>
    </row>
    <row r="357" ht="15" customHeight="1" s="74">
      <c r="A357" s="121" t="n"/>
      <c r="B357" s="122" t="n"/>
      <c r="C357" s="122" t="n"/>
      <c r="D357" s="123" t="n"/>
      <c r="E357" s="121" t="n"/>
      <c r="F357" s="124" t="n"/>
      <c r="G357" s="125" t="n"/>
      <c r="H357" s="125" t="n"/>
      <c r="I357" s="124" t="n"/>
      <c r="J357" s="125" t="n"/>
      <c r="K357" s="124" t="n"/>
      <c r="L357" s="125" t="n"/>
      <c r="M357" s="126" t="n"/>
      <c r="N357" s="124" t="n"/>
    </row>
    <row r="358" ht="15" customHeight="1" s="74">
      <c r="A358" s="121" t="n"/>
      <c r="B358" s="122" t="n"/>
      <c r="C358" s="122" t="n"/>
      <c r="D358" s="123" t="n"/>
      <c r="E358" s="121" t="n"/>
      <c r="F358" s="124" t="n"/>
      <c r="G358" s="125" t="n"/>
      <c r="H358" s="125" t="n"/>
      <c r="I358" s="124" t="n"/>
      <c r="J358" s="125" t="n"/>
      <c r="K358" s="124" t="n"/>
      <c r="L358" s="125" t="n"/>
      <c r="M358" s="126" t="n"/>
      <c r="N358" s="124" t="n"/>
    </row>
    <row r="359" ht="15" customHeight="1" s="74">
      <c r="A359" s="121" t="n"/>
      <c r="B359" s="122" t="n"/>
      <c r="C359" s="122" t="n"/>
      <c r="D359" s="123" t="n"/>
      <c r="E359" s="121" t="n"/>
      <c r="F359" s="124" t="n"/>
      <c r="G359" s="125" t="n"/>
      <c r="H359" s="125" t="n"/>
      <c r="I359" s="124" t="n"/>
      <c r="J359" s="125" t="n"/>
      <c r="K359" s="124" t="n"/>
      <c r="L359" s="125" t="n"/>
      <c r="M359" s="126" t="n"/>
      <c r="N359" s="124" t="n"/>
    </row>
    <row r="360" ht="15" customHeight="1" s="74">
      <c r="A360" s="121" t="n"/>
      <c r="B360" s="122" t="n"/>
      <c r="C360" s="122" t="n"/>
      <c r="D360" s="123" t="n"/>
      <c r="E360" s="121" t="n"/>
      <c r="F360" s="124" t="n"/>
      <c r="G360" s="125" t="n"/>
      <c r="H360" s="125" t="n"/>
      <c r="I360" s="124" t="n"/>
      <c r="J360" s="125" t="n"/>
      <c r="K360" s="124" t="n"/>
      <c r="L360" s="125" t="n"/>
      <c r="M360" s="126" t="n"/>
      <c r="N360" s="124" t="n"/>
    </row>
    <row r="361" ht="15" customHeight="1" s="74">
      <c r="A361" s="121" t="n"/>
      <c r="B361" s="122" t="n"/>
      <c r="C361" s="122" t="n"/>
      <c r="D361" s="123" t="n"/>
      <c r="E361" s="121" t="n"/>
      <c r="F361" s="124" t="n"/>
      <c r="G361" s="125" t="n"/>
      <c r="H361" s="125" t="n"/>
      <c r="I361" s="124" t="n"/>
      <c r="J361" s="125" t="n"/>
      <c r="K361" s="124" t="n"/>
      <c r="L361" s="125" t="n"/>
      <c r="M361" s="126" t="n"/>
      <c r="N361" s="124" t="n"/>
    </row>
    <row r="362" ht="15" customHeight="1" s="74">
      <c r="A362" s="121" t="n"/>
      <c r="B362" s="122" t="n"/>
      <c r="C362" s="122" t="n"/>
      <c r="D362" s="123" t="n"/>
      <c r="E362" s="121" t="n"/>
      <c r="F362" s="124" t="n"/>
      <c r="G362" s="125" t="n"/>
      <c r="H362" s="125" t="n"/>
      <c r="I362" s="124" t="n"/>
      <c r="J362" s="125" t="n"/>
      <c r="K362" s="124" t="n"/>
      <c r="L362" s="125" t="n"/>
      <c r="M362" s="126" t="n"/>
      <c r="N362" s="124" t="n"/>
    </row>
    <row r="363" ht="15" customHeight="1" s="74">
      <c r="A363" s="121" t="n"/>
      <c r="B363" s="122" t="n"/>
      <c r="C363" s="122" t="n"/>
      <c r="D363" s="123" t="n"/>
      <c r="E363" s="121" t="n"/>
      <c r="F363" s="124" t="n"/>
      <c r="G363" s="125" t="n"/>
      <c r="H363" s="125" t="n"/>
      <c r="I363" s="124" t="n"/>
      <c r="J363" s="125" t="n"/>
      <c r="K363" s="124" t="n"/>
      <c r="L363" s="125" t="n"/>
      <c r="M363" s="126" t="n"/>
      <c r="N363" s="124" t="n"/>
    </row>
    <row r="364" ht="15" customHeight="1" s="74">
      <c r="A364" s="121" t="n"/>
      <c r="B364" s="122" t="n"/>
      <c r="C364" s="122" t="n"/>
      <c r="D364" s="123" t="n"/>
      <c r="E364" s="121" t="n"/>
      <c r="F364" s="124" t="n"/>
      <c r="G364" s="125" t="n"/>
      <c r="H364" s="125" t="n"/>
      <c r="I364" s="124" t="n"/>
      <c r="J364" s="125" t="n"/>
      <c r="K364" s="124" t="n"/>
      <c r="L364" s="125" t="n"/>
      <c r="M364" s="126" t="n"/>
      <c r="N364" s="124" t="n"/>
    </row>
    <row r="365" ht="15" customHeight="1" s="74">
      <c r="A365" s="121" t="n"/>
      <c r="B365" s="122" t="n"/>
      <c r="C365" s="122" t="n"/>
      <c r="D365" s="123" t="n"/>
      <c r="E365" s="121" t="n"/>
      <c r="F365" s="124" t="n"/>
      <c r="G365" s="125" t="n"/>
      <c r="H365" s="125" t="n"/>
      <c r="I365" s="124" t="n"/>
      <c r="J365" s="125" t="n"/>
      <c r="K365" s="124" t="n"/>
      <c r="L365" s="125" t="n"/>
      <c r="M365" s="126" t="n"/>
      <c r="N365" s="124" t="n"/>
    </row>
    <row r="366" ht="15" customHeight="1" s="74">
      <c r="A366" s="121" t="n"/>
      <c r="B366" s="122" t="n"/>
      <c r="C366" s="122" t="n"/>
      <c r="D366" s="123" t="n"/>
      <c r="E366" s="121" t="n"/>
      <c r="F366" s="124" t="n"/>
      <c r="G366" s="125" t="n"/>
      <c r="H366" s="125" t="n"/>
      <c r="I366" s="124" t="n"/>
      <c r="J366" s="125" t="n"/>
      <c r="K366" s="124" t="n"/>
      <c r="L366" s="125" t="n"/>
      <c r="M366" s="126" t="n"/>
      <c r="N366" s="124" t="n"/>
    </row>
    <row r="367" ht="15" customHeight="1" s="74">
      <c r="A367" s="121" t="n"/>
      <c r="B367" s="122" t="n"/>
      <c r="C367" s="122" t="n"/>
      <c r="D367" s="123" t="n"/>
      <c r="E367" s="121" t="n"/>
      <c r="F367" s="124" t="n"/>
      <c r="G367" s="125" t="n"/>
      <c r="H367" s="125" t="n"/>
      <c r="I367" s="124" t="n"/>
      <c r="J367" s="125" t="n"/>
      <c r="K367" s="124" t="n"/>
      <c r="L367" s="125" t="n"/>
      <c r="M367" s="126" t="n"/>
      <c r="N367" s="124" t="n"/>
    </row>
    <row r="368" ht="15" customHeight="1" s="74">
      <c r="A368" s="121" t="n"/>
      <c r="B368" s="122" t="n"/>
      <c r="C368" s="122" t="n"/>
      <c r="D368" s="123" t="n"/>
      <c r="E368" s="121" t="n"/>
      <c r="F368" s="124" t="n"/>
      <c r="G368" s="125" t="n"/>
      <c r="H368" s="125" t="n"/>
      <c r="I368" s="124" t="n"/>
      <c r="J368" s="125" t="n"/>
      <c r="K368" s="124" t="n"/>
      <c r="L368" s="125" t="n"/>
      <c r="M368" s="126" t="n"/>
      <c r="N368" s="124" t="n"/>
    </row>
    <row r="369" ht="15" customHeight="1" s="74">
      <c r="A369" s="121" t="n"/>
      <c r="B369" s="122" t="n"/>
      <c r="C369" s="122" t="n"/>
      <c r="D369" s="123" t="n"/>
      <c r="E369" s="121" t="n"/>
      <c r="F369" s="124" t="n"/>
      <c r="G369" s="125" t="n"/>
      <c r="H369" s="125" t="n"/>
      <c r="I369" s="124" t="n"/>
      <c r="J369" s="125" t="n"/>
      <c r="K369" s="124" t="n"/>
      <c r="L369" s="125" t="n"/>
      <c r="M369" s="126" t="n"/>
      <c r="N369" s="124" t="n"/>
    </row>
    <row r="370" ht="15" customHeight="1" s="74">
      <c r="A370" s="121" t="n"/>
      <c r="B370" s="122" t="n"/>
      <c r="C370" s="122" t="n"/>
      <c r="D370" s="123" t="n"/>
      <c r="E370" s="121" t="n"/>
      <c r="F370" s="124" t="n"/>
      <c r="G370" s="125" t="n"/>
      <c r="H370" s="125" t="n"/>
      <c r="I370" s="124" t="n"/>
      <c r="J370" s="125" t="n"/>
      <c r="K370" s="124" t="n"/>
      <c r="L370" s="125" t="n"/>
      <c r="M370" s="126" t="n"/>
      <c r="N370" s="124" t="n"/>
    </row>
    <row r="371" ht="15" customHeight="1" s="74">
      <c r="A371" s="121" t="n"/>
      <c r="B371" s="122" t="n"/>
      <c r="C371" s="122" t="n"/>
      <c r="D371" s="123" t="n"/>
      <c r="E371" s="121" t="n"/>
      <c r="F371" s="124" t="n"/>
      <c r="G371" s="125" t="n"/>
      <c r="H371" s="125" t="n"/>
      <c r="I371" s="124" t="n"/>
      <c r="J371" s="125" t="n"/>
      <c r="K371" s="124" t="n"/>
      <c r="L371" s="125" t="n"/>
      <c r="M371" s="126" t="n"/>
      <c r="N371" s="124" t="n"/>
    </row>
    <row r="372" ht="15" customHeight="1" s="74">
      <c r="A372" s="121" t="n"/>
      <c r="B372" s="122" t="n"/>
      <c r="C372" s="122" t="n"/>
      <c r="D372" s="123" t="n"/>
      <c r="E372" s="121" t="n"/>
      <c r="F372" s="124" t="n"/>
      <c r="G372" s="125" t="n"/>
      <c r="H372" s="125" t="n"/>
      <c r="I372" s="124" t="n"/>
      <c r="J372" s="125" t="n"/>
      <c r="K372" s="124" t="n"/>
      <c r="L372" s="125" t="n"/>
      <c r="M372" s="126" t="n"/>
      <c r="N372" s="124" t="n"/>
    </row>
    <row r="373" ht="15" customHeight="1" s="74">
      <c r="A373" s="121" t="n"/>
      <c r="B373" s="122" t="n"/>
      <c r="C373" s="122" t="n"/>
      <c r="D373" s="123" t="n"/>
      <c r="E373" s="121" t="n"/>
      <c r="F373" s="124" t="n"/>
      <c r="G373" s="125" t="n"/>
      <c r="H373" s="125" t="n"/>
      <c r="I373" s="124" t="n"/>
      <c r="J373" s="125" t="n"/>
      <c r="K373" s="124" t="n"/>
      <c r="L373" s="125" t="n"/>
      <c r="M373" s="126" t="n"/>
      <c r="N373" s="124" t="n"/>
    </row>
    <row r="374" ht="15" customHeight="1" s="74">
      <c r="A374" s="121" t="n"/>
      <c r="B374" s="122" t="n"/>
      <c r="C374" s="122" t="n"/>
      <c r="D374" s="123" t="n"/>
      <c r="E374" s="121" t="n"/>
      <c r="F374" s="124" t="n"/>
      <c r="G374" s="125" t="n"/>
      <c r="H374" s="125" t="n"/>
      <c r="I374" s="124" t="n"/>
      <c r="J374" s="125" t="n"/>
      <c r="K374" s="124" t="n"/>
      <c r="L374" s="125" t="n"/>
      <c r="M374" s="126" t="n"/>
      <c r="N374" s="124" t="n"/>
    </row>
    <row r="375" ht="15" customHeight="1" s="74">
      <c r="A375" s="121" t="n"/>
      <c r="B375" s="122" t="n"/>
      <c r="C375" s="122" t="n"/>
      <c r="D375" s="123" t="n"/>
      <c r="E375" s="121" t="n"/>
      <c r="F375" s="124" t="n"/>
      <c r="G375" s="125" t="n"/>
      <c r="H375" s="125" t="n"/>
      <c r="I375" s="124" t="n"/>
      <c r="J375" s="125" t="n"/>
      <c r="K375" s="124" t="n"/>
      <c r="L375" s="125" t="n"/>
      <c r="M375" s="126" t="n"/>
      <c r="N375" s="124" t="n"/>
    </row>
    <row r="376" ht="15" customHeight="1" s="74">
      <c r="A376" s="121" t="n"/>
      <c r="B376" s="122" t="n"/>
      <c r="C376" s="122" t="n"/>
      <c r="D376" s="123" t="n"/>
      <c r="E376" s="121" t="n"/>
      <c r="F376" s="124" t="n"/>
      <c r="G376" s="125" t="n"/>
      <c r="H376" s="125" t="n"/>
      <c r="I376" s="124" t="n"/>
      <c r="J376" s="125" t="n"/>
      <c r="K376" s="124" t="n"/>
      <c r="L376" s="125" t="n"/>
      <c r="M376" s="126" t="n"/>
      <c r="N376" s="124" t="n"/>
    </row>
    <row r="377" ht="15" customHeight="1" s="74">
      <c r="A377" s="121" t="n"/>
      <c r="B377" s="122" t="n"/>
      <c r="C377" s="122" t="n"/>
      <c r="D377" s="123" t="n"/>
      <c r="E377" s="121" t="n"/>
      <c r="F377" s="124" t="n"/>
      <c r="G377" s="125" t="n"/>
      <c r="H377" s="125" t="n"/>
      <c r="I377" s="124" t="n"/>
      <c r="J377" s="125" t="n"/>
      <c r="K377" s="124" t="n"/>
      <c r="L377" s="125" t="n"/>
      <c r="M377" s="126" t="n"/>
      <c r="N377" s="124" t="n"/>
    </row>
    <row r="378" ht="15" customHeight="1" s="74">
      <c r="A378" s="121" t="n"/>
      <c r="B378" s="122" t="n"/>
      <c r="C378" s="122" t="n"/>
      <c r="D378" s="123" t="n"/>
      <c r="E378" s="121" t="n"/>
      <c r="F378" s="124" t="n"/>
      <c r="G378" s="125" t="n"/>
      <c r="H378" s="125" t="n"/>
      <c r="I378" s="124" t="n"/>
      <c r="J378" s="125" t="n"/>
      <c r="K378" s="124" t="n"/>
      <c r="L378" s="125" t="n"/>
      <c r="M378" s="126" t="n"/>
      <c r="N378" s="124" t="n"/>
    </row>
    <row r="379" ht="15" customHeight="1" s="74">
      <c r="A379" s="121" t="n"/>
      <c r="B379" s="122" t="n"/>
      <c r="C379" s="122" t="n"/>
      <c r="D379" s="123" t="n"/>
      <c r="E379" s="121" t="n"/>
      <c r="F379" s="124" t="n"/>
      <c r="G379" s="125" t="n"/>
      <c r="H379" s="125" t="n"/>
      <c r="I379" s="124" t="n"/>
      <c r="J379" s="125" t="n"/>
      <c r="K379" s="124" t="n"/>
      <c r="L379" s="125" t="n"/>
      <c r="M379" s="126" t="n"/>
      <c r="N379" s="124" t="n"/>
    </row>
    <row r="380" ht="15" customHeight="1" s="74">
      <c r="A380" s="121" t="n"/>
      <c r="B380" s="122" t="n"/>
      <c r="C380" s="122" t="n"/>
      <c r="D380" s="123" t="n"/>
      <c r="E380" s="121" t="n"/>
      <c r="F380" s="124" t="n"/>
      <c r="G380" s="125" t="n"/>
      <c r="H380" s="125" t="n"/>
      <c r="I380" s="124" t="n"/>
      <c r="J380" s="125" t="n"/>
      <c r="K380" s="124" t="n"/>
      <c r="L380" s="125" t="n"/>
      <c r="M380" s="126" t="n"/>
      <c r="N380" s="124" t="n"/>
    </row>
    <row r="381" ht="15" customHeight="1" s="74">
      <c r="A381" s="121" t="n"/>
      <c r="B381" s="122" t="n"/>
      <c r="C381" s="122" t="n"/>
      <c r="D381" s="123" t="n"/>
      <c r="E381" s="121" t="n"/>
      <c r="F381" s="124" t="n"/>
      <c r="G381" s="125" t="n"/>
      <c r="H381" s="125" t="n"/>
      <c r="I381" s="124" t="n"/>
      <c r="J381" s="125" t="n"/>
      <c r="K381" s="124" t="n"/>
      <c r="L381" s="125" t="n"/>
      <c r="M381" s="126" t="n"/>
      <c r="N381" s="124" t="n"/>
    </row>
    <row r="382" ht="15" customHeight="1" s="74">
      <c r="A382" s="121" t="n"/>
      <c r="B382" s="122" t="n"/>
      <c r="C382" s="122" t="n"/>
      <c r="D382" s="123" t="n"/>
      <c r="E382" s="121" t="n"/>
      <c r="F382" s="124" t="n"/>
      <c r="G382" s="125" t="n"/>
      <c r="H382" s="125" t="n"/>
      <c r="I382" s="124" t="n"/>
      <c r="J382" s="125" t="n"/>
      <c r="K382" s="124" t="n"/>
      <c r="L382" s="125" t="n"/>
      <c r="M382" s="126" t="n"/>
      <c r="N382" s="124" t="n"/>
    </row>
    <row r="383" ht="15" customHeight="1" s="74">
      <c r="A383" s="121" t="n"/>
      <c r="B383" s="122" t="n"/>
      <c r="C383" s="122" t="n"/>
      <c r="D383" s="123" t="n"/>
      <c r="E383" s="121" t="n"/>
      <c r="F383" s="124" t="n"/>
      <c r="G383" s="125" t="n"/>
      <c r="H383" s="125" t="n"/>
      <c r="I383" s="124" t="n"/>
      <c r="J383" s="125" t="n"/>
      <c r="K383" s="124" t="n"/>
      <c r="L383" s="125" t="n"/>
      <c r="M383" s="126" t="n"/>
      <c r="N383" s="124" t="n"/>
    </row>
    <row r="384" ht="15" customHeight="1" s="74">
      <c r="A384" s="121" t="n"/>
      <c r="B384" s="122" t="n"/>
      <c r="C384" s="122" t="n"/>
      <c r="D384" s="123" t="n"/>
      <c r="E384" s="121" t="n"/>
      <c r="F384" s="124" t="n"/>
      <c r="G384" s="125" t="n"/>
      <c r="H384" s="125" t="n"/>
      <c r="I384" s="124" t="n"/>
      <c r="J384" s="125" t="n"/>
      <c r="K384" s="124" t="n"/>
      <c r="L384" s="125" t="n"/>
      <c r="M384" s="126" t="n"/>
      <c r="N384" s="124" t="n"/>
    </row>
    <row r="385" ht="15" customHeight="1" s="74">
      <c r="A385" s="121" t="n"/>
      <c r="B385" s="122" t="n"/>
      <c r="C385" s="122" t="n"/>
      <c r="D385" s="123" t="n"/>
      <c r="E385" s="121" t="n"/>
      <c r="F385" s="124" t="n"/>
      <c r="G385" s="125" t="n"/>
      <c r="H385" s="125" t="n"/>
      <c r="I385" s="124" t="n"/>
      <c r="J385" s="125" t="n"/>
      <c r="K385" s="124" t="n"/>
      <c r="L385" s="125" t="n"/>
      <c r="M385" s="126" t="n"/>
      <c r="N385" s="124" t="n"/>
    </row>
    <row r="386" ht="15" customHeight="1" s="74">
      <c r="A386" s="121" t="n"/>
      <c r="B386" s="122" t="n"/>
      <c r="C386" s="122" t="n"/>
      <c r="D386" s="123" t="n"/>
      <c r="E386" s="121" t="n"/>
      <c r="F386" s="124" t="n"/>
      <c r="G386" s="125" t="n"/>
      <c r="H386" s="125" t="n"/>
      <c r="I386" s="124" t="n"/>
      <c r="J386" s="125" t="n"/>
      <c r="K386" s="124" t="n"/>
      <c r="L386" s="125" t="n"/>
      <c r="M386" s="126" t="n"/>
      <c r="N386" s="124" t="n"/>
    </row>
    <row r="387" ht="15" customHeight="1" s="74">
      <c r="A387" s="121" t="n"/>
      <c r="B387" s="122" t="n"/>
      <c r="C387" s="122" t="n"/>
      <c r="D387" s="123" t="n"/>
      <c r="E387" s="121" t="n"/>
      <c r="F387" s="124" t="n"/>
      <c r="G387" s="125" t="n"/>
      <c r="H387" s="125" t="n"/>
      <c r="I387" s="124" t="n"/>
      <c r="J387" s="125" t="n"/>
      <c r="K387" s="124" t="n"/>
      <c r="L387" s="125" t="n"/>
      <c r="M387" s="126" t="n"/>
      <c r="N387" s="124" t="n"/>
    </row>
    <row r="388" ht="15" customHeight="1" s="74">
      <c r="A388" s="121" t="n"/>
      <c r="B388" s="122" t="n"/>
      <c r="C388" s="122" t="n"/>
      <c r="D388" s="123" t="n"/>
      <c r="E388" s="121" t="n"/>
      <c r="F388" s="124" t="n"/>
      <c r="G388" s="125" t="n"/>
      <c r="H388" s="125" t="n"/>
      <c r="I388" s="124" t="n"/>
      <c r="J388" s="125" t="n"/>
      <c r="K388" s="124" t="n"/>
      <c r="L388" s="125" t="n"/>
      <c r="M388" s="126" t="n"/>
      <c r="N388" s="124" t="n"/>
    </row>
    <row r="389" ht="15" customHeight="1" s="74">
      <c r="A389" s="121" t="n"/>
      <c r="B389" s="122" t="n"/>
      <c r="C389" s="122" t="n"/>
      <c r="D389" s="123" t="n"/>
      <c r="E389" s="121" t="n"/>
      <c r="F389" s="124" t="n"/>
      <c r="G389" s="125" t="n"/>
      <c r="H389" s="125" t="n"/>
      <c r="I389" s="124" t="n"/>
      <c r="J389" s="125" t="n"/>
      <c r="K389" s="124" t="n"/>
      <c r="L389" s="125" t="n"/>
      <c r="M389" s="126" t="n"/>
      <c r="N389" s="124" t="n"/>
    </row>
    <row r="390" ht="15" customHeight="1" s="74">
      <c r="A390" s="121" t="n"/>
      <c r="B390" s="122" t="n"/>
      <c r="C390" s="122" t="n"/>
      <c r="D390" s="123" t="n"/>
      <c r="E390" s="121" t="n"/>
      <c r="F390" s="124" t="n"/>
      <c r="G390" s="125" t="n"/>
      <c r="H390" s="125" t="n"/>
      <c r="I390" s="124" t="n"/>
      <c r="J390" s="125" t="n"/>
      <c r="K390" s="124" t="n"/>
      <c r="L390" s="125" t="n"/>
      <c r="M390" s="126" t="n"/>
      <c r="N390" s="124" t="n"/>
    </row>
    <row r="391" ht="15" customHeight="1" s="74">
      <c r="A391" s="121" t="n"/>
      <c r="B391" s="122" t="n"/>
      <c r="C391" s="122" t="n"/>
      <c r="D391" s="123" t="n"/>
      <c r="E391" s="121" t="n"/>
      <c r="F391" s="124" t="n"/>
      <c r="G391" s="125" t="n"/>
      <c r="H391" s="125" t="n"/>
      <c r="I391" s="124" t="n"/>
      <c r="J391" s="125" t="n"/>
      <c r="K391" s="124" t="n"/>
      <c r="L391" s="125" t="n"/>
      <c r="M391" s="126" t="n"/>
      <c r="N391" s="124" t="n"/>
    </row>
    <row r="392" ht="15" customHeight="1" s="74">
      <c r="A392" s="121" t="n"/>
      <c r="B392" s="122" t="n"/>
      <c r="C392" s="122" t="n"/>
      <c r="D392" s="123" t="n"/>
      <c r="E392" s="121" t="n"/>
      <c r="F392" s="124" t="n"/>
      <c r="G392" s="125" t="n"/>
      <c r="H392" s="125" t="n"/>
      <c r="I392" s="124" t="n"/>
      <c r="J392" s="125" t="n"/>
      <c r="K392" s="124" t="n"/>
      <c r="L392" s="125" t="n"/>
      <c r="M392" s="126" t="n"/>
      <c r="N392" s="124" t="n"/>
    </row>
    <row r="393" ht="15" customHeight="1" s="74">
      <c r="A393" s="121" t="n"/>
      <c r="B393" s="122" t="n"/>
      <c r="C393" s="122" t="n"/>
      <c r="D393" s="123" t="n"/>
      <c r="E393" s="121" t="n"/>
      <c r="F393" s="124" t="n"/>
      <c r="G393" s="125" t="n"/>
      <c r="H393" s="125" t="n"/>
      <c r="I393" s="124" t="n"/>
      <c r="J393" s="125" t="n"/>
      <c r="K393" s="124" t="n"/>
      <c r="L393" s="125" t="n"/>
      <c r="M393" s="126" t="n"/>
      <c r="N393" s="124" t="n"/>
    </row>
    <row r="394" ht="15" customHeight="1" s="74">
      <c r="A394" s="121" t="n"/>
      <c r="B394" s="122" t="n"/>
      <c r="C394" s="122" t="n"/>
      <c r="D394" s="123" t="n"/>
      <c r="E394" s="121" t="n"/>
      <c r="F394" s="124" t="n"/>
      <c r="G394" s="125" t="n"/>
      <c r="H394" s="125" t="n"/>
      <c r="I394" s="124" t="n"/>
      <c r="J394" s="125" t="n"/>
      <c r="K394" s="124" t="n"/>
      <c r="L394" s="125" t="n"/>
      <c r="M394" s="126" t="n"/>
      <c r="N394" s="124" t="n"/>
    </row>
    <row r="395" ht="15" customHeight="1" s="74">
      <c r="A395" s="121" t="n"/>
      <c r="B395" s="122" t="n"/>
      <c r="C395" s="122" t="n"/>
      <c r="D395" s="123" t="n"/>
      <c r="E395" s="121" t="n"/>
      <c r="F395" s="124" t="n"/>
      <c r="G395" s="125" t="n"/>
      <c r="H395" s="125" t="n"/>
      <c r="I395" s="124" t="n"/>
      <c r="J395" s="125" t="n"/>
      <c r="K395" s="124" t="n"/>
      <c r="L395" s="125" t="n"/>
      <c r="M395" s="126" t="n"/>
      <c r="N395" s="124" t="n"/>
    </row>
    <row r="396" ht="15" customHeight="1" s="74">
      <c r="A396" s="121" t="n"/>
      <c r="B396" s="122" t="n"/>
      <c r="C396" s="122" t="n"/>
      <c r="D396" s="123" t="n"/>
      <c r="E396" s="121" t="n"/>
      <c r="F396" s="124" t="n"/>
      <c r="G396" s="125" t="n"/>
      <c r="H396" s="125" t="n"/>
      <c r="I396" s="124" t="n"/>
      <c r="J396" s="125" t="n"/>
      <c r="K396" s="124" t="n"/>
      <c r="L396" s="125" t="n"/>
      <c r="M396" s="126" t="n"/>
      <c r="N396" s="124" t="n"/>
    </row>
    <row r="397" ht="15" customHeight="1" s="74">
      <c r="A397" s="121" t="n"/>
      <c r="B397" s="122" t="n"/>
      <c r="C397" s="122" t="n"/>
      <c r="D397" s="123" t="n"/>
      <c r="E397" s="121" t="n"/>
      <c r="F397" s="124" t="n"/>
      <c r="G397" s="125" t="n"/>
      <c r="H397" s="125" t="n"/>
      <c r="I397" s="124" t="n"/>
      <c r="J397" s="125" t="n"/>
      <c r="K397" s="124" t="n"/>
      <c r="L397" s="125" t="n"/>
      <c r="M397" s="126" t="n"/>
      <c r="N397" s="124" t="n"/>
    </row>
    <row r="398" ht="15" customHeight="1" s="74">
      <c r="A398" s="121" t="n"/>
      <c r="B398" s="122" t="n"/>
      <c r="C398" s="122" t="n"/>
      <c r="D398" s="123" t="n"/>
      <c r="E398" s="121" t="n"/>
      <c r="F398" s="124" t="n"/>
      <c r="G398" s="125" t="n"/>
      <c r="H398" s="125" t="n"/>
      <c r="I398" s="124" t="n"/>
      <c r="J398" s="125" t="n"/>
      <c r="K398" s="124" t="n"/>
      <c r="L398" s="125" t="n"/>
      <c r="M398" s="126" t="n"/>
      <c r="N398" s="124" t="n"/>
    </row>
    <row r="399" ht="15" customHeight="1" s="74">
      <c r="A399" s="121" t="n"/>
      <c r="B399" s="122" t="n"/>
      <c r="C399" s="122" t="n"/>
      <c r="D399" s="123" t="n"/>
      <c r="E399" s="121" t="n"/>
      <c r="F399" s="124" t="n"/>
      <c r="G399" s="125" t="n"/>
      <c r="H399" s="125" t="n"/>
      <c r="I399" s="124" t="n"/>
      <c r="J399" s="125" t="n"/>
      <c r="K399" s="124" t="n"/>
      <c r="L399" s="125" t="n"/>
      <c r="M399" s="126" t="n"/>
      <c r="N399" s="124" t="n"/>
    </row>
    <row r="400" ht="15" customHeight="1" s="74">
      <c r="A400" s="121" t="n"/>
      <c r="B400" s="122" t="n"/>
      <c r="C400" s="122" t="n"/>
      <c r="D400" s="123" t="n"/>
      <c r="E400" s="121" t="n"/>
      <c r="F400" s="124" t="n"/>
      <c r="G400" s="125" t="n"/>
      <c r="H400" s="125" t="n"/>
      <c r="I400" s="124" t="n"/>
      <c r="J400" s="125" t="n"/>
      <c r="K400" s="124" t="n"/>
      <c r="L400" s="125" t="n"/>
      <c r="M400" s="126" t="n"/>
      <c r="N400" s="124" t="n"/>
    </row>
    <row r="401" ht="15" customHeight="1" s="74">
      <c r="A401" s="121" t="n"/>
      <c r="B401" s="122" t="n"/>
      <c r="C401" s="122" t="n"/>
      <c r="D401" s="123" t="n"/>
      <c r="E401" s="121" t="n"/>
      <c r="F401" s="124" t="n"/>
      <c r="G401" s="125" t="n"/>
      <c r="H401" s="125" t="n"/>
      <c r="I401" s="124" t="n"/>
      <c r="J401" s="125" t="n"/>
      <c r="K401" s="124" t="n"/>
      <c r="L401" s="125" t="n"/>
      <c r="M401" s="126" t="n"/>
      <c r="N401" s="124" t="n"/>
    </row>
    <row r="402" ht="15" customHeight="1" s="74">
      <c r="A402" s="121" t="n"/>
      <c r="B402" s="122" t="n"/>
      <c r="C402" s="122" t="n"/>
      <c r="D402" s="123" t="n"/>
      <c r="E402" s="121" t="n"/>
      <c r="F402" s="124" t="n"/>
      <c r="G402" s="125" t="n"/>
      <c r="H402" s="125" t="n"/>
      <c r="I402" s="124" t="n"/>
      <c r="J402" s="125" t="n"/>
      <c r="K402" s="124" t="n"/>
      <c r="L402" s="125" t="n"/>
      <c r="M402" s="126" t="n"/>
      <c r="N402" s="124" t="n"/>
    </row>
    <row r="403" ht="15" customHeight="1" s="74">
      <c r="A403" s="121" t="n"/>
      <c r="B403" s="122" t="n"/>
      <c r="C403" s="122" t="n"/>
      <c r="D403" s="123" t="n"/>
      <c r="E403" s="121" t="n"/>
      <c r="F403" s="124" t="n"/>
      <c r="G403" s="125" t="n"/>
      <c r="H403" s="125" t="n"/>
      <c r="I403" s="124" t="n"/>
      <c r="J403" s="125" t="n"/>
      <c r="K403" s="124" t="n"/>
      <c r="L403" s="125" t="n"/>
      <c r="M403" s="126" t="n"/>
      <c r="N403" s="124" t="n"/>
    </row>
    <row r="404" ht="15" customHeight="1" s="74">
      <c r="A404" s="121" t="n"/>
      <c r="B404" s="122" t="n"/>
      <c r="C404" s="122" t="n"/>
      <c r="D404" s="123" t="n"/>
      <c r="E404" s="121" t="n"/>
      <c r="F404" s="124" t="n"/>
      <c r="G404" s="125" t="n"/>
      <c r="H404" s="125" t="n"/>
      <c r="I404" s="124" t="n"/>
      <c r="J404" s="125" t="n"/>
      <c r="K404" s="124" t="n"/>
      <c r="L404" s="125" t="n"/>
      <c r="M404" s="126" t="n"/>
      <c r="N404" s="124" t="n"/>
    </row>
    <row r="405" ht="15" customHeight="1" s="74">
      <c r="A405" s="121" t="n"/>
      <c r="B405" s="122" t="n"/>
      <c r="C405" s="122" t="n"/>
      <c r="D405" s="123" t="n"/>
      <c r="E405" s="121" t="n"/>
      <c r="F405" s="124" t="n"/>
      <c r="G405" s="125" t="n"/>
      <c r="H405" s="125" t="n"/>
      <c r="I405" s="124" t="n"/>
      <c r="J405" s="125" t="n"/>
      <c r="K405" s="124" t="n"/>
      <c r="L405" s="125" t="n"/>
      <c r="M405" s="126" t="n"/>
      <c r="N405" s="124" t="n"/>
    </row>
    <row r="406" ht="15" customHeight="1" s="74">
      <c r="A406" s="121" t="n"/>
      <c r="B406" s="122" t="n"/>
      <c r="C406" s="122" t="n"/>
      <c r="D406" s="123" t="n"/>
      <c r="E406" s="121" t="n"/>
      <c r="F406" s="124" t="n"/>
      <c r="G406" s="125" t="n"/>
      <c r="H406" s="125" t="n"/>
      <c r="I406" s="124" t="n"/>
      <c r="J406" s="125" t="n"/>
      <c r="K406" s="124" t="n"/>
      <c r="L406" s="125" t="n"/>
      <c r="M406" s="126" t="n"/>
      <c r="N406" s="124" t="n"/>
    </row>
    <row r="407" ht="15" customHeight="1" s="74">
      <c r="A407" s="121" t="n"/>
      <c r="B407" s="122" t="n"/>
      <c r="C407" s="122" t="n"/>
      <c r="D407" s="123" t="n"/>
      <c r="E407" s="121" t="n"/>
      <c r="F407" s="124" t="n"/>
      <c r="G407" s="125" t="n"/>
      <c r="H407" s="125" t="n"/>
      <c r="I407" s="124" t="n"/>
      <c r="J407" s="125" t="n"/>
      <c r="K407" s="124" t="n"/>
      <c r="L407" s="125" t="n"/>
      <c r="M407" s="126" t="n"/>
      <c r="N407" s="124" t="n"/>
    </row>
    <row r="408" ht="15" customHeight="1" s="74">
      <c r="A408" s="121" t="n"/>
      <c r="B408" s="122" t="n"/>
      <c r="C408" s="122" t="n"/>
      <c r="D408" s="123" t="n"/>
      <c r="E408" s="121" t="n"/>
      <c r="F408" s="124" t="n"/>
      <c r="G408" s="125" t="n"/>
      <c r="H408" s="125" t="n"/>
      <c r="I408" s="124" t="n"/>
      <c r="J408" s="125" t="n"/>
      <c r="K408" s="124" t="n"/>
      <c r="L408" s="125" t="n"/>
      <c r="M408" s="126" t="n"/>
      <c r="N408" s="124" t="n"/>
    </row>
    <row r="409" ht="15" customHeight="1" s="74">
      <c r="A409" s="121" t="n"/>
      <c r="B409" s="122" t="n"/>
      <c r="C409" s="122" t="n"/>
      <c r="D409" s="123" t="n"/>
      <c r="E409" s="121" t="n"/>
      <c r="F409" s="124" t="n"/>
      <c r="G409" s="125" t="n"/>
      <c r="H409" s="125" t="n"/>
      <c r="I409" s="124" t="n"/>
      <c r="J409" s="125" t="n"/>
      <c r="K409" s="124" t="n"/>
      <c r="L409" s="125" t="n"/>
      <c r="M409" s="126" t="n"/>
      <c r="N409" s="124" t="n"/>
    </row>
    <row r="410" ht="15" customHeight="1" s="74">
      <c r="A410" s="121" t="n"/>
      <c r="B410" s="122" t="n"/>
      <c r="C410" s="122" t="n"/>
      <c r="D410" s="123" t="n"/>
      <c r="E410" s="121" t="n"/>
      <c r="F410" s="124" t="n"/>
      <c r="G410" s="125" t="n"/>
      <c r="H410" s="125" t="n"/>
      <c r="I410" s="124" t="n"/>
      <c r="J410" s="125" t="n"/>
      <c r="K410" s="124" t="n"/>
      <c r="L410" s="125" t="n"/>
      <c r="M410" s="126" t="n"/>
      <c r="N410" s="124" t="n"/>
    </row>
    <row r="411" ht="15" customHeight="1" s="74">
      <c r="A411" s="121" t="n"/>
      <c r="B411" s="122" t="n"/>
      <c r="C411" s="122" t="n"/>
      <c r="D411" s="123" t="n"/>
      <c r="E411" s="121" t="n"/>
      <c r="F411" s="124" t="n"/>
      <c r="G411" s="125" t="n"/>
      <c r="H411" s="125" t="n"/>
      <c r="I411" s="124" t="n"/>
      <c r="J411" s="125" t="n"/>
      <c r="K411" s="124" t="n"/>
      <c r="L411" s="125" t="n"/>
      <c r="M411" s="126" t="n"/>
      <c r="N411" s="124" t="n"/>
    </row>
    <row r="412" ht="15" customHeight="1" s="74">
      <c r="A412" s="121" t="n"/>
      <c r="B412" s="122" t="n"/>
      <c r="C412" s="122" t="n"/>
      <c r="D412" s="123" t="n"/>
      <c r="E412" s="121" t="n"/>
      <c r="F412" s="124" t="n"/>
      <c r="G412" s="125" t="n"/>
      <c r="H412" s="125" t="n"/>
      <c r="I412" s="124" t="n"/>
      <c r="J412" s="125" t="n"/>
      <c r="K412" s="124" t="n"/>
      <c r="L412" s="125" t="n"/>
      <c r="M412" s="126" t="n"/>
      <c r="N412" s="124" t="n"/>
    </row>
    <row r="413" ht="15" customHeight="1" s="74">
      <c r="A413" s="121" t="n"/>
      <c r="B413" s="122" t="n"/>
      <c r="C413" s="122" t="n"/>
      <c r="D413" s="123" t="n"/>
      <c r="E413" s="121" t="n"/>
      <c r="F413" s="124" t="n"/>
      <c r="G413" s="125" t="n"/>
      <c r="H413" s="125" t="n"/>
      <c r="I413" s="124" t="n"/>
      <c r="J413" s="125" t="n"/>
      <c r="K413" s="124" t="n"/>
      <c r="L413" s="125" t="n"/>
      <c r="M413" s="126" t="n"/>
      <c r="N413" s="124" t="n"/>
    </row>
    <row r="414" ht="15" customHeight="1" s="74">
      <c r="A414" s="121" t="n"/>
      <c r="B414" s="122" t="n"/>
      <c r="C414" s="122" t="n"/>
      <c r="D414" s="123" t="n"/>
      <c r="E414" s="121" t="n"/>
      <c r="F414" s="124" t="n"/>
      <c r="G414" s="125" t="n"/>
      <c r="H414" s="125" t="n"/>
      <c r="I414" s="124" t="n"/>
      <c r="J414" s="125" t="n"/>
      <c r="K414" s="124" t="n"/>
      <c r="L414" s="125" t="n"/>
      <c r="M414" s="126" t="n"/>
      <c r="N414" s="124" t="n"/>
    </row>
    <row r="415" ht="15" customHeight="1" s="74">
      <c r="A415" s="121" t="n"/>
      <c r="B415" s="122" t="n"/>
      <c r="C415" s="122" t="n"/>
      <c r="D415" s="123" t="n"/>
      <c r="E415" s="121" t="n"/>
      <c r="F415" s="124" t="n"/>
      <c r="G415" s="125" t="n"/>
      <c r="H415" s="125" t="n"/>
      <c r="I415" s="124" t="n"/>
      <c r="J415" s="125" t="n"/>
      <c r="K415" s="124" t="n"/>
      <c r="L415" s="125" t="n"/>
      <c r="M415" s="126" t="n"/>
      <c r="N415" s="124" t="n"/>
    </row>
    <row r="416" ht="15" customHeight="1" s="74">
      <c r="A416" s="121" t="n"/>
      <c r="B416" s="122" t="n"/>
      <c r="C416" s="122" t="n"/>
      <c r="D416" s="123" t="n"/>
      <c r="E416" s="121" t="n"/>
      <c r="F416" s="124" t="n"/>
      <c r="G416" s="125" t="n"/>
      <c r="H416" s="125" t="n"/>
      <c r="I416" s="124" t="n"/>
      <c r="J416" s="125" t="n"/>
      <c r="K416" s="124" t="n"/>
      <c r="L416" s="125" t="n"/>
      <c r="M416" s="126" t="n"/>
      <c r="N416" s="124" t="n"/>
    </row>
    <row r="417" ht="15" customHeight="1" s="74">
      <c r="A417" s="121" t="n"/>
      <c r="B417" s="122" t="n"/>
      <c r="C417" s="122" t="n"/>
      <c r="D417" s="123" t="n"/>
      <c r="E417" s="121" t="n"/>
      <c r="F417" s="124" t="n"/>
      <c r="G417" s="125" t="n"/>
      <c r="H417" s="125" t="n"/>
      <c r="I417" s="124" t="n"/>
      <c r="J417" s="125" t="n"/>
      <c r="K417" s="124" t="n"/>
      <c r="L417" s="125" t="n"/>
      <c r="M417" s="126" t="n"/>
      <c r="N417" s="124" t="n"/>
    </row>
    <row r="418" ht="15" customHeight="1" s="74">
      <c r="A418" s="121" t="n"/>
      <c r="B418" s="122" t="n"/>
      <c r="C418" s="122" t="n"/>
      <c r="D418" s="123" t="n"/>
      <c r="E418" s="121" t="n"/>
      <c r="F418" s="124" t="n"/>
      <c r="G418" s="125" t="n"/>
      <c r="H418" s="125" t="n"/>
      <c r="I418" s="124" t="n"/>
      <c r="J418" s="125" t="n"/>
      <c r="K418" s="124" t="n"/>
      <c r="L418" s="125" t="n"/>
      <c r="M418" s="126" t="n"/>
      <c r="N418" s="124" t="n"/>
    </row>
    <row r="419" ht="15" customHeight="1" s="74">
      <c r="A419" s="121" t="n"/>
      <c r="B419" s="122" t="n"/>
      <c r="C419" s="122" t="n"/>
      <c r="D419" s="123" t="n"/>
      <c r="E419" s="121" t="n"/>
      <c r="F419" s="124" t="n"/>
      <c r="G419" s="125" t="n"/>
      <c r="H419" s="125" t="n"/>
      <c r="I419" s="124" t="n"/>
      <c r="J419" s="125" t="n"/>
      <c r="K419" s="124" t="n"/>
      <c r="L419" s="125" t="n"/>
      <c r="M419" s="126" t="n"/>
      <c r="N419" s="124" t="n"/>
    </row>
    <row r="420" ht="15" customHeight="1" s="74">
      <c r="A420" s="121" t="n"/>
      <c r="B420" s="122" t="n"/>
      <c r="C420" s="122" t="n"/>
      <c r="D420" s="123" t="n"/>
      <c r="E420" s="121" t="n"/>
      <c r="F420" s="124" t="n"/>
      <c r="G420" s="125" t="n"/>
      <c r="H420" s="125" t="n"/>
      <c r="I420" s="124" t="n"/>
      <c r="J420" s="125" t="n"/>
      <c r="K420" s="124" t="n"/>
      <c r="L420" s="125" t="n"/>
      <c r="M420" s="126" t="n"/>
      <c r="N420" s="124" t="n"/>
    </row>
    <row r="421" ht="15" customHeight="1" s="74">
      <c r="A421" s="121" t="n"/>
      <c r="B421" s="122" t="n"/>
      <c r="C421" s="122" t="n"/>
      <c r="D421" s="123" t="n"/>
      <c r="E421" s="121" t="n"/>
      <c r="F421" s="124" t="n"/>
      <c r="G421" s="125" t="n"/>
      <c r="H421" s="125" t="n"/>
      <c r="I421" s="124" t="n"/>
      <c r="J421" s="125" t="n"/>
      <c r="K421" s="124" t="n"/>
      <c r="L421" s="125" t="n"/>
      <c r="M421" s="126" t="n"/>
      <c r="N421" s="124" t="n"/>
    </row>
    <row r="422" ht="15" customHeight="1" s="74">
      <c r="A422" s="121" t="n"/>
      <c r="B422" s="122" t="n"/>
      <c r="C422" s="122" t="n"/>
      <c r="D422" s="123" t="n"/>
      <c r="E422" s="121" t="n"/>
      <c r="F422" s="124" t="n"/>
      <c r="G422" s="125" t="n"/>
      <c r="H422" s="125" t="n"/>
      <c r="I422" s="124" t="n"/>
      <c r="J422" s="125" t="n"/>
      <c r="K422" s="124" t="n"/>
      <c r="L422" s="125" t="n"/>
      <c r="M422" s="126" t="n"/>
      <c r="N422" s="124" t="n"/>
    </row>
    <row r="423" ht="15" customHeight="1" s="74">
      <c r="A423" s="121" t="n"/>
      <c r="B423" s="122" t="n"/>
      <c r="C423" s="122" t="n"/>
      <c r="D423" s="123" t="n"/>
      <c r="E423" s="121" t="n"/>
      <c r="F423" s="124" t="n"/>
      <c r="G423" s="125" t="n"/>
      <c r="H423" s="125" t="n"/>
      <c r="I423" s="124" t="n"/>
      <c r="J423" s="125" t="n"/>
      <c r="K423" s="124" t="n"/>
      <c r="L423" s="125" t="n"/>
      <c r="M423" s="126" t="n"/>
      <c r="N423" s="124" t="n"/>
    </row>
    <row r="424" ht="15" customHeight="1" s="74">
      <c r="A424" s="121" t="n"/>
      <c r="B424" s="122" t="n"/>
      <c r="C424" s="122" t="n"/>
      <c r="D424" s="123" t="n"/>
      <c r="E424" s="121" t="n"/>
      <c r="F424" s="124" t="n"/>
      <c r="G424" s="125" t="n"/>
      <c r="H424" s="125" t="n"/>
      <c r="I424" s="124" t="n"/>
      <c r="J424" s="125" t="n"/>
      <c r="K424" s="124" t="n"/>
      <c r="L424" s="125" t="n"/>
      <c r="M424" s="126" t="n"/>
      <c r="N424" s="124" t="n"/>
    </row>
    <row r="425" ht="15" customHeight="1" s="74">
      <c r="A425" s="121" t="n"/>
      <c r="B425" s="122" t="n"/>
      <c r="C425" s="122" t="n"/>
      <c r="D425" s="123" t="n"/>
      <c r="E425" s="121" t="n"/>
      <c r="F425" s="124" t="n"/>
      <c r="G425" s="125" t="n"/>
      <c r="H425" s="125" t="n"/>
      <c r="I425" s="124" t="n"/>
      <c r="J425" s="125" t="n"/>
      <c r="K425" s="124" t="n"/>
      <c r="L425" s="125" t="n"/>
      <c r="M425" s="126" t="n"/>
      <c r="N425" s="124" t="n"/>
    </row>
    <row r="426" ht="15" customHeight="1" s="74">
      <c r="A426" s="121" t="n"/>
      <c r="B426" s="122" t="n"/>
      <c r="C426" s="122" t="n"/>
      <c r="D426" s="123" t="n"/>
      <c r="E426" s="121" t="n"/>
      <c r="F426" s="124" t="n"/>
      <c r="G426" s="125" t="n"/>
      <c r="H426" s="125" t="n"/>
      <c r="I426" s="124" t="n"/>
      <c r="J426" s="125" t="n"/>
      <c r="K426" s="124" t="n"/>
      <c r="L426" s="125" t="n"/>
      <c r="M426" s="126" t="n"/>
      <c r="N426" s="124" t="n"/>
    </row>
    <row r="427" ht="15" customHeight="1" s="74">
      <c r="A427" s="121" t="n"/>
      <c r="B427" s="122" t="n"/>
      <c r="C427" s="122" t="n"/>
      <c r="D427" s="123" t="n"/>
      <c r="E427" s="121" t="n"/>
      <c r="F427" s="124" t="n"/>
      <c r="G427" s="125" t="n"/>
      <c r="H427" s="125" t="n"/>
      <c r="I427" s="124" t="n"/>
      <c r="J427" s="125" t="n"/>
      <c r="K427" s="124" t="n"/>
      <c r="L427" s="125" t="n"/>
      <c r="M427" s="126" t="n"/>
      <c r="N427" s="124" t="n"/>
    </row>
    <row r="428" ht="15" customHeight="1" s="74">
      <c r="A428" s="121" t="n"/>
      <c r="B428" s="122" t="n"/>
      <c r="C428" s="122" t="n"/>
      <c r="D428" s="123" t="n"/>
      <c r="E428" s="121" t="n"/>
      <c r="F428" s="124" t="n"/>
      <c r="G428" s="125" t="n"/>
      <c r="H428" s="125" t="n"/>
      <c r="I428" s="124" t="n"/>
      <c r="J428" s="125" t="n"/>
      <c r="K428" s="124" t="n"/>
      <c r="L428" s="125" t="n"/>
      <c r="M428" s="126" t="n"/>
      <c r="N428" s="124" t="n"/>
    </row>
    <row r="429" ht="15" customHeight="1" s="74">
      <c r="A429" s="121" t="n"/>
      <c r="B429" s="122" t="n"/>
      <c r="C429" s="122" t="n"/>
      <c r="D429" s="123" t="n"/>
      <c r="E429" s="121" t="n"/>
      <c r="F429" s="124" t="n"/>
      <c r="G429" s="125" t="n"/>
      <c r="H429" s="125" t="n"/>
      <c r="I429" s="124" t="n"/>
      <c r="J429" s="125" t="n"/>
      <c r="K429" s="124" t="n"/>
      <c r="L429" s="125" t="n"/>
      <c r="M429" s="126" t="n"/>
      <c r="N429" s="124" t="n"/>
    </row>
    <row r="430" ht="15" customHeight="1" s="74">
      <c r="A430" s="121" t="n"/>
      <c r="B430" s="122" t="n"/>
      <c r="C430" s="122" t="n"/>
      <c r="D430" s="123" t="n"/>
      <c r="E430" s="121" t="n"/>
      <c r="F430" s="124" t="n"/>
      <c r="G430" s="125" t="n"/>
      <c r="H430" s="125" t="n"/>
      <c r="I430" s="124" t="n"/>
      <c r="J430" s="125" t="n"/>
      <c r="K430" s="124" t="n"/>
      <c r="L430" s="125" t="n"/>
      <c r="M430" s="126" t="n"/>
      <c r="N430" s="124" t="n"/>
    </row>
    <row r="431" ht="15" customHeight="1" s="74">
      <c r="A431" s="121" t="n"/>
      <c r="B431" s="122" t="n"/>
      <c r="C431" s="122" t="n"/>
      <c r="D431" s="123" t="n"/>
      <c r="E431" s="121" t="n"/>
      <c r="F431" s="124" t="n"/>
      <c r="G431" s="125" t="n"/>
      <c r="H431" s="125" t="n"/>
      <c r="I431" s="124" t="n"/>
      <c r="J431" s="125" t="n"/>
      <c r="K431" s="124" t="n"/>
      <c r="L431" s="125" t="n"/>
      <c r="M431" s="126" t="n"/>
      <c r="N431" s="124" t="n"/>
    </row>
    <row r="432" ht="15" customHeight="1" s="74">
      <c r="A432" s="121" t="n"/>
      <c r="B432" s="122" t="n"/>
      <c r="C432" s="122" t="n"/>
      <c r="D432" s="123" t="n"/>
      <c r="E432" s="121" t="n"/>
      <c r="F432" s="124" t="n"/>
      <c r="G432" s="125" t="n"/>
      <c r="H432" s="125" t="n"/>
      <c r="I432" s="124" t="n"/>
      <c r="J432" s="125" t="n"/>
      <c r="K432" s="124" t="n"/>
      <c r="L432" s="125" t="n"/>
      <c r="M432" s="126" t="n"/>
      <c r="N432" s="124" t="n"/>
    </row>
    <row r="433" ht="15" customHeight="1" s="74">
      <c r="A433" s="121" t="n"/>
      <c r="B433" s="122" t="n"/>
      <c r="C433" s="122" t="n"/>
      <c r="D433" s="123" t="n"/>
      <c r="E433" s="121" t="n"/>
      <c r="F433" s="124" t="n"/>
      <c r="G433" s="125" t="n"/>
      <c r="H433" s="125" t="n"/>
      <c r="I433" s="124" t="n"/>
      <c r="J433" s="125" t="n"/>
      <c r="K433" s="124" t="n"/>
      <c r="L433" s="125" t="n"/>
      <c r="M433" s="126" t="n"/>
      <c r="N433" s="124" t="n"/>
    </row>
    <row r="434" ht="15" customHeight="1" s="74">
      <c r="A434" s="121" t="n"/>
      <c r="B434" s="122" t="n"/>
      <c r="C434" s="122" t="n"/>
      <c r="D434" s="123" t="n"/>
      <c r="E434" s="121" t="n"/>
      <c r="F434" s="124" t="n"/>
      <c r="G434" s="125" t="n"/>
      <c r="H434" s="125" t="n"/>
      <c r="I434" s="124" t="n"/>
      <c r="J434" s="125" t="n"/>
      <c r="K434" s="124" t="n"/>
      <c r="L434" s="125" t="n"/>
      <c r="M434" s="126" t="n"/>
      <c r="N434" s="124" t="n"/>
    </row>
    <row r="435" ht="15" customHeight="1" s="74">
      <c r="A435" s="121" t="n"/>
      <c r="B435" s="122" t="n"/>
      <c r="C435" s="122" t="n"/>
      <c r="D435" s="123" t="n"/>
      <c r="E435" s="121" t="n"/>
      <c r="F435" s="124" t="n"/>
      <c r="G435" s="125" t="n"/>
      <c r="H435" s="125" t="n"/>
      <c r="I435" s="124" t="n"/>
      <c r="J435" s="125" t="n"/>
      <c r="K435" s="124" t="n"/>
      <c r="L435" s="125" t="n"/>
      <c r="M435" s="126" t="n"/>
      <c r="N435" s="124" t="n"/>
    </row>
    <row r="436" ht="15" customHeight="1" s="74">
      <c r="A436" s="121" t="n"/>
      <c r="B436" s="122" t="n"/>
      <c r="C436" s="122" t="n"/>
      <c r="D436" s="123" t="n"/>
      <c r="E436" s="121" t="n"/>
      <c r="F436" s="124" t="n"/>
      <c r="G436" s="125" t="n"/>
      <c r="H436" s="125" t="n"/>
      <c r="I436" s="124" t="n"/>
      <c r="J436" s="125" t="n"/>
      <c r="K436" s="124" t="n"/>
      <c r="L436" s="125" t="n"/>
      <c r="M436" s="126" t="n"/>
      <c r="N436" s="124" t="n"/>
    </row>
    <row r="437" ht="15" customHeight="1" s="74">
      <c r="A437" s="121" t="n"/>
      <c r="B437" s="122" t="n"/>
      <c r="C437" s="122" t="n"/>
      <c r="D437" s="123" t="n"/>
      <c r="E437" s="121" t="n"/>
      <c r="F437" s="124" t="n"/>
      <c r="G437" s="125" t="n"/>
      <c r="H437" s="125" t="n"/>
      <c r="I437" s="124" t="n"/>
      <c r="J437" s="125" t="n"/>
      <c r="K437" s="124" t="n"/>
      <c r="L437" s="125" t="n"/>
      <c r="M437" s="126" t="n"/>
      <c r="N437" s="124" t="n"/>
    </row>
    <row r="438" ht="15" customHeight="1" s="74">
      <c r="A438" s="121" t="n"/>
      <c r="B438" s="122" t="n"/>
      <c r="C438" s="122" t="n"/>
      <c r="D438" s="123" t="n"/>
      <c r="E438" s="121" t="n"/>
      <c r="F438" s="124" t="n"/>
      <c r="G438" s="125" t="n"/>
      <c r="H438" s="125" t="n"/>
      <c r="I438" s="124" t="n"/>
      <c r="J438" s="125" t="n"/>
      <c r="K438" s="124" t="n"/>
      <c r="L438" s="125" t="n"/>
      <c r="M438" s="126" t="n"/>
      <c r="N438" s="124" t="n"/>
    </row>
    <row r="439" ht="15" customHeight="1" s="74">
      <c r="A439" s="121" t="n"/>
      <c r="B439" s="122" t="n"/>
      <c r="C439" s="122" t="n"/>
      <c r="D439" s="123" t="n"/>
      <c r="E439" s="121" t="n"/>
      <c r="F439" s="124" t="n"/>
      <c r="G439" s="125" t="n"/>
      <c r="H439" s="125" t="n"/>
      <c r="I439" s="124" t="n"/>
      <c r="J439" s="125" t="n"/>
      <c r="K439" s="124" t="n"/>
      <c r="L439" s="125" t="n"/>
      <c r="M439" s="126" t="n"/>
      <c r="N439" s="124" t="n"/>
    </row>
    <row r="440" ht="15" customHeight="1" s="74">
      <c r="A440" s="121" t="n"/>
      <c r="B440" s="122" t="n"/>
      <c r="C440" s="122" t="n"/>
      <c r="D440" s="123" t="n"/>
      <c r="E440" s="121" t="n"/>
      <c r="F440" s="124" t="n"/>
      <c r="G440" s="125" t="n"/>
      <c r="H440" s="125" t="n"/>
      <c r="I440" s="124" t="n"/>
      <c r="J440" s="125" t="n"/>
      <c r="K440" s="124" t="n"/>
      <c r="L440" s="125" t="n"/>
      <c r="M440" s="126" t="n"/>
      <c r="N440" s="124" t="n"/>
    </row>
    <row r="441" ht="15" customHeight="1" s="74">
      <c r="A441" s="121" t="n"/>
      <c r="B441" s="122" t="n"/>
      <c r="C441" s="122" t="n"/>
      <c r="D441" s="123" t="n"/>
      <c r="E441" s="121" t="n"/>
      <c r="F441" s="124" t="n"/>
      <c r="G441" s="125" t="n"/>
      <c r="H441" s="125" t="n"/>
      <c r="I441" s="124" t="n"/>
      <c r="J441" s="125" t="n"/>
      <c r="K441" s="124" t="n"/>
      <c r="L441" s="125" t="n"/>
      <c r="M441" s="126" t="n"/>
      <c r="N441" s="124" t="n"/>
    </row>
    <row r="442" ht="15" customHeight="1" s="74">
      <c r="A442" s="121" t="n"/>
      <c r="B442" s="122" t="n"/>
      <c r="C442" s="122" t="n"/>
      <c r="D442" s="123" t="n"/>
      <c r="E442" s="121" t="n"/>
      <c r="F442" s="124" t="n"/>
      <c r="G442" s="125" t="n"/>
      <c r="H442" s="125" t="n"/>
      <c r="I442" s="124" t="n"/>
      <c r="J442" s="125" t="n"/>
      <c r="K442" s="124" t="n"/>
      <c r="L442" s="125" t="n"/>
      <c r="M442" s="126" t="n"/>
      <c r="N442" s="124" t="n"/>
    </row>
    <row r="443" ht="15" customHeight="1" s="74">
      <c r="A443" s="121" t="n"/>
      <c r="B443" s="122" t="n"/>
      <c r="C443" s="122" t="n"/>
      <c r="D443" s="123" t="n"/>
      <c r="E443" s="121" t="n"/>
      <c r="F443" s="124" t="n"/>
      <c r="G443" s="125" t="n"/>
      <c r="H443" s="125" t="n"/>
      <c r="I443" s="124" t="n"/>
      <c r="J443" s="125" t="n"/>
      <c r="K443" s="124" t="n"/>
      <c r="L443" s="125" t="n"/>
      <c r="M443" s="126" t="n"/>
      <c r="N443" s="124" t="n"/>
    </row>
    <row r="444" ht="15" customHeight="1" s="74">
      <c r="A444" s="121" t="n"/>
      <c r="B444" s="122" t="n"/>
      <c r="C444" s="122" t="n"/>
      <c r="D444" s="123" t="n"/>
      <c r="E444" s="121" t="n"/>
      <c r="F444" s="124" t="n"/>
      <c r="G444" s="125" t="n"/>
      <c r="H444" s="125" t="n"/>
      <c r="I444" s="124" t="n"/>
      <c r="J444" s="125" t="n"/>
      <c r="K444" s="124" t="n"/>
      <c r="L444" s="125" t="n"/>
      <c r="M444" s="126" t="n"/>
      <c r="N444" s="124" t="n"/>
    </row>
    <row r="445" ht="15" customHeight="1" s="74">
      <c r="A445" s="121" t="n"/>
      <c r="B445" s="122" t="n"/>
      <c r="C445" s="122" t="n"/>
      <c r="D445" s="123" t="n"/>
      <c r="E445" s="121" t="n"/>
      <c r="F445" s="124" t="n"/>
      <c r="G445" s="125" t="n"/>
      <c r="H445" s="125" t="n"/>
      <c r="I445" s="124" t="n"/>
      <c r="J445" s="125" t="n"/>
      <c r="K445" s="124" t="n"/>
      <c r="L445" s="125" t="n"/>
      <c r="M445" s="126" t="n"/>
      <c r="N445" s="124" t="n"/>
    </row>
    <row r="446" ht="15" customHeight="1" s="74">
      <c r="A446" s="121" t="n"/>
      <c r="B446" s="122" t="n"/>
      <c r="C446" s="122" t="n"/>
      <c r="D446" s="123" t="n"/>
      <c r="E446" s="121" t="n"/>
      <c r="F446" s="124" t="n"/>
      <c r="G446" s="125" t="n"/>
      <c r="H446" s="125" t="n"/>
      <c r="I446" s="124" t="n"/>
      <c r="J446" s="125" t="n"/>
      <c r="K446" s="124" t="n"/>
      <c r="L446" s="125" t="n"/>
      <c r="M446" s="126" t="n"/>
      <c r="N446" s="124" t="n"/>
    </row>
    <row r="447" ht="15" customHeight="1" s="74">
      <c r="A447" s="121" t="n"/>
      <c r="B447" s="122" t="n"/>
      <c r="C447" s="122" t="n"/>
      <c r="D447" s="123" t="n"/>
      <c r="E447" s="121" t="n"/>
      <c r="F447" s="124" t="n"/>
      <c r="G447" s="125" t="n"/>
      <c r="H447" s="125" t="n"/>
      <c r="I447" s="124" t="n"/>
      <c r="J447" s="125" t="n"/>
      <c r="K447" s="124" t="n"/>
      <c r="L447" s="125" t="n"/>
      <c r="M447" s="126" t="n"/>
      <c r="N447" s="124" t="n"/>
    </row>
    <row r="448" ht="15" customHeight="1" s="74">
      <c r="A448" s="121" t="n"/>
      <c r="B448" s="122" t="n"/>
      <c r="C448" s="122" t="n"/>
      <c r="D448" s="123" t="n"/>
      <c r="E448" s="121" t="n"/>
      <c r="F448" s="124" t="n"/>
      <c r="G448" s="125" t="n"/>
      <c r="H448" s="125" t="n"/>
      <c r="I448" s="124" t="n"/>
      <c r="J448" s="125" t="n"/>
      <c r="K448" s="124" t="n"/>
      <c r="L448" s="125" t="n"/>
      <c r="M448" s="126" t="n"/>
      <c r="N448" s="124" t="n"/>
    </row>
    <row r="449" ht="15" customHeight="1" s="74">
      <c r="A449" s="121" t="n"/>
      <c r="B449" s="122" t="n"/>
      <c r="C449" s="122" t="n"/>
      <c r="D449" s="123" t="n"/>
      <c r="E449" s="121" t="n"/>
      <c r="F449" s="124" t="n"/>
      <c r="G449" s="125" t="n"/>
      <c r="H449" s="125" t="n"/>
      <c r="I449" s="124" t="n"/>
      <c r="J449" s="125" t="n"/>
      <c r="K449" s="124" t="n"/>
      <c r="L449" s="125" t="n"/>
      <c r="M449" s="126" t="n"/>
      <c r="N449" s="124" t="n"/>
    </row>
    <row r="450" ht="15" customHeight="1" s="74">
      <c r="A450" s="121" t="n"/>
      <c r="B450" s="122" t="n"/>
      <c r="C450" s="122" t="n"/>
      <c r="D450" s="123" t="n"/>
      <c r="E450" s="121" t="n"/>
      <c r="F450" s="124" t="n"/>
      <c r="G450" s="125" t="n"/>
      <c r="H450" s="125" t="n"/>
      <c r="I450" s="124" t="n"/>
      <c r="J450" s="125" t="n"/>
      <c r="K450" s="124" t="n"/>
      <c r="L450" s="125" t="n"/>
      <c r="M450" s="126" t="n"/>
      <c r="N450" s="124" t="n"/>
    </row>
    <row r="451" ht="15" customHeight="1" s="74">
      <c r="A451" s="121" t="n"/>
      <c r="B451" s="122" t="n"/>
      <c r="C451" s="122" t="n"/>
      <c r="D451" s="123" t="n"/>
      <c r="E451" s="121" t="n"/>
      <c r="F451" s="124" t="n"/>
      <c r="G451" s="125" t="n"/>
      <c r="H451" s="125" t="n"/>
      <c r="I451" s="124" t="n"/>
      <c r="J451" s="125" t="n"/>
      <c r="K451" s="124" t="n"/>
      <c r="L451" s="125" t="n"/>
      <c r="M451" s="126" t="n"/>
      <c r="N451" s="124" t="n"/>
    </row>
    <row r="452" ht="15" customHeight="1" s="74">
      <c r="A452" s="121" t="n"/>
      <c r="B452" s="122" t="n"/>
      <c r="C452" s="122" t="n"/>
      <c r="D452" s="123" t="n"/>
      <c r="E452" s="121" t="n"/>
      <c r="F452" s="124" t="n"/>
      <c r="G452" s="125" t="n"/>
      <c r="H452" s="125" t="n"/>
      <c r="I452" s="124" t="n"/>
      <c r="J452" s="125" t="n"/>
      <c r="K452" s="124" t="n"/>
      <c r="L452" s="125" t="n"/>
      <c r="M452" s="126" t="n"/>
      <c r="N452" s="124" t="n"/>
    </row>
    <row r="453" ht="15" customHeight="1" s="74">
      <c r="A453" s="121" t="n"/>
      <c r="B453" s="122" t="n"/>
      <c r="C453" s="122" t="n"/>
      <c r="D453" s="123" t="n"/>
      <c r="E453" s="121" t="n"/>
      <c r="F453" s="124" t="n"/>
      <c r="G453" s="125" t="n"/>
      <c r="H453" s="125" t="n"/>
      <c r="I453" s="124" t="n"/>
      <c r="J453" s="125" t="n"/>
      <c r="K453" s="124" t="n"/>
      <c r="L453" s="125" t="n"/>
      <c r="M453" s="126" t="n"/>
      <c r="N453" s="124" t="n"/>
    </row>
    <row r="454" ht="15" customHeight="1" s="74">
      <c r="A454" s="121" t="n"/>
      <c r="B454" s="122" t="n"/>
      <c r="C454" s="122" t="n"/>
      <c r="D454" s="123" t="n"/>
      <c r="E454" s="121" t="n"/>
      <c r="F454" s="124" t="n"/>
      <c r="G454" s="125" t="n"/>
      <c r="H454" s="125" t="n"/>
      <c r="I454" s="124" t="n"/>
      <c r="J454" s="125" t="n"/>
      <c r="K454" s="124" t="n"/>
      <c r="L454" s="125" t="n"/>
      <c r="M454" s="126" t="n"/>
      <c r="N454" s="124" t="n"/>
    </row>
    <row r="455" ht="15" customHeight="1" s="74">
      <c r="A455" s="121" t="n"/>
      <c r="B455" s="122" t="n"/>
      <c r="C455" s="122" t="n"/>
      <c r="D455" s="123" t="n"/>
      <c r="E455" s="121" t="n"/>
      <c r="F455" s="124" t="n"/>
      <c r="G455" s="125" t="n"/>
      <c r="H455" s="125" t="n"/>
      <c r="I455" s="124" t="n"/>
      <c r="J455" s="125" t="n"/>
      <c r="K455" s="124" t="n"/>
      <c r="L455" s="125" t="n"/>
      <c r="M455" s="126" t="n"/>
      <c r="N455" s="124" t="n"/>
    </row>
    <row r="456" ht="15" customHeight="1" s="74">
      <c r="A456" s="121" t="n"/>
      <c r="B456" s="122" t="n"/>
      <c r="C456" s="122" t="n"/>
      <c r="D456" s="123" t="n"/>
      <c r="E456" s="121" t="n"/>
      <c r="F456" s="124" t="n"/>
      <c r="G456" s="125" t="n"/>
      <c r="H456" s="125" t="n"/>
      <c r="I456" s="124" t="n"/>
      <c r="J456" s="125" t="n"/>
      <c r="K456" s="124" t="n"/>
      <c r="L456" s="125" t="n"/>
      <c r="M456" s="126" t="n"/>
      <c r="N456" s="124" t="n"/>
    </row>
    <row r="457" ht="15" customHeight="1" s="74">
      <c r="A457" s="121" t="n"/>
      <c r="B457" s="122" t="n"/>
      <c r="C457" s="122" t="n"/>
      <c r="D457" s="123" t="n"/>
      <c r="E457" s="121" t="n"/>
      <c r="F457" s="124" t="n"/>
      <c r="G457" s="125" t="n"/>
      <c r="H457" s="125" t="n"/>
      <c r="I457" s="124" t="n"/>
      <c r="J457" s="125" t="n"/>
      <c r="K457" s="124" t="n"/>
      <c r="L457" s="125" t="n"/>
      <c r="M457" s="126" t="n"/>
      <c r="N457" s="124" t="n"/>
    </row>
    <row r="458" ht="15" customHeight="1" s="74">
      <c r="A458" s="121" t="n"/>
      <c r="B458" s="122" t="n"/>
      <c r="C458" s="122" t="n"/>
      <c r="D458" s="123" t="n"/>
      <c r="E458" s="121" t="n"/>
      <c r="F458" s="124" t="n"/>
      <c r="G458" s="125" t="n"/>
      <c r="H458" s="125" t="n"/>
      <c r="I458" s="124" t="n"/>
      <c r="J458" s="125" t="n"/>
      <c r="K458" s="124" t="n"/>
      <c r="L458" s="125" t="n"/>
      <c r="M458" s="126" t="n"/>
      <c r="N458" s="124" t="n"/>
    </row>
    <row r="459" ht="15" customHeight="1" s="74">
      <c r="A459" s="121" t="n"/>
      <c r="B459" s="122" t="n"/>
      <c r="C459" s="122" t="n"/>
      <c r="D459" s="123" t="n"/>
      <c r="E459" s="121" t="n"/>
      <c r="F459" s="124" t="n"/>
      <c r="G459" s="125" t="n"/>
      <c r="H459" s="125" t="n"/>
      <c r="I459" s="124" t="n"/>
      <c r="J459" s="125" t="n"/>
      <c r="K459" s="124" t="n"/>
      <c r="L459" s="125" t="n"/>
      <c r="M459" s="126" t="n"/>
      <c r="N459" s="124" t="n"/>
    </row>
    <row r="460" ht="15" customHeight="1" s="74">
      <c r="A460" s="121" t="n"/>
      <c r="B460" s="122" t="n"/>
      <c r="C460" s="122" t="n"/>
      <c r="D460" s="123" t="n"/>
      <c r="E460" s="121" t="n"/>
      <c r="F460" s="124" t="n"/>
      <c r="G460" s="125" t="n"/>
      <c r="H460" s="125" t="n"/>
      <c r="I460" s="124" t="n"/>
      <c r="J460" s="125" t="n"/>
      <c r="K460" s="124" t="n"/>
      <c r="L460" s="125" t="n"/>
      <c r="M460" s="126" t="n"/>
      <c r="N460" s="124" t="n"/>
    </row>
    <row r="461" ht="15" customHeight="1" s="74">
      <c r="A461" s="121" t="n"/>
      <c r="B461" s="122" t="n"/>
      <c r="C461" s="122" t="n"/>
      <c r="D461" s="123" t="n"/>
      <c r="E461" s="121" t="n"/>
      <c r="F461" s="124" t="n"/>
      <c r="G461" s="125" t="n"/>
      <c r="H461" s="125" t="n"/>
      <c r="I461" s="124" t="n"/>
      <c r="J461" s="125" t="n"/>
      <c r="K461" s="124" t="n"/>
      <c r="L461" s="125" t="n"/>
      <c r="M461" s="126" t="n"/>
      <c r="N461" s="124" t="n"/>
    </row>
    <row r="462" ht="15" customHeight="1" s="74">
      <c r="A462" s="121" t="n"/>
      <c r="B462" s="122" t="n"/>
      <c r="C462" s="122" t="n"/>
      <c r="D462" s="123" t="n"/>
      <c r="E462" s="121" t="n"/>
      <c r="F462" s="124" t="n"/>
      <c r="G462" s="125" t="n"/>
      <c r="H462" s="125" t="n"/>
      <c r="I462" s="124" t="n"/>
      <c r="J462" s="125" t="n"/>
      <c r="K462" s="124" t="n"/>
      <c r="L462" s="125" t="n"/>
      <c r="M462" s="126" t="n"/>
      <c r="N462" s="124" t="n"/>
    </row>
    <row r="463" ht="15" customHeight="1" s="74">
      <c r="A463" s="121" t="n"/>
      <c r="B463" s="122" t="n"/>
      <c r="C463" s="122" t="n"/>
      <c r="D463" s="123" t="n"/>
      <c r="E463" s="121" t="n"/>
      <c r="F463" s="124" t="n"/>
      <c r="G463" s="125" t="n"/>
      <c r="H463" s="125" t="n"/>
      <c r="I463" s="124" t="n"/>
      <c r="J463" s="125" t="n"/>
      <c r="K463" s="124" t="n"/>
      <c r="L463" s="125" t="n"/>
      <c r="M463" s="126" t="n"/>
      <c r="N463" s="124" t="n"/>
    </row>
    <row r="464" ht="15" customHeight="1" s="74">
      <c r="A464" s="121" t="n"/>
      <c r="B464" s="122" t="n"/>
      <c r="C464" s="122" t="n"/>
      <c r="D464" s="123" t="n"/>
      <c r="E464" s="121" t="n"/>
      <c r="F464" s="124" t="n"/>
      <c r="G464" s="125" t="n"/>
      <c r="H464" s="125" t="n"/>
      <c r="I464" s="124" t="n"/>
      <c r="J464" s="125" t="n"/>
      <c r="K464" s="124" t="n"/>
      <c r="L464" s="125" t="n"/>
      <c r="M464" s="126" t="n"/>
      <c r="N464" s="124" t="n"/>
    </row>
    <row r="465" ht="15" customHeight="1" s="74">
      <c r="A465" s="121" t="n"/>
      <c r="B465" s="122" t="n"/>
      <c r="C465" s="122" t="n"/>
      <c r="D465" s="123" t="n"/>
      <c r="E465" s="121" t="n"/>
      <c r="F465" s="124" t="n"/>
      <c r="G465" s="125" t="n"/>
      <c r="H465" s="125" t="n"/>
      <c r="I465" s="124" t="n"/>
      <c r="J465" s="125" t="n"/>
      <c r="K465" s="124" t="n"/>
      <c r="L465" s="125" t="n"/>
      <c r="M465" s="126" t="n"/>
      <c r="N465" s="124" t="n"/>
    </row>
    <row r="466" ht="15" customHeight="1" s="74">
      <c r="A466" s="121" t="n"/>
      <c r="B466" s="122" t="n"/>
      <c r="C466" s="122" t="n"/>
      <c r="D466" s="123" t="n"/>
      <c r="E466" s="121" t="n"/>
      <c r="F466" s="124" t="n"/>
      <c r="G466" s="125" t="n"/>
      <c r="H466" s="125" t="n"/>
      <c r="I466" s="124" t="n"/>
      <c r="J466" s="125" t="n"/>
      <c r="K466" s="124" t="n"/>
      <c r="L466" s="125" t="n"/>
      <c r="M466" s="126" t="n"/>
      <c r="N466" s="124" t="n"/>
    </row>
    <row r="467" ht="15" customHeight="1" s="74">
      <c r="A467" s="121" t="n"/>
      <c r="B467" s="122" t="n"/>
      <c r="C467" s="122" t="n"/>
      <c r="D467" s="123" t="n"/>
      <c r="E467" s="121" t="n"/>
      <c r="F467" s="124" t="n"/>
      <c r="G467" s="125" t="n"/>
      <c r="H467" s="125" t="n"/>
      <c r="I467" s="124" t="n"/>
      <c r="J467" s="125" t="n"/>
      <c r="K467" s="124" t="n"/>
      <c r="L467" s="125" t="n"/>
      <c r="M467" s="126" t="n"/>
      <c r="N467" s="124" t="n"/>
    </row>
    <row r="468" ht="15" customHeight="1" s="74">
      <c r="A468" s="121" t="n"/>
      <c r="B468" s="122" t="n"/>
      <c r="C468" s="122" t="n"/>
      <c r="D468" s="123" t="n"/>
      <c r="E468" s="121" t="n"/>
      <c r="F468" s="124" t="n"/>
      <c r="G468" s="125" t="n"/>
      <c r="H468" s="125" t="n"/>
      <c r="I468" s="124" t="n"/>
      <c r="J468" s="125" t="n"/>
      <c r="K468" s="124" t="n"/>
      <c r="L468" s="125" t="n"/>
      <c r="M468" s="126" t="n"/>
      <c r="N468" s="124" t="n"/>
    </row>
    <row r="469" ht="15" customHeight="1" s="74">
      <c r="A469" s="121" t="n"/>
      <c r="B469" s="122" t="n"/>
      <c r="C469" s="122" t="n"/>
      <c r="D469" s="123" t="n"/>
      <c r="E469" s="121" t="n"/>
      <c r="F469" s="124" t="n"/>
      <c r="G469" s="125" t="n"/>
      <c r="H469" s="125" t="n"/>
      <c r="I469" s="124" t="n"/>
      <c r="J469" s="125" t="n"/>
      <c r="K469" s="124" t="n"/>
      <c r="L469" s="125" t="n"/>
      <c r="M469" s="126" t="n"/>
      <c r="N469" s="124" t="n"/>
    </row>
    <row r="470" ht="15" customHeight="1" s="74">
      <c r="A470" s="121" t="n"/>
      <c r="B470" s="122" t="n"/>
      <c r="C470" s="122" t="n"/>
      <c r="D470" s="123" t="n"/>
      <c r="E470" s="121" t="n"/>
      <c r="F470" s="124" t="n"/>
      <c r="G470" s="125" t="n"/>
      <c r="H470" s="125" t="n"/>
      <c r="I470" s="124" t="n"/>
      <c r="J470" s="125" t="n"/>
      <c r="K470" s="124" t="n"/>
      <c r="L470" s="125" t="n"/>
      <c r="M470" s="126" t="n"/>
      <c r="N470" s="124" t="n"/>
    </row>
    <row r="471" ht="15" customHeight="1" s="74">
      <c r="A471" s="121" t="n"/>
      <c r="B471" s="122" t="n"/>
      <c r="C471" s="122" t="n"/>
      <c r="D471" s="123" t="n"/>
      <c r="E471" s="121" t="n"/>
      <c r="F471" s="124" t="n"/>
      <c r="G471" s="125" t="n"/>
      <c r="H471" s="125" t="n"/>
      <c r="I471" s="124" t="n"/>
      <c r="J471" s="125" t="n"/>
      <c r="K471" s="124" t="n"/>
      <c r="L471" s="125" t="n"/>
      <c r="M471" s="126" t="n"/>
      <c r="N471" s="124" t="n"/>
    </row>
    <row r="472" ht="15" customHeight="1" s="74">
      <c r="A472" s="121" t="n"/>
      <c r="B472" s="122" t="n"/>
      <c r="C472" s="122" t="n"/>
      <c r="D472" s="123" t="n"/>
      <c r="E472" s="121" t="n"/>
      <c r="F472" s="124" t="n"/>
      <c r="G472" s="125" t="n"/>
      <c r="H472" s="125" t="n"/>
      <c r="I472" s="124" t="n"/>
      <c r="J472" s="125" t="n"/>
      <c r="K472" s="124" t="n"/>
      <c r="L472" s="125" t="n"/>
      <c r="M472" s="126" t="n"/>
      <c r="N472" s="124" t="n"/>
    </row>
    <row r="473" ht="15" customHeight="1" s="74">
      <c r="A473" s="121" t="n"/>
      <c r="B473" s="122" t="n"/>
      <c r="C473" s="122" t="n"/>
      <c r="D473" s="123" t="n"/>
      <c r="E473" s="121" t="n"/>
      <c r="F473" s="124" t="n"/>
      <c r="G473" s="125" t="n"/>
      <c r="H473" s="125" t="n"/>
      <c r="I473" s="124" t="n"/>
      <c r="J473" s="125" t="n"/>
      <c r="K473" s="124" t="n"/>
      <c r="L473" s="125" t="n"/>
      <c r="M473" s="126" t="n"/>
      <c r="N473" s="124" t="n"/>
    </row>
    <row r="474" ht="15" customHeight="1" s="74">
      <c r="A474" s="121" t="n"/>
      <c r="B474" s="122" t="n"/>
      <c r="C474" s="122" t="n"/>
      <c r="D474" s="123" t="n"/>
      <c r="E474" s="121" t="n"/>
      <c r="F474" s="124" t="n"/>
      <c r="G474" s="125" t="n"/>
      <c r="H474" s="125" t="n"/>
      <c r="I474" s="124" t="n"/>
      <c r="J474" s="125" t="n"/>
      <c r="K474" s="124" t="n"/>
      <c r="L474" s="125" t="n"/>
      <c r="M474" s="126" t="n"/>
      <c r="N474" s="124" t="n"/>
    </row>
    <row r="475" ht="15" customHeight="1" s="74">
      <c r="A475" s="121" t="n"/>
      <c r="B475" s="122" t="n"/>
      <c r="C475" s="122" t="n"/>
      <c r="D475" s="123" t="n"/>
      <c r="E475" s="121" t="n"/>
      <c r="F475" s="124" t="n"/>
      <c r="G475" s="125" t="n"/>
      <c r="H475" s="125" t="n"/>
      <c r="I475" s="124" t="n"/>
      <c r="J475" s="125" t="n"/>
      <c r="K475" s="124" t="n"/>
      <c r="L475" s="125" t="n"/>
      <c r="M475" s="126" t="n"/>
      <c r="N475" s="124" t="n"/>
    </row>
    <row r="476" ht="15" customHeight="1" s="74">
      <c r="A476" s="121" t="n"/>
      <c r="B476" s="122" t="n"/>
      <c r="C476" s="122" t="n"/>
      <c r="D476" s="123" t="n"/>
      <c r="E476" s="121" t="n"/>
      <c r="F476" s="124" t="n"/>
      <c r="G476" s="125" t="n"/>
      <c r="H476" s="125" t="n"/>
      <c r="I476" s="124" t="n"/>
      <c r="J476" s="125" t="n"/>
      <c r="K476" s="124" t="n"/>
      <c r="L476" s="125" t="n"/>
      <c r="M476" s="126" t="n"/>
      <c r="N476" s="124" t="n"/>
    </row>
    <row r="477" ht="15" customHeight="1" s="74">
      <c r="A477" s="121" t="n"/>
      <c r="B477" s="122" t="n"/>
      <c r="C477" s="122" t="n"/>
      <c r="D477" s="123" t="n"/>
      <c r="E477" s="121" t="n"/>
      <c r="F477" s="124" t="n"/>
      <c r="G477" s="125" t="n"/>
      <c r="H477" s="125" t="n"/>
      <c r="I477" s="124" t="n"/>
      <c r="J477" s="125" t="n"/>
      <c r="K477" s="124" t="n"/>
      <c r="L477" s="125" t="n"/>
      <c r="M477" s="126" t="n"/>
      <c r="N477" s="124" t="n"/>
    </row>
    <row r="478" ht="15" customHeight="1" s="74">
      <c r="A478" s="121" t="n"/>
      <c r="B478" s="122" t="n"/>
      <c r="C478" s="122" t="n"/>
      <c r="D478" s="123" t="n"/>
      <c r="E478" s="121" t="n"/>
      <c r="F478" s="124" t="n"/>
      <c r="G478" s="125" t="n"/>
      <c r="H478" s="125" t="n"/>
      <c r="I478" s="124" t="n"/>
      <c r="J478" s="125" t="n"/>
      <c r="K478" s="124" t="n"/>
      <c r="L478" s="125" t="n"/>
      <c r="M478" s="126" t="n"/>
      <c r="N478" s="124" t="n"/>
    </row>
    <row r="479" ht="15" customHeight="1" s="74">
      <c r="A479" s="121" t="n"/>
      <c r="B479" s="122" t="n"/>
      <c r="C479" s="122" t="n"/>
      <c r="D479" s="123" t="n"/>
      <c r="E479" s="121" t="n"/>
      <c r="F479" s="124" t="n"/>
      <c r="G479" s="125" t="n"/>
      <c r="H479" s="125" t="n"/>
      <c r="I479" s="124" t="n"/>
      <c r="J479" s="125" t="n"/>
      <c r="K479" s="124" t="n"/>
      <c r="L479" s="125" t="n"/>
      <c r="M479" s="126" t="n"/>
      <c r="N479" s="124" t="n"/>
    </row>
    <row r="480" ht="15" customHeight="1" s="74">
      <c r="A480" s="121" t="n"/>
      <c r="B480" s="122" t="n"/>
      <c r="C480" s="122" t="n"/>
      <c r="D480" s="123" t="n"/>
      <c r="E480" s="121" t="n"/>
      <c r="F480" s="124" t="n"/>
      <c r="G480" s="125" t="n"/>
      <c r="H480" s="125" t="n"/>
      <c r="I480" s="124" t="n"/>
      <c r="J480" s="125" t="n"/>
      <c r="K480" s="124" t="n"/>
      <c r="L480" s="125" t="n"/>
      <c r="M480" s="126" t="n"/>
      <c r="N480" s="124" t="n"/>
    </row>
    <row r="481" ht="15" customHeight="1" s="74">
      <c r="A481" s="121" t="n"/>
      <c r="B481" s="122" t="n"/>
      <c r="C481" s="122" t="n"/>
      <c r="D481" s="123" t="n"/>
      <c r="E481" s="121" t="n"/>
      <c r="F481" s="124" t="n"/>
      <c r="G481" s="125" t="n"/>
      <c r="H481" s="125" t="n"/>
      <c r="I481" s="124" t="n"/>
      <c r="J481" s="125" t="n"/>
      <c r="K481" s="124" t="n"/>
      <c r="L481" s="125" t="n"/>
      <c r="M481" s="126" t="n"/>
      <c r="N481" s="124" t="n"/>
    </row>
    <row r="482" ht="15" customHeight="1" s="74">
      <c r="A482" s="121" t="n"/>
      <c r="B482" s="122" t="n"/>
      <c r="C482" s="122" t="n"/>
      <c r="D482" s="123" t="n"/>
      <c r="E482" s="121" t="n"/>
      <c r="F482" s="124" t="n"/>
      <c r="G482" s="125" t="n"/>
      <c r="H482" s="125" t="n"/>
      <c r="I482" s="124" t="n"/>
      <c r="J482" s="125" t="n"/>
      <c r="K482" s="124" t="n"/>
      <c r="L482" s="125" t="n"/>
      <c r="M482" s="126" t="n"/>
      <c r="N482" s="124" t="n"/>
    </row>
    <row r="483" ht="15" customHeight="1" s="74">
      <c r="A483" s="121" t="n"/>
      <c r="B483" s="122" t="n"/>
      <c r="C483" s="122" t="n"/>
      <c r="D483" s="123" t="n"/>
      <c r="E483" s="121" t="n"/>
      <c r="F483" s="124" t="n"/>
      <c r="G483" s="125" t="n"/>
      <c r="H483" s="125" t="n"/>
      <c r="I483" s="124" t="n"/>
      <c r="J483" s="125" t="n"/>
      <c r="K483" s="124" t="n"/>
      <c r="L483" s="125" t="n"/>
      <c r="M483" s="126" t="n"/>
      <c r="N483" s="124" t="n"/>
    </row>
    <row r="484" ht="15" customHeight="1" s="74">
      <c r="A484" s="121" t="n"/>
      <c r="B484" s="122" t="n"/>
      <c r="C484" s="122" t="n"/>
      <c r="D484" s="123" t="n"/>
      <c r="E484" s="121" t="n"/>
      <c r="F484" s="124" t="n"/>
      <c r="G484" s="125" t="n"/>
      <c r="H484" s="125" t="n"/>
      <c r="I484" s="124" t="n"/>
      <c r="J484" s="125" t="n"/>
      <c r="K484" s="124" t="n"/>
      <c r="L484" s="125" t="n"/>
      <c r="M484" s="126" t="n"/>
      <c r="N484" s="124" t="n"/>
    </row>
    <row r="485" ht="15" customHeight="1" s="74">
      <c r="A485" s="121" t="n"/>
      <c r="B485" s="122" t="n"/>
      <c r="C485" s="122" t="n"/>
      <c r="D485" s="123" t="n"/>
      <c r="E485" s="121" t="n"/>
      <c r="F485" s="124" t="n"/>
      <c r="G485" s="125" t="n"/>
      <c r="H485" s="125" t="n"/>
      <c r="I485" s="124" t="n"/>
      <c r="J485" s="125" t="n"/>
      <c r="K485" s="124" t="n"/>
      <c r="L485" s="125" t="n"/>
      <c r="M485" s="126" t="n"/>
      <c r="N485" s="124" t="n"/>
    </row>
    <row r="486" ht="15" customHeight="1" s="74">
      <c r="A486" s="121" t="n"/>
      <c r="B486" s="122" t="n"/>
      <c r="C486" s="122" t="n"/>
      <c r="D486" s="123" t="n"/>
      <c r="E486" s="121" t="n"/>
      <c r="F486" s="124" t="n"/>
      <c r="G486" s="125" t="n"/>
      <c r="H486" s="125" t="n"/>
      <c r="I486" s="124" t="n"/>
      <c r="J486" s="125" t="n"/>
      <c r="K486" s="124" t="n"/>
      <c r="L486" s="125" t="n"/>
      <c r="M486" s="126" t="n"/>
      <c r="N486" s="124" t="n"/>
    </row>
    <row r="487" ht="15" customHeight="1" s="74">
      <c r="A487" s="121" t="n"/>
      <c r="B487" s="122" t="n"/>
      <c r="C487" s="122" t="n"/>
      <c r="D487" s="123" t="n"/>
      <c r="E487" s="121" t="n"/>
      <c r="F487" s="124" t="n"/>
      <c r="G487" s="125" t="n"/>
      <c r="H487" s="125" t="n"/>
      <c r="I487" s="124" t="n"/>
      <c r="J487" s="125" t="n"/>
      <c r="K487" s="124" t="n"/>
      <c r="L487" s="125" t="n"/>
      <c r="M487" s="126" t="n"/>
      <c r="N487" s="124" t="n"/>
    </row>
    <row r="488" ht="15" customHeight="1" s="74">
      <c r="A488" s="121" t="n"/>
      <c r="B488" s="122" t="n"/>
      <c r="C488" s="122" t="n"/>
      <c r="D488" s="123" t="n"/>
      <c r="E488" s="121" t="n"/>
      <c r="F488" s="124" t="n"/>
      <c r="G488" s="125" t="n"/>
      <c r="H488" s="125" t="n"/>
      <c r="I488" s="124" t="n"/>
      <c r="J488" s="125" t="n"/>
      <c r="K488" s="124" t="n"/>
      <c r="L488" s="125" t="n"/>
      <c r="M488" s="126" t="n"/>
      <c r="N488" s="124" t="n"/>
    </row>
    <row r="489" ht="15" customHeight="1" s="74">
      <c r="A489" s="121" t="n"/>
      <c r="B489" s="122" t="n"/>
      <c r="C489" s="122" t="n"/>
      <c r="D489" s="123" t="n"/>
      <c r="E489" s="121" t="n"/>
      <c r="F489" s="124" t="n"/>
      <c r="G489" s="125" t="n"/>
      <c r="H489" s="125" t="n"/>
      <c r="I489" s="124" t="n"/>
      <c r="J489" s="125" t="n"/>
      <c r="K489" s="124" t="n"/>
      <c r="L489" s="125" t="n"/>
      <c r="M489" s="126" t="n"/>
      <c r="N489" s="124" t="n"/>
    </row>
    <row r="490" ht="15" customHeight="1" s="74">
      <c r="A490" s="121" t="n"/>
      <c r="B490" s="122" t="n"/>
      <c r="C490" s="122" t="n"/>
      <c r="D490" s="123" t="n"/>
      <c r="E490" s="121" t="n"/>
      <c r="F490" s="124" t="n"/>
      <c r="G490" s="125" t="n"/>
      <c r="H490" s="125" t="n"/>
      <c r="I490" s="124" t="n"/>
      <c r="J490" s="125" t="n"/>
      <c r="K490" s="124" t="n"/>
      <c r="L490" s="125" t="n"/>
      <c r="M490" s="126" t="n"/>
      <c r="N490" s="124" t="n"/>
    </row>
    <row r="491" ht="15" customHeight="1" s="74">
      <c r="A491" s="121" t="n"/>
      <c r="B491" s="122" t="n"/>
      <c r="C491" s="122" t="n"/>
      <c r="D491" s="123" t="n"/>
      <c r="E491" s="121" t="n"/>
      <c r="F491" s="124" t="n"/>
      <c r="G491" s="125" t="n"/>
      <c r="H491" s="125" t="n"/>
      <c r="I491" s="124" t="n"/>
      <c r="J491" s="125" t="n"/>
      <c r="K491" s="124" t="n"/>
      <c r="L491" s="125" t="n"/>
      <c r="M491" s="126" t="n"/>
      <c r="N491" s="124" t="n"/>
    </row>
    <row r="492" ht="15" customHeight="1" s="74">
      <c r="A492" s="121" t="n"/>
      <c r="B492" s="122" t="n"/>
      <c r="C492" s="122" t="n"/>
      <c r="D492" s="123" t="n"/>
      <c r="E492" s="121" t="n"/>
      <c r="F492" s="124" t="n"/>
      <c r="G492" s="125" t="n"/>
      <c r="H492" s="125" t="n"/>
      <c r="I492" s="124" t="n"/>
      <c r="J492" s="125" t="n"/>
      <c r="K492" s="124" t="n"/>
      <c r="L492" s="125" t="n"/>
      <c r="M492" s="126" t="n"/>
      <c r="N492" s="124" t="n"/>
    </row>
    <row r="493" ht="15" customHeight="1" s="74">
      <c r="A493" s="121" t="n"/>
      <c r="B493" s="122" t="n"/>
      <c r="C493" s="122" t="n"/>
      <c r="D493" s="123" t="n"/>
      <c r="E493" s="121" t="n"/>
      <c r="F493" s="124" t="n"/>
      <c r="G493" s="125" t="n"/>
      <c r="H493" s="125" t="n"/>
      <c r="I493" s="124" t="n"/>
      <c r="J493" s="125" t="n"/>
      <c r="K493" s="124" t="n"/>
      <c r="L493" s="125" t="n"/>
      <c r="M493" s="126" t="n"/>
      <c r="N493" s="124" t="n"/>
    </row>
    <row r="494" ht="15" customHeight="1" s="74">
      <c r="A494" s="121" t="n"/>
      <c r="B494" s="122" t="n"/>
      <c r="C494" s="122" t="n"/>
      <c r="D494" s="123" t="n"/>
      <c r="E494" s="121" t="n"/>
      <c r="F494" s="124" t="n"/>
      <c r="G494" s="125" t="n"/>
      <c r="H494" s="125" t="n"/>
      <c r="I494" s="124" t="n"/>
      <c r="J494" s="125" t="n"/>
      <c r="K494" s="124" t="n"/>
      <c r="L494" s="125" t="n"/>
      <c r="M494" s="126" t="n"/>
      <c r="N494" s="124" t="n"/>
    </row>
    <row r="495" ht="15" customHeight="1" s="74">
      <c r="A495" s="121" t="n"/>
      <c r="B495" s="122" t="n"/>
      <c r="C495" s="122" t="n"/>
      <c r="D495" s="123" t="n"/>
      <c r="E495" s="121" t="n"/>
      <c r="F495" s="124" t="n"/>
      <c r="G495" s="125" t="n"/>
      <c r="H495" s="125" t="n"/>
      <c r="I495" s="124" t="n"/>
      <c r="J495" s="125" t="n"/>
      <c r="K495" s="124" t="n"/>
      <c r="L495" s="125" t="n"/>
      <c r="M495" s="126" t="n"/>
      <c r="N495" s="124" t="n"/>
    </row>
    <row r="496" ht="15" customHeight="1" s="74">
      <c r="A496" s="121" t="n"/>
      <c r="B496" s="122" t="n"/>
      <c r="C496" s="122" t="n"/>
      <c r="D496" s="123" t="n"/>
      <c r="E496" s="121" t="n"/>
      <c r="F496" s="124" t="n"/>
      <c r="G496" s="125" t="n"/>
      <c r="H496" s="125" t="n"/>
      <c r="I496" s="124" t="n"/>
      <c r="J496" s="125" t="n"/>
      <c r="K496" s="124" t="n"/>
      <c r="L496" s="125" t="n"/>
      <c r="M496" s="126" t="n"/>
      <c r="N496" s="124" t="n"/>
    </row>
    <row r="497" ht="15" customHeight="1" s="74">
      <c r="A497" s="121" t="n"/>
      <c r="B497" s="122" t="n"/>
      <c r="C497" s="122" t="n"/>
      <c r="D497" s="123" t="n"/>
      <c r="E497" s="121" t="n"/>
      <c r="F497" s="124" t="n"/>
      <c r="G497" s="125" t="n"/>
      <c r="H497" s="125" t="n"/>
      <c r="I497" s="124" t="n"/>
      <c r="J497" s="125" t="n"/>
      <c r="K497" s="124" t="n"/>
      <c r="L497" s="125" t="n"/>
      <c r="M497" s="126" t="n"/>
      <c r="N497" s="124" t="n"/>
    </row>
    <row r="498" ht="15" customHeight="1" s="74">
      <c r="A498" s="121" t="n"/>
      <c r="B498" s="122" t="n"/>
      <c r="C498" s="122" t="n"/>
      <c r="D498" s="123" t="n"/>
      <c r="E498" s="121" t="n"/>
      <c r="F498" s="124" t="n"/>
      <c r="G498" s="125" t="n"/>
      <c r="H498" s="125" t="n"/>
      <c r="I498" s="124" t="n"/>
      <c r="J498" s="125" t="n"/>
      <c r="K498" s="124" t="n"/>
      <c r="L498" s="125" t="n"/>
      <c r="M498" s="126" t="n"/>
      <c r="N498" s="124" t="n"/>
    </row>
    <row r="499" ht="15" customHeight="1" s="74">
      <c r="A499" s="121" t="n"/>
      <c r="B499" s="122" t="n"/>
      <c r="C499" s="122" t="n"/>
      <c r="D499" s="123" t="n"/>
      <c r="E499" s="121" t="n"/>
      <c r="F499" s="124" t="n"/>
      <c r="G499" s="125" t="n"/>
      <c r="H499" s="125" t="n"/>
      <c r="I499" s="124" t="n"/>
      <c r="J499" s="125" t="n"/>
      <c r="K499" s="124" t="n"/>
      <c r="L499" s="125" t="n"/>
      <c r="M499" s="126" t="n"/>
      <c r="N499" s="124" t="n"/>
    </row>
    <row r="500" ht="15" customHeight="1" s="74">
      <c r="A500" s="121" t="n"/>
      <c r="B500" s="122" t="n"/>
      <c r="C500" s="122" t="n"/>
      <c r="D500" s="123" t="n"/>
      <c r="E500" s="121" t="n"/>
      <c r="F500" s="124" t="n"/>
      <c r="G500" s="125" t="n"/>
      <c r="H500" s="125" t="n"/>
      <c r="I500" s="124" t="n"/>
      <c r="J500" s="125" t="n"/>
      <c r="K500" s="124" t="n"/>
      <c r="L500" s="125" t="n"/>
      <c r="M500" s="126" t="n"/>
      <c r="N500" s="124" t="n"/>
    </row>
    <row r="501" ht="15" customHeight="1" s="74">
      <c r="A501" s="121" t="n"/>
      <c r="B501" s="122" t="n"/>
      <c r="C501" s="122" t="n"/>
      <c r="D501" s="123" t="n"/>
      <c r="E501" s="121" t="n"/>
      <c r="F501" s="124" t="n"/>
      <c r="G501" s="125" t="n"/>
      <c r="H501" s="125" t="n"/>
      <c r="I501" s="124" t="n"/>
      <c r="J501" s="125" t="n"/>
      <c r="K501" s="124" t="n"/>
      <c r="L501" s="125" t="n"/>
      <c r="M501" s="126" t="n"/>
      <c r="N501" s="124" t="n"/>
    </row>
    <row r="502" ht="15" customHeight="1" s="74">
      <c r="A502" s="121" t="n"/>
      <c r="B502" s="122" t="n"/>
      <c r="C502" s="122" t="n"/>
      <c r="D502" s="123" t="n"/>
      <c r="E502" s="121" t="n"/>
      <c r="F502" s="124" t="n"/>
      <c r="G502" s="125" t="n"/>
      <c r="H502" s="125" t="n"/>
      <c r="I502" s="124" t="n"/>
      <c r="J502" s="125" t="n"/>
      <c r="K502" s="124" t="n"/>
      <c r="L502" s="125" t="n"/>
      <c r="M502" s="126" t="n"/>
      <c r="N502" s="124" t="n"/>
    </row>
    <row r="503" ht="15" customHeight="1" s="74">
      <c r="A503" s="121" t="n"/>
      <c r="B503" s="122" t="n"/>
      <c r="C503" s="122" t="n"/>
      <c r="D503" s="123" t="n"/>
      <c r="E503" s="121" t="n"/>
      <c r="F503" s="124" t="n"/>
      <c r="G503" s="125" t="n"/>
      <c r="H503" s="125" t="n"/>
      <c r="I503" s="124" t="n"/>
      <c r="J503" s="125" t="n"/>
      <c r="K503" s="124" t="n"/>
      <c r="L503" s="125" t="n"/>
      <c r="M503" s="126" t="n"/>
      <c r="N503" s="124" t="n"/>
    </row>
    <row r="504" ht="15" customHeight="1" s="74">
      <c r="A504" s="121" t="n"/>
      <c r="B504" s="122" t="n"/>
      <c r="C504" s="122" t="n"/>
      <c r="D504" s="123" t="n"/>
      <c r="E504" s="121" t="n"/>
      <c r="F504" s="124" t="n"/>
      <c r="G504" s="125" t="n"/>
      <c r="H504" s="125" t="n"/>
      <c r="I504" s="124" t="n"/>
      <c r="J504" s="125" t="n"/>
      <c r="K504" s="124" t="n"/>
      <c r="L504" s="125" t="n"/>
      <c r="M504" s="126" t="n"/>
      <c r="N504" s="124" t="n"/>
    </row>
    <row r="505" ht="15" customHeight="1" s="74">
      <c r="A505" s="121" t="n"/>
      <c r="B505" s="122" t="n"/>
      <c r="C505" s="122" t="n"/>
      <c r="D505" s="123" t="n"/>
      <c r="E505" s="121" t="n"/>
      <c r="F505" s="124" t="n"/>
      <c r="G505" s="125" t="n"/>
      <c r="H505" s="125" t="n"/>
      <c r="I505" s="124" t="n"/>
      <c r="J505" s="125" t="n"/>
      <c r="K505" s="124" t="n"/>
      <c r="L505" s="125" t="n"/>
      <c r="M505" s="126" t="n"/>
      <c r="N505" s="124" t="n"/>
    </row>
    <row r="506" ht="15" customHeight="1" s="74">
      <c r="A506" s="121" t="n"/>
      <c r="B506" s="122" t="n"/>
      <c r="C506" s="122" t="n"/>
      <c r="D506" s="123" t="n"/>
      <c r="E506" s="121" t="n"/>
      <c r="F506" s="124" t="n"/>
      <c r="G506" s="125" t="n"/>
      <c r="H506" s="125" t="n"/>
      <c r="I506" s="124" t="n"/>
      <c r="J506" s="125" t="n"/>
      <c r="K506" s="124" t="n"/>
      <c r="L506" s="125" t="n"/>
      <c r="M506" s="126" t="n"/>
      <c r="N506" s="124" t="n"/>
    </row>
    <row r="507" ht="15" customHeight="1" s="74">
      <c r="A507" s="121" t="n"/>
      <c r="B507" s="122" t="n"/>
      <c r="C507" s="122" t="n"/>
      <c r="D507" s="123" t="n"/>
      <c r="E507" s="121" t="n"/>
      <c r="F507" s="124" t="n"/>
      <c r="G507" s="125" t="n"/>
      <c r="H507" s="125" t="n"/>
      <c r="I507" s="124" t="n"/>
      <c r="J507" s="125" t="n"/>
      <c r="K507" s="124" t="n"/>
      <c r="L507" s="125" t="n"/>
      <c r="M507" s="126" t="n"/>
      <c r="N507" s="124" t="n"/>
    </row>
    <row r="508" ht="15" customHeight="1" s="74">
      <c r="A508" s="121" t="n"/>
      <c r="B508" s="122" t="n"/>
      <c r="C508" s="122" t="n"/>
      <c r="D508" s="123" t="n"/>
      <c r="E508" s="121" t="n"/>
      <c r="F508" s="124" t="n"/>
      <c r="G508" s="125" t="n"/>
      <c r="H508" s="125" t="n"/>
      <c r="I508" s="124" t="n"/>
      <c r="J508" s="125" t="n"/>
      <c r="K508" s="124" t="n"/>
      <c r="L508" s="125" t="n"/>
      <c r="M508" s="126" t="n"/>
      <c r="N508" s="124" t="n"/>
    </row>
    <row r="509" ht="15" customHeight="1" s="74">
      <c r="A509" s="121" t="n"/>
      <c r="B509" s="122" t="n"/>
      <c r="C509" s="122" t="n"/>
      <c r="D509" s="123" t="n"/>
      <c r="E509" s="121" t="n"/>
      <c r="F509" s="124" t="n"/>
      <c r="G509" s="125" t="n"/>
      <c r="H509" s="125" t="n"/>
      <c r="I509" s="124" t="n"/>
      <c r="J509" s="125" t="n"/>
      <c r="K509" s="124" t="n"/>
      <c r="L509" s="125" t="n"/>
      <c r="M509" s="126" t="n"/>
      <c r="N509" s="124" t="n"/>
    </row>
    <row r="510" ht="15" customHeight="1" s="74">
      <c r="A510" s="121" t="n"/>
      <c r="B510" s="122" t="n"/>
      <c r="C510" s="122" t="n"/>
      <c r="D510" s="123" t="n"/>
      <c r="E510" s="121" t="n"/>
      <c r="F510" s="124" t="n"/>
      <c r="G510" s="125" t="n"/>
      <c r="H510" s="125" t="n"/>
      <c r="I510" s="124" t="n"/>
      <c r="J510" s="125" t="n"/>
      <c r="K510" s="124" t="n"/>
      <c r="L510" s="125" t="n"/>
      <c r="M510" s="126" t="n"/>
      <c r="N510" s="124" t="n"/>
    </row>
    <row r="511" ht="15" customHeight="1" s="74">
      <c r="A511" s="121" t="n"/>
      <c r="B511" s="122" t="n"/>
      <c r="C511" s="122" t="n"/>
      <c r="D511" s="123" t="n"/>
      <c r="E511" s="121" t="n"/>
      <c r="F511" s="124" t="n"/>
      <c r="G511" s="125" t="n"/>
      <c r="H511" s="125" t="n"/>
      <c r="I511" s="124" t="n"/>
      <c r="J511" s="125" t="n"/>
      <c r="K511" s="124" t="n"/>
      <c r="L511" s="125" t="n"/>
      <c r="M511" s="126" t="n"/>
      <c r="N511" s="124" t="n"/>
    </row>
    <row r="512" ht="15" customHeight="1" s="74">
      <c r="A512" s="121" t="n"/>
      <c r="B512" s="122" t="n"/>
      <c r="C512" s="122" t="n"/>
      <c r="D512" s="123" t="n"/>
      <c r="E512" s="121" t="n"/>
      <c r="F512" s="124" t="n"/>
      <c r="G512" s="125" t="n"/>
      <c r="H512" s="125" t="n"/>
      <c r="I512" s="124" t="n"/>
      <c r="J512" s="125" t="n"/>
      <c r="K512" s="124" t="n"/>
      <c r="L512" s="125" t="n"/>
      <c r="M512" s="126" t="n"/>
      <c r="N512" s="124" t="n"/>
    </row>
    <row r="513" ht="15" customHeight="1" s="74">
      <c r="A513" s="121" t="n"/>
      <c r="B513" s="122" t="n"/>
      <c r="C513" s="122" t="n"/>
      <c r="D513" s="123" t="n"/>
      <c r="E513" s="121" t="n"/>
      <c r="F513" s="124" t="n"/>
      <c r="G513" s="125" t="n"/>
      <c r="H513" s="125" t="n"/>
      <c r="I513" s="124" t="n"/>
      <c r="J513" s="125" t="n"/>
      <c r="K513" s="124" t="n"/>
      <c r="L513" s="125" t="n"/>
      <c r="M513" s="126" t="n"/>
      <c r="N513" s="124" t="n"/>
    </row>
    <row r="514" ht="15" customHeight="1" s="74">
      <c r="A514" s="121" t="n"/>
      <c r="B514" s="122" t="n"/>
      <c r="C514" s="122" t="n"/>
      <c r="D514" s="123" t="n"/>
      <c r="E514" s="121" t="n"/>
      <c r="F514" s="124" t="n"/>
      <c r="G514" s="125" t="n"/>
      <c r="H514" s="125" t="n"/>
      <c r="I514" s="124" t="n"/>
      <c r="J514" s="125" t="n"/>
      <c r="K514" s="124" t="n"/>
      <c r="L514" s="125" t="n"/>
      <c r="M514" s="126" t="n"/>
      <c r="N514" s="124" t="n"/>
    </row>
    <row r="515" ht="15" customHeight="1" s="74">
      <c r="A515" s="121" t="n"/>
      <c r="B515" s="122" t="n"/>
      <c r="C515" s="122" t="n"/>
      <c r="D515" s="123" t="n"/>
      <c r="E515" s="121" t="n"/>
      <c r="F515" s="124" t="n"/>
      <c r="G515" s="125" t="n"/>
      <c r="H515" s="125" t="n"/>
      <c r="I515" s="124" t="n"/>
      <c r="J515" s="125" t="n"/>
      <c r="K515" s="124" t="n"/>
      <c r="L515" s="125" t="n"/>
      <c r="M515" s="126" t="n"/>
      <c r="N515" s="124" t="n"/>
    </row>
    <row r="516" ht="15" customHeight="1" s="74">
      <c r="A516" s="121" t="n"/>
      <c r="B516" s="122" t="n"/>
      <c r="C516" s="122" t="n"/>
      <c r="D516" s="123" t="n"/>
      <c r="E516" s="121" t="n"/>
      <c r="F516" s="124" t="n"/>
      <c r="G516" s="125" t="n"/>
      <c r="H516" s="125" t="n"/>
      <c r="I516" s="124" t="n"/>
      <c r="J516" s="125" t="n"/>
      <c r="K516" s="124" t="n"/>
      <c r="L516" s="125" t="n"/>
      <c r="M516" s="126" t="n"/>
      <c r="N516" s="124" t="n"/>
    </row>
    <row r="517" ht="15" customHeight="1" s="74">
      <c r="A517" s="121" t="n"/>
      <c r="B517" s="122" t="n"/>
      <c r="C517" s="122" t="n"/>
      <c r="D517" s="123" t="n"/>
      <c r="E517" s="121" t="n"/>
      <c r="F517" s="124" t="n"/>
      <c r="G517" s="125" t="n"/>
      <c r="H517" s="125" t="n"/>
      <c r="I517" s="124" t="n"/>
      <c r="J517" s="125" t="n"/>
      <c r="K517" s="124" t="n"/>
      <c r="L517" s="125" t="n"/>
      <c r="M517" s="126" t="n"/>
      <c r="N517" s="124" t="n"/>
    </row>
    <row r="518" ht="15" customHeight="1" s="74">
      <c r="A518" s="121" t="n"/>
      <c r="B518" s="122" t="n"/>
      <c r="C518" s="122" t="n"/>
      <c r="D518" s="123" t="n"/>
      <c r="E518" s="121" t="n"/>
      <c r="F518" s="124" t="n"/>
      <c r="G518" s="125" t="n"/>
      <c r="H518" s="125" t="n"/>
      <c r="I518" s="124" t="n"/>
      <c r="J518" s="125" t="n"/>
      <c r="K518" s="124" t="n"/>
      <c r="L518" s="125" t="n"/>
      <c r="M518" s="126" t="n"/>
      <c r="N518" s="124" t="n"/>
    </row>
    <row r="519" ht="15" customHeight="1" s="74">
      <c r="A519" s="121" t="n"/>
      <c r="B519" s="122" t="n"/>
      <c r="C519" s="122" t="n"/>
      <c r="D519" s="123" t="n"/>
      <c r="E519" s="121" t="n"/>
      <c r="F519" s="124" t="n"/>
      <c r="G519" s="125" t="n"/>
      <c r="H519" s="125" t="n"/>
      <c r="I519" s="124" t="n"/>
      <c r="J519" s="125" t="n"/>
      <c r="K519" s="124" t="n"/>
      <c r="L519" s="125" t="n"/>
      <c r="M519" s="126" t="n"/>
      <c r="N519" s="124" t="n"/>
    </row>
    <row r="520" ht="15" customHeight="1" s="74">
      <c r="A520" s="121" t="n"/>
      <c r="B520" s="122" t="n"/>
      <c r="C520" s="122" t="n"/>
      <c r="D520" s="123" t="n"/>
      <c r="E520" s="121" t="n"/>
      <c r="F520" s="124" t="n"/>
      <c r="G520" s="125" t="n"/>
      <c r="H520" s="125" t="n"/>
      <c r="I520" s="124" t="n"/>
      <c r="J520" s="125" t="n"/>
      <c r="K520" s="124" t="n"/>
      <c r="L520" s="125" t="n"/>
      <c r="M520" s="126" t="n"/>
      <c r="N520" s="124" t="n"/>
    </row>
    <row r="521" ht="15" customHeight="1" s="74">
      <c r="A521" s="121" t="n"/>
      <c r="B521" s="122" t="n"/>
      <c r="C521" s="122" t="n"/>
      <c r="D521" s="123" t="n"/>
      <c r="E521" s="121" t="n"/>
      <c r="F521" s="124" t="n"/>
      <c r="G521" s="125" t="n"/>
      <c r="H521" s="125" t="n"/>
      <c r="I521" s="124" t="n"/>
      <c r="J521" s="125" t="n"/>
      <c r="K521" s="124" t="n"/>
      <c r="L521" s="125" t="n"/>
      <c r="M521" s="126" t="n"/>
      <c r="N521" s="124" t="n"/>
    </row>
    <row r="522" ht="15" customHeight="1" s="74">
      <c r="A522" s="121" t="n"/>
      <c r="B522" s="122" t="n"/>
      <c r="C522" s="122" t="n"/>
      <c r="D522" s="123" t="n"/>
      <c r="E522" s="121" t="n"/>
      <c r="F522" s="124" t="n"/>
      <c r="G522" s="125" t="n"/>
      <c r="H522" s="125" t="n"/>
      <c r="I522" s="124" t="n"/>
      <c r="J522" s="125" t="n"/>
      <c r="K522" s="124" t="n"/>
      <c r="L522" s="125" t="n"/>
      <c r="M522" s="126" t="n"/>
      <c r="N522" s="124" t="n"/>
    </row>
    <row r="523" ht="15" customHeight="1" s="74">
      <c r="A523" s="121" t="n"/>
      <c r="B523" s="122" t="n"/>
      <c r="C523" s="122" t="n"/>
      <c r="D523" s="123" t="n"/>
      <c r="E523" s="121" t="n"/>
      <c r="F523" s="124" t="n"/>
      <c r="G523" s="125" t="n"/>
      <c r="H523" s="125" t="n"/>
      <c r="I523" s="124" t="n"/>
      <c r="J523" s="125" t="n"/>
      <c r="K523" s="124" t="n"/>
      <c r="L523" s="125" t="n"/>
      <c r="M523" s="126" t="n"/>
      <c r="N523" s="124" t="n"/>
    </row>
    <row r="524" ht="15" customHeight="1" s="74">
      <c r="A524" s="121" t="n"/>
      <c r="B524" s="122" t="n"/>
      <c r="C524" s="122" t="n"/>
      <c r="D524" s="123" t="n"/>
      <c r="E524" s="121" t="n"/>
      <c r="F524" s="124" t="n"/>
      <c r="G524" s="125" t="n"/>
      <c r="H524" s="125" t="n"/>
      <c r="I524" s="124" t="n"/>
      <c r="J524" s="125" t="n"/>
      <c r="K524" s="124" t="n"/>
      <c r="L524" s="125" t="n"/>
      <c r="M524" s="126" t="n"/>
      <c r="N524" s="124" t="n"/>
    </row>
    <row r="525" ht="15" customHeight="1" s="74">
      <c r="A525" s="121" t="n"/>
      <c r="B525" s="122" t="n"/>
      <c r="C525" s="122" t="n"/>
      <c r="D525" s="123" t="n"/>
      <c r="E525" s="121" t="n"/>
      <c r="F525" s="124" t="n"/>
      <c r="G525" s="125" t="n"/>
      <c r="H525" s="125" t="n"/>
      <c r="I525" s="124" t="n"/>
      <c r="J525" s="125" t="n"/>
      <c r="K525" s="124" t="n"/>
      <c r="L525" s="125" t="n"/>
      <c r="M525" s="126" t="n"/>
      <c r="N525" s="124" t="n"/>
    </row>
    <row r="526" ht="15" customHeight="1" s="74">
      <c r="A526" s="121" t="n"/>
      <c r="B526" s="122" t="n"/>
      <c r="C526" s="122" t="n"/>
      <c r="D526" s="123" t="n"/>
      <c r="E526" s="121" t="n"/>
      <c r="F526" s="124" t="n"/>
      <c r="G526" s="125" t="n"/>
      <c r="H526" s="125" t="n"/>
      <c r="I526" s="124" t="n"/>
      <c r="J526" s="125" t="n"/>
      <c r="K526" s="124" t="n"/>
      <c r="L526" s="125" t="n"/>
      <c r="M526" s="126" t="n"/>
      <c r="N526" s="124" t="n"/>
    </row>
    <row r="527" ht="15" customHeight="1" s="74">
      <c r="A527" s="121" t="n"/>
      <c r="B527" s="122" t="n"/>
      <c r="C527" s="122" t="n"/>
      <c r="D527" s="123" t="n"/>
      <c r="E527" s="121" t="n"/>
      <c r="F527" s="124" t="n"/>
      <c r="G527" s="125" t="n"/>
      <c r="H527" s="125" t="n"/>
      <c r="I527" s="124" t="n"/>
      <c r="J527" s="125" t="n"/>
      <c r="K527" s="124" t="n"/>
      <c r="L527" s="125" t="n"/>
      <c r="M527" s="126" t="n"/>
      <c r="N527" s="124" t="n"/>
    </row>
    <row r="528" ht="15" customHeight="1" s="74">
      <c r="A528" s="121" t="n"/>
      <c r="B528" s="122" t="n"/>
      <c r="C528" s="122" t="n"/>
      <c r="D528" s="123" t="n"/>
      <c r="E528" s="121" t="n"/>
      <c r="F528" s="124" t="n"/>
      <c r="G528" s="125" t="n"/>
      <c r="H528" s="125" t="n"/>
      <c r="I528" s="124" t="n"/>
      <c r="J528" s="125" t="n"/>
      <c r="K528" s="124" t="n"/>
      <c r="L528" s="125" t="n"/>
      <c r="M528" s="126" t="n"/>
      <c r="N528" s="124" t="n"/>
    </row>
    <row r="529" ht="15" customHeight="1" s="74">
      <c r="A529" s="121" t="n"/>
      <c r="B529" s="122" t="n"/>
      <c r="C529" s="122" t="n"/>
      <c r="D529" s="123" t="n"/>
      <c r="E529" s="121" t="n"/>
      <c r="F529" s="124" t="n"/>
      <c r="G529" s="125" t="n"/>
      <c r="H529" s="125" t="n"/>
      <c r="I529" s="124" t="n"/>
      <c r="J529" s="125" t="n"/>
      <c r="K529" s="124" t="n"/>
      <c r="L529" s="125" t="n"/>
      <c r="M529" s="126" t="n"/>
      <c r="N529" s="124" t="n"/>
    </row>
    <row r="530" ht="15" customHeight="1" s="74">
      <c r="A530" s="121" t="n"/>
      <c r="B530" s="122" t="n"/>
      <c r="C530" s="122" t="n"/>
      <c r="D530" s="123" t="n"/>
      <c r="E530" s="121" t="n"/>
      <c r="F530" s="124" t="n"/>
      <c r="G530" s="125" t="n"/>
      <c r="H530" s="125" t="n"/>
      <c r="I530" s="124" t="n"/>
      <c r="J530" s="125" t="n"/>
      <c r="K530" s="124" t="n"/>
      <c r="L530" s="125" t="n"/>
      <c r="M530" s="126" t="n"/>
      <c r="N530" s="124" t="n"/>
    </row>
    <row r="531" ht="15" customHeight="1" s="74">
      <c r="A531" s="121" t="n"/>
      <c r="B531" s="122" t="n"/>
      <c r="C531" s="122" t="n"/>
      <c r="D531" s="123" t="n"/>
      <c r="E531" s="121" t="n"/>
      <c r="F531" s="124" t="n"/>
      <c r="G531" s="125" t="n"/>
      <c r="H531" s="125" t="n"/>
      <c r="I531" s="124" t="n"/>
      <c r="J531" s="125" t="n"/>
      <c r="K531" s="124" t="n"/>
      <c r="L531" s="125" t="n"/>
      <c r="M531" s="126" t="n"/>
      <c r="N531" s="124" t="n"/>
    </row>
    <row r="532" ht="15" customHeight="1" s="74">
      <c r="A532" s="121" t="n"/>
      <c r="B532" s="122" t="n"/>
      <c r="C532" s="122" t="n"/>
      <c r="D532" s="123" t="n"/>
      <c r="E532" s="121" t="n"/>
      <c r="F532" s="124" t="n"/>
      <c r="G532" s="125" t="n"/>
      <c r="H532" s="125" t="n"/>
      <c r="I532" s="124" t="n"/>
      <c r="J532" s="125" t="n"/>
      <c r="K532" s="124" t="n"/>
      <c r="L532" s="125" t="n"/>
      <c r="M532" s="126" t="n"/>
      <c r="N532" s="124" t="n"/>
    </row>
    <row r="533" ht="15" customHeight="1" s="74">
      <c r="A533" s="121" t="n"/>
      <c r="B533" s="122" t="n"/>
      <c r="C533" s="122" t="n"/>
      <c r="D533" s="123" t="n"/>
      <c r="E533" s="121" t="n"/>
      <c r="F533" s="124" t="n"/>
      <c r="G533" s="125" t="n"/>
      <c r="H533" s="125" t="n"/>
      <c r="I533" s="124" t="n"/>
      <c r="J533" s="125" t="n"/>
      <c r="K533" s="124" t="n"/>
      <c r="L533" s="125" t="n"/>
      <c r="M533" s="126" t="n"/>
      <c r="N533" s="124" t="n"/>
    </row>
    <row r="534" ht="15" customHeight="1" s="74">
      <c r="A534" s="121" t="n"/>
      <c r="B534" s="122" t="n"/>
      <c r="C534" s="122" t="n"/>
      <c r="D534" s="123" t="n"/>
      <c r="E534" s="121" t="n"/>
      <c r="F534" s="124" t="n"/>
      <c r="G534" s="125" t="n"/>
      <c r="H534" s="125" t="n"/>
      <c r="I534" s="124" t="n"/>
      <c r="J534" s="125" t="n"/>
      <c r="K534" s="124" t="n"/>
      <c r="L534" s="125" t="n"/>
      <c r="M534" s="126" t="n"/>
      <c r="N534" s="124" t="n"/>
    </row>
    <row r="535" ht="15" customHeight="1" s="74">
      <c r="A535" s="121" t="n"/>
      <c r="B535" s="122" t="n"/>
      <c r="C535" s="122" t="n"/>
      <c r="D535" s="123" t="n"/>
      <c r="E535" s="121" t="n"/>
      <c r="F535" s="124" t="n"/>
      <c r="G535" s="125" t="n"/>
      <c r="H535" s="125" t="n"/>
      <c r="I535" s="124" t="n"/>
      <c r="J535" s="125" t="n"/>
      <c r="K535" s="124" t="n"/>
      <c r="L535" s="125" t="n"/>
      <c r="M535" s="126" t="n"/>
      <c r="N535" s="124" t="n"/>
    </row>
    <row r="536" ht="15" customHeight="1" s="74">
      <c r="A536" s="121" t="n"/>
      <c r="B536" s="122" t="n"/>
      <c r="C536" s="122" t="n"/>
      <c r="D536" s="123" t="n"/>
      <c r="E536" s="121" t="n"/>
      <c r="F536" s="124" t="n"/>
      <c r="G536" s="125" t="n"/>
      <c r="H536" s="125" t="n"/>
      <c r="I536" s="124" t="n"/>
      <c r="J536" s="125" t="n"/>
      <c r="K536" s="124" t="n"/>
      <c r="L536" s="125" t="n"/>
      <c r="M536" s="126" t="n"/>
      <c r="N536" s="124" t="n"/>
    </row>
    <row r="537" ht="15" customHeight="1" s="74">
      <c r="A537" s="121" t="n"/>
      <c r="B537" s="122" t="n"/>
      <c r="C537" s="122" t="n"/>
      <c r="D537" s="123" t="n"/>
      <c r="E537" s="121" t="n"/>
      <c r="F537" s="124" t="n"/>
      <c r="G537" s="125" t="n"/>
      <c r="H537" s="125" t="n"/>
      <c r="I537" s="124" t="n"/>
      <c r="J537" s="125" t="n"/>
      <c r="K537" s="124" t="n"/>
      <c r="L537" s="125" t="n"/>
      <c r="M537" s="126" t="n"/>
      <c r="N537" s="124" t="n"/>
    </row>
    <row r="538" ht="15" customHeight="1" s="74">
      <c r="A538" s="121" t="n"/>
      <c r="B538" s="122" t="n"/>
      <c r="C538" s="122" t="n"/>
      <c r="D538" s="123" t="n"/>
      <c r="E538" s="121" t="n"/>
      <c r="F538" s="124" t="n"/>
      <c r="G538" s="125" t="n"/>
      <c r="H538" s="125" t="n"/>
      <c r="I538" s="124" t="n"/>
      <c r="J538" s="125" t="n"/>
      <c r="K538" s="124" t="n"/>
      <c r="L538" s="125" t="n"/>
      <c r="M538" s="126" t="n"/>
      <c r="N538" s="124" t="n"/>
    </row>
    <row r="539" ht="15" customHeight="1" s="74">
      <c r="A539" s="121" t="n"/>
      <c r="B539" s="122" t="n"/>
      <c r="C539" s="122" t="n"/>
      <c r="D539" s="123" t="n"/>
      <c r="E539" s="121" t="n"/>
      <c r="F539" s="124" t="n"/>
      <c r="G539" s="125" t="n"/>
      <c r="H539" s="125" t="n"/>
      <c r="I539" s="124" t="n"/>
      <c r="J539" s="125" t="n"/>
      <c r="K539" s="124" t="n"/>
      <c r="L539" s="125" t="n"/>
      <c r="M539" s="126" t="n"/>
      <c r="N539" s="124" t="n"/>
    </row>
    <row r="540" ht="15" customHeight="1" s="74">
      <c r="A540" s="121" t="n"/>
      <c r="B540" s="122" t="n"/>
      <c r="C540" s="122" t="n"/>
      <c r="D540" s="123" t="n"/>
      <c r="E540" s="121" t="n"/>
      <c r="F540" s="124" t="n"/>
      <c r="G540" s="125" t="n"/>
      <c r="H540" s="125" t="n"/>
      <c r="I540" s="124" t="n"/>
      <c r="J540" s="125" t="n"/>
      <c r="K540" s="124" t="n"/>
      <c r="L540" s="125" t="n"/>
      <c r="M540" s="126" t="n"/>
      <c r="N540" s="124" t="n"/>
    </row>
    <row r="541" ht="15" customHeight="1" s="74">
      <c r="A541" s="121" t="n"/>
      <c r="B541" s="122" t="n"/>
      <c r="C541" s="122" t="n"/>
      <c r="D541" s="123" t="n"/>
      <c r="E541" s="121" t="n"/>
      <c r="F541" s="124" t="n"/>
      <c r="G541" s="125" t="n"/>
      <c r="H541" s="125" t="n"/>
      <c r="I541" s="124" t="n"/>
      <c r="J541" s="125" t="n"/>
      <c r="K541" s="124" t="n"/>
      <c r="L541" s="125" t="n"/>
      <c r="M541" s="126" t="n"/>
      <c r="N541" s="124" t="n"/>
    </row>
    <row r="542" ht="15" customHeight="1" s="74">
      <c r="A542" s="121" t="n"/>
      <c r="B542" s="122" t="n"/>
      <c r="C542" s="122" t="n"/>
      <c r="D542" s="123" t="n"/>
      <c r="E542" s="121" t="n"/>
      <c r="F542" s="124" t="n"/>
      <c r="G542" s="125" t="n"/>
      <c r="H542" s="125" t="n"/>
      <c r="I542" s="124" t="n"/>
      <c r="J542" s="125" t="n"/>
      <c r="K542" s="124" t="n"/>
      <c r="L542" s="125" t="n"/>
      <c r="M542" s="126" t="n"/>
      <c r="N542" s="124" t="n"/>
    </row>
    <row r="543" ht="15" customHeight="1" s="74">
      <c r="A543" s="121" t="n"/>
      <c r="B543" s="122" t="n"/>
      <c r="C543" s="122" t="n"/>
      <c r="D543" s="123" t="n"/>
      <c r="E543" s="121" t="n"/>
      <c r="F543" s="124" t="n"/>
      <c r="G543" s="125" t="n"/>
      <c r="H543" s="125" t="n"/>
      <c r="I543" s="124" t="n"/>
      <c r="J543" s="125" t="n"/>
      <c r="K543" s="124" t="n"/>
      <c r="L543" s="125" t="n"/>
      <c r="M543" s="126" t="n"/>
      <c r="N543" s="124" t="n"/>
    </row>
    <row r="544" ht="15" customHeight="1" s="74">
      <c r="A544" s="121" t="n"/>
      <c r="B544" s="122" t="n"/>
      <c r="C544" s="122" t="n"/>
      <c r="D544" s="123" t="n"/>
      <c r="E544" s="121" t="n"/>
      <c r="F544" s="124" t="n"/>
      <c r="G544" s="125" t="n"/>
      <c r="H544" s="125" t="n"/>
      <c r="I544" s="124" t="n"/>
      <c r="J544" s="125" t="n"/>
      <c r="K544" s="124" t="n"/>
      <c r="L544" s="125" t="n"/>
      <c r="M544" s="126" t="n"/>
      <c r="N544" s="124" t="n"/>
    </row>
    <row r="545" ht="15" customHeight="1" s="74">
      <c r="A545" s="121" t="n"/>
      <c r="B545" s="122" t="n"/>
      <c r="C545" s="122" t="n"/>
      <c r="D545" s="123" t="n"/>
      <c r="E545" s="121" t="n"/>
      <c r="F545" s="124" t="n"/>
      <c r="G545" s="125" t="n"/>
      <c r="H545" s="125" t="n"/>
      <c r="I545" s="124" t="n"/>
      <c r="J545" s="125" t="n"/>
      <c r="K545" s="124" t="n"/>
      <c r="L545" s="125" t="n"/>
      <c r="M545" s="126" t="n"/>
      <c r="N545" s="124" t="n"/>
    </row>
    <row r="546" ht="15" customHeight="1" s="74">
      <c r="A546" s="121" t="n"/>
      <c r="B546" s="122" t="n"/>
      <c r="C546" s="122" t="n"/>
      <c r="D546" s="123" t="n"/>
      <c r="E546" s="121" t="n"/>
      <c r="F546" s="124" t="n"/>
      <c r="G546" s="125" t="n"/>
      <c r="H546" s="125" t="n"/>
      <c r="I546" s="124" t="n"/>
      <c r="J546" s="125" t="n"/>
      <c r="K546" s="124" t="n"/>
      <c r="L546" s="125" t="n"/>
      <c r="M546" s="126" t="n"/>
      <c r="N546" s="124" t="n"/>
    </row>
    <row r="547" ht="15" customHeight="1" s="74">
      <c r="A547" s="121" t="n"/>
      <c r="B547" s="122" t="n"/>
      <c r="C547" s="122" t="n"/>
      <c r="D547" s="123" t="n"/>
      <c r="E547" s="121" t="n"/>
      <c r="F547" s="124" t="n"/>
      <c r="G547" s="125" t="n"/>
      <c r="H547" s="125" t="n"/>
      <c r="I547" s="124" t="n"/>
      <c r="J547" s="125" t="n"/>
      <c r="K547" s="124" t="n"/>
      <c r="L547" s="125" t="n"/>
      <c r="M547" s="126" t="n"/>
      <c r="N547" s="124" t="n"/>
    </row>
    <row r="548" ht="15" customHeight="1" s="74">
      <c r="A548" s="121" t="n"/>
      <c r="B548" s="122" t="n"/>
      <c r="C548" s="122" t="n"/>
      <c r="D548" s="123" t="n"/>
      <c r="E548" s="121" t="n"/>
      <c r="F548" s="124" t="n"/>
      <c r="G548" s="125" t="n"/>
      <c r="H548" s="125" t="n"/>
      <c r="I548" s="124" t="n"/>
      <c r="J548" s="125" t="n"/>
      <c r="K548" s="124" t="n"/>
      <c r="L548" s="125" t="n"/>
      <c r="M548" s="126" t="n"/>
      <c r="N548" s="124" t="n"/>
    </row>
    <row r="549" ht="15" customHeight="1" s="74">
      <c r="A549" s="121" t="n"/>
      <c r="B549" s="122" t="n"/>
      <c r="C549" s="122" t="n"/>
      <c r="D549" s="123" t="n"/>
      <c r="E549" s="121" t="n"/>
      <c r="F549" s="124" t="n"/>
      <c r="G549" s="125" t="n"/>
      <c r="H549" s="125" t="n"/>
      <c r="I549" s="124" t="n"/>
      <c r="J549" s="125" t="n"/>
      <c r="K549" s="124" t="n"/>
      <c r="L549" s="125" t="n"/>
      <c r="M549" s="126" t="n"/>
      <c r="N549" s="124" t="n"/>
    </row>
    <row r="550" ht="15" customHeight="1" s="74">
      <c r="A550" s="121" t="n"/>
      <c r="B550" s="122" t="n"/>
      <c r="C550" s="122" t="n"/>
      <c r="D550" s="123" t="n"/>
      <c r="E550" s="121" t="n"/>
      <c r="F550" s="124" t="n"/>
      <c r="G550" s="125" t="n"/>
      <c r="H550" s="125" t="n"/>
      <c r="I550" s="124" t="n"/>
      <c r="J550" s="125" t="n"/>
      <c r="K550" s="124" t="n"/>
      <c r="L550" s="125" t="n"/>
      <c r="M550" s="126" t="n"/>
      <c r="N550" s="124" t="n"/>
    </row>
    <row r="551" ht="15" customHeight="1" s="74">
      <c r="A551" s="121" t="n"/>
      <c r="B551" s="122" t="n"/>
      <c r="C551" s="122" t="n"/>
      <c r="D551" s="123" t="n"/>
      <c r="E551" s="121" t="n"/>
      <c r="F551" s="124" t="n"/>
      <c r="G551" s="125" t="n"/>
      <c r="H551" s="125" t="n"/>
      <c r="I551" s="124" t="n"/>
      <c r="J551" s="125" t="n"/>
      <c r="K551" s="124" t="n"/>
      <c r="L551" s="125" t="n"/>
      <c r="M551" s="126" t="n"/>
      <c r="N551" s="124" t="n"/>
    </row>
    <row r="552" ht="15" customHeight="1" s="74">
      <c r="A552" s="121" t="n"/>
      <c r="B552" s="122" t="n"/>
      <c r="C552" s="122" t="n"/>
      <c r="D552" s="123" t="n"/>
      <c r="E552" s="121" t="n"/>
      <c r="F552" s="124" t="n"/>
      <c r="G552" s="125" t="n"/>
      <c r="H552" s="125" t="n"/>
      <c r="I552" s="124" t="n"/>
      <c r="J552" s="125" t="n"/>
      <c r="K552" s="124" t="n"/>
      <c r="L552" s="125" t="n"/>
      <c r="M552" s="126" t="n"/>
      <c r="N552" s="124" t="n"/>
    </row>
    <row r="553" ht="15" customHeight="1" s="74">
      <c r="A553" s="121" t="n"/>
      <c r="B553" s="122" t="n"/>
      <c r="C553" s="122" t="n"/>
      <c r="D553" s="123" t="n"/>
      <c r="E553" s="121" t="n"/>
      <c r="F553" s="124" t="n"/>
      <c r="G553" s="125" t="n"/>
      <c r="H553" s="125" t="n"/>
      <c r="I553" s="124" t="n"/>
      <c r="J553" s="125" t="n"/>
      <c r="K553" s="124" t="n"/>
      <c r="L553" s="125" t="n"/>
      <c r="M553" s="126" t="n"/>
      <c r="N553" s="124" t="n"/>
    </row>
    <row r="554" ht="15" customHeight="1" s="74">
      <c r="A554" s="121" t="n"/>
      <c r="B554" s="122" t="n"/>
      <c r="C554" s="122" t="n"/>
      <c r="D554" s="123" t="n"/>
      <c r="E554" s="121" t="n"/>
      <c r="F554" s="124" t="n"/>
      <c r="G554" s="125" t="n"/>
      <c r="H554" s="125" t="n"/>
      <c r="I554" s="124" t="n"/>
      <c r="J554" s="125" t="n"/>
      <c r="K554" s="124" t="n"/>
      <c r="L554" s="125" t="n"/>
      <c r="M554" s="126" t="n"/>
      <c r="N554" s="124" t="n"/>
    </row>
    <row r="555" ht="15" customHeight="1" s="74">
      <c r="A555" s="121" t="n"/>
      <c r="B555" s="122" t="n"/>
      <c r="C555" s="122" t="n"/>
      <c r="D555" s="123" t="n"/>
      <c r="E555" s="121" t="n"/>
      <c r="F555" s="124" t="n"/>
      <c r="G555" s="125" t="n"/>
      <c r="H555" s="125" t="n"/>
      <c r="I555" s="124" t="n"/>
      <c r="J555" s="125" t="n"/>
      <c r="K555" s="124" t="n"/>
      <c r="L555" s="125" t="n"/>
      <c r="M555" s="126" t="n"/>
      <c r="N555" s="124" t="n"/>
    </row>
    <row r="556" ht="15" customHeight="1" s="74">
      <c r="A556" s="121" t="n"/>
      <c r="B556" s="122" t="n"/>
      <c r="C556" s="122" t="n"/>
      <c r="D556" s="123" t="n"/>
      <c r="E556" s="121" t="n"/>
      <c r="F556" s="124" t="n"/>
      <c r="G556" s="125" t="n"/>
      <c r="H556" s="125" t="n"/>
      <c r="I556" s="124" t="n"/>
      <c r="J556" s="125" t="n"/>
      <c r="K556" s="124" t="n"/>
      <c r="L556" s="125" t="n"/>
      <c r="M556" s="126" t="n"/>
      <c r="N556" s="124" t="n"/>
    </row>
    <row r="557" ht="15" customHeight="1" s="74">
      <c r="A557" s="121" t="n"/>
      <c r="B557" s="122" t="n"/>
      <c r="C557" s="122" t="n"/>
      <c r="D557" s="123" t="n"/>
      <c r="E557" s="121" t="n"/>
      <c r="F557" s="124" t="n"/>
      <c r="G557" s="125" t="n"/>
      <c r="H557" s="125" t="n"/>
      <c r="I557" s="124" t="n"/>
      <c r="J557" s="125" t="n"/>
      <c r="K557" s="124" t="n"/>
      <c r="L557" s="125" t="n"/>
      <c r="M557" s="126" t="n"/>
      <c r="N557" s="124" t="n"/>
    </row>
    <row r="558" ht="15" customHeight="1" s="74">
      <c r="A558" s="121" t="n"/>
      <c r="B558" s="122" t="n"/>
      <c r="C558" s="122" t="n"/>
      <c r="D558" s="123" t="n"/>
      <c r="E558" s="121" t="n"/>
      <c r="F558" s="124" t="n"/>
      <c r="G558" s="125" t="n"/>
      <c r="H558" s="125" t="n"/>
      <c r="I558" s="124" t="n"/>
      <c r="J558" s="125" t="n"/>
      <c r="K558" s="124" t="n"/>
      <c r="L558" s="125" t="n"/>
      <c r="M558" s="126" t="n"/>
      <c r="N558" s="124" t="n"/>
    </row>
    <row r="559" ht="15" customHeight="1" s="74">
      <c r="A559" s="121" t="n"/>
      <c r="B559" s="122" t="n"/>
      <c r="C559" s="122" t="n"/>
      <c r="D559" s="123" t="n"/>
      <c r="E559" s="121" t="n"/>
      <c r="F559" s="124" t="n"/>
      <c r="G559" s="125" t="n"/>
      <c r="H559" s="125" t="n"/>
      <c r="I559" s="124" t="n"/>
      <c r="J559" s="125" t="n"/>
      <c r="K559" s="124" t="n"/>
      <c r="L559" s="125" t="n"/>
      <c r="M559" s="126" t="n"/>
      <c r="N559" s="124" t="n"/>
    </row>
    <row r="560" ht="15" customHeight="1" s="74">
      <c r="A560" s="121" t="n"/>
      <c r="B560" s="122" t="n"/>
      <c r="C560" s="122" t="n"/>
      <c r="D560" s="123" t="n"/>
      <c r="E560" s="121" t="n"/>
      <c r="F560" s="124" t="n"/>
      <c r="G560" s="125" t="n"/>
      <c r="H560" s="125" t="n"/>
      <c r="I560" s="124" t="n"/>
      <c r="J560" s="125" t="n"/>
      <c r="K560" s="124" t="n"/>
      <c r="L560" s="125" t="n"/>
      <c r="M560" s="126" t="n"/>
      <c r="N560" s="124" t="n"/>
    </row>
    <row r="561" ht="15" customHeight="1" s="74">
      <c r="A561" s="121" t="n"/>
      <c r="B561" s="122" t="n"/>
      <c r="C561" s="122" t="n"/>
      <c r="D561" s="123" t="n"/>
      <c r="E561" s="121" t="n"/>
      <c r="F561" s="124" t="n"/>
      <c r="G561" s="125" t="n"/>
      <c r="H561" s="125" t="n"/>
      <c r="I561" s="124" t="n"/>
      <c r="J561" s="125" t="n"/>
      <c r="K561" s="124" t="n"/>
      <c r="L561" s="125" t="n"/>
      <c r="M561" s="126" t="n"/>
      <c r="N561" s="124" t="n"/>
    </row>
    <row r="562" ht="15" customHeight="1" s="74">
      <c r="A562" s="121" t="n"/>
      <c r="B562" s="122" t="n"/>
      <c r="C562" s="122" t="n"/>
      <c r="D562" s="123" t="n"/>
      <c r="E562" s="121" t="n"/>
      <c r="F562" s="124" t="n"/>
      <c r="G562" s="125" t="n"/>
      <c r="H562" s="125" t="n"/>
      <c r="I562" s="124" t="n"/>
      <c r="J562" s="125" t="n"/>
      <c r="K562" s="124" t="n"/>
      <c r="L562" s="125" t="n"/>
      <c r="M562" s="126" t="n"/>
      <c r="N562" s="124" t="n"/>
    </row>
    <row r="563" ht="15" customHeight="1" s="74">
      <c r="A563" s="121" t="n"/>
      <c r="B563" s="122" t="n"/>
      <c r="C563" s="122" t="n"/>
      <c r="D563" s="123" t="n"/>
      <c r="E563" s="121" t="n"/>
      <c r="F563" s="124" t="n"/>
      <c r="G563" s="125" t="n"/>
      <c r="H563" s="125" t="n"/>
      <c r="I563" s="124" t="n"/>
      <c r="J563" s="125" t="n"/>
      <c r="K563" s="124" t="n"/>
      <c r="L563" s="125" t="n"/>
      <c r="M563" s="126" t="n"/>
      <c r="N563" s="124" t="n"/>
    </row>
    <row r="564" ht="15" customHeight="1" s="74">
      <c r="A564" s="121" t="n"/>
      <c r="B564" s="122" t="n"/>
      <c r="C564" s="122" t="n"/>
      <c r="D564" s="123" t="n"/>
      <c r="E564" s="121" t="n"/>
      <c r="F564" s="124" t="n"/>
      <c r="G564" s="125" t="n"/>
      <c r="H564" s="125" t="n"/>
      <c r="I564" s="124" t="n"/>
      <c r="J564" s="125" t="n"/>
      <c r="K564" s="124" t="n"/>
      <c r="L564" s="125" t="n"/>
      <c r="M564" s="126" t="n"/>
      <c r="N564" s="124" t="n"/>
    </row>
    <row r="565" ht="15" customHeight="1" s="74">
      <c r="A565" s="121" t="n"/>
      <c r="B565" s="122" t="n"/>
      <c r="C565" s="122" t="n"/>
      <c r="D565" s="123" t="n"/>
      <c r="E565" s="121" t="n"/>
      <c r="F565" s="124" t="n"/>
      <c r="G565" s="125" t="n"/>
      <c r="H565" s="125" t="n"/>
      <c r="I565" s="124" t="n"/>
      <c r="J565" s="125" t="n"/>
      <c r="K565" s="124" t="n"/>
      <c r="L565" s="125" t="n"/>
      <c r="M565" s="126" t="n"/>
      <c r="N565" s="124" t="n"/>
    </row>
    <row r="566" ht="15" customHeight="1" s="74">
      <c r="A566" s="121" t="n"/>
      <c r="B566" s="122" t="n"/>
      <c r="C566" s="122" t="n"/>
      <c r="D566" s="123" t="n"/>
      <c r="E566" s="121" t="n"/>
      <c r="F566" s="124" t="n"/>
      <c r="G566" s="125" t="n"/>
      <c r="H566" s="125" t="n"/>
      <c r="I566" s="124" t="n"/>
      <c r="J566" s="125" t="n"/>
      <c r="K566" s="124" t="n"/>
      <c r="L566" s="125" t="n"/>
      <c r="M566" s="126" t="n"/>
      <c r="N566" s="124" t="n"/>
    </row>
    <row r="567" ht="15" customHeight="1" s="74">
      <c r="A567" s="121" t="n"/>
      <c r="B567" s="122" t="n"/>
      <c r="C567" s="122" t="n"/>
      <c r="D567" s="123" t="n"/>
      <c r="E567" s="121" t="n"/>
      <c r="F567" s="124" t="n"/>
      <c r="G567" s="125" t="n"/>
      <c r="H567" s="125" t="n"/>
      <c r="I567" s="124" t="n"/>
      <c r="J567" s="125" t="n"/>
      <c r="K567" s="124" t="n"/>
      <c r="L567" s="125" t="n"/>
      <c r="M567" s="126" t="n"/>
      <c r="N567" s="124" t="n"/>
    </row>
    <row r="568" ht="15" customHeight="1" s="74">
      <c r="A568" s="121" t="n"/>
      <c r="B568" s="122" t="n"/>
      <c r="C568" s="122" t="n"/>
      <c r="D568" s="123" t="n"/>
      <c r="E568" s="121" t="n"/>
      <c r="F568" s="124" t="n"/>
      <c r="G568" s="125" t="n"/>
      <c r="H568" s="125" t="n"/>
      <c r="I568" s="124" t="n"/>
      <c r="J568" s="125" t="n"/>
      <c r="K568" s="124" t="n"/>
      <c r="L568" s="125" t="n"/>
      <c r="M568" s="126" t="n"/>
      <c r="N568" s="124" t="n"/>
    </row>
    <row r="569" ht="15" customHeight="1" s="74">
      <c r="A569" s="121" t="n"/>
      <c r="B569" s="122" t="n"/>
      <c r="C569" s="122" t="n"/>
      <c r="D569" s="123" t="n"/>
      <c r="E569" s="121" t="n"/>
      <c r="F569" s="124" t="n"/>
      <c r="G569" s="125" t="n"/>
      <c r="H569" s="125" t="n"/>
      <c r="I569" s="124" t="n"/>
      <c r="J569" s="125" t="n"/>
      <c r="K569" s="124" t="n"/>
      <c r="L569" s="125" t="n"/>
      <c r="M569" s="126" t="n"/>
      <c r="N569" s="124" t="n"/>
    </row>
    <row r="570" ht="15" customHeight="1" s="74">
      <c r="A570" s="121" t="n"/>
      <c r="B570" s="122" t="n"/>
      <c r="C570" s="122" t="n"/>
      <c r="D570" s="123" t="n"/>
      <c r="E570" s="121" t="n"/>
      <c r="F570" s="124" t="n"/>
      <c r="G570" s="125" t="n"/>
      <c r="H570" s="125" t="n"/>
      <c r="I570" s="124" t="n"/>
      <c r="J570" s="125" t="n"/>
      <c r="K570" s="124" t="n"/>
      <c r="L570" s="125" t="n"/>
      <c r="M570" s="126" t="n"/>
      <c r="N570" s="124" t="n"/>
    </row>
    <row r="571" ht="15" customHeight="1" s="74">
      <c r="A571" s="121" t="n"/>
      <c r="B571" s="122" t="n"/>
      <c r="C571" s="122" t="n"/>
      <c r="D571" s="123" t="n"/>
      <c r="E571" s="121" t="n"/>
      <c r="F571" s="124" t="n"/>
      <c r="G571" s="125" t="n"/>
      <c r="H571" s="125" t="n"/>
      <c r="I571" s="124" t="n"/>
      <c r="J571" s="125" t="n"/>
      <c r="K571" s="124" t="n"/>
      <c r="L571" s="125" t="n"/>
      <c r="M571" s="126" t="n"/>
      <c r="N571" s="124" t="n"/>
    </row>
    <row r="572" ht="15" customHeight="1" s="74">
      <c r="A572" s="121" t="n"/>
      <c r="B572" s="122" t="n"/>
      <c r="C572" s="122" t="n"/>
      <c r="D572" s="123" t="n"/>
      <c r="E572" s="121" t="n"/>
      <c r="F572" s="124" t="n"/>
      <c r="G572" s="125" t="n"/>
      <c r="H572" s="125" t="n"/>
      <c r="I572" s="124" t="n"/>
      <c r="J572" s="125" t="n"/>
      <c r="K572" s="124" t="n"/>
      <c r="L572" s="125" t="n"/>
      <c r="M572" s="126" t="n"/>
      <c r="N572" s="124" t="n"/>
    </row>
    <row r="573" ht="15" customHeight="1" s="74">
      <c r="A573" s="121" t="n"/>
      <c r="B573" s="122" t="n"/>
      <c r="C573" s="122" t="n"/>
      <c r="D573" s="123" t="n"/>
      <c r="E573" s="121" t="n"/>
      <c r="F573" s="124" t="n"/>
      <c r="G573" s="125" t="n"/>
      <c r="H573" s="125" t="n"/>
      <c r="I573" s="124" t="n"/>
      <c r="J573" s="125" t="n"/>
      <c r="K573" s="124" t="n"/>
      <c r="L573" s="125" t="n"/>
      <c r="M573" s="126" t="n"/>
      <c r="N573" s="124" t="n"/>
    </row>
    <row r="574" ht="15" customHeight="1" s="74">
      <c r="A574" s="121" t="n"/>
      <c r="B574" s="122" t="n"/>
      <c r="C574" s="122" t="n"/>
      <c r="D574" s="123" t="n"/>
      <c r="E574" s="121" t="n"/>
      <c r="F574" s="124" t="n"/>
      <c r="G574" s="125" t="n"/>
      <c r="H574" s="125" t="n"/>
      <c r="I574" s="124" t="n"/>
      <c r="J574" s="125" t="n"/>
      <c r="K574" s="124" t="n"/>
      <c r="L574" s="125" t="n"/>
      <c r="M574" s="126" t="n"/>
      <c r="N574" s="124" t="n"/>
    </row>
    <row r="575" ht="15" customHeight="1" s="74">
      <c r="A575" s="121" t="n"/>
      <c r="B575" s="122" t="n"/>
      <c r="C575" s="122" t="n"/>
      <c r="D575" s="123" t="n"/>
      <c r="E575" s="121" t="n"/>
      <c r="F575" s="124" t="n"/>
      <c r="G575" s="125" t="n"/>
      <c r="H575" s="125" t="n"/>
      <c r="I575" s="124" t="n"/>
      <c r="J575" s="125" t="n"/>
      <c r="K575" s="124" t="n"/>
      <c r="L575" s="125" t="n"/>
      <c r="M575" s="126" t="n"/>
      <c r="N575" s="124" t="n"/>
    </row>
    <row r="576" ht="15" customHeight="1" s="74">
      <c r="A576" s="121" t="n"/>
      <c r="B576" s="122" t="n"/>
      <c r="C576" s="122" t="n"/>
      <c r="D576" s="123" t="n"/>
      <c r="E576" s="121" t="n"/>
      <c r="F576" s="124" t="n"/>
      <c r="G576" s="125" t="n"/>
      <c r="H576" s="125" t="n"/>
      <c r="I576" s="124" t="n"/>
      <c r="J576" s="125" t="n"/>
      <c r="K576" s="124" t="n"/>
      <c r="L576" s="125" t="n"/>
      <c r="M576" s="126" t="n"/>
      <c r="N576" s="124" t="n"/>
    </row>
    <row r="577" ht="15" customHeight="1" s="74">
      <c r="A577" s="121" t="n"/>
      <c r="B577" s="122" t="n"/>
      <c r="C577" s="122" t="n"/>
      <c r="D577" s="123" t="n"/>
      <c r="E577" s="121" t="n"/>
      <c r="F577" s="124" t="n"/>
      <c r="G577" s="125" t="n"/>
      <c r="H577" s="125" t="n"/>
      <c r="I577" s="124" t="n"/>
      <c r="J577" s="125" t="n"/>
      <c r="K577" s="124" t="n"/>
      <c r="L577" s="125" t="n"/>
      <c r="M577" s="126" t="n"/>
      <c r="N577" s="124" t="n"/>
    </row>
    <row r="578" ht="15" customHeight="1" s="74">
      <c r="A578" s="121" t="n"/>
      <c r="B578" s="122" t="n"/>
      <c r="C578" s="122" t="n"/>
      <c r="D578" s="123" t="n"/>
      <c r="E578" s="121" t="n"/>
      <c r="F578" s="124" t="n"/>
      <c r="G578" s="125" t="n"/>
      <c r="H578" s="125" t="n"/>
      <c r="I578" s="124" t="n"/>
      <c r="J578" s="125" t="n"/>
      <c r="K578" s="124" t="n"/>
      <c r="L578" s="125" t="n"/>
      <c r="M578" s="126" t="n"/>
      <c r="N578" s="124" t="n"/>
    </row>
    <row r="579" ht="15" customHeight="1" s="74">
      <c r="A579" s="121" t="n"/>
      <c r="B579" s="122" t="n"/>
      <c r="C579" s="122" t="n"/>
      <c r="D579" s="123" t="n"/>
      <c r="E579" s="121" t="n"/>
      <c r="F579" s="124" t="n"/>
      <c r="G579" s="125" t="n"/>
      <c r="H579" s="125" t="n"/>
      <c r="I579" s="124" t="n"/>
      <c r="J579" s="125" t="n"/>
      <c r="K579" s="124" t="n"/>
      <c r="L579" s="125" t="n"/>
      <c r="M579" s="126" t="n"/>
      <c r="N579" s="124" t="n"/>
    </row>
    <row r="580" ht="15" customHeight="1" s="74">
      <c r="A580" s="121" t="n"/>
      <c r="B580" s="122" t="n"/>
      <c r="C580" s="122" t="n"/>
      <c r="D580" s="123" t="n"/>
      <c r="E580" s="121" t="n"/>
      <c r="F580" s="124" t="n"/>
      <c r="G580" s="125" t="n"/>
      <c r="H580" s="125" t="n"/>
      <c r="I580" s="124" t="n"/>
      <c r="J580" s="125" t="n"/>
      <c r="K580" s="124" t="n"/>
      <c r="L580" s="125" t="n"/>
      <c r="M580" s="126" t="n"/>
      <c r="N580" s="124" t="n"/>
    </row>
    <row r="581" ht="15" customHeight="1" s="74">
      <c r="A581" s="121" t="n"/>
      <c r="B581" s="122" t="n"/>
      <c r="C581" s="122" t="n"/>
      <c r="D581" s="123" t="n"/>
      <c r="E581" s="121" t="n"/>
      <c r="F581" s="124" t="n"/>
      <c r="G581" s="125" t="n"/>
      <c r="H581" s="125" t="n"/>
      <c r="I581" s="124" t="n"/>
      <c r="J581" s="125" t="n"/>
      <c r="K581" s="124" t="n"/>
      <c r="L581" s="125" t="n"/>
      <c r="M581" s="126" t="n"/>
      <c r="N581" s="124" t="n"/>
    </row>
    <row r="582" ht="15" customHeight="1" s="74">
      <c r="A582" s="121" t="n"/>
      <c r="B582" s="122" t="n"/>
      <c r="C582" s="122" t="n"/>
      <c r="D582" s="123" t="n"/>
      <c r="E582" s="121" t="n"/>
      <c r="F582" s="124" t="n"/>
      <c r="G582" s="125" t="n"/>
      <c r="H582" s="125" t="n"/>
      <c r="I582" s="124" t="n"/>
      <c r="J582" s="125" t="n"/>
      <c r="K582" s="124" t="n"/>
      <c r="L582" s="125" t="n"/>
      <c r="M582" s="126" t="n"/>
      <c r="N582" s="124" t="n"/>
    </row>
    <row r="583" ht="15" customHeight="1" s="74">
      <c r="A583" s="121" t="n"/>
      <c r="B583" s="122" t="n"/>
      <c r="C583" s="122" t="n"/>
      <c r="D583" s="123" t="n"/>
      <c r="E583" s="121" t="n"/>
      <c r="F583" s="124" t="n"/>
      <c r="G583" s="125" t="n"/>
      <c r="H583" s="125" t="n"/>
      <c r="I583" s="124" t="n"/>
      <c r="J583" s="125" t="n"/>
      <c r="K583" s="124" t="n"/>
      <c r="L583" s="125" t="n"/>
      <c r="M583" s="126" t="n"/>
      <c r="N583" s="124" t="n"/>
    </row>
    <row r="584" ht="15" customHeight="1" s="74">
      <c r="A584" s="121" t="n"/>
      <c r="B584" s="122" t="n"/>
      <c r="C584" s="122" t="n"/>
      <c r="D584" s="123" t="n"/>
      <c r="E584" s="121" t="n"/>
      <c r="F584" s="124" t="n"/>
      <c r="G584" s="125" t="n"/>
      <c r="H584" s="125" t="n"/>
      <c r="I584" s="124" t="n"/>
      <c r="J584" s="125" t="n"/>
      <c r="K584" s="124" t="n"/>
      <c r="L584" s="125" t="n"/>
      <c r="M584" s="126" t="n"/>
      <c r="N584" s="124" t="n"/>
    </row>
    <row r="585" ht="15" customHeight="1" s="74">
      <c r="A585" s="121" t="n"/>
      <c r="B585" s="122" t="n"/>
      <c r="C585" s="122" t="n"/>
      <c r="D585" s="123" t="n"/>
      <c r="E585" s="121" t="n"/>
      <c r="F585" s="124" t="n"/>
      <c r="G585" s="125" t="n"/>
      <c r="H585" s="125" t="n"/>
      <c r="I585" s="124" t="n"/>
      <c r="J585" s="125" t="n"/>
      <c r="K585" s="124" t="n"/>
      <c r="L585" s="125" t="n"/>
      <c r="M585" s="126" t="n"/>
      <c r="N585" s="124" t="n"/>
    </row>
    <row r="586" ht="15" customHeight="1" s="74">
      <c r="A586" s="121" t="n"/>
      <c r="B586" s="122" t="n"/>
      <c r="C586" s="122" t="n"/>
      <c r="D586" s="123" t="n"/>
      <c r="E586" s="121" t="n"/>
      <c r="F586" s="124" t="n"/>
      <c r="G586" s="125" t="n"/>
      <c r="H586" s="125" t="n"/>
      <c r="I586" s="124" t="n"/>
      <c r="J586" s="125" t="n"/>
      <c r="K586" s="124" t="n"/>
      <c r="L586" s="125" t="n"/>
      <c r="M586" s="126" t="n"/>
      <c r="N586" s="124" t="n"/>
    </row>
    <row r="587" ht="15" customHeight="1" s="74">
      <c r="A587" s="121" t="n"/>
      <c r="B587" s="122" t="n"/>
      <c r="C587" s="122" t="n"/>
      <c r="D587" s="123" t="n"/>
      <c r="E587" s="121" t="n"/>
      <c r="F587" s="124" t="n"/>
      <c r="G587" s="125" t="n"/>
      <c r="H587" s="125" t="n"/>
      <c r="I587" s="124" t="n"/>
      <c r="J587" s="125" t="n"/>
      <c r="K587" s="124" t="n"/>
      <c r="L587" s="125" t="n"/>
      <c r="M587" s="126" t="n"/>
      <c r="N587" s="124" t="n"/>
    </row>
    <row r="588" ht="15" customHeight="1" s="74">
      <c r="A588" s="121" t="n"/>
      <c r="B588" s="122" t="n"/>
      <c r="C588" s="122" t="n"/>
      <c r="D588" s="123" t="n"/>
      <c r="E588" s="121" t="n"/>
      <c r="F588" s="124" t="n"/>
      <c r="G588" s="125" t="n"/>
      <c r="H588" s="125" t="n"/>
      <c r="I588" s="124" t="n"/>
      <c r="J588" s="125" t="n"/>
      <c r="K588" s="124" t="n"/>
      <c r="L588" s="125" t="n"/>
      <c r="M588" s="126" t="n"/>
      <c r="N588" s="124" t="n"/>
    </row>
    <row r="589" ht="15" customHeight="1" s="74">
      <c r="A589" s="121" t="n"/>
      <c r="B589" s="122" t="n"/>
      <c r="C589" s="122" t="n"/>
      <c r="D589" s="123" t="n"/>
      <c r="E589" s="121" t="n"/>
      <c r="F589" s="124" t="n"/>
      <c r="G589" s="125" t="n"/>
      <c r="H589" s="125" t="n"/>
      <c r="I589" s="124" t="n"/>
      <c r="J589" s="125" t="n"/>
      <c r="K589" s="124" t="n"/>
      <c r="L589" s="125" t="n"/>
      <c r="M589" s="126" t="n"/>
      <c r="N589" s="124" t="n"/>
    </row>
    <row r="590" ht="15" customHeight="1" s="74">
      <c r="A590" s="121" t="n"/>
      <c r="B590" s="122" t="n"/>
      <c r="C590" s="122" t="n"/>
      <c r="D590" s="123" t="n"/>
      <c r="E590" s="121" t="n"/>
      <c r="F590" s="124" t="n"/>
      <c r="G590" s="125" t="n"/>
      <c r="H590" s="125" t="n"/>
      <c r="I590" s="124" t="n"/>
      <c r="J590" s="125" t="n"/>
      <c r="K590" s="124" t="n"/>
      <c r="L590" s="125" t="n"/>
      <c r="M590" s="126" t="n"/>
      <c r="N590" s="124" t="n"/>
    </row>
    <row r="591" ht="15" customHeight="1" s="74">
      <c r="A591" s="121" t="n"/>
      <c r="B591" s="122" t="n"/>
      <c r="C591" s="122" t="n"/>
      <c r="D591" s="123" t="n"/>
      <c r="E591" s="121" t="n"/>
      <c r="F591" s="124" t="n"/>
      <c r="G591" s="125" t="n"/>
      <c r="H591" s="125" t="n"/>
      <c r="I591" s="124" t="n"/>
      <c r="J591" s="125" t="n"/>
      <c r="K591" s="124" t="n"/>
      <c r="L591" s="125" t="n"/>
      <c r="M591" s="126" t="n"/>
      <c r="N591" s="124" t="n"/>
    </row>
    <row r="592" ht="15" customHeight="1" s="74">
      <c r="A592" s="121" t="n"/>
      <c r="B592" s="122" t="n"/>
      <c r="C592" s="122" t="n"/>
      <c r="D592" s="123" t="n"/>
      <c r="E592" s="121" t="n"/>
      <c r="F592" s="124" t="n"/>
      <c r="G592" s="125" t="n"/>
      <c r="H592" s="125" t="n"/>
      <c r="I592" s="124" t="n"/>
      <c r="J592" s="125" t="n"/>
      <c r="K592" s="124" t="n"/>
      <c r="L592" s="125" t="n"/>
      <c r="M592" s="126" t="n"/>
      <c r="N592" s="124" t="n"/>
    </row>
    <row r="593" ht="15" customHeight="1" s="74">
      <c r="A593" s="121" t="n"/>
      <c r="B593" s="122" t="n"/>
      <c r="C593" s="122" t="n"/>
      <c r="D593" s="123" t="n"/>
      <c r="E593" s="121" t="n"/>
      <c r="F593" s="124" t="n"/>
      <c r="G593" s="125" t="n"/>
      <c r="H593" s="125" t="n"/>
      <c r="I593" s="124" t="n"/>
      <c r="J593" s="125" t="n"/>
      <c r="K593" s="124" t="n"/>
      <c r="L593" s="125" t="n"/>
      <c r="M593" s="126" t="n"/>
      <c r="N593" s="124" t="n"/>
    </row>
    <row r="594" ht="15" customHeight="1" s="74">
      <c r="A594" s="121" t="n"/>
      <c r="B594" s="122" t="n"/>
      <c r="C594" s="122" t="n"/>
      <c r="D594" s="123" t="n"/>
      <c r="E594" s="121" t="n"/>
      <c r="F594" s="124" t="n"/>
      <c r="G594" s="125" t="n"/>
      <c r="H594" s="125" t="n"/>
      <c r="I594" s="124" t="n"/>
      <c r="J594" s="125" t="n"/>
      <c r="K594" s="124" t="n"/>
      <c r="L594" s="125" t="n"/>
      <c r="M594" s="126" t="n"/>
      <c r="N594" s="124" t="n"/>
    </row>
    <row r="595" ht="15" customHeight="1" s="74">
      <c r="A595" s="121" t="n"/>
      <c r="B595" s="122" t="n"/>
      <c r="C595" s="122" t="n"/>
      <c r="D595" s="123" t="n"/>
      <c r="E595" s="121" t="n"/>
      <c r="F595" s="124" t="n"/>
      <c r="G595" s="125" t="n"/>
      <c r="H595" s="125" t="n"/>
      <c r="I595" s="124" t="n"/>
      <c r="J595" s="125" t="n"/>
      <c r="K595" s="124" t="n"/>
      <c r="L595" s="125" t="n"/>
      <c r="M595" s="126" t="n"/>
      <c r="N595" s="124" t="n"/>
    </row>
    <row r="596" ht="15" customHeight="1" s="74">
      <c r="A596" s="121" t="n"/>
      <c r="B596" s="122" t="n"/>
      <c r="C596" s="122" t="n"/>
      <c r="D596" s="123" t="n"/>
      <c r="E596" s="121" t="n"/>
      <c r="F596" s="124" t="n"/>
      <c r="G596" s="125" t="n"/>
      <c r="H596" s="125" t="n"/>
      <c r="I596" s="124" t="n"/>
      <c r="J596" s="125" t="n"/>
      <c r="K596" s="124" t="n"/>
      <c r="L596" s="125" t="n"/>
      <c r="M596" s="126" t="n"/>
      <c r="N596" s="124" t="n"/>
    </row>
    <row r="597" ht="15" customHeight="1" s="74">
      <c r="A597" s="121" t="n"/>
      <c r="B597" s="122" t="n"/>
      <c r="C597" s="122" t="n"/>
      <c r="D597" s="123" t="n"/>
      <c r="E597" s="121" t="n"/>
      <c r="F597" s="124" t="n"/>
      <c r="G597" s="125" t="n"/>
      <c r="H597" s="125" t="n"/>
      <c r="I597" s="124" t="n"/>
      <c r="J597" s="125" t="n"/>
      <c r="K597" s="124" t="n"/>
      <c r="L597" s="125" t="n"/>
      <c r="M597" s="126" t="n"/>
      <c r="N597" s="124" t="n"/>
    </row>
    <row r="598" ht="15" customHeight="1" s="74">
      <c r="A598" s="121" t="n"/>
      <c r="B598" s="122" t="n"/>
      <c r="C598" s="122" t="n"/>
      <c r="D598" s="123" t="n"/>
      <c r="E598" s="121" t="n"/>
      <c r="F598" s="124" t="n"/>
      <c r="G598" s="125" t="n"/>
      <c r="H598" s="125" t="n"/>
      <c r="I598" s="124" t="n"/>
      <c r="J598" s="125" t="n"/>
      <c r="K598" s="124" t="n"/>
      <c r="L598" s="125" t="n"/>
      <c r="M598" s="126" t="n"/>
      <c r="N598" s="124" t="n"/>
    </row>
    <row r="599" ht="15" customHeight="1" s="74">
      <c r="A599" s="121" t="n"/>
      <c r="B599" s="122" t="n"/>
      <c r="C599" s="122" t="n"/>
      <c r="D599" s="123" t="n"/>
      <c r="E599" s="121" t="n"/>
      <c r="F599" s="124" t="n"/>
      <c r="G599" s="125" t="n"/>
      <c r="H599" s="125" t="n"/>
      <c r="I599" s="124" t="n"/>
      <c r="J599" s="125" t="n"/>
      <c r="K599" s="124" t="n"/>
      <c r="L599" s="125" t="n"/>
      <c r="M599" s="126" t="n"/>
      <c r="N599" s="124" t="n"/>
    </row>
    <row r="600" ht="15" customHeight="1" s="74">
      <c r="A600" s="121" t="n"/>
      <c r="B600" s="122" t="n"/>
      <c r="C600" s="122" t="n"/>
      <c r="D600" s="123" t="n"/>
      <c r="E600" s="121" t="n"/>
      <c r="F600" s="124" t="n"/>
      <c r="G600" s="125" t="n"/>
      <c r="H600" s="125" t="n"/>
      <c r="I600" s="124" t="n"/>
      <c r="J600" s="125" t="n"/>
      <c r="K600" s="124" t="n"/>
      <c r="L600" s="125" t="n"/>
      <c r="M600" s="126" t="n"/>
      <c r="N600" s="124" t="n"/>
    </row>
    <row r="601" ht="15" customHeight="1" s="74">
      <c r="A601" s="121" t="n"/>
      <c r="B601" s="122" t="n"/>
      <c r="C601" s="122" t="n"/>
      <c r="D601" s="123" t="n"/>
      <c r="E601" s="121" t="n"/>
      <c r="F601" s="124" t="n"/>
      <c r="G601" s="125" t="n"/>
      <c r="H601" s="125" t="n"/>
      <c r="I601" s="124" t="n"/>
      <c r="J601" s="125" t="n"/>
      <c r="K601" s="124" t="n"/>
      <c r="L601" s="125" t="n"/>
      <c r="M601" s="126" t="n"/>
      <c r="N601" s="124" t="n"/>
    </row>
    <row r="602" ht="15" customHeight="1" s="74">
      <c r="A602" s="121" t="n"/>
      <c r="B602" s="122" t="n"/>
      <c r="C602" s="122" t="n"/>
      <c r="D602" s="123" t="n"/>
      <c r="E602" s="121" t="n"/>
      <c r="F602" s="124" t="n"/>
      <c r="G602" s="125" t="n"/>
      <c r="H602" s="125" t="n"/>
      <c r="I602" s="124" t="n"/>
      <c r="J602" s="125" t="n"/>
      <c r="K602" s="124" t="n"/>
      <c r="L602" s="125" t="n"/>
      <c r="M602" s="126" t="n"/>
      <c r="N602" s="124" t="n"/>
    </row>
    <row r="603" ht="15" customHeight="1" s="74">
      <c r="A603" s="121" t="n"/>
      <c r="B603" s="122" t="n"/>
      <c r="C603" s="122" t="n"/>
      <c r="D603" s="123" t="n"/>
      <c r="E603" s="121" t="n"/>
      <c r="F603" s="124" t="n"/>
      <c r="G603" s="125" t="n"/>
      <c r="H603" s="125" t="n"/>
      <c r="I603" s="124" t="n"/>
      <c r="J603" s="125" t="n"/>
      <c r="K603" s="124" t="n"/>
      <c r="L603" s="125" t="n"/>
      <c r="M603" s="126" t="n"/>
      <c r="N603" s="124" t="n"/>
    </row>
    <row r="604" ht="15" customHeight="1" s="74">
      <c r="A604" s="121" t="n"/>
      <c r="B604" s="122" t="n"/>
      <c r="C604" s="122" t="n"/>
      <c r="D604" s="123" t="n"/>
      <c r="E604" s="121" t="n"/>
      <c r="F604" s="124" t="n"/>
      <c r="G604" s="125" t="n"/>
      <c r="H604" s="125" t="n"/>
      <c r="I604" s="124" t="n"/>
      <c r="J604" s="125" t="n"/>
      <c r="K604" s="124" t="n"/>
      <c r="L604" s="125" t="n"/>
      <c r="M604" s="126" t="n"/>
      <c r="N604" s="124" t="n"/>
    </row>
    <row r="605" ht="15" customHeight="1" s="74">
      <c r="A605" s="121" t="n"/>
      <c r="B605" s="122" t="n"/>
      <c r="C605" s="122" t="n"/>
      <c r="D605" s="123" t="n"/>
      <c r="E605" s="121" t="n"/>
      <c r="F605" s="124" t="n"/>
      <c r="G605" s="125" t="n"/>
      <c r="H605" s="125" t="n"/>
      <c r="I605" s="124" t="n"/>
      <c r="J605" s="125" t="n"/>
      <c r="K605" s="124" t="n"/>
      <c r="L605" s="125" t="n"/>
      <c r="M605" s="126" t="n"/>
      <c r="N605" s="124" t="n"/>
    </row>
    <row r="606" ht="15" customHeight="1" s="74">
      <c r="A606" s="121" t="n"/>
      <c r="B606" s="122" t="n"/>
      <c r="C606" s="122" t="n"/>
      <c r="D606" s="123" t="n"/>
      <c r="E606" s="121" t="n"/>
      <c r="F606" s="124" t="n"/>
      <c r="G606" s="125" t="n"/>
      <c r="H606" s="125" t="n"/>
      <c r="I606" s="124" t="n"/>
      <c r="J606" s="125" t="n"/>
      <c r="K606" s="124" t="n"/>
      <c r="L606" s="125" t="n"/>
      <c r="M606" s="126" t="n"/>
      <c r="N606" s="124" t="n"/>
    </row>
    <row r="607" ht="15" customHeight="1" s="74">
      <c r="A607" s="121" t="n"/>
      <c r="B607" s="122" t="n"/>
      <c r="C607" s="122" t="n"/>
      <c r="D607" s="123" t="n"/>
      <c r="E607" s="121" t="n"/>
      <c r="F607" s="124" t="n"/>
      <c r="G607" s="125" t="n"/>
      <c r="H607" s="125" t="n"/>
      <c r="I607" s="124" t="n"/>
      <c r="J607" s="125" t="n"/>
      <c r="K607" s="124" t="n"/>
      <c r="L607" s="125" t="n"/>
      <c r="M607" s="126" t="n"/>
      <c r="N607" s="124" t="n"/>
    </row>
    <row r="608" ht="15" customHeight="1" s="74">
      <c r="A608" s="121" t="n"/>
      <c r="B608" s="122" t="n"/>
      <c r="C608" s="122" t="n"/>
      <c r="D608" s="123" t="n"/>
      <c r="E608" s="121" t="n"/>
      <c r="F608" s="124" t="n"/>
      <c r="G608" s="125" t="n"/>
      <c r="H608" s="125" t="n"/>
      <c r="I608" s="124" t="n"/>
      <c r="J608" s="125" t="n"/>
      <c r="K608" s="124" t="n"/>
      <c r="L608" s="125" t="n"/>
      <c r="M608" s="126" t="n"/>
      <c r="N608" s="124" t="n"/>
    </row>
    <row r="609" ht="15" customHeight="1" s="74">
      <c r="A609" s="121" t="n"/>
      <c r="B609" s="122" t="n"/>
      <c r="C609" s="122" t="n"/>
      <c r="D609" s="123" t="n"/>
      <c r="E609" s="121" t="n"/>
      <c r="F609" s="124" t="n"/>
      <c r="G609" s="125" t="n"/>
      <c r="H609" s="125" t="n"/>
      <c r="I609" s="124" t="n"/>
      <c r="J609" s="125" t="n"/>
      <c r="K609" s="124" t="n"/>
      <c r="L609" s="125" t="n"/>
      <c r="M609" s="126" t="n"/>
      <c r="N609" s="124" t="n"/>
    </row>
    <row r="610" ht="15" customHeight="1" s="74">
      <c r="A610" s="121" t="n"/>
      <c r="B610" s="122" t="n"/>
      <c r="C610" s="122" t="n"/>
      <c r="D610" s="123" t="n"/>
      <c r="E610" s="121" t="n"/>
      <c r="F610" s="124" t="n"/>
      <c r="G610" s="125" t="n"/>
      <c r="H610" s="125" t="n"/>
      <c r="I610" s="124" t="n"/>
      <c r="J610" s="125" t="n"/>
      <c r="K610" s="124" t="n"/>
      <c r="L610" s="125" t="n"/>
      <c r="M610" s="126" t="n"/>
      <c r="N610" s="124" t="n"/>
    </row>
    <row r="611" ht="15" customHeight="1" s="74">
      <c r="A611" s="121" t="n"/>
      <c r="B611" s="122" t="n"/>
      <c r="C611" s="122" t="n"/>
      <c r="D611" s="123" t="n"/>
      <c r="E611" s="121" t="n"/>
      <c r="F611" s="124" t="n"/>
      <c r="G611" s="125" t="n"/>
      <c r="H611" s="125" t="n"/>
      <c r="I611" s="124" t="n"/>
      <c r="J611" s="125" t="n"/>
      <c r="K611" s="124" t="n"/>
      <c r="L611" s="125" t="n"/>
      <c r="M611" s="126" t="n"/>
      <c r="N611" s="124" t="n"/>
    </row>
    <row r="612" ht="15" customHeight="1" s="74">
      <c r="A612" s="121" t="n"/>
      <c r="B612" s="122" t="n"/>
      <c r="C612" s="122" t="n"/>
      <c r="D612" s="123" t="n"/>
      <c r="E612" s="121" t="n"/>
      <c r="F612" s="124" t="n"/>
      <c r="G612" s="125" t="n"/>
      <c r="H612" s="125" t="n"/>
      <c r="I612" s="124" t="n"/>
      <c r="J612" s="125" t="n"/>
      <c r="K612" s="124" t="n"/>
      <c r="L612" s="125" t="n"/>
      <c r="M612" s="126" t="n"/>
      <c r="N612" s="124" t="n"/>
    </row>
    <row r="613" ht="15" customHeight="1" s="74">
      <c r="A613" s="121" t="n"/>
      <c r="B613" s="122" t="n"/>
      <c r="C613" s="122" t="n"/>
      <c r="D613" s="123" t="n"/>
      <c r="E613" s="121" t="n"/>
      <c r="F613" s="124" t="n"/>
      <c r="G613" s="125" t="n"/>
      <c r="H613" s="125" t="n"/>
      <c r="I613" s="124" t="n"/>
      <c r="J613" s="125" t="n"/>
      <c r="K613" s="124" t="n"/>
      <c r="L613" s="125" t="n"/>
      <c r="M613" s="126" t="n"/>
      <c r="N613" s="124" t="n"/>
    </row>
    <row r="614" ht="15" customHeight="1" s="74">
      <c r="A614" s="121" t="n"/>
      <c r="B614" s="122" t="n"/>
      <c r="C614" s="122" t="n"/>
      <c r="D614" s="123" t="n"/>
      <c r="E614" s="121" t="n"/>
      <c r="F614" s="124" t="n"/>
      <c r="G614" s="125" t="n"/>
      <c r="H614" s="125" t="n"/>
      <c r="I614" s="124" t="n"/>
      <c r="J614" s="125" t="n"/>
      <c r="K614" s="124" t="n"/>
      <c r="L614" s="125" t="n"/>
      <c r="M614" s="126" t="n"/>
      <c r="N614" s="124" t="n"/>
    </row>
    <row r="615" ht="15" customHeight="1" s="74">
      <c r="A615" s="121" t="n"/>
      <c r="B615" s="122" t="n"/>
      <c r="C615" s="122" t="n"/>
      <c r="D615" s="123" t="n"/>
      <c r="E615" s="121" t="n"/>
      <c r="F615" s="124" t="n"/>
      <c r="G615" s="125" t="n"/>
      <c r="H615" s="125" t="n"/>
      <c r="I615" s="124" t="n"/>
      <c r="J615" s="125" t="n"/>
      <c r="K615" s="124" t="n"/>
      <c r="L615" s="125" t="n"/>
      <c r="M615" s="126" t="n"/>
      <c r="N615" s="124" t="n"/>
    </row>
    <row r="616" ht="15" customHeight="1" s="74">
      <c r="A616" s="121" t="n"/>
      <c r="B616" s="122" t="n"/>
      <c r="C616" s="122" t="n"/>
      <c r="D616" s="123" t="n"/>
      <c r="E616" s="121" t="n"/>
      <c r="F616" s="124" t="n"/>
      <c r="G616" s="125" t="n"/>
      <c r="H616" s="125" t="n"/>
      <c r="I616" s="124" t="n"/>
      <c r="J616" s="125" t="n"/>
      <c r="K616" s="124" t="n"/>
      <c r="L616" s="125" t="n"/>
      <c r="M616" s="126" t="n"/>
      <c r="N616" s="124" t="n"/>
    </row>
    <row r="617" ht="15" customHeight="1" s="74">
      <c r="A617" s="121" t="n"/>
      <c r="B617" s="122" t="n"/>
      <c r="C617" s="122" t="n"/>
      <c r="D617" s="123" t="n"/>
      <c r="E617" s="121" t="n"/>
      <c r="F617" s="124" t="n"/>
      <c r="G617" s="125" t="n"/>
      <c r="H617" s="125" t="n"/>
      <c r="I617" s="124" t="n"/>
      <c r="J617" s="125" t="n"/>
      <c r="K617" s="124" t="n"/>
      <c r="L617" s="125" t="n"/>
      <c r="M617" s="126" t="n"/>
      <c r="N617" s="124" t="n"/>
    </row>
    <row r="618" ht="15" customHeight="1" s="74">
      <c r="A618" s="121" t="n"/>
      <c r="B618" s="122" t="n"/>
      <c r="C618" s="122" t="n"/>
      <c r="D618" s="123" t="n"/>
      <c r="E618" s="121" t="n"/>
      <c r="F618" s="124" t="n"/>
      <c r="G618" s="125" t="n"/>
      <c r="H618" s="125" t="n"/>
      <c r="I618" s="124" t="n"/>
      <c r="J618" s="125" t="n"/>
      <c r="K618" s="124" t="n"/>
      <c r="L618" s="125" t="n"/>
      <c r="M618" s="126" t="n"/>
      <c r="N618" s="124" t="n"/>
    </row>
    <row r="619" ht="15" customHeight="1" s="74">
      <c r="A619" s="121" t="n"/>
      <c r="B619" s="122" t="n"/>
      <c r="C619" s="122" t="n"/>
      <c r="D619" s="123" t="n"/>
      <c r="E619" s="121" t="n"/>
      <c r="F619" s="124" t="n"/>
      <c r="G619" s="125" t="n"/>
      <c r="H619" s="125" t="n"/>
      <c r="I619" s="124" t="n"/>
      <c r="J619" s="125" t="n"/>
      <c r="K619" s="124" t="n"/>
      <c r="L619" s="125" t="n"/>
      <c r="M619" s="126" t="n"/>
      <c r="N619" s="124" t="n"/>
    </row>
    <row r="620" ht="15" customHeight="1" s="74">
      <c r="A620" s="121" t="n"/>
      <c r="B620" s="122" t="n"/>
      <c r="C620" s="122" t="n"/>
      <c r="D620" s="123" t="n"/>
      <c r="E620" s="121" t="n"/>
      <c r="F620" s="124" t="n"/>
      <c r="G620" s="125" t="n"/>
      <c r="H620" s="125" t="n"/>
      <c r="I620" s="124" t="n"/>
      <c r="J620" s="125" t="n"/>
      <c r="K620" s="124" t="n"/>
      <c r="L620" s="125" t="n"/>
      <c r="M620" s="126" t="n"/>
      <c r="N620" s="124" t="n"/>
    </row>
    <row r="621" ht="15" customHeight="1" s="74">
      <c r="A621" s="121" t="n"/>
      <c r="B621" s="122" t="n"/>
      <c r="C621" s="122" t="n"/>
      <c r="D621" s="123" t="n"/>
      <c r="E621" s="121" t="n"/>
      <c r="F621" s="124" t="n"/>
      <c r="G621" s="125" t="n"/>
      <c r="H621" s="125" t="n"/>
      <c r="I621" s="124" t="n"/>
      <c r="J621" s="125" t="n"/>
      <c r="K621" s="124" t="n"/>
      <c r="L621" s="125" t="n"/>
      <c r="M621" s="126" t="n"/>
      <c r="N621" s="124" t="n"/>
    </row>
    <row r="622" ht="15" customHeight="1" s="74">
      <c r="A622" s="121" t="n"/>
      <c r="B622" s="122" t="n"/>
      <c r="C622" s="122" t="n"/>
      <c r="D622" s="123" t="n"/>
      <c r="E622" s="121" t="n"/>
      <c r="F622" s="124" t="n"/>
      <c r="G622" s="125" t="n"/>
      <c r="H622" s="125" t="n"/>
      <c r="I622" s="124" t="n"/>
      <c r="J622" s="125" t="n"/>
      <c r="K622" s="124" t="n"/>
      <c r="L622" s="125" t="n"/>
      <c r="M622" s="126" t="n"/>
      <c r="N622" s="124" t="n"/>
    </row>
    <row r="623" ht="15" customHeight="1" s="74">
      <c r="A623" s="121" t="n"/>
      <c r="B623" s="122" t="n"/>
      <c r="C623" s="122" t="n"/>
      <c r="D623" s="123" t="n"/>
      <c r="E623" s="121" t="n"/>
      <c r="F623" s="124" t="n"/>
      <c r="G623" s="125" t="n"/>
      <c r="H623" s="125" t="n"/>
      <c r="I623" s="124" t="n"/>
      <c r="J623" s="125" t="n"/>
      <c r="K623" s="124" t="n"/>
      <c r="L623" s="125" t="n"/>
      <c r="M623" s="126" t="n"/>
      <c r="N623" s="124" t="n"/>
    </row>
    <row r="624" ht="15" customHeight="1" s="74">
      <c r="A624" s="121" t="n"/>
      <c r="B624" s="122" t="n"/>
      <c r="C624" s="122" t="n"/>
      <c r="D624" s="123" t="n"/>
      <c r="E624" s="121" t="n"/>
      <c r="F624" s="124" t="n"/>
      <c r="G624" s="125" t="n"/>
      <c r="H624" s="125" t="n"/>
      <c r="I624" s="124" t="n"/>
      <c r="J624" s="125" t="n"/>
      <c r="K624" s="124" t="n"/>
      <c r="L624" s="125" t="n"/>
      <c r="M624" s="126" t="n"/>
      <c r="N624" s="124" t="n"/>
    </row>
    <row r="625" ht="15" customHeight="1" s="74">
      <c r="A625" s="121" t="n"/>
      <c r="B625" s="122" t="n"/>
      <c r="C625" s="122" t="n"/>
      <c r="D625" s="123" t="n"/>
      <c r="E625" s="121" t="n"/>
      <c r="F625" s="124" t="n"/>
      <c r="G625" s="125" t="n"/>
      <c r="H625" s="125" t="n"/>
      <c r="I625" s="124" t="n"/>
      <c r="J625" s="125" t="n"/>
      <c r="K625" s="124" t="n"/>
      <c r="L625" s="125" t="n"/>
      <c r="M625" s="126" t="n"/>
      <c r="N625" s="124" t="n"/>
    </row>
    <row r="626" ht="15" customHeight="1" s="74">
      <c r="A626" s="121" t="n"/>
      <c r="B626" s="122" t="n"/>
      <c r="C626" s="122" t="n"/>
      <c r="D626" s="123" t="n"/>
      <c r="E626" s="121" t="n"/>
      <c r="F626" s="124" t="n"/>
      <c r="G626" s="125" t="n"/>
      <c r="H626" s="125" t="n"/>
      <c r="I626" s="124" t="n"/>
      <c r="J626" s="125" t="n"/>
      <c r="K626" s="124" t="n"/>
      <c r="L626" s="125" t="n"/>
      <c r="M626" s="126" t="n"/>
      <c r="N626" s="124" t="n"/>
    </row>
    <row r="627" ht="15" customHeight="1" s="74">
      <c r="A627" s="121" t="n"/>
      <c r="B627" s="122" t="n"/>
      <c r="C627" s="122" t="n"/>
      <c r="D627" s="123" t="n"/>
      <c r="E627" s="121" t="n"/>
      <c r="F627" s="124" t="n"/>
      <c r="G627" s="125" t="n"/>
      <c r="H627" s="125" t="n"/>
      <c r="I627" s="124" t="n"/>
      <c r="J627" s="125" t="n"/>
      <c r="K627" s="124" t="n"/>
      <c r="L627" s="125" t="n"/>
      <c r="M627" s="126" t="n"/>
      <c r="N627" s="124" t="n"/>
    </row>
    <row r="628" ht="15" customHeight="1" s="74">
      <c r="A628" s="121" t="n"/>
      <c r="B628" s="122" t="n"/>
      <c r="C628" s="122" t="n"/>
      <c r="D628" s="123" t="n"/>
      <c r="E628" s="121" t="n"/>
      <c r="F628" s="124" t="n"/>
      <c r="G628" s="125" t="n"/>
      <c r="H628" s="125" t="n"/>
      <c r="I628" s="124" t="n"/>
      <c r="J628" s="125" t="n"/>
      <c r="K628" s="124" t="n"/>
      <c r="L628" s="125" t="n"/>
      <c r="M628" s="126" t="n"/>
      <c r="N628" s="124" t="n"/>
    </row>
    <row r="629" ht="15" customHeight="1" s="74">
      <c r="A629" s="121" t="n"/>
      <c r="B629" s="122" t="n"/>
      <c r="C629" s="122" t="n"/>
      <c r="D629" s="123" t="n"/>
      <c r="E629" s="121" t="n"/>
      <c r="F629" s="124" t="n"/>
      <c r="G629" s="125" t="n"/>
      <c r="H629" s="125" t="n"/>
      <c r="I629" s="124" t="n"/>
      <c r="J629" s="125" t="n"/>
      <c r="K629" s="124" t="n"/>
      <c r="L629" s="125" t="n"/>
      <c r="M629" s="126" t="n"/>
      <c r="N629" s="124" t="n"/>
    </row>
    <row r="630" ht="15" customHeight="1" s="74">
      <c r="A630" s="121" t="n"/>
      <c r="B630" s="122" t="n"/>
      <c r="C630" s="122" t="n"/>
      <c r="D630" s="123" t="n"/>
      <c r="E630" s="121" t="n"/>
      <c r="F630" s="124" t="n"/>
      <c r="G630" s="125" t="n"/>
      <c r="H630" s="125" t="n"/>
      <c r="I630" s="124" t="n"/>
      <c r="J630" s="125" t="n"/>
      <c r="K630" s="124" t="n"/>
      <c r="L630" s="125" t="n"/>
      <c r="M630" s="126" t="n"/>
      <c r="N630" s="124" t="n"/>
    </row>
    <row r="631" ht="15" customHeight="1" s="74">
      <c r="A631" s="121" t="n"/>
      <c r="B631" s="122" t="n"/>
      <c r="C631" s="122" t="n"/>
      <c r="D631" s="123" t="n"/>
      <c r="E631" s="121" t="n"/>
      <c r="F631" s="124" t="n"/>
      <c r="G631" s="125" t="n"/>
      <c r="H631" s="125" t="n"/>
      <c r="I631" s="124" t="n"/>
      <c r="J631" s="125" t="n"/>
      <c r="K631" s="124" t="n"/>
      <c r="L631" s="125" t="n"/>
      <c r="M631" s="126" t="n"/>
      <c r="N631" s="124" t="n"/>
    </row>
    <row r="632" ht="15" customHeight="1" s="74">
      <c r="A632" s="121" t="n"/>
      <c r="B632" s="122" t="n"/>
      <c r="C632" s="122" t="n"/>
      <c r="D632" s="123" t="n"/>
      <c r="E632" s="121" t="n"/>
      <c r="F632" s="124" t="n"/>
      <c r="G632" s="125" t="n"/>
      <c r="H632" s="125" t="n"/>
      <c r="I632" s="124" t="n"/>
      <c r="J632" s="125" t="n"/>
      <c r="K632" s="124" t="n"/>
      <c r="L632" s="125" t="n"/>
      <c r="M632" s="126" t="n"/>
      <c r="N632" s="124" t="n"/>
    </row>
    <row r="633" ht="15" customHeight="1" s="74">
      <c r="A633" s="121" t="n"/>
      <c r="B633" s="122" t="n"/>
      <c r="C633" s="122" t="n"/>
      <c r="D633" s="123" t="n"/>
      <c r="E633" s="121" t="n"/>
      <c r="F633" s="124" t="n"/>
      <c r="G633" s="125" t="n"/>
      <c r="H633" s="125" t="n"/>
      <c r="I633" s="124" t="n"/>
      <c r="J633" s="125" t="n"/>
      <c r="K633" s="124" t="n"/>
      <c r="L633" s="125" t="n"/>
      <c r="M633" s="126" t="n"/>
      <c r="N633" s="124" t="n"/>
    </row>
    <row r="634" ht="15" customHeight="1" s="74">
      <c r="A634" s="121" t="n"/>
      <c r="B634" s="122" t="n"/>
      <c r="C634" s="122" t="n"/>
      <c r="D634" s="123" t="n"/>
      <c r="E634" s="121" t="n"/>
      <c r="F634" s="124" t="n"/>
      <c r="G634" s="125" t="n"/>
      <c r="H634" s="125" t="n"/>
      <c r="I634" s="124" t="n"/>
      <c r="J634" s="125" t="n"/>
      <c r="K634" s="124" t="n"/>
      <c r="L634" s="125" t="n"/>
      <c r="M634" s="126" t="n"/>
      <c r="N634" s="124" t="n"/>
    </row>
    <row r="635" ht="15" customHeight="1" s="74">
      <c r="A635" s="121" t="n"/>
      <c r="B635" s="122" t="n"/>
      <c r="C635" s="122" t="n"/>
      <c r="D635" s="123" t="n"/>
      <c r="E635" s="121" t="n"/>
      <c r="F635" s="124" t="n"/>
      <c r="G635" s="125" t="n"/>
      <c r="H635" s="125" t="n"/>
      <c r="I635" s="124" t="n"/>
      <c r="J635" s="125" t="n"/>
      <c r="K635" s="124" t="n"/>
      <c r="L635" s="125" t="n"/>
      <c r="M635" s="126" t="n"/>
      <c r="N635" s="124" t="n"/>
    </row>
    <row r="636" ht="15" customHeight="1" s="74">
      <c r="A636" s="121" t="n"/>
      <c r="B636" s="122" t="n"/>
      <c r="C636" s="122" t="n"/>
      <c r="D636" s="123" t="n"/>
      <c r="E636" s="121" t="n"/>
      <c r="F636" s="124" t="n"/>
      <c r="G636" s="125" t="n"/>
      <c r="H636" s="125" t="n"/>
      <c r="I636" s="124" t="n"/>
      <c r="J636" s="125" t="n"/>
      <c r="K636" s="124" t="n"/>
      <c r="L636" s="125" t="n"/>
      <c r="M636" s="126" t="n"/>
      <c r="N636" s="124" t="n"/>
    </row>
    <row r="637" ht="15" customHeight="1" s="74">
      <c r="A637" s="121" t="n"/>
      <c r="B637" s="122" t="n"/>
      <c r="C637" s="122" t="n"/>
      <c r="D637" s="123" t="n"/>
      <c r="E637" s="121" t="n"/>
      <c r="F637" s="124" t="n"/>
      <c r="G637" s="125" t="n"/>
      <c r="H637" s="125" t="n"/>
      <c r="I637" s="124" t="n"/>
      <c r="J637" s="125" t="n"/>
      <c r="K637" s="124" t="n"/>
      <c r="L637" s="125" t="n"/>
      <c r="M637" s="126" t="n"/>
      <c r="N637" s="124" t="n"/>
    </row>
    <row r="638" ht="15" customHeight="1" s="74">
      <c r="A638" s="121" t="n"/>
      <c r="B638" s="122" t="n"/>
      <c r="C638" s="122" t="n"/>
      <c r="D638" s="123" t="n"/>
      <c r="E638" s="121" t="n"/>
      <c r="F638" s="124" t="n"/>
      <c r="G638" s="125" t="n"/>
      <c r="H638" s="125" t="n"/>
      <c r="I638" s="124" t="n"/>
      <c r="J638" s="125" t="n"/>
      <c r="K638" s="124" t="n"/>
      <c r="L638" s="125" t="n"/>
      <c r="M638" s="126" t="n"/>
      <c r="N638" s="124" t="n"/>
    </row>
    <row r="639" ht="15" customHeight="1" s="74">
      <c r="A639" s="121" t="n"/>
      <c r="B639" s="122" t="n"/>
      <c r="C639" s="122" t="n"/>
      <c r="D639" s="123" t="n"/>
      <c r="E639" s="121" t="n"/>
      <c r="F639" s="124" t="n"/>
      <c r="G639" s="125" t="n"/>
      <c r="H639" s="125" t="n"/>
      <c r="I639" s="124" t="n"/>
      <c r="J639" s="125" t="n"/>
      <c r="K639" s="124" t="n"/>
      <c r="L639" s="125" t="n"/>
      <c r="M639" s="126" t="n"/>
      <c r="N639" s="124" t="n"/>
    </row>
    <row r="640" ht="15" customHeight="1" s="74">
      <c r="A640" s="121" t="n"/>
      <c r="B640" s="122" t="n"/>
      <c r="C640" s="122" t="n"/>
      <c r="D640" s="123" t="n"/>
      <c r="E640" s="121" t="n"/>
      <c r="F640" s="124" t="n"/>
      <c r="G640" s="125" t="n"/>
      <c r="H640" s="125" t="n"/>
      <c r="I640" s="124" t="n"/>
      <c r="J640" s="125" t="n"/>
      <c r="K640" s="124" t="n"/>
      <c r="L640" s="125" t="n"/>
      <c r="M640" s="126" t="n"/>
      <c r="N640" s="124" t="n"/>
    </row>
    <row r="641" ht="15" customHeight="1" s="74">
      <c r="A641" s="121" t="n"/>
      <c r="B641" s="122" t="n"/>
      <c r="C641" s="122" t="n"/>
      <c r="D641" s="123" t="n"/>
      <c r="E641" s="121" t="n"/>
      <c r="F641" s="124" t="n"/>
      <c r="G641" s="125" t="n"/>
      <c r="H641" s="125" t="n"/>
      <c r="I641" s="124" t="n"/>
      <c r="J641" s="125" t="n"/>
      <c r="K641" s="124" t="n"/>
      <c r="L641" s="125" t="n"/>
      <c r="M641" s="126" t="n"/>
      <c r="N641" s="124" t="n"/>
    </row>
    <row r="642" ht="15" customHeight="1" s="74">
      <c r="A642" s="121" t="n"/>
      <c r="B642" s="122" t="n"/>
      <c r="C642" s="122" t="n"/>
      <c r="D642" s="123" t="n"/>
      <c r="E642" s="121" t="n"/>
      <c r="F642" s="124" t="n"/>
      <c r="G642" s="125" t="n"/>
      <c r="H642" s="125" t="n"/>
      <c r="I642" s="124" t="n"/>
      <c r="J642" s="125" t="n"/>
      <c r="K642" s="124" t="n"/>
      <c r="L642" s="125" t="n"/>
      <c r="M642" s="126" t="n"/>
      <c r="N642" s="124" t="n"/>
    </row>
    <row r="643" ht="15" customHeight="1" s="74">
      <c r="A643" s="121" t="n"/>
      <c r="B643" s="122" t="n"/>
      <c r="C643" s="122" t="n"/>
      <c r="D643" s="123" t="n"/>
      <c r="E643" s="121" t="n"/>
      <c r="F643" s="124" t="n"/>
      <c r="G643" s="125" t="n"/>
      <c r="H643" s="125" t="n"/>
      <c r="I643" s="124" t="n"/>
      <c r="J643" s="125" t="n"/>
      <c r="K643" s="124" t="n"/>
      <c r="L643" s="125" t="n"/>
      <c r="M643" s="126" t="n"/>
      <c r="N643" s="124" t="n"/>
    </row>
    <row r="644" ht="15" customHeight="1" s="74">
      <c r="A644" s="121" t="n"/>
      <c r="B644" s="122" t="n"/>
      <c r="C644" s="122" t="n"/>
      <c r="D644" s="123" t="n"/>
      <c r="E644" s="121" t="n"/>
      <c r="F644" s="124" t="n"/>
      <c r="G644" s="125" t="n"/>
      <c r="H644" s="125" t="n"/>
      <c r="I644" s="124" t="n"/>
      <c r="J644" s="125" t="n"/>
      <c r="K644" s="124" t="n"/>
      <c r="L644" s="125" t="n"/>
      <c r="M644" s="126" t="n"/>
      <c r="N644" s="124" t="n"/>
    </row>
    <row r="645" ht="15" customHeight="1" s="74">
      <c r="A645" s="121" t="n"/>
      <c r="B645" s="122" t="n"/>
      <c r="C645" s="122" t="n"/>
      <c r="D645" s="123" t="n"/>
      <c r="E645" s="121" t="n"/>
      <c r="F645" s="124" t="n"/>
      <c r="G645" s="125" t="n"/>
      <c r="H645" s="125" t="n"/>
      <c r="I645" s="124" t="n"/>
      <c r="J645" s="125" t="n"/>
      <c r="K645" s="124" t="n"/>
      <c r="L645" s="125" t="n"/>
      <c r="M645" s="126" t="n"/>
      <c r="N645" s="124" t="n"/>
    </row>
    <row r="646" ht="15" customHeight="1" s="74">
      <c r="A646" s="121" t="n"/>
      <c r="B646" s="122" t="n"/>
      <c r="C646" s="122" t="n"/>
      <c r="D646" s="123" t="n"/>
      <c r="E646" s="121" t="n"/>
      <c r="F646" s="124" t="n"/>
      <c r="G646" s="125" t="n"/>
      <c r="H646" s="125" t="n"/>
      <c r="I646" s="124" t="n"/>
      <c r="J646" s="125" t="n"/>
      <c r="K646" s="124" t="n"/>
      <c r="L646" s="125" t="n"/>
      <c r="M646" s="126" t="n"/>
      <c r="N646" s="124" t="n"/>
    </row>
    <row r="647" ht="15" customHeight="1" s="74">
      <c r="A647" s="121" t="n"/>
      <c r="B647" s="122" t="n"/>
      <c r="C647" s="122" t="n"/>
      <c r="D647" s="123" t="n"/>
      <c r="E647" s="121" t="n"/>
      <c r="F647" s="124" t="n"/>
      <c r="G647" s="125" t="n"/>
      <c r="H647" s="125" t="n"/>
      <c r="I647" s="124" t="n"/>
      <c r="J647" s="125" t="n"/>
      <c r="K647" s="124" t="n"/>
      <c r="L647" s="125" t="n"/>
      <c r="M647" s="126" t="n"/>
      <c r="N647" s="124" t="n"/>
    </row>
    <row r="648" ht="15" customHeight="1" s="74">
      <c r="A648" s="121" t="n"/>
      <c r="B648" s="122" t="n"/>
      <c r="C648" s="122" t="n"/>
      <c r="D648" s="123" t="n"/>
      <c r="E648" s="121" t="n"/>
      <c r="F648" s="124" t="n"/>
      <c r="G648" s="125" t="n"/>
      <c r="H648" s="125" t="n"/>
      <c r="I648" s="124" t="n"/>
      <c r="J648" s="125" t="n"/>
      <c r="K648" s="124" t="n"/>
      <c r="L648" s="125" t="n"/>
      <c r="M648" s="126" t="n"/>
      <c r="N648" s="124" t="n"/>
    </row>
    <row r="649" ht="15" customHeight="1" s="74">
      <c r="A649" s="121" t="n"/>
      <c r="B649" s="122" t="n"/>
      <c r="C649" s="122" t="n"/>
      <c r="D649" s="123" t="n"/>
      <c r="E649" s="121" t="n"/>
      <c r="F649" s="124" t="n"/>
      <c r="G649" s="125" t="n"/>
      <c r="H649" s="125" t="n"/>
      <c r="I649" s="124" t="n"/>
      <c r="J649" s="125" t="n"/>
      <c r="K649" s="124" t="n"/>
      <c r="L649" s="125" t="n"/>
      <c r="M649" s="126" t="n"/>
      <c r="N649" s="124" t="n"/>
    </row>
    <row r="650" ht="15" customHeight="1" s="74">
      <c r="A650" s="121" t="n"/>
      <c r="B650" s="122" t="n"/>
      <c r="C650" s="122" t="n"/>
      <c r="D650" s="123" t="n"/>
      <c r="E650" s="121" t="n"/>
      <c r="F650" s="124" t="n"/>
      <c r="G650" s="125" t="n"/>
      <c r="H650" s="125" t="n"/>
      <c r="I650" s="124" t="n"/>
      <c r="J650" s="125" t="n"/>
      <c r="K650" s="124" t="n"/>
      <c r="L650" s="125" t="n"/>
      <c r="M650" s="126" t="n"/>
      <c r="N650" s="124" t="n"/>
    </row>
    <row r="651" ht="15" customHeight="1" s="74">
      <c r="A651" s="121" t="n"/>
      <c r="B651" s="122" t="n"/>
      <c r="C651" s="122" t="n"/>
      <c r="D651" s="123" t="n"/>
      <c r="E651" s="121" t="n"/>
      <c r="F651" s="124" t="n"/>
      <c r="G651" s="125" t="n"/>
      <c r="H651" s="125" t="n"/>
      <c r="I651" s="124" t="n"/>
      <c r="J651" s="125" t="n"/>
      <c r="K651" s="124" t="n"/>
      <c r="L651" s="125" t="n"/>
      <c r="M651" s="126" t="n"/>
      <c r="N651" s="124" t="n"/>
    </row>
    <row r="652" ht="15" customHeight="1" s="74">
      <c r="A652" s="121" t="n"/>
      <c r="B652" s="122" t="n"/>
      <c r="C652" s="122" t="n"/>
      <c r="D652" s="123" t="n"/>
      <c r="E652" s="121" t="n"/>
      <c r="F652" s="124" t="n"/>
      <c r="G652" s="125" t="n"/>
      <c r="H652" s="125" t="n"/>
      <c r="I652" s="124" t="n"/>
      <c r="J652" s="125" t="n"/>
      <c r="K652" s="124" t="n"/>
      <c r="L652" s="125" t="n"/>
      <c r="M652" s="126" t="n"/>
      <c r="N652" s="124" t="n"/>
    </row>
    <row r="653" ht="15" customHeight="1" s="74">
      <c r="A653" s="121" t="n"/>
      <c r="B653" s="122" t="n"/>
      <c r="C653" s="122" t="n"/>
      <c r="D653" s="123" t="n"/>
      <c r="E653" s="121" t="n"/>
      <c r="F653" s="124" t="n"/>
      <c r="G653" s="125" t="n"/>
      <c r="H653" s="125" t="n"/>
      <c r="I653" s="124" t="n"/>
      <c r="J653" s="125" t="n"/>
      <c r="K653" s="124" t="n"/>
      <c r="L653" s="125" t="n"/>
      <c r="M653" s="126" t="n"/>
      <c r="N653" s="124" t="n"/>
    </row>
    <row r="654" ht="15" customHeight="1" s="74">
      <c r="A654" s="121" t="n"/>
      <c r="B654" s="122" t="n"/>
      <c r="C654" s="122" t="n"/>
      <c r="D654" s="123" t="n"/>
      <c r="E654" s="121" t="n"/>
      <c r="F654" s="124" t="n"/>
      <c r="G654" s="125" t="n"/>
      <c r="H654" s="125" t="n"/>
      <c r="I654" s="124" t="n"/>
      <c r="J654" s="125" t="n"/>
      <c r="K654" s="124" t="n"/>
      <c r="L654" s="125" t="n"/>
      <c r="M654" s="126" t="n"/>
      <c r="N654" s="124" t="n"/>
    </row>
    <row r="655" ht="15" customHeight="1" s="74">
      <c r="A655" s="121" t="n"/>
      <c r="B655" s="122" t="n"/>
      <c r="C655" s="122" t="n"/>
      <c r="D655" s="123" t="n"/>
      <c r="E655" s="121" t="n"/>
      <c r="F655" s="124" t="n"/>
      <c r="G655" s="125" t="n"/>
      <c r="H655" s="125" t="n"/>
      <c r="I655" s="124" t="n"/>
      <c r="J655" s="125" t="n"/>
      <c r="K655" s="124" t="n"/>
      <c r="L655" s="125" t="n"/>
      <c r="M655" s="126" t="n"/>
      <c r="N655" s="124" t="n"/>
    </row>
    <row r="656" ht="15" customHeight="1" s="74">
      <c r="A656" s="121" t="n"/>
      <c r="B656" s="122" t="n"/>
      <c r="C656" s="122" t="n"/>
      <c r="D656" s="123" t="n"/>
      <c r="E656" s="121" t="n"/>
      <c r="F656" s="124" t="n"/>
      <c r="G656" s="125" t="n"/>
      <c r="H656" s="125" t="n"/>
      <c r="I656" s="124" t="n"/>
      <c r="J656" s="125" t="n"/>
      <c r="K656" s="124" t="n"/>
      <c r="L656" s="125" t="n"/>
      <c r="M656" s="126" t="n"/>
      <c r="N656" s="124" t="n"/>
    </row>
    <row r="657" ht="15" customHeight="1" s="74">
      <c r="A657" s="121" t="n"/>
      <c r="B657" s="122" t="n"/>
      <c r="C657" s="122" t="n"/>
      <c r="D657" s="123" t="n"/>
      <c r="E657" s="121" t="n"/>
      <c r="F657" s="124" t="n"/>
      <c r="G657" s="125" t="n"/>
      <c r="H657" s="125" t="n"/>
      <c r="I657" s="124" t="n"/>
      <c r="J657" s="125" t="n"/>
      <c r="K657" s="124" t="n"/>
      <c r="L657" s="125" t="n"/>
      <c r="M657" s="126" t="n"/>
      <c r="N657" s="124" t="n"/>
    </row>
    <row r="658" ht="15" customHeight="1" s="74">
      <c r="A658" s="121" t="n"/>
      <c r="B658" s="122" t="n"/>
      <c r="C658" s="122" t="n"/>
      <c r="D658" s="123" t="n"/>
      <c r="E658" s="121" t="n"/>
      <c r="F658" s="124" t="n"/>
      <c r="G658" s="125" t="n"/>
      <c r="H658" s="125" t="n"/>
      <c r="I658" s="124" t="n"/>
      <c r="J658" s="125" t="n"/>
      <c r="K658" s="124" t="n"/>
      <c r="L658" s="125" t="n"/>
      <c r="M658" s="126" t="n"/>
      <c r="N658" s="124" t="n"/>
    </row>
    <row r="659" ht="15" customHeight="1" s="74">
      <c r="A659" s="121" t="n"/>
      <c r="B659" s="122" t="n"/>
      <c r="C659" s="122" t="n"/>
      <c r="D659" s="123" t="n"/>
      <c r="E659" s="121" t="n"/>
      <c r="F659" s="124" t="n"/>
      <c r="G659" s="125" t="n"/>
      <c r="H659" s="125" t="n"/>
      <c r="I659" s="124" t="n"/>
      <c r="J659" s="125" t="n"/>
      <c r="K659" s="124" t="n"/>
      <c r="L659" s="125" t="n"/>
      <c r="M659" s="126" t="n"/>
      <c r="N659" s="124" t="n"/>
    </row>
    <row r="660" ht="15" customHeight="1" s="74">
      <c r="A660" s="121" t="n"/>
      <c r="B660" s="122" t="n"/>
      <c r="C660" s="122" t="n"/>
      <c r="D660" s="123" t="n"/>
      <c r="E660" s="121" t="n"/>
      <c r="F660" s="124" t="n"/>
      <c r="G660" s="125" t="n"/>
      <c r="H660" s="125" t="n"/>
      <c r="I660" s="124" t="n"/>
      <c r="J660" s="125" t="n"/>
      <c r="K660" s="124" t="n"/>
      <c r="L660" s="125" t="n"/>
      <c r="M660" s="126" t="n"/>
      <c r="N660" s="124" t="n"/>
    </row>
    <row r="661" ht="15" customHeight="1" s="74">
      <c r="A661" s="121" t="n"/>
      <c r="B661" s="122" t="n"/>
      <c r="C661" s="122" t="n"/>
      <c r="D661" s="123" t="n"/>
      <c r="E661" s="121" t="n"/>
      <c r="F661" s="124" t="n"/>
      <c r="G661" s="125" t="n"/>
      <c r="H661" s="125" t="n"/>
      <c r="I661" s="124" t="n"/>
      <c r="J661" s="125" t="n"/>
      <c r="K661" s="124" t="n"/>
      <c r="L661" s="125" t="n"/>
      <c r="M661" s="126" t="n"/>
      <c r="N661" s="124" t="n"/>
    </row>
    <row r="662" ht="15" customHeight="1" s="74">
      <c r="A662" s="121" t="n"/>
      <c r="B662" s="122" t="n"/>
      <c r="C662" s="122" t="n"/>
      <c r="D662" s="123" t="n"/>
      <c r="E662" s="121" t="n"/>
      <c r="F662" s="124" t="n"/>
      <c r="G662" s="125" t="n"/>
      <c r="H662" s="125" t="n"/>
      <c r="I662" s="124" t="n"/>
      <c r="J662" s="125" t="n"/>
      <c r="K662" s="124" t="n"/>
      <c r="L662" s="125" t="n"/>
      <c r="M662" s="126" t="n"/>
      <c r="N662" s="124" t="n"/>
    </row>
    <row r="663" ht="15" customHeight="1" s="74">
      <c r="A663" s="121" t="n"/>
      <c r="B663" s="122" t="n"/>
      <c r="C663" s="122" t="n"/>
      <c r="D663" s="123" t="n"/>
      <c r="E663" s="121" t="n"/>
      <c r="F663" s="124" t="n"/>
      <c r="G663" s="125" t="n"/>
      <c r="H663" s="125" t="n"/>
      <c r="I663" s="124" t="n"/>
      <c r="J663" s="125" t="n"/>
      <c r="K663" s="124" t="n"/>
      <c r="L663" s="125" t="n"/>
      <c r="M663" s="126" t="n"/>
      <c r="N663" s="124" t="n"/>
    </row>
    <row r="664" ht="15" customHeight="1" s="74">
      <c r="A664" s="121" t="n"/>
      <c r="B664" s="122" t="n"/>
      <c r="C664" s="122" t="n"/>
      <c r="D664" s="123" t="n"/>
      <c r="E664" s="121" t="n"/>
      <c r="F664" s="124" t="n"/>
      <c r="G664" s="125" t="n"/>
      <c r="H664" s="125" t="n"/>
      <c r="I664" s="124" t="n"/>
      <c r="J664" s="125" t="n"/>
      <c r="K664" s="124" t="n"/>
      <c r="L664" s="125" t="n"/>
      <c r="M664" s="126" t="n"/>
      <c r="N664" s="124" t="n"/>
    </row>
    <row r="665" ht="15" customHeight="1" s="74">
      <c r="A665" s="121" t="n"/>
      <c r="B665" s="122" t="n"/>
      <c r="C665" s="122" t="n"/>
      <c r="D665" s="123" t="n"/>
      <c r="E665" s="121" t="n"/>
      <c r="F665" s="124" t="n"/>
      <c r="G665" s="125" t="n"/>
      <c r="H665" s="125" t="n"/>
      <c r="I665" s="124" t="n"/>
      <c r="J665" s="125" t="n"/>
      <c r="K665" s="124" t="n"/>
      <c r="L665" s="125" t="n"/>
      <c r="M665" s="126" t="n"/>
      <c r="N665" s="124" t="n"/>
    </row>
    <row r="666" ht="15" customHeight="1" s="74">
      <c r="A666" s="121" t="n"/>
      <c r="B666" s="122" t="n"/>
      <c r="C666" s="122" t="n"/>
      <c r="D666" s="123" t="n"/>
      <c r="E666" s="121" t="n"/>
      <c r="F666" s="124" t="n"/>
      <c r="G666" s="125" t="n"/>
      <c r="H666" s="125" t="n"/>
      <c r="I666" s="124" t="n"/>
      <c r="J666" s="125" t="n"/>
      <c r="K666" s="124" t="n"/>
      <c r="L666" s="125" t="n"/>
      <c r="M666" s="126" t="n"/>
      <c r="N666" s="124" t="n"/>
    </row>
    <row r="667" ht="15" customHeight="1" s="74">
      <c r="A667" s="121" t="n"/>
      <c r="B667" s="122" t="n"/>
      <c r="C667" s="122" t="n"/>
      <c r="D667" s="123" t="n"/>
      <c r="E667" s="121" t="n"/>
      <c r="F667" s="124" t="n"/>
      <c r="G667" s="125" t="n"/>
      <c r="H667" s="125" t="n"/>
      <c r="I667" s="124" t="n"/>
      <c r="J667" s="125" t="n"/>
      <c r="K667" s="124" t="n"/>
      <c r="L667" s="125" t="n"/>
      <c r="M667" s="126" t="n"/>
      <c r="N667" s="124" t="n"/>
    </row>
    <row r="668" ht="15" customHeight="1" s="74">
      <c r="A668" s="121" t="n"/>
      <c r="B668" s="122" t="n"/>
      <c r="C668" s="122" t="n"/>
      <c r="D668" s="123" t="n"/>
      <c r="E668" s="121" t="n"/>
      <c r="F668" s="124" t="n"/>
      <c r="G668" s="125" t="n"/>
      <c r="H668" s="125" t="n"/>
      <c r="I668" s="124" t="n"/>
      <c r="J668" s="125" t="n"/>
      <c r="K668" s="124" t="n"/>
      <c r="L668" s="125" t="n"/>
      <c r="M668" s="126" t="n"/>
      <c r="N668" s="124" t="n"/>
    </row>
    <row r="669" ht="15" customHeight="1" s="74">
      <c r="A669" s="121" t="n"/>
      <c r="B669" s="122" t="n"/>
      <c r="C669" s="122" t="n"/>
      <c r="D669" s="123" t="n"/>
      <c r="E669" s="121" t="n"/>
      <c r="F669" s="124" t="n"/>
      <c r="G669" s="125" t="n"/>
      <c r="H669" s="125" t="n"/>
      <c r="I669" s="124" t="n"/>
      <c r="J669" s="125" t="n"/>
      <c r="K669" s="124" t="n"/>
      <c r="L669" s="125" t="n"/>
      <c r="M669" s="126" t="n"/>
      <c r="N669" s="124" t="n"/>
    </row>
    <row r="670" ht="15" customHeight="1" s="74">
      <c r="A670" s="121" t="n"/>
      <c r="B670" s="122" t="n"/>
      <c r="C670" s="122" t="n"/>
      <c r="D670" s="123" t="n"/>
      <c r="E670" s="121" t="n"/>
      <c r="F670" s="124" t="n"/>
      <c r="G670" s="125" t="n"/>
      <c r="H670" s="125" t="n"/>
      <c r="I670" s="124" t="n"/>
      <c r="J670" s="125" t="n"/>
      <c r="K670" s="124" t="n"/>
      <c r="L670" s="125" t="n"/>
      <c r="M670" s="126" t="n"/>
      <c r="N670" s="124" t="n"/>
    </row>
    <row r="671" ht="15" customHeight="1" s="74">
      <c r="A671" s="121" t="n"/>
      <c r="B671" s="122" t="n"/>
      <c r="C671" s="122" t="n"/>
      <c r="D671" s="123" t="n"/>
      <c r="E671" s="121" t="n"/>
      <c r="F671" s="124" t="n"/>
      <c r="G671" s="125" t="n"/>
      <c r="H671" s="125" t="n"/>
      <c r="I671" s="124" t="n"/>
      <c r="J671" s="125" t="n"/>
      <c r="K671" s="124" t="n"/>
      <c r="L671" s="125" t="n"/>
      <c r="M671" s="126" t="n"/>
      <c r="N671" s="124" t="n"/>
    </row>
    <row r="672" ht="15" customHeight="1" s="74">
      <c r="A672" s="121" t="n"/>
      <c r="B672" s="122" t="n"/>
      <c r="C672" s="122" t="n"/>
      <c r="D672" s="123" t="n"/>
      <c r="E672" s="121" t="n"/>
      <c r="F672" s="124" t="n"/>
      <c r="G672" s="125" t="n"/>
      <c r="H672" s="125" t="n"/>
      <c r="I672" s="124" t="n"/>
      <c r="J672" s="125" t="n"/>
      <c r="K672" s="124" t="n"/>
      <c r="L672" s="125" t="n"/>
      <c r="M672" s="126" t="n"/>
      <c r="N672" s="124" t="n"/>
    </row>
    <row r="673" ht="15" customHeight="1" s="74">
      <c r="A673" s="121" t="n"/>
      <c r="B673" s="122" t="n"/>
      <c r="C673" s="122" t="n"/>
      <c r="D673" s="123" t="n"/>
      <c r="E673" s="121" t="n"/>
      <c r="F673" s="124" t="n"/>
      <c r="G673" s="125" t="n"/>
      <c r="H673" s="125" t="n"/>
      <c r="I673" s="124" t="n"/>
      <c r="J673" s="125" t="n"/>
      <c r="K673" s="124" t="n"/>
      <c r="L673" s="125" t="n"/>
      <c r="M673" s="126" t="n"/>
      <c r="N673" s="124" t="n"/>
    </row>
    <row r="674" ht="15" customHeight="1" s="74">
      <c r="A674" s="121" t="n"/>
      <c r="B674" s="122" t="n"/>
      <c r="C674" s="122" t="n"/>
      <c r="D674" s="123" t="n"/>
      <c r="E674" s="121" t="n"/>
      <c r="F674" s="124" t="n"/>
      <c r="G674" s="125" t="n"/>
      <c r="H674" s="125" t="n"/>
      <c r="I674" s="124" t="n"/>
      <c r="J674" s="125" t="n"/>
      <c r="K674" s="124" t="n"/>
      <c r="L674" s="125" t="n"/>
      <c r="M674" s="126" t="n"/>
      <c r="N674" s="124" t="n"/>
    </row>
    <row r="675" ht="15" customHeight="1" s="74">
      <c r="A675" s="121" t="n"/>
      <c r="B675" s="122" t="n"/>
      <c r="C675" s="122" t="n"/>
      <c r="D675" s="123" t="n"/>
      <c r="E675" s="121" t="n"/>
      <c r="F675" s="124" t="n"/>
      <c r="G675" s="125" t="n"/>
      <c r="H675" s="125" t="n"/>
      <c r="I675" s="124" t="n"/>
      <c r="J675" s="125" t="n"/>
      <c r="K675" s="124" t="n"/>
      <c r="L675" s="125" t="n"/>
      <c r="M675" s="126" t="n"/>
      <c r="N675" s="124" t="n"/>
    </row>
    <row r="676" ht="15" customHeight="1" s="74">
      <c r="A676" s="121" t="n"/>
      <c r="B676" s="122" t="n"/>
      <c r="C676" s="122" t="n"/>
      <c r="D676" s="123" t="n"/>
      <c r="E676" s="121" t="n"/>
      <c r="F676" s="124" t="n"/>
      <c r="G676" s="125" t="n"/>
      <c r="H676" s="125" t="n"/>
      <c r="I676" s="124" t="n"/>
      <c r="J676" s="125" t="n"/>
      <c r="K676" s="124" t="n"/>
      <c r="L676" s="125" t="n"/>
      <c r="M676" s="126" t="n"/>
      <c r="N676" s="124" t="n"/>
    </row>
    <row r="677" ht="15" customHeight="1" s="74">
      <c r="A677" s="121" t="n"/>
      <c r="B677" s="122" t="n"/>
      <c r="C677" s="122" t="n"/>
      <c r="D677" s="123" t="n"/>
      <c r="E677" s="121" t="n"/>
      <c r="F677" s="124" t="n"/>
      <c r="G677" s="125" t="n"/>
      <c r="H677" s="125" t="n"/>
      <c r="I677" s="124" t="n"/>
      <c r="J677" s="125" t="n"/>
      <c r="K677" s="124" t="n"/>
      <c r="L677" s="125" t="n"/>
      <c r="M677" s="126" t="n"/>
      <c r="N677" s="124" t="n"/>
    </row>
    <row r="678" ht="15" customHeight="1" s="74">
      <c r="A678" s="121" t="n"/>
      <c r="B678" s="122" t="n"/>
      <c r="C678" s="122" t="n"/>
      <c r="D678" s="123" t="n"/>
      <c r="E678" s="121" t="n"/>
      <c r="F678" s="124" t="n"/>
      <c r="G678" s="125" t="n"/>
      <c r="H678" s="125" t="n"/>
      <c r="I678" s="124" t="n"/>
      <c r="J678" s="125" t="n"/>
      <c r="K678" s="124" t="n"/>
      <c r="L678" s="125" t="n"/>
      <c r="M678" s="126" t="n"/>
      <c r="N678" s="124" t="n"/>
    </row>
    <row r="679" ht="15" customHeight="1" s="74">
      <c r="A679" s="121" t="n"/>
      <c r="B679" s="122" t="n"/>
      <c r="C679" s="122" t="n"/>
      <c r="D679" s="123" t="n"/>
      <c r="E679" s="121" t="n"/>
      <c r="F679" s="124" t="n"/>
      <c r="G679" s="125" t="n"/>
      <c r="H679" s="125" t="n"/>
      <c r="I679" s="124" t="n"/>
      <c r="J679" s="125" t="n"/>
      <c r="K679" s="124" t="n"/>
      <c r="L679" s="125" t="n"/>
      <c r="M679" s="126" t="n"/>
      <c r="N679" s="124" t="n"/>
    </row>
    <row r="680" ht="15" customHeight="1" s="74">
      <c r="A680" s="121" t="n"/>
      <c r="B680" s="122" t="n"/>
      <c r="C680" s="122" t="n"/>
      <c r="D680" s="123" t="n"/>
      <c r="E680" s="121" t="n"/>
      <c r="F680" s="124" t="n"/>
      <c r="G680" s="125" t="n"/>
      <c r="H680" s="125" t="n"/>
      <c r="I680" s="124" t="n"/>
      <c r="J680" s="125" t="n"/>
      <c r="K680" s="124" t="n"/>
      <c r="L680" s="125" t="n"/>
      <c r="M680" s="126" t="n"/>
      <c r="N680" s="124" t="n"/>
    </row>
    <row r="681" ht="15" customHeight="1" s="74">
      <c r="A681" s="121" t="n"/>
      <c r="B681" s="122" t="n"/>
      <c r="C681" s="122" t="n"/>
      <c r="D681" s="123" t="n"/>
      <c r="E681" s="121" t="n"/>
      <c r="F681" s="124" t="n"/>
      <c r="G681" s="125" t="n"/>
      <c r="H681" s="125" t="n"/>
      <c r="I681" s="124" t="n"/>
      <c r="J681" s="125" t="n"/>
      <c r="K681" s="124" t="n"/>
      <c r="L681" s="125" t="n"/>
      <c r="M681" s="126" t="n"/>
      <c r="N681" s="124" t="n"/>
    </row>
    <row r="682" ht="15" customHeight="1" s="74">
      <c r="A682" s="121" t="n"/>
      <c r="B682" s="122" t="n"/>
      <c r="C682" s="122" t="n"/>
      <c r="D682" s="123" t="n"/>
      <c r="E682" s="121" t="n"/>
      <c r="F682" s="124" t="n"/>
      <c r="G682" s="125" t="n"/>
      <c r="H682" s="125" t="n"/>
      <c r="I682" s="124" t="n"/>
      <c r="J682" s="125" t="n"/>
      <c r="K682" s="124" t="n"/>
      <c r="L682" s="125" t="n"/>
      <c r="M682" s="126" t="n"/>
      <c r="N682" s="124" t="n"/>
    </row>
    <row r="683" ht="15" customHeight="1" s="74">
      <c r="A683" s="121" t="n"/>
      <c r="B683" s="122" t="n"/>
      <c r="C683" s="122" t="n"/>
      <c r="D683" s="123" t="n"/>
      <c r="E683" s="121" t="n"/>
      <c r="F683" s="124" t="n"/>
      <c r="G683" s="125" t="n"/>
      <c r="H683" s="125" t="n"/>
      <c r="I683" s="124" t="n"/>
      <c r="J683" s="125" t="n"/>
      <c r="K683" s="124" t="n"/>
      <c r="L683" s="125" t="n"/>
      <c r="M683" s="126" t="n"/>
      <c r="N683" s="124" t="n"/>
    </row>
    <row r="684" ht="15" customHeight="1" s="74">
      <c r="A684" s="121" t="n"/>
      <c r="B684" s="122" t="n"/>
      <c r="C684" s="122" t="n"/>
      <c r="D684" s="123" t="n"/>
      <c r="E684" s="121" t="n"/>
      <c r="F684" s="124" t="n"/>
      <c r="G684" s="125" t="n"/>
      <c r="H684" s="125" t="n"/>
      <c r="I684" s="124" t="n"/>
      <c r="J684" s="125" t="n"/>
      <c r="K684" s="124" t="n"/>
      <c r="L684" s="125" t="n"/>
      <c r="M684" s="126" t="n"/>
      <c r="N684" s="124" t="n"/>
    </row>
    <row r="685" ht="15" customHeight="1" s="74">
      <c r="A685" s="121" t="n"/>
      <c r="B685" s="122" t="n"/>
      <c r="C685" s="122" t="n"/>
      <c r="D685" s="123" t="n"/>
      <c r="E685" s="121" t="n"/>
      <c r="F685" s="124" t="n"/>
      <c r="G685" s="125" t="n"/>
      <c r="H685" s="125" t="n"/>
      <c r="I685" s="124" t="n"/>
      <c r="J685" s="125" t="n"/>
      <c r="K685" s="124" t="n"/>
      <c r="L685" s="125" t="n"/>
      <c r="M685" s="126" t="n"/>
      <c r="N685" s="124" t="n"/>
    </row>
    <row r="686" ht="15" customHeight="1" s="74">
      <c r="A686" s="121" t="n"/>
      <c r="B686" s="122" t="n"/>
      <c r="C686" s="122" t="n"/>
      <c r="D686" s="123" t="n"/>
      <c r="E686" s="121" t="n"/>
      <c r="F686" s="124" t="n"/>
      <c r="G686" s="125" t="n"/>
      <c r="H686" s="125" t="n"/>
      <c r="I686" s="124" t="n"/>
      <c r="J686" s="125" t="n"/>
      <c r="K686" s="124" t="n"/>
      <c r="L686" s="125" t="n"/>
      <c r="M686" s="126" t="n"/>
      <c r="N686" s="124" t="n"/>
    </row>
    <row r="687" ht="15" customHeight="1" s="74">
      <c r="A687" s="121" t="n"/>
      <c r="B687" s="122" t="n"/>
      <c r="C687" s="122" t="n"/>
      <c r="D687" s="123" t="n"/>
      <c r="E687" s="121" t="n"/>
      <c r="F687" s="124" t="n"/>
      <c r="G687" s="125" t="n"/>
      <c r="H687" s="125" t="n"/>
      <c r="I687" s="124" t="n"/>
      <c r="J687" s="125" t="n"/>
      <c r="K687" s="124" t="n"/>
      <c r="L687" s="125" t="n"/>
      <c r="M687" s="126" t="n"/>
      <c r="N687" s="124" t="n"/>
    </row>
    <row r="688" ht="15" customHeight="1" s="74">
      <c r="A688" s="121" t="n"/>
      <c r="B688" s="122" t="n"/>
      <c r="C688" s="122" t="n"/>
      <c r="D688" s="123" t="n"/>
      <c r="E688" s="121" t="n"/>
      <c r="F688" s="124" t="n"/>
      <c r="G688" s="125" t="n"/>
      <c r="H688" s="125" t="n"/>
      <c r="I688" s="124" t="n"/>
      <c r="J688" s="125" t="n"/>
      <c r="K688" s="124" t="n"/>
      <c r="L688" s="125" t="n"/>
      <c r="M688" s="126" t="n"/>
      <c r="N688" s="124" t="n"/>
    </row>
    <row r="689" ht="15" customHeight="1" s="74">
      <c r="A689" s="121" t="n"/>
      <c r="B689" s="122" t="n"/>
      <c r="C689" s="122" t="n"/>
      <c r="D689" s="123" t="n"/>
      <c r="E689" s="121" t="n"/>
      <c r="F689" s="124" t="n"/>
      <c r="G689" s="125" t="n"/>
      <c r="H689" s="125" t="n"/>
      <c r="I689" s="124" t="n"/>
      <c r="J689" s="125" t="n"/>
      <c r="K689" s="124" t="n"/>
      <c r="L689" s="125" t="n"/>
      <c r="M689" s="126" t="n"/>
      <c r="N689" s="124" t="n"/>
    </row>
    <row r="690" ht="15" customHeight="1" s="74">
      <c r="A690" s="121" t="n"/>
      <c r="B690" s="122" t="n"/>
      <c r="C690" s="122" t="n"/>
      <c r="D690" s="123" t="n"/>
      <c r="E690" s="121" t="n"/>
      <c r="F690" s="124" t="n"/>
      <c r="G690" s="125" t="n"/>
      <c r="H690" s="125" t="n"/>
      <c r="I690" s="124" t="n"/>
      <c r="J690" s="125" t="n"/>
      <c r="K690" s="124" t="n"/>
      <c r="L690" s="125" t="n"/>
      <c r="M690" s="126" t="n"/>
      <c r="N690" s="124" t="n"/>
    </row>
    <row r="691" ht="15" customHeight="1" s="74">
      <c r="A691" s="121" t="n"/>
      <c r="B691" s="122" t="n"/>
      <c r="C691" s="122" t="n"/>
      <c r="D691" s="123" t="n"/>
      <c r="E691" s="121" t="n"/>
      <c r="F691" s="124" t="n"/>
      <c r="G691" s="125" t="n"/>
      <c r="H691" s="125" t="n"/>
      <c r="I691" s="124" t="n"/>
      <c r="J691" s="125" t="n"/>
      <c r="K691" s="124" t="n"/>
      <c r="L691" s="125" t="n"/>
      <c r="M691" s="126" t="n"/>
      <c r="N691" s="124" t="n"/>
    </row>
    <row r="692" ht="15" customHeight="1" s="74">
      <c r="A692" s="121" t="n"/>
      <c r="B692" s="122" t="n"/>
      <c r="C692" s="122" t="n"/>
      <c r="D692" s="123" t="n"/>
      <c r="E692" s="121" t="n"/>
      <c r="F692" s="124" t="n"/>
      <c r="G692" s="125" t="n"/>
      <c r="H692" s="125" t="n"/>
      <c r="I692" s="124" t="n"/>
      <c r="J692" s="125" t="n"/>
      <c r="K692" s="124" t="n"/>
      <c r="L692" s="125" t="n"/>
      <c r="M692" s="126" t="n"/>
      <c r="N692" s="124" t="n"/>
    </row>
    <row r="693" ht="15" customHeight="1" s="74">
      <c r="A693" s="121" t="n"/>
      <c r="B693" s="122" t="n"/>
      <c r="C693" s="122" t="n"/>
      <c r="D693" s="123" t="n"/>
      <c r="E693" s="121" t="n"/>
      <c r="F693" s="124" t="n"/>
      <c r="G693" s="125" t="n"/>
      <c r="H693" s="125" t="n"/>
      <c r="I693" s="124" t="n"/>
      <c r="J693" s="125" t="n"/>
      <c r="K693" s="124" t="n"/>
      <c r="L693" s="125" t="n"/>
      <c r="M693" s="126" t="n"/>
      <c r="N693" s="124" t="n"/>
    </row>
    <row r="694" ht="15" customHeight="1" s="74">
      <c r="A694" s="121" t="n"/>
      <c r="B694" s="122" t="n"/>
      <c r="C694" s="122" t="n"/>
      <c r="D694" s="123" t="n"/>
      <c r="E694" s="121" t="n"/>
      <c r="F694" s="124" t="n"/>
      <c r="G694" s="125" t="n"/>
      <c r="H694" s="125" t="n"/>
      <c r="I694" s="124" t="n"/>
      <c r="J694" s="125" t="n"/>
      <c r="K694" s="124" t="n"/>
      <c r="L694" s="125" t="n"/>
      <c r="M694" s="126" t="n"/>
      <c r="N694" s="124" t="n"/>
    </row>
    <row r="695" ht="15" customHeight="1" s="74">
      <c r="A695" s="121" t="n"/>
      <c r="B695" s="122" t="n"/>
      <c r="C695" s="122" t="n"/>
      <c r="D695" s="123" t="n"/>
      <c r="E695" s="121" t="n"/>
      <c r="F695" s="124" t="n"/>
      <c r="G695" s="125" t="n"/>
      <c r="H695" s="125" t="n"/>
      <c r="I695" s="124" t="n"/>
      <c r="J695" s="125" t="n"/>
      <c r="K695" s="124" t="n"/>
      <c r="L695" s="125" t="n"/>
      <c r="M695" s="126" t="n"/>
      <c r="N695" s="124" t="n"/>
    </row>
    <row r="696" ht="15" customHeight="1" s="74">
      <c r="A696" s="121" t="n"/>
      <c r="B696" s="122" t="n"/>
      <c r="C696" s="122" t="n"/>
      <c r="D696" s="123" t="n"/>
      <c r="E696" s="121" t="n"/>
      <c r="F696" s="124" t="n"/>
      <c r="G696" s="125" t="n"/>
      <c r="H696" s="125" t="n"/>
      <c r="I696" s="124" t="n"/>
      <c r="J696" s="125" t="n"/>
      <c r="K696" s="124" t="n"/>
      <c r="L696" s="125" t="n"/>
      <c r="M696" s="126" t="n"/>
      <c r="N696" s="124" t="n"/>
    </row>
    <row r="697" ht="15" customHeight="1" s="74">
      <c r="A697" s="121" t="n"/>
      <c r="B697" s="122" t="n"/>
      <c r="C697" s="122" t="n"/>
      <c r="D697" s="123" t="n"/>
      <c r="E697" s="121" t="n"/>
      <c r="F697" s="124" t="n"/>
      <c r="G697" s="125" t="n"/>
      <c r="H697" s="125" t="n"/>
      <c r="I697" s="124" t="n"/>
      <c r="J697" s="125" t="n"/>
      <c r="K697" s="124" t="n"/>
      <c r="L697" s="125" t="n"/>
      <c r="M697" s="126" t="n"/>
      <c r="N697" s="124" t="n"/>
    </row>
    <row r="698" ht="15" customHeight="1" s="74">
      <c r="A698" s="121" t="n"/>
      <c r="B698" s="122" t="n"/>
      <c r="C698" s="122" t="n"/>
      <c r="D698" s="123" t="n"/>
      <c r="E698" s="121" t="n"/>
      <c r="F698" s="124" t="n"/>
      <c r="G698" s="125" t="n"/>
      <c r="H698" s="125" t="n"/>
      <c r="I698" s="124" t="n"/>
      <c r="J698" s="125" t="n"/>
      <c r="K698" s="124" t="n"/>
      <c r="L698" s="125" t="n"/>
      <c r="M698" s="126" t="n"/>
      <c r="N698" s="124" t="n"/>
    </row>
    <row r="699" ht="15" customHeight="1" s="74">
      <c r="A699" s="121" t="n"/>
      <c r="B699" s="122" t="n"/>
      <c r="C699" s="122" t="n"/>
      <c r="D699" s="123" t="n"/>
      <c r="E699" s="121" t="n"/>
      <c r="F699" s="124" t="n"/>
      <c r="G699" s="125" t="n"/>
      <c r="H699" s="125" t="n"/>
      <c r="I699" s="124" t="n"/>
      <c r="J699" s="125" t="n"/>
      <c r="K699" s="124" t="n"/>
      <c r="L699" s="125" t="n"/>
      <c r="M699" s="126" t="n"/>
      <c r="N699" s="124" t="n"/>
    </row>
    <row r="700" ht="15" customHeight="1" s="74">
      <c r="A700" s="121" t="n"/>
      <c r="B700" s="122" t="n"/>
      <c r="C700" s="122" t="n"/>
      <c r="D700" s="123" t="n"/>
      <c r="E700" s="121" t="n"/>
      <c r="F700" s="124" t="n"/>
      <c r="G700" s="125" t="n"/>
      <c r="H700" s="125" t="n"/>
      <c r="I700" s="124" t="n"/>
      <c r="J700" s="125" t="n"/>
      <c r="K700" s="124" t="n"/>
      <c r="L700" s="125" t="n"/>
      <c r="M700" s="126" t="n"/>
      <c r="N700" s="124" t="n"/>
    </row>
    <row r="701" ht="15" customHeight="1" s="74">
      <c r="A701" s="121" t="n"/>
      <c r="B701" s="122" t="n"/>
      <c r="C701" s="122" t="n"/>
      <c r="D701" s="123" t="n"/>
      <c r="E701" s="121" t="n"/>
      <c r="F701" s="124" t="n"/>
      <c r="G701" s="125" t="n"/>
      <c r="H701" s="125" t="n"/>
      <c r="I701" s="124" t="n"/>
      <c r="J701" s="125" t="n"/>
      <c r="K701" s="124" t="n"/>
      <c r="L701" s="125" t="n"/>
      <c r="M701" s="126" t="n"/>
      <c r="N701" s="124" t="n"/>
    </row>
    <row r="702" ht="15" customHeight="1" s="74">
      <c r="A702" s="121" t="n"/>
      <c r="B702" s="122" t="n"/>
      <c r="C702" s="122" t="n"/>
      <c r="D702" s="123" t="n"/>
      <c r="E702" s="121" t="n"/>
      <c r="F702" s="124" t="n"/>
      <c r="G702" s="125" t="n"/>
      <c r="H702" s="125" t="n"/>
      <c r="I702" s="124" t="n"/>
      <c r="J702" s="125" t="n"/>
      <c r="K702" s="124" t="n"/>
      <c r="L702" s="125" t="n"/>
      <c r="M702" s="126" t="n"/>
      <c r="N702" s="124" t="n"/>
    </row>
    <row r="703" ht="15" customHeight="1" s="74">
      <c r="A703" s="121" t="n"/>
      <c r="B703" s="122" t="n"/>
      <c r="C703" s="122" t="n"/>
      <c r="D703" s="123" t="n"/>
      <c r="E703" s="121" t="n"/>
      <c r="F703" s="124" t="n"/>
      <c r="G703" s="125" t="n"/>
      <c r="H703" s="125" t="n"/>
      <c r="I703" s="124" t="n"/>
      <c r="J703" s="125" t="n"/>
      <c r="K703" s="124" t="n"/>
      <c r="L703" s="125" t="n"/>
      <c r="M703" s="126" t="n"/>
      <c r="N703" s="124" t="n"/>
    </row>
    <row r="704" ht="15" customHeight="1" s="74">
      <c r="A704" s="121" t="n"/>
      <c r="B704" s="122" t="n"/>
      <c r="C704" s="122" t="n"/>
      <c r="D704" s="123" t="n"/>
      <c r="E704" s="121" t="n"/>
      <c r="F704" s="124" t="n"/>
      <c r="G704" s="125" t="n"/>
      <c r="H704" s="125" t="n"/>
      <c r="I704" s="124" t="n"/>
      <c r="J704" s="125" t="n"/>
      <c r="K704" s="124" t="n"/>
      <c r="L704" s="125" t="n"/>
      <c r="M704" s="126" t="n"/>
      <c r="N704" s="124" t="n"/>
    </row>
    <row r="705" ht="15" customHeight="1" s="74">
      <c r="A705" s="121" t="n"/>
      <c r="B705" s="122" t="n"/>
      <c r="C705" s="122" t="n"/>
      <c r="D705" s="123" t="n"/>
      <c r="E705" s="121" t="n"/>
      <c r="F705" s="124" t="n"/>
      <c r="G705" s="125" t="n"/>
      <c r="H705" s="125" t="n"/>
      <c r="I705" s="124" t="n"/>
      <c r="J705" s="125" t="n"/>
      <c r="K705" s="124" t="n"/>
      <c r="L705" s="125" t="n"/>
      <c r="M705" s="126" t="n"/>
      <c r="N705" s="124" t="n"/>
    </row>
    <row r="706" ht="15" customHeight="1" s="74">
      <c r="A706" s="121" t="n"/>
      <c r="B706" s="122" t="n"/>
      <c r="C706" s="122" t="n"/>
      <c r="D706" s="123" t="n"/>
      <c r="E706" s="121" t="n"/>
      <c r="F706" s="124" t="n"/>
      <c r="G706" s="125" t="n"/>
      <c r="H706" s="125" t="n"/>
      <c r="I706" s="124" t="n"/>
      <c r="J706" s="125" t="n"/>
      <c r="K706" s="124" t="n"/>
      <c r="L706" s="125" t="n"/>
      <c r="M706" s="126" t="n"/>
      <c r="N706" s="124" t="n"/>
    </row>
    <row r="707" ht="15" customHeight="1" s="74">
      <c r="A707" s="121" t="n"/>
      <c r="B707" s="122" t="n"/>
      <c r="C707" s="122" t="n"/>
      <c r="D707" s="123" t="n"/>
      <c r="E707" s="121" t="n"/>
      <c r="F707" s="124" t="n"/>
      <c r="G707" s="125" t="n"/>
      <c r="H707" s="125" t="n"/>
      <c r="I707" s="124" t="n"/>
      <c r="J707" s="125" t="n"/>
      <c r="K707" s="124" t="n"/>
      <c r="L707" s="125" t="n"/>
      <c r="M707" s="126" t="n"/>
      <c r="N707" s="124" t="n"/>
    </row>
    <row r="708" ht="15" customHeight="1" s="74">
      <c r="A708" s="121" t="n"/>
      <c r="B708" s="122" t="n"/>
      <c r="C708" s="122" t="n"/>
      <c r="D708" s="123" t="n"/>
      <c r="E708" s="121" t="n"/>
      <c r="F708" s="124" t="n"/>
      <c r="G708" s="125" t="n"/>
      <c r="H708" s="125" t="n"/>
      <c r="I708" s="124" t="n"/>
      <c r="J708" s="125" t="n"/>
      <c r="K708" s="124" t="n"/>
      <c r="L708" s="125" t="n"/>
      <c r="M708" s="126" t="n"/>
      <c r="N708" s="124" t="n"/>
    </row>
    <row r="709" ht="15" customHeight="1" s="74">
      <c r="A709" s="121" t="n"/>
      <c r="B709" s="122" t="n"/>
      <c r="C709" s="122" t="n"/>
      <c r="D709" s="123" t="n"/>
      <c r="E709" s="121" t="n"/>
      <c r="F709" s="124" t="n"/>
      <c r="G709" s="125" t="n"/>
      <c r="H709" s="125" t="n"/>
      <c r="I709" s="124" t="n"/>
      <c r="J709" s="125" t="n"/>
      <c r="K709" s="124" t="n"/>
      <c r="L709" s="125" t="n"/>
      <c r="M709" s="126" t="n"/>
      <c r="N709" s="124" t="n"/>
    </row>
    <row r="710" ht="15" customHeight="1" s="74">
      <c r="A710" s="121" t="n"/>
      <c r="B710" s="122" t="n"/>
      <c r="C710" s="122" t="n"/>
      <c r="D710" s="123" t="n"/>
      <c r="E710" s="121" t="n"/>
      <c r="F710" s="124" t="n"/>
      <c r="G710" s="125" t="n"/>
      <c r="H710" s="125" t="n"/>
      <c r="I710" s="124" t="n"/>
      <c r="J710" s="125" t="n"/>
      <c r="K710" s="124" t="n"/>
      <c r="L710" s="125" t="n"/>
      <c r="M710" s="126" t="n"/>
      <c r="N710" s="124" t="n"/>
    </row>
    <row r="711" ht="15" customHeight="1" s="74">
      <c r="A711" s="121" t="n"/>
      <c r="B711" s="122" t="n"/>
      <c r="C711" s="122" t="n"/>
      <c r="D711" s="123" t="n"/>
      <c r="E711" s="121" t="n"/>
      <c r="F711" s="124" t="n"/>
      <c r="G711" s="125" t="n"/>
      <c r="H711" s="125" t="n"/>
      <c r="I711" s="124" t="n"/>
      <c r="J711" s="125" t="n"/>
      <c r="K711" s="124" t="n"/>
      <c r="L711" s="125" t="n"/>
      <c r="M711" s="126" t="n"/>
      <c r="N711" s="124" t="n"/>
    </row>
    <row r="712" ht="15" customHeight="1" s="74">
      <c r="A712" s="121" t="n"/>
      <c r="B712" s="122" t="n"/>
      <c r="C712" s="122" t="n"/>
      <c r="D712" s="123" t="n"/>
      <c r="E712" s="121" t="n"/>
      <c r="F712" s="124" t="n"/>
      <c r="G712" s="125" t="n"/>
      <c r="H712" s="125" t="n"/>
      <c r="I712" s="124" t="n"/>
      <c r="J712" s="125" t="n"/>
      <c r="K712" s="124" t="n"/>
      <c r="L712" s="125" t="n"/>
      <c r="M712" s="126" t="n"/>
      <c r="N712" s="124" t="n"/>
    </row>
    <row r="713" ht="15" customHeight="1" s="74">
      <c r="A713" s="121" t="n"/>
      <c r="B713" s="122" t="n"/>
      <c r="C713" s="122" t="n"/>
      <c r="D713" s="123" t="n"/>
      <c r="E713" s="121" t="n"/>
      <c r="F713" s="124" t="n"/>
      <c r="G713" s="125" t="n"/>
      <c r="H713" s="125" t="n"/>
      <c r="I713" s="124" t="n"/>
      <c r="J713" s="125" t="n"/>
      <c r="K713" s="124" t="n"/>
      <c r="L713" s="125" t="n"/>
      <c r="M713" s="126" t="n"/>
      <c r="N713" s="124" t="n"/>
    </row>
    <row r="714" ht="15" customHeight="1" s="74">
      <c r="A714" s="121" t="n"/>
      <c r="B714" s="122" t="n"/>
      <c r="C714" s="122" t="n"/>
      <c r="D714" s="123" t="n"/>
      <c r="E714" s="121" t="n"/>
      <c r="F714" s="124" t="n"/>
      <c r="G714" s="125" t="n"/>
      <c r="H714" s="125" t="n"/>
      <c r="I714" s="124" t="n"/>
      <c r="J714" s="125" t="n"/>
      <c r="K714" s="124" t="n"/>
      <c r="L714" s="125" t="n"/>
      <c r="M714" s="126" t="n"/>
      <c r="N714" s="124" t="n"/>
    </row>
    <row r="715" ht="15" customHeight="1" s="74">
      <c r="A715" s="121" t="n"/>
      <c r="B715" s="122" t="n"/>
      <c r="C715" s="122" t="n"/>
      <c r="D715" s="123" t="n"/>
      <c r="E715" s="121" t="n"/>
      <c r="F715" s="124" t="n"/>
      <c r="G715" s="125" t="n"/>
      <c r="H715" s="125" t="n"/>
      <c r="I715" s="124" t="n"/>
      <c r="J715" s="125" t="n"/>
      <c r="K715" s="124" t="n"/>
      <c r="L715" s="125" t="n"/>
      <c r="M715" s="126" t="n"/>
      <c r="N715" s="124" t="n"/>
    </row>
    <row r="716" ht="15" customHeight="1" s="74">
      <c r="A716" s="121" t="n"/>
      <c r="B716" s="122" t="n"/>
      <c r="C716" s="122" t="n"/>
      <c r="D716" s="123" t="n"/>
      <c r="E716" s="121" t="n"/>
      <c r="F716" s="124" t="n"/>
      <c r="G716" s="125" t="n"/>
      <c r="H716" s="125" t="n"/>
      <c r="I716" s="124" t="n"/>
      <c r="J716" s="125" t="n"/>
      <c r="K716" s="124" t="n"/>
      <c r="L716" s="125" t="n"/>
      <c r="M716" s="126" t="n"/>
      <c r="N716" s="124" t="n"/>
    </row>
    <row r="717" ht="15" customHeight="1" s="74">
      <c r="A717" s="121" t="n"/>
      <c r="B717" s="122" t="n"/>
      <c r="C717" s="122" t="n"/>
      <c r="D717" s="123" t="n"/>
      <c r="E717" s="121" t="n"/>
      <c r="F717" s="124" t="n"/>
      <c r="G717" s="125" t="n"/>
      <c r="H717" s="125" t="n"/>
      <c r="I717" s="124" t="n"/>
      <c r="J717" s="125" t="n"/>
      <c r="K717" s="124" t="n"/>
      <c r="L717" s="125" t="n"/>
      <c r="M717" s="126" t="n"/>
      <c r="N717" s="124" t="n"/>
    </row>
    <row r="718" ht="15" customHeight="1" s="74">
      <c r="A718" s="121" t="n"/>
      <c r="B718" s="122" t="n"/>
      <c r="C718" s="122" t="n"/>
      <c r="D718" s="123" t="n"/>
      <c r="E718" s="121" t="n"/>
      <c r="F718" s="124" t="n"/>
      <c r="G718" s="125" t="n"/>
      <c r="H718" s="125" t="n"/>
      <c r="I718" s="124" t="n"/>
      <c r="J718" s="125" t="n"/>
      <c r="K718" s="124" t="n"/>
      <c r="L718" s="125" t="n"/>
      <c r="M718" s="126" t="n"/>
      <c r="N718" s="124" t="n"/>
    </row>
    <row r="719" ht="15" customHeight="1" s="74">
      <c r="A719" s="121" t="n"/>
      <c r="B719" s="122" t="n"/>
      <c r="C719" s="122" t="n"/>
      <c r="D719" s="123" t="n"/>
      <c r="E719" s="121" t="n"/>
      <c r="F719" s="124" t="n"/>
      <c r="G719" s="125" t="n"/>
      <c r="H719" s="125" t="n"/>
      <c r="I719" s="124" t="n"/>
      <c r="J719" s="125" t="n"/>
      <c r="K719" s="124" t="n"/>
      <c r="L719" s="125" t="n"/>
      <c r="M719" s="126" t="n"/>
      <c r="N719" s="124" t="n"/>
    </row>
    <row r="720" ht="15" customHeight="1" s="74">
      <c r="A720" s="121" t="n"/>
      <c r="B720" s="122" t="n"/>
      <c r="C720" s="122" t="n"/>
      <c r="D720" s="123" t="n"/>
      <c r="E720" s="121" t="n"/>
      <c r="F720" s="124" t="n"/>
      <c r="G720" s="125" t="n"/>
      <c r="H720" s="125" t="n"/>
      <c r="I720" s="124" t="n"/>
      <c r="J720" s="125" t="n"/>
      <c r="K720" s="124" t="n"/>
      <c r="L720" s="125" t="n"/>
      <c r="M720" s="126" t="n"/>
      <c r="N720" s="124" t="n"/>
    </row>
    <row r="721" ht="15" customHeight="1" s="74">
      <c r="A721" s="121" t="n"/>
      <c r="B721" s="122" t="n"/>
      <c r="C721" s="122" t="n"/>
      <c r="D721" s="123" t="n"/>
      <c r="E721" s="121" t="n"/>
      <c r="F721" s="124" t="n"/>
      <c r="G721" s="125" t="n"/>
      <c r="H721" s="125" t="n"/>
      <c r="I721" s="124" t="n"/>
      <c r="J721" s="125" t="n"/>
      <c r="K721" s="124" t="n"/>
      <c r="L721" s="125" t="n"/>
      <c r="M721" s="126" t="n"/>
      <c r="N721" s="124" t="n"/>
    </row>
    <row r="722" ht="15" customHeight="1" s="74">
      <c r="A722" s="121" t="n"/>
      <c r="B722" s="122" t="n"/>
      <c r="C722" s="122" t="n"/>
      <c r="D722" s="123" t="n"/>
      <c r="E722" s="121" t="n"/>
      <c r="F722" s="124" t="n"/>
      <c r="G722" s="125" t="n"/>
      <c r="H722" s="125" t="n"/>
      <c r="I722" s="124" t="n"/>
      <c r="J722" s="125" t="n"/>
      <c r="K722" s="124" t="n"/>
      <c r="L722" s="125" t="n"/>
      <c r="M722" s="126" t="n"/>
      <c r="N722" s="124" t="n"/>
    </row>
    <row r="723" ht="15" customHeight="1" s="74">
      <c r="A723" s="121" t="n"/>
      <c r="B723" s="122" t="n"/>
      <c r="C723" s="122" t="n"/>
      <c r="D723" s="123" t="n"/>
      <c r="E723" s="121" t="n"/>
      <c r="F723" s="124" t="n"/>
      <c r="G723" s="125" t="n"/>
      <c r="H723" s="125" t="n"/>
      <c r="I723" s="124" t="n"/>
      <c r="J723" s="125" t="n"/>
      <c r="K723" s="124" t="n"/>
      <c r="L723" s="125" t="n"/>
      <c r="M723" s="126" t="n"/>
      <c r="N723" s="124" t="n"/>
    </row>
    <row r="724" ht="15" customHeight="1" s="74">
      <c r="A724" s="121" t="n"/>
      <c r="B724" s="122" t="n"/>
      <c r="C724" s="122" t="n"/>
      <c r="D724" s="123" t="n"/>
      <c r="E724" s="121" t="n"/>
      <c r="F724" s="124" t="n"/>
      <c r="G724" s="125" t="n"/>
      <c r="H724" s="125" t="n"/>
      <c r="I724" s="124" t="n"/>
      <c r="J724" s="125" t="n"/>
      <c r="K724" s="124" t="n"/>
      <c r="L724" s="125" t="n"/>
      <c r="M724" s="126" t="n"/>
      <c r="N724" s="124" t="n"/>
    </row>
    <row r="725" ht="15" customHeight="1" s="74">
      <c r="A725" s="121" t="n"/>
      <c r="B725" s="122" t="n"/>
      <c r="C725" s="122" t="n"/>
      <c r="D725" s="123" t="n"/>
      <c r="E725" s="121" t="n"/>
      <c r="F725" s="124" t="n"/>
      <c r="G725" s="125" t="n"/>
      <c r="H725" s="125" t="n"/>
      <c r="I725" s="124" t="n"/>
      <c r="J725" s="125" t="n"/>
      <c r="K725" s="124" t="n"/>
      <c r="L725" s="125" t="n"/>
      <c r="M725" s="126" t="n"/>
      <c r="N725" s="124" t="n"/>
    </row>
    <row r="726" ht="15" customHeight="1" s="74">
      <c r="A726" s="121" t="n"/>
      <c r="B726" s="122" t="n"/>
      <c r="C726" s="122" t="n"/>
      <c r="D726" s="123" t="n"/>
      <c r="E726" s="121" t="n"/>
      <c r="F726" s="124" t="n"/>
      <c r="G726" s="125" t="n"/>
      <c r="H726" s="125" t="n"/>
      <c r="I726" s="124" t="n"/>
      <c r="J726" s="125" t="n"/>
      <c r="K726" s="124" t="n"/>
      <c r="L726" s="125" t="n"/>
      <c r="M726" s="126" t="n"/>
      <c r="N726" s="124" t="n"/>
    </row>
    <row r="727" ht="15" customHeight="1" s="74">
      <c r="A727" s="121" t="n"/>
      <c r="B727" s="122" t="n"/>
      <c r="C727" s="122" t="n"/>
      <c r="D727" s="123" t="n"/>
      <c r="E727" s="121" t="n"/>
      <c r="F727" s="124" t="n"/>
      <c r="G727" s="125" t="n"/>
      <c r="H727" s="125" t="n"/>
      <c r="I727" s="124" t="n"/>
      <c r="J727" s="125" t="n"/>
      <c r="K727" s="124" t="n"/>
      <c r="L727" s="125" t="n"/>
      <c r="M727" s="126" t="n"/>
      <c r="N727" s="124" t="n"/>
    </row>
    <row r="728" ht="15" customHeight="1" s="74">
      <c r="A728" s="121" t="n"/>
      <c r="B728" s="122" t="n"/>
      <c r="C728" s="122" t="n"/>
      <c r="D728" s="123" t="n"/>
      <c r="E728" s="121" t="n"/>
      <c r="F728" s="124" t="n"/>
      <c r="G728" s="125" t="n"/>
      <c r="H728" s="125" t="n"/>
      <c r="I728" s="124" t="n"/>
      <c r="J728" s="125" t="n"/>
      <c r="K728" s="124" t="n"/>
      <c r="L728" s="125" t="n"/>
      <c r="M728" s="126" t="n"/>
      <c r="N728" s="124" t="n"/>
    </row>
    <row r="729" ht="15" customHeight="1" s="74">
      <c r="A729" s="121" t="n"/>
      <c r="B729" s="122" t="n"/>
      <c r="C729" s="122" t="n"/>
      <c r="D729" s="123" t="n"/>
      <c r="E729" s="121" t="n"/>
      <c r="F729" s="124" t="n"/>
      <c r="G729" s="125" t="n"/>
      <c r="H729" s="125" t="n"/>
      <c r="I729" s="124" t="n"/>
      <c r="J729" s="125" t="n"/>
      <c r="K729" s="124" t="n"/>
      <c r="L729" s="125" t="n"/>
      <c r="M729" s="126" t="n"/>
      <c r="N729" s="124" t="n"/>
    </row>
    <row r="730" ht="15" customHeight="1" s="74">
      <c r="A730" s="121" t="n"/>
      <c r="B730" s="122" t="n"/>
      <c r="C730" s="122" t="n"/>
      <c r="D730" s="123" t="n"/>
      <c r="E730" s="121" t="n"/>
      <c r="F730" s="124" t="n"/>
      <c r="G730" s="125" t="n"/>
      <c r="H730" s="125" t="n"/>
      <c r="I730" s="124" t="n"/>
      <c r="J730" s="125" t="n"/>
      <c r="K730" s="124" t="n"/>
      <c r="L730" s="125" t="n"/>
      <c r="M730" s="126" t="n"/>
      <c r="N730" s="124" t="n"/>
    </row>
    <row r="731" ht="15" customHeight="1" s="74">
      <c r="A731" s="121" t="n"/>
      <c r="B731" s="122" t="n"/>
      <c r="C731" s="122" t="n"/>
      <c r="D731" s="123" t="n"/>
      <c r="E731" s="121" t="n"/>
      <c r="F731" s="124" t="n"/>
      <c r="G731" s="125" t="n"/>
      <c r="H731" s="125" t="n"/>
      <c r="I731" s="124" t="n"/>
      <c r="J731" s="125" t="n"/>
      <c r="K731" s="124" t="n"/>
      <c r="L731" s="125" t="n"/>
      <c r="M731" s="126" t="n"/>
      <c r="N731" s="124" t="n"/>
    </row>
    <row r="732" ht="15" customHeight="1" s="74">
      <c r="A732" s="121" t="n"/>
      <c r="B732" s="122" t="n"/>
      <c r="C732" s="122" t="n"/>
      <c r="D732" s="123" t="n"/>
      <c r="E732" s="121" t="n"/>
      <c r="F732" s="124" t="n"/>
      <c r="G732" s="125" t="n"/>
      <c r="H732" s="125" t="n"/>
      <c r="I732" s="124" t="n"/>
      <c r="J732" s="125" t="n"/>
      <c r="K732" s="124" t="n"/>
      <c r="L732" s="125" t="n"/>
      <c r="M732" s="126" t="n"/>
      <c r="N732" s="124" t="n"/>
    </row>
    <row r="733" ht="15" customHeight="1" s="74">
      <c r="A733" s="121" t="n"/>
      <c r="B733" s="122" t="n"/>
      <c r="C733" s="122" t="n"/>
      <c r="D733" s="123" t="n"/>
      <c r="E733" s="121" t="n"/>
      <c r="F733" s="124" t="n"/>
      <c r="G733" s="125" t="n"/>
      <c r="H733" s="125" t="n"/>
      <c r="I733" s="124" t="n"/>
      <c r="J733" s="125" t="n"/>
      <c r="K733" s="124" t="n"/>
      <c r="L733" s="125" t="n"/>
      <c r="M733" s="126" t="n"/>
      <c r="N733" s="124" t="n"/>
    </row>
    <row r="734" ht="15" customHeight="1" s="74">
      <c r="A734" s="121" t="n"/>
      <c r="B734" s="122" t="n"/>
      <c r="C734" s="122" t="n"/>
      <c r="D734" s="123" t="n"/>
      <c r="E734" s="121" t="n"/>
      <c r="F734" s="124" t="n"/>
      <c r="G734" s="125" t="n"/>
      <c r="H734" s="125" t="n"/>
      <c r="I734" s="124" t="n"/>
      <c r="J734" s="125" t="n"/>
      <c r="K734" s="124" t="n"/>
      <c r="L734" s="125" t="n"/>
      <c r="M734" s="126" t="n"/>
      <c r="N734" s="124" t="n"/>
    </row>
    <row r="735" ht="15" customHeight="1" s="74">
      <c r="A735" s="121" t="n"/>
      <c r="B735" s="122" t="n"/>
      <c r="C735" s="122" t="n"/>
      <c r="D735" s="123" t="n"/>
      <c r="E735" s="121" t="n"/>
      <c r="F735" s="124" t="n"/>
      <c r="G735" s="125" t="n"/>
      <c r="H735" s="125" t="n"/>
      <c r="I735" s="124" t="n"/>
      <c r="J735" s="125" t="n"/>
      <c r="K735" s="124" t="n"/>
      <c r="L735" s="125" t="n"/>
      <c r="M735" s="126" t="n"/>
      <c r="N735" s="124" t="n"/>
    </row>
    <row r="736" ht="15" customHeight="1" s="74">
      <c r="A736" s="121" t="n"/>
      <c r="B736" s="122" t="n"/>
      <c r="C736" s="122" t="n"/>
      <c r="D736" s="123" t="n"/>
      <c r="E736" s="121" t="n"/>
      <c r="F736" s="124" t="n"/>
      <c r="G736" s="125" t="n"/>
      <c r="H736" s="125" t="n"/>
      <c r="I736" s="124" t="n"/>
      <c r="J736" s="125" t="n"/>
      <c r="K736" s="124" t="n"/>
      <c r="L736" s="125" t="n"/>
      <c r="M736" s="126" t="n"/>
      <c r="N736" s="124" t="n"/>
    </row>
    <row r="737" ht="15" customHeight="1" s="74">
      <c r="A737" s="121" t="n"/>
      <c r="B737" s="122" t="n"/>
      <c r="C737" s="122" t="n"/>
      <c r="D737" s="123" t="n"/>
      <c r="E737" s="121" t="n"/>
      <c r="F737" s="124" t="n"/>
      <c r="G737" s="125" t="n"/>
      <c r="H737" s="125" t="n"/>
      <c r="I737" s="124" t="n"/>
      <c r="J737" s="125" t="n"/>
      <c r="K737" s="124" t="n"/>
      <c r="L737" s="125" t="n"/>
      <c r="M737" s="126" t="n"/>
      <c r="N737" s="124" t="n"/>
    </row>
    <row r="738" ht="15" customHeight="1" s="74">
      <c r="A738" s="121" t="n"/>
      <c r="B738" s="122" t="n"/>
      <c r="C738" s="122" t="n"/>
      <c r="D738" s="123" t="n"/>
      <c r="E738" s="121" t="n"/>
      <c r="F738" s="124" t="n"/>
      <c r="G738" s="125" t="n"/>
      <c r="H738" s="125" t="n"/>
      <c r="I738" s="124" t="n"/>
      <c r="J738" s="125" t="n"/>
      <c r="K738" s="124" t="n"/>
      <c r="L738" s="125" t="n"/>
      <c r="M738" s="126" t="n"/>
      <c r="N738" s="124" t="n"/>
    </row>
    <row r="739" ht="15" customHeight="1" s="74">
      <c r="A739" s="121" t="n"/>
      <c r="B739" s="122" t="n"/>
      <c r="C739" s="122" t="n"/>
      <c r="D739" s="123" t="n"/>
      <c r="E739" s="121" t="n"/>
      <c r="F739" s="124" t="n"/>
      <c r="G739" s="125" t="n"/>
      <c r="H739" s="125" t="n"/>
      <c r="I739" s="124" t="n"/>
      <c r="J739" s="125" t="n"/>
      <c r="K739" s="124" t="n"/>
      <c r="L739" s="125" t="n"/>
      <c r="M739" s="126" t="n"/>
      <c r="N739" s="124" t="n"/>
    </row>
    <row r="740" ht="15" customHeight="1" s="74">
      <c r="A740" s="121" t="n"/>
      <c r="B740" s="122" t="n"/>
      <c r="C740" s="122" t="n"/>
      <c r="D740" s="123" t="n"/>
      <c r="E740" s="121" t="n"/>
      <c r="F740" s="124" t="n"/>
      <c r="G740" s="125" t="n"/>
      <c r="H740" s="125" t="n"/>
      <c r="I740" s="124" t="n"/>
      <c r="J740" s="125" t="n"/>
      <c r="K740" s="124" t="n"/>
      <c r="L740" s="125" t="n"/>
      <c r="M740" s="126" t="n"/>
      <c r="N740" s="124" t="n"/>
    </row>
    <row r="741" ht="15" customHeight="1" s="74">
      <c r="A741" s="121" t="n"/>
      <c r="B741" s="122" t="n"/>
      <c r="C741" s="122" t="n"/>
      <c r="D741" s="123" t="n"/>
      <c r="E741" s="121" t="n"/>
      <c r="F741" s="124" t="n"/>
      <c r="G741" s="125" t="n"/>
      <c r="H741" s="125" t="n"/>
      <c r="I741" s="124" t="n"/>
      <c r="J741" s="125" t="n"/>
      <c r="K741" s="124" t="n"/>
      <c r="L741" s="125" t="n"/>
      <c r="M741" s="126" t="n"/>
      <c r="N741" s="124" t="n"/>
    </row>
    <row r="742" ht="15" customHeight="1" s="74">
      <c r="A742" s="121" t="n"/>
      <c r="B742" s="122" t="n"/>
      <c r="C742" s="122" t="n"/>
      <c r="D742" s="123" t="n"/>
      <c r="E742" s="121" t="n"/>
      <c r="F742" s="124" t="n"/>
      <c r="G742" s="125" t="n"/>
      <c r="H742" s="125" t="n"/>
      <c r="I742" s="124" t="n"/>
      <c r="J742" s="125" t="n"/>
      <c r="K742" s="124" t="n"/>
      <c r="L742" s="125" t="n"/>
      <c r="M742" s="126" t="n"/>
      <c r="N742" s="124" t="n"/>
    </row>
    <row r="743" ht="15" customHeight="1" s="74">
      <c r="A743" s="121" t="n"/>
      <c r="B743" s="122" t="n"/>
      <c r="C743" s="122" t="n"/>
      <c r="D743" s="123" t="n"/>
      <c r="E743" s="121" t="n"/>
      <c r="F743" s="124" t="n"/>
      <c r="G743" s="125" t="n"/>
      <c r="H743" s="125" t="n"/>
      <c r="I743" s="124" t="n"/>
      <c r="J743" s="125" t="n"/>
      <c r="K743" s="124" t="n"/>
      <c r="L743" s="125" t="n"/>
      <c r="M743" s="126" t="n"/>
      <c r="N743" s="124" t="n"/>
    </row>
    <row r="744" ht="15" customHeight="1" s="74">
      <c r="A744" s="121" t="n"/>
      <c r="B744" s="122" t="n"/>
      <c r="C744" s="122" t="n"/>
      <c r="D744" s="123" t="n"/>
      <c r="E744" s="121" t="n"/>
      <c r="F744" s="124" t="n"/>
      <c r="G744" s="125" t="n"/>
      <c r="H744" s="125" t="n"/>
      <c r="I744" s="124" t="n"/>
      <c r="J744" s="125" t="n"/>
      <c r="K744" s="124" t="n"/>
      <c r="L744" s="125" t="n"/>
      <c r="M744" s="126" t="n"/>
      <c r="N744" s="124" t="n"/>
    </row>
    <row r="745" ht="15" customHeight="1" s="74">
      <c r="A745" s="121" t="n"/>
      <c r="B745" s="122" t="n"/>
      <c r="C745" s="122" t="n"/>
      <c r="D745" s="123" t="n"/>
      <c r="E745" s="121" t="n"/>
      <c r="F745" s="124" t="n"/>
      <c r="G745" s="125" t="n"/>
      <c r="H745" s="125" t="n"/>
      <c r="I745" s="124" t="n"/>
      <c r="J745" s="125" t="n"/>
      <c r="K745" s="124" t="n"/>
      <c r="L745" s="125" t="n"/>
      <c r="M745" s="126" t="n"/>
      <c r="N745" s="124" t="n"/>
    </row>
    <row r="746" ht="15" customHeight="1" s="74">
      <c r="A746" s="121" t="n"/>
      <c r="B746" s="122" t="n"/>
      <c r="C746" s="122" t="n"/>
      <c r="D746" s="123" t="n"/>
      <c r="E746" s="121" t="n"/>
      <c r="F746" s="124" t="n"/>
      <c r="G746" s="125" t="n"/>
      <c r="H746" s="125" t="n"/>
      <c r="I746" s="124" t="n"/>
      <c r="J746" s="125" t="n"/>
      <c r="K746" s="124" t="n"/>
      <c r="L746" s="125" t="n"/>
      <c r="M746" s="126" t="n"/>
      <c r="N746" s="124" t="n"/>
    </row>
    <row r="747" ht="15" customHeight="1" s="74">
      <c r="A747" s="121" t="n"/>
      <c r="B747" s="122" t="n"/>
      <c r="C747" s="122" t="n"/>
      <c r="D747" s="123" t="n"/>
      <c r="E747" s="121" t="n"/>
      <c r="F747" s="124" t="n"/>
      <c r="G747" s="125" t="n"/>
      <c r="H747" s="125" t="n"/>
      <c r="I747" s="124" t="n"/>
      <c r="J747" s="125" t="n"/>
      <c r="K747" s="124" t="n"/>
      <c r="L747" s="125" t="n"/>
      <c r="M747" s="126" t="n"/>
      <c r="N747" s="124" t="n"/>
    </row>
    <row r="748" ht="15" customHeight="1" s="74">
      <c r="A748" s="121" t="n"/>
      <c r="B748" s="122" t="n"/>
      <c r="C748" s="122" t="n"/>
      <c r="D748" s="123" t="n"/>
      <c r="E748" s="121" t="n"/>
      <c r="F748" s="124" t="n"/>
      <c r="G748" s="125" t="n"/>
      <c r="H748" s="125" t="n"/>
      <c r="I748" s="124" t="n"/>
      <c r="J748" s="125" t="n"/>
      <c r="K748" s="124" t="n"/>
      <c r="L748" s="125" t="n"/>
      <c r="M748" s="126" t="n"/>
      <c r="N748" s="124" t="n"/>
    </row>
    <row r="749" ht="15" customHeight="1" s="74">
      <c r="A749" s="121" t="n"/>
      <c r="B749" s="122" t="n"/>
      <c r="C749" s="122" t="n"/>
      <c r="D749" s="123" t="n"/>
      <c r="E749" s="121" t="n"/>
      <c r="F749" s="124" t="n"/>
      <c r="G749" s="125" t="n"/>
      <c r="H749" s="125" t="n"/>
      <c r="I749" s="124" t="n"/>
      <c r="J749" s="125" t="n"/>
      <c r="K749" s="124" t="n"/>
      <c r="L749" s="125" t="n"/>
      <c r="M749" s="126" t="n"/>
      <c r="N749" s="124" t="n"/>
    </row>
    <row r="750" ht="15" customHeight="1" s="74">
      <c r="A750" s="121" t="n"/>
      <c r="B750" s="122" t="n"/>
      <c r="C750" s="122" t="n"/>
      <c r="D750" s="123" t="n"/>
      <c r="E750" s="121" t="n"/>
      <c r="F750" s="124" t="n"/>
      <c r="G750" s="125" t="n"/>
      <c r="H750" s="125" t="n"/>
      <c r="I750" s="124" t="n"/>
      <c r="J750" s="125" t="n"/>
      <c r="K750" s="124" t="n"/>
      <c r="L750" s="125" t="n"/>
      <c r="M750" s="126" t="n"/>
      <c r="N750" s="124" t="n"/>
    </row>
    <row r="751" ht="15" customHeight="1" s="74">
      <c r="A751" s="121" t="n"/>
      <c r="B751" s="122" t="n"/>
      <c r="C751" s="122" t="n"/>
      <c r="D751" s="123" t="n"/>
      <c r="E751" s="121" t="n"/>
      <c r="F751" s="124" t="n"/>
      <c r="G751" s="125" t="n"/>
      <c r="H751" s="125" t="n"/>
      <c r="I751" s="124" t="n"/>
      <c r="J751" s="125" t="n"/>
      <c r="K751" s="124" t="n"/>
      <c r="L751" s="125" t="n"/>
      <c r="M751" s="126" t="n"/>
      <c r="N751" s="124" t="n"/>
    </row>
    <row r="752" ht="15" customHeight="1" s="74">
      <c r="A752" s="121" t="n"/>
      <c r="B752" s="122" t="n"/>
      <c r="C752" s="122" t="n"/>
      <c r="D752" s="123" t="n"/>
      <c r="E752" s="121" t="n"/>
      <c r="F752" s="124" t="n"/>
      <c r="G752" s="125" t="n"/>
      <c r="H752" s="125" t="n"/>
      <c r="I752" s="124" t="n"/>
      <c r="J752" s="125" t="n"/>
      <c r="K752" s="124" t="n"/>
      <c r="L752" s="125" t="n"/>
      <c r="M752" s="126" t="n"/>
      <c r="N752" s="124" t="n"/>
    </row>
    <row r="753" ht="15" customHeight="1" s="74">
      <c r="A753" s="121" t="n"/>
      <c r="B753" s="122" t="n"/>
      <c r="C753" s="122" t="n"/>
      <c r="D753" s="123" t="n"/>
      <c r="E753" s="121" t="n"/>
      <c r="F753" s="124" t="n"/>
      <c r="G753" s="125" t="n"/>
      <c r="H753" s="125" t="n"/>
      <c r="I753" s="124" t="n"/>
      <c r="J753" s="125" t="n"/>
      <c r="K753" s="124" t="n"/>
      <c r="L753" s="125" t="n"/>
      <c r="M753" s="126" t="n"/>
      <c r="N753" s="124" t="n"/>
    </row>
    <row r="754" ht="15" customHeight="1" s="74">
      <c r="A754" s="121" t="n"/>
      <c r="B754" s="122" t="n"/>
      <c r="C754" s="122" t="n"/>
      <c r="D754" s="123" t="n"/>
      <c r="E754" s="121" t="n"/>
      <c r="F754" s="124" t="n"/>
      <c r="G754" s="125" t="n"/>
      <c r="H754" s="125" t="n"/>
      <c r="I754" s="124" t="n"/>
      <c r="J754" s="125" t="n"/>
      <c r="K754" s="124" t="n"/>
      <c r="L754" s="125" t="n"/>
      <c r="M754" s="126" t="n"/>
      <c r="N754" s="124" t="n"/>
    </row>
    <row r="755" ht="15" customHeight="1" s="74">
      <c r="A755" s="121" t="n"/>
      <c r="B755" s="122" t="n"/>
      <c r="C755" s="122" t="n"/>
      <c r="D755" s="123" t="n"/>
      <c r="E755" s="121" t="n"/>
      <c r="F755" s="124" t="n"/>
      <c r="G755" s="125" t="n"/>
      <c r="H755" s="125" t="n"/>
      <c r="I755" s="124" t="n"/>
      <c r="J755" s="125" t="n"/>
      <c r="K755" s="124" t="n"/>
      <c r="L755" s="125" t="n"/>
      <c r="M755" s="126" t="n"/>
      <c r="N755" s="124" t="n"/>
    </row>
    <row r="756" ht="15" customHeight="1" s="74">
      <c r="A756" s="121" t="n"/>
      <c r="B756" s="122" t="n"/>
      <c r="C756" s="122" t="n"/>
      <c r="D756" s="123" t="n"/>
      <c r="E756" s="121" t="n"/>
      <c r="F756" s="124" t="n"/>
      <c r="G756" s="125" t="n"/>
      <c r="H756" s="125" t="n"/>
      <c r="I756" s="124" t="n"/>
      <c r="J756" s="125" t="n"/>
      <c r="K756" s="124" t="n"/>
      <c r="L756" s="125" t="n"/>
      <c r="M756" s="126" t="n"/>
      <c r="N756" s="124" t="n"/>
    </row>
    <row r="757" ht="15" customHeight="1" s="74">
      <c r="A757" s="121" t="n"/>
      <c r="B757" s="122" t="n"/>
      <c r="C757" s="122" t="n"/>
      <c r="D757" s="123" t="n"/>
      <c r="E757" s="121" t="n"/>
      <c r="F757" s="124" t="n"/>
      <c r="G757" s="125" t="n"/>
      <c r="H757" s="125" t="n"/>
      <c r="I757" s="124" t="n"/>
      <c r="J757" s="125" t="n"/>
      <c r="K757" s="124" t="n"/>
      <c r="L757" s="125" t="n"/>
      <c r="M757" s="126" t="n"/>
      <c r="N757" s="124" t="n"/>
    </row>
    <row r="758" ht="15" customHeight="1" s="74">
      <c r="A758" s="121" t="n"/>
      <c r="B758" s="122" t="n"/>
      <c r="C758" s="122" t="n"/>
      <c r="D758" s="123" t="n"/>
      <c r="E758" s="121" t="n"/>
      <c r="F758" s="124" t="n"/>
      <c r="G758" s="125" t="n"/>
      <c r="H758" s="125" t="n"/>
      <c r="I758" s="124" t="n"/>
      <c r="J758" s="125" t="n"/>
      <c r="K758" s="124" t="n"/>
      <c r="L758" s="125" t="n"/>
      <c r="M758" s="126" t="n"/>
      <c r="N758" s="124" t="n"/>
    </row>
    <row r="759" ht="15" customHeight="1" s="74">
      <c r="A759" s="121" t="n"/>
      <c r="B759" s="122" t="n"/>
      <c r="C759" s="122" t="n"/>
      <c r="D759" s="123" t="n"/>
      <c r="E759" s="121" t="n"/>
      <c r="F759" s="124" t="n"/>
      <c r="G759" s="125" t="n"/>
      <c r="H759" s="125" t="n"/>
      <c r="I759" s="124" t="n"/>
      <c r="J759" s="125" t="n"/>
      <c r="K759" s="124" t="n"/>
      <c r="L759" s="125" t="n"/>
      <c r="M759" s="126" t="n"/>
      <c r="N759" s="124" t="n"/>
    </row>
    <row r="760" ht="15" customHeight="1" s="74">
      <c r="A760" s="121" t="n"/>
      <c r="B760" s="122" t="n"/>
      <c r="C760" s="122" t="n"/>
      <c r="D760" s="123" t="n"/>
      <c r="E760" s="121" t="n"/>
      <c r="F760" s="124" t="n"/>
      <c r="G760" s="125" t="n"/>
      <c r="H760" s="125" t="n"/>
      <c r="I760" s="124" t="n"/>
      <c r="J760" s="125" t="n"/>
      <c r="K760" s="124" t="n"/>
      <c r="L760" s="125" t="n"/>
      <c r="M760" s="126" t="n"/>
      <c r="N760" s="124" t="n"/>
    </row>
    <row r="761" ht="15" customHeight="1" s="74">
      <c r="A761" s="121" t="n"/>
      <c r="B761" s="122" t="n"/>
      <c r="C761" s="122" t="n"/>
      <c r="D761" s="123" t="n"/>
      <c r="E761" s="121" t="n"/>
      <c r="F761" s="124" t="n"/>
      <c r="G761" s="125" t="n"/>
      <c r="H761" s="125" t="n"/>
      <c r="I761" s="124" t="n"/>
      <c r="J761" s="125" t="n"/>
      <c r="K761" s="124" t="n"/>
      <c r="L761" s="125" t="n"/>
      <c r="M761" s="126" t="n"/>
      <c r="N761" s="124" t="n"/>
    </row>
    <row r="762" ht="15" customHeight="1" s="74">
      <c r="A762" s="121" t="n"/>
      <c r="B762" s="122" t="n"/>
      <c r="C762" s="122" t="n"/>
      <c r="D762" s="123" t="n"/>
      <c r="E762" s="121" t="n"/>
      <c r="F762" s="124" t="n"/>
      <c r="G762" s="125" t="n"/>
      <c r="H762" s="125" t="n"/>
      <c r="I762" s="124" t="n"/>
      <c r="J762" s="125" t="n"/>
      <c r="K762" s="124" t="n"/>
      <c r="L762" s="125" t="n"/>
      <c r="M762" s="126" t="n"/>
      <c r="N762" s="124" t="n"/>
    </row>
    <row r="763" ht="15" customHeight="1" s="74">
      <c r="A763" s="121" t="n"/>
      <c r="B763" s="122" t="n"/>
      <c r="C763" s="122" t="n"/>
      <c r="D763" s="123" t="n"/>
      <c r="E763" s="121" t="n"/>
      <c r="F763" s="124" t="n"/>
      <c r="G763" s="125" t="n"/>
      <c r="H763" s="125" t="n"/>
      <c r="I763" s="124" t="n"/>
      <c r="J763" s="125" t="n"/>
      <c r="K763" s="124" t="n"/>
      <c r="L763" s="125" t="n"/>
      <c r="M763" s="126" t="n"/>
      <c r="N763" s="124" t="n"/>
    </row>
    <row r="764" ht="15" customHeight="1" s="74">
      <c r="A764" s="121" t="n"/>
      <c r="B764" s="122" t="n"/>
      <c r="C764" s="122" t="n"/>
      <c r="D764" s="123" t="n"/>
      <c r="E764" s="121" t="n"/>
      <c r="F764" s="124" t="n"/>
      <c r="G764" s="125" t="n"/>
      <c r="H764" s="125" t="n"/>
      <c r="I764" s="124" t="n"/>
      <c r="J764" s="125" t="n"/>
      <c r="K764" s="124" t="n"/>
      <c r="L764" s="125" t="n"/>
      <c r="M764" s="126" t="n"/>
      <c r="N764" s="124" t="n"/>
    </row>
    <row r="765" ht="15" customHeight="1" s="74">
      <c r="A765" s="121" t="n"/>
      <c r="B765" s="122" t="n"/>
      <c r="C765" s="122" t="n"/>
      <c r="D765" s="123" t="n"/>
      <c r="E765" s="121" t="n"/>
      <c r="F765" s="124" t="n"/>
      <c r="G765" s="125" t="n"/>
      <c r="H765" s="125" t="n"/>
      <c r="I765" s="124" t="n"/>
      <c r="J765" s="125" t="n"/>
      <c r="K765" s="124" t="n"/>
      <c r="L765" s="125" t="n"/>
      <c r="M765" s="126" t="n"/>
      <c r="N765" s="124" t="n"/>
    </row>
    <row r="766" ht="15" customHeight="1" s="74">
      <c r="A766" s="121" t="n"/>
      <c r="B766" s="122" t="n"/>
      <c r="C766" s="122" t="n"/>
      <c r="D766" s="123" t="n"/>
      <c r="E766" s="121" t="n"/>
      <c r="F766" s="124" t="n"/>
      <c r="G766" s="125" t="n"/>
      <c r="H766" s="125" t="n"/>
      <c r="I766" s="124" t="n"/>
      <c r="J766" s="125" t="n"/>
      <c r="K766" s="124" t="n"/>
      <c r="L766" s="125" t="n"/>
      <c r="M766" s="126" t="n"/>
      <c r="N766" s="124" t="n"/>
    </row>
    <row r="767" ht="15" customHeight="1" s="74">
      <c r="A767" s="121" t="n"/>
      <c r="B767" s="122" t="n"/>
      <c r="C767" s="122" t="n"/>
      <c r="D767" s="123" t="n"/>
      <c r="E767" s="121" t="n"/>
      <c r="F767" s="124" t="n"/>
      <c r="G767" s="125" t="n"/>
      <c r="H767" s="125" t="n"/>
      <c r="I767" s="124" t="n"/>
      <c r="J767" s="125" t="n"/>
      <c r="K767" s="124" t="n"/>
      <c r="L767" s="125" t="n"/>
      <c r="M767" s="126" t="n"/>
      <c r="N767" s="124" t="n"/>
    </row>
    <row r="768" ht="15" customHeight="1" s="74">
      <c r="A768" s="121" t="n"/>
      <c r="B768" s="122" t="n"/>
      <c r="C768" s="122" t="n"/>
      <c r="D768" s="123" t="n"/>
      <c r="E768" s="121" t="n"/>
      <c r="F768" s="124" t="n"/>
      <c r="G768" s="125" t="n"/>
      <c r="H768" s="125" t="n"/>
      <c r="I768" s="124" t="n"/>
      <c r="J768" s="125" t="n"/>
      <c r="K768" s="124" t="n"/>
      <c r="L768" s="125" t="n"/>
      <c r="M768" s="126" t="n"/>
      <c r="N768" s="124" t="n"/>
    </row>
    <row r="769" ht="15" customHeight="1" s="74">
      <c r="A769" s="121" t="n"/>
      <c r="B769" s="122" t="n"/>
      <c r="C769" s="122" t="n"/>
      <c r="D769" s="123" t="n"/>
      <c r="E769" s="121" t="n"/>
      <c r="F769" s="124" t="n"/>
      <c r="G769" s="125" t="n"/>
      <c r="H769" s="125" t="n"/>
      <c r="I769" s="124" t="n"/>
      <c r="J769" s="125" t="n"/>
      <c r="K769" s="124" t="n"/>
      <c r="L769" s="125" t="n"/>
      <c r="M769" s="126" t="n"/>
      <c r="N769" s="124" t="n"/>
    </row>
    <row r="770" ht="15" customHeight="1" s="74">
      <c r="A770" s="121" t="n"/>
      <c r="B770" s="122" t="n"/>
      <c r="C770" s="122" t="n"/>
      <c r="D770" s="123" t="n"/>
      <c r="E770" s="121" t="n"/>
      <c r="F770" s="124" t="n"/>
      <c r="G770" s="125" t="n"/>
      <c r="H770" s="125" t="n"/>
      <c r="I770" s="124" t="n"/>
      <c r="J770" s="125" t="n"/>
      <c r="K770" s="124" t="n"/>
      <c r="L770" s="125" t="n"/>
      <c r="M770" s="126" t="n"/>
      <c r="N770" s="124" t="n"/>
    </row>
    <row r="771" ht="15" customHeight="1" s="74">
      <c r="A771" s="121" t="n"/>
      <c r="B771" s="122" t="n"/>
      <c r="C771" s="122" t="n"/>
      <c r="D771" s="123" t="n"/>
      <c r="E771" s="121" t="n"/>
      <c r="F771" s="124" t="n"/>
      <c r="G771" s="125" t="n"/>
      <c r="H771" s="125" t="n"/>
      <c r="I771" s="124" t="n"/>
      <c r="J771" s="125" t="n"/>
      <c r="K771" s="124" t="n"/>
      <c r="L771" s="125" t="n"/>
      <c r="M771" s="126" t="n"/>
      <c r="N771" s="124" t="n"/>
    </row>
    <row r="772" ht="15" customHeight="1" s="74">
      <c r="A772" s="121" t="n"/>
      <c r="B772" s="122" t="n"/>
      <c r="C772" s="122" t="n"/>
      <c r="D772" s="123" t="n"/>
      <c r="E772" s="121" t="n"/>
      <c r="F772" s="124" t="n"/>
      <c r="G772" s="125" t="n"/>
      <c r="H772" s="125" t="n"/>
      <c r="I772" s="124" t="n"/>
      <c r="J772" s="125" t="n"/>
      <c r="K772" s="124" t="n"/>
      <c r="L772" s="125" t="n"/>
      <c r="M772" s="126" t="n"/>
      <c r="N772" s="124" t="n"/>
    </row>
    <row r="773" ht="15" customHeight="1" s="74">
      <c r="A773" s="121" t="n"/>
      <c r="B773" s="122" t="n"/>
      <c r="C773" s="122" t="n"/>
      <c r="D773" s="123" t="n"/>
      <c r="E773" s="121" t="n"/>
      <c r="F773" s="124" t="n"/>
      <c r="G773" s="125" t="n"/>
      <c r="H773" s="125" t="n"/>
      <c r="I773" s="124" t="n"/>
      <c r="J773" s="125" t="n"/>
      <c r="K773" s="124" t="n"/>
      <c r="L773" s="125" t="n"/>
      <c r="M773" s="126" t="n"/>
      <c r="N773" s="124" t="n"/>
    </row>
    <row r="774" ht="15" customHeight="1" s="74">
      <c r="A774" s="121" t="n"/>
      <c r="B774" s="122" t="n"/>
      <c r="C774" s="122" t="n"/>
      <c r="D774" s="123" t="n"/>
      <c r="E774" s="121" t="n"/>
      <c r="F774" s="124" t="n"/>
      <c r="G774" s="125" t="n"/>
      <c r="H774" s="125" t="n"/>
      <c r="I774" s="124" t="n"/>
      <c r="J774" s="125" t="n"/>
      <c r="K774" s="124" t="n"/>
      <c r="L774" s="125" t="n"/>
      <c r="M774" s="126" t="n"/>
      <c r="N774" s="124" t="n"/>
    </row>
    <row r="775" ht="15" customHeight="1" s="74">
      <c r="A775" s="121" t="n"/>
      <c r="B775" s="122" t="n"/>
      <c r="C775" s="122" t="n"/>
      <c r="D775" s="123" t="n"/>
      <c r="E775" s="121" t="n"/>
      <c r="F775" s="124" t="n"/>
      <c r="G775" s="125" t="n"/>
      <c r="H775" s="125" t="n"/>
      <c r="I775" s="124" t="n"/>
      <c r="J775" s="125" t="n"/>
      <c r="K775" s="124" t="n"/>
      <c r="L775" s="125" t="n"/>
      <c r="M775" s="126" t="n"/>
      <c r="N775" s="124" t="n"/>
    </row>
    <row r="776" ht="15" customHeight="1" s="74">
      <c r="A776" s="121" t="n"/>
      <c r="B776" s="122" t="n"/>
      <c r="C776" s="122" t="n"/>
      <c r="D776" s="123" t="n"/>
      <c r="E776" s="121" t="n"/>
      <c r="F776" s="124" t="n"/>
      <c r="G776" s="125" t="n"/>
      <c r="H776" s="125" t="n"/>
      <c r="I776" s="124" t="n"/>
      <c r="J776" s="125" t="n"/>
      <c r="K776" s="124" t="n"/>
      <c r="L776" s="125" t="n"/>
      <c r="M776" s="126" t="n"/>
      <c r="N776" s="124" t="n"/>
    </row>
    <row r="777" ht="15" customHeight="1" s="74">
      <c r="A777" s="121" t="n"/>
      <c r="B777" s="122" t="n"/>
      <c r="C777" s="122" t="n"/>
      <c r="D777" s="123" t="n"/>
      <c r="E777" s="121" t="n"/>
      <c r="F777" s="124" t="n"/>
      <c r="G777" s="125" t="n"/>
      <c r="H777" s="125" t="n"/>
      <c r="I777" s="124" t="n"/>
      <c r="J777" s="125" t="n"/>
      <c r="K777" s="124" t="n"/>
      <c r="L777" s="125" t="n"/>
      <c r="M777" s="126" t="n"/>
      <c r="N777" s="124" t="n"/>
    </row>
    <row r="778" ht="15" customHeight="1" s="74">
      <c r="A778" s="121" t="n"/>
      <c r="B778" s="122" t="n"/>
      <c r="C778" s="122" t="n"/>
      <c r="D778" s="123" t="n"/>
      <c r="E778" s="121" t="n"/>
      <c r="F778" s="124" t="n"/>
      <c r="G778" s="125" t="n"/>
      <c r="H778" s="125" t="n"/>
      <c r="I778" s="124" t="n"/>
      <c r="J778" s="125" t="n"/>
      <c r="K778" s="124" t="n"/>
      <c r="L778" s="125" t="n"/>
      <c r="M778" s="126" t="n"/>
      <c r="N778" s="124" t="n"/>
    </row>
    <row r="779" ht="15" customHeight="1" s="74">
      <c r="A779" s="121" t="n"/>
      <c r="B779" s="122" t="n"/>
      <c r="C779" s="122" t="n"/>
      <c r="D779" s="123" t="n"/>
      <c r="E779" s="121" t="n"/>
      <c r="F779" s="124" t="n"/>
      <c r="G779" s="125" t="n"/>
      <c r="H779" s="125" t="n"/>
      <c r="I779" s="124" t="n"/>
      <c r="J779" s="125" t="n"/>
      <c r="K779" s="124" t="n"/>
      <c r="L779" s="125" t="n"/>
      <c r="M779" s="126" t="n"/>
      <c r="N779" s="124" t="n"/>
    </row>
    <row r="780" ht="15" customHeight="1" s="74">
      <c r="A780" s="121" t="n"/>
      <c r="B780" s="122" t="n"/>
      <c r="C780" s="122" t="n"/>
      <c r="D780" s="123" t="n"/>
      <c r="E780" s="121" t="n"/>
      <c r="F780" s="124" t="n"/>
      <c r="G780" s="125" t="n"/>
      <c r="H780" s="125" t="n"/>
      <c r="I780" s="124" t="n"/>
      <c r="J780" s="125" t="n"/>
      <c r="K780" s="124" t="n"/>
      <c r="L780" s="125" t="n"/>
      <c r="M780" s="126" t="n"/>
      <c r="N780" s="124" t="n"/>
    </row>
    <row r="781" ht="15" customHeight="1" s="74">
      <c r="A781" s="121" t="n"/>
      <c r="B781" s="122" t="n"/>
      <c r="C781" s="122" t="n"/>
      <c r="D781" s="123" t="n"/>
      <c r="E781" s="121" t="n"/>
      <c r="F781" s="124" t="n"/>
      <c r="G781" s="125" t="n"/>
      <c r="H781" s="125" t="n"/>
      <c r="I781" s="124" t="n"/>
      <c r="J781" s="125" t="n"/>
      <c r="K781" s="124" t="n"/>
      <c r="L781" s="125" t="n"/>
      <c r="M781" s="126" t="n"/>
      <c r="N781" s="124" t="n"/>
    </row>
    <row r="782" ht="15" customHeight="1" s="74">
      <c r="A782" s="121" t="n"/>
      <c r="B782" s="122" t="n"/>
      <c r="C782" s="122" t="n"/>
      <c r="D782" s="123" t="n"/>
      <c r="E782" s="121" t="n"/>
      <c r="F782" s="124" t="n"/>
      <c r="G782" s="125" t="n"/>
      <c r="H782" s="125" t="n"/>
      <c r="I782" s="124" t="n"/>
      <c r="J782" s="125" t="n"/>
      <c r="K782" s="124" t="n"/>
      <c r="L782" s="125" t="n"/>
      <c r="M782" s="126" t="n"/>
      <c r="N782" s="124" t="n"/>
    </row>
    <row r="783" ht="15" customHeight="1" s="74">
      <c r="A783" s="121" t="n"/>
      <c r="B783" s="122" t="n"/>
      <c r="C783" s="122" t="n"/>
      <c r="D783" s="123" t="n"/>
      <c r="E783" s="121" t="n"/>
      <c r="F783" s="124" t="n"/>
      <c r="G783" s="125" t="n"/>
      <c r="H783" s="125" t="n"/>
      <c r="I783" s="124" t="n"/>
      <c r="J783" s="125" t="n"/>
      <c r="K783" s="124" t="n"/>
      <c r="L783" s="125" t="n"/>
      <c r="M783" s="126" t="n"/>
      <c r="N783" s="124" t="n"/>
    </row>
    <row r="784" ht="15" customHeight="1" s="74">
      <c r="A784" s="121" t="n"/>
      <c r="B784" s="122" t="n"/>
      <c r="C784" s="122" t="n"/>
      <c r="D784" s="123" t="n"/>
      <c r="E784" s="121" t="n"/>
      <c r="F784" s="124" t="n"/>
      <c r="G784" s="125" t="n"/>
      <c r="H784" s="125" t="n"/>
      <c r="I784" s="124" t="n"/>
      <c r="J784" s="125" t="n"/>
      <c r="K784" s="124" t="n"/>
      <c r="L784" s="125" t="n"/>
      <c r="M784" s="126" t="n"/>
      <c r="N784" s="124" t="n"/>
    </row>
    <row r="785" ht="15" customHeight="1" s="74">
      <c r="A785" s="121" t="n"/>
      <c r="B785" s="122" t="n"/>
      <c r="C785" s="122" t="n"/>
      <c r="D785" s="123" t="n"/>
      <c r="E785" s="121" t="n"/>
      <c r="F785" s="124" t="n"/>
      <c r="G785" s="125" t="n"/>
      <c r="H785" s="125" t="n"/>
      <c r="I785" s="124" t="n"/>
      <c r="J785" s="125" t="n"/>
      <c r="K785" s="124" t="n"/>
      <c r="L785" s="125" t="n"/>
      <c r="M785" s="126" t="n"/>
      <c r="N785" s="124" t="n"/>
    </row>
    <row r="786" ht="15" customHeight="1" s="74">
      <c r="A786" s="121" t="n"/>
      <c r="B786" s="122" t="n"/>
      <c r="C786" s="122" t="n"/>
      <c r="D786" s="123" t="n"/>
      <c r="E786" s="121" t="n"/>
      <c r="F786" s="124" t="n"/>
      <c r="G786" s="125" t="n"/>
      <c r="H786" s="125" t="n"/>
      <c r="I786" s="124" t="n"/>
      <c r="J786" s="125" t="n"/>
      <c r="K786" s="124" t="n"/>
      <c r="L786" s="125" t="n"/>
      <c r="M786" s="126" t="n"/>
      <c r="N786" s="124" t="n"/>
    </row>
    <row r="787" ht="15" customHeight="1" s="74">
      <c r="A787" s="121" t="n"/>
      <c r="B787" s="122" t="n"/>
      <c r="C787" s="122" t="n"/>
      <c r="D787" s="123" t="n"/>
      <c r="E787" s="121" t="n"/>
      <c r="F787" s="124" t="n"/>
      <c r="G787" s="125" t="n"/>
      <c r="H787" s="125" t="n"/>
      <c r="I787" s="124" t="n"/>
      <c r="J787" s="125" t="n"/>
      <c r="K787" s="124" t="n"/>
      <c r="L787" s="125" t="n"/>
      <c r="M787" s="126" t="n"/>
      <c r="N787" s="124" t="n"/>
    </row>
    <row r="788" ht="15" customHeight="1" s="74">
      <c r="A788" s="121" t="n"/>
      <c r="B788" s="122" t="n"/>
      <c r="C788" s="122" t="n"/>
      <c r="D788" s="123" t="n"/>
      <c r="E788" s="121" t="n"/>
      <c r="F788" s="124" t="n"/>
      <c r="G788" s="125" t="n"/>
      <c r="H788" s="125" t="n"/>
      <c r="I788" s="124" t="n"/>
      <c r="J788" s="125" t="n"/>
      <c r="K788" s="124" t="n"/>
      <c r="L788" s="125" t="n"/>
      <c r="M788" s="126" t="n"/>
      <c r="N788" s="124" t="n"/>
    </row>
    <row r="789" ht="15" customHeight="1" s="74">
      <c r="A789" s="121" t="n"/>
      <c r="B789" s="122" t="n"/>
      <c r="C789" s="122" t="n"/>
      <c r="D789" s="123" t="n"/>
      <c r="E789" s="121" t="n"/>
      <c r="F789" s="124" t="n"/>
      <c r="G789" s="125" t="n"/>
      <c r="H789" s="125" t="n"/>
      <c r="I789" s="124" t="n"/>
      <c r="J789" s="125" t="n"/>
      <c r="K789" s="124" t="n"/>
      <c r="L789" s="125" t="n"/>
      <c r="M789" s="126" t="n"/>
      <c r="N789" s="124" t="n"/>
    </row>
    <row r="790" ht="15" customHeight="1" s="74">
      <c r="A790" s="121" t="n"/>
      <c r="B790" s="122" t="n"/>
      <c r="C790" s="122" t="n"/>
      <c r="D790" s="123" t="n"/>
      <c r="E790" s="121" t="n"/>
      <c r="F790" s="124" t="n"/>
      <c r="G790" s="125" t="n"/>
      <c r="H790" s="125" t="n"/>
      <c r="I790" s="124" t="n"/>
      <c r="J790" s="125" t="n"/>
      <c r="K790" s="124" t="n"/>
      <c r="L790" s="125" t="n"/>
      <c r="M790" s="126" t="n"/>
      <c r="N790" s="124" t="n"/>
    </row>
    <row r="791" ht="15" customHeight="1" s="74">
      <c r="A791" s="121" t="n"/>
      <c r="B791" s="122" t="n"/>
      <c r="C791" s="122" t="n"/>
      <c r="D791" s="123" t="n"/>
      <c r="E791" s="121" t="n"/>
      <c r="F791" s="124" t="n"/>
      <c r="G791" s="125" t="n"/>
      <c r="H791" s="125" t="n"/>
      <c r="I791" s="124" t="n"/>
      <c r="J791" s="125" t="n"/>
      <c r="K791" s="124" t="n"/>
      <c r="L791" s="125" t="n"/>
      <c r="M791" s="126" t="n"/>
      <c r="N791" s="124" t="n"/>
    </row>
    <row r="792" ht="15" customHeight="1" s="74">
      <c r="A792" s="121" t="n"/>
      <c r="B792" s="122" t="n"/>
      <c r="C792" s="122" t="n"/>
      <c r="D792" s="123" t="n"/>
      <c r="E792" s="121" t="n"/>
      <c r="F792" s="124" t="n"/>
      <c r="G792" s="125" t="n"/>
      <c r="H792" s="125" t="n"/>
      <c r="I792" s="124" t="n"/>
      <c r="J792" s="125" t="n"/>
      <c r="K792" s="124" t="n"/>
      <c r="L792" s="125" t="n"/>
      <c r="M792" s="126" t="n"/>
      <c r="N792" s="124" t="n"/>
    </row>
    <row r="793" ht="15" customHeight="1" s="74">
      <c r="A793" s="121" t="n"/>
      <c r="B793" s="122" t="n"/>
      <c r="C793" s="122" t="n"/>
      <c r="D793" s="123" t="n"/>
      <c r="E793" s="121" t="n"/>
      <c r="F793" s="124" t="n"/>
      <c r="G793" s="125" t="n"/>
      <c r="H793" s="125" t="n"/>
      <c r="I793" s="124" t="n"/>
      <c r="J793" s="125" t="n"/>
      <c r="K793" s="124" t="n"/>
      <c r="L793" s="125" t="n"/>
      <c r="M793" s="126" t="n"/>
      <c r="N793" s="124" t="n"/>
    </row>
    <row r="794" ht="15" customHeight="1" s="74">
      <c r="A794" s="121" t="n"/>
      <c r="B794" s="122" t="n"/>
      <c r="C794" s="122" t="n"/>
      <c r="D794" s="123" t="n"/>
      <c r="E794" s="121" t="n"/>
      <c r="F794" s="124" t="n"/>
      <c r="G794" s="125" t="n"/>
      <c r="H794" s="125" t="n"/>
      <c r="I794" s="124" t="n"/>
      <c r="J794" s="125" t="n"/>
      <c r="K794" s="124" t="n"/>
      <c r="L794" s="125" t="n"/>
      <c r="M794" s="126" t="n"/>
      <c r="N794" s="124" t="n"/>
    </row>
    <row r="795" ht="15" customHeight="1" s="74">
      <c r="A795" s="121" t="n"/>
      <c r="B795" s="122" t="n"/>
      <c r="C795" s="122" t="n"/>
      <c r="D795" s="123" t="n"/>
      <c r="E795" s="121" t="n"/>
      <c r="F795" s="124" t="n"/>
      <c r="G795" s="125" t="n"/>
      <c r="H795" s="125" t="n"/>
      <c r="I795" s="124" t="n"/>
      <c r="J795" s="125" t="n"/>
      <c r="K795" s="124" t="n"/>
      <c r="L795" s="125" t="n"/>
      <c r="M795" s="126" t="n"/>
      <c r="N795" s="124" t="n"/>
    </row>
    <row r="796" ht="15" customHeight="1" s="74">
      <c r="A796" s="121" t="n"/>
      <c r="B796" s="122" t="n"/>
      <c r="C796" s="122" t="n"/>
      <c r="D796" s="123" t="n"/>
      <c r="E796" s="121" t="n"/>
      <c r="F796" s="124" t="n"/>
      <c r="G796" s="125" t="n"/>
      <c r="H796" s="125" t="n"/>
      <c r="I796" s="124" t="n"/>
      <c r="J796" s="125" t="n"/>
      <c r="K796" s="124" t="n"/>
      <c r="L796" s="125" t="n"/>
      <c r="M796" s="126" t="n"/>
      <c r="N796" s="124" t="n"/>
    </row>
    <row r="797" ht="15" customHeight="1" s="74">
      <c r="A797" s="121" t="n"/>
      <c r="B797" s="122" t="n"/>
      <c r="C797" s="122" t="n"/>
      <c r="D797" s="123" t="n"/>
      <c r="E797" s="121" t="n"/>
      <c r="F797" s="124" t="n"/>
      <c r="G797" s="125" t="n"/>
      <c r="H797" s="125" t="n"/>
      <c r="I797" s="124" t="n"/>
      <c r="J797" s="125" t="n"/>
      <c r="K797" s="124" t="n"/>
      <c r="L797" s="125" t="n"/>
      <c r="M797" s="126" t="n"/>
      <c r="N797" s="124" t="n"/>
    </row>
    <row r="798" ht="15" customHeight="1" s="74">
      <c r="A798" s="121" t="n"/>
      <c r="B798" s="122" t="n"/>
      <c r="C798" s="122" t="n"/>
      <c r="D798" s="123" t="n"/>
      <c r="E798" s="121" t="n"/>
      <c r="F798" s="124" t="n"/>
      <c r="G798" s="125" t="n"/>
      <c r="H798" s="125" t="n"/>
      <c r="I798" s="124" t="n"/>
      <c r="J798" s="125" t="n"/>
      <c r="K798" s="124" t="n"/>
      <c r="L798" s="125" t="n"/>
      <c r="M798" s="126" t="n"/>
      <c r="N798" s="124" t="n"/>
    </row>
    <row r="799" ht="15" customHeight="1" s="74">
      <c r="A799" s="121" t="n"/>
      <c r="B799" s="122" t="n"/>
      <c r="C799" s="122" t="n"/>
      <c r="D799" s="123" t="n"/>
      <c r="E799" s="121" t="n"/>
      <c r="F799" s="124" t="n"/>
      <c r="G799" s="125" t="n"/>
      <c r="H799" s="125" t="n"/>
      <c r="I799" s="124" t="n"/>
      <c r="J799" s="125" t="n"/>
      <c r="K799" s="124" t="n"/>
      <c r="L799" s="125" t="n"/>
      <c r="M799" s="126" t="n"/>
      <c r="N799" s="124" t="n"/>
    </row>
    <row r="800" ht="15" customHeight="1" s="74">
      <c r="A800" s="121" t="n"/>
      <c r="B800" s="122" t="n"/>
      <c r="C800" s="122" t="n"/>
      <c r="D800" s="123" t="n"/>
      <c r="E800" s="121" t="n"/>
      <c r="F800" s="124" t="n"/>
      <c r="G800" s="125" t="n"/>
      <c r="H800" s="125" t="n"/>
      <c r="I800" s="124" t="n"/>
      <c r="J800" s="125" t="n"/>
      <c r="K800" s="124" t="n"/>
      <c r="L800" s="125" t="n"/>
      <c r="M800" s="126" t="n"/>
      <c r="N800" s="124" t="n"/>
    </row>
    <row r="801" ht="15" customHeight="1" s="74">
      <c r="A801" s="121" t="n"/>
      <c r="B801" s="122" t="n"/>
      <c r="C801" s="122" t="n"/>
      <c r="D801" s="123" t="n"/>
      <c r="E801" s="121" t="n"/>
      <c r="F801" s="124" t="n"/>
      <c r="G801" s="125" t="n"/>
      <c r="H801" s="125" t="n"/>
      <c r="I801" s="124" t="n"/>
      <c r="J801" s="125" t="n"/>
      <c r="K801" s="124" t="n"/>
      <c r="L801" s="125" t="n"/>
      <c r="M801" s="126" t="n"/>
      <c r="N801" s="124" t="n"/>
    </row>
    <row r="802" ht="15" customHeight="1" s="74">
      <c r="A802" s="121" t="n"/>
      <c r="B802" s="122" t="n"/>
      <c r="C802" s="122" t="n"/>
      <c r="D802" s="123" t="n"/>
      <c r="E802" s="121" t="n"/>
      <c r="F802" s="124" t="n"/>
      <c r="G802" s="125" t="n"/>
      <c r="H802" s="125" t="n"/>
      <c r="I802" s="124" t="n"/>
      <c r="J802" s="125" t="n"/>
      <c r="K802" s="124" t="n"/>
      <c r="L802" s="125" t="n"/>
      <c r="M802" s="126" t="n"/>
      <c r="N802" s="124" t="n"/>
    </row>
    <row r="803" ht="15" customHeight="1" s="74">
      <c r="A803" s="121" t="n"/>
      <c r="B803" s="122" t="n"/>
      <c r="C803" s="122" t="n"/>
      <c r="D803" s="123" t="n"/>
      <c r="E803" s="121" t="n"/>
      <c r="F803" s="124" t="n"/>
      <c r="G803" s="125" t="n"/>
      <c r="H803" s="125" t="n"/>
      <c r="I803" s="124" t="n"/>
      <c r="J803" s="125" t="n"/>
      <c r="K803" s="124" t="n"/>
      <c r="L803" s="125" t="n"/>
      <c r="M803" s="126" t="n"/>
      <c r="N803" s="124" t="n"/>
    </row>
    <row r="804" ht="15" customHeight="1" s="74">
      <c r="A804" s="121" t="n"/>
      <c r="B804" s="122" t="n"/>
      <c r="C804" s="122" t="n"/>
      <c r="D804" s="123" t="n"/>
      <c r="E804" s="121" t="n"/>
      <c r="F804" s="124" t="n"/>
      <c r="G804" s="125" t="n"/>
      <c r="H804" s="125" t="n"/>
      <c r="I804" s="124" t="n"/>
      <c r="J804" s="125" t="n"/>
      <c r="K804" s="124" t="n"/>
      <c r="L804" s="125" t="n"/>
      <c r="M804" s="126" t="n"/>
      <c r="N804" s="124" t="n"/>
    </row>
    <row r="805" ht="15" customHeight="1" s="74">
      <c r="A805" s="121" t="n"/>
      <c r="B805" s="122" t="n"/>
      <c r="C805" s="122" t="n"/>
      <c r="D805" s="123" t="n"/>
      <c r="E805" s="121" t="n"/>
      <c r="F805" s="124" t="n"/>
      <c r="G805" s="125" t="n"/>
      <c r="H805" s="125" t="n"/>
      <c r="I805" s="124" t="n"/>
      <c r="J805" s="125" t="n"/>
      <c r="K805" s="124" t="n"/>
      <c r="L805" s="125" t="n"/>
      <c r="M805" s="126" t="n"/>
      <c r="N805" s="124" t="n"/>
    </row>
    <row r="806" ht="15" customHeight="1" s="74">
      <c r="A806" s="121" t="n"/>
      <c r="B806" s="122" t="n"/>
      <c r="C806" s="122" t="n"/>
      <c r="D806" s="123" t="n"/>
      <c r="E806" s="121" t="n"/>
      <c r="F806" s="124" t="n"/>
      <c r="G806" s="125" t="n"/>
      <c r="H806" s="125" t="n"/>
      <c r="I806" s="124" t="n"/>
      <c r="J806" s="125" t="n"/>
      <c r="K806" s="124" t="n"/>
      <c r="L806" s="125" t="n"/>
      <c r="M806" s="126" t="n"/>
      <c r="N806" s="124" t="n"/>
    </row>
    <row r="807" ht="15" customHeight="1" s="74">
      <c r="A807" s="121" t="n"/>
      <c r="B807" s="122" t="n"/>
      <c r="C807" s="122" t="n"/>
      <c r="D807" s="123" t="n"/>
      <c r="E807" s="121" t="n"/>
      <c r="F807" s="124" t="n"/>
      <c r="G807" s="125" t="n"/>
      <c r="H807" s="125" t="n"/>
      <c r="I807" s="124" t="n"/>
      <c r="J807" s="125" t="n"/>
      <c r="K807" s="124" t="n"/>
      <c r="L807" s="125" t="n"/>
      <c r="M807" s="126" t="n"/>
      <c r="N807" s="124" t="n"/>
    </row>
    <row r="808" ht="15" customHeight="1" s="74">
      <c r="A808" s="121" t="n"/>
      <c r="B808" s="122" t="n"/>
      <c r="C808" s="122" t="n"/>
      <c r="D808" s="123" t="n"/>
      <c r="E808" s="121" t="n"/>
      <c r="F808" s="124" t="n"/>
      <c r="G808" s="125" t="n"/>
      <c r="H808" s="125" t="n"/>
      <c r="I808" s="124" t="n"/>
      <c r="J808" s="125" t="n"/>
      <c r="K808" s="124" t="n"/>
      <c r="L808" s="125" t="n"/>
      <c r="M808" s="126" t="n"/>
      <c r="N808" s="124" t="n"/>
    </row>
    <row r="809" ht="15" customHeight="1" s="74">
      <c r="A809" s="121" t="n"/>
      <c r="B809" s="122" t="n"/>
      <c r="C809" s="122" t="n"/>
      <c r="D809" s="123" t="n"/>
      <c r="E809" s="121" t="n"/>
      <c r="F809" s="124" t="n"/>
      <c r="G809" s="125" t="n"/>
      <c r="H809" s="125" t="n"/>
      <c r="I809" s="124" t="n"/>
      <c r="J809" s="125" t="n"/>
      <c r="K809" s="124" t="n"/>
      <c r="L809" s="125" t="n"/>
      <c r="M809" s="126" t="n"/>
      <c r="N809" s="124" t="n"/>
    </row>
    <row r="810" ht="15" customHeight="1" s="74">
      <c r="A810" s="121" t="n"/>
      <c r="B810" s="122" t="n"/>
      <c r="C810" s="122" t="n"/>
      <c r="D810" s="123" t="n"/>
      <c r="E810" s="121" t="n"/>
      <c r="F810" s="124" t="n"/>
      <c r="G810" s="125" t="n"/>
      <c r="H810" s="125" t="n"/>
      <c r="I810" s="124" t="n"/>
      <c r="J810" s="125" t="n"/>
      <c r="K810" s="124" t="n"/>
      <c r="L810" s="125" t="n"/>
      <c r="M810" s="126" t="n"/>
      <c r="N810" s="124" t="n"/>
    </row>
    <row r="811" ht="15" customHeight="1" s="74">
      <c r="A811" s="121" t="n"/>
      <c r="B811" s="122" t="n"/>
      <c r="C811" s="122" t="n"/>
      <c r="D811" s="123" t="n"/>
      <c r="E811" s="121" t="n"/>
      <c r="F811" s="124" t="n"/>
      <c r="G811" s="125" t="n"/>
      <c r="H811" s="125" t="n"/>
      <c r="I811" s="124" t="n"/>
      <c r="J811" s="125" t="n"/>
      <c r="K811" s="124" t="n"/>
      <c r="L811" s="125" t="n"/>
      <c r="M811" s="126" t="n"/>
      <c r="N811" s="124" t="n"/>
    </row>
    <row r="812" ht="15" customHeight="1" s="74">
      <c r="A812" s="121" t="n"/>
      <c r="B812" s="122" t="n"/>
      <c r="C812" s="122" t="n"/>
      <c r="D812" s="123" t="n"/>
      <c r="E812" s="121" t="n"/>
      <c r="F812" s="124" t="n"/>
      <c r="G812" s="125" t="n"/>
      <c r="H812" s="125" t="n"/>
      <c r="I812" s="124" t="n"/>
      <c r="J812" s="125" t="n"/>
      <c r="K812" s="124" t="n"/>
      <c r="L812" s="125" t="n"/>
      <c r="M812" s="126" t="n"/>
      <c r="N812" s="124" t="n"/>
    </row>
    <row r="813" ht="15" customHeight="1" s="74">
      <c r="A813" s="121" t="n"/>
      <c r="B813" s="122" t="n"/>
      <c r="C813" s="122" t="n"/>
      <c r="D813" s="123" t="n"/>
      <c r="E813" s="121" t="n"/>
      <c r="F813" s="124" t="n"/>
      <c r="G813" s="125" t="n"/>
      <c r="H813" s="125" t="n"/>
      <c r="I813" s="124" t="n"/>
      <c r="J813" s="125" t="n"/>
      <c r="K813" s="124" t="n"/>
      <c r="L813" s="125" t="n"/>
      <c r="M813" s="126" t="n"/>
      <c r="N813" s="124" t="n"/>
    </row>
    <row r="814" ht="15" customHeight="1" s="74">
      <c r="A814" s="121" t="n"/>
      <c r="B814" s="122" t="n"/>
      <c r="C814" s="122" t="n"/>
      <c r="D814" s="123" t="n"/>
      <c r="E814" s="121" t="n"/>
      <c r="F814" s="124" t="n"/>
      <c r="G814" s="125" t="n"/>
      <c r="H814" s="125" t="n"/>
      <c r="I814" s="124" t="n"/>
      <c r="J814" s="125" t="n"/>
      <c r="K814" s="124" t="n"/>
      <c r="L814" s="125" t="n"/>
      <c r="M814" s="126" t="n"/>
      <c r="N814" s="124" t="n"/>
    </row>
    <row r="815" ht="15" customHeight="1" s="74">
      <c r="A815" s="121" t="n"/>
      <c r="B815" s="122" t="n"/>
      <c r="C815" s="122" t="n"/>
      <c r="D815" s="123" t="n"/>
      <c r="E815" s="121" t="n"/>
      <c r="F815" s="124" t="n"/>
      <c r="G815" s="125" t="n"/>
      <c r="H815" s="125" t="n"/>
      <c r="I815" s="124" t="n"/>
      <c r="J815" s="125" t="n"/>
      <c r="K815" s="124" t="n"/>
      <c r="L815" s="125" t="n"/>
      <c r="M815" s="126" t="n"/>
      <c r="N815" s="124" t="n"/>
    </row>
    <row r="816" ht="15" customHeight="1" s="74">
      <c r="A816" s="121" t="n"/>
      <c r="B816" s="122" t="n"/>
      <c r="C816" s="122" t="n"/>
      <c r="D816" s="123" t="n"/>
      <c r="E816" s="121" t="n"/>
      <c r="F816" s="124" t="n"/>
      <c r="G816" s="125" t="n"/>
      <c r="H816" s="125" t="n"/>
      <c r="I816" s="124" t="n"/>
      <c r="J816" s="125" t="n"/>
      <c r="K816" s="124" t="n"/>
      <c r="L816" s="125" t="n"/>
      <c r="M816" s="126" t="n"/>
      <c r="N816" s="124" t="n"/>
    </row>
    <row r="817" ht="15" customHeight="1" s="74">
      <c r="A817" s="121" t="n"/>
      <c r="B817" s="122" t="n"/>
      <c r="C817" s="122" t="n"/>
      <c r="D817" s="123" t="n"/>
      <c r="E817" s="121" t="n"/>
      <c r="F817" s="124" t="n"/>
      <c r="G817" s="125" t="n"/>
      <c r="H817" s="125" t="n"/>
      <c r="I817" s="124" t="n"/>
      <c r="J817" s="125" t="n"/>
      <c r="K817" s="124" t="n"/>
      <c r="L817" s="125" t="n"/>
      <c r="M817" s="126" t="n"/>
      <c r="N817" s="124" t="n"/>
    </row>
    <row r="818" ht="15" customHeight="1" s="74">
      <c r="A818" s="121" t="n"/>
      <c r="B818" s="122" t="n"/>
      <c r="C818" s="122" t="n"/>
      <c r="D818" s="123" t="n"/>
      <c r="E818" s="121" t="n"/>
      <c r="F818" s="124" t="n"/>
      <c r="G818" s="125" t="n"/>
      <c r="H818" s="125" t="n"/>
      <c r="I818" s="124" t="n"/>
      <c r="J818" s="125" t="n"/>
      <c r="K818" s="124" t="n"/>
      <c r="L818" s="125" t="n"/>
      <c r="M818" s="126" t="n"/>
      <c r="N818" s="124" t="n"/>
    </row>
    <row r="819" ht="15" customHeight="1" s="74">
      <c r="A819" s="121" t="n"/>
      <c r="B819" s="122" t="n"/>
      <c r="C819" s="122" t="n"/>
      <c r="D819" s="123" t="n"/>
      <c r="E819" s="121" t="n"/>
      <c r="F819" s="124" t="n"/>
      <c r="G819" s="125" t="n"/>
      <c r="H819" s="125" t="n"/>
      <c r="I819" s="124" t="n"/>
      <c r="J819" s="125" t="n"/>
      <c r="K819" s="124" t="n"/>
      <c r="L819" s="125" t="n"/>
      <c r="M819" s="126" t="n"/>
      <c r="N819" s="124" t="n"/>
    </row>
    <row r="820" ht="15" customHeight="1" s="74">
      <c r="A820" s="121" t="n"/>
      <c r="B820" s="122" t="n"/>
      <c r="C820" s="122" t="n"/>
      <c r="D820" s="123" t="n"/>
      <c r="E820" s="121" t="n"/>
      <c r="F820" s="124" t="n"/>
      <c r="G820" s="125" t="n"/>
      <c r="H820" s="125" t="n"/>
      <c r="I820" s="124" t="n"/>
      <c r="J820" s="125" t="n"/>
      <c r="K820" s="124" t="n"/>
      <c r="L820" s="125" t="n"/>
      <c r="M820" s="126" t="n"/>
      <c r="N820" s="124" t="n"/>
    </row>
    <row r="821" ht="15" customHeight="1" s="74">
      <c r="A821" s="121" t="n"/>
      <c r="B821" s="122" t="n"/>
      <c r="C821" s="122" t="n"/>
      <c r="D821" s="123" t="n"/>
      <c r="E821" s="121" t="n"/>
      <c r="F821" s="124" t="n"/>
      <c r="G821" s="125" t="n"/>
      <c r="H821" s="125" t="n"/>
      <c r="I821" s="124" t="n"/>
      <c r="J821" s="125" t="n"/>
      <c r="K821" s="124" t="n"/>
      <c r="L821" s="125" t="n"/>
      <c r="M821" s="126" t="n"/>
      <c r="N821" s="124" t="n"/>
    </row>
    <row r="822" ht="15" customHeight="1" s="74">
      <c r="A822" s="121" t="n"/>
      <c r="B822" s="122" t="n"/>
      <c r="C822" s="122" t="n"/>
      <c r="D822" s="123" t="n"/>
      <c r="E822" s="121" t="n"/>
      <c r="F822" s="124" t="n"/>
      <c r="G822" s="125" t="n"/>
      <c r="H822" s="125" t="n"/>
      <c r="I822" s="124" t="n"/>
      <c r="J822" s="125" t="n"/>
      <c r="K822" s="124" t="n"/>
      <c r="L822" s="125" t="n"/>
      <c r="M822" s="126" t="n"/>
      <c r="N822" s="124" t="n"/>
    </row>
    <row r="823" ht="15" customHeight="1" s="74">
      <c r="A823" s="121" t="n"/>
      <c r="B823" s="122" t="n"/>
      <c r="C823" s="122" t="n"/>
      <c r="D823" s="123" t="n"/>
      <c r="E823" s="121" t="n"/>
      <c r="F823" s="124" t="n"/>
      <c r="G823" s="125" t="n"/>
      <c r="H823" s="125" t="n"/>
      <c r="I823" s="124" t="n"/>
      <c r="J823" s="125" t="n"/>
      <c r="K823" s="124" t="n"/>
      <c r="L823" s="125" t="n"/>
      <c r="M823" s="126" t="n"/>
      <c r="N823" s="124" t="n"/>
    </row>
    <row r="824" ht="15" customHeight="1" s="74">
      <c r="A824" s="121" t="n"/>
      <c r="B824" s="122" t="n"/>
      <c r="C824" s="122" t="n"/>
      <c r="D824" s="123" t="n"/>
      <c r="E824" s="121" t="n"/>
      <c r="F824" s="124" t="n"/>
      <c r="G824" s="125" t="n"/>
      <c r="H824" s="125" t="n"/>
      <c r="I824" s="124" t="n"/>
      <c r="J824" s="125" t="n"/>
      <c r="K824" s="124" t="n"/>
      <c r="L824" s="125" t="n"/>
      <c r="M824" s="126" t="n"/>
      <c r="N824" s="124" t="n"/>
    </row>
    <row r="825" ht="15" customHeight="1" s="74">
      <c r="A825" s="121" t="n"/>
      <c r="B825" s="122" t="n"/>
      <c r="C825" s="122" t="n"/>
      <c r="D825" s="123" t="n"/>
      <c r="E825" s="121" t="n"/>
      <c r="F825" s="124" t="n"/>
      <c r="G825" s="125" t="n"/>
      <c r="H825" s="125" t="n"/>
      <c r="I825" s="124" t="n"/>
      <c r="J825" s="125" t="n"/>
      <c r="K825" s="124" t="n"/>
      <c r="L825" s="125" t="n"/>
      <c r="M825" s="126" t="n"/>
      <c r="N825" s="124" t="n"/>
    </row>
    <row r="826" ht="15" customHeight="1" s="74">
      <c r="A826" s="121" t="n"/>
      <c r="B826" s="122" t="n"/>
      <c r="C826" s="122" t="n"/>
      <c r="D826" s="123" t="n"/>
      <c r="E826" s="121" t="n"/>
      <c r="F826" s="124" t="n"/>
      <c r="G826" s="125" t="n"/>
      <c r="H826" s="125" t="n"/>
      <c r="I826" s="124" t="n"/>
      <c r="J826" s="125" t="n"/>
      <c r="K826" s="124" t="n"/>
      <c r="L826" s="125" t="n"/>
      <c r="M826" s="126" t="n"/>
      <c r="N826" s="124" t="n"/>
    </row>
    <row r="827" ht="15" customHeight="1" s="74">
      <c r="A827" s="121" t="n"/>
      <c r="B827" s="122" t="n"/>
      <c r="C827" s="122" t="n"/>
      <c r="D827" s="123" t="n"/>
      <c r="E827" s="121" t="n"/>
      <c r="F827" s="124" t="n"/>
      <c r="G827" s="125" t="n"/>
      <c r="H827" s="125" t="n"/>
      <c r="I827" s="124" t="n"/>
      <c r="J827" s="125" t="n"/>
      <c r="K827" s="124" t="n"/>
      <c r="L827" s="125" t="n"/>
      <c r="M827" s="126" t="n"/>
      <c r="N827" s="124" t="n"/>
    </row>
    <row r="828" ht="15" customHeight="1" s="74">
      <c r="A828" s="121" t="n"/>
      <c r="B828" s="122" t="n"/>
      <c r="C828" s="122" t="n"/>
      <c r="D828" s="123" t="n"/>
      <c r="E828" s="121" t="n"/>
      <c r="F828" s="124" t="n"/>
      <c r="G828" s="125" t="n"/>
      <c r="H828" s="125" t="n"/>
      <c r="I828" s="124" t="n"/>
      <c r="J828" s="125" t="n"/>
      <c r="K828" s="124" t="n"/>
      <c r="L828" s="125" t="n"/>
      <c r="M828" s="126" t="n"/>
      <c r="N828" s="124" t="n"/>
    </row>
    <row r="829" ht="15" customHeight="1" s="74">
      <c r="A829" s="121" t="n"/>
      <c r="B829" s="122" t="n"/>
      <c r="C829" s="122" t="n"/>
      <c r="D829" s="123" t="n"/>
      <c r="E829" s="121" t="n"/>
      <c r="F829" s="124" t="n"/>
      <c r="G829" s="125" t="n"/>
      <c r="H829" s="125" t="n"/>
      <c r="I829" s="124" t="n"/>
      <c r="J829" s="125" t="n"/>
      <c r="K829" s="124" t="n"/>
      <c r="L829" s="125" t="n"/>
      <c r="M829" s="126" t="n"/>
      <c r="N829" s="124" t="n"/>
    </row>
    <row r="830" ht="15" customHeight="1" s="74">
      <c r="A830" s="121" t="n"/>
      <c r="B830" s="122" t="n"/>
      <c r="C830" s="122" t="n"/>
      <c r="D830" s="123" t="n"/>
      <c r="E830" s="121" t="n"/>
      <c r="F830" s="124" t="n"/>
      <c r="G830" s="125" t="n"/>
      <c r="H830" s="125" t="n"/>
      <c r="I830" s="124" t="n"/>
      <c r="J830" s="125" t="n"/>
      <c r="K830" s="124" t="n"/>
      <c r="L830" s="125" t="n"/>
      <c r="M830" s="126" t="n"/>
      <c r="N830" s="124" t="n"/>
    </row>
    <row r="831" ht="15" customHeight="1" s="74">
      <c r="A831" s="121" t="n"/>
      <c r="B831" s="122" t="n"/>
      <c r="C831" s="122" t="n"/>
      <c r="D831" s="123" t="n"/>
      <c r="E831" s="121" t="n"/>
      <c r="F831" s="124" t="n"/>
      <c r="G831" s="125" t="n"/>
      <c r="H831" s="125" t="n"/>
      <c r="I831" s="124" t="n"/>
      <c r="J831" s="125" t="n"/>
      <c r="K831" s="124" t="n"/>
      <c r="L831" s="125" t="n"/>
      <c r="M831" s="126" t="n"/>
      <c r="N831" s="124" t="n"/>
    </row>
    <row r="832" ht="15" customHeight="1" s="74">
      <c r="A832" s="121" t="n"/>
      <c r="B832" s="122" t="n"/>
      <c r="C832" s="122" t="n"/>
      <c r="D832" s="123" t="n"/>
      <c r="E832" s="121" t="n"/>
      <c r="F832" s="124" t="n"/>
      <c r="G832" s="125" t="n"/>
      <c r="H832" s="125" t="n"/>
      <c r="I832" s="124" t="n"/>
      <c r="J832" s="125" t="n"/>
      <c r="K832" s="124" t="n"/>
      <c r="L832" s="125" t="n"/>
      <c r="M832" s="126" t="n"/>
      <c r="N832" s="124" t="n"/>
    </row>
    <row r="833" ht="15" customHeight="1" s="74">
      <c r="A833" s="121" t="n"/>
      <c r="B833" s="122" t="n"/>
      <c r="C833" s="122" t="n"/>
      <c r="D833" s="123" t="n"/>
      <c r="E833" s="121" t="n"/>
      <c r="F833" s="124" t="n"/>
      <c r="G833" s="125" t="n"/>
      <c r="H833" s="125" t="n"/>
      <c r="I833" s="124" t="n"/>
      <c r="J833" s="125" t="n"/>
      <c r="K833" s="124" t="n"/>
      <c r="L833" s="125" t="n"/>
      <c r="M833" s="126" t="n"/>
      <c r="N833" s="124" t="n"/>
    </row>
    <row r="834" ht="15" customHeight="1" s="74">
      <c r="A834" s="121" t="n"/>
      <c r="B834" s="122" t="n"/>
      <c r="C834" s="122" t="n"/>
      <c r="D834" s="123" t="n"/>
      <c r="E834" s="121" t="n"/>
      <c r="F834" s="124" t="n"/>
      <c r="G834" s="125" t="n"/>
      <c r="H834" s="125" t="n"/>
      <c r="I834" s="124" t="n"/>
      <c r="J834" s="125" t="n"/>
      <c r="K834" s="124" t="n"/>
      <c r="L834" s="125" t="n"/>
      <c r="M834" s="126" t="n"/>
      <c r="N834" s="124" t="n"/>
    </row>
    <row r="835" ht="15" customHeight="1" s="74">
      <c r="A835" s="121" t="n"/>
      <c r="B835" s="122" t="n"/>
      <c r="C835" s="122" t="n"/>
      <c r="D835" s="123" t="n"/>
      <c r="E835" s="121" t="n"/>
      <c r="F835" s="124" t="n"/>
      <c r="G835" s="125" t="n"/>
      <c r="H835" s="125" t="n"/>
      <c r="I835" s="124" t="n"/>
      <c r="J835" s="125" t="n"/>
      <c r="K835" s="124" t="n"/>
      <c r="L835" s="125" t="n"/>
      <c r="M835" s="126" t="n"/>
      <c r="N835" s="124" t="n"/>
    </row>
    <row r="836" ht="15" customHeight="1" s="74">
      <c r="A836" s="121" t="n"/>
      <c r="B836" s="122" t="n"/>
      <c r="C836" s="122" t="n"/>
      <c r="D836" s="123" t="n"/>
      <c r="E836" s="121" t="n"/>
      <c r="F836" s="124" t="n"/>
      <c r="G836" s="125" t="n"/>
      <c r="H836" s="125" t="n"/>
      <c r="I836" s="124" t="n"/>
      <c r="J836" s="125" t="n"/>
      <c r="K836" s="124" t="n"/>
      <c r="L836" s="125" t="n"/>
      <c r="M836" s="126" t="n"/>
      <c r="N836" s="124" t="n"/>
    </row>
    <row r="837" ht="15" customHeight="1" s="74">
      <c r="A837" s="121" t="n"/>
      <c r="B837" s="122" t="n"/>
      <c r="C837" s="122" t="n"/>
      <c r="D837" s="123" t="n"/>
      <c r="E837" s="121" t="n"/>
      <c r="F837" s="124" t="n"/>
      <c r="G837" s="125" t="n"/>
      <c r="H837" s="125" t="n"/>
      <c r="I837" s="124" t="n"/>
      <c r="J837" s="125" t="n"/>
      <c r="K837" s="124" t="n"/>
      <c r="L837" s="125" t="n"/>
      <c r="M837" s="126" t="n"/>
      <c r="N837" s="124" t="n"/>
    </row>
    <row r="838" ht="15" customHeight="1" s="74">
      <c r="A838" s="121" t="n"/>
      <c r="B838" s="122" t="n"/>
      <c r="C838" s="122" t="n"/>
      <c r="D838" s="123" t="n"/>
      <c r="E838" s="121" t="n"/>
      <c r="F838" s="124" t="n"/>
      <c r="G838" s="125" t="n"/>
      <c r="H838" s="125" t="n"/>
      <c r="I838" s="124" t="n"/>
      <c r="J838" s="125" t="n"/>
      <c r="K838" s="124" t="n"/>
      <c r="L838" s="125" t="n"/>
      <c r="M838" s="126" t="n"/>
      <c r="N838" s="124" t="n"/>
    </row>
    <row r="839" ht="15" customHeight="1" s="74">
      <c r="A839" s="121" t="n"/>
      <c r="B839" s="122" t="n"/>
      <c r="C839" s="122" t="n"/>
      <c r="D839" s="123" t="n"/>
      <c r="E839" s="121" t="n"/>
      <c r="F839" s="124" t="n"/>
      <c r="G839" s="125" t="n"/>
      <c r="H839" s="125" t="n"/>
      <c r="I839" s="124" t="n"/>
      <c r="J839" s="125" t="n"/>
      <c r="K839" s="124" t="n"/>
      <c r="L839" s="125" t="n"/>
      <c r="M839" s="126" t="n"/>
      <c r="N839" s="124" t="n"/>
    </row>
    <row r="840" ht="15" customHeight="1" s="74">
      <c r="A840" s="121" t="n"/>
      <c r="B840" s="122" t="n"/>
      <c r="C840" s="122" t="n"/>
      <c r="D840" s="123" t="n"/>
      <c r="E840" s="121" t="n"/>
      <c r="F840" s="124" t="n"/>
      <c r="G840" s="125" t="n"/>
      <c r="H840" s="125" t="n"/>
      <c r="I840" s="124" t="n"/>
      <c r="J840" s="125" t="n"/>
      <c r="K840" s="124" t="n"/>
      <c r="L840" s="125" t="n"/>
      <c r="M840" s="126" t="n"/>
      <c r="N840" s="124" t="n"/>
    </row>
    <row r="841" ht="15" customHeight="1" s="74">
      <c r="A841" s="121" t="n"/>
      <c r="B841" s="122" t="n"/>
      <c r="C841" s="122" t="n"/>
      <c r="D841" s="123" t="n"/>
      <c r="E841" s="121" t="n"/>
      <c r="F841" s="124" t="n"/>
      <c r="G841" s="125" t="n"/>
      <c r="H841" s="125" t="n"/>
      <c r="I841" s="124" t="n"/>
      <c r="J841" s="125" t="n"/>
      <c r="K841" s="124" t="n"/>
      <c r="L841" s="125" t="n"/>
      <c r="M841" s="126" t="n"/>
      <c r="N841" s="124" t="n"/>
    </row>
    <row r="842" ht="15" customHeight="1" s="74">
      <c r="A842" s="121" t="n"/>
      <c r="B842" s="122" t="n"/>
      <c r="C842" s="122" t="n"/>
      <c r="D842" s="123" t="n"/>
      <c r="E842" s="121" t="n"/>
      <c r="F842" s="124" t="n"/>
      <c r="G842" s="125" t="n"/>
      <c r="H842" s="125" t="n"/>
      <c r="I842" s="124" t="n"/>
      <c r="J842" s="125" t="n"/>
      <c r="K842" s="124" t="n"/>
      <c r="L842" s="125" t="n"/>
      <c r="M842" s="126" t="n"/>
      <c r="N842" s="124" t="n"/>
    </row>
    <row r="843" ht="15" customHeight="1" s="74">
      <c r="A843" s="121" t="n"/>
      <c r="B843" s="122" t="n"/>
      <c r="C843" s="122" t="n"/>
      <c r="D843" s="123" t="n"/>
      <c r="E843" s="121" t="n"/>
      <c r="F843" s="124" t="n"/>
      <c r="G843" s="125" t="n"/>
      <c r="H843" s="125" t="n"/>
      <c r="I843" s="124" t="n"/>
      <c r="J843" s="125" t="n"/>
      <c r="K843" s="124" t="n"/>
      <c r="L843" s="125" t="n"/>
      <c r="M843" s="126" t="n"/>
      <c r="N843" s="124" t="n"/>
    </row>
    <row r="844" ht="15" customHeight="1" s="74">
      <c r="A844" s="121" t="n"/>
      <c r="B844" s="122" t="n"/>
      <c r="C844" s="122" t="n"/>
      <c r="D844" s="123" t="n"/>
      <c r="E844" s="121" t="n"/>
      <c r="F844" s="124" t="n"/>
      <c r="G844" s="125" t="n"/>
      <c r="H844" s="125" t="n"/>
      <c r="I844" s="124" t="n"/>
      <c r="J844" s="125" t="n"/>
      <c r="K844" s="124" t="n"/>
      <c r="L844" s="125" t="n"/>
      <c r="M844" s="126" t="n"/>
      <c r="N844" s="124" t="n"/>
    </row>
    <row r="845" ht="15" customHeight="1" s="74">
      <c r="A845" s="121" t="n"/>
      <c r="B845" s="122" t="n"/>
      <c r="C845" s="122" t="n"/>
      <c r="D845" s="123" t="n"/>
      <c r="E845" s="121" t="n"/>
      <c r="F845" s="124" t="n"/>
      <c r="G845" s="125" t="n"/>
      <c r="H845" s="125" t="n"/>
      <c r="I845" s="124" t="n"/>
      <c r="J845" s="125" t="n"/>
      <c r="K845" s="124" t="n"/>
      <c r="L845" s="125" t="n"/>
      <c r="M845" s="126" t="n"/>
      <c r="N845" s="124" t="n"/>
    </row>
    <row r="846" ht="15" customHeight="1" s="74">
      <c r="A846" s="121" t="n"/>
      <c r="B846" s="122" t="n"/>
      <c r="C846" s="122" t="n"/>
      <c r="D846" s="123" t="n"/>
      <c r="E846" s="121" t="n"/>
      <c r="F846" s="124" t="n"/>
      <c r="G846" s="125" t="n"/>
      <c r="H846" s="125" t="n"/>
      <c r="I846" s="124" t="n"/>
      <c r="J846" s="125" t="n"/>
      <c r="K846" s="124" t="n"/>
      <c r="L846" s="125" t="n"/>
      <c r="M846" s="126" t="n"/>
      <c r="N846" s="124" t="n"/>
    </row>
    <row r="847" ht="15" customHeight="1" s="74">
      <c r="A847" s="121" t="n"/>
      <c r="B847" s="122" t="n"/>
      <c r="C847" s="122" t="n"/>
      <c r="D847" s="123" t="n"/>
      <c r="E847" s="121" t="n"/>
      <c r="F847" s="124" t="n"/>
      <c r="G847" s="125" t="n"/>
      <c r="H847" s="125" t="n"/>
      <c r="I847" s="124" t="n"/>
      <c r="J847" s="125" t="n"/>
      <c r="K847" s="124" t="n"/>
      <c r="L847" s="125" t="n"/>
      <c r="M847" s="126" t="n"/>
      <c r="N847" s="124" t="n"/>
    </row>
    <row r="848" ht="15" customHeight="1" s="74">
      <c r="A848" s="121" t="n"/>
      <c r="B848" s="122" t="n"/>
      <c r="C848" s="122" t="n"/>
      <c r="D848" s="123" t="n"/>
      <c r="E848" s="121" t="n"/>
      <c r="F848" s="124" t="n"/>
      <c r="G848" s="125" t="n"/>
      <c r="H848" s="125" t="n"/>
      <c r="I848" s="124" t="n"/>
      <c r="J848" s="125" t="n"/>
      <c r="K848" s="124" t="n"/>
      <c r="L848" s="125" t="n"/>
      <c r="M848" s="126" t="n"/>
      <c r="N848" s="124" t="n"/>
    </row>
    <row r="849" ht="15" customHeight="1" s="74">
      <c r="A849" s="121" t="n"/>
      <c r="B849" s="122" t="n"/>
      <c r="C849" s="122" t="n"/>
      <c r="D849" s="123" t="n"/>
      <c r="E849" s="121" t="n"/>
      <c r="F849" s="124" t="n"/>
      <c r="G849" s="125" t="n"/>
      <c r="H849" s="125" t="n"/>
      <c r="I849" s="124" t="n"/>
      <c r="J849" s="125" t="n"/>
      <c r="K849" s="124" t="n"/>
      <c r="L849" s="125" t="n"/>
      <c r="M849" s="126" t="n"/>
      <c r="N849" s="124" t="n"/>
    </row>
    <row r="850" ht="15" customHeight="1" s="74">
      <c r="A850" s="121" t="n"/>
      <c r="B850" s="122" t="n"/>
      <c r="C850" s="122" t="n"/>
      <c r="D850" s="123" t="n"/>
      <c r="E850" s="121" t="n"/>
      <c r="F850" s="124" t="n"/>
      <c r="G850" s="125" t="n"/>
      <c r="H850" s="125" t="n"/>
      <c r="I850" s="124" t="n"/>
      <c r="J850" s="125" t="n"/>
      <c r="K850" s="124" t="n"/>
      <c r="L850" s="125" t="n"/>
      <c r="M850" s="126" t="n"/>
      <c r="N850" s="124" t="n"/>
    </row>
    <row r="851" ht="15" customHeight="1" s="74">
      <c r="A851" s="121" t="n"/>
      <c r="B851" s="122" t="n"/>
      <c r="C851" s="122" t="n"/>
      <c r="D851" s="123" t="n"/>
      <c r="E851" s="121" t="n"/>
      <c r="F851" s="124" t="n"/>
      <c r="G851" s="125" t="n"/>
      <c r="H851" s="125" t="n"/>
      <c r="I851" s="124" t="n"/>
      <c r="J851" s="125" t="n"/>
      <c r="K851" s="124" t="n"/>
      <c r="L851" s="125" t="n"/>
      <c r="M851" s="126" t="n"/>
      <c r="N851" s="124" t="n"/>
    </row>
    <row r="852" ht="15" customHeight="1" s="74">
      <c r="A852" s="121" t="n"/>
      <c r="B852" s="122" t="n"/>
      <c r="C852" s="122" t="n"/>
      <c r="D852" s="123" t="n"/>
      <c r="E852" s="121" t="n"/>
      <c r="F852" s="124" t="n"/>
      <c r="G852" s="125" t="n"/>
      <c r="H852" s="125" t="n"/>
      <c r="I852" s="124" t="n"/>
      <c r="J852" s="125" t="n"/>
      <c r="K852" s="124" t="n"/>
      <c r="L852" s="125" t="n"/>
      <c r="M852" s="126" t="n"/>
      <c r="N852" s="124" t="n"/>
    </row>
    <row r="853" ht="15" customHeight="1" s="74">
      <c r="A853" s="121" t="n"/>
      <c r="B853" s="122" t="n"/>
      <c r="C853" s="122" t="n"/>
      <c r="D853" s="123" t="n"/>
      <c r="E853" s="121" t="n"/>
      <c r="F853" s="124" t="n"/>
      <c r="G853" s="125" t="n"/>
      <c r="H853" s="125" t="n"/>
      <c r="I853" s="124" t="n"/>
      <c r="J853" s="125" t="n"/>
      <c r="K853" s="124" t="n"/>
      <c r="L853" s="125" t="n"/>
      <c r="M853" s="126" t="n"/>
      <c r="N853" s="124" t="n"/>
    </row>
    <row r="854" ht="15" customHeight="1" s="74">
      <c r="A854" s="121" t="n"/>
      <c r="B854" s="122" t="n"/>
      <c r="C854" s="122" t="n"/>
      <c r="D854" s="123" t="n"/>
      <c r="E854" s="121" t="n"/>
      <c r="F854" s="124" t="n"/>
      <c r="G854" s="125" t="n"/>
      <c r="H854" s="125" t="n"/>
      <c r="I854" s="124" t="n"/>
      <c r="J854" s="125" t="n"/>
      <c r="K854" s="124" t="n"/>
      <c r="L854" s="125" t="n"/>
      <c r="M854" s="126" t="n"/>
      <c r="N854" s="124" t="n"/>
    </row>
    <row r="855" ht="15" customHeight="1" s="74">
      <c r="A855" s="121" t="n"/>
      <c r="B855" s="122" t="n"/>
      <c r="C855" s="122" t="n"/>
      <c r="D855" s="123" t="n"/>
      <c r="E855" s="121" t="n"/>
      <c r="F855" s="124" t="n"/>
      <c r="G855" s="125" t="n"/>
      <c r="H855" s="125" t="n"/>
      <c r="I855" s="124" t="n"/>
      <c r="J855" s="125" t="n"/>
      <c r="K855" s="124" t="n"/>
      <c r="L855" s="125" t="n"/>
      <c r="M855" s="126" t="n"/>
      <c r="N855" s="124" t="n"/>
    </row>
    <row r="856" ht="15" customHeight="1" s="74">
      <c r="A856" s="121" t="n"/>
      <c r="B856" s="122" t="n"/>
      <c r="C856" s="122" t="n"/>
      <c r="D856" s="123" t="n"/>
      <c r="E856" s="121" t="n"/>
      <c r="F856" s="124" t="n"/>
      <c r="G856" s="125" t="n"/>
      <c r="H856" s="125" t="n"/>
      <c r="I856" s="124" t="n"/>
      <c r="J856" s="125" t="n"/>
      <c r="K856" s="124" t="n"/>
      <c r="L856" s="125" t="n"/>
      <c r="M856" s="126" t="n"/>
      <c r="N856" s="124" t="n"/>
    </row>
    <row r="857" ht="15" customHeight="1" s="74">
      <c r="A857" s="121" t="n"/>
      <c r="B857" s="122" t="n"/>
      <c r="C857" s="122" t="n"/>
      <c r="D857" s="123" t="n"/>
      <c r="E857" s="121" t="n"/>
      <c r="F857" s="124" t="n"/>
      <c r="G857" s="125" t="n"/>
      <c r="H857" s="125" t="n"/>
      <c r="I857" s="124" t="n"/>
      <c r="J857" s="125" t="n"/>
      <c r="K857" s="124" t="n"/>
      <c r="L857" s="125" t="n"/>
      <c r="M857" s="126" t="n"/>
      <c r="N857" s="124" t="n"/>
    </row>
    <row r="858" ht="15" customHeight="1" s="74">
      <c r="A858" s="121" t="n"/>
      <c r="B858" s="122" t="n"/>
      <c r="C858" s="122" t="n"/>
      <c r="D858" s="123" t="n"/>
      <c r="E858" s="121" t="n"/>
      <c r="F858" s="124" t="n"/>
      <c r="G858" s="125" t="n"/>
      <c r="H858" s="125" t="n"/>
      <c r="I858" s="124" t="n"/>
      <c r="J858" s="125" t="n"/>
      <c r="K858" s="124" t="n"/>
      <c r="L858" s="125" t="n"/>
      <c r="M858" s="126" t="n"/>
      <c r="N858" s="124" t="n"/>
    </row>
    <row r="859" ht="15" customHeight="1" s="74">
      <c r="A859" s="121" t="n"/>
      <c r="B859" s="122" t="n"/>
      <c r="C859" s="122" t="n"/>
      <c r="D859" s="123" t="n"/>
      <c r="E859" s="121" t="n"/>
      <c r="F859" s="124" t="n"/>
      <c r="G859" s="125" t="n"/>
      <c r="H859" s="125" t="n"/>
      <c r="I859" s="124" t="n"/>
      <c r="J859" s="125" t="n"/>
      <c r="K859" s="124" t="n"/>
      <c r="L859" s="125" t="n"/>
      <c r="M859" s="126" t="n"/>
      <c r="N859" s="124" t="n"/>
    </row>
    <row r="860" ht="15" customHeight="1" s="74">
      <c r="A860" s="121" t="n"/>
      <c r="B860" s="122" t="n"/>
      <c r="C860" s="122" t="n"/>
      <c r="D860" s="123" t="n"/>
      <c r="E860" s="121" t="n"/>
      <c r="F860" s="124" t="n"/>
      <c r="G860" s="125" t="n"/>
      <c r="H860" s="125" t="n"/>
      <c r="I860" s="124" t="n"/>
      <c r="J860" s="125" t="n"/>
      <c r="K860" s="124" t="n"/>
      <c r="L860" s="125" t="n"/>
      <c r="M860" s="126" t="n"/>
      <c r="N860" s="124" t="n"/>
    </row>
    <row r="861" ht="15" customHeight="1" s="74">
      <c r="A861" s="121" t="n"/>
      <c r="B861" s="122" t="n"/>
      <c r="C861" s="122" t="n"/>
      <c r="D861" s="123" t="n"/>
      <c r="E861" s="121" t="n"/>
      <c r="F861" s="124" t="n"/>
      <c r="G861" s="125" t="n"/>
      <c r="H861" s="125" t="n"/>
      <c r="I861" s="124" t="n"/>
      <c r="J861" s="125" t="n"/>
      <c r="K861" s="124" t="n"/>
      <c r="L861" s="125" t="n"/>
      <c r="M861" s="126" t="n"/>
      <c r="N861" s="124" t="n"/>
    </row>
    <row r="862" ht="15" customHeight="1" s="74">
      <c r="A862" s="121" t="n"/>
      <c r="B862" s="122" t="n"/>
      <c r="C862" s="122" t="n"/>
      <c r="D862" s="123" t="n"/>
      <c r="E862" s="121" t="n"/>
      <c r="F862" s="124" t="n"/>
      <c r="G862" s="125" t="n"/>
      <c r="H862" s="125" t="n"/>
      <c r="I862" s="124" t="n"/>
      <c r="J862" s="125" t="n"/>
      <c r="K862" s="124" t="n"/>
      <c r="L862" s="125" t="n"/>
      <c r="M862" s="126" t="n"/>
      <c r="N862" s="124" t="n"/>
    </row>
    <row r="863" ht="15" customHeight="1" s="74">
      <c r="A863" s="121" t="n"/>
      <c r="B863" s="122" t="n"/>
      <c r="C863" s="122" t="n"/>
      <c r="D863" s="123" t="n"/>
      <c r="E863" s="121" t="n"/>
      <c r="F863" s="124" t="n"/>
      <c r="G863" s="125" t="n"/>
      <c r="H863" s="125" t="n"/>
      <c r="I863" s="124" t="n"/>
      <c r="J863" s="125" t="n"/>
      <c r="K863" s="124" t="n"/>
      <c r="L863" s="125" t="n"/>
      <c r="M863" s="126" t="n"/>
      <c r="N863" s="124" t="n"/>
    </row>
    <row r="864" ht="15" customHeight="1" s="74">
      <c r="A864" s="121" t="n"/>
      <c r="B864" s="122" t="n"/>
      <c r="C864" s="122" t="n"/>
      <c r="D864" s="123" t="n"/>
      <c r="E864" s="121" t="n"/>
      <c r="F864" s="124" t="n"/>
      <c r="G864" s="125" t="n"/>
      <c r="H864" s="125" t="n"/>
      <c r="I864" s="124" t="n"/>
      <c r="J864" s="125" t="n"/>
      <c r="K864" s="124" t="n"/>
      <c r="L864" s="125" t="n"/>
      <c r="M864" s="126" t="n"/>
      <c r="N864" s="124" t="n"/>
    </row>
    <row r="865" ht="15" customHeight="1" s="74">
      <c r="A865" s="121" t="n"/>
      <c r="B865" s="122" t="n"/>
      <c r="C865" s="122" t="n"/>
      <c r="D865" s="123" t="n"/>
      <c r="E865" s="121" t="n"/>
      <c r="F865" s="124" t="n"/>
      <c r="G865" s="125" t="n"/>
      <c r="H865" s="125" t="n"/>
      <c r="I865" s="124" t="n"/>
      <c r="J865" s="125" t="n"/>
      <c r="K865" s="124" t="n"/>
      <c r="L865" s="125" t="n"/>
      <c r="M865" s="126" t="n"/>
      <c r="N865" s="124" t="n"/>
    </row>
    <row r="866" ht="15" customHeight="1" s="74">
      <c r="A866" s="121" t="n"/>
      <c r="B866" s="122" t="n"/>
      <c r="C866" s="122" t="n"/>
      <c r="D866" s="123" t="n"/>
      <c r="E866" s="121" t="n"/>
      <c r="F866" s="124" t="n"/>
      <c r="G866" s="125" t="n"/>
      <c r="H866" s="125" t="n"/>
      <c r="I866" s="124" t="n"/>
      <c r="J866" s="125" t="n"/>
      <c r="K866" s="124" t="n"/>
      <c r="L866" s="125" t="n"/>
      <c r="M866" s="126" t="n"/>
      <c r="N866" s="124" t="n"/>
    </row>
    <row r="867" ht="15" customHeight="1" s="74">
      <c r="A867" s="121" t="n"/>
      <c r="B867" s="122" t="n"/>
      <c r="C867" s="122" t="n"/>
      <c r="D867" s="123" t="n"/>
      <c r="E867" s="121" t="n"/>
      <c r="F867" s="124" t="n"/>
      <c r="G867" s="125" t="n"/>
      <c r="H867" s="125" t="n"/>
      <c r="I867" s="124" t="n"/>
      <c r="J867" s="125" t="n"/>
      <c r="K867" s="124" t="n"/>
      <c r="L867" s="125" t="n"/>
      <c r="M867" s="126" t="n"/>
      <c r="N867" s="124" t="n"/>
    </row>
    <row r="868" ht="15" customHeight="1" s="74">
      <c r="A868" s="121" t="n"/>
      <c r="B868" s="122" t="n"/>
      <c r="C868" s="122" t="n"/>
      <c r="D868" s="123" t="n"/>
      <c r="E868" s="121" t="n"/>
      <c r="F868" s="124" t="n"/>
      <c r="G868" s="125" t="n"/>
      <c r="H868" s="125" t="n"/>
      <c r="I868" s="124" t="n"/>
      <c r="J868" s="125" t="n"/>
      <c r="K868" s="124" t="n"/>
      <c r="L868" s="125" t="n"/>
      <c r="M868" s="126" t="n"/>
      <c r="N868" s="124" t="n"/>
    </row>
    <row r="869" ht="15" customHeight="1" s="74">
      <c r="A869" s="121" t="n"/>
      <c r="B869" s="122" t="n"/>
      <c r="C869" s="122" t="n"/>
      <c r="D869" s="123" t="n"/>
      <c r="E869" s="121" t="n"/>
      <c r="F869" s="124" t="n"/>
      <c r="G869" s="125" t="n"/>
      <c r="H869" s="125" t="n"/>
      <c r="I869" s="124" t="n"/>
      <c r="J869" s="125" t="n"/>
      <c r="K869" s="124" t="n"/>
      <c r="L869" s="125" t="n"/>
      <c r="M869" s="126" t="n"/>
      <c r="N869" s="124" t="n"/>
    </row>
    <row r="870" ht="15" customHeight="1" s="74">
      <c r="A870" s="121" t="n"/>
      <c r="B870" s="122" t="n"/>
      <c r="C870" s="122" t="n"/>
      <c r="D870" s="123" t="n"/>
      <c r="E870" s="121" t="n"/>
      <c r="F870" s="124" t="n"/>
      <c r="G870" s="125" t="n"/>
      <c r="H870" s="125" t="n"/>
      <c r="I870" s="124" t="n"/>
      <c r="J870" s="125" t="n"/>
      <c r="K870" s="124" t="n"/>
      <c r="L870" s="125" t="n"/>
      <c r="M870" s="126" t="n"/>
      <c r="N870" s="124" t="n"/>
    </row>
    <row r="871" ht="15" customHeight="1" s="74">
      <c r="A871" s="121" t="n"/>
      <c r="B871" s="122" t="n"/>
      <c r="C871" s="122" t="n"/>
      <c r="D871" s="123" t="n"/>
      <c r="E871" s="121" t="n"/>
      <c r="F871" s="124" t="n"/>
      <c r="G871" s="125" t="n"/>
      <c r="H871" s="125" t="n"/>
      <c r="I871" s="124" t="n"/>
      <c r="J871" s="125" t="n"/>
      <c r="K871" s="124" t="n"/>
      <c r="L871" s="125" t="n"/>
      <c r="M871" s="126" t="n"/>
      <c r="N871" s="124" t="n"/>
    </row>
    <row r="872" ht="15" customHeight="1" s="74">
      <c r="A872" s="121" t="n"/>
      <c r="B872" s="122" t="n"/>
      <c r="C872" s="122" t="n"/>
      <c r="D872" s="123" t="n"/>
      <c r="E872" s="121" t="n"/>
      <c r="F872" s="124" t="n"/>
      <c r="G872" s="125" t="n"/>
      <c r="H872" s="125" t="n"/>
      <c r="I872" s="124" t="n"/>
      <c r="J872" s="125" t="n"/>
      <c r="K872" s="124" t="n"/>
      <c r="L872" s="125" t="n"/>
      <c r="M872" s="126" t="n"/>
      <c r="N872" s="124" t="n"/>
    </row>
    <row r="873" ht="15" customHeight="1" s="74">
      <c r="A873" s="121" t="n"/>
      <c r="B873" s="122" t="n"/>
      <c r="C873" s="122" t="n"/>
      <c r="D873" s="123" t="n"/>
      <c r="E873" s="121" t="n"/>
      <c r="F873" s="124" t="n"/>
      <c r="G873" s="125" t="n"/>
      <c r="H873" s="125" t="n"/>
      <c r="I873" s="124" t="n"/>
      <c r="J873" s="125" t="n"/>
      <c r="K873" s="124" t="n"/>
      <c r="L873" s="125" t="n"/>
      <c r="M873" s="126" t="n"/>
      <c r="N873" s="124" t="n"/>
    </row>
    <row r="874" ht="15" customHeight="1" s="74">
      <c r="A874" s="121" t="n"/>
      <c r="B874" s="122" t="n"/>
      <c r="C874" s="122" t="n"/>
      <c r="D874" s="123" t="n"/>
      <c r="E874" s="121" t="n"/>
      <c r="F874" s="124" t="n"/>
      <c r="G874" s="125" t="n"/>
      <c r="H874" s="125" t="n"/>
      <c r="I874" s="124" t="n"/>
      <c r="J874" s="125" t="n"/>
      <c r="K874" s="124" t="n"/>
      <c r="L874" s="125" t="n"/>
      <c r="M874" s="126" t="n"/>
      <c r="N874" s="124" t="n"/>
    </row>
    <row r="875" ht="15" customHeight="1" s="74">
      <c r="A875" s="121" t="n"/>
      <c r="B875" s="122" t="n"/>
      <c r="C875" s="122" t="n"/>
      <c r="D875" s="123" t="n"/>
      <c r="E875" s="121" t="n"/>
      <c r="F875" s="124" t="n"/>
      <c r="G875" s="125" t="n"/>
      <c r="H875" s="125" t="n"/>
      <c r="I875" s="124" t="n"/>
      <c r="J875" s="125" t="n"/>
      <c r="K875" s="124" t="n"/>
      <c r="L875" s="125" t="n"/>
      <c r="M875" s="126" t="n"/>
      <c r="N875" s="124" t="n"/>
    </row>
    <row r="876" ht="15" customHeight="1" s="74">
      <c r="A876" s="121" t="n"/>
      <c r="B876" s="122" t="n"/>
      <c r="C876" s="122" t="n"/>
      <c r="D876" s="123" t="n"/>
      <c r="E876" s="121" t="n"/>
      <c r="F876" s="124" t="n"/>
      <c r="G876" s="125" t="n"/>
      <c r="H876" s="125" t="n"/>
      <c r="I876" s="124" t="n"/>
      <c r="J876" s="125" t="n"/>
      <c r="K876" s="124" t="n"/>
      <c r="L876" s="125" t="n"/>
      <c r="M876" s="126" t="n"/>
      <c r="N876" s="124" t="n"/>
    </row>
    <row r="877" ht="15" customHeight="1" s="74">
      <c r="A877" s="121" t="n"/>
      <c r="B877" s="122" t="n"/>
      <c r="C877" s="122" t="n"/>
      <c r="D877" s="123" t="n"/>
      <c r="E877" s="121" t="n"/>
      <c r="F877" s="124" t="n"/>
      <c r="G877" s="125" t="n"/>
      <c r="H877" s="125" t="n"/>
      <c r="I877" s="124" t="n"/>
      <c r="J877" s="125" t="n"/>
      <c r="K877" s="124" t="n"/>
      <c r="L877" s="125" t="n"/>
      <c r="M877" s="126" t="n"/>
      <c r="N877" s="124" t="n"/>
    </row>
    <row r="878" ht="15" customHeight="1" s="74">
      <c r="A878" s="121" t="n"/>
      <c r="B878" s="122" t="n"/>
      <c r="C878" s="122" t="n"/>
      <c r="D878" s="123" t="n"/>
      <c r="E878" s="121" t="n"/>
      <c r="F878" s="124" t="n"/>
      <c r="G878" s="125" t="n"/>
      <c r="H878" s="125" t="n"/>
      <c r="I878" s="124" t="n"/>
      <c r="J878" s="125" t="n"/>
      <c r="K878" s="124" t="n"/>
      <c r="L878" s="125" t="n"/>
      <c r="M878" s="126" t="n"/>
      <c r="N878" s="124" t="n"/>
    </row>
    <row r="879" ht="15" customHeight="1" s="74">
      <c r="A879" s="121" t="n"/>
      <c r="B879" s="122" t="n"/>
      <c r="C879" s="122" t="n"/>
      <c r="D879" s="123" t="n"/>
      <c r="E879" s="121" t="n"/>
      <c r="F879" s="124" t="n"/>
      <c r="G879" s="125" t="n"/>
      <c r="H879" s="125" t="n"/>
      <c r="I879" s="124" t="n"/>
      <c r="J879" s="125" t="n"/>
      <c r="K879" s="124" t="n"/>
      <c r="L879" s="125" t="n"/>
      <c r="M879" s="126" t="n"/>
      <c r="N879" s="124" t="n"/>
    </row>
    <row r="880" ht="15" customHeight="1" s="74">
      <c r="A880" s="121" t="n"/>
      <c r="B880" s="122" t="n"/>
      <c r="C880" s="122" t="n"/>
      <c r="D880" s="123" t="n"/>
      <c r="E880" s="121" t="n"/>
      <c r="F880" s="124" t="n"/>
      <c r="G880" s="125" t="n"/>
      <c r="H880" s="125" t="n"/>
      <c r="I880" s="124" t="n"/>
      <c r="J880" s="125" t="n"/>
      <c r="K880" s="124" t="n"/>
      <c r="L880" s="125" t="n"/>
      <c r="M880" s="126" t="n"/>
      <c r="N880" s="124" t="n"/>
    </row>
    <row r="881" ht="15" customHeight="1" s="74">
      <c r="A881" s="121" t="n"/>
      <c r="B881" s="122" t="n"/>
      <c r="C881" s="122" t="n"/>
      <c r="D881" s="123" t="n"/>
      <c r="E881" s="121" t="n"/>
      <c r="F881" s="124" t="n"/>
      <c r="G881" s="125" t="n"/>
      <c r="H881" s="125" t="n"/>
      <c r="I881" s="124" t="n"/>
      <c r="J881" s="125" t="n"/>
      <c r="K881" s="124" t="n"/>
      <c r="L881" s="125" t="n"/>
      <c r="M881" s="126" t="n"/>
      <c r="N881" s="124" t="n"/>
    </row>
    <row r="882" ht="15" customHeight="1" s="74">
      <c r="A882" s="121" t="n"/>
      <c r="B882" s="122" t="n"/>
      <c r="C882" s="122" t="n"/>
      <c r="D882" s="123" t="n"/>
      <c r="E882" s="121" t="n"/>
      <c r="F882" s="124" t="n"/>
      <c r="G882" s="125" t="n"/>
      <c r="H882" s="125" t="n"/>
      <c r="I882" s="124" t="n"/>
      <c r="J882" s="125" t="n"/>
      <c r="K882" s="124" t="n"/>
      <c r="L882" s="125" t="n"/>
      <c r="M882" s="126" t="n"/>
      <c r="N882" s="124" t="n"/>
    </row>
    <row r="883" ht="15" customHeight="1" s="74">
      <c r="A883" s="121" t="n"/>
      <c r="B883" s="122" t="n"/>
      <c r="C883" s="122" t="n"/>
      <c r="D883" s="123" t="n"/>
      <c r="E883" s="121" t="n"/>
      <c r="F883" s="124" t="n"/>
      <c r="G883" s="125" t="n"/>
      <c r="H883" s="125" t="n"/>
      <c r="I883" s="124" t="n"/>
      <c r="J883" s="125" t="n"/>
      <c r="K883" s="124" t="n"/>
      <c r="L883" s="125" t="n"/>
      <c r="M883" s="126" t="n"/>
      <c r="N883" s="124" t="n"/>
    </row>
    <row r="884" ht="15" customHeight="1" s="74">
      <c r="A884" s="121" t="n"/>
      <c r="B884" s="122" t="n"/>
      <c r="C884" s="122" t="n"/>
      <c r="D884" s="123" t="n"/>
      <c r="E884" s="121" t="n"/>
      <c r="F884" s="124" t="n"/>
      <c r="G884" s="125" t="n"/>
      <c r="H884" s="125" t="n"/>
      <c r="I884" s="124" t="n"/>
      <c r="J884" s="125" t="n"/>
      <c r="K884" s="124" t="n"/>
      <c r="L884" s="125" t="n"/>
      <c r="M884" s="126" t="n"/>
      <c r="N884" s="124" t="n"/>
    </row>
    <row r="885" ht="15" customHeight="1" s="74">
      <c r="A885" s="121" t="n"/>
      <c r="B885" s="122" t="n"/>
      <c r="C885" s="122" t="n"/>
      <c r="D885" s="123" t="n"/>
      <c r="E885" s="121" t="n"/>
      <c r="F885" s="124" t="n"/>
      <c r="G885" s="125" t="n"/>
      <c r="H885" s="125" t="n"/>
      <c r="I885" s="124" t="n"/>
      <c r="J885" s="125" t="n"/>
      <c r="K885" s="124" t="n"/>
      <c r="L885" s="125" t="n"/>
      <c r="M885" s="126" t="n"/>
      <c r="N885" s="124" t="n"/>
    </row>
    <row r="886" ht="15" customHeight="1" s="74">
      <c r="A886" s="121" t="n"/>
      <c r="B886" s="122" t="n"/>
      <c r="C886" s="122" t="n"/>
      <c r="D886" s="123" t="n"/>
      <c r="E886" s="121" t="n"/>
      <c r="F886" s="124" t="n"/>
      <c r="G886" s="125" t="n"/>
      <c r="H886" s="125" t="n"/>
      <c r="I886" s="124" t="n"/>
      <c r="J886" s="125" t="n"/>
      <c r="K886" s="124" t="n"/>
      <c r="L886" s="125" t="n"/>
      <c r="M886" s="126" t="n"/>
      <c r="N886" s="124" t="n"/>
    </row>
    <row r="887" ht="15" customHeight="1" s="74">
      <c r="A887" s="121" t="n"/>
      <c r="B887" s="122" t="n"/>
      <c r="C887" s="122" t="n"/>
      <c r="D887" s="123" t="n"/>
      <c r="E887" s="121" t="n"/>
      <c r="F887" s="124" t="n"/>
      <c r="G887" s="125" t="n"/>
      <c r="H887" s="125" t="n"/>
      <c r="I887" s="124" t="n"/>
      <c r="J887" s="125" t="n"/>
      <c r="K887" s="124" t="n"/>
      <c r="L887" s="125" t="n"/>
      <c r="M887" s="126" t="n"/>
      <c r="N887" s="124" t="n"/>
    </row>
    <row r="888" ht="15" customHeight="1" s="74">
      <c r="A888" s="121" t="n"/>
      <c r="B888" s="122" t="n"/>
      <c r="C888" s="122" t="n"/>
      <c r="D888" s="123" t="n"/>
      <c r="E888" s="121" t="n"/>
      <c r="F888" s="124" t="n"/>
      <c r="G888" s="125" t="n"/>
      <c r="H888" s="125" t="n"/>
      <c r="I888" s="124" t="n"/>
      <c r="J888" s="125" t="n"/>
      <c r="K888" s="124" t="n"/>
      <c r="L888" s="125" t="n"/>
      <c r="M888" s="126" t="n"/>
      <c r="N888" s="124" t="n"/>
    </row>
    <row r="889" ht="15" customHeight="1" s="74">
      <c r="A889" s="121" t="n"/>
      <c r="B889" s="122" t="n"/>
      <c r="C889" s="122" t="n"/>
      <c r="D889" s="123" t="n"/>
      <c r="E889" s="121" t="n"/>
      <c r="F889" s="124" t="n"/>
      <c r="G889" s="125" t="n"/>
      <c r="H889" s="125" t="n"/>
      <c r="I889" s="124" t="n"/>
      <c r="J889" s="125" t="n"/>
      <c r="K889" s="124" t="n"/>
      <c r="L889" s="125" t="n"/>
      <c r="M889" s="126" t="n"/>
      <c r="N889" s="124" t="n"/>
    </row>
    <row r="890" ht="15" customHeight="1" s="74">
      <c r="A890" s="121" t="n"/>
      <c r="B890" s="122" t="n"/>
      <c r="C890" s="122" t="n"/>
      <c r="D890" s="123" t="n"/>
      <c r="E890" s="121" t="n"/>
      <c r="F890" s="124" t="n"/>
      <c r="G890" s="125" t="n"/>
      <c r="H890" s="125" t="n"/>
      <c r="I890" s="124" t="n"/>
      <c r="J890" s="125" t="n"/>
      <c r="K890" s="124" t="n"/>
      <c r="L890" s="125" t="n"/>
      <c r="M890" s="126" t="n"/>
      <c r="N890" s="124" t="n"/>
    </row>
    <row r="891" ht="15" customHeight="1" s="74">
      <c r="A891" s="121" t="n"/>
      <c r="B891" s="122" t="n"/>
      <c r="C891" s="122" t="n"/>
      <c r="D891" s="123" t="n"/>
      <c r="E891" s="121" t="n"/>
      <c r="F891" s="124" t="n"/>
      <c r="G891" s="125" t="n"/>
      <c r="H891" s="125" t="n"/>
      <c r="I891" s="124" t="n"/>
      <c r="J891" s="125" t="n"/>
      <c r="K891" s="124" t="n"/>
      <c r="L891" s="125" t="n"/>
      <c r="M891" s="126" t="n"/>
      <c r="N891" s="124" t="n"/>
    </row>
    <row r="892" ht="15" customHeight="1" s="74">
      <c r="A892" s="121" t="n"/>
      <c r="B892" s="122" t="n"/>
      <c r="C892" s="122" t="n"/>
      <c r="D892" s="123" t="n"/>
      <c r="E892" s="121" t="n"/>
      <c r="F892" s="124" t="n"/>
      <c r="G892" s="125" t="n"/>
      <c r="H892" s="125" t="n"/>
      <c r="I892" s="124" t="n"/>
      <c r="J892" s="125" t="n"/>
      <c r="K892" s="124" t="n"/>
      <c r="L892" s="125" t="n"/>
      <c r="M892" s="126" t="n"/>
      <c r="N892" s="124" t="n"/>
    </row>
    <row r="893" ht="15" customHeight="1" s="74">
      <c r="A893" s="121" t="n"/>
      <c r="B893" s="122" t="n"/>
      <c r="C893" s="122" t="n"/>
      <c r="D893" s="123" t="n"/>
      <c r="E893" s="121" t="n"/>
      <c r="F893" s="124" t="n"/>
      <c r="G893" s="125" t="n"/>
      <c r="H893" s="125" t="n"/>
      <c r="I893" s="124" t="n"/>
      <c r="J893" s="125" t="n"/>
      <c r="K893" s="124" t="n"/>
      <c r="L893" s="125" t="n"/>
      <c r="M893" s="126" t="n"/>
      <c r="N893" s="124" t="n"/>
    </row>
    <row r="894" ht="15" customHeight="1" s="74">
      <c r="A894" s="121" t="n"/>
      <c r="B894" s="122" t="n"/>
      <c r="C894" s="122" t="n"/>
      <c r="D894" s="123" t="n"/>
      <c r="E894" s="121" t="n"/>
      <c r="F894" s="124" t="n"/>
      <c r="G894" s="125" t="n"/>
      <c r="H894" s="125" t="n"/>
      <c r="I894" s="124" t="n"/>
      <c r="J894" s="125" t="n"/>
      <c r="K894" s="124" t="n"/>
      <c r="L894" s="125" t="n"/>
      <c r="M894" s="126" t="n"/>
      <c r="N894" s="124" t="n"/>
    </row>
    <row r="895" ht="15" customHeight="1" s="74">
      <c r="A895" s="121" t="n"/>
      <c r="B895" s="122" t="n"/>
      <c r="C895" s="122" t="n"/>
      <c r="D895" s="123" t="n"/>
      <c r="E895" s="121" t="n"/>
      <c r="F895" s="124" t="n"/>
      <c r="G895" s="125" t="n"/>
      <c r="H895" s="125" t="n"/>
      <c r="I895" s="124" t="n"/>
      <c r="J895" s="125" t="n"/>
      <c r="K895" s="124" t="n"/>
      <c r="L895" s="125" t="n"/>
      <c r="M895" s="126" t="n"/>
      <c r="N895" s="124" t="n"/>
    </row>
    <row r="896" ht="15" customHeight="1" s="74">
      <c r="A896" s="121" t="n"/>
      <c r="B896" s="122" t="n"/>
      <c r="C896" s="122" t="n"/>
      <c r="D896" s="123" t="n"/>
      <c r="E896" s="121" t="n"/>
      <c r="F896" s="124" t="n"/>
      <c r="G896" s="125" t="n"/>
      <c r="H896" s="125" t="n"/>
      <c r="I896" s="124" t="n"/>
      <c r="J896" s="125" t="n"/>
      <c r="K896" s="124" t="n"/>
      <c r="L896" s="125" t="n"/>
      <c r="M896" s="126" t="n"/>
      <c r="N896" s="124" t="n"/>
    </row>
    <row r="897" ht="15" customHeight="1" s="74">
      <c r="A897" s="121" t="n"/>
      <c r="B897" s="122" t="n"/>
      <c r="C897" s="122" t="n"/>
      <c r="D897" s="123" t="n"/>
      <c r="E897" s="121" t="n"/>
      <c r="F897" s="124" t="n"/>
      <c r="G897" s="125" t="n"/>
      <c r="H897" s="125" t="n"/>
      <c r="I897" s="124" t="n"/>
      <c r="J897" s="125" t="n"/>
      <c r="K897" s="124" t="n"/>
      <c r="L897" s="125" t="n"/>
      <c r="M897" s="126" t="n"/>
      <c r="N897" s="124" t="n"/>
    </row>
    <row r="898" ht="15" customHeight="1" s="74">
      <c r="A898" s="121" t="n"/>
      <c r="B898" s="122" t="n"/>
      <c r="C898" s="122" t="n"/>
      <c r="D898" s="123" t="n"/>
      <c r="E898" s="121" t="n"/>
      <c r="F898" s="124" t="n"/>
      <c r="G898" s="125" t="n"/>
      <c r="H898" s="125" t="n"/>
      <c r="I898" s="124" t="n"/>
      <c r="J898" s="125" t="n"/>
      <c r="K898" s="124" t="n"/>
      <c r="L898" s="125" t="n"/>
      <c r="M898" s="126" t="n"/>
      <c r="N898" s="124" t="n"/>
    </row>
    <row r="899" ht="15" customHeight="1" s="74">
      <c r="A899" s="121" t="n"/>
      <c r="B899" s="122" t="n"/>
      <c r="C899" s="122" t="n"/>
      <c r="D899" s="123" t="n"/>
      <c r="E899" s="121" t="n"/>
      <c r="F899" s="124" t="n"/>
      <c r="G899" s="125" t="n"/>
      <c r="H899" s="125" t="n"/>
      <c r="I899" s="124" t="n"/>
      <c r="J899" s="125" t="n"/>
      <c r="K899" s="124" t="n"/>
      <c r="L899" s="125" t="n"/>
      <c r="M899" s="126" t="n"/>
      <c r="N899" s="124" t="n"/>
    </row>
    <row r="900" ht="15" customHeight="1" s="74">
      <c r="A900" s="121" t="n"/>
      <c r="B900" s="122" t="n"/>
      <c r="C900" s="122" t="n"/>
      <c r="D900" s="123" t="n"/>
      <c r="E900" s="121" t="n"/>
      <c r="F900" s="124" t="n"/>
      <c r="G900" s="125" t="n"/>
      <c r="H900" s="125" t="n"/>
      <c r="I900" s="124" t="n"/>
      <c r="J900" s="125" t="n"/>
      <c r="K900" s="124" t="n"/>
      <c r="L900" s="125" t="n"/>
      <c r="M900" s="126" t="n"/>
      <c r="N900" s="124" t="n"/>
    </row>
    <row r="901" ht="15" customHeight="1" s="74">
      <c r="A901" s="121" t="n"/>
      <c r="B901" s="122" t="n"/>
      <c r="C901" s="122" t="n"/>
      <c r="D901" s="123" t="n"/>
      <c r="E901" s="121" t="n"/>
      <c r="F901" s="124" t="n"/>
      <c r="G901" s="125" t="n"/>
      <c r="H901" s="125" t="n"/>
      <c r="I901" s="124" t="n"/>
      <c r="J901" s="125" t="n"/>
      <c r="K901" s="124" t="n"/>
      <c r="L901" s="125" t="n"/>
      <c r="M901" s="126" t="n"/>
      <c r="N901" s="124" t="n"/>
    </row>
    <row r="902" ht="15" customHeight="1" s="74">
      <c r="A902" s="121" t="n"/>
      <c r="B902" s="122" t="n"/>
      <c r="C902" s="122" t="n"/>
      <c r="D902" s="123" t="n"/>
      <c r="E902" s="121" t="n"/>
      <c r="F902" s="124" t="n"/>
      <c r="G902" s="125" t="n"/>
      <c r="H902" s="125" t="n"/>
      <c r="I902" s="124" t="n"/>
      <c r="J902" s="125" t="n"/>
      <c r="K902" s="124" t="n"/>
      <c r="L902" s="125" t="n"/>
      <c r="M902" s="126" t="n"/>
      <c r="N902" s="124" t="n"/>
    </row>
    <row r="903" ht="15" customHeight="1" s="74">
      <c r="A903" s="121" t="n"/>
      <c r="B903" s="122" t="n"/>
      <c r="C903" s="122" t="n"/>
      <c r="D903" s="123" t="n"/>
      <c r="E903" s="121" t="n"/>
      <c r="F903" s="124" t="n"/>
      <c r="G903" s="125" t="n"/>
      <c r="H903" s="125" t="n"/>
      <c r="I903" s="124" t="n"/>
      <c r="J903" s="125" t="n"/>
      <c r="K903" s="124" t="n"/>
      <c r="L903" s="125" t="n"/>
      <c r="M903" s="126" t="n"/>
      <c r="N903" s="124" t="n"/>
    </row>
    <row r="904" ht="15" customHeight="1" s="74">
      <c r="A904" s="121" t="n"/>
      <c r="B904" s="122" t="n"/>
      <c r="C904" s="122" t="n"/>
      <c r="D904" s="123" t="n"/>
      <c r="E904" s="121" t="n"/>
      <c r="F904" s="124" t="n"/>
      <c r="G904" s="125" t="n"/>
      <c r="H904" s="125" t="n"/>
      <c r="I904" s="124" t="n"/>
      <c r="J904" s="125" t="n"/>
      <c r="K904" s="124" t="n"/>
      <c r="L904" s="125" t="n"/>
      <c r="M904" s="126" t="n"/>
      <c r="N904" s="124" t="n"/>
    </row>
    <row r="905" ht="15" customHeight="1" s="74">
      <c r="A905" s="121" t="n"/>
      <c r="B905" s="122" t="n"/>
      <c r="C905" s="122" t="n"/>
      <c r="D905" s="123" t="n"/>
      <c r="E905" s="121" t="n"/>
      <c r="F905" s="124" t="n"/>
      <c r="G905" s="125" t="n"/>
      <c r="H905" s="125" t="n"/>
      <c r="I905" s="124" t="n"/>
      <c r="J905" s="125" t="n"/>
      <c r="K905" s="124" t="n"/>
      <c r="L905" s="125" t="n"/>
      <c r="M905" s="126" t="n"/>
      <c r="N905" s="124" t="n"/>
    </row>
    <row r="906" ht="15" customHeight="1" s="74">
      <c r="A906" s="121" t="n"/>
      <c r="B906" s="122" t="n"/>
      <c r="C906" s="122" t="n"/>
      <c r="D906" s="123" t="n"/>
      <c r="E906" s="121" t="n"/>
      <c r="F906" s="124" t="n"/>
      <c r="G906" s="125" t="n"/>
      <c r="H906" s="125" t="n"/>
      <c r="I906" s="124" t="n"/>
      <c r="J906" s="125" t="n"/>
      <c r="K906" s="124" t="n"/>
      <c r="L906" s="125" t="n"/>
      <c r="M906" s="126" t="n"/>
      <c r="N906" s="124" t="n"/>
    </row>
    <row r="907" ht="15" customHeight="1" s="74">
      <c r="A907" s="121" t="n"/>
      <c r="B907" s="122" t="n"/>
      <c r="C907" s="122" t="n"/>
      <c r="D907" s="123" t="n"/>
      <c r="E907" s="121" t="n"/>
      <c r="F907" s="124" t="n"/>
      <c r="G907" s="125" t="n"/>
      <c r="H907" s="125" t="n"/>
      <c r="I907" s="124" t="n"/>
      <c r="J907" s="125" t="n"/>
      <c r="K907" s="124" t="n"/>
      <c r="L907" s="125" t="n"/>
      <c r="M907" s="126" t="n"/>
      <c r="N907" s="124" t="n"/>
    </row>
    <row r="908" ht="15" customHeight="1" s="74">
      <c r="A908" s="121" t="n"/>
      <c r="B908" s="122" t="n"/>
      <c r="C908" s="122" t="n"/>
      <c r="D908" s="123" t="n"/>
      <c r="E908" s="121" t="n"/>
      <c r="F908" s="124" t="n"/>
      <c r="G908" s="125" t="n"/>
      <c r="H908" s="125" t="n"/>
      <c r="I908" s="124" t="n"/>
      <c r="J908" s="125" t="n"/>
      <c r="K908" s="124" t="n"/>
      <c r="L908" s="125" t="n"/>
      <c r="M908" s="126" t="n"/>
      <c r="N908" s="124" t="n"/>
    </row>
    <row r="909" ht="15" customHeight="1" s="74">
      <c r="A909" s="121" t="n"/>
      <c r="B909" s="122" t="n"/>
      <c r="C909" s="122" t="n"/>
      <c r="D909" s="123" t="n"/>
      <c r="E909" s="121" t="n"/>
      <c r="F909" s="124" t="n"/>
      <c r="G909" s="125" t="n"/>
      <c r="H909" s="125" t="n"/>
      <c r="I909" s="124" t="n"/>
      <c r="J909" s="125" t="n"/>
      <c r="K909" s="124" t="n"/>
      <c r="L909" s="125" t="n"/>
      <c r="M909" s="126" t="n"/>
      <c r="N909" s="124" t="n"/>
    </row>
    <row r="910" ht="15" customHeight="1" s="74">
      <c r="A910" s="121" t="n"/>
      <c r="B910" s="122" t="n"/>
      <c r="C910" s="122" t="n"/>
      <c r="D910" s="123" t="n"/>
      <c r="E910" s="121" t="n"/>
      <c r="F910" s="124" t="n"/>
      <c r="G910" s="125" t="n"/>
      <c r="H910" s="125" t="n"/>
      <c r="I910" s="124" t="n"/>
      <c r="J910" s="125" t="n"/>
      <c r="K910" s="124" t="n"/>
      <c r="L910" s="125" t="n"/>
      <c r="M910" s="126" t="n"/>
      <c r="N910" s="124" t="n"/>
    </row>
    <row r="911" ht="15" customHeight="1" s="74">
      <c r="A911" s="121" t="n"/>
      <c r="B911" s="122" t="n"/>
      <c r="C911" s="122" t="n"/>
      <c r="D911" s="123" t="n"/>
      <c r="E911" s="121" t="n"/>
      <c r="F911" s="124" t="n"/>
      <c r="G911" s="125" t="n"/>
      <c r="H911" s="125" t="n"/>
      <c r="I911" s="124" t="n"/>
      <c r="J911" s="125" t="n"/>
      <c r="K911" s="124" t="n"/>
      <c r="L911" s="125" t="n"/>
      <c r="M911" s="126" t="n"/>
      <c r="N911" s="124" t="n"/>
    </row>
    <row r="912" ht="15" customHeight="1" s="74">
      <c r="A912" s="121" t="n"/>
      <c r="B912" s="122" t="n"/>
      <c r="C912" s="122" t="n"/>
      <c r="D912" s="123" t="n"/>
      <c r="E912" s="121" t="n"/>
      <c r="F912" s="124" t="n"/>
      <c r="G912" s="125" t="n"/>
      <c r="H912" s="125" t="n"/>
      <c r="I912" s="124" t="n"/>
      <c r="J912" s="125" t="n"/>
      <c r="K912" s="124" t="n"/>
      <c r="L912" s="125" t="n"/>
      <c r="M912" s="126" t="n"/>
      <c r="N912" s="124" t="n"/>
    </row>
    <row r="913" ht="15" customHeight="1" s="74">
      <c r="A913" s="121" t="n"/>
      <c r="B913" s="122" t="n"/>
      <c r="C913" s="122" t="n"/>
      <c r="D913" s="123" t="n"/>
      <c r="E913" s="121" t="n"/>
      <c r="F913" s="124" t="n"/>
      <c r="G913" s="125" t="n"/>
      <c r="H913" s="125" t="n"/>
      <c r="I913" s="124" t="n"/>
      <c r="J913" s="125" t="n"/>
      <c r="K913" s="124" t="n"/>
      <c r="L913" s="125" t="n"/>
      <c r="M913" s="126" t="n"/>
      <c r="N913" s="124" t="n"/>
    </row>
    <row r="914" ht="15" customHeight="1" s="74">
      <c r="A914" s="121" t="n"/>
      <c r="B914" s="122" t="n"/>
      <c r="C914" s="122" t="n"/>
      <c r="D914" s="123" t="n"/>
      <c r="E914" s="121" t="n"/>
      <c r="F914" s="124" t="n"/>
      <c r="G914" s="125" t="n"/>
      <c r="H914" s="125" t="n"/>
      <c r="I914" s="124" t="n"/>
      <c r="J914" s="125" t="n"/>
      <c r="K914" s="124" t="n"/>
      <c r="L914" s="125" t="n"/>
      <c r="M914" s="126" t="n"/>
      <c r="N914" s="124" t="n"/>
    </row>
    <row r="915" ht="15" customHeight="1" s="74">
      <c r="A915" s="121" t="n"/>
      <c r="B915" s="122" t="n"/>
      <c r="C915" s="122" t="n"/>
      <c r="D915" s="123" t="n"/>
      <c r="E915" s="121" t="n"/>
      <c r="F915" s="124" t="n"/>
      <c r="G915" s="125" t="n"/>
      <c r="H915" s="125" t="n"/>
      <c r="I915" s="124" t="n"/>
      <c r="J915" s="125" t="n"/>
      <c r="K915" s="124" t="n"/>
      <c r="L915" s="125" t="n"/>
      <c r="M915" s="126" t="n"/>
      <c r="N915" s="124" t="n"/>
    </row>
    <row r="916" ht="15" customHeight="1" s="74">
      <c r="A916" s="121" t="n"/>
      <c r="B916" s="122" t="n"/>
      <c r="C916" s="122" t="n"/>
      <c r="D916" s="123" t="n"/>
      <c r="E916" s="121" t="n"/>
      <c r="F916" s="124" t="n"/>
      <c r="G916" s="125" t="n"/>
      <c r="H916" s="125" t="n"/>
      <c r="I916" s="124" t="n"/>
      <c r="J916" s="125" t="n"/>
      <c r="K916" s="124" t="n"/>
      <c r="L916" s="125" t="n"/>
      <c r="M916" s="126" t="n"/>
      <c r="N916" s="124" t="n"/>
    </row>
    <row r="917" ht="15" customHeight="1" s="74">
      <c r="A917" s="121" t="n"/>
      <c r="B917" s="122" t="n"/>
      <c r="C917" s="122" t="n"/>
      <c r="D917" s="123" t="n"/>
      <c r="E917" s="121" t="n"/>
      <c r="F917" s="124" t="n"/>
      <c r="G917" s="125" t="n"/>
      <c r="H917" s="125" t="n"/>
      <c r="I917" s="124" t="n"/>
      <c r="J917" s="125" t="n"/>
      <c r="K917" s="124" t="n"/>
      <c r="L917" s="125" t="n"/>
      <c r="M917" s="126" t="n"/>
      <c r="N917" s="124" t="n"/>
    </row>
    <row r="918" ht="15" customHeight="1" s="74">
      <c r="A918" s="121" t="n"/>
      <c r="B918" s="122" t="n"/>
      <c r="C918" s="122" t="n"/>
      <c r="D918" s="123" t="n"/>
      <c r="E918" s="121" t="n"/>
      <c r="F918" s="124" t="n"/>
      <c r="G918" s="125" t="n"/>
      <c r="H918" s="125" t="n"/>
      <c r="I918" s="124" t="n"/>
      <c r="J918" s="125" t="n"/>
      <c r="K918" s="124" t="n"/>
      <c r="L918" s="125" t="n"/>
      <c r="M918" s="126" t="n"/>
      <c r="N918" s="124" t="n"/>
    </row>
    <row r="919" ht="15" customHeight="1" s="74">
      <c r="A919" s="121" t="n"/>
      <c r="B919" s="122" t="n"/>
      <c r="C919" s="122" t="n"/>
      <c r="D919" s="123" t="n"/>
      <c r="E919" s="121" t="n"/>
      <c r="F919" s="124" t="n"/>
      <c r="G919" s="125" t="n"/>
      <c r="H919" s="125" t="n"/>
      <c r="I919" s="124" t="n"/>
      <c r="J919" s="125" t="n"/>
      <c r="K919" s="124" t="n"/>
      <c r="L919" s="125" t="n"/>
      <c r="M919" s="126" t="n"/>
      <c r="N919" s="124" t="n"/>
    </row>
    <row r="920" ht="15" customHeight="1" s="74">
      <c r="A920" s="121" t="n"/>
      <c r="B920" s="122" t="n"/>
      <c r="C920" s="122" t="n"/>
      <c r="D920" s="123" t="n"/>
      <c r="E920" s="121" t="n"/>
      <c r="F920" s="124" t="n"/>
      <c r="G920" s="125" t="n"/>
      <c r="H920" s="125" t="n"/>
      <c r="I920" s="124" t="n"/>
      <c r="J920" s="125" t="n"/>
      <c r="K920" s="124" t="n"/>
      <c r="L920" s="125" t="n"/>
      <c r="M920" s="126" t="n"/>
      <c r="N920" s="124" t="n"/>
    </row>
    <row r="921" ht="15" customHeight="1" s="74">
      <c r="A921" s="121" t="n"/>
      <c r="B921" s="122" t="n"/>
      <c r="C921" s="122" t="n"/>
      <c r="D921" s="123" t="n"/>
      <c r="E921" s="121" t="n"/>
      <c r="F921" s="124" t="n"/>
      <c r="G921" s="125" t="n"/>
      <c r="H921" s="125" t="n"/>
      <c r="I921" s="124" t="n"/>
      <c r="J921" s="125" t="n"/>
      <c r="K921" s="124" t="n"/>
      <c r="L921" s="125" t="n"/>
      <c r="M921" s="126" t="n"/>
      <c r="N921" s="124" t="n"/>
    </row>
    <row r="922" ht="15" customHeight="1" s="74">
      <c r="A922" s="121" t="n"/>
      <c r="B922" s="122" t="n"/>
      <c r="C922" s="122" t="n"/>
      <c r="D922" s="123" t="n"/>
      <c r="E922" s="121" t="n"/>
      <c r="F922" s="124" t="n"/>
      <c r="G922" s="125" t="n"/>
      <c r="H922" s="125" t="n"/>
      <c r="I922" s="124" t="n"/>
      <c r="J922" s="125" t="n"/>
      <c r="K922" s="124" t="n"/>
      <c r="L922" s="125" t="n"/>
      <c r="M922" s="126" t="n"/>
      <c r="N922" s="124" t="n"/>
    </row>
    <row r="923" ht="15" customHeight="1" s="74">
      <c r="A923" s="121" t="n"/>
      <c r="B923" s="122" t="n"/>
      <c r="C923" s="122" t="n"/>
      <c r="D923" s="123" t="n"/>
      <c r="E923" s="121" t="n"/>
      <c r="F923" s="124" t="n"/>
      <c r="G923" s="125" t="n"/>
      <c r="H923" s="125" t="n"/>
      <c r="I923" s="124" t="n"/>
      <c r="J923" s="125" t="n"/>
      <c r="K923" s="124" t="n"/>
      <c r="L923" s="125" t="n"/>
      <c r="M923" s="126" t="n"/>
      <c r="N923" s="124" t="n"/>
    </row>
    <row r="924" ht="15" customHeight="1" s="74">
      <c r="A924" s="121" t="n"/>
      <c r="B924" s="122" t="n"/>
      <c r="C924" s="122" t="n"/>
      <c r="D924" s="123" t="n"/>
      <c r="E924" s="121" t="n"/>
      <c r="F924" s="124" t="n"/>
      <c r="G924" s="125" t="n"/>
      <c r="H924" s="125" t="n"/>
      <c r="I924" s="124" t="n"/>
      <c r="J924" s="125" t="n"/>
      <c r="K924" s="124" t="n"/>
      <c r="L924" s="125" t="n"/>
      <c r="M924" s="126" t="n"/>
      <c r="N924" s="124" t="n"/>
    </row>
    <row r="925" ht="15" customHeight="1" s="74">
      <c r="A925" s="121" t="n"/>
      <c r="B925" s="122" t="n"/>
      <c r="C925" s="122" t="n"/>
      <c r="D925" s="123" t="n"/>
      <c r="E925" s="121" t="n"/>
      <c r="F925" s="124" t="n"/>
      <c r="G925" s="125" t="n"/>
      <c r="H925" s="125" t="n"/>
      <c r="I925" s="124" t="n"/>
      <c r="J925" s="125" t="n"/>
      <c r="K925" s="124" t="n"/>
      <c r="L925" s="125" t="n"/>
      <c r="M925" s="126" t="n"/>
      <c r="N925" s="124" t="n"/>
    </row>
    <row r="926" ht="15" customHeight="1" s="74">
      <c r="A926" s="121" t="n"/>
      <c r="B926" s="122" t="n"/>
      <c r="C926" s="122" t="n"/>
      <c r="D926" s="123" t="n"/>
      <c r="E926" s="121" t="n"/>
      <c r="F926" s="124" t="n"/>
      <c r="G926" s="125" t="n"/>
      <c r="H926" s="125" t="n"/>
      <c r="I926" s="124" t="n"/>
      <c r="J926" s="125" t="n"/>
      <c r="K926" s="124" t="n"/>
      <c r="L926" s="125" t="n"/>
      <c r="M926" s="126" t="n"/>
      <c r="N926" s="124" t="n"/>
    </row>
    <row r="927" ht="15" customHeight="1" s="74">
      <c r="A927" s="121" t="n"/>
      <c r="B927" s="122" t="n"/>
      <c r="C927" s="122" t="n"/>
      <c r="D927" s="123" t="n"/>
      <c r="E927" s="121" t="n"/>
      <c r="F927" s="124" t="n"/>
      <c r="G927" s="125" t="n"/>
      <c r="H927" s="125" t="n"/>
      <c r="I927" s="124" t="n"/>
      <c r="J927" s="125" t="n"/>
      <c r="K927" s="124" t="n"/>
      <c r="L927" s="125" t="n"/>
      <c r="M927" s="126" t="n"/>
      <c r="N927" s="124" t="n"/>
    </row>
    <row r="928" ht="15" customHeight="1" s="74">
      <c r="A928" s="121" t="n"/>
      <c r="B928" s="122" t="n"/>
      <c r="C928" s="122" t="n"/>
      <c r="D928" s="123" t="n"/>
      <c r="E928" s="121" t="n"/>
      <c r="F928" s="124" t="n"/>
      <c r="G928" s="125" t="n"/>
      <c r="H928" s="125" t="n"/>
      <c r="I928" s="124" t="n"/>
      <c r="J928" s="125" t="n"/>
      <c r="K928" s="124" t="n"/>
      <c r="L928" s="125" t="n"/>
      <c r="M928" s="126" t="n"/>
      <c r="N928" s="124" t="n"/>
    </row>
    <row r="929" ht="15" customHeight="1" s="74">
      <c r="A929" s="121" t="n"/>
      <c r="B929" s="122" t="n"/>
      <c r="C929" s="122" t="n"/>
      <c r="D929" s="123" t="n"/>
      <c r="E929" s="121" t="n"/>
      <c r="F929" s="124" t="n"/>
      <c r="G929" s="125" t="n"/>
      <c r="H929" s="125" t="n"/>
      <c r="I929" s="124" t="n"/>
      <c r="J929" s="125" t="n"/>
      <c r="K929" s="124" t="n"/>
      <c r="L929" s="125" t="n"/>
      <c r="M929" s="126" t="n"/>
      <c r="N929" s="124" t="n"/>
    </row>
    <row r="930" ht="15" customHeight="1" s="74">
      <c r="A930" s="121" t="n"/>
      <c r="B930" s="122" t="n"/>
      <c r="C930" s="122" t="n"/>
      <c r="D930" s="123" t="n"/>
      <c r="E930" s="121" t="n"/>
      <c r="F930" s="124" t="n"/>
      <c r="G930" s="125" t="n"/>
      <c r="H930" s="125" t="n"/>
      <c r="I930" s="124" t="n"/>
      <c r="J930" s="125" t="n"/>
      <c r="K930" s="124" t="n"/>
      <c r="L930" s="125" t="n"/>
      <c r="M930" s="126" t="n"/>
      <c r="N930" s="124" t="n"/>
    </row>
    <row r="931" ht="15" customHeight="1" s="74">
      <c r="A931" s="121" t="n"/>
      <c r="B931" s="122" t="n"/>
      <c r="C931" s="122" t="n"/>
      <c r="D931" s="123" t="n"/>
      <c r="E931" s="121" t="n"/>
      <c r="F931" s="124" t="n"/>
      <c r="G931" s="125" t="n"/>
      <c r="H931" s="125" t="n"/>
      <c r="I931" s="124" t="n"/>
      <c r="J931" s="125" t="n"/>
      <c r="K931" s="124" t="n"/>
      <c r="L931" s="125" t="n"/>
      <c r="M931" s="126" t="n"/>
      <c r="N931" s="124" t="n"/>
    </row>
    <row r="932" ht="15" customHeight="1" s="74">
      <c r="A932" s="121" t="n"/>
      <c r="B932" s="122" t="n"/>
      <c r="C932" s="122" t="n"/>
      <c r="D932" s="123" t="n"/>
      <c r="E932" s="121" t="n"/>
      <c r="F932" s="124" t="n"/>
      <c r="G932" s="125" t="n"/>
      <c r="H932" s="125" t="n"/>
      <c r="I932" s="124" t="n"/>
      <c r="J932" s="125" t="n"/>
      <c r="K932" s="124" t="n"/>
      <c r="L932" s="125" t="n"/>
      <c r="M932" s="126" t="n"/>
      <c r="N932" s="124" t="n"/>
    </row>
    <row r="933" ht="15" customHeight="1" s="74">
      <c r="A933" s="121" t="n"/>
      <c r="B933" s="122" t="n"/>
      <c r="C933" s="122" t="n"/>
      <c r="D933" s="123" t="n"/>
      <c r="E933" s="121" t="n"/>
      <c r="F933" s="124" t="n"/>
      <c r="G933" s="125" t="n"/>
      <c r="H933" s="125" t="n"/>
      <c r="I933" s="124" t="n"/>
      <c r="J933" s="125" t="n"/>
      <c r="K933" s="124" t="n"/>
      <c r="L933" s="125" t="n"/>
      <c r="M933" s="126" t="n"/>
      <c r="N933" s="124" t="n"/>
    </row>
    <row r="934" ht="15" customHeight="1" s="74">
      <c r="A934" s="121" t="n"/>
      <c r="B934" s="122" t="n"/>
      <c r="C934" s="122" t="n"/>
      <c r="D934" s="123" t="n"/>
      <c r="E934" s="121" t="n"/>
      <c r="F934" s="124" t="n"/>
      <c r="G934" s="125" t="n"/>
      <c r="H934" s="125" t="n"/>
      <c r="I934" s="124" t="n"/>
      <c r="J934" s="125" t="n"/>
      <c r="K934" s="124" t="n"/>
      <c r="L934" s="125" t="n"/>
      <c r="M934" s="126" t="n"/>
      <c r="N934" s="124" t="n"/>
    </row>
    <row r="935" ht="15" customHeight="1" s="74">
      <c r="A935" s="121" t="n"/>
      <c r="B935" s="122" t="n"/>
      <c r="C935" s="122" t="n"/>
      <c r="D935" s="123" t="n"/>
      <c r="E935" s="121" t="n"/>
      <c r="F935" s="124" t="n"/>
      <c r="G935" s="125" t="n"/>
      <c r="H935" s="125" t="n"/>
      <c r="I935" s="124" t="n"/>
      <c r="J935" s="125" t="n"/>
      <c r="K935" s="124" t="n"/>
      <c r="L935" s="125" t="n"/>
      <c r="M935" s="126" t="n"/>
      <c r="N935" s="124" t="n"/>
    </row>
    <row r="936" ht="15" customHeight="1" s="74">
      <c r="A936" s="121" t="n"/>
      <c r="B936" s="122" t="n"/>
      <c r="C936" s="122" t="n"/>
      <c r="D936" s="123" t="n"/>
      <c r="E936" s="121" t="n"/>
      <c r="F936" s="124" t="n"/>
      <c r="G936" s="125" t="n"/>
      <c r="H936" s="125" t="n"/>
      <c r="I936" s="124" t="n"/>
      <c r="J936" s="125" t="n"/>
      <c r="K936" s="124" t="n"/>
      <c r="L936" s="125" t="n"/>
      <c r="M936" s="126" t="n"/>
      <c r="N936" s="124" t="n"/>
    </row>
    <row r="937" ht="15" customHeight="1" s="74">
      <c r="A937" s="121" t="n"/>
      <c r="B937" s="122" t="n"/>
      <c r="C937" s="122" t="n"/>
      <c r="D937" s="123" t="n"/>
      <c r="E937" s="121" t="n"/>
      <c r="F937" s="124" t="n"/>
      <c r="G937" s="125" t="n"/>
      <c r="H937" s="125" t="n"/>
      <c r="I937" s="124" t="n"/>
      <c r="J937" s="125" t="n"/>
      <c r="K937" s="124" t="n"/>
      <c r="L937" s="125" t="n"/>
      <c r="M937" s="126" t="n"/>
      <c r="N937" s="124" t="n"/>
    </row>
    <row r="938" ht="15" customHeight="1" s="74">
      <c r="A938" s="121" t="n"/>
      <c r="B938" s="122" t="n"/>
      <c r="C938" s="122" t="n"/>
      <c r="D938" s="123" t="n"/>
      <c r="E938" s="121" t="n"/>
      <c r="F938" s="124" t="n"/>
      <c r="G938" s="125" t="n"/>
      <c r="H938" s="125" t="n"/>
      <c r="I938" s="124" t="n"/>
      <c r="J938" s="125" t="n"/>
      <c r="K938" s="124" t="n"/>
      <c r="L938" s="125" t="n"/>
      <c r="M938" s="126" t="n"/>
      <c r="N938" s="124" t="n"/>
    </row>
    <row r="939" ht="15" customHeight="1" s="74">
      <c r="A939" s="121" t="n"/>
      <c r="B939" s="122" t="n"/>
      <c r="C939" s="122" t="n"/>
      <c r="D939" s="123" t="n"/>
      <c r="E939" s="121" t="n"/>
      <c r="F939" s="124" t="n"/>
      <c r="G939" s="125" t="n"/>
      <c r="H939" s="125" t="n"/>
      <c r="I939" s="124" t="n"/>
      <c r="J939" s="125" t="n"/>
      <c r="K939" s="124" t="n"/>
      <c r="L939" s="125" t="n"/>
      <c r="M939" s="126" t="n"/>
      <c r="N939" s="124" t="n"/>
    </row>
    <row r="940" ht="15" customHeight="1" s="74">
      <c r="A940" s="121" t="n"/>
      <c r="B940" s="122" t="n"/>
      <c r="C940" s="122" t="n"/>
      <c r="D940" s="123" t="n"/>
      <c r="E940" s="121" t="n"/>
      <c r="F940" s="124" t="n"/>
      <c r="G940" s="125" t="n"/>
      <c r="H940" s="125" t="n"/>
      <c r="I940" s="124" t="n"/>
      <c r="J940" s="125" t="n"/>
      <c r="K940" s="124" t="n"/>
      <c r="L940" s="125" t="n"/>
      <c r="M940" s="126" t="n"/>
      <c r="N940" s="124" t="n"/>
    </row>
    <row r="941" ht="15" customHeight="1" s="74">
      <c r="A941" s="121" t="n"/>
      <c r="B941" s="122" t="n"/>
      <c r="C941" s="122" t="n"/>
      <c r="D941" s="123" t="n"/>
      <c r="E941" s="121" t="n"/>
      <c r="F941" s="124" t="n"/>
      <c r="G941" s="125" t="n"/>
      <c r="H941" s="125" t="n"/>
      <c r="I941" s="124" t="n"/>
      <c r="J941" s="125" t="n"/>
      <c r="K941" s="124" t="n"/>
      <c r="L941" s="125" t="n"/>
      <c r="M941" s="126" t="n"/>
      <c r="N941" s="124" t="n"/>
    </row>
    <row r="942" ht="15" customHeight="1" s="74">
      <c r="A942" s="121" t="n"/>
      <c r="B942" s="122" t="n"/>
      <c r="C942" s="122" t="n"/>
      <c r="D942" s="123" t="n"/>
      <c r="E942" s="121" t="n"/>
      <c r="F942" s="124" t="n"/>
      <c r="G942" s="125" t="n"/>
      <c r="H942" s="125" t="n"/>
      <c r="I942" s="124" t="n"/>
      <c r="J942" s="125" t="n"/>
      <c r="K942" s="124" t="n"/>
      <c r="L942" s="125" t="n"/>
      <c r="M942" s="126" t="n"/>
      <c r="N942" s="124" t="n"/>
    </row>
    <row r="943" ht="15" customHeight="1" s="74">
      <c r="A943" s="121" t="n"/>
      <c r="B943" s="122" t="n"/>
      <c r="C943" s="122" t="n"/>
      <c r="D943" s="123" t="n"/>
      <c r="E943" s="121" t="n"/>
      <c r="F943" s="124" t="n"/>
      <c r="G943" s="125" t="n"/>
      <c r="H943" s="125" t="n"/>
      <c r="I943" s="124" t="n"/>
      <c r="J943" s="125" t="n"/>
      <c r="K943" s="124" t="n"/>
      <c r="L943" s="125" t="n"/>
      <c r="M943" s="126" t="n"/>
      <c r="N943" s="124" t="n"/>
    </row>
    <row r="944" ht="15" customHeight="1" s="74">
      <c r="A944" s="121" t="n"/>
      <c r="B944" s="122" t="n"/>
      <c r="C944" s="122" t="n"/>
      <c r="D944" s="123" t="n"/>
      <c r="E944" s="121" t="n"/>
      <c r="F944" s="124" t="n"/>
      <c r="G944" s="125" t="n"/>
      <c r="H944" s="125" t="n"/>
      <c r="I944" s="124" t="n"/>
      <c r="J944" s="125" t="n"/>
      <c r="K944" s="124" t="n"/>
      <c r="L944" s="125" t="n"/>
      <c r="M944" s="126" t="n"/>
      <c r="N944" s="124" t="n"/>
    </row>
    <row r="945" ht="15" customHeight="1" s="74">
      <c r="A945" s="121" t="n"/>
      <c r="B945" s="122" t="n"/>
      <c r="C945" s="122" t="n"/>
      <c r="D945" s="123" t="n"/>
      <c r="E945" s="121" t="n"/>
      <c r="F945" s="124" t="n"/>
      <c r="G945" s="125" t="n"/>
      <c r="H945" s="125" t="n"/>
      <c r="I945" s="124" t="n"/>
      <c r="J945" s="125" t="n"/>
      <c r="K945" s="124" t="n"/>
      <c r="L945" s="125" t="n"/>
      <c r="M945" s="126" t="n"/>
      <c r="N945" s="124" t="n"/>
    </row>
    <row r="946" ht="15" customHeight="1" s="74">
      <c r="A946" s="121" t="n"/>
      <c r="B946" s="122" t="n"/>
      <c r="C946" s="122" t="n"/>
      <c r="D946" s="123" t="n"/>
      <c r="E946" s="121" t="n"/>
      <c r="F946" s="124" t="n"/>
      <c r="G946" s="125" t="n"/>
      <c r="H946" s="125" t="n"/>
      <c r="I946" s="124" t="n"/>
      <c r="J946" s="125" t="n"/>
      <c r="K946" s="124" t="n"/>
      <c r="L946" s="125" t="n"/>
      <c r="M946" s="126" t="n"/>
      <c r="N946" s="124" t="n"/>
    </row>
    <row r="947" ht="15" customHeight="1" s="74">
      <c r="A947" s="121" t="n"/>
      <c r="B947" s="122" t="n"/>
      <c r="C947" s="122" t="n"/>
      <c r="D947" s="123" t="n"/>
      <c r="E947" s="121" t="n"/>
      <c r="F947" s="124" t="n"/>
      <c r="G947" s="125" t="n"/>
      <c r="H947" s="125" t="n"/>
      <c r="I947" s="124" t="n"/>
      <c r="J947" s="125" t="n"/>
      <c r="K947" s="124" t="n"/>
      <c r="L947" s="125" t="n"/>
      <c r="M947" s="126" t="n"/>
      <c r="N947" s="124" t="n"/>
    </row>
    <row r="948" ht="15" customHeight="1" s="74">
      <c r="A948" s="121" t="n"/>
      <c r="B948" s="122" t="n"/>
      <c r="C948" s="122" t="n"/>
      <c r="D948" s="123" t="n"/>
      <c r="E948" s="121" t="n"/>
      <c r="F948" s="124" t="n"/>
      <c r="G948" s="125" t="n"/>
      <c r="H948" s="125" t="n"/>
      <c r="I948" s="124" t="n"/>
      <c r="J948" s="125" t="n"/>
      <c r="K948" s="124" t="n"/>
      <c r="L948" s="125" t="n"/>
      <c r="M948" s="126" t="n"/>
      <c r="N948" s="124" t="n"/>
    </row>
    <row r="949" ht="15" customHeight="1" s="74">
      <c r="A949" s="121" t="n"/>
      <c r="B949" s="122" t="n"/>
      <c r="C949" s="122" t="n"/>
      <c r="D949" s="123" t="n"/>
      <c r="E949" s="121" t="n"/>
      <c r="F949" s="124" t="n"/>
      <c r="G949" s="125" t="n"/>
      <c r="H949" s="125" t="n"/>
      <c r="I949" s="124" t="n"/>
      <c r="J949" s="125" t="n"/>
      <c r="K949" s="124" t="n"/>
      <c r="L949" s="125" t="n"/>
      <c r="M949" s="126" t="n"/>
      <c r="N949" s="124" t="n"/>
    </row>
    <row r="950" ht="15" customHeight="1" s="74">
      <c r="A950" s="121" t="n"/>
      <c r="B950" s="122" t="n"/>
      <c r="C950" s="122" t="n"/>
      <c r="D950" s="123" t="n"/>
      <c r="E950" s="121" t="n"/>
      <c r="F950" s="124" t="n"/>
      <c r="G950" s="125" t="n"/>
      <c r="H950" s="125" t="n"/>
      <c r="I950" s="124" t="n"/>
      <c r="J950" s="125" t="n"/>
      <c r="K950" s="124" t="n"/>
      <c r="L950" s="125" t="n"/>
      <c r="M950" s="126" t="n"/>
      <c r="N950" s="124" t="n"/>
    </row>
    <row r="951" ht="15" customHeight="1" s="74">
      <c r="A951" s="121" t="n"/>
      <c r="B951" s="122" t="n"/>
      <c r="C951" s="122" t="n"/>
      <c r="D951" s="123" t="n"/>
      <c r="E951" s="121" t="n"/>
      <c r="F951" s="124" t="n"/>
      <c r="G951" s="125" t="n"/>
      <c r="H951" s="125" t="n"/>
      <c r="I951" s="124" t="n"/>
      <c r="J951" s="125" t="n"/>
      <c r="K951" s="124" t="n"/>
      <c r="L951" s="125" t="n"/>
      <c r="M951" s="126" t="n"/>
      <c r="N951" s="124" t="n"/>
    </row>
    <row r="952" ht="15" customHeight="1" s="74">
      <c r="A952" s="121" t="n"/>
      <c r="B952" s="122" t="n"/>
      <c r="C952" s="122" t="n"/>
      <c r="D952" s="123" t="n"/>
      <c r="E952" s="121" t="n"/>
      <c r="F952" s="124" t="n"/>
      <c r="G952" s="125" t="n"/>
      <c r="H952" s="125" t="n"/>
      <c r="I952" s="124" t="n"/>
      <c r="J952" s="125" t="n"/>
      <c r="K952" s="124" t="n"/>
      <c r="L952" s="125" t="n"/>
      <c r="M952" s="126" t="n"/>
      <c r="N952" s="124" t="n"/>
    </row>
    <row r="953" ht="15" customHeight="1" s="74">
      <c r="A953" s="121" t="n"/>
      <c r="B953" s="122" t="n"/>
      <c r="C953" s="122" t="n"/>
      <c r="D953" s="123" t="n"/>
      <c r="E953" s="121" t="n"/>
      <c r="F953" s="124" t="n"/>
      <c r="G953" s="125" t="n"/>
      <c r="H953" s="125" t="n"/>
      <c r="I953" s="124" t="n"/>
      <c r="J953" s="125" t="n"/>
      <c r="K953" s="124" t="n"/>
      <c r="L953" s="125" t="n"/>
      <c r="M953" s="126" t="n"/>
      <c r="N953" s="124" t="n"/>
    </row>
    <row r="954" ht="15" customHeight="1" s="74">
      <c r="A954" s="121" t="n"/>
      <c r="B954" s="122" t="n"/>
      <c r="C954" s="122" t="n"/>
      <c r="D954" s="123" t="n"/>
      <c r="E954" s="121" t="n"/>
      <c r="F954" s="124" t="n"/>
      <c r="G954" s="125" t="n"/>
      <c r="H954" s="125" t="n"/>
      <c r="I954" s="124" t="n"/>
      <c r="J954" s="125" t="n"/>
      <c r="K954" s="124" t="n"/>
      <c r="L954" s="125" t="n"/>
      <c r="M954" s="126" t="n"/>
      <c r="N954" s="124" t="n"/>
    </row>
    <row r="955" ht="15" customHeight="1" s="74">
      <c r="A955" s="121" t="n"/>
      <c r="B955" s="122" t="n"/>
      <c r="C955" s="122" t="n"/>
      <c r="D955" s="123" t="n"/>
      <c r="E955" s="121" t="n"/>
      <c r="F955" s="124" t="n"/>
      <c r="G955" s="125" t="n"/>
      <c r="H955" s="125" t="n"/>
      <c r="I955" s="124" t="n"/>
      <c r="J955" s="125" t="n"/>
      <c r="K955" s="124" t="n"/>
      <c r="L955" s="125" t="n"/>
      <c r="M955" s="126" t="n"/>
      <c r="N955" s="124" t="n"/>
    </row>
    <row r="956" ht="15" customHeight="1" s="74">
      <c r="A956" s="121" t="n"/>
      <c r="B956" s="122" t="n"/>
      <c r="C956" s="122" t="n"/>
      <c r="D956" s="123" t="n"/>
      <c r="E956" s="121" t="n"/>
      <c r="F956" s="124" t="n"/>
      <c r="G956" s="125" t="n"/>
      <c r="H956" s="125" t="n"/>
      <c r="I956" s="124" t="n"/>
      <c r="J956" s="125" t="n"/>
      <c r="K956" s="124" t="n"/>
      <c r="L956" s="125" t="n"/>
      <c r="M956" s="126" t="n"/>
      <c r="N956" s="124" t="n"/>
    </row>
    <row r="957" ht="15" customHeight="1" s="74">
      <c r="A957" s="121" t="n"/>
      <c r="B957" s="122" t="n"/>
      <c r="C957" s="122" t="n"/>
      <c r="D957" s="123" t="n"/>
      <c r="E957" s="121" t="n"/>
      <c r="F957" s="124" t="n"/>
      <c r="G957" s="125" t="n"/>
      <c r="H957" s="125" t="n"/>
      <c r="I957" s="124" t="n"/>
      <c r="J957" s="125" t="n"/>
      <c r="K957" s="124" t="n"/>
      <c r="L957" s="125" t="n"/>
      <c r="M957" s="126" t="n"/>
      <c r="N957" s="124" t="n"/>
    </row>
    <row r="958" ht="15" customHeight="1" s="74">
      <c r="A958" s="121" t="n"/>
      <c r="B958" s="122" t="n"/>
      <c r="C958" s="122" t="n"/>
      <c r="D958" s="123" t="n"/>
      <c r="E958" s="121" t="n"/>
      <c r="F958" s="124" t="n"/>
      <c r="G958" s="125" t="n"/>
      <c r="H958" s="125" t="n"/>
      <c r="I958" s="124" t="n"/>
      <c r="J958" s="125" t="n"/>
      <c r="K958" s="124" t="n"/>
      <c r="L958" s="125" t="n"/>
      <c r="M958" s="126" t="n"/>
      <c r="N958" s="124" t="n"/>
    </row>
    <row r="959" ht="15" customHeight="1" s="74">
      <c r="A959" s="121" t="n"/>
      <c r="B959" s="122" t="n"/>
      <c r="C959" s="122" t="n"/>
      <c r="D959" s="123" t="n"/>
      <c r="E959" s="121" t="n"/>
      <c r="F959" s="124" t="n"/>
      <c r="G959" s="125" t="n"/>
      <c r="H959" s="125" t="n"/>
      <c r="I959" s="124" t="n"/>
      <c r="J959" s="125" t="n"/>
      <c r="K959" s="124" t="n"/>
      <c r="L959" s="125" t="n"/>
      <c r="M959" s="126" t="n"/>
      <c r="N959" s="124" t="n"/>
    </row>
    <row r="960" ht="15" customHeight="1" s="74">
      <c r="A960" s="121" t="n"/>
      <c r="B960" s="122" t="n"/>
      <c r="C960" s="122" t="n"/>
      <c r="D960" s="123" t="n"/>
      <c r="E960" s="121" t="n"/>
      <c r="F960" s="124" t="n"/>
      <c r="G960" s="125" t="n"/>
      <c r="H960" s="125" t="n"/>
      <c r="I960" s="124" t="n"/>
      <c r="J960" s="125" t="n"/>
      <c r="K960" s="124" t="n"/>
      <c r="L960" s="125" t="n"/>
      <c r="M960" s="126" t="n"/>
      <c r="N960" s="124" t="n"/>
    </row>
    <row r="961" ht="15" customHeight="1" s="74">
      <c r="A961" s="121" t="n"/>
      <c r="B961" s="122" t="n"/>
      <c r="C961" s="122" t="n"/>
      <c r="D961" s="123" t="n"/>
      <c r="E961" s="121" t="n"/>
      <c r="F961" s="124" t="n"/>
      <c r="G961" s="125" t="n"/>
      <c r="H961" s="125" t="n"/>
      <c r="I961" s="124" t="n"/>
      <c r="J961" s="125" t="n"/>
      <c r="K961" s="124" t="n"/>
      <c r="L961" s="125" t="n"/>
      <c r="M961" s="126" t="n"/>
      <c r="N961" s="124" t="n"/>
    </row>
    <row r="962" ht="15" customHeight="1" s="74">
      <c r="A962" s="121" t="n"/>
      <c r="B962" s="122" t="n"/>
      <c r="C962" s="122" t="n"/>
      <c r="D962" s="123" t="n"/>
      <c r="E962" s="121" t="n"/>
      <c r="F962" s="124" t="n"/>
      <c r="G962" s="125" t="n"/>
      <c r="H962" s="125" t="n"/>
      <c r="I962" s="124" t="n"/>
      <c r="J962" s="125" t="n"/>
      <c r="K962" s="124" t="n"/>
      <c r="L962" s="125" t="n"/>
      <c r="M962" s="126" t="n"/>
      <c r="N962" s="124" t="n"/>
    </row>
    <row r="963" ht="15" customHeight="1" s="74">
      <c r="A963" s="121" t="n"/>
      <c r="B963" s="122" t="n"/>
      <c r="C963" s="122" t="n"/>
      <c r="D963" s="123" t="n"/>
      <c r="E963" s="121" t="n"/>
      <c r="F963" s="124" t="n"/>
      <c r="G963" s="125" t="n"/>
      <c r="H963" s="125" t="n"/>
      <c r="I963" s="124" t="n"/>
      <c r="J963" s="125" t="n"/>
      <c r="K963" s="124" t="n"/>
      <c r="L963" s="125" t="n"/>
      <c r="M963" s="126" t="n"/>
      <c r="N963" s="124" t="n"/>
    </row>
    <row r="964" ht="15" customHeight="1" s="74">
      <c r="A964" s="121" t="n"/>
      <c r="B964" s="122" t="n"/>
      <c r="C964" s="122" t="n"/>
      <c r="D964" s="123" t="n"/>
      <c r="E964" s="121" t="n"/>
      <c r="F964" s="124" t="n"/>
      <c r="G964" s="125" t="n"/>
      <c r="H964" s="125" t="n"/>
      <c r="I964" s="124" t="n"/>
      <c r="J964" s="125" t="n"/>
      <c r="K964" s="124" t="n"/>
      <c r="L964" s="125" t="n"/>
      <c r="M964" s="126" t="n"/>
      <c r="N964" s="124" t="n"/>
    </row>
    <row r="965" ht="15" customHeight="1" s="74">
      <c r="A965" s="121" t="n"/>
      <c r="B965" s="122" t="n"/>
      <c r="C965" s="122" t="n"/>
      <c r="D965" s="123" t="n"/>
      <c r="E965" s="121" t="n"/>
      <c r="F965" s="124" t="n"/>
      <c r="G965" s="125" t="n"/>
      <c r="H965" s="125" t="n"/>
      <c r="I965" s="124" t="n"/>
      <c r="J965" s="125" t="n"/>
      <c r="K965" s="124" t="n"/>
      <c r="L965" s="125" t="n"/>
      <c r="M965" s="126" t="n"/>
      <c r="N965" s="124" t="n"/>
    </row>
    <row r="966" ht="15" customHeight="1" s="74">
      <c r="A966" s="121" t="n"/>
      <c r="B966" s="122" t="n"/>
      <c r="C966" s="122" t="n"/>
      <c r="D966" s="123" t="n"/>
      <c r="E966" s="121" t="n"/>
      <c r="F966" s="124" t="n"/>
      <c r="G966" s="125" t="n"/>
      <c r="H966" s="125" t="n"/>
      <c r="I966" s="124" t="n"/>
      <c r="J966" s="125" t="n"/>
      <c r="K966" s="124" t="n"/>
      <c r="L966" s="125" t="n"/>
      <c r="M966" s="126" t="n"/>
      <c r="N966" s="124" t="n"/>
    </row>
    <row r="967" ht="15" customHeight="1" s="74">
      <c r="A967" s="121" t="n"/>
      <c r="B967" s="122" t="n"/>
      <c r="C967" s="122" t="n"/>
      <c r="D967" s="123" t="n"/>
      <c r="E967" s="121" t="n"/>
      <c r="F967" s="124" t="n"/>
      <c r="G967" s="125" t="n"/>
      <c r="H967" s="125" t="n"/>
      <c r="I967" s="124" t="n"/>
      <c r="J967" s="125" t="n"/>
      <c r="K967" s="124" t="n"/>
      <c r="L967" s="125" t="n"/>
      <c r="M967" s="126" t="n"/>
      <c r="N967" s="124" t="n"/>
    </row>
    <row r="968" ht="15" customHeight="1" s="74">
      <c r="A968" s="121" t="n"/>
      <c r="B968" s="122" t="n"/>
      <c r="C968" s="122" t="n"/>
      <c r="D968" s="123" t="n"/>
      <c r="E968" s="121" t="n"/>
      <c r="F968" s="124" t="n"/>
      <c r="G968" s="125" t="n"/>
      <c r="H968" s="125" t="n"/>
      <c r="I968" s="124" t="n"/>
      <c r="J968" s="125" t="n"/>
      <c r="K968" s="124" t="n"/>
      <c r="L968" s="125" t="n"/>
      <c r="M968" s="126" t="n"/>
      <c r="N968" s="124" t="n"/>
    </row>
    <row r="969" ht="15" customHeight="1" s="74">
      <c r="A969" s="121" t="n"/>
      <c r="B969" s="122" t="n"/>
      <c r="C969" s="122" t="n"/>
      <c r="D969" s="123" t="n"/>
      <c r="E969" s="121" t="n"/>
      <c r="F969" s="124" t="n"/>
      <c r="G969" s="125" t="n"/>
      <c r="H969" s="125" t="n"/>
      <c r="I969" s="124" t="n"/>
      <c r="J969" s="125" t="n"/>
      <c r="K969" s="124" t="n"/>
      <c r="L969" s="125" t="n"/>
      <c r="M969" s="126" t="n"/>
      <c r="N969" s="124" t="n"/>
    </row>
    <row r="970" ht="15" customHeight="1" s="74">
      <c r="A970" s="121" t="n"/>
      <c r="B970" s="122" t="n"/>
      <c r="C970" s="122" t="n"/>
      <c r="D970" s="123" t="n"/>
      <c r="E970" s="121" t="n"/>
      <c r="F970" s="124" t="n"/>
      <c r="G970" s="125" t="n"/>
      <c r="H970" s="125" t="n"/>
      <c r="I970" s="124" t="n"/>
      <c r="J970" s="125" t="n"/>
      <c r="K970" s="124" t="n"/>
      <c r="L970" s="125" t="n"/>
      <c r="M970" s="126" t="n"/>
      <c r="N970" s="124" t="n"/>
    </row>
    <row r="971" ht="15" customHeight="1" s="74">
      <c r="A971" s="121" t="n"/>
      <c r="B971" s="122" t="n"/>
      <c r="C971" s="122" t="n"/>
      <c r="D971" s="123" t="n"/>
      <c r="E971" s="121" t="n"/>
      <c r="F971" s="124" t="n"/>
      <c r="G971" s="125" t="n"/>
      <c r="H971" s="125" t="n"/>
      <c r="I971" s="124" t="n"/>
      <c r="J971" s="125" t="n"/>
      <c r="K971" s="124" t="n"/>
      <c r="L971" s="125" t="n"/>
      <c r="M971" s="126" t="n"/>
      <c r="N971" s="124" t="n"/>
    </row>
    <row r="972" ht="15" customHeight="1" s="74">
      <c r="A972" s="121" t="n"/>
      <c r="B972" s="122" t="n"/>
      <c r="C972" s="122" t="n"/>
      <c r="D972" s="123" t="n"/>
      <c r="E972" s="121" t="n"/>
      <c r="F972" s="124" t="n"/>
      <c r="G972" s="125" t="n"/>
      <c r="H972" s="125" t="n"/>
      <c r="I972" s="124" t="n"/>
      <c r="J972" s="125" t="n"/>
      <c r="K972" s="124" t="n"/>
      <c r="L972" s="125" t="n"/>
      <c r="M972" s="126" t="n"/>
      <c r="N972" s="124" t="n"/>
    </row>
    <row r="973" ht="15" customHeight="1" s="74">
      <c r="A973" s="121" t="n"/>
      <c r="B973" s="122" t="n"/>
      <c r="C973" s="122" t="n"/>
      <c r="D973" s="123" t="n"/>
      <c r="E973" s="121" t="n"/>
      <c r="F973" s="124" t="n"/>
      <c r="G973" s="125" t="n"/>
      <c r="H973" s="125" t="n"/>
      <c r="I973" s="124" t="n"/>
      <c r="J973" s="125" t="n"/>
      <c r="K973" s="124" t="n"/>
      <c r="L973" s="125" t="n"/>
      <c r="M973" s="126" t="n"/>
      <c r="N973" s="124" t="n"/>
    </row>
    <row r="974" ht="15" customHeight="1" s="74">
      <c r="A974" s="121" t="n"/>
      <c r="B974" s="122" t="n"/>
      <c r="C974" s="122" t="n"/>
      <c r="D974" s="123" t="n"/>
      <c r="E974" s="121" t="n"/>
      <c r="F974" s="124" t="n"/>
      <c r="G974" s="125" t="n"/>
      <c r="H974" s="125" t="n"/>
      <c r="I974" s="124" t="n"/>
      <c r="J974" s="125" t="n"/>
      <c r="K974" s="124" t="n"/>
      <c r="L974" s="125" t="n"/>
      <c r="M974" s="126" t="n"/>
      <c r="N974" s="124" t="n"/>
    </row>
    <row r="975" ht="15" customHeight="1" s="74">
      <c r="A975" s="121" t="n"/>
      <c r="B975" s="122" t="n"/>
      <c r="C975" s="122" t="n"/>
      <c r="D975" s="123" t="n"/>
      <c r="E975" s="121" t="n"/>
      <c r="F975" s="124" t="n"/>
      <c r="G975" s="125" t="n"/>
      <c r="H975" s="125" t="n"/>
      <c r="I975" s="124" t="n"/>
      <c r="J975" s="125" t="n"/>
      <c r="K975" s="124" t="n"/>
      <c r="L975" s="125" t="n"/>
      <c r="M975" s="126" t="n"/>
      <c r="N975" s="124" t="n"/>
    </row>
    <row r="976" ht="15" customHeight="1" s="74">
      <c r="A976" s="121" t="n"/>
      <c r="B976" s="122" t="n"/>
      <c r="C976" s="122" t="n"/>
      <c r="D976" s="123" t="n"/>
      <c r="E976" s="121" t="n"/>
      <c r="F976" s="124" t="n"/>
      <c r="G976" s="125" t="n"/>
      <c r="H976" s="125" t="n"/>
      <c r="I976" s="124" t="n"/>
      <c r="J976" s="125" t="n"/>
      <c r="K976" s="124" t="n"/>
      <c r="L976" s="125" t="n"/>
      <c r="M976" s="126" t="n"/>
      <c r="N976" s="124" t="n"/>
    </row>
    <row r="977" ht="15" customHeight="1" s="74">
      <c r="A977" s="121" t="n"/>
      <c r="B977" s="122" t="n"/>
      <c r="C977" s="122" t="n"/>
      <c r="D977" s="123" t="n"/>
      <c r="E977" s="121" t="n"/>
      <c r="F977" s="124" t="n"/>
      <c r="G977" s="125" t="n"/>
      <c r="H977" s="125" t="n"/>
      <c r="I977" s="124" t="n"/>
      <c r="J977" s="125" t="n"/>
      <c r="K977" s="124" t="n"/>
      <c r="L977" s="125" t="n"/>
      <c r="M977" s="126" t="n"/>
      <c r="N977" s="124" t="n"/>
    </row>
    <row r="978" ht="15" customHeight="1" s="74">
      <c r="A978" s="121" t="n"/>
      <c r="B978" s="122" t="n"/>
      <c r="C978" s="122" t="n"/>
      <c r="D978" s="123" t="n"/>
      <c r="E978" s="121" t="n"/>
      <c r="F978" s="124" t="n"/>
      <c r="G978" s="125" t="n"/>
      <c r="H978" s="125" t="n"/>
      <c r="I978" s="124" t="n"/>
      <c r="J978" s="125" t="n"/>
      <c r="K978" s="124" t="n"/>
      <c r="L978" s="125" t="n"/>
      <c r="M978" s="126" t="n"/>
      <c r="N978" s="124" t="n"/>
    </row>
    <row r="979" ht="15" customHeight="1" s="74">
      <c r="A979" s="121" t="n"/>
      <c r="B979" s="122" t="n"/>
      <c r="C979" s="122" t="n"/>
      <c r="D979" s="123" t="n"/>
      <c r="E979" s="121" t="n"/>
      <c r="F979" s="124" t="n"/>
      <c r="G979" s="125" t="n"/>
      <c r="H979" s="125" t="n"/>
      <c r="I979" s="124" t="n"/>
      <c r="J979" s="125" t="n"/>
      <c r="K979" s="124" t="n"/>
      <c r="L979" s="125" t="n"/>
      <c r="M979" s="126" t="n"/>
      <c r="N979" s="124" t="n"/>
    </row>
    <row r="980" ht="15" customHeight="1" s="74">
      <c r="A980" s="121" t="n"/>
      <c r="B980" s="122" t="n"/>
      <c r="C980" s="122" t="n"/>
      <c r="D980" s="123" t="n"/>
      <c r="E980" s="121" t="n"/>
      <c r="F980" s="124" t="n"/>
      <c r="G980" s="125" t="n"/>
      <c r="H980" s="125" t="n"/>
      <c r="I980" s="124" t="n"/>
      <c r="J980" s="125" t="n"/>
      <c r="K980" s="124" t="n"/>
      <c r="L980" s="125" t="n"/>
      <c r="M980" s="126" t="n"/>
      <c r="N980" s="124" t="n"/>
    </row>
    <row r="981" ht="15" customHeight="1" s="74">
      <c r="A981" s="121" t="n"/>
      <c r="B981" s="122" t="n"/>
      <c r="C981" s="122" t="n"/>
      <c r="D981" s="123" t="n"/>
      <c r="E981" s="121" t="n"/>
      <c r="F981" s="124" t="n"/>
      <c r="G981" s="125" t="n"/>
      <c r="H981" s="125" t="n"/>
      <c r="I981" s="124" t="n"/>
      <c r="J981" s="125" t="n"/>
      <c r="K981" s="124" t="n"/>
      <c r="L981" s="125" t="n"/>
      <c r="M981" s="126" t="n"/>
      <c r="N981" s="124" t="n"/>
    </row>
    <row r="982" ht="15" customHeight="1" s="74">
      <c r="A982" s="121" t="n"/>
      <c r="B982" s="122" t="n"/>
      <c r="C982" s="122" t="n"/>
      <c r="D982" s="123" t="n"/>
      <c r="E982" s="121" t="n"/>
      <c r="F982" s="124" t="n"/>
      <c r="G982" s="125" t="n"/>
      <c r="H982" s="125" t="n"/>
      <c r="I982" s="124" t="n"/>
      <c r="J982" s="125" t="n"/>
      <c r="K982" s="124" t="n"/>
      <c r="L982" s="125" t="n"/>
      <c r="M982" s="126" t="n"/>
      <c r="N982" s="124" t="n"/>
    </row>
    <row r="983" ht="15" customHeight="1" s="74">
      <c r="A983" s="121" t="n"/>
      <c r="B983" s="122" t="n"/>
      <c r="C983" s="122" t="n"/>
      <c r="D983" s="123" t="n"/>
      <c r="E983" s="121" t="n"/>
      <c r="F983" s="124" t="n"/>
      <c r="G983" s="125" t="n"/>
      <c r="H983" s="125" t="n"/>
      <c r="I983" s="124" t="n"/>
      <c r="J983" s="125" t="n"/>
      <c r="K983" s="124" t="n"/>
      <c r="L983" s="125" t="n"/>
      <c r="M983" s="126" t="n"/>
      <c r="N983" s="124" t="n"/>
    </row>
    <row r="984" ht="15" customHeight="1" s="74">
      <c r="A984" s="121" t="n"/>
      <c r="B984" s="122" t="n"/>
      <c r="C984" s="122" t="n"/>
      <c r="D984" s="123" t="n"/>
      <c r="E984" s="121" t="n"/>
      <c r="F984" s="124" t="n"/>
      <c r="G984" s="125" t="n"/>
      <c r="H984" s="125" t="n"/>
      <c r="I984" s="124" t="n"/>
      <c r="J984" s="125" t="n"/>
      <c r="K984" s="124" t="n"/>
      <c r="L984" s="125" t="n"/>
      <c r="M984" s="126" t="n"/>
      <c r="N984" s="124" t="n"/>
    </row>
    <row r="985" ht="15" customHeight="1" s="74">
      <c r="A985" s="121" t="n"/>
      <c r="B985" s="122" t="n"/>
      <c r="C985" s="122" t="n"/>
      <c r="D985" s="123" t="n"/>
      <c r="E985" s="121" t="n"/>
      <c r="F985" s="124" t="n"/>
      <c r="G985" s="125" t="n"/>
      <c r="H985" s="125" t="n"/>
      <c r="I985" s="124" t="n"/>
      <c r="J985" s="125" t="n"/>
      <c r="K985" s="124" t="n"/>
      <c r="L985" s="125" t="n"/>
      <c r="M985" s="126" t="n"/>
      <c r="N985" s="124" t="n"/>
    </row>
    <row r="986" ht="15" customHeight="1" s="74">
      <c r="A986" s="121" t="n"/>
      <c r="B986" s="122" t="n"/>
      <c r="C986" s="122" t="n"/>
      <c r="D986" s="123" t="n"/>
      <c r="E986" s="121" t="n"/>
      <c r="F986" s="124" t="n"/>
      <c r="G986" s="125" t="n"/>
      <c r="H986" s="125" t="n"/>
      <c r="I986" s="124" t="n"/>
      <c r="J986" s="125" t="n"/>
      <c r="K986" s="124" t="n"/>
      <c r="L986" s="125" t="n"/>
      <c r="M986" s="126" t="n"/>
      <c r="N986" s="124" t="n"/>
    </row>
    <row r="987" ht="15" customHeight="1" s="74">
      <c r="A987" s="121" t="n"/>
      <c r="B987" s="122" t="n"/>
      <c r="C987" s="122" t="n"/>
      <c r="D987" s="123" t="n"/>
      <c r="E987" s="121" t="n"/>
      <c r="F987" s="124" t="n"/>
      <c r="G987" s="125" t="n"/>
      <c r="H987" s="125" t="n"/>
      <c r="I987" s="124" t="n"/>
      <c r="J987" s="125" t="n"/>
      <c r="K987" s="124" t="n"/>
      <c r="L987" s="125" t="n"/>
      <c r="M987" s="126" t="n"/>
      <c r="N987" s="124" t="n"/>
    </row>
    <row r="988" ht="15" customHeight="1" s="74">
      <c r="A988" s="121" t="n"/>
      <c r="B988" s="122" t="n"/>
      <c r="C988" s="122" t="n"/>
      <c r="D988" s="123" t="n"/>
      <c r="E988" s="121" t="n"/>
      <c r="F988" s="124" t="n"/>
      <c r="G988" s="125" t="n"/>
      <c r="H988" s="125" t="n"/>
      <c r="I988" s="124" t="n"/>
      <c r="J988" s="125" t="n"/>
      <c r="K988" s="124" t="n"/>
      <c r="L988" s="125" t="n"/>
      <c r="M988" s="126" t="n"/>
      <c r="N988" s="124" t="n"/>
    </row>
    <row r="989" ht="15" customHeight="1" s="74">
      <c r="A989" s="121" t="n"/>
      <c r="B989" s="122" t="n"/>
      <c r="C989" s="122" t="n"/>
      <c r="D989" s="123" t="n"/>
      <c r="E989" s="121" t="n"/>
      <c r="F989" s="124" t="n"/>
      <c r="G989" s="125" t="n"/>
      <c r="H989" s="125" t="n"/>
      <c r="I989" s="124" t="n"/>
      <c r="J989" s="125" t="n"/>
      <c r="K989" s="124" t="n"/>
      <c r="L989" s="125" t="n"/>
      <c r="M989" s="126" t="n"/>
      <c r="N989" s="124" t="n"/>
    </row>
    <row r="990" ht="15" customHeight="1" s="74">
      <c r="A990" s="121" t="n"/>
      <c r="B990" s="122" t="n"/>
      <c r="C990" s="122" t="n"/>
      <c r="D990" s="123" t="n"/>
      <c r="E990" s="121" t="n"/>
      <c r="F990" s="124" t="n"/>
      <c r="G990" s="125" t="n"/>
      <c r="H990" s="125" t="n"/>
      <c r="I990" s="124" t="n"/>
      <c r="J990" s="125" t="n"/>
      <c r="K990" s="124" t="n"/>
      <c r="L990" s="125" t="n"/>
      <c r="M990" s="126" t="n"/>
      <c r="N990" s="124" t="n"/>
    </row>
    <row r="991" ht="15" customHeight="1" s="74">
      <c r="A991" s="121" t="n"/>
      <c r="B991" s="122" t="n"/>
      <c r="C991" s="122" t="n"/>
      <c r="D991" s="123" t="n"/>
      <c r="E991" s="121" t="n"/>
      <c r="F991" s="124" t="n"/>
      <c r="G991" s="125" t="n"/>
      <c r="H991" s="125" t="n"/>
      <c r="I991" s="124" t="n"/>
      <c r="J991" s="125" t="n"/>
      <c r="K991" s="124" t="n"/>
      <c r="L991" s="125" t="n"/>
      <c r="M991" s="126" t="n"/>
      <c r="N991" s="124" t="n"/>
    </row>
    <row r="992" ht="15" customHeight="1" s="74">
      <c r="A992" s="121" t="n"/>
      <c r="B992" s="122" t="n"/>
      <c r="C992" s="122" t="n"/>
      <c r="D992" s="123" t="n"/>
      <c r="E992" s="121" t="n"/>
      <c r="F992" s="124" t="n"/>
      <c r="G992" s="125" t="n"/>
      <c r="H992" s="125" t="n"/>
      <c r="I992" s="124" t="n"/>
      <c r="J992" s="125" t="n"/>
      <c r="K992" s="124" t="n"/>
      <c r="L992" s="125" t="n"/>
      <c r="M992" s="126" t="n"/>
      <c r="N992" s="124" t="n"/>
    </row>
    <row r="993" ht="15" customHeight="1" s="74">
      <c r="A993" s="121" t="n"/>
      <c r="B993" s="122" t="n"/>
      <c r="C993" s="122" t="n"/>
      <c r="D993" s="123" t="n"/>
      <c r="E993" s="121" t="n"/>
      <c r="F993" s="124" t="n"/>
      <c r="G993" s="125" t="n"/>
      <c r="H993" s="125" t="n"/>
      <c r="I993" s="124" t="n"/>
      <c r="J993" s="125" t="n"/>
      <c r="K993" s="124" t="n"/>
      <c r="L993" s="125" t="n"/>
      <c r="M993" s="126" t="n"/>
      <c r="N993" s="124" t="n"/>
    </row>
    <row r="994" ht="15" customHeight="1" s="74">
      <c r="A994" s="121" t="n"/>
      <c r="B994" s="122" t="n"/>
      <c r="C994" s="122" t="n"/>
      <c r="D994" s="123" t="n"/>
      <c r="E994" s="121" t="n"/>
      <c r="F994" s="124" t="n"/>
      <c r="G994" s="125" t="n"/>
      <c r="H994" s="125" t="n"/>
      <c r="I994" s="124" t="n"/>
      <c r="J994" s="125" t="n"/>
      <c r="K994" s="124" t="n"/>
      <c r="L994" s="125" t="n"/>
      <c r="M994" s="126" t="n"/>
      <c r="N994" s="124" t="n"/>
    </row>
    <row r="995" ht="15" customHeight="1" s="74">
      <c r="A995" s="121" t="n"/>
      <c r="B995" s="122" t="n"/>
      <c r="C995" s="122" t="n"/>
      <c r="D995" s="123" t="n"/>
      <c r="E995" s="121" t="n"/>
      <c r="F995" s="124" t="n"/>
      <c r="G995" s="125" t="n"/>
      <c r="H995" s="125" t="n"/>
      <c r="I995" s="124" t="n"/>
      <c r="J995" s="125" t="n"/>
      <c r="K995" s="124" t="n"/>
      <c r="L995" s="125" t="n"/>
      <c r="M995" s="126" t="n"/>
      <c r="N995" s="124" t="n"/>
    </row>
    <row r="996" ht="15" customHeight="1" s="74">
      <c r="A996" s="121" t="n"/>
      <c r="B996" s="122" t="n"/>
      <c r="C996" s="122" t="n"/>
      <c r="D996" s="123" t="n"/>
      <c r="E996" s="121" t="n"/>
      <c r="F996" s="124" t="n"/>
      <c r="G996" s="125" t="n"/>
      <c r="H996" s="125" t="n"/>
      <c r="I996" s="124" t="n"/>
      <c r="J996" s="125" t="n"/>
      <c r="K996" s="124" t="n"/>
      <c r="L996" s="125" t="n"/>
      <c r="M996" s="126" t="n"/>
      <c r="N996" s="124" t="n"/>
    </row>
    <row r="997" ht="15" customHeight="1" s="74">
      <c r="A997" s="121" t="n"/>
      <c r="B997" s="122" t="n"/>
      <c r="C997" s="122" t="n"/>
      <c r="D997" s="123" t="n"/>
      <c r="E997" s="121" t="n"/>
      <c r="F997" s="124" t="n"/>
      <c r="G997" s="125" t="n"/>
      <c r="H997" s="125" t="n"/>
      <c r="I997" s="124" t="n"/>
      <c r="J997" s="125" t="n"/>
      <c r="K997" s="124" t="n"/>
      <c r="L997" s="125" t="n"/>
      <c r="M997" s="126" t="n"/>
      <c r="N997" s="124" t="n"/>
    </row>
    <row r="998" ht="15" customHeight="1" s="74">
      <c r="A998" s="121" t="n"/>
      <c r="B998" s="122" t="n"/>
      <c r="C998" s="122" t="n"/>
      <c r="D998" s="123" t="n"/>
      <c r="E998" s="121" t="n"/>
      <c r="F998" s="124" t="n"/>
      <c r="G998" s="125" t="n"/>
      <c r="H998" s="125" t="n"/>
      <c r="I998" s="124" t="n"/>
      <c r="J998" s="125" t="n"/>
      <c r="K998" s="124" t="n"/>
      <c r="L998" s="125" t="n"/>
      <c r="M998" s="126" t="n"/>
      <c r="N998" s="124" t="n"/>
    </row>
    <row r="999" ht="15" customHeight="1" s="74">
      <c r="A999" s="121" t="n"/>
      <c r="B999" s="122" t="n"/>
      <c r="C999" s="122" t="n"/>
      <c r="D999" s="123" t="n"/>
      <c r="E999" s="121" t="n"/>
      <c r="F999" s="124" t="n"/>
      <c r="G999" s="125" t="n"/>
      <c r="H999" s="125" t="n"/>
      <c r="I999" s="124" t="n"/>
      <c r="J999" s="125" t="n"/>
      <c r="K999" s="124" t="n"/>
      <c r="L999" s="125" t="n"/>
      <c r="M999" s="126" t="n"/>
      <c r="N999" s="124" t="n"/>
    </row>
    <row r="1000" ht="15" customHeight="1" s="74">
      <c r="A1000" s="121" t="n"/>
      <c r="B1000" s="122" t="n"/>
      <c r="C1000" s="122" t="n"/>
      <c r="D1000" s="123" t="n"/>
      <c r="E1000" s="121" t="n"/>
      <c r="F1000" s="124" t="n"/>
      <c r="G1000" s="125" t="n"/>
      <c r="H1000" s="125" t="n"/>
      <c r="I1000" s="124" t="n"/>
      <c r="J1000" s="125" t="n"/>
      <c r="K1000" s="124" t="n"/>
      <c r="L1000" s="125" t="n"/>
      <c r="M1000" s="126" t="n"/>
      <c r="N1000" s="124" t="n"/>
    </row>
    <row r="1001" ht="15" customHeight="1" s="74">
      <c r="A1001" s="121" t="n"/>
      <c r="B1001" s="122" t="n"/>
      <c r="C1001" s="122" t="n"/>
      <c r="D1001" s="123" t="n"/>
      <c r="E1001" s="121" t="n"/>
      <c r="F1001" s="124" t="n"/>
      <c r="G1001" s="125" t="n"/>
      <c r="H1001" s="125" t="n"/>
      <c r="I1001" s="124" t="n"/>
      <c r="J1001" s="125" t="n"/>
      <c r="K1001" s="124" t="n"/>
      <c r="L1001" s="125" t="n"/>
      <c r="M1001" s="126" t="n"/>
      <c r="N1001" s="124" t="n"/>
    </row>
    <row r="1002" ht="15" customHeight="1" s="74">
      <c r="A1002" s="121" t="n"/>
      <c r="B1002" s="122" t="n"/>
      <c r="C1002" s="122" t="n"/>
      <c r="D1002" s="123" t="n"/>
      <c r="E1002" s="121" t="n"/>
      <c r="F1002" s="124" t="n"/>
      <c r="G1002" s="125" t="n"/>
      <c r="H1002" s="125" t="n"/>
      <c r="I1002" s="124" t="n"/>
      <c r="J1002" s="125" t="n"/>
      <c r="K1002" s="124" t="n"/>
      <c r="L1002" s="125" t="n"/>
      <c r="M1002" s="126" t="n"/>
      <c r="N1002" s="124" t="n"/>
    </row>
    <row r="1003" ht="15" customHeight="1" s="74">
      <c r="A1003" s="121" t="n"/>
      <c r="B1003" s="122" t="n"/>
      <c r="C1003" s="122" t="n"/>
      <c r="D1003" s="123" t="n"/>
      <c r="E1003" s="121" t="n"/>
      <c r="F1003" s="124" t="n"/>
      <c r="G1003" s="125" t="n"/>
      <c r="H1003" s="125" t="n"/>
      <c r="I1003" s="124" t="n"/>
      <c r="J1003" s="125" t="n"/>
      <c r="K1003" s="124" t="n"/>
      <c r="L1003" s="125" t="n"/>
      <c r="M1003" s="126" t="n"/>
      <c r="N1003" s="124" t="n"/>
    </row>
    <row r="1004" ht="15" customHeight="1" s="74">
      <c r="A1004" s="121" t="n"/>
      <c r="B1004" s="121" t="n"/>
      <c r="C1004" s="121" t="n"/>
      <c r="D1004" s="121" t="n"/>
      <c r="E1004" s="121" t="n"/>
      <c r="M1004" s="121" t="n"/>
    </row>
    <row r="1005"/>
    <row r="1006" ht="19.5" customHeight="1" s="74">
      <c r="A1006" s="111" t="inlineStr">
        <is>
          <t>Günlük ücret, kıdem, kıdem/ihbar/izin ve toplam maliyet formülle üretilir; sarı hücreler giriştir.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6:AN1006"/>
    <mergeCell ref="A3:N3"/>
    <mergeCell ref="A1:N1"/>
  </mergeCells>
  <conditionalFormatting sqref="I6">
    <cfRule type="cellIs" rank="0" priority="2" equalAverage="0" operator="greaterThan" aboveAverage="0" dxfId="7" text="" percent="0" bottom="0">
      <formula>0</formula>
    </cfRule>
  </conditionalFormatting>
  <conditionalFormatting sqref="K6">
    <cfRule type="cellIs" rank="0" priority="3" equalAverage="0" operator="greaterThan" aboveAverage="0" dxfId="7" text="" percent="0" bottom="0">
      <formula>0</formula>
    </cfRule>
  </conditionalFormatting>
  <conditionalFormatting sqref="N6">
    <cfRule type="cellIs" rank="0" priority="4" equalAverage="0" operator="greaterThan" aboveAverage="0" dxfId="7" text="" percent="0" bottom="0">
      <formula>0</formula>
    </cfRule>
    <cfRule type="cellIs" rank="0" priority="5" equalAverage="0" operator="lessThan" aboveAverage="0" dxfId="8" text="" percent="0" bottom="0">
      <formula>0</formula>
    </cfRule>
  </conditionalFormatting>
  <conditionalFormatting sqref="I7">
    <cfRule type="cellIs" rank="0" priority="6" equalAverage="0" operator="greaterThan" aboveAverage="0" dxfId="7" text="" percent="0" bottom="0">
      <formula>0</formula>
    </cfRule>
  </conditionalFormatting>
  <conditionalFormatting sqref="K7">
    <cfRule type="cellIs" rank="0" priority="7" equalAverage="0" operator="greaterThan" aboveAverage="0" dxfId="7" text="" percent="0" bottom="0">
      <formula>0</formula>
    </cfRule>
  </conditionalFormatting>
  <conditionalFormatting sqref="N7">
    <cfRule type="cellIs" rank="0" priority="8" equalAverage="0" operator="greaterThan" aboveAverage="0" dxfId="7" text="" percent="0" bottom="0">
      <formula>0</formula>
    </cfRule>
    <cfRule type="cellIs" rank="0" priority="9" equalAverage="0" operator="lessThan" aboveAverage="0" dxfId="8" text="" percent="0" bottom="0">
      <formula>0</formula>
    </cfRule>
  </conditionalFormatting>
  <conditionalFormatting sqref="I8">
    <cfRule type="cellIs" rank="0" priority="10" equalAverage="0" operator="greaterThan" aboveAverage="0" dxfId="7" text="" percent="0" bottom="0">
      <formula>0</formula>
    </cfRule>
  </conditionalFormatting>
  <conditionalFormatting sqref="K8">
    <cfRule type="cellIs" rank="0" priority="11" equalAverage="0" operator="greaterThan" aboveAverage="0" dxfId="7" text="" percent="0" bottom="0">
      <formula>0</formula>
    </cfRule>
  </conditionalFormatting>
  <conditionalFormatting sqref="N8">
    <cfRule type="cellIs" rank="0" priority="12" equalAverage="0" operator="greaterThan" aboveAverage="0" dxfId="7" text="" percent="0" bottom="0">
      <formula>0</formula>
    </cfRule>
    <cfRule type="cellIs" rank="0" priority="13" equalAverage="0" operator="lessThan" aboveAverage="0" dxfId="8" text="" percent="0" bottom="0">
      <formula>0</formula>
    </cfRule>
  </conditionalFormatting>
  <conditionalFormatting sqref="I9">
    <cfRule type="cellIs" rank="0" priority="14" equalAverage="0" operator="greaterThan" aboveAverage="0" dxfId="7" text="" percent="0" bottom="0">
      <formula>0</formula>
    </cfRule>
  </conditionalFormatting>
  <conditionalFormatting sqref="K9">
    <cfRule type="cellIs" rank="0" priority="15" equalAverage="0" operator="greaterThan" aboveAverage="0" dxfId="7" text="" percent="0" bottom="0">
      <formula>0</formula>
    </cfRule>
  </conditionalFormatting>
  <conditionalFormatting sqref="N9">
    <cfRule type="cellIs" rank="0" priority="16" equalAverage="0" operator="greaterThan" aboveAverage="0" dxfId="7" text="" percent="0" bottom="0">
      <formula>0</formula>
    </cfRule>
    <cfRule type="cellIs" rank="0" priority="17" equalAverage="0" operator="lessThan" aboveAverage="0" dxfId="8" text="" percent="0" bottom="0">
      <formula>0</formula>
    </cfRule>
  </conditionalFormatting>
  <conditionalFormatting sqref="I10">
    <cfRule type="cellIs" rank="0" priority="18" equalAverage="0" operator="greaterThan" aboveAverage="0" dxfId="7" text="" percent="0" bottom="0">
      <formula>0</formula>
    </cfRule>
  </conditionalFormatting>
  <conditionalFormatting sqref="K10">
    <cfRule type="cellIs" rank="0" priority="19" equalAverage="0" operator="greaterThan" aboveAverage="0" dxfId="7" text="" percent="0" bottom="0">
      <formula>0</formula>
    </cfRule>
  </conditionalFormatting>
  <conditionalFormatting sqref="N10">
    <cfRule type="cellIs" rank="0" priority="20" equalAverage="0" operator="greaterThan" aboveAverage="0" dxfId="7" text="" percent="0" bottom="0">
      <formula>0</formula>
    </cfRule>
    <cfRule type="cellIs" rank="0" priority="21" equalAverage="0" operator="lessThan" aboveAverage="0" dxfId="8" text="" percent="0" bottom="0">
      <formula>0</formula>
    </cfRule>
  </conditionalFormatting>
  <conditionalFormatting sqref="I11">
    <cfRule type="cellIs" rank="0" priority="22" equalAverage="0" operator="greaterThan" aboveAverage="0" dxfId="7" text="" percent="0" bottom="0">
      <formula>0</formula>
    </cfRule>
  </conditionalFormatting>
  <conditionalFormatting sqref="K11">
    <cfRule type="cellIs" rank="0" priority="23" equalAverage="0" operator="greaterThan" aboveAverage="0" dxfId="7" text="" percent="0" bottom="0">
      <formula>0</formula>
    </cfRule>
  </conditionalFormatting>
  <conditionalFormatting sqref="N11">
    <cfRule type="cellIs" rank="0" priority="24" equalAverage="0" operator="greaterThan" aboveAverage="0" dxfId="7" text="" percent="0" bottom="0">
      <formula>0</formula>
    </cfRule>
    <cfRule type="cellIs" rank="0" priority="25" equalAverage="0" operator="lessThan" aboveAverage="0" dxfId="8" text="" percent="0" bottom="0">
      <formula>0</formula>
    </cfRule>
  </conditionalFormatting>
  <conditionalFormatting sqref="I12">
    <cfRule type="cellIs" rank="0" priority="26" equalAverage="0" operator="greaterThan" aboveAverage="0" dxfId="7" text="" percent="0" bottom="0">
      <formula>0</formula>
    </cfRule>
  </conditionalFormatting>
  <conditionalFormatting sqref="K12">
    <cfRule type="cellIs" rank="0" priority="27" equalAverage="0" operator="greaterThan" aboveAverage="0" dxfId="7" text="" percent="0" bottom="0">
      <formula>0</formula>
    </cfRule>
  </conditionalFormatting>
  <conditionalFormatting sqref="N12">
    <cfRule type="cellIs" rank="0" priority="28" equalAverage="0" operator="greaterThan" aboveAverage="0" dxfId="7" text="" percent="0" bottom="0">
      <formula>0</formula>
    </cfRule>
    <cfRule type="cellIs" rank="0" priority="29" equalAverage="0" operator="lessThan" aboveAverage="0" dxfId="8" text="" percent="0" bottom="0">
      <formula>0</formula>
    </cfRule>
  </conditionalFormatting>
  <conditionalFormatting sqref="I13">
    <cfRule type="cellIs" rank="0" priority="30" equalAverage="0" operator="greaterThan" aboveAverage="0" dxfId="7" text="" percent="0" bottom="0">
      <formula>0</formula>
    </cfRule>
  </conditionalFormatting>
  <conditionalFormatting sqref="K13">
    <cfRule type="cellIs" rank="0" priority="31" equalAverage="0" operator="greaterThan" aboveAverage="0" dxfId="7" text="" percent="0" bottom="0">
      <formula>0</formula>
    </cfRule>
  </conditionalFormatting>
  <conditionalFormatting sqref="N13">
    <cfRule type="cellIs" rank="0" priority="32" equalAverage="0" operator="greaterThan" aboveAverage="0" dxfId="7" text="" percent="0" bottom="0">
      <formula>0</formula>
    </cfRule>
    <cfRule type="cellIs" rank="0" priority="33" equalAverage="0" operator="lessThan" aboveAverage="0" dxfId="8" text="" percent="0" bottom="0">
      <formula>0</formula>
    </cfRule>
  </conditionalFormatting>
  <conditionalFormatting sqref="I14">
    <cfRule type="cellIs" rank="0" priority="34" equalAverage="0" operator="greaterThan" aboveAverage="0" dxfId="7" text="" percent="0" bottom="0">
      <formula>0</formula>
    </cfRule>
  </conditionalFormatting>
  <conditionalFormatting sqref="K14">
    <cfRule type="cellIs" rank="0" priority="35" equalAverage="0" operator="greaterThan" aboveAverage="0" dxfId="7" text="" percent="0" bottom="0">
      <formula>0</formula>
    </cfRule>
  </conditionalFormatting>
  <conditionalFormatting sqref="N14">
    <cfRule type="cellIs" rank="0" priority="36" equalAverage="0" operator="greaterThan" aboveAverage="0" dxfId="7" text="" percent="0" bottom="0">
      <formula>0</formula>
    </cfRule>
    <cfRule type="cellIs" rank="0" priority="37" equalAverage="0" operator="lessThan" aboveAverage="0" dxfId="8" text="" percent="0" bottom="0">
      <formula>0</formula>
    </cfRule>
  </conditionalFormatting>
  <conditionalFormatting sqref="I15">
    <cfRule type="cellIs" rank="0" priority="38" equalAverage="0" operator="greaterThan" aboveAverage="0" dxfId="7" text="" percent="0" bottom="0">
      <formula>0</formula>
    </cfRule>
  </conditionalFormatting>
  <conditionalFormatting sqref="K15">
    <cfRule type="cellIs" rank="0" priority="39" equalAverage="0" operator="greaterThan" aboveAverage="0" dxfId="7" text="" percent="0" bottom="0">
      <formula>0</formula>
    </cfRule>
  </conditionalFormatting>
  <conditionalFormatting sqref="N15">
    <cfRule type="cellIs" rank="0" priority="40" equalAverage="0" operator="greaterThan" aboveAverage="0" dxfId="7" text="" percent="0" bottom="0">
      <formula>0</formula>
    </cfRule>
    <cfRule type="cellIs" rank="0" priority="41" equalAverage="0" operator="lessThan" aboveAverage="0" dxfId="8" text="" percent="0" bottom="0">
      <formula>0</formula>
    </cfRule>
  </conditionalFormatting>
  <conditionalFormatting sqref="I16">
    <cfRule type="cellIs" rank="0" priority="42" equalAverage="0" operator="greaterThan" aboveAverage="0" dxfId="7" text="" percent="0" bottom="0">
      <formula>0</formula>
    </cfRule>
  </conditionalFormatting>
  <conditionalFormatting sqref="K16">
    <cfRule type="cellIs" rank="0" priority="43" equalAverage="0" operator="greaterThan" aboveAverage="0" dxfId="7" text="" percent="0" bottom="0">
      <formula>0</formula>
    </cfRule>
  </conditionalFormatting>
  <conditionalFormatting sqref="N16">
    <cfRule type="cellIs" rank="0" priority="44" equalAverage="0" operator="greaterThan" aboveAverage="0" dxfId="7" text="" percent="0" bottom="0">
      <formula>0</formula>
    </cfRule>
    <cfRule type="cellIs" rank="0" priority="45" equalAverage="0" operator="lessThan" aboveAverage="0" dxfId="8" text="" percent="0" bottom="0">
      <formula>0</formula>
    </cfRule>
  </conditionalFormatting>
  <conditionalFormatting sqref="I17">
    <cfRule type="cellIs" rank="0" priority="46" equalAverage="0" operator="greaterThan" aboveAverage="0" dxfId="7" text="" percent="0" bottom="0">
      <formula>0</formula>
    </cfRule>
  </conditionalFormatting>
  <conditionalFormatting sqref="K17">
    <cfRule type="cellIs" rank="0" priority="47" equalAverage="0" operator="greaterThan" aboveAverage="0" dxfId="7" text="" percent="0" bottom="0">
      <formula>0</formula>
    </cfRule>
  </conditionalFormatting>
  <conditionalFormatting sqref="N17">
    <cfRule type="cellIs" rank="0" priority="48" equalAverage="0" operator="greaterThan" aboveAverage="0" dxfId="7" text="" percent="0" bottom="0">
      <formula>0</formula>
    </cfRule>
    <cfRule type="cellIs" rank="0" priority="49" equalAverage="0" operator="lessThan" aboveAverage="0" dxfId="8" text="" percent="0" bottom="0">
      <formula>0</formula>
    </cfRule>
  </conditionalFormatting>
  <conditionalFormatting sqref="I18">
    <cfRule type="cellIs" rank="0" priority="50" equalAverage="0" operator="greaterThan" aboveAverage="0" dxfId="7" text="" percent="0" bottom="0">
      <formula>0</formula>
    </cfRule>
  </conditionalFormatting>
  <conditionalFormatting sqref="K18">
    <cfRule type="cellIs" rank="0" priority="51" equalAverage="0" operator="greaterThan" aboveAverage="0" dxfId="7" text="" percent="0" bottom="0">
      <formula>0</formula>
    </cfRule>
  </conditionalFormatting>
  <conditionalFormatting sqref="N18">
    <cfRule type="cellIs" rank="0" priority="52" equalAverage="0" operator="greaterThan" aboveAverage="0" dxfId="7" text="" percent="0" bottom="0">
      <formula>0</formula>
    </cfRule>
    <cfRule type="cellIs" rank="0" priority="53" equalAverage="0" operator="lessThan" aboveAverage="0" dxfId="8" text="" percent="0" bottom="0">
      <formula>0</formula>
    </cfRule>
  </conditionalFormatting>
  <conditionalFormatting sqref="I19">
    <cfRule type="cellIs" rank="0" priority="54" equalAverage="0" operator="greaterThan" aboveAverage="0" dxfId="7" text="" percent="0" bottom="0">
      <formula>0</formula>
    </cfRule>
  </conditionalFormatting>
  <conditionalFormatting sqref="K19">
    <cfRule type="cellIs" rank="0" priority="55" equalAverage="0" operator="greaterThan" aboveAverage="0" dxfId="7" text="" percent="0" bottom="0">
      <formula>0</formula>
    </cfRule>
  </conditionalFormatting>
  <conditionalFormatting sqref="N19">
    <cfRule type="cellIs" rank="0" priority="56" equalAverage="0" operator="greaterThan" aboveAverage="0" dxfId="7" text="" percent="0" bottom="0">
      <formula>0</formula>
    </cfRule>
    <cfRule type="cellIs" rank="0" priority="57" equalAverage="0" operator="lessThan" aboveAverage="0" dxfId="8" text="" percent="0" bottom="0">
      <formula>0</formula>
    </cfRule>
  </conditionalFormatting>
  <conditionalFormatting sqref="I20">
    <cfRule type="cellIs" rank="0" priority="58" equalAverage="0" operator="greaterThan" aboveAverage="0" dxfId="7" text="" percent="0" bottom="0">
      <formula>0</formula>
    </cfRule>
  </conditionalFormatting>
  <conditionalFormatting sqref="K20">
    <cfRule type="cellIs" rank="0" priority="59" equalAverage="0" operator="greaterThan" aboveAverage="0" dxfId="7" text="" percent="0" bottom="0">
      <formula>0</formula>
    </cfRule>
  </conditionalFormatting>
  <conditionalFormatting sqref="N20">
    <cfRule type="cellIs" rank="0" priority="60" equalAverage="0" operator="greaterThan" aboveAverage="0" dxfId="7" text="" percent="0" bottom="0">
      <formula>0</formula>
    </cfRule>
    <cfRule type="cellIs" rank="0" priority="61" equalAverage="0" operator="lessThan" aboveAverage="0" dxfId="8" text="" percent="0" bottom="0">
      <formula>0</formula>
    </cfRule>
  </conditionalFormatting>
  <conditionalFormatting sqref="I21">
    <cfRule type="cellIs" rank="0" priority="62" equalAverage="0" operator="greaterThan" aboveAverage="0" dxfId="7" text="" percent="0" bottom="0">
      <formula>0</formula>
    </cfRule>
  </conditionalFormatting>
  <conditionalFormatting sqref="K21">
    <cfRule type="cellIs" rank="0" priority="63" equalAverage="0" operator="greaterThan" aboveAverage="0" dxfId="7" text="" percent="0" bottom="0">
      <formula>0</formula>
    </cfRule>
  </conditionalFormatting>
  <conditionalFormatting sqref="N21">
    <cfRule type="cellIs" rank="0" priority="64" equalAverage="0" operator="greaterThan" aboveAverage="0" dxfId="7" text="" percent="0" bottom="0">
      <formula>0</formula>
    </cfRule>
    <cfRule type="cellIs" rank="0" priority="65" equalAverage="0" operator="lessThan" aboveAverage="0" dxfId="8" text="" percent="0" bottom="0">
      <formula>0</formula>
    </cfRule>
  </conditionalFormatting>
  <conditionalFormatting sqref="I22">
    <cfRule type="cellIs" rank="0" priority="66" equalAverage="0" operator="greaterThan" aboveAverage="0" dxfId="7" text="" percent="0" bottom="0">
      <formula>0</formula>
    </cfRule>
  </conditionalFormatting>
  <conditionalFormatting sqref="K22">
    <cfRule type="cellIs" rank="0" priority="67" equalAverage="0" operator="greaterThan" aboveAverage="0" dxfId="7" text="" percent="0" bottom="0">
      <formula>0</formula>
    </cfRule>
  </conditionalFormatting>
  <conditionalFormatting sqref="N22">
    <cfRule type="cellIs" rank="0" priority="68" equalAverage="0" operator="greaterThan" aboveAverage="0" dxfId="7" text="" percent="0" bottom="0">
      <formula>0</formula>
    </cfRule>
    <cfRule type="cellIs" rank="0" priority="69" equalAverage="0" operator="lessThan" aboveAverage="0" dxfId="8" text="" percent="0" bottom="0">
      <formula>0</formula>
    </cfRule>
  </conditionalFormatting>
  <conditionalFormatting sqref="I23">
    <cfRule type="cellIs" rank="0" priority="70" equalAverage="0" operator="greaterThan" aboveAverage="0" dxfId="7" text="" percent="0" bottom="0">
      <formula>0</formula>
    </cfRule>
  </conditionalFormatting>
  <conditionalFormatting sqref="K23">
    <cfRule type="cellIs" rank="0" priority="71" equalAverage="0" operator="greaterThan" aboveAverage="0" dxfId="7" text="" percent="0" bottom="0">
      <formula>0</formula>
    </cfRule>
  </conditionalFormatting>
  <conditionalFormatting sqref="N23">
    <cfRule type="cellIs" rank="0" priority="72" equalAverage="0" operator="greaterThan" aboveAverage="0" dxfId="7" text="" percent="0" bottom="0">
      <formula>0</formula>
    </cfRule>
    <cfRule type="cellIs" rank="0" priority="73" equalAverage="0" operator="lessThan" aboveAverage="0" dxfId="8" text="" percent="0" bottom="0">
      <formula>0</formula>
    </cfRule>
  </conditionalFormatting>
  <conditionalFormatting sqref="I24">
    <cfRule type="cellIs" rank="0" priority="74" equalAverage="0" operator="greaterThan" aboveAverage="0" dxfId="7" text="" percent="0" bottom="0">
      <formula>0</formula>
    </cfRule>
  </conditionalFormatting>
  <conditionalFormatting sqref="K24">
    <cfRule type="cellIs" rank="0" priority="75" equalAverage="0" operator="greaterThan" aboveAverage="0" dxfId="7" text="" percent="0" bottom="0">
      <formula>0</formula>
    </cfRule>
  </conditionalFormatting>
  <conditionalFormatting sqref="N24">
    <cfRule type="cellIs" rank="0" priority="76" equalAverage="0" operator="greaterThan" aboveAverage="0" dxfId="7" text="" percent="0" bottom="0">
      <formula>0</formula>
    </cfRule>
    <cfRule type="cellIs" rank="0" priority="77" equalAverage="0" operator="lessThan" aboveAverage="0" dxfId="8" text="" percent="0" bottom="0">
      <formula>0</formula>
    </cfRule>
  </conditionalFormatting>
  <conditionalFormatting sqref="I25">
    <cfRule type="cellIs" rank="0" priority="78" equalAverage="0" operator="greaterThan" aboveAverage="0" dxfId="7" text="" percent="0" bottom="0">
      <formula>0</formula>
    </cfRule>
  </conditionalFormatting>
  <conditionalFormatting sqref="K25">
    <cfRule type="cellIs" rank="0" priority="79" equalAverage="0" operator="greaterThan" aboveAverage="0" dxfId="7" text="" percent="0" bottom="0">
      <formula>0</formula>
    </cfRule>
  </conditionalFormatting>
  <conditionalFormatting sqref="N25">
    <cfRule type="cellIs" rank="0" priority="80" equalAverage="0" operator="greaterThan" aboveAverage="0" dxfId="7" text="" percent="0" bottom="0">
      <formula>0</formula>
    </cfRule>
    <cfRule type="cellIs" rank="0" priority="81" equalAverage="0" operator="lessThan" aboveAverage="0" dxfId="8" text="" percent="0" bottom="0">
      <formula>0</formula>
    </cfRule>
  </conditionalFormatting>
  <conditionalFormatting sqref="I26">
    <cfRule type="cellIs" rank="0" priority="82" equalAverage="0" operator="greaterThan" aboveAverage="0" dxfId="7" text="" percent="0" bottom="0">
      <formula>0</formula>
    </cfRule>
  </conditionalFormatting>
  <conditionalFormatting sqref="K26">
    <cfRule type="cellIs" rank="0" priority="83" equalAverage="0" operator="greaterThan" aboveAverage="0" dxfId="7" text="" percent="0" bottom="0">
      <formula>0</formula>
    </cfRule>
  </conditionalFormatting>
  <conditionalFormatting sqref="N26">
    <cfRule type="cellIs" rank="0" priority="84" equalAverage="0" operator="greaterThan" aboveAverage="0" dxfId="7" text="" percent="0" bottom="0">
      <formula>0</formula>
    </cfRule>
    <cfRule type="cellIs" rank="0" priority="85" equalAverage="0" operator="lessThan" aboveAverage="0" dxfId="8" text="" percent="0" bottom="0">
      <formula>0</formula>
    </cfRule>
  </conditionalFormatting>
  <conditionalFormatting sqref="I27">
    <cfRule type="cellIs" rank="0" priority="86" equalAverage="0" operator="greaterThan" aboveAverage="0" dxfId="7" text="" percent="0" bottom="0">
      <formula>0</formula>
    </cfRule>
  </conditionalFormatting>
  <conditionalFormatting sqref="K27">
    <cfRule type="cellIs" rank="0" priority="87" equalAverage="0" operator="greaterThan" aboveAverage="0" dxfId="7" text="" percent="0" bottom="0">
      <formula>0</formula>
    </cfRule>
  </conditionalFormatting>
  <conditionalFormatting sqref="N27">
    <cfRule type="cellIs" rank="0" priority="88" equalAverage="0" operator="greaterThan" aboveAverage="0" dxfId="7" text="" percent="0" bottom="0">
      <formula>0</formula>
    </cfRule>
    <cfRule type="cellIs" rank="0" priority="89" equalAverage="0" operator="lessThan" aboveAverage="0" dxfId="8" text="" percent="0" bottom="0">
      <formula>0</formula>
    </cfRule>
  </conditionalFormatting>
  <conditionalFormatting sqref="I28">
    <cfRule type="cellIs" rank="0" priority="90" equalAverage="0" operator="greaterThan" aboveAverage="0" dxfId="7" text="" percent="0" bottom="0">
      <formula>0</formula>
    </cfRule>
  </conditionalFormatting>
  <conditionalFormatting sqref="K28">
    <cfRule type="cellIs" rank="0" priority="91" equalAverage="0" operator="greaterThan" aboveAverage="0" dxfId="7" text="" percent="0" bottom="0">
      <formula>0</formula>
    </cfRule>
  </conditionalFormatting>
  <conditionalFormatting sqref="N28">
    <cfRule type="cellIs" rank="0" priority="92" equalAverage="0" operator="greaterThan" aboveAverage="0" dxfId="7" text="" percent="0" bottom="0">
      <formula>0</formula>
    </cfRule>
    <cfRule type="cellIs" rank="0" priority="93" equalAverage="0" operator="lessThan" aboveAverage="0" dxfId="8" text="" percent="0" bottom="0">
      <formula>0</formula>
    </cfRule>
  </conditionalFormatting>
  <conditionalFormatting sqref="I29">
    <cfRule type="cellIs" rank="0" priority="94" equalAverage="0" operator="greaterThan" aboveAverage="0" dxfId="7" text="" percent="0" bottom="0">
      <formula>0</formula>
    </cfRule>
  </conditionalFormatting>
  <conditionalFormatting sqref="K29">
    <cfRule type="cellIs" rank="0" priority="95" equalAverage="0" operator="greaterThan" aboveAverage="0" dxfId="7" text="" percent="0" bottom="0">
      <formula>0</formula>
    </cfRule>
  </conditionalFormatting>
  <conditionalFormatting sqref="N29">
    <cfRule type="cellIs" rank="0" priority="96" equalAverage="0" operator="greaterThan" aboveAverage="0" dxfId="7" text="" percent="0" bottom="0">
      <formula>0</formula>
    </cfRule>
    <cfRule type="cellIs" rank="0" priority="97" equalAverage="0" operator="lessThan" aboveAverage="0" dxfId="8" text="" percent="0" bottom="0">
      <formula>0</formula>
    </cfRule>
  </conditionalFormatting>
  <conditionalFormatting sqref="I30">
    <cfRule type="cellIs" rank="0" priority="98" equalAverage="0" operator="greaterThan" aboveAverage="0" dxfId="7" text="" percent="0" bottom="0">
      <formula>0</formula>
    </cfRule>
  </conditionalFormatting>
  <conditionalFormatting sqref="K30">
    <cfRule type="cellIs" rank="0" priority="99" equalAverage="0" operator="greaterThan" aboveAverage="0" dxfId="7" text="" percent="0" bottom="0">
      <formula>0</formula>
    </cfRule>
  </conditionalFormatting>
  <conditionalFormatting sqref="N30">
    <cfRule type="cellIs" rank="0" priority="100" equalAverage="0" operator="greaterThan" aboveAverage="0" dxfId="7" text="" percent="0" bottom="0">
      <formula>0</formula>
    </cfRule>
    <cfRule type="cellIs" rank="0" priority="101" equalAverage="0" operator="lessThan" aboveAverage="0" dxfId="8" text="" percent="0" bottom="0">
      <formula>0</formula>
    </cfRule>
  </conditionalFormatting>
  <conditionalFormatting sqref="I31">
    <cfRule type="cellIs" rank="0" priority="102" equalAverage="0" operator="greaterThan" aboveAverage="0" dxfId="7" text="" percent="0" bottom="0">
      <formula>0</formula>
    </cfRule>
  </conditionalFormatting>
  <conditionalFormatting sqref="K31">
    <cfRule type="cellIs" rank="0" priority="103" equalAverage="0" operator="greaterThan" aboveAverage="0" dxfId="7" text="" percent="0" bottom="0">
      <formula>0</formula>
    </cfRule>
  </conditionalFormatting>
  <conditionalFormatting sqref="N31">
    <cfRule type="cellIs" rank="0" priority="104" equalAverage="0" operator="greaterThan" aboveAverage="0" dxfId="7" text="" percent="0" bottom="0">
      <formula>0</formula>
    </cfRule>
    <cfRule type="cellIs" rank="0" priority="105" equalAverage="0" operator="lessThan" aboveAverage="0" dxfId="8" text="" percent="0" bottom="0">
      <formula>0</formula>
    </cfRule>
  </conditionalFormatting>
  <conditionalFormatting sqref="I32">
    <cfRule type="cellIs" rank="0" priority="106" equalAverage="0" operator="greaterThan" aboveAverage="0" dxfId="7" text="" percent="0" bottom="0">
      <formula>0</formula>
    </cfRule>
  </conditionalFormatting>
  <conditionalFormatting sqref="K32">
    <cfRule type="cellIs" rank="0" priority="107" equalAverage="0" operator="greaterThan" aboveAverage="0" dxfId="7" text="" percent="0" bottom="0">
      <formula>0</formula>
    </cfRule>
  </conditionalFormatting>
  <conditionalFormatting sqref="N32">
    <cfRule type="cellIs" rank="0" priority="108" equalAverage="0" operator="greaterThan" aboveAverage="0" dxfId="7" text="" percent="0" bottom="0">
      <formula>0</formula>
    </cfRule>
    <cfRule type="cellIs" rank="0" priority="109" equalAverage="0" operator="lessThan" aboveAverage="0" dxfId="8" text="" percent="0" bottom="0">
      <formula>0</formula>
    </cfRule>
  </conditionalFormatting>
  <conditionalFormatting sqref="I33">
    <cfRule type="cellIs" rank="0" priority="110" equalAverage="0" operator="greaterThan" aboveAverage="0" dxfId="7" text="" percent="0" bottom="0">
      <formula>0</formula>
    </cfRule>
  </conditionalFormatting>
  <conditionalFormatting sqref="K33">
    <cfRule type="cellIs" rank="0" priority="111" equalAverage="0" operator="greaterThan" aboveAverage="0" dxfId="7" text="" percent="0" bottom="0">
      <formula>0</formula>
    </cfRule>
  </conditionalFormatting>
  <conditionalFormatting sqref="N33">
    <cfRule type="cellIs" rank="0" priority="112" equalAverage="0" operator="greaterThan" aboveAverage="0" dxfId="7" text="" percent="0" bottom="0">
      <formula>0</formula>
    </cfRule>
    <cfRule type="cellIs" rank="0" priority="113" equalAverage="0" operator="lessThan" aboveAverage="0" dxfId="8" text="" percent="0" bottom="0">
      <formula>0</formula>
    </cfRule>
  </conditionalFormatting>
  <conditionalFormatting sqref="I34">
    <cfRule type="cellIs" rank="0" priority="114" equalAverage="0" operator="greaterThan" aboveAverage="0" dxfId="7" text="" percent="0" bottom="0">
      <formula>0</formula>
    </cfRule>
  </conditionalFormatting>
  <conditionalFormatting sqref="K34">
    <cfRule type="cellIs" rank="0" priority="115" equalAverage="0" operator="greaterThan" aboveAverage="0" dxfId="7" text="" percent="0" bottom="0">
      <formula>0</formula>
    </cfRule>
  </conditionalFormatting>
  <conditionalFormatting sqref="N34">
    <cfRule type="cellIs" rank="0" priority="116" equalAverage="0" operator="greaterThan" aboveAverage="0" dxfId="7" text="" percent="0" bottom="0">
      <formula>0</formula>
    </cfRule>
    <cfRule type="cellIs" rank="0" priority="117" equalAverage="0" operator="lessThan" aboveAverage="0" dxfId="8" text="" percent="0" bottom="0">
      <formula>0</formula>
    </cfRule>
  </conditionalFormatting>
  <conditionalFormatting sqref="I35">
    <cfRule type="cellIs" rank="0" priority="118" equalAverage="0" operator="greaterThan" aboveAverage="0" dxfId="7" text="" percent="0" bottom="0">
      <formula>0</formula>
    </cfRule>
  </conditionalFormatting>
  <conditionalFormatting sqref="K35">
    <cfRule type="cellIs" rank="0" priority="119" equalAverage="0" operator="greaterThan" aboveAverage="0" dxfId="7" text="" percent="0" bottom="0">
      <formula>0</formula>
    </cfRule>
  </conditionalFormatting>
  <conditionalFormatting sqref="N35">
    <cfRule type="cellIs" rank="0" priority="120" equalAverage="0" operator="greaterThan" aboveAverage="0" dxfId="7" text="" percent="0" bottom="0">
      <formula>0</formula>
    </cfRule>
    <cfRule type="cellIs" rank="0" priority="121" equalAverage="0" operator="lessThan" aboveAverage="0" dxfId="8" text="" percent="0" bottom="0">
      <formula>0</formula>
    </cfRule>
  </conditionalFormatting>
  <conditionalFormatting sqref="I36">
    <cfRule type="cellIs" rank="0" priority="122" equalAverage="0" operator="greaterThan" aboveAverage="0" dxfId="7" text="" percent="0" bottom="0">
      <formula>0</formula>
    </cfRule>
  </conditionalFormatting>
  <conditionalFormatting sqref="K36">
    <cfRule type="cellIs" rank="0" priority="123" equalAverage="0" operator="greaterThan" aboveAverage="0" dxfId="7" text="" percent="0" bottom="0">
      <formula>0</formula>
    </cfRule>
  </conditionalFormatting>
  <conditionalFormatting sqref="N36">
    <cfRule type="cellIs" rank="0" priority="124" equalAverage="0" operator="greaterThan" aboveAverage="0" dxfId="7" text="" percent="0" bottom="0">
      <formula>0</formula>
    </cfRule>
    <cfRule type="cellIs" rank="0" priority="125" equalAverage="0" operator="lessThan" aboveAverage="0" dxfId="8" text="" percent="0" bottom="0">
      <formula>0</formula>
    </cfRule>
  </conditionalFormatting>
  <conditionalFormatting sqref="I37">
    <cfRule type="cellIs" rank="0" priority="126" equalAverage="0" operator="greaterThan" aboveAverage="0" dxfId="7" text="" percent="0" bottom="0">
      <formula>0</formula>
    </cfRule>
  </conditionalFormatting>
  <conditionalFormatting sqref="K37">
    <cfRule type="cellIs" rank="0" priority="127" equalAverage="0" operator="greaterThan" aboveAverage="0" dxfId="7" text="" percent="0" bottom="0">
      <formula>0</formula>
    </cfRule>
  </conditionalFormatting>
  <conditionalFormatting sqref="N37">
    <cfRule type="cellIs" rank="0" priority="128" equalAverage="0" operator="greaterThan" aboveAverage="0" dxfId="7" text="" percent="0" bottom="0">
      <formula>0</formula>
    </cfRule>
    <cfRule type="cellIs" rank="0" priority="129" equalAverage="0" operator="lessThan" aboveAverage="0" dxfId="8" text="" percent="0" bottom="0">
      <formula>0</formula>
    </cfRule>
  </conditionalFormatting>
  <conditionalFormatting sqref="I38">
    <cfRule type="cellIs" rank="0" priority="130" equalAverage="0" operator="greaterThan" aboveAverage="0" dxfId="7" text="" percent="0" bottom="0">
      <formula>0</formula>
    </cfRule>
  </conditionalFormatting>
  <conditionalFormatting sqref="K38">
    <cfRule type="cellIs" rank="0" priority="131" equalAverage="0" operator="greaterThan" aboveAverage="0" dxfId="7" text="" percent="0" bottom="0">
      <formula>0</formula>
    </cfRule>
  </conditionalFormatting>
  <conditionalFormatting sqref="N38">
    <cfRule type="cellIs" rank="0" priority="132" equalAverage="0" operator="greaterThan" aboveAverage="0" dxfId="7" text="" percent="0" bottom="0">
      <formula>0</formula>
    </cfRule>
    <cfRule type="cellIs" rank="0" priority="133" equalAverage="0" operator="lessThan" aboveAverage="0" dxfId="8" text="" percent="0" bottom="0">
      <formula>0</formula>
    </cfRule>
  </conditionalFormatting>
  <conditionalFormatting sqref="I39">
    <cfRule type="cellIs" rank="0" priority="134" equalAverage="0" operator="greaterThan" aboveAverage="0" dxfId="7" text="" percent="0" bottom="0">
      <formula>0</formula>
    </cfRule>
  </conditionalFormatting>
  <conditionalFormatting sqref="K39">
    <cfRule type="cellIs" rank="0" priority="135" equalAverage="0" operator="greaterThan" aboveAverage="0" dxfId="7" text="" percent="0" bottom="0">
      <formula>0</formula>
    </cfRule>
  </conditionalFormatting>
  <conditionalFormatting sqref="N39">
    <cfRule type="cellIs" rank="0" priority="136" equalAverage="0" operator="greaterThan" aboveAverage="0" dxfId="7" text="" percent="0" bottom="0">
      <formula>0</formula>
    </cfRule>
    <cfRule type="cellIs" rank="0" priority="137" equalAverage="0" operator="lessThan" aboveAverage="0" dxfId="8" text="" percent="0" bottom="0">
      <formula>0</formula>
    </cfRule>
  </conditionalFormatting>
  <conditionalFormatting sqref="I40">
    <cfRule type="cellIs" rank="0" priority="138" equalAverage="0" operator="greaterThan" aboveAverage="0" dxfId="7" text="" percent="0" bottom="0">
      <formula>0</formula>
    </cfRule>
  </conditionalFormatting>
  <conditionalFormatting sqref="K40">
    <cfRule type="cellIs" rank="0" priority="139" equalAverage="0" operator="greaterThan" aboveAverage="0" dxfId="7" text="" percent="0" bottom="0">
      <formula>0</formula>
    </cfRule>
  </conditionalFormatting>
  <conditionalFormatting sqref="N40">
    <cfRule type="cellIs" rank="0" priority="140" equalAverage="0" operator="greaterThan" aboveAverage="0" dxfId="7" text="" percent="0" bottom="0">
      <formula>0</formula>
    </cfRule>
    <cfRule type="cellIs" rank="0" priority="141" equalAverage="0" operator="lessThan" aboveAverage="0" dxfId="8" text="" percent="0" bottom="0">
      <formula>0</formula>
    </cfRule>
  </conditionalFormatting>
  <conditionalFormatting sqref="I41">
    <cfRule type="cellIs" rank="0" priority="142" equalAverage="0" operator="greaterThan" aboveAverage="0" dxfId="7" text="" percent="0" bottom="0">
      <formula>0</formula>
    </cfRule>
  </conditionalFormatting>
  <conditionalFormatting sqref="K41">
    <cfRule type="cellIs" rank="0" priority="143" equalAverage="0" operator="greaterThan" aboveAverage="0" dxfId="7" text="" percent="0" bottom="0">
      <formula>0</formula>
    </cfRule>
  </conditionalFormatting>
  <conditionalFormatting sqref="N41">
    <cfRule type="cellIs" rank="0" priority="144" equalAverage="0" operator="greaterThan" aboveAverage="0" dxfId="7" text="" percent="0" bottom="0">
      <formula>0</formula>
    </cfRule>
    <cfRule type="cellIs" rank="0" priority="145" equalAverage="0" operator="lessThan" aboveAverage="0" dxfId="8" text="" percent="0" bottom="0">
      <formula>0</formula>
    </cfRule>
  </conditionalFormatting>
  <conditionalFormatting sqref="I42">
    <cfRule type="cellIs" rank="0" priority="146" equalAverage="0" operator="greaterThan" aboveAverage="0" dxfId="7" text="" percent="0" bottom="0">
      <formula>0</formula>
    </cfRule>
  </conditionalFormatting>
  <conditionalFormatting sqref="K42">
    <cfRule type="cellIs" rank="0" priority="147" equalAverage="0" operator="greaterThan" aboveAverage="0" dxfId="7" text="" percent="0" bottom="0">
      <formula>0</formula>
    </cfRule>
  </conditionalFormatting>
  <conditionalFormatting sqref="N42">
    <cfRule type="cellIs" rank="0" priority="148" equalAverage="0" operator="greaterThan" aboveAverage="0" dxfId="7" text="" percent="0" bottom="0">
      <formula>0</formula>
    </cfRule>
    <cfRule type="cellIs" rank="0" priority="149" equalAverage="0" operator="lessThan" aboveAverage="0" dxfId="8" text="" percent="0" bottom="0">
      <formula>0</formula>
    </cfRule>
  </conditionalFormatting>
  <conditionalFormatting sqref="I43">
    <cfRule type="cellIs" rank="0" priority="150" equalAverage="0" operator="greaterThan" aboveAverage="0" dxfId="7" text="" percent="0" bottom="0">
      <formula>0</formula>
    </cfRule>
  </conditionalFormatting>
  <conditionalFormatting sqref="K43">
    <cfRule type="cellIs" rank="0" priority="151" equalAverage="0" operator="greaterThan" aboveAverage="0" dxfId="7" text="" percent="0" bottom="0">
      <formula>0</formula>
    </cfRule>
  </conditionalFormatting>
  <conditionalFormatting sqref="N43">
    <cfRule type="cellIs" rank="0" priority="152" equalAverage="0" operator="greaterThan" aboveAverage="0" dxfId="7" text="" percent="0" bottom="0">
      <formula>0</formula>
    </cfRule>
    <cfRule type="cellIs" rank="0" priority="153" equalAverage="0" operator="lessThan" aboveAverage="0" dxfId="8" text="" percent="0" bottom="0">
      <formula>0</formula>
    </cfRule>
  </conditionalFormatting>
  <conditionalFormatting sqref="I44">
    <cfRule type="cellIs" rank="0" priority="154" equalAverage="0" operator="greaterThan" aboveAverage="0" dxfId="7" text="" percent="0" bottom="0">
      <formula>0</formula>
    </cfRule>
  </conditionalFormatting>
  <conditionalFormatting sqref="K44">
    <cfRule type="cellIs" rank="0" priority="155" equalAverage="0" operator="greaterThan" aboveAverage="0" dxfId="7" text="" percent="0" bottom="0">
      <formula>0</formula>
    </cfRule>
  </conditionalFormatting>
  <conditionalFormatting sqref="N44">
    <cfRule type="cellIs" rank="0" priority="156" equalAverage="0" operator="greaterThan" aboveAverage="0" dxfId="7" text="" percent="0" bottom="0">
      <formula>0</formula>
    </cfRule>
    <cfRule type="cellIs" rank="0" priority="157" equalAverage="0" operator="lessThan" aboveAverage="0" dxfId="8" text="" percent="0" bottom="0">
      <formula>0</formula>
    </cfRule>
  </conditionalFormatting>
  <conditionalFormatting sqref="I45">
    <cfRule type="cellIs" rank="0" priority="158" equalAverage="0" operator="greaterThan" aboveAverage="0" dxfId="7" text="" percent="0" bottom="0">
      <formula>0</formula>
    </cfRule>
  </conditionalFormatting>
  <conditionalFormatting sqref="K45">
    <cfRule type="cellIs" rank="0" priority="159" equalAverage="0" operator="greaterThan" aboveAverage="0" dxfId="7" text="" percent="0" bottom="0">
      <formula>0</formula>
    </cfRule>
  </conditionalFormatting>
  <conditionalFormatting sqref="N45">
    <cfRule type="cellIs" rank="0" priority="160" equalAverage="0" operator="greaterThan" aboveAverage="0" dxfId="7" text="" percent="0" bottom="0">
      <formula>0</formula>
    </cfRule>
    <cfRule type="cellIs" rank="0" priority="161" equalAverage="0" operator="lessThan" aboveAverage="0" dxfId="8" text="" percent="0" bottom="0">
      <formula>0</formula>
    </cfRule>
  </conditionalFormatting>
  <conditionalFormatting sqref="I46">
    <cfRule type="cellIs" rank="0" priority="162" equalAverage="0" operator="greaterThan" aboveAverage="0" dxfId="7" text="" percent="0" bottom="0">
      <formula>0</formula>
    </cfRule>
  </conditionalFormatting>
  <conditionalFormatting sqref="K46">
    <cfRule type="cellIs" rank="0" priority="163" equalAverage="0" operator="greaterThan" aboveAverage="0" dxfId="7" text="" percent="0" bottom="0">
      <formula>0</formula>
    </cfRule>
  </conditionalFormatting>
  <conditionalFormatting sqref="N46">
    <cfRule type="cellIs" rank="0" priority="164" equalAverage="0" operator="greaterThan" aboveAverage="0" dxfId="7" text="" percent="0" bottom="0">
      <formula>0</formula>
    </cfRule>
    <cfRule type="cellIs" rank="0" priority="165" equalAverage="0" operator="lessThan" aboveAverage="0" dxfId="8" text="" percent="0" bottom="0">
      <formula>0</formula>
    </cfRule>
  </conditionalFormatting>
  <conditionalFormatting sqref="I47">
    <cfRule type="cellIs" rank="0" priority="166" equalAverage="0" operator="greaterThan" aboveAverage="0" dxfId="7" text="" percent="0" bottom="0">
      <formula>0</formula>
    </cfRule>
  </conditionalFormatting>
  <conditionalFormatting sqref="K47">
    <cfRule type="cellIs" rank="0" priority="167" equalAverage="0" operator="greaterThan" aboveAverage="0" dxfId="7" text="" percent="0" bottom="0">
      <formula>0</formula>
    </cfRule>
  </conditionalFormatting>
  <conditionalFormatting sqref="N47">
    <cfRule type="cellIs" rank="0" priority="168" equalAverage="0" operator="greaterThan" aboveAverage="0" dxfId="7" text="" percent="0" bottom="0">
      <formula>0</formula>
    </cfRule>
    <cfRule type="cellIs" rank="0" priority="169" equalAverage="0" operator="lessThan" aboveAverage="0" dxfId="8" text="" percent="0" bottom="0">
      <formula>0</formula>
    </cfRule>
  </conditionalFormatting>
  <conditionalFormatting sqref="I48">
    <cfRule type="cellIs" rank="0" priority="170" equalAverage="0" operator="greaterThan" aboveAverage="0" dxfId="7" text="" percent="0" bottom="0">
      <formula>0</formula>
    </cfRule>
  </conditionalFormatting>
  <conditionalFormatting sqref="K48">
    <cfRule type="cellIs" rank="0" priority="171" equalAverage="0" operator="greaterThan" aboveAverage="0" dxfId="7" text="" percent="0" bottom="0">
      <formula>0</formula>
    </cfRule>
  </conditionalFormatting>
  <conditionalFormatting sqref="N48">
    <cfRule type="cellIs" rank="0" priority="172" equalAverage="0" operator="greaterThan" aboveAverage="0" dxfId="7" text="" percent="0" bottom="0">
      <formula>0</formula>
    </cfRule>
    <cfRule type="cellIs" rank="0" priority="173" equalAverage="0" operator="lessThan" aboveAverage="0" dxfId="8" text="" percent="0" bottom="0">
      <formula>0</formula>
    </cfRule>
  </conditionalFormatting>
  <conditionalFormatting sqref="I49">
    <cfRule type="cellIs" rank="0" priority="174" equalAverage="0" operator="greaterThan" aboveAverage="0" dxfId="7" text="" percent="0" bottom="0">
      <formula>0</formula>
    </cfRule>
  </conditionalFormatting>
  <conditionalFormatting sqref="K49">
    <cfRule type="cellIs" rank="0" priority="175" equalAverage="0" operator="greaterThan" aboveAverage="0" dxfId="7" text="" percent="0" bottom="0">
      <formula>0</formula>
    </cfRule>
  </conditionalFormatting>
  <conditionalFormatting sqref="N49">
    <cfRule type="cellIs" rank="0" priority="176" equalAverage="0" operator="greaterThan" aboveAverage="0" dxfId="7" text="" percent="0" bottom="0">
      <formula>0</formula>
    </cfRule>
    <cfRule type="cellIs" rank="0" priority="177" equalAverage="0" operator="lessThan" aboveAverage="0" dxfId="8" text="" percent="0" bottom="0">
      <formula>0</formula>
    </cfRule>
  </conditionalFormatting>
  <conditionalFormatting sqref="I50">
    <cfRule type="cellIs" rank="0" priority="178" equalAverage="0" operator="greaterThan" aboveAverage="0" dxfId="7" text="" percent="0" bottom="0">
      <formula>0</formula>
    </cfRule>
  </conditionalFormatting>
  <conditionalFormatting sqref="K50">
    <cfRule type="cellIs" rank="0" priority="179" equalAverage="0" operator="greaterThan" aboveAverage="0" dxfId="7" text="" percent="0" bottom="0">
      <formula>0</formula>
    </cfRule>
  </conditionalFormatting>
  <conditionalFormatting sqref="N50">
    <cfRule type="cellIs" rank="0" priority="180" equalAverage="0" operator="greaterThan" aboveAverage="0" dxfId="7" text="" percent="0" bottom="0">
      <formula>0</formula>
    </cfRule>
    <cfRule type="cellIs" rank="0" priority="181" equalAverage="0" operator="lessThan" aboveAverage="0" dxfId="8" text="" percent="0" bottom="0">
      <formula>0</formula>
    </cfRule>
  </conditionalFormatting>
  <conditionalFormatting sqref="I51">
    <cfRule type="cellIs" rank="0" priority="182" equalAverage="0" operator="greaterThan" aboveAverage="0" dxfId="7" text="" percent="0" bottom="0">
      <formula>0</formula>
    </cfRule>
  </conditionalFormatting>
  <conditionalFormatting sqref="K51">
    <cfRule type="cellIs" rank="0" priority="183" equalAverage="0" operator="greaterThan" aboveAverage="0" dxfId="7" text="" percent="0" bottom="0">
      <formula>0</formula>
    </cfRule>
  </conditionalFormatting>
  <conditionalFormatting sqref="N51">
    <cfRule type="cellIs" rank="0" priority="184" equalAverage="0" operator="greaterThan" aboveAverage="0" dxfId="7" text="" percent="0" bottom="0">
      <formula>0</formula>
    </cfRule>
    <cfRule type="cellIs" rank="0" priority="185" equalAverage="0" operator="lessThan" aboveAverage="0" dxfId="8" text="" percent="0" bottom="0">
      <formula>0</formula>
    </cfRule>
  </conditionalFormatting>
  <conditionalFormatting sqref="I52">
    <cfRule type="cellIs" rank="0" priority="186" equalAverage="0" operator="greaterThan" aboveAverage="0" dxfId="7" text="" percent="0" bottom="0">
      <formula>0</formula>
    </cfRule>
  </conditionalFormatting>
  <conditionalFormatting sqref="K52">
    <cfRule type="cellIs" rank="0" priority="187" equalAverage="0" operator="greaterThan" aboveAverage="0" dxfId="7" text="" percent="0" bottom="0">
      <formula>0</formula>
    </cfRule>
  </conditionalFormatting>
  <conditionalFormatting sqref="N52">
    <cfRule type="cellIs" rank="0" priority="188" equalAverage="0" operator="greaterThan" aboveAverage="0" dxfId="7" text="" percent="0" bottom="0">
      <formula>0</formula>
    </cfRule>
    <cfRule type="cellIs" rank="0" priority="189" equalAverage="0" operator="lessThan" aboveAverage="0" dxfId="8" text="" percent="0" bottom="0">
      <formula>0</formula>
    </cfRule>
  </conditionalFormatting>
  <conditionalFormatting sqref="I53">
    <cfRule type="cellIs" rank="0" priority="190" equalAverage="0" operator="greaterThan" aboveAverage="0" dxfId="7" text="" percent="0" bottom="0">
      <formula>0</formula>
    </cfRule>
  </conditionalFormatting>
  <conditionalFormatting sqref="K53">
    <cfRule type="cellIs" rank="0" priority="191" equalAverage="0" operator="greaterThan" aboveAverage="0" dxfId="7" text="" percent="0" bottom="0">
      <formula>0</formula>
    </cfRule>
  </conditionalFormatting>
  <conditionalFormatting sqref="N53">
    <cfRule type="cellIs" rank="0" priority="192" equalAverage="0" operator="greaterThan" aboveAverage="0" dxfId="7" text="" percent="0" bottom="0">
      <formula>0</formula>
    </cfRule>
    <cfRule type="cellIs" rank="0" priority="193" equalAverage="0" operator="lessThan" aboveAverage="0" dxfId="8" text="" percent="0" bottom="0">
      <formula>0</formula>
    </cfRule>
  </conditionalFormatting>
  <conditionalFormatting sqref="I54">
    <cfRule type="cellIs" rank="0" priority="194" equalAverage="0" operator="greaterThan" aboveAverage="0" dxfId="7" text="" percent="0" bottom="0">
      <formula>0</formula>
    </cfRule>
  </conditionalFormatting>
  <conditionalFormatting sqref="K54">
    <cfRule type="cellIs" rank="0" priority="195" equalAverage="0" operator="greaterThan" aboveAverage="0" dxfId="7" text="" percent="0" bottom="0">
      <formula>0</formula>
    </cfRule>
  </conditionalFormatting>
  <conditionalFormatting sqref="N54">
    <cfRule type="cellIs" rank="0" priority="196" equalAverage="0" operator="greaterThan" aboveAverage="0" dxfId="7" text="" percent="0" bottom="0">
      <formula>0</formula>
    </cfRule>
    <cfRule type="cellIs" rank="0" priority="197" equalAverage="0" operator="lessThan" aboveAverage="0" dxfId="8" text="" percent="0" bottom="0">
      <formula>0</formula>
    </cfRule>
  </conditionalFormatting>
  <conditionalFormatting sqref="I55">
    <cfRule type="cellIs" rank="0" priority="198" equalAverage="0" operator="greaterThan" aboveAverage="0" dxfId="7" text="" percent="0" bottom="0">
      <formula>0</formula>
    </cfRule>
  </conditionalFormatting>
  <conditionalFormatting sqref="K55">
    <cfRule type="cellIs" rank="0" priority="199" equalAverage="0" operator="greaterThan" aboveAverage="0" dxfId="7" text="" percent="0" bottom="0">
      <formula>0</formula>
    </cfRule>
  </conditionalFormatting>
  <conditionalFormatting sqref="N55">
    <cfRule type="cellIs" rank="0" priority="200" equalAverage="0" operator="greaterThan" aboveAverage="0" dxfId="7" text="" percent="0" bottom="0">
      <formula>0</formula>
    </cfRule>
    <cfRule type="cellIs" rank="0" priority="201" equalAverage="0" operator="lessThan" aboveAverage="0" dxfId="8" text="" percent="0" bottom="0">
      <formula>0</formula>
    </cfRule>
  </conditionalFormatting>
  <conditionalFormatting sqref="I56">
    <cfRule type="cellIs" rank="0" priority="202" equalAverage="0" operator="greaterThan" aboveAverage="0" dxfId="7" text="" percent="0" bottom="0">
      <formula>0</formula>
    </cfRule>
  </conditionalFormatting>
  <conditionalFormatting sqref="K56">
    <cfRule type="cellIs" rank="0" priority="203" equalAverage="0" operator="greaterThan" aboveAverage="0" dxfId="7" text="" percent="0" bottom="0">
      <formula>0</formula>
    </cfRule>
  </conditionalFormatting>
  <conditionalFormatting sqref="N56">
    <cfRule type="cellIs" rank="0" priority="204" equalAverage="0" operator="greaterThan" aboveAverage="0" dxfId="7" text="" percent="0" bottom="0">
      <formula>0</formula>
    </cfRule>
    <cfRule type="cellIs" rank="0" priority="205" equalAverage="0" operator="lessThan" aboveAverage="0" dxfId="8" text="" percent="0" bottom="0">
      <formula>0</formula>
    </cfRule>
  </conditionalFormatting>
  <conditionalFormatting sqref="I57">
    <cfRule type="cellIs" rank="0" priority="206" equalAverage="0" operator="greaterThan" aboveAverage="0" dxfId="7" text="" percent="0" bottom="0">
      <formula>0</formula>
    </cfRule>
  </conditionalFormatting>
  <conditionalFormatting sqref="K57">
    <cfRule type="cellIs" rank="0" priority="207" equalAverage="0" operator="greaterThan" aboveAverage="0" dxfId="7" text="" percent="0" bottom="0">
      <formula>0</formula>
    </cfRule>
  </conditionalFormatting>
  <conditionalFormatting sqref="N57">
    <cfRule type="cellIs" rank="0" priority="208" equalAverage="0" operator="greaterThan" aboveAverage="0" dxfId="7" text="" percent="0" bottom="0">
      <formula>0</formula>
    </cfRule>
    <cfRule type="cellIs" rank="0" priority="209" equalAverage="0" operator="lessThan" aboveAverage="0" dxfId="8" text="" percent="0" bottom="0">
      <formula>0</formula>
    </cfRule>
  </conditionalFormatting>
  <conditionalFormatting sqref="I58">
    <cfRule type="cellIs" rank="0" priority="210" equalAverage="0" operator="greaterThan" aboveAverage="0" dxfId="7" text="" percent="0" bottom="0">
      <formula>0</formula>
    </cfRule>
  </conditionalFormatting>
  <conditionalFormatting sqref="K58">
    <cfRule type="cellIs" rank="0" priority="211" equalAverage="0" operator="greaterThan" aboveAverage="0" dxfId="7" text="" percent="0" bottom="0">
      <formula>0</formula>
    </cfRule>
  </conditionalFormatting>
  <conditionalFormatting sqref="N58">
    <cfRule type="cellIs" rank="0" priority="212" equalAverage="0" operator="greaterThan" aboveAverage="0" dxfId="7" text="" percent="0" bottom="0">
      <formula>0</formula>
    </cfRule>
    <cfRule type="cellIs" rank="0" priority="213" equalAverage="0" operator="lessThan" aboveAverage="0" dxfId="8" text="" percent="0" bottom="0">
      <formula>0</formula>
    </cfRule>
  </conditionalFormatting>
  <conditionalFormatting sqref="I59">
    <cfRule type="cellIs" rank="0" priority="214" equalAverage="0" operator="greaterThan" aboveAverage="0" dxfId="7" text="" percent="0" bottom="0">
      <formula>0</formula>
    </cfRule>
  </conditionalFormatting>
  <conditionalFormatting sqref="K59">
    <cfRule type="cellIs" rank="0" priority="215" equalAverage="0" operator="greaterThan" aboveAverage="0" dxfId="7" text="" percent="0" bottom="0">
      <formula>0</formula>
    </cfRule>
  </conditionalFormatting>
  <conditionalFormatting sqref="N59">
    <cfRule type="cellIs" rank="0" priority="216" equalAverage="0" operator="greaterThan" aboveAverage="0" dxfId="7" text="" percent="0" bottom="0">
      <formula>0</formula>
    </cfRule>
    <cfRule type="cellIs" rank="0" priority="217" equalAverage="0" operator="lessThan" aboveAverage="0" dxfId="8" text="" percent="0" bottom="0">
      <formula>0</formula>
    </cfRule>
  </conditionalFormatting>
  <conditionalFormatting sqref="I60">
    <cfRule type="cellIs" rank="0" priority="218" equalAverage="0" operator="greaterThan" aboveAverage="0" dxfId="7" text="" percent="0" bottom="0">
      <formula>0</formula>
    </cfRule>
  </conditionalFormatting>
  <conditionalFormatting sqref="K60">
    <cfRule type="cellIs" rank="0" priority="219" equalAverage="0" operator="greaterThan" aboveAverage="0" dxfId="7" text="" percent="0" bottom="0">
      <formula>0</formula>
    </cfRule>
  </conditionalFormatting>
  <conditionalFormatting sqref="N60">
    <cfRule type="cellIs" rank="0" priority="220" equalAverage="0" operator="greaterThan" aboveAverage="0" dxfId="7" text="" percent="0" bottom="0">
      <formula>0</formula>
    </cfRule>
    <cfRule type="cellIs" rank="0" priority="221" equalAverage="0" operator="lessThan" aboveAverage="0" dxfId="8" text="" percent="0" bottom="0">
      <formula>0</formula>
    </cfRule>
  </conditionalFormatting>
  <conditionalFormatting sqref="I61">
    <cfRule type="cellIs" rank="0" priority="222" equalAverage="0" operator="greaterThan" aboveAverage="0" dxfId="7" text="" percent="0" bottom="0">
      <formula>0</formula>
    </cfRule>
  </conditionalFormatting>
  <conditionalFormatting sqref="K61">
    <cfRule type="cellIs" rank="0" priority="223" equalAverage="0" operator="greaterThan" aboveAverage="0" dxfId="7" text="" percent="0" bottom="0">
      <formula>0</formula>
    </cfRule>
  </conditionalFormatting>
  <conditionalFormatting sqref="N61">
    <cfRule type="cellIs" rank="0" priority="224" equalAverage="0" operator="greaterThan" aboveAverage="0" dxfId="7" text="" percent="0" bottom="0">
      <formula>0</formula>
    </cfRule>
    <cfRule type="cellIs" rank="0" priority="225" equalAverage="0" operator="lessThan" aboveAverage="0" dxfId="8" text="" percent="0" bottom="0">
      <formula>0</formula>
    </cfRule>
  </conditionalFormatting>
  <conditionalFormatting sqref="I62">
    <cfRule type="cellIs" rank="0" priority="226" equalAverage="0" operator="greaterThan" aboveAverage="0" dxfId="7" text="" percent="0" bottom="0">
      <formula>0</formula>
    </cfRule>
  </conditionalFormatting>
  <conditionalFormatting sqref="K62">
    <cfRule type="cellIs" rank="0" priority="227" equalAverage="0" operator="greaterThan" aboveAverage="0" dxfId="7" text="" percent="0" bottom="0">
      <formula>0</formula>
    </cfRule>
  </conditionalFormatting>
  <conditionalFormatting sqref="N62">
    <cfRule type="cellIs" rank="0" priority="228" equalAverage="0" operator="greaterThan" aboveAverage="0" dxfId="7" text="" percent="0" bottom="0">
      <formula>0</formula>
    </cfRule>
    <cfRule type="cellIs" rank="0" priority="229" equalAverage="0" operator="lessThan" aboveAverage="0" dxfId="8" text="" percent="0" bottom="0">
      <formula>0</formula>
    </cfRule>
  </conditionalFormatting>
  <conditionalFormatting sqref="I63">
    <cfRule type="cellIs" rank="0" priority="230" equalAverage="0" operator="greaterThan" aboveAverage="0" dxfId="7" text="" percent="0" bottom="0">
      <formula>0</formula>
    </cfRule>
  </conditionalFormatting>
  <conditionalFormatting sqref="K63">
    <cfRule type="cellIs" rank="0" priority="231" equalAverage="0" operator="greaterThan" aboveAverage="0" dxfId="7" text="" percent="0" bottom="0">
      <formula>0</formula>
    </cfRule>
  </conditionalFormatting>
  <conditionalFormatting sqref="N63">
    <cfRule type="cellIs" rank="0" priority="232" equalAverage="0" operator="greaterThan" aboveAverage="0" dxfId="7" text="" percent="0" bottom="0">
      <formula>0</formula>
    </cfRule>
    <cfRule type="cellIs" rank="0" priority="233" equalAverage="0" operator="lessThan" aboveAverage="0" dxfId="8" text="" percent="0" bottom="0">
      <formula>0</formula>
    </cfRule>
  </conditionalFormatting>
  <conditionalFormatting sqref="I64">
    <cfRule type="cellIs" rank="0" priority="234" equalAverage="0" operator="greaterThan" aboveAverage="0" dxfId="7" text="" percent="0" bottom="0">
      <formula>0</formula>
    </cfRule>
  </conditionalFormatting>
  <conditionalFormatting sqref="K64">
    <cfRule type="cellIs" rank="0" priority="235" equalAverage="0" operator="greaterThan" aboveAverage="0" dxfId="7" text="" percent="0" bottom="0">
      <formula>0</formula>
    </cfRule>
  </conditionalFormatting>
  <conditionalFormatting sqref="N64">
    <cfRule type="cellIs" rank="0" priority="236" equalAverage="0" operator="greaterThan" aboveAverage="0" dxfId="7" text="" percent="0" bottom="0">
      <formula>0</formula>
    </cfRule>
    <cfRule type="cellIs" rank="0" priority="237" equalAverage="0" operator="lessThan" aboveAverage="0" dxfId="8" text="" percent="0" bottom="0">
      <formula>0</formula>
    </cfRule>
  </conditionalFormatting>
  <conditionalFormatting sqref="I65">
    <cfRule type="cellIs" rank="0" priority="238" equalAverage="0" operator="greaterThan" aboveAverage="0" dxfId="7" text="" percent="0" bottom="0">
      <formula>0</formula>
    </cfRule>
  </conditionalFormatting>
  <conditionalFormatting sqref="K65">
    <cfRule type="cellIs" rank="0" priority="239" equalAverage="0" operator="greaterThan" aboveAverage="0" dxfId="7" text="" percent="0" bottom="0">
      <formula>0</formula>
    </cfRule>
  </conditionalFormatting>
  <conditionalFormatting sqref="N65">
    <cfRule type="cellIs" rank="0" priority="240" equalAverage="0" operator="greaterThan" aboveAverage="0" dxfId="7" text="" percent="0" bottom="0">
      <formula>0</formula>
    </cfRule>
    <cfRule type="cellIs" rank="0" priority="241" equalAverage="0" operator="lessThan" aboveAverage="0" dxfId="8" text="" percent="0" bottom="0">
      <formula>0</formula>
    </cfRule>
  </conditionalFormatting>
  <conditionalFormatting sqref="I66">
    <cfRule type="cellIs" rank="0" priority="242" equalAverage="0" operator="greaterThan" aboveAverage="0" dxfId="7" text="" percent="0" bottom="0">
      <formula>0</formula>
    </cfRule>
  </conditionalFormatting>
  <conditionalFormatting sqref="K66">
    <cfRule type="cellIs" rank="0" priority="243" equalAverage="0" operator="greaterThan" aboveAverage="0" dxfId="7" text="" percent="0" bottom="0">
      <formula>0</formula>
    </cfRule>
  </conditionalFormatting>
  <conditionalFormatting sqref="N66">
    <cfRule type="cellIs" rank="0" priority="244" equalAverage="0" operator="greaterThan" aboveAverage="0" dxfId="7" text="" percent="0" bottom="0">
      <formula>0</formula>
    </cfRule>
    <cfRule type="cellIs" rank="0" priority="245" equalAverage="0" operator="lessThan" aboveAverage="0" dxfId="8" text="" percent="0" bottom="0">
      <formula>0</formula>
    </cfRule>
  </conditionalFormatting>
  <conditionalFormatting sqref="I67">
    <cfRule type="cellIs" rank="0" priority="246" equalAverage="0" operator="greaterThan" aboveAverage="0" dxfId="7" text="" percent="0" bottom="0">
      <formula>0</formula>
    </cfRule>
  </conditionalFormatting>
  <conditionalFormatting sqref="K67">
    <cfRule type="cellIs" rank="0" priority="247" equalAverage="0" operator="greaterThan" aboveAverage="0" dxfId="7" text="" percent="0" bottom="0">
      <formula>0</formula>
    </cfRule>
  </conditionalFormatting>
  <conditionalFormatting sqref="N67">
    <cfRule type="cellIs" rank="0" priority="248" equalAverage="0" operator="greaterThan" aboveAverage="0" dxfId="7" text="" percent="0" bottom="0">
      <formula>0</formula>
    </cfRule>
    <cfRule type="cellIs" rank="0" priority="249" equalAverage="0" operator="lessThan" aboveAverage="0" dxfId="8" text="" percent="0" bottom="0">
      <formula>0</formula>
    </cfRule>
  </conditionalFormatting>
  <conditionalFormatting sqref="I68">
    <cfRule type="cellIs" rank="0" priority="250" equalAverage="0" operator="greaterThan" aboveAverage="0" dxfId="7" text="" percent="0" bottom="0">
      <formula>0</formula>
    </cfRule>
  </conditionalFormatting>
  <conditionalFormatting sqref="K68">
    <cfRule type="cellIs" rank="0" priority="251" equalAverage="0" operator="greaterThan" aboveAverage="0" dxfId="7" text="" percent="0" bottom="0">
      <formula>0</formula>
    </cfRule>
  </conditionalFormatting>
  <conditionalFormatting sqref="N68">
    <cfRule type="cellIs" rank="0" priority="252" equalAverage="0" operator="greaterThan" aboveAverage="0" dxfId="7" text="" percent="0" bottom="0">
      <formula>0</formula>
    </cfRule>
    <cfRule type="cellIs" rank="0" priority="253" equalAverage="0" operator="lessThan" aboveAverage="0" dxfId="8" text="" percent="0" bottom="0">
      <formula>0</formula>
    </cfRule>
  </conditionalFormatting>
  <conditionalFormatting sqref="I69">
    <cfRule type="cellIs" rank="0" priority="254" equalAverage="0" operator="greaterThan" aboveAverage="0" dxfId="7" text="" percent="0" bottom="0">
      <formula>0</formula>
    </cfRule>
  </conditionalFormatting>
  <conditionalFormatting sqref="K69">
    <cfRule type="cellIs" rank="0" priority="255" equalAverage="0" operator="greaterThan" aboveAverage="0" dxfId="7" text="" percent="0" bottom="0">
      <formula>0</formula>
    </cfRule>
  </conditionalFormatting>
  <conditionalFormatting sqref="N69">
    <cfRule type="cellIs" rank="0" priority="256" equalAverage="0" operator="greaterThan" aboveAverage="0" dxfId="7" text="" percent="0" bottom="0">
      <formula>0</formula>
    </cfRule>
    <cfRule type="cellIs" rank="0" priority="257" equalAverage="0" operator="lessThan" aboveAverage="0" dxfId="8" text="" percent="0" bottom="0">
      <formula>0</formula>
    </cfRule>
  </conditionalFormatting>
  <conditionalFormatting sqref="I70">
    <cfRule type="cellIs" rank="0" priority="258" equalAverage="0" operator="greaterThan" aboveAverage="0" dxfId="7" text="" percent="0" bottom="0">
      <formula>0</formula>
    </cfRule>
  </conditionalFormatting>
  <conditionalFormatting sqref="K70">
    <cfRule type="cellIs" rank="0" priority="259" equalAverage="0" operator="greaterThan" aboveAverage="0" dxfId="7" text="" percent="0" bottom="0">
      <formula>0</formula>
    </cfRule>
  </conditionalFormatting>
  <conditionalFormatting sqref="N70">
    <cfRule type="cellIs" rank="0" priority="260" equalAverage="0" operator="greaterThan" aboveAverage="0" dxfId="7" text="" percent="0" bottom="0">
      <formula>0</formula>
    </cfRule>
    <cfRule type="cellIs" rank="0" priority="261" equalAverage="0" operator="lessThan" aboveAverage="0" dxfId="8" text="" percent="0" bottom="0">
      <formula>0</formula>
    </cfRule>
  </conditionalFormatting>
  <conditionalFormatting sqref="I71">
    <cfRule type="cellIs" rank="0" priority="262" equalAverage="0" operator="greaterThan" aboveAverage="0" dxfId="7" text="" percent="0" bottom="0">
      <formula>0</formula>
    </cfRule>
  </conditionalFormatting>
  <conditionalFormatting sqref="K71">
    <cfRule type="cellIs" rank="0" priority="263" equalAverage="0" operator="greaterThan" aboveAverage="0" dxfId="7" text="" percent="0" bottom="0">
      <formula>0</formula>
    </cfRule>
  </conditionalFormatting>
  <conditionalFormatting sqref="N71">
    <cfRule type="cellIs" rank="0" priority="264" equalAverage="0" operator="greaterThan" aboveAverage="0" dxfId="7" text="" percent="0" bottom="0">
      <formula>0</formula>
    </cfRule>
    <cfRule type="cellIs" rank="0" priority="265" equalAverage="0" operator="lessThan" aboveAverage="0" dxfId="8" text="" percent="0" bottom="0">
      <formula>0</formula>
    </cfRule>
  </conditionalFormatting>
  <conditionalFormatting sqref="I72">
    <cfRule type="cellIs" rank="0" priority="266" equalAverage="0" operator="greaterThan" aboveAverage="0" dxfId="7" text="" percent="0" bottom="0">
      <formula>0</formula>
    </cfRule>
  </conditionalFormatting>
  <conditionalFormatting sqref="K72">
    <cfRule type="cellIs" rank="0" priority="267" equalAverage="0" operator="greaterThan" aboveAverage="0" dxfId="7" text="" percent="0" bottom="0">
      <formula>0</formula>
    </cfRule>
  </conditionalFormatting>
  <conditionalFormatting sqref="N72">
    <cfRule type="cellIs" rank="0" priority="268" equalAverage="0" operator="greaterThan" aboveAverage="0" dxfId="7" text="" percent="0" bottom="0">
      <formula>0</formula>
    </cfRule>
    <cfRule type="cellIs" rank="0" priority="269" equalAverage="0" operator="lessThan" aboveAverage="0" dxfId="8" text="" percent="0" bottom="0">
      <formula>0</formula>
    </cfRule>
  </conditionalFormatting>
  <conditionalFormatting sqref="I73">
    <cfRule type="cellIs" rank="0" priority="270" equalAverage="0" operator="greaterThan" aboveAverage="0" dxfId="7" text="" percent="0" bottom="0">
      <formula>0</formula>
    </cfRule>
  </conditionalFormatting>
  <conditionalFormatting sqref="K73">
    <cfRule type="cellIs" rank="0" priority="271" equalAverage="0" operator="greaterThan" aboveAverage="0" dxfId="7" text="" percent="0" bottom="0">
      <formula>0</formula>
    </cfRule>
  </conditionalFormatting>
  <conditionalFormatting sqref="N73">
    <cfRule type="cellIs" rank="0" priority="272" equalAverage="0" operator="greaterThan" aboveAverage="0" dxfId="7" text="" percent="0" bottom="0">
      <formula>0</formula>
    </cfRule>
    <cfRule type="cellIs" rank="0" priority="273" equalAverage="0" operator="lessThan" aboveAverage="0" dxfId="8" text="" percent="0" bottom="0">
      <formula>0</formula>
    </cfRule>
  </conditionalFormatting>
  <conditionalFormatting sqref="I74">
    <cfRule type="cellIs" rank="0" priority="274" equalAverage="0" operator="greaterThan" aboveAverage="0" dxfId="7" text="" percent="0" bottom="0">
      <formula>0</formula>
    </cfRule>
  </conditionalFormatting>
  <conditionalFormatting sqref="K74">
    <cfRule type="cellIs" rank="0" priority="275" equalAverage="0" operator="greaterThan" aboveAverage="0" dxfId="7" text="" percent="0" bottom="0">
      <formula>0</formula>
    </cfRule>
  </conditionalFormatting>
  <conditionalFormatting sqref="N74">
    <cfRule type="cellIs" rank="0" priority="276" equalAverage="0" operator="greaterThan" aboveAverage="0" dxfId="7" text="" percent="0" bottom="0">
      <formula>0</formula>
    </cfRule>
    <cfRule type="cellIs" rank="0" priority="277" equalAverage="0" operator="lessThan" aboveAverage="0" dxfId="8" text="" percent="0" bottom="0">
      <formula>0</formula>
    </cfRule>
  </conditionalFormatting>
  <conditionalFormatting sqref="I75">
    <cfRule type="cellIs" rank="0" priority="278" equalAverage="0" operator="greaterThan" aboveAverage="0" dxfId="7" text="" percent="0" bottom="0">
      <formula>0</formula>
    </cfRule>
  </conditionalFormatting>
  <conditionalFormatting sqref="K75">
    <cfRule type="cellIs" rank="0" priority="279" equalAverage="0" operator="greaterThan" aboveAverage="0" dxfId="7" text="" percent="0" bottom="0">
      <formula>0</formula>
    </cfRule>
  </conditionalFormatting>
  <conditionalFormatting sqref="N75">
    <cfRule type="cellIs" rank="0" priority="280" equalAverage="0" operator="greaterThan" aboveAverage="0" dxfId="7" text="" percent="0" bottom="0">
      <formula>0</formula>
    </cfRule>
    <cfRule type="cellIs" rank="0" priority="281" equalAverage="0" operator="lessThan" aboveAverage="0" dxfId="8" text="" percent="0" bottom="0">
      <formula>0</formula>
    </cfRule>
  </conditionalFormatting>
  <conditionalFormatting sqref="I76">
    <cfRule type="cellIs" rank="0" priority="282" equalAverage="0" operator="greaterThan" aboveAverage="0" dxfId="7" text="" percent="0" bottom="0">
      <formula>0</formula>
    </cfRule>
  </conditionalFormatting>
  <conditionalFormatting sqref="K76">
    <cfRule type="cellIs" rank="0" priority="283" equalAverage="0" operator="greaterThan" aboveAverage="0" dxfId="7" text="" percent="0" bottom="0">
      <formula>0</formula>
    </cfRule>
  </conditionalFormatting>
  <conditionalFormatting sqref="N76">
    <cfRule type="cellIs" rank="0" priority="284" equalAverage="0" operator="greaterThan" aboveAverage="0" dxfId="7" text="" percent="0" bottom="0">
      <formula>0</formula>
    </cfRule>
    <cfRule type="cellIs" rank="0" priority="285" equalAverage="0" operator="lessThan" aboveAverage="0" dxfId="8" text="" percent="0" bottom="0">
      <formula>0</formula>
    </cfRule>
  </conditionalFormatting>
  <conditionalFormatting sqref="I77">
    <cfRule type="cellIs" rank="0" priority="286" equalAverage="0" operator="greaterThan" aboveAverage="0" dxfId="7" text="" percent="0" bottom="0">
      <formula>0</formula>
    </cfRule>
  </conditionalFormatting>
  <conditionalFormatting sqref="K77">
    <cfRule type="cellIs" rank="0" priority="287" equalAverage="0" operator="greaterThan" aboveAverage="0" dxfId="7" text="" percent="0" bottom="0">
      <formula>0</formula>
    </cfRule>
  </conditionalFormatting>
  <conditionalFormatting sqref="N77">
    <cfRule type="cellIs" rank="0" priority="288" equalAverage="0" operator="greaterThan" aboveAverage="0" dxfId="7" text="" percent="0" bottom="0">
      <formula>0</formula>
    </cfRule>
    <cfRule type="cellIs" rank="0" priority="289" equalAverage="0" operator="lessThan" aboveAverage="0" dxfId="8" text="" percent="0" bottom="0">
      <formula>0</formula>
    </cfRule>
  </conditionalFormatting>
  <conditionalFormatting sqref="I78">
    <cfRule type="cellIs" rank="0" priority="290" equalAverage="0" operator="greaterThan" aboveAverage="0" dxfId="7" text="" percent="0" bottom="0">
      <formula>0</formula>
    </cfRule>
  </conditionalFormatting>
  <conditionalFormatting sqref="K78">
    <cfRule type="cellIs" rank="0" priority="291" equalAverage="0" operator="greaterThan" aboveAverage="0" dxfId="7" text="" percent="0" bottom="0">
      <formula>0</formula>
    </cfRule>
  </conditionalFormatting>
  <conditionalFormatting sqref="N78">
    <cfRule type="cellIs" rank="0" priority="292" equalAverage="0" operator="greaterThan" aboveAverage="0" dxfId="7" text="" percent="0" bottom="0">
      <formula>0</formula>
    </cfRule>
    <cfRule type="cellIs" rank="0" priority="293" equalAverage="0" operator="lessThan" aboveAverage="0" dxfId="8" text="" percent="0" bottom="0">
      <formula>0</formula>
    </cfRule>
  </conditionalFormatting>
  <conditionalFormatting sqref="I79">
    <cfRule type="cellIs" rank="0" priority="294" equalAverage="0" operator="greaterThan" aboveAverage="0" dxfId="7" text="" percent="0" bottom="0">
      <formula>0</formula>
    </cfRule>
  </conditionalFormatting>
  <conditionalFormatting sqref="K79">
    <cfRule type="cellIs" rank="0" priority="295" equalAverage="0" operator="greaterThan" aboveAverage="0" dxfId="7" text="" percent="0" bottom="0">
      <formula>0</formula>
    </cfRule>
  </conditionalFormatting>
  <conditionalFormatting sqref="N79">
    <cfRule type="cellIs" rank="0" priority="296" equalAverage="0" operator="greaterThan" aboveAverage="0" dxfId="7" text="" percent="0" bottom="0">
      <formula>0</formula>
    </cfRule>
    <cfRule type="cellIs" rank="0" priority="297" equalAverage="0" operator="lessThan" aboveAverage="0" dxfId="8" text="" percent="0" bottom="0">
      <formula>0</formula>
    </cfRule>
  </conditionalFormatting>
  <conditionalFormatting sqref="I80">
    <cfRule type="cellIs" rank="0" priority="298" equalAverage="0" operator="greaterThan" aboveAverage="0" dxfId="7" text="" percent="0" bottom="0">
      <formula>0</formula>
    </cfRule>
  </conditionalFormatting>
  <conditionalFormatting sqref="K80">
    <cfRule type="cellIs" rank="0" priority="299" equalAverage="0" operator="greaterThan" aboveAverage="0" dxfId="7" text="" percent="0" bottom="0">
      <formula>0</formula>
    </cfRule>
  </conditionalFormatting>
  <conditionalFormatting sqref="N80">
    <cfRule type="cellIs" rank="0" priority="300" equalAverage="0" operator="greaterThan" aboveAverage="0" dxfId="7" text="" percent="0" bottom="0">
      <formula>0</formula>
    </cfRule>
    <cfRule type="cellIs" rank="0" priority="301" equalAverage="0" operator="lessThan" aboveAverage="0" dxfId="8" text="" percent="0" bottom="0">
      <formula>0</formula>
    </cfRule>
  </conditionalFormatting>
  <conditionalFormatting sqref="I81">
    <cfRule type="cellIs" rank="0" priority="302" equalAverage="0" operator="greaterThan" aboveAverage="0" dxfId="7" text="" percent="0" bottom="0">
      <formula>0</formula>
    </cfRule>
  </conditionalFormatting>
  <conditionalFormatting sqref="K81">
    <cfRule type="cellIs" rank="0" priority="303" equalAverage="0" operator="greaterThan" aboveAverage="0" dxfId="7" text="" percent="0" bottom="0">
      <formula>0</formula>
    </cfRule>
  </conditionalFormatting>
  <conditionalFormatting sqref="N81">
    <cfRule type="cellIs" rank="0" priority="304" equalAverage="0" operator="greaterThan" aboveAverage="0" dxfId="7" text="" percent="0" bottom="0">
      <formula>0</formula>
    </cfRule>
    <cfRule type="cellIs" rank="0" priority="305" equalAverage="0" operator="lessThan" aboveAverage="0" dxfId="8" text="" percent="0" bottom="0">
      <formula>0</formula>
    </cfRule>
  </conditionalFormatting>
  <conditionalFormatting sqref="I82">
    <cfRule type="cellIs" rank="0" priority="306" equalAverage="0" operator="greaterThan" aboveAverage="0" dxfId="7" text="" percent="0" bottom="0">
      <formula>0</formula>
    </cfRule>
  </conditionalFormatting>
  <conditionalFormatting sqref="K82">
    <cfRule type="cellIs" rank="0" priority="307" equalAverage="0" operator="greaterThan" aboveAverage="0" dxfId="7" text="" percent="0" bottom="0">
      <formula>0</formula>
    </cfRule>
  </conditionalFormatting>
  <conditionalFormatting sqref="N82">
    <cfRule type="cellIs" rank="0" priority="308" equalAverage="0" operator="greaterThan" aboveAverage="0" dxfId="7" text="" percent="0" bottom="0">
      <formula>0</formula>
    </cfRule>
    <cfRule type="cellIs" rank="0" priority="309" equalAverage="0" operator="lessThan" aboveAverage="0" dxfId="8" text="" percent="0" bottom="0">
      <formula>0</formula>
    </cfRule>
  </conditionalFormatting>
  <conditionalFormatting sqref="I83">
    <cfRule type="cellIs" rank="0" priority="310" equalAverage="0" operator="greaterThan" aboveAverage="0" dxfId="7" text="" percent="0" bottom="0">
      <formula>0</formula>
    </cfRule>
  </conditionalFormatting>
  <conditionalFormatting sqref="K83">
    <cfRule type="cellIs" rank="0" priority="311" equalAverage="0" operator="greaterThan" aboveAverage="0" dxfId="7" text="" percent="0" bottom="0">
      <formula>0</formula>
    </cfRule>
  </conditionalFormatting>
  <conditionalFormatting sqref="N83">
    <cfRule type="cellIs" rank="0" priority="312" equalAverage="0" operator="greaterThan" aboveAverage="0" dxfId="7" text="" percent="0" bottom="0">
      <formula>0</formula>
    </cfRule>
    <cfRule type="cellIs" rank="0" priority="313" equalAverage="0" operator="lessThan" aboveAverage="0" dxfId="8" text="" percent="0" bottom="0">
      <formula>0</formula>
    </cfRule>
  </conditionalFormatting>
  <conditionalFormatting sqref="I84">
    <cfRule type="cellIs" rank="0" priority="314" equalAverage="0" operator="greaterThan" aboveAverage="0" dxfId="7" text="" percent="0" bottom="0">
      <formula>0</formula>
    </cfRule>
  </conditionalFormatting>
  <conditionalFormatting sqref="K84">
    <cfRule type="cellIs" rank="0" priority="315" equalAverage="0" operator="greaterThan" aboveAverage="0" dxfId="7" text="" percent="0" bottom="0">
      <formula>0</formula>
    </cfRule>
  </conditionalFormatting>
  <conditionalFormatting sqref="N84">
    <cfRule type="cellIs" rank="0" priority="316" equalAverage="0" operator="greaterThan" aboveAverage="0" dxfId="7" text="" percent="0" bottom="0">
      <formula>0</formula>
    </cfRule>
    <cfRule type="cellIs" rank="0" priority="317" equalAverage="0" operator="lessThan" aboveAverage="0" dxfId="8" text="" percent="0" bottom="0">
      <formula>0</formula>
    </cfRule>
  </conditionalFormatting>
  <conditionalFormatting sqref="I85">
    <cfRule type="cellIs" rank="0" priority="318" equalAverage="0" operator="greaterThan" aboveAverage="0" dxfId="7" text="" percent="0" bottom="0">
      <formula>0</formula>
    </cfRule>
  </conditionalFormatting>
  <conditionalFormatting sqref="K85">
    <cfRule type="cellIs" rank="0" priority="319" equalAverage="0" operator="greaterThan" aboveAverage="0" dxfId="7" text="" percent="0" bottom="0">
      <formula>0</formula>
    </cfRule>
  </conditionalFormatting>
  <conditionalFormatting sqref="N85">
    <cfRule type="cellIs" rank="0" priority="320" equalAverage="0" operator="greaterThan" aboveAverage="0" dxfId="7" text="" percent="0" bottom="0">
      <formula>0</formula>
    </cfRule>
    <cfRule type="cellIs" rank="0" priority="321" equalAverage="0" operator="lessThan" aboveAverage="0" dxfId="8" text="" percent="0" bottom="0">
      <formula>0</formula>
    </cfRule>
  </conditionalFormatting>
  <conditionalFormatting sqref="I86">
    <cfRule type="cellIs" rank="0" priority="322" equalAverage="0" operator="greaterThan" aboveAverage="0" dxfId="7" text="" percent="0" bottom="0">
      <formula>0</formula>
    </cfRule>
  </conditionalFormatting>
  <conditionalFormatting sqref="K86">
    <cfRule type="cellIs" rank="0" priority="323" equalAverage="0" operator="greaterThan" aboveAverage="0" dxfId="7" text="" percent="0" bottom="0">
      <formula>0</formula>
    </cfRule>
  </conditionalFormatting>
  <conditionalFormatting sqref="N86">
    <cfRule type="cellIs" rank="0" priority="324" equalAverage="0" operator="greaterThan" aboveAverage="0" dxfId="7" text="" percent="0" bottom="0">
      <formula>0</formula>
    </cfRule>
    <cfRule type="cellIs" rank="0" priority="325" equalAverage="0" operator="lessThan" aboveAverage="0" dxfId="8" text="" percent="0" bottom="0">
      <formula>0</formula>
    </cfRule>
  </conditionalFormatting>
  <conditionalFormatting sqref="I87">
    <cfRule type="cellIs" rank="0" priority="326" equalAverage="0" operator="greaterThan" aboveAverage="0" dxfId="7" text="" percent="0" bottom="0">
      <formula>0</formula>
    </cfRule>
  </conditionalFormatting>
  <conditionalFormatting sqref="K87">
    <cfRule type="cellIs" rank="0" priority="327" equalAverage="0" operator="greaterThan" aboveAverage="0" dxfId="7" text="" percent="0" bottom="0">
      <formula>0</formula>
    </cfRule>
  </conditionalFormatting>
  <conditionalFormatting sqref="N87">
    <cfRule type="cellIs" rank="0" priority="328" equalAverage="0" operator="greaterThan" aboveAverage="0" dxfId="7" text="" percent="0" bottom="0">
      <formula>0</formula>
    </cfRule>
    <cfRule type="cellIs" rank="0" priority="329" equalAverage="0" operator="lessThan" aboveAverage="0" dxfId="8" text="" percent="0" bottom="0">
      <formula>0</formula>
    </cfRule>
  </conditionalFormatting>
  <conditionalFormatting sqref="I88">
    <cfRule type="cellIs" rank="0" priority="330" equalAverage="0" operator="greaterThan" aboveAverage="0" dxfId="7" text="" percent="0" bottom="0">
      <formula>0</formula>
    </cfRule>
  </conditionalFormatting>
  <conditionalFormatting sqref="K88">
    <cfRule type="cellIs" rank="0" priority="331" equalAverage="0" operator="greaterThan" aboveAverage="0" dxfId="7" text="" percent="0" bottom="0">
      <formula>0</formula>
    </cfRule>
  </conditionalFormatting>
  <conditionalFormatting sqref="N88">
    <cfRule type="cellIs" rank="0" priority="332" equalAverage="0" operator="greaterThan" aboveAverage="0" dxfId="7" text="" percent="0" bottom="0">
      <formula>0</formula>
    </cfRule>
    <cfRule type="cellIs" rank="0" priority="333" equalAverage="0" operator="lessThan" aboveAverage="0" dxfId="8" text="" percent="0" bottom="0">
      <formula>0</formula>
    </cfRule>
  </conditionalFormatting>
  <conditionalFormatting sqref="I89">
    <cfRule type="cellIs" rank="0" priority="334" equalAverage="0" operator="greaterThan" aboveAverage="0" dxfId="7" text="" percent="0" bottom="0">
      <formula>0</formula>
    </cfRule>
  </conditionalFormatting>
  <conditionalFormatting sqref="K89">
    <cfRule type="cellIs" rank="0" priority="335" equalAverage="0" operator="greaterThan" aboveAverage="0" dxfId="7" text="" percent="0" bottom="0">
      <formula>0</formula>
    </cfRule>
  </conditionalFormatting>
  <conditionalFormatting sqref="N89">
    <cfRule type="cellIs" rank="0" priority="336" equalAverage="0" operator="greaterThan" aboveAverage="0" dxfId="7" text="" percent="0" bottom="0">
      <formula>0</formula>
    </cfRule>
    <cfRule type="cellIs" rank="0" priority="337" equalAverage="0" operator="lessThan" aboveAverage="0" dxfId="8" text="" percent="0" bottom="0">
      <formula>0</formula>
    </cfRule>
  </conditionalFormatting>
  <conditionalFormatting sqref="I90">
    <cfRule type="cellIs" rank="0" priority="338" equalAverage="0" operator="greaterThan" aboveAverage="0" dxfId="7" text="" percent="0" bottom="0">
      <formula>0</formula>
    </cfRule>
  </conditionalFormatting>
  <conditionalFormatting sqref="K90">
    <cfRule type="cellIs" rank="0" priority="339" equalAverage="0" operator="greaterThan" aboveAverage="0" dxfId="7" text="" percent="0" bottom="0">
      <formula>0</formula>
    </cfRule>
  </conditionalFormatting>
  <conditionalFormatting sqref="N90">
    <cfRule type="cellIs" rank="0" priority="340" equalAverage="0" operator="greaterThan" aboveAverage="0" dxfId="7" text="" percent="0" bottom="0">
      <formula>0</formula>
    </cfRule>
    <cfRule type="cellIs" rank="0" priority="341" equalAverage="0" operator="lessThan" aboveAverage="0" dxfId="8" text="" percent="0" bottom="0">
      <formula>0</formula>
    </cfRule>
  </conditionalFormatting>
  <conditionalFormatting sqref="I91">
    <cfRule type="cellIs" rank="0" priority="342" equalAverage="0" operator="greaterThan" aboveAverage="0" dxfId="7" text="" percent="0" bottom="0">
      <formula>0</formula>
    </cfRule>
  </conditionalFormatting>
  <conditionalFormatting sqref="K91">
    <cfRule type="cellIs" rank="0" priority="343" equalAverage="0" operator="greaterThan" aboveAverage="0" dxfId="7" text="" percent="0" bottom="0">
      <formula>0</formula>
    </cfRule>
  </conditionalFormatting>
  <conditionalFormatting sqref="N91">
    <cfRule type="cellIs" rank="0" priority="344" equalAverage="0" operator="greaterThan" aboveAverage="0" dxfId="7" text="" percent="0" bottom="0">
      <formula>0</formula>
    </cfRule>
    <cfRule type="cellIs" rank="0" priority="345" equalAverage="0" operator="lessThan" aboveAverage="0" dxfId="8" text="" percent="0" bottom="0">
      <formula>0</formula>
    </cfRule>
  </conditionalFormatting>
  <conditionalFormatting sqref="I92">
    <cfRule type="cellIs" rank="0" priority="346" equalAverage="0" operator="greaterThan" aboveAverage="0" dxfId="7" text="" percent="0" bottom="0">
      <formula>0</formula>
    </cfRule>
  </conditionalFormatting>
  <conditionalFormatting sqref="K92">
    <cfRule type="cellIs" rank="0" priority="347" equalAverage="0" operator="greaterThan" aboveAverage="0" dxfId="7" text="" percent="0" bottom="0">
      <formula>0</formula>
    </cfRule>
  </conditionalFormatting>
  <conditionalFormatting sqref="N92">
    <cfRule type="cellIs" rank="0" priority="348" equalAverage="0" operator="greaterThan" aboveAverage="0" dxfId="7" text="" percent="0" bottom="0">
      <formula>0</formula>
    </cfRule>
    <cfRule type="cellIs" rank="0" priority="349" equalAverage="0" operator="lessThan" aboveAverage="0" dxfId="8" text="" percent="0" bottom="0">
      <formula>0</formula>
    </cfRule>
  </conditionalFormatting>
  <conditionalFormatting sqref="I93">
    <cfRule type="cellIs" rank="0" priority="350" equalAverage="0" operator="greaterThan" aboveAverage="0" dxfId="7" text="" percent="0" bottom="0">
      <formula>0</formula>
    </cfRule>
  </conditionalFormatting>
  <conditionalFormatting sqref="K93">
    <cfRule type="cellIs" rank="0" priority="351" equalAverage="0" operator="greaterThan" aboveAverage="0" dxfId="7" text="" percent="0" bottom="0">
      <formula>0</formula>
    </cfRule>
  </conditionalFormatting>
  <conditionalFormatting sqref="N93">
    <cfRule type="cellIs" rank="0" priority="352" equalAverage="0" operator="greaterThan" aboveAverage="0" dxfId="7" text="" percent="0" bottom="0">
      <formula>0</formula>
    </cfRule>
    <cfRule type="cellIs" rank="0" priority="353" equalAverage="0" operator="lessThan" aboveAverage="0" dxfId="8" text="" percent="0" bottom="0">
      <formula>0</formula>
    </cfRule>
  </conditionalFormatting>
  <conditionalFormatting sqref="I94">
    <cfRule type="cellIs" rank="0" priority="354" equalAverage="0" operator="greaterThan" aboveAverage="0" dxfId="7" text="" percent="0" bottom="0">
      <formula>0</formula>
    </cfRule>
  </conditionalFormatting>
  <conditionalFormatting sqref="K94">
    <cfRule type="cellIs" rank="0" priority="355" equalAverage="0" operator="greaterThan" aboveAverage="0" dxfId="7" text="" percent="0" bottom="0">
      <formula>0</formula>
    </cfRule>
  </conditionalFormatting>
  <conditionalFormatting sqref="N94">
    <cfRule type="cellIs" rank="0" priority="356" equalAverage="0" operator="greaterThan" aboveAverage="0" dxfId="7" text="" percent="0" bottom="0">
      <formula>0</formula>
    </cfRule>
    <cfRule type="cellIs" rank="0" priority="357" equalAverage="0" operator="lessThan" aboveAverage="0" dxfId="8" text="" percent="0" bottom="0">
      <formula>0</formula>
    </cfRule>
  </conditionalFormatting>
  <conditionalFormatting sqref="I95">
    <cfRule type="cellIs" rank="0" priority="358" equalAverage="0" operator="greaterThan" aboveAverage="0" dxfId="7" text="" percent="0" bottom="0">
      <formula>0</formula>
    </cfRule>
  </conditionalFormatting>
  <conditionalFormatting sqref="K95">
    <cfRule type="cellIs" rank="0" priority="359" equalAverage="0" operator="greaterThan" aboveAverage="0" dxfId="7" text="" percent="0" bottom="0">
      <formula>0</formula>
    </cfRule>
  </conditionalFormatting>
  <conditionalFormatting sqref="N95">
    <cfRule type="cellIs" rank="0" priority="360" equalAverage="0" operator="greaterThan" aboveAverage="0" dxfId="7" text="" percent="0" bottom="0">
      <formula>0</formula>
    </cfRule>
    <cfRule type="cellIs" rank="0" priority="361" equalAverage="0" operator="lessThan" aboveAverage="0" dxfId="8" text="" percent="0" bottom="0">
      <formula>0</formula>
    </cfRule>
  </conditionalFormatting>
  <conditionalFormatting sqref="I96">
    <cfRule type="cellIs" rank="0" priority="362" equalAverage="0" operator="greaterThan" aboveAverage="0" dxfId="7" text="" percent="0" bottom="0">
      <formula>0</formula>
    </cfRule>
  </conditionalFormatting>
  <conditionalFormatting sqref="K96">
    <cfRule type="cellIs" rank="0" priority="363" equalAverage="0" operator="greaterThan" aboveAverage="0" dxfId="7" text="" percent="0" bottom="0">
      <formula>0</formula>
    </cfRule>
  </conditionalFormatting>
  <conditionalFormatting sqref="N96">
    <cfRule type="cellIs" rank="0" priority="364" equalAverage="0" operator="greaterThan" aboveAverage="0" dxfId="7" text="" percent="0" bottom="0">
      <formula>0</formula>
    </cfRule>
    <cfRule type="cellIs" rank="0" priority="365" equalAverage="0" operator="lessThan" aboveAverage="0" dxfId="8" text="" percent="0" bottom="0">
      <formula>0</formula>
    </cfRule>
  </conditionalFormatting>
  <conditionalFormatting sqref="I97">
    <cfRule type="cellIs" rank="0" priority="366" equalAverage="0" operator="greaterThan" aboveAverage="0" dxfId="7" text="" percent="0" bottom="0">
      <formula>0</formula>
    </cfRule>
  </conditionalFormatting>
  <conditionalFormatting sqref="K97">
    <cfRule type="cellIs" rank="0" priority="367" equalAverage="0" operator="greaterThan" aboveAverage="0" dxfId="7" text="" percent="0" bottom="0">
      <formula>0</formula>
    </cfRule>
  </conditionalFormatting>
  <conditionalFormatting sqref="N97">
    <cfRule type="cellIs" rank="0" priority="368" equalAverage="0" operator="greaterThan" aboveAverage="0" dxfId="7" text="" percent="0" bottom="0">
      <formula>0</formula>
    </cfRule>
    <cfRule type="cellIs" rank="0" priority="369" equalAverage="0" operator="lessThan" aboveAverage="0" dxfId="8" text="" percent="0" bottom="0">
      <formula>0</formula>
    </cfRule>
  </conditionalFormatting>
  <conditionalFormatting sqref="I98">
    <cfRule type="cellIs" rank="0" priority="370" equalAverage="0" operator="greaterThan" aboveAverage="0" dxfId="7" text="" percent="0" bottom="0">
      <formula>0</formula>
    </cfRule>
  </conditionalFormatting>
  <conditionalFormatting sqref="K98">
    <cfRule type="cellIs" rank="0" priority="371" equalAverage="0" operator="greaterThan" aboveAverage="0" dxfId="7" text="" percent="0" bottom="0">
      <formula>0</formula>
    </cfRule>
  </conditionalFormatting>
  <conditionalFormatting sqref="N98">
    <cfRule type="cellIs" rank="0" priority="372" equalAverage="0" operator="greaterThan" aboveAverage="0" dxfId="7" text="" percent="0" bottom="0">
      <formula>0</formula>
    </cfRule>
    <cfRule type="cellIs" rank="0" priority="373" equalAverage="0" operator="lessThan" aboveAverage="0" dxfId="8" text="" percent="0" bottom="0">
      <formula>0</formula>
    </cfRule>
  </conditionalFormatting>
  <conditionalFormatting sqref="I99">
    <cfRule type="cellIs" rank="0" priority="374" equalAverage="0" operator="greaterThan" aboveAverage="0" dxfId="7" text="" percent="0" bottom="0">
      <formula>0</formula>
    </cfRule>
  </conditionalFormatting>
  <conditionalFormatting sqref="K99">
    <cfRule type="cellIs" rank="0" priority="375" equalAverage="0" operator="greaterThan" aboveAverage="0" dxfId="7" text="" percent="0" bottom="0">
      <formula>0</formula>
    </cfRule>
  </conditionalFormatting>
  <conditionalFormatting sqref="N99">
    <cfRule type="cellIs" rank="0" priority="376" equalAverage="0" operator="greaterThan" aboveAverage="0" dxfId="7" text="" percent="0" bottom="0">
      <formula>0</formula>
    </cfRule>
    <cfRule type="cellIs" rank="0" priority="377" equalAverage="0" operator="lessThan" aboveAverage="0" dxfId="8" text="" percent="0" bottom="0">
      <formula>0</formula>
    </cfRule>
  </conditionalFormatting>
  <conditionalFormatting sqref="I100">
    <cfRule type="cellIs" rank="0" priority="378" equalAverage="0" operator="greaterThan" aboveAverage="0" dxfId="7" text="" percent="0" bottom="0">
      <formula>0</formula>
    </cfRule>
  </conditionalFormatting>
  <conditionalFormatting sqref="K100">
    <cfRule type="cellIs" rank="0" priority="379" equalAverage="0" operator="greaterThan" aboveAverage="0" dxfId="7" text="" percent="0" bottom="0">
      <formula>0</formula>
    </cfRule>
  </conditionalFormatting>
  <conditionalFormatting sqref="N100">
    <cfRule type="cellIs" rank="0" priority="380" equalAverage="0" operator="greaterThan" aboveAverage="0" dxfId="7" text="" percent="0" bottom="0">
      <formula>0</formula>
    </cfRule>
    <cfRule type="cellIs" rank="0" priority="381" equalAverage="0" operator="lessThan" aboveAverage="0" dxfId="8" text="" percent="0" bottom="0">
      <formula>0</formula>
    </cfRule>
  </conditionalFormatting>
  <conditionalFormatting sqref="I101">
    <cfRule type="cellIs" rank="0" priority="382" equalAverage="0" operator="greaterThan" aboveAverage="0" dxfId="7" text="" percent="0" bottom="0">
      <formula>0</formula>
    </cfRule>
  </conditionalFormatting>
  <conditionalFormatting sqref="K101">
    <cfRule type="cellIs" rank="0" priority="383" equalAverage="0" operator="greaterThan" aboveAverage="0" dxfId="7" text="" percent="0" bottom="0">
      <formula>0</formula>
    </cfRule>
  </conditionalFormatting>
  <conditionalFormatting sqref="N101">
    <cfRule type="cellIs" rank="0" priority="384" equalAverage="0" operator="greaterThan" aboveAverage="0" dxfId="7" text="" percent="0" bottom="0">
      <formula>0</formula>
    </cfRule>
    <cfRule type="cellIs" rank="0" priority="385" equalAverage="0" operator="lessThan" aboveAverage="0" dxfId="8" text="" percent="0" bottom="0">
      <formula>0</formula>
    </cfRule>
  </conditionalFormatting>
  <conditionalFormatting sqref="I102">
    <cfRule type="cellIs" rank="0" priority="386" equalAverage="0" operator="greaterThan" aboveAverage="0" dxfId="7" text="" percent="0" bottom="0">
      <formula>0</formula>
    </cfRule>
  </conditionalFormatting>
  <conditionalFormatting sqref="K102">
    <cfRule type="cellIs" rank="0" priority="387" equalAverage="0" operator="greaterThan" aboveAverage="0" dxfId="7" text="" percent="0" bottom="0">
      <formula>0</formula>
    </cfRule>
  </conditionalFormatting>
  <conditionalFormatting sqref="N102">
    <cfRule type="cellIs" rank="0" priority="388" equalAverage="0" operator="greaterThan" aboveAverage="0" dxfId="7" text="" percent="0" bottom="0">
      <formula>0</formula>
    </cfRule>
    <cfRule type="cellIs" rank="0" priority="389" equalAverage="0" operator="lessThan" aboveAverage="0" dxfId="8" text="" percent="0" bottom="0">
      <formula>0</formula>
    </cfRule>
  </conditionalFormatting>
  <conditionalFormatting sqref="I103">
    <cfRule type="cellIs" rank="0" priority="390" equalAverage="0" operator="greaterThan" aboveAverage="0" dxfId="7" text="" percent="0" bottom="0">
      <formula>0</formula>
    </cfRule>
  </conditionalFormatting>
  <conditionalFormatting sqref="K103">
    <cfRule type="cellIs" rank="0" priority="391" equalAverage="0" operator="greaterThan" aboveAverage="0" dxfId="7" text="" percent="0" bottom="0">
      <formula>0</formula>
    </cfRule>
  </conditionalFormatting>
  <conditionalFormatting sqref="N103">
    <cfRule type="cellIs" rank="0" priority="392" equalAverage="0" operator="greaterThan" aboveAverage="0" dxfId="7" text="" percent="0" bottom="0">
      <formula>0</formula>
    </cfRule>
    <cfRule type="cellIs" rank="0" priority="393" equalAverage="0" operator="lessThan" aboveAverage="0" dxfId="8" text="" percent="0" bottom="0">
      <formula>0</formula>
    </cfRule>
  </conditionalFormatting>
  <conditionalFormatting sqref="I104">
    <cfRule type="cellIs" rank="0" priority="394" equalAverage="0" operator="greaterThan" aboveAverage="0" dxfId="7" text="" percent="0" bottom="0">
      <formula>0</formula>
    </cfRule>
  </conditionalFormatting>
  <conditionalFormatting sqref="K104">
    <cfRule type="cellIs" rank="0" priority="395" equalAverage="0" operator="greaterThan" aboveAverage="0" dxfId="7" text="" percent="0" bottom="0">
      <formula>0</formula>
    </cfRule>
  </conditionalFormatting>
  <conditionalFormatting sqref="N104">
    <cfRule type="cellIs" rank="0" priority="396" equalAverage="0" operator="greaterThan" aboveAverage="0" dxfId="7" text="" percent="0" bottom="0">
      <formula>0</formula>
    </cfRule>
    <cfRule type="cellIs" rank="0" priority="397" equalAverage="0" operator="lessThan" aboveAverage="0" dxfId="8" text="" percent="0" bottom="0">
      <formula>0</formula>
    </cfRule>
  </conditionalFormatting>
  <conditionalFormatting sqref="I105">
    <cfRule type="cellIs" rank="0" priority="398" equalAverage="0" operator="greaterThan" aboveAverage="0" dxfId="7" text="" percent="0" bottom="0">
      <formula>0</formula>
    </cfRule>
  </conditionalFormatting>
  <conditionalFormatting sqref="K105">
    <cfRule type="cellIs" rank="0" priority="399" equalAverage="0" operator="greaterThan" aboveAverage="0" dxfId="7" text="" percent="0" bottom="0">
      <formula>0</formula>
    </cfRule>
  </conditionalFormatting>
  <conditionalFormatting sqref="N105">
    <cfRule type="cellIs" rank="0" priority="400" equalAverage="0" operator="greaterThan" aboveAverage="0" dxfId="7" text="" percent="0" bottom="0">
      <formula>0</formula>
    </cfRule>
    <cfRule type="cellIs" rank="0" priority="401" equalAverage="0" operator="lessThan" aboveAverage="0" dxfId="8" text="" percent="0" bottom="0">
      <formula>0</formula>
    </cfRule>
  </conditionalFormatting>
  <conditionalFormatting sqref="I106">
    <cfRule type="cellIs" rank="0" priority="402" equalAverage="0" operator="greaterThan" aboveAverage="0" dxfId="7" text="" percent="0" bottom="0">
      <formula>0</formula>
    </cfRule>
  </conditionalFormatting>
  <conditionalFormatting sqref="K106">
    <cfRule type="cellIs" rank="0" priority="403" equalAverage="0" operator="greaterThan" aboveAverage="0" dxfId="7" text="" percent="0" bottom="0">
      <formula>0</formula>
    </cfRule>
  </conditionalFormatting>
  <conditionalFormatting sqref="N106">
    <cfRule type="cellIs" rank="0" priority="404" equalAverage="0" operator="greaterThan" aboveAverage="0" dxfId="7" text="" percent="0" bottom="0">
      <formula>0</formula>
    </cfRule>
    <cfRule type="cellIs" rank="0" priority="405" equalAverage="0" operator="lessThan" aboveAverage="0" dxfId="8" text="" percent="0" bottom="0">
      <formula>0</formula>
    </cfRule>
  </conditionalFormatting>
  <conditionalFormatting sqref="I107">
    <cfRule type="cellIs" rank="0" priority="406" equalAverage="0" operator="greaterThan" aboveAverage="0" dxfId="7" text="" percent="0" bottom="0">
      <formula>0</formula>
    </cfRule>
  </conditionalFormatting>
  <conditionalFormatting sqref="K107">
    <cfRule type="cellIs" rank="0" priority="407" equalAverage="0" operator="greaterThan" aboveAverage="0" dxfId="7" text="" percent="0" bottom="0">
      <formula>0</formula>
    </cfRule>
  </conditionalFormatting>
  <conditionalFormatting sqref="N107">
    <cfRule type="cellIs" rank="0" priority="408" equalAverage="0" operator="greaterThan" aboveAverage="0" dxfId="7" text="" percent="0" bottom="0">
      <formula>0</formula>
    </cfRule>
    <cfRule type="cellIs" rank="0" priority="409" equalAverage="0" operator="lessThan" aboveAverage="0" dxfId="8" text="" percent="0" bottom="0">
      <formula>0</formula>
    </cfRule>
  </conditionalFormatting>
  <conditionalFormatting sqref="I108">
    <cfRule type="cellIs" rank="0" priority="410" equalAverage="0" operator="greaterThan" aboveAverage="0" dxfId="7" text="" percent="0" bottom="0">
      <formula>0</formula>
    </cfRule>
  </conditionalFormatting>
  <conditionalFormatting sqref="K108">
    <cfRule type="cellIs" rank="0" priority="411" equalAverage="0" operator="greaterThan" aboveAverage="0" dxfId="7" text="" percent="0" bottom="0">
      <formula>0</formula>
    </cfRule>
  </conditionalFormatting>
  <conditionalFormatting sqref="N108">
    <cfRule type="cellIs" rank="0" priority="412" equalAverage="0" operator="greaterThan" aboveAverage="0" dxfId="7" text="" percent="0" bottom="0">
      <formula>0</formula>
    </cfRule>
    <cfRule type="cellIs" rank="0" priority="413" equalAverage="0" operator="lessThan" aboveAverage="0" dxfId="8" text="" percent="0" bottom="0">
      <formula>0</formula>
    </cfRule>
  </conditionalFormatting>
  <conditionalFormatting sqref="I109">
    <cfRule type="cellIs" rank="0" priority="414" equalAverage="0" operator="greaterThan" aboveAverage="0" dxfId="7" text="" percent="0" bottom="0">
      <formula>0</formula>
    </cfRule>
  </conditionalFormatting>
  <conditionalFormatting sqref="K109">
    <cfRule type="cellIs" rank="0" priority="415" equalAverage="0" operator="greaterThan" aboveAverage="0" dxfId="7" text="" percent="0" bottom="0">
      <formula>0</formula>
    </cfRule>
  </conditionalFormatting>
  <conditionalFormatting sqref="N109">
    <cfRule type="cellIs" rank="0" priority="416" equalAverage="0" operator="greaterThan" aboveAverage="0" dxfId="7" text="" percent="0" bottom="0">
      <formula>0</formula>
    </cfRule>
    <cfRule type="cellIs" rank="0" priority="417" equalAverage="0" operator="lessThan" aboveAverage="0" dxfId="8" text="" percent="0" bottom="0">
      <formula>0</formula>
    </cfRule>
  </conditionalFormatting>
  <conditionalFormatting sqref="I110">
    <cfRule type="cellIs" rank="0" priority="418" equalAverage="0" operator="greaterThan" aboveAverage="0" dxfId="7" text="" percent="0" bottom="0">
      <formula>0</formula>
    </cfRule>
  </conditionalFormatting>
  <conditionalFormatting sqref="K110">
    <cfRule type="cellIs" rank="0" priority="419" equalAverage="0" operator="greaterThan" aboveAverage="0" dxfId="7" text="" percent="0" bottom="0">
      <formula>0</formula>
    </cfRule>
  </conditionalFormatting>
  <conditionalFormatting sqref="N110">
    <cfRule type="cellIs" rank="0" priority="420" equalAverage="0" operator="greaterThan" aboveAverage="0" dxfId="7" text="" percent="0" bottom="0">
      <formula>0</formula>
    </cfRule>
    <cfRule type="cellIs" rank="0" priority="421" equalAverage="0" operator="lessThan" aboveAverage="0" dxfId="8" text="" percent="0" bottom="0">
      <formula>0</formula>
    </cfRule>
  </conditionalFormatting>
  <conditionalFormatting sqref="I111">
    <cfRule type="cellIs" rank="0" priority="422" equalAverage="0" operator="greaterThan" aboveAverage="0" dxfId="7" text="" percent="0" bottom="0">
      <formula>0</formula>
    </cfRule>
  </conditionalFormatting>
  <conditionalFormatting sqref="K111">
    <cfRule type="cellIs" rank="0" priority="423" equalAverage="0" operator="greaterThan" aboveAverage="0" dxfId="7" text="" percent="0" bottom="0">
      <formula>0</formula>
    </cfRule>
  </conditionalFormatting>
  <conditionalFormatting sqref="N111">
    <cfRule type="cellIs" rank="0" priority="424" equalAverage="0" operator="greaterThan" aboveAverage="0" dxfId="7" text="" percent="0" bottom="0">
      <formula>0</formula>
    </cfRule>
    <cfRule type="cellIs" rank="0" priority="425" equalAverage="0" operator="lessThan" aboveAverage="0" dxfId="8" text="" percent="0" bottom="0">
      <formula>0</formula>
    </cfRule>
  </conditionalFormatting>
  <conditionalFormatting sqref="I112">
    <cfRule type="cellIs" rank="0" priority="426" equalAverage="0" operator="greaterThan" aboveAverage="0" dxfId="7" text="" percent="0" bottom="0">
      <formula>0</formula>
    </cfRule>
  </conditionalFormatting>
  <conditionalFormatting sqref="K112">
    <cfRule type="cellIs" rank="0" priority="427" equalAverage="0" operator="greaterThan" aboveAverage="0" dxfId="7" text="" percent="0" bottom="0">
      <formula>0</formula>
    </cfRule>
  </conditionalFormatting>
  <conditionalFormatting sqref="N112">
    <cfRule type="cellIs" rank="0" priority="428" equalAverage="0" operator="greaterThan" aboveAverage="0" dxfId="7" text="" percent="0" bottom="0">
      <formula>0</formula>
    </cfRule>
    <cfRule type="cellIs" rank="0" priority="429" equalAverage="0" operator="lessThan" aboveAverage="0" dxfId="8" text="" percent="0" bottom="0">
      <formula>0</formula>
    </cfRule>
  </conditionalFormatting>
  <conditionalFormatting sqref="I113">
    <cfRule type="cellIs" rank="0" priority="430" equalAverage="0" operator="greaterThan" aboveAverage="0" dxfId="7" text="" percent="0" bottom="0">
      <formula>0</formula>
    </cfRule>
  </conditionalFormatting>
  <conditionalFormatting sqref="K113">
    <cfRule type="cellIs" rank="0" priority="431" equalAverage="0" operator="greaterThan" aboveAverage="0" dxfId="7" text="" percent="0" bottom="0">
      <formula>0</formula>
    </cfRule>
  </conditionalFormatting>
  <conditionalFormatting sqref="N113">
    <cfRule type="cellIs" rank="0" priority="432" equalAverage="0" operator="greaterThan" aboveAverage="0" dxfId="7" text="" percent="0" bottom="0">
      <formula>0</formula>
    </cfRule>
    <cfRule type="cellIs" rank="0" priority="433" equalAverage="0" operator="lessThan" aboveAverage="0" dxfId="8" text="" percent="0" bottom="0">
      <formula>0</formula>
    </cfRule>
  </conditionalFormatting>
  <conditionalFormatting sqref="I114">
    <cfRule type="cellIs" rank="0" priority="434" equalAverage="0" operator="greaterThan" aboveAverage="0" dxfId="7" text="" percent="0" bottom="0">
      <formula>0</formula>
    </cfRule>
  </conditionalFormatting>
  <conditionalFormatting sqref="K114">
    <cfRule type="cellIs" rank="0" priority="435" equalAverage="0" operator="greaterThan" aboveAverage="0" dxfId="7" text="" percent="0" bottom="0">
      <formula>0</formula>
    </cfRule>
  </conditionalFormatting>
  <conditionalFormatting sqref="N114">
    <cfRule type="cellIs" rank="0" priority="436" equalAverage="0" operator="greaterThan" aboveAverage="0" dxfId="7" text="" percent="0" bottom="0">
      <formula>0</formula>
    </cfRule>
    <cfRule type="cellIs" rank="0" priority="437" equalAverage="0" operator="lessThan" aboveAverage="0" dxfId="8" text="" percent="0" bottom="0">
      <formula>0</formula>
    </cfRule>
  </conditionalFormatting>
  <conditionalFormatting sqref="I115">
    <cfRule type="cellIs" rank="0" priority="438" equalAverage="0" operator="greaterThan" aboveAverage="0" dxfId="7" text="" percent="0" bottom="0">
      <formula>0</formula>
    </cfRule>
  </conditionalFormatting>
  <conditionalFormatting sqref="K115">
    <cfRule type="cellIs" rank="0" priority="439" equalAverage="0" operator="greaterThan" aboveAverage="0" dxfId="7" text="" percent="0" bottom="0">
      <formula>0</formula>
    </cfRule>
  </conditionalFormatting>
  <conditionalFormatting sqref="N115">
    <cfRule type="cellIs" rank="0" priority="440" equalAverage="0" operator="greaterThan" aboveAverage="0" dxfId="7" text="" percent="0" bottom="0">
      <formula>0</formula>
    </cfRule>
    <cfRule type="cellIs" rank="0" priority="441" equalAverage="0" operator="lessThan" aboveAverage="0" dxfId="8" text="" percent="0" bottom="0">
      <formula>0</formula>
    </cfRule>
  </conditionalFormatting>
  <conditionalFormatting sqref="I116">
    <cfRule type="cellIs" rank="0" priority="442" equalAverage="0" operator="greaterThan" aboveAverage="0" dxfId="7" text="" percent="0" bottom="0">
      <formula>0</formula>
    </cfRule>
  </conditionalFormatting>
  <conditionalFormatting sqref="K116">
    <cfRule type="cellIs" rank="0" priority="443" equalAverage="0" operator="greaterThan" aboveAverage="0" dxfId="7" text="" percent="0" bottom="0">
      <formula>0</formula>
    </cfRule>
  </conditionalFormatting>
  <conditionalFormatting sqref="N116">
    <cfRule type="cellIs" rank="0" priority="444" equalAverage="0" operator="greaterThan" aboveAverage="0" dxfId="7" text="" percent="0" bottom="0">
      <formula>0</formula>
    </cfRule>
    <cfRule type="cellIs" rank="0" priority="445" equalAverage="0" operator="lessThan" aboveAverage="0" dxfId="8" text="" percent="0" bottom="0">
      <formula>0</formula>
    </cfRule>
  </conditionalFormatting>
  <conditionalFormatting sqref="I117">
    <cfRule type="cellIs" rank="0" priority="446" equalAverage="0" operator="greaterThan" aboveAverage="0" dxfId="7" text="" percent="0" bottom="0">
      <formula>0</formula>
    </cfRule>
  </conditionalFormatting>
  <conditionalFormatting sqref="K117">
    <cfRule type="cellIs" rank="0" priority="447" equalAverage="0" operator="greaterThan" aboveAverage="0" dxfId="7" text="" percent="0" bottom="0">
      <formula>0</formula>
    </cfRule>
  </conditionalFormatting>
  <conditionalFormatting sqref="N117">
    <cfRule type="cellIs" rank="0" priority="448" equalAverage="0" operator="greaterThan" aboveAverage="0" dxfId="7" text="" percent="0" bottom="0">
      <formula>0</formula>
    </cfRule>
    <cfRule type="cellIs" rank="0" priority="449" equalAverage="0" operator="lessThan" aboveAverage="0" dxfId="8" text="" percent="0" bottom="0">
      <formula>0</formula>
    </cfRule>
  </conditionalFormatting>
  <conditionalFormatting sqref="I118">
    <cfRule type="cellIs" rank="0" priority="450" equalAverage="0" operator="greaterThan" aboveAverage="0" dxfId="7" text="" percent="0" bottom="0">
      <formula>0</formula>
    </cfRule>
  </conditionalFormatting>
  <conditionalFormatting sqref="K118">
    <cfRule type="cellIs" rank="0" priority="451" equalAverage="0" operator="greaterThan" aboveAverage="0" dxfId="7" text="" percent="0" bottom="0">
      <formula>0</formula>
    </cfRule>
  </conditionalFormatting>
  <conditionalFormatting sqref="N118">
    <cfRule type="cellIs" rank="0" priority="452" equalAverage="0" operator="greaterThan" aboveAverage="0" dxfId="7" text="" percent="0" bottom="0">
      <formula>0</formula>
    </cfRule>
    <cfRule type="cellIs" rank="0" priority="453" equalAverage="0" operator="lessThan" aboveAverage="0" dxfId="8" text="" percent="0" bottom="0">
      <formula>0</formula>
    </cfRule>
  </conditionalFormatting>
  <conditionalFormatting sqref="I119">
    <cfRule type="cellIs" rank="0" priority="454" equalAverage="0" operator="greaterThan" aboveAverage="0" dxfId="7" text="" percent="0" bottom="0">
      <formula>0</formula>
    </cfRule>
  </conditionalFormatting>
  <conditionalFormatting sqref="K119">
    <cfRule type="cellIs" rank="0" priority="455" equalAverage="0" operator="greaterThan" aboveAverage="0" dxfId="7" text="" percent="0" bottom="0">
      <formula>0</formula>
    </cfRule>
  </conditionalFormatting>
  <conditionalFormatting sqref="N119">
    <cfRule type="cellIs" rank="0" priority="456" equalAverage="0" operator="greaterThan" aboveAverage="0" dxfId="7" text="" percent="0" bottom="0">
      <formula>0</formula>
    </cfRule>
    <cfRule type="cellIs" rank="0" priority="457" equalAverage="0" operator="lessThan" aboveAverage="0" dxfId="8" text="" percent="0" bottom="0">
      <formula>0</formula>
    </cfRule>
  </conditionalFormatting>
  <conditionalFormatting sqref="I120">
    <cfRule type="cellIs" rank="0" priority="458" equalAverage="0" operator="greaterThan" aboveAverage="0" dxfId="7" text="" percent="0" bottom="0">
      <formula>0</formula>
    </cfRule>
  </conditionalFormatting>
  <conditionalFormatting sqref="K120">
    <cfRule type="cellIs" rank="0" priority="459" equalAverage="0" operator="greaterThan" aboveAverage="0" dxfId="7" text="" percent="0" bottom="0">
      <formula>0</formula>
    </cfRule>
  </conditionalFormatting>
  <conditionalFormatting sqref="N120">
    <cfRule type="cellIs" rank="0" priority="460" equalAverage="0" operator="greaterThan" aboveAverage="0" dxfId="7" text="" percent="0" bottom="0">
      <formula>0</formula>
    </cfRule>
    <cfRule type="cellIs" rank="0" priority="461" equalAverage="0" operator="lessThan" aboveAverage="0" dxfId="8" text="" percent="0" bottom="0">
      <formula>0</formula>
    </cfRule>
  </conditionalFormatting>
  <conditionalFormatting sqref="I121">
    <cfRule type="cellIs" rank="0" priority="462" equalAverage="0" operator="greaterThan" aboveAverage="0" dxfId="7" text="" percent="0" bottom="0">
      <formula>0</formula>
    </cfRule>
  </conditionalFormatting>
  <conditionalFormatting sqref="K121">
    <cfRule type="cellIs" rank="0" priority="463" equalAverage="0" operator="greaterThan" aboveAverage="0" dxfId="7" text="" percent="0" bottom="0">
      <formula>0</formula>
    </cfRule>
  </conditionalFormatting>
  <conditionalFormatting sqref="N121">
    <cfRule type="cellIs" rank="0" priority="464" equalAverage="0" operator="greaterThan" aboveAverage="0" dxfId="7" text="" percent="0" bottom="0">
      <formula>0</formula>
    </cfRule>
    <cfRule type="cellIs" rank="0" priority="465" equalAverage="0" operator="lessThan" aboveAverage="0" dxfId="8" text="" percent="0" bottom="0">
      <formula>0</formula>
    </cfRule>
  </conditionalFormatting>
  <conditionalFormatting sqref="I122">
    <cfRule type="cellIs" rank="0" priority="466" equalAverage="0" operator="greaterThan" aboveAverage="0" dxfId="7" text="" percent="0" bottom="0">
      <formula>0</formula>
    </cfRule>
  </conditionalFormatting>
  <conditionalFormatting sqref="K122">
    <cfRule type="cellIs" rank="0" priority="467" equalAverage="0" operator="greaterThan" aboveAverage="0" dxfId="7" text="" percent="0" bottom="0">
      <formula>0</formula>
    </cfRule>
  </conditionalFormatting>
  <conditionalFormatting sqref="N122">
    <cfRule type="cellIs" rank="0" priority="468" equalAverage="0" operator="greaterThan" aboveAverage="0" dxfId="7" text="" percent="0" bottom="0">
      <formula>0</formula>
    </cfRule>
    <cfRule type="cellIs" rank="0" priority="469" equalAverage="0" operator="lessThan" aboveAverage="0" dxfId="8" text="" percent="0" bottom="0">
      <formula>0</formula>
    </cfRule>
  </conditionalFormatting>
  <conditionalFormatting sqref="I123">
    <cfRule type="cellIs" rank="0" priority="470" equalAverage="0" operator="greaterThan" aboveAverage="0" dxfId="7" text="" percent="0" bottom="0">
      <formula>0</formula>
    </cfRule>
  </conditionalFormatting>
  <conditionalFormatting sqref="K123">
    <cfRule type="cellIs" rank="0" priority="471" equalAverage="0" operator="greaterThan" aboveAverage="0" dxfId="7" text="" percent="0" bottom="0">
      <formula>0</formula>
    </cfRule>
  </conditionalFormatting>
  <conditionalFormatting sqref="N123">
    <cfRule type="cellIs" rank="0" priority="472" equalAverage="0" operator="greaterThan" aboveAverage="0" dxfId="7" text="" percent="0" bottom="0">
      <formula>0</formula>
    </cfRule>
    <cfRule type="cellIs" rank="0" priority="473" equalAverage="0" operator="lessThan" aboveAverage="0" dxfId="8" text="" percent="0" bottom="0">
      <formula>0</formula>
    </cfRule>
  </conditionalFormatting>
  <conditionalFormatting sqref="I124">
    <cfRule type="cellIs" rank="0" priority="474" equalAverage="0" operator="greaterThan" aboveAverage="0" dxfId="7" text="" percent="0" bottom="0">
      <formula>0</formula>
    </cfRule>
  </conditionalFormatting>
  <conditionalFormatting sqref="K124">
    <cfRule type="cellIs" rank="0" priority="475" equalAverage="0" operator="greaterThan" aboveAverage="0" dxfId="7" text="" percent="0" bottom="0">
      <formula>0</formula>
    </cfRule>
  </conditionalFormatting>
  <conditionalFormatting sqref="N124">
    <cfRule type="cellIs" rank="0" priority="476" equalAverage="0" operator="greaterThan" aboveAverage="0" dxfId="7" text="" percent="0" bottom="0">
      <formula>0</formula>
    </cfRule>
    <cfRule type="cellIs" rank="0" priority="477" equalAverage="0" operator="lessThan" aboveAverage="0" dxfId="8" text="" percent="0" bottom="0">
      <formula>0</formula>
    </cfRule>
  </conditionalFormatting>
  <conditionalFormatting sqref="I125">
    <cfRule type="cellIs" rank="0" priority="478" equalAverage="0" operator="greaterThan" aboveAverage="0" dxfId="7" text="" percent="0" bottom="0">
      <formula>0</formula>
    </cfRule>
  </conditionalFormatting>
  <conditionalFormatting sqref="K125">
    <cfRule type="cellIs" rank="0" priority="479" equalAverage="0" operator="greaterThan" aboveAverage="0" dxfId="7" text="" percent="0" bottom="0">
      <formula>0</formula>
    </cfRule>
  </conditionalFormatting>
  <conditionalFormatting sqref="N125">
    <cfRule type="cellIs" rank="0" priority="480" equalAverage="0" operator="greaterThan" aboveAverage="0" dxfId="7" text="" percent="0" bottom="0">
      <formula>0</formula>
    </cfRule>
    <cfRule type="cellIs" rank="0" priority="481" equalAverage="0" operator="lessThan" aboveAverage="0" dxfId="8" text="" percent="0" bottom="0">
      <formula>0</formula>
    </cfRule>
  </conditionalFormatting>
  <conditionalFormatting sqref="I126">
    <cfRule type="cellIs" rank="0" priority="482" equalAverage="0" operator="greaterThan" aboveAverage="0" dxfId="7" text="" percent="0" bottom="0">
      <formula>0</formula>
    </cfRule>
  </conditionalFormatting>
  <conditionalFormatting sqref="K126">
    <cfRule type="cellIs" rank="0" priority="483" equalAverage="0" operator="greaterThan" aboveAverage="0" dxfId="7" text="" percent="0" bottom="0">
      <formula>0</formula>
    </cfRule>
  </conditionalFormatting>
  <conditionalFormatting sqref="N126">
    <cfRule type="cellIs" rank="0" priority="484" equalAverage="0" operator="greaterThan" aboveAverage="0" dxfId="7" text="" percent="0" bottom="0">
      <formula>0</formula>
    </cfRule>
    <cfRule type="cellIs" rank="0" priority="485" equalAverage="0" operator="lessThan" aboveAverage="0" dxfId="8" text="" percent="0" bottom="0">
      <formula>0</formula>
    </cfRule>
  </conditionalFormatting>
  <conditionalFormatting sqref="I127">
    <cfRule type="cellIs" rank="0" priority="486" equalAverage="0" operator="greaterThan" aboveAverage="0" dxfId="7" text="" percent="0" bottom="0">
      <formula>0</formula>
    </cfRule>
  </conditionalFormatting>
  <conditionalFormatting sqref="K127">
    <cfRule type="cellIs" rank="0" priority="487" equalAverage="0" operator="greaterThan" aboveAverage="0" dxfId="7" text="" percent="0" bottom="0">
      <formula>0</formula>
    </cfRule>
  </conditionalFormatting>
  <conditionalFormatting sqref="N127">
    <cfRule type="cellIs" rank="0" priority="488" equalAverage="0" operator="greaterThan" aboveAverage="0" dxfId="7" text="" percent="0" bottom="0">
      <formula>0</formula>
    </cfRule>
    <cfRule type="cellIs" rank="0" priority="489" equalAverage="0" operator="lessThan" aboveAverage="0" dxfId="8" text="" percent="0" bottom="0">
      <formula>0</formula>
    </cfRule>
  </conditionalFormatting>
  <conditionalFormatting sqref="I128">
    <cfRule type="cellIs" rank="0" priority="490" equalAverage="0" operator="greaterThan" aboveAverage="0" dxfId="7" text="" percent="0" bottom="0">
      <formula>0</formula>
    </cfRule>
  </conditionalFormatting>
  <conditionalFormatting sqref="K128">
    <cfRule type="cellIs" rank="0" priority="491" equalAverage="0" operator="greaterThan" aboveAverage="0" dxfId="7" text="" percent="0" bottom="0">
      <formula>0</formula>
    </cfRule>
  </conditionalFormatting>
  <conditionalFormatting sqref="N128">
    <cfRule type="cellIs" rank="0" priority="492" equalAverage="0" operator="greaterThan" aboveAverage="0" dxfId="7" text="" percent="0" bottom="0">
      <formula>0</formula>
    </cfRule>
    <cfRule type="cellIs" rank="0" priority="493" equalAverage="0" operator="lessThan" aboveAverage="0" dxfId="8" text="" percent="0" bottom="0">
      <formula>0</formula>
    </cfRule>
  </conditionalFormatting>
  <conditionalFormatting sqref="I129">
    <cfRule type="cellIs" rank="0" priority="494" equalAverage="0" operator="greaterThan" aboveAverage="0" dxfId="7" text="" percent="0" bottom="0">
      <formula>0</formula>
    </cfRule>
  </conditionalFormatting>
  <conditionalFormatting sqref="K129">
    <cfRule type="cellIs" rank="0" priority="495" equalAverage="0" operator="greaterThan" aboveAverage="0" dxfId="7" text="" percent="0" bottom="0">
      <formula>0</formula>
    </cfRule>
  </conditionalFormatting>
  <conditionalFormatting sqref="N129">
    <cfRule type="cellIs" rank="0" priority="496" equalAverage="0" operator="greaterThan" aboveAverage="0" dxfId="7" text="" percent="0" bottom="0">
      <formula>0</formula>
    </cfRule>
    <cfRule type="cellIs" rank="0" priority="497" equalAverage="0" operator="lessThan" aboveAverage="0" dxfId="8" text="" percent="0" bottom="0">
      <formula>0</formula>
    </cfRule>
  </conditionalFormatting>
  <conditionalFormatting sqref="I130">
    <cfRule type="cellIs" rank="0" priority="498" equalAverage="0" operator="greaterThan" aboveAverage="0" dxfId="7" text="" percent="0" bottom="0">
      <formula>0</formula>
    </cfRule>
  </conditionalFormatting>
  <conditionalFormatting sqref="K130">
    <cfRule type="cellIs" rank="0" priority="499" equalAverage="0" operator="greaterThan" aboveAverage="0" dxfId="7" text="" percent="0" bottom="0">
      <formula>0</formula>
    </cfRule>
  </conditionalFormatting>
  <conditionalFormatting sqref="N130">
    <cfRule type="cellIs" rank="0" priority="500" equalAverage="0" operator="greaterThan" aboveAverage="0" dxfId="7" text="" percent="0" bottom="0">
      <formula>0</formula>
    </cfRule>
    <cfRule type="cellIs" rank="0" priority="501" equalAverage="0" operator="lessThan" aboveAverage="0" dxfId="8" text="" percent="0" bottom="0">
      <formula>0</formula>
    </cfRule>
  </conditionalFormatting>
  <conditionalFormatting sqref="I131">
    <cfRule type="cellIs" rank="0" priority="502" equalAverage="0" operator="greaterThan" aboveAverage="0" dxfId="7" text="" percent="0" bottom="0">
      <formula>0</formula>
    </cfRule>
  </conditionalFormatting>
  <conditionalFormatting sqref="K131">
    <cfRule type="cellIs" rank="0" priority="503" equalAverage="0" operator="greaterThan" aboveAverage="0" dxfId="7" text="" percent="0" bottom="0">
      <formula>0</formula>
    </cfRule>
  </conditionalFormatting>
  <conditionalFormatting sqref="N131">
    <cfRule type="cellIs" rank="0" priority="504" equalAverage="0" operator="greaterThan" aboveAverage="0" dxfId="7" text="" percent="0" bottom="0">
      <formula>0</formula>
    </cfRule>
    <cfRule type="cellIs" rank="0" priority="505" equalAverage="0" operator="lessThan" aboveAverage="0" dxfId="8" text="" percent="0" bottom="0">
      <formula>0</formula>
    </cfRule>
  </conditionalFormatting>
  <conditionalFormatting sqref="I132">
    <cfRule type="cellIs" rank="0" priority="506" equalAverage="0" operator="greaterThan" aboveAverage="0" dxfId="7" text="" percent="0" bottom="0">
      <formula>0</formula>
    </cfRule>
  </conditionalFormatting>
  <conditionalFormatting sqref="K132">
    <cfRule type="cellIs" rank="0" priority="507" equalAverage="0" operator="greaterThan" aboveAverage="0" dxfId="7" text="" percent="0" bottom="0">
      <formula>0</formula>
    </cfRule>
  </conditionalFormatting>
  <conditionalFormatting sqref="N132">
    <cfRule type="cellIs" rank="0" priority="508" equalAverage="0" operator="greaterThan" aboveAverage="0" dxfId="7" text="" percent="0" bottom="0">
      <formula>0</formula>
    </cfRule>
    <cfRule type="cellIs" rank="0" priority="509" equalAverage="0" operator="lessThan" aboveAverage="0" dxfId="8" text="" percent="0" bottom="0">
      <formula>0</formula>
    </cfRule>
  </conditionalFormatting>
  <conditionalFormatting sqref="I133">
    <cfRule type="cellIs" rank="0" priority="510" equalAverage="0" operator="greaterThan" aboveAverage="0" dxfId="7" text="" percent="0" bottom="0">
      <formula>0</formula>
    </cfRule>
  </conditionalFormatting>
  <conditionalFormatting sqref="K133">
    <cfRule type="cellIs" rank="0" priority="511" equalAverage="0" operator="greaterThan" aboveAverage="0" dxfId="7" text="" percent="0" bottom="0">
      <formula>0</formula>
    </cfRule>
  </conditionalFormatting>
  <conditionalFormatting sqref="N133">
    <cfRule type="cellIs" rank="0" priority="512" equalAverage="0" operator="greaterThan" aboveAverage="0" dxfId="7" text="" percent="0" bottom="0">
      <formula>0</formula>
    </cfRule>
    <cfRule type="cellIs" rank="0" priority="513" equalAverage="0" operator="lessThan" aboveAverage="0" dxfId="8" text="" percent="0" bottom="0">
      <formula>0</formula>
    </cfRule>
  </conditionalFormatting>
  <conditionalFormatting sqref="I134">
    <cfRule type="cellIs" rank="0" priority="514" equalAverage="0" operator="greaterThan" aboveAverage="0" dxfId="7" text="" percent="0" bottom="0">
      <formula>0</formula>
    </cfRule>
  </conditionalFormatting>
  <conditionalFormatting sqref="K134">
    <cfRule type="cellIs" rank="0" priority="515" equalAverage="0" operator="greaterThan" aboveAverage="0" dxfId="7" text="" percent="0" bottom="0">
      <formula>0</formula>
    </cfRule>
  </conditionalFormatting>
  <conditionalFormatting sqref="N134">
    <cfRule type="cellIs" rank="0" priority="516" equalAverage="0" operator="greaterThan" aboveAverage="0" dxfId="7" text="" percent="0" bottom="0">
      <formula>0</formula>
    </cfRule>
    <cfRule type="cellIs" rank="0" priority="517" equalAverage="0" operator="lessThan" aboveAverage="0" dxfId="8" text="" percent="0" bottom="0">
      <formula>0</formula>
    </cfRule>
  </conditionalFormatting>
  <conditionalFormatting sqref="I135">
    <cfRule type="cellIs" rank="0" priority="518" equalAverage="0" operator="greaterThan" aboveAverage="0" dxfId="7" text="" percent="0" bottom="0">
      <formula>0</formula>
    </cfRule>
  </conditionalFormatting>
  <conditionalFormatting sqref="K135">
    <cfRule type="cellIs" rank="0" priority="519" equalAverage="0" operator="greaterThan" aboveAverage="0" dxfId="7" text="" percent="0" bottom="0">
      <formula>0</formula>
    </cfRule>
  </conditionalFormatting>
  <conditionalFormatting sqref="N135">
    <cfRule type="cellIs" rank="0" priority="520" equalAverage="0" operator="greaterThan" aboveAverage="0" dxfId="7" text="" percent="0" bottom="0">
      <formula>0</formula>
    </cfRule>
    <cfRule type="cellIs" rank="0" priority="521" equalAverage="0" operator="lessThan" aboveAverage="0" dxfId="8" text="" percent="0" bottom="0">
      <formula>0</formula>
    </cfRule>
  </conditionalFormatting>
  <conditionalFormatting sqref="I136">
    <cfRule type="cellIs" rank="0" priority="522" equalAverage="0" operator="greaterThan" aboveAverage="0" dxfId="7" text="" percent="0" bottom="0">
      <formula>0</formula>
    </cfRule>
  </conditionalFormatting>
  <conditionalFormatting sqref="K136">
    <cfRule type="cellIs" rank="0" priority="523" equalAverage="0" operator="greaterThan" aboveAverage="0" dxfId="7" text="" percent="0" bottom="0">
      <formula>0</formula>
    </cfRule>
  </conditionalFormatting>
  <conditionalFormatting sqref="N136">
    <cfRule type="cellIs" rank="0" priority="524" equalAverage="0" operator="greaterThan" aboveAverage="0" dxfId="7" text="" percent="0" bottom="0">
      <formula>0</formula>
    </cfRule>
    <cfRule type="cellIs" rank="0" priority="525" equalAverage="0" operator="lessThan" aboveAverage="0" dxfId="8" text="" percent="0" bottom="0">
      <formula>0</formula>
    </cfRule>
  </conditionalFormatting>
  <conditionalFormatting sqref="I137">
    <cfRule type="cellIs" rank="0" priority="526" equalAverage="0" operator="greaterThan" aboveAverage="0" dxfId="7" text="" percent="0" bottom="0">
      <formula>0</formula>
    </cfRule>
  </conditionalFormatting>
  <conditionalFormatting sqref="K137">
    <cfRule type="cellIs" rank="0" priority="527" equalAverage="0" operator="greaterThan" aboveAverage="0" dxfId="7" text="" percent="0" bottom="0">
      <formula>0</formula>
    </cfRule>
  </conditionalFormatting>
  <conditionalFormatting sqref="N137">
    <cfRule type="cellIs" rank="0" priority="528" equalAverage="0" operator="greaterThan" aboveAverage="0" dxfId="7" text="" percent="0" bottom="0">
      <formula>0</formula>
    </cfRule>
    <cfRule type="cellIs" rank="0" priority="529" equalAverage="0" operator="lessThan" aboveAverage="0" dxfId="8" text="" percent="0" bottom="0">
      <formula>0</formula>
    </cfRule>
  </conditionalFormatting>
  <conditionalFormatting sqref="I138">
    <cfRule type="cellIs" rank="0" priority="530" equalAverage="0" operator="greaterThan" aboveAverage="0" dxfId="7" text="" percent="0" bottom="0">
      <formula>0</formula>
    </cfRule>
  </conditionalFormatting>
  <conditionalFormatting sqref="K138">
    <cfRule type="cellIs" rank="0" priority="531" equalAverage="0" operator="greaterThan" aboveAverage="0" dxfId="7" text="" percent="0" bottom="0">
      <formula>0</formula>
    </cfRule>
  </conditionalFormatting>
  <conditionalFormatting sqref="N138">
    <cfRule type="cellIs" rank="0" priority="532" equalAverage="0" operator="greaterThan" aboveAverage="0" dxfId="7" text="" percent="0" bottom="0">
      <formula>0</formula>
    </cfRule>
    <cfRule type="cellIs" rank="0" priority="533" equalAverage="0" operator="lessThan" aboveAverage="0" dxfId="8" text="" percent="0" bottom="0">
      <formula>0</formula>
    </cfRule>
  </conditionalFormatting>
  <conditionalFormatting sqref="I139">
    <cfRule type="cellIs" rank="0" priority="534" equalAverage="0" operator="greaterThan" aboveAverage="0" dxfId="7" text="" percent="0" bottom="0">
      <formula>0</formula>
    </cfRule>
  </conditionalFormatting>
  <conditionalFormatting sqref="K139">
    <cfRule type="cellIs" rank="0" priority="535" equalAverage="0" operator="greaterThan" aboveAverage="0" dxfId="7" text="" percent="0" bottom="0">
      <formula>0</formula>
    </cfRule>
  </conditionalFormatting>
  <conditionalFormatting sqref="N139">
    <cfRule type="cellIs" rank="0" priority="536" equalAverage="0" operator="greaterThan" aboveAverage="0" dxfId="7" text="" percent="0" bottom="0">
      <formula>0</formula>
    </cfRule>
    <cfRule type="cellIs" rank="0" priority="537" equalAverage="0" operator="lessThan" aboveAverage="0" dxfId="8" text="" percent="0" bottom="0">
      <formula>0</formula>
    </cfRule>
  </conditionalFormatting>
  <conditionalFormatting sqref="I140">
    <cfRule type="cellIs" rank="0" priority="538" equalAverage="0" operator="greaterThan" aboveAverage="0" dxfId="7" text="" percent="0" bottom="0">
      <formula>0</formula>
    </cfRule>
  </conditionalFormatting>
  <conditionalFormatting sqref="K140">
    <cfRule type="cellIs" rank="0" priority="539" equalAverage="0" operator="greaterThan" aboveAverage="0" dxfId="7" text="" percent="0" bottom="0">
      <formula>0</formula>
    </cfRule>
  </conditionalFormatting>
  <conditionalFormatting sqref="N140">
    <cfRule type="cellIs" rank="0" priority="540" equalAverage="0" operator="greaterThan" aboveAverage="0" dxfId="7" text="" percent="0" bottom="0">
      <formula>0</formula>
    </cfRule>
    <cfRule type="cellIs" rank="0" priority="541" equalAverage="0" operator="lessThan" aboveAverage="0" dxfId="8" text="" percent="0" bottom="0">
      <formula>0</formula>
    </cfRule>
  </conditionalFormatting>
  <conditionalFormatting sqref="I141">
    <cfRule type="cellIs" rank="0" priority="542" equalAverage="0" operator="greaterThan" aboveAverage="0" dxfId="7" text="" percent="0" bottom="0">
      <formula>0</formula>
    </cfRule>
  </conditionalFormatting>
  <conditionalFormatting sqref="K141">
    <cfRule type="cellIs" rank="0" priority="543" equalAverage="0" operator="greaterThan" aboveAverage="0" dxfId="7" text="" percent="0" bottom="0">
      <formula>0</formula>
    </cfRule>
  </conditionalFormatting>
  <conditionalFormatting sqref="N141">
    <cfRule type="cellIs" rank="0" priority="544" equalAverage="0" operator="greaterThan" aboveAverage="0" dxfId="7" text="" percent="0" bottom="0">
      <formula>0</formula>
    </cfRule>
    <cfRule type="cellIs" rank="0" priority="545" equalAverage="0" operator="lessThan" aboveAverage="0" dxfId="8" text="" percent="0" bottom="0">
      <formula>0</formula>
    </cfRule>
  </conditionalFormatting>
  <conditionalFormatting sqref="I142">
    <cfRule type="cellIs" rank="0" priority="546" equalAverage="0" operator="greaterThan" aboveAverage="0" dxfId="7" text="" percent="0" bottom="0">
      <formula>0</formula>
    </cfRule>
  </conditionalFormatting>
  <conditionalFormatting sqref="K142">
    <cfRule type="cellIs" rank="0" priority="547" equalAverage="0" operator="greaterThan" aboveAverage="0" dxfId="7" text="" percent="0" bottom="0">
      <formula>0</formula>
    </cfRule>
  </conditionalFormatting>
  <conditionalFormatting sqref="N142">
    <cfRule type="cellIs" rank="0" priority="548" equalAverage="0" operator="greaterThan" aboveAverage="0" dxfId="7" text="" percent="0" bottom="0">
      <formula>0</formula>
    </cfRule>
    <cfRule type="cellIs" rank="0" priority="549" equalAverage="0" operator="lessThan" aboveAverage="0" dxfId="8" text="" percent="0" bottom="0">
      <formula>0</formula>
    </cfRule>
  </conditionalFormatting>
  <conditionalFormatting sqref="I143">
    <cfRule type="cellIs" rank="0" priority="550" equalAverage="0" operator="greaterThan" aboveAverage="0" dxfId="7" text="" percent="0" bottom="0">
      <formula>0</formula>
    </cfRule>
  </conditionalFormatting>
  <conditionalFormatting sqref="K143">
    <cfRule type="cellIs" rank="0" priority="551" equalAverage="0" operator="greaterThan" aboveAverage="0" dxfId="7" text="" percent="0" bottom="0">
      <formula>0</formula>
    </cfRule>
  </conditionalFormatting>
  <conditionalFormatting sqref="N143">
    <cfRule type="cellIs" rank="0" priority="552" equalAverage="0" operator="greaterThan" aboveAverage="0" dxfId="7" text="" percent="0" bottom="0">
      <formula>0</formula>
    </cfRule>
    <cfRule type="cellIs" rank="0" priority="553" equalAverage="0" operator="lessThan" aboveAverage="0" dxfId="8" text="" percent="0" bottom="0">
      <formula>0</formula>
    </cfRule>
  </conditionalFormatting>
  <conditionalFormatting sqref="I144">
    <cfRule type="cellIs" rank="0" priority="554" equalAverage="0" operator="greaterThan" aboveAverage="0" dxfId="7" text="" percent="0" bottom="0">
      <formula>0</formula>
    </cfRule>
  </conditionalFormatting>
  <conditionalFormatting sqref="K144">
    <cfRule type="cellIs" rank="0" priority="555" equalAverage="0" operator="greaterThan" aboveAverage="0" dxfId="7" text="" percent="0" bottom="0">
      <formula>0</formula>
    </cfRule>
  </conditionalFormatting>
  <conditionalFormatting sqref="N144">
    <cfRule type="cellIs" rank="0" priority="556" equalAverage="0" operator="greaterThan" aboveAverage="0" dxfId="7" text="" percent="0" bottom="0">
      <formula>0</formula>
    </cfRule>
    <cfRule type="cellIs" rank="0" priority="557" equalAverage="0" operator="lessThan" aboveAverage="0" dxfId="8" text="" percent="0" bottom="0">
      <formula>0</formula>
    </cfRule>
  </conditionalFormatting>
  <conditionalFormatting sqref="I145">
    <cfRule type="cellIs" rank="0" priority="558" equalAverage="0" operator="greaterThan" aboveAverage="0" dxfId="7" text="" percent="0" bottom="0">
      <formula>0</formula>
    </cfRule>
  </conditionalFormatting>
  <conditionalFormatting sqref="K145">
    <cfRule type="cellIs" rank="0" priority="559" equalAverage="0" operator="greaterThan" aboveAverage="0" dxfId="7" text="" percent="0" bottom="0">
      <formula>0</formula>
    </cfRule>
  </conditionalFormatting>
  <conditionalFormatting sqref="N145">
    <cfRule type="cellIs" rank="0" priority="560" equalAverage="0" operator="greaterThan" aboveAverage="0" dxfId="7" text="" percent="0" bottom="0">
      <formula>0</formula>
    </cfRule>
    <cfRule type="cellIs" rank="0" priority="561" equalAverage="0" operator="lessThan" aboveAverage="0" dxfId="8" text="" percent="0" bottom="0">
      <formula>0</formula>
    </cfRule>
  </conditionalFormatting>
  <conditionalFormatting sqref="I146">
    <cfRule type="cellIs" rank="0" priority="562" equalAverage="0" operator="greaterThan" aboveAverage="0" dxfId="7" text="" percent="0" bottom="0">
      <formula>0</formula>
    </cfRule>
  </conditionalFormatting>
  <conditionalFormatting sqref="K146">
    <cfRule type="cellIs" rank="0" priority="563" equalAverage="0" operator="greaterThan" aboveAverage="0" dxfId="7" text="" percent="0" bottom="0">
      <formula>0</formula>
    </cfRule>
  </conditionalFormatting>
  <conditionalFormatting sqref="N146">
    <cfRule type="cellIs" rank="0" priority="564" equalAverage="0" operator="greaterThan" aboveAverage="0" dxfId="7" text="" percent="0" bottom="0">
      <formula>0</formula>
    </cfRule>
    <cfRule type="cellIs" rank="0" priority="565" equalAverage="0" operator="lessThan" aboveAverage="0" dxfId="8" text="" percent="0" bottom="0">
      <formula>0</formula>
    </cfRule>
  </conditionalFormatting>
  <conditionalFormatting sqref="I147">
    <cfRule type="cellIs" rank="0" priority="566" equalAverage="0" operator="greaterThan" aboveAverage="0" dxfId="7" text="" percent="0" bottom="0">
      <formula>0</formula>
    </cfRule>
  </conditionalFormatting>
  <conditionalFormatting sqref="K147">
    <cfRule type="cellIs" rank="0" priority="567" equalAverage="0" operator="greaterThan" aboveAverage="0" dxfId="7" text="" percent="0" bottom="0">
      <formula>0</formula>
    </cfRule>
  </conditionalFormatting>
  <conditionalFormatting sqref="N147">
    <cfRule type="cellIs" rank="0" priority="568" equalAverage="0" operator="greaterThan" aboveAverage="0" dxfId="7" text="" percent="0" bottom="0">
      <formula>0</formula>
    </cfRule>
    <cfRule type="cellIs" rank="0" priority="569" equalAverage="0" operator="lessThan" aboveAverage="0" dxfId="8" text="" percent="0" bottom="0">
      <formula>0</formula>
    </cfRule>
  </conditionalFormatting>
  <conditionalFormatting sqref="I148">
    <cfRule type="cellIs" rank="0" priority="570" equalAverage="0" operator="greaterThan" aboveAverage="0" dxfId="7" text="" percent="0" bottom="0">
      <formula>0</formula>
    </cfRule>
  </conditionalFormatting>
  <conditionalFormatting sqref="K148">
    <cfRule type="cellIs" rank="0" priority="571" equalAverage="0" operator="greaterThan" aboveAverage="0" dxfId="7" text="" percent="0" bottom="0">
      <formula>0</formula>
    </cfRule>
  </conditionalFormatting>
  <conditionalFormatting sqref="N148">
    <cfRule type="cellIs" rank="0" priority="572" equalAverage="0" operator="greaterThan" aboveAverage="0" dxfId="7" text="" percent="0" bottom="0">
      <formula>0</formula>
    </cfRule>
    <cfRule type="cellIs" rank="0" priority="573" equalAverage="0" operator="lessThan" aboveAverage="0" dxfId="8" text="" percent="0" bottom="0">
      <formula>0</formula>
    </cfRule>
  </conditionalFormatting>
  <conditionalFormatting sqref="I149">
    <cfRule type="cellIs" rank="0" priority="574" equalAverage="0" operator="greaterThan" aboveAverage="0" dxfId="7" text="" percent="0" bottom="0">
      <formula>0</formula>
    </cfRule>
  </conditionalFormatting>
  <conditionalFormatting sqref="K149">
    <cfRule type="cellIs" rank="0" priority="575" equalAverage="0" operator="greaterThan" aboveAverage="0" dxfId="7" text="" percent="0" bottom="0">
      <formula>0</formula>
    </cfRule>
  </conditionalFormatting>
  <conditionalFormatting sqref="N149">
    <cfRule type="cellIs" rank="0" priority="576" equalAverage="0" operator="greaterThan" aboveAverage="0" dxfId="7" text="" percent="0" bottom="0">
      <formula>0</formula>
    </cfRule>
    <cfRule type="cellIs" rank="0" priority="577" equalAverage="0" operator="lessThan" aboveAverage="0" dxfId="8" text="" percent="0" bottom="0">
      <formula>0</formula>
    </cfRule>
  </conditionalFormatting>
  <conditionalFormatting sqref="I150">
    <cfRule type="cellIs" rank="0" priority="578" equalAverage="0" operator="greaterThan" aboveAverage="0" dxfId="7" text="" percent="0" bottom="0">
      <formula>0</formula>
    </cfRule>
  </conditionalFormatting>
  <conditionalFormatting sqref="K150">
    <cfRule type="cellIs" rank="0" priority="579" equalAverage="0" operator="greaterThan" aboveAverage="0" dxfId="7" text="" percent="0" bottom="0">
      <formula>0</formula>
    </cfRule>
  </conditionalFormatting>
  <conditionalFormatting sqref="N150">
    <cfRule type="cellIs" rank="0" priority="580" equalAverage="0" operator="greaterThan" aboveAverage="0" dxfId="7" text="" percent="0" bottom="0">
      <formula>0</formula>
    </cfRule>
    <cfRule type="cellIs" rank="0" priority="581" equalAverage="0" operator="lessThan" aboveAverage="0" dxfId="8" text="" percent="0" bottom="0">
      <formula>0</formula>
    </cfRule>
  </conditionalFormatting>
  <conditionalFormatting sqref="I151">
    <cfRule type="cellIs" rank="0" priority="582" equalAverage="0" operator="greaterThan" aboveAverage="0" dxfId="7" text="" percent="0" bottom="0">
      <formula>0</formula>
    </cfRule>
  </conditionalFormatting>
  <conditionalFormatting sqref="K151">
    <cfRule type="cellIs" rank="0" priority="583" equalAverage="0" operator="greaterThan" aboveAverage="0" dxfId="7" text="" percent="0" bottom="0">
      <formula>0</formula>
    </cfRule>
  </conditionalFormatting>
  <conditionalFormatting sqref="N151">
    <cfRule type="cellIs" rank="0" priority="584" equalAverage="0" operator="greaterThan" aboveAverage="0" dxfId="7" text="" percent="0" bottom="0">
      <formula>0</formula>
    </cfRule>
    <cfRule type="cellIs" rank="0" priority="585" equalAverage="0" operator="lessThan" aboveAverage="0" dxfId="8" text="" percent="0" bottom="0">
      <formula>0</formula>
    </cfRule>
  </conditionalFormatting>
  <conditionalFormatting sqref="I152">
    <cfRule type="cellIs" rank="0" priority="586" equalAverage="0" operator="greaterThan" aboveAverage="0" dxfId="7" text="" percent="0" bottom="0">
      <formula>0</formula>
    </cfRule>
  </conditionalFormatting>
  <conditionalFormatting sqref="K152">
    <cfRule type="cellIs" rank="0" priority="587" equalAverage="0" operator="greaterThan" aboveAverage="0" dxfId="7" text="" percent="0" bottom="0">
      <formula>0</formula>
    </cfRule>
  </conditionalFormatting>
  <conditionalFormatting sqref="N152">
    <cfRule type="cellIs" rank="0" priority="588" equalAverage="0" operator="greaterThan" aboveAverage="0" dxfId="7" text="" percent="0" bottom="0">
      <formula>0</formula>
    </cfRule>
    <cfRule type="cellIs" rank="0" priority="589" equalAverage="0" operator="lessThan" aboveAverage="0" dxfId="8" text="" percent="0" bottom="0">
      <formula>0</formula>
    </cfRule>
  </conditionalFormatting>
  <conditionalFormatting sqref="I153">
    <cfRule type="cellIs" rank="0" priority="590" equalAverage="0" operator="greaterThan" aboveAverage="0" dxfId="7" text="" percent="0" bottom="0">
      <formula>0</formula>
    </cfRule>
  </conditionalFormatting>
  <conditionalFormatting sqref="K153">
    <cfRule type="cellIs" rank="0" priority="591" equalAverage="0" operator="greaterThan" aboveAverage="0" dxfId="7" text="" percent="0" bottom="0">
      <formula>0</formula>
    </cfRule>
  </conditionalFormatting>
  <conditionalFormatting sqref="N153">
    <cfRule type="cellIs" rank="0" priority="592" equalAverage="0" operator="greaterThan" aboveAverage="0" dxfId="7" text="" percent="0" bottom="0">
      <formula>0</formula>
    </cfRule>
    <cfRule type="cellIs" rank="0" priority="593" equalAverage="0" operator="lessThan" aboveAverage="0" dxfId="8" text="" percent="0" bottom="0">
      <formula>0</formula>
    </cfRule>
  </conditionalFormatting>
  <conditionalFormatting sqref="I154">
    <cfRule type="cellIs" rank="0" priority="594" equalAverage="0" operator="greaterThan" aboveAverage="0" dxfId="7" text="" percent="0" bottom="0">
      <formula>0</formula>
    </cfRule>
  </conditionalFormatting>
  <conditionalFormatting sqref="K154">
    <cfRule type="cellIs" rank="0" priority="595" equalAverage="0" operator="greaterThan" aboveAverage="0" dxfId="7" text="" percent="0" bottom="0">
      <formula>0</formula>
    </cfRule>
  </conditionalFormatting>
  <conditionalFormatting sqref="N154">
    <cfRule type="cellIs" rank="0" priority="596" equalAverage="0" operator="greaterThan" aboveAverage="0" dxfId="7" text="" percent="0" bottom="0">
      <formula>0</formula>
    </cfRule>
    <cfRule type="cellIs" rank="0" priority="597" equalAverage="0" operator="lessThan" aboveAverage="0" dxfId="8" text="" percent="0" bottom="0">
      <formula>0</formula>
    </cfRule>
  </conditionalFormatting>
  <conditionalFormatting sqref="I155">
    <cfRule type="cellIs" rank="0" priority="598" equalAverage="0" operator="greaterThan" aboveAverage="0" dxfId="7" text="" percent="0" bottom="0">
      <formula>0</formula>
    </cfRule>
  </conditionalFormatting>
  <conditionalFormatting sqref="K155">
    <cfRule type="cellIs" rank="0" priority="599" equalAverage="0" operator="greaterThan" aboveAverage="0" dxfId="7" text="" percent="0" bottom="0">
      <formula>0</formula>
    </cfRule>
  </conditionalFormatting>
  <conditionalFormatting sqref="N155">
    <cfRule type="cellIs" rank="0" priority="600" equalAverage="0" operator="greaterThan" aboveAverage="0" dxfId="7" text="" percent="0" bottom="0">
      <formula>0</formula>
    </cfRule>
    <cfRule type="cellIs" rank="0" priority="601" equalAverage="0" operator="lessThan" aboveAverage="0" dxfId="8" text="" percent="0" bottom="0">
      <formula>0</formula>
    </cfRule>
  </conditionalFormatting>
  <conditionalFormatting sqref="I156">
    <cfRule type="cellIs" rank="0" priority="602" equalAverage="0" operator="greaterThan" aboveAverage="0" dxfId="7" text="" percent="0" bottom="0">
      <formula>0</formula>
    </cfRule>
  </conditionalFormatting>
  <conditionalFormatting sqref="K156">
    <cfRule type="cellIs" rank="0" priority="603" equalAverage="0" operator="greaterThan" aboveAverage="0" dxfId="7" text="" percent="0" bottom="0">
      <formula>0</formula>
    </cfRule>
  </conditionalFormatting>
  <conditionalFormatting sqref="N156">
    <cfRule type="cellIs" rank="0" priority="604" equalAverage="0" operator="greaterThan" aboveAverage="0" dxfId="7" text="" percent="0" bottom="0">
      <formula>0</formula>
    </cfRule>
    <cfRule type="cellIs" rank="0" priority="605" equalAverage="0" operator="lessThan" aboveAverage="0" dxfId="8" text="" percent="0" bottom="0">
      <formula>0</formula>
    </cfRule>
  </conditionalFormatting>
  <conditionalFormatting sqref="I157">
    <cfRule type="cellIs" rank="0" priority="606" equalAverage="0" operator="greaterThan" aboveAverage="0" dxfId="7" text="" percent="0" bottom="0">
      <formula>0</formula>
    </cfRule>
  </conditionalFormatting>
  <conditionalFormatting sqref="K157">
    <cfRule type="cellIs" rank="0" priority="607" equalAverage="0" operator="greaterThan" aboveAverage="0" dxfId="7" text="" percent="0" bottom="0">
      <formula>0</formula>
    </cfRule>
  </conditionalFormatting>
  <conditionalFormatting sqref="N157">
    <cfRule type="cellIs" rank="0" priority="608" equalAverage="0" operator="greaterThan" aboveAverage="0" dxfId="7" text="" percent="0" bottom="0">
      <formula>0</formula>
    </cfRule>
    <cfRule type="cellIs" rank="0" priority="609" equalAverage="0" operator="lessThan" aboveAverage="0" dxfId="8" text="" percent="0" bottom="0">
      <formula>0</formula>
    </cfRule>
  </conditionalFormatting>
  <conditionalFormatting sqref="I158">
    <cfRule type="cellIs" rank="0" priority="610" equalAverage="0" operator="greaterThan" aboveAverage="0" dxfId="7" text="" percent="0" bottom="0">
      <formula>0</formula>
    </cfRule>
  </conditionalFormatting>
  <conditionalFormatting sqref="K158">
    <cfRule type="cellIs" rank="0" priority="611" equalAverage="0" operator="greaterThan" aboveAverage="0" dxfId="7" text="" percent="0" bottom="0">
      <formula>0</formula>
    </cfRule>
  </conditionalFormatting>
  <conditionalFormatting sqref="N158">
    <cfRule type="cellIs" rank="0" priority="612" equalAverage="0" operator="greaterThan" aboveAverage="0" dxfId="7" text="" percent="0" bottom="0">
      <formula>0</formula>
    </cfRule>
    <cfRule type="cellIs" rank="0" priority="613" equalAverage="0" operator="lessThan" aboveAverage="0" dxfId="8" text="" percent="0" bottom="0">
      <formula>0</formula>
    </cfRule>
  </conditionalFormatting>
  <conditionalFormatting sqref="I159">
    <cfRule type="cellIs" rank="0" priority="614" equalAverage="0" operator="greaterThan" aboveAverage="0" dxfId="7" text="" percent="0" bottom="0">
      <formula>0</formula>
    </cfRule>
  </conditionalFormatting>
  <conditionalFormatting sqref="K159">
    <cfRule type="cellIs" rank="0" priority="615" equalAverage="0" operator="greaterThan" aboveAverage="0" dxfId="7" text="" percent="0" bottom="0">
      <formula>0</formula>
    </cfRule>
  </conditionalFormatting>
  <conditionalFormatting sqref="N159">
    <cfRule type="cellIs" rank="0" priority="616" equalAverage="0" operator="greaterThan" aboveAverage="0" dxfId="7" text="" percent="0" bottom="0">
      <formula>0</formula>
    </cfRule>
    <cfRule type="cellIs" rank="0" priority="617" equalAverage="0" operator="lessThan" aboveAverage="0" dxfId="8" text="" percent="0" bottom="0">
      <formula>0</formula>
    </cfRule>
  </conditionalFormatting>
  <conditionalFormatting sqref="I160">
    <cfRule type="cellIs" rank="0" priority="618" equalAverage="0" operator="greaterThan" aboveAverage="0" dxfId="7" text="" percent="0" bottom="0">
      <formula>0</formula>
    </cfRule>
  </conditionalFormatting>
  <conditionalFormatting sqref="K160">
    <cfRule type="cellIs" rank="0" priority="619" equalAverage="0" operator="greaterThan" aboveAverage="0" dxfId="7" text="" percent="0" bottom="0">
      <formula>0</formula>
    </cfRule>
  </conditionalFormatting>
  <conditionalFormatting sqref="N160">
    <cfRule type="cellIs" rank="0" priority="620" equalAverage="0" operator="greaterThan" aboveAverage="0" dxfId="7" text="" percent="0" bottom="0">
      <formula>0</formula>
    </cfRule>
    <cfRule type="cellIs" rank="0" priority="621" equalAverage="0" operator="lessThan" aboveAverage="0" dxfId="8" text="" percent="0" bottom="0">
      <formula>0</formula>
    </cfRule>
  </conditionalFormatting>
  <conditionalFormatting sqref="I161">
    <cfRule type="cellIs" rank="0" priority="622" equalAverage="0" operator="greaterThan" aboveAverage="0" dxfId="7" text="" percent="0" bottom="0">
      <formula>0</formula>
    </cfRule>
  </conditionalFormatting>
  <conditionalFormatting sqref="K161">
    <cfRule type="cellIs" rank="0" priority="623" equalAverage="0" operator="greaterThan" aboveAverage="0" dxfId="7" text="" percent="0" bottom="0">
      <formula>0</formula>
    </cfRule>
  </conditionalFormatting>
  <conditionalFormatting sqref="N161">
    <cfRule type="cellIs" rank="0" priority="624" equalAverage="0" operator="greaterThan" aboveAverage="0" dxfId="7" text="" percent="0" bottom="0">
      <formula>0</formula>
    </cfRule>
    <cfRule type="cellIs" rank="0" priority="625" equalAverage="0" operator="lessThan" aboveAverage="0" dxfId="8" text="" percent="0" bottom="0">
      <formula>0</formula>
    </cfRule>
  </conditionalFormatting>
  <conditionalFormatting sqref="I162">
    <cfRule type="cellIs" rank="0" priority="626" equalAverage="0" operator="greaterThan" aboveAverage="0" dxfId="7" text="" percent="0" bottom="0">
      <formula>0</formula>
    </cfRule>
  </conditionalFormatting>
  <conditionalFormatting sqref="K162">
    <cfRule type="cellIs" rank="0" priority="627" equalAverage="0" operator="greaterThan" aboveAverage="0" dxfId="7" text="" percent="0" bottom="0">
      <formula>0</formula>
    </cfRule>
  </conditionalFormatting>
  <conditionalFormatting sqref="N162">
    <cfRule type="cellIs" rank="0" priority="628" equalAverage="0" operator="greaterThan" aboveAverage="0" dxfId="7" text="" percent="0" bottom="0">
      <formula>0</formula>
    </cfRule>
    <cfRule type="cellIs" rank="0" priority="629" equalAverage="0" operator="lessThan" aboveAverage="0" dxfId="8" text="" percent="0" bottom="0">
      <formula>0</formula>
    </cfRule>
  </conditionalFormatting>
  <conditionalFormatting sqref="I163">
    <cfRule type="cellIs" rank="0" priority="630" equalAverage="0" operator="greaterThan" aboveAverage="0" dxfId="7" text="" percent="0" bottom="0">
      <formula>0</formula>
    </cfRule>
  </conditionalFormatting>
  <conditionalFormatting sqref="K163">
    <cfRule type="cellIs" rank="0" priority="631" equalAverage="0" operator="greaterThan" aboveAverage="0" dxfId="7" text="" percent="0" bottom="0">
      <formula>0</formula>
    </cfRule>
  </conditionalFormatting>
  <conditionalFormatting sqref="N163">
    <cfRule type="cellIs" rank="0" priority="632" equalAverage="0" operator="greaterThan" aboveAverage="0" dxfId="7" text="" percent="0" bottom="0">
      <formula>0</formula>
    </cfRule>
    <cfRule type="cellIs" rank="0" priority="633" equalAverage="0" operator="lessThan" aboveAverage="0" dxfId="8" text="" percent="0" bottom="0">
      <formula>0</formula>
    </cfRule>
  </conditionalFormatting>
  <conditionalFormatting sqref="I164">
    <cfRule type="cellIs" rank="0" priority="634" equalAverage="0" operator="greaterThan" aboveAverage="0" dxfId="7" text="" percent="0" bottom="0">
      <formula>0</formula>
    </cfRule>
  </conditionalFormatting>
  <conditionalFormatting sqref="K164">
    <cfRule type="cellIs" rank="0" priority="635" equalAverage="0" operator="greaterThan" aboveAverage="0" dxfId="7" text="" percent="0" bottom="0">
      <formula>0</formula>
    </cfRule>
  </conditionalFormatting>
  <conditionalFormatting sqref="N164">
    <cfRule type="cellIs" rank="0" priority="636" equalAverage="0" operator="greaterThan" aboveAverage="0" dxfId="7" text="" percent="0" bottom="0">
      <formula>0</formula>
    </cfRule>
    <cfRule type="cellIs" rank="0" priority="637" equalAverage="0" operator="lessThan" aboveAverage="0" dxfId="8" text="" percent="0" bottom="0">
      <formula>0</formula>
    </cfRule>
  </conditionalFormatting>
  <conditionalFormatting sqref="I165">
    <cfRule type="cellIs" rank="0" priority="638" equalAverage="0" operator="greaterThan" aboveAverage="0" dxfId="7" text="" percent="0" bottom="0">
      <formula>0</formula>
    </cfRule>
  </conditionalFormatting>
  <conditionalFormatting sqref="K165">
    <cfRule type="cellIs" rank="0" priority="639" equalAverage="0" operator="greaterThan" aboveAverage="0" dxfId="7" text="" percent="0" bottom="0">
      <formula>0</formula>
    </cfRule>
  </conditionalFormatting>
  <conditionalFormatting sqref="N165">
    <cfRule type="cellIs" rank="0" priority="640" equalAverage="0" operator="greaterThan" aboveAverage="0" dxfId="7" text="" percent="0" bottom="0">
      <formula>0</formula>
    </cfRule>
    <cfRule type="cellIs" rank="0" priority="641" equalAverage="0" operator="lessThan" aboveAverage="0" dxfId="8" text="" percent="0" bottom="0">
      <formula>0</formula>
    </cfRule>
  </conditionalFormatting>
  <conditionalFormatting sqref="I166">
    <cfRule type="cellIs" rank="0" priority="642" equalAverage="0" operator="greaterThan" aboveAverage="0" dxfId="7" text="" percent="0" bottom="0">
      <formula>0</formula>
    </cfRule>
  </conditionalFormatting>
  <conditionalFormatting sqref="K166">
    <cfRule type="cellIs" rank="0" priority="643" equalAverage="0" operator="greaterThan" aboveAverage="0" dxfId="7" text="" percent="0" bottom="0">
      <formula>0</formula>
    </cfRule>
  </conditionalFormatting>
  <conditionalFormatting sqref="N166">
    <cfRule type="cellIs" rank="0" priority="644" equalAverage="0" operator="greaterThan" aboveAverage="0" dxfId="7" text="" percent="0" bottom="0">
      <formula>0</formula>
    </cfRule>
    <cfRule type="cellIs" rank="0" priority="645" equalAverage="0" operator="lessThan" aboveAverage="0" dxfId="8" text="" percent="0" bottom="0">
      <formula>0</formula>
    </cfRule>
  </conditionalFormatting>
  <conditionalFormatting sqref="I167">
    <cfRule type="cellIs" rank="0" priority="646" equalAverage="0" operator="greaterThan" aboveAverage="0" dxfId="7" text="" percent="0" bottom="0">
      <formula>0</formula>
    </cfRule>
  </conditionalFormatting>
  <conditionalFormatting sqref="K167">
    <cfRule type="cellIs" rank="0" priority="647" equalAverage="0" operator="greaterThan" aboveAverage="0" dxfId="7" text="" percent="0" bottom="0">
      <formula>0</formula>
    </cfRule>
  </conditionalFormatting>
  <conditionalFormatting sqref="N167">
    <cfRule type="cellIs" rank="0" priority="648" equalAverage="0" operator="greaterThan" aboveAverage="0" dxfId="7" text="" percent="0" bottom="0">
      <formula>0</formula>
    </cfRule>
    <cfRule type="cellIs" rank="0" priority="649" equalAverage="0" operator="lessThan" aboveAverage="0" dxfId="8" text="" percent="0" bottom="0">
      <formula>0</formula>
    </cfRule>
  </conditionalFormatting>
  <conditionalFormatting sqref="I168">
    <cfRule type="cellIs" rank="0" priority="650" equalAverage="0" operator="greaterThan" aboveAverage="0" dxfId="7" text="" percent="0" bottom="0">
      <formula>0</formula>
    </cfRule>
  </conditionalFormatting>
  <conditionalFormatting sqref="K168">
    <cfRule type="cellIs" rank="0" priority="651" equalAverage="0" operator="greaterThan" aboveAverage="0" dxfId="7" text="" percent="0" bottom="0">
      <formula>0</formula>
    </cfRule>
  </conditionalFormatting>
  <conditionalFormatting sqref="N168">
    <cfRule type="cellIs" rank="0" priority="652" equalAverage="0" operator="greaterThan" aboveAverage="0" dxfId="7" text="" percent="0" bottom="0">
      <formula>0</formula>
    </cfRule>
    <cfRule type="cellIs" rank="0" priority="653" equalAverage="0" operator="lessThan" aboveAverage="0" dxfId="8" text="" percent="0" bottom="0">
      <formula>0</formula>
    </cfRule>
  </conditionalFormatting>
  <conditionalFormatting sqref="I169">
    <cfRule type="cellIs" rank="0" priority="654" equalAverage="0" operator="greaterThan" aboveAverage="0" dxfId="7" text="" percent="0" bottom="0">
      <formula>0</formula>
    </cfRule>
  </conditionalFormatting>
  <conditionalFormatting sqref="K169">
    <cfRule type="cellIs" rank="0" priority="655" equalAverage="0" operator="greaterThan" aboveAverage="0" dxfId="7" text="" percent="0" bottom="0">
      <formula>0</formula>
    </cfRule>
  </conditionalFormatting>
  <conditionalFormatting sqref="N169">
    <cfRule type="cellIs" rank="0" priority="656" equalAverage="0" operator="greaterThan" aboveAverage="0" dxfId="7" text="" percent="0" bottom="0">
      <formula>0</formula>
    </cfRule>
    <cfRule type="cellIs" rank="0" priority="657" equalAverage="0" operator="lessThan" aboveAverage="0" dxfId="8" text="" percent="0" bottom="0">
      <formula>0</formula>
    </cfRule>
  </conditionalFormatting>
  <conditionalFormatting sqref="I170">
    <cfRule type="cellIs" rank="0" priority="658" equalAverage="0" operator="greaterThan" aboveAverage="0" dxfId="7" text="" percent="0" bottom="0">
      <formula>0</formula>
    </cfRule>
  </conditionalFormatting>
  <conditionalFormatting sqref="K170">
    <cfRule type="cellIs" rank="0" priority="659" equalAverage="0" operator="greaterThan" aboveAverage="0" dxfId="7" text="" percent="0" bottom="0">
      <formula>0</formula>
    </cfRule>
  </conditionalFormatting>
  <conditionalFormatting sqref="N170">
    <cfRule type="cellIs" rank="0" priority="660" equalAverage="0" operator="greaterThan" aboveAverage="0" dxfId="7" text="" percent="0" bottom="0">
      <formula>0</formula>
    </cfRule>
    <cfRule type="cellIs" rank="0" priority="661" equalAverage="0" operator="lessThan" aboveAverage="0" dxfId="8" text="" percent="0" bottom="0">
      <formula>0</formula>
    </cfRule>
  </conditionalFormatting>
  <conditionalFormatting sqref="I171">
    <cfRule type="cellIs" rank="0" priority="662" equalAverage="0" operator="greaterThan" aboveAverage="0" dxfId="7" text="" percent="0" bottom="0">
      <formula>0</formula>
    </cfRule>
  </conditionalFormatting>
  <conditionalFormatting sqref="K171">
    <cfRule type="cellIs" rank="0" priority="663" equalAverage="0" operator="greaterThan" aboveAverage="0" dxfId="7" text="" percent="0" bottom="0">
      <formula>0</formula>
    </cfRule>
  </conditionalFormatting>
  <conditionalFormatting sqref="N171">
    <cfRule type="cellIs" rank="0" priority="664" equalAverage="0" operator="greaterThan" aboveAverage="0" dxfId="7" text="" percent="0" bottom="0">
      <formula>0</formula>
    </cfRule>
    <cfRule type="cellIs" rank="0" priority="665" equalAverage="0" operator="lessThan" aboveAverage="0" dxfId="8" text="" percent="0" bottom="0">
      <formula>0</formula>
    </cfRule>
  </conditionalFormatting>
  <conditionalFormatting sqref="I172">
    <cfRule type="cellIs" rank="0" priority="666" equalAverage="0" operator="greaterThan" aboveAverage="0" dxfId="7" text="" percent="0" bottom="0">
      <formula>0</formula>
    </cfRule>
  </conditionalFormatting>
  <conditionalFormatting sqref="K172">
    <cfRule type="cellIs" rank="0" priority="667" equalAverage="0" operator="greaterThan" aboveAverage="0" dxfId="7" text="" percent="0" bottom="0">
      <formula>0</formula>
    </cfRule>
  </conditionalFormatting>
  <conditionalFormatting sqref="N172">
    <cfRule type="cellIs" rank="0" priority="668" equalAverage="0" operator="greaterThan" aboveAverage="0" dxfId="7" text="" percent="0" bottom="0">
      <formula>0</formula>
    </cfRule>
    <cfRule type="cellIs" rank="0" priority="669" equalAverage="0" operator="lessThan" aboveAverage="0" dxfId="8" text="" percent="0" bottom="0">
      <formula>0</formula>
    </cfRule>
  </conditionalFormatting>
  <conditionalFormatting sqref="I173">
    <cfRule type="cellIs" rank="0" priority="670" equalAverage="0" operator="greaterThan" aboveAverage="0" dxfId="7" text="" percent="0" bottom="0">
      <formula>0</formula>
    </cfRule>
  </conditionalFormatting>
  <conditionalFormatting sqref="K173">
    <cfRule type="cellIs" rank="0" priority="671" equalAverage="0" operator="greaterThan" aboveAverage="0" dxfId="7" text="" percent="0" bottom="0">
      <formula>0</formula>
    </cfRule>
  </conditionalFormatting>
  <conditionalFormatting sqref="N173">
    <cfRule type="cellIs" rank="0" priority="672" equalAverage="0" operator="greaterThan" aboveAverage="0" dxfId="7" text="" percent="0" bottom="0">
      <formula>0</formula>
    </cfRule>
    <cfRule type="cellIs" rank="0" priority="673" equalAverage="0" operator="lessThan" aboveAverage="0" dxfId="8" text="" percent="0" bottom="0">
      <formula>0</formula>
    </cfRule>
  </conditionalFormatting>
  <conditionalFormatting sqref="I174">
    <cfRule type="cellIs" rank="0" priority="674" equalAverage="0" operator="greaterThan" aboveAverage="0" dxfId="7" text="" percent="0" bottom="0">
      <formula>0</formula>
    </cfRule>
  </conditionalFormatting>
  <conditionalFormatting sqref="K174">
    <cfRule type="cellIs" rank="0" priority="675" equalAverage="0" operator="greaterThan" aboveAverage="0" dxfId="7" text="" percent="0" bottom="0">
      <formula>0</formula>
    </cfRule>
  </conditionalFormatting>
  <conditionalFormatting sqref="N174">
    <cfRule type="cellIs" rank="0" priority="676" equalAverage="0" operator="greaterThan" aboveAverage="0" dxfId="7" text="" percent="0" bottom="0">
      <formula>0</formula>
    </cfRule>
    <cfRule type="cellIs" rank="0" priority="677" equalAverage="0" operator="lessThan" aboveAverage="0" dxfId="8" text="" percent="0" bottom="0">
      <formula>0</formula>
    </cfRule>
  </conditionalFormatting>
  <conditionalFormatting sqref="I175">
    <cfRule type="cellIs" rank="0" priority="678" equalAverage="0" operator="greaterThan" aboveAverage="0" dxfId="7" text="" percent="0" bottom="0">
      <formula>0</formula>
    </cfRule>
  </conditionalFormatting>
  <conditionalFormatting sqref="K175">
    <cfRule type="cellIs" rank="0" priority="679" equalAverage="0" operator="greaterThan" aboveAverage="0" dxfId="7" text="" percent="0" bottom="0">
      <formula>0</formula>
    </cfRule>
  </conditionalFormatting>
  <conditionalFormatting sqref="N175">
    <cfRule type="cellIs" rank="0" priority="680" equalAverage="0" operator="greaterThan" aboveAverage="0" dxfId="7" text="" percent="0" bottom="0">
      <formula>0</formula>
    </cfRule>
    <cfRule type="cellIs" rank="0" priority="681" equalAverage="0" operator="lessThan" aboveAverage="0" dxfId="8" text="" percent="0" bottom="0">
      <formula>0</formula>
    </cfRule>
  </conditionalFormatting>
  <conditionalFormatting sqref="I176">
    <cfRule type="cellIs" rank="0" priority="682" equalAverage="0" operator="greaterThan" aboveAverage="0" dxfId="7" text="" percent="0" bottom="0">
      <formula>0</formula>
    </cfRule>
  </conditionalFormatting>
  <conditionalFormatting sqref="K176">
    <cfRule type="cellIs" rank="0" priority="683" equalAverage="0" operator="greaterThan" aboveAverage="0" dxfId="7" text="" percent="0" bottom="0">
      <formula>0</formula>
    </cfRule>
  </conditionalFormatting>
  <conditionalFormatting sqref="N176">
    <cfRule type="cellIs" rank="0" priority="684" equalAverage="0" operator="greaterThan" aboveAverage="0" dxfId="7" text="" percent="0" bottom="0">
      <formula>0</formula>
    </cfRule>
    <cfRule type="cellIs" rank="0" priority="685" equalAverage="0" operator="lessThan" aboveAverage="0" dxfId="8" text="" percent="0" bottom="0">
      <formula>0</formula>
    </cfRule>
  </conditionalFormatting>
  <conditionalFormatting sqref="I177">
    <cfRule type="cellIs" rank="0" priority="686" equalAverage="0" operator="greaterThan" aboveAverage="0" dxfId="7" text="" percent="0" bottom="0">
      <formula>0</formula>
    </cfRule>
  </conditionalFormatting>
  <conditionalFormatting sqref="K177">
    <cfRule type="cellIs" rank="0" priority="687" equalAverage="0" operator="greaterThan" aboveAverage="0" dxfId="7" text="" percent="0" bottom="0">
      <formula>0</formula>
    </cfRule>
  </conditionalFormatting>
  <conditionalFormatting sqref="N177">
    <cfRule type="cellIs" rank="0" priority="688" equalAverage="0" operator="greaterThan" aboveAverage="0" dxfId="7" text="" percent="0" bottom="0">
      <formula>0</formula>
    </cfRule>
    <cfRule type="cellIs" rank="0" priority="689" equalAverage="0" operator="lessThan" aboveAverage="0" dxfId="8" text="" percent="0" bottom="0">
      <formula>0</formula>
    </cfRule>
  </conditionalFormatting>
  <conditionalFormatting sqref="I178">
    <cfRule type="cellIs" rank="0" priority="690" equalAverage="0" operator="greaterThan" aboveAverage="0" dxfId="7" text="" percent="0" bottom="0">
      <formula>0</formula>
    </cfRule>
  </conditionalFormatting>
  <conditionalFormatting sqref="K178">
    <cfRule type="cellIs" rank="0" priority="691" equalAverage="0" operator="greaterThan" aboveAverage="0" dxfId="7" text="" percent="0" bottom="0">
      <formula>0</formula>
    </cfRule>
  </conditionalFormatting>
  <conditionalFormatting sqref="N178">
    <cfRule type="cellIs" rank="0" priority="692" equalAverage="0" operator="greaterThan" aboveAverage="0" dxfId="7" text="" percent="0" bottom="0">
      <formula>0</formula>
    </cfRule>
    <cfRule type="cellIs" rank="0" priority="693" equalAverage="0" operator="lessThan" aboveAverage="0" dxfId="8" text="" percent="0" bottom="0">
      <formula>0</formula>
    </cfRule>
  </conditionalFormatting>
  <conditionalFormatting sqref="I179">
    <cfRule type="cellIs" rank="0" priority="694" equalAverage="0" operator="greaterThan" aboveAverage="0" dxfId="7" text="" percent="0" bottom="0">
      <formula>0</formula>
    </cfRule>
  </conditionalFormatting>
  <conditionalFormatting sqref="K179">
    <cfRule type="cellIs" rank="0" priority="695" equalAverage="0" operator="greaterThan" aboveAverage="0" dxfId="7" text="" percent="0" bottom="0">
      <formula>0</formula>
    </cfRule>
  </conditionalFormatting>
  <conditionalFormatting sqref="N179">
    <cfRule type="cellIs" rank="0" priority="696" equalAverage="0" operator="greaterThan" aboveAverage="0" dxfId="7" text="" percent="0" bottom="0">
      <formula>0</formula>
    </cfRule>
    <cfRule type="cellIs" rank="0" priority="697" equalAverage="0" operator="lessThan" aboveAverage="0" dxfId="8" text="" percent="0" bottom="0">
      <formula>0</formula>
    </cfRule>
  </conditionalFormatting>
  <conditionalFormatting sqref="I180">
    <cfRule type="cellIs" rank="0" priority="698" equalAverage="0" operator="greaterThan" aboveAverage="0" dxfId="7" text="" percent="0" bottom="0">
      <formula>0</formula>
    </cfRule>
  </conditionalFormatting>
  <conditionalFormatting sqref="K180">
    <cfRule type="cellIs" rank="0" priority="699" equalAverage="0" operator="greaterThan" aboveAverage="0" dxfId="7" text="" percent="0" bottom="0">
      <formula>0</formula>
    </cfRule>
  </conditionalFormatting>
  <conditionalFormatting sqref="N180">
    <cfRule type="cellIs" rank="0" priority="700" equalAverage="0" operator="greaterThan" aboveAverage="0" dxfId="7" text="" percent="0" bottom="0">
      <formula>0</formula>
    </cfRule>
    <cfRule type="cellIs" rank="0" priority="701" equalAverage="0" operator="lessThan" aboveAverage="0" dxfId="8" text="" percent="0" bottom="0">
      <formula>0</formula>
    </cfRule>
  </conditionalFormatting>
  <conditionalFormatting sqref="I181">
    <cfRule type="cellIs" rank="0" priority="702" equalAverage="0" operator="greaterThan" aboveAverage="0" dxfId="7" text="" percent="0" bottom="0">
      <formula>0</formula>
    </cfRule>
  </conditionalFormatting>
  <conditionalFormatting sqref="K181">
    <cfRule type="cellIs" rank="0" priority="703" equalAverage="0" operator="greaterThan" aboveAverage="0" dxfId="7" text="" percent="0" bottom="0">
      <formula>0</formula>
    </cfRule>
  </conditionalFormatting>
  <conditionalFormatting sqref="N181">
    <cfRule type="cellIs" rank="0" priority="704" equalAverage="0" operator="greaterThan" aboveAverage="0" dxfId="7" text="" percent="0" bottom="0">
      <formula>0</formula>
    </cfRule>
    <cfRule type="cellIs" rank="0" priority="705" equalAverage="0" operator="lessThan" aboveAverage="0" dxfId="8" text="" percent="0" bottom="0">
      <formula>0</formula>
    </cfRule>
  </conditionalFormatting>
  <conditionalFormatting sqref="I182">
    <cfRule type="cellIs" rank="0" priority="706" equalAverage="0" operator="greaterThan" aboveAverage="0" dxfId="7" text="" percent="0" bottom="0">
      <formula>0</formula>
    </cfRule>
  </conditionalFormatting>
  <conditionalFormatting sqref="K182">
    <cfRule type="cellIs" rank="0" priority="707" equalAverage="0" operator="greaterThan" aboveAverage="0" dxfId="7" text="" percent="0" bottom="0">
      <formula>0</formula>
    </cfRule>
  </conditionalFormatting>
  <conditionalFormatting sqref="N182">
    <cfRule type="cellIs" rank="0" priority="708" equalAverage="0" operator="greaterThan" aboveAverage="0" dxfId="7" text="" percent="0" bottom="0">
      <formula>0</formula>
    </cfRule>
    <cfRule type="cellIs" rank="0" priority="709" equalAverage="0" operator="lessThan" aboveAverage="0" dxfId="8" text="" percent="0" bottom="0">
      <formula>0</formula>
    </cfRule>
  </conditionalFormatting>
  <conditionalFormatting sqref="I183">
    <cfRule type="cellIs" rank="0" priority="710" equalAverage="0" operator="greaterThan" aboveAverage="0" dxfId="7" text="" percent="0" bottom="0">
      <formula>0</formula>
    </cfRule>
  </conditionalFormatting>
  <conditionalFormatting sqref="K183">
    <cfRule type="cellIs" rank="0" priority="711" equalAverage="0" operator="greaterThan" aboveAverage="0" dxfId="7" text="" percent="0" bottom="0">
      <formula>0</formula>
    </cfRule>
  </conditionalFormatting>
  <conditionalFormatting sqref="N183">
    <cfRule type="cellIs" rank="0" priority="712" equalAverage="0" operator="greaterThan" aboveAverage="0" dxfId="7" text="" percent="0" bottom="0">
      <formula>0</formula>
    </cfRule>
    <cfRule type="cellIs" rank="0" priority="713" equalAverage="0" operator="lessThan" aboveAverage="0" dxfId="8" text="" percent="0" bottom="0">
      <formula>0</formula>
    </cfRule>
  </conditionalFormatting>
  <conditionalFormatting sqref="I184">
    <cfRule type="cellIs" rank="0" priority="714" equalAverage="0" operator="greaterThan" aboveAverage="0" dxfId="7" text="" percent="0" bottom="0">
      <formula>0</formula>
    </cfRule>
  </conditionalFormatting>
  <conditionalFormatting sqref="K184">
    <cfRule type="cellIs" rank="0" priority="715" equalAverage="0" operator="greaterThan" aboveAverage="0" dxfId="7" text="" percent="0" bottom="0">
      <formula>0</formula>
    </cfRule>
  </conditionalFormatting>
  <conditionalFormatting sqref="N184">
    <cfRule type="cellIs" rank="0" priority="716" equalAverage="0" operator="greaterThan" aboveAverage="0" dxfId="7" text="" percent="0" bottom="0">
      <formula>0</formula>
    </cfRule>
    <cfRule type="cellIs" rank="0" priority="717" equalAverage="0" operator="lessThan" aboveAverage="0" dxfId="8" text="" percent="0" bottom="0">
      <formula>0</formula>
    </cfRule>
  </conditionalFormatting>
  <conditionalFormatting sqref="I185">
    <cfRule type="cellIs" rank="0" priority="718" equalAverage="0" operator="greaterThan" aboveAverage="0" dxfId="7" text="" percent="0" bottom="0">
      <formula>0</formula>
    </cfRule>
  </conditionalFormatting>
  <conditionalFormatting sqref="K185">
    <cfRule type="cellIs" rank="0" priority="719" equalAverage="0" operator="greaterThan" aboveAverage="0" dxfId="7" text="" percent="0" bottom="0">
      <formula>0</formula>
    </cfRule>
  </conditionalFormatting>
  <conditionalFormatting sqref="N185">
    <cfRule type="cellIs" rank="0" priority="720" equalAverage="0" operator="greaterThan" aboveAverage="0" dxfId="7" text="" percent="0" bottom="0">
      <formula>0</formula>
    </cfRule>
    <cfRule type="cellIs" rank="0" priority="721" equalAverage="0" operator="lessThan" aboveAverage="0" dxfId="8" text="" percent="0" bottom="0">
      <formula>0</formula>
    </cfRule>
  </conditionalFormatting>
  <conditionalFormatting sqref="I186">
    <cfRule type="cellIs" rank="0" priority="722" equalAverage="0" operator="greaterThan" aboveAverage="0" dxfId="7" text="" percent="0" bottom="0">
      <formula>0</formula>
    </cfRule>
  </conditionalFormatting>
  <conditionalFormatting sqref="K186">
    <cfRule type="cellIs" rank="0" priority="723" equalAverage="0" operator="greaterThan" aboveAverage="0" dxfId="7" text="" percent="0" bottom="0">
      <formula>0</formula>
    </cfRule>
  </conditionalFormatting>
  <conditionalFormatting sqref="N186">
    <cfRule type="cellIs" rank="0" priority="724" equalAverage="0" operator="greaterThan" aboveAverage="0" dxfId="7" text="" percent="0" bottom="0">
      <formula>0</formula>
    </cfRule>
    <cfRule type="cellIs" rank="0" priority="725" equalAverage="0" operator="lessThan" aboveAverage="0" dxfId="8" text="" percent="0" bottom="0">
      <formula>0</formula>
    </cfRule>
  </conditionalFormatting>
  <conditionalFormatting sqref="I187">
    <cfRule type="cellIs" rank="0" priority="726" equalAverage="0" operator="greaterThan" aboveAverage="0" dxfId="7" text="" percent="0" bottom="0">
      <formula>0</formula>
    </cfRule>
  </conditionalFormatting>
  <conditionalFormatting sqref="K187">
    <cfRule type="cellIs" rank="0" priority="727" equalAverage="0" operator="greaterThan" aboveAverage="0" dxfId="7" text="" percent="0" bottom="0">
      <formula>0</formula>
    </cfRule>
  </conditionalFormatting>
  <conditionalFormatting sqref="N187">
    <cfRule type="cellIs" rank="0" priority="728" equalAverage="0" operator="greaterThan" aboveAverage="0" dxfId="7" text="" percent="0" bottom="0">
      <formula>0</formula>
    </cfRule>
    <cfRule type="cellIs" rank="0" priority="729" equalAverage="0" operator="lessThan" aboveAverage="0" dxfId="8" text="" percent="0" bottom="0">
      <formula>0</formula>
    </cfRule>
  </conditionalFormatting>
  <conditionalFormatting sqref="I188">
    <cfRule type="cellIs" rank="0" priority="730" equalAverage="0" operator="greaterThan" aboveAverage="0" dxfId="7" text="" percent="0" bottom="0">
      <formula>0</formula>
    </cfRule>
  </conditionalFormatting>
  <conditionalFormatting sqref="K188">
    <cfRule type="cellIs" rank="0" priority="731" equalAverage="0" operator="greaterThan" aboveAverage="0" dxfId="7" text="" percent="0" bottom="0">
      <formula>0</formula>
    </cfRule>
  </conditionalFormatting>
  <conditionalFormatting sqref="N188">
    <cfRule type="cellIs" rank="0" priority="732" equalAverage="0" operator="greaterThan" aboveAverage="0" dxfId="7" text="" percent="0" bottom="0">
      <formula>0</formula>
    </cfRule>
    <cfRule type="cellIs" rank="0" priority="733" equalAverage="0" operator="lessThan" aboveAverage="0" dxfId="8" text="" percent="0" bottom="0">
      <formula>0</formula>
    </cfRule>
  </conditionalFormatting>
  <conditionalFormatting sqref="I189">
    <cfRule type="cellIs" rank="0" priority="734" equalAverage="0" operator="greaterThan" aboveAverage="0" dxfId="7" text="" percent="0" bottom="0">
      <formula>0</formula>
    </cfRule>
  </conditionalFormatting>
  <conditionalFormatting sqref="K189">
    <cfRule type="cellIs" rank="0" priority="735" equalAverage="0" operator="greaterThan" aboveAverage="0" dxfId="7" text="" percent="0" bottom="0">
      <formula>0</formula>
    </cfRule>
  </conditionalFormatting>
  <conditionalFormatting sqref="N189">
    <cfRule type="cellIs" rank="0" priority="736" equalAverage="0" operator="greaterThan" aboveAverage="0" dxfId="7" text="" percent="0" bottom="0">
      <formula>0</formula>
    </cfRule>
    <cfRule type="cellIs" rank="0" priority="737" equalAverage="0" operator="lessThan" aboveAverage="0" dxfId="8" text="" percent="0" bottom="0">
      <formula>0</formula>
    </cfRule>
  </conditionalFormatting>
  <conditionalFormatting sqref="I190">
    <cfRule type="cellIs" rank="0" priority="738" equalAverage="0" operator="greaterThan" aboveAverage="0" dxfId="7" text="" percent="0" bottom="0">
      <formula>0</formula>
    </cfRule>
  </conditionalFormatting>
  <conditionalFormatting sqref="K190">
    <cfRule type="cellIs" rank="0" priority="739" equalAverage="0" operator="greaterThan" aboveAverage="0" dxfId="7" text="" percent="0" bottom="0">
      <formula>0</formula>
    </cfRule>
  </conditionalFormatting>
  <conditionalFormatting sqref="N190">
    <cfRule type="cellIs" rank="0" priority="740" equalAverage="0" operator="greaterThan" aboveAverage="0" dxfId="7" text="" percent="0" bottom="0">
      <formula>0</formula>
    </cfRule>
    <cfRule type="cellIs" rank="0" priority="741" equalAverage="0" operator="lessThan" aboveAverage="0" dxfId="8" text="" percent="0" bottom="0">
      <formula>0</formula>
    </cfRule>
  </conditionalFormatting>
  <conditionalFormatting sqref="I191">
    <cfRule type="cellIs" rank="0" priority="742" equalAverage="0" operator="greaterThan" aboveAverage="0" dxfId="7" text="" percent="0" bottom="0">
      <formula>0</formula>
    </cfRule>
  </conditionalFormatting>
  <conditionalFormatting sqref="K191">
    <cfRule type="cellIs" rank="0" priority="743" equalAverage="0" operator="greaterThan" aboveAverage="0" dxfId="7" text="" percent="0" bottom="0">
      <formula>0</formula>
    </cfRule>
  </conditionalFormatting>
  <conditionalFormatting sqref="N191">
    <cfRule type="cellIs" rank="0" priority="744" equalAverage="0" operator="greaterThan" aboveAverage="0" dxfId="7" text="" percent="0" bottom="0">
      <formula>0</formula>
    </cfRule>
    <cfRule type="cellIs" rank="0" priority="745" equalAverage="0" operator="lessThan" aboveAverage="0" dxfId="8" text="" percent="0" bottom="0">
      <formula>0</formula>
    </cfRule>
  </conditionalFormatting>
  <conditionalFormatting sqref="I192">
    <cfRule type="cellIs" rank="0" priority="746" equalAverage="0" operator="greaterThan" aboveAverage="0" dxfId="7" text="" percent="0" bottom="0">
      <formula>0</formula>
    </cfRule>
  </conditionalFormatting>
  <conditionalFormatting sqref="K192">
    <cfRule type="cellIs" rank="0" priority="747" equalAverage="0" operator="greaterThan" aboveAverage="0" dxfId="7" text="" percent="0" bottom="0">
      <formula>0</formula>
    </cfRule>
  </conditionalFormatting>
  <conditionalFormatting sqref="N192">
    <cfRule type="cellIs" rank="0" priority="748" equalAverage="0" operator="greaterThan" aboveAverage="0" dxfId="7" text="" percent="0" bottom="0">
      <formula>0</formula>
    </cfRule>
    <cfRule type="cellIs" rank="0" priority="749" equalAverage="0" operator="lessThan" aboveAverage="0" dxfId="8" text="" percent="0" bottom="0">
      <formula>0</formula>
    </cfRule>
  </conditionalFormatting>
  <conditionalFormatting sqref="I193">
    <cfRule type="cellIs" rank="0" priority="750" equalAverage="0" operator="greaterThan" aboveAverage="0" dxfId="7" text="" percent="0" bottom="0">
      <formula>0</formula>
    </cfRule>
  </conditionalFormatting>
  <conditionalFormatting sqref="K193">
    <cfRule type="cellIs" rank="0" priority="751" equalAverage="0" operator="greaterThan" aboveAverage="0" dxfId="7" text="" percent="0" bottom="0">
      <formula>0</formula>
    </cfRule>
  </conditionalFormatting>
  <conditionalFormatting sqref="N193">
    <cfRule type="cellIs" rank="0" priority="752" equalAverage="0" operator="greaterThan" aboveAverage="0" dxfId="7" text="" percent="0" bottom="0">
      <formula>0</formula>
    </cfRule>
    <cfRule type="cellIs" rank="0" priority="753" equalAverage="0" operator="lessThan" aboveAverage="0" dxfId="8" text="" percent="0" bottom="0">
      <formula>0</formula>
    </cfRule>
  </conditionalFormatting>
  <conditionalFormatting sqref="I194">
    <cfRule type="cellIs" rank="0" priority="754" equalAverage="0" operator="greaterThan" aboveAverage="0" dxfId="7" text="" percent="0" bottom="0">
      <formula>0</formula>
    </cfRule>
  </conditionalFormatting>
  <conditionalFormatting sqref="K194">
    <cfRule type="cellIs" rank="0" priority="755" equalAverage="0" operator="greaterThan" aboveAverage="0" dxfId="7" text="" percent="0" bottom="0">
      <formula>0</formula>
    </cfRule>
  </conditionalFormatting>
  <conditionalFormatting sqref="N194">
    <cfRule type="cellIs" rank="0" priority="756" equalAverage="0" operator="greaterThan" aboveAverage="0" dxfId="7" text="" percent="0" bottom="0">
      <formula>0</formula>
    </cfRule>
    <cfRule type="cellIs" rank="0" priority="757" equalAverage="0" operator="lessThan" aboveAverage="0" dxfId="8" text="" percent="0" bottom="0">
      <formula>0</formula>
    </cfRule>
  </conditionalFormatting>
  <conditionalFormatting sqref="I195">
    <cfRule type="cellIs" rank="0" priority="758" equalAverage="0" operator="greaterThan" aboveAverage="0" dxfId="7" text="" percent="0" bottom="0">
      <formula>0</formula>
    </cfRule>
  </conditionalFormatting>
  <conditionalFormatting sqref="K195">
    <cfRule type="cellIs" rank="0" priority="759" equalAverage="0" operator="greaterThan" aboveAverage="0" dxfId="7" text="" percent="0" bottom="0">
      <formula>0</formula>
    </cfRule>
  </conditionalFormatting>
  <conditionalFormatting sqref="N195">
    <cfRule type="cellIs" rank="0" priority="760" equalAverage="0" operator="greaterThan" aboveAverage="0" dxfId="7" text="" percent="0" bottom="0">
      <formula>0</formula>
    </cfRule>
    <cfRule type="cellIs" rank="0" priority="761" equalAverage="0" operator="lessThan" aboveAverage="0" dxfId="8" text="" percent="0" bottom="0">
      <formula>0</formula>
    </cfRule>
  </conditionalFormatting>
  <conditionalFormatting sqref="I196">
    <cfRule type="cellIs" rank="0" priority="762" equalAverage="0" operator="greaterThan" aboveAverage="0" dxfId="7" text="" percent="0" bottom="0">
      <formula>0</formula>
    </cfRule>
  </conditionalFormatting>
  <conditionalFormatting sqref="K196">
    <cfRule type="cellIs" rank="0" priority="763" equalAverage="0" operator="greaterThan" aboveAverage="0" dxfId="7" text="" percent="0" bottom="0">
      <formula>0</formula>
    </cfRule>
  </conditionalFormatting>
  <conditionalFormatting sqref="N196">
    <cfRule type="cellIs" rank="0" priority="764" equalAverage="0" operator="greaterThan" aboveAverage="0" dxfId="7" text="" percent="0" bottom="0">
      <formula>0</formula>
    </cfRule>
    <cfRule type="cellIs" rank="0" priority="765" equalAverage="0" operator="lessThan" aboveAverage="0" dxfId="8" text="" percent="0" bottom="0">
      <formula>0</formula>
    </cfRule>
  </conditionalFormatting>
  <conditionalFormatting sqref="I197">
    <cfRule type="cellIs" rank="0" priority="766" equalAverage="0" operator="greaterThan" aboveAverage="0" dxfId="7" text="" percent="0" bottom="0">
      <formula>0</formula>
    </cfRule>
  </conditionalFormatting>
  <conditionalFormatting sqref="K197">
    <cfRule type="cellIs" rank="0" priority="767" equalAverage="0" operator="greaterThan" aboveAverage="0" dxfId="7" text="" percent="0" bottom="0">
      <formula>0</formula>
    </cfRule>
  </conditionalFormatting>
  <conditionalFormatting sqref="N197">
    <cfRule type="cellIs" rank="0" priority="768" equalAverage="0" operator="greaterThan" aboveAverage="0" dxfId="7" text="" percent="0" bottom="0">
      <formula>0</formula>
    </cfRule>
    <cfRule type="cellIs" rank="0" priority="769" equalAverage="0" operator="lessThan" aboveAverage="0" dxfId="8" text="" percent="0" bottom="0">
      <formula>0</formula>
    </cfRule>
  </conditionalFormatting>
  <conditionalFormatting sqref="I198">
    <cfRule type="cellIs" rank="0" priority="770" equalAverage="0" operator="greaterThan" aboveAverage="0" dxfId="7" text="" percent="0" bottom="0">
      <formula>0</formula>
    </cfRule>
  </conditionalFormatting>
  <conditionalFormatting sqref="K198">
    <cfRule type="cellIs" rank="0" priority="771" equalAverage="0" operator="greaterThan" aboveAverage="0" dxfId="7" text="" percent="0" bottom="0">
      <formula>0</formula>
    </cfRule>
  </conditionalFormatting>
  <conditionalFormatting sqref="N198">
    <cfRule type="cellIs" rank="0" priority="772" equalAverage="0" operator="greaterThan" aboveAverage="0" dxfId="7" text="" percent="0" bottom="0">
      <formula>0</formula>
    </cfRule>
    <cfRule type="cellIs" rank="0" priority="773" equalAverage="0" operator="lessThan" aboveAverage="0" dxfId="8" text="" percent="0" bottom="0">
      <formula>0</formula>
    </cfRule>
  </conditionalFormatting>
  <conditionalFormatting sqref="I199">
    <cfRule type="cellIs" rank="0" priority="774" equalAverage="0" operator="greaterThan" aboveAverage="0" dxfId="7" text="" percent="0" bottom="0">
      <formula>0</formula>
    </cfRule>
  </conditionalFormatting>
  <conditionalFormatting sqref="K199">
    <cfRule type="cellIs" rank="0" priority="775" equalAverage="0" operator="greaterThan" aboveAverage="0" dxfId="7" text="" percent="0" bottom="0">
      <formula>0</formula>
    </cfRule>
  </conditionalFormatting>
  <conditionalFormatting sqref="N199">
    <cfRule type="cellIs" rank="0" priority="776" equalAverage="0" operator="greaterThan" aboveAverage="0" dxfId="7" text="" percent="0" bottom="0">
      <formula>0</formula>
    </cfRule>
    <cfRule type="cellIs" rank="0" priority="777" equalAverage="0" operator="lessThan" aboveAverage="0" dxfId="8" text="" percent="0" bottom="0">
      <formula>0</formula>
    </cfRule>
  </conditionalFormatting>
  <conditionalFormatting sqref="I200">
    <cfRule type="cellIs" rank="0" priority="778" equalAverage="0" operator="greaterThan" aboveAverage="0" dxfId="7" text="" percent="0" bottom="0">
      <formula>0</formula>
    </cfRule>
  </conditionalFormatting>
  <conditionalFormatting sqref="K200">
    <cfRule type="cellIs" rank="0" priority="779" equalAverage="0" operator="greaterThan" aboveAverage="0" dxfId="7" text="" percent="0" bottom="0">
      <formula>0</formula>
    </cfRule>
  </conditionalFormatting>
  <conditionalFormatting sqref="N200">
    <cfRule type="cellIs" rank="0" priority="780" equalAverage="0" operator="greaterThan" aboveAverage="0" dxfId="7" text="" percent="0" bottom="0">
      <formula>0</formula>
    </cfRule>
    <cfRule type="cellIs" rank="0" priority="781" equalAverage="0" operator="lessThan" aboveAverage="0" dxfId="8" text="" percent="0" bottom="0">
      <formula>0</formula>
    </cfRule>
  </conditionalFormatting>
  <conditionalFormatting sqref="I201">
    <cfRule type="cellIs" rank="0" priority="782" equalAverage="0" operator="greaterThan" aboveAverage="0" dxfId="7" text="" percent="0" bottom="0">
      <formula>0</formula>
    </cfRule>
  </conditionalFormatting>
  <conditionalFormatting sqref="K201">
    <cfRule type="cellIs" rank="0" priority="783" equalAverage="0" operator="greaterThan" aboveAverage="0" dxfId="7" text="" percent="0" bottom="0">
      <formula>0</formula>
    </cfRule>
  </conditionalFormatting>
  <conditionalFormatting sqref="N201">
    <cfRule type="cellIs" rank="0" priority="784" equalAverage="0" operator="greaterThan" aboveAverage="0" dxfId="7" text="" percent="0" bottom="0">
      <formula>0</formula>
    </cfRule>
    <cfRule type="cellIs" rank="0" priority="785" equalAverage="0" operator="lessThan" aboveAverage="0" dxfId="8" text="" percent="0" bottom="0">
      <formula>0</formula>
    </cfRule>
  </conditionalFormatting>
  <conditionalFormatting sqref="I202">
    <cfRule type="cellIs" rank="0" priority="786" equalAverage="0" operator="greaterThan" aboveAverage="0" dxfId="7" text="" percent="0" bottom="0">
      <formula>0</formula>
    </cfRule>
  </conditionalFormatting>
  <conditionalFormatting sqref="K202">
    <cfRule type="cellIs" rank="0" priority="787" equalAverage="0" operator="greaterThan" aboveAverage="0" dxfId="7" text="" percent="0" bottom="0">
      <formula>0</formula>
    </cfRule>
  </conditionalFormatting>
  <conditionalFormatting sqref="N202">
    <cfRule type="cellIs" rank="0" priority="788" equalAverage="0" operator="greaterThan" aboveAverage="0" dxfId="7" text="" percent="0" bottom="0">
      <formula>0</formula>
    </cfRule>
    <cfRule type="cellIs" rank="0" priority="789" equalAverage="0" operator="lessThan" aboveAverage="0" dxfId="8" text="" percent="0" bottom="0">
      <formula>0</formula>
    </cfRule>
  </conditionalFormatting>
  <conditionalFormatting sqref="I203">
    <cfRule type="cellIs" rank="0" priority="790" equalAverage="0" operator="greaterThan" aboveAverage="0" dxfId="7" text="" percent="0" bottom="0">
      <formula>0</formula>
    </cfRule>
  </conditionalFormatting>
  <conditionalFormatting sqref="K203">
    <cfRule type="cellIs" rank="0" priority="791" equalAverage="0" operator="greaterThan" aboveAverage="0" dxfId="7" text="" percent="0" bottom="0">
      <formula>0</formula>
    </cfRule>
  </conditionalFormatting>
  <conditionalFormatting sqref="N203">
    <cfRule type="cellIs" rank="0" priority="792" equalAverage="0" operator="greaterThan" aboveAverage="0" dxfId="7" text="" percent="0" bottom="0">
      <formula>0</formula>
    </cfRule>
    <cfRule type="cellIs" rank="0" priority="793" equalAverage="0" operator="lessThan" aboveAverage="0" dxfId="8" text="" percent="0" bottom="0">
      <formula>0</formula>
    </cfRule>
  </conditionalFormatting>
  <conditionalFormatting sqref="I204">
    <cfRule type="cellIs" rank="0" priority="794" equalAverage="0" operator="greaterThan" aboveAverage="0" dxfId="7" text="" percent="0" bottom="0">
      <formula>0</formula>
    </cfRule>
  </conditionalFormatting>
  <conditionalFormatting sqref="K204">
    <cfRule type="cellIs" rank="0" priority="795" equalAverage="0" operator="greaterThan" aboveAverage="0" dxfId="7" text="" percent="0" bottom="0">
      <formula>0</formula>
    </cfRule>
  </conditionalFormatting>
  <conditionalFormatting sqref="N204">
    <cfRule type="cellIs" rank="0" priority="796" equalAverage="0" operator="greaterThan" aboveAverage="0" dxfId="7" text="" percent="0" bottom="0">
      <formula>0</formula>
    </cfRule>
    <cfRule type="cellIs" rank="0" priority="797" equalAverage="0" operator="lessThan" aboveAverage="0" dxfId="8" text="" percent="0" bottom="0">
      <formula>0</formula>
    </cfRule>
  </conditionalFormatting>
  <conditionalFormatting sqref="I205">
    <cfRule type="cellIs" rank="0" priority="798" equalAverage="0" operator="greaterThan" aboveAverage="0" dxfId="7" text="" percent="0" bottom="0">
      <formula>0</formula>
    </cfRule>
  </conditionalFormatting>
  <conditionalFormatting sqref="K205">
    <cfRule type="cellIs" rank="0" priority="799" equalAverage="0" operator="greaterThan" aboveAverage="0" dxfId="7" text="" percent="0" bottom="0">
      <formula>0</formula>
    </cfRule>
  </conditionalFormatting>
  <conditionalFormatting sqref="N205">
    <cfRule type="cellIs" rank="0" priority="800" equalAverage="0" operator="greaterThan" aboveAverage="0" dxfId="7" text="" percent="0" bottom="0">
      <formula>0</formula>
    </cfRule>
    <cfRule type="cellIs" rank="0" priority="801" equalAverage="0" operator="lessThan" aboveAverage="0" dxfId="8" text="" percent="0" bottom="0">
      <formula>0</formula>
    </cfRule>
  </conditionalFormatting>
  <conditionalFormatting sqref="I206">
    <cfRule type="cellIs" rank="0" priority="802" equalAverage="0" operator="greaterThan" aboveAverage="0" dxfId="7" text="" percent="0" bottom="0">
      <formula>0</formula>
    </cfRule>
  </conditionalFormatting>
  <conditionalFormatting sqref="K206">
    <cfRule type="cellIs" rank="0" priority="803" equalAverage="0" operator="greaterThan" aboveAverage="0" dxfId="7" text="" percent="0" bottom="0">
      <formula>0</formula>
    </cfRule>
  </conditionalFormatting>
  <conditionalFormatting sqref="N206">
    <cfRule type="cellIs" rank="0" priority="804" equalAverage="0" operator="greaterThan" aboveAverage="0" dxfId="7" text="" percent="0" bottom="0">
      <formula>0</formula>
    </cfRule>
    <cfRule type="cellIs" rank="0" priority="805" equalAverage="0" operator="lessThan" aboveAverage="0" dxfId="8" text="" percent="0" bottom="0">
      <formula>0</formula>
    </cfRule>
  </conditionalFormatting>
  <conditionalFormatting sqref="I207">
    <cfRule type="cellIs" rank="0" priority="806" equalAverage="0" operator="greaterThan" aboveAverage="0" dxfId="7" text="" percent="0" bottom="0">
      <formula>0</formula>
    </cfRule>
  </conditionalFormatting>
  <conditionalFormatting sqref="K207">
    <cfRule type="cellIs" rank="0" priority="807" equalAverage="0" operator="greaterThan" aboveAverage="0" dxfId="7" text="" percent="0" bottom="0">
      <formula>0</formula>
    </cfRule>
  </conditionalFormatting>
  <conditionalFormatting sqref="N207">
    <cfRule type="cellIs" rank="0" priority="808" equalAverage="0" operator="greaterThan" aboveAverage="0" dxfId="7" text="" percent="0" bottom="0">
      <formula>0</formula>
    </cfRule>
    <cfRule type="cellIs" rank="0" priority="809" equalAverage="0" operator="lessThan" aboveAverage="0" dxfId="8" text="" percent="0" bottom="0">
      <formula>0</formula>
    </cfRule>
  </conditionalFormatting>
  <conditionalFormatting sqref="I208">
    <cfRule type="cellIs" rank="0" priority="810" equalAverage="0" operator="greaterThan" aboveAverage="0" dxfId="7" text="" percent="0" bottom="0">
      <formula>0</formula>
    </cfRule>
  </conditionalFormatting>
  <conditionalFormatting sqref="K208">
    <cfRule type="cellIs" rank="0" priority="811" equalAverage="0" operator="greaterThan" aboveAverage="0" dxfId="7" text="" percent="0" bottom="0">
      <formula>0</formula>
    </cfRule>
  </conditionalFormatting>
  <conditionalFormatting sqref="N208">
    <cfRule type="cellIs" rank="0" priority="812" equalAverage="0" operator="greaterThan" aboveAverage="0" dxfId="7" text="" percent="0" bottom="0">
      <formula>0</formula>
    </cfRule>
    <cfRule type="cellIs" rank="0" priority="813" equalAverage="0" operator="lessThan" aboveAverage="0" dxfId="8" text="" percent="0" bottom="0">
      <formula>0</formula>
    </cfRule>
  </conditionalFormatting>
  <conditionalFormatting sqref="I209">
    <cfRule type="cellIs" rank="0" priority="814" equalAverage="0" operator="greaterThan" aboveAverage="0" dxfId="7" text="" percent="0" bottom="0">
      <formula>0</formula>
    </cfRule>
  </conditionalFormatting>
  <conditionalFormatting sqref="K209">
    <cfRule type="cellIs" rank="0" priority="815" equalAverage="0" operator="greaterThan" aboveAverage="0" dxfId="7" text="" percent="0" bottom="0">
      <formula>0</formula>
    </cfRule>
  </conditionalFormatting>
  <conditionalFormatting sqref="N209">
    <cfRule type="cellIs" rank="0" priority="816" equalAverage="0" operator="greaterThan" aboveAverage="0" dxfId="7" text="" percent="0" bottom="0">
      <formula>0</formula>
    </cfRule>
    <cfRule type="cellIs" rank="0" priority="817" equalAverage="0" operator="lessThan" aboveAverage="0" dxfId="8" text="" percent="0" bottom="0">
      <formula>0</formula>
    </cfRule>
  </conditionalFormatting>
  <conditionalFormatting sqref="I210">
    <cfRule type="cellIs" rank="0" priority="818" equalAverage="0" operator="greaterThan" aboveAverage="0" dxfId="7" text="" percent="0" bottom="0">
      <formula>0</formula>
    </cfRule>
  </conditionalFormatting>
  <conditionalFormatting sqref="K210">
    <cfRule type="cellIs" rank="0" priority="819" equalAverage="0" operator="greaterThan" aboveAverage="0" dxfId="7" text="" percent="0" bottom="0">
      <formula>0</formula>
    </cfRule>
  </conditionalFormatting>
  <conditionalFormatting sqref="N210">
    <cfRule type="cellIs" rank="0" priority="820" equalAverage="0" operator="greaterThan" aboveAverage="0" dxfId="7" text="" percent="0" bottom="0">
      <formula>0</formula>
    </cfRule>
    <cfRule type="cellIs" rank="0" priority="821" equalAverage="0" operator="lessThan" aboveAverage="0" dxfId="8" text="" percent="0" bottom="0">
      <formula>0</formula>
    </cfRule>
  </conditionalFormatting>
  <conditionalFormatting sqref="I211">
    <cfRule type="cellIs" rank="0" priority="822" equalAverage="0" operator="greaterThan" aboveAverage="0" dxfId="7" text="" percent="0" bottom="0">
      <formula>0</formula>
    </cfRule>
  </conditionalFormatting>
  <conditionalFormatting sqref="K211">
    <cfRule type="cellIs" rank="0" priority="823" equalAverage="0" operator="greaterThan" aboveAverage="0" dxfId="7" text="" percent="0" bottom="0">
      <formula>0</formula>
    </cfRule>
  </conditionalFormatting>
  <conditionalFormatting sqref="N211">
    <cfRule type="cellIs" rank="0" priority="824" equalAverage="0" operator="greaterThan" aboveAverage="0" dxfId="7" text="" percent="0" bottom="0">
      <formula>0</formula>
    </cfRule>
    <cfRule type="cellIs" rank="0" priority="825" equalAverage="0" operator="lessThan" aboveAverage="0" dxfId="8" text="" percent="0" bottom="0">
      <formula>0</formula>
    </cfRule>
  </conditionalFormatting>
  <conditionalFormatting sqref="I212">
    <cfRule type="cellIs" rank="0" priority="826" equalAverage="0" operator="greaterThan" aboveAverage="0" dxfId="7" text="" percent="0" bottom="0">
      <formula>0</formula>
    </cfRule>
  </conditionalFormatting>
  <conditionalFormatting sqref="K212">
    <cfRule type="cellIs" rank="0" priority="827" equalAverage="0" operator="greaterThan" aboveAverage="0" dxfId="7" text="" percent="0" bottom="0">
      <formula>0</formula>
    </cfRule>
  </conditionalFormatting>
  <conditionalFormatting sqref="N212">
    <cfRule type="cellIs" rank="0" priority="828" equalAverage="0" operator="greaterThan" aboveAverage="0" dxfId="7" text="" percent="0" bottom="0">
      <formula>0</formula>
    </cfRule>
    <cfRule type="cellIs" rank="0" priority="829" equalAverage="0" operator="lessThan" aboveAverage="0" dxfId="8" text="" percent="0" bottom="0">
      <formula>0</formula>
    </cfRule>
  </conditionalFormatting>
  <conditionalFormatting sqref="I213">
    <cfRule type="cellIs" rank="0" priority="830" equalAverage="0" operator="greaterThan" aboveAverage="0" dxfId="7" text="" percent="0" bottom="0">
      <formula>0</formula>
    </cfRule>
  </conditionalFormatting>
  <conditionalFormatting sqref="K213">
    <cfRule type="cellIs" rank="0" priority="831" equalAverage="0" operator="greaterThan" aboveAverage="0" dxfId="7" text="" percent="0" bottom="0">
      <formula>0</formula>
    </cfRule>
  </conditionalFormatting>
  <conditionalFormatting sqref="N213">
    <cfRule type="cellIs" rank="0" priority="832" equalAverage="0" operator="greaterThan" aboveAverage="0" dxfId="7" text="" percent="0" bottom="0">
      <formula>0</formula>
    </cfRule>
    <cfRule type="cellIs" rank="0" priority="833" equalAverage="0" operator="lessThan" aboveAverage="0" dxfId="8" text="" percent="0" bottom="0">
      <formula>0</formula>
    </cfRule>
  </conditionalFormatting>
  <conditionalFormatting sqref="I214">
    <cfRule type="cellIs" rank="0" priority="834" equalAverage="0" operator="greaterThan" aboveAverage="0" dxfId="7" text="" percent="0" bottom="0">
      <formula>0</formula>
    </cfRule>
  </conditionalFormatting>
  <conditionalFormatting sqref="K214">
    <cfRule type="cellIs" rank="0" priority="835" equalAverage="0" operator="greaterThan" aboveAverage="0" dxfId="7" text="" percent="0" bottom="0">
      <formula>0</formula>
    </cfRule>
  </conditionalFormatting>
  <conditionalFormatting sqref="N214">
    <cfRule type="cellIs" rank="0" priority="836" equalAverage="0" operator="greaterThan" aboveAverage="0" dxfId="7" text="" percent="0" bottom="0">
      <formula>0</formula>
    </cfRule>
    <cfRule type="cellIs" rank="0" priority="837" equalAverage="0" operator="lessThan" aboveAverage="0" dxfId="8" text="" percent="0" bottom="0">
      <formula>0</formula>
    </cfRule>
  </conditionalFormatting>
  <conditionalFormatting sqref="I215">
    <cfRule type="cellIs" rank="0" priority="838" equalAverage="0" operator="greaterThan" aboveAverage="0" dxfId="7" text="" percent="0" bottom="0">
      <formula>0</formula>
    </cfRule>
  </conditionalFormatting>
  <conditionalFormatting sqref="K215">
    <cfRule type="cellIs" rank="0" priority="839" equalAverage="0" operator="greaterThan" aboveAverage="0" dxfId="7" text="" percent="0" bottom="0">
      <formula>0</formula>
    </cfRule>
  </conditionalFormatting>
  <conditionalFormatting sqref="N215">
    <cfRule type="cellIs" rank="0" priority="840" equalAverage="0" operator="greaterThan" aboveAverage="0" dxfId="7" text="" percent="0" bottom="0">
      <formula>0</formula>
    </cfRule>
    <cfRule type="cellIs" rank="0" priority="841" equalAverage="0" operator="lessThan" aboveAverage="0" dxfId="8" text="" percent="0" bottom="0">
      <formula>0</formula>
    </cfRule>
  </conditionalFormatting>
  <conditionalFormatting sqref="I216">
    <cfRule type="cellIs" rank="0" priority="842" equalAverage="0" operator="greaterThan" aboveAverage="0" dxfId="7" text="" percent="0" bottom="0">
      <formula>0</formula>
    </cfRule>
  </conditionalFormatting>
  <conditionalFormatting sqref="K216">
    <cfRule type="cellIs" rank="0" priority="843" equalAverage="0" operator="greaterThan" aboveAverage="0" dxfId="7" text="" percent="0" bottom="0">
      <formula>0</formula>
    </cfRule>
  </conditionalFormatting>
  <conditionalFormatting sqref="N216">
    <cfRule type="cellIs" rank="0" priority="844" equalAverage="0" operator="greaterThan" aboveAverage="0" dxfId="7" text="" percent="0" bottom="0">
      <formula>0</formula>
    </cfRule>
    <cfRule type="cellIs" rank="0" priority="845" equalAverage="0" operator="lessThan" aboveAverage="0" dxfId="8" text="" percent="0" bottom="0">
      <formula>0</formula>
    </cfRule>
  </conditionalFormatting>
  <conditionalFormatting sqref="I217">
    <cfRule type="cellIs" rank="0" priority="846" equalAverage="0" operator="greaterThan" aboveAverage="0" dxfId="7" text="" percent="0" bottom="0">
      <formula>0</formula>
    </cfRule>
  </conditionalFormatting>
  <conditionalFormatting sqref="K217">
    <cfRule type="cellIs" rank="0" priority="847" equalAverage="0" operator="greaterThan" aboveAverage="0" dxfId="7" text="" percent="0" bottom="0">
      <formula>0</formula>
    </cfRule>
  </conditionalFormatting>
  <conditionalFormatting sqref="N217">
    <cfRule type="cellIs" rank="0" priority="848" equalAverage="0" operator="greaterThan" aboveAverage="0" dxfId="7" text="" percent="0" bottom="0">
      <formula>0</formula>
    </cfRule>
    <cfRule type="cellIs" rank="0" priority="849" equalAverage="0" operator="lessThan" aboveAverage="0" dxfId="8" text="" percent="0" bottom="0">
      <formula>0</formula>
    </cfRule>
  </conditionalFormatting>
  <conditionalFormatting sqref="I218">
    <cfRule type="cellIs" rank="0" priority="850" equalAverage="0" operator="greaterThan" aboveAverage="0" dxfId="7" text="" percent="0" bottom="0">
      <formula>0</formula>
    </cfRule>
  </conditionalFormatting>
  <conditionalFormatting sqref="K218">
    <cfRule type="cellIs" rank="0" priority="851" equalAverage="0" operator="greaterThan" aboveAverage="0" dxfId="7" text="" percent="0" bottom="0">
      <formula>0</formula>
    </cfRule>
  </conditionalFormatting>
  <conditionalFormatting sqref="N218">
    <cfRule type="cellIs" rank="0" priority="852" equalAverage="0" operator="greaterThan" aboveAverage="0" dxfId="7" text="" percent="0" bottom="0">
      <formula>0</formula>
    </cfRule>
    <cfRule type="cellIs" rank="0" priority="853" equalAverage="0" operator="lessThan" aboveAverage="0" dxfId="8" text="" percent="0" bottom="0">
      <formula>0</formula>
    </cfRule>
  </conditionalFormatting>
  <conditionalFormatting sqref="I219">
    <cfRule type="cellIs" rank="0" priority="854" equalAverage="0" operator="greaterThan" aboveAverage="0" dxfId="7" text="" percent="0" bottom="0">
      <formula>0</formula>
    </cfRule>
  </conditionalFormatting>
  <conditionalFormatting sqref="K219">
    <cfRule type="cellIs" rank="0" priority="855" equalAverage="0" operator="greaterThan" aboveAverage="0" dxfId="7" text="" percent="0" bottom="0">
      <formula>0</formula>
    </cfRule>
  </conditionalFormatting>
  <conditionalFormatting sqref="N219">
    <cfRule type="cellIs" rank="0" priority="856" equalAverage="0" operator="greaterThan" aboveAverage="0" dxfId="7" text="" percent="0" bottom="0">
      <formula>0</formula>
    </cfRule>
    <cfRule type="cellIs" rank="0" priority="857" equalAverage="0" operator="lessThan" aboveAverage="0" dxfId="8" text="" percent="0" bottom="0">
      <formula>0</formula>
    </cfRule>
  </conditionalFormatting>
  <conditionalFormatting sqref="I220">
    <cfRule type="cellIs" rank="0" priority="858" equalAverage="0" operator="greaterThan" aboveAverage="0" dxfId="7" text="" percent="0" bottom="0">
      <formula>0</formula>
    </cfRule>
  </conditionalFormatting>
  <conditionalFormatting sqref="K220">
    <cfRule type="cellIs" rank="0" priority="859" equalAverage="0" operator="greaterThan" aboveAverage="0" dxfId="7" text="" percent="0" bottom="0">
      <formula>0</formula>
    </cfRule>
  </conditionalFormatting>
  <conditionalFormatting sqref="N220">
    <cfRule type="cellIs" rank="0" priority="860" equalAverage="0" operator="greaterThan" aboveAverage="0" dxfId="7" text="" percent="0" bottom="0">
      <formula>0</formula>
    </cfRule>
    <cfRule type="cellIs" rank="0" priority="861" equalAverage="0" operator="lessThan" aboveAverage="0" dxfId="8" text="" percent="0" bottom="0">
      <formula>0</formula>
    </cfRule>
  </conditionalFormatting>
  <conditionalFormatting sqref="I221">
    <cfRule type="cellIs" rank="0" priority="862" equalAverage="0" operator="greaterThan" aboveAverage="0" dxfId="7" text="" percent="0" bottom="0">
      <formula>0</formula>
    </cfRule>
  </conditionalFormatting>
  <conditionalFormatting sqref="K221">
    <cfRule type="cellIs" rank="0" priority="863" equalAverage="0" operator="greaterThan" aboveAverage="0" dxfId="7" text="" percent="0" bottom="0">
      <formula>0</formula>
    </cfRule>
  </conditionalFormatting>
  <conditionalFormatting sqref="N221">
    <cfRule type="cellIs" rank="0" priority="864" equalAverage="0" operator="greaterThan" aboveAverage="0" dxfId="7" text="" percent="0" bottom="0">
      <formula>0</formula>
    </cfRule>
    <cfRule type="cellIs" rank="0" priority="865" equalAverage="0" operator="lessThan" aboveAverage="0" dxfId="8" text="" percent="0" bottom="0">
      <formula>0</formula>
    </cfRule>
  </conditionalFormatting>
  <conditionalFormatting sqref="I222">
    <cfRule type="cellIs" rank="0" priority="866" equalAverage="0" operator="greaterThan" aboveAverage="0" dxfId="7" text="" percent="0" bottom="0">
      <formula>0</formula>
    </cfRule>
  </conditionalFormatting>
  <conditionalFormatting sqref="K222">
    <cfRule type="cellIs" rank="0" priority="867" equalAverage="0" operator="greaterThan" aboveAverage="0" dxfId="7" text="" percent="0" bottom="0">
      <formula>0</formula>
    </cfRule>
  </conditionalFormatting>
  <conditionalFormatting sqref="N222">
    <cfRule type="cellIs" rank="0" priority="868" equalAverage="0" operator="greaterThan" aboveAverage="0" dxfId="7" text="" percent="0" bottom="0">
      <formula>0</formula>
    </cfRule>
    <cfRule type="cellIs" rank="0" priority="869" equalAverage="0" operator="lessThan" aboveAverage="0" dxfId="8" text="" percent="0" bottom="0">
      <formula>0</formula>
    </cfRule>
  </conditionalFormatting>
  <conditionalFormatting sqref="I223">
    <cfRule type="cellIs" rank="0" priority="870" equalAverage="0" operator="greaterThan" aboveAverage="0" dxfId="7" text="" percent="0" bottom="0">
      <formula>0</formula>
    </cfRule>
  </conditionalFormatting>
  <conditionalFormatting sqref="K223">
    <cfRule type="cellIs" rank="0" priority="871" equalAverage="0" operator="greaterThan" aboveAverage="0" dxfId="7" text="" percent="0" bottom="0">
      <formula>0</formula>
    </cfRule>
  </conditionalFormatting>
  <conditionalFormatting sqref="N223">
    <cfRule type="cellIs" rank="0" priority="872" equalAverage="0" operator="greaterThan" aboveAverage="0" dxfId="7" text="" percent="0" bottom="0">
      <formula>0</formula>
    </cfRule>
    <cfRule type="cellIs" rank="0" priority="873" equalAverage="0" operator="lessThan" aboveAverage="0" dxfId="8" text="" percent="0" bottom="0">
      <formula>0</formula>
    </cfRule>
  </conditionalFormatting>
  <conditionalFormatting sqref="I224">
    <cfRule type="cellIs" rank="0" priority="874" equalAverage="0" operator="greaterThan" aboveAverage="0" dxfId="7" text="" percent="0" bottom="0">
      <formula>0</formula>
    </cfRule>
  </conditionalFormatting>
  <conditionalFormatting sqref="K224">
    <cfRule type="cellIs" rank="0" priority="875" equalAverage="0" operator="greaterThan" aboveAverage="0" dxfId="7" text="" percent="0" bottom="0">
      <formula>0</formula>
    </cfRule>
  </conditionalFormatting>
  <conditionalFormatting sqref="N224">
    <cfRule type="cellIs" rank="0" priority="876" equalAverage="0" operator="greaterThan" aboveAverage="0" dxfId="7" text="" percent="0" bottom="0">
      <formula>0</formula>
    </cfRule>
    <cfRule type="cellIs" rank="0" priority="877" equalAverage="0" operator="lessThan" aboveAverage="0" dxfId="8" text="" percent="0" bottom="0">
      <formula>0</formula>
    </cfRule>
  </conditionalFormatting>
  <conditionalFormatting sqref="I225">
    <cfRule type="cellIs" rank="0" priority="878" equalAverage="0" operator="greaterThan" aboveAverage="0" dxfId="7" text="" percent="0" bottom="0">
      <formula>0</formula>
    </cfRule>
  </conditionalFormatting>
  <conditionalFormatting sqref="K225">
    <cfRule type="cellIs" rank="0" priority="879" equalAverage="0" operator="greaterThan" aboveAverage="0" dxfId="7" text="" percent="0" bottom="0">
      <formula>0</formula>
    </cfRule>
  </conditionalFormatting>
  <conditionalFormatting sqref="N225">
    <cfRule type="cellIs" rank="0" priority="880" equalAverage="0" operator="greaterThan" aboveAverage="0" dxfId="7" text="" percent="0" bottom="0">
      <formula>0</formula>
    </cfRule>
    <cfRule type="cellIs" rank="0" priority="881" equalAverage="0" operator="lessThan" aboveAverage="0" dxfId="8" text="" percent="0" bottom="0">
      <formula>0</formula>
    </cfRule>
  </conditionalFormatting>
  <conditionalFormatting sqref="I226">
    <cfRule type="cellIs" rank="0" priority="882" equalAverage="0" operator="greaterThan" aboveAverage="0" dxfId="7" text="" percent="0" bottom="0">
      <formula>0</formula>
    </cfRule>
  </conditionalFormatting>
  <conditionalFormatting sqref="K226">
    <cfRule type="cellIs" rank="0" priority="883" equalAverage="0" operator="greaterThan" aboveAverage="0" dxfId="7" text="" percent="0" bottom="0">
      <formula>0</formula>
    </cfRule>
  </conditionalFormatting>
  <conditionalFormatting sqref="N226">
    <cfRule type="cellIs" rank="0" priority="884" equalAverage="0" operator="greaterThan" aboveAverage="0" dxfId="7" text="" percent="0" bottom="0">
      <formula>0</formula>
    </cfRule>
    <cfRule type="cellIs" rank="0" priority="885" equalAverage="0" operator="lessThan" aboveAverage="0" dxfId="8" text="" percent="0" bottom="0">
      <formula>0</formula>
    </cfRule>
  </conditionalFormatting>
  <conditionalFormatting sqref="I227">
    <cfRule type="cellIs" rank="0" priority="886" equalAverage="0" operator="greaterThan" aboveAverage="0" dxfId="7" text="" percent="0" bottom="0">
      <formula>0</formula>
    </cfRule>
  </conditionalFormatting>
  <conditionalFormatting sqref="K227">
    <cfRule type="cellIs" rank="0" priority="887" equalAverage="0" operator="greaterThan" aboveAverage="0" dxfId="7" text="" percent="0" bottom="0">
      <formula>0</formula>
    </cfRule>
  </conditionalFormatting>
  <conditionalFormatting sqref="N227">
    <cfRule type="cellIs" rank="0" priority="888" equalAverage="0" operator="greaterThan" aboveAverage="0" dxfId="7" text="" percent="0" bottom="0">
      <formula>0</formula>
    </cfRule>
    <cfRule type="cellIs" rank="0" priority="889" equalAverage="0" operator="lessThan" aboveAverage="0" dxfId="8" text="" percent="0" bottom="0">
      <formula>0</formula>
    </cfRule>
  </conditionalFormatting>
  <conditionalFormatting sqref="I228">
    <cfRule type="cellIs" rank="0" priority="890" equalAverage="0" operator="greaterThan" aboveAverage="0" dxfId="7" text="" percent="0" bottom="0">
      <formula>0</formula>
    </cfRule>
  </conditionalFormatting>
  <conditionalFormatting sqref="K228">
    <cfRule type="cellIs" rank="0" priority="891" equalAverage="0" operator="greaterThan" aboveAverage="0" dxfId="7" text="" percent="0" bottom="0">
      <formula>0</formula>
    </cfRule>
  </conditionalFormatting>
  <conditionalFormatting sqref="N228">
    <cfRule type="cellIs" rank="0" priority="892" equalAverage="0" operator="greaterThan" aboveAverage="0" dxfId="7" text="" percent="0" bottom="0">
      <formula>0</formula>
    </cfRule>
    <cfRule type="cellIs" rank="0" priority="893" equalAverage="0" operator="lessThan" aboveAverage="0" dxfId="8" text="" percent="0" bottom="0">
      <formula>0</formula>
    </cfRule>
  </conditionalFormatting>
  <conditionalFormatting sqref="I229">
    <cfRule type="cellIs" rank="0" priority="894" equalAverage="0" operator="greaterThan" aboveAverage="0" dxfId="7" text="" percent="0" bottom="0">
      <formula>0</formula>
    </cfRule>
  </conditionalFormatting>
  <conditionalFormatting sqref="K229">
    <cfRule type="cellIs" rank="0" priority="895" equalAverage="0" operator="greaterThan" aboveAverage="0" dxfId="7" text="" percent="0" bottom="0">
      <formula>0</formula>
    </cfRule>
  </conditionalFormatting>
  <conditionalFormatting sqref="N229">
    <cfRule type="cellIs" rank="0" priority="896" equalAverage="0" operator="greaterThan" aboveAverage="0" dxfId="7" text="" percent="0" bottom="0">
      <formula>0</formula>
    </cfRule>
    <cfRule type="cellIs" rank="0" priority="897" equalAverage="0" operator="lessThan" aboveAverage="0" dxfId="8" text="" percent="0" bottom="0">
      <formula>0</formula>
    </cfRule>
  </conditionalFormatting>
  <conditionalFormatting sqref="I230">
    <cfRule type="cellIs" rank="0" priority="898" equalAverage="0" operator="greaterThan" aboveAverage="0" dxfId="7" text="" percent="0" bottom="0">
      <formula>0</formula>
    </cfRule>
  </conditionalFormatting>
  <conditionalFormatting sqref="K230">
    <cfRule type="cellIs" rank="0" priority="899" equalAverage="0" operator="greaterThan" aboveAverage="0" dxfId="7" text="" percent="0" bottom="0">
      <formula>0</formula>
    </cfRule>
  </conditionalFormatting>
  <conditionalFormatting sqref="N230">
    <cfRule type="cellIs" rank="0" priority="900" equalAverage="0" operator="greaterThan" aboveAverage="0" dxfId="7" text="" percent="0" bottom="0">
      <formula>0</formula>
    </cfRule>
    <cfRule type="cellIs" rank="0" priority="901" equalAverage="0" operator="lessThan" aboveAverage="0" dxfId="8" text="" percent="0" bottom="0">
      <formula>0</formula>
    </cfRule>
  </conditionalFormatting>
  <conditionalFormatting sqref="I231">
    <cfRule type="cellIs" rank="0" priority="902" equalAverage="0" operator="greaterThan" aboveAverage="0" dxfId="7" text="" percent="0" bottom="0">
      <formula>0</formula>
    </cfRule>
  </conditionalFormatting>
  <conditionalFormatting sqref="K231">
    <cfRule type="cellIs" rank="0" priority="903" equalAverage="0" operator="greaterThan" aboveAverage="0" dxfId="7" text="" percent="0" bottom="0">
      <formula>0</formula>
    </cfRule>
  </conditionalFormatting>
  <conditionalFormatting sqref="N231">
    <cfRule type="cellIs" rank="0" priority="904" equalAverage="0" operator="greaterThan" aboveAverage="0" dxfId="7" text="" percent="0" bottom="0">
      <formula>0</formula>
    </cfRule>
    <cfRule type="cellIs" rank="0" priority="905" equalAverage="0" operator="lessThan" aboveAverage="0" dxfId="8" text="" percent="0" bottom="0">
      <formula>0</formula>
    </cfRule>
  </conditionalFormatting>
  <conditionalFormatting sqref="I232">
    <cfRule type="cellIs" rank="0" priority="906" equalAverage="0" operator="greaterThan" aboveAverage="0" dxfId="7" text="" percent="0" bottom="0">
      <formula>0</formula>
    </cfRule>
  </conditionalFormatting>
  <conditionalFormatting sqref="K232">
    <cfRule type="cellIs" rank="0" priority="907" equalAverage="0" operator="greaterThan" aboveAverage="0" dxfId="7" text="" percent="0" bottom="0">
      <formula>0</formula>
    </cfRule>
  </conditionalFormatting>
  <conditionalFormatting sqref="N232">
    <cfRule type="cellIs" rank="0" priority="908" equalAverage="0" operator="greaterThan" aboveAverage="0" dxfId="7" text="" percent="0" bottom="0">
      <formula>0</formula>
    </cfRule>
    <cfRule type="cellIs" rank="0" priority="909" equalAverage="0" operator="lessThan" aboveAverage="0" dxfId="8" text="" percent="0" bottom="0">
      <formula>0</formula>
    </cfRule>
  </conditionalFormatting>
  <conditionalFormatting sqref="I233">
    <cfRule type="cellIs" rank="0" priority="910" equalAverage="0" operator="greaterThan" aboveAverage="0" dxfId="7" text="" percent="0" bottom="0">
      <formula>0</formula>
    </cfRule>
  </conditionalFormatting>
  <conditionalFormatting sqref="K233">
    <cfRule type="cellIs" rank="0" priority="911" equalAverage="0" operator="greaterThan" aboveAverage="0" dxfId="7" text="" percent="0" bottom="0">
      <formula>0</formula>
    </cfRule>
  </conditionalFormatting>
  <conditionalFormatting sqref="N233">
    <cfRule type="cellIs" rank="0" priority="912" equalAverage="0" operator="greaterThan" aboveAverage="0" dxfId="7" text="" percent="0" bottom="0">
      <formula>0</formula>
    </cfRule>
    <cfRule type="cellIs" rank="0" priority="913" equalAverage="0" operator="lessThan" aboveAverage="0" dxfId="8" text="" percent="0" bottom="0">
      <formula>0</formula>
    </cfRule>
  </conditionalFormatting>
  <conditionalFormatting sqref="I234">
    <cfRule type="cellIs" rank="0" priority="914" equalAverage="0" operator="greaterThan" aboveAverage="0" dxfId="7" text="" percent="0" bottom="0">
      <formula>0</formula>
    </cfRule>
  </conditionalFormatting>
  <conditionalFormatting sqref="K234">
    <cfRule type="cellIs" rank="0" priority="915" equalAverage="0" operator="greaterThan" aboveAverage="0" dxfId="7" text="" percent="0" bottom="0">
      <formula>0</formula>
    </cfRule>
  </conditionalFormatting>
  <conditionalFormatting sqref="N234">
    <cfRule type="cellIs" rank="0" priority="916" equalAverage="0" operator="greaterThan" aboveAverage="0" dxfId="7" text="" percent="0" bottom="0">
      <formula>0</formula>
    </cfRule>
    <cfRule type="cellIs" rank="0" priority="917" equalAverage="0" operator="lessThan" aboveAverage="0" dxfId="8" text="" percent="0" bottom="0">
      <formula>0</formula>
    </cfRule>
  </conditionalFormatting>
  <conditionalFormatting sqref="I235">
    <cfRule type="cellIs" rank="0" priority="918" equalAverage="0" operator="greaterThan" aboveAverage="0" dxfId="7" text="" percent="0" bottom="0">
      <formula>0</formula>
    </cfRule>
  </conditionalFormatting>
  <conditionalFormatting sqref="K235">
    <cfRule type="cellIs" rank="0" priority="919" equalAverage="0" operator="greaterThan" aboveAverage="0" dxfId="7" text="" percent="0" bottom="0">
      <formula>0</formula>
    </cfRule>
  </conditionalFormatting>
  <conditionalFormatting sqref="N235">
    <cfRule type="cellIs" rank="0" priority="920" equalAverage="0" operator="greaterThan" aboveAverage="0" dxfId="7" text="" percent="0" bottom="0">
      <formula>0</formula>
    </cfRule>
    <cfRule type="cellIs" rank="0" priority="921" equalAverage="0" operator="lessThan" aboveAverage="0" dxfId="8" text="" percent="0" bottom="0">
      <formula>0</formula>
    </cfRule>
  </conditionalFormatting>
  <conditionalFormatting sqref="I236">
    <cfRule type="cellIs" rank="0" priority="922" equalAverage="0" operator="greaterThan" aboveAverage="0" dxfId="7" text="" percent="0" bottom="0">
      <formula>0</formula>
    </cfRule>
  </conditionalFormatting>
  <conditionalFormatting sqref="K236">
    <cfRule type="cellIs" rank="0" priority="923" equalAverage="0" operator="greaterThan" aboveAverage="0" dxfId="7" text="" percent="0" bottom="0">
      <formula>0</formula>
    </cfRule>
  </conditionalFormatting>
  <conditionalFormatting sqref="N236">
    <cfRule type="cellIs" rank="0" priority="924" equalAverage="0" operator="greaterThan" aboveAverage="0" dxfId="7" text="" percent="0" bottom="0">
      <formula>0</formula>
    </cfRule>
    <cfRule type="cellIs" rank="0" priority="925" equalAverage="0" operator="lessThan" aboveAverage="0" dxfId="8" text="" percent="0" bottom="0">
      <formula>0</formula>
    </cfRule>
  </conditionalFormatting>
  <conditionalFormatting sqref="I237">
    <cfRule type="cellIs" rank="0" priority="926" equalAverage="0" operator="greaterThan" aboveAverage="0" dxfId="7" text="" percent="0" bottom="0">
      <formula>0</formula>
    </cfRule>
  </conditionalFormatting>
  <conditionalFormatting sqref="K237">
    <cfRule type="cellIs" rank="0" priority="927" equalAverage="0" operator="greaterThan" aboveAverage="0" dxfId="7" text="" percent="0" bottom="0">
      <formula>0</formula>
    </cfRule>
  </conditionalFormatting>
  <conditionalFormatting sqref="N237">
    <cfRule type="cellIs" rank="0" priority="928" equalAverage="0" operator="greaterThan" aboveAverage="0" dxfId="7" text="" percent="0" bottom="0">
      <formula>0</formula>
    </cfRule>
    <cfRule type="cellIs" rank="0" priority="929" equalAverage="0" operator="lessThan" aboveAverage="0" dxfId="8" text="" percent="0" bottom="0">
      <formula>0</formula>
    </cfRule>
  </conditionalFormatting>
  <conditionalFormatting sqref="I238">
    <cfRule type="cellIs" rank="0" priority="930" equalAverage="0" operator="greaterThan" aboveAverage="0" dxfId="7" text="" percent="0" bottom="0">
      <formula>0</formula>
    </cfRule>
  </conditionalFormatting>
  <conditionalFormatting sqref="K238">
    <cfRule type="cellIs" rank="0" priority="931" equalAverage="0" operator="greaterThan" aboveAverage="0" dxfId="7" text="" percent="0" bottom="0">
      <formula>0</formula>
    </cfRule>
  </conditionalFormatting>
  <conditionalFormatting sqref="N238">
    <cfRule type="cellIs" rank="0" priority="932" equalAverage="0" operator="greaterThan" aboveAverage="0" dxfId="7" text="" percent="0" bottom="0">
      <formula>0</formula>
    </cfRule>
    <cfRule type="cellIs" rank="0" priority="933" equalAverage="0" operator="lessThan" aboveAverage="0" dxfId="8" text="" percent="0" bottom="0">
      <formula>0</formula>
    </cfRule>
  </conditionalFormatting>
  <conditionalFormatting sqref="I239">
    <cfRule type="cellIs" rank="0" priority="934" equalAverage="0" operator="greaterThan" aboveAverage="0" dxfId="7" text="" percent="0" bottom="0">
      <formula>0</formula>
    </cfRule>
  </conditionalFormatting>
  <conditionalFormatting sqref="K239">
    <cfRule type="cellIs" rank="0" priority="935" equalAverage="0" operator="greaterThan" aboveAverage="0" dxfId="7" text="" percent="0" bottom="0">
      <formula>0</formula>
    </cfRule>
  </conditionalFormatting>
  <conditionalFormatting sqref="N239">
    <cfRule type="cellIs" rank="0" priority="936" equalAverage="0" operator="greaterThan" aboveAverage="0" dxfId="7" text="" percent="0" bottom="0">
      <formula>0</formula>
    </cfRule>
    <cfRule type="cellIs" rank="0" priority="937" equalAverage="0" operator="lessThan" aboveAverage="0" dxfId="8" text="" percent="0" bottom="0">
      <formula>0</formula>
    </cfRule>
  </conditionalFormatting>
  <conditionalFormatting sqref="I240">
    <cfRule type="cellIs" rank="0" priority="938" equalAverage="0" operator="greaterThan" aboveAverage="0" dxfId="7" text="" percent="0" bottom="0">
      <formula>0</formula>
    </cfRule>
  </conditionalFormatting>
  <conditionalFormatting sqref="K240">
    <cfRule type="cellIs" rank="0" priority="939" equalAverage="0" operator="greaterThan" aboveAverage="0" dxfId="7" text="" percent="0" bottom="0">
      <formula>0</formula>
    </cfRule>
  </conditionalFormatting>
  <conditionalFormatting sqref="N240">
    <cfRule type="cellIs" rank="0" priority="940" equalAverage="0" operator="greaterThan" aboveAverage="0" dxfId="7" text="" percent="0" bottom="0">
      <formula>0</formula>
    </cfRule>
    <cfRule type="cellIs" rank="0" priority="941" equalAverage="0" operator="lessThan" aboveAverage="0" dxfId="8" text="" percent="0" bottom="0">
      <formula>0</formula>
    </cfRule>
  </conditionalFormatting>
  <conditionalFormatting sqref="I241">
    <cfRule type="cellIs" rank="0" priority="942" equalAverage="0" operator="greaterThan" aboveAverage="0" dxfId="7" text="" percent="0" bottom="0">
      <formula>0</formula>
    </cfRule>
  </conditionalFormatting>
  <conditionalFormatting sqref="K241">
    <cfRule type="cellIs" rank="0" priority="943" equalAverage="0" operator="greaterThan" aboveAverage="0" dxfId="7" text="" percent="0" bottom="0">
      <formula>0</formula>
    </cfRule>
  </conditionalFormatting>
  <conditionalFormatting sqref="N241">
    <cfRule type="cellIs" rank="0" priority="944" equalAverage="0" operator="greaterThan" aboveAverage="0" dxfId="7" text="" percent="0" bottom="0">
      <formula>0</formula>
    </cfRule>
    <cfRule type="cellIs" rank="0" priority="945" equalAverage="0" operator="lessThan" aboveAverage="0" dxfId="8" text="" percent="0" bottom="0">
      <formula>0</formula>
    </cfRule>
  </conditionalFormatting>
  <conditionalFormatting sqref="I242">
    <cfRule type="cellIs" rank="0" priority="946" equalAverage="0" operator="greaterThan" aboveAverage="0" dxfId="7" text="" percent="0" bottom="0">
      <formula>0</formula>
    </cfRule>
  </conditionalFormatting>
  <conditionalFormatting sqref="K242">
    <cfRule type="cellIs" rank="0" priority="947" equalAverage="0" operator="greaterThan" aboveAverage="0" dxfId="7" text="" percent="0" bottom="0">
      <formula>0</formula>
    </cfRule>
  </conditionalFormatting>
  <conditionalFormatting sqref="N242">
    <cfRule type="cellIs" rank="0" priority="948" equalAverage="0" operator="greaterThan" aboveAverage="0" dxfId="7" text="" percent="0" bottom="0">
      <formula>0</formula>
    </cfRule>
    <cfRule type="cellIs" rank="0" priority="949" equalAverage="0" operator="lessThan" aboveAverage="0" dxfId="8" text="" percent="0" bottom="0">
      <formula>0</formula>
    </cfRule>
  </conditionalFormatting>
  <conditionalFormatting sqref="I243">
    <cfRule type="cellIs" rank="0" priority="950" equalAverage="0" operator="greaterThan" aboveAverage="0" dxfId="7" text="" percent="0" bottom="0">
      <formula>0</formula>
    </cfRule>
  </conditionalFormatting>
  <conditionalFormatting sqref="K243">
    <cfRule type="cellIs" rank="0" priority="951" equalAverage="0" operator="greaterThan" aboveAverage="0" dxfId="7" text="" percent="0" bottom="0">
      <formula>0</formula>
    </cfRule>
  </conditionalFormatting>
  <conditionalFormatting sqref="N243">
    <cfRule type="cellIs" rank="0" priority="952" equalAverage="0" operator="greaterThan" aboveAverage="0" dxfId="7" text="" percent="0" bottom="0">
      <formula>0</formula>
    </cfRule>
    <cfRule type="cellIs" rank="0" priority="953" equalAverage="0" operator="lessThan" aboveAverage="0" dxfId="8" text="" percent="0" bottom="0">
      <formula>0</formula>
    </cfRule>
  </conditionalFormatting>
  <conditionalFormatting sqref="I244">
    <cfRule type="cellIs" rank="0" priority="954" equalAverage="0" operator="greaterThan" aboveAverage="0" dxfId="7" text="" percent="0" bottom="0">
      <formula>0</formula>
    </cfRule>
  </conditionalFormatting>
  <conditionalFormatting sqref="K244">
    <cfRule type="cellIs" rank="0" priority="955" equalAverage="0" operator="greaterThan" aboveAverage="0" dxfId="7" text="" percent="0" bottom="0">
      <formula>0</formula>
    </cfRule>
  </conditionalFormatting>
  <conditionalFormatting sqref="N244">
    <cfRule type="cellIs" rank="0" priority="956" equalAverage="0" operator="greaterThan" aboveAverage="0" dxfId="7" text="" percent="0" bottom="0">
      <formula>0</formula>
    </cfRule>
    <cfRule type="cellIs" rank="0" priority="957" equalAverage="0" operator="lessThan" aboveAverage="0" dxfId="8" text="" percent="0" bottom="0">
      <formula>0</formula>
    </cfRule>
  </conditionalFormatting>
  <conditionalFormatting sqref="I245">
    <cfRule type="cellIs" rank="0" priority="958" equalAverage="0" operator="greaterThan" aboveAverage="0" dxfId="7" text="" percent="0" bottom="0">
      <formula>0</formula>
    </cfRule>
  </conditionalFormatting>
  <conditionalFormatting sqref="K245">
    <cfRule type="cellIs" rank="0" priority="959" equalAverage="0" operator="greaterThan" aboveAverage="0" dxfId="7" text="" percent="0" bottom="0">
      <formula>0</formula>
    </cfRule>
  </conditionalFormatting>
  <conditionalFormatting sqref="N245">
    <cfRule type="cellIs" rank="0" priority="960" equalAverage="0" operator="greaterThan" aboveAverage="0" dxfId="7" text="" percent="0" bottom="0">
      <formula>0</formula>
    </cfRule>
    <cfRule type="cellIs" rank="0" priority="961" equalAverage="0" operator="lessThan" aboveAverage="0" dxfId="8" text="" percent="0" bottom="0">
      <formula>0</formula>
    </cfRule>
  </conditionalFormatting>
  <conditionalFormatting sqref="I246">
    <cfRule type="cellIs" rank="0" priority="962" equalAverage="0" operator="greaterThan" aboveAverage="0" dxfId="7" text="" percent="0" bottom="0">
      <formula>0</formula>
    </cfRule>
  </conditionalFormatting>
  <conditionalFormatting sqref="K246">
    <cfRule type="cellIs" rank="0" priority="963" equalAverage="0" operator="greaterThan" aboveAverage="0" dxfId="7" text="" percent="0" bottom="0">
      <formula>0</formula>
    </cfRule>
  </conditionalFormatting>
  <conditionalFormatting sqref="N246">
    <cfRule type="cellIs" rank="0" priority="964" equalAverage="0" operator="greaterThan" aboveAverage="0" dxfId="7" text="" percent="0" bottom="0">
      <formula>0</formula>
    </cfRule>
    <cfRule type="cellIs" rank="0" priority="965" equalAverage="0" operator="lessThan" aboveAverage="0" dxfId="8" text="" percent="0" bottom="0">
      <formula>0</formula>
    </cfRule>
  </conditionalFormatting>
  <conditionalFormatting sqref="I247">
    <cfRule type="cellIs" rank="0" priority="966" equalAverage="0" operator="greaterThan" aboveAverage="0" dxfId="7" text="" percent="0" bottom="0">
      <formula>0</formula>
    </cfRule>
  </conditionalFormatting>
  <conditionalFormatting sqref="K247">
    <cfRule type="cellIs" rank="0" priority="967" equalAverage="0" operator="greaterThan" aboveAverage="0" dxfId="7" text="" percent="0" bottom="0">
      <formula>0</formula>
    </cfRule>
  </conditionalFormatting>
  <conditionalFormatting sqref="N247">
    <cfRule type="cellIs" rank="0" priority="968" equalAverage="0" operator="greaterThan" aboveAverage="0" dxfId="7" text="" percent="0" bottom="0">
      <formula>0</formula>
    </cfRule>
    <cfRule type="cellIs" rank="0" priority="969" equalAverage="0" operator="lessThan" aboveAverage="0" dxfId="8" text="" percent="0" bottom="0">
      <formula>0</formula>
    </cfRule>
  </conditionalFormatting>
  <conditionalFormatting sqref="I248">
    <cfRule type="cellIs" rank="0" priority="970" equalAverage="0" operator="greaterThan" aboveAverage="0" dxfId="7" text="" percent="0" bottom="0">
      <formula>0</formula>
    </cfRule>
  </conditionalFormatting>
  <conditionalFormatting sqref="K248">
    <cfRule type="cellIs" rank="0" priority="971" equalAverage="0" operator="greaterThan" aboveAverage="0" dxfId="7" text="" percent="0" bottom="0">
      <formula>0</formula>
    </cfRule>
  </conditionalFormatting>
  <conditionalFormatting sqref="N248">
    <cfRule type="cellIs" rank="0" priority="972" equalAverage="0" operator="greaterThan" aboveAverage="0" dxfId="7" text="" percent="0" bottom="0">
      <formula>0</formula>
    </cfRule>
    <cfRule type="cellIs" rank="0" priority="973" equalAverage="0" operator="lessThan" aboveAverage="0" dxfId="8" text="" percent="0" bottom="0">
      <formula>0</formula>
    </cfRule>
  </conditionalFormatting>
  <conditionalFormatting sqref="I249">
    <cfRule type="cellIs" rank="0" priority="974" equalAverage="0" operator="greaterThan" aboveAverage="0" dxfId="7" text="" percent="0" bottom="0">
      <formula>0</formula>
    </cfRule>
  </conditionalFormatting>
  <conditionalFormatting sqref="K249">
    <cfRule type="cellIs" rank="0" priority="975" equalAverage="0" operator="greaterThan" aboveAverage="0" dxfId="7" text="" percent="0" bottom="0">
      <formula>0</formula>
    </cfRule>
  </conditionalFormatting>
  <conditionalFormatting sqref="N249">
    <cfRule type="cellIs" rank="0" priority="976" equalAverage="0" operator="greaterThan" aboveAverage="0" dxfId="7" text="" percent="0" bottom="0">
      <formula>0</formula>
    </cfRule>
    <cfRule type="cellIs" rank="0" priority="977" equalAverage="0" operator="lessThan" aboveAverage="0" dxfId="8" text="" percent="0" bottom="0">
      <formula>0</formula>
    </cfRule>
  </conditionalFormatting>
  <conditionalFormatting sqref="I250">
    <cfRule type="cellIs" rank="0" priority="978" equalAverage="0" operator="greaterThan" aboveAverage="0" dxfId="7" text="" percent="0" bottom="0">
      <formula>0</formula>
    </cfRule>
  </conditionalFormatting>
  <conditionalFormatting sqref="K250">
    <cfRule type="cellIs" rank="0" priority="979" equalAverage="0" operator="greaterThan" aboveAverage="0" dxfId="7" text="" percent="0" bottom="0">
      <formula>0</formula>
    </cfRule>
  </conditionalFormatting>
  <conditionalFormatting sqref="N250">
    <cfRule type="cellIs" rank="0" priority="980" equalAverage="0" operator="greaterThan" aboveAverage="0" dxfId="7" text="" percent="0" bottom="0">
      <formula>0</formula>
    </cfRule>
    <cfRule type="cellIs" rank="0" priority="981" equalAverage="0" operator="lessThan" aboveAverage="0" dxfId="8" text="" percent="0" bottom="0">
      <formula>0</formula>
    </cfRule>
  </conditionalFormatting>
  <conditionalFormatting sqref="I251">
    <cfRule type="cellIs" rank="0" priority="982" equalAverage="0" operator="greaterThan" aboveAverage="0" dxfId="7" text="" percent="0" bottom="0">
      <formula>0</formula>
    </cfRule>
  </conditionalFormatting>
  <conditionalFormatting sqref="K251">
    <cfRule type="cellIs" rank="0" priority="983" equalAverage="0" operator="greaterThan" aboveAverage="0" dxfId="7" text="" percent="0" bottom="0">
      <formula>0</formula>
    </cfRule>
  </conditionalFormatting>
  <conditionalFormatting sqref="N251">
    <cfRule type="cellIs" rank="0" priority="984" equalAverage="0" operator="greaterThan" aboveAverage="0" dxfId="7" text="" percent="0" bottom="0">
      <formula>0</formula>
    </cfRule>
    <cfRule type="cellIs" rank="0" priority="985" equalAverage="0" operator="lessThan" aboveAverage="0" dxfId="8" text="" percent="0" bottom="0">
      <formula>0</formula>
    </cfRule>
  </conditionalFormatting>
  <conditionalFormatting sqref="I252">
    <cfRule type="cellIs" rank="0" priority="986" equalAverage="0" operator="greaterThan" aboveAverage="0" dxfId="7" text="" percent="0" bottom="0">
      <formula>0</formula>
    </cfRule>
  </conditionalFormatting>
  <conditionalFormatting sqref="K252">
    <cfRule type="cellIs" rank="0" priority="987" equalAverage="0" operator="greaterThan" aboveAverage="0" dxfId="7" text="" percent="0" bottom="0">
      <formula>0</formula>
    </cfRule>
  </conditionalFormatting>
  <conditionalFormatting sqref="N252">
    <cfRule type="cellIs" rank="0" priority="988" equalAverage="0" operator="greaterThan" aboveAverage="0" dxfId="7" text="" percent="0" bottom="0">
      <formula>0</formula>
    </cfRule>
    <cfRule type="cellIs" rank="0" priority="989" equalAverage="0" operator="lessThan" aboveAverage="0" dxfId="8" text="" percent="0" bottom="0">
      <formula>0</formula>
    </cfRule>
  </conditionalFormatting>
  <conditionalFormatting sqref="I253">
    <cfRule type="cellIs" rank="0" priority="990" equalAverage="0" operator="greaterThan" aboveAverage="0" dxfId="7" text="" percent="0" bottom="0">
      <formula>0</formula>
    </cfRule>
  </conditionalFormatting>
  <conditionalFormatting sqref="K253">
    <cfRule type="cellIs" rank="0" priority="991" equalAverage="0" operator="greaterThan" aboveAverage="0" dxfId="7" text="" percent="0" bottom="0">
      <formula>0</formula>
    </cfRule>
  </conditionalFormatting>
  <conditionalFormatting sqref="N253">
    <cfRule type="cellIs" rank="0" priority="992" equalAverage="0" operator="greaterThan" aboveAverage="0" dxfId="7" text="" percent="0" bottom="0">
      <formula>0</formula>
    </cfRule>
    <cfRule type="cellIs" rank="0" priority="993" equalAverage="0" operator="lessThan" aboveAverage="0" dxfId="8" text="" percent="0" bottom="0">
      <formula>0</formula>
    </cfRule>
  </conditionalFormatting>
  <conditionalFormatting sqref="I254">
    <cfRule type="cellIs" rank="0" priority="994" equalAverage="0" operator="greaterThan" aboveAverage="0" dxfId="7" text="" percent="0" bottom="0">
      <formula>0</formula>
    </cfRule>
  </conditionalFormatting>
  <conditionalFormatting sqref="K254">
    <cfRule type="cellIs" rank="0" priority="995" equalAverage="0" operator="greaterThan" aboveAverage="0" dxfId="7" text="" percent="0" bottom="0">
      <formula>0</formula>
    </cfRule>
  </conditionalFormatting>
  <conditionalFormatting sqref="N254">
    <cfRule type="cellIs" rank="0" priority="996" equalAverage="0" operator="greaterThan" aboveAverage="0" dxfId="7" text="" percent="0" bottom="0">
      <formula>0</formula>
    </cfRule>
    <cfRule type="cellIs" rank="0" priority="997" equalAverage="0" operator="lessThan" aboveAverage="0" dxfId="8" text="" percent="0" bottom="0">
      <formula>0</formula>
    </cfRule>
  </conditionalFormatting>
  <conditionalFormatting sqref="I255">
    <cfRule type="cellIs" rank="0" priority="998" equalAverage="0" operator="greaterThan" aboveAverage="0" dxfId="7" text="" percent="0" bottom="0">
      <formula>0</formula>
    </cfRule>
  </conditionalFormatting>
  <conditionalFormatting sqref="K255">
    <cfRule type="cellIs" rank="0" priority="999" equalAverage="0" operator="greaterThan" aboveAverage="0" dxfId="7" text="" percent="0" bottom="0">
      <formula>0</formula>
    </cfRule>
  </conditionalFormatting>
  <conditionalFormatting sqref="N255">
    <cfRule type="cellIs" rank="0" priority="1000" equalAverage="0" operator="greaterThan" aboveAverage="0" dxfId="7" text="" percent="0" bottom="0">
      <formula>0</formula>
    </cfRule>
    <cfRule type="cellIs" rank="0" priority="1001" equalAverage="0" operator="lessThan" aboveAverage="0" dxfId="8" text="" percent="0" bottom="0">
      <formula>0</formula>
    </cfRule>
  </conditionalFormatting>
  <conditionalFormatting sqref="I256">
    <cfRule type="cellIs" rank="0" priority="1002" equalAverage="0" operator="greaterThan" aboveAverage="0" dxfId="7" text="" percent="0" bottom="0">
      <formula>0</formula>
    </cfRule>
  </conditionalFormatting>
  <conditionalFormatting sqref="K256">
    <cfRule type="cellIs" rank="0" priority="1003" equalAverage="0" operator="greaterThan" aboveAverage="0" dxfId="7" text="" percent="0" bottom="0">
      <formula>0</formula>
    </cfRule>
  </conditionalFormatting>
  <conditionalFormatting sqref="N256">
    <cfRule type="cellIs" rank="0" priority="1004" equalAverage="0" operator="greaterThan" aboveAverage="0" dxfId="7" text="" percent="0" bottom="0">
      <formula>0</formula>
    </cfRule>
    <cfRule type="cellIs" rank="0" priority="1005" equalAverage="0" operator="lessThan" aboveAverage="0" dxfId="8" text="" percent="0" bottom="0">
      <formula>0</formula>
    </cfRule>
  </conditionalFormatting>
  <conditionalFormatting sqref="I257">
    <cfRule type="cellIs" rank="0" priority="1006" equalAverage="0" operator="greaterThan" aboveAverage="0" dxfId="7" text="" percent="0" bottom="0">
      <formula>0</formula>
    </cfRule>
  </conditionalFormatting>
  <conditionalFormatting sqref="K257">
    <cfRule type="cellIs" rank="0" priority="1007" equalAverage="0" operator="greaterThan" aboveAverage="0" dxfId="7" text="" percent="0" bottom="0">
      <formula>0</formula>
    </cfRule>
  </conditionalFormatting>
  <conditionalFormatting sqref="N257">
    <cfRule type="cellIs" rank="0" priority="1008" equalAverage="0" operator="greaterThan" aboveAverage="0" dxfId="7" text="" percent="0" bottom="0">
      <formula>0</formula>
    </cfRule>
    <cfRule type="cellIs" rank="0" priority="1009" equalAverage="0" operator="lessThan" aboveAverage="0" dxfId="8" text="" percent="0" bottom="0">
      <formula>0</formula>
    </cfRule>
  </conditionalFormatting>
  <conditionalFormatting sqref="I258">
    <cfRule type="cellIs" rank="0" priority="1010" equalAverage="0" operator="greaterThan" aboveAverage="0" dxfId="7" text="" percent="0" bottom="0">
      <formula>0</formula>
    </cfRule>
  </conditionalFormatting>
  <conditionalFormatting sqref="K258">
    <cfRule type="cellIs" rank="0" priority="1011" equalAverage="0" operator="greaterThan" aboveAverage="0" dxfId="7" text="" percent="0" bottom="0">
      <formula>0</formula>
    </cfRule>
  </conditionalFormatting>
  <conditionalFormatting sqref="N258">
    <cfRule type="cellIs" rank="0" priority="1012" equalAverage="0" operator="greaterThan" aboveAverage="0" dxfId="7" text="" percent="0" bottom="0">
      <formula>0</formula>
    </cfRule>
    <cfRule type="cellIs" rank="0" priority="1013" equalAverage="0" operator="lessThan" aboveAverage="0" dxfId="8" text="" percent="0" bottom="0">
      <formula>0</formula>
    </cfRule>
  </conditionalFormatting>
  <conditionalFormatting sqref="I259">
    <cfRule type="cellIs" rank="0" priority="1014" equalAverage="0" operator="greaterThan" aboveAverage="0" dxfId="7" text="" percent="0" bottom="0">
      <formula>0</formula>
    </cfRule>
  </conditionalFormatting>
  <conditionalFormatting sqref="K259">
    <cfRule type="cellIs" rank="0" priority="1015" equalAverage="0" operator="greaterThan" aboveAverage="0" dxfId="7" text="" percent="0" bottom="0">
      <formula>0</formula>
    </cfRule>
  </conditionalFormatting>
  <conditionalFormatting sqref="N259">
    <cfRule type="cellIs" rank="0" priority="1016" equalAverage="0" operator="greaterThan" aboveAverage="0" dxfId="7" text="" percent="0" bottom="0">
      <formula>0</formula>
    </cfRule>
    <cfRule type="cellIs" rank="0" priority="1017" equalAverage="0" operator="lessThan" aboveAverage="0" dxfId="8" text="" percent="0" bottom="0">
      <formula>0</formula>
    </cfRule>
  </conditionalFormatting>
  <conditionalFormatting sqref="I260">
    <cfRule type="cellIs" rank="0" priority="1018" equalAverage="0" operator="greaterThan" aboveAverage="0" dxfId="7" text="" percent="0" bottom="0">
      <formula>0</formula>
    </cfRule>
  </conditionalFormatting>
  <conditionalFormatting sqref="K260">
    <cfRule type="cellIs" rank="0" priority="1019" equalAverage="0" operator="greaterThan" aboveAverage="0" dxfId="7" text="" percent="0" bottom="0">
      <formula>0</formula>
    </cfRule>
  </conditionalFormatting>
  <conditionalFormatting sqref="N260">
    <cfRule type="cellIs" rank="0" priority="1020" equalAverage="0" operator="greaterThan" aboveAverage="0" dxfId="7" text="" percent="0" bottom="0">
      <formula>0</formula>
    </cfRule>
    <cfRule type="cellIs" rank="0" priority="1021" equalAverage="0" operator="lessThan" aboveAverage="0" dxfId="8" text="" percent="0" bottom="0">
      <formula>0</formula>
    </cfRule>
  </conditionalFormatting>
  <conditionalFormatting sqref="I261">
    <cfRule type="cellIs" rank="0" priority="1022" equalAverage="0" operator="greaterThan" aboveAverage="0" dxfId="7" text="" percent="0" bottom="0">
      <formula>0</formula>
    </cfRule>
  </conditionalFormatting>
  <conditionalFormatting sqref="K261">
    <cfRule type="cellIs" rank="0" priority="1023" equalAverage="0" operator="greaterThan" aboveAverage="0" dxfId="7" text="" percent="0" bottom="0">
      <formula>0</formula>
    </cfRule>
  </conditionalFormatting>
  <conditionalFormatting sqref="N261">
    <cfRule type="cellIs" rank="0" priority="1024" equalAverage="0" operator="greaterThan" aboveAverage="0" dxfId="7" text="" percent="0" bottom="0">
      <formula>0</formula>
    </cfRule>
    <cfRule type="cellIs" rank="0" priority="1025" equalAverage="0" operator="lessThan" aboveAverage="0" dxfId="8" text="" percent="0" bottom="0">
      <formula>0</formula>
    </cfRule>
  </conditionalFormatting>
  <conditionalFormatting sqref="I262">
    <cfRule type="cellIs" rank="0" priority="1026" equalAverage="0" operator="greaterThan" aboveAverage="0" dxfId="7" text="" percent="0" bottom="0">
      <formula>0</formula>
    </cfRule>
  </conditionalFormatting>
  <conditionalFormatting sqref="K262">
    <cfRule type="cellIs" rank="0" priority="1027" equalAverage="0" operator="greaterThan" aboveAverage="0" dxfId="7" text="" percent="0" bottom="0">
      <formula>0</formula>
    </cfRule>
  </conditionalFormatting>
  <conditionalFormatting sqref="N262">
    <cfRule type="cellIs" rank="0" priority="1028" equalAverage="0" operator="greaterThan" aboveAverage="0" dxfId="7" text="" percent="0" bottom="0">
      <formula>0</formula>
    </cfRule>
    <cfRule type="cellIs" rank="0" priority="1029" equalAverage="0" operator="lessThan" aboveAverage="0" dxfId="8" text="" percent="0" bottom="0">
      <formula>0</formula>
    </cfRule>
  </conditionalFormatting>
  <conditionalFormatting sqref="I263">
    <cfRule type="cellIs" rank="0" priority="1030" equalAverage="0" operator="greaterThan" aboveAverage="0" dxfId="7" text="" percent="0" bottom="0">
      <formula>0</formula>
    </cfRule>
  </conditionalFormatting>
  <conditionalFormatting sqref="K263">
    <cfRule type="cellIs" rank="0" priority="1031" equalAverage="0" operator="greaterThan" aboveAverage="0" dxfId="7" text="" percent="0" bottom="0">
      <formula>0</formula>
    </cfRule>
  </conditionalFormatting>
  <conditionalFormatting sqref="N263">
    <cfRule type="cellIs" rank="0" priority="1032" equalAverage="0" operator="greaterThan" aboveAverage="0" dxfId="7" text="" percent="0" bottom="0">
      <formula>0</formula>
    </cfRule>
    <cfRule type="cellIs" rank="0" priority="1033" equalAverage="0" operator="lessThan" aboveAverage="0" dxfId="8" text="" percent="0" bottom="0">
      <formula>0</formula>
    </cfRule>
  </conditionalFormatting>
  <conditionalFormatting sqref="I264">
    <cfRule type="cellIs" rank="0" priority="1034" equalAverage="0" operator="greaterThan" aboveAverage="0" dxfId="7" text="" percent="0" bottom="0">
      <formula>0</formula>
    </cfRule>
  </conditionalFormatting>
  <conditionalFormatting sqref="K264">
    <cfRule type="cellIs" rank="0" priority="1035" equalAverage="0" operator="greaterThan" aboveAverage="0" dxfId="7" text="" percent="0" bottom="0">
      <formula>0</formula>
    </cfRule>
  </conditionalFormatting>
  <conditionalFormatting sqref="N264">
    <cfRule type="cellIs" rank="0" priority="1036" equalAverage="0" operator="greaterThan" aboveAverage="0" dxfId="7" text="" percent="0" bottom="0">
      <formula>0</formula>
    </cfRule>
    <cfRule type="cellIs" rank="0" priority="1037" equalAverage="0" operator="lessThan" aboveAverage="0" dxfId="8" text="" percent="0" bottom="0">
      <formula>0</formula>
    </cfRule>
  </conditionalFormatting>
  <conditionalFormatting sqref="I265">
    <cfRule type="cellIs" rank="0" priority="1038" equalAverage="0" operator="greaterThan" aboveAverage="0" dxfId="7" text="" percent="0" bottom="0">
      <formula>0</formula>
    </cfRule>
  </conditionalFormatting>
  <conditionalFormatting sqref="K265">
    <cfRule type="cellIs" rank="0" priority="1039" equalAverage="0" operator="greaterThan" aboveAverage="0" dxfId="7" text="" percent="0" bottom="0">
      <formula>0</formula>
    </cfRule>
  </conditionalFormatting>
  <conditionalFormatting sqref="N265">
    <cfRule type="cellIs" rank="0" priority="1040" equalAverage="0" operator="greaterThan" aboveAverage="0" dxfId="7" text="" percent="0" bottom="0">
      <formula>0</formula>
    </cfRule>
    <cfRule type="cellIs" rank="0" priority="1041" equalAverage="0" operator="lessThan" aboveAverage="0" dxfId="8" text="" percent="0" bottom="0">
      <formula>0</formula>
    </cfRule>
  </conditionalFormatting>
  <conditionalFormatting sqref="I266">
    <cfRule type="cellIs" rank="0" priority="1042" equalAverage="0" operator="greaterThan" aboveAverage="0" dxfId="7" text="" percent="0" bottom="0">
      <formula>0</formula>
    </cfRule>
  </conditionalFormatting>
  <conditionalFormatting sqref="K266">
    <cfRule type="cellIs" rank="0" priority="1043" equalAverage="0" operator="greaterThan" aboveAverage="0" dxfId="7" text="" percent="0" bottom="0">
      <formula>0</formula>
    </cfRule>
  </conditionalFormatting>
  <conditionalFormatting sqref="N266">
    <cfRule type="cellIs" rank="0" priority="1044" equalAverage="0" operator="greaterThan" aboveAverage="0" dxfId="7" text="" percent="0" bottom="0">
      <formula>0</formula>
    </cfRule>
    <cfRule type="cellIs" rank="0" priority="1045" equalAverage="0" operator="lessThan" aboveAverage="0" dxfId="8" text="" percent="0" bottom="0">
      <formula>0</formula>
    </cfRule>
  </conditionalFormatting>
  <conditionalFormatting sqref="I267">
    <cfRule type="cellIs" rank="0" priority="1046" equalAverage="0" operator="greaterThan" aboveAverage="0" dxfId="7" text="" percent="0" bottom="0">
      <formula>0</formula>
    </cfRule>
  </conditionalFormatting>
  <conditionalFormatting sqref="K267">
    <cfRule type="cellIs" rank="0" priority="1047" equalAverage="0" operator="greaterThan" aboveAverage="0" dxfId="7" text="" percent="0" bottom="0">
      <formula>0</formula>
    </cfRule>
  </conditionalFormatting>
  <conditionalFormatting sqref="N267">
    <cfRule type="cellIs" rank="0" priority="1048" equalAverage="0" operator="greaterThan" aboveAverage="0" dxfId="7" text="" percent="0" bottom="0">
      <formula>0</formula>
    </cfRule>
    <cfRule type="cellIs" rank="0" priority="1049" equalAverage="0" operator="lessThan" aboveAverage="0" dxfId="8" text="" percent="0" bottom="0">
      <formula>0</formula>
    </cfRule>
  </conditionalFormatting>
  <conditionalFormatting sqref="I268">
    <cfRule type="cellIs" rank="0" priority="1050" equalAverage="0" operator="greaterThan" aboveAverage="0" dxfId="7" text="" percent="0" bottom="0">
      <formula>0</formula>
    </cfRule>
  </conditionalFormatting>
  <conditionalFormatting sqref="K268">
    <cfRule type="cellIs" rank="0" priority="1051" equalAverage="0" operator="greaterThan" aboveAverage="0" dxfId="7" text="" percent="0" bottom="0">
      <formula>0</formula>
    </cfRule>
  </conditionalFormatting>
  <conditionalFormatting sqref="N268">
    <cfRule type="cellIs" rank="0" priority="1052" equalAverage="0" operator="greaterThan" aboveAverage="0" dxfId="7" text="" percent="0" bottom="0">
      <formula>0</formula>
    </cfRule>
    <cfRule type="cellIs" rank="0" priority="1053" equalAverage="0" operator="lessThan" aboveAverage="0" dxfId="8" text="" percent="0" bottom="0">
      <formula>0</formula>
    </cfRule>
  </conditionalFormatting>
  <conditionalFormatting sqref="I269">
    <cfRule type="cellIs" rank="0" priority="1054" equalAverage="0" operator="greaterThan" aboveAverage="0" dxfId="7" text="" percent="0" bottom="0">
      <formula>0</formula>
    </cfRule>
  </conditionalFormatting>
  <conditionalFormatting sqref="K269">
    <cfRule type="cellIs" rank="0" priority="1055" equalAverage="0" operator="greaterThan" aboveAverage="0" dxfId="7" text="" percent="0" bottom="0">
      <formula>0</formula>
    </cfRule>
  </conditionalFormatting>
  <conditionalFormatting sqref="N269">
    <cfRule type="cellIs" rank="0" priority="1056" equalAverage="0" operator="greaterThan" aboveAverage="0" dxfId="7" text="" percent="0" bottom="0">
      <formula>0</formula>
    </cfRule>
    <cfRule type="cellIs" rank="0" priority="1057" equalAverage="0" operator="lessThan" aboveAverage="0" dxfId="8" text="" percent="0" bottom="0">
      <formula>0</formula>
    </cfRule>
  </conditionalFormatting>
  <conditionalFormatting sqref="I270">
    <cfRule type="cellIs" rank="0" priority="1058" equalAverage="0" operator="greaterThan" aboveAverage="0" dxfId="7" text="" percent="0" bottom="0">
      <formula>0</formula>
    </cfRule>
  </conditionalFormatting>
  <conditionalFormatting sqref="K270">
    <cfRule type="cellIs" rank="0" priority="1059" equalAverage="0" operator="greaterThan" aboveAverage="0" dxfId="7" text="" percent="0" bottom="0">
      <formula>0</formula>
    </cfRule>
  </conditionalFormatting>
  <conditionalFormatting sqref="N270">
    <cfRule type="cellIs" rank="0" priority="1060" equalAverage="0" operator="greaterThan" aboveAverage="0" dxfId="7" text="" percent="0" bottom="0">
      <formula>0</formula>
    </cfRule>
    <cfRule type="cellIs" rank="0" priority="1061" equalAverage="0" operator="lessThan" aboveAverage="0" dxfId="8" text="" percent="0" bottom="0">
      <formula>0</formula>
    </cfRule>
  </conditionalFormatting>
  <conditionalFormatting sqref="I271">
    <cfRule type="cellIs" rank="0" priority="1062" equalAverage="0" operator="greaterThan" aboveAverage="0" dxfId="7" text="" percent="0" bottom="0">
      <formula>0</formula>
    </cfRule>
  </conditionalFormatting>
  <conditionalFormatting sqref="K271">
    <cfRule type="cellIs" rank="0" priority="1063" equalAverage="0" operator="greaterThan" aboveAverage="0" dxfId="7" text="" percent="0" bottom="0">
      <formula>0</formula>
    </cfRule>
  </conditionalFormatting>
  <conditionalFormatting sqref="N271">
    <cfRule type="cellIs" rank="0" priority="1064" equalAverage="0" operator="greaterThan" aboveAverage="0" dxfId="7" text="" percent="0" bottom="0">
      <formula>0</formula>
    </cfRule>
    <cfRule type="cellIs" rank="0" priority="1065" equalAverage="0" operator="lessThan" aboveAverage="0" dxfId="8" text="" percent="0" bottom="0">
      <formula>0</formula>
    </cfRule>
  </conditionalFormatting>
  <conditionalFormatting sqref="I272">
    <cfRule type="cellIs" rank="0" priority="1066" equalAverage="0" operator="greaterThan" aboveAverage="0" dxfId="7" text="" percent="0" bottom="0">
      <formula>0</formula>
    </cfRule>
  </conditionalFormatting>
  <conditionalFormatting sqref="K272">
    <cfRule type="cellIs" rank="0" priority="1067" equalAverage="0" operator="greaterThan" aboveAverage="0" dxfId="7" text="" percent="0" bottom="0">
      <formula>0</formula>
    </cfRule>
  </conditionalFormatting>
  <conditionalFormatting sqref="N272">
    <cfRule type="cellIs" rank="0" priority="1068" equalAverage="0" operator="greaterThan" aboveAverage="0" dxfId="7" text="" percent="0" bottom="0">
      <formula>0</formula>
    </cfRule>
    <cfRule type="cellIs" rank="0" priority="1069" equalAverage="0" operator="lessThan" aboveAverage="0" dxfId="8" text="" percent="0" bottom="0">
      <formula>0</formula>
    </cfRule>
  </conditionalFormatting>
  <conditionalFormatting sqref="I273">
    <cfRule type="cellIs" rank="0" priority="1070" equalAverage="0" operator="greaterThan" aboveAverage="0" dxfId="7" text="" percent="0" bottom="0">
      <formula>0</formula>
    </cfRule>
  </conditionalFormatting>
  <conditionalFormatting sqref="K273">
    <cfRule type="cellIs" rank="0" priority="1071" equalAverage="0" operator="greaterThan" aboveAverage="0" dxfId="7" text="" percent="0" bottom="0">
      <formula>0</formula>
    </cfRule>
  </conditionalFormatting>
  <conditionalFormatting sqref="N273">
    <cfRule type="cellIs" rank="0" priority="1072" equalAverage="0" operator="greaterThan" aboveAverage="0" dxfId="7" text="" percent="0" bottom="0">
      <formula>0</formula>
    </cfRule>
    <cfRule type="cellIs" rank="0" priority="1073" equalAverage="0" operator="lessThan" aboveAverage="0" dxfId="8" text="" percent="0" bottom="0">
      <formula>0</formula>
    </cfRule>
  </conditionalFormatting>
  <conditionalFormatting sqref="I274">
    <cfRule type="cellIs" rank="0" priority="1074" equalAverage="0" operator="greaterThan" aboveAverage="0" dxfId="7" text="" percent="0" bottom="0">
      <formula>0</formula>
    </cfRule>
  </conditionalFormatting>
  <conditionalFormatting sqref="K274">
    <cfRule type="cellIs" rank="0" priority="1075" equalAverage="0" operator="greaterThan" aboveAverage="0" dxfId="7" text="" percent="0" bottom="0">
      <formula>0</formula>
    </cfRule>
  </conditionalFormatting>
  <conditionalFormatting sqref="N274">
    <cfRule type="cellIs" rank="0" priority="1076" equalAverage="0" operator="greaterThan" aboveAverage="0" dxfId="7" text="" percent="0" bottom="0">
      <formula>0</formula>
    </cfRule>
    <cfRule type="cellIs" rank="0" priority="1077" equalAverage="0" operator="lessThan" aboveAverage="0" dxfId="8" text="" percent="0" bottom="0">
      <formula>0</formula>
    </cfRule>
  </conditionalFormatting>
  <conditionalFormatting sqref="I275">
    <cfRule type="cellIs" rank="0" priority="1078" equalAverage="0" operator="greaterThan" aboveAverage="0" dxfId="7" text="" percent="0" bottom="0">
      <formula>0</formula>
    </cfRule>
  </conditionalFormatting>
  <conditionalFormatting sqref="K275">
    <cfRule type="cellIs" rank="0" priority="1079" equalAverage="0" operator="greaterThan" aboveAverage="0" dxfId="7" text="" percent="0" bottom="0">
      <formula>0</formula>
    </cfRule>
  </conditionalFormatting>
  <conditionalFormatting sqref="N275">
    <cfRule type="cellIs" rank="0" priority="1080" equalAverage="0" operator="greaterThan" aboveAverage="0" dxfId="7" text="" percent="0" bottom="0">
      <formula>0</formula>
    </cfRule>
    <cfRule type="cellIs" rank="0" priority="1081" equalAverage="0" operator="lessThan" aboveAverage="0" dxfId="8" text="" percent="0" bottom="0">
      <formula>0</formula>
    </cfRule>
  </conditionalFormatting>
  <conditionalFormatting sqref="I276">
    <cfRule type="cellIs" rank="0" priority="1082" equalAverage="0" operator="greaterThan" aboveAverage="0" dxfId="7" text="" percent="0" bottom="0">
      <formula>0</formula>
    </cfRule>
  </conditionalFormatting>
  <conditionalFormatting sqref="K276">
    <cfRule type="cellIs" rank="0" priority="1083" equalAverage="0" operator="greaterThan" aboveAverage="0" dxfId="7" text="" percent="0" bottom="0">
      <formula>0</formula>
    </cfRule>
  </conditionalFormatting>
  <conditionalFormatting sqref="N276">
    <cfRule type="cellIs" rank="0" priority="1084" equalAverage="0" operator="greaterThan" aboveAverage="0" dxfId="7" text="" percent="0" bottom="0">
      <formula>0</formula>
    </cfRule>
    <cfRule type="cellIs" rank="0" priority="1085" equalAverage="0" operator="lessThan" aboveAverage="0" dxfId="8" text="" percent="0" bottom="0">
      <formula>0</formula>
    </cfRule>
  </conditionalFormatting>
  <conditionalFormatting sqref="I277">
    <cfRule type="cellIs" rank="0" priority="1086" equalAverage="0" operator="greaterThan" aboveAverage="0" dxfId="7" text="" percent="0" bottom="0">
      <formula>0</formula>
    </cfRule>
  </conditionalFormatting>
  <conditionalFormatting sqref="K277">
    <cfRule type="cellIs" rank="0" priority="1087" equalAverage="0" operator="greaterThan" aboveAverage="0" dxfId="7" text="" percent="0" bottom="0">
      <formula>0</formula>
    </cfRule>
  </conditionalFormatting>
  <conditionalFormatting sqref="N277">
    <cfRule type="cellIs" rank="0" priority="1088" equalAverage="0" operator="greaterThan" aboveAverage="0" dxfId="7" text="" percent="0" bottom="0">
      <formula>0</formula>
    </cfRule>
    <cfRule type="cellIs" rank="0" priority="1089" equalAverage="0" operator="lessThan" aboveAverage="0" dxfId="8" text="" percent="0" bottom="0">
      <formula>0</formula>
    </cfRule>
  </conditionalFormatting>
  <conditionalFormatting sqref="I278">
    <cfRule type="cellIs" rank="0" priority="1090" equalAverage="0" operator="greaterThan" aboveAverage="0" dxfId="7" text="" percent="0" bottom="0">
      <formula>0</formula>
    </cfRule>
  </conditionalFormatting>
  <conditionalFormatting sqref="K278">
    <cfRule type="cellIs" rank="0" priority="1091" equalAverage="0" operator="greaterThan" aboveAverage="0" dxfId="7" text="" percent="0" bottom="0">
      <formula>0</formula>
    </cfRule>
  </conditionalFormatting>
  <conditionalFormatting sqref="N278">
    <cfRule type="cellIs" rank="0" priority="1092" equalAverage="0" operator="greaterThan" aboveAverage="0" dxfId="7" text="" percent="0" bottom="0">
      <formula>0</formula>
    </cfRule>
    <cfRule type="cellIs" rank="0" priority="1093" equalAverage="0" operator="lessThan" aboveAverage="0" dxfId="8" text="" percent="0" bottom="0">
      <formula>0</formula>
    </cfRule>
  </conditionalFormatting>
  <conditionalFormatting sqref="I279">
    <cfRule type="cellIs" rank="0" priority="1094" equalAverage="0" operator="greaterThan" aboveAverage="0" dxfId="7" text="" percent="0" bottom="0">
      <formula>0</formula>
    </cfRule>
  </conditionalFormatting>
  <conditionalFormatting sqref="K279">
    <cfRule type="cellIs" rank="0" priority="1095" equalAverage="0" operator="greaterThan" aboveAverage="0" dxfId="7" text="" percent="0" bottom="0">
      <formula>0</formula>
    </cfRule>
  </conditionalFormatting>
  <conditionalFormatting sqref="N279">
    <cfRule type="cellIs" rank="0" priority="1096" equalAverage="0" operator="greaterThan" aboveAverage="0" dxfId="7" text="" percent="0" bottom="0">
      <formula>0</formula>
    </cfRule>
    <cfRule type="cellIs" rank="0" priority="1097" equalAverage="0" operator="lessThan" aboveAverage="0" dxfId="8" text="" percent="0" bottom="0">
      <formula>0</formula>
    </cfRule>
  </conditionalFormatting>
  <conditionalFormatting sqref="I280">
    <cfRule type="cellIs" rank="0" priority="1098" equalAverage="0" operator="greaterThan" aboveAverage="0" dxfId="7" text="" percent="0" bottom="0">
      <formula>0</formula>
    </cfRule>
  </conditionalFormatting>
  <conditionalFormatting sqref="K280">
    <cfRule type="cellIs" rank="0" priority="1099" equalAverage="0" operator="greaterThan" aboveAverage="0" dxfId="7" text="" percent="0" bottom="0">
      <formula>0</formula>
    </cfRule>
  </conditionalFormatting>
  <conditionalFormatting sqref="N280">
    <cfRule type="cellIs" rank="0" priority="1100" equalAverage="0" operator="greaterThan" aboveAverage="0" dxfId="7" text="" percent="0" bottom="0">
      <formula>0</formula>
    </cfRule>
    <cfRule type="cellIs" rank="0" priority="1101" equalAverage="0" operator="lessThan" aboveAverage="0" dxfId="8" text="" percent="0" bottom="0">
      <formula>0</formula>
    </cfRule>
  </conditionalFormatting>
  <conditionalFormatting sqref="I281">
    <cfRule type="cellIs" rank="0" priority="1102" equalAverage="0" operator="greaterThan" aboveAverage="0" dxfId="7" text="" percent="0" bottom="0">
      <formula>0</formula>
    </cfRule>
  </conditionalFormatting>
  <conditionalFormatting sqref="K281">
    <cfRule type="cellIs" rank="0" priority="1103" equalAverage="0" operator="greaterThan" aboveAverage="0" dxfId="7" text="" percent="0" bottom="0">
      <formula>0</formula>
    </cfRule>
  </conditionalFormatting>
  <conditionalFormatting sqref="N281">
    <cfRule type="cellIs" rank="0" priority="1104" equalAverage="0" operator="greaterThan" aboveAverage="0" dxfId="7" text="" percent="0" bottom="0">
      <formula>0</formula>
    </cfRule>
    <cfRule type="cellIs" rank="0" priority="1105" equalAverage="0" operator="lessThan" aboveAverage="0" dxfId="8" text="" percent="0" bottom="0">
      <formula>0</formula>
    </cfRule>
  </conditionalFormatting>
  <conditionalFormatting sqref="I282">
    <cfRule type="cellIs" rank="0" priority="1106" equalAverage="0" operator="greaterThan" aboveAverage="0" dxfId="7" text="" percent="0" bottom="0">
      <formula>0</formula>
    </cfRule>
  </conditionalFormatting>
  <conditionalFormatting sqref="K282">
    <cfRule type="cellIs" rank="0" priority="1107" equalAverage="0" operator="greaterThan" aboveAverage="0" dxfId="7" text="" percent="0" bottom="0">
      <formula>0</formula>
    </cfRule>
  </conditionalFormatting>
  <conditionalFormatting sqref="N282">
    <cfRule type="cellIs" rank="0" priority="1108" equalAverage="0" operator="greaterThan" aboveAverage="0" dxfId="7" text="" percent="0" bottom="0">
      <formula>0</formula>
    </cfRule>
    <cfRule type="cellIs" rank="0" priority="1109" equalAverage="0" operator="lessThan" aboveAverage="0" dxfId="8" text="" percent="0" bottom="0">
      <formula>0</formula>
    </cfRule>
  </conditionalFormatting>
  <conditionalFormatting sqref="I283">
    <cfRule type="cellIs" rank="0" priority="1110" equalAverage="0" operator="greaterThan" aboveAverage="0" dxfId="7" text="" percent="0" bottom="0">
      <formula>0</formula>
    </cfRule>
  </conditionalFormatting>
  <conditionalFormatting sqref="K283">
    <cfRule type="cellIs" rank="0" priority="1111" equalAverage="0" operator="greaterThan" aboveAverage="0" dxfId="7" text="" percent="0" bottom="0">
      <formula>0</formula>
    </cfRule>
  </conditionalFormatting>
  <conditionalFormatting sqref="N283">
    <cfRule type="cellIs" rank="0" priority="1112" equalAverage="0" operator="greaterThan" aboveAverage="0" dxfId="7" text="" percent="0" bottom="0">
      <formula>0</formula>
    </cfRule>
    <cfRule type="cellIs" rank="0" priority="1113" equalAverage="0" operator="lessThan" aboveAverage="0" dxfId="8" text="" percent="0" bottom="0">
      <formula>0</formula>
    </cfRule>
  </conditionalFormatting>
  <conditionalFormatting sqref="I284">
    <cfRule type="cellIs" rank="0" priority="1114" equalAverage="0" operator="greaterThan" aboveAverage="0" dxfId="7" text="" percent="0" bottom="0">
      <formula>0</formula>
    </cfRule>
  </conditionalFormatting>
  <conditionalFormatting sqref="K284">
    <cfRule type="cellIs" rank="0" priority="1115" equalAverage="0" operator="greaterThan" aboveAverage="0" dxfId="7" text="" percent="0" bottom="0">
      <formula>0</formula>
    </cfRule>
  </conditionalFormatting>
  <conditionalFormatting sqref="N284">
    <cfRule type="cellIs" rank="0" priority="1116" equalAverage="0" operator="greaterThan" aboveAverage="0" dxfId="7" text="" percent="0" bottom="0">
      <formula>0</formula>
    </cfRule>
    <cfRule type="cellIs" rank="0" priority="1117" equalAverage="0" operator="lessThan" aboveAverage="0" dxfId="8" text="" percent="0" bottom="0">
      <formula>0</formula>
    </cfRule>
  </conditionalFormatting>
  <conditionalFormatting sqref="I285">
    <cfRule type="cellIs" rank="0" priority="1118" equalAverage="0" operator="greaterThan" aboveAverage="0" dxfId="7" text="" percent="0" bottom="0">
      <formula>0</formula>
    </cfRule>
  </conditionalFormatting>
  <conditionalFormatting sqref="K285">
    <cfRule type="cellIs" rank="0" priority="1119" equalAverage="0" operator="greaterThan" aboveAverage="0" dxfId="7" text="" percent="0" bottom="0">
      <formula>0</formula>
    </cfRule>
  </conditionalFormatting>
  <conditionalFormatting sqref="N285">
    <cfRule type="cellIs" rank="0" priority="1120" equalAverage="0" operator="greaterThan" aboveAverage="0" dxfId="7" text="" percent="0" bottom="0">
      <formula>0</formula>
    </cfRule>
    <cfRule type="cellIs" rank="0" priority="1121" equalAverage="0" operator="lessThan" aboveAverage="0" dxfId="8" text="" percent="0" bottom="0">
      <formula>0</formula>
    </cfRule>
  </conditionalFormatting>
  <conditionalFormatting sqref="I286">
    <cfRule type="cellIs" rank="0" priority="1122" equalAverage="0" operator="greaterThan" aboveAverage="0" dxfId="7" text="" percent="0" bottom="0">
      <formula>0</formula>
    </cfRule>
  </conditionalFormatting>
  <conditionalFormatting sqref="K286">
    <cfRule type="cellIs" rank="0" priority="1123" equalAverage="0" operator="greaterThan" aboveAverage="0" dxfId="7" text="" percent="0" bottom="0">
      <formula>0</formula>
    </cfRule>
  </conditionalFormatting>
  <conditionalFormatting sqref="N286">
    <cfRule type="cellIs" rank="0" priority="1124" equalAverage="0" operator="greaterThan" aboveAverage="0" dxfId="7" text="" percent="0" bottom="0">
      <formula>0</formula>
    </cfRule>
    <cfRule type="cellIs" rank="0" priority="1125" equalAverage="0" operator="lessThan" aboveAverage="0" dxfId="8" text="" percent="0" bottom="0">
      <formula>0</formula>
    </cfRule>
  </conditionalFormatting>
  <conditionalFormatting sqref="I287">
    <cfRule type="cellIs" rank="0" priority="1126" equalAverage="0" operator="greaterThan" aboveAverage="0" dxfId="7" text="" percent="0" bottom="0">
      <formula>0</formula>
    </cfRule>
  </conditionalFormatting>
  <conditionalFormatting sqref="K287">
    <cfRule type="cellIs" rank="0" priority="1127" equalAverage="0" operator="greaterThan" aboveAverage="0" dxfId="7" text="" percent="0" bottom="0">
      <formula>0</formula>
    </cfRule>
  </conditionalFormatting>
  <conditionalFormatting sqref="N287">
    <cfRule type="cellIs" rank="0" priority="1128" equalAverage="0" operator="greaterThan" aboveAverage="0" dxfId="7" text="" percent="0" bottom="0">
      <formula>0</formula>
    </cfRule>
    <cfRule type="cellIs" rank="0" priority="1129" equalAverage="0" operator="lessThan" aboveAverage="0" dxfId="8" text="" percent="0" bottom="0">
      <formula>0</formula>
    </cfRule>
  </conditionalFormatting>
  <conditionalFormatting sqref="I288">
    <cfRule type="cellIs" rank="0" priority="1130" equalAverage="0" operator="greaterThan" aboveAverage="0" dxfId="7" text="" percent="0" bottom="0">
      <formula>0</formula>
    </cfRule>
  </conditionalFormatting>
  <conditionalFormatting sqref="K288">
    <cfRule type="cellIs" rank="0" priority="1131" equalAverage="0" operator="greaterThan" aboveAverage="0" dxfId="7" text="" percent="0" bottom="0">
      <formula>0</formula>
    </cfRule>
  </conditionalFormatting>
  <conditionalFormatting sqref="N288">
    <cfRule type="cellIs" rank="0" priority="1132" equalAverage="0" operator="greaterThan" aboveAverage="0" dxfId="7" text="" percent="0" bottom="0">
      <formula>0</formula>
    </cfRule>
    <cfRule type="cellIs" rank="0" priority="1133" equalAverage="0" operator="lessThan" aboveAverage="0" dxfId="8" text="" percent="0" bottom="0">
      <formula>0</formula>
    </cfRule>
  </conditionalFormatting>
  <conditionalFormatting sqref="I289">
    <cfRule type="cellIs" rank="0" priority="1134" equalAverage="0" operator="greaterThan" aboveAverage="0" dxfId="7" text="" percent="0" bottom="0">
      <formula>0</formula>
    </cfRule>
  </conditionalFormatting>
  <conditionalFormatting sqref="K289">
    <cfRule type="cellIs" rank="0" priority="1135" equalAverage="0" operator="greaterThan" aboveAverage="0" dxfId="7" text="" percent="0" bottom="0">
      <formula>0</formula>
    </cfRule>
  </conditionalFormatting>
  <conditionalFormatting sqref="N289">
    <cfRule type="cellIs" rank="0" priority="1136" equalAverage="0" operator="greaterThan" aboveAverage="0" dxfId="7" text="" percent="0" bottom="0">
      <formula>0</formula>
    </cfRule>
    <cfRule type="cellIs" rank="0" priority="1137" equalAverage="0" operator="lessThan" aboveAverage="0" dxfId="8" text="" percent="0" bottom="0">
      <formula>0</formula>
    </cfRule>
  </conditionalFormatting>
  <conditionalFormatting sqref="I290">
    <cfRule type="cellIs" rank="0" priority="1138" equalAverage="0" operator="greaterThan" aboveAverage="0" dxfId="7" text="" percent="0" bottom="0">
      <formula>0</formula>
    </cfRule>
  </conditionalFormatting>
  <conditionalFormatting sqref="K290">
    <cfRule type="cellIs" rank="0" priority="1139" equalAverage="0" operator="greaterThan" aboveAverage="0" dxfId="7" text="" percent="0" bottom="0">
      <formula>0</formula>
    </cfRule>
  </conditionalFormatting>
  <conditionalFormatting sqref="N290">
    <cfRule type="cellIs" rank="0" priority="1140" equalAverage="0" operator="greaterThan" aboveAverage="0" dxfId="7" text="" percent="0" bottom="0">
      <formula>0</formula>
    </cfRule>
    <cfRule type="cellIs" rank="0" priority="1141" equalAverage="0" operator="lessThan" aboveAverage="0" dxfId="8" text="" percent="0" bottom="0">
      <formula>0</formula>
    </cfRule>
  </conditionalFormatting>
  <conditionalFormatting sqref="I291">
    <cfRule type="cellIs" rank="0" priority="1142" equalAverage="0" operator="greaterThan" aboveAverage="0" dxfId="7" text="" percent="0" bottom="0">
      <formula>0</formula>
    </cfRule>
  </conditionalFormatting>
  <conditionalFormatting sqref="K291">
    <cfRule type="cellIs" rank="0" priority="1143" equalAverage="0" operator="greaterThan" aboveAverage="0" dxfId="7" text="" percent="0" bottom="0">
      <formula>0</formula>
    </cfRule>
  </conditionalFormatting>
  <conditionalFormatting sqref="N291">
    <cfRule type="cellIs" rank="0" priority="1144" equalAverage="0" operator="greaterThan" aboveAverage="0" dxfId="7" text="" percent="0" bottom="0">
      <formula>0</formula>
    </cfRule>
    <cfRule type="cellIs" rank="0" priority="1145" equalAverage="0" operator="lessThan" aboveAverage="0" dxfId="8" text="" percent="0" bottom="0">
      <formula>0</formula>
    </cfRule>
  </conditionalFormatting>
  <conditionalFormatting sqref="I292">
    <cfRule type="cellIs" rank="0" priority="1146" equalAverage="0" operator="greaterThan" aboveAverage="0" dxfId="7" text="" percent="0" bottom="0">
      <formula>0</formula>
    </cfRule>
  </conditionalFormatting>
  <conditionalFormatting sqref="K292">
    <cfRule type="cellIs" rank="0" priority="1147" equalAverage="0" operator="greaterThan" aboveAverage="0" dxfId="7" text="" percent="0" bottom="0">
      <formula>0</formula>
    </cfRule>
  </conditionalFormatting>
  <conditionalFormatting sqref="N292">
    <cfRule type="cellIs" rank="0" priority="1148" equalAverage="0" operator="greaterThan" aboveAverage="0" dxfId="7" text="" percent="0" bottom="0">
      <formula>0</formula>
    </cfRule>
    <cfRule type="cellIs" rank="0" priority="1149" equalAverage="0" operator="lessThan" aboveAverage="0" dxfId="8" text="" percent="0" bottom="0">
      <formula>0</formula>
    </cfRule>
  </conditionalFormatting>
  <conditionalFormatting sqref="I293">
    <cfRule type="cellIs" rank="0" priority="1150" equalAverage="0" operator="greaterThan" aboveAverage="0" dxfId="7" text="" percent="0" bottom="0">
      <formula>0</formula>
    </cfRule>
  </conditionalFormatting>
  <conditionalFormatting sqref="K293">
    <cfRule type="cellIs" rank="0" priority="1151" equalAverage="0" operator="greaterThan" aboveAverage="0" dxfId="7" text="" percent="0" bottom="0">
      <formula>0</formula>
    </cfRule>
  </conditionalFormatting>
  <conditionalFormatting sqref="N293">
    <cfRule type="cellIs" rank="0" priority="1152" equalAverage="0" operator="greaterThan" aboveAverage="0" dxfId="7" text="" percent="0" bottom="0">
      <formula>0</formula>
    </cfRule>
    <cfRule type="cellIs" rank="0" priority="1153" equalAverage="0" operator="lessThan" aboveAverage="0" dxfId="8" text="" percent="0" bottom="0">
      <formula>0</formula>
    </cfRule>
  </conditionalFormatting>
  <conditionalFormatting sqref="I294">
    <cfRule type="cellIs" rank="0" priority="1154" equalAverage="0" operator="greaterThan" aboveAverage="0" dxfId="7" text="" percent="0" bottom="0">
      <formula>0</formula>
    </cfRule>
  </conditionalFormatting>
  <conditionalFormatting sqref="K294">
    <cfRule type="cellIs" rank="0" priority="1155" equalAverage="0" operator="greaterThan" aboveAverage="0" dxfId="7" text="" percent="0" bottom="0">
      <formula>0</formula>
    </cfRule>
  </conditionalFormatting>
  <conditionalFormatting sqref="N294">
    <cfRule type="cellIs" rank="0" priority="1156" equalAverage="0" operator="greaterThan" aboveAverage="0" dxfId="7" text="" percent="0" bottom="0">
      <formula>0</formula>
    </cfRule>
    <cfRule type="cellIs" rank="0" priority="1157" equalAverage="0" operator="lessThan" aboveAverage="0" dxfId="8" text="" percent="0" bottom="0">
      <formula>0</formula>
    </cfRule>
  </conditionalFormatting>
  <conditionalFormatting sqref="I295">
    <cfRule type="cellIs" rank="0" priority="1158" equalAverage="0" operator="greaterThan" aboveAverage="0" dxfId="7" text="" percent="0" bottom="0">
      <formula>0</formula>
    </cfRule>
  </conditionalFormatting>
  <conditionalFormatting sqref="K295">
    <cfRule type="cellIs" rank="0" priority="1159" equalAverage="0" operator="greaterThan" aboveAverage="0" dxfId="7" text="" percent="0" bottom="0">
      <formula>0</formula>
    </cfRule>
  </conditionalFormatting>
  <conditionalFormatting sqref="N295">
    <cfRule type="cellIs" rank="0" priority="1160" equalAverage="0" operator="greaterThan" aboveAverage="0" dxfId="7" text="" percent="0" bottom="0">
      <formula>0</formula>
    </cfRule>
    <cfRule type="cellIs" rank="0" priority="1161" equalAverage="0" operator="lessThan" aboveAverage="0" dxfId="8" text="" percent="0" bottom="0">
      <formula>0</formula>
    </cfRule>
  </conditionalFormatting>
  <conditionalFormatting sqref="I296">
    <cfRule type="cellIs" rank="0" priority="1162" equalAverage="0" operator="greaterThan" aboveAverage="0" dxfId="7" text="" percent="0" bottom="0">
      <formula>0</formula>
    </cfRule>
  </conditionalFormatting>
  <conditionalFormatting sqref="K296">
    <cfRule type="cellIs" rank="0" priority="1163" equalAverage="0" operator="greaterThan" aboveAverage="0" dxfId="7" text="" percent="0" bottom="0">
      <formula>0</formula>
    </cfRule>
  </conditionalFormatting>
  <conditionalFormatting sqref="N296">
    <cfRule type="cellIs" rank="0" priority="1164" equalAverage="0" operator="greaterThan" aboveAverage="0" dxfId="7" text="" percent="0" bottom="0">
      <formula>0</formula>
    </cfRule>
    <cfRule type="cellIs" rank="0" priority="1165" equalAverage="0" operator="lessThan" aboveAverage="0" dxfId="8" text="" percent="0" bottom="0">
      <formula>0</formula>
    </cfRule>
  </conditionalFormatting>
  <conditionalFormatting sqref="I297">
    <cfRule type="cellIs" rank="0" priority="1166" equalAverage="0" operator="greaterThan" aboveAverage="0" dxfId="7" text="" percent="0" bottom="0">
      <formula>0</formula>
    </cfRule>
  </conditionalFormatting>
  <conditionalFormatting sqref="K297">
    <cfRule type="cellIs" rank="0" priority="1167" equalAverage="0" operator="greaterThan" aboveAverage="0" dxfId="7" text="" percent="0" bottom="0">
      <formula>0</formula>
    </cfRule>
  </conditionalFormatting>
  <conditionalFormatting sqref="N297">
    <cfRule type="cellIs" rank="0" priority="1168" equalAverage="0" operator="greaterThan" aboveAverage="0" dxfId="7" text="" percent="0" bottom="0">
      <formula>0</formula>
    </cfRule>
    <cfRule type="cellIs" rank="0" priority="1169" equalAverage="0" operator="lessThan" aboveAverage="0" dxfId="8" text="" percent="0" bottom="0">
      <formula>0</formula>
    </cfRule>
  </conditionalFormatting>
  <conditionalFormatting sqref="I298">
    <cfRule type="cellIs" rank="0" priority="1170" equalAverage="0" operator="greaterThan" aboveAverage="0" dxfId="7" text="" percent="0" bottom="0">
      <formula>0</formula>
    </cfRule>
  </conditionalFormatting>
  <conditionalFormatting sqref="K298">
    <cfRule type="cellIs" rank="0" priority="1171" equalAverage="0" operator="greaterThan" aboveAverage="0" dxfId="7" text="" percent="0" bottom="0">
      <formula>0</formula>
    </cfRule>
  </conditionalFormatting>
  <conditionalFormatting sqref="N298">
    <cfRule type="cellIs" rank="0" priority="1172" equalAverage="0" operator="greaterThan" aboveAverage="0" dxfId="7" text="" percent="0" bottom="0">
      <formula>0</formula>
    </cfRule>
    <cfRule type="cellIs" rank="0" priority="1173" equalAverage="0" operator="lessThan" aboveAverage="0" dxfId="8" text="" percent="0" bottom="0">
      <formula>0</formula>
    </cfRule>
  </conditionalFormatting>
  <conditionalFormatting sqref="I299">
    <cfRule type="cellIs" rank="0" priority="1174" equalAverage="0" operator="greaterThan" aboveAverage="0" dxfId="7" text="" percent="0" bottom="0">
      <formula>0</formula>
    </cfRule>
  </conditionalFormatting>
  <conditionalFormatting sqref="K299">
    <cfRule type="cellIs" rank="0" priority="1175" equalAverage="0" operator="greaterThan" aboveAverage="0" dxfId="7" text="" percent="0" bottom="0">
      <formula>0</formula>
    </cfRule>
  </conditionalFormatting>
  <conditionalFormatting sqref="N299">
    <cfRule type="cellIs" rank="0" priority="1176" equalAverage="0" operator="greaterThan" aboveAverage="0" dxfId="7" text="" percent="0" bottom="0">
      <formula>0</formula>
    </cfRule>
    <cfRule type="cellIs" rank="0" priority="1177" equalAverage="0" operator="lessThan" aboveAverage="0" dxfId="8" text="" percent="0" bottom="0">
      <formula>0</formula>
    </cfRule>
  </conditionalFormatting>
  <conditionalFormatting sqref="I300">
    <cfRule type="cellIs" rank="0" priority="1178" equalAverage="0" operator="greaterThan" aboveAverage="0" dxfId="7" text="" percent="0" bottom="0">
      <formula>0</formula>
    </cfRule>
  </conditionalFormatting>
  <conditionalFormatting sqref="K300">
    <cfRule type="cellIs" rank="0" priority="1179" equalAverage="0" operator="greaterThan" aboveAverage="0" dxfId="7" text="" percent="0" bottom="0">
      <formula>0</formula>
    </cfRule>
  </conditionalFormatting>
  <conditionalFormatting sqref="N300">
    <cfRule type="cellIs" rank="0" priority="1180" equalAverage="0" operator="greaterThan" aboveAverage="0" dxfId="7" text="" percent="0" bottom="0">
      <formula>0</formula>
    </cfRule>
    <cfRule type="cellIs" rank="0" priority="1181" equalAverage="0" operator="lessThan" aboveAverage="0" dxfId="8" text="" percent="0" bottom="0">
      <formula>0</formula>
    </cfRule>
  </conditionalFormatting>
  <conditionalFormatting sqref="I301">
    <cfRule type="cellIs" rank="0" priority="1182" equalAverage="0" operator="greaterThan" aboveAverage="0" dxfId="7" text="" percent="0" bottom="0">
      <formula>0</formula>
    </cfRule>
  </conditionalFormatting>
  <conditionalFormatting sqref="K301">
    <cfRule type="cellIs" rank="0" priority="1183" equalAverage="0" operator="greaterThan" aboveAverage="0" dxfId="7" text="" percent="0" bottom="0">
      <formula>0</formula>
    </cfRule>
  </conditionalFormatting>
  <conditionalFormatting sqref="N301">
    <cfRule type="cellIs" rank="0" priority="1184" equalAverage="0" operator="greaterThan" aboveAverage="0" dxfId="7" text="" percent="0" bottom="0">
      <formula>0</formula>
    </cfRule>
    <cfRule type="cellIs" rank="0" priority="1185" equalAverage="0" operator="lessThan" aboveAverage="0" dxfId="8" text="" percent="0" bottom="0">
      <formula>0</formula>
    </cfRule>
  </conditionalFormatting>
  <conditionalFormatting sqref="I302">
    <cfRule type="cellIs" rank="0" priority="1186" equalAverage="0" operator="greaterThan" aboveAverage="0" dxfId="7" text="" percent="0" bottom="0">
      <formula>0</formula>
    </cfRule>
  </conditionalFormatting>
  <conditionalFormatting sqref="K302">
    <cfRule type="cellIs" rank="0" priority="1187" equalAverage="0" operator="greaterThan" aboveAverage="0" dxfId="7" text="" percent="0" bottom="0">
      <formula>0</formula>
    </cfRule>
  </conditionalFormatting>
  <conditionalFormatting sqref="N302">
    <cfRule type="cellIs" rank="0" priority="1188" equalAverage="0" operator="greaterThan" aboveAverage="0" dxfId="7" text="" percent="0" bottom="0">
      <formula>0</formula>
    </cfRule>
    <cfRule type="cellIs" rank="0" priority="1189" equalAverage="0" operator="lessThan" aboveAverage="0" dxfId="8" text="" percent="0" bottom="0">
      <formula>0</formula>
    </cfRule>
  </conditionalFormatting>
  <conditionalFormatting sqref="I303">
    <cfRule type="cellIs" rank="0" priority="1190" equalAverage="0" operator="greaterThan" aboveAverage="0" dxfId="7" text="" percent="0" bottom="0">
      <formula>0</formula>
    </cfRule>
  </conditionalFormatting>
  <conditionalFormatting sqref="K303">
    <cfRule type="cellIs" rank="0" priority="1191" equalAverage="0" operator="greaterThan" aboveAverage="0" dxfId="7" text="" percent="0" bottom="0">
      <formula>0</formula>
    </cfRule>
  </conditionalFormatting>
  <conditionalFormatting sqref="N303">
    <cfRule type="cellIs" rank="0" priority="1192" equalAverage="0" operator="greaterThan" aboveAverage="0" dxfId="7" text="" percent="0" bottom="0">
      <formula>0</formula>
    </cfRule>
    <cfRule type="cellIs" rank="0" priority="1193" equalAverage="0" operator="lessThan" aboveAverage="0" dxfId="8" text="" percent="0" bottom="0">
      <formula>0</formula>
    </cfRule>
  </conditionalFormatting>
  <conditionalFormatting sqref="I304">
    <cfRule type="cellIs" rank="0" priority="1194" equalAverage="0" operator="greaterThan" aboveAverage="0" dxfId="7" text="" percent="0" bottom="0">
      <formula>0</formula>
    </cfRule>
  </conditionalFormatting>
  <conditionalFormatting sqref="K304">
    <cfRule type="cellIs" rank="0" priority="1195" equalAverage="0" operator="greaterThan" aboveAverage="0" dxfId="7" text="" percent="0" bottom="0">
      <formula>0</formula>
    </cfRule>
  </conditionalFormatting>
  <conditionalFormatting sqref="N304">
    <cfRule type="cellIs" rank="0" priority="1196" equalAverage="0" operator="greaterThan" aboveAverage="0" dxfId="7" text="" percent="0" bottom="0">
      <formula>0</formula>
    </cfRule>
    <cfRule type="cellIs" rank="0" priority="1197" equalAverage="0" operator="lessThan" aboveAverage="0" dxfId="8" text="" percent="0" bottom="0">
      <formula>0</formula>
    </cfRule>
  </conditionalFormatting>
  <conditionalFormatting sqref="I305">
    <cfRule type="cellIs" rank="0" priority="1198" equalAverage="0" operator="greaterThan" aboveAverage="0" dxfId="7" text="" percent="0" bottom="0">
      <formula>0</formula>
    </cfRule>
  </conditionalFormatting>
  <conditionalFormatting sqref="K305">
    <cfRule type="cellIs" rank="0" priority="1199" equalAverage="0" operator="greaterThan" aboveAverage="0" dxfId="7" text="" percent="0" bottom="0">
      <formula>0</formula>
    </cfRule>
  </conditionalFormatting>
  <conditionalFormatting sqref="N305">
    <cfRule type="cellIs" rank="0" priority="1200" equalAverage="0" operator="greaterThan" aboveAverage="0" dxfId="7" text="" percent="0" bottom="0">
      <formula>0</formula>
    </cfRule>
    <cfRule type="cellIs" rank="0" priority="1201" equalAverage="0" operator="lessThan" aboveAverage="0" dxfId="8" text="" percent="0" bottom="0">
      <formula>0</formula>
    </cfRule>
  </conditionalFormatting>
  <conditionalFormatting sqref="I306">
    <cfRule type="cellIs" rank="0" priority="1202" equalAverage="0" operator="greaterThan" aboveAverage="0" dxfId="7" text="" percent="0" bottom="0">
      <formula>0</formula>
    </cfRule>
  </conditionalFormatting>
  <conditionalFormatting sqref="K306">
    <cfRule type="cellIs" rank="0" priority="1203" equalAverage="0" operator="greaterThan" aboveAverage="0" dxfId="7" text="" percent="0" bottom="0">
      <formula>0</formula>
    </cfRule>
  </conditionalFormatting>
  <conditionalFormatting sqref="N306">
    <cfRule type="cellIs" rank="0" priority="1204" equalAverage="0" operator="greaterThan" aboveAverage="0" dxfId="7" text="" percent="0" bottom="0">
      <formula>0</formula>
    </cfRule>
    <cfRule type="cellIs" rank="0" priority="1205" equalAverage="0" operator="lessThan" aboveAverage="0" dxfId="8" text="" percent="0" bottom="0">
      <formula>0</formula>
    </cfRule>
  </conditionalFormatting>
  <conditionalFormatting sqref="I307">
    <cfRule type="cellIs" rank="0" priority="1206" equalAverage="0" operator="greaterThan" aboveAverage="0" dxfId="7" text="" percent="0" bottom="0">
      <formula>0</formula>
    </cfRule>
  </conditionalFormatting>
  <conditionalFormatting sqref="K307">
    <cfRule type="cellIs" rank="0" priority="1207" equalAverage="0" operator="greaterThan" aboveAverage="0" dxfId="7" text="" percent="0" bottom="0">
      <formula>0</formula>
    </cfRule>
  </conditionalFormatting>
  <conditionalFormatting sqref="N307">
    <cfRule type="cellIs" rank="0" priority="1208" equalAverage="0" operator="greaterThan" aboveAverage="0" dxfId="7" text="" percent="0" bottom="0">
      <formula>0</formula>
    </cfRule>
    <cfRule type="cellIs" rank="0" priority="1209" equalAverage="0" operator="lessThan" aboveAverage="0" dxfId="8" text="" percent="0" bottom="0">
      <formula>0</formula>
    </cfRule>
  </conditionalFormatting>
  <conditionalFormatting sqref="I308">
    <cfRule type="cellIs" rank="0" priority="1210" equalAverage="0" operator="greaterThan" aboveAverage="0" dxfId="7" text="" percent="0" bottom="0">
      <formula>0</formula>
    </cfRule>
  </conditionalFormatting>
  <conditionalFormatting sqref="K308">
    <cfRule type="cellIs" rank="0" priority="1211" equalAverage="0" operator="greaterThan" aboveAverage="0" dxfId="7" text="" percent="0" bottom="0">
      <formula>0</formula>
    </cfRule>
  </conditionalFormatting>
  <conditionalFormatting sqref="N308">
    <cfRule type="cellIs" rank="0" priority="1212" equalAverage="0" operator="greaterThan" aboveAverage="0" dxfId="7" text="" percent="0" bottom="0">
      <formula>0</formula>
    </cfRule>
    <cfRule type="cellIs" rank="0" priority="1213" equalAverage="0" operator="lessThan" aboveAverage="0" dxfId="8" text="" percent="0" bottom="0">
      <formula>0</formula>
    </cfRule>
  </conditionalFormatting>
  <conditionalFormatting sqref="I309">
    <cfRule type="cellIs" rank="0" priority="1214" equalAverage="0" operator="greaterThan" aboveAverage="0" dxfId="7" text="" percent="0" bottom="0">
      <formula>0</formula>
    </cfRule>
  </conditionalFormatting>
  <conditionalFormatting sqref="K309">
    <cfRule type="cellIs" rank="0" priority="1215" equalAverage="0" operator="greaterThan" aboveAverage="0" dxfId="7" text="" percent="0" bottom="0">
      <formula>0</formula>
    </cfRule>
  </conditionalFormatting>
  <conditionalFormatting sqref="N309">
    <cfRule type="cellIs" rank="0" priority="1216" equalAverage="0" operator="greaterThan" aboveAverage="0" dxfId="7" text="" percent="0" bottom="0">
      <formula>0</formula>
    </cfRule>
    <cfRule type="cellIs" rank="0" priority="1217" equalAverage="0" operator="lessThan" aboveAverage="0" dxfId="8" text="" percent="0" bottom="0">
      <formula>0</formula>
    </cfRule>
  </conditionalFormatting>
  <conditionalFormatting sqref="I310">
    <cfRule type="cellIs" rank="0" priority="1218" equalAverage="0" operator="greaterThan" aboveAverage="0" dxfId="7" text="" percent="0" bottom="0">
      <formula>0</formula>
    </cfRule>
  </conditionalFormatting>
  <conditionalFormatting sqref="K310">
    <cfRule type="cellIs" rank="0" priority="1219" equalAverage="0" operator="greaterThan" aboveAverage="0" dxfId="7" text="" percent="0" bottom="0">
      <formula>0</formula>
    </cfRule>
  </conditionalFormatting>
  <conditionalFormatting sqref="N310">
    <cfRule type="cellIs" rank="0" priority="1220" equalAverage="0" operator="greaterThan" aboveAverage="0" dxfId="7" text="" percent="0" bottom="0">
      <formula>0</formula>
    </cfRule>
    <cfRule type="cellIs" rank="0" priority="1221" equalAverage="0" operator="lessThan" aboveAverage="0" dxfId="8" text="" percent="0" bottom="0">
      <formula>0</formula>
    </cfRule>
  </conditionalFormatting>
  <conditionalFormatting sqref="I311">
    <cfRule type="cellIs" rank="0" priority="1222" equalAverage="0" operator="greaterThan" aboveAverage="0" dxfId="7" text="" percent="0" bottom="0">
      <formula>0</formula>
    </cfRule>
  </conditionalFormatting>
  <conditionalFormatting sqref="K311">
    <cfRule type="cellIs" rank="0" priority="1223" equalAverage="0" operator="greaterThan" aboveAverage="0" dxfId="7" text="" percent="0" bottom="0">
      <formula>0</formula>
    </cfRule>
  </conditionalFormatting>
  <conditionalFormatting sqref="N311">
    <cfRule type="cellIs" rank="0" priority="1224" equalAverage="0" operator="greaterThan" aboveAverage="0" dxfId="7" text="" percent="0" bottom="0">
      <formula>0</formula>
    </cfRule>
    <cfRule type="cellIs" rank="0" priority="1225" equalAverage="0" operator="lessThan" aboveAverage="0" dxfId="8" text="" percent="0" bottom="0">
      <formula>0</formula>
    </cfRule>
  </conditionalFormatting>
  <conditionalFormatting sqref="I312">
    <cfRule type="cellIs" rank="0" priority="1226" equalAverage="0" operator="greaterThan" aboveAverage="0" dxfId="7" text="" percent="0" bottom="0">
      <formula>0</formula>
    </cfRule>
  </conditionalFormatting>
  <conditionalFormatting sqref="K312">
    <cfRule type="cellIs" rank="0" priority="1227" equalAverage="0" operator="greaterThan" aboveAverage="0" dxfId="7" text="" percent="0" bottom="0">
      <formula>0</formula>
    </cfRule>
  </conditionalFormatting>
  <conditionalFormatting sqref="N312">
    <cfRule type="cellIs" rank="0" priority="1228" equalAverage="0" operator="greaterThan" aboveAverage="0" dxfId="7" text="" percent="0" bottom="0">
      <formula>0</formula>
    </cfRule>
    <cfRule type="cellIs" rank="0" priority="1229" equalAverage="0" operator="lessThan" aboveAverage="0" dxfId="8" text="" percent="0" bottom="0">
      <formula>0</formula>
    </cfRule>
  </conditionalFormatting>
  <conditionalFormatting sqref="I313">
    <cfRule type="cellIs" rank="0" priority="1230" equalAverage="0" operator="greaterThan" aboveAverage="0" dxfId="7" text="" percent="0" bottom="0">
      <formula>0</formula>
    </cfRule>
  </conditionalFormatting>
  <conditionalFormatting sqref="K313">
    <cfRule type="cellIs" rank="0" priority="1231" equalAverage="0" operator="greaterThan" aboveAverage="0" dxfId="7" text="" percent="0" bottom="0">
      <formula>0</formula>
    </cfRule>
  </conditionalFormatting>
  <conditionalFormatting sqref="N313">
    <cfRule type="cellIs" rank="0" priority="1232" equalAverage="0" operator="greaterThan" aboveAverage="0" dxfId="7" text="" percent="0" bottom="0">
      <formula>0</formula>
    </cfRule>
    <cfRule type="cellIs" rank="0" priority="1233" equalAverage="0" operator="lessThan" aboveAverage="0" dxfId="8" text="" percent="0" bottom="0">
      <formula>0</formula>
    </cfRule>
  </conditionalFormatting>
  <conditionalFormatting sqref="I314">
    <cfRule type="cellIs" rank="0" priority="1234" equalAverage="0" operator="greaterThan" aboveAverage="0" dxfId="7" text="" percent="0" bottom="0">
      <formula>0</formula>
    </cfRule>
  </conditionalFormatting>
  <conditionalFormatting sqref="K314">
    <cfRule type="cellIs" rank="0" priority="1235" equalAverage="0" operator="greaterThan" aboveAverage="0" dxfId="7" text="" percent="0" bottom="0">
      <formula>0</formula>
    </cfRule>
  </conditionalFormatting>
  <conditionalFormatting sqref="N314">
    <cfRule type="cellIs" rank="0" priority="1236" equalAverage="0" operator="greaterThan" aboveAverage="0" dxfId="7" text="" percent="0" bottom="0">
      <formula>0</formula>
    </cfRule>
    <cfRule type="cellIs" rank="0" priority="1237" equalAverage="0" operator="lessThan" aboveAverage="0" dxfId="8" text="" percent="0" bottom="0">
      <formula>0</formula>
    </cfRule>
  </conditionalFormatting>
  <conditionalFormatting sqref="I315">
    <cfRule type="cellIs" rank="0" priority="1238" equalAverage="0" operator="greaterThan" aboveAverage="0" dxfId="7" text="" percent="0" bottom="0">
      <formula>0</formula>
    </cfRule>
  </conditionalFormatting>
  <conditionalFormatting sqref="K315">
    <cfRule type="cellIs" rank="0" priority="1239" equalAverage="0" operator="greaterThan" aboveAverage="0" dxfId="7" text="" percent="0" bottom="0">
      <formula>0</formula>
    </cfRule>
  </conditionalFormatting>
  <conditionalFormatting sqref="N315">
    <cfRule type="cellIs" rank="0" priority="1240" equalAverage="0" operator="greaterThan" aboveAverage="0" dxfId="7" text="" percent="0" bottom="0">
      <formula>0</formula>
    </cfRule>
    <cfRule type="cellIs" rank="0" priority="1241" equalAverage="0" operator="lessThan" aboveAverage="0" dxfId="8" text="" percent="0" bottom="0">
      <formula>0</formula>
    </cfRule>
  </conditionalFormatting>
  <conditionalFormatting sqref="I316">
    <cfRule type="cellIs" rank="0" priority="1242" equalAverage="0" operator="greaterThan" aboveAverage="0" dxfId="7" text="" percent="0" bottom="0">
      <formula>0</formula>
    </cfRule>
  </conditionalFormatting>
  <conditionalFormatting sqref="K316">
    <cfRule type="cellIs" rank="0" priority="1243" equalAverage="0" operator="greaterThan" aboveAverage="0" dxfId="7" text="" percent="0" bottom="0">
      <formula>0</formula>
    </cfRule>
  </conditionalFormatting>
  <conditionalFormatting sqref="N316">
    <cfRule type="cellIs" rank="0" priority="1244" equalAverage="0" operator="greaterThan" aboveAverage="0" dxfId="7" text="" percent="0" bottom="0">
      <formula>0</formula>
    </cfRule>
    <cfRule type="cellIs" rank="0" priority="1245" equalAverage="0" operator="lessThan" aboveAverage="0" dxfId="8" text="" percent="0" bottom="0">
      <formula>0</formula>
    </cfRule>
  </conditionalFormatting>
  <conditionalFormatting sqref="I317">
    <cfRule type="cellIs" rank="0" priority="1246" equalAverage="0" operator="greaterThan" aboveAverage="0" dxfId="7" text="" percent="0" bottom="0">
      <formula>0</formula>
    </cfRule>
  </conditionalFormatting>
  <conditionalFormatting sqref="K317">
    <cfRule type="cellIs" rank="0" priority="1247" equalAverage="0" operator="greaterThan" aboveAverage="0" dxfId="7" text="" percent="0" bottom="0">
      <formula>0</formula>
    </cfRule>
  </conditionalFormatting>
  <conditionalFormatting sqref="N317">
    <cfRule type="cellIs" rank="0" priority="1248" equalAverage="0" operator="greaterThan" aboveAverage="0" dxfId="7" text="" percent="0" bottom="0">
      <formula>0</formula>
    </cfRule>
    <cfRule type="cellIs" rank="0" priority="1249" equalAverage="0" operator="lessThan" aboveAverage="0" dxfId="8" text="" percent="0" bottom="0">
      <formula>0</formula>
    </cfRule>
  </conditionalFormatting>
  <conditionalFormatting sqref="I318">
    <cfRule type="cellIs" rank="0" priority="1250" equalAverage="0" operator="greaterThan" aboveAverage="0" dxfId="7" text="" percent="0" bottom="0">
      <formula>0</formula>
    </cfRule>
  </conditionalFormatting>
  <conditionalFormatting sqref="K318">
    <cfRule type="cellIs" rank="0" priority="1251" equalAverage="0" operator="greaterThan" aboveAverage="0" dxfId="7" text="" percent="0" bottom="0">
      <formula>0</formula>
    </cfRule>
  </conditionalFormatting>
  <conditionalFormatting sqref="N318">
    <cfRule type="cellIs" rank="0" priority="1252" equalAverage="0" operator="greaterThan" aboveAverage="0" dxfId="7" text="" percent="0" bottom="0">
      <formula>0</formula>
    </cfRule>
    <cfRule type="cellIs" rank="0" priority="1253" equalAverage="0" operator="lessThan" aboveAverage="0" dxfId="8" text="" percent="0" bottom="0">
      <formula>0</formula>
    </cfRule>
  </conditionalFormatting>
  <conditionalFormatting sqref="I319">
    <cfRule type="cellIs" rank="0" priority="1254" equalAverage="0" operator="greaterThan" aboveAverage="0" dxfId="7" text="" percent="0" bottom="0">
      <formula>0</formula>
    </cfRule>
  </conditionalFormatting>
  <conditionalFormatting sqref="K319">
    <cfRule type="cellIs" rank="0" priority="1255" equalAverage="0" operator="greaterThan" aboveAverage="0" dxfId="7" text="" percent="0" bottom="0">
      <formula>0</formula>
    </cfRule>
  </conditionalFormatting>
  <conditionalFormatting sqref="N319">
    <cfRule type="cellIs" rank="0" priority="1256" equalAverage="0" operator="greaterThan" aboveAverage="0" dxfId="7" text="" percent="0" bottom="0">
      <formula>0</formula>
    </cfRule>
    <cfRule type="cellIs" rank="0" priority="1257" equalAverage="0" operator="lessThan" aboveAverage="0" dxfId="8" text="" percent="0" bottom="0">
      <formula>0</formula>
    </cfRule>
  </conditionalFormatting>
  <conditionalFormatting sqref="I320">
    <cfRule type="cellIs" rank="0" priority="1258" equalAverage="0" operator="greaterThan" aboveAverage="0" dxfId="7" text="" percent="0" bottom="0">
      <formula>0</formula>
    </cfRule>
  </conditionalFormatting>
  <conditionalFormatting sqref="K320">
    <cfRule type="cellIs" rank="0" priority="1259" equalAverage="0" operator="greaterThan" aboveAverage="0" dxfId="7" text="" percent="0" bottom="0">
      <formula>0</formula>
    </cfRule>
  </conditionalFormatting>
  <conditionalFormatting sqref="N320">
    <cfRule type="cellIs" rank="0" priority="1260" equalAverage="0" operator="greaterThan" aboveAverage="0" dxfId="7" text="" percent="0" bottom="0">
      <formula>0</formula>
    </cfRule>
    <cfRule type="cellIs" rank="0" priority="1261" equalAverage="0" operator="lessThan" aboveAverage="0" dxfId="8" text="" percent="0" bottom="0">
      <formula>0</formula>
    </cfRule>
  </conditionalFormatting>
  <conditionalFormatting sqref="I321">
    <cfRule type="cellIs" rank="0" priority="1262" equalAverage="0" operator="greaterThan" aboveAverage="0" dxfId="7" text="" percent="0" bottom="0">
      <formula>0</formula>
    </cfRule>
  </conditionalFormatting>
  <conditionalFormatting sqref="K321">
    <cfRule type="cellIs" rank="0" priority="1263" equalAverage="0" operator="greaterThan" aboveAverage="0" dxfId="7" text="" percent="0" bottom="0">
      <formula>0</formula>
    </cfRule>
  </conditionalFormatting>
  <conditionalFormatting sqref="N321">
    <cfRule type="cellIs" rank="0" priority="1264" equalAverage="0" operator="greaterThan" aboveAverage="0" dxfId="7" text="" percent="0" bottom="0">
      <formula>0</formula>
    </cfRule>
    <cfRule type="cellIs" rank="0" priority="1265" equalAverage="0" operator="lessThan" aboveAverage="0" dxfId="8" text="" percent="0" bottom="0">
      <formula>0</formula>
    </cfRule>
  </conditionalFormatting>
  <conditionalFormatting sqref="I322">
    <cfRule type="cellIs" rank="0" priority="1266" equalAverage="0" operator="greaterThan" aboveAverage="0" dxfId="7" text="" percent="0" bottom="0">
      <formula>0</formula>
    </cfRule>
  </conditionalFormatting>
  <conditionalFormatting sqref="K322">
    <cfRule type="cellIs" rank="0" priority="1267" equalAverage="0" operator="greaterThan" aboveAverage="0" dxfId="7" text="" percent="0" bottom="0">
      <formula>0</formula>
    </cfRule>
  </conditionalFormatting>
  <conditionalFormatting sqref="N322">
    <cfRule type="cellIs" rank="0" priority="1268" equalAverage="0" operator="greaterThan" aboveAverage="0" dxfId="7" text="" percent="0" bottom="0">
      <formula>0</formula>
    </cfRule>
    <cfRule type="cellIs" rank="0" priority="1269" equalAverage="0" operator="lessThan" aboveAverage="0" dxfId="8" text="" percent="0" bottom="0">
      <formula>0</formula>
    </cfRule>
  </conditionalFormatting>
  <conditionalFormatting sqref="I323">
    <cfRule type="cellIs" rank="0" priority="1270" equalAverage="0" operator="greaterThan" aboveAverage="0" dxfId="7" text="" percent="0" bottom="0">
      <formula>0</formula>
    </cfRule>
  </conditionalFormatting>
  <conditionalFormatting sqref="K323">
    <cfRule type="cellIs" rank="0" priority="1271" equalAverage="0" operator="greaterThan" aboveAverage="0" dxfId="7" text="" percent="0" bottom="0">
      <formula>0</formula>
    </cfRule>
  </conditionalFormatting>
  <conditionalFormatting sqref="N323">
    <cfRule type="cellIs" rank="0" priority="1272" equalAverage="0" operator="greaterThan" aboveAverage="0" dxfId="7" text="" percent="0" bottom="0">
      <formula>0</formula>
    </cfRule>
    <cfRule type="cellIs" rank="0" priority="1273" equalAverage="0" operator="lessThan" aboveAverage="0" dxfId="8" text="" percent="0" bottom="0">
      <formula>0</formula>
    </cfRule>
  </conditionalFormatting>
  <conditionalFormatting sqref="I324">
    <cfRule type="cellIs" rank="0" priority="1274" equalAverage="0" operator="greaterThan" aboveAverage="0" dxfId="7" text="" percent="0" bottom="0">
      <formula>0</formula>
    </cfRule>
  </conditionalFormatting>
  <conditionalFormatting sqref="K324">
    <cfRule type="cellIs" rank="0" priority="1275" equalAverage="0" operator="greaterThan" aboveAverage="0" dxfId="7" text="" percent="0" bottom="0">
      <formula>0</formula>
    </cfRule>
  </conditionalFormatting>
  <conditionalFormatting sqref="N324">
    <cfRule type="cellIs" rank="0" priority="1276" equalAverage="0" operator="greaterThan" aboveAverage="0" dxfId="7" text="" percent="0" bottom="0">
      <formula>0</formula>
    </cfRule>
    <cfRule type="cellIs" rank="0" priority="1277" equalAverage="0" operator="lessThan" aboveAverage="0" dxfId="8" text="" percent="0" bottom="0">
      <formula>0</formula>
    </cfRule>
  </conditionalFormatting>
  <conditionalFormatting sqref="I325">
    <cfRule type="cellIs" rank="0" priority="1278" equalAverage="0" operator="greaterThan" aboveAverage="0" dxfId="7" text="" percent="0" bottom="0">
      <formula>0</formula>
    </cfRule>
  </conditionalFormatting>
  <conditionalFormatting sqref="K325">
    <cfRule type="cellIs" rank="0" priority="1279" equalAverage="0" operator="greaterThan" aboveAverage="0" dxfId="7" text="" percent="0" bottom="0">
      <formula>0</formula>
    </cfRule>
  </conditionalFormatting>
  <conditionalFormatting sqref="N325">
    <cfRule type="cellIs" rank="0" priority="1280" equalAverage="0" operator="greaterThan" aboveAverage="0" dxfId="7" text="" percent="0" bottom="0">
      <formula>0</formula>
    </cfRule>
    <cfRule type="cellIs" rank="0" priority="1281" equalAverage="0" operator="lessThan" aboveAverage="0" dxfId="8" text="" percent="0" bottom="0">
      <formula>0</formula>
    </cfRule>
  </conditionalFormatting>
  <conditionalFormatting sqref="I326">
    <cfRule type="cellIs" rank="0" priority="1282" equalAverage="0" operator="greaterThan" aboveAverage="0" dxfId="7" text="" percent="0" bottom="0">
      <formula>0</formula>
    </cfRule>
  </conditionalFormatting>
  <conditionalFormatting sqref="K326">
    <cfRule type="cellIs" rank="0" priority="1283" equalAverage="0" operator="greaterThan" aboveAverage="0" dxfId="7" text="" percent="0" bottom="0">
      <formula>0</formula>
    </cfRule>
  </conditionalFormatting>
  <conditionalFormatting sqref="N326">
    <cfRule type="cellIs" rank="0" priority="1284" equalAverage="0" operator="greaterThan" aboveAverage="0" dxfId="7" text="" percent="0" bottom="0">
      <formula>0</formula>
    </cfRule>
    <cfRule type="cellIs" rank="0" priority="1285" equalAverage="0" operator="lessThan" aboveAverage="0" dxfId="8" text="" percent="0" bottom="0">
      <formula>0</formula>
    </cfRule>
  </conditionalFormatting>
  <conditionalFormatting sqref="I327">
    <cfRule type="cellIs" rank="0" priority="1286" equalAverage="0" operator="greaterThan" aboveAverage="0" dxfId="7" text="" percent="0" bottom="0">
      <formula>0</formula>
    </cfRule>
  </conditionalFormatting>
  <conditionalFormatting sqref="K327">
    <cfRule type="cellIs" rank="0" priority="1287" equalAverage="0" operator="greaterThan" aboveAverage="0" dxfId="7" text="" percent="0" bottom="0">
      <formula>0</formula>
    </cfRule>
  </conditionalFormatting>
  <conditionalFormatting sqref="N327">
    <cfRule type="cellIs" rank="0" priority="1288" equalAverage="0" operator="greaterThan" aboveAverage="0" dxfId="7" text="" percent="0" bottom="0">
      <formula>0</formula>
    </cfRule>
    <cfRule type="cellIs" rank="0" priority="1289" equalAverage="0" operator="lessThan" aboveAverage="0" dxfId="8" text="" percent="0" bottom="0">
      <formula>0</formula>
    </cfRule>
  </conditionalFormatting>
  <conditionalFormatting sqref="I328">
    <cfRule type="cellIs" rank="0" priority="1290" equalAverage="0" operator="greaterThan" aboveAverage="0" dxfId="7" text="" percent="0" bottom="0">
      <formula>0</formula>
    </cfRule>
  </conditionalFormatting>
  <conditionalFormatting sqref="K328">
    <cfRule type="cellIs" rank="0" priority="1291" equalAverage="0" operator="greaterThan" aboveAverage="0" dxfId="7" text="" percent="0" bottom="0">
      <formula>0</formula>
    </cfRule>
  </conditionalFormatting>
  <conditionalFormatting sqref="N328">
    <cfRule type="cellIs" rank="0" priority="1292" equalAverage="0" operator="greaterThan" aboveAverage="0" dxfId="7" text="" percent="0" bottom="0">
      <formula>0</formula>
    </cfRule>
    <cfRule type="cellIs" rank="0" priority="1293" equalAverage="0" operator="lessThan" aboveAverage="0" dxfId="8" text="" percent="0" bottom="0">
      <formula>0</formula>
    </cfRule>
  </conditionalFormatting>
  <conditionalFormatting sqref="I329">
    <cfRule type="cellIs" rank="0" priority="1294" equalAverage="0" operator="greaterThan" aboveAverage="0" dxfId="7" text="" percent="0" bottom="0">
      <formula>0</formula>
    </cfRule>
  </conditionalFormatting>
  <conditionalFormatting sqref="K329">
    <cfRule type="cellIs" rank="0" priority="1295" equalAverage="0" operator="greaterThan" aboveAverage="0" dxfId="7" text="" percent="0" bottom="0">
      <formula>0</formula>
    </cfRule>
  </conditionalFormatting>
  <conditionalFormatting sqref="N329">
    <cfRule type="cellIs" rank="0" priority="1296" equalAverage="0" operator="greaterThan" aboveAverage="0" dxfId="7" text="" percent="0" bottom="0">
      <formula>0</formula>
    </cfRule>
    <cfRule type="cellIs" rank="0" priority="1297" equalAverage="0" operator="lessThan" aboveAverage="0" dxfId="8" text="" percent="0" bottom="0">
      <formula>0</formula>
    </cfRule>
  </conditionalFormatting>
  <conditionalFormatting sqref="I330">
    <cfRule type="cellIs" rank="0" priority="1298" equalAverage="0" operator="greaterThan" aboveAverage="0" dxfId="7" text="" percent="0" bottom="0">
      <formula>0</formula>
    </cfRule>
  </conditionalFormatting>
  <conditionalFormatting sqref="K330">
    <cfRule type="cellIs" rank="0" priority="1299" equalAverage="0" operator="greaterThan" aboveAverage="0" dxfId="7" text="" percent="0" bottom="0">
      <formula>0</formula>
    </cfRule>
  </conditionalFormatting>
  <conditionalFormatting sqref="N330">
    <cfRule type="cellIs" rank="0" priority="1300" equalAverage="0" operator="greaterThan" aboveAverage="0" dxfId="7" text="" percent="0" bottom="0">
      <formula>0</formula>
    </cfRule>
    <cfRule type="cellIs" rank="0" priority="1301" equalAverage="0" operator="lessThan" aboveAverage="0" dxfId="8" text="" percent="0" bottom="0">
      <formula>0</formula>
    </cfRule>
  </conditionalFormatting>
  <conditionalFormatting sqref="I331">
    <cfRule type="cellIs" rank="0" priority="1302" equalAverage="0" operator="greaterThan" aboveAverage="0" dxfId="7" text="" percent="0" bottom="0">
      <formula>0</formula>
    </cfRule>
  </conditionalFormatting>
  <conditionalFormatting sqref="K331">
    <cfRule type="cellIs" rank="0" priority="1303" equalAverage="0" operator="greaterThan" aboveAverage="0" dxfId="7" text="" percent="0" bottom="0">
      <formula>0</formula>
    </cfRule>
  </conditionalFormatting>
  <conditionalFormatting sqref="N331">
    <cfRule type="cellIs" rank="0" priority="1304" equalAverage="0" operator="greaterThan" aboveAverage="0" dxfId="7" text="" percent="0" bottom="0">
      <formula>0</formula>
    </cfRule>
    <cfRule type="cellIs" rank="0" priority="1305" equalAverage="0" operator="lessThan" aboveAverage="0" dxfId="8" text="" percent="0" bottom="0">
      <formula>0</formula>
    </cfRule>
  </conditionalFormatting>
  <conditionalFormatting sqref="I332">
    <cfRule type="cellIs" rank="0" priority="1306" equalAverage="0" operator="greaterThan" aboveAverage="0" dxfId="7" text="" percent="0" bottom="0">
      <formula>0</formula>
    </cfRule>
  </conditionalFormatting>
  <conditionalFormatting sqref="K332">
    <cfRule type="cellIs" rank="0" priority="1307" equalAverage="0" operator="greaterThan" aboveAverage="0" dxfId="7" text="" percent="0" bottom="0">
      <formula>0</formula>
    </cfRule>
  </conditionalFormatting>
  <conditionalFormatting sqref="N332">
    <cfRule type="cellIs" rank="0" priority="1308" equalAverage="0" operator="greaterThan" aboveAverage="0" dxfId="7" text="" percent="0" bottom="0">
      <formula>0</formula>
    </cfRule>
    <cfRule type="cellIs" rank="0" priority="1309" equalAverage="0" operator="lessThan" aboveAverage="0" dxfId="8" text="" percent="0" bottom="0">
      <formula>0</formula>
    </cfRule>
  </conditionalFormatting>
  <conditionalFormatting sqref="I333">
    <cfRule type="cellIs" rank="0" priority="1310" equalAverage="0" operator="greaterThan" aboveAverage="0" dxfId="7" text="" percent="0" bottom="0">
      <formula>0</formula>
    </cfRule>
  </conditionalFormatting>
  <conditionalFormatting sqref="K333">
    <cfRule type="cellIs" rank="0" priority="1311" equalAverage="0" operator="greaterThan" aboveAverage="0" dxfId="7" text="" percent="0" bottom="0">
      <formula>0</formula>
    </cfRule>
  </conditionalFormatting>
  <conditionalFormatting sqref="N333">
    <cfRule type="cellIs" rank="0" priority="1312" equalAverage="0" operator="greaterThan" aboveAverage="0" dxfId="7" text="" percent="0" bottom="0">
      <formula>0</formula>
    </cfRule>
    <cfRule type="cellIs" rank="0" priority="1313" equalAverage="0" operator="lessThan" aboveAverage="0" dxfId="8" text="" percent="0" bottom="0">
      <formula>0</formula>
    </cfRule>
  </conditionalFormatting>
  <conditionalFormatting sqref="I334">
    <cfRule type="cellIs" rank="0" priority="1314" equalAverage="0" operator="greaterThan" aboveAverage="0" dxfId="7" text="" percent="0" bottom="0">
      <formula>0</formula>
    </cfRule>
  </conditionalFormatting>
  <conditionalFormatting sqref="K334">
    <cfRule type="cellIs" rank="0" priority="1315" equalAverage="0" operator="greaterThan" aboveAverage="0" dxfId="7" text="" percent="0" bottom="0">
      <formula>0</formula>
    </cfRule>
  </conditionalFormatting>
  <conditionalFormatting sqref="N334">
    <cfRule type="cellIs" rank="0" priority="1316" equalAverage="0" operator="greaterThan" aboveAverage="0" dxfId="7" text="" percent="0" bottom="0">
      <formula>0</formula>
    </cfRule>
    <cfRule type="cellIs" rank="0" priority="1317" equalAverage="0" operator="lessThan" aboveAverage="0" dxfId="8" text="" percent="0" bottom="0">
      <formula>0</formula>
    </cfRule>
  </conditionalFormatting>
  <conditionalFormatting sqref="I335">
    <cfRule type="cellIs" rank="0" priority="1318" equalAverage="0" operator="greaterThan" aboveAverage="0" dxfId="7" text="" percent="0" bottom="0">
      <formula>0</formula>
    </cfRule>
  </conditionalFormatting>
  <conditionalFormatting sqref="K335">
    <cfRule type="cellIs" rank="0" priority="1319" equalAverage="0" operator="greaterThan" aboveAverage="0" dxfId="7" text="" percent="0" bottom="0">
      <formula>0</formula>
    </cfRule>
  </conditionalFormatting>
  <conditionalFormatting sqref="N335">
    <cfRule type="cellIs" rank="0" priority="1320" equalAverage="0" operator="greaterThan" aboveAverage="0" dxfId="7" text="" percent="0" bottom="0">
      <formula>0</formula>
    </cfRule>
    <cfRule type="cellIs" rank="0" priority="1321" equalAverage="0" operator="lessThan" aboveAverage="0" dxfId="8" text="" percent="0" bottom="0">
      <formula>0</formula>
    </cfRule>
  </conditionalFormatting>
  <conditionalFormatting sqref="I336">
    <cfRule type="cellIs" rank="0" priority="1322" equalAverage="0" operator="greaterThan" aboveAverage="0" dxfId="7" text="" percent="0" bottom="0">
      <formula>0</formula>
    </cfRule>
  </conditionalFormatting>
  <conditionalFormatting sqref="K336">
    <cfRule type="cellIs" rank="0" priority="1323" equalAverage="0" operator="greaterThan" aboveAverage="0" dxfId="7" text="" percent="0" bottom="0">
      <formula>0</formula>
    </cfRule>
  </conditionalFormatting>
  <conditionalFormatting sqref="N336">
    <cfRule type="cellIs" rank="0" priority="1324" equalAverage="0" operator="greaterThan" aboveAverage="0" dxfId="7" text="" percent="0" bottom="0">
      <formula>0</formula>
    </cfRule>
    <cfRule type="cellIs" rank="0" priority="1325" equalAverage="0" operator="lessThan" aboveAverage="0" dxfId="8" text="" percent="0" bottom="0">
      <formula>0</formula>
    </cfRule>
  </conditionalFormatting>
  <conditionalFormatting sqref="I337">
    <cfRule type="cellIs" rank="0" priority="1326" equalAverage="0" operator="greaterThan" aboveAverage="0" dxfId="7" text="" percent="0" bottom="0">
      <formula>0</formula>
    </cfRule>
  </conditionalFormatting>
  <conditionalFormatting sqref="K337">
    <cfRule type="cellIs" rank="0" priority="1327" equalAverage="0" operator="greaterThan" aboveAverage="0" dxfId="7" text="" percent="0" bottom="0">
      <formula>0</formula>
    </cfRule>
  </conditionalFormatting>
  <conditionalFormatting sqref="N337">
    <cfRule type="cellIs" rank="0" priority="1328" equalAverage="0" operator="greaterThan" aboveAverage="0" dxfId="7" text="" percent="0" bottom="0">
      <formula>0</formula>
    </cfRule>
    <cfRule type="cellIs" rank="0" priority="1329" equalAverage="0" operator="lessThan" aboveAverage="0" dxfId="8" text="" percent="0" bottom="0">
      <formula>0</formula>
    </cfRule>
  </conditionalFormatting>
  <conditionalFormatting sqref="I338">
    <cfRule type="cellIs" rank="0" priority="1330" equalAverage="0" operator="greaterThan" aboveAverage="0" dxfId="7" text="" percent="0" bottom="0">
      <formula>0</formula>
    </cfRule>
  </conditionalFormatting>
  <conditionalFormatting sqref="K338">
    <cfRule type="cellIs" rank="0" priority="1331" equalAverage="0" operator="greaterThan" aboveAverage="0" dxfId="7" text="" percent="0" bottom="0">
      <formula>0</formula>
    </cfRule>
  </conditionalFormatting>
  <conditionalFormatting sqref="N338">
    <cfRule type="cellIs" rank="0" priority="1332" equalAverage="0" operator="greaterThan" aboveAverage="0" dxfId="7" text="" percent="0" bottom="0">
      <formula>0</formula>
    </cfRule>
    <cfRule type="cellIs" rank="0" priority="1333" equalAverage="0" operator="lessThan" aboveAverage="0" dxfId="8" text="" percent="0" bottom="0">
      <formula>0</formula>
    </cfRule>
  </conditionalFormatting>
  <conditionalFormatting sqref="I339">
    <cfRule type="cellIs" rank="0" priority="1334" equalAverage="0" operator="greaterThan" aboveAverage="0" dxfId="7" text="" percent="0" bottom="0">
      <formula>0</formula>
    </cfRule>
  </conditionalFormatting>
  <conditionalFormatting sqref="K339">
    <cfRule type="cellIs" rank="0" priority="1335" equalAverage="0" operator="greaterThan" aboveAverage="0" dxfId="7" text="" percent="0" bottom="0">
      <formula>0</formula>
    </cfRule>
  </conditionalFormatting>
  <conditionalFormatting sqref="N339">
    <cfRule type="cellIs" rank="0" priority="1336" equalAverage="0" operator="greaterThan" aboveAverage="0" dxfId="7" text="" percent="0" bottom="0">
      <formula>0</formula>
    </cfRule>
    <cfRule type="cellIs" rank="0" priority="1337" equalAverage="0" operator="lessThan" aboveAverage="0" dxfId="8" text="" percent="0" bottom="0">
      <formula>0</formula>
    </cfRule>
  </conditionalFormatting>
  <conditionalFormatting sqref="I340">
    <cfRule type="cellIs" rank="0" priority="1338" equalAverage="0" operator="greaterThan" aboveAverage="0" dxfId="7" text="" percent="0" bottom="0">
      <formula>0</formula>
    </cfRule>
  </conditionalFormatting>
  <conditionalFormatting sqref="K340">
    <cfRule type="cellIs" rank="0" priority="1339" equalAverage="0" operator="greaterThan" aboveAverage="0" dxfId="7" text="" percent="0" bottom="0">
      <formula>0</formula>
    </cfRule>
  </conditionalFormatting>
  <conditionalFormatting sqref="N340">
    <cfRule type="cellIs" rank="0" priority="1340" equalAverage="0" operator="greaterThan" aboveAverage="0" dxfId="7" text="" percent="0" bottom="0">
      <formula>0</formula>
    </cfRule>
    <cfRule type="cellIs" rank="0" priority="1341" equalAverage="0" operator="lessThan" aboveAverage="0" dxfId="8" text="" percent="0" bottom="0">
      <formula>0</formula>
    </cfRule>
  </conditionalFormatting>
  <conditionalFormatting sqref="I341">
    <cfRule type="cellIs" rank="0" priority="1342" equalAverage="0" operator="greaterThan" aboveAverage="0" dxfId="7" text="" percent="0" bottom="0">
      <formula>0</formula>
    </cfRule>
  </conditionalFormatting>
  <conditionalFormatting sqref="K341">
    <cfRule type="cellIs" rank="0" priority="1343" equalAverage="0" operator="greaterThan" aboveAverage="0" dxfId="7" text="" percent="0" bottom="0">
      <formula>0</formula>
    </cfRule>
  </conditionalFormatting>
  <conditionalFormatting sqref="N341">
    <cfRule type="cellIs" rank="0" priority="1344" equalAverage="0" operator="greaterThan" aboveAverage="0" dxfId="7" text="" percent="0" bottom="0">
      <formula>0</formula>
    </cfRule>
    <cfRule type="cellIs" rank="0" priority="1345" equalAverage="0" operator="lessThan" aboveAverage="0" dxfId="8" text="" percent="0" bottom="0">
      <formula>0</formula>
    </cfRule>
  </conditionalFormatting>
  <conditionalFormatting sqref="I342">
    <cfRule type="cellIs" rank="0" priority="1346" equalAverage="0" operator="greaterThan" aboveAverage="0" dxfId="7" text="" percent="0" bottom="0">
      <formula>0</formula>
    </cfRule>
  </conditionalFormatting>
  <conditionalFormatting sqref="K342">
    <cfRule type="cellIs" rank="0" priority="1347" equalAverage="0" operator="greaterThan" aboveAverage="0" dxfId="7" text="" percent="0" bottom="0">
      <formula>0</formula>
    </cfRule>
  </conditionalFormatting>
  <conditionalFormatting sqref="N342">
    <cfRule type="cellIs" rank="0" priority="1348" equalAverage="0" operator="greaterThan" aboveAverage="0" dxfId="7" text="" percent="0" bottom="0">
      <formula>0</formula>
    </cfRule>
    <cfRule type="cellIs" rank="0" priority="1349" equalAverage="0" operator="lessThan" aboveAverage="0" dxfId="8" text="" percent="0" bottom="0">
      <formula>0</formula>
    </cfRule>
  </conditionalFormatting>
  <conditionalFormatting sqref="I343">
    <cfRule type="cellIs" rank="0" priority="1350" equalAverage="0" operator="greaterThan" aboveAverage="0" dxfId="7" text="" percent="0" bottom="0">
      <formula>0</formula>
    </cfRule>
  </conditionalFormatting>
  <conditionalFormatting sqref="K343">
    <cfRule type="cellIs" rank="0" priority="1351" equalAverage="0" operator="greaterThan" aboveAverage="0" dxfId="7" text="" percent="0" bottom="0">
      <formula>0</formula>
    </cfRule>
  </conditionalFormatting>
  <conditionalFormatting sqref="N343">
    <cfRule type="cellIs" rank="0" priority="1352" equalAverage="0" operator="greaterThan" aboveAverage="0" dxfId="7" text="" percent="0" bottom="0">
      <formula>0</formula>
    </cfRule>
    <cfRule type="cellIs" rank="0" priority="1353" equalAverage="0" operator="lessThan" aboveAverage="0" dxfId="8" text="" percent="0" bottom="0">
      <formula>0</formula>
    </cfRule>
  </conditionalFormatting>
  <conditionalFormatting sqref="I344">
    <cfRule type="cellIs" rank="0" priority="1354" equalAverage="0" operator="greaterThan" aboveAverage="0" dxfId="7" text="" percent="0" bottom="0">
      <formula>0</formula>
    </cfRule>
  </conditionalFormatting>
  <conditionalFormatting sqref="K344">
    <cfRule type="cellIs" rank="0" priority="1355" equalAverage="0" operator="greaterThan" aboveAverage="0" dxfId="7" text="" percent="0" bottom="0">
      <formula>0</formula>
    </cfRule>
  </conditionalFormatting>
  <conditionalFormatting sqref="N344">
    <cfRule type="cellIs" rank="0" priority="1356" equalAverage="0" operator="greaterThan" aboveAverage="0" dxfId="7" text="" percent="0" bottom="0">
      <formula>0</formula>
    </cfRule>
    <cfRule type="cellIs" rank="0" priority="1357" equalAverage="0" operator="lessThan" aboveAverage="0" dxfId="8" text="" percent="0" bottom="0">
      <formula>0</formula>
    </cfRule>
  </conditionalFormatting>
  <conditionalFormatting sqref="I345">
    <cfRule type="cellIs" rank="0" priority="1358" equalAverage="0" operator="greaterThan" aboveAverage="0" dxfId="7" text="" percent="0" bottom="0">
      <formula>0</formula>
    </cfRule>
  </conditionalFormatting>
  <conditionalFormatting sqref="K345">
    <cfRule type="cellIs" rank="0" priority="1359" equalAverage="0" operator="greaterThan" aboveAverage="0" dxfId="7" text="" percent="0" bottom="0">
      <formula>0</formula>
    </cfRule>
  </conditionalFormatting>
  <conditionalFormatting sqref="N345">
    <cfRule type="cellIs" rank="0" priority="1360" equalAverage="0" operator="greaterThan" aboveAverage="0" dxfId="7" text="" percent="0" bottom="0">
      <formula>0</formula>
    </cfRule>
    <cfRule type="cellIs" rank="0" priority="1361" equalAverage="0" operator="lessThan" aboveAverage="0" dxfId="8" text="" percent="0" bottom="0">
      <formula>0</formula>
    </cfRule>
  </conditionalFormatting>
  <conditionalFormatting sqref="I346">
    <cfRule type="cellIs" rank="0" priority="1362" equalAverage="0" operator="greaterThan" aboveAverage="0" dxfId="7" text="" percent="0" bottom="0">
      <formula>0</formula>
    </cfRule>
  </conditionalFormatting>
  <conditionalFormatting sqref="K346">
    <cfRule type="cellIs" rank="0" priority="1363" equalAverage="0" operator="greaterThan" aboveAverage="0" dxfId="7" text="" percent="0" bottom="0">
      <formula>0</formula>
    </cfRule>
  </conditionalFormatting>
  <conditionalFormatting sqref="N346">
    <cfRule type="cellIs" rank="0" priority="1364" equalAverage="0" operator="greaterThan" aboveAverage="0" dxfId="7" text="" percent="0" bottom="0">
      <formula>0</formula>
    </cfRule>
    <cfRule type="cellIs" rank="0" priority="1365" equalAverage="0" operator="lessThan" aboveAverage="0" dxfId="8" text="" percent="0" bottom="0">
      <formula>0</formula>
    </cfRule>
  </conditionalFormatting>
  <conditionalFormatting sqref="I347">
    <cfRule type="cellIs" rank="0" priority="1366" equalAverage="0" operator="greaterThan" aboveAverage="0" dxfId="7" text="" percent="0" bottom="0">
      <formula>0</formula>
    </cfRule>
  </conditionalFormatting>
  <conditionalFormatting sqref="K347">
    <cfRule type="cellIs" rank="0" priority="1367" equalAverage="0" operator="greaterThan" aboveAverage="0" dxfId="7" text="" percent="0" bottom="0">
      <formula>0</formula>
    </cfRule>
  </conditionalFormatting>
  <conditionalFormatting sqref="N347">
    <cfRule type="cellIs" rank="0" priority="1368" equalAverage="0" operator="greaterThan" aboveAverage="0" dxfId="7" text="" percent="0" bottom="0">
      <formula>0</formula>
    </cfRule>
    <cfRule type="cellIs" rank="0" priority="1369" equalAverage="0" operator="lessThan" aboveAverage="0" dxfId="8" text="" percent="0" bottom="0">
      <formula>0</formula>
    </cfRule>
  </conditionalFormatting>
  <conditionalFormatting sqref="I348">
    <cfRule type="cellIs" rank="0" priority="1370" equalAverage="0" operator="greaterThan" aboveAverage="0" dxfId="7" text="" percent="0" bottom="0">
      <formula>0</formula>
    </cfRule>
  </conditionalFormatting>
  <conditionalFormatting sqref="K348">
    <cfRule type="cellIs" rank="0" priority="1371" equalAverage="0" operator="greaterThan" aboveAverage="0" dxfId="7" text="" percent="0" bottom="0">
      <formula>0</formula>
    </cfRule>
  </conditionalFormatting>
  <conditionalFormatting sqref="N348">
    <cfRule type="cellIs" rank="0" priority="1372" equalAverage="0" operator="greaterThan" aboveAverage="0" dxfId="7" text="" percent="0" bottom="0">
      <formula>0</formula>
    </cfRule>
    <cfRule type="cellIs" rank="0" priority="1373" equalAverage="0" operator="lessThan" aboveAverage="0" dxfId="8" text="" percent="0" bottom="0">
      <formula>0</formula>
    </cfRule>
  </conditionalFormatting>
  <conditionalFormatting sqref="I349">
    <cfRule type="cellIs" rank="0" priority="1374" equalAverage="0" operator="greaterThan" aboveAverage="0" dxfId="7" text="" percent="0" bottom="0">
      <formula>0</formula>
    </cfRule>
  </conditionalFormatting>
  <conditionalFormatting sqref="K349">
    <cfRule type="cellIs" rank="0" priority="1375" equalAverage="0" operator="greaterThan" aboveAverage="0" dxfId="7" text="" percent="0" bottom="0">
      <formula>0</formula>
    </cfRule>
  </conditionalFormatting>
  <conditionalFormatting sqref="N349">
    <cfRule type="cellIs" rank="0" priority="1376" equalAverage="0" operator="greaterThan" aboveAverage="0" dxfId="7" text="" percent="0" bottom="0">
      <formula>0</formula>
    </cfRule>
    <cfRule type="cellIs" rank="0" priority="1377" equalAverage="0" operator="lessThan" aboveAverage="0" dxfId="8" text="" percent="0" bottom="0">
      <formula>0</formula>
    </cfRule>
  </conditionalFormatting>
  <conditionalFormatting sqref="I350">
    <cfRule type="cellIs" rank="0" priority="1378" equalAverage="0" operator="greaterThan" aboveAverage="0" dxfId="7" text="" percent="0" bottom="0">
      <formula>0</formula>
    </cfRule>
  </conditionalFormatting>
  <conditionalFormatting sqref="K350">
    <cfRule type="cellIs" rank="0" priority="1379" equalAverage="0" operator="greaterThan" aboveAverage="0" dxfId="7" text="" percent="0" bottom="0">
      <formula>0</formula>
    </cfRule>
  </conditionalFormatting>
  <conditionalFormatting sqref="N350">
    <cfRule type="cellIs" rank="0" priority="1380" equalAverage="0" operator="greaterThan" aboveAverage="0" dxfId="7" text="" percent="0" bottom="0">
      <formula>0</formula>
    </cfRule>
    <cfRule type="cellIs" rank="0" priority="1381" equalAverage="0" operator="lessThan" aboveAverage="0" dxfId="8" text="" percent="0" bottom="0">
      <formula>0</formula>
    </cfRule>
  </conditionalFormatting>
  <conditionalFormatting sqref="I351">
    <cfRule type="cellIs" rank="0" priority="1382" equalAverage="0" operator="greaterThan" aboveAverage="0" dxfId="7" text="" percent="0" bottom="0">
      <formula>0</formula>
    </cfRule>
  </conditionalFormatting>
  <conditionalFormatting sqref="K351">
    <cfRule type="cellIs" rank="0" priority="1383" equalAverage="0" operator="greaterThan" aboveAverage="0" dxfId="7" text="" percent="0" bottom="0">
      <formula>0</formula>
    </cfRule>
  </conditionalFormatting>
  <conditionalFormatting sqref="N351">
    <cfRule type="cellIs" rank="0" priority="1384" equalAverage="0" operator="greaterThan" aboveAverage="0" dxfId="7" text="" percent="0" bottom="0">
      <formula>0</formula>
    </cfRule>
    <cfRule type="cellIs" rank="0" priority="1385" equalAverage="0" operator="lessThan" aboveAverage="0" dxfId="8" text="" percent="0" bottom="0">
      <formula>0</formula>
    </cfRule>
  </conditionalFormatting>
  <conditionalFormatting sqref="I352">
    <cfRule type="cellIs" rank="0" priority="1386" equalAverage="0" operator="greaterThan" aboveAverage="0" dxfId="7" text="" percent="0" bottom="0">
      <formula>0</formula>
    </cfRule>
  </conditionalFormatting>
  <conditionalFormatting sqref="K352">
    <cfRule type="cellIs" rank="0" priority="1387" equalAverage="0" operator="greaterThan" aboveAverage="0" dxfId="7" text="" percent="0" bottom="0">
      <formula>0</formula>
    </cfRule>
  </conditionalFormatting>
  <conditionalFormatting sqref="N352">
    <cfRule type="cellIs" rank="0" priority="1388" equalAverage="0" operator="greaterThan" aboveAverage="0" dxfId="7" text="" percent="0" bottom="0">
      <formula>0</formula>
    </cfRule>
    <cfRule type="cellIs" rank="0" priority="1389" equalAverage="0" operator="lessThan" aboveAverage="0" dxfId="8" text="" percent="0" bottom="0">
      <formula>0</formula>
    </cfRule>
  </conditionalFormatting>
  <conditionalFormatting sqref="I353">
    <cfRule type="cellIs" rank="0" priority="1390" equalAverage="0" operator="greaterThan" aboveAverage="0" dxfId="7" text="" percent="0" bottom="0">
      <formula>0</formula>
    </cfRule>
  </conditionalFormatting>
  <conditionalFormatting sqref="K353">
    <cfRule type="cellIs" rank="0" priority="1391" equalAverage="0" operator="greaterThan" aboveAverage="0" dxfId="7" text="" percent="0" bottom="0">
      <formula>0</formula>
    </cfRule>
  </conditionalFormatting>
  <conditionalFormatting sqref="N353">
    <cfRule type="cellIs" rank="0" priority="1392" equalAverage="0" operator="greaterThan" aboveAverage="0" dxfId="7" text="" percent="0" bottom="0">
      <formula>0</formula>
    </cfRule>
    <cfRule type="cellIs" rank="0" priority="1393" equalAverage="0" operator="lessThan" aboveAverage="0" dxfId="8" text="" percent="0" bottom="0">
      <formula>0</formula>
    </cfRule>
  </conditionalFormatting>
  <conditionalFormatting sqref="I354">
    <cfRule type="cellIs" rank="0" priority="1394" equalAverage="0" operator="greaterThan" aboveAverage="0" dxfId="7" text="" percent="0" bottom="0">
      <formula>0</formula>
    </cfRule>
  </conditionalFormatting>
  <conditionalFormatting sqref="K354">
    <cfRule type="cellIs" rank="0" priority="1395" equalAverage="0" operator="greaterThan" aboveAverage="0" dxfId="7" text="" percent="0" bottom="0">
      <formula>0</formula>
    </cfRule>
  </conditionalFormatting>
  <conditionalFormatting sqref="N354">
    <cfRule type="cellIs" rank="0" priority="1396" equalAverage="0" operator="greaterThan" aboveAverage="0" dxfId="7" text="" percent="0" bottom="0">
      <formula>0</formula>
    </cfRule>
    <cfRule type="cellIs" rank="0" priority="1397" equalAverage="0" operator="lessThan" aboveAverage="0" dxfId="8" text="" percent="0" bottom="0">
      <formula>0</formula>
    </cfRule>
  </conditionalFormatting>
  <conditionalFormatting sqref="I355">
    <cfRule type="cellIs" rank="0" priority="1398" equalAverage="0" operator="greaterThan" aboveAverage="0" dxfId="7" text="" percent="0" bottom="0">
      <formula>0</formula>
    </cfRule>
  </conditionalFormatting>
  <conditionalFormatting sqref="K355">
    <cfRule type="cellIs" rank="0" priority="1399" equalAverage="0" operator="greaterThan" aboveAverage="0" dxfId="7" text="" percent="0" bottom="0">
      <formula>0</formula>
    </cfRule>
  </conditionalFormatting>
  <conditionalFormatting sqref="N355">
    <cfRule type="cellIs" rank="0" priority="1400" equalAverage="0" operator="greaterThan" aboveAverage="0" dxfId="7" text="" percent="0" bottom="0">
      <formula>0</formula>
    </cfRule>
    <cfRule type="cellIs" rank="0" priority="1401" equalAverage="0" operator="lessThan" aboveAverage="0" dxfId="8" text="" percent="0" bottom="0">
      <formula>0</formula>
    </cfRule>
  </conditionalFormatting>
  <conditionalFormatting sqref="I356">
    <cfRule type="cellIs" rank="0" priority="1402" equalAverage="0" operator="greaterThan" aboveAverage="0" dxfId="7" text="" percent="0" bottom="0">
      <formula>0</formula>
    </cfRule>
  </conditionalFormatting>
  <conditionalFormatting sqref="K356">
    <cfRule type="cellIs" rank="0" priority="1403" equalAverage="0" operator="greaterThan" aboveAverage="0" dxfId="7" text="" percent="0" bottom="0">
      <formula>0</formula>
    </cfRule>
  </conditionalFormatting>
  <conditionalFormatting sqref="N356">
    <cfRule type="cellIs" rank="0" priority="1404" equalAverage="0" operator="greaterThan" aboveAverage="0" dxfId="7" text="" percent="0" bottom="0">
      <formula>0</formula>
    </cfRule>
    <cfRule type="cellIs" rank="0" priority="1405" equalAverage="0" operator="lessThan" aboveAverage="0" dxfId="8" text="" percent="0" bottom="0">
      <formula>0</formula>
    </cfRule>
  </conditionalFormatting>
  <conditionalFormatting sqref="I357">
    <cfRule type="cellIs" rank="0" priority="1406" equalAverage="0" operator="greaterThan" aboveAverage="0" dxfId="7" text="" percent="0" bottom="0">
      <formula>0</formula>
    </cfRule>
  </conditionalFormatting>
  <conditionalFormatting sqref="K357">
    <cfRule type="cellIs" rank="0" priority="1407" equalAverage="0" operator="greaterThan" aboveAverage="0" dxfId="7" text="" percent="0" bottom="0">
      <formula>0</formula>
    </cfRule>
  </conditionalFormatting>
  <conditionalFormatting sqref="N357">
    <cfRule type="cellIs" rank="0" priority="1408" equalAverage="0" operator="greaterThan" aboveAverage="0" dxfId="7" text="" percent="0" bottom="0">
      <formula>0</formula>
    </cfRule>
    <cfRule type="cellIs" rank="0" priority="1409" equalAverage="0" operator="lessThan" aboveAverage="0" dxfId="8" text="" percent="0" bottom="0">
      <formula>0</formula>
    </cfRule>
  </conditionalFormatting>
  <conditionalFormatting sqref="I358">
    <cfRule type="cellIs" rank="0" priority="1410" equalAverage="0" operator="greaterThan" aboveAverage="0" dxfId="7" text="" percent="0" bottom="0">
      <formula>0</formula>
    </cfRule>
  </conditionalFormatting>
  <conditionalFormatting sqref="K358">
    <cfRule type="cellIs" rank="0" priority="1411" equalAverage="0" operator="greaterThan" aboveAverage="0" dxfId="7" text="" percent="0" bottom="0">
      <formula>0</formula>
    </cfRule>
  </conditionalFormatting>
  <conditionalFormatting sqref="N358">
    <cfRule type="cellIs" rank="0" priority="1412" equalAverage="0" operator="greaterThan" aboveAverage="0" dxfId="7" text="" percent="0" bottom="0">
      <formula>0</formula>
    </cfRule>
    <cfRule type="cellIs" rank="0" priority="1413" equalAverage="0" operator="lessThan" aboveAverage="0" dxfId="8" text="" percent="0" bottom="0">
      <formula>0</formula>
    </cfRule>
  </conditionalFormatting>
  <conditionalFormatting sqref="I359">
    <cfRule type="cellIs" rank="0" priority="1414" equalAverage="0" operator="greaterThan" aboveAverage="0" dxfId="7" text="" percent="0" bottom="0">
      <formula>0</formula>
    </cfRule>
  </conditionalFormatting>
  <conditionalFormatting sqref="K359">
    <cfRule type="cellIs" rank="0" priority="1415" equalAverage="0" operator="greaterThan" aboveAverage="0" dxfId="7" text="" percent="0" bottom="0">
      <formula>0</formula>
    </cfRule>
  </conditionalFormatting>
  <conditionalFormatting sqref="N359">
    <cfRule type="cellIs" rank="0" priority="1416" equalAverage="0" operator="greaterThan" aboveAverage="0" dxfId="7" text="" percent="0" bottom="0">
      <formula>0</formula>
    </cfRule>
    <cfRule type="cellIs" rank="0" priority="1417" equalAverage="0" operator="lessThan" aboveAverage="0" dxfId="8" text="" percent="0" bottom="0">
      <formula>0</formula>
    </cfRule>
  </conditionalFormatting>
  <conditionalFormatting sqref="I360">
    <cfRule type="cellIs" rank="0" priority="1418" equalAverage="0" operator="greaterThan" aboveAverage="0" dxfId="7" text="" percent="0" bottom="0">
      <formula>0</formula>
    </cfRule>
  </conditionalFormatting>
  <conditionalFormatting sqref="K360">
    <cfRule type="cellIs" rank="0" priority="1419" equalAverage="0" operator="greaterThan" aboveAverage="0" dxfId="7" text="" percent="0" bottom="0">
      <formula>0</formula>
    </cfRule>
  </conditionalFormatting>
  <conditionalFormatting sqref="N360">
    <cfRule type="cellIs" rank="0" priority="1420" equalAverage="0" operator="greaterThan" aboveAverage="0" dxfId="7" text="" percent="0" bottom="0">
      <formula>0</formula>
    </cfRule>
    <cfRule type="cellIs" rank="0" priority="1421" equalAverage="0" operator="lessThan" aboveAverage="0" dxfId="8" text="" percent="0" bottom="0">
      <formula>0</formula>
    </cfRule>
  </conditionalFormatting>
  <conditionalFormatting sqref="I361">
    <cfRule type="cellIs" rank="0" priority="1422" equalAverage="0" operator="greaterThan" aboveAverage="0" dxfId="7" text="" percent="0" bottom="0">
      <formula>0</formula>
    </cfRule>
  </conditionalFormatting>
  <conditionalFormatting sqref="K361">
    <cfRule type="cellIs" rank="0" priority="1423" equalAverage="0" operator="greaterThan" aboveAverage="0" dxfId="7" text="" percent="0" bottom="0">
      <formula>0</formula>
    </cfRule>
  </conditionalFormatting>
  <conditionalFormatting sqref="N361">
    <cfRule type="cellIs" rank="0" priority="1424" equalAverage="0" operator="greaterThan" aboveAverage="0" dxfId="7" text="" percent="0" bottom="0">
      <formula>0</formula>
    </cfRule>
    <cfRule type="cellIs" rank="0" priority="1425" equalAverage="0" operator="lessThan" aboveAverage="0" dxfId="8" text="" percent="0" bottom="0">
      <formula>0</formula>
    </cfRule>
  </conditionalFormatting>
  <conditionalFormatting sqref="I362">
    <cfRule type="cellIs" rank="0" priority="1426" equalAverage="0" operator="greaterThan" aboveAverage="0" dxfId="7" text="" percent="0" bottom="0">
      <formula>0</formula>
    </cfRule>
  </conditionalFormatting>
  <conditionalFormatting sqref="K362">
    <cfRule type="cellIs" rank="0" priority="1427" equalAverage="0" operator="greaterThan" aboveAverage="0" dxfId="7" text="" percent="0" bottom="0">
      <formula>0</formula>
    </cfRule>
  </conditionalFormatting>
  <conditionalFormatting sqref="N362">
    <cfRule type="cellIs" rank="0" priority="1428" equalAverage="0" operator="greaterThan" aboveAverage="0" dxfId="7" text="" percent="0" bottom="0">
      <formula>0</formula>
    </cfRule>
    <cfRule type="cellIs" rank="0" priority="1429" equalAverage="0" operator="lessThan" aboveAverage="0" dxfId="8" text="" percent="0" bottom="0">
      <formula>0</formula>
    </cfRule>
  </conditionalFormatting>
  <conditionalFormatting sqref="I363">
    <cfRule type="cellIs" rank="0" priority="1430" equalAverage="0" operator="greaterThan" aboveAverage="0" dxfId="7" text="" percent="0" bottom="0">
      <formula>0</formula>
    </cfRule>
  </conditionalFormatting>
  <conditionalFormatting sqref="K363">
    <cfRule type="cellIs" rank="0" priority="1431" equalAverage="0" operator="greaterThan" aboveAverage="0" dxfId="7" text="" percent="0" bottom="0">
      <formula>0</formula>
    </cfRule>
  </conditionalFormatting>
  <conditionalFormatting sqref="N363">
    <cfRule type="cellIs" rank="0" priority="1432" equalAverage="0" operator="greaterThan" aboveAverage="0" dxfId="7" text="" percent="0" bottom="0">
      <formula>0</formula>
    </cfRule>
    <cfRule type="cellIs" rank="0" priority="1433" equalAverage="0" operator="lessThan" aboveAverage="0" dxfId="8" text="" percent="0" bottom="0">
      <formula>0</formula>
    </cfRule>
  </conditionalFormatting>
  <conditionalFormatting sqref="I364">
    <cfRule type="cellIs" rank="0" priority="1434" equalAverage="0" operator="greaterThan" aboveAverage="0" dxfId="7" text="" percent="0" bottom="0">
      <formula>0</formula>
    </cfRule>
  </conditionalFormatting>
  <conditionalFormatting sqref="K364">
    <cfRule type="cellIs" rank="0" priority="1435" equalAverage="0" operator="greaterThan" aboveAverage="0" dxfId="7" text="" percent="0" bottom="0">
      <formula>0</formula>
    </cfRule>
  </conditionalFormatting>
  <conditionalFormatting sqref="N364">
    <cfRule type="cellIs" rank="0" priority="1436" equalAverage="0" operator="greaterThan" aboveAverage="0" dxfId="7" text="" percent="0" bottom="0">
      <formula>0</formula>
    </cfRule>
    <cfRule type="cellIs" rank="0" priority="1437" equalAverage="0" operator="lessThan" aboveAverage="0" dxfId="8" text="" percent="0" bottom="0">
      <formula>0</formula>
    </cfRule>
  </conditionalFormatting>
  <conditionalFormatting sqref="I365">
    <cfRule type="cellIs" rank="0" priority="1438" equalAverage="0" operator="greaterThan" aboveAverage="0" dxfId="7" text="" percent="0" bottom="0">
      <formula>0</formula>
    </cfRule>
  </conditionalFormatting>
  <conditionalFormatting sqref="K365">
    <cfRule type="cellIs" rank="0" priority="1439" equalAverage="0" operator="greaterThan" aboveAverage="0" dxfId="7" text="" percent="0" bottom="0">
      <formula>0</formula>
    </cfRule>
  </conditionalFormatting>
  <conditionalFormatting sqref="N365">
    <cfRule type="cellIs" rank="0" priority="1440" equalAverage="0" operator="greaterThan" aboveAverage="0" dxfId="7" text="" percent="0" bottom="0">
      <formula>0</formula>
    </cfRule>
    <cfRule type="cellIs" rank="0" priority="1441" equalAverage="0" operator="lessThan" aboveAverage="0" dxfId="8" text="" percent="0" bottom="0">
      <formula>0</formula>
    </cfRule>
  </conditionalFormatting>
  <conditionalFormatting sqref="I366">
    <cfRule type="cellIs" rank="0" priority="1442" equalAverage="0" operator="greaterThan" aboveAverage="0" dxfId="7" text="" percent="0" bottom="0">
      <formula>0</formula>
    </cfRule>
  </conditionalFormatting>
  <conditionalFormatting sqref="K366">
    <cfRule type="cellIs" rank="0" priority="1443" equalAverage="0" operator="greaterThan" aboveAverage="0" dxfId="7" text="" percent="0" bottom="0">
      <formula>0</formula>
    </cfRule>
  </conditionalFormatting>
  <conditionalFormatting sqref="N366">
    <cfRule type="cellIs" rank="0" priority="1444" equalAverage="0" operator="greaterThan" aboveAverage="0" dxfId="7" text="" percent="0" bottom="0">
      <formula>0</formula>
    </cfRule>
    <cfRule type="cellIs" rank="0" priority="1445" equalAverage="0" operator="lessThan" aboveAverage="0" dxfId="8" text="" percent="0" bottom="0">
      <formula>0</formula>
    </cfRule>
  </conditionalFormatting>
  <conditionalFormatting sqref="I367">
    <cfRule type="cellIs" rank="0" priority="1446" equalAverage="0" operator="greaterThan" aboveAverage="0" dxfId="7" text="" percent="0" bottom="0">
      <formula>0</formula>
    </cfRule>
  </conditionalFormatting>
  <conditionalFormatting sqref="K367">
    <cfRule type="cellIs" rank="0" priority="1447" equalAverage="0" operator="greaterThan" aboveAverage="0" dxfId="7" text="" percent="0" bottom="0">
      <formula>0</formula>
    </cfRule>
  </conditionalFormatting>
  <conditionalFormatting sqref="N367">
    <cfRule type="cellIs" rank="0" priority="1448" equalAverage="0" operator="greaterThan" aboveAverage="0" dxfId="7" text="" percent="0" bottom="0">
      <formula>0</formula>
    </cfRule>
    <cfRule type="cellIs" rank="0" priority="1449" equalAverage="0" operator="lessThan" aboveAverage="0" dxfId="8" text="" percent="0" bottom="0">
      <formula>0</formula>
    </cfRule>
  </conditionalFormatting>
  <conditionalFormatting sqref="I368">
    <cfRule type="cellIs" rank="0" priority="1450" equalAverage="0" operator="greaterThan" aboveAverage="0" dxfId="7" text="" percent="0" bottom="0">
      <formula>0</formula>
    </cfRule>
  </conditionalFormatting>
  <conditionalFormatting sqref="K368">
    <cfRule type="cellIs" rank="0" priority="1451" equalAverage="0" operator="greaterThan" aboveAverage="0" dxfId="7" text="" percent="0" bottom="0">
      <formula>0</formula>
    </cfRule>
  </conditionalFormatting>
  <conditionalFormatting sqref="N368">
    <cfRule type="cellIs" rank="0" priority="1452" equalAverage="0" operator="greaterThan" aboveAverage="0" dxfId="7" text="" percent="0" bottom="0">
      <formula>0</formula>
    </cfRule>
    <cfRule type="cellIs" rank="0" priority="1453" equalAverage="0" operator="lessThan" aboveAverage="0" dxfId="8" text="" percent="0" bottom="0">
      <formula>0</formula>
    </cfRule>
  </conditionalFormatting>
  <conditionalFormatting sqref="I369">
    <cfRule type="cellIs" rank="0" priority="1454" equalAverage="0" operator="greaterThan" aboveAverage="0" dxfId="7" text="" percent="0" bottom="0">
      <formula>0</formula>
    </cfRule>
  </conditionalFormatting>
  <conditionalFormatting sqref="K369">
    <cfRule type="cellIs" rank="0" priority="1455" equalAverage="0" operator="greaterThan" aboveAverage="0" dxfId="7" text="" percent="0" bottom="0">
      <formula>0</formula>
    </cfRule>
  </conditionalFormatting>
  <conditionalFormatting sqref="N369">
    <cfRule type="cellIs" rank="0" priority="1456" equalAverage="0" operator="greaterThan" aboveAverage="0" dxfId="7" text="" percent="0" bottom="0">
      <formula>0</formula>
    </cfRule>
    <cfRule type="cellIs" rank="0" priority="1457" equalAverage="0" operator="lessThan" aboveAverage="0" dxfId="8" text="" percent="0" bottom="0">
      <formula>0</formula>
    </cfRule>
  </conditionalFormatting>
  <conditionalFormatting sqref="I370">
    <cfRule type="cellIs" rank="0" priority="1458" equalAverage="0" operator="greaterThan" aboveAverage="0" dxfId="7" text="" percent="0" bottom="0">
      <formula>0</formula>
    </cfRule>
  </conditionalFormatting>
  <conditionalFormatting sqref="K370">
    <cfRule type="cellIs" rank="0" priority="1459" equalAverage="0" operator="greaterThan" aboveAverage="0" dxfId="7" text="" percent="0" bottom="0">
      <formula>0</formula>
    </cfRule>
  </conditionalFormatting>
  <conditionalFormatting sqref="N370">
    <cfRule type="cellIs" rank="0" priority="1460" equalAverage="0" operator="greaterThan" aboveAverage="0" dxfId="7" text="" percent="0" bottom="0">
      <formula>0</formula>
    </cfRule>
    <cfRule type="cellIs" rank="0" priority="1461" equalAverage="0" operator="lessThan" aboveAverage="0" dxfId="8" text="" percent="0" bottom="0">
      <formula>0</formula>
    </cfRule>
  </conditionalFormatting>
  <conditionalFormatting sqref="I371">
    <cfRule type="cellIs" rank="0" priority="1462" equalAverage="0" operator="greaterThan" aboveAverage="0" dxfId="7" text="" percent="0" bottom="0">
      <formula>0</formula>
    </cfRule>
  </conditionalFormatting>
  <conditionalFormatting sqref="K371">
    <cfRule type="cellIs" rank="0" priority="1463" equalAverage="0" operator="greaterThan" aboveAverage="0" dxfId="7" text="" percent="0" bottom="0">
      <formula>0</formula>
    </cfRule>
  </conditionalFormatting>
  <conditionalFormatting sqref="N371">
    <cfRule type="cellIs" rank="0" priority="1464" equalAverage="0" operator="greaterThan" aboveAverage="0" dxfId="7" text="" percent="0" bottom="0">
      <formula>0</formula>
    </cfRule>
    <cfRule type="cellIs" rank="0" priority="1465" equalAverage="0" operator="lessThan" aboveAverage="0" dxfId="8" text="" percent="0" bottom="0">
      <formula>0</formula>
    </cfRule>
  </conditionalFormatting>
  <conditionalFormatting sqref="I372">
    <cfRule type="cellIs" rank="0" priority="1466" equalAverage="0" operator="greaterThan" aboveAverage="0" dxfId="7" text="" percent="0" bottom="0">
      <formula>0</formula>
    </cfRule>
  </conditionalFormatting>
  <conditionalFormatting sqref="K372">
    <cfRule type="cellIs" rank="0" priority="1467" equalAverage="0" operator="greaterThan" aboveAverage="0" dxfId="7" text="" percent="0" bottom="0">
      <formula>0</formula>
    </cfRule>
  </conditionalFormatting>
  <conditionalFormatting sqref="N372">
    <cfRule type="cellIs" rank="0" priority="1468" equalAverage="0" operator="greaterThan" aboveAverage="0" dxfId="7" text="" percent="0" bottom="0">
      <formula>0</formula>
    </cfRule>
    <cfRule type="cellIs" rank="0" priority="1469" equalAverage="0" operator="lessThan" aboveAverage="0" dxfId="8" text="" percent="0" bottom="0">
      <formula>0</formula>
    </cfRule>
  </conditionalFormatting>
  <conditionalFormatting sqref="I373">
    <cfRule type="cellIs" rank="0" priority="1470" equalAverage="0" operator="greaterThan" aboveAverage="0" dxfId="7" text="" percent="0" bottom="0">
      <formula>0</formula>
    </cfRule>
  </conditionalFormatting>
  <conditionalFormatting sqref="K373">
    <cfRule type="cellIs" rank="0" priority="1471" equalAverage="0" operator="greaterThan" aboveAverage="0" dxfId="7" text="" percent="0" bottom="0">
      <formula>0</formula>
    </cfRule>
  </conditionalFormatting>
  <conditionalFormatting sqref="N373">
    <cfRule type="cellIs" rank="0" priority="1472" equalAverage="0" operator="greaterThan" aboveAverage="0" dxfId="7" text="" percent="0" bottom="0">
      <formula>0</formula>
    </cfRule>
    <cfRule type="cellIs" rank="0" priority="1473" equalAverage="0" operator="lessThan" aboveAverage="0" dxfId="8" text="" percent="0" bottom="0">
      <formula>0</formula>
    </cfRule>
  </conditionalFormatting>
  <conditionalFormatting sqref="I374">
    <cfRule type="cellIs" rank="0" priority="1474" equalAverage="0" operator="greaterThan" aboveAverage="0" dxfId="7" text="" percent="0" bottom="0">
      <formula>0</formula>
    </cfRule>
  </conditionalFormatting>
  <conditionalFormatting sqref="K374">
    <cfRule type="cellIs" rank="0" priority="1475" equalAverage="0" operator="greaterThan" aboveAverage="0" dxfId="7" text="" percent="0" bottom="0">
      <formula>0</formula>
    </cfRule>
  </conditionalFormatting>
  <conditionalFormatting sqref="N374">
    <cfRule type="cellIs" rank="0" priority="1476" equalAverage="0" operator="greaterThan" aboveAverage="0" dxfId="7" text="" percent="0" bottom="0">
      <formula>0</formula>
    </cfRule>
    <cfRule type="cellIs" rank="0" priority="1477" equalAverage="0" operator="lessThan" aboveAverage="0" dxfId="8" text="" percent="0" bottom="0">
      <formula>0</formula>
    </cfRule>
  </conditionalFormatting>
  <conditionalFormatting sqref="I375">
    <cfRule type="cellIs" rank="0" priority="1478" equalAverage="0" operator="greaterThan" aboveAverage="0" dxfId="7" text="" percent="0" bottom="0">
      <formula>0</formula>
    </cfRule>
  </conditionalFormatting>
  <conditionalFormatting sqref="K375">
    <cfRule type="cellIs" rank="0" priority="1479" equalAverage="0" operator="greaterThan" aboveAverage="0" dxfId="7" text="" percent="0" bottom="0">
      <formula>0</formula>
    </cfRule>
  </conditionalFormatting>
  <conditionalFormatting sqref="N375">
    <cfRule type="cellIs" rank="0" priority="1480" equalAverage="0" operator="greaterThan" aboveAverage="0" dxfId="7" text="" percent="0" bottom="0">
      <formula>0</formula>
    </cfRule>
    <cfRule type="cellIs" rank="0" priority="1481" equalAverage="0" operator="lessThan" aboveAverage="0" dxfId="8" text="" percent="0" bottom="0">
      <formula>0</formula>
    </cfRule>
  </conditionalFormatting>
  <conditionalFormatting sqref="I376">
    <cfRule type="cellIs" rank="0" priority="1482" equalAverage="0" operator="greaterThan" aboveAverage="0" dxfId="7" text="" percent="0" bottom="0">
      <formula>0</formula>
    </cfRule>
  </conditionalFormatting>
  <conditionalFormatting sqref="K376">
    <cfRule type="cellIs" rank="0" priority="1483" equalAverage="0" operator="greaterThan" aboveAverage="0" dxfId="7" text="" percent="0" bottom="0">
      <formula>0</formula>
    </cfRule>
  </conditionalFormatting>
  <conditionalFormatting sqref="N376">
    <cfRule type="cellIs" rank="0" priority="1484" equalAverage="0" operator="greaterThan" aboveAverage="0" dxfId="7" text="" percent="0" bottom="0">
      <formula>0</formula>
    </cfRule>
    <cfRule type="cellIs" rank="0" priority="1485" equalAverage="0" operator="lessThan" aboveAverage="0" dxfId="8" text="" percent="0" bottom="0">
      <formula>0</formula>
    </cfRule>
  </conditionalFormatting>
  <conditionalFormatting sqref="I377">
    <cfRule type="cellIs" rank="0" priority="1486" equalAverage="0" operator="greaterThan" aboveAverage="0" dxfId="7" text="" percent="0" bottom="0">
      <formula>0</formula>
    </cfRule>
  </conditionalFormatting>
  <conditionalFormatting sqref="K377">
    <cfRule type="cellIs" rank="0" priority="1487" equalAverage="0" operator="greaterThan" aboveAverage="0" dxfId="7" text="" percent="0" bottom="0">
      <formula>0</formula>
    </cfRule>
  </conditionalFormatting>
  <conditionalFormatting sqref="N377">
    <cfRule type="cellIs" rank="0" priority="1488" equalAverage="0" operator="greaterThan" aboveAverage="0" dxfId="7" text="" percent="0" bottom="0">
      <formula>0</formula>
    </cfRule>
    <cfRule type="cellIs" rank="0" priority="1489" equalAverage="0" operator="lessThan" aboveAverage="0" dxfId="8" text="" percent="0" bottom="0">
      <formula>0</formula>
    </cfRule>
  </conditionalFormatting>
  <conditionalFormatting sqref="I378">
    <cfRule type="cellIs" rank="0" priority="1490" equalAverage="0" operator="greaterThan" aboveAverage="0" dxfId="7" text="" percent="0" bottom="0">
      <formula>0</formula>
    </cfRule>
  </conditionalFormatting>
  <conditionalFormatting sqref="K378">
    <cfRule type="cellIs" rank="0" priority="1491" equalAverage="0" operator="greaterThan" aboveAverage="0" dxfId="7" text="" percent="0" bottom="0">
      <formula>0</formula>
    </cfRule>
  </conditionalFormatting>
  <conditionalFormatting sqref="N378">
    <cfRule type="cellIs" rank="0" priority="1492" equalAverage="0" operator="greaterThan" aboveAverage="0" dxfId="7" text="" percent="0" bottom="0">
      <formula>0</formula>
    </cfRule>
    <cfRule type="cellIs" rank="0" priority="1493" equalAverage="0" operator="lessThan" aboveAverage="0" dxfId="8" text="" percent="0" bottom="0">
      <formula>0</formula>
    </cfRule>
  </conditionalFormatting>
  <conditionalFormatting sqref="I379">
    <cfRule type="cellIs" rank="0" priority="1494" equalAverage="0" operator="greaterThan" aboveAverage="0" dxfId="7" text="" percent="0" bottom="0">
      <formula>0</formula>
    </cfRule>
  </conditionalFormatting>
  <conditionalFormatting sqref="K379">
    <cfRule type="cellIs" rank="0" priority="1495" equalAverage="0" operator="greaterThan" aboveAverage="0" dxfId="7" text="" percent="0" bottom="0">
      <formula>0</formula>
    </cfRule>
  </conditionalFormatting>
  <conditionalFormatting sqref="N379">
    <cfRule type="cellIs" rank="0" priority="1496" equalAverage="0" operator="greaterThan" aboveAverage="0" dxfId="7" text="" percent="0" bottom="0">
      <formula>0</formula>
    </cfRule>
    <cfRule type="cellIs" rank="0" priority="1497" equalAverage="0" operator="lessThan" aboveAverage="0" dxfId="8" text="" percent="0" bottom="0">
      <formula>0</formula>
    </cfRule>
  </conditionalFormatting>
  <conditionalFormatting sqref="I380">
    <cfRule type="cellIs" rank="0" priority="1498" equalAverage="0" operator="greaterThan" aboveAverage="0" dxfId="7" text="" percent="0" bottom="0">
      <formula>0</formula>
    </cfRule>
  </conditionalFormatting>
  <conditionalFormatting sqref="K380">
    <cfRule type="cellIs" rank="0" priority="1499" equalAverage="0" operator="greaterThan" aboveAverage="0" dxfId="7" text="" percent="0" bottom="0">
      <formula>0</formula>
    </cfRule>
  </conditionalFormatting>
  <conditionalFormatting sqref="N380">
    <cfRule type="cellIs" rank="0" priority="1500" equalAverage="0" operator="greaterThan" aboveAverage="0" dxfId="7" text="" percent="0" bottom="0">
      <formula>0</formula>
    </cfRule>
    <cfRule type="cellIs" rank="0" priority="1501" equalAverage="0" operator="lessThan" aboveAverage="0" dxfId="8" text="" percent="0" bottom="0">
      <formula>0</formula>
    </cfRule>
  </conditionalFormatting>
  <conditionalFormatting sqref="I381">
    <cfRule type="cellIs" rank="0" priority="1502" equalAverage="0" operator="greaterThan" aboveAverage="0" dxfId="7" text="" percent="0" bottom="0">
      <formula>0</formula>
    </cfRule>
  </conditionalFormatting>
  <conditionalFormatting sqref="K381">
    <cfRule type="cellIs" rank="0" priority="1503" equalAverage="0" operator="greaterThan" aboveAverage="0" dxfId="7" text="" percent="0" bottom="0">
      <formula>0</formula>
    </cfRule>
  </conditionalFormatting>
  <conditionalFormatting sqref="N381">
    <cfRule type="cellIs" rank="0" priority="1504" equalAverage="0" operator="greaterThan" aboveAverage="0" dxfId="7" text="" percent="0" bottom="0">
      <formula>0</formula>
    </cfRule>
    <cfRule type="cellIs" rank="0" priority="1505" equalAverage="0" operator="lessThan" aboveAverage="0" dxfId="8" text="" percent="0" bottom="0">
      <formula>0</formula>
    </cfRule>
  </conditionalFormatting>
  <conditionalFormatting sqref="I382">
    <cfRule type="cellIs" rank="0" priority="1506" equalAverage="0" operator="greaterThan" aboveAverage="0" dxfId="7" text="" percent="0" bottom="0">
      <formula>0</formula>
    </cfRule>
  </conditionalFormatting>
  <conditionalFormatting sqref="K382">
    <cfRule type="cellIs" rank="0" priority="1507" equalAverage="0" operator="greaterThan" aboveAverage="0" dxfId="7" text="" percent="0" bottom="0">
      <formula>0</formula>
    </cfRule>
  </conditionalFormatting>
  <conditionalFormatting sqref="N382">
    <cfRule type="cellIs" rank="0" priority="1508" equalAverage="0" operator="greaterThan" aboveAverage="0" dxfId="7" text="" percent="0" bottom="0">
      <formula>0</formula>
    </cfRule>
    <cfRule type="cellIs" rank="0" priority="1509" equalAverage="0" operator="lessThan" aboveAverage="0" dxfId="8" text="" percent="0" bottom="0">
      <formula>0</formula>
    </cfRule>
  </conditionalFormatting>
  <conditionalFormatting sqref="I383">
    <cfRule type="cellIs" rank="0" priority="1510" equalAverage="0" operator="greaterThan" aboveAverage="0" dxfId="7" text="" percent="0" bottom="0">
      <formula>0</formula>
    </cfRule>
  </conditionalFormatting>
  <conditionalFormatting sqref="K383">
    <cfRule type="cellIs" rank="0" priority="1511" equalAverage="0" operator="greaterThan" aboveAverage="0" dxfId="7" text="" percent="0" bottom="0">
      <formula>0</formula>
    </cfRule>
  </conditionalFormatting>
  <conditionalFormatting sqref="N383">
    <cfRule type="cellIs" rank="0" priority="1512" equalAverage="0" operator="greaterThan" aboveAverage="0" dxfId="7" text="" percent="0" bottom="0">
      <formula>0</formula>
    </cfRule>
    <cfRule type="cellIs" rank="0" priority="1513" equalAverage="0" operator="lessThan" aboveAverage="0" dxfId="8" text="" percent="0" bottom="0">
      <formula>0</formula>
    </cfRule>
  </conditionalFormatting>
  <conditionalFormatting sqref="I384">
    <cfRule type="cellIs" rank="0" priority="1514" equalAverage="0" operator="greaterThan" aboveAverage="0" dxfId="7" text="" percent="0" bottom="0">
      <formula>0</formula>
    </cfRule>
  </conditionalFormatting>
  <conditionalFormatting sqref="K384">
    <cfRule type="cellIs" rank="0" priority="1515" equalAverage="0" operator="greaterThan" aboveAverage="0" dxfId="7" text="" percent="0" bottom="0">
      <formula>0</formula>
    </cfRule>
  </conditionalFormatting>
  <conditionalFormatting sqref="N384">
    <cfRule type="cellIs" rank="0" priority="1516" equalAverage="0" operator="greaterThan" aboveAverage="0" dxfId="7" text="" percent="0" bottom="0">
      <formula>0</formula>
    </cfRule>
    <cfRule type="cellIs" rank="0" priority="1517" equalAverage="0" operator="lessThan" aboveAverage="0" dxfId="8" text="" percent="0" bottom="0">
      <formula>0</formula>
    </cfRule>
  </conditionalFormatting>
  <conditionalFormatting sqref="I385">
    <cfRule type="cellIs" rank="0" priority="1518" equalAverage="0" operator="greaterThan" aboveAverage="0" dxfId="7" text="" percent="0" bottom="0">
      <formula>0</formula>
    </cfRule>
  </conditionalFormatting>
  <conditionalFormatting sqref="K385">
    <cfRule type="cellIs" rank="0" priority="1519" equalAverage="0" operator="greaterThan" aboveAverage="0" dxfId="7" text="" percent="0" bottom="0">
      <formula>0</formula>
    </cfRule>
  </conditionalFormatting>
  <conditionalFormatting sqref="N385">
    <cfRule type="cellIs" rank="0" priority="1520" equalAverage="0" operator="greaterThan" aboveAverage="0" dxfId="7" text="" percent="0" bottom="0">
      <formula>0</formula>
    </cfRule>
    <cfRule type="cellIs" rank="0" priority="1521" equalAverage="0" operator="lessThan" aboveAverage="0" dxfId="8" text="" percent="0" bottom="0">
      <formula>0</formula>
    </cfRule>
  </conditionalFormatting>
  <conditionalFormatting sqref="I386">
    <cfRule type="cellIs" rank="0" priority="1522" equalAverage="0" operator="greaterThan" aboveAverage="0" dxfId="7" text="" percent="0" bottom="0">
      <formula>0</formula>
    </cfRule>
  </conditionalFormatting>
  <conditionalFormatting sqref="K386">
    <cfRule type="cellIs" rank="0" priority="1523" equalAverage="0" operator="greaterThan" aboveAverage="0" dxfId="7" text="" percent="0" bottom="0">
      <formula>0</formula>
    </cfRule>
  </conditionalFormatting>
  <conditionalFormatting sqref="N386">
    <cfRule type="cellIs" rank="0" priority="1524" equalAverage="0" operator="greaterThan" aboveAverage="0" dxfId="7" text="" percent="0" bottom="0">
      <formula>0</formula>
    </cfRule>
    <cfRule type="cellIs" rank="0" priority="1525" equalAverage="0" operator="lessThan" aboveAverage="0" dxfId="8" text="" percent="0" bottom="0">
      <formula>0</formula>
    </cfRule>
  </conditionalFormatting>
  <conditionalFormatting sqref="I387">
    <cfRule type="cellIs" rank="0" priority="1526" equalAverage="0" operator="greaterThan" aboveAverage="0" dxfId="7" text="" percent="0" bottom="0">
      <formula>0</formula>
    </cfRule>
  </conditionalFormatting>
  <conditionalFormatting sqref="K387">
    <cfRule type="cellIs" rank="0" priority="1527" equalAverage="0" operator="greaterThan" aboveAverage="0" dxfId="7" text="" percent="0" bottom="0">
      <formula>0</formula>
    </cfRule>
  </conditionalFormatting>
  <conditionalFormatting sqref="N387">
    <cfRule type="cellIs" rank="0" priority="1528" equalAverage="0" operator="greaterThan" aboveAverage="0" dxfId="7" text="" percent="0" bottom="0">
      <formula>0</formula>
    </cfRule>
    <cfRule type="cellIs" rank="0" priority="1529" equalAverage="0" operator="lessThan" aboveAverage="0" dxfId="8" text="" percent="0" bottom="0">
      <formula>0</formula>
    </cfRule>
  </conditionalFormatting>
  <conditionalFormatting sqref="I388">
    <cfRule type="cellIs" rank="0" priority="1530" equalAverage="0" operator="greaterThan" aboveAverage="0" dxfId="7" text="" percent="0" bottom="0">
      <formula>0</formula>
    </cfRule>
  </conditionalFormatting>
  <conditionalFormatting sqref="K388">
    <cfRule type="cellIs" rank="0" priority="1531" equalAverage="0" operator="greaterThan" aboveAverage="0" dxfId="7" text="" percent="0" bottom="0">
      <formula>0</formula>
    </cfRule>
  </conditionalFormatting>
  <conditionalFormatting sqref="N388">
    <cfRule type="cellIs" rank="0" priority="1532" equalAverage="0" operator="greaterThan" aboveAverage="0" dxfId="7" text="" percent="0" bottom="0">
      <formula>0</formula>
    </cfRule>
    <cfRule type="cellIs" rank="0" priority="1533" equalAverage="0" operator="lessThan" aboveAverage="0" dxfId="8" text="" percent="0" bottom="0">
      <formula>0</formula>
    </cfRule>
  </conditionalFormatting>
  <conditionalFormatting sqref="I389">
    <cfRule type="cellIs" rank="0" priority="1534" equalAverage="0" operator="greaterThan" aboveAverage="0" dxfId="7" text="" percent="0" bottom="0">
      <formula>0</formula>
    </cfRule>
  </conditionalFormatting>
  <conditionalFormatting sqref="K389">
    <cfRule type="cellIs" rank="0" priority="1535" equalAverage="0" operator="greaterThan" aboveAverage="0" dxfId="7" text="" percent="0" bottom="0">
      <formula>0</formula>
    </cfRule>
  </conditionalFormatting>
  <conditionalFormatting sqref="N389">
    <cfRule type="cellIs" rank="0" priority="1536" equalAverage="0" operator="greaterThan" aboveAverage="0" dxfId="7" text="" percent="0" bottom="0">
      <formula>0</formula>
    </cfRule>
    <cfRule type="cellIs" rank="0" priority="1537" equalAverage="0" operator="lessThan" aboveAverage="0" dxfId="8" text="" percent="0" bottom="0">
      <formula>0</formula>
    </cfRule>
  </conditionalFormatting>
  <conditionalFormatting sqref="I390">
    <cfRule type="cellIs" rank="0" priority="1538" equalAverage="0" operator="greaterThan" aboveAverage="0" dxfId="7" text="" percent="0" bottom="0">
      <formula>0</formula>
    </cfRule>
  </conditionalFormatting>
  <conditionalFormatting sqref="K390">
    <cfRule type="cellIs" rank="0" priority="1539" equalAverage="0" operator="greaterThan" aboveAverage="0" dxfId="7" text="" percent="0" bottom="0">
      <formula>0</formula>
    </cfRule>
  </conditionalFormatting>
  <conditionalFormatting sqref="N390">
    <cfRule type="cellIs" rank="0" priority="1540" equalAverage="0" operator="greaterThan" aboveAverage="0" dxfId="7" text="" percent="0" bottom="0">
      <formula>0</formula>
    </cfRule>
    <cfRule type="cellIs" rank="0" priority="1541" equalAverage="0" operator="lessThan" aboveAverage="0" dxfId="8" text="" percent="0" bottom="0">
      <formula>0</formula>
    </cfRule>
  </conditionalFormatting>
  <conditionalFormatting sqref="I391">
    <cfRule type="cellIs" rank="0" priority="1542" equalAverage="0" operator="greaterThan" aboveAverage="0" dxfId="7" text="" percent="0" bottom="0">
      <formula>0</formula>
    </cfRule>
  </conditionalFormatting>
  <conditionalFormatting sqref="K391">
    <cfRule type="cellIs" rank="0" priority="1543" equalAverage="0" operator="greaterThan" aboveAverage="0" dxfId="7" text="" percent="0" bottom="0">
      <formula>0</formula>
    </cfRule>
  </conditionalFormatting>
  <conditionalFormatting sqref="N391">
    <cfRule type="cellIs" rank="0" priority="1544" equalAverage="0" operator="greaterThan" aboveAverage="0" dxfId="7" text="" percent="0" bottom="0">
      <formula>0</formula>
    </cfRule>
    <cfRule type="cellIs" rank="0" priority="1545" equalAverage="0" operator="lessThan" aboveAverage="0" dxfId="8" text="" percent="0" bottom="0">
      <formula>0</formula>
    </cfRule>
  </conditionalFormatting>
  <conditionalFormatting sqref="I392">
    <cfRule type="cellIs" rank="0" priority="1546" equalAverage="0" operator="greaterThan" aboveAverage="0" dxfId="7" text="" percent="0" bottom="0">
      <formula>0</formula>
    </cfRule>
  </conditionalFormatting>
  <conditionalFormatting sqref="K392">
    <cfRule type="cellIs" rank="0" priority="1547" equalAverage="0" operator="greaterThan" aboveAverage="0" dxfId="7" text="" percent="0" bottom="0">
      <formula>0</formula>
    </cfRule>
  </conditionalFormatting>
  <conditionalFormatting sqref="N392">
    <cfRule type="cellIs" rank="0" priority="1548" equalAverage="0" operator="greaterThan" aboveAverage="0" dxfId="7" text="" percent="0" bottom="0">
      <formula>0</formula>
    </cfRule>
    <cfRule type="cellIs" rank="0" priority="1549" equalAverage="0" operator="lessThan" aboveAverage="0" dxfId="8" text="" percent="0" bottom="0">
      <formula>0</formula>
    </cfRule>
  </conditionalFormatting>
  <conditionalFormatting sqref="I393">
    <cfRule type="cellIs" rank="0" priority="1550" equalAverage="0" operator="greaterThan" aboveAverage="0" dxfId="7" text="" percent="0" bottom="0">
      <formula>0</formula>
    </cfRule>
  </conditionalFormatting>
  <conditionalFormatting sqref="K393">
    <cfRule type="cellIs" rank="0" priority="1551" equalAverage="0" operator="greaterThan" aboveAverage="0" dxfId="7" text="" percent="0" bottom="0">
      <formula>0</formula>
    </cfRule>
  </conditionalFormatting>
  <conditionalFormatting sqref="N393">
    <cfRule type="cellIs" rank="0" priority="1552" equalAverage="0" operator="greaterThan" aboveAverage="0" dxfId="7" text="" percent="0" bottom="0">
      <formula>0</formula>
    </cfRule>
    <cfRule type="cellIs" rank="0" priority="1553" equalAverage="0" operator="lessThan" aboveAverage="0" dxfId="8" text="" percent="0" bottom="0">
      <formula>0</formula>
    </cfRule>
  </conditionalFormatting>
  <conditionalFormatting sqref="I394">
    <cfRule type="cellIs" rank="0" priority="1554" equalAverage="0" operator="greaterThan" aboveAverage="0" dxfId="7" text="" percent="0" bottom="0">
      <formula>0</formula>
    </cfRule>
  </conditionalFormatting>
  <conditionalFormatting sqref="K394">
    <cfRule type="cellIs" rank="0" priority="1555" equalAverage="0" operator="greaterThan" aboveAverage="0" dxfId="7" text="" percent="0" bottom="0">
      <formula>0</formula>
    </cfRule>
  </conditionalFormatting>
  <conditionalFormatting sqref="N394">
    <cfRule type="cellIs" rank="0" priority="1556" equalAverage="0" operator="greaterThan" aboveAverage="0" dxfId="7" text="" percent="0" bottom="0">
      <formula>0</formula>
    </cfRule>
    <cfRule type="cellIs" rank="0" priority="1557" equalAverage="0" operator="lessThan" aboveAverage="0" dxfId="8" text="" percent="0" bottom="0">
      <formula>0</formula>
    </cfRule>
  </conditionalFormatting>
  <conditionalFormatting sqref="I395">
    <cfRule type="cellIs" rank="0" priority="1558" equalAverage="0" operator="greaterThan" aboveAverage="0" dxfId="7" text="" percent="0" bottom="0">
      <formula>0</formula>
    </cfRule>
  </conditionalFormatting>
  <conditionalFormatting sqref="K395">
    <cfRule type="cellIs" rank="0" priority="1559" equalAverage="0" operator="greaterThan" aboveAverage="0" dxfId="7" text="" percent="0" bottom="0">
      <formula>0</formula>
    </cfRule>
  </conditionalFormatting>
  <conditionalFormatting sqref="N395">
    <cfRule type="cellIs" rank="0" priority="1560" equalAverage="0" operator="greaterThan" aboveAverage="0" dxfId="7" text="" percent="0" bottom="0">
      <formula>0</formula>
    </cfRule>
    <cfRule type="cellIs" rank="0" priority="1561" equalAverage="0" operator="lessThan" aboveAverage="0" dxfId="8" text="" percent="0" bottom="0">
      <formula>0</formula>
    </cfRule>
  </conditionalFormatting>
  <conditionalFormatting sqref="I396">
    <cfRule type="cellIs" rank="0" priority="1562" equalAverage="0" operator="greaterThan" aboveAverage="0" dxfId="7" text="" percent="0" bottom="0">
      <formula>0</formula>
    </cfRule>
  </conditionalFormatting>
  <conditionalFormatting sqref="K396">
    <cfRule type="cellIs" rank="0" priority="1563" equalAverage="0" operator="greaterThan" aboveAverage="0" dxfId="7" text="" percent="0" bottom="0">
      <formula>0</formula>
    </cfRule>
  </conditionalFormatting>
  <conditionalFormatting sqref="N396">
    <cfRule type="cellIs" rank="0" priority="1564" equalAverage="0" operator="greaterThan" aboveAverage="0" dxfId="7" text="" percent="0" bottom="0">
      <formula>0</formula>
    </cfRule>
    <cfRule type="cellIs" rank="0" priority="1565" equalAverage="0" operator="lessThan" aboveAverage="0" dxfId="8" text="" percent="0" bottom="0">
      <formula>0</formula>
    </cfRule>
  </conditionalFormatting>
  <conditionalFormatting sqref="I397">
    <cfRule type="cellIs" rank="0" priority="1566" equalAverage="0" operator="greaterThan" aboveAverage="0" dxfId="7" text="" percent="0" bottom="0">
      <formula>0</formula>
    </cfRule>
  </conditionalFormatting>
  <conditionalFormatting sqref="K397">
    <cfRule type="cellIs" rank="0" priority="1567" equalAverage="0" operator="greaterThan" aboveAverage="0" dxfId="7" text="" percent="0" bottom="0">
      <formula>0</formula>
    </cfRule>
  </conditionalFormatting>
  <conditionalFormatting sqref="N397">
    <cfRule type="cellIs" rank="0" priority="1568" equalAverage="0" operator="greaterThan" aboveAverage="0" dxfId="7" text="" percent="0" bottom="0">
      <formula>0</formula>
    </cfRule>
    <cfRule type="cellIs" rank="0" priority="1569" equalAverage="0" operator="lessThan" aboveAverage="0" dxfId="8" text="" percent="0" bottom="0">
      <formula>0</formula>
    </cfRule>
  </conditionalFormatting>
  <conditionalFormatting sqref="I398">
    <cfRule type="cellIs" rank="0" priority="1570" equalAverage="0" operator="greaterThan" aboveAverage="0" dxfId="7" text="" percent="0" bottom="0">
      <formula>0</formula>
    </cfRule>
  </conditionalFormatting>
  <conditionalFormatting sqref="K398">
    <cfRule type="cellIs" rank="0" priority="1571" equalAverage="0" operator="greaterThan" aboveAverage="0" dxfId="7" text="" percent="0" bottom="0">
      <formula>0</formula>
    </cfRule>
  </conditionalFormatting>
  <conditionalFormatting sqref="N398">
    <cfRule type="cellIs" rank="0" priority="1572" equalAverage="0" operator="greaterThan" aboveAverage="0" dxfId="7" text="" percent="0" bottom="0">
      <formula>0</formula>
    </cfRule>
    <cfRule type="cellIs" rank="0" priority="1573" equalAverage="0" operator="lessThan" aboveAverage="0" dxfId="8" text="" percent="0" bottom="0">
      <formula>0</formula>
    </cfRule>
  </conditionalFormatting>
  <conditionalFormatting sqref="I399">
    <cfRule type="cellIs" rank="0" priority="1574" equalAverage="0" operator="greaterThan" aboveAverage="0" dxfId="7" text="" percent="0" bottom="0">
      <formula>0</formula>
    </cfRule>
  </conditionalFormatting>
  <conditionalFormatting sqref="K399">
    <cfRule type="cellIs" rank="0" priority="1575" equalAverage="0" operator="greaterThan" aboveAverage="0" dxfId="7" text="" percent="0" bottom="0">
      <formula>0</formula>
    </cfRule>
  </conditionalFormatting>
  <conditionalFormatting sqref="N399">
    <cfRule type="cellIs" rank="0" priority="1576" equalAverage="0" operator="greaterThan" aboveAverage="0" dxfId="7" text="" percent="0" bottom="0">
      <formula>0</formula>
    </cfRule>
    <cfRule type="cellIs" rank="0" priority="1577" equalAverage="0" operator="lessThan" aboveAverage="0" dxfId="8" text="" percent="0" bottom="0">
      <formula>0</formula>
    </cfRule>
  </conditionalFormatting>
  <conditionalFormatting sqref="I400">
    <cfRule type="cellIs" rank="0" priority="1578" equalAverage="0" operator="greaterThan" aboveAverage="0" dxfId="7" text="" percent="0" bottom="0">
      <formula>0</formula>
    </cfRule>
  </conditionalFormatting>
  <conditionalFormatting sqref="K400">
    <cfRule type="cellIs" rank="0" priority="1579" equalAverage="0" operator="greaterThan" aboveAverage="0" dxfId="7" text="" percent="0" bottom="0">
      <formula>0</formula>
    </cfRule>
  </conditionalFormatting>
  <conditionalFormatting sqref="N400">
    <cfRule type="cellIs" rank="0" priority="1580" equalAverage="0" operator="greaterThan" aboveAverage="0" dxfId="7" text="" percent="0" bottom="0">
      <formula>0</formula>
    </cfRule>
    <cfRule type="cellIs" rank="0" priority="1581" equalAverage="0" operator="lessThan" aboveAverage="0" dxfId="8" text="" percent="0" bottom="0">
      <formula>0</formula>
    </cfRule>
  </conditionalFormatting>
  <conditionalFormatting sqref="I401">
    <cfRule type="cellIs" rank="0" priority="1582" equalAverage="0" operator="greaterThan" aboveAverage="0" dxfId="7" text="" percent="0" bottom="0">
      <formula>0</formula>
    </cfRule>
  </conditionalFormatting>
  <conditionalFormatting sqref="K401">
    <cfRule type="cellIs" rank="0" priority="1583" equalAverage="0" operator="greaterThan" aboveAverage="0" dxfId="7" text="" percent="0" bottom="0">
      <formula>0</formula>
    </cfRule>
  </conditionalFormatting>
  <conditionalFormatting sqref="N401">
    <cfRule type="cellIs" rank="0" priority="1584" equalAverage="0" operator="greaterThan" aboveAverage="0" dxfId="7" text="" percent="0" bottom="0">
      <formula>0</formula>
    </cfRule>
    <cfRule type="cellIs" rank="0" priority="1585" equalAverage="0" operator="lessThan" aboveAverage="0" dxfId="8" text="" percent="0" bottom="0">
      <formula>0</formula>
    </cfRule>
  </conditionalFormatting>
  <conditionalFormatting sqref="I402">
    <cfRule type="cellIs" rank="0" priority="1586" equalAverage="0" operator="greaterThan" aboveAverage="0" dxfId="7" text="" percent="0" bottom="0">
      <formula>0</formula>
    </cfRule>
  </conditionalFormatting>
  <conditionalFormatting sqref="K402">
    <cfRule type="cellIs" rank="0" priority="1587" equalAverage="0" operator="greaterThan" aboveAverage="0" dxfId="7" text="" percent="0" bottom="0">
      <formula>0</formula>
    </cfRule>
  </conditionalFormatting>
  <conditionalFormatting sqref="N402">
    <cfRule type="cellIs" rank="0" priority="1588" equalAverage="0" operator="greaterThan" aboveAverage="0" dxfId="7" text="" percent="0" bottom="0">
      <formula>0</formula>
    </cfRule>
    <cfRule type="cellIs" rank="0" priority="1589" equalAverage="0" operator="lessThan" aboveAverage="0" dxfId="8" text="" percent="0" bottom="0">
      <formula>0</formula>
    </cfRule>
  </conditionalFormatting>
  <conditionalFormatting sqref="I403">
    <cfRule type="cellIs" rank="0" priority="1590" equalAverage="0" operator="greaterThan" aboveAverage="0" dxfId="7" text="" percent="0" bottom="0">
      <formula>0</formula>
    </cfRule>
  </conditionalFormatting>
  <conditionalFormatting sqref="K403">
    <cfRule type="cellIs" rank="0" priority="1591" equalAverage="0" operator="greaterThan" aboveAverage="0" dxfId="7" text="" percent="0" bottom="0">
      <formula>0</formula>
    </cfRule>
  </conditionalFormatting>
  <conditionalFormatting sqref="N403">
    <cfRule type="cellIs" rank="0" priority="1592" equalAverage="0" operator="greaterThan" aboveAverage="0" dxfId="7" text="" percent="0" bottom="0">
      <formula>0</formula>
    </cfRule>
    <cfRule type="cellIs" rank="0" priority="1593" equalAverage="0" operator="lessThan" aboveAverage="0" dxfId="8" text="" percent="0" bottom="0">
      <formula>0</formula>
    </cfRule>
  </conditionalFormatting>
  <conditionalFormatting sqref="I404">
    <cfRule type="cellIs" rank="0" priority="1594" equalAverage="0" operator="greaterThan" aboveAverage="0" dxfId="7" text="" percent="0" bottom="0">
      <formula>0</formula>
    </cfRule>
  </conditionalFormatting>
  <conditionalFormatting sqref="K404">
    <cfRule type="cellIs" rank="0" priority="1595" equalAverage="0" operator="greaterThan" aboveAverage="0" dxfId="7" text="" percent="0" bottom="0">
      <formula>0</formula>
    </cfRule>
  </conditionalFormatting>
  <conditionalFormatting sqref="N404">
    <cfRule type="cellIs" rank="0" priority="1596" equalAverage="0" operator="greaterThan" aboveAverage="0" dxfId="7" text="" percent="0" bottom="0">
      <formula>0</formula>
    </cfRule>
    <cfRule type="cellIs" rank="0" priority="1597" equalAverage="0" operator="lessThan" aboveAverage="0" dxfId="8" text="" percent="0" bottom="0">
      <formula>0</formula>
    </cfRule>
  </conditionalFormatting>
  <conditionalFormatting sqref="I405">
    <cfRule type="cellIs" rank="0" priority="1598" equalAverage="0" operator="greaterThan" aboveAverage="0" dxfId="7" text="" percent="0" bottom="0">
      <formula>0</formula>
    </cfRule>
  </conditionalFormatting>
  <conditionalFormatting sqref="K405">
    <cfRule type="cellIs" rank="0" priority="1599" equalAverage="0" operator="greaterThan" aboveAverage="0" dxfId="7" text="" percent="0" bottom="0">
      <formula>0</formula>
    </cfRule>
  </conditionalFormatting>
  <conditionalFormatting sqref="N405">
    <cfRule type="cellIs" rank="0" priority="1600" equalAverage="0" operator="greaterThan" aboveAverage="0" dxfId="7" text="" percent="0" bottom="0">
      <formula>0</formula>
    </cfRule>
    <cfRule type="cellIs" rank="0" priority="1601" equalAverage="0" operator="lessThan" aboveAverage="0" dxfId="8" text="" percent="0" bottom="0">
      <formula>0</formula>
    </cfRule>
  </conditionalFormatting>
  <conditionalFormatting sqref="I406">
    <cfRule type="cellIs" rank="0" priority="1602" equalAverage="0" operator="greaterThan" aboveAverage="0" dxfId="7" text="" percent="0" bottom="0">
      <formula>0</formula>
    </cfRule>
  </conditionalFormatting>
  <conditionalFormatting sqref="K406">
    <cfRule type="cellIs" rank="0" priority="1603" equalAverage="0" operator="greaterThan" aboveAverage="0" dxfId="7" text="" percent="0" bottom="0">
      <formula>0</formula>
    </cfRule>
  </conditionalFormatting>
  <conditionalFormatting sqref="N406">
    <cfRule type="cellIs" rank="0" priority="1604" equalAverage="0" operator="greaterThan" aboveAverage="0" dxfId="7" text="" percent="0" bottom="0">
      <formula>0</formula>
    </cfRule>
    <cfRule type="cellIs" rank="0" priority="1605" equalAverage="0" operator="lessThan" aboveAverage="0" dxfId="8" text="" percent="0" bottom="0">
      <formula>0</formula>
    </cfRule>
  </conditionalFormatting>
  <conditionalFormatting sqref="I407">
    <cfRule type="cellIs" rank="0" priority="1606" equalAverage="0" operator="greaterThan" aboveAverage="0" dxfId="7" text="" percent="0" bottom="0">
      <formula>0</formula>
    </cfRule>
  </conditionalFormatting>
  <conditionalFormatting sqref="K407">
    <cfRule type="cellIs" rank="0" priority="1607" equalAverage="0" operator="greaterThan" aboveAverage="0" dxfId="7" text="" percent="0" bottom="0">
      <formula>0</formula>
    </cfRule>
  </conditionalFormatting>
  <conditionalFormatting sqref="N407">
    <cfRule type="cellIs" rank="0" priority="1608" equalAverage="0" operator="greaterThan" aboveAverage="0" dxfId="7" text="" percent="0" bottom="0">
      <formula>0</formula>
    </cfRule>
    <cfRule type="cellIs" rank="0" priority="1609" equalAverage="0" operator="lessThan" aboveAverage="0" dxfId="8" text="" percent="0" bottom="0">
      <formula>0</formula>
    </cfRule>
  </conditionalFormatting>
  <conditionalFormatting sqref="I408">
    <cfRule type="cellIs" rank="0" priority="1610" equalAverage="0" operator="greaterThan" aboveAverage="0" dxfId="7" text="" percent="0" bottom="0">
      <formula>0</formula>
    </cfRule>
  </conditionalFormatting>
  <conditionalFormatting sqref="K408">
    <cfRule type="cellIs" rank="0" priority="1611" equalAverage="0" operator="greaterThan" aboveAverage="0" dxfId="7" text="" percent="0" bottom="0">
      <formula>0</formula>
    </cfRule>
  </conditionalFormatting>
  <conditionalFormatting sqref="N408">
    <cfRule type="cellIs" rank="0" priority="1612" equalAverage="0" operator="greaterThan" aboveAverage="0" dxfId="7" text="" percent="0" bottom="0">
      <formula>0</formula>
    </cfRule>
    <cfRule type="cellIs" rank="0" priority="1613" equalAverage="0" operator="lessThan" aboveAverage="0" dxfId="8" text="" percent="0" bottom="0">
      <formula>0</formula>
    </cfRule>
  </conditionalFormatting>
  <conditionalFormatting sqref="I409">
    <cfRule type="cellIs" rank="0" priority="1614" equalAverage="0" operator="greaterThan" aboveAverage="0" dxfId="7" text="" percent="0" bottom="0">
      <formula>0</formula>
    </cfRule>
  </conditionalFormatting>
  <conditionalFormatting sqref="K409">
    <cfRule type="cellIs" rank="0" priority="1615" equalAverage="0" operator="greaterThan" aboveAverage="0" dxfId="7" text="" percent="0" bottom="0">
      <formula>0</formula>
    </cfRule>
  </conditionalFormatting>
  <conditionalFormatting sqref="N409">
    <cfRule type="cellIs" rank="0" priority="1616" equalAverage="0" operator="greaterThan" aboveAverage="0" dxfId="7" text="" percent="0" bottom="0">
      <formula>0</formula>
    </cfRule>
    <cfRule type="cellIs" rank="0" priority="1617" equalAverage="0" operator="lessThan" aboveAverage="0" dxfId="8" text="" percent="0" bottom="0">
      <formula>0</formula>
    </cfRule>
  </conditionalFormatting>
  <conditionalFormatting sqref="I410">
    <cfRule type="cellIs" rank="0" priority="1618" equalAverage="0" operator="greaterThan" aboveAverage="0" dxfId="7" text="" percent="0" bottom="0">
      <formula>0</formula>
    </cfRule>
  </conditionalFormatting>
  <conditionalFormatting sqref="K410">
    <cfRule type="cellIs" rank="0" priority="1619" equalAverage="0" operator="greaterThan" aboveAverage="0" dxfId="7" text="" percent="0" bottom="0">
      <formula>0</formula>
    </cfRule>
  </conditionalFormatting>
  <conditionalFormatting sqref="N410">
    <cfRule type="cellIs" rank="0" priority="1620" equalAverage="0" operator="greaterThan" aboveAverage="0" dxfId="7" text="" percent="0" bottom="0">
      <formula>0</formula>
    </cfRule>
    <cfRule type="cellIs" rank="0" priority="1621" equalAverage="0" operator="lessThan" aboveAverage="0" dxfId="8" text="" percent="0" bottom="0">
      <formula>0</formula>
    </cfRule>
  </conditionalFormatting>
  <conditionalFormatting sqref="I411">
    <cfRule type="cellIs" rank="0" priority="1622" equalAverage="0" operator="greaterThan" aboveAverage="0" dxfId="7" text="" percent="0" bottom="0">
      <formula>0</formula>
    </cfRule>
  </conditionalFormatting>
  <conditionalFormatting sqref="K411">
    <cfRule type="cellIs" rank="0" priority="1623" equalAverage="0" operator="greaterThan" aboveAverage="0" dxfId="7" text="" percent="0" bottom="0">
      <formula>0</formula>
    </cfRule>
  </conditionalFormatting>
  <conditionalFormatting sqref="N411">
    <cfRule type="cellIs" rank="0" priority="1624" equalAverage="0" operator="greaterThan" aboveAverage="0" dxfId="7" text="" percent="0" bottom="0">
      <formula>0</formula>
    </cfRule>
    <cfRule type="cellIs" rank="0" priority="1625" equalAverage="0" operator="lessThan" aboveAverage="0" dxfId="8" text="" percent="0" bottom="0">
      <formula>0</formula>
    </cfRule>
  </conditionalFormatting>
  <conditionalFormatting sqref="I412">
    <cfRule type="cellIs" rank="0" priority="1626" equalAverage="0" operator="greaterThan" aboveAverage="0" dxfId="7" text="" percent="0" bottom="0">
      <formula>0</formula>
    </cfRule>
  </conditionalFormatting>
  <conditionalFormatting sqref="K412">
    <cfRule type="cellIs" rank="0" priority="1627" equalAverage="0" operator="greaterThan" aboveAverage="0" dxfId="7" text="" percent="0" bottom="0">
      <formula>0</formula>
    </cfRule>
  </conditionalFormatting>
  <conditionalFormatting sqref="N412">
    <cfRule type="cellIs" rank="0" priority="1628" equalAverage="0" operator="greaterThan" aboveAverage="0" dxfId="7" text="" percent="0" bottom="0">
      <formula>0</formula>
    </cfRule>
    <cfRule type="cellIs" rank="0" priority="1629" equalAverage="0" operator="lessThan" aboveAverage="0" dxfId="8" text="" percent="0" bottom="0">
      <formula>0</formula>
    </cfRule>
  </conditionalFormatting>
  <conditionalFormatting sqref="I413">
    <cfRule type="cellIs" rank="0" priority="1630" equalAverage="0" operator="greaterThan" aboveAverage="0" dxfId="7" text="" percent="0" bottom="0">
      <formula>0</formula>
    </cfRule>
  </conditionalFormatting>
  <conditionalFormatting sqref="K413">
    <cfRule type="cellIs" rank="0" priority="1631" equalAverage="0" operator="greaterThan" aboveAverage="0" dxfId="7" text="" percent="0" bottom="0">
      <formula>0</formula>
    </cfRule>
  </conditionalFormatting>
  <conditionalFormatting sqref="N413">
    <cfRule type="cellIs" rank="0" priority="1632" equalAverage="0" operator="greaterThan" aboveAverage="0" dxfId="7" text="" percent="0" bottom="0">
      <formula>0</formula>
    </cfRule>
    <cfRule type="cellIs" rank="0" priority="1633" equalAverage="0" operator="lessThan" aboveAverage="0" dxfId="8" text="" percent="0" bottom="0">
      <formula>0</formula>
    </cfRule>
  </conditionalFormatting>
  <conditionalFormatting sqref="I414">
    <cfRule type="cellIs" rank="0" priority="1634" equalAverage="0" operator="greaterThan" aboveAverage="0" dxfId="7" text="" percent="0" bottom="0">
      <formula>0</formula>
    </cfRule>
  </conditionalFormatting>
  <conditionalFormatting sqref="K414">
    <cfRule type="cellIs" rank="0" priority="1635" equalAverage="0" operator="greaterThan" aboveAverage="0" dxfId="7" text="" percent="0" bottom="0">
      <formula>0</formula>
    </cfRule>
  </conditionalFormatting>
  <conditionalFormatting sqref="N414">
    <cfRule type="cellIs" rank="0" priority="1636" equalAverage="0" operator="greaterThan" aboveAverage="0" dxfId="7" text="" percent="0" bottom="0">
      <formula>0</formula>
    </cfRule>
    <cfRule type="cellIs" rank="0" priority="1637" equalAverage="0" operator="lessThan" aboveAverage="0" dxfId="8" text="" percent="0" bottom="0">
      <formula>0</formula>
    </cfRule>
  </conditionalFormatting>
  <conditionalFormatting sqref="I415">
    <cfRule type="cellIs" rank="0" priority="1638" equalAverage="0" operator="greaterThan" aboveAverage="0" dxfId="7" text="" percent="0" bottom="0">
      <formula>0</formula>
    </cfRule>
  </conditionalFormatting>
  <conditionalFormatting sqref="K415">
    <cfRule type="cellIs" rank="0" priority="1639" equalAverage="0" operator="greaterThan" aboveAverage="0" dxfId="7" text="" percent="0" bottom="0">
      <formula>0</formula>
    </cfRule>
  </conditionalFormatting>
  <conditionalFormatting sqref="N415">
    <cfRule type="cellIs" rank="0" priority="1640" equalAverage="0" operator="greaterThan" aboveAverage="0" dxfId="7" text="" percent="0" bottom="0">
      <formula>0</formula>
    </cfRule>
    <cfRule type="cellIs" rank="0" priority="1641" equalAverage="0" operator="lessThan" aboveAverage="0" dxfId="8" text="" percent="0" bottom="0">
      <formula>0</formula>
    </cfRule>
  </conditionalFormatting>
  <conditionalFormatting sqref="I416">
    <cfRule type="cellIs" rank="0" priority="1642" equalAverage="0" operator="greaterThan" aboveAverage="0" dxfId="7" text="" percent="0" bottom="0">
      <formula>0</formula>
    </cfRule>
  </conditionalFormatting>
  <conditionalFormatting sqref="K416">
    <cfRule type="cellIs" rank="0" priority="1643" equalAverage="0" operator="greaterThan" aboveAverage="0" dxfId="7" text="" percent="0" bottom="0">
      <formula>0</formula>
    </cfRule>
  </conditionalFormatting>
  <conditionalFormatting sqref="N416">
    <cfRule type="cellIs" rank="0" priority="1644" equalAverage="0" operator="greaterThan" aboveAverage="0" dxfId="7" text="" percent="0" bottom="0">
      <formula>0</formula>
    </cfRule>
    <cfRule type="cellIs" rank="0" priority="1645" equalAverage="0" operator="lessThan" aboveAverage="0" dxfId="8" text="" percent="0" bottom="0">
      <formula>0</formula>
    </cfRule>
  </conditionalFormatting>
  <conditionalFormatting sqref="I417">
    <cfRule type="cellIs" rank="0" priority="1646" equalAverage="0" operator="greaterThan" aboveAverage="0" dxfId="7" text="" percent="0" bottom="0">
      <formula>0</formula>
    </cfRule>
  </conditionalFormatting>
  <conditionalFormatting sqref="K417">
    <cfRule type="cellIs" rank="0" priority="1647" equalAverage="0" operator="greaterThan" aboveAverage="0" dxfId="7" text="" percent="0" bottom="0">
      <formula>0</formula>
    </cfRule>
  </conditionalFormatting>
  <conditionalFormatting sqref="N417">
    <cfRule type="cellIs" rank="0" priority="1648" equalAverage="0" operator="greaterThan" aboveAverage="0" dxfId="7" text="" percent="0" bottom="0">
      <formula>0</formula>
    </cfRule>
    <cfRule type="cellIs" rank="0" priority="1649" equalAverage="0" operator="lessThan" aboveAverage="0" dxfId="8" text="" percent="0" bottom="0">
      <formula>0</formula>
    </cfRule>
  </conditionalFormatting>
  <conditionalFormatting sqref="I418">
    <cfRule type="cellIs" rank="0" priority="1650" equalAverage="0" operator="greaterThan" aboveAverage="0" dxfId="7" text="" percent="0" bottom="0">
      <formula>0</formula>
    </cfRule>
  </conditionalFormatting>
  <conditionalFormatting sqref="K418">
    <cfRule type="cellIs" rank="0" priority="1651" equalAverage="0" operator="greaterThan" aboveAverage="0" dxfId="7" text="" percent="0" bottom="0">
      <formula>0</formula>
    </cfRule>
  </conditionalFormatting>
  <conditionalFormatting sqref="N418">
    <cfRule type="cellIs" rank="0" priority="1652" equalAverage="0" operator="greaterThan" aboveAverage="0" dxfId="7" text="" percent="0" bottom="0">
      <formula>0</formula>
    </cfRule>
    <cfRule type="cellIs" rank="0" priority="1653" equalAverage="0" operator="lessThan" aboveAverage="0" dxfId="8" text="" percent="0" bottom="0">
      <formula>0</formula>
    </cfRule>
  </conditionalFormatting>
  <conditionalFormatting sqref="I419">
    <cfRule type="cellIs" rank="0" priority="1654" equalAverage="0" operator="greaterThan" aboveAverage="0" dxfId="7" text="" percent="0" bottom="0">
      <formula>0</formula>
    </cfRule>
  </conditionalFormatting>
  <conditionalFormatting sqref="K419">
    <cfRule type="cellIs" rank="0" priority="1655" equalAverage="0" operator="greaterThan" aboveAverage="0" dxfId="7" text="" percent="0" bottom="0">
      <formula>0</formula>
    </cfRule>
  </conditionalFormatting>
  <conditionalFormatting sqref="N419">
    <cfRule type="cellIs" rank="0" priority="1656" equalAverage="0" operator="greaterThan" aboveAverage="0" dxfId="7" text="" percent="0" bottom="0">
      <formula>0</formula>
    </cfRule>
    <cfRule type="cellIs" rank="0" priority="1657" equalAverage="0" operator="lessThan" aboveAverage="0" dxfId="8" text="" percent="0" bottom="0">
      <formula>0</formula>
    </cfRule>
  </conditionalFormatting>
  <conditionalFormatting sqref="I420">
    <cfRule type="cellIs" rank="0" priority="1658" equalAverage="0" operator="greaterThan" aboveAverage="0" dxfId="7" text="" percent="0" bottom="0">
      <formula>0</formula>
    </cfRule>
  </conditionalFormatting>
  <conditionalFormatting sqref="K420">
    <cfRule type="cellIs" rank="0" priority="1659" equalAverage="0" operator="greaterThan" aboveAverage="0" dxfId="7" text="" percent="0" bottom="0">
      <formula>0</formula>
    </cfRule>
  </conditionalFormatting>
  <conditionalFormatting sqref="N420">
    <cfRule type="cellIs" rank="0" priority="1660" equalAverage="0" operator="greaterThan" aboveAverage="0" dxfId="7" text="" percent="0" bottom="0">
      <formula>0</formula>
    </cfRule>
    <cfRule type="cellIs" rank="0" priority="1661" equalAverage="0" operator="lessThan" aboveAverage="0" dxfId="8" text="" percent="0" bottom="0">
      <formula>0</formula>
    </cfRule>
  </conditionalFormatting>
  <conditionalFormatting sqref="I421">
    <cfRule type="cellIs" rank="0" priority="1662" equalAverage="0" operator="greaterThan" aboveAverage="0" dxfId="7" text="" percent="0" bottom="0">
      <formula>0</formula>
    </cfRule>
  </conditionalFormatting>
  <conditionalFormatting sqref="K421">
    <cfRule type="cellIs" rank="0" priority="1663" equalAverage="0" operator="greaterThan" aboveAverage="0" dxfId="7" text="" percent="0" bottom="0">
      <formula>0</formula>
    </cfRule>
  </conditionalFormatting>
  <conditionalFormatting sqref="N421">
    <cfRule type="cellIs" rank="0" priority="1664" equalAverage="0" operator="greaterThan" aboveAverage="0" dxfId="7" text="" percent="0" bottom="0">
      <formula>0</formula>
    </cfRule>
    <cfRule type="cellIs" rank="0" priority="1665" equalAverage="0" operator="lessThan" aboveAverage="0" dxfId="8" text="" percent="0" bottom="0">
      <formula>0</formula>
    </cfRule>
  </conditionalFormatting>
  <conditionalFormatting sqref="I422">
    <cfRule type="cellIs" rank="0" priority="1666" equalAverage="0" operator="greaterThan" aboveAverage="0" dxfId="7" text="" percent="0" bottom="0">
      <formula>0</formula>
    </cfRule>
  </conditionalFormatting>
  <conditionalFormatting sqref="K422">
    <cfRule type="cellIs" rank="0" priority="1667" equalAverage="0" operator="greaterThan" aboveAverage="0" dxfId="7" text="" percent="0" bottom="0">
      <formula>0</formula>
    </cfRule>
  </conditionalFormatting>
  <conditionalFormatting sqref="N422">
    <cfRule type="cellIs" rank="0" priority="1668" equalAverage="0" operator="greaterThan" aboveAverage="0" dxfId="7" text="" percent="0" bottom="0">
      <formula>0</formula>
    </cfRule>
    <cfRule type="cellIs" rank="0" priority="1669" equalAverage="0" operator="lessThan" aboveAverage="0" dxfId="8" text="" percent="0" bottom="0">
      <formula>0</formula>
    </cfRule>
  </conditionalFormatting>
  <conditionalFormatting sqref="I423">
    <cfRule type="cellIs" rank="0" priority="1670" equalAverage="0" operator="greaterThan" aboveAverage="0" dxfId="7" text="" percent="0" bottom="0">
      <formula>0</formula>
    </cfRule>
  </conditionalFormatting>
  <conditionalFormatting sqref="K423">
    <cfRule type="cellIs" rank="0" priority="1671" equalAverage="0" operator="greaterThan" aboveAverage="0" dxfId="7" text="" percent="0" bottom="0">
      <formula>0</formula>
    </cfRule>
  </conditionalFormatting>
  <conditionalFormatting sqref="N423">
    <cfRule type="cellIs" rank="0" priority="1672" equalAverage="0" operator="greaterThan" aboveAverage="0" dxfId="7" text="" percent="0" bottom="0">
      <formula>0</formula>
    </cfRule>
    <cfRule type="cellIs" rank="0" priority="1673" equalAverage="0" operator="lessThan" aboveAverage="0" dxfId="8" text="" percent="0" bottom="0">
      <formula>0</formula>
    </cfRule>
  </conditionalFormatting>
  <conditionalFormatting sqref="I424">
    <cfRule type="cellIs" rank="0" priority="1674" equalAverage="0" operator="greaterThan" aboveAverage="0" dxfId="7" text="" percent="0" bottom="0">
      <formula>0</formula>
    </cfRule>
  </conditionalFormatting>
  <conditionalFormatting sqref="K424">
    <cfRule type="cellIs" rank="0" priority="1675" equalAverage="0" operator="greaterThan" aboveAverage="0" dxfId="7" text="" percent="0" bottom="0">
      <formula>0</formula>
    </cfRule>
  </conditionalFormatting>
  <conditionalFormatting sqref="N424">
    <cfRule type="cellIs" rank="0" priority="1676" equalAverage="0" operator="greaterThan" aboveAverage="0" dxfId="7" text="" percent="0" bottom="0">
      <formula>0</formula>
    </cfRule>
    <cfRule type="cellIs" rank="0" priority="1677" equalAverage="0" operator="lessThan" aboveAverage="0" dxfId="8" text="" percent="0" bottom="0">
      <formula>0</formula>
    </cfRule>
  </conditionalFormatting>
  <conditionalFormatting sqref="I425">
    <cfRule type="cellIs" rank="0" priority="1678" equalAverage="0" operator="greaterThan" aboveAverage="0" dxfId="7" text="" percent="0" bottom="0">
      <formula>0</formula>
    </cfRule>
  </conditionalFormatting>
  <conditionalFormatting sqref="K425">
    <cfRule type="cellIs" rank="0" priority="1679" equalAverage="0" operator="greaterThan" aboveAverage="0" dxfId="7" text="" percent="0" bottom="0">
      <formula>0</formula>
    </cfRule>
  </conditionalFormatting>
  <conditionalFormatting sqref="N425">
    <cfRule type="cellIs" rank="0" priority="1680" equalAverage="0" operator="greaterThan" aboveAverage="0" dxfId="7" text="" percent="0" bottom="0">
      <formula>0</formula>
    </cfRule>
    <cfRule type="cellIs" rank="0" priority="1681" equalAverage="0" operator="lessThan" aboveAverage="0" dxfId="8" text="" percent="0" bottom="0">
      <formula>0</formula>
    </cfRule>
  </conditionalFormatting>
  <conditionalFormatting sqref="I426">
    <cfRule type="cellIs" rank="0" priority="1682" equalAverage="0" operator="greaterThan" aboveAverage="0" dxfId="7" text="" percent="0" bottom="0">
      <formula>0</formula>
    </cfRule>
  </conditionalFormatting>
  <conditionalFormatting sqref="K426">
    <cfRule type="cellIs" rank="0" priority="1683" equalAverage="0" operator="greaterThan" aboveAverage="0" dxfId="7" text="" percent="0" bottom="0">
      <formula>0</formula>
    </cfRule>
  </conditionalFormatting>
  <conditionalFormatting sqref="N426">
    <cfRule type="cellIs" rank="0" priority="1684" equalAverage="0" operator="greaterThan" aboveAverage="0" dxfId="7" text="" percent="0" bottom="0">
      <formula>0</formula>
    </cfRule>
    <cfRule type="cellIs" rank="0" priority="1685" equalAverage="0" operator="lessThan" aboveAverage="0" dxfId="8" text="" percent="0" bottom="0">
      <formula>0</formula>
    </cfRule>
  </conditionalFormatting>
  <conditionalFormatting sqref="I427">
    <cfRule type="cellIs" rank="0" priority="1686" equalAverage="0" operator="greaterThan" aboveAverage="0" dxfId="7" text="" percent="0" bottom="0">
      <formula>0</formula>
    </cfRule>
  </conditionalFormatting>
  <conditionalFormatting sqref="K427">
    <cfRule type="cellIs" rank="0" priority="1687" equalAverage="0" operator="greaterThan" aboveAverage="0" dxfId="7" text="" percent="0" bottom="0">
      <formula>0</formula>
    </cfRule>
  </conditionalFormatting>
  <conditionalFormatting sqref="N427">
    <cfRule type="cellIs" rank="0" priority="1688" equalAverage="0" operator="greaterThan" aboveAverage="0" dxfId="7" text="" percent="0" bottom="0">
      <formula>0</formula>
    </cfRule>
    <cfRule type="cellIs" rank="0" priority="1689" equalAverage="0" operator="lessThan" aboveAverage="0" dxfId="8" text="" percent="0" bottom="0">
      <formula>0</formula>
    </cfRule>
  </conditionalFormatting>
  <conditionalFormatting sqref="I428">
    <cfRule type="cellIs" rank="0" priority="1690" equalAverage="0" operator="greaterThan" aboveAverage="0" dxfId="7" text="" percent="0" bottom="0">
      <formula>0</formula>
    </cfRule>
  </conditionalFormatting>
  <conditionalFormatting sqref="K428">
    <cfRule type="cellIs" rank="0" priority="1691" equalAverage="0" operator="greaterThan" aboveAverage="0" dxfId="7" text="" percent="0" bottom="0">
      <formula>0</formula>
    </cfRule>
  </conditionalFormatting>
  <conditionalFormatting sqref="N428">
    <cfRule type="cellIs" rank="0" priority="1692" equalAverage="0" operator="greaterThan" aboveAverage="0" dxfId="7" text="" percent="0" bottom="0">
      <formula>0</formula>
    </cfRule>
    <cfRule type="cellIs" rank="0" priority="1693" equalAverage="0" operator="lessThan" aboveAverage="0" dxfId="8" text="" percent="0" bottom="0">
      <formula>0</formula>
    </cfRule>
  </conditionalFormatting>
  <conditionalFormatting sqref="I429">
    <cfRule type="cellIs" rank="0" priority="1694" equalAverage="0" operator="greaterThan" aboveAverage="0" dxfId="7" text="" percent="0" bottom="0">
      <formula>0</formula>
    </cfRule>
  </conditionalFormatting>
  <conditionalFormatting sqref="K429">
    <cfRule type="cellIs" rank="0" priority="1695" equalAverage="0" operator="greaterThan" aboveAverage="0" dxfId="7" text="" percent="0" bottom="0">
      <formula>0</formula>
    </cfRule>
  </conditionalFormatting>
  <conditionalFormatting sqref="N429">
    <cfRule type="cellIs" rank="0" priority="1696" equalAverage="0" operator="greaterThan" aboveAverage="0" dxfId="7" text="" percent="0" bottom="0">
      <formula>0</formula>
    </cfRule>
    <cfRule type="cellIs" rank="0" priority="1697" equalAverage="0" operator="lessThan" aboveAverage="0" dxfId="8" text="" percent="0" bottom="0">
      <formula>0</formula>
    </cfRule>
  </conditionalFormatting>
  <conditionalFormatting sqref="I430">
    <cfRule type="cellIs" rank="0" priority="1698" equalAverage="0" operator="greaterThan" aboveAverage="0" dxfId="7" text="" percent="0" bottom="0">
      <formula>0</formula>
    </cfRule>
  </conditionalFormatting>
  <conditionalFormatting sqref="K430">
    <cfRule type="cellIs" rank="0" priority="1699" equalAverage="0" operator="greaterThan" aboveAverage="0" dxfId="7" text="" percent="0" bottom="0">
      <formula>0</formula>
    </cfRule>
  </conditionalFormatting>
  <conditionalFormatting sqref="N430">
    <cfRule type="cellIs" rank="0" priority="1700" equalAverage="0" operator="greaterThan" aboveAverage="0" dxfId="7" text="" percent="0" bottom="0">
      <formula>0</formula>
    </cfRule>
    <cfRule type="cellIs" rank="0" priority="1701" equalAverage="0" operator="lessThan" aboveAverage="0" dxfId="8" text="" percent="0" bottom="0">
      <formula>0</formula>
    </cfRule>
  </conditionalFormatting>
  <conditionalFormatting sqref="I431">
    <cfRule type="cellIs" rank="0" priority="1702" equalAverage="0" operator="greaterThan" aboveAverage="0" dxfId="7" text="" percent="0" bottom="0">
      <formula>0</formula>
    </cfRule>
  </conditionalFormatting>
  <conditionalFormatting sqref="K431">
    <cfRule type="cellIs" rank="0" priority="1703" equalAverage="0" operator="greaterThan" aboveAverage="0" dxfId="7" text="" percent="0" bottom="0">
      <formula>0</formula>
    </cfRule>
  </conditionalFormatting>
  <conditionalFormatting sqref="N431">
    <cfRule type="cellIs" rank="0" priority="1704" equalAverage="0" operator="greaterThan" aboveAverage="0" dxfId="7" text="" percent="0" bottom="0">
      <formula>0</formula>
    </cfRule>
    <cfRule type="cellIs" rank="0" priority="1705" equalAverage="0" operator="lessThan" aboveAverage="0" dxfId="8" text="" percent="0" bottom="0">
      <formula>0</formula>
    </cfRule>
  </conditionalFormatting>
  <conditionalFormatting sqref="I432">
    <cfRule type="cellIs" rank="0" priority="1706" equalAverage="0" operator="greaterThan" aboveAverage="0" dxfId="7" text="" percent="0" bottom="0">
      <formula>0</formula>
    </cfRule>
  </conditionalFormatting>
  <conditionalFormatting sqref="K432">
    <cfRule type="cellIs" rank="0" priority="1707" equalAverage="0" operator="greaterThan" aboveAverage="0" dxfId="7" text="" percent="0" bottom="0">
      <formula>0</formula>
    </cfRule>
  </conditionalFormatting>
  <conditionalFormatting sqref="N432">
    <cfRule type="cellIs" rank="0" priority="1708" equalAverage="0" operator="greaterThan" aboveAverage="0" dxfId="7" text="" percent="0" bottom="0">
      <formula>0</formula>
    </cfRule>
    <cfRule type="cellIs" rank="0" priority="1709" equalAverage="0" operator="lessThan" aboveAverage="0" dxfId="8" text="" percent="0" bottom="0">
      <formula>0</formula>
    </cfRule>
  </conditionalFormatting>
  <conditionalFormatting sqref="I433">
    <cfRule type="cellIs" rank="0" priority="1710" equalAverage="0" operator="greaterThan" aboveAverage="0" dxfId="7" text="" percent="0" bottom="0">
      <formula>0</formula>
    </cfRule>
  </conditionalFormatting>
  <conditionalFormatting sqref="K433">
    <cfRule type="cellIs" rank="0" priority="1711" equalAverage="0" operator="greaterThan" aboveAverage="0" dxfId="7" text="" percent="0" bottom="0">
      <formula>0</formula>
    </cfRule>
  </conditionalFormatting>
  <conditionalFormatting sqref="N433">
    <cfRule type="cellIs" rank="0" priority="1712" equalAverage="0" operator="greaterThan" aboveAverage="0" dxfId="7" text="" percent="0" bottom="0">
      <formula>0</formula>
    </cfRule>
    <cfRule type="cellIs" rank="0" priority="1713" equalAverage="0" operator="lessThan" aboveAverage="0" dxfId="8" text="" percent="0" bottom="0">
      <formula>0</formula>
    </cfRule>
  </conditionalFormatting>
  <conditionalFormatting sqref="I434">
    <cfRule type="cellIs" rank="0" priority="1714" equalAverage="0" operator="greaterThan" aboveAverage="0" dxfId="7" text="" percent="0" bottom="0">
      <formula>0</formula>
    </cfRule>
  </conditionalFormatting>
  <conditionalFormatting sqref="K434">
    <cfRule type="cellIs" rank="0" priority="1715" equalAverage="0" operator="greaterThan" aboveAverage="0" dxfId="7" text="" percent="0" bottom="0">
      <formula>0</formula>
    </cfRule>
  </conditionalFormatting>
  <conditionalFormatting sqref="N434">
    <cfRule type="cellIs" rank="0" priority="1716" equalAverage="0" operator="greaterThan" aboveAverage="0" dxfId="7" text="" percent="0" bottom="0">
      <formula>0</formula>
    </cfRule>
    <cfRule type="cellIs" rank="0" priority="1717" equalAverage="0" operator="lessThan" aboveAverage="0" dxfId="8" text="" percent="0" bottom="0">
      <formula>0</formula>
    </cfRule>
  </conditionalFormatting>
  <conditionalFormatting sqref="I435">
    <cfRule type="cellIs" rank="0" priority="1718" equalAverage="0" operator="greaterThan" aboveAverage="0" dxfId="7" text="" percent="0" bottom="0">
      <formula>0</formula>
    </cfRule>
  </conditionalFormatting>
  <conditionalFormatting sqref="K435">
    <cfRule type="cellIs" rank="0" priority="1719" equalAverage="0" operator="greaterThan" aboveAverage="0" dxfId="7" text="" percent="0" bottom="0">
      <formula>0</formula>
    </cfRule>
  </conditionalFormatting>
  <conditionalFormatting sqref="N435">
    <cfRule type="cellIs" rank="0" priority="1720" equalAverage="0" operator="greaterThan" aboveAverage="0" dxfId="7" text="" percent="0" bottom="0">
      <formula>0</formula>
    </cfRule>
    <cfRule type="cellIs" rank="0" priority="1721" equalAverage="0" operator="lessThan" aboveAverage="0" dxfId="8" text="" percent="0" bottom="0">
      <formula>0</formula>
    </cfRule>
  </conditionalFormatting>
  <conditionalFormatting sqref="I436">
    <cfRule type="cellIs" rank="0" priority="1722" equalAverage="0" operator="greaterThan" aboveAverage="0" dxfId="7" text="" percent="0" bottom="0">
      <formula>0</formula>
    </cfRule>
  </conditionalFormatting>
  <conditionalFormatting sqref="K436">
    <cfRule type="cellIs" rank="0" priority="1723" equalAverage="0" operator="greaterThan" aboveAverage="0" dxfId="7" text="" percent="0" bottom="0">
      <formula>0</formula>
    </cfRule>
  </conditionalFormatting>
  <conditionalFormatting sqref="N436">
    <cfRule type="cellIs" rank="0" priority="1724" equalAverage="0" operator="greaterThan" aboveAverage="0" dxfId="7" text="" percent="0" bottom="0">
      <formula>0</formula>
    </cfRule>
    <cfRule type="cellIs" rank="0" priority="1725" equalAverage="0" operator="lessThan" aboveAverage="0" dxfId="8" text="" percent="0" bottom="0">
      <formula>0</formula>
    </cfRule>
  </conditionalFormatting>
  <conditionalFormatting sqref="I437">
    <cfRule type="cellIs" rank="0" priority="1726" equalAverage="0" operator="greaterThan" aboveAverage="0" dxfId="7" text="" percent="0" bottom="0">
      <formula>0</formula>
    </cfRule>
  </conditionalFormatting>
  <conditionalFormatting sqref="K437">
    <cfRule type="cellIs" rank="0" priority="1727" equalAverage="0" operator="greaterThan" aboveAverage="0" dxfId="7" text="" percent="0" bottom="0">
      <formula>0</formula>
    </cfRule>
  </conditionalFormatting>
  <conditionalFormatting sqref="N437">
    <cfRule type="cellIs" rank="0" priority="1728" equalAverage="0" operator="greaterThan" aboveAverage="0" dxfId="7" text="" percent="0" bottom="0">
      <formula>0</formula>
    </cfRule>
    <cfRule type="cellIs" rank="0" priority="1729" equalAverage="0" operator="lessThan" aboveAverage="0" dxfId="8" text="" percent="0" bottom="0">
      <formula>0</formula>
    </cfRule>
  </conditionalFormatting>
  <conditionalFormatting sqref="I438">
    <cfRule type="cellIs" rank="0" priority="1730" equalAverage="0" operator="greaterThan" aboveAverage="0" dxfId="7" text="" percent="0" bottom="0">
      <formula>0</formula>
    </cfRule>
  </conditionalFormatting>
  <conditionalFormatting sqref="K438">
    <cfRule type="cellIs" rank="0" priority="1731" equalAverage="0" operator="greaterThan" aboveAverage="0" dxfId="7" text="" percent="0" bottom="0">
      <formula>0</formula>
    </cfRule>
  </conditionalFormatting>
  <conditionalFormatting sqref="N438">
    <cfRule type="cellIs" rank="0" priority="1732" equalAverage="0" operator="greaterThan" aboveAverage="0" dxfId="7" text="" percent="0" bottom="0">
      <formula>0</formula>
    </cfRule>
    <cfRule type="cellIs" rank="0" priority="1733" equalAverage="0" operator="lessThan" aboveAverage="0" dxfId="8" text="" percent="0" bottom="0">
      <formula>0</formula>
    </cfRule>
  </conditionalFormatting>
  <conditionalFormatting sqref="I439">
    <cfRule type="cellIs" rank="0" priority="1734" equalAverage="0" operator="greaterThan" aboveAverage="0" dxfId="7" text="" percent="0" bottom="0">
      <formula>0</formula>
    </cfRule>
  </conditionalFormatting>
  <conditionalFormatting sqref="K439">
    <cfRule type="cellIs" rank="0" priority="1735" equalAverage="0" operator="greaterThan" aboveAverage="0" dxfId="7" text="" percent="0" bottom="0">
      <formula>0</formula>
    </cfRule>
  </conditionalFormatting>
  <conditionalFormatting sqref="N439">
    <cfRule type="cellIs" rank="0" priority="1736" equalAverage="0" operator="greaterThan" aboveAverage="0" dxfId="7" text="" percent="0" bottom="0">
      <formula>0</formula>
    </cfRule>
    <cfRule type="cellIs" rank="0" priority="1737" equalAverage="0" operator="lessThan" aboveAverage="0" dxfId="8" text="" percent="0" bottom="0">
      <formula>0</formula>
    </cfRule>
  </conditionalFormatting>
  <conditionalFormatting sqref="I440">
    <cfRule type="cellIs" rank="0" priority="1738" equalAverage="0" operator="greaterThan" aboveAverage="0" dxfId="7" text="" percent="0" bottom="0">
      <formula>0</formula>
    </cfRule>
  </conditionalFormatting>
  <conditionalFormatting sqref="K440">
    <cfRule type="cellIs" rank="0" priority="1739" equalAverage="0" operator="greaterThan" aboveAverage="0" dxfId="7" text="" percent="0" bottom="0">
      <formula>0</formula>
    </cfRule>
  </conditionalFormatting>
  <conditionalFormatting sqref="N440">
    <cfRule type="cellIs" rank="0" priority="1740" equalAverage="0" operator="greaterThan" aboveAverage="0" dxfId="7" text="" percent="0" bottom="0">
      <formula>0</formula>
    </cfRule>
    <cfRule type="cellIs" rank="0" priority="1741" equalAverage="0" operator="lessThan" aboveAverage="0" dxfId="8" text="" percent="0" bottom="0">
      <formula>0</formula>
    </cfRule>
  </conditionalFormatting>
  <conditionalFormatting sqref="I441">
    <cfRule type="cellIs" rank="0" priority="1742" equalAverage="0" operator="greaterThan" aboveAverage="0" dxfId="7" text="" percent="0" bottom="0">
      <formula>0</formula>
    </cfRule>
  </conditionalFormatting>
  <conditionalFormatting sqref="K441">
    <cfRule type="cellIs" rank="0" priority="1743" equalAverage="0" operator="greaterThan" aboveAverage="0" dxfId="7" text="" percent="0" bottom="0">
      <formula>0</formula>
    </cfRule>
  </conditionalFormatting>
  <conditionalFormatting sqref="N441">
    <cfRule type="cellIs" rank="0" priority="1744" equalAverage="0" operator="greaterThan" aboveAverage="0" dxfId="7" text="" percent="0" bottom="0">
      <formula>0</formula>
    </cfRule>
    <cfRule type="cellIs" rank="0" priority="1745" equalAverage="0" operator="lessThan" aboveAverage="0" dxfId="8" text="" percent="0" bottom="0">
      <formula>0</formula>
    </cfRule>
  </conditionalFormatting>
  <conditionalFormatting sqref="I442">
    <cfRule type="cellIs" rank="0" priority="1746" equalAverage="0" operator="greaterThan" aboveAverage="0" dxfId="7" text="" percent="0" bottom="0">
      <formula>0</formula>
    </cfRule>
  </conditionalFormatting>
  <conditionalFormatting sqref="K442">
    <cfRule type="cellIs" rank="0" priority="1747" equalAverage="0" operator="greaterThan" aboveAverage="0" dxfId="7" text="" percent="0" bottom="0">
      <formula>0</formula>
    </cfRule>
  </conditionalFormatting>
  <conditionalFormatting sqref="N442">
    <cfRule type="cellIs" rank="0" priority="1748" equalAverage="0" operator="greaterThan" aboveAverage="0" dxfId="7" text="" percent="0" bottom="0">
      <formula>0</formula>
    </cfRule>
    <cfRule type="cellIs" rank="0" priority="1749" equalAverage="0" operator="lessThan" aboveAverage="0" dxfId="8" text="" percent="0" bottom="0">
      <formula>0</formula>
    </cfRule>
  </conditionalFormatting>
  <conditionalFormatting sqref="I443">
    <cfRule type="cellIs" rank="0" priority="1750" equalAverage="0" operator="greaterThan" aboveAverage="0" dxfId="7" text="" percent="0" bottom="0">
      <formula>0</formula>
    </cfRule>
  </conditionalFormatting>
  <conditionalFormatting sqref="K443">
    <cfRule type="cellIs" rank="0" priority="1751" equalAverage="0" operator="greaterThan" aboveAverage="0" dxfId="7" text="" percent="0" bottom="0">
      <formula>0</formula>
    </cfRule>
  </conditionalFormatting>
  <conditionalFormatting sqref="N443">
    <cfRule type="cellIs" rank="0" priority="1752" equalAverage="0" operator="greaterThan" aboveAverage="0" dxfId="7" text="" percent="0" bottom="0">
      <formula>0</formula>
    </cfRule>
    <cfRule type="cellIs" rank="0" priority="1753" equalAverage="0" operator="lessThan" aboveAverage="0" dxfId="8" text="" percent="0" bottom="0">
      <formula>0</formula>
    </cfRule>
  </conditionalFormatting>
  <conditionalFormatting sqref="I444">
    <cfRule type="cellIs" rank="0" priority="1754" equalAverage="0" operator="greaterThan" aboveAverage="0" dxfId="7" text="" percent="0" bottom="0">
      <formula>0</formula>
    </cfRule>
  </conditionalFormatting>
  <conditionalFormatting sqref="K444">
    <cfRule type="cellIs" rank="0" priority="1755" equalAverage="0" operator="greaterThan" aboveAverage="0" dxfId="7" text="" percent="0" bottom="0">
      <formula>0</formula>
    </cfRule>
  </conditionalFormatting>
  <conditionalFormatting sqref="N444">
    <cfRule type="cellIs" rank="0" priority="1756" equalAverage="0" operator="greaterThan" aboveAverage="0" dxfId="7" text="" percent="0" bottom="0">
      <formula>0</formula>
    </cfRule>
    <cfRule type="cellIs" rank="0" priority="1757" equalAverage="0" operator="lessThan" aboveAverage="0" dxfId="8" text="" percent="0" bottom="0">
      <formula>0</formula>
    </cfRule>
  </conditionalFormatting>
  <conditionalFormatting sqref="I445">
    <cfRule type="cellIs" rank="0" priority="1758" equalAverage="0" operator="greaterThan" aboveAverage="0" dxfId="7" text="" percent="0" bottom="0">
      <formula>0</formula>
    </cfRule>
  </conditionalFormatting>
  <conditionalFormatting sqref="K445">
    <cfRule type="cellIs" rank="0" priority="1759" equalAverage="0" operator="greaterThan" aboveAverage="0" dxfId="7" text="" percent="0" bottom="0">
      <formula>0</formula>
    </cfRule>
  </conditionalFormatting>
  <conditionalFormatting sqref="N445">
    <cfRule type="cellIs" rank="0" priority="1760" equalAverage="0" operator="greaterThan" aboveAverage="0" dxfId="7" text="" percent="0" bottom="0">
      <formula>0</formula>
    </cfRule>
    <cfRule type="cellIs" rank="0" priority="1761" equalAverage="0" operator="lessThan" aboveAverage="0" dxfId="8" text="" percent="0" bottom="0">
      <formula>0</formula>
    </cfRule>
  </conditionalFormatting>
  <conditionalFormatting sqref="I446">
    <cfRule type="cellIs" rank="0" priority="1762" equalAverage="0" operator="greaterThan" aboveAverage="0" dxfId="7" text="" percent="0" bottom="0">
      <formula>0</formula>
    </cfRule>
  </conditionalFormatting>
  <conditionalFormatting sqref="K446">
    <cfRule type="cellIs" rank="0" priority="1763" equalAverage="0" operator="greaterThan" aboveAverage="0" dxfId="7" text="" percent="0" bottom="0">
      <formula>0</formula>
    </cfRule>
  </conditionalFormatting>
  <conditionalFormatting sqref="N446">
    <cfRule type="cellIs" rank="0" priority="1764" equalAverage="0" operator="greaterThan" aboveAverage="0" dxfId="7" text="" percent="0" bottom="0">
      <formula>0</formula>
    </cfRule>
    <cfRule type="cellIs" rank="0" priority="1765" equalAverage="0" operator="lessThan" aboveAverage="0" dxfId="8" text="" percent="0" bottom="0">
      <formula>0</formula>
    </cfRule>
  </conditionalFormatting>
  <conditionalFormatting sqref="I447">
    <cfRule type="cellIs" rank="0" priority="1766" equalAverage="0" operator="greaterThan" aboveAverage="0" dxfId="7" text="" percent="0" bottom="0">
      <formula>0</formula>
    </cfRule>
  </conditionalFormatting>
  <conditionalFormatting sqref="K447">
    <cfRule type="cellIs" rank="0" priority="1767" equalAverage="0" operator="greaterThan" aboveAverage="0" dxfId="7" text="" percent="0" bottom="0">
      <formula>0</formula>
    </cfRule>
  </conditionalFormatting>
  <conditionalFormatting sqref="N447">
    <cfRule type="cellIs" rank="0" priority="1768" equalAverage="0" operator="greaterThan" aboveAverage="0" dxfId="7" text="" percent="0" bottom="0">
      <formula>0</formula>
    </cfRule>
    <cfRule type="cellIs" rank="0" priority="1769" equalAverage="0" operator="lessThan" aboveAverage="0" dxfId="8" text="" percent="0" bottom="0">
      <formula>0</formula>
    </cfRule>
  </conditionalFormatting>
  <conditionalFormatting sqref="I448">
    <cfRule type="cellIs" rank="0" priority="1770" equalAverage="0" operator="greaterThan" aboveAverage="0" dxfId="7" text="" percent="0" bottom="0">
      <formula>0</formula>
    </cfRule>
  </conditionalFormatting>
  <conditionalFormatting sqref="K448">
    <cfRule type="cellIs" rank="0" priority="1771" equalAverage="0" operator="greaterThan" aboveAverage="0" dxfId="7" text="" percent="0" bottom="0">
      <formula>0</formula>
    </cfRule>
  </conditionalFormatting>
  <conditionalFormatting sqref="N448">
    <cfRule type="cellIs" rank="0" priority="1772" equalAverage="0" operator="greaterThan" aboveAverage="0" dxfId="7" text="" percent="0" bottom="0">
      <formula>0</formula>
    </cfRule>
    <cfRule type="cellIs" rank="0" priority="1773" equalAverage="0" operator="lessThan" aboveAverage="0" dxfId="8" text="" percent="0" bottom="0">
      <formula>0</formula>
    </cfRule>
  </conditionalFormatting>
  <conditionalFormatting sqref="I449">
    <cfRule type="cellIs" rank="0" priority="1774" equalAverage="0" operator="greaterThan" aboveAverage="0" dxfId="7" text="" percent="0" bottom="0">
      <formula>0</formula>
    </cfRule>
  </conditionalFormatting>
  <conditionalFormatting sqref="K449">
    <cfRule type="cellIs" rank="0" priority="1775" equalAverage="0" operator="greaterThan" aboveAverage="0" dxfId="7" text="" percent="0" bottom="0">
      <formula>0</formula>
    </cfRule>
  </conditionalFormatting>
  <conditionalFormatting sqref="N449">
    <cfRule type="cellIs" rank="0" priority="1776" equalAverage="0" operator="greaterThan" aboveAverage="0" dxfId="7" text="" percent="0" bottom="0">
      <formula>0</formula>
    </cfRule>
    <cfRule type="cellIs" rank="0" priority="1777" equalAverage="0" operator="lessThan" aboveAverage="0" dxfId="8" text="" percent="0" bottom="0">
      <formula>0</formula>
    </cfRule>
  </conditionalFormatting>
  <conditionalFormatting sqref="I450">
    <cfRule type="cellIs" rank="0" priority="1778" equalAverage="0" operator="greaterThan" aboveAverage="0" dxfId="7" text="" percent="0" bottom="0">
      <formula>0</formula>
    </cfRule>
  </conditionalFormatting>
  <conditionalFormatting sqref="K450">
    <cfRule type="cellIs" rank="0" priority="1779" equalAverage="0" operator="greaterThan" aboveAverage="0" dxfId="7" text="" percent="0" bottom="0">
      <formula>0</formula>
    </cfRule>
  </conditionalFormatting>
  <conditionalFormatting sqref="N450">
    <cfRule type="cellIs" rank="0" priority="1780" equalAverage="0" operator="greaterThan" aboveAverage="0" dxfId="7" text="" percent="0" bottom="0">
      <formula>0</formula>
    </cfRule>
    <cfRule type="cellIs" rank="0" priority="1781" equalAverage="0" operator="lessThan" aboveAverage="0" dxfId="8" text="" percent="0" bottom="0">
      <formula>0</formula>
    </cfRule>
  </conditionalFormatting>
  <conditionalFormatting sqref="I451">
    <cfRule type="cellIs" rank="0" priority="1782" equalAverage="0" operator="greaterThan" aboveAverage="0" dxfId="7" text="" percent="0" bottom="0">
      <formula>0</formula>
    </cfRule>
  </conditionalFormatting>
  <conditionalFormatting sqref="K451">
    <cfRule type="cellIs" rank="0" priority="1783" equalAverage="0" operator="greaterThan" aboveAverage="0" dxfId="7" text="" percent="0" bottom="0">
      <formula>0</formula>
    </cfRule>
  </conditionalFormatting>
  <conditionalFormatting sqref="N451">
    <cfRule type="cellIs" rank="0" priority="1784" equalAverage="0" operator="greaterThan" aboveAverage="0" dxfId="7" text="" percent="0" bottom="0">
      <formula>0</formula>
    </cfRule>
    <cfRule type="cellIs" rank="0" priority="1785" equalAverage="0" operator="lessThan" aboveAverage="0" dxfId="8" text="" percent="0" bottom="0">
      <formula>0</formula>
    </cfRule>
  </conditionalFormatting>
  <conditionalFormatting sqref="I452">
    <cfRule type="cellIs" rank="0" priority="1786" equalAverage="0" operator="greaterThan" aboveAverage="0" dxfId="7" text="" percent="0" bottom="0">
      <formula>0</formula>
    </cfRule>
  </conditionalFormatting>
  <conditionalFormatting sqref="K452">
    <cfRule type="cellIs" rank="0" priority="1787" equalAverage="0" operator="greaterThan" aboveAverage="0" dxfId="7" text="" percent="0" bottom="0">
      <formula>0</formula>
    </cfRule>
  </conditionalFormatting>
  <conditionalFormatting sqref="N452">
    <cfRule type="cellIs" rank="0" priority="1788" equalAverage="0" operator="greaterThan" aboveAverage="0" dxfId="7" text="" percent="0" bottom="0">
      <formula>0</formula>
    </cfRule>
    <cfRule type="cellIs" rank="0" priority="1789" equalAverage="0" operator="lessThan" aboveAverage="0" dxfId="8" text="" percent="0" bottom="0">
      <formula>0</formula>
    </cfRule>
  </conditionalFormatting>
  <conditionalFormatting sqref="I453">
    <cfRule type="cellIs" rank="0" priority="1790" equalAverage="0" operator="greaterThan" aboveAverage="0" dxfId="7" text="" percent="0" bottom="0">
      <formula>0</formula>
    </cfRule>
  </conditionalFormatting>
  <conditionalFormatting sqref="K453">
    <cfRule type="cellIs" rank="0" priority="1791" equalAverage="0" operator="greaterThan" aboveAverage="0" dxfId="7" text="" percent="0" bottom="0">
      <formula>0</formula>
    </cfRule>
  </conditionalFormatting>
  <conditionalFormatting sqref="N453">
    <cfRule type="cellIs" rank="0" priority="1792" equalAverage="0" operator="greaterThan" aboveAverage="0" dxfId="7" text="" percent="0" bottom="0">
      <formula>0</formula>
    </cfRule>
    <cfRule type="cellIs" rank="0" priority="1793" equalAverage="0" operator="lessThan" aboveAverage="0" dxfId="8" text="" percent="0" bottom="0">
      <formula>0</formula>
    </cfRule>
  </conditionalFormatting>
  <conditionalFormatting sqref="I454">
    <cfRule type="cellIs" rank="0" priority="1794" equalAverage="0" operator="greaterThan" aboveAverage="0" dxfId="7" text="" percent="0" bottom="0">
      <formula>0</formula>
    </cfRule>
  </conditionalFormatting>
  <conditionalFormatting sqref="K454">
    <cfRule type="cellIs" rank="0" priority="1795" equalAverage="0" operator="greaterThan" aboveAverage="0" dxfId="7" text="" percent="0" bottom="0">
      <formula>0</formula>
    </cfRule>
  </conditionalFormatting>
  <conditionalFormatting sqref="N454">
    <cfRule type="cellIs" rank="0" priority="1796" equalAverage="0" operator="greaterThan" aboveAverage="0" dxfId="7" text="" percent="0" bottom="0">
      <formula>0</formula>
    </cfRule>
    <cfRule type="cellIs" rank="0" priority="1797" equalAverage="0" operator="lessThan" aboveAverage="0" dxfId="8" text="" percent="0" bottom="0">
      <formula>0</formula>
    </cfRule>
  </conditionalFormatting>
  <conditionalFormatting sqref="I455">
    <cfRule type="cellIs" rank="0" priority="1798" equalAverage="0" operator="greaterThan" aboveAverage="0" dxfId="7" text="" percent="0" bottom="0">
      <formula>0</formula>
    </cfRule>
  </conditionalFormatting>
  <conditionalFormatting sqref="K455">
    <cfRule type="cellIs" rank="0" priority="1799" equalAverage="0" operator="greaterThan" aboveAverage="0" dxfId="7" text="" percent="0" bottom="0">
      <formula>0</formula>
    </cfRule>
  </conditionalFormatting>
  <conditionalFormatting sqref="N455">
    <cfRule type="cellIs" rank="0" priority="1800" equalAverage="0" operator="greaterThan" aboveAverage="0" dxfId="7" text="" percent="0" bottom="0">
      <formula>0</formula>
    </cfRule>
    <cfRule type="cellIs" rank="0" priority="1801" equalAverage="0" operator="lessThan" aboveAverage="0" dxfId="8" text="" percent="0" bottom="0">
      <formula>0</formula>
    </cfRule>
  </conditionalFormatting>
  <conditionalFormatting sqref="I456">
    <cfRule type="cellIs" rank="0" priority="1802" equalAverage="0" operator="greaterThan" aboveAverage="0" dxfId="7" text="" percent="0" bottom="0">
      <formula>0</formula>
    </cfRule>
  </conditionalFormatting>
  <conditionalFormatting sqref="K456">
    <cfRule type="cellIs" rank="0" priority="1803" equalAverage="0" operator="greaterThan" aboveAverage="0" dxfId="7" text="" percent="0" bottom="0">
      <formula>0</formula>
    </cfRule>
  </conditionalFormatting>
  <conditionalFormatting sqref="N456">
    <cfRule type="cellIs" rank="0" priority="1804" equalAverage="0" operator="greaterThan" aboveAverage="0" dxfId="7" text="" percent="0" bottom="0">
      <formula>0</formula>
    </cfRule>
    <cfRule type="cellIs" rank="0" priority="1805" equalAverage="0" operator="lessThan" aboveAverage="0" dxfId="8" text="" percent="0" bottom="0">
      <formula>0</formula>
    </cfRule>
  </conditionalFormatting>
  <conditionalFormatting sqref="I457">
    <cfRule type="cellIs" rank="0" priority="1806" equalAverage="0" operator="greaterThan" aboveAverage="0" dxfId="7" text="" percent="0" bottom="0">
      <formula>0</formula>
    </cfRule>
  </conditionalFormatting>
  <conditionalFormatting sqref="K457">
    <cfRule type="cellIs" rank="0" priority="1807" equalAverage="0" operator="greaterThan" aboveAverage="0" dxfId="7" text="" percent="0" bottom="0">
      <formula>0</formula>
    </cfRule>
  </conditionalFormatting>
  <conditionalFormatting sqref="N457">
    <cfRule type="cellIs" rank="0" priority="1808" equalAverage="0" operator="greaterThan" aboveAverage="0" dxfId="7" text="" percent="0" bottom="0">
      <formula>0</formula>
    </cfRule>
    <cfRule type="cellIs" rank="0" priority="1809" equalAverage="0" operator="lessThan" aboveAverage="0" dxfId="8" text="" percent="0" bottom="0">
      <formula>0</formula>
    </cfRule>
  </conditionalFormatting>
  <conditionalFormatting sqref="I458">
    <cfRule type="cellIs" rank="0" priority="1810" equalAverage="0" operator="greaterThan" aboveAverage="0" dxfId="7" text="" percent="0" bottom="0">
      <formula>0</formula>
    </cfRule>
  </conditionalFormatting>
  <conditionalFormatting sqref="K458">
    <cfRule type="cellIs" rank="0" priority="1811" equalAverage="0" operator="greaterThan" aboveAverage="0" dxfId="7" text="" percent="0" bottom="0">
      <formula>0</formula>
    </cfRule>
  </conditionalFormatting>
  <conditionalFormatting sqref="N458">
    <cfRule type="cellIs" rank="0" priority="1812" equalAverage="0" operator="greaterThan" aboveAverage="0" dxfId="7" text="" percent="0" bottom="0">
      <formula>0</formula>
    </cfRule>
    <cfRule type="cellIs" rank="0" priority="1813" equalAverage="0" operator="lessThan" aboveAverage="0" dxfId="8" text="" percent="0" bottom="0">
      <formula>0</formula>
    </cfRule>
  </conditionalFormatting>
  <conditionalFormatting sqref="I459">
    <cfRule type="cellIs" rank="0" priority="1814" equalAverage="0" operator="greaterThan" aboveAverage="0" dxfId="7" text="" percent="0" bottom="0">
      <formula>0</formula>
    </cfRule>
  </conditionalFormatting>
  <conditionalFormatting sqref="K459">
    <cfRule type="cellIs" rank="0" priority="1815" equalAverage="0" operator="greaterThan" aboveAverage="0" dxfId="7" text="" percent="0" bottom="0">
      <formula>0</formula>
    </cfRule>
  </conditionalFormatting>
  <conditionalFormatting sqref="N459">
    <cfRule type="cellIs" rank="0" priority="1816" equalAverage="0" operator="greaterThan" aboveAverage="0" dxfId="7" text="" percent="0" bottom="0">
      <formula>0</formula>
    </cfRule>
    <cfRule type="cellIs" rank="0" priority="1817" equalAverage="0" operator="lessThan" aboveAverage="0" dxfId="8" text="" percent="0" bottom="0">
      <formula>0</formula>
    </cfRule>
  </conditionalFormatting>
  <conditionalFormatting sqref="I460">
    <cfRule type="cellIs" rank="0" priority="1818" equalAverage="0" operator="greaterThan" aboveAverage="0" dxfId="7" text="" percent="0" bottom="0">
      <formula>0</formula>
    </cfRule>
  </conditionalFormatting>
  <conditionalFormatting sqref="K460">
    <cfRule type="cellIs" rank="0" priority="1819" equalAverage="0" operator="greaterThan" aboveAverage="0" dxfId="7" text="" percent="0" bottom="0">
      <formula>0</formula>
    </cfRule>
  </conditionalFormatting>
  <conditionalFormatting sqref="N460">
    <cfRule type="cellIs" rank="0" priority="1820" equalAverage="0" operator="greaterThan" aboveAverage="0" dxfId="7" text="" percent="0" bottom="0">
      <formula>0</formula>
    </cfRule>
    <cfRule type="cellIs" rank="0" priority="1821" equalAverage="0" operator="lessThan" aboveAverage="0" dxfId="8" text="" percent="0" bottom="0">
      <formula>0</formula>
    </cfRule>
  </conditionalFormatting>
  <conditionalFormatting sqref="I461">
    <cfRule type="cellIs" rank="0" priority="1822" equalAverage="0" operator="greaterThan" aboveAverage="0" dxfId="7" text="" percent="0" bottom="0">
      <formula>0</formula>
    </cfRule>
  </conditionalFormatting>
  <conditionalFormatting sqref="K461">
    <cfRule type="cellIs" rank="0" priority="1823" equalAverage="0" operator="greaterThan" aboveAverage="0" dxfId="7" text="" percent="0" bottom="0">
      <formula>0</formula>
    </cfRule>
  </conditionalFormatting>
  <conditionalFormatting sqref="N461">
    <cfRule type="cellIs" rank="0" priority="1824" equalAverage="0" operator="greaterThan" aboveAverage="0" dxfId="7" text="" percent="0" bottom="0">
      <formula>0</formula>
    </cfRule>
    <cfRule type="cellIs" rank="0" priority="1825" equalAverage="0" operator="lessThan" aboveAverage="0" dxfId="8" text="" percent="0" bottom="0">
      <formula>0</formula>
    </cfRule>
  </conditionalFormatting>
  <conditionalFormatting sqref="I462">
    <cfRule type="cellIs" rank="0" priority="1826" equalAverage="0" operator="greaterThan" aboveAverage="0" dxfId="7" text="" percent="0" bottom="0">
      <formula>0</formula>
    </cfRule>
  </conditionalFormatting>
  <conditionalFormatting sqref="K462">
    <cfRule type="cellIs" rank="0" priority="1827" equalAverage="0" operator="greaterThan" aboveAverage="0" dxfId="7" text="" percent="0" bottom="0">
      <formula>0</formula>
    </cfRule>
  </conditionalFormatting>
  <conditionalFormatting sqref="N462">
    <cfRule type="cellIs" rank="0" priority="1828" equalAverage="0" operator="greaterThan" aboveAverage="0" dxfId="7" text="" percent="0" bottom="0">
      <formula>0</formula>
    </cfRule>
    <cfRule type="cellIs" rank="0" priority="1829" equalAverage="0" operator="lessThan" aboveAverage="0" dxfId="8" text="" percent="0" bottom="0">
      <formula>0</formula>
    </cfRule>
  </conditionalFormatting>
  <conditionalFormatting sqref="I463">
    <cfRule type="cellIs" rank="0" priority="1830" equalAverage="0" operator="greaterThan" aboveAverage="0" dxfId="7" text="" percent="0" bottom="0">
      <formula>0</formula>
    </cfRule>
  </conditionalFormatting>
  <conditionalFormatting sqref="K463">
    <cfRule type="cellIs" rank="0" priority="1831" equalAverage="0" operator="greaterThan" aboveAverage="0" dxfId="7" text="" percent="0" bottom="0">
      <formula>0</formula>
    </cfRule>
  </conditionalFormatting>
  <conditionalFormatting sqref="N463">
    <cfRule type="cellIs" rank="0" priority="1832" equalAverage="0" operator="greaterThan" aboveAverage="0" dxfId="7" text="" percent="0" bottom="0">
      <formula>0</formula>
    </cfRule>
    <cfRule type="cellIs" rank="0" priority="1833" equalAverage="0" operator="lessThan" aboveAverage="0" dxfId="8" text="" percent="0" bottom="0">
      <formula>0</formula>
    </cfRule>
  </conditionalFormatting>
  <conditionalFormatting sqref="I464">
    <cfRule type="cellIs" rank="0" priority="1834" equalAverage="0" operator="greaterThan" aboveAverage="0" dxfId="7" text="" percent="0" bottom="0">
      <formula>0</formula>
    </cfRule>
  </conditionalFormatting>
  <conditionalFormatting sqref="K464">
    <cfRule type="cellIs" rank="0" priority="1835" equalAverage="0" operator="greaterThan" aboveAverage="0" dxfId="7" text="" percent="0" bottom="0">
      <formula>0</formula>
    </cfRule>
  </conditionalFormatting>
  <conditionalFormatting sqref="N464">
    <cfRule type="cellIs" rank="0" priority="1836" equalAverage="0" operator="greaterThan" aboveAverage="0" dxfId="7" text="" percent="0" bottom="0">
      <formula>0</formula>
    </cfRule>
    <cfRule type="cellIs" rank="0" priority="1837" equalAverage="0" operator="lessThan" aboveAverage="0" dxfId="8" text="" percent="0" bottom="0">
      <formula>0</formula>
    </cfRule>
  </conditionalFormatting>
  <conditionalFormatting sqref="I465">
    <cfRule type="cellIs" rank="0" priority="1838" equalAverage="0" operator="greaterThan" aboveAverage="0" dxfId="7" text="" percent="0" bottom="0">
      <formula>0</formula>
    </cfRule>
  </conditionalFormatting>
  <conditionalFormatting sqref="K465">
    <cfRule type="cellIs" rank="0" priority="1839" equalAverage="0" operator="greaterThan" aboveAverage="0" dxfId="7" text="" percent="0" bottom="0">
      <formula>0</formula>
    </cfRule>
  </conditionalFormatting>
  <conditionalFormatting sqref="N465">
    <cfRule type="cellIs" rank="0" priority="1840" equalAverage="0" operator="greaterThan" aboveAverage="0" dxfId="7" text="" percent="0" bottom="0">
      <formula>0</formula>
    </cfRule>
    <cfRule type="cellIs" rank="0" priority="1841" equalAverage="0" operator="lessThan" aboveAverage="0" dxfId="8" text="" percent="0" bottom="0">
      <formula>0</formula>
    </cfRule>
  </conditionalFormatting>
  <conditionalFormatting sqref="I466">
    <cfRule type="cellIs" rank="0" priority="1842" equalAverage="0" operator="greaterThan" aboveAverage="0" dxfId="7" text="" percent="0" bottom="0">
      <formula>0</formula>
    </cfRule>
  </conditionalFormatting>
  <conditionalFormatting sqref="K466">
    <cfRule type="cellIs" rank="0" priority="1843" equalAverage="0" operator="greaterThan" aboveAverage="0" dxfId="7" text="" percent="0" bottom="0">
      <formula>0</formula>
    </cfRule>
  </conditionalFormatting>
  <conditionalFormatting sqref="N466">
    <cfRule type="cellIs" rank="0" priority="1844" equalAverage="0" operator="greaterThan" aboveAverage="0" dxfId="7" text="" percent="0" bottom="0">
      <formula>0</formula>
    </cfRule>
    <cfRule type="cellIs" rank="0" priority="1845" equalAverage="0" operator="lessThan" aboveAverage="0" dxfId="8" text="" percent="0" bottom="0">
      <formula>0</formula>
    </cfRule>
  </conditionalFormatting>
  <conditionalFormatting sqref="I467">
    <cfRule type="cellIs" rank="0" priority="1846" equalAverage="0" operator="greaterThan" aboveAverage="0" dxfId="7" text="" percent="0" bottom="0">
      <formula>0</formula>
    </cfRule>
  </conditionalFormatting>
  <conditionalFormatting sqref="K467">
    <cfRule type="cellIs" rank="0" priority="1847" equalAverage="0" operator="greaterThan" aboveAverage="0" dxfId="7" text="" percent="0" bottom="0">
      <formula>0</formula>
    </cfRule>
  </conditionalFormatting>
  <conditionalFormatting sqref="N467">
    <cfRule type="cellIs" rank="0" priority="1848" equalAverage="0" operator="greaterThan" aboveAverage="0" dxfId="7" text="" percent="0" bottom="0">
      <formula>0</formula>
    </cfRule>
    <cfRule type="cellIs" rank="0" priority="1849" equalAverage="0" operator="lessThan" aboveAverage="0" dxfId="8" text="" percent="0" bottom="0">
      <formula>0</formula>
    </cfRule>
  </conditionalFormatting>
  <conditionalFormatting sqref="I468">
    <cfRule type="cellIs" rank="0" priority="1850" equalAverage="0" operator="greaterThan" aboveAverage="0" dxfId="7" text="" percent="0" bottom="0">
      <formula>0</formula>
    </cfRule>
  </conditionalFormatting>
  <conditionalFormatting sqref="K468">
    <cfRule type="cellIs" rank="0" priority="1851" equalAverage="0" operator="greaterThan" aboveAverage="0" dxfId="7" text="" percent="0" bottom="0">
      <formula>0</formula>
    </cfRule>
  </conditionalFormatting>
  <conditionalFormatting sqref="N468">
    <cfRule type="cellIs" rank="0" priority="1852" equalAverage="0" operator="greaterThan" aboveAverage="0" dxfId="7" text="" percent="0" bottom="0">
      <formula>0</formula>
    </cfRule>
    <cfRule type="cellIs" rank="0" priority="1853" equalAverage="0" operator="lessThan" aboveAverage="0" dxfId="8" text="" percent="0" bottom="0">
      <formula>0</formula>
    </cfRule>
  </conditionalFormatting>
  <conditionalFormatting sqref="I469">
    <cfRule type="cellIs" rank="0" priority="1854" equalAverage="0" operator="greaterThan" aboveAverage="0" dxfId="7" text="" percent="0" bottom="0">
      <formula>0</formula>
    </cfRule>
  </conditionalFormatting>
  <conditionalFormatting sqref="K469">
    <cfRule type="cellIs" rank="0" priority="1855" equalAverage="0" operator="greaterThan" aboveAverage="0" dxfId="7" text="" percent="0" bottom="0">
      <formula>0</formula>
    </cfRule>
  </conditionalFormatting>
  <conditionalFormatting sqref="N469">
    <cfRule type="cellIs" rank="0" priority="1856" equalAverage="0" operator="greaterThan" aboveAverage="0" dxfId="7" text="" percent="0" bottom="0">
      <formula>0</formula>
    </cfRule>
    <cfRule type="cellIs" rank="0" priority="1857" equalAverage="0" operator="lessThan" aboveAverage="0" dxfId="8" text="" percent="0" bottom="0">
      <formula>0</formula>
    </cfRule>
  </conditionalFormatting>
  <conditionalFormatting sqref="I470">
    <cfRule type="cellIs" rank="0" priority="1858" equalAverage="0" operator="greaterThan" aboveAverage="0" dxfId="7" text="" percent="0" bottom="0">
      <formula>0</formula>
    </cfRule>
  </conditionalFormatting>
  <conditionalFormatting sqref="K470">
    <cfRule type="cellIs" rank="0" priority="1859" equalAverage="0" operator="greaterThan" aboveAverage="0" dxfId="7" text="" percent="0" bottom="0">
      <formula>0</formula>
    </cfRule>
  </conditionalFormatting>
  <conditionalFormatting sqref="N470">
    <cfRule type="cellIs" rank="0" priority="1860" equalAverage="0" operator="greaterThan" aboveAverage="0" dxfId="7" text="" percent="0" bottom="0">
      <formula>0</formula>
    </cfRule>
    <cfRule type="cellIs" rank="0" priority="1861" equalAverage="0" operator="lessThan" aboveAverage="0" dxfId="8" text="" percent="0" bottom="0">
      <formula>0</formula>
    </cfRule>
  </conditionalFormatting>
  <conditionalFormatting sqref="I471">
    <cfRule type="cellIs" rank="0" priority="1862" equalAverage="0" operator="greaterThan" aboveAverage="0" dxfId="7" text="" percent="0" bottom="0">
      <formula>0</formula>
    </cfRule>
  </conditionalFormatting>
  <conditionalFormatting sqref="K471">
    <cfRule type="cellIs" rank="0" priority="1863" equalAverage="0" operator="greaterThan" aboveAverage="0" dxfId="7" text="" percent="0" bottom="0">
      <formula>0</formula>
    </cfRule>
  </conditionalFormatting>
  <conditionalFormatting sqref="N471">
    <cfRule type="cellIs" rank="0" priority="1864" equalAverage="0" operator="greaterThan" aboveAverage="0" dxfId="7" text="" percent="0" bottom="0">
      <formula>0</formula>
    </cfRule>
    <cfRule type="cellIs" rank="0" priority="1865" equalAverage="0" operator="lessThan" aboveAverage="0" dxfId="8" text="" percent="0" bottom="0">
      <formula>0</formula>
    </cfRule>
  </conditionalFormatting>
  <conditionalFormatting sqref="I472">
    <cfRule type="cellIs" rank="0" priority="1866" equalAverage="0" operator="greaterThan" aboveAverage="0" dxfId="7" text="" percent="0" bottom="0">
      <formula>0</formula>
    </cfRule>
  </conditionalFormatting>
  <conditionalFormatting sqref="K472">
    <cfRule type="cellIs" rank="0" priority="1867" equalAverage="0" operator="greaterThan" aboveAverage="0" dxfId="7" text="" percent="0" bottom="0">
      <formula>0</formula>
    </cfRule>
  </conditionalFormatting>
  <conditionalFormatting sqref="N472">
    <cfRule type="cellIs" rank="0" priority="1868" equalAverage="0" operator="greaterThan" aboveAverage="0" dxfId="7" text="" percent="0" bottom="0">
      <formula>0</formula>
    </cfRule>
    <cfRule type="cellIs" rank="0" priority="1869" equalAverage="0" operator="lessThan" aboveAverage="0" dxfId="8" text="" percent="0" bottom="0">
      <formula>0</formula>
    </cfRule>
  </conditionalFormatting>
  <conditionalFormatting sqref="I473">
    <cfRule type="cellIs" rank="0" priority="1870" equalAverage="0" operator="greaterThan" aboveAverage="0" dxfId="7" text="" percent="0" bottom="0">
      <formula>0</formula>
    </cfRule>
  </conditionalFormatting>
  <conditionalFormatting sqref="K473">
    <cfRule type="cellIs" rank="0" priority="1871" equalAverage="0" operator="greaterThan" aboveAverage="0" dxfId="7" text="" percent="0" bottom="0">
      <formula>0</formula>
    </cfRule>
  </conditionalFormatting>
  <conditionalFormatting sqref="N473">
    <cfRule type="cellIs" rank="0" priority="1872" equalAverage="0" operator="greaterThan" aboveAverage="0" dxfId="7" text="" percent="0" bottom="0">
      <formula>0</formula>
    </cfRule>
    <cfRule type="cellIs" rank="0" priority="1873" equalAverage="0" operator="lessThan" aboveAverage="0" dxfId="8" text="" percent="0" bottom="0">
      <formula>0</formula>
    </cfRule>
  </conditionalFormatting>
  <conditionalFormatting sqref="I474">
    <cfRule type="cellIs" rank="0" priority="1874" equalAverage="0" operator="greaterThan" aboveAverage="0" dxfId="7" text="" percent="0" bottom="0">
      <formula>0</formula>
    </cfRule>
  </conditionalFormatting>
  <conditionalFormatting sqref="K474">
    <cfRule type="cellIs" rank="0" priority="1875" equalAverage="0" operator="greaterThan" aboveAverage="0" dxfId="7" text="" percent="0" bottom="0">
      <formula>0</formula>
    </cfRule>
  </conditionalFormatting>
  <conditionalFormatting sqref="N474">
    <cfRule type="cellIs" rank="0" priority="1876" equalAverage="0" operator="greaterThan" aboveAverage="0" dxfId="7" text="" percent="0" bottom="0">
      <formula>0</formula>
    </cfRule>
    <cfRule type="cellIs" rank="0" priority="1877" equalAverage="0" operator="lessThan" aboveAverage="0" dxfId="8" text="" percent="0" bottom="0">
      <formula>0</formula>
    </cfRule>
  </conditionalFormatting>
  <conditionalFormatting sqref="I475">
    <cfRule type="cellIs" rank="0" priority="1878" equalAverage="0" operator="greaterThan" aboveAverage="0" dxfId="7" text="" percent="0" bottom="0">
      <formula>0</formula>
    </cfRule>
  </conditionalFormatting>
  <conditionalFormatting sqref="K475">
    <cfRule type="cellIs" rank="0" priority="1879" equalAverage="0" operator="greaterThan" aboveAverage="0" dxfId="7" text="" percent="0" bottom="0">
      <formula>0</formula>
    </cfRule>
  </conditionalFormatting>
  <conditionalFormatting sqref="N475">
    <cfRule type="cellIs" rank="0" priority="1880" equalAverage="0" operator="greaterThan" aboveAverage="0" dxfId="7" text="" percent="0" bottom="0">
      <formula>0</formula>
    </cfRule>
    <cfRule type="cellIs" rank="0" priority="1881" equalAverage="0" operator="lessThan" aboveAverage="0" dxfId="8" text="" percent="0" bottom="0">
      <formula>0</formula>
    </cfRule>
  </conditionalFormatting>
  <conditionalFormatting sqref="I476">
    <cfRule type="cellIs" rank="0" priority="1882" equalAverage="0" operator="greaterThan" aboveAverage="0" dxfId="7" text="" percent="0" bottom="0">
      <formula>0</formula>
    </cfRule>
  </conditionalFormatting>
  <conditionalFormatting sqref="K476">
    <cfRule type="cellIs" rank="0" priority="1883" equalAverage="0" operator="greaterThan" aboveAverage="0" dxfId="7" text="" percent="0" bottom="0">
      <formula>0</formula>
    </cfRule>
  </conditionalFormatting>
  <conditionalFormatting sqref="N476">
    <cfRule type="cellIs" rank="0" priority="1884" equalAverage="0" operator="greaterThan" aboveAverage="0" dxfId="7" text="" percent="0" bottom="0">
      <formula>0</formula>
    </cfRule>
    <cfRule type="cellIs" rank="0" priority="1885" equalAverage="0" operator="lessThan" aboveAverage="0" dxfId="8" text="" percent="0" bottom="0">
      <formula>0</formula>
    </cfRule>
  </conditionalFormatting>
  <conditionalFormatting sqref="I477">
    <cfRule type="cellIs" rank="0" priority="1886" equalAverage="0" operator="greaterThan" aboveAverage="0" dxfId="7" text="" percent="0" bottom="0">
      <formula>0</formula>
    </cfRule>
  </conditionalFormatting>
  <conditionalFormatting sqref="K477">
    <cfRule type="cellIs" rank="0" priority="1887" equalAverage="0" operator="greaterThan" aboveAverage="0" dxfId="7" text="" percent="0" bottom="0">
      <formula>0</formula>
    </cfRule>
  </conditionalFormatting>
  <conditionalFormatting sqref="N477">
    <cfRule type="cellIs" rank="0" priority="1888" equalAverage="0" operator="greaterThan" aboveAverage="0" dxfId="7" text="" percent="0" bottom="0">
      <formula>0</formula>
    </cfRule>
    <cfRule type="cellIs" rank="0" priority="1889" equalAverage="0" operator="lessThan" aboveAverage="0" dxfId="8" text="" percent="0" bottom="0">
      <formula>0</formula>
    </cfRule>
  </conditionalFormatting>
  <conditionalFormatting sqref="I478">
    <cfRule type="cellIs" rank="0" priority="1890" equalAverage="0" operator="greaterThan" aboveAverage="0" dxfId="7" text="" percent="0" bottom="0">
      <formula>0</formula>
    </cfRule>
  </conditionalFormatting>
  <conditionalFormatting sqref="K478">
    <cfRule type="cellIs" rank="0" priority="1891" equalAverage="0" operator="greaterThan" aboveAverage="0" dxfId="7" text="" percent="0" bottom="0">
      <formula>0</formula>
    </cfRule>
  </conditionalFormatting>
  <conditionalFormatting sqref="N478">
    <cfRule type="cellIs" rank="0" priority="1892" equalAverage="0" operator="greaterThan" aboveAverage="0" dxfId="7" text="" percent="0" bottom="0">
      <formula>0</formula>
    </cfRule>
    <cfRule type="cellIs" rank="0" priority="1893" equalAverage="0" operator="lessThan" aboveAverage="0" dxfId="8" text="" percent="0" bottom="0">
      <formula>0</formula>
    </cfRule>
  </conditionalFormatting>
  <conditionalFormatting sqref="I479">
    <cfRule type="cellIs" rank="0" priority="1894" equalAverage="0" operator="greaterThan" aboveAverage="0" dxfId="7" text="" percent="0" bottom="0">
      <formula>0</formula>
    </cfRule>
  </conditionalFormatting>
  <conditionalFormatting sqref="K479">
    <cfRule type="cellIs" rank="0" priority="1895" equalAverage="0" operator="greaterThan" aboveAverage="0" dxfId="7" text="" percent="0" bottom="0">
      <formula>0</formula>
    </cfRule>
  </conditionalFormatting>
  <conditionalFormatting sqref="N479">
    <cfRule type="cellIs" rank="0" priority="1896" equalAverage="0" operator="greaterThan" aboveAverage="0" dxfId="7" text="" percent="0" bottom="0">
      <formula>0</formula>
    </cfRule>
    <cfRule type="cellIs" rank="0" priority="1897" equalAverage="0" operator="lessThan" aboveAverage="0" dxfId="8" text="" percent="0" bottom="0">
      <formula>0</formula>
    </cfRule>
  </conditionalFormatting>
  <conditionalFormatting sqref="I480">
    <cfRule type="cellIs" rank="0" priority="1898" equalAverage="0" operator="greaterThan" aboveAverage="0" dxfId="7" text="" percent="0" bottom="0">
      <formula>0</formula>
    </cfRule>
  </conditionalFormatting>
  <conditionalFormatting sqref="K480">
    <cfRule type="cellIs" rank="0" priority="1899" equalAverage="0" operator="greaterThan" aboveAverage="0" dxfId="7" text="" percent="0" bottom="0">
      <formula>0</formula>
    </cfRule>
  </conditionalFormatting>
  <conditionalFormatting sqref="N480">
    <cfRule type="cellIs" rank="0" priority="1900" equalAverage="0" operator="greaterThan" aboveAverage="0" dxfId="7" text="" percent="0" bottom="0">
      <formula>0</formula>
    </cfRule>
    <cfRule type="cellIs" rank="0" priority="1901" equalAverage="0" operator="lessThan" aboveAverage="0" dxfId="8" text="" percent="0" bottom="0">
      <formula>0</formula>
    </cfRule>
  </conditionalFormatting>
  <conditionalFormatting sqref="I481">
    <cfRule type="cellIs" rank="0" priority="1902" equalAverage="0" operator="greaterThan" aboveAverage="0" dxfId="7" text="" percent="0" bottom="0">
      <formula>0</formula>
    </cfRule>
  </conditionalFormatting>
  <conditionalFormatting sqref="K481">
    <cfRule type="cellIs" rank="0" priority="1903" equalAverage="0" operator="greaterThan" aboveAverage="0" dxfId="7" text="" percent="0" bottom="0">
      <formula>0</formula>
    </cfRule>
  </conditionalFormatting>
  <conditionalFormatting sqref="N481">
    <cfRule type="cellIs" rank="0" priority="1904" equalAverage="0" operator="greaterThan" aboveAverage="0" dxfId="7" text="" percent="0" bottom="0">
      <formula>0</formula>
    </cfRule>
    <cfRule type="cellIs" rank="0" priority="1905" equalAverage="0" operator="lessThan" aboveAverage="0" dxfId="8" text="" percent="0" bottom="0">
      <formula>0</formula>
    </cfRule>
  </conditionalFormatting>
  <conditionalFormatting sqref="I482">
    <cfRule type="cellIs" rank="0" priority="1906" equalAverage="0" operator="greaterThan" aboveAverage="0" dxfId="7" text="" percent="0" bottom="0">
      <formula>0</formula>
    </cfRule>
  </conditionalFormatting>
  <conditionalFormatting sqref="K482">
    <cfRule type="cellIs" rank="0" priority="1907" equalAverage="0" operator="greaterThan" aboveAverage="0" dxfId="7" text="" percent="0" bottom="0">
      <formula>0</formula>
    </cfRule>
  </conditionalFormatting>
  <conditionalFormatting sqref="N482">
    <cfRule type="cellIs" rank="0" priority="1908" equalAverage="0" operator="greaterThan" aboveAverage="0" dxfId="7" text="" percent="0" bottom="0">
      <formula>0</formula>
    </cfRule>
    <cfRule type="cellIs" rank="0" priority="1909" equalAverage="0" operator="lessThan" aboveAverage="0" dxfId="8" text="" percent="0" bottom="0">
      <formula>0</formula>
    </cfRule>
  </conditionalFormatting>
  <conditionalFormatting sqref="I483">
    <cfRule type="cellIs" rank="0" priority="1910" equalAverage="0" operator="greaterThan" aboveAverage="0" dxfId="7" text="" percent="0" bottom="0">
      <formula>0</formula>
    </cfRule>
  </conditionalFormatting>
  <conditionalFormatting sqref="K483">
    <cfRule type="cellIs" rank="0" priority="1911" equalAverage="0" operator="greaterThan" aboveAverage="0" dxfId="7" text="" percent="0" bottom="0">
      <formula>0</formula>
    </cfRule>
  </conditionalFormatting>
  <conditionalFormatting sqref="N483">
    <cfRule type="cellIs" rank="0" priority="1912" equalAverage="0" operator="greaterThan" aboveAverage="0" dxfId="7" text="" percent="0" bottom="0">
      <formula>0</formula>
    </cfRule>
    <cfRule type="cellIs" rank="0" priority="1913" equalAverage="0" operator="lessThan" aboveAverage="0" dxfId="8" text="" percent="0" bottom="0">
      <formula>0</formula>
    </cfRule>
  </conditionalFormatting>
  <conditionalFormatting sqref="I484">
    <cfRule type="cellIs" rank="0" priority="1914" equalAverage="0" operator="greaterThan" aboveAverage="0" dxfId="7" text="" percent="0" bottom="0">
      <formula>0</formula>
    </cfRule>
  </conditionalFormatting>
  <conditionalFormatting sqref="K484">
    <cfRule type="cellIs" rank="0" priority="1915" equalAverage="0" operator="greaterThan" aboveAverage="0" dxfId="7" text="" percent="0" bottom="0">
      <formula>0</formula>
    </cfRule>
  </conditionalFormatting>
  <conditionalFormatting sqref="N484">
    <cfRule type="cellIs" rank="0" priority="1916" equalAverage="0" operator="greaterThan" aboveAverage="0" dxfId="7" text="" percent="0" bottom="0">
      <formula>0</formula>
    </cfRule>
    <cfRule type="cellIs" rank="0" priority="1917" equalAverage="0" operator="lessThan" aboveAverage="0" dxfId="8" text="" percent="0" bottom="0">
      <formula>0</formula>
    </cfRule>
  </conditionalFormatting>
  <conditionalFormatting sqref="I485">
    <cfRule type="cellIs" rank="0" priority="1918" equalAverage="0" operator="greaterThan" aboveAverage="0" dxfId="7" text="" percent="0" bottom="0">
      <formula>0</formula>
    </cfRule>
  </conditionalFormatting>
  <conditionalFormatting sqref="K485">
    <cfRule type="cellIs" rank="0" priority="1919" equalAverage="0" operator="greaterThan" aboveAverage="0" dxfId="7" text="" percent="0" bottom="0">
      <formula>0</formula>
    </cfRule>
  </conditionalFormatting>
  <conditionalFormatting sqref="N485">
    <cfRule type="cellIs" rank="0" priority="1920" equalAverage="0" operator="greaterThan" aboveAverage="0" dxfId="7" text="" percent="0" bottom="0">
      <formula>0</formula>
    </cfRule>
    <cfRule type="cellIs" rank="0" priority="1921" equalAverage="0" operator="lessThan" aboveAverage="0" dxfId="8" text="" percent="0" bottom="0">
      <formula>0</formula>
    </cfRule>
  </conditionalFormatting>
  <conditionalFormatting sqref="I486">
    <cfRule type="cellIs" rank="0" priority="1922" equalAverage="0" operator="greaterThan" aboveAverage="0" dxfId="7" text="" percent="0" bottom="0">
      <formula>0</formula>
    </cfRule>
  </conditionalFormatting>
  <conditionalFormatting sqref="K486">
    <cfRule type="cellIs" rank="0" priority="1923" equalAverage="0" operator="greaterThan" aboveAverage="0" dxfId="7" text="" percent="0" bottom="0">
      <formula>0</formula>
    </cfRule>
  </conditionalFormatting>
  <conditionalFormatting sqref="N486">
    <cfRule type="cellIs" rank="0" priority="1924" equalAverage="0" operator="greaterThan" aboveAverage="0" dxfId="7" text="" percent="0" bottom="0">
      <formula>0</formula>
    </cfRule>
    <cfRule type="cellIs" rank="0" priority="1925" equalAverage="0" operator="lessThan" aboveAverage="0" dxfId="8" text="" percent="0" bottom="0">
      <formula>0</formula>
    </cfRule>
  </conditionalFormatting>
  <conditionalFormatting sqref="I487">
    <cfRule type="cellIs" rank="0" priority="1926" equalAverage="0" operator="greaterThan" aboveAverage="0" dxfId="7" text="" percent="0" bottom="0">
      <formula>0</formula>
    </cfRule>
  </conditionalFormatting>
  <conditionalFormatting sqref="K487">
    <cfRule type="cellIs" rank="0" priority="1927" equalAverage="0" operator="greaterThan" aboveAverage="0" dxfId="7" text="" percent="0" bottom="0">
      <formula>0</formula>
    </cfRule>
  </conditionalFormatting>
  <conditionalFormatting sqref="N487">
    <cfRule type="cellIs" rank="0" priority="1928" equalAverage="0" operator="greaterThan" aboveAverage="0" dxfId="7" text="" percent="0" bottom="0">
      <formula>0</formula>
    </cfRule>
    <cfRule type="cellIs" rank="0" priority="1929" equalAverage="0" operator="lessThan" aboveAverage="0" dxfId="8" text="" percent="0" bottom="0">
      <formula>0</formula>
    </cfRule>
  </conditionalFormatting>
  <conditionalFormatting sqref="I488">
    <cfRule type="cellIs" rank="0" priority="1930" equalAverage="0" operator="greaterThan" aboveAverage="0" dxfId="7" text="" percent="0" bottom="0">
      <formula>0</formula>
    </cfRule>
  </conditionalFormatting>
  <conditionalFormatting sqref="K488">
    <cfRule type="cellIs" rank="0" priority="1931" equalAverage="0" operator="greaterThan" aboveAverage="0" dxfId="7" text="" percent="0" bottom="0">
      <formula>0</formula>
    </cfRule>
  </conditionalFormatting>
  <conditionalFormatting sqref="N488">
    <cfRule type="cellIs" rank="0" priority="1932" equalAverage="0" operator="greaterThan" aboveAverage="0" dxfId="7" text="" percent="0" bottom="0">
      <formula>0</formula>
    </cfRule>
    <cfRule type="cellIs" rank="0" priority="1933" equalAverage="0" operator="lessThan" aboveAverage="0" dxfId="8" text="" percent="0" bottom="0">
      <formula>0</formula>
    </cfRule>
  </conditionalFormatting>
  <conditionalFormatting sqref="I489">
    <cfRule type="cellIs" rank="0" priority="1934" equalAverage="0" operator="greaterThan" aboveAverage="0" dxfId="7" text="" percent="0" bottom="0">
      <formula>0</formula>
    </cfRule>
  </conditionalFormatting>
  <conditionalFormatting sqref="K489">
    <cfRule type="cellIs" rank="0" priority="1935" equalAverage="0" operator="greaterThan" aboveAverage="0" dxfId="7" text="" percent="0" bottom="0">
      <formula>0</formula>
    </cfRule>
  </conditionalFormatting>
  <conditionalFormatting sqref="N489">
    <cfRule type="cellIs" rank="0" priority="1936" equalAverage="0" operator="greaterThan" aboveAverage="0" dxfId="7" text="" percent="0" bottom="0">
      <formula>0</formula>
    </cfRule>
    <cfRule type="cellIs" rank="0" priority="1937" equalAverage="0" operator="lessThan" aboveAverage="0" dxfId="8" text="" percent="0" bottom="0">
      <formula>0</formula>
    </cfRule>
  </conditionalFormatting>
  <conditionalFormatting sqref="I490">
    <cfRule type="cellIs" rank="0" priority="1938" equalAverage="0" operator="greaterThan" aboveAverage="0" dxfId="7" text="" percent="0" bottom="0">
      <formula>0</formula>
    </cfRule>
  </conditionalFormatting>
  <conditionalFormatting sqref="K490">
    <cfRule type="cellIs" rank="0" priority="1939" equalAverage="0" operator="greaterThan" aboveAverage="0" dxfId="7" text="" percent="0" bottom="0">
      <formula>0</formula>
    </cfRule>
  </conditionalFormatting>
  <conditionalFormatting sqref="N490">
    <cfRule type="cellIs" rank="0" priority="1940" equalAverage="0" operator="greaterThan" aboveAverage="0" dxfId="7" text="" percent="0" bottom="0">
      <formula>0</formula>
    </cfRule>
    <cfRule type="cellIs" rank="0" priority="1941" equalAverage="0" operator="lessThan" aboveAverage="0" dxfId="8" text="" percent="0" bottom="0">
      <formula>0</formula>
    </cfRule>
  </conditionalFormatting>
  <conditionalFormatting sqref="I491">
    <cfRule type="cellIs" rank="0" priority="1942" equalAverage="0" operator="greaterThan" aboveAverage="0" dxfId="7" text="" percent="0" bottom="0">
      <formula>0</formula>
    </cfRule>
  </conditionalFormatting>
  <conditionalFormatting sqref="K491">
    <cfRule type="cellIs" rank="0" priority="1943" equalAverage="0" operator="greaterThan" aboveAverage="0" dxfId="7" text="" percent="0" bottom="0">
      <formula>0</formula>
    </cfRule>
  </conditionalFormatting>
  <conditionalFormatting sqref="N491">
    <cfRule type="cellIs" rank="0" priority="1944" equalAverage="0" operator="greaterThan" aboveAverage="0" dxfId="7" text="" percent="0" bottom="0">
      <formula>0</formula>
    </cfRule>
    <cfRule type="cellIs" rank="0" priority="1945" equalAverage="0" operator="lessThan" aboveAverage="0" dxfId="8" text="" percent="0" bottom="0">
      <formula>0</formula>
    </cfRule>
  </conditionalFormatting>
  <conditionalFormatting sqref="I492">
    <cfRule type="cellIs" rank="0" priority="1946" equalAverage="0" operator="greaterThan" aboveAverage="0" dxfId="7" text="" percent="0" bottom="0">
      <formula>0</formula>
    </cfRule>
  </conditionalFormatting>
  <conditionalFormatting sqref="K492">
    <cfRule type="cellIs" rank="0" priority="1947" equalAverage="0" operator="greaterThan" aboveAverage="0" dxfId="7" text="" percent="0" bottom="0">
      <formula>0</formula>
    </cfRule>
  </conditionalFormatting>
  <conditionalFormatting sqref="N492">
    <cfRule type="cellIs" rank="0" priority="1948" equalAverage="0" operator="greaterThan" aboveAverage="0" dxfId="7" text="" percent="0" bottom="0">
      <formula>0</formula>
    </cfRule>
    <cfRule type="cellIs" rank="0" priority="1949" equalAverage="0" operator="lessThan" aboveAverage="0" dxfId="8" text="" percent="0" bottom="0">
      <formula>0</formula>
    </cfRule>
  </conditionalFormatting>
  <conditionalFormatting sqref="I493">
    <cfRule type="cellIs" rank="0" priority="1950" equalAverage="0" operator="greaterThan" aboveAverage="0" dxfId="7" text="" percent="0" bottom="0">
      <formula>0</formula>
    </cfRule>
  </conditionalFormatting>
  <conditionalFormatting sqref="K493">
    <cfRule type="cellIs" rank="0" priority="1951" equalAverage="0" operator="greaterThan" aboveAverage="0" dxfId="7" text="" percent="0" bottom="0">
      <formula>0</formula>
    </cfRule>
  </conditionalFormatting>
  <conditionalFormatting sqref="N493">
    <cfRule type="cellIs" rank="0" priority="1952" equalAverage="0" operator="greaterThan" aboveAverage="0" dxfId="7" text="" percent="0" bottom="0">
      <formula>0</formula>
    </cfRule>
    <cfRule type="cellIs" rank="0" priority="1953" equalAverage="0" operator="lessThan" aboveAverage="0" dxfId="8" text="" percent="0" bottom="0">
      <formula>0</formula>
    </cfRule>
  </conditionalFormatting>
  <conditionalFormatting sqref="I494">
    <cfRule type="cellIs" rank="0" priority="1954" equalAverage="0" operator="greaterThan" aboveAverage="0" dxfId="7" text="" percent="0" bottom="0">
      <formula>0</formula>
    </cfRule>
  </conditionalFormatting>
  <conditionalFormatting sqref="K494">
    <cfRule type="cellIs" rank="0" priority="1955" equalAverage="0" operator="greaterThan" aboveAverage="0" dxfId="7" text="" percent="0" bottom="0">
      <formula>0</formula>
    </cfRule>
  </conditionalFormatting>
  <conditionalFormatting sqref="N494">
    <cfRule type="cellIs" rank="0" priority="1956" equalAverage="0" operator="greaterThan" aboveAverage="0" dxfId="7" text="" percent="0" bottom="0">
      <formula>0</formula>
    </cfRule>
    <cfRule type="cellIs" rank="0" priority="1957" equalAverage="0" operator="lessThan" aboveAverage="0" dxfId="8" text="" percent="0" bottom="0">
      <formula>0</formula>
    </cfRule>
  </conditionalFormatting>
  <conditionalFormatting sqref="I495">
    <cfRule type="cellIs" rank="0" priority="1958" equalAverage="0" operator="greaterThan" aboveAverage="0" dxfId="7" text="" percent="0" bottom="0">
      <formula>0</formula>
    </cfRule>
  </conditionalFormatting>
  <conditionalFormatting sqref="K495">
    <cfRule type="cellIs" rank="0" priority="1959" equalAverage="0" operator="greaterThan" aboveAverage="0" dxfId="7" text="" percent="0" bottom="0">
      <formula>0</formula>
    </cfRule>
  </conditionalFormatting>
  <conditionalFormatting sqref="N495">
    <cfRule type="cellIs" rank="0" priority="1960" equalAverage="0" operator="greaterThan" aboveAverage="0" dxfId="7" text="" percent="0" bottom="0">
      <formula>0</formula>
    </cfRule>
    <cfRule type="cellIs" rank="0" priority="1961" equalAverage="0" operator="lessThan" aboveAverage="0" dxfId="8" text="" percent="0" bottom="0">
      <formula>0</formula>
    </cfRule>
  </conditionalFormatting>
  <conditionalFormatting sqref="I496">
    <cfRule type="cellIs" rank="0" priority="1962" equalAverage="0" operator="greaterThan" aboveAverage="0" dxfId="7" text="" percent="0" bottom="0">
      <formula>0</formula>
    </cfRule>
  </conditionalFormatting>
  <conditionalFormatting sqref="K496">
    <cfRule type="cellIs" rank="0" priority="1963" equalAverage="0" operator="greaterThan" aboveAverage="0" dxfId="7" text="" percent="0" bottom="0">
      <formula>0</formula>
    </cfRule>
  </conditionalFormatting>
  <conditionalFormatting sqref="N496">
    <cfRule type="cellIs" rank="0" priority="1964" equalAverage="0" operator="greaterThan" aboveAverage="0" dxfId="7" text="" percent="0" bottom="0">
      <formula>0</formula>
    </cfRule>
    <cfRule type="cellIs" rank="0" priority="1965" equalAverage="0" operator="lessThan" aboveAverage="0" dxfId="8" text="" percent="0" bottom="0">
      <formula>0</formula>
    </cfRule>
  </conditionalFormatting>
  <conditionalFormatting sqref="I497">
    <cfRule type="cellIs" rank="0" priority="1966" equalAverage="0" operator="greaterThan" aboveAverage="0" dxfId="7" text="" percent="0" bottom="0">
      <formula>0</formula>
    </cfRule>
  </conditionalFormatting>
  <conditionalFormatting sqref="K497">
    <cfRule type="cellIs" rank="0" priority="1967" equalAverage="0" operator="greaterThan" aboveAverage="0" dxfId="7" text="" percent="0" bottom="0">
      <formula>0</formula>
    </cfRule>
  </conditionalFormatting>
  <conditionalFormatting sqref="N497">
    <cfRule type="cellIs" rank="0" priority="1968" equalAverage="0" operator="greaterThan" aboveAverage="0" dxfId="7" text="" percent="0" bottom="0">
      <formula>0</formula>
    </cfRule>
    <cfRule type="cellIs" rank="0" priority="1969" equalAverage="0" operator="lessThan" aboveAverage="0" dxfId="8" text="" percent="0" bottom="0">
      <formula>0</formula>
    </cfRule>
  </conditionalFormatting>
  <conditionalFormatting sqref="I498">
    <cfRule type="cellIs" rank="0" priority="1970" equalAverage="0" operator="greaterThan" aboveAverage="0" dxfId="7" text="" percent="0" bottom="0">
      <formula>0</formula>
    </cfRule>
  </conditionalFormatting>
  <conditionalFormatting sqref="K498">
    <cfRule type="cellIs" rank="0" priority="1971" equalAverage="0" operator="greaterThan" aboveAverage="0" dxfId="7" text="" percent="0" bottom="0">
      <formula>0</formula>
    </cfRule>
  </conditionalFormatting>
  <conditionalFormatting sqref="N498">
    <cfRule type="cellIs" rank="0" priority="1972" equalAverage="0" operator="greaterThan" aboveAverage="0" dxfId="7" text="" percent="0" bottom="0">
      <formula>0</formula>
    </cfRule>
    <cfRule type="cellIs" rank="0" priority="1973" equalAverage="0" operator="lessThan" aboveAverage="0" dxfId="8" text="" percent="0" bottom="0">
      <formula>0</formula>
    </cfRule>
  </conditionalFormatting>
  <conditionalFormatting sqref="I499">
    <cfRule type="cellIs" rank="0" priority="1974" equalAverage="0" operator="greaterThan" aboveAverage="0" dxfId="7" text="" percent="0" bottom="0">
      <formula>0</formula>
    </cfRule>
  </conditionalFormatting>
  <conditionalFormatting sqref="K499">
    <cfRule type="cellIs" rank="0" priority="1975" equalAverage="0" operator="greaterThan" aboveAverage="0" dxfId="7" text="" percent="0" bottom="0">
      <formula>0</formula>
    </cfRule>
  </conditionalFormatting>
  <conditionalFormatting sqref="N499">
    <cfRule type="cellIs" rank="0" priority="1976" equalAverage="0" operator="greaterThan" aboveAverage="0" dxfId="7" text="" percent="0" bottom="0">
      <formula>0</formula>
    </cfRule>
    <cfRule type="cellIs" rank="0" priority="1977" equalAverage="0" operator="lessThan" aboveAverage="0" dxfId="8" text="" percent="0" bottom="0">
      <formula>0</formula>
    </cfRule>
  </conditionalFormatting>
  <conditionalFormatting sqref="I500">
    <cfRule type="cellIs" rank="0" priority="1978" equalAverage="0" operator="greaterThan" aboveAverage="0" dxfId="7" text="" percent="0" bottom="0">
      <formula>0</formula>
    </cfRule>
  </conditionalFormatting>
  <conditionalFormatting sqref="K500">
    <cfRule type="cellIs" rank="0" priority="1979" equalAverage="0" operator="greaterThan" aboveAverage="0" dxfId="7" text="" percent="0" bottom="0">
      <formula>0</formula>
    </cfRule>
  </conditionalFormatting>
  <conditionalFormatting sqref="N500">
    <cfRule type="cellIs" rank="0" priority="1980" equalAverage="0" operator="greaterThan" aboveAverage="0" dxfId="7" text="" percent="0" bottom="0">
      <formula>0</formula>
    </cfRule>
    <cfRule type="cellIs" rank="0" priority="1981" equalAverage="0" operator="lessThan" aboveAverage="0" dxfId="8" text="" percent="0" bottom="0">
      <formula>0</formula>
    </cfRule>
  </conditionalFormatting>
  <conditionalFormatting sqref="I501">
    <cfRule type="cellIs" rank="0" priority="1982" equalAverage="0" operator="greaterThan" aboveAverage="0" dxfId="7" text="" percent="0" bottom="0">
      <formula>0</formula>
    </cfRule>
  </conditionalFormatting>
  <conditionalFormatting sqref="K501">
    <cfRule type="cellIs" rank="0" priority="1983" equalAverage="0" operator="greaterThan" aboveAverage="0" dxfId="7" text="" percent="0" bottom="0">
      <formula>0</formula>
    </cfRule>
  </conditionalFormatting>
  <conditionalFormatting sqref="N501">
    <cfRule type="cellIs" rank="0" priority="1984" equalAverage="0" operator="greaterThan" aboveAverage="0" dxfId="7" text="" percent="0" bottom="0">
      <formula>0</formula>
    </cfRule>
    <cfRule type="cellIs" rank="0" priority="1985" equalAverage="0" operator="lessThan" aboveAverage="0" dxfId="8" text="" percent="0" bottom="0">
      <formula>0</formula>
    </cfRule>
  </conditionalFormatting>
  <conditionalFormatting sqref="I502">
    <cfRule type="cellIs" rank="0" priority="1986" equalAverage="0" operator="greaterThan" aboveAverage="0" dxfId="7" text="" percent="0" bottom="0">
      <formula>0</formula>
    </cfRule>
  </conditionalFormatting>
  <conditionalFormatting sqref="K502">
    <cfRule type="cellIs" rank="0" priority="1987" equalAverage="0" operator="greaterThan" aboveAverage="0" dxfId="7" text="" percent="0" bottom="0">
      <formula>0</formula>
    </cfRule>
  </conditionalFormatting>
  <conditionalFormatting sqref="N502">
    <cfRule type="cellIs" rank="0" priority="1988" equalAverage="0" operator="greaterThan" aboveAverage="0" dxfId="7" text="" percent="0" bottom="0">
      <formula>0</formula>
    </cfRule>
    <cfRule type="cellIs" rank="0" priority="1989" equalAverage="0" operator="lessThan" aboveAverage="0" dxfId="8" text="" percent="0" bottom="0">
      <formula>0</formula>
    </cfRule>
  </conditionalFormatting>
  <conditionalFormatting sqref="I503">
    <cfRule type="cellIs" rank="0" priority="1990" equalAverage="0" operator="greaterThan" aboveAverage="0" dxfId="7" text="" percent="0" bottom="0">
      <formula>0</formula>
    </cfRule>
  </conditionalFormatting>
  <conditionalFormatting sqref="K503">
    <cfRule type="cellIs" rank="0" priority="1991" equalAverage="0" operator="greaterThan" aboveAverage="0" dxfId="7" text="" percent="0" bottom="0">
      <formula>0</formula>
    </cfRule>
  </conditionalFormatting>
  <conditionalFormatting sqref="N503">
    <cfRule type="cellIs" rank="0" priority="1992" equalAverage="0" operator="greaterThan" aboveAverage="0" dxfId="7" text="" percent="0" bottom="0">
      <formula>0</formula>
    </cfRule>
    <cfRule type="cellIs" rank="0" priority="1993" equalAverage="0" operator="lessThan" aboveAverage="0" dxfId="8" text="" percent="0" bottom="0">
      <formula>0</formula>
    </cfRule>
  </conditionalFormatting>
  <conditionalFormatting sqref="I504">
    <cfRule type="cellIs" rank="0" priority="1994" equalAverage="0" operator="greaterThan" aboveAverage="0" dxfId="7" text="" percent="0" bottom="0">
      <formula>0</formula>
    </cfRule>
  </conditionalFormatting>
  <conditionalFormatting sqref="K504">
    <cfRule type="cellIs" rank="0" priority="1995" equalAverage="0" operator="greaterThan" aboveAverage="0" dxfId="7" text="" percent="0" bottom="0">
      <formula>0</formula>
    </cfRule>
  </conditionalFormatting>
  <conditionalFormatting sqref="N504">
    <cfRule type="cellIs" rank="0" priority="1996" equalAverage="0" operator="greaterThan" aboveAverage="0" dxfId="7" text="" percent="0" bottom="0">
      <formula>0</formula>
    </cfRule>
    <cfRule type="cellIs" rank="0" priority="1997" equalAverage="0" operator="lessThan" aboveAverage="0" dxfId="8" text="" percent="0" bottom="0">
      <formula>0</formula>
    </cfRule>
  </conditionalFormatting>
  <conditionalFormatting sqref="I505">
    <cfRule type="cellIs" rank="0" priority="1998" equalAverage="0" operator="greaterThan" aboveAverage="0" dxfId="7" text="" percent="0" bottom="0">
      <formula>0</formula>
    </cfRule>
  </conditionalFormatting>
  <conditionalFormatting sqref="K505">
    <cfRule type="cellIs" rank="0" priority="1999" equalAverage="0" operator="greaterThan" aboveAverage="0" dxfId="7" text="" percent="0" bottom="0">
      <formula>0</formula>
    </cfRule>
  </conditionalFormatting>
  <conditionalFormatting sqref="N505">
    <cfRule type="cellIs" rank="0" priority="2000" equalAverage="0" operator="greaterThan" aboveAverage="0" dxfId="7" text="" percent="0" bottom="0">
      <formula>0</formula>
    </cfRule>
    <cfRule type="cellIs" rank="0" priority="2001" equalAverage="0" operator="lessThan" aboveAverage="0" dxfId="8" text="" percent="0" bottom="0">
      <formula>0</formula>
    </cfRule>
  </conditionalFormatting>
  <conditionalFormatting sqref="I506">
    <cfRule type="cellIs" rank="0" priority="2002" equalAverage="0" operator="greaterThan" aboveAverage="0" dxfId="7" text="" percent="0" bottom="0">
      <formula>0</formula>
    </cfRule>
  </conditionalFormatting>
  <conditionalFormatting sqref="K506">
    <cfRule type="cellIs" rank="0" priority="2003" equalAverage="0" operator="greaterThan" aboveAverage="0" dxfId="7" text="" percent="0" bottom="0">
      <formula>0</formula>
    </cfRule>
  </conditionalFormatting>
  <conditionalFormatting sqref="N506">
    <cfRule type="cellIs" rank="0" priority="2004" equalAverage="0" operator="greaterThan" aboveAverage="0" dxfId="7" text="" percent="0" bottom="0">
      <formula>0</formula>
    </cfRule>
    <cfRule type="cellIs" rank="0" priority="2005" equalAverage="0" operator="lessThan" aboveAverage="0" dxfId="8" text="" percent="0" bottom="0">
      <formula>0</formula>
    </cfRule>
  </conditionalFormatting>
  <conditionalFormatting sqref="I507">
    <cfRule type="cellIs" rank="0" priority="2006" equalAverage="0" operator="greaterThan" aboveAverage="0" dxfId="7" text="" percent="0" bottom="0">
      <formula>0</formula>
    </cfRule>
  </conditionalFormatting>
  <conditionalFormatting sqref="K507">
    <cfRule type="cellIs" rank="0" priority="2007" equalAverage="0" operator="greaterThan" aboveAverage="0" dxfId="7" text="" percent="0" bottom="0">
      <formula>0</formula>
    </cfRule>
  </conditionalFormatting>
  <conditionalFormatting sqref="N507">
    <cfRule type="cellIs" rank="0" priority="2008" equalAverage="0" operator="greaterThan" aboveAverage="0" dxfId="7" text="" percent="0" bottom="0">
      <formula>0</formula>
    </cfRule>
    <cfRule type="cellIs" rank="0" priority="2009" equalAverage="0" operator="lessThan" aboveAverage="0" dxfId="8" text="" percent="0" bottom="0">
      <formula>0</formula>
    </cfRule>
  </conditionalFormatting>
  <conditionalFormatting sqref="I508">
    <cfRule type="cellIs" rank="0" priority="2010" equalAverage="0" operator="greaterThan" aboveAverage="0" dxfId="7" text="" percent="0" bottom="0">
      <formula>0</formula>
    </cfRule>
  </conditionalFormatting>
  <conditionalFormatting sqref="K508">
    <cfRule type="cellIs" rank="0" priority="2011" equalAverage="0" operator="greaterThan" aboveAverage="0" dxfId="7" text="" percent="0" bottom="0">
      <formula>0</formula>
    </cfRule>
  </conditionalFormatting>
  <conditionalFormatting sqref="N508">
    <cfRule type="cellIs" rank="0" priority="2012" equalAverage="0" operator="greaterThan" aboveAverage="0" dxfId="7" text="" percent="0" bottom="0">
      <formula>0</formula>
    </cfRule>
    <cfRule type="cellIs" rank="0" priority="2013" equalAverage="0" operator="lessThan" aboveAverage="0" dxfId="8" text="" percent="0" bottom="0">
      <formula>0</formula>
    </cfRule>
  </conditionalFormatting>
  <conditionalFormatting sqref="I509">
    <cfRule type="cellIs" rank="0" priority="2014" equalAverage="0" operator="greaterThan" aboveAverage="0" dxfId="7" text="" percent="0" bottom="0">
      <formula>0</formula>
    </cfRule>
  </conditionalFormatting>
  <conditionalFormatting sqref="K509">
    <cfRule type="cellIs" rank="0" priority="2015" equalAverage="0" operator="greaterThan" aboveAverage="0" dxfId="7" text="" percent="0" bottom="0">
      <formula>0</formula>
    </cfRule>
  </conditionalFormatting>
  <conditionalFormatting sqref="N509">
    <cfRule type="cellIs" rank="0" priority="2016" equalAverage="0" operator="greaterThan" aboveAverage="0" dxfId="7" text="" percent="0" bottom="0">
      <formula>0</formula>
    </cfRule>
    <cfRule type="cellIs" rank="0" priority="2017" equalAverage="0" operator="lessThan" aboveAverage="0" dxfId="8" text="" percent="0" bottom="0">
      <formula>0</formula>
    </cfRule>
  </conditionalFormatting>
  <conditionalFormatting sqref="I510">
    <cfRule type="cellIs" rank="0" priority="2018" equalAverage="0" operator="greaterThan" aboveAverage="0" dxfId="7" text="" percent="0" bottom="0">
      <formula>0</formula>
    </cfRule>
  </conditionalFormatting>
  <conditionalFormatting sqref="K510">
    <cfRule type="cellIs" rank="0" priority="2019" equalAverage="0" operator="greaterThan" aboveAverage="0" dxfId="7" text="" percent="0" bottom="0">
      <formula>0</formula>
    </cfRule>
  </conditionalFormatting>
  <conditionalFormatting sqref="N510">
    <cfRule type="cellIs" rank="0" priority="2020" equalAverage="0" operator="greaterThan" aboveAverage="0" dxfId="7" text="" percent="0" bottom="0">
      <formula>0</formula>
    </cfRule>
    <cfRule type="cellIs" rank="0" priority="2021" equalAverage="0" operator="lessThan" aboveAverage="0" dxfId="8" text="" percent="0" bottom="0">
      <formula>0</formula>
    </cfRule>
  </conditionalFormatting>
  <conditionalFormatting sqref="I511">
    <cfRule type="cellIs" rank="0" priority="2022" equalAverage="0" operator="greaterThan" aboveAverage="0" dxfId="7" text="" percent="0" bottom="0">
      <formula>0</formula>
    </cfRule>
  </conditionalFormatting>
  <conditionalFormatting sqref="K511">
    <cfRule type="cellIs" rank="0" priority="2023" equalAverage="0" operator="greaterThan" aboveAverage="0" dxfId="7" text="" percent="0" bottom="0">
      <formula>0</formula>
    </cfRule>
  </conditionalFormatting>
  <conditionalFormatting sqref="N511">
    <cfRule type="cellIs" rank="0" priority="2024" equalAverage="0" operator="greaterThan" aboveAverage="0" dxfId="7" text="" percent="0" bottom="0">
      <formula>0</formula>
    </cfRule>
    <cfRule type="cellIs" rank="0" priority="2025" equalAverage="0" operator="lessThan" aboveAverage="0" dxfId="8" text="" percent="0" bottom="0">
      <formula>0</formula>
    </cfRule>
  </conditionalFormatting>
  <conditionalFormatting sqref="I512">
    <cfRule type="cellIs" rank="0" priority="2026" equalAverage="0" operator="greaterThan" aboveAverage="0" dxfId="7" text="" percent="0" bottom="0">
      <formula>0</formula>
    </cfRule>
  </conditionalFormatting>
  <conditionalFormatting sqref="K512">
    <cfRule type="cellIs" rank="0" priority="2027" equalAverage="0" operator="greaterThan" aboveAverage="0" dxfId="7" text="" percent="0" bottom="0">
      <formula>0</formula>
    </cfRule>
  </conditionalFormatting>
  <conditionalFormatting sqref="N512">
    <cfRule type="cellIs" rank="0" priority="2028" equalAverage="0" operator="greaterThan" aboveAverage="0" dxfId="7" text="" percent="0" bottom="0">
      <formula>0</formula>
    </cfRule>
    <cfRule type="cellIs" rank="0" priority="2029" equalAverage="0" operator="lessThan" aboveAverage="0" dxfId="8" text="" percent="0" bottom="0">
      <formula>0</formula>
    </cfRule>
  </conditionalFormatting>
  <conditionalFormatting sqref="I513">
    <cfRule type="cellIs" rank="0" priority="2030" equalAverage="0" operator="greaterThan" aboveAverage="0" dxfId="7" text="" percent="0" bottom="0">
      <formula>0</formula>
    </cfRule>
  </conditionalFormatting>
  <conditionalFormatting sqref="K513">
    <cfRule type="cellIs" rank="0" priority="2031" equalAverage="0" operator="greaterThan" aboveAverage="0" dxfId="7" text="" percent="0" bottom="0">
      <formula>0</formula>
    </cfRule>
  </conditionalFormatting>
  <conditionalFormatting sqref="N513">
    <cfRule type="cellIs" rank="0" priority="2032" equalAverage="0" operator="greaterThan" aboveAverage="0" dxfId="7" text="" percent="0" bottom="0">
      <formula>0</formula>
    </cfRule>
    <cfRule type="cellIs" rank="0" priority="2033" equalAverage="0" operator="lessThan" aboveAverage="0" dxfId="8" text="" percent="0" bottom="0">
      <formula>0</formula>
    </cfRule>
  </conditionalFormatting>
  <conditionalFormatting sqref="I514">
    <cfRule type="cellIs" rank="0" priority="2034" equalAverage="0" operator="greaterThan" aboveAverage="0" dxfId="7" text="" percent="0" bottom="0">
      <formula>0</formula>
    </cfRule>
  </conditionalFormatting>
  <conditionalFormatting sqref="K514">
    <cfRule type="cellIs" rank="0" priority="2035" equalAverage="0" operator="greaterThan" aboveAverage="0" dxfId="7" text="" percent="0" bottom="0">
      <formula>0</formula>
    </cfRule>
  </conditionalFormatting>
  <conditionalFormatting sqref="N514">
    <cfRule type="cellIs" rank="0" priority="2036" equalAverage="0" operator="greaterThan" aboveAverage="0" dxfId="7" text="" percent="0" bottom="0">
      <formula>0</formula>
    </cfRule>
    <cfRule type="cellIs" rank="0" priority="2037" equalAverage="0" operator="lessThan" aboveAverage="0" dxfId="8" text="" percent="0" bottom="0">
      <formula>0</formula>
    </cfRule>
  </conditionalFormatting>
  <conditionalFormatting sqref="I515">
    <cfRule type="cellIs" rank="0" priority="2038" equalAverage="0" operator="greaterThan" aboveAverage="0" dxfId="7" text="" percent="0" bottom="0">
      <formula>0</formula>
    </cfRule>
  </conditionalFormatting>
  <conditionalFormatting sqref="K515">
    <cfRule type="cellIs" rank="0" priority="2039" equalAverage="0" operator="greaterThan" aboveAverage="0" dxfId="7" text="" percent="0" bottom="0">
      <formula>0</formula>
    </cfRule>
  </conditionalFormatting>
  <conditionalFormatting sqref="N515">
    <cfRule type="cellIs" rank="0" priority="2040" equalAverage="0" operator="greaterThan" aboveAverage="0" dxfId="7" text="" percent="0" bottom="0">
      <formula>0</formula>
    </cfRule>
    <cfRule type="cellIs" rank="0" priority="2041" equalAverage="0" operator="lessThan" aboveAverage="0" dxfId="8" text="" percent="0" bottom="0">
      <formula>0</formula>
    </cfRule>
  </conditionalFormatting>
  <conditionalFormatting sqref="I516">
    <cfRule type="cellIs" rank="0" priority="2042" equalAverage="0" operator="greaterThan" aboveAverage="0" dxfId="7" text="" percent="0" bottom="0">
      <formula>0</formula>
    </cfRule>
  </conditionalFormatting>
  <conditionalFormatting sqref="K516">
    <cfRule type="cellIs" rank="0" priority="2043" equalAverage="0" operator="greaterThan" aboveAverage="0" dxfId="7" text="" percent="0" bottom="0">
      <formula>0</formula>
    </cfRule>
  </conditionalFormatting>
  <conditionalFormatting sqref="N516">
    <cfRule type="cellIs" rank="0" priority="2044" equalAverage="0" operator="greaterThan" aboveAverage="0" dxfId="7" text="" percent="0" bottom="0">
      <formula>0</formula>
    </cfRule>
    <cfRule type="cellIs" rank="0" priority="2045" equalAverage="0" operator="lessThan" aboveAverage="0" dxfId="8" text="" percent="0" bottom="0">
      <formula>0</formula>
    </cfRule>
  </conditionalFormatting>
  <conditionalFormatting sqref="I517">
    <cfRule type="cellIs" rank="0" priority="2046" equalAverage="0" operator="greaterThan" aboveAverage="0" dxfId="7" text="" percent="0" bottom="0">
      <formula>0</formula>
    </cfRule>
  </conditionalFormatting>
  <conditionalFormatting sqref="K517">
    <cfRule type="cellIs" rank="0" priority="2047" equalAverage="0" operator="greaterThan" aboveAverage="0" dxfId="7" text="" percent="0" bottom="0">
      <formula>0</formula>
    </cfRule>
  </conditionalFormatting>
  <conditionalFormatting sqref="N517">
    <cfRule type="cellIs" rank="0" priority="2048" equalAverage="0" operator="greaterThan" aboveAverage="0" dxfId="7" text="" percent="0" bottom="0">
      <formula>0</formula>
    </cfRule>
    <cfRule type="cellIs" rank="0" priority="2049" equalAverage="0" operator="lessThan" aboveAverage="0" dxfId="8" text="" percent="0" bottom="0">
      <formula>0</formula>
    </cfRule>
  </conditionalFormatting>
  <conditionalFormatting sqref="I518">
    <cfRule type="cellIs" rank="0" priority="2050" equalAverage="0" operator="greaterThan" aboveAverage="0" dxfId="7" text="" percent="0" bottom="0">
      <formula>0</formula>
    </cfRule>
  </conditionalFormatting>
  <conditionalFormatting sqref="K518">
    <cfRule type="cellIs" rank="0" priority="2051" equalAverage="0" operator="greaterThan" aboveAverage="0" dxfId="7" text="" percent="0" bottom="0">
      <formula>0</formula>
    </cfRule>
  </conditionalFormatting>
  <conditionalFormatting sqref="N518">
    <cfRule type="cellIs" rank="0" priority="2052" equalAverage="0" operator="greaterThan" aboveAverage="0" dxfId="7" text="" percent="0" bottom="0">
      <formula>0</formula>
    </cfRule>
    <cfRule type="cellIs" rank="0" priority="2053" equalAverage="0" operator="lessThan" aboveAverage="0" dxfId="8" text="" percent="0" bottom="0">
      <formula>0</formula>
    </cfRule>
  </conditionalFormatting>
  <conditionalFormatting sqref="I519">
    <cfRule type="cellIs" rank="0" priority="2054" equalAverage="0" operator="greaterThan" aboveAverage="0" dxfId="7" text="" percent="0" bottom="0">
      <formula>0</formula>
    </cfRule>
  </conditionalFormatting>
  <conditionalFormatting sqref="K519">
    <cfRule type="cellIs" rank="0" priority="2055" equalAverage="0" operator="greaterThan" aboveAverage="0" dxfId="7" text="" percent="0" bottom="0">
      <formula>0</formula>
    </cfRule>
  </conditionalFormatting>
  <conditionalFormatting sqref="N519">
    <cfRule type="cellIs" rank="0" priority="2056" equalAverage="0" operator="greaterThan" aboveAverage="0" dxfId="7" text="" percent="0" bottom="0">
      <formula>0</formula>
    </cfRule>
    <cfRule type="cellIs" rank="0" priority="2057" equalAverage="0" operator="lessThan" aboveAverage="0" dxfId="8" text="" percent="0" bottom="0">
      <formula>0</formula>
    </cfRule>
  </conditionalFormatting>
  <conditionalFormatting sqref="I520">
    <cfRule type="cellIs" rank="0" priority="2058" equalAverage="0" operator="greaterThan" aboveAverage="0" dxfId="7" text="" percent="0" bottom="0">
      <formula>0</formula>
    </cfRule>
  </conditionalFormatting>
  <conditionalFormatting sqref="K520">
    <cfRule type="cellIs" rank="0" priority="2059" equalAverage="0" operator="greaterThan" aboveAverage="0" dxfId="7" text="" percent="0" bottom="0">
      <formula>0</formula>
    </cfRule>
  </conditionalFormatting>
  <conditionalFormatting sqref="N520">
    <cfRule type="cellIs" rank="0" priority="2060" equalAverage="0" operator="greaterThan" aboveAverage="0" dxfId="7" text="" percent="0" bottom="0">
      <formula>0</formula>
    </cfRule>
    <cfRule type="cellIs" rank="0" priority="2061" equalAverage="0" operator="lessThan" aboveAverage="0" dxfId="8" text="" percent="0" bottom="0">
      <formula>0</formula>
    </cfRule>
  </conditionalFormatting>
  <conditionalFormatting sqref="I521">
    <cfRule type="cellIs" rank="0" priority="2062" equalAverage="0" operator="greaterThan" aboveAverage="0" dxfId="7" text="" percent="0" bottom="0">
      <formula>0</formula>
    </cfRule>
  </conditionalFormatting>
  <conditionalFormatting sqref="K521">
    <cfRule type="cellIs" rank="0" priority="2063" equalAverage="0" operator="greaterThan" aboveAverage="0" dxfId="7" text="" percent="0" bottom="0">
      <formula>0</formula>
    </cfRule>
  </conditionalFormatting>
  <conditionalFormatting sqref="N521">
    <cfRule type="cellIs" rank="0" priority="2064" equalAverage="0" operator="greaterThan" aboveAverage="0" dxfId="7" text="" percent="0" bottom="0">
      <formula>0</formula>
    </cfRule>
    <cfRule type="cellIs" rank="0" priority="2065" equalAverage="0" operator="lessThan" aboveAverage="0" dxfId="8" text="" percent="0" bottom="0">
      <formula>0</formula>
    </cfRule>
  </conditionalFormatting>
  <conditionalFormatting sqref="I522">
    <cfRule type="cellIs" rank="0" priority="2066" equalAverage="0" operator="greaterThan" aboveAverage="0" dxfId="7" text="" percent="0" bottom="0">
      <formula>0</formula>
    </cfRule>
  </conditionalFormatting>
  <conditionalFormatting sqref="K522">
    <cfRule type="cellIs" rank="0" priority="2067" equalAverage="0" operator="greaterThan" aboveAverage="0" dxfId="7" text="" percent="0" bottom="0">
      <formula>0</formula>
    </cfRule>
  </conditionalFormatting>
  <conditionalFormatting sqref="N522">
    <cfRule type="cellIs" rank="0" priority="2068" equalAverage="0" operator="greaterThan" aboveAverage="0" dxfId="7" text="" percent="0" bottom="0">
      <formula>0</formula>
    </cfRule>
    <cfRule type="cellIs" rank="0" priority="2069" equalAverage="0" operator="lessThan" aboveAverage="0" dxfId="8" text="" percent="0" bottom="0">
      <formula>0</formula>
    </cfRule>
  </conditionalFormatting>
  <conditionalFormatting sqref="I523">
    <cfRule type="cellIs" rank="0" priority="2070" equalAverage="0" operator="greaterThan" aboveAverage="0" dxfId="7" text="" percent="0" bottom="0">
      <formula>0</formula>
    </cfRule>
  </conditionalFormatting>
  <conditionalFormatting sqref="K523">
    <cfRule type="cellIs" rank="0" priority="2071" equalAverage="0" operator="greaterThan" aboveAverage="0" dxfId="7" text="" percent="0" bottom="0">
      <formula>0</formula>
    </cfRule>
  </conditionalFormatting>
  <conditionalFormatting sqref="N523">
    <cfRule type="cellIs" rank="0" priority="2072" equalAverage="0" operator="greaterThan" aboveAverage="0" dxfId="7" text="" percent="0" bottom="0">
      <formula>0</formula>
    </cfRule>
    <cfRule type="cellIs" rank="0" priority="2073" equalAverage="0" operator="lessThan" aboveAverage="0" dxfId="8" text="" percent="0" bottom="0">
      <formula>0</formula>
    </cfRule>
  </conditionalFormatting>
  <conditionalFormatting sqref="I524">
    <cfRule type="cellIs" rank="0" priority="2074" equalAverage="0" operator="greaterThan" aboveAverage="0" dxfId="7" text="" percent="0" bottom="0">
      <formula>0</formula>
    </cfRule>
  </conditionalFormatting>
  <conditionalFormatting sqref="K524">
    <cfRule type="cellIs" rank="0" priority="2075" equalAverage="0" operator="greaterThan" aboveAverage="0" dxfId="7" text="" percent="0" bottom="0">
      <formula>0</formula>
    </cfRule>
  </conditionalFormatting>
  <conditionalFormatting sqref="N524">
    <cfRule type="cellIs" rank="0" priority="2076" equalAverage="0" operator="greaterThan" aboveAverage="0" dxfId="7" text="" percent="0" bottom="0">
      <formula>0</formula>
    </cfRule>
    <cfRule type="cellIs" rank="0" priority="2077" equalAverage="0" operator="lessThan" aboveAverage="0" dxfId="8" text="" percent="0" bottom="0">
      <formula>0</formula>
    </cfRule>
  </conditionalFormatting>
  <conditionalFormatting sqref="I525">
    <cfRule type="cellIs" rank="0" priority="2078" equalAverage="0" operator="greaterThan" aboveAverage="0" dxfId="7" text="" percent="0" bottom="0">
      <formula>0</formula>
    </cfRule>
  </conditionalFormatting>
  <conditionalFormatting sqref="K525">
    <cfRule type="cellIs" rank="0" priority="2079" equalAverage="0" operator="greaterThan" aboveAverage="0" dxfId="7" text="" percent="0" bottom="0">
      <formula>0</formula>
    </cfRule>
  </conditionalFormatting>
  <conditionalFormatting sqref="N525">
    <cfRule type="cellIs" rank="0" priority="2080" equalAverage="0" operator="greaterThan" aboveAverage="0" dxfId="7" text="" percent="0" bottom="0">
      <formula>0</formula>
    </cfRule>
    <cfRule type="cellIs" rank="0" priority="2081" equalAverage="0" operator="lessThan" aboveAverage="0" dxfId="8" text="" percent="0" bottom="0">
      <formula>0</formula>
    </cfRule>
  </conditionalFormatting>
  <conditionalFormatting sqref="I526">
    <cfRule type="cellIs" rank="0" priority="2082" equalAverage="0" operator="greaterThan" aboveAverage="0" dxfId="7" text="" percent="0" bottom="0">
      <formula>0</formula>
    </cfRule>
  </conditionalFormatting>
  <conditionalFormatting sqref="K526">
    <cfRule type="cellIs" rank="0" priority="2083" equalAverage="0" operator="greaterThan" aboveAverage="0" dxfId="7" text="" percent="0" bottom="0">
      <formula>0</formula>
    </cfRule>
  </conditionalFormatting>
  <conditionalFormatting sqref="N526">
    <cfRule type="cellIs" rank="0" priority="2084" equalAverage="0" operator="greaterThan" aboveAverage="0" dxfId="7" text="" percent="0" bottom="0">
      <formula>0</formula>
    </cfRule>
    <cfRule type="cellIs" rank="0" priority="2085" equalAverage="0" operator="lessThan" aboveAverage="0" dxfId="8" text="" percent="0" bottom="0">
      <formula>0</formula>
    </cfRule>
  </conditionalFormatting>
  <conditionalFormatting sqref="I527">
    <cfRule type="cellIs" rank="0" priority="2086" equalAverage="0" operator="greaterThan" aboveAverage="0" dxfId="7" text="" percent="0" bottom="0">
      <formula>0</formula>
    </cfRule>
  </conditionalFormatting>
  <conditionalFormatting sqref="K527">
    <cfRule type="cellIs" rank="0" priority="2087" equalAverage="0" operator="greaterThan" aboveAverage="0" dxfId="7" text="" percent="0" bottom="0">
      <formula>0</formula>
    </cfRule>
  </conditionalFormatting>
  <conditionalFormatting sqref="N527">
    <cfRule type="cellIs" rank="0" priority="2088" equalAverage="0" operator="greaterThan" aboveAverage="0" dxfId="7" text="" percent="0" bottom="0">
      <formula>0</formula>
    </cfRule>
    <cfRule type="cellIs" rank="0" priority="2089" equalAverage="0" operator="lessThan" aboveAverage="0" dxfId="8" text="" percent="0" bottom="0">
      <formula>0</formula>
    </cfRule>
  </conditionalFormatting>
  <conditionalFormatting sqref="I528">
    <cfRule type="cellIs" rank="0" priority="2090" equalAverage="0" operator="greaterThan" aboveAverage="0" dxfId="7" text="" percent="0" bottom="0">
      <formula>0</formula>
    </cfRule>
  </conditionalFormatting>
  <conditionalFormatting sqref="K528">
    <cfRule type="cellIs" rank="0" priority="2091" equalAverage="0" operator="greaterThan" aboveAverage="0" dxfId="7" text="" percent="0" bottom="0">
      <formula>0</formula>
    </cfRule>
  </conditionalFormatting>
  <conditionalFormatting sqref="N528">
    <cfRule type="cellIs" rank="0" priority="2092" equalAverage="0" operator="greaterThan" aboveAverage="0" dxfId="7" text="" percent="0" bottom="0">
      <formula>0</formula>
    </cfRule>
    <cfRule type="cellIs" rank="0" priority="2093" equalAverage="0" operator="lessThan" aboveAverage="0" dxfId="8" text="" percent="0" bottom="0">
      <formula>0</formula>
    </cfRule>
  </conditionalFormatting>
  <conditionalFormatting sqref="I529">
    <cfRule type="cellIs" rank="0" priority="2094" equalAverage="0" operator="greaterThan" aboveAverage="0" dxfId="7" text="" percent="0" bottom="0">
      <formula>0</formula>
    </cfRule>
  </conditionalFormatting>
  <conditionalFormatting sqref="K529">
    <cfRule type="cellIs" rank="0" priority="2095" equalAverage="0" operator="greaterThan" aboveAverage="0" dxfId="7" text="" percent="0" bottom="0">
      <formula>0</formula>
    </cfRule>
  </conditionalFormatting>
  <conditionalFormatting sqref="N529">
    <cfRule type="cellIs" rank="0" priority="2096" equalAverage="0" operator="greaterThan" aboveAverage="0" dxfId="7" text="" percent="0" bottom="0">
      <formula>0</formula>
    </cfRule>
    <cfRule type="cellIs" rank="0" priority="2097" equalAverage="0" operator="lessThan" aboveAverage="0" dxfId="8" text="" percent="0" bottom="0">
      <formula>0</formula>
    </cfRule>
  </conditionalFormatting>
  <conditionalFormatting sqref="I530">
    <cfRule type="cellIs" rank="0" priority="2098" equalAverage="0" operator="greaterThan" aboveAverage="0" dxfId="7" text="" percent="0" bottom="0">
      <formula>0</formula>
    </cfRule>
  </conditionalFormatting>
  <conditionalFormatting sqref="K530">
    <cfRule type="cellIs" rank="0" priority="2099" equalAverage="0" operator="greaterThan" aboveAverage="0" dxfId="7" text="" percent="0" bottom="0">
      <formula>0</formula>
    </cfRule>
  </conditionalFormatting>
  <conditionalFormatting sqref="N530">
    <cfRule type="cellIs" rank="0" priority="2100" equalAverage="0" operator="greaterThan" aboveAverage="0" dxfId="7" text="" percent="0" bottom="0">
      <formula>0</formula>
    </cfRule>
    <cfRule type="cellIs" rank="0" priority="2101" equalAverage="0" operator="lessThan" aboveAverage="0" dxfId="8" text="" percent="0" bottom="0">
      <formula>0</formula>
    </cfRule>
  </conditionalFormatting>
  <conditionalFormatting sqref="I531">
    <cfRule type="cellIs" rank="0" priority="2102" equalAverage="0" operator="greaterThan" aboveAverage="0" dxfId="7" text="" percent="0" bottom="0">
      <formula>0</formula>
    </cfRule>
  </conditionalFormatting>
  <conditionalFormatting sqref="K531">
    <cfRule type="cellIs" rank="0" priority="2103" equalAverage="0" operator="greaterThan" aboveAverage="0" dxfId="7" text="" percent="0" bottom="0">
      <formula>0</formula>
    </cfRule>
  </conditionalFormatting>
  <conditionalFormatting sqref="N531">
    <cfRule type="cellIs" rank="0" priority="2104" equalAverage="0" operator="greaterThan" aboveAverage="0" dxfId="7" text="" percent="0" bottom="0">
      <formula>0</formula>
    </cfRule>
    <cfRule type="cellIs" rank="0" priority="2105" equalAverage="0" operator="lessThan" aboveAverage="0" dxfId="8" text="" percent="0" bottom="0">
      <formula>0</formula>
    </cfRule>
  </conditionalFormatting>
  <conditionalFormatting sqref="I532">
    <cfRule type="cellIs" rank="0" priority="2106" equalAverage="0" operator="greaterThan" aboveAverage="0" dxfId="7" text="" percent="0" bottom="0">
      <formula>0</formula>
    </cfRule>
  </conditionalFormatting>
  <conditionalFormatting sqref="K532">
    <cfRule type="cellIs" rank="0" priority="2107" equalAverage="0" operator="greaterThan" aboveAverage="0" dxfId="7" text="" percent="0" bottom="0">
      <formula>0</formula>
    </cfRule>
  </conditionalFormatting>
  <conditionalFormatting sqref="N532">
    <cfRule type="cellIs" rank="0" priority="2108" equalAverage="0" operator="greaterThan" aboveAverage="0" dxfId="7" text="" percent="0" bottom="0">
      <formula>0</formula>
    </cfRule>
    <cfRule type="cellIs" rank="0" priority="2109" equalAverage="0" operator="lessThan" aboveAverage="0" dxfId="8" text="" percent="0" bottom="0">
      <formula>0</formula>
    </cfRule>
  </conditionalFormatting>
  <conditionalFormatting sqref="I533">
    <cfRule type="cellIs" rank="0" priority="2110" equalAverage="0" operator="greaterThan" aboveAverage="0" dxfId="7" text="" percent="0" bottom="0">
      <formula>0</formula>
    </cfRule>
  </conditionalFormatting>
  <conditionalFormatting sqref="K533">
    <cfRule type="cellIs" rank="0" priority="2111" equalAverage="0" operator="greaterThan" aboveAverage="0" dxfId="7" text="" percent="0" bottom="0">
      <formula>0</formula>
    </cfRule>
  </conditionalFormatting>
  <conditionalFormatting sqref="N533">
    <cfRule type="cellIs" rank="0" priority="2112" equalAverage="0" operator="greaterThan" aboveAverage="0" dxfId="7" text="" percent="0" bottom="0">
      <formula>0</formula>
    </cfRule>
    <cfRule type="cellIs" rank="0" priority="2113" equalAverage="0" operator="lessThan" aboveAverage="0" dxfId="8" text="" percent="0" bottom="0">
      <formula>0</formula>
    </cfRule>
  </conditionalFormatting>
  <conditionalFormatting sqref="I534">
    <cfRule type="cellIs" rank="0" priority="2114" equalAverage="0" operator="greaterThan" aboveAverage="0" dxfId="7" text="" percent="0" bottom="0">
      <formula>0</formula>
    </cfRule>
  </conditionalFormatting>
  <conditionalFormatting sqref="K534">
    <cfRule type="cellIs" rank="0" priority="2115" equalAverage="0" operator="greaterThan" aboveAverage="0" dxfId="7" text="" percent="0" bottom="0">
      <formula>0</formula>
    </cfRule>
  </conditionalFormatting>
  <conditionalFormatting sqref="N534">
    <cfRule type="cellIs" rank="0" priority="2116" equalAverage="0" operator="greaterThan" aboveAverage="0" dxfId="7" text="" percent="0" bottom="0">
      <formula>0</formula>
    </cfRule>
    <cfRule type="cellIs" rank="0" priority="2117" equalAverage="0" operator="lessThan" aboveAverage="0" dxfId="8" text="" percent="0" bottom="0">
      <formula>0</formula>
    </cfRule>
  </conditionalFormatting>
  <conditionalFormatting sqref="I535">
    <cfRule type="cellIs" rank="0" priority="2118" equalAverage="0" operator="greaterThan" aboveAverage="0" dxfId="7" text="" percent="0" bottom="0">
      <formula>0</formula>
    </cfRule>
  </conditionalFormatting>
  <conditionalFormatting sqref="K535">
    <cfRule type="cellIs" rank="0" priority="2119" equalAverage="0" operator="greaterThan" aboveAverage="0" dxfId="7" text="" percent="0" bottom="0">
      <formula>0</formula>
    </cfRule>
  </conditionalFormatting>
  <conditionalFormatting sqref="N535">
    <cfRule type="cellIs" rank="0" priority="2120" equalAverage="0" operator="greaterThan" aboveAverage="0" dxfId="7" text="" percent="0" bottom="0">
      <formula>0</formula>
    </cfRule>
    <cfRule type="cellIs" rank="0" priority="2121" equalAverage="0" operator="lessThan" aboveAverage="0" dxfId="8" text="" percent="0" bottom="0">
      <formula>0</formula>
    </cfRule>
  </conditionalFormatting>
  <conditionalFormatting sqref="I536">
    <cfRule type="cellIs" rank="0" priority="2122" equalAverage="0" operator="greaterThan" aboveAverage="0" dxfId="7" text="" percent="0" bottom="0">
      <formula>0</formula>
    </cfRule>
  </conditionalFormatting>
  <conditionalFormatting sqref="K536">
    <cfRule type="cellIs" rank="0" priority="2123" equalAverage="0" operator="greaterThan" aboveAverage="0" dxfId="7" text="" percent="0" bottom="0">
      <formula>0</formula>
    </cfRule>
  </conditionalFormatting>
  <conditionalFormatting sqref="N536">
    <cfRule type="cellIs" rank="0" priority="2124" equalAverage="0" operator="greaterThan" aboveAverage="0" dxfId="7" text="" percent="0" bottom="0">
      <formula>0</formula>
    </cfRule>
    <cfRule type="cellIs" rank="0" priority="2125" equalAverage="0" operator="lessThan" aboveAverage="0" dxfId="8" text="" percent="0" bottom="0">
      <formula>0</formula>
    </cfRule>
  </conditionalFormatting>
  <conditionalFormatting sqref="I537">
    <cfRule type="cellIs" rank="0" priority="2126" equalAverage="0" operator="greaterThan" aboveAverage="0" dxfId="7" text="" percent="0" bottom="0">
      <formula>0</formula>
    </cfRule>
  </conditionalFormatting>
  <conditionalFormatting sqref="K537">
    <cfRule type="cellIs" rank="0" priority="2127" equalAverage="0" operator="greaterThan" aboveAverage="0" dxfId="7" text="" percent="0" bottom="0">
      <formula>0</formula>
    </cfRule>
  </conditionalFormatting>
  <conditionalFormatting sqref="N537">
    <cfRule type="cellIs" rank="0" priority="2128" equalAverage="0" operator="greaterThan" aboveAverage="0" dxfId="7" text="" percent="0" bottom="0">
      <formula>0</formula>
    </cfRule>
    <cfRule type="cellIs" rank="0" priority="2129" equalAverage="0" operator="lessThan" aboveAverage="0" dxfId="8" text="" percent="0" bottom="0">
      <formula>0</formula>
    </cfRule>
  </conditionalFormatting>
  <conditionalFormatting sqref="I538">
    <cfRule type="cellIs" rank="0" priority="2130" equalAverage="0" operator="greaterThan" aboveAverage="0" dxfId="7" text="" percent="0" bottom="0">
      <formula>0</formula>
    </cfRule>
  </conditionalFormatting>
  <conditionalFormatting sqref="K538">
    <cfRule type="cellIs" rank="0" priority="2131" equalAverage="0" operator="greaterThan" aboveAverage="0" dxfId="7" text="" percent="0" bottom="0">
      <formula>0</formula>
    </cfRule>
  </conditionalFormatting>
  <conditionalFormatting sqref="N538">
    <cfRule type="cellIs" rank="0" priority="2132" equalAverage="0" operator="greaterThan" aboveAverage="0" dxfId="7" text="" percent="0" bottom="0">
      <formula>0</formula>
    </cfRule>
    <cfRule type="cellIs" rank="0" priority="2133" equalAverage="0" operator="lessThan" aboveAverage="0" dxfId="8" text="" percent="0" bottom="0">
      <formula>0</formula>
    </cfRule>
  </conditionalFormatting>
  <conditionalFormatting sqref="I539">
    <cfRule type="cellIs" rank="0" priority="2134" equalAverage="0" operator="greaterThan" aboveAverage="0" dxfId="7" text="" percent="0" bottom="0">
      <formula>0</formula>
    </cfRule>
  </conditionalFormatting>
  <conditionalFormatting sqref="K539">
    <cfRule type="cellIs" rank="0" priority="2135" equalAverage="0" operator="greaterThan" aboveAverage="0" dxfId="7" text="" percent="0" bottom="0">
      <formula>0</formula>
    </cfRule>
  </conditionalFormatting>
  <conditionalFormatting sqref="N539">
    <cfRule type="cellIs" rank="0" priority="2136" equalAverage="0" operator="greaterThan" aboveAverage="0" dxfId="7" text="" percent="0" bottom="0">
      <formula>0</formula>
    </cfRule>
    <cfRule type="cellIs" rank="0" priority="2137" equalAverage="0" operator="lessThan" aboveAverage="0" dxfId="8" text="" percent="0" bottom="0">
      <formula>0</formula>
    </cfRule>
  </conditionalFormatting>
  <conditionalFormatting sqref="I540">
    <cfRule type="cellIs" rank="0" priority="2138" equalAverage="0" operator="greaterThan" aboveAverage="0" dxfId="7" text="" percent="0" bottom="0">
      <formula>0</formula>
    </cfRule>
  </conditionalFormatting>
  <conditionalFormatting sqref="K540">
    <cfRule type="cellIs" rank="0" priority="2139" equalAverage="0" operator="greaterThan" aboveAverage="0" dxfId="7" text="" percent="0" bottom="0">
      <formula>0</formula>
    </cfRule>
  </conditionalFormatting>
  <conditionalFormatting sqref="N540">
    <cfRule type="cellIs" rank="0" priority="2140" equalAverage="0" operator="greaterThan" aboveAverage="0" dxfId="7" text="" percent="0" bottom="0">
      <formula>0</formula>
    </cfRule>
    <cfRule type="cellIs" rank="0" priority="2141" equalAverage="0" operator="lessThan" aboveAverage="0" dxfId="8" text="" percent="0" bottom="0">
      <formula>0</formula>
    </cfRule>
  </conditionalFormatting>
  <conditionalFormatting sqref="I541">
    <cfRule type="cellIs" rank="0" priority="2142" equalAverage="0" operator="greaterThan" aboveAverage="0" dxfId="7" text="" percent="0" bottom="0">
      <formula>0</formula>
    </cfRule>
  </conditionalFormatting>
  <conditionalFormatting sqref="K541">
    <cfRule type="cellIs" rank="0" priority="2143" equalAverage="0" operator="greaterThan" aboveAverage="0" dxfId="7" text="" percent="0" bottom="0">
      <formula>0</formula>
    </cfRule>
  </conditionalFormatting>
  <conditionalFormatting sqref="N541">
    <cfRule type="cellIs" rank="0" priority="2144" equalAverage="0" operator="greaterThan" aboveAverage="0" dxfId="7" text="" percent="0" bottom="0">
      <formula>0</formula>
    </cfRule>
    <cfRule type="cellIs" rank="0" priority="2145" equalAverage="0" operator="lessThan" aboveAverage="0" dxfId="8" text="" percent="0" bottom="0">
      <formula>0</formula>
    </cfRule>
  </conditionalFormatting>
  <conditionalFormatting sqref="I542">
    <cfRule type="cellIs" rank="0" priority="2146" equalAverage="0" operator="greaterThan" aboveAverage="0" dxfId="7" text="" percent="0" bottom="0">
      <formula>0</formula>
    </cfRule>
  </conditionalFormatting>
  <conditionalFormatting sqref="K542">
    <cfRule type="cellIs" rank="0" priority="2147" equalAverage="0" operator="greaterThan" aboveAverage="0" dxfId="7" text="" percent="0" bottom="0">
      <formula>0</formula>
    </cfRule>
  </conditionalFormatting>
  <conditionalFormatting sqref="N542">
    <cfRule type="cellIs" rank="0" priority="2148" equalAverage="0" operator="greaterThan" aboveAverage="0" dxfId="7" text="" percent="0" bottom="0">
      <formula>0</formula>
    </cfRule>
    <cfRule type="cellIs" rank="0" priority="2149" equalAverage="0" operator="lessThan" aboveAverage="0" dxfId="8" text="" percent="0" bottom="0">
      <formula>0</formula>
    </cfRule>
  </conditionalFormatting>
  <conditionalFormatting sqref="I543">
    <cfRule type="cellIs" rank="0" priority="2150" equalAverage="0" operator="greaterThan" aboveAverage="0" dxfId="7" text="" percent="0" bottom="0">
      <formula>0</formula>
    </cfRule>
  </conditionalFormatting>
  <conditionalFormatting sqref="K543">
    <cfRule type="cellIs" rank="0" priority="2151" equalAverage="0" operator="greaterThan" aboveAverage="0" dxfId="7" text="" percent="0" bottom="0">
      <formula>0</formula>
    </cfRule>
  </conditionalFormatting>
  <conditionalFormatting sqref="N543">
    <cfRule type="cellIs" rank="0" priority="2152" equalAverage="0" operator="greaterThan" aboveAverage="0" dxfId="7" text="" percent="0" bottom="0">
      <formula>0</formula>
    </cfRule>
    <cfRule type="cellIs" rank="0" priority="2153" equalAverage="0" operator="lessThan" aboveAverage="0" dxfId="8" text="" percent="0" bottom="0">
      <formula>0</formula>
    </cfRule>
  </conditionalFormatting>
  <conditionalFormatting sqref="I544">
    <cfRule type="cellIs" rank="0" priority="2154" equalAverage="0" operator="greaterThan" aboveAverage="0" dxfId="7" text="" percent="0" bottom="0">
      <formula>0</formula>
    </cfRule>
  </conditionalFormatting>
  <conditionalFormatting sqref="K544">
    <cfRule type="cellIs" rank="0" priority="2155" equalAverage="0" operator="greaterThan" aboveAverage="0" dxfId="7" text="" percent="0" bottom="0">
      <formula>0</formula>
    </cfRule>
  </conditionalFormatting>
  <conditionalFormatting sqref="N544">
    <cfRule type="cellIs" rank="0" priority="2156" equalAverage="0" operator="greaterThan" aboveAverage="0" dxfId="7" text="" percent="0" bottom="0">
      <formula>0</formula>
    </cfRule>
    <cfRule type="cellIs" rank="0" priority="2157" equalAverage="0" operator="lessThan" aboveAverage="0" dxfId="8" text="" percent="0" bottom="0">
      <formula>0</formula>
    </cfRule>
  </conditionalFormatting>
  <conditionalFormatting sqref="I545">
    <cfRule type="cellIs" rank="0" priority="2158" equalAverage="0" operator="greaterThan" aboveAverage="0" dxfId="7" text="" percent="0" bottom="0">
      <formula>0</formula>
    </cfRule>
  </conditionalFormatting>
  <conditionalFormatting sqref="K545">
    <cfRule type="cellIs" rank="0" priority="2159" equalAverage="0" operator="greaterThan" aboveAverage="0" dxfId="7" text="" percent="0" bottom="0">
      <formula>0</formula>
    </cfRule>
  </conditionalFormatting>
  <conditionalFormatting sqref="N545">
    <cfRule type="cellIs" rank="0" priority="2160" equalAverage="0" operator="greaterThan" aboveAverage="0" dxfId="7" text="" percent="0" bottom="0">
      <formula>0</formula>
    </cfRule>
    <cfRule type="cellIs" rank="0" priority="2161" equalAverage="0" operator="lessThan" aboveAverage="0" dxfId="8" text="" percent="0" bottom="0">
      <formula>0</formula>
    </cfRule>
  </conditionalFormatting>
  <conditionalFormatting sqref="I546">
    <cfRule type="cellIs" rank="0" priority="2162" equalAverage="0" operator="greaterThan" aboveAverage="0" dxfId="7" text="" percent="0" bottom="0">
      <formula>0</formula>
    </cfRule>
  </conditionalFormatting>
  <conditionalFormatting sqref="K546">
    <cfRule type="cellIs" rank="0" priority="2163" equalAverage="0" operator="greaterThan" aboveAverage="0" dxfId="7" text="" percent="0" bottom="0">
      <formula>0</formula>
    </cfRule>
  </conditionalFormatting>
  <conditionalFormatting sqref="N546">
    <cfRule type="cellIs" rank="0" priority="2164" equalAverage="0" operator="greaterThan" aboveAverage="0" dxfId="7" text="" percent="0" bottom="0">
      <formula>0</formula>
    </cfRule>
    <cfRule type="cellIs" rank="0" priority="2165" equalAverage="0" operator="lessThan" aboveAverage="0" dxfId="8" text="" percent="0" bottom="0">
      <formula>0</formula>
    </cfRule>
  </conditionalFormatting>
  <conditionalFormatting sqref="I547">
    <cfRule type="cellIs" rank="0" priority="2166" equalAverage="0" operator="greaterThan" aboveAverage="0" dxfId="7" text="" percent="0" bottom="0">
      <formula>0</formula>
    </cfRule>
  </conditionalFormatting>
  <conditionalFormatting sqref="K547">
    <cfRule type="cellIs" rank="0" priority="2167" equalAverage="0" operator="greaterThan" aboveAverage="0" dxfId="7" text="" percent="0" bottom="0">
      <formula>0</formula>
    </cfRule>
  </conditionalFormatting>
  <conditionalFormatting sqref="N547">
    <cfRule type="cellIs" rank="0" priority="2168" equalAverage="0" operator="greaterThan" aboveAverage="0" dxfId="7" text="" percent="0" bottom="0">
      <formula>0</formula>
    </cfRule>
    <cfRule type="cellIs" rank="0" priority="2169" equalAverage="0" operator="lessThan" aboveAverage="0" dxfId="8" text="" percent="0" bottom="0">
      <formula>0</formula>
    </cfRule>
  </conditionalFormatting>
  <conditionalFormatting sqref="I548">
    <cfRule type="cellIs" rank="0" priority="2170" equalAverage="0" operator="greaterThan" aboveAverage="0" dxfId="7" text="" percent="0" bottom="0">
      <formula>0</formula>
    </cfRule>
  </conditionalFormatting>
  <conditionalFormatting sqref="K548">
    <cfRule type="cellIs" rank="0" priority="2171" equalAverage="0" operator="greaterThan" aboveAverage="0" dxfId="7" text="" percent="0" bottom="0">
      <formula>0</formula>
    </cfRule>
  </conditionalFormatting>
  <conditionalFormatting sqref="N548">
    <cfRule type="cellIs" rank="0" priority="2172" equalAverage="0" operator="greaterThan" aboveAverage="0" dxfId="7" text="" percent="0" bottom="0">
      <formula>0</formula>
    </cfRule>
    <cfRule type="cellIs" rank="0" priority="2173" equalAverage="0" operator="lessThan" aboveAverage="0" dxfId="8" text="" percent="0" bottom="0">
      <formula>0</formula>
    </cfRule>
  </conditionalFormatting>
  <conditionalFormatting sqref="I549">
    <cfRule type="cellIs" rank="0" priority="2174" equalAverage="0" operator="greaterThan" aboveAverage="0" dxfId="7" text="" percent="0" bottom="0">
      <formula>0</formula>
    </cfRule>
  </conditionalFormatting>
  <conditionalFormatting sqref="K549">
    <cfRule type="cellIs" rank="0" priority="2175" equalAverage="0" operator="greaterThan" aboveAverage="0" dxfId="7" text="" percent="0" bottom="0">
      <formula>0</formula>
    </cfRule>
  </conditionalFormatting>
  <conditionalFormatting sqref="N549">
    <cfRule type="cellIs" rank="0" priority="2176" equalAverage="0" operator="greaterThan" aboveAverage="0" dxfId="7" text="" percent="0" bottom="0">
      <formula>0</formula>
    </cfRule>
    <cfRule type="cellIs" rank="0" priority="2177" equalAverage="0" operator="lessThan" aboveAverage="0" dxfId="8" text="" percent="0" bottom="0">
      <formula>0</formula>
    </cfRule>
  </conditionalFormatting>
  <conditionalFormatting sqref="I550">
    <cfRule type="cellIs" rank="0" priority="2178" equalAverage="0" operator="greaterThan" aboveAverage="0" dxfId="7" text="" percent="0" bottom="0">
      <formula>0</formula>
    </cfRule>
  </conditionalFormatting>
  <conditionalFormatting sqref="K550">
    <cfRule type="cellIs" rank="0" priority="2179" equalAverage="0" operator="greaterThan" aboveAverage="0" dxfId="7" text="" percent="0" bottom="0">
      <formula>0</formula>
    </cfRule>
  </conditionalFormatting>
  <conditionalFormatting sqref="N550">
    <cfRule type="cellIs" rank="0" priority="2180" equalAverage="0" operator="greaterThan" aboveAverage="0" dxfId="7" text="" percent="0" bottom="0">
      <formula>0</formula>
    </cfRule>
    <cfRule type="cellIs" rank="0" priority="2181" equalAverage="0" operator="lessThan" aboveAverage="0" dxfId="8" text="" percent="0" bottom="0">
      <formula>0</formula>
    </cfRule>
  </conditionalFormatting>
  <conditionalFormatting sqref="I551">
    <cfRule type="cellIs" rank="0" priority="2182" equalAverage="0" operator="greaterThan" aboveAverage="0" dxfId="7" text="" percent="0" bottom="0">
      <formula>0</formula>
    </cfRule>
  </conditionalFormatting>
  <conditionalFormatting sqref="K551">
    <cfRule type="cellIs" rank="0" priority="2183" equalAverage="0" operator="greaterThan" aboveAverage="0" dxfId="7" text="" percent="0" bottom="0">
      <formula>0</formula>
    </cfRule>
  </conditionalFormatting>
  <conditionalFormatting sqref="N551">
    <cfRule type="cellIs" rank="0" priority="2184" equalAverage="0" operator="greaterThan" aboveAverage="0" dxfId="7" text="" percent="0" bottom="0">
      <formula>0</formula>
    </cfRule>
    <cfRule type="cellIs" rank="0" priority="2185" equalAverage="0" operator="lessThan" aboveAverage="0" dxfId="8" text="" percent="0" bottom="0">
      <formula>0</formula>
    </cfRule>
  </conditionalFormatting>
  <conditionalFormatting sqref="I552">
    <cfRule type="cellIs" rank="0" priority="2186" equalAverage="0" operator="greaterThan" aboveAverage="0" dxfId="7" text="" percent="0" bottom="0">
      <formula>0</formula>
    </cfRule>
  </conditionalFormatting>
  <conditionalFormatting sqref="K552">
    <cfRule type="cellIs" rank="0" priority="2187" equalAverage="0" operator="greaterThan" aboveAverage="0" dxfId="7" text="" percent="0" bottom="0">
      <formula>0</formula>
    </cfRule>
  </conditionalFormatting>
  <conditionalFormatting sqref="N552">
    <cfRule type="cellIs" rank="0" priority="2188" equalAverage="0" operator="greaterThan" aboveAverage="0" dxfId="7" text="" percent="0" bottom="0">
      <formula>0</formula>
    </cfRule>
    <cfRule type="cellIs" rank="0" priority="2189" equalAverage="0" operator="lessThan" aboveAverage="0" dxfId="8" text="" percent="0" bottom="0">
      <formula>0</formula>
    </cfRule>
  </conditionalFormatting>
  <conditionalFormatting sqref="I553">
    <cfRule type="cellIs" rank="0" priority="2190" equalAverage="0" operator="greaterThan" aboveAverage="0" dxfId="7" text="" percent="0" bottom="0">
      <formula>0</formula>
    </cfRule>
  </conditionalFormatting>
  <conditionalFormatting sqref="K553">
    <cfRule type="cellIs" rank="0" priority="2191" equalAverage="0" operator="greaterThan" aboveAverage="0" dxfId="7" text="" percent="0" bottom="0">
      <formula>0</formula>
    </cfRule>
  </conditionalFormatting>
  <conditionalFormatting sqref="N553">
    <cfRule type="cellIs" rank="0" priority="2192" equalAverage="0" operator="greaterThan" aboveAverage="0" dxfId="7" text="" percent="0" bottom="0">
      <formula>0</formula>
    </cfRule>
    <cfRule type="cellIs" rank="0" priority="2193" equalAverage="0" operator="lessThan" aboveAverage="0" dxfId="8" text="" percent="0" bottom="0">
      <formula>0</formula>
    </cfRule>
  </conditionalFormatting>
  <conditionalFormatting sqref="I554">
    <cfRule type="cellIs" rank="0" priority="2194" equalAverage="0" operator="greaterThan" aboveAverage="0" dxfId="7" text="" percent="0" bottom="0">
      <formula>0</formula>
    </cfRule>
  </conditionalFormatting>
  <conditionalFormatting sqref="K554">
    <cfRule type="cellIs" rank="0" priority="2195" equalAverage="0" operator="greaterThan" aboveAverage="0" dxfId="7" text="" percent="0" bottom="0">
      <formula>0</formula>
    </cfRule>
  </conditionalFormatting>
  <conditionalFormatting sqref="N554">
    <cfRule type="cellIs" rank="0" priority="2196" equalAverage="0" operator="greaterThan" aboveAverage="0" dxfId="7" text="" percent="0" bottom="0">
      <formula>0</formula>
    </cfRule>
    <cfRule type="cellIs" rank="0" priority="2197" equalAverage="0" operator="lessThan" aboveAverage="0" dxfId="8" text="" percent="0" bottom="0">
      <formula>0</formula>
    </cfRule>
  </conditionalFormatting>
  <conditionalFormatting sqref="I555">
    <cfRule type="cellIs" rank="0" priority="2198" equalAverage="0" operator="greaterThan" aboveAverage="0" dxfId="7" text="" percent="0" bottom="0">
      <formula>0</formula>
    </cfRule>
  </conditionalFormatting>
  <conditionalFormatting sqref="K555">
    <cfRule type="cellIs" rank="0" priority="2199" equalAverage="0" operator="greaterThan" aboveAverage="0" dxfId="7" text="" percent="0" bottom="0">
      <formula>0</formula>
    </cfRule>
  </conditionalFormatting>
  <conditionalFormatting sqref="N555">
    <cfRule type="cellIs" rank="0" priority="2200" equalAverage="0" operator="greaterThan" aboveAverage="0" dxfId="7" text="" percent="0" bottom="0">
      <formula>0</formula>
    </cfRule>
    <cfRule type="cellIs" rank="0" priority="2201" equalAverage="0" operator="lessThan" aboveAverage="0" dxfId="8" text="" percent="0" bottom="0">
      <formula>0</formula>
    </cfRule>
  </conditionalFormatting>
  <conditionalFormatting sqref="I556">
    <cfRule type="cellIs" rank="0" priority="2202" equalAverage="0" operator="greaterThan" aboveAverage="0" dxfId="7" text="" percent="0" bottom="0">
      <formula>0</formula>
    </cfRule>
  </conditionalFormatting>
  <conditionalFormatting sqref="K556">
    <cfRule type="cellIs" rank="0" priority="2203" equalAverage="0" operator="greaterThan" aboveAverage="0" dxfId="7" text="" percent="0" bottom="0">
      <formula>0</formula>
    </cfRule>
  </conditionalFormatting>
  <conditionalFormatting sqref="N556">
    <cfRule type="cellIs" rank="0" priority="2204" equalAverage="0" operator="greaterThan" aboveAverage="0" dxfId="7" text="" percent="0" bottom="0">
      <formula>0</formula>
    </cfRule>
    <cfRule type="cellIs" rank="0" priority="2205" equalAverage="0" operator="lessThan" aboveAverage="0" dxfId="8" text="" percent="0" bottom="0">
      <formula>0</formula>
    </cfRule>
  </conditionalFormatting>
  <conditionalFormatting sqref="I557">
    <cfRule type="cellIs" rank="0" priority="2206" equalAverage="0" operator="greaterThan" aboveAverage="0" dxfId="7" text="" percent="0" bottom="0">
      <formula>0</formula>
    </cfRule>
  </conditionalFormatting>
  <conditionalFormatting sqref="K557">
    <cfRule type="cellIs" rank="0" priority="2207" equalAverage="0" operator="greaterThan" aboveAverage="0" dxfId="7" text="" percent="0" bottom="0">
      <formula>0</formula>
    </cfRule>
  </conditionalFormatting>
  <conditionalFormatting sqref="N557">
    <cfRule type="cellIs" rank="0" priority="2208" equalAverage="0" operator="greaterThan" aboveAverage="0" dxfId="7" text="" percent="0" bottom="0">
      <formula>0</formula>
    </cfRule>
    <cfRule type="cellIs" rank="0" priority="2209" equalAverage="0" operator="lessThan" aboveAverage="0" dxfId="8" text="" percent="0" bottom="0">
      <formula>0</formula>
    </cfRule>
  </conditionalFormatting>
  <conditionalFormatting sqref="I558">
    <cfRule type="cellIs" rank="0" priority="2210" equalAverage="0" operator="greaterThan" aboveAverage="0" dxfId="7" text="" percent="0" bottom="0">
      <formula>0</formula>
    </cfRule>
  </conditionalFormatting>
  <conditionalFormatting sqref="K558">
    <cfRule type="cellIs" rank="0" priority="2211" equalAverage="0" operator="greaterThan" aboveAverage="0" dxfId="7" text="" percent="0" bottom="0">
      <formula>0</formula>
    </cfRule>
  </conditionalFormatting>
  <conditionalFormatting sqref="N558">
    <cfRule type="cellIs" rank="0" priority="2212" equalAverage="0" operator="greaterThan" aboveAverage="0" dxfId="7" text="" percent="0" bottom="0">
      <formula>0</formula>
    </cfRule>
    <cfRule type="cellIs" rank="0" priority="2213" equalAverage="0" operator="lessThan" aboveAverage="0" dxfId="8" text="" percent="0" bottom="0">
      <formula>0</formula>
    </cfRule>
  </conditionalFormatting>
  <conditionalFormatting sqref="I559">
    <cfRule type="cellIs" rank="0" priority="2214" equalAverage="0" operator="greaterThan" aboveAverage="0" dxfId="7" text="" percent="0" bottom="0">
      <formula>0</formula>
    </cfRule>
  </conditionalFormatting>
  <conditionalFormatting sqref="K559">
    <cfRule type="cellIs" rank="0" priority="2215" equalAverage="0" operator="greaterThan" aboveAverage="0" dxfId="7" text="" percent="0" bottom="0">
      <formula>0</formula>
    </cfRule>
  </conditionalFormatting>
  <conditionalFormatting sqref="N559">
    <cfRule type="cellIs" rank="0" priority="2216" equalAverage="0" operator="greaterThan" aboveAverage="0" dxfId="7" text="" percent="0" bottom="0">
      <formula>0</formula>
    </cfRule>
    <cfRule type="cellIs" rank="0" priority="2217" equalAverage="0" operator="lessThan" aboveAverage="0" dxfId="8" text="" percent="0" bottom="0">
      <formula>0</formula>
    </cfRule>
  </conditionalFormatting>
  <conditionalFormatting sqref="I560">
    <cfRule type="cellIs" rank="0" priority="2218" equalAverage="0" operator="greaterThan" aboveAverage="0" dxfId="7" text="" percent="0" bottom="0">
      <formula>0</formula>
    </cfRule>
  </conditionalFormatting>
  <conditionalFormatting sqref="K560">
    <cfRule type="cellIs" rank="0" priority="2219" equalAverage="0" operator="greaterThan" aboveAverage="0" dxfId="7" text="" percent="0" bottom="0">
      <formula>0</formula>
    </cfRule>
  </conditionalFormatting>
  <conditionalFormatting sqref="N560">
    <cfRule type="cellIs" rank="0" priority="2220" equalAverage="0" operator="greaterThan" aboveAverage="0" dxfId="7" text="" percent="0" bottom="0">
      <formula>0</formula>
    </cfRule>
    <cfRule type="cellIs" rank="0" priority="2221" equalAverage="0" operator="lessThan" aboveAverage="0" dxfId="8" text="" percent="0" bottom="0">
      <formula>0</formula>
    </cfRule>
  </conditionalFormatting>
  <conditionalFormatting sqref="I561">
    <cfRule type="cellIs" rank="0" priority="2222" equalAverage="0" operator="greaterThan" aboveAverage="0" dxfId="7" text="" percent="0" bottom="0">
      <formula>0</formula>
    </cfRule>
  </conditionalFormatting>
  <conditionalFormatting sqref="K561">
    <cfRule type="cellIs" rank="0" priority="2223" equalAverage="0" operator="greaterThan" aboveAverage="0" dxfId="7" text="" percent="0" bottom="0">
      <formula>0</formula>
    </cfRule>
  </conditionalFormatting>
  <conditionalFormatting sqref="N561">
    <cfRule type="cellIs" rank="0" priority="2224" equalAverage="0" operator="greaterThan" aboveAverage="0" dxfId="7" text="" percent="0" bottom="0">
      <formula>0</formula>
    </cfRule>
    <cfRule type="cellIs" rank="0" priority="2225" equalAverage="0" operator="lessThan" aboveAverage="0" dxfId="8" text="" percent="0" bottom="0">
      <formula>0</formula>
    </cfRule>
  </conditionalFormatting>
  <conditionalFormatting sqref="I562">
    <cfRule type="cellIs" rank="0" priority="2226" equalAverage="0" operator="greaterThan" aboveAverage="0" dxfId="7" text="" percent="0" bottom="0">
      <formula>0</formula>
    </cfRule>
  </conditionalFormatting>
  <conditionalFormatting sqref="K562">
    <cfRule type="cellIs" rank="0" priority="2227" equalAverage="0" operator="greaterThan" aboveAverage="0" dxfId="7" text="" percent="0" bottom="0">
      <formula>0</formula>
    </cfRule>
  </conditionalFormatting>
  <conditionalFormatting sqref="N562">
    <cfRule type="cellIs" rank="0" priority="2228" equalAverage="0" operator="greaterThan" aboveAverage="0" dxfId="7" text="" percent="0" bottom="0">
      <formula>0</formula>
    </cfRule>
    <cfRule type="cellIs" rank="0" priority="2229" equalAverage="0" operator="lessThan" aboveAverage="0" dxfId="8" text="" percent="0" bottom="0">
      <formula>0</formula>
    </cfRule>
  </conditionalFormatting>
  <conditionalFormatting sqref="I563">
    <cfRule type="cellIs" rank="0" priority="2230" equalAverage="0" operator="greaterThan" aboveAverage="0" dxfId="7" text="" percent="0" bottom="0">
      <formula>0</formula>
    </cfRule>
  </conditionalFormatting>
  <conditionalFormatting sqref="K563">
    <cfRule type="cellIs" rank="0" priority="2231" equalAverage="0" operator="greaterThan" aboveAverage="0" dxfId="7" text="" percent="0" bottom="0">
      <formula>0</formula>
    </cfRule>
  </conditionalFormatting>
  <conditionalFormatting sqref="N563">
    <cfRule type="cellIs" rank="0" priority="2232" equalAverage="0" operator="greaterThan" aboveAverage="0" dxfId="7" text="" percent="0" bottom="0">
      <formula>0</formula>
    </cfRule>
    <cfRule type="cellIs" rank="0" priority="2233" equalAverage="0" operator="lessThan" aboveAverage="0" dxfId="8" text="" percent="0" bottom="0">
      <formula>0</formula>
    </cfRule>
  </conditionalFormatting>
  <conditionalFormatting sqref="I564">
    <cfRule type="cellIs" rank="0" priority="2234" equalAverage="0" operator="greaterThan" aboveAverage="0" dxfId="7" text="" percent="0" bottom="0">
      <formula>0</formula>
    </cfRule>
  </conditionalFormatting>
  <conditionalFormatting sqref="K564">
    <cfRule type="cellIs" rank="0" priority="2235" equalAverage="0" operator="greaterThan" aboveAverage="0" dxfId="7" text="" percent="0" bottom="0">
      <formula>0</formula>
    </cfRule>
  </conditionalFormatting>
  <conditionalFormatting sqref="N564">
    <cfRule type="cellIs" rank="0" priority="2236" equalAverage="0" operator="greaterThan" aboveAverage="0" dxfId="7" text="" percent="0" bottom="0">
      <formula>0</formula>
    </cfRule>
    <cfRule type="cellIs" rank="0" priority="2237" equalAverage="0" operator="lessThan" aboveAverage="0" dxfId="8" text="" percent="0" bottom="0">
      <formula>0</formula>
    </cfRule>
  </conditionalFormatting>
  <conditionalFormatting sqref="I565">
    <cfRule type="cellIs" rank="0" priority="2238" equalAverage="0" operator="greaterThan" aboveAverage="0" dxfId="7" text="" percent="0" bottom="0">
      <formula>0</formula>
    </cfRule>
  </conditionalFormatting>
  <conditionalFormatting sqref="K565">
    <cfRule type="cellIs" rank="0" priority="2239" equalAverage="0" operator="greaterThan" aboveAverage="0" dxfId="7" text="" percent="0" bottom="0">
      <formula>0</formula>
    </cfRule>
  </conditionalFormatting>
  <conditionalFormatting sqref="N565">
    <cfRule type="cellIs" rank="0" priority="2240" equalAverage="0" operator="greaterThan" aboveAverage="0" dxfId="7" text="" percent="0" bottom="0">
      <formula>0</formula>
    </cfRule>
    <cfRule type="cellIs" rank="0" priority="2241" equalAverage="0" operator="lessThan" aboveAverage="0" dxfId="8" text="" percent="0" bottom="0">
      <formula>0</formula>
    </cfRule>
  </conditionalFormatting>
  <conditionalFormatting sqref="I566">
    <cfRule type="cellIs" rank="0" priority="2242" equalAverage="0" operator="greaterThan" aboveAverage="0" dxfId="7" text="" percent="0" bottom="0">
      <formula>0</formula>
    </cfRule>
  </conditionalFormatting>
  <conditionalFormatting sqref="K566">
    <cfRule type="cellIs" rank="0" priority="2243" equalAverage="0" operator="greaterThan" aboveAverage="0" dxfId="7" text="" percent="0" bottom="0">
      <formula>0</formula>
    </cfRule>
  </conditionalFormatting>
  <conditionalFormatting sqref="N566">
    <cfRule type="cellIs" rank="0" priority="2244" equalAverage="0" operator="greaterThan" aboveAverage="0" dxfId="7" text="" percent="0" bottom="0">
      <formula>0</formula>
    </cfRule>
    <cfRule type="cellIs" rank="0" priority="2245" equalAverage="0" operator="lessThan" aboveAverage="0" dxfId="8" text="" percent="0" bottom="0">
      <formula>0</formula>
    </cfRule>
  </conditionalFormatting>
  <conditionalFormatting sqref="I567">
    <cfRule type="cellIs" rank="0" priority="2246" equalAverage="0" operator="greaterThan" aboveAverage="0" dxfId="7" text="" percent="0" bottom="0">
      <formula>0</formula>
    </cfRule>
  </conditionalFormatting>
  <conditionalFormatting sqref="K567">
    <cfRule type="cellIs" rank="0" priority="2247" equalAverage="0" operator="greaterThan" aboveAverage="0" dxfId="7" text="" percent="0" bottom="0">
      <formula>0</formula>
    </cfRule>
  </conditionalFormatting>
  <conditionalFormatting sqref="N567">
    <cfRule type="cellIs" rank="0" priority="2248" equalAverage="0" operator="greaterThan" aboveAverage="0" dxfId="7" text="" percent="0" bottom="0">
      <formula>0</formula>
    </cfRule>
    <cfRule type="cellIs" rank="0" priority="2249" equalAverage="0" operator="lessThan" aboveAverage="0" dxfId="8" text="" percent="0" bottom="0">
      <formula>0</formula>
    </cfRule>
  </conditionalFormatting>
  <conditionalFormatting sqref="I568">
    <cfRule type="cellIs" rank="0" priority="2250" equalAverage="0" operator="greaterThan" aboveAverage="0" dxfId="7" text="" percent="0" bottom="0">
      <formula>0</formula>
    </cfRule>
  </conditionalFormatting>
  <conditionalFormatting sqref="K568">
    <cfRule type="cellIs" rank="0" priority="2251" equalAverage="0" operator="greaterThan" aboveAverage="0" dxfId="7" text="" percent="0" bottom="0">
      <formula>0</formula>
    </cfRule>
  </conditionalFormatting>
  <conditionalFormatting sqref="N568">
    <cfRule type="cellIs" rank="0" priority="2252" equalAverage="0" operator="greaterThan" aboveAverage="0" dxfId="7" text="" percent="0" bottom="0">
      <formula>0</formula>
    </cfRule>
    <cfRule type="cellIs" rank="0" priority="2253" equalAverage="0" operator="lessThan" aboveAverage="0" dxfId="8" text="" percent="0" bottom="0">
      <formula>0</formula>
    </cfRule>
  </conditionalFormatting>
  <conditionalFormatting sqref="I569">
    <cfRule type="cellIs" rank="0" priority="2254" equalAverage="0" operator="greaterThan" aboveAverage="0" dxfId="7" text="" percent="0" bottom="0">
      <formula>0</formula>
    </cfRule>
  </conditionalFormatting>
  <conditionalFormatting sqref="K569">
    <cfRule type="cellIs" rank="0" priority="2255" equalAverage="0" operator="greaterThan" aboveAverage="0" dxfId="7" text="" percent="0" bottom="0">
      <formula>0</formula>
    </cfRule>
  </conditionalFormatting>
  <conditionalFormatting sqref="N569">
    <cfRule type="cellIs" rank="0" priority="2256" equalAverage="0" operator="greaterThan" aboveAverage="0" dxfId="7" text="" percent="0" bottom="0">
      <formula>0</formula>
    </cfRule>
    <cfRule type="cellIs" rank="0" priority="2257" equalAverage="0" operator="lessThan" aboveAverage="0" dxfId="8" text="" percent="0" bottom="0">
      <formula>0</formula>
    </cfRule>
  </conditionalFormatting>
  <conditionalFormatting sqref="I570">
    <cfRule type="cellIs" rank="0" priority="2258" equalAverage="0" operator="greaterThan" aboveAverage="0" dxfId="7" text="" percent="0" bottom="0">
      <formula>0</formula>
    </cfRule>
  </conditionalFormatting>
  <conditionalFormatting sqref="K570">
    <cfRule type="cellIs" rank="0" priority="2259" equalAverage="0" operator="greaterThan" aboveAverage="0" dxfId="7" text="" percent="0" bottom="0">
      <formula>0</formula>
    </cfRule>
  </conditionalFormatting>
  <conditionalFormatting sqref="N570">
    <cfRule type="cellIs" rank="0" priority="2260" equalAverage="0" operator="greaterThan" aboveAverage="0" dxfId="7" text="" percent="0" bottom="0">
      <formula>0</formula>
    </cfRule>
    <cfRule type="cellIs" rank="0" priority="2261" equalAverage="0" operator="lessThan" aboveAverage="0" dxfId="8" text="" percent="0" bottom="0">
      <formula>0</formula>
    </cfRule>
  </conditionalFormatting>
  <conditionalFormatting sqref="I571">
    <cfRule type="cellIs" rank="0" priority="2262" equalAverage="0" operator="greaterThan" aboveAverage="0" dxfId="7" text="" percent="0" bottom="0">
      <formula>0</formula>
    </cfRule>
  </conditionalFormatting>
  <conditionalFormatting sqref="K571">
    <cfRule type="cellIs" rank="0" priority="2263" equalAverage="0" operator="greaterThan" aboveAverage="0" dxfId="7" text="" percent="0" bottom="0">
      <formula>0</formula>
    </cfRule>
  </conditionalFormatting>
  <conditionalFormatting sqref="N571">
    <cfRule type="cellIs" rank="0" priority="2264" equalAverage="0" operator="greaterThan" aboveAverage="0" dxfId="7" text="" percent="0" bottom="0">
      <formula>0</formula>
    </cfRule>
    <cfRule type="cellIs" rank="0" priority="2265" equalAverage="0" operator="lessThan" aboveAverage="0" dxfId="8" text="" percent="0" bottom="0">
      <formula>0</formula>
    </cfRule>
  </conditionalFormatting>
  <conditionalFormatting sqref="I572">
    <cfRule type="cellIs" rank="0" priority="2266" equalAverage="0" operator="greaterThan" aboveAverage="0" dxfId="7" text="" percent="0" bottom="0">
      <formula>0</formula>
    </cfRule>
  </conditionalFormatting>
  <conditionalFormatting sqref="K572">
    <cfRule type="cellIs" rank="0" priority="2267" equalAverage="0" operator="greaterThan" aboveAverage="0" dxfId="7" text="" percent="0" bottom="0">
      <formula>0</formula>
    </cfRule>
  </conditionalFormatting>
  <conditionalFormatting sqref="N572">
    <cfRule type="cellIs" rank="0" priority="2268" equalAverage="0" operator="greaterThan" aboveAverage="0" dxfId="7" text="" percent="0" bottom="0">
      <formula>0</formula>
    </cfRule>
    <cfRule type="cellIs" rank="0" priority="2269" equalAverage="0" operator="lessThan" aboveAverage="0" dxfId="8" text="" percent="0" bottom="0">
      <formula>0</formula>
    </cfRule>
  </conditionalFormatting>
  <conditionalFormatting sqref="I573">
    <cfRule type="cellIs" rank="0" priority="2270" equalAverage="0" operator="greaterThan" aboveAverage="0" dxfId="7" text="" percent="0" bottom="0">
      <formula>0</formula>
    </cfRule>
  </conditionalFormatting>
  <conditionalFormatting sqref="K573">
    <cfRule type="cellIs" rank="0" priority="2271" equalAverage="0" operator="greaterThan" aboveAverage="0" dxfId="7" text="" percent="0" bottom="0">
      <formula>0</formula>
    </cfRule>
  </conditionalFormatting>
  <conditionalFormatting sqref="N573">
    <cfRule type="cellIs" rank="0" priority="2272" equalAverage="0" operator="greaterThan" aboveAverage="0" dxfId="7" text="" percent="0" bottom="0">
      <formula>0</formula>
    </cfRule>
    <cfRule type="cellIs" rank="0" priority="2273" equalAverage="0" operator="lessThan" aboveAverage="0" dxfId="8" text="" percent="0" bottom="0">
      <formula>0</formula>
    </cfRule>
  </conditionalFormatting>
  <conditionalFormatting sqref="I574">
    <cfRule type="cellIs" rank="0" priority="2274" equalAverage="0" operator="greaterThan" aboveAverage="0" dxfId="7" text="" percent="0" bottom="0">
      <formula>0</formula>
    </cfRule>
  </conditionalFormatting>
  <conditionalFormatting sqref="K574">
    <cfRule type="cellIs" rank="0" priority="2275" equalAverage="0" operator="greaterThan" aboveAverage="0" dxfId="7" text="" percent="0" bottom="0">
      <formula>0</formula>
    </cfRule>
  </conditionalFormatting>
  <conditionalFormatting sqref="N574">
    <cfRule type="cellIs" rank="0" priority="2276" equalAverage="0" operator="greaterThan" aboveAverage="0" dxfId="7" text="" percent="0" bottom="0">
      <formula>0</formula>
    </cfRule>
    <cfRule type="cellIs" rank="0" priority="2277" equalAverage="0" operator="lessThan" aboveAverage="0" dxfId="8" text="" percent="0" bottom="0">
      <formula>0</formula>
    </cfRule>
  </conditionalFormatting>
  <conditionalFormatting sqref="I575">
    <cfRule type="cellIs" rank="0" priority="2278" equalAverage="0" operator="greaterThan" aboveAverage="0" dxfId="7" text="" percent="0" bottom="0">
      <formula>0</formula>
    </cfRule>
  </conditionalFormatting>
  <conditionalFormatting sqref="K575">
    <cfRule type="cellIs" rank="0" priority="2279" equalAverage="0" operator="greaterThan" aboveAverage="0" dxfId="7" text="" percent="0" bottom="0">
      <formula>0</formula>
    </cfRule>
  </conditionalFormatting>
  <conditionalFormatting sqref="N575">
    <cfRule type="cellIs" rank="0" priority="2280" equalAverage="0" operator="greaterThan" aboveAverage="0" dxfId="7" text="" percent="0" bottom="0">
      <formula>0</formula>
    </cfRule>
    <cfRule type="cellIs" rank="0" priority="2281" equalAverage="0" operator="lessThan" aboveAverage="0" dxfId="8" text="" percent="0" bottom="0">
      <formula>0</formula>
    </cfRule>
  </conditionalFormatting>
  <conditionalFormatting sqref="I576">
    <cfRule type="cellIs" rank="0" priority="2282" equalAverage="0" operator="greaterThan" aboveAverage="0" dxfId="7" text="" percent="0" bottom="0">
      <formula>0</formula>
    </cfRule>
  </conditionalFormatting>
  <conditionalFormatting sqref="K576">
    <cfRule type="cellIs" rank="0" priority="2283" equalAverage="0" operator="greaterThan" aboveAverage="0" dxfId="7" text="" percent="0" bottom="0">
      <formula>0</formula>
    </cfRule>
  </conditionalFormatting>
  <conditionalFormatting sqref="N576">
    <cfRule type="cellIs" rank="0" priority="2284" equalAverage="0" operator="greaterThan" aboveAverage="0" dxfId="7" text="" percent="0" bottom="0">
      <formula>0</formula>
    </cfRule>
    <cfRule type="cellIs" rank="0" priority="2285" equalAverage="0" operator="lessThan" aboveAverage="0" dxfId="8" text="" percent="0" bottom="0">
      <formula>0</formula>
    </cfRule>
  </conditionalFormatting>
  <conditionalFormatting sqref="I577">
    <cfRule type="cellIs" rank="0" priority="2286" equalAverage="0" operator="greaterThan" aboveAverage="0" dxfId="7" text="" percent="0" bottom="0">
      <formula>0</formula>
    </cfRule>
  </conditionalFormatting>
  <conditionalFormatting sqref="K577">
    <cfRule type="cellIs" rank="0" priority="2287" equalAverage="0" operator="greaterThan" aboveAverage="0" dxfId="7" text="" percent="0" bottom="0">
      <formula>0</formula>
    </cfRule>
  </conditionalFormatting>
  <conditionalFormatting sqref="N577">
    <cfRule type="cellIs" rank="0" priority="2288" equalAverage="0" operator="greaterThan" aboveAverage="0" dxfId="7" text="" percent="0" bottom="0">
      <formula>0</formula>
    </cfRule>
    <cfRule type="cellIs" rank="0" priority="2289" equalAverage="0" operator="lessThan" aboveAverage="0" dxfId="8" text="" percent="0" bottom="0">
      <formula>0</formula>
    </cfRule>
  </conditionalFormatting>
  <conditionalFormatting sqref="I578">
    <cfRule type="cellIs" rank="0" priority="2290" equalAverage="0" operator="greaterThan" aboveAverage="0" dxfId="7" text="" percent="0" bottom="0">
      <formula>0</formula>
    </cfRule>
  </conditionalFormatting>
  <conditionalFormatting sqref="K578">
    <cfRule type="cellIs" rank="0" priority="2291" equalAverage="0" operator="greaterThan" aboveAverage="0" dxfId="7" text="" percent="0" bottom="0">
      <formula>0</formula>
    </cfRule>
  </conditionalFormatting>
  <conditionalFormatting sqref="N578">
    <cfRule type="cellIs" rank="0" priority="2292" equalAverage="0" operator="greaterThan" aboveAverage="0" dxfId="7" text="" percent="0" bottom="0">
      <formula>0</formula>
    </cfRule>
    <cfRule type="cellIs" rank="0" priority="2293" equalAverage="0" operator="lessThan" aboveAverage="0" dxfId="8" text="" percent="0" bottom="0">
      <formula>0</formula>
    </cfRule>
  </conditionalFormatting>
  <conditionalFormatting sqref="I579">
    <cfRule type="cellIs" rank="0" priority="2294" equalAverage="0" operator="greaterThan" aboveAverage="0" dxfId="7" text="" percent="0" bottom="0">
      <formula>0</formula>
    </cfRule>
  </conditionalFormatting>
  <conditionalFormatting sqref="K579">
    <cfRule type="cellIs" rank="0" priority="2295" equalAverage="0" operator="greaterThan" aboveAverage="0" dxfId="7" text="" percent="0" bottom="0">
      <formula>0</formula>
    </cfRule>
  </conditionalFormatting>
  <conditionalFormatting sqref="N579">
    <cfRule type="cellIs" rank="0" priority="2296" equalAverage="0" operator="greaterThan" aboveAverage="0" dxfId="7" text="" percent="0" bottom="0">
      <formula>0</formula>
    </cfRule>
    <cfRule type="cellIs" rank="0" priority="2297" equalAverage="0" operator="lessThan" aboveAverage="0" dxfId="8" text="" percent="0" bottom="0">
      <formula>0</formula>
    </cfRule>
  </conditionalFormatting>
  <conditionalFormatting sqref="I580">
    <cfRule type="cellIs" rank="0" priority="2298" equalAverage="0" operator="greaterThan" aboveAverage="0" dxfId="7" text="" percent="0" bottom="0">
      <formula>0</formula>
    </cfRule>
  </conditionalFormatting>
  <conditionalFormatting sqref="K580">
    <cfRule type="cellIs" rank="0" priority="2299" equalAverage="0" operator="greaterThan" aboveAverage="0" dxfId="7" text="" percent="0" bottom="0">
      <formula>0</formula>
    </cfRule>
  </conditionalFormatting>
  <conditionalFormatting sqref="N580">
    <cfRule type="cellIs" rank="0" priority="2300" equalAverage="0" operator="greaterThan" aboveAverage="0" dxfId="7" text="" percent="0" bottom="0">
      <formula>0</formula>
    </cfRule>
    <cfRule type="cellIs" rank="0" priority="2301" equalAverage="0" operator="lessThan" aboveAverage="0" dxfId="8" text="" percent="0" bottom="0">
      <formula>0</formula>
    </cfRule>
  </conditionalFormatting>
  <conditionalFormatting sqref="I581">
    <cfRule type="cellIs" rank="0" priority="2302" equalAverage="0" operator="greaterThan" aboveAverage="0" dxfId="7" text="" percent="0" bottom="0">
      <formula>0</formula>
    </cfRule>
  </conditionalFormatting>
  <conditionalFormatting sqref="K581">
    <cfRule type="cellIs" rank="0" priority="2303" equalAverage="0" operator="greaterThan" aboveAverage="0" dxfId="7" text="" percent="0" bottom="0">
      <formula>0</formula>
    </cfRule>
  </conditionalFormatting>
  <conditionalFormatting sqref="N581">
    <cfRule type="cellIs" rank="0" priority="2304" equalAverage="0" operator="greaterThan" aboveAverage="0" dxfId="7" text="" percent="0" bottom="0">
      <formula>0</formula>
    </cfRule>
    <cfRule type="cellIs" rank="0" priority="2305" equalAverage="0" operator="lessThan" aboveAverage="0" dxfId="8" text="" percent="0" bottom="0">
      <formula>0</formula>
    </cfRule>
  </conditionalFormatting>
  <conditionalFormatting sqref="I582">
    <cfRule type="cellIs" rank="0" priority="2306" equalAverage="0" operator="greaterThan" aboveAverage="0" dxfId="7" text="" percent="0" bottom="0">
      <formula>0</formula>
    </cfRule>
  </conditionalFormatting>
  <conditionalFormatting sqref="K582">
    <cfRule type="cellIs" rank="0" priority="2307" equalAverage="0" operator="greaterThan" aboveAverage="0" dxfId="7" text="" percent="0" bottom="0">
      <formula>0</formula>
    </cfRule>
  </conditionalFormatting>
  <conditionalFormatting sqref="N582">
    <cfRule type="cellIs" rank="0" priority="2308" equalAverage="0" operator="greaterThan" aboveAverage="0" dxfId="7" text="" percent="0" bottom="0">
      <formula>0</formula>
    </cfRule>
    <cfRule type="cellIs" rank="0" priority="2309" equalAverage="0" operator="lessThan" aboveAverage="0" dxfId="8" text="" percent="0" bottom="0">
      <formula>0</formula>
    </cfRule>
  </conditionalFormatting>
  <conditionalFormatting sqref="I583">
    <cfRule type="cellIs" rank="0" priority="2310" equalAverage="0" operator="greaterThan" aboveAverage="0" dxfId="7" text="" percent="0" bottom="0">
      <formula>0</formula>
    </cfRule>
  </conditionalFormatting>
  <conditionalFormatting sqref="K583">
    <cfRule type="cellIs" rank="0" priority="2311" equalAverage="0" operator="greaterThan" aboveAverage="0" dxfId="7" text="" percent="0" bottom="0">
      <formula>0</formula>
    </cfRule>
  </conditionalFormatting>
  <conditionalFormatting sqref="N583">
    <cfRule type="cellIs" rank="0" priority="2312" equalAverage="0" operator="greaterThan" aboveAverage="0" dxfId="7" text="" percent="0" bottom="0">
      <formula>0</formula>
    </cfRule>
    <cfRule type="cellIs" rank="0" priority="2313" equalAverage="0" operator="lessThan" aboveAverage="0" dxfId="8" text="" percent="0" bottom="0">
      <formula>0</formula>
    </cfRule>
  </conditionalFormatting>
  <conditionalFormatting sqref="I584">
    <cfRule type="cellIs" rank="0" priority="2314" equalAverage="0" operator="greaterThan" aboveAverage="0" dxfId="7" text="" percent="0" bottom="0">
      <formula>0</formula>
    </cfRule>
  </conditionalFormatting>
  <conditionalFormatting sqref="K584">
    <cfRule type="cellIs" rank="0" priority="2315" equalAverage="0" operator="greaterThan" aboveAverage="0" dxfId="7" text="" percent="0" bottom="0">
      <formula>0</formula>
    </cfRule>
  </conditionalFormatting>
  <conditionalFormatting sqref="N584">
    <cfRule type="cellIs" rank="0" priority="2316" equalAverage="0" operator="greaterThan" aboveAverage="0" dxfId="7" text="" percent="0" bottom="0">
      <formula>0</formula>
    </cfRule>
    <cfRule type="cellIs" rank="0" priority="2317" equalAverage="0" operator="lessThan" aboveAverage="0" dxfId="8" text="" percent="0" bottom="0">
      <formula>0</formula>
    </cfRule>
  </conditionalFormatting>
  <conditionalFormatting sqref="I585">
    <cfRule type="cellIs" rank="0" priority="2318" equalAverage="0" operator="greaterThan" aboveAverage="0" dxfId="7" text="" percent="0" bottom="0">
      <formula>0</formula>
    </cfRule>
  </conditionalFormatting>
  <conditionalFormatting sqref="K585">
    <cfRule type="cellIs" rank="0" priority="2319" equalAverage="0" operator="greaterThan" aboveAverage="0" dxfId="7" text="" percent="0" bottom="0">
      <formula>0</formula>
    </cfRule>
  </conditionalFormatting>
  <conditionalFormatting sqref="N585">
    <cfRule type="cellIs" rank="0" priority="2320" equalAverage="0" operator="greaterThan" aboveAverage="0" dxfId="7" text="" percent="0" bottom="0">
      <formula>0</formula>
    </cfRule>
    <cfRule type="cellIs" rank="0" priority="2321" equalAverage="0" operator="lessThan" aboveAverage="0" dxfId="8" text="" percent="0" bottom="0">
      <formula>0</formula>
    </cfRule>
  </conditionalFormatting>
  <conditionalFormatting sqref="I586">
    <cfRule type="cellIs" rank="0" priority="2322" equalAverage="0" operator="greaterThan" aboveAverage="0" dxfId="7" text="" percent="0" bottom="0">
      <formula>0</formula>
    </cfRule>
  </conditionalFormatting>
  <conditionalFormatting sqref="K586">
    <cfRule type="cellIs" rank="0" priority="2323" equalAverage="0" operator="greaterThan" aboveAverage="0" dxfId="7" text="" percent="0" bottom="0">
      <formula>0</formula>
    </cfRule>
  </conditionalFormatting>
  <conditionalFormatting sqref="N586">
    <cfRule type="cellIs" rank="0" priority="2324" equalAverage="0" operator="greaterThan" aboveAverage="0" dxfId="7" text="" percent="0" bottom="0">
      <formula>0</formula>
    </cfRule>
    <cfRule type="cellIs" rank="0" priority="2325" equalAverage="0" operator="lessThan" aboveAverage="0" dxfId="8" text="" percent="0" bottom="0">
      <formula>0</formula>
    </cfRule>
  </conditionalFormatting>
  <conditionalFormatting sqref="I587">
    <cfRule type="cellIs" rank="0" priority="2326" equalAverage="0" operator="greaterThan" aboveAverage="0" dxfId="7" text="" percent="0" bottom="0">
      <formula>0</formula>
    </cfRule>
  </conditionalFormatting>
  <conditionalFormatting sqref="K587">
    <cfRule type="cellIs" rank="0" priority="2327" equalAverage="0" operator="greaterThan" aboveAverage="0" dxfId="7" text="" percent="0" bottom="0">
      <formula>0</formula>
    </cfRule>
  </conditionalFormatting>
  <conditionalFormatting sqref="N587">
    <cfRule type="cellIs" rank="0" priority="2328" equalAverage="0" operator="greaterThan" aboveAverage="0" dxfId="7" text="" percent="0" bottom="0">
      <formula>0</formula>
    </cfRule>
    <cfRule type="cellIs" rank="0" priority="2329" equalAverage="0" operator="lessThan" aboveAverage="0" dxfId="8" text="" percent="0" bottom="0">
      <formula>0</formula>
    </cfRule>
  </conditionalFormatting>
  <conditionalFormatting sqref="I588">
    <cfRule type="cellIs" rank="0" priority="2330" equalAverage="0" operator="greaterThan" aboveAverage="0" dxfId="7" text="" percent="0" bottom="0">
      <formula>0</formula>
    </cfRule>
  </conditionalFormatting>
  <conditionalFormatting sqref="K588">
    <cfRule type="cellIs" rank="0" priority="2331" equalAverage="0" operator="greaterThan" aboveAverage="0" dxfId="7" text="" percent="0" bottom="0">
      <formula>0</formula>
    </cfRule>
  </conditionalFormatting>
  <conditionalFormatting sqref="N588">
    <cfRule type="cellIs" rank="0" priority="2332" equalAverage="0" operator="greaterThan" aboveAverage="0" dxfId="7" text="" percent="0" bottom="0">
      <formula>0</formula>
    </cfRule>
    <cfRule type="cellIs" rank="0" priority="2333" equalAverage="0" operator="lessThan" aboveAverage="0" dxfId="8" text="" percent="0" bottom="0">
      <formula>0</formula>
    </cfRule>
  </conditionalFormatting>
  <conditionalFormatting sqref="I589">
    <cfRule type="cellIs" rank="0" priority="2334" equalAverage="0" operator="greaterThan" aboveAverage="0" dxfId="7" text="" percent="0" bottom="0">
      <formula>0</formula>
    </cfRule>
  </conditionalFormatting>
  <conditionalFormatting sqref="K589">
    <cfRule type="cellIs" rank="0" priority="2335" equalAverage="0" operator="greaterThan" aboveAverage="0" dxfId="7" text="" percent="0" bottom="0">
      <formula>0</formula>
    </cfRule>
  </conditionalFormatting>
  <conditionalFormatting sqref="N589">
    <cfRule type="cellIs" rank="0" priority="2336" equalAverage="0" operator="greaterThan" aboveAverage="0" dxfId="7" text="" percent="0" bottom="0">
      <formula>0</formula>
    </cfRule>
    <cfRule type="cellIs" rank="0" priority="2337" equalAverage="0" operator="lessThan" aboveAverage="0" dxfId="8" text="" percent="0" bottom="0">
      <formula>0</formula>
    </cfRule>
  </conditionalFormatting>
  <conditionalFormatting sqref="I590">
    <cfRule type="cellIs" rank="0" priority="2338" equalAverage="0" operator="greaterThan" aboveAverage="0" dxfId="7" text="" percent="0" bottom="0">
      <formula>0</formula>
    </cfRule>
  </conditionalFormatting>
  <conditionalFormatting sqref="K590">
    <cfRule type="cellIs" rank="0" priority="2339" equalAverage="0" operator="greaterThan" aboveAverage="0" dxfId="7" text="" percent="0" bottom="0">
      <formula>0</formula>
    </cfRule>
  </conditionalFormatting>
  <conditionalFormatting sqref="N590">
    <cfRule type="cellIs" rank="0" priority="2340" equalAverage="0" operator="greaterThan" aboveAverage="0" dxfId="7" text="" percent="0" bottom="0">
      <formula>0</formula>
    </cfRule>
    <cfRule type="cellIs" rank="0" priority="2341" equalAverage="0" operator="lessThan" aboveAverage="0" dxfId="8" text="" percent="0" bottom="0">
      <formula>0</formula>
    </cfRule>
  </conditionalFormatting>
  <conditionalFormatting sqref="I591">
    <cfRule type="cellIs" rank="0" priority="2342" equalAverage="0" operator="greaterThan" aboveAverage="0" dxfId="7" text="" percent="0" bottom="0">
      <formula>0</formula>
    </cfRule>
  </conditionalFormatting>
  <conditionalFormatting sqref="K591">
    <cfRule type="cellIs" rank="0" priority="2343" equalAverage="0" operator="greaterThan" aboveAverage="0" dxfId="7" text="" percent="0" bottom="0">
      <formula>0</formula>
    </cfRule>
  </conditionalFormatting>
  <conditionalFormatting sqref="N591">
    <cfRule type="cellIs" rank="0" priority="2344" equalAverage="0" operator="greaterThan" aboveAverage="0" dxfId="7" text="" percent="0" bottom="0">
      <formula>0</formula>
    </cfRule>
    <cfRule type="cellIs" rank="0" priority="2345" equalAverage="0" operator="lessThan" aboveAverage="0" dxfId="8" text="" percent="0" bottom="0">
      <formula>0</formula>
    </cfRule>
  </conditionalFormatting>
  <conditionalFormatting sqref="I592">
    <cfRule type="cellIs" rank="0" priority="2346" equalAverage="0" operator="greaterThan" aboveAverage="0" dxfId="7" text="" percent="0" bottom="0">
      <formula>0</formula>
    </cfRule>
  </conditionalFormatting>
  <conditionalFormatting sqref="K592">
    <cfRule type="cellIs" rank="0" priority="2347" equalAverage="0" operator="greaterThan" aboveAverage="0" dxfId="7" text="" percent="0" bottom="0">
      <formula>0</formula>
    </cfRule>
  </conditionalFormatting>
  <conditionalFormatting sqref="N592">
    <cfRule type="cellIs" rank="0" priority="2348" equalAverage="0" operator="greaterThan" aboveAverage="0" dxfId="7" text="" percent="0" bottom="0">
      <formula>0</formula>
    </cfRule>
    <cfRule type="cellIs" rank="0" priority="2349" equalAverage="0" operator="lessThan" aboveAverage="0" dxfId="8" text="" percent="0" bottom="0">
      <formula>0</formula>
    </cfRule>
  </conditionalFormatting>
  <conditionalFormatting sqref="I593">
    <cfRule type="cellIs" rank="0" priority="2350" equalAverage="0" operator="greaterThan" aboveAverage="0" dxfId="7" text="" percent="0" bottom="0">
      <formula>0</formula>
    </cfRule>
  </conditionalFormatting>
  <conditionalFormatting sqref="K593">
    <cfRule type="cellIs" rank="0" priority="2351" equalAverage="0" operator="greaterThan" aboveAverage="0" dxfId="7" text="" percent="0" bottom="0">
      <formula>0</formula>
    </cfRule>
  </conditionalFormatting>
  <conditionalFormatting sqref="N593">
    <cfRule type="cellIs" rank="0" priority="2352" equalAverage="0" operator="greaterThan" aboveAverage="0" dxfId="7" text="" percent="0" bottom="0">
      <formula>0</formula>
    </cfRule>
    <cfRule type="cellIs" rank="0" priority="2353" equalAverage="0" operator="lessThan" aboveAverage="0" dxfId="8" text="" percent="0" bottom="0">
      <formula>0</formula>
    </cfRule>
  </conditionalFormatting>
  <conditionalFormatting sqref="I594">
    <cfRule type="cellIs" rank="0" priority="2354" equalAverage="0" operator="greaterThan" aboveAverage="0" dxfId="7" text="" percent="0" bottom="0">
      <formula>0</formula>
    </cfRule>
  </conditionalFormatting>
  <conditionalFormatting sqref="K594">
    <cfRule type="cellIs" rank="0" priority="2355" equalAverage="0" operator="greaterThan" aboveAverage="0" dxfId="7" text="" percent="0" bottom="0">
      <formula>0</formula>
    </cfRule>
  </conditionalFormatting>
  <conditionalFormatting sqref="N594">
    <cfRule type="cellIs" rank="0" priority="2356" equalAverage="0" operator="greaterThan" aboveAverage="0" dxfId="7" text="" percent="0" bottom="0">
      <formula>0</formula>
    </cfRule>
    <cfRule type="cellIs" rank="0" priority="2357" equalAverage="0" operator="lessThan" aboveAverage="0" dxfId="8" text="" percent="0" bottom="0">
      <formula>0</formula>
    </cfRule>
  </conditionalFormatting>
  <conditionalFormatting sqref="I595">
    <cfRule type="cellIs" rank="0" priority="2358" equalAverage="0" operator="greaterThan" aboveAverage="0" dxfId="7" text="" percent="0" bottom="0">
      <formula>0</formula>
    </cfRule>
  </conditionalFormatting>
  <conditionalFormatting sqref="K595">
    <cfRule type="cellIs" rank="0" priority="2359" equalAverage="0" operator="greaterThan" aboveAverage="0" dxfId="7" text="" percent="0" bottom="0">
      <formula>0</formula>
    </cfRule>
  </conditionalFormatting>
  <conditionalFormatting sqref="N595">
    <cfRule type="cellIs" rank="0" priority="2360" equalAverage="0" operator="greaterThan" aboveAverage="0" dxfId="7" text="" percent="0" bottom="0">
      <formula>0</formula>
    </cfRule>
    <cfRule type="cellIs" rank="0" priority="2361" equalAverage="0" operator="lessThan" aboveAverage="0" dxfId="8" text="" percent="0" bottom="0">
      <formula>0</formula>
    </cfRule>
  </conditionalFormatting>
  <conditionalFormatting sqref="I596">
    <cfRule type="cellIs" rank="0" priority="2362" equalAverage="0" operator="greaterThan" aboveAverage="0" dxfId="7" text="" percent="0" bottom="0">
      <formula>0</formula>
    </cfRule>
  </conditionalFormatting>
  <conditionalFormatting sqref="K596">
    <cfRule type="cellIs" rank="0" priority="2363" equalAverage="0" operator="greaterThan" aboveAverage="0" dxfId="7" text="" percent="0" bottom="0">
      <formula>0</formula>
    </cfRule>
  </conditionalFormatting>
  <conditionalFormatting sqref="N596">
    <cfRule type="cellIs" rank="0" priority="2364" equalAverage="0" operator="greaterThan" aboveAverage="0" dxfId="7" text="" percent="0" bottom="0">
      <formula>0</formula>
    </cfRule>
    <cfRule type="cellIs" rank="0" priority="2365" equalAverage="0" operator="lessThan" aboveAverage="0" dxfId="8" text="" percent="0" bottom="0">
      <formula>0</formula>
    </cfRule>
  </conditionalFormatting>
  <conditionalFormatting sqref="I597">
    <cfRule type="cellIs" rank="0" priority="2366" equalAverage="0" operator="greaterThan" aboveAverage="0" dxfId="7" text="" percent="0" bottom="0">
      <formula>0</formula>
    </cfRule>
  </conditionalFormatting>
  <conditionalFormatting sqref="K597">
    <cfRule type="cellIs" rank="0" priority="2367" equalAverage="0" operator="greaterThan" aboveAverage="0" dxfId="7" text="" percent="0" bottom="0">
      <formula>0</formula>
    </cfRule>
  </conditionalFormatting>
  <conditionalFormatting sqref="N597">
    <cfRule type="cellIs" rank="0" priority="2368" equalAverage="0" operator="greaterThan" aboveAverage="0" dxfId="7" text="" percent="0" bottom="0">
      <formula>0</formula>
    </cfRule>
    <cfRule type="cellIs" rank="0" priority="2369" equalAverage="0" operator="lessThan" aboveAverage="0" dxfId="8" text="" percent="0" bottom="0">
      <formula>0</formula>
    </cfRule>
  </conditionalFormatting>
  <conditionalFormatting sqref="I598">
    <cfRule type="cellIs" rank="0" priority="2370" equalAverage="0" operator="greaterThan" aboveAverage="0" dxfId="7" text="" percent="0" bottom="0">
      <formula>0</formula>
    </cfRule>
  </conditionalFormatting>
  <conditionalFormatting sqref="K598">
    <cfRule type="cellIs" rank="0" priority="2371" equalAverage="0" operator="greaterThan" aboveAverage="0" dxfId="7" text="" percent="0" bottom="0">
      <formula>0</formula>
    </cfRule>
  </conditionalFormatting>
  <conditionalFormatting sqref="N598">
    <cfRule type="cellIs" rank="0" priority="2372" equalAverage="0" operator="greaterThan" aboveAverage="0" dxfId="7" text="" percent="0" bottom="0">
      <formula>0</formula>
    </cfRule>
    <cfRule type="cellIs" rank="0" priority="2373" equalAverage="0" operator="lessThan" aboveAverage="0" dxfId="8" text="" percent="0" bottom="0">
      <formula>0</formula>
    </cfRule>
  </conditionalFormatting>
  <conditionalFormatting sqref="I599">
    <cfRule type="cellIs" rank="0" priority="2374" equalAverage="0" operator="greaterThan" aboveAverage="0" dxfId="7" text="" percent="0" bottom="0">
      <formula>0</formula>
    </cfRule>
  </conditionalFormatting>
  <conditionalFormatting sqref="K599">
    <cfRule type="cellIs" rank="0" priority="2375" equalAverage="0" operator="greaterThan" aboveAverage="0" dxfId="7" text="" percent="0" bottom="0">
      <formula>0</formula>
    </cfRule>
  </conditionalFormatting>
  <conditionalFormatting sqref="N599">
    <cfRule type="cellIs" rank="0" priority="2376" equalAverage="0" operator="greaterThan" aboveAverage="0" dxfId="7" text="" percent="0" bottom="0">
      <formula>0</formula>
    </cfRule>
    <cfRule type="cellIs" rank="0" priority="2377" equalAverage="0" operator="lessThan" aboveAverage="0" dxfId="8" text="" percent="0" bottom="0">
      <formula>0</formula>
    </cfRule>
  </conditionalFormatting>
  <conditionalFormatting sqref="I600">
    <cfRule type="cellIs" rank="0" priority="2378" equalAverage="0" operator="greaterThan" aboveAverage="0" dxfId="7" text="" percent="0" bottom="0">
      <formula>0</formula>
    </cfRule>
  </conditionalFormatting>
  <conditionalFormatting sqref="K600">
    <cfRule type="cellIs" rank="0" priority="2379" equalAverage="0" operator="greaterThan" aboveAverage="0" dxfId="7" text="" percent="0" bottom="0">
      <formula>0</formula>
    </cfRule>
  </conditionalFormatting>
  <conditionalFormatting sqref="N600">
    <cfRule type="cellIs" rank="0" priority="2380" equalAverage="0" operator="greaterThan" aboveAverage="0" dxfId="7" text="" percent="0" bottom="0">
      <formula>0</formula>
    </cfRule>
    <cfRule type="cellIs" rank="0" priority="2381" equalAverage="0" operator="lessThan" aboveAverage="0" dxfId="8" text="" percent="0" bottom="0">
      <formula>0</formula>
    </cfRule>
  </conditionalFormatting>
  <conditionalFormatting sqref="I601">
    <cfRule type="cellIs" rank="0" priority="2382" equalAverage="0" operator="greaterThan" aboveAverage="0" dxfId="7" text="" percent="0" bottom="0">
      <formula>0</formula>
    </cfRule>
  </conditionalFormatting>
  <conditionalFormatting sqref="K601">
    <cfRule type="cellIs" rank="0" priority="2383" equalAverage="0" operator="greaterThan" aboveAverage="0" dxfId="7" text="" percent="0" bottom="0">
      <formula>0</formula>
    </cfRule>
  </conditionalFormatting>
  <conditionalFormatting sqref="N601">
    <cfRule type="cellIs" rank="0" priority="2384" equalAverage="0" operator="greaterThan" aboveAverage="0" dxfId="7" text="" percent="0" bottom="0">
      <formula>0</formula>
    </cfRule>
    <cfRule type="cellIs" rank="0" priority="2385" equalAverage="0" operator="lessThan" aboveAverage="0" dxfId="8" text="" percent="0" bottom="0">
      <formula>0</formula>
    </cfRule>
  </conditionalFormatting>
  <conditionalFormatting sqref="I602">
    <cfRule type="cellIs" rank="0" priority="2386" equalAverage="0" operator="greaterThan" aboveAverage="0" dxfId="7" text="" percent="0" bottom="0">
      <formula>0</formula>
    </cfRule>
  </conditionalFormatting>
  <conditionalFormatting sqref="K602">
    <cfRule type="cellIs" rank="0" priority="2387" equalAverage="0" operator="greaterThan" aboveAverage="0" dxfId="7" text="" percent="0" bottom="0">
      <formula>0</formula>
    </cfRule>
  </conditionalFormatting>
  <conditionalFormatting sqref="N602">
    <cfRule type="cellIs" rank="0" priority="2388" equalAverage="0" operator="greaterThan" aboveAverage="0" dxfId="7" text="" percent="0" bottom="0">
      <formula>0</formula>
    </cfRule>
    <cfRule type="cellIs" rank="0" priority="2389" equalAverage="0" operator="lessThan" aboveAverage="0" dxfId="8" text="" percent="0" bottom="0">
      <formula>0</formula>
    </cfRule>
  </conditionalFormatting>
  <conditionalFormatting sqref="I603">
    <cfRule type="cellIs" rank="0" priority="2390" equalAverage="0" operator="greaterThan" aboveAverage="0" dxfId="7" text="" percent="0" bottom="0">
      <formula>0</formula>
    </cfRule>
  </conditionalFormatting>
  <conditionalFormatting sqref="K603">
    <cfRule type="cellIs" rank="0" priority="2391" equalAverage="0" operator="greaterThan" aboveAverage="0" dxfId="7" text="" percent="0" bottom="0">
      <formula>0</formula>
    </cfRule>
  </conditionalFormatting>
  <conditionalFormatting sqref="N603">
    <cfRule type="cellIs" rank="0" priority="2392" equalAverage="0" operator="greaterThan" aboveAverage="0" dxfId="7" text="" percent="0" bottom="0">
      <formula>0</formula>
    </cfRule>
    <cfRule type="cellIs" rank="0" priority="2393" equalAverage="0" operator="lessThan" aboveAverage="0" dxfId="8" text="" percent="0" bottom="0">
      <formula>0</formula>
    </cfRule>
  </conditionalFormatting>
  <conditionalFormatting sqref="I604">
    <cfRule type="cellIs" rank="0" priority="2394" equalAverage="0" operator="greaterThan" aboveAverage="0" dxfId="7" text="" percent="0" bottom="0">
      <formula>0</formula>
    </cfRule>
  </conditionalFormatting>
  <conditionalFormatting sqref="K604">
    <cfRule type="cellIs" rank="0" priority="2395" equalAverage="0" operator="greaterThan" aboveAverage="0" dxfId="7" text="" percent="0" bottom="0">
      <formula>0</formula>
    </cfRule>
  </conditionalFormatting>
  <conditionalFormatting sqref="N604">
    <cfRule type="cellIs" rank="0" priority="2396" equalAverage="0" operator="greaterThan" aboveAverage="0" dxfId="7" text="" percent="0" bottom="0">
      <formula>0</formula>
    </cfRule>
    <cfRule type="cellIs" rank="0" priority="2397" equalAverage="0" operator="lessThan" aboveAverage="0" dxfId="8" text="" percent="0" bottom="0">
      <formula>0</formula>
    </cfRule>
  </conditionalFormatting>
  <conditionalFormatting sqref="I605">
    <cfRule type="cellIs" rank="0" priority="2398" equalAverage="0" operator="greaterThan" aboveAverage="0" dxfId="7" text="" percent="0" bottom="0">
      <formula>0</formula>
    </cfRule>
  </conditionalFormatting>
  <conditionalFormatting sqref="K605">
    <cfRule type="cellIs" rank="0" priority="2399" equalAverage="0" operator="greaterThan" aboveAverage="0" dxfId="7" text="" percent="0" bottom="0">
      <formula>0</formula>
    </cfRule>
  </conditionalFormatting>
  <conditionalFormatting sqref="N605">
    <cfRule type="cellIs" rank="0" priority="2400" equalAverage="0" operator="greaterThan" aboveAverage="0" dxfId="7" text="" percent="0" bottom="0">
      <formula>0</formula>
    </cfRule>
    <cfRule type="cellIs" rank="0" priority="2401" equalAverage="0" operator="lessThan" aboveAverage="0" dxfId="8" text="" percent="0" bottom="0">
      <formula>0</formula>
    </cfRule>
  </conditionalFormatting>
  <conditionalFormatting sqref="I606">
    <cfRule type="cellIs" rank="0" priority="2402" equalAverage="0" operator="greaterThan" aboveAverage="0" dxfId="7" text="" percent="0" bottom="0">
      <formula>0</formula>
    </cfRule>
  </conditionalFormatting>
  <conditionalFormatting sqref="K606">
    <cfRule type="cellIs" rank="0" priority="2403" equalAverage="0" operator="greaterThan" aboveAverage="0" dxfId="7" text="" percent="0" bottom="0">
      <formula>0</formula>
    </cfRule>
  </conditionalFormatting>
  <conditionalFormatting sqref="N606">
    <cfRule type="cellIs" rank="0" priority="2404" equalAverage="0" operator="greaterThan" aboveAverage="0" dxfId="7" text="" percent="0" bottom="0">
      <formula>0</formula>
    </cfRule>
    <cfRule type="cellIs" rank="0" priority="2405" equalAverage="0" operator="lessThan" aboveAverage="0" dxfId="8" text="" percent="0" bottom="0">
      <formula>0</formula>
    </cfRule>
  </conditionalFormatting>
  <conditionalFormatting sqref="I607">
    <cfRule type="cellIs" rank="0" priority="2406" equalAverage="0" operator="greaterThan" aboveAverage="0" dxfId="7" text="" percent="0" bottom="0">
      <formula>0</formula>
    </cfRule>
  </conditionalFormatting>
  <conditionalFormatting sqref="K607">
    <cfRule type="cellIs" rank="0" priority="2407" equalAverage="0" operator="greaterThan" aboveAverage="0" dxfId="7" text="" percent="0" bottom="0">
      <formula>0</formula>
    </cfRule>
  </conditionalFormatting>
  <conditionalFormatting sqref="N607">
    <cfRule type="cellIs" rank="0" priority="2408" equalAverage="0" operator="greaterThan" aboveAverage="0" dxfId="7" text="" percent="0" bottom="0">
      <formula>0</formula>
    </cfRule>
    <cfRule type="cellIs" rank="0" priority="2409" equalAverage="0" operator="lessThan" aboveAverage="0" dxfId="8" text="" percent="0" bottom="0">
      <formula>0</formula>
    </cfRule>
  </conditionalFormatting>
  <conditionalFormatting sqref="I608">
    <cfRule type="cellIs" rank="0" priority="2410" equalAverage="0" operator="greaterThan" aboveAverage="0" dxfId="7" text="" percent="0" bottom="0">
      <formula>0</formula>
    </cfRule>
  </conditionalFormatting>
  <conditionalFormatting sqref="K608">
    <cfRule type="cellIs" rank="0" priority="2411" equalAverage="0" operator="greaterThan" aboveAverage="0" dxfId="7" text="" percent="0" bottom="0">
      <formula>0</formula>
    </cfRule>
  </conditionalFormatting>
  <conditionalFormatting sqref="N608">
    <cfRule type="cellIs" rank="0" priority="2412" equalAverage="0" operator="greaterThan" aboveAverage="0" dxfId="7" text="" percent="0" bottom="0">
      <formula>0</formula>
    </cfRule>
    <cfRule type="cellIs" rank="0" priority="2413" equalAverage="0" operator="lessThan" aboveAverage="0" dxfId="8" text="" percent="0" bottom="0">
      <formula>0</formula>
    </cfRule>
  </conditionalFormatting>
  <conditionalFormatting sqref="I609">
    <cfRule type="cellIs" rank="0" priority="2414" equalAverage="0" operator="greaterThan" aboveAverage="0" dxfId="7" text="" percent="0" bottom="0">
      <formula>0</formula>
    </cfRule>
  </conditionalFormatting>
  <conditionalFormatting sqref="K609">
    <cfRule type="cellIs" rank="0" priority="2415" equalAverage="0" operator="greaterThan" aboveAverage="0" dxfId="7" text="" percent="0" bottom="0">
      <formula>0</formula>
    </cfRule>
  </conditionalFormatting>
  <conditionalFormatting sqref="N609">
    <cfRule type="cellIs" rank="0" priority="2416" equalAverage="0" operator="greaterThan" aboveAverage="0" dxfId="7" text="" percent="0" bottom="0">
      <formula>0</formula>
    </cfRule>
    <cfRule type="cellIs" rank="0" priority="2417" equalAverage="0" operator="lessThan" aboveAverage="0" dxfId="8" text="" percent="0" bottom="0">
      <formula>0</formula>
    </cfRule>
  </conditionalFormatting>
  <conditionalFormatting sqref="I610">
    <cfRule type="cellIs" rank="0" priority="2418" equalAverage="0" operator="greaterThan" aboveAverage="0" dxfId="7" text="" percent="0" bottom="0">
      <formula>0</formula>
    </cfRule>
  </conditionalFormatting>
  <conditionalFormatting sqref="K610">
    <cfRule type="cellIs" rank="0" priority="2419" equalAverage="0" operator="greaterThan" aboveAverage="0" dxfId="7" text="" percent="0" bottom="0">
      <formula>0</formula>
    </cfRule>
  </conditionalFormatting>
  <conditionalFormatting sqref="N610">
    <cfRule type="cellIs" rank="0" priority="2420" equalAverage="0" operator="greaterThan" aboveAverage="0" dxfId="7" text="" percent="0" bottom="0">
      <formula>0</formula>
    </cfRule>
    <cfRule type="cellIs" rank="0" priority="2421" equalAverage="0" operator="lessThan" aboveAverage="0" dxfId="8" text="" percent="0" bottom="0">
      <formula>0</formula>
    </cfRule>
  </conditionalFormatting>
  <conditionalFormatting sqref="I611">
    <cfRule type="cellIs" rank="0" priority="2422" equalAverage="0" operator="greaterThan" aboveAverage="0" dxfId="7" text="" percent="0" bottom="0">
      <formula>0</formula>
    </cfRule>
  </conditionalFormatting>
  <conditionalFormatting sqref="K611">
    <cfRule type="cellIs" rank="0" priority="2423" equalAverage="0" operator="greaterThan" aboveAverage="0" dxfId="7" text="" percent="0" bottom="0">
      <formula>0</formula>
    </cfRule>
  </conditionalFormatting>
  <conditionalFormatting sqref="N611">
    <cfRule type="cellIs" rank="0" priority="2424" equalAverage="0" operator="greaterThan" aboveAverage="0" dxfId="7" text="" percent="0" bottom="0">
      <formula>0</formula>
    </cfRule>
    <cfRule type="cellIs" rank="0" priority="2425" equalAverage="0" operator="lessThan" aboveAverage="0" dxfId="8" text="" percent="0" bottom="0">
      <formula>0</formula>
    </cfRule>
  </conditionalFormatting>
  <conditionalFormatting sqref="I612">
    <cfRule type="cellIs" rank="0" priority="2426" equalAverage="0" operator="greaterThan" aboveAverage="0" dxfId="7" text="" percent="0" bottom="0">
      <formula>0</formula>
    </cfRule>
  </conditionalFormatting>
  <conditionalFormatting sqref="K612">
    <cfRule type="cellIs" rank="0" priority="2427" equalAverage="0" operator="greaterThan" aboveAverage="0" dxfId="7" text="" percent="0" bottom="0">
      <formula>0</formula>
    </cfRule>
  </conditionalFormatting>
  <conditionalFormatting sqref="N612">
    <cfRule type="cellIs" rank="0" priority="2428" equalAverage="0" operator="greaterThan" aboveAverage="0" dxfId="7" text="" percent="0" bottom="0">
      <formula>0</formula>
    </cfRule>
    <cfRule type="cellIs" rank="0" priority="2429" equalAverage="0" operator="lessThan" aboveAverage="0" dxfId="8" text="" percent="0" bottom="0">
      <formula>0</formula>
    </cfRule>
  </conditionalFormatting>
  <conditionalFormatting sqref="I613">
    <cfRule type="cellIs" rank="0" priority="2430" equalAverage="0" operator="greaterThan" aboveAverage="0" dxfId="7" text="" percent="0" bottom="0">
      <formula>0</formula>
    </cfRule>
  </conditionalFormatting>
  <conditionalFormatting sqref="K613">
    <cfRule type="cellIs" rank="0" priority="2431" equalAverage="0" operator="greaterThan" aboveAverage="0" dxfId="7" text="" percent="0" bottom="0">
      <formula>0</formula>
    </cfRule>
  </conditionalFormatting>
  <conditionalFormatting sqref="N613">
    <cfRule type="cellIs" rank="0" priority="2432" equalAverage="0" operator="greaterThan" aboveAverage="0" dxfId="7" text="" percent="0" bottom="0">
      <formula>0</formula>
    </cfRule>
    <cfRule type="cellIs" rank="0" priority="2433" equalAverage="0" operator="lessThan" aboveAverage="0" dxfId="8" text="" percent="0" bottom="0">
      <formula>0</formula>
    </cfRule>
  </conditionalFormatting>
  <conditionalFormatting sqref="I614">
    <cfRule type="cellIs" rank="0" priority="2434" equalAverage="0" operator="greaterThan" aboveAverage="0" dxfId="7" text="" percent="0" bottom="0">
      <formula>0</formula>
    </cfRule>
  </conditionalFormatting>
  <conditionalFormatting sqref="K614">
    <cfRule type="cellIs" rank="0" priority="2435" equalAverage="0" operator="greaterThan" aboveAverage="0" dxfId="7" text="" percent="0" bottom="0">
      <formula>0</formula>
    </cfRule>
  </conditionalFormatting>
  <conditionalFormatting sqref="N614">
    <cfRule type="cellIs" rank="0" priority="2436" equalAverage="0" operator="greaterThan" aboveAverage="0" dxfId="7" text="" percent="0" bottom="0">
      <formula>0</formula>
    </cfRule>
    <cfRule type="cellIs" rank="0" priority="2437" equalAverage="0" operator="lessThan" aboveAverage="0" dxfId="8" text="" percent="0" bottom="0">
      <formula>0</formula>
    </cfRule>
  </conditionalFormatting>
  <conditionalFormatting sqref="I615">
    <cfRule type="cellIs" rank="0" priority="2438" equalAverage="0" operator="greaterThan" aboveAverage="0" dxfId="7" text="" percent="0" bottom="0">
      <formula>0</formula>
    </cfRule>
  </conditionalFormatting>
  <conditionalFormatting sqref="K615">
    <cfRule type="cellIs" rank="0" priority="2439" equalAverage="0" operator="greaterThan" aboveAverage="0" dxfId="7" text="" percent="0" bottom="0">
      <formula>0</formula>
    </cfRule>
  </conditionalFormatting>
  <conditionalFormatting sqref="N615">
    <cfRule type="cellIs" rank="0" priority="2440" equalAverage="0" operator="greaterThan" aboveAverage="0" dxfId="7" text="" percent="0" bottom="0">
      <formula>0</formula>
    </cfRule>
    <cfRule type="cellIs" rank="0" priority="2441" equalAverage="0" operator="lessThan" aboveAverage="0" dxfId="8" text="" percent="0" bottom="0">
      <formula>0</formula>
    </cfRule>
  </conditionalFormatting>
  <conditionalFormatting sqref="I616">
    <cfRule type="cellIs" rank="0" priority="2442" equalAverage="0" operator="greaterThan" aboveAverage="0" dxfId="7" text="" percent="0" bottom="0">
      <formula>0</formula>
    </cfRule>
  </conditionalFormatting>
  <conditionalFormatting sqref="K616">
    <cfRule type="cellIs" rank="0" priority="2443" equalAverage="0" operator="greaterThan" aboveAverage="0" dxfId="7" text="" percent="0" bottom="0">
      <formula>0</formula>
    </cfRule>
  </conditionalFormatting>
  <conditionalFormatting sqref="N616">
    <cfRule type="cellIs" rank="0" priority="2444" equalAverage="0" operator="greaterThan" aboveAverage="0" dxfId="7" text="" percent="0" bottom="0">
      <formula>0</formula>
    </cfRule>
    <cfRule type="cellIs" rank="0" priority="2445" equalAverage="0" operator="lessThan" aboveAverage="0" dxfId="8" text="" percent="0" bottom="0">
      <formula>0</formula>
    </cfRule>
  </conditionalFormatting>
  <conditionalFormatting sqref="I617">
    <cfRule type="cellIs" rank="0" priority="2446" equalAverage="0" operator="greaterThan" aboveAverage="0" dxfId="7" text="" percent="0" bottom="0">
      <formula>0</formula>
    </cfRule>
  </conditionalFormatting>
  <conditionalFormatting sqref="K617">
    <cfRule type="cellIs" rank="0" priority="2447" equalAverage="0" operator="greaterThan" aboveAverage="0" dxfId="7" text="" percent="0" bottom="0">
      <formula>0</formula>
    </cfRule>
  </conditionalFormatting>
  <conditionalFormatting sqref="N617">
    <cfRule type="cellIs" rank="0" priority="2448" equalAverage="0" operator="greaterThan" aboveAverage="0" dxfId="7" text="" percent="0" bottom="0">
      <formula>0</formula>
    </cfRule>
    <cfRule type="cellIs" rank="0" priority="2449" equalAverage="0" operator="lessThan" aboveAverage="0" dxfId="8" text="" percent="0" bottom="0">
      <formula>0</formula>
    </cfRule>
  </conditionalFormatting>
  <conditionalFormatting sqref="I618">
    <cfRule type="cellIs" rank="0" priority="2450" equalAverage="0" operator="greaterThan" aboveAverage="0" dxfId="7" text="" percent="0" bottom="0">
      <formula>0</formula>
    </cfRule>
  </conditionalFormatting>
  <conditionalFormatting sqref="K618">
    <cfRule type="cellIs" rank="0" priority="2451" equalAverage="0" operator="greaterThan" aboveAverage="0" dxfId="7" text="" percent="0" bottom="0">
      <formula>0</formula>
    </cfRule>
  </conditionalFormatting>
  <conditionalFormatting sqref="N618">
    <cfRule type="cellIs" rank="0" priority="2452" equalAverage="0" operator="greaterThan" aboveAverage="0" dxfId="7" text="" percent="0" bottom="0">
      <formula>0</formula>
    </cfRule>
    <cfRule type="cellIs" rank="0" priority="2453" equalAverage="0" operator="lessThan" aboveAverage="0" dxfId="8" text="" percent="0" bottom="0">
      <formula>0</formula>
    </cfRule>
  </conditionalFormatting>
  <conditionalFormatting sqref="I619">
    <cfRule type="cellIs" rank="0" priority="2454" equalAverage="0" operator="greaterThan" aboveAverage="0" dxfId="7" text="" percent="0" bottom="0">
      <formula>0</formula>
    </cfRule>
  </conditionalFormatting>
  <conditionalFormatting sqref="K619">
    <cfRule type="cellIs" rank="0" priority="2455" equalAverage="0" operator="greaterThan" aboveAverage="0" dxfId="7" text="" percent="0" bottom="0">
      <formula>0</formula>
    </cfRule>
  </conditionalFormatting>
  <conditionalFormatting sqref="N619">
    <cfRule type="cellIs" rank="0" priority="2456" equalAverage="0" operator="greaterThan" aboveAverage="0" dxfId="7" text="" percent="0" bottom="0">
      <formula>0</formula>
    </cfRule>
    <cfRule type="cellIs" rank="0" priority="2457" equalAverage="0" operator="lessThan" aboveAverage="0" dxfId="8" text="" percent="0" bottom="0">
      <formula>0</formula>
    </cfRule>
  </conditionalFormatting>
  <conditionalFormatting sqref="I620">
    <cfRule type="cellIs" rank="0" priority="2458" equalAverage="0" operator="greaterThan" aboveAverage="0" dxfId="7" text="" percent="0" bottom="0">
      <formula>0</formula>
    </cfRule>
  </conditionalFormatting>
  <conditionalFormatting sqref="K620">
    <cfRule type="cellIs" rank="0" priority="2459" equalAverage="0" operator="greaterThan" aboveAverage="0" dxfId="7" text="" percent="0" bottom="0">
      <formula>0</formula>
    </cfRule>
  </conditionalFormatting>
  <conditionalFormatting sqref="N620">
    <cfRule type="cellIs" rank="0" priority="2460" equalAverage="0" operator="greaterThan" aboveAverage="0" dxfId="7" text="" percent="0" bottom="0">
      <formula>0</formula>
    </cfRule>
    <cfRule type="cellIs" rank="0" priority="2461" equalAverage="0" operator="lessThan" aboveAverage="0" dxfId="8" text="" percent="0" bottom="0">
      <formula>0</formula>
    </cfRule>
  </conditionalFormatting>
  <conditionalFormatting sqref="I621">
    <cfRule type="cellIs" rank="0" priority="2462" equalAverage="0" operator="greaterThan" aboveAverage="0" dxfId="7" text="" percent="0" bottom="0">
      <formula>0</formula>
    </cfRule>
  </conditionalFormatting>
  <conditionalFormatting sqref="K621">
    <cfRule type="cellIs" rank="0" priority="2463" equalAverage="0" operator="greaterThan" aboveAverage="0" dxfId="7" text="" percent="0" bottom="0">
      <formula>0</formula>
    </cfRule>
  </conditionalFormatting>
  <conditionalFormatting sqref="N621">
    <cfRule type="cellIs" rank="0" priority="2464" equalAverage="0" operator="greaterThan" aboveAverage="0" dxfId="7" text="" percent="0" bottom="0">
      <formula>0</formula>
    </cfRule>
    <cfRule type="cellIs" rank="0" priority="2465" equalAverage="0" operator="lessThan" aboveAverage="0" dxfId="8" text="" percent="0" bottom="0">
      <formula>0</formula>
    </cfRule>
  </conditionalFormatting>
  <conditionalFormatting sqref="I622">
    <cfRule type="cellIs" rank="0" priority="2466" equalAverage="0" operator="greaterThan" aboveAverage="0" dxfId="7" text="" percent="0" bottom="0">
      <formula>0</formula>
    </cfRule>
  </conditionalFormatting>
  <conditionalFormatting sqref="K622">
    <cfRule type="cellIs" rank="0" priority="2467" equalAverage="0" operator="greaterThan" aboveAverage="0" dxfId="7" text="" percent="0" bottom="0">
      <formula>0</formula>
    </cfRule>
  </conditionalFormatting>
  <conditionalFormatting sqref="N622">
    <cfRule type="cellIs" rank="0" priority="2468" equalAverage="0" operator="greaterThan" aboveAverage="0" dxfId="7" text="" percent="0" bottom="0">
      <formula>0</formula>
    </cfRule>
    <cfRule type="cellIs" rank="0" priority="2469" equalAverage="0" operator="lessThan" aboveAverage="0" dxfId="8" text="" percent="0" bottom="0">
      <formula>0</formula>
    </cfRule>
  </conditionalFormatting>
  <conditionalFormatting sqref="I623">
    <cfRule type="cellIs" rank="0" priority="2470" equalAverage="0" operator="greaterThan" aboveAverage="0" dxfId="7" text="" percent="0" bottom="0">
      <formula>0</formula>
    </cfRule>
  </conditionalFormatting>
  <conditionalFormatting sqref="K623">
    <cfRule type="cellIs" rank="0" priority="2471" equalAverage="0" operator="greaterThan" aboveAverage="0" dxfId="7" text="" percent="0" bottom="0">
      <formula>0</formula>
    </cfRule>
  </conditionalFormatting>
  <conditionalFormatting sqref="N623">
    <cfRule type="cellIs" rank="0" priority="2472" equalAverage="0" operator="greaterThan" aboveAverage="0" dxfId="7" text="" percent="0" bottom="0">
      <formula>0</formula>
    </cfRule>
    <cfRule type="cellIs" rank="0" priority="2473" equalAverage="0" operator="lessThan" aboveAverage="0" dxfId="8" text="" percent="0" bottom="0">
      <formula>0</formula>
    </cfRule>
  </conditionalFormatting>
  <conditionalFormatting sqref="I624">
    <cfRule type="cellIs" rank="0" priority="2474" equalAverage="0" operator="greaterThan" aboveAverage="0" dxfId="7" text="" percent="0" bottom="0">
      <formula>0</formula>
    </cfRule>
  </conditionalFormatting>
  <conditionalFormatting sqref="K624">
    <cfRule type="cellIs" rank="0" priority="2475" equalAverage="0" operator="greaterThan" aboveAverage="0" dxfId="7" text="" percent="0" bottom="0">
      <formula>0</formula>
    </cfRule>
  </conditionalFormatting>
  <conditionalFormatting sqref="N624">
    <cfRule type="cellIs" rank="0" priority="2476" equalAverage="0" operator="greaterThan" aboveAverage="0" dxfId="7" text="" percent="0" bottom="0">
      <formula>0</formula>
    </cfRule>
    <cfRule type="cellIs" rank="0" priority="2477" equalAverage="0" operator="lessThan" aboveAverage="0" dxfId="8" text="" percent="0" bottom="0">
      <formula>0</formula>
    </cfRule>
  </conditionalFormatting>
  <conditionalFormatting sqref="I625">
    <cfRule type="cellIs" rank="0" priority="2478" equalAverage="0" operator="greaterThan" aboveAverage="0" dxfId="7" text="" percent="0" bottom="0">
      <formula>0</formula>
    </cfRule>
  </conditionalFormatting>
  <conditionalFormatting sqref="K625">
    <cfRule type="cellIs" rank="0" priority="2479" equalAverage="0" operator="greaterThan" aboveAverage="0" dxfId="7" text="" percent="0" bottom="0">
      <formula>0</formula>
    </cfRule>
  </conditionalFormatting>
  <conditionalFormatting sqref="N625">
    <cfRule type="cellIs" rank="0" priority="2480" equalAverage="0" operator="greaterThan" aboveAverage="0" dxfId="7" text="" percent="0" bottom="0">
      <formula>0</formula>
    </cfRule>
    <cfRule type="cellIs" rank="0" priority="2481" equalAverage="0" operator="lessThan" aboveAverage="0" dxfId="8" text="" percent="0" bottom="0">
      <formula>0</formula>
    </cfRule>
  </conditionalFormatting>
  <conditionalFormatting sqref="I626">
    <cfRule type="cellIs" rank="0" priority="2482" equalAverage="0" operator="greaterThan" aboveAverage="0" dxfId="7" text="" percent="0" bottom="0">
      <formula>0</formula>
    </cfRule>
  </conditionalFormatting>
  <conditionalFormatting sqref="K626">
    <cfRule type="cellIs" rank="0" priority="2483" equalAverage="0" operator="greaterThan" aboveAverage="0" dxfId="7" text="" percent="0" bottom="0">
      <formula>0</formula>
    </cfRule>
  </conditionalFormatting>
  <conditionalFormatting sqref="N626">
    <cfRule type="cellIs" rank="0" priority="2484" equalAverage="0" operator="greaterThan" aboveAverage="0" dxfId="7" text="" percent="0" bottom="0">
      <formula>0</formula>
    </cfRule>
    <cfRule type="cellIs" rank="0" priority="2485" equalAverage="0" operator="lessThan" aboveAverage="0" dxfId="8" text="" percent="0" bottom="0">
      <formula>0</formula>
    </cfRule>
  </conditionalFormatting>
  <conditionalFormatting sqref="I627">
    <cfRule type="cellIs" rank="0" priority="2486" equalAverage="0" operator="greaterThan" aboveAverage="0" dxfId="7" text="" percent="0" bottom="0">
      <formula>0</formula>
    </cfRule>
  </conditionalFormatting>
  <conditionalFormatting sqref="K627">
    <cfRule type="cellIs" rank="0" priority="2487" equalAverage="0" operator="greaterThan" aboveAverage="0" dxfId="7" text="" percent="0" bottom="0">
      <formula>0</formula>
    </cfRule>
  </conditionalFormatting>
  <conditionalFormatting sqref="N627">
    <cfRule type="cellIs" rank="0" priority="2488" equalAverage="0" operator="greaterThan" aboveAverage="0" dxfId="7" text="" percent="0" bottom="0">
      <formula>0</formula>
    </cfRule>
    <cfRule type="cellIs" rank="0" priority="2489" equalAverage="0" operator="lessThan" aboveAverage="0" dxfId="8" text="" percent="0" bottom="0">
      <formula>0</formula>
    </cfRule>
  </conditionalFormatting>
  <conditionalFormatting sqref="I628">
    <cfRule type="cellIs" rank="0" priority="2490" equalAverage="0" operator="greaterThan" aboveAverage="0" dxfId="7" text="" percent="0" bottom="0">
      <formula>0</formula>
    </cfRule>
  </conditionalFormatting>
  <conditionalFormatting sqref="K628">
    <cfRule type="cellIs" rank="0" priority="2491" equalAverage="0" operator="greaterThan" aboveAverage="0" dxfId="7" text="" percent="0" bottom="0">
      <formula>0</formula>
    </cfRule>
  </conditionalFormatting>
  <conditionalFormatting sqref="N628">
    <cfRule type="cellIs" rank="0" priority="2492" equalAverage="0" operator="greaterThan" aboveAverage="0" dxfId="7" text="" percent="0" bottom="0">
      <formula>0</formula>
    </cfRule>
    <cfRule type="cellIs" rank="0" priority="2493" equalAverage="0" operator="lessThan" aboveAverage="0" dxfId="8" text="" percent="0" bottom="0">
      <formula>0</formula>
    </cfRule>
  </conditionalFormatting>
  <conditionalFormatting sqref="I629">
    <cfRule type="cellIs" rank="0" priority="2494" equalAverage="0" operator="greaterThan" aboveAverage="0" dxfId="7" text="" percent="0" bottom="0">
      <formula>0</formula>
    </cfRule>
  </conditionalFormatting>
  <conditionalFormatting sqref="K629">
    <cfRule type="cellIs" rank="0" priority="2495" equalAverage="0" operator="greaterThan" aboveAverage="0" dxfId="7" text="" percent="0" bottom="0">
      <formula>0</formula>
    </cfRule>
  </conditionalFormatting>
  <conditionalFormatting sqref="N629">
    <cfRule type="cellIs" rank="0" priority="2496" equalAverage="0" operator="greaterThan" aboveAverage="0" dxfId="7" text="" percent="0" bottom="0">
      <formula>0</formula>
    </cfRule>
    <cfRule type="cellIs" rank="0" priority="2497" equalAverage="0" operator="lessThan" aboveAverage="0" dxfId="8" text="" percent="0" bottom="0">
      <formula>0</formula>
    </cfRule>
  </conditionalFormatting>
  <conditionalFormatting sqref="I630">
    <cfRule type="cellIs" rank="0" priority="2498" equalAverage="0" operator="greaterThan" aboveAverage="0" dxfId="7" text="" percent="0" bottom="0">
      <formula>0</formula>
    </cfRule>
  </conditionalFormatting>
  <conditionalFormatting sqref="K630">
    <cfRule type="cellIs" rank="0" priority="2499" equalAverage="0" operator="greaterThan" aboveAverage="0" dxfId="7" text="" percent="0" bottom="0">
      <formula>0</formula>
    </cfRule>
  </conditionalFormatting>
  <conditionalFormatting sqref="N630">
    <cfRule type="cellIs" rank="0" priority="2500" equalAverage="0" operator="greaterThan" aboveAverage="0" dxfId="7" text="" percent="0" bottom="0">
      <formula>0</formula>
    </cfRule>
    <cfRule type="cellIs" rank="0" priority="2501" equalAverage="0" operator="lessThan" aboveAverage="0" dxfId="8" text="" percent="0" bottom="0">
      <formula>0</formula>
    </cfRule>
  </conditionalFormatting>
  <conditionalFormatting sqref="I631">
    <cfRule type="cellIs" rank="0" priority="2502" equalAverage="0" operator="greaterThan" aboveAverage="0" dxfId="7" text="" percent="0" bottom="0">
      <formula>0</formula>
    </cfRule>
  </conditionalFormatting>
  <conditionalFormatting sqref="K631">
    <cfRule type="cellIs" rank="0" priority="2503" equalAverage="0" operator="greaterThan" aboveAverage="0" dxfId="7" text="" percent="0" bottom="0">
      <formula>0</formula>
    </cfRule>
  </conditionalFormatting>
  <conditionalFormatting sqref="N631">
    <cfRule type="cellIs" rank="0" priority="2504" equalAverage="0" operator="greaterThan" aboveAverage="0" dxfId="7" text="" percent="0" bottom="0">
      <formula>0</formula>
    </cfRule>
    <cfRule type="cellIs" rank="0" priority="2505" equalAverage="0" operator="lessThan" aboveAverage="0" dxfId="8" text="" percent="0" bottom="0">
      <formula>0</formula>
    </cfRule>
  </conditionalFormatting>
  <conditionalFormatting sqref="I632">
    <cfRule type="cellIs" rank="0" priority="2506" equalAverage="0" operator="greaterThan" aboveAverage="0" dxfId="7" text="" percent="0" bottom="0">
      <formula>0</formula>
    </cfRule>
  </conditionalFormatting>
  <conditionalFormatting sqref="K632">
    <cfRule type="cellIs" rank="0" priority="2507" equalAverage="0" operator="greaterThan" aboveAverage="0" dxfId="7" text="" percent="0" bottom="0">
      <formula>0</formula>
    </cfRule>
  </conditionalFormatting>
  <conditionalFormatting sqref="N632">
    <cfRule type="cellIs" rank="0" priority="2508" equalAverage="0" operator="greaterThan" aboveAverage="0" dxfId="7" text="" percent="0" bottom="0">
      <formula>0</formula>
    </cfRule>
    <cfRule type="cellIs" rank="0" priority="2509" equalAverage="0" operator="lessThan" aboveAverage="0" dxfId="8" text="" percent="0" bottom="0">
      <formula>0</formula>
    </cfRule>
  </conditionalFormatting>
  <conditionalFormatting sqref="I633">
    <cfRule type="cellIs" rank="0" priority="2510" equalAverage="0" operator="greaterThan" aboveAverage="0" dxfId="7" text="" percent="0" bottom="0">
      <formula>0</formula>
    </cfRule>
  </conditionalFormatting>
  <conditionalFormatting sqref="K633">
    <cfRule type="cellIs" rank="0" priority="2511" equalAverage="0" operator="greaterThan" aboveAverage="0" dxfId="7" text="" percent="0" bottom="0">
      <formula>0</formula>
    </cfRule>
  </conditionalFormatting>
  <conditionalFormatting sqref="N633">
    <cfRule type="cellIs" rank="0" priority="2512" equalAverage="0" operator="greaterThan" aboveAverage="0" dxfId="7" text="" percent="0" bottom="0">
      <formula>0</formula>
    </cfRule>
    <cfRule type="cellIs" rank="0" priority="2513" equalAverage="0" operator="lessThan" aboveAverage="0" dxfId="8" text="" percent="0" bottom="0">
      <formula>0</formula>
    </cfRule>
  </conditionalFormatting>
  <conditionalFormatting sqref="I634">
    <cfRule type="cellIs" rank="0" priority="2514" equalAverage="0" operator="greaterThan" aboveAverage="0" dxfId="7" text="" percent="0" bottom="0">
      <formula>0</formula>
    </cfRule>
  </conditionalFormatting>
  <conditionalFormatting sqref="K634">
    <cfRule type="cellIs" rank="0" priority="2515" equalAverage="0" operator="greaterThan" aboveAverage="0" dxfId="7" text="" percent="0" bottom="0">
      <formula>0</formula>
    </cfRule>
  </conditionalFormatting>
  <conditionalFormatting sqref="N634">
    <cfRule type="cellIs" rank="0" priority="2516" equalAverage="0" operator="greaterThan" aboveAverage="0" dxfId="7" text="" percent="0" bottom="0">
      <formula>0</formula>
    </cfRule>
    <cfRule type="cellIs" rank="0" priority="2517" equalAverage="0" operator="lessThan" aboveAverage="0" dxfId="8" text="" percent="0" bottom="0">
      <formula>0</formula>
    </cfRule>
  </conditionalFormatting>
  <conditionalFormatting sqref="I635">
    <cfRule type="cellIs" rank="0" priority="2518" equalAverage="0" operator="greaterThan" aboveAverage="0" dxfId="7" text="" percent="0" bottom="0">
      <formula>0</formula>
    </cfRule>
  </conditionalFormatting>
  <conditionalFormatting sqref="K635">
    <cfRule type="cellIs" rank="0" priority="2519" equalAverage="0" operator="greaterThan" aboveAverage="0" dxfId="7" text="" percent="0" bottom="0">
      <formula>0</formula>
    </cfRule>
  </conditionalFormatting>
  <conditionalFormatting sqref="N635">
    <cfRule type="cellIs" rank="0" priority="2520" equalAverage="0" operator="greaterThan" aboveAverage="0" dxfId="7" text="" percent="0" bottom="0">
      <formula>0</formula>
    </cfRule>
    <cfRule type="cellIs" rank="0" priority="2521" equalAverage="0" operator="lessThan" aboveAverage="0" dxfId="8" text="" percent="0" bottom="0">
      <formula>0</formula>
    </cfRule>
  </conditionalFormatting>
  <conditionalFormatting sqref="I636">
    <cfRule type="cellIs" rank="0" priority="2522" equalAverage="0" operator="greaterThan" aboveAverage="0" dxfId="7" text="" percent="0" bottom="0">
      <formula>0</formula>
    </cfRule>
  </conditionalFormatting>
  <conditionalFormatting sqref="K636">
    <cfRule type="cellIs" rank="0" priority="2523" equalAverage="0" operator="greaterThan" aboveAverage="0" dxfId="7" text="" percent="0" bottom="0">
      <formula>0</formula>
    </cfRule>
  </conditionalFormatting>
  <conditionalFormatting sqref="N636">
    <cfRule type="cellIs" rank="0" priority="2524" equalAverage="0" operator="greaterThan" aboveAverage="0" dxfId="7" text="" percent="0" bottom="0">
      <formula>0</formula>
    </cfRule>
    <cfRule type="cellIs" rank="0" priority="2525" equalAverage="0" operator="lessThan" aboveAverage="0" dxfId="8" text="" percent="0" bottom="0">
      <formula>0</formula>
    </cfRule>
  </conditionalFormatting>
  <conditionalFormatting sqref="I637">
    <cfRule type="cellIs" rank="0" priority="2526" equalAverage="0" operator="greaterThan" aboveAverage="0" dxfId="7" text="" percent="0" bottom="0">
      <formula>0</formula>
    </cfRule>
  </conditionalFormatting>
  <conditionalFormatting sqref="K637">
    <cfRule type="cellIs" rank="0" priority="2527" equalAverage="0" operator="greaterThan" aboveAverage="0" dxfId="7" text="" percent="0" bottom="0">
      <formula>0</formula>
    </cfRule>
  </conditionalFormatting>
  <conditionalFormatting sqref="N637">
    <cfRule type="cellIs" rank="0" priority="2528" equalAverage="0" operator="greaterThan" aboveAverage="0" dxfId="7" text="" percent="0" bottom="0">
      <formula>0</formula>
    </cfRule>
    <cfRule type="cellIs" rank="0" priority="2529" equalAverage="0" operator="lessThan" aboveAverage="0" dxfId="8" text="" percent="0" bottom="0">
      <formula>0</formula>
    </cfRule>
  </conditionalFormatting>
  <conditionalFormatting sqref="I638">
    <cfRule type="cellIs" rank="0" priority="2530" equalAverage="0" operator="greaterThan" aboveAverage="0" dxfId="7" text="" percent="0" bottom="0">
      <formula>0</formula>
    </cfRule>
  </conditionalFormatting>
  <conditionalFormatting sqref="K638">
    <cfRule type="cellIs" rank="0" priority="2531" equalAverage="0" operator="greaterThan" aboveAverage="0" dxfId="7" text="" percent="0" bottom="0">
      <formula>0</formula>
    </cfRule>
  </conditionalFormatting>
  <conditionalFormatting sqref="N638">
    <cfRule type="cellIs" rank="0" priority="2532" equalAverage="0" operator="greaterThan" aboveAverage="0" dxfId="7" text="" percent="0" bottom="0">
      <formula>0</formula>
    </cfRule>
    <cfRule type="cellIs" rank="0" priority="2533" equalAverage="0" operator="lessThan" aboveAverage="0" dxfId="8" text="" percent="0" bottom="0">
      <formula>0</formula>
    </cfRule>
  </conditionalFormatting>
  <conditionalFormatting sqref="I639">
    <cfRule type="cellIs" rank="0" priority="2534" equalAverage="0" operator="greaterThan" aboveAverage="0" dxfId="7" text="" percent="0" bottom="0">
      <formula>0</formula>
    </cfRule>
  </conditionalFormatting>
  <conditionalFormatting sqref="K639">
    <cfRule type="cellIs" rank="0" priority="2535" equalAverage="0" operator="greaterThan" aboveAverage="0" dxfId="7" text="" percent="0" bottom="0">
      <formula>0</formula>
    </cfRule>
  </conditionalFormatting>
  <conditionalFormatting sqref="N639">
    <cfRule type="cellIs" rank="0" priority="2536" equalAverage="0" operator="greaterThan" aboveAverage="0" dxfId="7" text="" percent="0" bottom="0">
      <formula>0</formula>
    </cfRule>
    <cfRule type="cellIs" rank="0" priority="2537" equalAverage="0" operator="lessThan" aboveAverage="0" dxfId="8" text="" percent="0" bottom="0">
      <formula>0</formula>
    </cfRule>
  </conditionalFormatting>
  <conditionalFormatting sqref="I640">
    <cfRule type="cellIs" rank="0" priority="2538" equalAverage="0" operator="greaterThan" aboveAverage="0" dxfId="7" text="" percent="0" bottom="0">
      <formula>0</formula>
    </cfRule>
  </conditionalFormatting>
  <conditionalFormatting sqref="K640">
    <cfRule type="cellIs" rank="0" priority="2539" equalAverage="0" operator="greaterThan" aboveAverage="0" dxfId="7" text="" percent="0" bottom="0">
      <formula>0</formula>
    </cfRule>
  </conditionalFormatting>
  <conditionalFormatting sqref="N640">
    <cfRule type="cellIs" rank="0" priority="2540" equalAverage="0" operator="greaterThan" aboveAverage="0" dxfId="7" text="" percent="0" bottom="0">
      <formula>0</formula>
    </cfRule>
    <cfRule type="cellIs" rank="0" priority="2541" equalAverage="0" operator="lessThan" aboveAverage="0" dxfId="8" text="" percent="0" bottom="0">
      <formula>0</formula>
    </cfRule>
  </conditionalFormatting>
  <conditionalFormatting sqref="I641">
    <cfRule type="cellIs" rank="0" priority="2542" equalAverage="0" operator="greaterThan" aboveAverage="0" dxfId="7" text="" percent="0" bottom="0">
      <formula>0</formula>
    </cfRule>
  </conditionalFormatting>
  <conditionalFormatting sqref="K641">
    <cfRule type="cellIs" rank="0" priority="2543" equalAverage="0" operator="greaterThan" aboveAverage="0" dxfId="7" text="" percent="0" bottom="0">
      <formula>0</formula>
    </cfRule>
  </conditionalFormatting>
  <conditionalFormatting sqref="N641">
    <cfRule type="cellIs" rank="0" priority="2544" equalAverage="0" operator="greaterThan" aboveAverage="0" dxfId="7" text="" percent="0" bottom="0">
      <formula>0</formula>
    </cfRule>
    <cfRule type="cellIs" rank="0" priority="2545" equalAverage="0" operator="lessThan" aboveAverage="0" dxfId="8" text="" percent="0" bottom="0">
      <formula>0</formula>
    </cfRule>
  </conditionalFormatting>
  <conditionalFormatting sqref="I642">
    <cfRule type="cellIs" rank="0" priority="2546" equalAverage="0" operator="greaterThan" aboveAverage="0" dxfId="7" text="" percent="0" bottom="0">
      <formula>0</formula>
    </cfRule>
  </conditionalFormatting>
  <conditionalFormatting sqref="K642">
    <cfRule type="cellIs" rank="0" priority="2547" equalAverage="0" operator="greaterThan" aboveAverage="0" dxfId="7" text="" percent="0" bottom="0">
      <formula>0</formula>
    </cfRule>
  </conditionalFormatting>
  <conditionalFormatting sqref="N642">
    <cfRule type="cellIs" rank="0" priority="2548" equalAverage="0" operator="greaterThan" aboveAverage="0" dxfId="7" text="" percent="0" bottom="0">
      <formula>0</formula>
    </cfRule>
    <cfRule type="cellIs" rank="0" priority="2549" equalAverage="0" operator="lessThan" aboveAverage="0" dxfId="8" text="" percent="0" bottom="0">
      <formula>0</formula>
    </cfRule>
  </conditionalFormatting>
  <conditionalFormatting sqref="I643">
    <cfRule type="cellIs" rank="0" priority="2550" equalAverage="0" operator="greaterThan" aboveAverage="0" dxfId="7" text="" percent="0" bottom="0">
      <formula>0</formula>
    </cfRule>
  </conditionalFormatting>
  <conditionalFormatting sqref="K643">
    <cfRule type="cellIs" rank="0" priority="2551" equalAverage="0" operator="greaterThan" aboveAverage="0" dxfId="7" text="" percent="0" bottom="0">
      <formula>0</formula>
    </cfRule>
  </conditionalFormatting>
  <conditionalFormatting sqref="N643">
    <cfRule type="cellIs" rank="0" priority="2552" equalAverage="0" operator="greaterThan" aboveAverage="0" dxfId="7" text="" percent="0" bottom="0">
      <formula>0</formula>
    </cfRule>
    <cfRule type="cellIs" rank="0" priority="2553" equalAverage="0" operator="lessThan" aboveAverage="0" dxfId="8" text="" percent="0" bottom="0">
      <formula>0</formula>
    </cfRule>
  </conditionalFormatting>
  <conditionalFormatting sqref="I644">
    <cfRule type="cellIs" rank="0" priority="2554" equalAverage="0" operator="greaterThan" aboveAverage="0" dxfId="7" text="" percent="0" bottom="0">
      <formula>0</formula>
    </cfRule>
  </conditionalFormatting>
  <conditionalFormatting sqref="K644">
    <cfRule type="cellIs" rank="0" priority="2555" equalAverage="0" operator="greaterThan" aboveAverage="0" dxfId="7" text="" percent="0" bottom="0">
      <formula>0</formula>
    </cfRule>
  </conditionalFormatting>
  <conditionalFormatting sqref="N644">
    <cfRule type="cellIs" rank="0" priority="2556" equalAverage="0" operator="greaterThan" aboveAverage="0" dxfId="7" text="" percent="0" bottom="0">
      <formula>0</formula>
    </cfRule>
    <cfRule type="cellIs" rank="0" priority="2557" equalAverage="0" operator="lessThan" aboveAverage="0" dxfId="8" text="" percent="0" bottom="0">
      <formula>0</formula>
    </cfRule>
  </conditionalFormatting>
  <conditionalFormatting sqref="I645">
    <cfRule type="cellIs" rank="0" priority="2558" equalAverage="0" operator="greaterThan" aboveAverage="0" dxfId="7" text="" percent="0" bottom="0">
      <formula>0</formula>
    </cfRule>
  </conditionalFormatting>
  <conditionalFormatting sqref="K645">
    <cfRule type="cellIs" rank="0" priority="2559" equalAverage="0" operator="greaterThan" aboveAverage="0" dxfId="7" text="" percent="0" bottom="0">
      <formula>0</formula>
    </cfRule>
  </conditionalFormatting>
  <conditionalFormatting sqref="N645">
    <cfRule type="cellIs" rank="0" priority="2560" equalAverage="0" operator="greaterThan" aboveAverage="0" dxfId="7" text="" percent="0" bottom="0">
      <formula>0</formula>
    </cfRule>
    <cfRule type="cellIs" rank="0" priority="2561" equalAverage="0" operator="lessThan" aboveAverage="0" dxfId="8" text="" percent="0" bottom="0">
      <formula>0</formula>
    </cfRule>
  </conditionalFormatting>
  <conditionalFormatting sqref="I646">
    <cfRule type="cellIs" rank="0" priority="2562" equalAverage="0" operator="greaterThan" aboveAverage="0" dxfId="7" text="" percent="0" bottom="0">
      <formula>0</formula>
    </cfRule>
  </conditionalFormatting>
  <conditionalFormatting sqref="K646">
    <cfRule type="cellIs" rank="0" priority="2563" equalAverage="0" operator="greaterThan" aboveAverage="0" dxfId="7" text="" percent="0" bottom="0">
      <formula>0</formula>
    </cfRule>
  </conditionalFormatting>
  <conditionalFormatting sqref="N646">
    <cfRule type="cellIs" rank="0" priority="2564" equalAverage="0" operator="greaterThan" aboveAverage="0" dxfId="7" text="" percent="0" bottom="0">
      <formula>0</formula>
    </cfRule>
    <cfRule type="cellIs" rank="0" priority="2565" equalAverage="0" operator="lessThan" aboveAverage="0" dxfId="8" text="" percent="0" bottom="0">
      <formula>0</formula>
    </cfRule>
  </conditionalFormatting>
  <conditionalFormatting sqref="I647">
    <cfRule type="cellIs" rank="0" priority="2566" equalAverage="0" operator="greaterThan" aboveAverage="0" dxfId="7" text="" percent="0" bottom="0">
      <formula>0</formula>
    </cfRule>
  </conditionalFormatting>
  <conditionalFormatting sqref="K647">
    <cfRule type="cellIs" rank="0" priority="2567" equalAverage="0" operator="greaterThan" aboveAverage="0" dxfId="7" text="" percent="0" bottom="0">
      <formula>0</formula>
    </cfRule>
  </conditionalFormatting>
  <conditionalFormatting sqref="N647">
    <cfRule type="cellIs" rank="0" priority="2568" equalAverage="0" operator="greaterThan" aboveAverage="0" dxfId="7" text="" percent="0" bottom="0">
      <formula>0</formula>
    </cfRule>
    <cfRule type="cellIs" rank="0" priority="2569" equalAverage="0" operator="lessThan" aboveAverage="0" dxfId="8" text="" percent="0" bottom="0">
      <formula>0</formula>
    </cfRule>
  </conditionalFormatting>
  <conditionalFormatting sqref="I648">
    <cfRule type="cellIs" rank="0" priority="2570" equalAverage="0" operator="greaterThan" aboveAverage="0" dxfId="7" text="" percent="0" bottom="0">
      <formula>0</formula>
    </cfRule>
  </conditionalFormatting>
  <conditionalFormatting sqref="K648">
    <cfRule type="cellIs" rank="0" priority="2571" equalAverage="0" operator="greaterThan" aboveAverage="0" dxfId="7" text="" percent="0" bottom="0">
      <formula>0</formula>
    </cfRule>
  </conditionalFormatting>
  <conditionalFormatting sqref="N648">
    <cfRule type="cellIs" rank="0" priority="2572" equalAverage="0" operator="greaterThan" aboveAverage="0" dxfId="7" text="" percent="0" bottom="0">
      <formula>0</formula>
    </cfRule>
    <cfRule type="cellIs" rank="0" priority="2573" equalAverage="0" operator="lessThan" aboveAverage="0" dxfId="8" text="" percent="0" bottom="0">
      <formula>0</formula>
    </cfRule>
  </conditionalFormatting>
  <conditionalFormatting sqref="I649">
    <cfRule type="cellIs" rank="0" priority="2574" equalAverage="0" operator="greaterThan" aboveAverage="0" dxfId="7" text="" percent="0" bottom="0">
      <formula>0</formula>
    </cfRule>
  </conditionalFormatting>
  <conditionalFormatting sqref="K649">
    <cfRule type="cellIs" rank="0" priority="2575" equalAverage="0" operator="greaterThan" aboveAverage="0" dxfId="7" text="" percent="0" bottom="0">
      <formula>0</formula>
    </cfRule>
  </conditionalFormatting>
  <conditionalFormatting sqref="N649">
    <cfRule type="cellIs" rank="0" priority="2576" equalAverage="0" operator="greaterThan" aboveAverage="0" dxfId="7" text="" percent="0" bottom="0">
      <formula>0</formula>
    </cfRule>
    <cfRule type="cellIs" rank="0" priority="2577" equalAverage="0" operator="lessThan" aboveAverage="0" dxfId="8" text="" percent="0" bottom="0">
      <formula>0</formula>
    </cfRule>
  </conditionalFormatting>
  <conditionalFormatting sqref="I650">
    <cfRule type="cellIs" rank="0" priority="2578" equalAverage="0" operator="greaterThan" aboveAverage="0" dxfId="7" text="" percent="0" bottom="0">
      <formula>0</formula>
    </cfRule>
  </conditionalFormatting>
  <conditionalFormatting sqref="K650">
    <cfRule type="cellIs" rank="0" priority="2579" equalAverage="0" operator="greaterThan" aboveAverage="0" dxfId="7" text="" percent="0" bottom="0">
      <formula>0</formula>
    </cfRule>
  </conditionalFormatting>
  <conditionalFormatting sqref="N650">
    <cfRule type="cellIs" rank="0" priority="2580" equalAverage="0" operator="greaterThan" aboveAverage="0" dxfId="7" text="" percent="0" bottom="0">
      <formula>0</formula>
    </cfRule>
    <cfRule type="cellIs" rank="0" priority="2581" equalAverage="0" operator="lessThan" aboveAverage="0" dxfId="8" text="" percent="0" bottom="0">
      <formula>0</formula>
    </cfRule>
  </conditionalFormatting>
  <conditionalFormatting sqref="I651">
    <cfRule type="cellIs" rank="0" priority="2582" equalAverage="0" operator="greaterThan" aboveAverage="0" dxfId="7" text="" percent="0" bottom="0">
      <formula>0</formula>
    </cfRule>
  </conditionalFormatting>
  <conditionalFormatting sqref="K651">
    <cfRule type="cellIs" rank="0" priority="2583" equalAverage="0" operator="greaterThan" aboveAverage="0" dxfId="7" text="" percent="0" bottom="0">
      <formula>0</formula>
    </cfRule>
  </conditionalFormatting>
  <conditionalFormatting sqref="N651">
    <cfRule type="cellIs" rank="0" priority="2584" equalAverage="0" operator="greaterThan" aboveAverage="0" dxfId="7" text="" percent="0" bottom="0">
      <formula>0</formula>
    </cfRule>
    <cfRule type="cellIs" rank="0" priority="2585" equalAverage="0" operator="lessThan" aboveAverage="0" dxfId="8" text="" percent="0" bottom="0">
      <formula>0</formula>
    </cfRule>
  </conditionalFormatting>
  <conditionalFormatting sqref="I652">
    <cfRule type="cellIs" rank="0" priority="2586" equalAverage="0" operator="greaterThan" aboveAverage="0" dxfId="7" text="" percent="0" bottom="0">
      <formula>0</formula>
    </cfRule>
  </conditionalFormatting>
  <conditionalFormatting sqref="K652">
    <cfRule type="cellIs" rank="0" priority="2587" equalAverage="0" operator="greaterThan" aboveAverage="0" dxfId="7" text="" percent="0" bottom="0">
      <formula>0</formula>
    </cfRule>
  </conditionalFormatting>
  <conditionalFormatting sqref="N652">
    <cfRule type="cellIs" rank="0" priority="2588" equalAverage="0" operator="greaterThan" aboveAverage="0" dxfId="7" text="" percent="0" bottom="0">
      <formula>0</formula>
    </cfRule>
    <cfRule type="cellIs" rank="0" priority="2589" equalAverage="0" operator="lessThan" aboveAverage="0" dxfId="8" text="" percent="0" bottom="0">
      <formula>0</formula>
    </cfRule>
  </conditionalFormatting>
  <conditionalFormatting sqref="I653">
    <cfRule type="cellIs" rank="0" priority="2590" equalAverage="0" operator="greaterThan" aboveAverage="0" dxfId="7" text="" percent="0" bottom="0">
      <formula>0</formula>
    </cfRule>
  </conditionalFormatting>
  <conditionalFormatting sqref="K653">
    <cfRule type="cellIs" rank="0" priority="2591" equalAverage="0" operator="greaterThan" aboveAverage="0" dxfId="7" text="" percent="0" bottom="0">
      <formula>0</formula>
    </cfRule>
  </conditionalFormatting>
  <conditionalFormatting sqref="N653">
    <cfRule type="cellIs" rank="0" priority="2592" equalAverage="0" operator="greaterThan" aboveAverage="0" dxfId="7" text="" percent="0" bottom="0">
      <formula>0</formula>
    </cfRule>
    <cfRule type="cellIs" rank="0" priority="2593" equalAverage="0" operator="lessThan" aboveAverage="0" dxfId="8" text="" percent="0" bottom="0">
      <formula>0</formula>
    </cfRule>
  </conditionalFormatting>
  <conditionalFormatting sqref="I654">
    <cfRule type="cellIs" rank="0" priority="2594" equalAverage="0" operator="greaterThan" aboveAverage="0" dxfId="7" text="" percent="0" bottom="0">
      <formula>0</formula>
    </cfRule>
  </conditionalFormatting>
  <conditionalFormatting sqref="K654">
    <cfRule type="cellIs" rank="0" priority="2595" equalAverage="0" operator="greaterThan" aboveAverage="0" dxfId="7" text="" percent="0" bottom="0">
      <formula>0</formula>
    </cfRule>
  </conditionalFormatting>
  <conditionalFormatting sqref="N654">
    <cfRule type="cellIs" rank="0" priority="2596" equalAverage="0" operator="greaterThan" aboveAverage="0" dxfId="7" text="" percent="0" bottom="0">
      <formula>0</formula>
    </cfRule>
    <cfRule type="cellIs" rank="0" priority="2597" equalAverage="0" operator="lessThan" aboveAverage="0" dxfId="8" text="" percent="0" bottom="0">
      <formula>0</formula>
    </cfRule>
  </conditionalFormatting>
  <conditionalFormatting sqref="I655">
    <cfRule type="cellIs" rank="0" priority="2598" equalAverage="0" operator="greaterThan" aboveAverage="0" dxfId="7" text="" percent="0" bottom="0">
      <formula>0</formula>
    </cfRule>
  </conditionalFormatting>
  <conditionalFormatting sqref="K655">
    <cfRule type="cellIs" rank="0" priority="2599" equalAverage="0" operator="greaterThan" aboveAverage="0" dxfId="7" text="" percent="0" bottom="0">
      <formula>0</formula>
    </cfRule>
  </conditionalFormatting>
  <conditionalFormatting sqref="N655">
    <cfRule type="cellIs" rank="0" priority="2600" equalAverage="0" operator="greaterThan" aboveAverage="0" dxfId="7" text="" percent="0" bottom="0">
      <formula>0</formula>
    </cfRule>
    <cfRule type="cellIs" rank="0" priority="2601" equalAverage="0" operator="lessThan" aboveAverage="0" dxfId="8" text="" percent="0" bottom="0">
      <formula>0</formula>
    </cfRule>
  </conditionalFormatting>
  <conditionalFormatting sqref="I656">
    <cfRule type="cellIs" rank="0" priority="2602" equalAverage="0" operator="greaterThan" aboveAverage="0" dxfId="7" text="" percent="0" bottom="0">
      <formula>0</formula>
    </cfRule>
  </conditionalFormatting>
  <conditionalFormatting sqref="K656">
    <cfRule type="cellIs" rank="0" priority="2603" equalAverage="0" operator="greaterThan" aboveAverage="0" dxfId="7" text="" percent="0" bottom="0">
      <formula>0</formula>
    </cfRule>
  </conditionalFormatting>
  <conditionalFormatting sqref="N656">
    <cfRule type="cellIs" rank="0" priority="2604" equalAverage="0" operator="greaterThan" aboveAverage="0" dxfId="7" text="" percent="0" bottom="0">
      <formula>0</formula>
    </cfRule>
    <cfRule type="cellIs" rank="0" priority="2605" equalAverage="0" operator="lessThan" aboveAverage="0" dxfId="8" text="" percent="0" bottom="0">
      <formula>0</formula>
    </cfRule>
  </conditionalFormatting>
  <conditionalFormatting sqref="I657">
    <cfRule type="cellIs" rank="0" priority="2606" equalAverage="0" operator="greaterThan" aboveAverage="0" dxfId="7" text="" percent="0" bottom="0">
      <formula>0</formula>
    </cfRule>
  </conditionalFormatting>
  <conditionalFormatting sqref="K657">
    <cfRule type="cellIs" rank="0" priority="2607" equalAverage="0" operator="greaterThan" aboveAverage="0" dxfId="7" text="" percent="0" bottom="0">
      <formula>0</formula>
    </cfRule>
  </conditionalFormatting>
  <conditionalFormatting sqref="N657">
    <cfRule type="cellIs" rank="0" priority="2608" equalAverage="0" operator="greaterThan" aboveAverage="0" dxfId="7" text="" percent="0" bottom="0">
      <formula>0</formula>
    </cfRule>
    <cfRule type="cellIs" rank="0" priority="2609" equalAverage="0" operator="lessThan" aboveAverage="0" dxfId="8" text="" percent="0" bottom="0">
      <formula>0</formula>
    </cfRule>
  </conditionalFormatting>
  <conditionalFormatting sqref="I658">
    <cfRule type="cellIs" rank="0" priority="2610" equalAverage="0" operator="greaterThan" aboveAverage="0" dxfId="7" text="" percent="0" bottom="0">
      <formula>0</formula>
    </cfRule>
  </conditionalFormatting>
  <conditionalFormatting sqref="K658">
    <cfRule type="cellIs" rank="0" priority="2611" equalAverage="0" operator="greaterThan" aboveAverage="0" dxfId="7" text="" percent="0" bottom="0">
      <formula>0</formula>
    </cfRule>
  </conditionalFormatting>
  <conditionalFormatting sqref="N658">
    <cfRule type="cellIs" rank="0" priority="2612" equalAverage="0" operator="greaterThan" aboveAverage="0" dxfId="7" text="" percent="0" bottom="0">
      <formula>0</formula>
    </cfRule>
    <cfRule type="cellIs" rank="0" priority="2613" equalAverage="0" operator="lessThan" aboveAverage="0" dxfId="8" text="" percent="0" bottom="0">
      <formula>0</formula>
    </cfRule>
  </conditionalFormatting>
  <conditionalFormatting sqref="I659">
    <cfRule type="cellIs" rank="0" priority="2614" equalAverage="0" operator="greaterThan" aboveAverage="0" dxfId="7" text="" percent="0" bottom="0">
      <formula>0</formula>
    </cfRule>
  </conditionalFormatting>
  <conditionalFormatting sqref="K659">
    <cfRule type="cellIs" rank="0" priority="2615" equalAverage="0" operator="greaterThan" aboveAverage="0" dxfId="7" text="" percent="0" bottom="0">
      <formula>0</formula>
    </cfRule>
  </conditionalFormatting>
  <conditionalFormatting sqref="N659">
    <cfRule type="cellIs" rank="0" priority="2616" equalAverage="0" operator="greaterThan" aboveAverage="0" dxfId="7" text="" percent="0" bottom="0">
      <formula>0</formula>
    </cfRule>
    <cfRule type="cellIs" rank="0" priority="2617" equalAverage="0" operator="lessThan" aboveAverage="0" dxfId="8" text="" percent="0" bottom="0">
      <formula>0</formula>
    </cfRule>
  </conditionalFormatting>
  <conditionalFormatting sqref="I660">
    <cfRule type="cellIs" rank="0" priority="2618" equalAverage="0" operator="greaterThan" aboveAverage="0" dxfId="7" text="" percent="0" bottom="0">
      <formula>0</formula>
    </cfRule>
  </conditionalFormatting>
  <conditionalFormatting sqref="K660">
    <cfRule type="cellIs" rank="0" priority="2619" equalAverage="0" operator="greaterThan" aboveAverage="0" dxfId="7" text="" percent="0" bottom="0">
      <formula>0</formula>
    </cfRule>
  </conditionalFormatting>
  <conditionalFormatting sqref="N660">
    <cfRule type="cellIs" rank="0" priority="2620" equalAverage="0" operator="greaterThan" aboveAverage="0" dxfId="7" text="" percent="0" bottom="0">
      <formula>0</formula>
    </cfRule>
    <cfRule type="cellIs" rank="0" priority="2621" equalAverage="0" operator="lessThan" aboveAverage="0" dxfId="8" text="" percent="0" bottom="0">
      <formula>0</formula>
    </cfRule>
  </conditionalFormatting>
  <conditionalFormatting sqref="I661">
    <cfRule type="cellIs" rank="0" priority="2622" equalAverage="0" operator="greaterThan" aboveAverage="0" dxfId="7" text="" percent="0" bottom="0">
      <formula>0</formula>
    </cfRule>
  </conditionalFormatting>
  <conditionalFormatting sqref="K661">
    <cfRule type="cellIs" rank="0" priority="2623" equalAverage="0" operator="greaterThan" aboveAverage="0" dxfId="7" text="" percent="0" bottom="0">
      <formula>0</formula>
    </cfRule>
  </conditionalFormatting>
  <conditionalFormatting sqref="N661">
    <cfRule type="cellIs" rank="0" priority="2624" equalAverage="0" operator="greaterThan" aboveAverage="0" dxfId="7" text="" percent="0" bottom="0">
      <formula>0</formula>
    </cfRule>
    <cfRule type="cellIs" rank="0" priority="2625" equalAverage="0" operator="lessThan" aboveAverage="0" dxfId="8" text="" percent="0" bottom="0">
      <formula>0</formula>
    </cfRule>
  </conditionalFormatting>
  <conditionalFormatting sqref="I662">
    <cfRule type="cellIs" rank="0" priority="2626" equalAverage="0" operator="greaterThan" aboveAverage="0" dxfId="7" text="" percent="0" bottom="0">
      <formula>0</formula>
    </cfRule>
  </conditionalFormatting>
  <conditionalFormatting sqref="K662">
    <cfRule type="cellIs" rank="0" priority="2627" equalAverage="0" operator="greaterThan" aboveAverage="0" dxfId="7" text="" percent="0" bottom="0">
      <formula>0</formula>
    </cfRule>
  </conditionalFormatting>
  <conditionalFormatting sqref="N662">
    <cfRule type="cellIs" rank="0" priority="2628" equalAverage="0" operator="greaterThan" aboveAverage="0" dxfId="7" text="" percent="0" bottom="0">
      <formula>0</formula>
    </cfRule>
    <cfRule type="cellIs" rank="0" priority="2629" equalAverage="0" operator="lessThan" aboveAverage="0" dxfId="8" text="" percent="0" bottom="0">
      <formula>0</formula>
    </cfRule>
  </conditionalFormatting>
  <conditionalFormatting sqref="I663">
    <cfRule type="cellIs" rank="0" priority="2630" equalAverage="0" operator="greaterThan" aboveAverage="0" dxfId="7" text="" percent="0" bottom="0">
      <formula>0</formula>
    </cfRule>
  </conditionalFormatting>
  <conditionalFormatting sqref="K663">
    <cfRule type="cellIs" rank="0" priority="2631" equalAverage="0" operator="greaterThan" aboveAverage="0" dxfId="7" text="" percent="0" bottom="0">
      <formula>0</formula>
    </cfRule>
  </conditionalFormatting>
  <conditionalFormatting sqref="N663">
    <cfRule type="cellIs" rank="0" priority="2632" equalAverage="0" operator="greaterThan" aboveAverage="0" dxfId="7" text="" percent="0" bottom="0">
      <formula>0</formula>
    </cfRule>
    <cfRule type="cellIs" rank="0" priority="2633" equalAverage="0" operator="lessThan" aboveAverage="0" dxfId="8" text="" percent="0" bottom="0">
      <formula>0</formula>
    </cfRule>
  </conditionalFormatting>
  <conditionalFormatting sqref="I664">
    <cfRule type="cellIs" rank="0" priority="2634" equalAverage="0" operator="greaterThan" aboveAverage="0" dxfId="7" text="" percent="0" bottom="0">
      <formula>0</formula>
    </cfRule>
  </conditionalFormatting>
  <conditionalFormatting sqref="K664">
    <cfRule type="cellIs" rank="0" priority="2635" equalAverage="0" operator="greaterThan" aboveAverage="0" dxfId="7" text="" percent="0" bottom="0">
      <formula>0</formula>
    </cfRule>
  </conditionalFormatting>
  <conditionalFormatting sqref="N664">
    <cfRule type="cellIs" rank="0" priority="2636" equalAverage="0" operator="greaterThan" aboveAverage="0" dxfId="7" text="" percent="0" bottom="0">
      <formula>0</formula>
    </cfRule>
    <cfRule type="cellIs" rank="0" priority="2637" equalAverage="0" operator="lessThan" aboveAverage="0" dxfId="8" text="" percent="0" bottom="0">
      <formula>0</formula>
    </cfRule>
  </conditionalFormatting>
  <conditionalFormatting sqref="I665">
    <cfRule type="cellIs" rank="0" priority="2638" equalAverage="0" operator="greaterThan" aboveAverage="0" dxfId="7" text="" percent="0" bottom="0">
      <formula>0</formula>
    </cfRule>
  </conditionalFormatting>
  <conditionalFormatting sqref="K665">
    <cfRule type="cellIs" rank="0" priority="2639" equalAverage="0" operator="greaterThan" aboveAverage="0" dxfId="7" text="" percent="0" bottom="0">
      <formula>0</formula>
    </cfRule>
  </conditionalFormatting>
  <conditionalFormatting sqref="N665">
    <cfRule type="cellIs" rank="0" priority="2640" equalAverage="0" operator="greaterThan" aboveAverage="0" dxfId="7" text="" percent="0" bottom="0">
      <formula>0</formula>
    </cfRule>
    <cfRule type="cellIs" rank="0" priority="2641" equalAverage="0" operator="lessThan" aboveAverage="0" dxfId="8" text="" percent="0" bottom="0">
      <formula>0</formula>
    </cfRule>
  </conditionalFormatting>
  <conditionalFormatting sqref="I666">
    <cfRule type="cellIs" rank="0" priority="2642" equalAverage="0" operator="greaterThan" aboveAverage="0" dxfId="7" text="" percent="0" bottom="0">
      <formula>0</formula>
    </cfRule>
  </conditionalFormatting>
  <conditionalFormatting sqref="K666">
    <cfRule type="cellIs" rank="0" priority="2643" equalAverage="0" operator="greaterThan" aboveAverage="0" dxfId="7" text="" percent="0" bottom="0">
      <formula>0</formula>
    </cfRule>
  </conditionalFormatting>
  <conditionalFormatting sqref="N666">
    <cfRule type="cellIs" rank="0" priority="2644" equalAverage="0" operator="greaterThan" aboveAverage="0" dxfId="7" text="" percent="0" bottom="0">
      <formula>0</formula>
    </cfRule>
    <cfRule type="cellIs" rank="0" priority="2645" equalAverage="0" operator="lessThan" aboveAverage="0" dxfId="8" text="" percent="0" bottom="0">
      <formula>0</formula>
    </cfRule>
  </conditionalFormatting>
  <conditionalFormatting sqref="I667">
    <cfRule type="cellIs" rank="0" priority="2646" equalAverage="0" operator="greaterThan" aboveAverage="0" dxfId="7" text="" percent="0" bottom="0">
      <formula>0</formula>
    </cfRule>
  </conditionalFormatting>
  <conditionalFormatting sqref="K667">
    <cfRule type="cellIs" rank="0" priority="2647" equalAverage="0" operator="greaterThan" aboveAverage="0" dxfId="7" text="" percent="0" bottom="0">
      <formula>0</formula>
    </cfRule>
  </conditionalFormatting>
  <conditionalFormatting sqref="N667">
    <cfRule type="cellIs" rank="0" priority="2648" equalAverage="0" operator="greaterThan" aboveAverage="0" dxfId="7" text="" percent="0" bottom="0">
      <formula>0</formula>
    </cfRule>
    <cfRule type="cellIs" rank="0" priority="2649" equalAverage="0" operator="lessThan" aboveAverage="0" dxfId="8" text="" percent="0" bottom="0">
      <formula>0</formula>
    </cfRule>
  </conditionalFormatting>
  <conditionalFormatting sqref="I668">
    <cfRule type="cellIs" rank="0" priority="2650" equalAverage="0" operator="greaterThan" aboveAverage="0" dxfId="7" text="" percent="0" bottom="0">
      <formula>0</formula>
    </cfRule>
  </conditionalFormatting>
  <conditionalFormatting sqref="K668">
    <cfRule type="cellIs" rank="0" priority="2651" equalAverage="0" operator="greaterThan" aboveAverage="0" dxfId="7" text="" percent="0" bottom="0">
      <formula>0</formula>
    </cfRule>
  </conditionalFormatting>
  <conditionalFormatting sqref="N668">
    <cfRule type="cellIs" rank="0" priority="2652" equalAverage="0" operator="greaterThan" aboveAverage="0" dxfId="7" text="" percent="0" bottom="0">
      <formula>0</formula>
    </cfRule>
    <cfRule type="cellIs" rank="0" priority="2653" equalAverage="0" operator="lessThan" aboveAverage="0" dxfId="8" text="" percent="0" bottom="0">
      <formula>0</formula>
    </cfRule>
  </conditionalFormatting>
  <conditionalFormatting sqref="I669">
    <cfRule type="cellIs" rank="0" priority="2654" equalAverage="0" operator="greaterThan" aboveAverage="0" dxfId="7" text="" percent="0" bottom="0">
      <formula>0</formula>
    </cfRule>
  </conditionalFormatting>
  <conditionalFormatting sqref="K669">
    <cfRule type="cellIs" rank="0" priority="2655" equalAverage="0" operator="greaterThan" aboveAverage="0" dxfId="7" text="" percent="0" bottom="0">
      <formula>0</formula>
    </cfRule>
  </conditionalFormatting>
  <conditionalFormatting sqref="N669">
    <cfRule type="cellIs" rank="0" priority="2656" equalAverage="0" operator="greaterThan" aboveAverage="0" dxfId="7" text="" percent="0" bottom="0">
      <formula>0</formula>
    </cfRule>
    <cfRule type="cellIs" rank="0" priority="2657" equalAverage="0" operator="lessThan" aboveAverage="0" dxfId="8" text="" percent="0" bottom="0">
      <formula>0</formula>
    </cfRule>
  </conditionalFormatting>
  <conditionalFormatting sqref="I670">
    <cfRule type="cellIs" rank="0" priority="2658" equalAverage="0" operator="greaterThan" aboveAverage="0" dxfId="7" text="" percent="0" bottom="0">
      <formula>0</formula>
    </cfRule>
  </conditionalFormatting>
  <conditionalFormatting sqref="K670">
    <cfRule type="cellIs" rank="0" priority="2659" equalAverage="0" operator="greaterThan" aboveAverage="0" dxfId="7" text="" percent="0" bottom="0">
      <formula>0</formula>
    </cfRule>
  </conditionalFormatting>
  <conditionalFormatting sqref="N670">
    <cfRule type="cellIs" rank="0" priority="2660" equalAverage="0" operator="greaterThan" aboveAverage="0" dxfId="7" text="" percent="0" bottom="0">
      <formula>0</formula>
    </cfRule>
    <cfRule type="cellIs" rank="0" priority="2661" equalAverage="0" operator="lessThan" aboveAverage="0" dxfId="8" text="" percent="0" bottom="0">
      <formula>0</formula>
    </cfRule>
  </conditionalFormatting>
  <conditionalFormatting sqref="I671">
    <cfRule type="cellIs" rank="0" priority="2662" equalAverage="0" operator="greaterThan" aboveAverage="0" dxfId="7" text="" percent="0" bottom="0">
      <formula>0</formula>
    </cfRule>
  </conditionalFormatting>
  <conditionalFormatting sqref="K671">
    <cfRule type="cellIs" rank="0" priority="2663" equalAverage="0" operator="greaterThan" aboveAverage="0" dxfId="7" text="" percent="0" bottom="0">
      <formula>0</formula>
    </cfRule>
  </conditionalFormatting>
  <conditionalFormatting sqref="N671">
    <cfRule type="cellIs" rank="0" priority="2664" equalAverage="0" operator="greaterThan" aboveAverage="0" dxfId="7" text="" percent="0" bottom="0">
      <formula>0</formula>
    </cfRule>
    <cfRule type="cellIs" rank="0" priority="2665" equalAverage="0" operator="lessThan" aboveAverage="0" dxfId="8" text="" percent="0" bottom="0">
      <formula>0</formula>
    </cfRule>
  </conditionalFormatting>
  <conditionalFormatting sqref="I672">
    <cfRule type="cellIs" rank="0" priority="2666" equalAverage="0" operator="greaterThan" aboveAverage="0" dxfId="7" text="" percent="0" bottom="0">
      <formula>0</formula>
    </cfRule>
  </conditionalFormatting>
  <conditionalFormatting sqref="K672">
    <cfRule type="cellIs" rank="0" priority="2667" equalAverage="0" operator="greaterThan" aboveAverage="0" dxfId="7" text="" percent="0" bottom="0">
      <formula>0</formula>
    </cfRule>
  </conditionalFormatting>
  <conditionalFormatting sqref="N672">
    <cfRule type="cellIs" rank="0" priority="2668" equalAverage="0" operator="greaterThan" aboveAverage="0" dxfId="7" text="" percent="0" bottom="0">
      <formula>0</formula>
    </cfRule>
    <cfRule type="cellIs" rank="0" priority="2669" equalAverage="0" operator="lessThan" aboveAverage="0" dxfId="8" text="" percent="0" bottom="0">
      <formula>0</formula>
    </cfRule>
  </conditionalFormatting>
  <conditionalFormatting sqref="I673">
    <cfRule type="cellIs" rank="0" priority="2670" equalAverage="0" operator="greaterThan" aboveAverage="0" dxfId="7" text="" percent="0" bottom="0">
      <formula>0</formula>
    </cfRule>
  </conditionalFormatting>
  <conditionalFormatting sqref="K673">
    <cfRule type="cellIs" rank="0" priority="2671" equalAverage="0" operator="greaterThan" aboveAverage="0" dxfId="7" text="" percent="0" bottom="0">
      <formula>0</formula>
    </cfRule>
  </conditionalFormatting>
  <conditionalFormatting sqref="N673">
    <cfRule type="cellIs" rank="0" priority="2672" equalAverage="0" operator="greaterThan" aboveAverage="0" dxfId="7" text="" percent="0" bottom="0">
      <formula>0</formula>
    </cfRule>
    <cfRule type="cellIs" rank="0" priority="2673" equalAverage="0" operator="lessThan" aboveAverage="0" dxfId="8" text="" percent="0" bottom="0">
      <formula>0</formula>
    </cfRule>
  </conditionalFormatting>
  <conditionalFormatting sqref="I674">
    <cfRule type="cellIs" rank="0" priority="2674" equalAverage="0" operator="greaterThan" aboveAverage="0" dxfId="7" text="" percent="0" bottom="0">
      <formula>0</formula>
    </cfRule>
  </conditionalFormatting>
  <conditionalFormatting sqref="K674">
    <cfRule type="cellIs" rank="0" priority="2675" equalAverage="0" operator="greaterThan" aboveAverage="0" dxfId="7" text="" percent="0" bottom="0">
      <formula>0</formula>
    </cfRule>
  </conditionalFormatting>
  <conditionalFormatting sqref="N674">
    <cfRule type="cellIs" rank="0" priority="2676" equalAverage="0" operator="greaterThan" aboveAverage="0" dxfId="7" text="" percent="0" bottom="0">
      <formula>0</formula>
    </cfRule>
    <cfRule type="cellIs" rank="0" priority="2677" equalAverage="0" operator="lessThan" aboveAverage="0" dxfId="8" text="" percent="0" bottom="0">
      <formula>0</formula>
    </cfRule>
  </conditionalFormatting>
  <conditionalFormatting sqref="I675">
    <cfRule type="cellIs" rank="0" priority="2678" equalAverage="0" operator="greaterThan" aboveAverage="0" dxfId="7" text="" percent="0" bottom="0">
      <formula>0</formula>
    </cfRule>
  </conditionalFormatting>
  <conditionalFormatting sqref="K675">
    <cfRule type="cellIs" rank="0" priority="2679" equalAverage="0" operator="greaterThan" aboveAverage="0" dxfId="7" text="" percent="0" bottom="0">
      <formula>0</formula>
    </cfRule>
  </conditionalFormatting>
  <conditionalFormatting sqref="N675">
    <cfRule type="cellIs" rank="0" priority="2680" equalAverage="0" operator="greaterThan" aboveAverage="0" dxfId="7" text="" percent="0" bottom="0">
      <formula>0</formula>
    </cfRule>
    <cfRule type="cellIs" rank="0" priority="2681" equalAverage="0" operator="lessThan" aboveAverage="0" dxfId="8" text="" percent="0" bottom="0">
      <formula>0</formula>
    </cfRule>
  </conditionalFormatting>
  <conditionalFormatting sqref="I676">
    <cfRule type="cellIs" rank="0" priority="2682" equalAverage="0" operator="greaterThan" aboveAverage="0" dxfId="7" text="" percent="0" bottom="0">
      <formula>0</formula>
    </cfRule>
  </conditionalFormatting>
  <conditionalFormatting sqref="K676">
    <cfRule type="cellIs" rank="0" priority="2683" equalAverage="0" operator="greaterThan" aboveAverage="0" dxfId="7" text="" percent="0" bottom="0">
      <formula>0</formula>
    </cfRule>
  </conditionalFormatting>
  <conditionalFormatting sqref="N676">
    <cfRule type="cellIs" rank="0" priority="2684" equalAverage="0" operator="greaterThan" aboveAverage="0" dxfId="7" text="" percent="0" bottom="0">
      <formula>0</formula>
    </cfRule>
    <cfRule type="cellIs" rank="0" priority="2685" equalAverage="0" operator="lessThan" aboveAverage="0" dxfId="8" text="" percent="0" bottom="0">
      <formula>0</formula>
    </cfRule>
  </conditionalFormatting>
  <conditionalFormatting sqref="I677">
    <cfRule type="cellIs" rank="0" priority="2686" equalAverage="0" operator="greaterThan" aboveAverage="0" dxfId="7" text="" percent="0" bottom="0">
      <formula>0</formula>
    </cfRule>
  </conditionalFormatting>
  <conditionalFormatting sqref="K677">
    <cfRule type="cellIs" rank="0" priority="2687" equalAverage="0" operator="greaterThan" aboveAverage="0" dxfId="7" text="" percent="0" bottom="0">
      <formula>0</formula>
    </cfRule>
  </conditionalFormatting>
  <conditionalFormatting sqref="N677">
    <cfRule type="cellIs" rank="0" priority="2688" equalAverage="0" operator="greaterThan" aboveAverage="0" dxfId="7" text="" percent="0" bottom="0">
      <formula>0</formula>
    </cfRule>
    <cfRule type="cellIs" rank="0" priority="2689" equalAverage="0" operator="lessThan" aboveAverage="0" dxfId="8" text="" percent="0" bottom="0">
      <formula>0</formula>
    </cfRule>
  </conditionalFormatting>
  <conditionalFormatting sqref="I678">
    <cfRule type="cellIs" rank="0" priority="2690" equalAverage="0" operator="greaterThan" aboveAverage="0" dxfId="7" text="" percent="0" bottom="0">
      <formula>0</formula>
    </cfRule>
  </conditionalFormatting>
  <conditionalFormatting sqref="K678">
    <cfRule type="cellIs" rank="0" priority="2691" equalAverage="0" operator="greaterThan" aboveAverage="0" dxfId="7" text="" percent="0" bottom="0">
      <formula>0</formula>
    </cfRule>
  </conditionalFormatting>
  <conditionalFormatting sqref="N678">
    <cfRule type="cellIs" rank="0" priority="2692" equalAverage="0" operator="greaterThan" aboveAverage="0" dxfId="7" text="" percent="0" bottom="0">
      <formula>0</formula>
    </cfRule>
    <cfRule type="cellIs" rank="0" priority="2693" equalAverage="0" operator="lessThan" aboveAverage="0" dxfId="8" text="" percent="0" bottom="0">
      <formula>0</formula>
    </cfRule>
  </conditionalFormatting>
  <conditionalFormatting sqref="I679">
    <cfRule type="cellIs" rank="0" priority="2694" equalAverage="0" operator="greaterThan" aboveAverage="0" dxfId="7" text="" percent="0" bottom="0">
      <formula>0</formula>
    </cfRule>
  </conditionalFormatting>
  <conditionalFormatting sqref="K679">
    <cfRule type="cellIs" rank="0" priority="2695" equalAverage="0" operator="greaterThan" aboveAverage="0" dxfId="7" text="" percent="0" bottom="0">
      <formula>0</formula>
    </cfRule>
  </conditionalFormatting>
  <conditionalFormatting sqref="N679">
    <cfRule type="cellIs" rank="0" priority="2696" equalAverage="0" operator="greaterThan" aboveAverage="0" dxfId="7" text="" percent="0" bottom="0">
      <formula>0</formula>
    </cfRule>
    <cfRule type="cellIs" rank="0" priority="2697" equalAverage="0" operator="lessThan" aboveAverage="0" dxfId="8" text="" percent="0" bottom="0">
      <formula>0</formula>
    </cfRule>
  </conditionalFormatting>
  <conditionalFormatting sqref="I680">
    <cfRule type="cellIs" rank="0" priority="2698" equalAverage="0" operator="greaterThan" aboveAverage="0" dxfId="7" text="" percent="0" bottom="0">
      <formula>0</formula>
    </cfRule>
  </conditionalFormatting>
  <conditionalFormatting sqref="K680">
    <cfRule type="cellIs" rank="0" priority="2699" equalAverage="0" operator="greaterThan" aboveAverage="0" dxfId="7" text="" percent="0" bottom="0">
      <formula>0</formula>
    </cfRule>
  </conditionalFormatting>
  <conditionalFormatting sqref="N680">
    <cfRule type="cellIs" rank="0" priority="2700" equalAverage="0" operator="greaterThan" aboveAverage="0" dxfId="7" text="" percent="0" bottom="0">
      <formula>0</formula>
    </cfRule>
    <cfRule type="cellIs" rank="0" priority="2701" equalAverage="0" operator="lessThan" aboveAverage="0" dxfId="8" text="" percent="0" bottom="0">
      <formula>0</formula>
    </cfRule>
  </conditionalFormatting>
  <conditionalFormatting sqref="I681">
    <cfRule type="cellIs" rank="0" priority="2702" equalAverage="0" operator="greaterThan" aboveAverage="0" dxfId="7" text="" percent="0" bottom="0">
      <formula>0</formula>
    </cfRule>
  </conditionalFormatting>
  <conditionalFormatting sqref="K681">
    <cfRule type="cellIs" rank="0" priority="2703" equalAverage="0" operator="greaterThan" aboveAverage="0" dxfId="7" text="" percent="0" bottom="0">
      <formula>0</formula>
    </cfRule>
  </conditionalFormatting>
  <conditionalFormatting sqref="N681">
    <cfRule type="cellIs" rank="0" priority="2704" equalAverage="0" operator="greaterThan" aboveAverage="0" dxfId="7" text="" percent="0" bottom="0">
      <formula>0</formula>
    </cfRule>
    <cfRule type="cellIs" rank="0" priority="2705" equalAverage="0" operator="lessThan" aboveAverage="0" dxfId="8" text="" percent="0" bottom="0">
      <formula>0</formula>
    </cfRule>
  </conditionalFormatting>
  <conditionalFormatting sqref="I682">
    <cfRule type="cellIs" rank="0" priority="2706" equalAverage="0" operator="greaterThan" aboveAverage="0" dxfId="7" text="" percent="0" bottom="0">
      <formula>0</formula>
    </cfRule>
  </conditionalFormatting>
  <conditionalFormatting sqref="K682">
    <cfRule type="cellIs" rank="0" priority="2707" equalAverage="0" operator="greaterThan" aboveAverage="0" dxfId="7" text="" percent="0" bottom="0">
      <formula>0</formula>
    </cfRule>
  </conditionalFormatting>
  <conditionalFormatting sqref="N682">
    <cfRule type="cellIs" rank="0" priority="2708" equalAverage="0" operator="greaterThan" aboveAverage="0" dxfId="7" text="" percent="0" bottom="0">
      <formula>0</formula>
    </cfRule>
    <cfRule type="cellIs" rank="0" priority="2709" equalAverage="0" operator="lessThan" aboveAverage="0" dxfId="8" text="" percent="0" bottom="0">
      <formula>0</formula>
    </cfRule>
  </conditionalFormatting>
  <conditionalFormatting sqref="I683">
    <cfRule type="cellIs" rank="0" priority="2710" equalAverage="0" operator="greaterThan" aboveAverage="0" dxfId="7" text="" percent="0" bottom="0">
      <formula>0</formula>
    </cfRule>
  </conditionalFormatting>
  <conditionalFormatting sqref="K683">
    <cfRule type="cellIs" rank="0" priority="2711" equalAverage="0" operator="greaterThan" aboveAverage="0" dxfId="7" text="" percent="0" bottom="0">
      <formula>0</formula>
    </cfRule>
  </conditionalFormatting>
  <conditionalFormatting sqref="N683">
    <cfRule type="cellIs" rank="0" priority="2712" equalAverage="0" operator="greaterThan" aboveAverage="0" dxfId="7" text="" percent="0" bottom="0">
      <formula>0</formula>
    </cfRule>
    <cfRule type="cellIs" rank="0" priority="2713" equalAverage="0" operator="lessThan" aboveAverage="0" dxfId="8" text="" percent="0" bottom="0">
      <formula>0</formula>
    </cfRule>
  </conditionalFormatting>
  <conditionalFormatting sqref="I684">
    <cfRule type="cellIs" rank="0" priority="2714" equalAverage="0" operator="greaterThan" aboveAverage="0" dxfId="7" text="" percent="0" bottom="0">
      <formula>0</formula>
    </cfRule>
  </conditionalFormatting>
  <conditionalFormatting sqref="K684">
    <cfRule type="cellIs" rank="0" priority="2715" equalAverage="0" operator="greaterThan" aboveAverage="0" dxfId="7" text="" percent="0" bottom="0">
      <formula>0</formula>
    </cfRule>
  </conditionalFormatting>
  <conditionalFormatting sqref="N684">
    <cfRule type="cellIs" rank="0" priority="2716" equalAverage="0" operator="greaterThan" aboveAverage="0" dxfId="7" text="" percent="0" bottom="0">
      <formula>0</formula>
    </cfRule>
    <cfRule type="cellIs" rank="0" priority="2717" equalAverage="0" operator="lessThan" aboveAverage="0" dxfId="8" text="" percent="0" bottom="0">
      <formula>0</formula>
    </cfRule>
  </conditionalFormatting>
  <conditionalFormatting sqref="I685">
    <cfRule type="cellIs" rank="0" priority="2718" equalAverage="0" operator="greaterThan" aboveAverage="0" dxfId="7" text="" percent="0" bottom="0">
      <formula>0</formula>
    </cfRule>
  </conditionalFormatting>
  <conditionalFormatting sqref="K685">
    <cfRule type="cellIs" rank="0" priority="2719" equalAverage="0" operator="greaterThan" aboveAverage="0" dxfId="7" text="" percent="0" bottom="0">
      <formula>0</formula>
    </cfRule>
  </conditionalFormatting>
  <conditionalFormatting sqref="N685">
    <cfRule type="cellIs" rank="0" priority="2720" equalAverage="0" operator="greaterThan" aboveAverage="0" dxfId="7" text="" percent="0" bottom="0">
      <formula>0</formula>
    </cfRule>
    <cfRule type="cellIs" rank="0" priority="2721" equalAverage="0" operator="lessThan" aboveAverage="0" dxfId="8" text="" percent="0" bottom="0">
      <formula>0</formula>
    </cfRule>
  </conditionalFormatting>
  <conditionalFormatting sqref="I686">
    <cfRule type="cellIs" rank="0" priority="2722" equalAverage="0" operator="greaterThan" aboveAverage="0" dxfId="7" text="" percent="0" bottom="0">
      <formula>0</formula>
    </cfRule>
  </conditionalFormatting>
  <conditionalFormatting sqref="K686">
    <cfRule type="cellIs" rank="0" priority="2723" equalAverage="0" operator="greaterThan" aboveAverage="0" dxfId="7" text="" percent="0" bottom="0">
      <formula>0</formula>
    </cfRule>
  </conditionalFormatting>
  <conditionalFormatting sqref="N686">
    <cfRule type="cellIs" rank="0" priority="2724" equalAverage="0" operator="greaterThan" aboveAverage="0" dxfId="7" text="" percent="0" bottom="0">
      <formula>0</formula>
    </cfRule>
    <cfRule type="cellIs" rank="0" priority="2725" equalAverage="0" operator="lessThan" aboveAverage="0" dxfId="8" text="" percent="0" bottom="0">
      <formula>0</formula>
    </cfRule>
  </conditionalFormatting>
  <conditionalFormatting sqref="I687">
    <cfRule type="cellIs" rank="0" priority="2726" equalAverage="0" operator="greaterThan" aboveAverage="0" dxfId="7" text="" percent="0" bottom="0">
      <formula>0</formula>
    </cfRule>
  </conditionalFormatting>
  <conditionalFormatting sqref="K687">
    <cfRule type="cellIs" rank="0" priority="2727" equalAverage="0" operator="greaterThan" aboveAverage="0" dxfId="7" text="" percent="0" bottom="0">
      <formula>0</formula>
    </cfRule>
  </conditionalFormatting>
  <conditionalFormatting sqref="N687">
    <cfRule type="cellIs" rank="0" priority="2728" equalAverage="0" operator="greaterThan" aboveAverage="0" dxfId="7" text="" percent="0" bottom="0">
      <formula>0</formula>
    </cfRule>
    <cfRule type="cellIs" rank="0" priority="2729" equalAverage="0" operator="lessThan" aboveAverage="0" dxfId="8" text="" percent="0" bottom="0">
      <formula>0</formula>
    </cfRule>
  </conditionalFormatting>
  <conditionalFormatting sqref="I688">
    <cfRule type="cellIs" rank="0" priority="2730" equalAverage="0" operator="greaterThan" aboveAverage="0" dxfId="7" text="" percent="0" bottom="0">
      <formula>0</formula>
    </cfRule>
  </conditionalFormatting>
  <conditionalFormatting sqref="K688">
    <cfRule type="cellIs" rank="0" priority="2731" equalAverage="0" operator="greaterThan" aboveAverage="0" dxfId="7" text="" percent="0" bottom="0">
      <formula>0</formula>
    </cfRule>
  </conditionalFormatting>
  <conditionalFormatting sqref="N688">
    <cfRule type="cellIs" rank="0" priority="2732" equalAverage="0" operator="greaterThan" aboveAverage="0" dxfId="7" text="" percent="0" bottom="0">
      <formula>0</formula>
    </cfRule>
    <cfRule type="cellIs" rank="0" priority="2733" equalAverage="0" operator="lessThan" aboveAverage="0" dxfId="8" text="" percent="0" bottom="0">
      <formula>0</formula>
    </cfRule>
  </conditionalFormatting>
  <conditionalFormatting sqref="I689">
    <cfRule type="cellIs" rank="0" priority="2734" equalAverage="0" operator="greaterThan" aboveAverage="0" dxfId="7" text="" percent="0" bottom="0">
      <formula>0</formula>
    </cfRule>
  </conditionalFormatting>
  <conditionalFormatting sqref="K689">
    <cfRule type="cellIs" rank="0" priority="2735" equalAverage="0" operator="greaterThan" aboveAverage="0" dxfId="7" text="" percent="0" bottom="0">
      <formula>0</formula>
    </cfRule>
  </conditionalFormatting>
  <conditionalFormatting sqref="N689">
    <cfRule type="cellIs" rank="0" priority="2736" equalAverage="0" operator="greaterThan" aboveAverage="0" dxfId="7" text="" percent="0" bottom="0">
      <formula>0</formula>
    </cfRule>
    <cfRule type="cellIs" rank="0" priority="2737" equalAverage="0" operator="lessThan" aboveAverage="0" dxfId="8" text="" percent="0" bottom="0">
      <formula>0</formula>
    </cfRule>
  </conditionalFormatting>
  <conditionalFormatting sqref="I690">
    <cfRule type="cellIs" rank="0" priority="2738" equalAverage="0" operator="greaterThan" aboveAverage="0" dxfId="7" text="" percent="0" bottom="0">
      <formula>0</formula>
    </cfRule>
  </conditionalFormatting>
  <conditionalFormatting sqref="K690">
    <cfRule type="cellIs" rank="0" priority="2739" equalAverage="0" operator="greaterThan" aboveAverage="0" dxfId="7" text="" percent="0" bottom="0">
      <formula>0</formula>
    </cfRule>
  </conditionalFormatting>
  <conditionalFormatting sqref="N690">
    <cfRule type="cellIs" rank="0" priority="2740" equalAverage="0" operator="greaterThan" aboveAverage="0" dxfId="7" text="" percent="0" bottom="0">
      <formula>0</formula>
    </cfRule>
    <cfRule type="cellIs" rank="0" priority="2741" equalAverage="0" operator="lessThan" aboveAverage="0" dxfId="8" text="" percent="0" bottom="0">
      <formula>0</formula>
    </cfRule>
  </conditionalFormatting>
  <conditionalFormatting sqref="I691">
    <cfRule type="cellIs" rank="0" priority="2742" equalAverage="0" operator="greaterThan" aboveAverage="0" dxfId="7" text="" percent="0" bottom="0">
      <formula>0</formula>
    </cfRule>
  </conditionalFormatting>
  <conditionalFormatting sqref="K691">
    <cfRule type="cellIs" rank="0" priority="2743" equalAverage="0" operator="greaterThan" aboveAverage="0" dxfId="7" text="" percent="0" bottom="0">
      <formula>0</formula>
    </cfRule>
  </conditionalFormatting>
  <conditionalFormatting sqref="N691">
    <cfRule type="cellIs" rank="0" priority="2744" equalAverage="0" operator="greaterThan" aboveAverage="0" dxfId="7" text="" percent="0" bottom="0">
      <formula>0</formula>
    </cfRule>
    <cfRule type="cellIs" rank="0" priority="2745" equalAverage="0" operator="lessThan" aboveAverage="0" dxfId="8" text="" percent="0" bottom="0">
      <formula>0</formula>
    </cfRule>
  </conditionalFormatting>
  <conditionalFormatting sqref="I692">
    <cfRule type="cellIs" rank="0" priority="2746" equalAverage="0" operator="greaterThan" aboveAverage="0" dxfId="7" text="" percent="0" bottom="0">
      <formula>0</formula>
    </cfRule>
  </conditionalFormatting>
  <conditionalFormatting sqref="K692">
    <cfRule type="cellIs" rank="0" priority="2747" equalAverage="0" operator="greaterThan" aboveAverage="0" dxfId="7" text="" percent="0" bottom="0">
      <formula>0</formula>
    </cfRule>
  </conditionalFormatting>
  <conditionalFormatting sqref="N692">
    <cfRule type="cellIs" rank="0" priority="2748" equalAverage="0" operator="greaterThan" aboveAverage="0" dxfId="7" text="" percent="0" bottom="0">
      <formula>0</formula>
    </cfRule>
    <cfRule type="cellIs" rank="0" priority="2749" equalAverage="0" operator="lessThan" aboveAverage="0" dxfId="8" text="" percent="0" bottom="0">
      <formula>0</formula>
    </cfRule>
  </conditionalFormatting>
  <conditionalFormatting sqref="I693">
    <cfRule type="cellIs" rank="0" priority="2750" equalAverage="0" operator="greaterThan" aboveAverage="0" dxfId="7" text="" percent="0" bottom="0">
      <formula>0</formula>
    </cfRule>
  </conditionalFormatting>
  <conditionalFormatting sqref="K693">
    <cfRule type="cellIs" rank="0" priority="2751" equalAverage="0" operator="greaterThan" aboveAverage="0" dxfId="7" text="" percent="0" bottom="0">
      <formula>0</formula>
    </cfRule>
  </conditionalFormatting>
  <conditionalFormatting sqref="N693">
    <cfRule type="cellIs" rank="0" priority="2752" equalAverage="0" operator="greaterThan" aboveAverage="0" dxfId="7" text="" percent="0" bottom="0">
      <formula>0</formula>
    </cfRule>
    <cfRule type="cellIs" rank="0" priority="2753" equalAverage="0" operator="lessThan" aboveAverage="0" dxfId="8" text="" percent="0" bottom="0">
      <formula>0</formula>
    </cfRule>
  </conditionalFormatting>
  <conditionalFormatting sqref="I694">
    <cfRule type="cellIs" rank="0" priority="2754" equalAverage="0" operator="greaterThan" aboveAverage="0" dxfId="7" text="" percent="0" bottom="0">
      <formula>0</formula>
    </cfRule>
  </conditionalFormatting>
  <conditionalFormatting sqref="K694">
    <cfRule type="cellIs" rank="0" priority="2755" equalAverage="0" operator="greaterThan" aboveAverage="0" dxfId="7" text="" percent="0" bottom="0">
      <formula>0</formula>
    </cfRule>
  </conditionalFormatting>
  <conditionalFormatting sqref="N694">
    <cfRule type="cellIs" rank="0" priority="2756" equalAverage="0" operator="greaterThan" aboveAverage="0" dxfId="7" text="" percent="0" bottom="0">
      <formula>0</formula>
    </cfRule>
    <cfRule type="cellIs" rank="0" priority="2757" equalAverage="0" operator="lessThan" aboveAverage="0" dxfId="8" text="" percent="0" bottom="0">
      <formula>0</formula>
    </cfRule>
  </conditionalFormatting>
  <conditionalFormatting sqref="I695">
    <cfRule type="cellIs" rank="0" priority="2758" equalAverage="0" operator="greaterThan" aboveAverage="0" dxfId="7" text="" percent="0" bottom="0">
      <formula>0</formula>
    </cfRule>
  </conditionalFormatting>
  <conditionalFormatting sqref="K695">
    <cfRule type="cellIs" rank="0" priority="2759" equalAverage="0" operator="greaterThan" aboveAverage="0" dxfId="7" text="" percent="0" bottom="0">
      <formula>0</formula>
    </cfRule>
  </conditionalFormatting>
  <conditionalFormatting sqref="N695">
    <cfRule type="cellIs" rank="0" priority="2760" equalAverage="0" operator="greaterThan" aboveAverage="0" dxfId="7" text="" percent="0" bottom="0">
      <formula>0</formula>
    </cfRule>
    <cfRule type="cellIs" rank="0" priority="2761" equalAverage="0" operator="lessThan" aboveAverage="0" dxfId="8" text="" percent="0" bottom="0">
      <formula>0</formula>
    </cfRule>
  </conditionalFormatting>
  <conditionalFormatting sqref="I696">
    <cfRule type="cellIs" rank="0" priority="2762" equalAverage="0" operator="greaterThan" aboveAverage="0" dxfId="7" text="" percent="0" bottom="0">
      <formula>0</formula>
    </cfRule>
  </conditionalFormatting>
  <conditionalFormatting sqref="K696">
    <cfRule type="cellIs" rank="0" priority="2763" equalAverage="0" operator="greaterThan" aboveAverage="0" dxfId="7" text="" percent="0" bottom="0">
      <formula>0</formula>
    </cfRule>
  </conditionalFormatting>
  <conditionalFormatting sqref="N696">
    <cfRule type="cellIs" rank="0" priority="2764" equalAverage="0" operator="greaterThan" aboveAverage="0" dxfId="7" text="" percent="0" bottom="0">
      <formula>0</formula>
    </cfRule>
    <cfRule type="cellIs" rank="0" priority="2765" equalAverage="0" operator="lessThan" aboveAverage="0" dxfId="8" text="" percent="0" bottom="0">
      <formula>0</formula>
    </cfRule>
  </conditionalFormatting>
  <conditionalFormatting sqref="I697">
    <cfRule type="cellIs" rank="0" priority="2766" equalAverage="0" operator="greaterThan" aboveAverage="0" dxfId="7" text="" percent="0" bottom="0">
      <formula>0</formula>
    </cfRule>
  </conditionalFormatting>
  <conditionalFormatting sqref="K697">
    <cfRule type="cellIs" rank="0" priority="2767" equalAverage="0" operator="greaterThan" aboveAverage="0" dxfId="7" text="" percent="0" bottom="0">
      <formula>0</formula>
    </cfRule>
  </conditionalFormatting>
  <conditionalFormatting sqref="N697">
    <cfRule type="cellIs" rank="0" priority="2768" equalAverage="0" operator="greaterThan" aboveAverage="0" dxfId="7" text="" percent="0" bottom="0">
      <formula>0</formula>
    </cfRule>
    <cfRule type="cellIs" rank="0" priority="2769" equalAverage="0" operator="lessThan" aboveAverage="0" dxfId="8" text="" percent="0" bottom="0">
      <formula>0</formula>
    </cfRule>
  </conditionalFormatting>
  <conditionalFormatting sqref="I698">
    <cfRule type="cellIs" rank="0" priority="2770" equalAverage="0" operator="greaterThan" aboveAverage="0" dxfId="7" text="" percent="0" bottom="0">
      <formula>0</formula>
    </cfRule>
  </conditionalFormatting>
  <conditionalFormatting sqref="K698">
    <cfRule type="cellIs" rank="0" priority="2771" equalAverage="0" operator="greaterThan" aboveAverage="0" dxfId="7" text="" percent="0" bottom="0">
      <formula>0</formula>
    </cfRule>
  </conditionalFormatting>
  <conditionalFormatting sqref="N698">
    <cfRule type="cellIs" rank="0" priority="2772" equalAverage="0" operator="greaterThan" aboveAverage="0" dxfId="7" text="" percent="0" bottom="0">
      <formula>0</formula>
    </cfRule>
    <cfRule type="cellIs" rank="0" priority="2773" equalAverage="0" operator="lessThan" aboveAverage="0" dxfId="8" text="" percent="0" bottom="0">
      <formula>0</formula>
    </cfRule>
  </conditionalFormatting>
  <conditionalFormatting sqref="I699">
    <cfRule type="cellIs" rank="0" priority="2774" equalAverage="0" operator="greaterThan" aboveAverage="0" dxfId="7" text="" percent="0" bottom="0">
      <formula>0</formula>
    </cfRule>
  </conditionalFormatting>
  <conditionalFormatting sqref="K699">
    <cfRule type="cellIs" rank="0" priority="2775" equalAverage="0" operator="greaterThan" aboveAverage="0" dxfId="7" text="" percent="0" bottom="0">
      <formula>0</formula>
    </cfRule>
  </conditionalFormatting>
  <conditionalFormatting sqref="N699">
    <cfRule type="cellIs" rank="0" priority="2776" equalAverage="0" operator="greaterThan" aboveAverage="0" dxfId="7" text="" percent="0" bottom="0">
      <formula>0</formula>
    </cfRule>
    <cfRule type="cellIs" rank="0" priority="2777" equalAverage="0" operator="lessThan" aboveAverage="0" dxfId="8" text="" percent="0" bottom="0">
      <formula>0</formula>
    </cfRule>
  </conditionalFormatting>
  <conditionalFormatting sqref="I700">
    <cfRule type="cellIs" rank="0" priority="2778" equalAverage="0" operator="greaterThan" aboveAverage="0" dxfId="7" text="" percent="0" bottom="0">
      <formula>0</formula>
    </cfRule>
  </conditionalFormatting>
  <conditionalFormatting sqref="K700">
    <cfRule type="cellIs" rank="0" priority="2779" equalAverage="0" operator="greaterThan" aboveAverage="0" dxfId="7" text="" percent="0" bottom="0">
      <formula>0</formula>
    </cfRule>
  </conditionalFormatting>
  <conditionalFormatting sqref="N700">
    <cfRule type="cellIs" rank="0" priority="2780" equalAverage="0" operator="greaterThan" aboveAverage="0" dxfId="7" text="" percent="0" bottom="0">
      <formula>0</formula>
    </cfRule>
    <cfRule type="cellIs" rank="0" priority="2781" equalAverage="0" operator="lessThan" aboveAverage="0" dxfId="8" text="" percent="0" bottom="0">
      <formula>0</formula>
    </cfRule>
  </conditionalFormatting>
  <conditionalFormatting sqref="I701">
    <cfRule type="cellIs" rank="0" priority="2782" equalAverage="0" operator="greaterThan" aboveAverage="0" dxfId="7" text="" percent="0" bottom="0">
      <formula>0</formula>
    </cfRule>
  </conditionalFormatting>
  <conditionalFormatting sqref="K701">
    <cfRule type="cellIs" rank="0" priority="2783" equalAverage="0" operator="greaterThan" aboveAverage="0" dxfId="7" text="" percent="0" bottom="0">
      <formula>0</formula>
    </cfRule>
  </conditionalFormatting>
  <conditionalFormatting sqref="N701">
    <cfRule type="cellIs" rank="0" priority="2784" equalAverage="0" operator="greaterThan" aboveAverage="0" dxfId="7" text="" percent="0" bottom="0">
      <formula>0</formula>
    </cfRule>
    <cfRule type="cellIs" rank="0" priority="2785" equalAverage="0" operator="lessThan" aboveAverage="0" dxfId="8" text="" percent="0" bottom="0">
      <formula>0</formula>
    </cfRule>
  </conditionalFormatting>
  <conditionalFormatting sqref="I702">
    <cfRule type="cellIs" rank="0" priority="2786" equalAverage="0" operator="greaterThan" aboveAverage="0" dxfId="7" text="" percent="0" bottom="0">
      <formula>0</formula>
    </cfRule>
  </conditionalFormatting>
  <conditionalFormatting sqref="K702">
    <cfRule type="cellIs" rank="0" priority="2787" equalAverage="0" operator="greaterThan" aboveAverage="0" dxfId="7" text="" percent="0" bottom="0">
      <formula>0</formula>
    </cfRule>
  </conditionalFormatting>
  <conditionalFormatting sqref="N702">
    <cfRule type="cellIs" rank="0" priority="2788" equalAverage="0" operator="greaterThan" aboveAverage="0" dxfId="7" text="" percent="0" bottom="0">
      <formula>0</formula>
    </cfRule>
    <cfRule type="cellIs" rank="0" priority="2789" equalAverage="0" operator="lessThan" aboveAverage="0" dxfId="8" text="" percent="0" bottom="0">
      <formula>0</formula>
    </cfRule>
  </conditionalFormatting>
  <conditionalFormatting sqref="I703">
    <cfRule type="cellIs" rank="0" priority="2790" equalAverage="0" operator="greaterThan" aboveAverage="0" dxfId="7" text="" percent="0" bottom="0">
      <formula>0</formula>
    </cfRule>
  </conditionalFormatting>
  <conditionalFormatting sqref="K703">
    <cfRule type="cellIs" rank="0" priority="2791" equalAverage="0" operator="greaterThan" aboveAverage="0" dxfId="7" text="" percent="0" bottom="0">
      <formula>0</formula>
    </cfRule>
  </conditionalFormatting>
  <conditionalFormatting sqref="N703">
    <cfRule type="cellIs" rank="0" priority="2792" equalAverage="0" operator="greaterThan" aboveAverage="0" dxfId="7" text="" percent="0" bottom="0">
      <formula>0</formula>
    </cfRule>
    <cfRule type="cellIs" rank="0" priority="2793" equalAverage="0" operator="lessThan" aboveAverage="0" dxfId="8" text="" percent="0" bottom="0">
      <formula>0</formula>
    </cfRule>
  </conditionalFormatting>
  <conditionalFormatting sqref="I704">
    <cfRule type="cellIs" rank="0" priority="2794" equalAverage="0" operator="greaterThan" aboveAverage="0" dxfId="7" text="" percent="0" bottom="0">
      <formula>0</formula>
    </cfRule>
  </conditionalFormatting>
  <conditionalFormatting sqref="K704">
    <cfRule type="cellIs" rank="0" priority="2795" equalAverage="0" operator="greaterThan" aboveAverage="0" dxfId="7" text="" percent="0" bottom="0">
      <formula>0</formula>
    </cfRule>
  </conditionalFormatting>
  <conditionalFormatting sqref="N704">
    <cfRule type="cellIs" rank="0" priority="2796" equalAverage="0" operator="greaterThan" aboveAverage="0" dxfId="7" text="" percent="0" bottom="0">
      <formula>0</formula>
    </cfRule>
    <cfRule type="cellIs" rank="0" priority="2797" equalAverage="0" operator="lessThan" aboveAverage="0" dxfId="8" text="" percent="0" bottom="0">
      <formula>0</formula>
    </cfRule>
  </conditionalFormatting>
  <conditionalFormatting sqref="I705">
    <cfRule type="cellIs" rank="0" priority="2798" equalAverage="0" operator="greaterThan" aboveAverage="0" dxfId="7" text="" percent="0" bottom="0">
      <formula>0</formula>
    </cfRule>
  </conditionalFormatting>
  <conditionalFormatting sqref="K705">
    <cfRule type="cellIs" rank="0" priority="2799" equalAverage="0" operator="greaterThan" aboveAverage="0" dxfId="7" text="" percent="0" bottom="0">
      <formula>0</formula>
    </cfRule>
  </conditionalFormatting>
  <conditionalFormatting sqref="N705">
    <cfRule type="cellIs" rank="0" priority="2800" equalAverage="0" operator="greaterThan" aboveAverage="0" dxfId="7" text="" percent="0" bottom="0">
      <formula>0</formula>
    </cfRule>
    <cfRule type="cellIs" rank="0" priority="2801" equalAverage="0" operator="lessThan" aboveAverage="0" dxfId="8" text="" percent="0" bottom="0">
      <formula>0</formula>
    </cfRule>
  </conditionalFormatting>
  <conditionalFormatting sqref="I706">
    <cfRule type="cellIs" rank="0" priority="2802" equalAverage="0" operator="greaterThan" aboveAverage="0" dxfId="7" text="" percent="0" bottom="0">
      <formula>0</formula>
    </cfRule>
  </conditionalFormatting>
  <conditionalFormatting sqref="K706">
    <cfRule type="cellIs" rank="0" priority="2803" equalAverage="0" operator="greaterThan" aboveAverage="0" dxfId="7" text="" percent="0" bottom="0">
      <formula>0</formula>
    </cfRule>
  </conditionalFormatting>
  <conditionalFormatting sqref="N706">
    <cfRule type="cellIs" rank="0" priority="2804" equalAverage="0" operator="greaterThan" aboveAverage="0" dxfId="7" text="" percent="0" bottom="0">
      <formula>0</formula>
    </cfRule>
    <cfRule type="cellIs" rank="0" priority="2805" equalAverage="0" operator="lessThan" aboveAverage="0" dxfId="8" text="" percent="0" bottom="0">
      <formula>0</formula>
    </cfRule>
  </conditionalFormatting>
  <conditionalFormatting sqref="I707">
    <cfRule type="cellIs" rank="0" priority="2806" equalAverage="0" operator="greaterThan" aboveAverage="0" dxfId="7" text="" percent="0" bottom="0">
      <formula>0</formula>
    </cfRule>
  </conditionalFormatting>
  <conditionalFormatting sqref="K707">
    <cfRule type="cellIs" rank="0" priority="2807" equalAverage="0" operator="greaterThan" aboveAverage="0" dxfId="7" text="" percent="0" bottom="0">
      <formula>0</formula>
    </cfRule>
  </conditionalFormatting>
  <conditionalFormatting sqref="N707">
    <cfRule type="cellIs" rank="0" priority="2808" equalAverage="0" operator="greaterThan" aboveAverage="0" dxfId="7" text="" percent="0" bottom="0">
      <formula>0</formula>
    </cfRule>
    <cfRule type="cellIs" rank="0" priority="2809" equalAverage="0" operator="lessThan" aboveAverage="0" dxfId="8" text="" percent="0" bottom="0">
      <formula>0</formula>
    </cfRule>
  </conditionalFormatting>
  <conditionalFormatting sqref="I708">
    <cfRule type="cellIs" rank="0" priority="2810" equalAverage="0" operator="greaterThan" aboveAverage="0" dxfId="7" text="" percent="0" bottom="0">
      <formula>0</formula>
    </cfRule>
  </conditionalFormatting>
  <conditionalFormatting sqref="K708">
    <cfRule type="cellIs" rank="0" priority="2811" equalAverage="0" operator="greaterThan" aboveAverage="0" dxfId="7" text="" percent="0" bottom="0">
      <formula>0</formula>
    </cfRule>
  </conditionalFormatting>
  <conditionalFormatting sqref="N708">
    <cfRule type="cellIs" rank="0" priority="2812" equalAverage="0" operator="greaterThan" aboveAverage="0" dxfId="7" text="" percent="0" bottom="0">
      <formula>0</formula>
    </cfRule>
    <cfRule type="cellIs" rank="0" priority="2813" equalAverage="0" operator="lessThan" aboveAverage="0" dxfId="8" text="" percent="0" bottom="0">
      <formula>0</formula>
    </cfRule>
  </conditionalFormatting>
  <conditionalFormatting sqref="I709">
    <cfRule type="cellIs" rank="0" priority="2814" equalAverage="0" operator="greaterThan" aboveAverage="0" dxfId="7" text="" percent="0" bottom="0">
      <formula>0</formula>
    </cfRule>
  </conditionalFormatting>
  <conditionalFormatting sqref="K709">
    <cfRule type="cellIs" rank="0" priority="2815" equalAverage="0" operator="greaterThan" aboveAverage="0" dxfId="7" text="" percent="0" bottom="0">
      <formula>0</formula>
    </cfRule>
  </conditionalFormatting>
  <conditionalFormatting sqref="N709">
    <cfRule type="cellIs" rank="0" priority="2816" equalAverage="0" operator="greaterThan" aboveAverage="0" dxfId="7" text="" percent="0" bottom="0">
      <formula>0</formula>
    </cfRule>
    <cfRule type="cellIs" rank="0" priority="2817" equalAverage="0" operator="lessThan" aboveAverage="0" dxfId="8" text="" percent="0" bottom="0">
      <formula>0</formula>
    </cfRule>
  </conditionalFormatting>
  <conditionalFormatting sqref="I710">
    <cfRule type="cellIs" rank="0" priority="2818" equalAverage="0" operator="greaterThan" aboveAverage="0" dxfId="7" text="" percent="0" bottom="0">
      <formula>0</formula>
    </cfRule>
  </conditionalFormatting>
  <conditionalFormatting sqref="K710">
    <cfRule type="cellIs" rank="0" priority="2819" equalAverage="0" operator="greaterThan" aboveAverage="0" dxfId="7" text="" percent="0" bottom="0">
      <formula>0</formula>
    </cfRule>
  </conditionalFormatting>
  <conditionalFormatting sqref="N710">
    <cfRule type="cellIs" rank="0" priority="2820" equalAverage="0" operator="greaterThan" aboveAverage="0" dxfId="7" text="" percent="0" bottom="0">
      <formula>0</formula>
    </cfRule>
    <cfRule type="cellIs" rank="0" priority="2821" equalAverage="0" operator="lessThan" aboveAverage="0" dxfId="8" text="" percent="0" bottom="0">
      <formula>0</formula>
    </cfRule>
  </conditionalFormatting>
  <conditionalFormatting sqref="I711">
    <cfRule type="cellIs" rank="0" priority="2822" equalAverage="0" operator="greaterThan" aboveAverage="0" dxfId="7" text="" percent="0" bottom="0">
      <formula>0</formula>
    </cfRule>
  </conditionalFormatting>
  <conditionalFormatting sqref="K711">
    <cfRule type="cellIs" rank="0" priority="2823" equalAverage="0" operator="greaterThan" aboveAverage="0" dxfId="7" text="" percent="0" bottom="0">
      <formula>0</formula>
    </cfRule>
  </conditionalFormatting>
  <conditionalFormatting sqref="N711">
    <cfRule type="cellIs" rank="0" priority="2824" equalAverage="0" operator="greaterThan" aboveAverage="0" dxfId="7" text="" percent="0" bottom="0">
      <formula>0</formula>
    </cfRule>
    <cfRule type="cellIs" rank="0" priority="2825" equalAverage="0" operator="lessThan" aboveAverage="0" dxfId="8" text="" percent="0" bottom="0">
      <formula>0</formula>
    </cfRule>
  </conditionalFormatting>
  <conditionalFormatting sqref="I712">
    <cfRule type="cellIs" rank="0" priority="2826" equalAverage="0" operator="greaterThan" aboveAverage="0" dxfId="7" text="" percent="0" bottom="0">
      <formula>0</formula>
    </cfRule>
  </conditionalFormatting>
  <conditionalFormatting sqref="K712">
    <cfRule type="cellIs" rank="0" priority="2827" equalAverage="0" operator="greaterThan" aboveAverage="0" dxfId="7" text="" percent="0" bottom="0">
      <formula>0</formula>
    </cfRule>
  </conditionalFormatting>
  <conditionalFormatting sqref="N712">
    <cfRule type="cellIs" rank="0" priority="2828" equalAverage="0" operator="greaterThan" aboveAverage="0" dxfId="7" text="" percent="0" bottom="0">
      <formula>0</formula>
    </cfRule>
    <cfRule type="cellIs" rank="0" priority="2829" equalAverage="0" operator="lessThan" aboveAverage="0" dxfId="8" text="" percent="0" bottom="0">
      <formula>0</formula>
    </cfRule>
  </conditionalFormatting>
  <conditionalFormatting sqref="I713">
    <cfRule type="cellIs" rank="0" priority="2830" equalAverage="0" operator="greaterThan" aboveAverage="0" dxfId="7" text="" percent="0" bottom="0">
      <formula>0</formula>
    </cfRule>
  </conditionalFormatting>
  <conditionalFormatting sqref="K713">
    <cfRule type="cellIs" rank="0" priority="2831" equalAverage="0" operator="greaterThan" aboveAverage="0" dxfId="7" text="" percent="0" bottom="0">
      <formula>0</formula>
    </cfRule>
  </conditionalFormatting>
  <conditionalFormatting sqref="N713">
    <cfRule type="cellIs" rank="0" priority="2832" equalAverage="0" operator="greaterThan" aboveAverage="0" dxfId="7" text="" percent="0" bottom="0">
      <formula>0</formula>
    </cfRule>
    <cfRule type="cellIs" rank="0" priority="2833" equalAverage="0" operator="lessThan" aboveAverage="0" dxfId="8" text="" percent="0" bottom="0">
      <formula>0</formula>
    </cfRule>
  </conditionalFormatting>
  <conditionalFormatting sqref="I714">
    <cfRule type="cellIs" rank="0" priority="2834" equalAverage="0" operator="greaterThan" aboveAverage="0" dxfId="7" text="" percent="0" bottom="0">
      <formula>0</formula>
    </cfRule>
  </conditionalFormatting>
  <conditionalFormatting sqref="K714">
    <cfRule type="cellIs" rank="0" priority="2835" equalAverage="0" operator="greaterThan" aboveAverage="0" dxfId="7" text="" percent="0" bottom="0">
      <formula>0</formula>
    </cfRule>
  </conditionalFormatting>
  <conditionalFormatting sqref="N714">
    <cfRule type="cellIs" rank="0" priority="2836" equalAverage="0" operator="greaterThan" aboveAverage="0" dxfId="7" text="" percent="0" bottom="0">
      <formula>0</formula>
    </cfRule>
    <cfRule type="cellIs" rank="0" priority="2837" equalAverage="0" operator="lessThan" aboveAverage="0" dxfId="8" text="" percent="0" bottom="0">
      <formula>0</formula>
    </cfRule>
  </conditionalFormatting>
  <conditionalFormatting sqref="I715">
    <cfRule type="cellIs" rank="0" priority="2838" equalAverage="0" operator="greaterThan" aboveAverage="0" dxfId="7" text="" percent="0" bottom="0">
      <formula>0</formula>
    </cfRule>
  </conditionalFormatting>
  <conditionalFormatting sqref="K715">
    <cfRule type="cellIs" rank="0" priority="2839" equalAverage="0" operator="greaterThan" aboveAverage="0" dxfId="7" text="" percent="0" bottom="0">
      <formula>0</formula>
    </cfRule>
  </conditionalFormatting>
  <conditionalFormatting sqref="N715">
    <cfRule type="cellIs" rank="0" priority="2840" equalAverage="0" operator="greaterThan" aboveAverage="0" dxfId="7" text="" percent="0" bottom="0">
      <formula>0</formula>
    </cfRule>
    <cfRule type="cellIs" rank="0" priority="2841" equalAverage="0" operator="lessThan" aboveAverage="0" dxfId="8" text="" percent="0" bottom="0">
      <formula>0</formula>
    </cfRule>
  </conditionalFormatting>
  <conditionalFormatting sqref="I716">
    <cfRule type="cellIs" rank="0" priority="2842" equalAverage="0" operator="greaterThan" aboveAverage="0" dxfId="7" text="" percent="0" bottom="0">
      <formula>0</formula>
    </cfRule>
  </conditionalFormatting>
  <conditionalFormatting sqref="K716">
    <cfRule type="cellIs" rank="0" priority="2843" equalAverage="0" operator="greaterThan" aboveAverage="0" dxfId="7" text="" percent="0" bottom="0">
      <formula>0</formula>
    </cfRule>
  </conditionalFormatting>
  <conditionalFormatting sqref="N716">
    <cfRule type="cellIs" rank="0" priority="2844" equalAverage="0" operator="greaterThan" aboveAverage="0" dxfId="7" text="" percent="0" bottom="0">
      <formula>0</formula>
    </cfRule>
    <cfRule type="cellIs" rank="0" priority="2845" equalAverage="0" operator="lessThan" aboveAverage="0" dxfId="8" text="" percent="0" bottom="0">
      <formula>0</formula>
    </cfRule>
  </conditionalFormatting>
  <conditionalFormatting sqref="I717">
    <cfRule type="cellIs" rank="0" priority="2846" equalAverage="0" operator="greaterThan" aboveAverage="0" dxfId="7" text="" percent="0" bottom="0">
      <formula>0</formula>
    </cfRule>
  </conditionalFormatting>
  <conditionalFormatting sqref="K717">
    <cfRule type="cellIs" rank="0" priority="2847" equalAverage="0" operator="greaterThan" aboveAverage="0" dxfId="7" text="" percent="0" bottom="0">
      <formula>0</formula>
    </cfRule>
  </conditionalFormatting>
  <conditionalFormatting sqref="N717">
    <cfRule type="cellIs" rank="0" priority="2848" equalAverage="0" operator="greaterThan" aboveAverage="0" dxfId="7" text="" percent="0" bottom="0">
      <formula>0</formula>
    </cfRule>
    <cfRule type="cellIs" rank="0" priority="2849" equalAverage="0" operator="lessThan" aboveAverage="0" dxfId="8" text="" percent="0" bottom="0">
      <formula>0</formula>
    </cfRule>
  </conditionalFormatting>
  <conditionalFormatting sqref="I718">
    <cfRule type="cellIs" rank="0" priority="2850" equalAverage="0" operator="greaterThan" aboveAverage="0" dxfId="7" text="" percent="0" bottom="0">
      <formula>0</formula>
    </cfRule>
  </conditionalFormatting>
  <conditionalFormatting sqref="K718">
    <cfRule type="cellIs" rank="0" priority="2851" equalAverage="0" operator="greaterThan" aboveAverage="0" dxfId="7" text="" percent="0" bottom="0">
      <formula>0</formula>
    </cfRule>
  </conditionalFormatting>
  <conditionalFormatting sqref="N718">
    <cfRule type="cellIs" rank="0" priority="2852" equalAverage="0" operator="greaterThan" aboveAverage="0" dxfId="7" text="" percent="0" bottom="0">
      <formula>0</formula>
    </cfRule>
    <cfRule type="cellIs" rank="0" priority="2853" equalAverage="0" operator="lessThan" aboveAverage="0" dxfId="8" text="" percent="0" bottom="0">
      <formula>0</formula>
    </cfRule>
  </conditionalFormatting>
  <conditionalFormatting sqref="I719">
    <cfRule type="cellIs" rank="0" priority="2854" equalAverage="0" operator="greaterThan" aboveAverage="0" dxfId="7" text="" percent="0" bottom="0">
      <formula>0</formula>
    </cfRule>
  </conditionalFormatting>
  <conditionalFormatting sqref="K719">
    <cfRule type="cellIs" rank="0" priority="2855" equalAverage="0" operator="greaterThan" aboveAverage="0" dxfId="7" text="" percent="0" bottom="0">
      <formula>0</formula>
    </cfRule>
  </conditionalFormatting>
  <conditionalFormatting sqref="N719">
    <cfRule type="cellIs" rank="0" priority="2856" equalAverage="0" operator="greaterThan" aboveAverage="0" dxfId="7" text="" percent="0" bottom="0">
      <formula>0</formula>
    </cfRule>
    <cfRule type="cellIs" rank="0" priority="2857" equalAverage="0" operator="lessThan" aboveAverage="0" dxfId="8" text="" percent="0" bottom="0">
      <formula>0</formula>
    </cfRule>
  </conditionalFormatting>
  <conditionalFormatting sqref="I720">
    <cfRule type="cellIs" rank="0" priority="2858" equalAverage="0" operator="greaterThan" aboveAverage="0" dxfId="7" text="" percent="0" bottom="0">
      <formula>0</formula>
    </cfRule>
  </conditionalFormatting>
  <conditionalFormatting sqref="K720">
    <cfRule type="cellIs" rank="0" priority="2859" equalAverage="0" operator="greaterThan" aboveAverage="0" dxfId="7" text="" percent="0" bottom="0">
      <formula>0</formula>
    </cfRule>
  </conditionalFormatting>
  <conditionalFormatting sqref="N720">
    <cfRule type="cellIs" rank="0" priority="2860" equalAverage="0" operator="greaterThan" aboveAverage="0" dxfId="7" text="" percent="0" bottom="0">
      <formula>0</formula>
    </cfRule>
    <cfRule type="cellIs" rank="0" priority="2861" equalAverage="0" operator="lessThan" aboveAverage="0" dxfId="8" text="" percent="0" bottom="0">
      <formula>0</formula>
    </cfRule>
  </conditionalFormatting>
  <conditionalFormatting sqref="I721">
    <cfRule type="cellIs" rank="0" priority="2862" equalAverage="0" operator="greaterThan" aboveAverage="0" dxfId="7" text="" percent="0" bottom="0">
      <formula>0</formula>
    </cfRule>
  </conditionalFormatting>
  <conditionalFormatting sqref="K721">
    <cfRule type="cellIs" rank="0" priority="2863" equalAverage="0" operator="greaterThan" aboveAverage="0" dxfId="7" text="" percent="0" bottom="0">
      <formula>0</formula>
    </cfRule>
  </conditionalFormatting>
  <conditionalFormatting sqref="N721">
    <cfRule type="cellIs" rank="0" priority="2864" equalAverage="0" operator="greaterThan" aboveAverage="0" dxfId="7" text="" percent="0" bottom="0">
      <formula>0</formula>
    </cfRule>
    <cfRule type="cellIs" rank="0" priority="2865" equalAverage="0" operator="lessThan" aboveAverage="0" dxfId="8" text="" percent="0" bottom="0">
      <formula>0</formula>
    </cfRule>
  </conditionalFormatting>
  <conditionalFormatting sqref="I722">
    <cfRule type="cellIs" rank="0" priority="2866" equalAverage="0" operator="greaterThan" aboveAverage="0" dxfId="7" text="" percent="0" bottom="0">
      <formula>0</formula>
    </cfRule>
  </conditionalFormatting>
  <conditionalFormatting sqref="K722">
    <cfRule type="cellIs" rank="0" priority="2867" equalAverage="0" operator="greaterThan" aboveAverage="0" dxfId="7" text="" percent="0" bottom="0">
      <formula>0</formula>
    </cfRule>
  </conditionalFormatting>
  <conditionalFormatting sqref="N722">
    <cfRule type="cellIs" rank="0" priority="2868" equalAverage="0" operator="greaterThan" aboveAverage="0" dxfId="7" text="" percent="0" bottom="0">
      <formula>0</formula>
    </cfRule>
    <cfRule type="cellIs" rank="0" priority="2869" equalAverage="0" operator="lessThan" aboveAverage="0" dxfId="8" text="" percent="0" bottom="0">
      <formula>0</formula>
    </cfRule>
  </conditionalFormatting>
  <conditionalFormatting sqref="I723">
    <cfRule type="cellIs" rank="0" priority="2870" equalAverage="0" operator="greaterThan" aboveAverage="0" dxfId="7" text="" percent="0" bottom="0">
      <formula>0</formula>
    </cfRule>
  </conditionalFormatting>
  <conditionalFormatting sqref="K723">
    <cfRule type="cellIs" rank="0" priority="2871" equalAverage="0" operator="greaterThan" aboveAverage="0" dxfId="7" text="" percent="0" bottom="0">
      <formula>0</formula>
    </cfRule>
  </conditionalFormatting>
  <conditionalFormatting sqref="N723">
    <cfRule type="cellIs" rank="0" priority="2872" equalAverage="0" operator="greaterThan" aboveAverage="0" dxfId="7" text="" percent="0" bottom="0">
      <formula>0</formula>
    </cfRule>
    <cfRule type="cellIs" rank="0" priority="2873" equalAverage="0" operator="lessThan" aboveAverage="0" dxfId="8" text="" percent="0" bottom="0">
      <formula>0</formula>
    </cfRule>
  </conditionalFormatting>
  <conditionalFormatting sqref="I724">
    <cfRule type="cellIs" rank="0" priority="2874" equalAverage="0" operator="greaterThan" aboveAverage="0" dxfId="7" text="" percent="0" bottom="0">
      <formula>0</formula>
    </cfRule>
  </conditionalFormatting>
  <conditionalFormatting sqref="K724">
    <cfRule type="cellIs" rank="0" priority="2875" equalAverage="0" operator="greaterThan" aboveAverage="0" dxfId="7" text="" percent="0" bottom="0">
      <formula>0</formula>
    </cfRule>
  </conditionalFormatting>
  <conditionalFormatting sqref="N724">
    <cfRule type="cellIs" rank="0" priority="2876" equalAverage="0" operator="greaterThan" aboveAverage="0" dxfId="7" text="" percent="0" bottom="0">
      <formula>0</formula>
    </cfRule>
    <cfRule type="cellIs" rank="0" priority="2877" equalAverage="0" operator="lessThan" aboveAverage="0" dxfId="8" text="" percent="0" bottom="0">
      <formula>0</formula>
    </cfRule>
  </conditionalFormatting>
  <conditionalFormatting sqref="I725">
    <cfRule type="cellIs" rank="0" priority="2878" equalAverage="0" operator="greaterThan" aboveAverage="0" dxfId="7" text="" percent="0" bottom="0">
      <formula>0</formula>
    </cfRule>
  </conditionalFormatting>
  <conditionalFormatting sqref="K725">
    <cfRule type="cellIs" rank="0" priority="2879" equalAverage="0" operator="greaterThan" aboveAverage="0" dxfId="7" text="" percent="0" bottom="0">
      <formula>0</formula>
    </cfRule>
  </conditionalFormatting>
  <conditionalFormatting sqref="N725">
    <cfRule type="cellIs" rank="0" priority="2880" equalAverage="0" operator="greaterThan" aboveAverage="0" dxfId="7" text="" percent="0" bottom="0">
      <formula>0</formula>
    </cfRule>
    <cfRule type="cellIs" rank="0" priority="2881" equalAverage="0" operator="lessThan" aboveAverage="0" dxfId="8" text="" percent="0" bottom="0">
      <formula>0</formula>
    </cfRule>
  </conditionalFormatting>
  <conditionalFormatting sqref="I726">
    <cfRule type="cellIs" rank="0" priority="2882" equalAverage="0" operator="greaterThan" aboveAverage="0" dxfId="7" text="" percent="0" bottom="0">
      <formula>0</formula>
    </cfRule>
  </conditionalFormatting>
  <conditionalFormatting sqref="K726">
    <cfRule type="cellIs" rank="0" priority="2883" equalAverage="0" operator="greaterThan" aboveAverage="0" dxfId="7" text="" percent="0" bottom="0">
      <formula>0</formula>
    </cfRule>
  </conditionalFormatting>
  <conditionalFormatting sqref="N726">
    <cfRule type="cellIs" rank="0" priority="2884" equalAverage="0" operator="greaterThan" aboveAverage="0" dxfId="7" text="" percent="0" bottom="0">
      <formula>0</formula>
    </cfRule>
    <cfRule type="cellIs" rank="0" priority="2885" equalAverage="0" operator="lessThan" aboveAverage="0" dxfId="8" text="" percent="0" bottom="0">
      <formula>0</formula>
    </cfRule>
  </conditionalFormatting>
  <conditionalFormatting sqref="I727">
    <cfRule type="cellIs" rank="0" priority="2886" equalAverage="0" operator="greaterThan" aboveAverage="0" dxfId="7" text="" percent="0" bottom="0">
      <formula>0</formula>
    </cfRule>
  </conditionalFormatting>
  <conditionalFormatting sqref="K727">
    <cfRule type="cellIs" rank="0" priority="2887" equalAverage="0" operator="greaterThan" aboveAverage="0" dxfId="7" text="" percent="0" bottom="0">
      <formula>0</formula>
    </cfRule>
  </conditionalFormatting>
  <conditionalFormatting sqref="N727">
    <cfRule type="cellIs" rank="0" priority="2888" equalAverage="0" operator="greaterThan" aboveAverage="0" dxfId="7" text="" percent="0" bottom="0">
      <formula>0</formula>
    </cfRule>
    <cfRule type="cellIs" rank="0" priority="2889" equalAverage="0" operator="lessThan" aboveAverage="0" dxfId="8" text="" percent="0" bottom="0">
      <formula>0</formula>
    </cfRule>
  </conditionalFormatting>
  <conditionalFormatting sqref="I728">
    <cfRule type="cellIs" rank="0" priority="2890" equalAverage="0" operator="greaterThan" aboveAverage="0" dxfId="7" text="" percent="0" bottom="0">
      <formula>0</formula>
    </cfRule>
  </conditionalFormatting>
  <conditionalFormatting sqref="K728">
    <cfRule type="cellIs" rank="0" priority="2891" equalAverage="0" operator="greaterThan" aboveAverage="0" dxfId="7" text="" percent="0" bottom="0">
      <formula>0</formula>
    </cfRule>
  </conditionalFormatting>
  <conditionalFormatting sqref="N728">
    <cfRule type="cellIs" rank="0" priority="2892" equalAverage="0" operator="greaterThan" aboveAverage="0" dxfId="7" text="" percent="0" bottom="0">
      <formula>0</formula>
    </cfRule>
    <cfRule type="cellIs" rank="0" priority="2893" equalAverage="0" operator="lessThan" aboveAverage="0" dxfId="8" text="" percent="0" bottom="0">
      <formula>0</formula>
    </cfRule>
  </conditionalFormatting>
  <conditionalFormatting sqref="I729">
    <cfRule type="cellIs" rank="0" priority="2894" equalAverage="0" operator="greaterThan" aboveAverage="0" dxfId="7" text="" percent="0" bottom="0">
      <formula>0</formula>
    </cfRule>
  </conditionalFormatting>
  <conditionalFormatting sqref="K729">
    <cfRule type="cellIs" rank="0" priority="2895" equalAverage="0" operator="greaterThan" aboveAverage="0" dxfId="7" text="" percent="0" bottom="0">
      <formula>0</formula>
    </cfRule>
  </conditionalFormatting>
  <conditionalFormatting sqref="N729">
    <cfRule type="cellIs" rank="0" priority="2896" equalAverage="0" operator="greaterThan" aboveAverage="0" dxfId="7" text="" percent="0" bottom="0">
      <formula>0</formula>
    </cfRule>
    <cfRule type="cellIs" rank="0" priority="2897" equalAverage="0" operator="lessThan" aboveAverage="0" dxfId="8" text="" percent="0" bottom="0">
      <formula>0</formula>
    </cfRule>
  </conditionalFormatting>
  <conditionalFormatting sqref="I730">
    <cfRule type="cellIs" rank="0" priority="2898" equalAverage="0" operator="greaterThan" aboveAverage="0" dxfId="7" text="" percent="0" bottom="0">
      <formula>0</formula>
    </cfRule>
  </conditionalFormatting>
  <conditionalFormatting sqref="K730">
    <cfRule type="cellIs" rank="0" priority="2899" equalAverage="0" operator="greaterThan" aboveAverage="0" dxfId="7" text="" percent="0" bottom="0">
      <formula>0</formula>
    </cfRule>
  </conditionalFormatting>
  <conditionalFormatting sqref="N730">
    <cfRule type="cellIs" rank="0" priority="2900" equalAverage="0" operator="greaterThan" aboveAverage="0" dxfId="7" text="" percent="0" bottom="0">
      <formula>0</formula>
    </cfRule>
    <cfRule type="cellIs" rank="0" priority="2901" equalAverage="0" operator="lessThan" aboveAverage="0" dxfId="8" text="" percent="0" bottom="0">
      <formula>0</formula>
    </cfRule>
  </conditionalFormatting>
  <conditionalFormatting sqref="I731">
    <cfRule type="cellIs" rank="0" priority="2902" equalAverage="0" operator="greaterThan" aboveAverage="0" dxfId="7" text="" percent="0" bottom="0">
      <formula>0</formula>
    </cfRule>
  </conditionalFormatting>
  <conditionalFormatting sqref="K731">
    <cfRule type="cellIs" rank="0" priority="2903" equalAverage="0" operator="greaterThan" aboveAverage="0" dxfId="7" text="" percent="0" bottom="0">
      <formula>0</formula>
    </cfRule>
  </conditionalFormatting>
  <conditionalFormatting sqref="N731">
    <cfRule type="cellIs" rank="0" priority="2904" equalAverage="0" operator="greaterThan" aboveAverage="0" dxfId="7" text="" percent="0" bottom="0">
      <formula>0</formula>
    </cfRule>
    <cfRule type="cellIs" rank="0" priority="2905" equalAverage="0" operator="lessThan" aboveAverage="0" dxfId="8" text="" percent="0" bottom="0">
      <formula>0</formula>
    </cfRule>
  </conditionalFormatting>
  <conditionalFormatting sqref="I732">
    <cfRule type="cellIs" rank="0" priority="2906" equalAverage="0" operator="greaterThan" aboveAverage="0" dxfId="7" text="" percent="0" bottom="0">
      <formula>0</formula>
    </cfRule>
  </conditionalFormatting>
  <conditionalFormatting sqref="K732">
    <cfRule type="cellIs" rank="0" priority="2907" equalAverage="0" operator="greaterThan" aboveAverage="0" dxfId="7" text="" percent="0" bottom="0">
      <formula>0</formula>
    </cfRule>
  </conditionalFormatting>
  <conditionalFormatting sqref="N732">
    <cfRule type="cellIs" rank="0" priority="2908" equalAverage="0" operator="greaterThan" aboveAverage="0" dxfId="7" text="" percent="0" bottom="0">
      <formula>0</formula>
    </cfRule>
    <cfRule type="cellIs" rank="0" priority="2909" equalAverage="0" operator="lessThan" aboveAverage="0" dxfId="8" text="" percent="0" bottom="0">
      <formula>0</formula>
    </cfRule>
  </conditionalFormatting>
  <conditionalFormatting sqref="I733">
    <cfRule type="cellIs" rank="0" priority="2910" equalAverage="0" operator="greaterThan" aboveAverage="0" dxfId="7" text="" percent="0" bottom="0">
      <formula>0</formula>
    </cfRule>
  </conditionalFormatting>
  <conditionalFormatting sqref="K733">
    <cfRule type="cellIs" rank="0" priority="2911" equalAverage="0" operator="greaterThan" aboveAverage="0" dxfId="7" text="" percent="0" bottom="0">
      <formula>0</formula>
    </cfRule>
  </conditionalFormatting>
  <conditionalFormatting sqref="N733">
    <cfRule type="cellIs" rank="0" priority="2912" equalAverage="0" operator="greaterThan" aboveAverage="0" dxfId="7" text="" percent="0" bottom="0">
      <formula>0</formula>
    </cfRule>
    <cfRule type="cellIs" rank="0" priority="2913" equalAverage="0" operator="lessThan" aboveAverage="0" dxfId="8" text="" percent="0" bottom="0">
      <formula>0</formula>
    </cfRule>
  </conditionalFormatting>
  <conditionalFormatting sqref="I734">
    <cfRule type="cellIs" rank="0" priority="2914" equalAverage="0" operator="greaterThan" aboveAverage="0" dxfId="7" text="" percent="0" bottom="0">
      <formula>0</formula>
    </cfRule>
  </conditionalFormatting>
  <conditionalFormatting sqref="K734">
    <cfRule type="cellIs" rank="0" priority="2915" equalAverage="0" operator="greaterThan" aboveAverage="0" dxfId="7" text="" percent="0" bottom="0">
      <formula>0</formula>
    </cfRule>
  </conditionalFormatting>
  <conditionalFormatting sqref="N734">
    <cfRule type="cellIs" rank="0" priority="2916" equalAverage="0" operator="greaterThan" aboveAverage="0" dxfId="7" text="" percent="0" bottom="0">
      <formula>0</formula>
    </cfRule>
    <cfRule type="cellIs" rank="0" priority="2917" equalAverage="0" operator="lessThan" aboveAverage="0" dxfId="8" text="" percent="0" bottom="0">
      <formula>0</formula>
    </cfRule>
  </conditionalFormatting>
  <conditionalFormatting sqref="I735">
    <cfRule type="cellIs" rank="0" priority="2918" equalAverage="0" operator="greaterThan" aboveAverage="0" dxfId="7" text="" percent="0" bottom="0">
      <formula>0</formula>
    </cfRule>
  </conditionalFormatting>
  <conditionalFormatting sqref="K735">
    <cfRule type="cellIs" rank="0" priority="2919" equalAverage="0" operator="greaterThan" aboveAverage="0" dxfId="7" text="" percent="0" bottom="0">
      <formula>0</formula>
    </cfRule>
  </conditionalFormatting>
  <conditionalFormatting sqref="N735">
    <cfRule type="cellIs" rank="0" priority="2920" equalAverage="0" operator="greaterThan" aboveAverage="0" dxfId="7" text="" percent="0" bottom="0">
      <formula>0</formula>
    </cfRule>
    <cfRule type="cellIs" rank="0" priority="2921" equalAverage="0" operator="lessThan" aboveAverage="0" dxfId="8" text="" percent="0" bottom="0">
      <formula>0</formula>
    </cfRule>
  </conditionalFormatting>
  <conditionalFormatting sqref="I736">
    <cfRule type="cellIs" rank="0" priority="2922" equalAverage="0" operator="greaterThan" aboveAverage="0" dxfId="7" text="" percent="0" bottom="0">
      <formula>0</formula>
    </cfRule>
  </conditionalFormatting>
  <conditionalFormatting sqref="K736">
    <cfRule type="cellIs" rank="0" priority="2923" equalAverage="0" operator="greaterThan" aboveAverage="0" dxfId="7" text="" percent="0" bottom="0">
      <formula>0</formula>
    </cfRule>
  </conditionalFormatting>
  <conditionalFormatting sqref="N736">
    <cfRule type="cellIs" rank="0" priority="2924" equalAverage="0" operator="greaterThan" aboveAverage="0" dxfId="7" text="" percent="0" bottom="0">
      <formula>0</formula>
    </cfRule>
    <cfRule type="cellIs" rank="0" priority="2925" equalAverage="0" operator="lessThan" aboveAverage="0" dxfId="8" text="" percent="0" bottom="0">
      <formula>0</formula>
    </cfRule>
  </conditionalFormatting>
  <conditionalFormatting sqref="I737">
    <cfRule type="cellIs" rank="0" priority="2926" equalAverage="0" operator="greaterThan" aboveAverage="0" dxfId="7" text="" percent="0" bottom="0">
      <formula>0</formula>
    </cfRule>
  </conditionalFormatting>
  <conditionalFormatting sqref="K737">
    <cfRule type="cellIs" rank="0" priority="2927" equalAverage="0" operator="greaterThan" aboveAverage="0" dxfId="7" text="" percent="0" bottom="0">
      <formula>0</formula>
    </cfRule>
  </conditionalFormatting>
  <conditionalFormatting sqref="N737">
    <cfRule type="cellIs" rank="0" priority="2928" equalAverage="0" operator="greaterThan" aboveAverage="0" dxfId="7" text="" percent="0" bottom="0">
      <formula>0</formula>
    </cfRule>
    <cfRule type="cellIs" rank="0" priority="2929" equalAverage="0" operator="lessThan" aboveAverage="0" dxfId="8" text="" percent="0" bottom="0">
      <formula>0</formula>
    </cfRule>
  </conditionalFormatting>
  <conditionalFormatting sqref="I738">
    <cfRule type="cellIs" rank="0" priority="2930" equalAverage="0" operator="greaterThan" aboveAverage="0" dxfId="7" text="" percent="0" bottom="0">
      <formula>0</formula>
    </cfRule>
  </conditionalFormatting>
  <conditionalFormatting sqref="K738">
    <cfRule type="cellIs" rank="0" priority="2931" equalAverage="0" operator="greaterThan" aboveAverage="0" dxfId="7" text="" percent="0" bottom="0">
      <formula>0</formula>
    </cfRule>
  </conditionalFormatting>
  <conditionalFormatting sqref="N738">
    <cfRule type="cellIs" rank="0" priority="2932" equalAverage="0" operator="greaterThan" aboveAverage="0" dxfId="7" text="" percent="0" bottom="0">
      <formula>0</formula>
    </cfRule>
    <cfRule type="cellIs" rank="0" priority="2933" equalAverage="0" operator="lessThan" aboveAverage="0" dxfId="8" text="" percent="0" bottom="0">
      <formula>0</formula>
    </cfRule>
  </conditionalFormatting>
  <conditionalFormatting sqref="I739">
    <cfRule type="cellIs" rank="0" priority="2934" equalAverage="0" operator="greaterThan" aboveAverage="0" dxfId="7" text="" percent="0" bottom="0">
      <formula>0</formula>
    </cfRule>
  </conditionalFormatting>
  <conditionalFormatting sqref="K739">
    <cfRule type="cellIs" rank="0" priority="2935" equalAverage="0" operator="greaterThan" aboveAverage="0" dxfId="7" text="" percent="0" bottom="0">
      <formula>0</formula>
    </cfRule>
  </conditionalFormatting>
  <conditionalFormatting sqref="N739">
    <cfRule type="cellIs" rank="0" priority="2936" equalAverage="0" operator="greaterThan" aboveAverage="0" dxfId="7" text="" percent="0" bottom="0">
      <formula>0</formula>
    </cfRule>
    <cfRule type="cellIs" rank="0" priority="2937" equalAverage="0" operator="lessThan" aboveAverage="0" dxfId="8" text="" percent="0" bottom="0">
      <formula>0</formula>
    </cfRule>
  </conditionalFormatting>
  <conditionalFormatting sqref="I740">
    <cfRule type="cellIs" rank="0" priority="2938" equalAverage="0" operator="greaterThan" aboveAverage="0" dxfId="7" text="" percent="0" bottom="0">
      <formula>0</formula>
    </cfRule>
  </conditionalFormatting>
  <conditionalFormatting sqref="K740">
    <cfRule type="cellIs" rank="0" priority="2939" equalAverage="0" operator="greaterThan" aboveAverage="0" dxfId="7" text="" percent="0" bottom="0">
      <formula>0</formula>
    </cfRule>
  </conditionalFormatting>
  <conditionalFormatting sqref="N740">
    <cfRule type="cellIs" rank="0" priority="2940" equalAverage="0" operator="greaterThan" aboveAverage="0" dxfId="7" text="" percent="0" bottom="0">
      <formula>0</formula>
    </cfRule>
    <cfRule type="cellIs" rank="0" priority="2941" equalAverage="0" operator="lessThan" aboveAverage="0" dxfId="8" text="" percent="0" bottom="0">
      <formula>0</formula>
    </cfRule>
  </conditionalFormatting>
  <conditionalFormatting sqref="I741">
    <cfRule type="cellIs" rank="0" priority="2942" equalAverage="0" operator="greaterThan" aboveAverage="0" dxfId="7" text="" percent="0" bottom="0">
      <formula>0</formula>
    </cfRule>
  </conditionalFormatting>
  <conditionalFormatting sqref="K741">
    <cfRule type="cellIs" rank="0" priority="2943" equalAverage="0" operator="greaterThan" aboveAverage="0" dxfId="7" text="" percent="0" bottom="0">
      <formula>0</formula>
    </cfRule>
  </conditionalFormatting>
  <conditionalFormatting sqref="N741">
    <cfRule type="cellIs" rank="0" priority="2944" equalAverage="0" operator="greaterThan" aboveAverage="0" dxfId="7" text="" percent="0" bottom="0">
      <formula>0</formula>
    </cfRule>
    <cfRule type="cellIs" rank="0" priority="2945" equalAverage="0" operator="lessThan" aboveAverage="0" dxfId="8" text="" percent="0" bottom="0">
      <formula>0</formula>
    </cfRule>
  </conditionalFormatting>
  <conditionalFormatting sqref="I742">
    <cfRule type="cellIs" rank="0" priority="2946" equalAverage="0" operator="greaterThan" aboveAverage="0" dxfId="7" text="" percent="0" bottom="0">
      <formula>0</formula>
    </cfRule>
  </conditionalFormatting>
  <conditionalFormatting sqref="K742">
    <cfRule type="cellIs" rank="0" priority="2947" equalAverage="0" operator="greaterThan" aboveAverage="0" dxfId="7" text="" percent="0" bottom="0">
      <formula>0</formula>
    </cfRule>
  </conditionalFormatting>
  <conditionalFormatting sqref="N742">
    <cfRule type="cellIs" rank="0" priority="2948" equalAverage="0" operator="greaterThan" aboveAverage="0" dxfId="7" text="" percent="0" bottom="0">
      <formula>0</formula>
    </cfRule>
    <cfRule type="cellIs" rank="0" priority="2949" equalAverage="0" operator="lessThan" aboveAverage="0" dxfId="8" text="" percent="0" bottom="0">
      <formula>0</formula>
    </cfRule>
  </conditionalFormatting>
  <conditionalFormatting sqref="I743">
    <cfRule type="cellIs" rank="0" priority="2950" equalAverage="0" operator="greaterThan" aboveAverage="0" dxfId="7" text="" percent="0" bottom="0">
      <formula>0</formula>
    </cfRule>
  </conditionalFormatting>
  <conditionalFormatting sqref="K743">
    <cfRule type="cellIs" rank="0" priority="2951" equalAverage="0" operator="greaterThan" aboveAverage="0" dxfId="7" text="" percent="0" bottom="0">
      <formula>0</formula>
    </cfRule>
  </conditionalFormatting>
  <conditionalFormatting sqref="N743">
    <cfRule type="cellIs" rank="0" priority="2952" equalAverage="0" operator="greaterThan" aboveAverage="0" dxfId="7" text="" percent="0" bottom="0">
      <formula>0</formula>
    </cfRule>
    <cfRule type="cellIs" rank="0" priority="2953" equalAverage="0" operator="lessThan" aboveAverage="0" dxfId="8" text="" percent="0" bottom="0">
      <formula>0</formula>
    </cfRule>
  </conditionalFormatting>
  <conditionalFormatting sqref="I744">
    <cfRule type="cellIs" rank="0" priority="2954" equalAverage="0" operator="greaterThan" aboveAverage="0" dxfId="7" text="" percent="0" bottom="0">
      <formula>0</formula>
    </cfRule>
  </conditionalFormatting>
  <conditionalFormatting sqref="K744">
    <cfRule type="cellIs" rank="0" priority="2955" equalAverage="0" operator="greaterThan" aboveAverage="0" dxfId="7" text="" percent="0" bottom="0">
      <formula>0</formula>
    </cfRule>
  </conditionalFormatting>
  <conditionalFormatting sqref="N744">
    <cfRule type="cellIs" rank="0" priority="2956" equalAverage="0" operator="greaterThan" aboveAverage="0" dxfId="7" text="" percent="0" bottom="0">
      <formula>0</formula>
    </cfRule>
    <cfRule type="cellIs" rank="0" priority="2957" equalAverage="0" operator="lessThan" aboveAverage="0" dxfId="8" text="" percent="0" bottom="0">
      <formula>0</formula>
    </cfRule>
  </conditionalFormatting>
  <conditionalFormatting sqref="I745">
    <cfRule type="cellIs" rank="0" priority="2958" equalAverage="0" operator="greaterThan" aboveAverage="0" dxfId="7" text="" percent="0" bottom="0">
      <formula>0</formula>
    </cfRule>
  </conditionalFormatting>
  <conditionalFormatting sqref="K745">
    <cfRule type="cellIs" rank="0" priority="2959" equalAverage="0" operator="greaterThan" aboveAverage="0" dxfId="7" text="" percent="0" bottom="0">
      <formula>0</formula>
    </cfRule>
  </conditionalFormatting>
  <conditionalFormatting sqref="N745">
    <cfRule type="cellIs" rank="0" priority="2960" equalAverage="0" operator="greaterThan" aboveAverage="0" dxfId="7" text="" percent="0" bottom="0">
      <formula>0</formula>
    </cfRule>
    <cfRule type="cellIs" rank="0" priority="2961" equalAverage="0" operator="lessThan" aboveAverage="0" dxfId="8" text="" percent="0" bottom="0">
      <formula>0</formula>
    </cfRule>
  </conditionalFormatting>
  <conditionalFormatting sqref="I746">
    <cfRule type="cellIs" rank="0" priority="2962" equalAverage="0" operator="greaterThan" aboveAverage="0" dxfId="7" text="" percent="0" bottom="0">
      <formula>0</formula>
    </cfRule>
  </conditionalFormatting>
  <conditionalFormatting sqref="K746">
    <cfRule type="cellIs" rank="0" priority="2963" equalAverage="0" operator="greaterThan" aboveAverage="0" dxfId="7" text="" percent="0" bottom="0">
      <formula>0</formula>
    </cfRule>
  </conditionalFormatting>
  <conditionalFormatting sqref="N746">
    <cfRule type="cellIs" rank="0" priority="2964" equalAverage="0" operator="greaterThan" aboveAverage="0" dxfId="7" text="" percent="0" bottom="0">
      <formula>0</formula>
    </cfRule>
    <cfRule type="cellIs" rank="0" priority="2965" equalAverage="0" operator="lessThan" aboveAverage="0" dxfId="8" text="" percent="0" bottom="0">
      <formula>0</formula>
    </cfRule>
  </conditionalFormatting>
  <conditionalFormatting sqref="I747">
    <cfRule type="cellIs" rank="0" priority="2966" equalAverage="0" operator="greaterThan" aboveAverage="0" dxfId="7" text="" percent="0" bottom="0">
      <formula>0</formula>
    </cfRule>
  </conditionalFormatting>
  <conditionalFormatting sqref="K747">
    <cfRule type="cellIs" rank="0" priority="2967" equalAverage="0" operator="greaterThan" aboveAverage="0" dxfId="7" text="" percent="0" bottom="0">
      <formula>0</formula>
    </cfRule>
  </conditionalFormatting>
  <conditionalFormatting sqref="N747">
    <cfRule type="cellIs" rank="0" priority="2968" equalAverage="0" operator="greaterThan" aboveAverage="0" dxfId="7" text="" percent="0" bottom="0">
      <formula>0</formula>
    </cfRule>
    <cfRule type="cellIs" rank="0" priority="2969" equalAverage="0" operator="lessThan" aboveAverage="0" dxfId="8" text="" percent="0" bottom="0">
      <formula>0</formula>
    </cfRule>
  </conditionalFormatting>
  <conditionalFormatting sqref="I748">
    <cfRule type="cellIs" rank="0" priority="2970" equalAverage="0" operator="greaterThan" aboveAverage="0" dxfId="7" text="" percent="0" bottom="0">
      <formula>0</formula>
    </cfRule>
  </conditionalFormatting>
  <conditionalFormatting sqref="K748">
    <cfRule type="cellIs" rank="0" priority="2971" equalAverage="0" operator="greaterThan" aboveAverage="0" dxfId="7" text="" percent="0" bottom="0">
      <formula>0</formula>
    </cfRule>
  </conditionalFormatting>
  <conditionalFormatting sqref="N748">
    <cfRule type="cellIs" rank="0" priority="2972" equalAverage="0" operator="greaterThan" aboveAverage="0" dxfId="7" text="" percent="0" bottom="0">
      <formula>0</formula>
    </cfRule>
    <cfRule type="cellIs" rank="0" priority="2973" equalAverage="0" operator="lessThan" aboveAverage="0" dxfId="8" text="" percent="0" bottom="0">
      <formula>0</formula>
    </cfRule>
  </conditionalFormatting>
  <conditionalFormatting sqref="I749">
    <cfRule type="cellIs" rank="0" priority="2974" equalAverage="0" operator="greaterThan" aboveAverage="0" dxfId="7" text="" percent="0" bottom="0">
      <formula>0</formula>
    </cfRule>
  </conditionalFormatting>
  <conditionalFormatting sqref="K749">
    <cfRule type="cellIs" rank="0" priority="2975" equalAverage="0" operator="greaterThan" aboveAverage="0" dxfId="7" text="" percent="0" bottom="0">
      <formula>0</formula>
    </cfRule>
  </conditionalFormatting>
  <conditionalFormatting sqref="N749">
    <cfRule type="cellIs" rank="0" priority="2976" equalAverage="0" operator="greaterThan" aboveAverage="0" dxfId="7" text="" percent="0" bottom="0">
      <formula>0</formula>
    </cfRule>
    <cfRule type="cellIs" rank="0" priority="2977" equalAverage="0" operator="lessThan" aboveAverage="0" dxfId="8" text="" percent="0" bottom="0">
      <formula>0</formula>
    </cfRule>
  </conditionalFormatting>
  <conditionalFormatting sqref="I750">
    <cfRule type="cellIs" rank="0" priority="2978" equalAverage="0" operator="greaterThan" aboveAverage="0" dxfId="7" text="" percent="0" bottom="0">
      <formula>0</formula>
    </cfRule>
  </conditionalFormatting>
  <conditionalFormatting sqref="K750">
    <cfRule type="cellIs" rank="0" priority="2979" equalAverage="0" operator="greaterThan" aboveAverage="0" dxfId="7" text="" percent="0" bottom="0">
      <formula>0</formula>
    </cfRule>
  </conditionalFormatting>
  <conditionalFormatting sqref="N750">
    <cfRule type="cellIs" rank="0" priority="2980" equalAverage="0" operator="greaterThan" aboveAverage="0" dxfId="7" text="" percent="0" bottom="0">
      <formula>0</formula>
    </cfRule>
    <cfRule type="cellIs" rank="0" priority="2981" equalAverage="0" operator="lessThan" aboveAverage="0" dxfId="8" text="" percent="0" bottom="0">
      <formula>0</formula>
    </cfRule>
  </conditionalFormatting>
  <conditionalFormatting sqref="I751">
    <cfRule type="cellIs" rank="0" priority="2982" equalAverage="0" operator="greaterThan" aboveAverage="0" dxfId="7" text="" percent="0" bottom="0">
      <formula>0</formula>
    </cfRule>
  </conditionalFormatting>
  <conditionalFormatting sqref="K751">
    <cfRule type="cellIs" rank="0" priority="2983" equalAverage="0" operator="greaterThan" aboveAverage="0" dxfId="7" text="" percent="0" bottom="0">
      <formula>0</formula>
    </cfRule>
  </conditionalFormatting>
  <conditionalFormatting sqref="N751">
    <cfRule type="cellIs" rank="0" priority="2984" equalAverage="0" operator="greaterThan" aboveAverage="0" dxfId="7" text="" percent="0" bottom="0">
      <formula>0</formula>
    </cfRule>
    <cfRule type="cellIs" rank="0" priority="2985" equalAverage="0" operator="lessThan" aboveAverage="0" dxfId="8" text="" percent="0" bottom="0">
      <formula>0</formula>
    </cfRule>
  </conditionalFormatting>
  <conditionalFormatting sqref="I752">
    <cfRule type="cellIs" rank="0" priority="2986" equalAverage="0" operator="greaterThan" aboveAverage="0" dxfId="7" text="" percent="0" bottom="0">
      <formula>0</formula>
    </cfRule>
  </conditionalFormatting>
  <conditionalFormatting sqref="K752">
    <cfRule type="cellIs" rank="0" priority="2987" equalAverage="0" operator="greaterThan" aboveAverage="0" dxfId="7" text="" percent="0" bottom="0">
      <formula>0</formula>
    </cfRule>
  </conditionalFormatting>
  <conditionalFormatting sqref="N752">
    <cfRule type="cellIs" rank="0" priority="2988" equalAverage="0" operator="greaterThan" aboveAverage="0" dxfId="7" text="" percent="0" bottom="0">
      <formula>0</formula>
    </cfRule>
    <cfRule type="cellIs" rank="0" priority="2989" equalAverage="0" operator="lessThan" aboveAverage="0" dxfId="8" text="" percent="0" bottom="0">
      <formula>0</formula>
    </cfRule>
  </conditionalFormatting>
  <conditionalFormatting sqref="I753">
    <cfRule type="cellIs" rank="0" priority="2990" equalAverage="0" operator="greaterThan" aboveAverage="0" dxfId="7" text="" percent="0" bottom="0">
      <formula>0</formula>
    </cfRule>
  </conditionalFormatting>
  <conditionalFormatting sqref="K753">
    <cfRule type="cellIs" rank="0" priority="2991" equalAverage="0" operator="greaterThan" aboveAverage="0" dxfId="7" text="" percent="0" bottom="0">
      <formula>0</formula>
    </cfRule>
  </conditionalFormatting>
  <conditionalFormatting sqref="N753">
    <cfRule type="cellIs" rank="0" priority="2992" equalAverage="0" operator="greaterThan" aboveAverage="0" dxfId="7" text="" percent="0" bottom="0">
      <formula>0</formula>
    </cfRule>
    <cfRule type="cellIs" rank="0" priority="2993" equalAverage="0" operator="lessThan" aboveAverage="0" dxfId="8" text="" percent="0" bottom="0">
      <formula>0</formula>
    </cfRule>
  </conditionalFormatting>
  <conditionalFormatting sqref="I754">
    <cfRule type="cellIs" rank="0" priority="2994" equalAverage="0" operator="greaterThan" aboveAverage="0" dxfId="7" text="" percent="0" bottom="0">
      <formula>0</formula>
    </cfRule>
  </conditionalFormatting>
  <conditionalFormatting sqref="K754">
    <cfRule type="cellIs" rank="0" priority="2995" equalAverage="0" operator="greaterThan" aboveAverage="0" dxfId="7" text="" percent="0" bottom="0">
      <formula>0</formula>
    </cfRule>
  </conditionalFormatting>
  <conditionalFormatting sqref="N754">
    <cfRule type="cellIs" rank="0" priority="2996" equalAverage="0" operator="greaterThan" aboveAverage="0" dxfId="7" text="" percent="0" bottom="0">
      <formula>0</formula>
    </cfRule>
    <cfRule type="cellIs" rank="0" priority="2997" equalAverage="0" operator="lessThan" aboveAverage="0" dxfId="8" text="" percent="0" bottom="0">
      <formula>0</formula>
    </cfRule>
  </conditionalFormatting>
  <conditionalFormatting sqref="I755">
    <cfRule type="cellIs" rank="0" priority="2998" equalAverage="0" operator="greaterThan" aboveAverage="0" dxfId="7" text="" percent="0" bottom="0">
      <formula>0</formula>
    </cfRule>
  </conditionalFormatting>
  <conditionalFormatting sqref="K755">
    <cfRule type="cellIs" rank="0" priority="2999" equalAverage="0" operator="greaterThan" aboveAverage="0" dxfId="7" text="" percent="0" bottom="0">
      <formula>0</formula>
    </cfRule>
  </conditionalFormatting>
  <conditionalFormatting sqref="N755">
    <cfRule type="cellIs" rank="0" priority="3000" equalAverage="0" operator="greaterThan" aboveAverage="0" dxfId="7" text="" percent="0" bottom="0">
      <formula>0</formula>
    </cfRule>
    <cfRule type="cellIs" rank="0" priority="3001" equalAverage="0" operator="lessThan" aboveAverage="0" dxfId="8" text="" percent="0" bottom="0">
      <formula>0</formula>
    </cfRule>
  </conditionalFormatting>
  <conditionalFormatting sqref="I756">
    <cfRule type="cellIs" rank="0" priority="3002" equalAverage="0" operator="greaterThan" aboveAverage="0" dxfId="7" text="" percent="0" bottom="0">
      <formula>0</formula>
    </cfRule>
  </conditionalFormatting>
  <conditionalFormatting sqref="K756">
    <cfRule type="cellIs" rank="0" priority="3003" equalAverage="0" operator="greaterThan" aboveAverage="0" dxfId="7" text="" percent="0" bottom="0">
      <formula>0</formula>
    </cfRule>
  </conditionalFormatting>
  <conditionalFormatting sqref="N756">
    <cfRule type="cellIs" rank="0" priority="3004" equalAverage="0" operator="greaterThan" aboveAverage="0" dxfId="7" text="" percent="0" bottom="0">
      <formula>0</formula>
    </cfRule>
    <cfRule type="cellIs" rank="0" priority="3005" equalAverage="0" operator="lessThan" aboveAverage="0" dxfId="8" text="" percent="0" bottom="0">
      <formula>0</formula>
    </cfRule>
  </conditionalFormatting>
  <conditionalFormatting sqref="I757">
    <cfRule type="cellIs" rank="0" priority="3006" equalAverage="0" operator="greaterThan" aboveAverage="0" dxfId="7" text="" percent="0" bottom="0">
      <formula>0</formula>
    </cfRule>
  </conditionalFormatting>
  <conditionalFormatting sqref="K757">
    <cfRule type="cellIs" rank="0" priority="3007" equalAverage="0" operator="greaterThan" aboveAverage="0" dxfId="7" text="" percent="0" bottom="0">
      <formula>0</formula>
    </cfRule>
  </conditionalFormatting>
  <conditionalFormatting sqref="N757">
    <cfRule type="cellIs" rank="0" priority="3008" equalAverage="0" operator="greaterThan" aboveAverage="0" dxfId="7" text="" percent="0" bottom="0">
      <formula>0</formula>
    </cfRule>
    <cfRule type="cellIs" rank="0" priority="3009" equalAverage="0" operator="lessThan" aboveAverage="0" dxfId="8" text="" percent="0" bottom="0">
      <formula>0</formula>
    </cfRule>
  </conditionalFormatting>
  <conditionalFormatting sqref="I758">
    <cfRule type="cellIs" rank="0" priority="3010" equalAverage="0" operator="greaterThan" aboveAverage="0" dxfId="7" text="" percent="0" bottom="0">
      <formula>0</formula>
    </cfRule>
  </conditionalFormatting>
  <conditionalFormatting sqref="K758">
    <cfRule type="cellIs" rank="0" priority="3011" equalAverage="0" operator="greaterThan" aboveAverage="0" dxfId="7" text="" percent="0" bottom="0">
      <formula>0</formula>
    </cfRule>
  </conditionalFormatting>
  <conditionalFormatting sqref="N758">
    <cfRule type="cellIs" rank="0" priority="3012" equalAverage="0" operator="greaterThan" aboveAverage="0" dxfId="7" text="" percent="0" bottom="0">
      <formula>0</formula>
    </cfRule>
    <cfRule type="cellIs" rank="0" priority="3013" equalAverage="0" operator="lessThan" aboveAverage="0" dxfId="8" text="" percent="0" bottom="0">
      <formula>0</formula>
    </cfRule>
  </conditionalFormatting>
  <conditionalFormatting sqref="I759">
    <cfRule type="cellIs" rank="0" priority="3014" equalAverage="0" operator="greaterThan" aboveAverage="0" dxfId="7" text="" percent="0" bottom="0">
      <formula>0</formula>
    </cfRule>
  </conditionalFormatting>
  <conditionalFormatting sqref="K759">
    <cfRule type="cellIs" rank="0" priority="3015" equalAverage="0" operator="greaterThan" aboveAverage="0" dxfId="7" text="" percent="0" bottom="0">
      <formula>0</formula>
    </cfRule>
  </conditionalFormatting>
  <conditionalFormatting sqref="N759">
    <cfRule type="cellIs" rank="0" priority="3016" equalAverage="0" operator="greaterThan" aboveAverage="0" dxfId="7" text="" percent="0" bottom="0">
      <formula>0</formula>
    </cfRule>
    <cfRule type="cellIs" rank="0" priority="3017" equalAverage="0" operator="lessThan" aboveAverage="0" dxfId="8" text="" percent="0" bottom="0">
      <formula>0</formula>
    </cfRule>
  </conditionalFormatting>
  <conditionalFormatting sqref="I760">
    <cfRule type="cellIs" rank="0" priority="3018" equalAverage="0" operator="greaterThan" aboveAverage="0" dxfId="7" text="" percent="0" bottom="0">
      <formula>0</formula>
    </cfRule>
  </conditionalFormatting>
  <conditionalFormatting sqref="K760">
    <cfRule type="cellIs" rank="0" priority="3019" equalAverage="0" operator="greaterThan" aboveAverage="0" dxfId="7" text="" percent="0" bottom="0">
      <formula>0</formula>
    </cfRule>
  </conditionalFormatting>
  <conditionalFormatting sqref="N760">
    <cfRule type="cellIs" rank="0" priority="3020" equalAverage="0" operator="greaterThan" aboveAverage="0" dxfId="7" text="" percent="0" bottom="0">
      <formula>0</formula>
    </cfRule>
    <cfRule type="cellIs" rank="0" priority="3021" equalAverage="0" operator="lessThan" aboveAverage="0" dxfId="8" text="" percent="0" bottom="0">
      <formula>0</formula>
    </cfRule>
  </conditionalFormatting>
  <conditionalFormatting sqref="I761">
    <cfRule type="cellIs" rank="0" priority="3022" equalAverage="0" operator="greaterThan" aboveAverage="0" dxfId="7" text="" percent="0" bottom="0">
      <formula>0</formula>
    </cfRule>
  </conditionalFormatting>
  <conditionalFormatting sqref="K761">
    <cfRule type="cellIs" rank="0" priority="3023" equalAverage="0" operator="greaterThan" aboveAverage="0" dxfId="7" text="" percent="0" bottom="0">
      <formula>0</formula>
    </cfRule>
  </conditionalFormatting>
  <conditionalFormatting sqref="N761">
    <cfRule type="cellIs" rank="0" priority="3024" equalAverage="0" operator="greaterThan" aboveAverage="0" dxfId="7" text="" percent="0" bottom="0">
      <formula>0</formula>
    </cfRule>
    <cfRule type="cellIs" rank="0" priority="3025" equalAverage="0" operator="lessThan" aboveAverage="0" dxfId="8" text="" percent="0" bottom="0">
      <formula>0</formula>
    </cfRule>
  </conditionalFormatting>
  <conditionalFormatting sqref="I762">
    <cfRule type="cellIs" rank="0" priority="3026" equalAverage="0" operator="greaterThan" aboveAverage="0" dxfId="7" text="" percent="0" bottom="0">
      <formula>0</formula>
    </cfRule>
  </conditionalFormatting>
  <conditionalFormatting sqref="K762">
    <cfRule type="cellIs" rank="0" priority="3027" equalAverage="0" operator="greaterThan" aboveAverage="0" dxfId="7" text="" percent="0" bottom="0">
      <formula>0</formula>
    </cfRule>
  </conditionalFormatting>
  <conditionalFormatting sqref="N762">
    <cfRule type="cellIs" rank="0" priority="3028" equalAverage="0" operator="greaterThan" aboveAverage="0" dxfId="7" text="" percent="0" bottom="0">
      <formula>0</formula>
    </cfRule>
    <cfRule type="cellIs" rank="0" priority="3029" equalAverage="0" operator="lessThan" aboveAverage="0" dxfId="8" text="" percent="0" bottom="0">
      <formula>0</formula>
    </cfRule>
  </conditionalFormatting>
  <conditionalFormatting sqref="I763">
    <cfRule type="cellIs" rank="0" priority="3030" equalAverage="0" operator="greaterThan" aboveAverage="0" dxfId="7" text="" percent="0" bottom="0">
      <formula>0</formula>
    </cfRule>
  </conditionalFormatting>
  <conditionalFormatting sqref="K763">
    <cfRule type="cellIs" rank="0" priority="3031" equalAverage="0" operator="greaterThan" aboveAverage="0" dxfId="7" text="" percent="0" bottom="0">
      <formula>0</formula>
    </cfRule>
  </conditionalFormatting>
  <conditionalFormatting sqref="N763">
    <cfRule type="cellIs" rank="0" priority="3032" equalAverage="0" operator="greaterThan" aboveAverage="0" dxfId="7" text="" percent="0" bottom="0">
      <formula>0</formula>
    </cfRule>
    <cfRule type="cellIs" rank="0" priority="3033" equalAverage="0" operator="lessThan" aboveAverage="0" dxfId="8" text="" percent="0" bottom="0">
      <formula>0</formula>
    </cfRule>
  </conditionalFormatting>
  <conditionalFormatting sqref="I764">
    <cfRule type="cellIs" rank="0" priority="3034" equalAverage="0" operator="greaterThan" aboveAverage="0" dxfId="7" text="" percent="0" bottom="0">
      <formula>0</formula>
    </cfRule>
  </conditionalFormatting>
  <conditionalFormatting sqref="K764">
    <cfRule type="cellIs" rank="0" priority="3035" equalAverage="0" operator="greaterThan" aboveAverage="0" dxfId="7" text="" percent="0" bottom="0">
      <formula>0</formula>
    </cfRule>
  </conditionalFormatting>
  <conditionalFormatting sqref="N764">
    <cfRule type="cellIs" rank="0" priority="3036" equalAverage="0" operator="greaterThan" aboveAverage="0" dxfId="7" text="" percent="0" bottom="0">
      <formula>0</formula>
    </cfRule>
    <cfRule type="cellIs" rank="0" priority="3037" equalAverage="0" operator="lessThan" aboveAverage="0" dxfId="8" text="" percent="0" bottom="0">
      <formula>0</formula>
    </cfRule>
  </conditionalFormatting>
  <conditionalFormatting sqref="I765">
    <cfRule type="cellIs" rank="0" priority="3038" equalAverage="0" operator="greaterThan" aboveAverage="0" dxfId="7" text="" percent="0" bottom="0">
      <formula>0</formula>
    </cfRule>
  </conditionalFormatting>
  <conditionalFormatting sqref="K765">
    <cfRule type="cellIs" rank="0" priority="3039" equalAverage="0" operator="greaterThan" aboveAverage="0" dxfId="7" text="" percent="0" bottom="0">
      <formula>0</formula>
    </cfRule>
  </conditionalFormatting>
  <conditionalFormatting sqref="N765">
    <cfRule type="cellIs" rank="0" priority="3040" equalAverage="0" operator="greaterThan" aboveAverage="0" dxfId="7" text="" percent="0" bottom="0">
      <formula>0</formula>
    </cfRule>
    <cfRule type="cellIs" rank="0" priority="3041" equalAverage="0" operator="lessThan" aboveAverage="0" dxfId="8" text="" percent="0" bottom="0">
      <formula>0</formula>
    </cfRule>
  </conditionalFormatting>
  <conditionalFormatting sqref="I766">
    <cfRule type="cellIs" rank="0" priority="3042" equalAverage="0" operator="greaterThan" aboveAverage="0" dxfId="7" text="" percent="0" bottom="0">
      <formula>0</formula>
    </cfRule>
  </conditionalFormatting>
  <conditionalFormatting sqref="K766">
    <cfRule type="cellIs" rank="0" priority="3043" equalAverage="0" operator="greaterThan" aboveAverage="0" dxfId="7" text="" percent="0" bottom="0">
      <formula>0</formula>
    </cfRule>
  </conditionalFormatting>
  <conditionalFormatting sqref="N766">
    <cfRule type="cellIs" rank="0" priority="3044" equalAverage="0" operator="greaterThan" aboveAverage="0" dxfId="7" text="" percent="0" bottom="0">
      <formula>0</formula>
    </cfRule>
    <cfRule type="cellIs" rank="0" priority="3045" equalAverage="0" operator="lessThan" aboveAverage="0" dxfId="8" text="" percent="0" bottom="0">
      <formula>0</formula>
    </cfRule>
  </conditionalFormatting>
  <conditionalFormatting sqref="I767">
    <cfRule type="cellIs" rank="0" priority="3046" equalAverage="0" operator="greaterThan" aboveAverage="0" dxfId="7" text="" percent="0" bottom="0">
      <formula>0</formula>
    </cfRule>
  </conditionalFormatting>
  <conditionalFormatting sqref="K767">
    <cfRule type="cellIs" rank="0" priority="3047" equalAverage="0" operator="greaterThan" aboveAverage="0" dxfId="7" text="" percent="0" bottom="0">
      <formula>0</formula>
    </cfRule>
  </conditionalFormatting>
  <conditionalFormatting sqref="N767">
    <cfRule type="cellIs" rank="0" priority="3048" equalAverage="0" operator="greaterThan" aboveAverage="0" dxfId="7" text="" percent="0" bottom="0">
      <formula>0</formula>
    </cfRule>
    <cfRule type="cellIs" rank="0" priority="3049" equalAverage="0" operator="lessThan" aboveAverage="0" dxfId="8" text="" percent="0" bottom="0">
      <formula>0</formula>
    </cfRule>
  </conditionalFormatting>
  <conditionalFormatting sqref="I768">
    <cfRule type="cellIs" rank="0" priority="3050" equalAverage="0" operator="greaterThan" aboveAverage="0" dxfId="7" text="" percent="0" bottom="0">
      <formula>0</formula>
    </cfRule>
  </conditionalFormatting>
  <conditionalFormatting sqref="K768">
    <cfRule type="cellIs" rank="0" priority="3051" equalAverage="0" operator="greaterThan" aboveAverage="0" dxfId="7" text="" percent="0" bottom="0">
      <formula>0</formula>
    </cfRule>
  </conditionalFormatting>
  <conditionalFormatting sqref="N768">
    <cfRule type="cellIs" rank="0" priority="3052" equalAverage="0" operator="greaterThan" aboveAverage="0" dxfId="7" text="" percent="0" bottom="0">
      <formula>0</formula>
    </cfRule>
    <cfRule type="cellIs" rank="0" priority="3053" equalAverage="0" operator="lessThan" aboveAverage="0" dxfId="8" text="" percent="0" bottom="0">
      <formula>0</formula>
    </cfRule>
  </conditionalFormatting>
  <conditionalFormatting sqref="I769">
    <cfRule type="cellIs" rank="0" priority="3054" equalAverage="0" operator="greaterThan" aboveAverage="0" dxfId="7" text="" percent="0" bottom="0">
      <formula>0</formula>
    </cfRule>
  </conditionalFormatting>
  <conditionalFormatting sqref="K769">
    <cfRule type="cellIs" rank="0" priority="3055" equalAverage="0" operator="greaterThan" aboveAverage="0" dxfId="7" text="" percent="0" bottom="0">
      <formula>0</formula>
    </cfRule>
  </conditionalFormatting>
  <conditionalFormatting sqref="N769">
    <cfRule type="cellIs" rank="0" priority="3056" equalAverage="0" operator="greaterThan" aboveAverage="0" dxfId="7" text="" percent="0" bottom="0">
      <formula>0</formula>
    </cfRule>
    <cfRule type="cellIs" rank="0" priority="3057" equalAverage="0" operator="lessThan" aboveAverage="0" dxfId="8" text="" percent="0" bottom="0">
      <formula>0</formula>
    </cfRule>
  </conditionalFormatting>
  <conditionalFormatting sqref="I770">
    <cfRule type="cellIs" rank="0" priority="3058" equalAverage="0" operator="greaterThan" aboveAverage="0" dxfId="7" text="" percent="0" bottom="0">
      <formula>0</formula>
    </cfRule>
  </conditionalFormatting>
  <conditionalFormatting sqref="K770">
    <cfRule type="cellIs" rank="0" priority="3059" equalAverage="0" operator="greaterThan" aboveAverage="0" dxfId="7" text="" percent="0" bottom="0">
      <formula>0</formula>
    </cfRule>
  </conditionalFormatting>
  <conditionalFormatting sqref="N770">
    <cfRule type="cellIs" rank="0" priority="3060" equalAverage="0" operator="greaterThan" aboveAverage="0" dxfId="7" text="" percent="0" bottom="0">
      <formula>0</formula>
    </cfRule>
    <cfRule type="cellIs" rank="0" priority="3061" equalAverage="0" operator="lessThan" aboveAverage="0" dxfId="8" text="" percent="0" bottom="0">
      <formula>0</formula>
    </cfRule>
  </conditionalFormatting>
  <conditionalFormatting sqref="I771">
    <cfRule type="cellIs" rank="0" priority="3062" equalAverage="0" operator="greaterThan" aboveAverage="0" dxfId="7" text="" percent="0" bottom="0">
      <formula>0</formula>
    </cfRule>
  </conditionalFormatting>
  <conditionalFormatting sqref="K771">
    <cfRule type="cellIs" rank="0" priority="3063" equalAverage="0" operator="greaterThan" aboveAverage="0" dxfId="7" text="" percent="0" bottom="0">
      <formula>0</formula>
    </cfRule>
  </conditionalFormatting>
  <conditionalFormatting sqref="N771">
    <cfRule type="cellIs" rank="0" priority="3064" equalAverage="0" operator="greaterThan" aboveAverage="0" dxfId="7" text="" percent="0" bottom="0">
      <formula>0</formula>
    </cfRule>
    <cfRule type="cellIs" rank="0" priority="3065" equalAverage="0" operator="lessThan" aboveAverage="0" dxfId="8" text="" percent="0" bottom="0">
      <formula>0</formula>
    </cfRule>
  </conditionalFormatting>
  <conditionalFormatting sqref="I772">
    <cfRule type="cellIs" rank="0" priority="3066" equalAverage="0" operator="greaterThan" aboveAverage="0" dxfId="7" text="" percent="0" bottom="0">
      <formula>0</formula>
    </cfRule>
  </conditionalFormatting>
  <conditionalFormatting sqref="K772">
    <cfRule type="cellIs" rank="0" priority="3067" equalAverage="0" operator="greaterThan" aboveAverage="0" dxfId="7" text="" percent="0" bottom="0">
      <formula>0</formula>
    </cfRule>
  </conditionalFormatting>
  <conditionalFormatting sqref="N772">
    <cfRule type="cellIs" rank="0" priority="3068" equalAverage="0" operator="greaterThan" aboveAverage="0" dxfId="7" text="" percent="0" bottom="0">
      <formula>0</formula>
    </cfRule>
    <cfRule type="cellIs" rank="0" priority="3069" equalAverage="0" operator="lessThan" aboveAverage="0" dxfId="8" text="" percent="0" bottom="0">
      <formula>0</formula>
    </cfRule>
  </conditionalFormatting>
  <conditionalFormatting sqref="I773">
    <cfRule type="cellIs" rank="0" priority="3070" equalAverage="0" operator="greaterThan" aboveAverage="0" dxfId="7" text="" percent="0" bottom="0">
      <formula>0</formula>
    </cfRule>
  </conditionalFormatting>
  <conditionalFormatting sqref="K773">
    <cfRule type="cellIs" rank="0" priority="3071" equalAverage="0" operator="greaterThan" aboveAverage="0" dxfId="7" text="" percent="0" bottom="0">
      <formula>0</formula>
    </cfRule>
  </conditionalFormatting>
  <conditionalFormatting sqref="N773">
    <cfRule type="cellIs" rank="0" priority="3072" equalAverage="0" operator="greaterThan" aboveAverage="0" dxfId="7" text="" percent="0" bottom="0">
      <formula>0</formula>
    </cfRule>
    <cfRule type="cellIs" rank="0" priority="3073" equalAverage="0" operator="lessThan" aboveAverage="0" dxfId="8" text="" percent="0" bottom="0">
      <formula>0</formula>
    </cfRule>
  </conditionalFormatting>
  <conditionalFormatting sqref="I774">
    <cfRule type="cellIs" rank="0" priority="3074" equalAverage="0" operator="greaterThan" aboveAverage="0" dxfId="7" text="" percent="0" bottom="0">
      <formula>0</formula>
    </cfRule>
  </conditionalFormatting>
  <conditionalFormatting sqref="K774">
    <cfRule type="cellIs" rank="0" priority="3075" equalAverage="0" operator="greaterThan" aboveAverage="0" dxfId="7" text="" percent="0" bottom="0">
      <formula>0</formula>
    </cfRule>
  </conditionalFormatting>
  <conditionalFormatting sqref="N774">
    <cfRule type="cellIs" rank="0" priority="3076" equalAverage="0" operator="greaterThan" aboveAverage="0" dxfId="7" text="" percent="0" bottom="0">
      <formula>0</formula>
    </cfRule>
    <cfRule type="cellIs" rank="0" priority="3077" equalAverage="0" operator="lessThan" aboveAverage="0" dxfId="8" text="" percent="0" bottom="0">
      <formula>0</formula>
    </cfRule>
  </conditionalFormatting>
  <conditionalFormatting sqref="I775">
    <cfRule type="cellIs" rank="0" priority="3078" equalAverage="0" operator="greaterThan" aboveAverage="0" dxfId="7" text="" percent="0" bottom="0">
      <formula>0</formula>
    </cfRule>
  </conditionalFormatting>
  <conditionalFormatting sqref="K775">
    <cfRule type="cellIs" rank="0" priority="3079" equalAverage="0" operator="greaterThan" aboveAverage="0" dxfId="7" text="" percent="0" bottom="0">
      <formula>0</formula>
    </cfRule>
  </conditionalFormatting>
  <conditionalFormatting sqref="N775">
    <cfRule type="cellIs" rank="0" priority="3080" equalAverage="0" operator="greaterThan" aboveAverage="0" dxfId="7" text="" percent="0" bottom="0">
      <formula>0</formula>
    </cfRule>
    <cfRule type="cellIs" rank="0" priority="3081" equalAverage="0" operator="lessThan" aboveAverage="0" dxfId="8" text="" percent="0" bottom="0">
      <formula>0</formula>
    </cfRule>
  </conditionalFormatting>
  <conditionalFormatting sqref="I776">
    <cfRule type="cellIs" rank="0" priority="3082" equalAverage="0" operator="greaterThan" aboveAverage="0" dxfId="7" text="" percent="0" bottom="0">
      <formula>0</formula>
    </cfRule>
  </conditionalFormatting>
  <conditionalFormatting sqref="K776">
    <cfRule type="cellIs" rank="0" priority="3083" equalAverage="0" operator="greaterThan" aboveAverage="0" dxfId="7" text="" percent="0" bottom="0">
      <formula>0</formula>
    </cfRule>
  </conditionalFormatting>
  <conditionalFormatting sqref="N776">
    <cfRule type="cellIs" rank="0" priority="3084" equalAverage="0" operator="greaterThan" aboveAverage="0" dxfId="7" text="" percent="0" bottom="0">
      <formula>0</formula>
    </cfRule>
    <cfRule type="cellIs" rank="0" priority="3085" equalAverage="0" operator="lessThan" aboveAverage="0" dxfId="8" text="" percent="0" bottom="0">
      <formula>0</formula>
    </cfRule>
  </conditionalFormatting>
  <conditionalFormatting sqref="I777">
    <cfRule type="cellIs" rank="0" priority="3086" equalAverage="0" operator="greaterThan" aboveAverage="0" dxfId="7" text="" percent="0" bottom="0">
      <formula>0</formula>
    </cfRule>
  </conditionalFormatting>
  <conditionalFormatting sqref="K777">
    <cfRule type="cellIs" rank="0" priority="3087" equalAverage="0" operator="greaterThan" aboveAverage="0" dxfId="7" text="" percent="0" bottom="0">
      <formula>0</formula>
    </cfRule>
  </conditionalFormatting>
  <conditionalFormatting sqref="N777">
    <cfRule type="cellIs" rank="0" priority="3088" equalAverage="0" operator="greaterThan" aboveAverage="0" dxfId="7" text="" percent="0" bottom="0">
      <formula>0</formula>
    </cfRule>
    <cfRule type="cellIs" rank="0" priority="3089" equalAverage="0" operator="lessThan" aboveAverage="0" dxfId="8" text="" percent="0" bottom="0">
      <formula>0</formula>
    </cfRule>
  </conditionalFormatting>
  <conditionalFormatting sqref="I778">
    <cfRule type="cellIs" rank="0" priority="3090" equalAverage="0" operator="greaterThan" aboveAverage="0" dxfId="7" text="" percent="0" bottom="0">
      <formula>0</formula>
    </cfRule>
  </conditionalFormatting>
  <conditionalFormatting sqref="K778">
    <cfRule type="cellIs" rank="0" priority="3091" equalAverage="0" operator="greaterThan" aboveAverage="0" dxfId="7" text="" percent="0" bottom="0">
      <formula>0</formula>
    </cfRule>
  </conditionalFormatting>
  <conditionalFormatting sqref="N778">
    <cfRule type="cellIs" rank="0" priority="3092" equalAverage="0" operator="greaterThan" aboveAverage="0" dxfId="7" text="" percent="0" bottom="0">
      <formula>0</formula>
    </cfRule>
    <cfRule type="cellIs" rank="0" priority="3093" equalAverage="0" operator="lessThan" aboveAverage="0" dxfId="8" text="" percent="0" bottom="0">
      <formula>0</formula>
    </cfRule>
  </conditionalFormatting>
  <conditionalFormatting sqref="I779">
    <cfRule type="cellIs" rank="0" priority="3094" equalAverage="0" operator="greaterThan" aboveAverage="0" dxfId="7" text="" percent="0" bottom="0">
      <formula>0</formula>
    </cfRule>
  </conditionalFormatting>
  <conditionalFormatting sqref="K779">
    <cfRule type="cellIs" rank="0" priority="3095" equalAverage="0" operator="greaterThan" aboveAverage="0" dxfId="7" text="" percent="0" bottom="0">
      <formula>0</formula>
    </cfRule>
  </conditionalFormatting>
  <conditionalFormatting sqref="N779">
    <cfRule type="cellIs" rank="0" priority="3096" equalAverage="0" operator="greaterThan" aboveAverage="0" dxfId="7" text="" percent="0" bottom="0">
      <formula>0</formula>
    </cfRule>
    <cfRule type="cellIs" rank="0" priority="3097" equalAverage="0" operator="lessThan" aboveAverage="0" dxfId="8" text="" percent="0" bottom="0">
      <formula>0</formula>
    </cfRule>
  </conditionalFormatting>
  <conditionalFormatting sqref="I780">
    <cfRule type="cellIs" rank="0" priority="3098" equalAverage="0" operator="greaterThan" aboveAverage="0" dxfId="7" text="" percent="0" bottom="0">
      <formula>0</formula>
    </cfRule>
  </conditionalFormatting>
  <conditionalFormatting sqref="K780">
    <cfRule type="cellIs" rank="0" priority="3099" equalAverage="0" operator="greaterThan" aboveAverage="0" dxfId="7" text="" percent="0" bottom="0">
      <formula>0</formula>
    </cfRule>
  </conditionalFormatting>
  <conditionalFormatting sqref="N780">
    <cfRule type="cellIs" rank="0" priority="3100" equalAverage="0" operator="greaterThan" aboveAverage="0" dxfId="7" text="" percent="0" bottom="0">
      <formula>0</formula>
    </cfRule>
    <cfRule type="cellIs" rank="0" priority="3101" equalAverage="0" operator="lessThan" aboveAverage="0" dxfId="8" text="" percent="0" bottom="0">
      <formula>0</formula>
    </cfRule>
  </conditionalFormatting>
  <conditionalFormatting sqref="I781">
    <cfRule type="cellIs" rank="0" priority="3102" equalAverage="0" operator="greaterThan" aboveAverage="0" dxfId="7" text="" percent="0" bottom="0">
      <formula>0</formula>
    </cfRule>
  </conditionalFormatting>
  <conditionalFormatting sqref="K781">
    <cfRule type="cellIs" rank="0" priority="3103" equalAverage="0" operator="greaterThan" aboveAverage="0" dxfId="7" text="" percent="0" bottom="0">
      <formula>0</formula>
    </cfRule>
  </conditionalFormatting>
  <conditionalFormatting sqref="N781">
    <cfRule type="cellIs" rank="0" priority="3104" equalAverage="0" operator="greaterThan" aboveAverage="0" dxfId="7" text="" percent="0" bottom="0">
      <formula>0</formula>
    </cfRule>
    <cfRule type="cellIs" rank="0" priority="3105" equalAverage="0" operator="lessThan" aboveAverage="0" dxfId="8" text="" percent="0" bottom="0">
      <formula>0</formula>
    </cfRule>
  </conditionalFormatting>
  <conditionalFormatting sqref="I782">
    <cfRule type="cellIs" rank="0" priority="3106" equalAverage="0" operator="greaterThan" aboveAverage="0" dxfId="7" text="" percent="0" bottom="0">
      <formula>0</formula>
    </cfRule>
  </conditionalFormatting>
  <conditionalFormatting sqref="K782">
    <cfRule type="cellIs" rank="0" priority="3107" equalAverage="0" operator="greaterThan" aboveAverage="0" dxfId="7" text="" percent="0" bottom="0">
      <formula>0</formula>
    </cfRule>
  </conditionalFormatting>
  <conditionalFormatting sqref="N782">
    <cfRule type="cellIs" rank="0" priority="3108" equalAverage="0" operator="greaterThan" aboveAverage="0" dxfId="7" text="" percent="0" bottom="0">
      <formula>0</formula>
    </cfRule>
    <cfRule type="cellIs" rank="0" priority="3109" equalAverage="0" operator="lessThan" aboveAverage="0" dxfId="8" text="" percent="0" bottom="0">
      <formula>0</formula>
    </cfRule>
  </conditionalFormatting>
  <conditionalFormatting sqref="I783">
    <cfRule type="cellIs" rank="0" priority="3110" equalAverage="0" operator="greaterThan" aboveAverage="0" dxfId="7" text="" percent="0" bottom="0">
      <formula>0</formula>
    </cfRule>
  </conditionalFormatting>
  <conditionalFormatting sqref="K783">
    <cfRule type="cellIs" rank="0" priority="3111" equalAverage="0" operator="greaterThan" aboveAverage="0" dxfId="7" text="" percent="0" bottom="0">
      <formula>0</formula>
    </cfRule>
  </conditionalFormatting>
  <conditionalFormatting sqref="N783">
    <cfRule type="cellIs" rank="0" priority="3112" equalAverage="0" operator="greaterThan" aboveAverage="0" dxfId="7" text="" percent="0" bottom="0">
      <formula>0</formula>
    </cfRule>
    <cfRule type="cellIs" rank="0" priority="3113" equalAverage="0" operator="lessThan" aboveAverage="0" dxfId="8" text="" percent="0" bottom="0">
      <formula>0</formula>
    </cfRule>
  </conditionalFormatting>
  <conditionalFormatting sqref="I784">
    <cfRule type="cellIs" rank="0" priority="3114" equalAverage="0" operator="greaterThan" aboveAverage="0" dxfId="7" text="" percent="0" bottom="0">
      <formula>0</formula>
    </cfRule>
  </conditionalFormatting>
  <conditionalFormatting sqref="K784">
    <cfRule type="cellIs" rank="0" priority="3115" equalAverage="0" operator="greaterThan" aboveAverage="0" dxfId="7" text="" percent="0" bottom="0">
      <formula>0</formula>
    </cfRule>
  </conditionalFormatting>
  <conditionalFormatting sqref="N784">
    <cfRule type="cellIs" rank="0" priority="3116" equalAverage="0" operator="greaterThan" aboveAverage="0" dxfId="7" text="" percent="0" bottom="0">
      <formula>0</formula>
    </cfRule>
    <cfRule type="cellIs" rank="0" priority="3117" equalAverage="0" operator="lessThan" aboveAverage="0" dxfId="8" text="" percent="0" bottom="0">
      <formula>0</formula>
    </cfRule>
  </conditionalFormatting>
  <conditionalFormatting sqref="I785">
    <cfRule type="cellIs" rank="0" priority="3118" equalAverage="0" operator="greaterThan" aboveAverage="0" dxfId="7" text="" percent="0" bottom="0">
      <formula>0</formula>
    </cfRule>
  </conditionalFormatting>
  <conditionalFormatting sqref="K785">
    <cfRule type="cellIs" rank="0" priority="3119" equalAverage="0" operator="greaterThan" aboveAverage="0" dxfId="7" text="" percent="0" bottom="0">
      <formula>0</formula>
    </cfRule>
  </conditionalFormatting>
  <conditionalFormatting sqref="N785">
    <cfRule type="cellIs" rank="0" priority="3120" equalAverage="0" operator="greaterThan" aboveAverage="0" dxfId="7" text="" percent="0" bottom="0">
      <formula>0</formula>
    </cfRule>
    <cfRule type="cellIs" rank="0" priority="3121" equalAverage="0" operator="lessThan" aboveAverage="0" dxfId="8" text="" percent="0" bottom="0">
      <formula>0</formula>
    </cfRule>
  </conditionalFormatting>
  <conditionalFormatting sqref="I786">
    <cfRule type="cellIs" rank="0" priority="3122" equalAverage="0" operator="greaterThan" aboveAverage="0" dxfId="7" text="" percent="0" bottom="0">
      <formula>0</formula>
    </cfRule>
  </conditionalFormatting>
  <conditionalFormatting sqref="K786">
    <cfRule type="cellIs" rank="0" priority="3123" equalAverage="0" operator="greaterThan" aboveAverage="0" dxfId="7" text="" percent="0" bottom="0">
      <formula>0</formula>
    </cfRule>
  </conditionalFormatting>
  <conditionalFormatting sqref="N786">
    <cfRule type="cellIs" rank="0" priority="3124" equalAverage="0" operator="greaterThan" aboveAverage="0" dxfId="7" text="" percent="0" bottom="0">
      <formula>0</formula>
    </cfRule>
    <cfRule type="cellIs" rank="0" priority="3125" equalAverage="0" operator="lessThan" aboveAverage="0" dxfId="8" text="" percent="0" bottom="0">
      <formula>0</formula>
    </cfRule>
  </conditionalFormatting>
  <conditionalFormatting sqref="I787">
    <cfRule type="cellIs" rank="0" priority="3126" equalAverage="0" operator="greaterThan" aboveAverage="0" dxfId="7" text="" percent="0" bottom="0">
      <formula>0</formula>
    </cfRule>
  </conditionalFormatting>
  <conditionalFormatting sqref="K787">
    <cfRule type="cellIs" rank="0" priority="3127" equalAverage="0" operator="greaterThan" aboveAverage="0" dxfId="7" text="" percent="0" bottom="0">
      <formula>0</formula>
    </cfRule>
  </conditionalFormatting>
  <conditionalFormatting sqref="N787">
    <cfRule type="cellIs" rank="0" priority="3128" equalAverage="0" operator="greaterThan" aboveAverage="0" dxfId="7" text="" percent="0" bottom="0">
      <formula>0</formula>
    </cfRule>
    <cfRule type="cellIs" rank="0" priority="3129" equalAverage="0" operator="lessThan" aboveAverage="0" dxfId="8" text="" percent="0" bottom="0">
      <formula>0</formula>
    </cfRule>
  </conditionalFormatting>
  <conditionalFormatting sqref="I788">
    <cfRule type="cellIs" rank="0" priority="3130" equalAverage="0" operator="greaterThan" aboveAverage="0" dxfId="7" text="" percent="0" bottom="0">
      <formula>0</formula>
    </cfRule>
  </conditionalFormatting>
  <conditionalFormatting sqref="K788">
    <cfRule type="cellIs" rank="0" priority="3131" equalAverage="0" operator="greaterThan" aboveAverage="0" dxfId="7" text="" percent="0" bottom="0">
      <formula>0</formula>
    </cfRule>
  </conditionalFormatting>
  <conditionalFormatting sqref="N788">
    <cfRule type="cellIs" rank="0" priority="3132" equalAverage="0" operator="greaterThan" aboveAverage="0" dxfId="7" text="" percent="0" bottom="0">
      <formula>0</formula>
    </cfRule>
    <cfRule type="cellIs" rank="0" priority="3133" equalAverage="0" operator="lessThan" aboveAverage="0" dxfId="8" text="" percent="0" bottom="0">
      <formula>0</formula>
    </cfRule>
  </conditionalFormatting>
  <conditionalFormatting sqref="I789">
    <cfRule type="cellIs" rank="0" priority="3134" equalAverage="0" operator="greaterThan" aboveAverage="0" dxfId="7" text="" percent="0" bottom="0">
      <formula>0</formula>
    </cfRule>
  </conditionalFormatting>
  <conditionalFormatting sqref="K789">
    <cfRule type="cellIs" rank="0" priority="3135" equalAverage="0" operator="greaterThan" aboveAverage="0" dxfId="7" text="" percent="0" bottom="0">
      <formula>0</formula>
    </cfRule>
  </conditionalFormatting>
  <conditionalFormatting sqref="N789">
    <cfRule type="cellIs" rank="0" priority="3136" equalAverage="0" operator="greaterThan" aboveAverage="0" dxfId="7" text="" percent="0" bottom="0">
      <formula>0</formula>
    </cfRule>
    <cfRule type="cellIs" rank="0" priority="3137" equalAverage="0" operator="lessThan" aboveAverage="0" dxfId="8" text="" percent="0" bottom="0">
      <formula>0</formula>
    </cfRule>
  </conditionalFormatting>
  <conditionalFormatting sqref="I790">
    <cfRule type="cellIs" rank="0" priority="3138" equalAverage="0" operator="greaterThan" aboveAverage="0" dxfId="7" text="" percent="0" bottom="0">
      <formula>0</formula>
    </cfRule>
  </conditionalFormatting>
  <conditionalFormatting sqref="K790">
    <cfRule type="cellIs" rank="0" priority="3139" equalAverage="0" operator="greaterThan" aboveAverage="0" dxfId="7" text="" percent="0" bottom="0">
      <formula>0</formula>
    </cfRule>
  </conditionalFormatting>
  <conditionalFormatting sqref="N790">
    <cfRule type="cellIs" rank="0" priority="3140" equalAverage="0" operator="greaterThan" aboveAverage="0" dxfId="7" text="" percent="0" bottom="0">
      <formula>0</formula>
    </cfRule>
    <cfRule type="cellIs" rank="0" priority="3141" equalAverage="0" operator="lessThan" aboveAverage="0" dxfId="8" text="" percent="0" bottom="0">
      <formula>0</formula>
    </cfRule>
  </conditionalFormatting>
  <conditionalFormatting sqref="I791">
    <cfRule type="cellIs" rank="0" priority="3142" equalAverage="0" operator="greaterThan" aboveAverage="0" dxfId="7" text="" percent="0" bottom="0">
      <formula>0</formula>
    </cfRule>
  </conditionalFormatting>
  <conditionalFormatting sqref="K791">
    <cfRule type="cellIs" rank="0" priority="3143" equalAverage="0" operator="greaterThan" aboveAverage="0" dxfId="7" text="" percent="0" bottom="0">
      <formula>0</formula>
    </cfRule>
  </conditionalFormatting>
  <conditionalFormatting sqref="N791">
    <cfRule type="cellIs" rank="0" priority="3144" equalAverage="0" operator="greaterThan" aboveAverage="0" dxfId="7" text="" percent="0" bottom="0">
      <formula>0</formula>
    </cfRule>
    <cfRule type="cellIs" rank="0" priority="3145" equalAverage="0" operator="lessThan" aboveAverage="0" dxfId="8" text="" percent="0" bottom="0">
      <formula>0</formula>
    </cfRule>
  </conditionalFormatting>
  <conditionalFormatting sqref="I792">
    <cfRule type="cellIs" rank="0" priority="3146" equalAverage="0" operator="greaterThan" aboveAverage="0" dxfId="7" text="" percent="0" bottom="0">
      <formula>0</formula>
    </cfRule>
  </conditionalFormatting>
  <conditionalFormatting sqref="K792">
    <cfRule type="cellIs" rank="0" priority="3147" equalAverage="0" operator="greaterThan" aboveAverage="0" dxfId="7" text="" percent="0" bottom="0">
      <formula>0</formula>
    </cfRule>
  </conditionalFormatting>
  <conditionalFormatting sqref="N792">
    <cfRule type="cellIs" rank="0" priority="3148" equalAverage="0" operator="greaterThan" aboveAverage="0" dxfId="7" text="" percent="0" bottom="0">
      <formula>0</formula>
    </cfRule>
    <cfRule type="cellIs" rank="0" priority="3149" equalAverage="0" operator="lessThan" aboveAverage="0" dxfId="8" text="" percent="0" bottom="0">
      <formula>0</formula>
    </cfRule>
  </conditionalFormatting>
  <conditionalFormatting sqref="I793">
    <cfRule type="cellIs" rank="0" priority="3150" equalAverage="0" operator="greaterThan" aboveAverage="0" dxfId="7" text="" percent="0" bottom="0">
      <formula>0</formula>
    </cfRule>
  </conditionalFormatting>
  <conditionalFormatting sqref="K793">
    <cfRule type="cellIs" rank="0" priority="3151" equalAverage="0" operator="greaterThan" aboveAverage="0" dxfId="7" text="" percent="0" bottom="0">
      <formula>0</formula>
    </cfRule>
  </conditionalFormatting>
  <conditionalFormatting sqref="N793">
    <cfRule type="cellIs" rank="0" priority="3152" equalAverage="0" operator="greaterThan" aboveAverage="0" dxfId="7" text="" percent="0" bottom="0">
      <formula>0</formula>
    </cfRule>
    <cfRule type="cellIs" rank="0" priority="3153" equalAverage="0" operator="lessThan" aboveAverage="0" dxfId="8" text="" percent="0" bottom="0">
      <formula>0</formula>
    </cfRule>
  </conditionalFormatting>
  <conditionalFormatting sqref="I794">
    <cfRule type="cellIs" rank="0" priority="3154" equalAverage="0" operator="greaterThan" aboveAverage="0" dxfId="7" text="" percent="0" bottom="0">
      <formula>0</formula>
    </cfRule>
  </conditionalFormatting>
  <conditionalFormatting sqref="K794">
    <cfRule type="cellIs" rank="0" priority="3155" equalAverage="0" operator="greaterThan" aboveAverage="0" dxfId="7" text="" percent="0" bottom="0">
      <formula>0</formula>
    </cfRule>
  </conditionalFormatting>
  <conditionalFormatting sqref="N794">
    <cfRule type="cellIs" rank="0" priority="3156" equalAverage="0" operator="greaterThan" aboveAverage="0" dxfId="7" text="" percent="0" bottom="0">
      <formula>0</formula>
    </cfRule>
    <cfRule type="cellIs" rank="0" priority="3157" equalAverage="0" operator="lessThan" aboveAverage="0" dxfId="8" text="" percent="0" bottom="0">
      <formula>0</formula>
    </cfRule>
  </conditionalFormatting>
  <conditionalFormatting sqref="I795">
    <cfRule type="cellIs" rank="0" priority="3158" equalAverage="0" operator="greaterThan" aboveAverage="0" dxfId="7" text="" percent="0" bottom="0">
      <formula>0</formula>
    </cfRule>
  </conditionalFormatting>
  <conditionalFormatting sqref="K795">
    <cfRule type="cellIs" rank="0" priority="3159" equalAverage="0" operator="greaterThan" aboveAverage="0" dxfId="7" text="" percent="0" bottom="0">
      <formula>0</formula>
    </cfRule>
  </conditionalFormatting>
  <conditionalFormatting sqref="N795">
    <cfRule type="cellIs" rank="0" priority="3160" equalAverage="0" operator="greaterThan" aboveAverage="0" dxfId="7" text="" percent="0" bottom="0">
      <formula>0</formula>
    </cfRule>
    <cfRule type="cellIs" rank="0" priority="3161" equalAverage="0" operator="lessThan" aboveAverage="0" dxfId="8" text="" percent="0" bottom="0">
      <formula>0</formula>
    </cfRule>
  </conditionalFormatting>
  <conditionalFormatting sqref="I796">
    <cfRule type="cellIs" rank="0" priority="3162" equalAverage="0" operator="greaterThan" aboveAverage="0" dxfId="7" text="" percent="0" bottom="0">
      <formula>0</formula>
    </cfRule>
  </conditionalFormatting>
  <conditionalFormatting sqref="K796">
    <cfRule type="cellIs" rank="0" priority="3163" equalAverage="0" operator="greaterThan" aboveAverage="0" dxfId="7" text="" percent="0" bottom="0">
      <formula>0</formula>
    </cfRule>
  </conditionalFormatting>
  <conditionalFormatting sqref="N796">
    <cfRule type="cellIs" rank="0" priority="3164" equalAverage="0" operator="greaterThan" aboveAverage="0" dxfId="7" text="" percent="0" bottom="0">
      <formula>0</formula>
    </cfRule>
    <cfRule type="cellIs" rank="0" priority="3165" equalAverage="0" operator="lessThan" aboveAverage="0" dxfId="8" text="" percent="0" bottom="0">
      <formula>0</formula>
    </cfRule>
  </conditionalFormatting>
  <conditionalFormatting sqref="I797">
    <cfRule type="cellIs" rank="0" priority="3166" equalAverage="0" operator="greaterThan" aboveAverage="0" dxfId="7" text="" percent="0" bottom="0">
      <formula>0</formula>
    </cfRule>
  </conditionalFormatting>
  <conditionalFormatting sqref="K797">
    <cfRule type="cellIs" rank="0" priority="3167" equalAverage="0" operator="greaterThan" aboveAverage="0" dxfId="7" text="" percent="0" bottom="0">
      <formula>0</formula>
    </cfRule>
  </conditionalFormatting>
  <conditionalFormatting sqref="N797">
    <cfRule type="cellIs" rank="0" priority="3168" equalAverage="0" operator="greaterThan" aboveAverage="0" dxfId="7" text="" percent="0" bottom="0">
      <formula>0</formula>
    </cfRule>
    <cfRule type="cellIs" rank="0" priority="3169" equalAverage="0" operator="lessThan" aboveAverage="0" dxfId="8" text="" percent="0" bottom="0">
      <formula>0</formula>
    </cfRule>
  </conditionalFormatting>
  <conditionalFormatting sqref="I798">
    <cfRule type="cellIs" rank="0" priority="3170" equalAverage="0" operator="greaterThan" aboveAverage="0" dxfId="7" text="" percent="0" bottom="0">
      <formula>0</formula>
    </cfRule>
  </conditionalFormatting>
  <conditionalFormatting sqref="K798">
    <cfRule type="cellIs" rank="0" priority="3171" equalAverage="0" operator="greaterThan" aboveAverage="0" dxfId="7" text="" percent="0" bottom="0">
      <formula>0</formula>
    </cfRule>
  </conditionalFormatting>
  <conditionalFormatting sqref="N798">
    <cfRule type="cellIs" rank="0" priority="3172" equalAverage="0" operator="greaterThan" aboveAverage="0" dxfId="7" text="" percent="0" bottom="0">
      <formula>0</formula>
    </cfRule>
    <cfRule type="cellIs" rank="0" priority="3173" equalAverage="0" operator="lessThan" aboveAverage="0" dxfId="8" text="" percent="0" bottom="0">
      <formula>0</formula>
    </cfRule>
  </conditionalFormatting>
  <conditionalFormatting sqref="I799">
    <cfRule type="cellIs" rank="0" priority="3174" equalAverage="0" operator="greaterThan" aboveAverage="0" dxfId="7" text="" percent="0" bottom="0">
      <formula>0</formula>
    </cfRule>
  </conditionalFormatting>
  <conditionalFormatting sqref="K799">
    <cfRule type="cellIs" rank="0" priority="3175" equalAverage="0" operator="greaterThan" aboveAverage="0" dxfId="7" text="" percent="0" bottom="0">
      <formula>0</formula>
    </cfRule>
  </conditionalFormatting>
  <conditionalFormatting sqref="N799">
    <cfRule type="cellIs" rank="0" priority="3176" equalAverage="0" operator="greaterThan" aboveAverage="0" dxfId="7" text="" percent="0" bottom="0">
      <formula>0</formula>
    </cfRule>
    <cfRule type="cellIs" rank="0" priority="3177" equalAverage="0" operator="lessThan" aboveAverage="0" dxfId="8" text="" percent="0" bottom="0">
      <formula>0</formula>
    </cfRule>
  </conditionalFormatting>
  <conditionalFormatting sqref="I800">
    <cfRule type="cellIs" rank="0" priority="3178" equalAverage="0" operator="greaterThan" aboveAverage="0" dxfId="7" text="" percent="0" bottom="0">
      <formula>0</formula>
    </cfRule>
  </conditionalFormatting>
  <conditionalFormatting sqref="K800">
    <cfRule type="cellIs" rank="0" priority="3179" equalAverage="0" operator="greaterThan" aboveAverage="0" dxfId="7" text="" percent="0" bottom="0">
      <formula>0</formula>
    </cfRule>
  </conditionalFormatting>
  <conditionalFormatting sqref="N800">
    <cfRule type="cellIs" rank="0" priority="3180" equalAverage="0" operator="greaterThan" aboveAverage="0" dxfId="7" text="" percent="0" bottom="0">
      <formula>0</formula>
    </cfRule>
    <cfRule type="cellIs" rank="0" priority="3181" equalAverage="0" operator="lessThan" aboveAverage="0" dxfId="8" text="" percent="0" bottom="0">
      <formula>0</formula>
    </cfRule>
  </conditionalFormatting>
  <conditionalFormatting sqref="I801">
    <cfRule type="cellIs" rank="0" priority="3182" equalAverage="0" operator="greaterThan" aboveAverage="0" dxfId="7" text="" percent="0" bottom="0">
      <formula>0</formula>
    </cfRule>
  </conditionalFormatting>
  <conditionalFormatting sqref="K801">
    <cfRule type="cellIs" rank="0" priority="3183" equalAverage="0" operator="greaterThan" aboveAverage="0" dxfId="7" text="" percent="0" bottom="0">
      <formula>0</formula>
    </cfRule>
  </conditionalFormatting>
  <conditionalFormatting sqref="N801">
    <cfRule type="cellIs" rank="0" priority="3184" equalAverage="0" operator="greaterThan" aboveAverage="0" dxfId="7" text="" percent="0" bottom="0">
      <formula>0</formula>
    </cfRule>
    <cfRule type="cellIs" rank="0" priority="3185" equalAverage="0" operator="lessThan" aboveAverage="0" dxfId="8" text="" percent="0" bottom="0">
      <formula>0</formula>
    </cfRule>
  </conditionalFormatting>
  <conditionalFormatting sqref="I802">
    <cfRule type="cellIs" rank="0" priority="3186" equalAverage="0" operator="greaterThan" aboveAverage="0" dxfId="7" text="" percent="0" bottom="0">
      <formula>0</formula>
    </cfRule>
  </conditionalFormatting>
  <conditionalFormatting sqref="K802">
    <cfRule type="cellIs" rank="0" priority="3187" equalAverage="0" operator="greaterThan" aboveAverage="0" dxfId="7" text="" percent="0" bottom="0">
      <formula>0</formula>
    </cfRule>
  </conditionalFormatting>
  <conditionalFormatting sqref="N802">
    <cfRule type="cellIs" rank="0" priority="3188" equalAverage="0" operator="greaterThan" aboveAverage="0" dxfId="7" text="" percent="0" bottom="0">
      <formula>0</formula>
    </cfRule>
    <cfRule type="cellIs" rank="0" priority="3189" equalAverage="0" operator="lessThan" aboveAverage="0" dxfId="8" text="" percent="0" bottom="0">
      <formula>0</formula>
    </cfRule>
  </conditionalFormatting>
  <conditionalFormatting sqref="I803">
    <cfRule type="cellIs" rank="0" priority="3190" equalAverage="0" operator="greaterThan" aboveAverage="0" dxfId="7" text="" percent="0" bottom="0">
      <formula>0</formula>
    </cfRule>
  </conditionalFormatting>
  <conditionalFormatting sqref="K803">
    <cfRule type="cellIs" rank="0" priority="3191" equalAverage="0" operator="greaterThan" aboveAverage="0" dxfId="7" text="" percent="0" bottom="0">
      <formula>0</formula>
    </cfRule>
  </conditionalFormatting>
  <conditionalFormatting sqref="N803">
    <cfRule type="cellIs" rank="0" priority="3192" equalAverage="0" operator="greaterThan" aboveAverage="0" dxfId="7" text="" percent="0" bottom="0">
      <formula>0</formula>
    </cfRule>
    <cfRule type="cellIs" rank="0" priority="3193" equalAverage="0" operator="lessThan" aboveAverage="0" dxfId="8" text="" percent="0" bottom="0">
      <formula>0</formula>
    </cfRule>
  </conditionalFormatting>
  <conditionalFormatting sqref="I804">
    <cfRule type="cellIs" rank="0" priority="3194" equalAverage="0" operator="greaterThan" aboveAverage="0" dxfId="7" text="" percent="0" bottom="0">
      <formula>0</formula>
    </cfRule>
  </conditionalFormatting>
  <conditionalFormatting sqref="K804">
    <cfRule type="cellIs" rank="0" priority="3195" equalAverage="0" operator="greaterThan" aboveAverage="0" dxfId="7" text="" percent="0" bottom="0">
      <formula>0</formula>
    </cfRule>
  </conditionalFormatting>
  <conditionalFormatting sqref="N804">
    <cfRule type="cellIs" rank="0" priority="3196" equalAverage="0" operator="greaterThan" aboveAverage="0" dxfId="7" text="" percent="0" bottom="0">
      <formula>0</formula>
    </cfRule>
    <cfRule type="cellIs" rank="0" priority="3197" equalAverage="0" operator="lessThan" aboveAverage="0" dxfId="8" text="" percent="0" bottom="0">
      <formula>0</formula>
    </cfRule>
  </conditionalFormatting>
  <conditionalFormatting sqref="I805">
    <cfRule type="cellIs" rank="0" priority="3198" equalAverage="0" operator="greaterThan" aboveAverage="0" dxfId="7" text="" percent="0" bottom="0">
      <formula>0</formula>
    </cfRule>
  </conditionalFormatting>
  <conditionalFormatting sqref="K805">
    <cfRule type="cellIs" rank="0" priority="3199" equalAverage="0" operator="greaterThan" aboveAverage="0" dxfId="7" text="" percent="0" bottom="0">
      <formula>0</formula>
    </cfRule>
  </conditionalFormatting>
  <conditionalFormatting sqref="N805">
    <cfRule type="cellIs" rank="0" priority="3200" equalAverage="0" operator="greaterThan" aboveAverage="0" dxfId="7" text="" percent="0" bottom="0">
      <formula>0</formula>
    </cfRule>
    <cfRule type="cellIs" rank="0" priority="3201" equalAverage="0" operator="lessThan" aboveAverage="0" dxfId="8" text="" percent="0" bottom="0">
      <formula>0</formula>
    </cfRule>
  </conditionalFormatting>
  <conditionalFormatting sqref="I806">
    <cfRule type="cellIs" rank="0" priority="3202" equalAverage="0" operator="greaterThan" aboveAverage="0" dxfId="7" text="" percent="0" bottom="0">
      <formula>0</formula>
    </cfRule>
  </conditionalFormatting>
  <conditionalFormatting sqref="K806">
    <cfRule type="cellIs" rank="0" priority="3203" equalAverage="0" operator="greaterThan" aboveAverage="0" dxfId="7" text="" percent="0" bottom="0">
      <formula>0</formula>
    </cfRule>
  </conditionalFormatting>
  <conditionalFormatting sqref="N806">
    <cfRule type="cellIs" rank="0" priority="3204" equalAverage="0" operator="greaterThan" aboveAverage="0" dxfId="7" text="" percent="0" bottom="0">
      <formula>0</formula>
    </cfRule>
    <cfRule type="cellIs" rank="0" priority="3205" equalAverage="0" operator="lessThan" aboveAverage="0" dxfId="8" text="" percent="0" bottom="0">
      <formula>0</formula>
    </cfRule>
  </conditionalFormatting>
  <conditionalFormatting sqref="I807">
    <cfRule type="cellIs" rank="0" priority="3206" equalAverage="0" operator="greaterThan" aboveAverage="0" dxfId="7" text="" percent="0" bottom="0">
      <formula>0</formula>
    </cfRule>
  </conditionalFormatting>
  <conditionalFormatting sqref="K807">
    <cfRule type="cellIs" rank="0" priority="3207" equalAverage="0" operator="greaterThan" aboveAverage="0" dxfId="7" text="" percent="0" bottom="0">
      <formula>0</formula>
    </cfRule>
  </conditionalFormatting>
  <conditionalFormatting sqref="N807">
    <cfRule type="cellIs" rank="0" priority="3208" equalAverage="0" operator="greaterThan" aboveAverage="0" dxfId="7" text="" percent="0" bottom="0">
      <formula>0</formula>
    </cfRule>
    <cfRule type="cellIs" rank="0" priority="3209" equalAverage="0" operator="lessThan" aboveAverage="0" dxfId="8" text="" percent="0" bottom="0">
      <formula>0</formula>
    </cfRule>
  </conditionalFormatting>
  <conditionalFormatting sqref="I808">
    <cfRule type="cellIs" rank="0" priority="3210" equalAverage="0" operator="greaterThan" aboveAverage="0" dxfId="7" text="" percent="0" bottom="0">
      <formula>0</formula>
    </cfRule>
  </conditionalFormatting>
  <conditionalFormatting sqref="K808">
    <cfRule type="cellIs" rank="0" priority="3211" equalAverage="0" operator="greaterThan" aboveAverage="0" dxfId="7" text="" percent="0" bottom="0">
      <formula>0</formula>
    </cfRule>
  </conditionalFormatting>
  <conditionalFormatting sqref="N808">
    <cfRule type="cellIs" rank="0" priority="3212" equalAverage="0" operator="greaterThan" aboveAverage="0" dxfId="7" text="" percent="0" bottom="0">
      <formula>0</formula>
    </cfRule>
    <cfRule type="cellIs" rank="0" priority="3213" equalAverage="0" operator="lessThan" aboveAverage="0" dxfId="8" text="" percent="0" bottom="0">
      <formula>0</formula>
    </cfRule>
  </conditionalFormatting>
  <conditionalFormatting sqref="I809">
    <cfRule type="cellIs" rank="0" priority="3214" equalAverage="0" operator="greaterThan" aboveAverage="0" dxfId="7" text="" percent="0" bottom="0">
      <formula>0</formula>
    </cfRule>
  </conditionalFormatting>
  <conditionalFormatting sqref="K809">
    <cfRule type="cellIs" rank="0" priority="3215" equalAverage="0" operator="greaterThan" aboveAverage="0" dxfId="7" text="" percent="0" bottom="0">
      <formula>0</formula>
    </cfRule>
  </conditionalFormatting>
  <conditionalFormatting sqref="N809">
    <cfRule type="cellIs" rank="0" priority="3216" equalAverage="0" operator="greaterThan" aboveAverage="0" dxfId="7" text="" percent="0" bottom="0">
      <formula>0</formula>
    </cfRule>
    <cfRule type="cellIs" rank="0" priority="3217" equalAverage="0" operator="lessThan" aboveAverage="0" dxfId="8" text="" percent="0" bottom="0">
      <formula>0</formula>
    </cfRule>
  </conditionalFormatting>
  <conditionalFormatting sqref="I810">
    <cfRule type="cellIs" rank="0" priority="3218" equalAverage="0" operator="greaterThan" aboveAverage="0" dxfId="7" text="" percent="0" bottom="0">
      <formula>0</formula>
    </cfRule>
  </conditionalFormatting>
  <conditionalFormatting sqref="K810">
    <cfRule type="cellIs" rank="0" priority="3219" equalAverage="0" operator="greaterThan" aboveAverage="0" dxfId="7" text="" percent="0" bottom="0">
      <formula>0</formula>
    </cfRule>
  </conditionalFormatting>
  <conditionalFormatting sqref="N810">
    <cfRule type="cellIs" rank="0" priority="3220" equalAverage="0" operator="greaterThan" aboveAverage="0" dxfId="7" text="" percent="0" bottom="0">
      <formula>0</formula>
    </cfRule>
    <cfRule type="cellIs" rank="0" priority="3221" equalAverage="0" operator="lessThan" aboveAverage="0" dxfId="8" text="" percent="0" bottom="0">
      <formula>0</formula>
    </cfRule>
  </conditionalFormatting>
  <conditionalFormatting sqref="I811">
    <cfRule type="cellIs" rank="0" priority="3222" equalAverage="0" operator="greaterThan" aboveAverage="0" dxfId="7" text="" percent="0" bottom="0">
      <formula>0</formula>
    </cfRule>
  </conditionalFormatting>
  <conditionalFormatting sqref="K811">
    <cfRule type="cellIs" rank="0" priority="3223" equalAverage="0" operator="greaterThan" aboveAverage="0" dxfId="7" text="" percent="0" bottom="0">
      <formula>0</formula>
    </cfRule>
  </conditionalFormatting>
  <conditionalFormatting sqref="N811">
    <cfRule type="cellIs" rank="0" priority="3224" equalAverage="0" operator="greaterThan" aboveAverage="0" dxfId="7" text="" percent="0" bottom="0">
      <formula>0</formula>
    </cfRule>
    <cfRule type="cellIs" rank="0" priority="3225" equalAverage="0" operator="lessThan" aboveAverage="0" dxfId="8" text="" percent="0" bottom="0">
      <formula>0</formula>
    </cfRule>
  </conditionalFormatting>
  <conditionalFormatting sqref="I812">
    <cfRule type="cellIs" rank="0" priority="3226" equalAverage="0" operator="greaterThan" aboveAverage="0" dxfId="7" text="" percent="0" bottom="0">
      <formula>0</formula>
    </cfRule>
  </conditionalFormatting>
  <conditionalFormatting sqref="K812">
    <cfRule type="cellIs" rank="0" priority="3227" equalAverage="0" operator="greaterThan" aboveAverage="0" dxfId="7" text="" percent="0" bottom="0">
      <formula>0</formula>
    </cfRule>
  </conditionalFormatting>
  <conditionalFormatting sqref="N812">
    <cfRule type="cellIs" rank="0" priority="3228" equalAverage="0" operator="greaterThan" aboveAverage="0" dxfId="7" text="" percent="0" bottom="0">
      <formula>0</formula>
    </cfRule>
    <cfRule type="cellIs" rank="0" priority="3229" equalAverage="0" operator="lessThan" aboveAverage="0" dxfId="8" text="" percent="0" bottom="0">
      <formula>0</formula>
    </cfRule>
  </conditionalFormatting>
  <conditionalFormatting sqref="I813">
    <cfRule type="cellIs" rank="0" priority="3230" equalAverage="0" operator="greaterThan" aboveAverage="0" dxfId="7" text="" percent="0" bottom="0">
      <formula>0</formula>
    </cfRule>
  </conditionalFormatting>
  <conditionalFormatting sqref="K813">
    <cfRule type="cellIs" rank="0" priority="3231" equalAverage="0" operator="greaterThan" aboveAverage="0" dxfId="7" text="" percent="0" bottom="0">
      <formula>0</formula>
    </cfRule>
  </conditionalFormatting>
  <conditionalFormatting sqref="N813">
    <cfRule type="cellIs" rank="0" priority="3232" equalAverage="0" operator="greaterThan" aboveAverage="0" dxfId="7" text="" percent="0" bottom="0">
      <formula>0</formula>
    </cfRule>
    <cfRule type="cellIs" rank="0" priority="3233" equalAverage="0" operator="lessThan" aboveAverage="0" dxfId="8" text="" percent="0" bottom="0">
      <formula>0</formula>
    </cfRule>
  </conditionalFormatting>
  <conditionalFormatting sqref="I814">
    <cfRule type="cellIs" rank="0" priority="3234" equalAverage="0" operator="greaterThan" aboveAverage="0" dxfId="7" text="" percent="0" bottom="0">
      <formula>0</formula>
    </cfRule>
  </conditionalFormatting>
  <conditionalFormatting sqref="K814">
    <cfRule type="cellIs" rank="0" priority="3235" equalAverage="0" operator="greaterThan" aboveAverage="0" dxfId="7" text="" percent="0" bottom="0">
      <formula>0</formula>
    </cfRule>
  </conditionalFormatting>
  <conditionalFormatting sqref="N814">
    <cfRule type="cellIs" rank="0" priority="3236" equalAverage="0" operator="greaterThan" aboveAverage="0" dxfId="7" text="" percent="0" bottom="0">
      <formula>0</formula>
    </cfRule>
    <cfRule type="cellIs" rank="0" priority="3237" equalAverage="0" operator="lessThan" aboveAverage="0" dxfId="8" text="" percent="0" bottom="0">
      <formula>0</formula>
    </cfRule>
  </conditionalFormatting>
  <conditionalFormatting sqref="I815">
    <cfRule type="cellIs" rank="0" priority="3238" equalAverage="0" operator="greaterThan" aboveAverage="0" dxfId="7" text="" percent="0" bottom="0">
      <formula>0</formula>
    </cfRule>
  </conditionalFormatting>
  <conditionalFormatting sqref="K815">
    <cfRule type="cellIs" rank="0" priority="3239" equalAverage="0" operator="greaterThan" aboveAverage="0" dxfId="7" text="" percent="0" bottom="0">
      <formula>0</formula>
    </cfRule>
  </conditionalFormatting>
  <conditionalFormatting sqref="N815">
    <cfRule type="cellIs" rank="0" priority="3240" equalAverage="0" operator="greaterThan" aboveAverage="0" dxfId="7" text="" percent="0" bottom="0">
      <formula>0</formula>
    </cfRule>
    <cfRule type="cellIs" rank="0" priority="3241" equalAverage="0" operator="lessThan" aboveAverage="0" dxfId="8" text="" percent="0" bottom="0">
      <formula>0</formula>
    </cfRule>
  </conditionalFormatting>
  <conditionalFormatting sqref="I816">
    <cfRule type="cellIs" rank="0" priority="3242" equalAverage="0" operator="greaterThan" aboveAverage="0" dxfId="7" text="" percent="0" bottom="0">
      <formula>0</formula>
    </cfRule>
  </conditionalFormatting>
  <conditionalFormatting sqref="K816">
    <cfRule type="cellIs" rank="0" priority="3243" equalAverage="0" operator="greaterThan" aboveAverage="0" dxfId="7" text="" percent="0" bottom="0">
      <formula>0</formula>
    </cfRule>
  </conditionalFormatting>
  <conditionalFormatting sqref="N816">
    <cfRule type="cellIs" rank="0" priority="3244" equalAverage="0" operator="greaterThan" aboveAverage="0" dxfId="7" text="" percent="0" bottom="0">
      <formula>0</formula>
    </cfRule>
    <cfRule type="cellIs" rank="0" priority="3245" equalAverage="0" operator="lessThan" aboveAverage="0" dxfId="8" text="" percent="0" bottom="0">
      <formula>0</formula>
    </cfRule>
  </conditionalFormatting>
  <conditionalFormatting sqref="I817">
    <cfRule type="cellIs" rank="0" priority="3246" equalAverage="0" operator="greaterThan" aboveAverage="0" dxfId="7" text="" percent="0" bottom="0">
      <formula>0</formula>
    </cfRule>
  </conditionalFormatting>
  <conditionalFormatting sqref="K817">
    <cfRule type="cellIs" rank="0" priority="3247" equalAverage="0" operator="greaterThan" aboveAverage="0" dxfId="7" text="" percent="0" bottom="0">
      <formula>0</formula>
    </cfRule>
  </conditionalFormatting>
  <conditionalFormatting sqref="N817">
    <cfRule type="cellIs" rank="0" priority="3248" equalAverage="0" operator="greaterThan" aboveAverage="0" dxfId="7" text="" percent="0" bottom="0">
      <formula>0</formula>
    </cfRule>
    <cfRule type="cellIs" rank="0" priority="3249" equalAverage="0" operator="lessThan" aboveAverage="0" dxfId="8" text="" percent="0" bottom="0">
      <formula>0</formula>
    </cfRule>
  </conditionalFormatting>
  <conditionalFormatting sqref="I818">
    <cfRule type="cellIs" rank="0" priority="3250" equalAverage="0" operator="greaterThan" aboveAverage="0" dxfId="7" text="" percent="0" bottom="0">
      <formula>0</formula>
    </cfRule>
  </conditionalFormatting>
  <conditionalFormatting sqref="K818">
    <cfRule type="cellIs" rank="0" priority="3251" equalAverage="0" operator="greaterThan" aboveAverage="0" dxfId="7" text="" percent="0" bottom="0">
      <formula>0</formula>
    </cfRule>
  </conditionalFormatting>
  <conditionalFormatting sqref="N818">
    <cfRule type="cellIs" rank="0" priority="3252" equalAverage="0" operator="greaterThan" aboveAverage="0" dxfId="7" text="" percent="0" bottom="0">
      <formula>0</formula>
    </cfRule>
    <cfRule type="cellIs" rank="0" priority="3253" equalAverage="0" operator="lessThan" aboveAverage="0" dxfId="8" text="" percent="0" bottom="0">
      <formula>0</formula>
    </cfRule>
  </conditionalFormatting>
  <conditionalFormatting sqref="I819">
    <cfRule type="cellIs" rank="0" priority="3254" equalAverage="0" operator="greaterThan" aboveAverage="0" dxfId="7" text="" percent="0" bottom="0">
      <formula>0</formula>
    </cfRule>
  </conditionalFormatting>
  <conditionalFormatting sqref="K819">
    <cfRule type="cellIs" rank="0" priority="3255" equalAverage="0" operator="greaterThan" aboveAverage="0" dxfId="7" text="" percent="0" bottom="0">
      <formula>0</formula>
    </cfRule>
  </conditionalFormatting>
  <conditionalFormatting sqref="N819">
    <cfRule type="cellIs" rank="0" priority="3256" equalAverage="0" operator="greaterThan" aboveAverage="0" dxfId="7" text="" percent="0" bottom="0">
      <formula>0</formula>
    </cfRule>
    <cfRule type="cellIs" rank="0" priority="3257" equalAverage="0" operator="lessThan" aboveAverage="0" dxfId="8" text="" percent="0" bottom="0">
      <formula>0</formula>
    </cfRule>
  </conditionalFormatting>
  <conditionalFormatting sqref="I820">
    <cfRule type="cellIs" rank="0" priority="3258" equalAverage="0" operator="greaterThan" aboveAverage="0" dxfId="7" text="" percent="0" bottom="0">
      <formula>0</formula>
    </cfRule>
  </conditionalFormatting>
  <conditionalFormatting sqref="K820">
    <cfRule type="cellIs" rank="0" priority="3259" equalAverage="0" operator="greaterThan" aboveAverage="0" dxfId="7" text="" percent="0" bottom="0">
      <formula>0</formula>
    </cfRule>
  </conditionalFormatting>
  <conditionalFormatting sqref="N820">
    <cfRule type="cellIs" rank="0" priority="3260" equalAverage="0" operator="greaterThan" aboveAverage="0" dxfId="7" text="" percent="0" bottom="0">
      <formula>0</formula>
    </cfRule>
    <cfRule type="cellIs" rank="0" priority="3261" equalAverage="0" operator="lessThan" aboveAverage="0" dxfId="8" text="" percent="0" bottom="0">
      <formula>0</formula>
    </cfRule>
  </conditionalFormatting>
  <conditionalFormatting sqref="I821">
    <cfRule type="cellIs" rank="0" priority="3262" equalAverage="0" operator="greaterThan" aboveAverage="0" dxfId="7" text="" percent="0" bottom="0">
      <formula>0</formula>
    </cfRule>
  </conditionalFormatting>
  <conditionalFormatting sqref="K821">
    <cfRule type="cellIs" rank="0" priority="3263" equalAverage="0" operator="greaterThan" aboveAverage="0" dxfId="7" text="" percent="0" bottom="0">
      <formula>0</formula>
    </cfRule>
  </conditionalFormatting>
  <conditionalFormatting sqref="N821">
    <cfRule type="cellIs" rank="0" priority="3264" equalAverage="0" operator="greaterThan" aboveAverage="0" dxfId="7" text="" percent="0" bottom="0">
      <formula>0</formula>
    </cfRule>
    <cfRule type="cellIs" rank="0" priority="3265" equalAverage="0" operator="lessThan" aboveAverage="0" dxfId="8" text="" percent="0" bottom="0">
      <formula>0</formula>
    </cfRule>
  </conditionalFormatting>
  <conditionalFormatting sqref="I822">
    <cfRule type="cellIs" rank="0" priority="3266" equalAverage="0" operator="greaterThan" aboveAverage="0" dxfId="7" text="" percent="0" bottom="0">
      <formula>0</formula>
    </cfRule>
  </conditionalFormatting>
  <conditionalFormatting sqref="K822">
    <cfRule type="cellIs" rank="0" priority="3267" equalAverage="0" operator="greaterThan" aboveAverage="0" dxfId="7" text="" percent="0" bottom="0">
      <formula>0</formula>
    </cfRule>
  </conditionalFormatting>
  <conditionalFormatting sqref="N822">
    <cfRule type="cellIs" rank="0" priority="3268" equalAverage="0" operator="greaterThan" aboveAverage="0" dxfId="7" text="" percent="0" bottom="0">
      <formula>0</formula>
    </cfRule>
    <cfRule type="cellIs" rank="0" priority="3269" equalAverage="0" operator="lessThan" aboveAverage="0" dxfId="8" text="" percent="0" bottom="0">
      <formula>0</formula>
    </cfRule>
  </conditionalFormatting>
  <conditionalFormatting sqref="I823">
    <cfRule type="cellIs" rank="0" priority="3270" equalAverage="0" operator="greaterThan" aboveAverage="0" dxfId="7" text="" percent="0" bottom="0">
      <formula>0</formula>
    </cfRule>
  </conditionalFormatting>
  <conditionalFormatting sqref="K823">
    <cfRule type="cellIs" rank="0" priority="3271" equalAverage="0" operator="greaterThan" aboveAverage="0" dxfId="7" text="" percent="0" bottom="0">
      <formula>0</formula>
    </cfRule>
  </conditionalFormatting>
  <conditionalFormatting sqref="N823">
    <cfRule type="cellIs" rank="0" priority="3272" equalAverage="0" operator="greaterThan" aboveAverage="0" dxfId="7" text="" percent="0" bottom="0">
      <formula>0</formula>
    </cfRule>
    <cfRule type="cellIs" rank="0" priority="3273" equalAverage="0" operator="lessThan" aboveAverage="0" dxfId="8" text="" percent="0" bottom="0">
      <formula>0</formula>
    </cfRule>
  </conditionalFormatting>
  <conditionalFormatting sqref="I824">
    <cfRule type="cellIs" rank="0" priority="3274" equalAverage="0" operator="greaterThan" aboveAverage="0" dxfId="7" text="" percent="0" bottom="0">
      <formula>0</formula>
    </cfRule>
  </conditionalFormatting>
  <conditionalFormatting sqref="K824">
    <cfRule type="cellIs" rank="0" priority="3275" equalAverage="0" operator="greaterThan" aboveAverage="0" dxfId="7" text="" percent="0" bottom="0">
      <formula>0</formula>
    </cfRule>
  </conditionalFormatting>
  <conditionalFormatting sqref="N824">
    <cfRule type="cellIs" rank="0" priority="3276" equalAverage="0" operator="greaterThan" aboveAverage="0" dxfId="7" text="" percent="0" bottom="0">
      <formula>0</formula>
    </cfRule>
    <cfRule type="cellIs" rank="0" priority="3277" equalAverage="0" operator="lessThan" aboveAverage="0" dxfId="8" text="" percent="0" bottom="0">
      <formula>0</formula>
    </cfRule>
  </conditionalFormatting>
  <conditionalFormatting sqref="I825">
    <cfRule type="cellIs" rank="0" priority="3278" equalAverage="0" operator="greaterThan" aboveAverage="0" dxfId="7" text="" percent="0" bottom="0">
      <formula>0</formula>
    </cfRule>
  </conditionalFormatting>
  <conditionalFormatting sqref="K825">
    <cfRule type="cellIs" rank="0" priority="3279" equalAverage="0" operator="greaterThan" aboveAverage="0" dxfId="7" text="" percent="0" bottom="0">
      <formula>0</formula>
    </cfRule>
  </conditionalFormatting>
  <conditionalFormatting sqref="N825">
    <cfRule type="cellIs" rank="0" priority="3280" equalAverage="0" operator="greaterThan" aboveAverage="0" dxfId="7" text="" percent="0" bottom="0">
      <formula>0</formula>
    </cfRule>
    <cfRule type="cellIs" rank="0" priority="3281" equalAverage="0" operator="lessThan" aboveAverage="0" dxfId="8" text="" percent="0" bottom="0">
      <formula>0</formula>
    </cfRule>
  </conditionalFormatting>
  <conditionalFormatting sqref="I826">
    <cfRule type="cellIs" rank="0" priority="3282" equalAverage="0" operator="greaterThan" aboveAverage="0" dxfId="7" text="" percent="0" bottom="0">
      <formula>0</formula>
    </cfRule>
  </conditionalFormatting>
  <conditionalFormatting sqref="K826">
    <cfRule type="cellIs" rank="0" priority="3283" equalAverage="0" operator="greaterThan" aboveAverage="0" dxfId="7" text="" percent="0" bottom="0">
      <formula>0</formula>
    </cfRule>
  </conditionalFormatting>
  <conditionalFormatting sqref="N826">
    <cfRule type="cellIs" rank="0" priority="3284" equalAverage="0" operator="greaterThan" aboveAverage="0" dxfId="7" text="" percent="0" bottom="0">
      <formula>0</formula>
    </cfRule>
    <cfRule type="cellIs" rank="0" priority="3285" equalAverage="0" operator="lessThan" aboveAverage="0" dxfId="8" text="" percent="0" bottom="0">
      <formula>0</formula>
    </cfRule>
  </conditionalFormatting>
  <conditionalFormatting sqref="I827">
    <cfRule type="cellIs" rank="0" priority="3286" equalAverage="0" operator="greaterThan" aboveAverage="0" dxfId="7" text="" percent="0" bottom="0">
      <formula>0</formula>
    </cfRule>
  </conditionalFormatting>
  <conditionalFormatting sqref="K827">
    <cfRule type="cellIs" rank="0" priority="3287" equalAverage="0" operator="greaterThan" aboveAverage="0" dxfId="7" text="" percent="0" bottom="0">
      <formula>0</formula>
    </cfRule>
  </conditionalFormatting>
  <conditionalFormatting sqref="N827">
    <cfRule type="cellIs" rank="0" priority="3288" equalAverage="0" operator="greaterThan" aboveAverage="0" dxfId="7" text="" percent="0" bottom="0">
      <formula>0</formula>
    </cfRule>
    <cfRule type="cellIs" rank="0" priority="3289" equalAverage="0" operator="lessThan" aboveAverage="0" dxfId="8" text="" percent="0" bottom="0">
      <formula>0</formula>
    </cfRule>
  </conditionalFormatting>
  <conditionalFormatting sqref="I828">
    <cfRule type="cellIs" rank="0" priority="3290" equalAverage="0" operator="greaterThan" aboveAverage="0" dxfId="7" text="" percent="0" bottom="0">
      <formula>0</formula>
    </cfRule>
  </conditionalFormatting>
  <conditionalFormatting sqref="K828">
    <cfRule type="cellIs" rank="0" priority="3291" equalAverage="0" operator="greaterThan" aboveAverage="0" dxfId="7" text="" percent="0" bottom="0">
      <formula>0</formula>
    </cfRule>
  </conditionalFormatting>
  <conditionalFormatting sqref="N828">
    <cfRule type="cellIs" rank="0" priority="3292" equalAverage="0" operator="greaterThan" aboveAverage="0" dxfId="7" text="" percent="0" bottom="0">
      <formula>0</formula>
    </cfRule>
    <cfRule type="cellIs" rank="0" priority="3293" equalAverage="0" operator="lessThan" aboveAverage="0" dxfId="8" text="" percent="0" bottom="0">
      <formula>0</formula>
    </cfRule>
  </conditionalFormatting>
  <conditionalFormatting sqref="I829">
    <cfRule type="cellIs" rank="0" priority="3294" equalAverage="0" operator="greaterThan" aboveAverage="0" dxfId="7" text="" percent="0" bottom="0">
      <formula>0</formula>
    </cfRule>
  </conditionalFormatting>
  <conditionalFormatting sqref="K829">
    <cfRule type="cellIs" rank="0" priority="3295" equalAverage="0" operator="greaterThan" aboveAverage="0" dxfId="7" text="" percent="0" bottom="0">
      <formula>0</formula>
    </cfRule>
  </conditionalFormatting>
  <conditionalFormatting sqref="N829">
    <cfRule type="cellIs" rank="0" priority="3296" equalAverage="0" operator="greaterThan" aboveAverage="0" dxfId="7" text="" percent="0" bottom="0">
      <formula>0</formula>
    </cfRule>
    <cfRule type="cellIs" rank="0" priority="3297" equalAverage="0" operator="lessThan" aboveAverage="0" dxfId="8" text="" percent="0" bottom="0">
      <formula>0</formula>
    </cfRule>
  </conditionalFormatting>
  <conditionalFormatting sqref="I830">
    <cfRule type="cellIs" rank="0" priority="3298" equalAverage="0" operator="greaterThan" aboveAverage="0" dxfId="7" text="" percent="0" bottom="0">
      <formula>0</formula>
    </cfRule>
  </conditionalFormatting>
  <conditionalFormatting sqref="K830">
    <cfRule type="cellIs" rank="0" priority="3299" equalAverage="0" operator="greaterThan" aboveAverage="0" dxfId="7" text="" percent="0" bottom="0">
      <formula>0</formula>
    </cfRule>
  </conditionalFormatting>
  <conditionalFormatting sqref="N830">
    <cfRule type="cellIs" rank="0" priority="3300" equalAverage="0" operator="greaterThan" aboveAverage="0" dxfId="7" text="" percent="0" bottom="0">
      <formula>0</formula>
    </cfRule>
    <cfRule type="cellIs" rank="0" priority="3301" equalAverage="0" operator="lessThan" aboveAverage="0" dxfId="8" text="" percent="0" bottom="0">
      <formula>0</formula>
    </cfRule>
  </conditionalFormatting>
  <conditionalFormatting sqref="I831">
    <cfRule type="cellIs" rank="0" priority="3302" equalAverage="0" operator="greaterThan" aboveAverage="0" dxfId="7" text="" percent="0" bottom="0">
      <formula>0</formula>
    </cfRule>
  </conditionalFormatting>
  <conditionalFormatting sqref="K831">
    <cfRule type="cellIs" rank="0" priority="3303" equalAverage="0" operator="greaterThan" aboveAverage="0" dxfId="7" text="" percent="0" bottom="0">
      <formula>0</formula>
    </cfRule>
  </conditionalFormatting>
  <conditionalFormatting sqref="N831">
    <cfRule type="cellIs" rank="0" priority="3304" equalAverage="0" operator="greaterThan" aboveAverage="0" dxfId="7" text="" percent="0" bottom="0">
      <formula>0</formula>
    </cfRule>
    <cfRule type="cellIs" rank="0" priority="3305" equalAverage="0" operator="lessThan" aboveAverage="0" dxfId="8" text="" percent="0" bottom="0">
      <formula>0</formula>
    </cfRule>
  </conditionalFormatting>
  <conditionalFormatting sqref="I832">
    <cfRule type="cellIs" rank="0" priority="3306" equalAverage="0" operator="greaterThan" aboveAverage="0" dxfId="7" text="" percent="0" bottom="0">
      <formula>0</formula>
    </cfRule>
  </conditionalFormatting>
  <conditionalFormatting sqref="K832">
    <cfRule type="cellIs" rank="0" priority="3307" equalAverage="0" operator="greaterThan" aboveAverage="0" dxfId="7" text="" percent="0" bottom="0">
      <formula>0</formula>
    </cfRule>
  </conditionalFormatting>
  <conditionalFormatting sqref="N832">
    <cfRule type="cellIs" rank="0" priority="3308" equalAverage="0" operator="greaterThan" aboveAverage="0" dxfId="7" text="" percent="0" bottom="0">
      <formula>0</formula>
    </cfRule>
    <cfRule type="cellIs" rank="0" priority="3309" equalAverage="0" operator="lessThan" aboveAverage="0" dxfId="8" text="" percent="0" bottom="0">
      <formula>0</formula>
    </cfRule>
  </conditionalFormatting>
  <conditionalFormatting sqref="I833">
    <cfRule type="cellIs" rank="0" priority="3310" equalAverage="0" operator="greaterThan" aboveAverage="0" dxfId="7" text="" percent="0" bottom="0">
      <formula>0</formula>
    </cfRule>
  </conditionalFormatting>
  <conditionalFormatting sqref="K833">
    <cfRule type="cellIs" rank="0" priority="3311" equalAverage="0" operator="greaterThan" aboveAverage="0" dxfId="7" text="" percent="0" bottom="0">
      <formula>0</formula>
    </cfRule>
  </conditionalFormatting>
  <conditionalFormatting sqref="N833">
    <cfRule type="cellIs" rank="0" priority="3312" equalAverage="0" operator="greaterThan" aboveAverage="0" dxfId="7" text="" percent="0" bottom="0">
      <formula>0</formula>
    </cfRule>
    <cfRule type="cellIs" rank="0" priority="3313" equalAverage="0" operator="lessThan" aboveAverage="0" dxfId="8" text="" percent="0" bottom="0">
      <formula>0</formula>
    </cfRule>
  </conditionalFormatting>
  <conditionalFormatting sqref="I834">
    <cfRule type="cellIs" rank="0" priority="3314" equalAverage="0" operator="greaterThan" aboveAverage="0" dxfId="7" text="" percent="0" bottom="0">
      <formula>0</formula>
    </cfRule>
  </conditionalFormatting>
  <conditionalFormatting sqref="K834">
    <cfRule type="cellIs" rank="0" priority="3315" equalAverage="0" operator="greaterThan" aboveAverage="0" dxfId="7" text="" percent="0" bottom="0">
      <formula>0</formula>
    </cfRule>
  </conditionalFormatting>
  <conditionalFormatting sqref="N834">
    <cfRule type="cellIs" rank="0" priority="3316" equalAverage="0" operator="greaterThan" aboveAverage="0" dxfId="7" text="" percent="0" bottom="0">
      <formula>0</formula>
    </cfRule>
    <cfRule type="cellIs" rank="0" priority="3317" equalAverage="0" operator="lessThan" aboveAverage="0" dxfId="8" text="" percent="0" bottom="0">
      <formula>0</formula>
    </cfRule>
  </conditionalFormatting>
  <conditionalFormatting sqref="I835">
    <cfRule type="cellIs" rank="0" priority="3318" equalAverage="0" operator="greaterThan" aboveAverage="0" dxfId="7" text="" percent="0" bottom="0">
      <formula>0</formula>
    </cfRule>
  </conditionalFormatting>
  <conditionalFormatting sqref="K835">
    <cfRule type="cellIs" rank="0" priority="3319" equalAverage="0" operator="greaterThan" aboveAverage="0" dxfId="7" text="" percent="0" bottom="0">
      <formula>0</formula>
    </cfRule>
  </conditionalFormatting>
  <conditionalFormatting sqref="N835">
    <cfRule type="cellIs" rank="0" priority="3320" equalAverage="0" operator="greaterThan" aboveAverage="0" dxfId="7" text="" percent="0" bottom="0">
      <formula>0</formula>
    </cfRule>
    <cfRule type="cellIs" rank="0" priority="3321" equalAverage="0" operator="lessThan" aboveAverage="0" dxfId="8" text="" percent="0" bottom="0">
      <formula>0</formula>
    </cfRule>
  </conditionalFormatting>
  <conditionalFormatting sqref="I836">
    <cfRule type="cellIs" rank="0" priority="3322" equalAverage="0" operator="greaterThan" aboveAverage="0" dxfId="7" text="" percent="0" bottom="0">
      <formula>0</formula>
    </cfRule>
  </conditionalFormatting>
  <conditionalFormatting sqref="K836">
    <cfRule type="cellIs" rank="0" priority="3323" equalAverage="0" operator="greaterThan" aboveAverage="0" dxfId="7" text="" percent="0" bottom="0">
      <formula>0</formula>
    </cfRule>
  </conditionalFormatting>
  <conditionalFormatting sqref="N836">
    <cfRule type="cellIs" rank="0" priority="3324" equalAverage="0" operator="greaterThan" aboveAverage="0" dxfId="7" text="" percent="0" bottom="0">
      <formula>0</formula>
    </cfRule>
    <cfRule type="cellIs" rank="0" priority="3325" equalAverage="0" operator="lessThan" aboveAverage="0" dxfId="8" text="" percent="0" bottom="0">
      <formula>0</formula>
    </cfRule>
  </conditionalFormatting>
  <conditionalFormatting sqref="I837">
    <cfRule type="cellIs" rank="0" priority="3326" equalAverage="0" operator="greaterThan" aboveAverage="0" dxfId="7" text="" percent="0" bottom="0">
      <formula>0</formula>
    </cfRule>
  </conditionalFormatting>
  <conditionalFormatting sqref="K837">
    <cfRule type="cellIs" rank="0" priority="3327" equalAverage="0" operator="greaterThan" aboveAverage="0" dxfId="7" text="" percent="0" bottom="0">
      <formula>0</formula>
    </cfRule>
  </conditionalFormatting>
  <conditionalFormatting sqref="N837">
    <cfRule type="cellIs" rank="0" priority="3328" equalAverage="0" operator="greaterThan" aboveAverage="0" dxfId="7" text="" percent="0" bottom="0">
      <formula>0</formula>
    </cfRule>
    <cfRule type="cellIs" rank="0" priority="3329" equalAverage="0" operator="lessThan" aboveAverage="0" dxfId="8" text="" percent="0" bottom="0">
      <formula>0</formula>
    </cfRule>
  </conditionalFormatting>
  <conditionalFormatting sqref="I838">
    <cfRule type="cellIs" rank="0" priority="3330" equalAverage="0" operator="greaterThan" aboveAverage="0" dxfId="7" text="" percent="0" bottom="0">
      <formula>0</formula>
    </cfRule>
  </conditionalFormatting>
  <conditionalFormatting sqref="K838">
    <cfRule type="cellIs" rank="0" priority="3331" equalAverage="0" operator="greaterThan" aboveAverage="0" dxfId="7" text="" percent="0" bottom="0">
      <formula>0</formula>
    </cfRule>
  </conditionalFormatting>
  <conditionalFormatting sqref="N838">
    <cfRule type="cellIs" rank="0" priority="3332" equalAverage="0" operator="greaterThan" aboveAverage="0" dxfId="7" text="" percent="0" bottom="0">
      <formula>0</formula>
    </cfRule>
    <cfRule type="cellIs" rank="0" priority="3333" equalAverage="0" operator="lessThan" aboveAverage="0" dxfId="8" text="" percent="0" bottom="0">
      <formula>0</formula>
    </cfRule>
  </conditionalFormatting>
  <conditionalFormatting sqref="I839">
    <cfRule type="cellIs" rank="0" priority="3334" equalAverage="0" operator="greaterThan" aboveAverage="0" dxfId="7" text="" percent="0" bottom="0">
      <formula>0</formula>
    </cfRule>
  </conditionalFormatting>
  <conditionalFormatting sqref="K839">
    <cfRule type="cellIs" rank="0" priority="3335" equalAverage="0" operator="greaterThan" aboveAverage="0" dxfId="7" text="" percent="0" bottom="0">
      <formula>0</formula>
    </cfRule>
  </conditionalFormatting>
  <conditionalFormatting sqref="N839">
    <cfRule type="cellIs" rank="0" priority="3336" equalAverage="0" operator="greaterThan" aboveAverage="0" dxfId="7" text="" percent="0" bottom="0">
      <formula>0</formula>
    </cfRule>
    <cfRule type="cellIs" rank="0" priority="3337" equalAverage="0" operator="lessThan" aboveAverage="0" dxfId="8" text="" percent="0" bottom="0">
      <formula>0</formula>
    </cfRule>
  </conditionalFormatting>
  <conditionalFormatting sqref="I840">
    <cfRule type="cellIs" rank="0" priority="3338" equalAverage="0" operator="greaterThan" aboveAverage="0" dxfId="7" text="" percent="0" bottom="0">
      <formula>0</formula>
    </cfRule>
  </conditionalFormatting>
  <conditionalFormatting sqref="K840">
    <cfRule type="cellIs" rank="0" priority="3339" equalAverage="0" operator="greaterThan" aboveAverage="0" dxfId="7" text="" percent="0" bottom="0">
      <formula>0</formula>
    </cfRule>
  </conditionalFormatting>
  <conditionalFormatting sqref="N840">
    <cfRule type="cellIs" rank="0" priority="3340" equalAverage="0" operator="greaterThan" aboveAverage="0" dxfId="7" text="" percent="0" bottom="0">
      <formula>0</formula>
    </cfRule>
    <cfRule type="cellIs" rank="0" priority="3341" equalAverage="0" operator="lessThan" aboveAverage="0" dxfId="8" text="" percent="0" bottom="0">
      <formula>0</formula>
    </cfRule>
  </conditionalFormatting>
  <conditionalFormatting sqref="I841">
    <cfRule type="cellIs" rank="0" priority="3342" equalAverage="0" operator="greaterThan" aboveAverage="0" dxfId="7" text="" percent="0" bottom="0">
      <formula>0</formula>
    </cfRule>
  </conditionalFormatting>
  <conditionalFormatting sqref="K841">
    <cfRule type="cellIs" rank="0" priority="3343" equalAverage="0" operator="greaterThan" aboveAverage="0" dxfId="7" text="" percent="0" bottom="0">
      <formula>0</formula>
    </cfRule>
  </conditionalFormatting>
  <conditionalFormatting sqref="N841">
    <cfRule type="cellIs" rank="0" priority="3344" equalAverage="0" operator="greaterThan" aboveAverage="0" dxfId="7" text="" percent="0" bottom="0">
      <formula>0</formula>
    </cfRule>
    <cfRule type="cellIs" rank="0" priority="3345" equalAverage="0" operator="lessThan" aboveAverage="0" dxfId="8" text="" percent="0" bottom="0">
      <formula>0</formula>
    </cfRule>
  </conditionalFormatting>
  <conditionalFormatting sqref="I842">
    <cfRule type="cellIs" rank="0" priority="3346" equalAverage="0" operator="greaterThan" aboveAverage="0" dxfId="7" text="" percent="0" bottom="0">
      <formula>0</formula>
    </cfRule>
  </conditionalFormatting>
  <conditionalFormatting sqref="K842">
    <cfRule type="cellIs" rank="0" priority="3347" equalAverage="0" operator="greaterThan" aboveAverage="0" dxfId="7" text="" percent="0" bottom="0">
      <formula>0</formula>
    </cfRule>
  </conditionalFormatting>
  <conditionalFormatting sqref="N842">
    <cfRule type="cellIs" rank="0" priority="3348" equalAverage="0" operator="greaterThan" aboveAverage="0" dxfId="7" text="" percent="0" bottom="0">
      <formula>0</formula>
    </cfRule>
    <cfRule type="cellIs" rank="0" priority="3349" equalAverage="0" operator="lessThan" aboveAverage="0" dxfId="8" text="" percent="0" bottom="0">
      <formula>0</formula>
    </cfRule>
  </conditionalFormatting>
  <conditionalFormatting sqref="I843">
    <cfRule type="cellIs" rank="0" priority="3350" equalAverage="0" operator="greaterThan" aboveAverage="0" dxfId="7" text="" percent="0" bottom="0">
      <formula>0</formula>
    </cfRule>
  </conditionalFormatting>
  <conditionalFormatting sqref="K843">
    <cfRule type="cellIs" rank="0" priority="3351" equalAverage="0" operator="greaterThan" aboveAverage="0" dxfId="7" text="" percent="0" bottom="0">
      <formula>0</formula>
    </cfRule>
  </conditionalFormatting>
  <conditionalFormatting sqref="N843">
    <cfRule type="cellIs" rank="0" priority="3352" equalAverage="0" operator="greaterThan" aboveAverage="0" dxfId="7" text="" percent="0" bottom="0">
      <formula>0</formula>
    </cfRule>
    <cfRule type="cellIs" rank="0" priority="3353" equalAverage="0" operator="lessThan" aboveAverage="0" dxfId="8" text="" percent="0" bottom="0">
      <formula>0</formula>
    </cfRule>
  </conditionalFormatting>
  <conditionalFormatting sqref="I844">
    <cfRule type="cellIs" rank="0" priority="3354" equalAverage="0" operator="greaterThan" aboveAverage="0" dxfId="7" text="" percent="0" bottom="0">
      <formula>0</formula>
    </cfRule>
  </conditionalFormatting>
  <conditionalFormatting sqref="K844">
    <cfRule type="cellIs" rank="0" priority="3355" equalAverage="0" operator="greaterThan" aboveAverage="0" dxfId="7" text="" percent="0" bottom="0">
      <formula>0</formula>
    </cfRule>
  </conditionalFormatting>
  <conditionalFormatting sqref="N844">
    <cfRule type="cellIs" rank="0" priority="3356" equalAverage="0" operator="greaterThan" aboveAverage="0" dxfId="7" text="" percent="0" bottom="0">
      <formula>0</formula>
    </cfRule>
    <cfRule type="cellIs" rank="0" priority="3357" equalAverage="0" operator="lessThan" aboveAverage="0" dxfId="8" text="" percent="0" bottom="0">
      <formula>0</formula>
    </cfRule>
  </conditionalFormatting>
  <conditionalFormatting sqref="I845">
    <cfRule type="cellIs" rank="0" priority="3358" equalAverage="0" operator="greaterThan" aboveAverage="0" dxfId="7" text="" percent="0" bottom="0">
      <formula>0</formula>
    </cfRule>
  </conditionalFormatting>
  <conditionalFormatting sqref="K845">
    <cfRule type="cellIs" rank="0" priority="3359" equalAverage="0" operator="greaterThan" aboveAverage="0" dxfId="7" text="" percent="0" bottom="0">
      <formula>0</formula>
    </cfRule>
  </conditionalFormatting>
  <conditionalFormatting sqref="N845">
    <cfRule type="cellIs" rank="0" priority="3360" equalAverage="0" operator="greaterThan" aboveAverage="0" dxfId="7" text="" percent="0" bottom="0">
      <formula>0</formula>
    </cfRule>
    <cfRule type="cellIs" rank="0" priority="3361" equalAverage="0" operator="lessThan" aboveAverage="0" dxfId="8" text="" percent="0" bottom="0">
      <formula>0</formula>
    </cfRule>
  </conditionalFormatting>
  <conditionalFormatting sqref="I846">
    <cfRule type="cellIs" rank="0" priority="3362" equalAverage="0" operator="greaterThan" aboveAverage="0" dxfId="7" text="" percent="0" bottom="0">
      <formula>0</formula>
    </cfRule>
  </conditionalFormatting>
  <conditionalFormatting sqref="K846">
    <cfRule type="cellIs" rank="0" priority="3363" equalAverage="0" operator="greaterThan" aboveAverage="0" dxfId="7" text="" percent="0" bottom="0">
      <formula>0</formula>
    </cfRule>
  </conditionalFormatting>
  <conditionalFormatting sqref="N846">
    <cfRule type="cellIs" rank="0" priority="3364" equalAverage="0" operator="greaterThan" aboveAverage="0" dxfId="7" text="" percent="0" bottom="0">
      <formula>0</formula>
    </cfRule>
    <cfRule type="cellIs" rank="0" priority="3365" equalAverage="0" operator="lessThan" aboveAverage="0" dxfId="8" text="" percent="0" bottom="0">
      <formula>0</formula>
    </cfRule>
  </conditionalFormatting>
  <conditionalFormatting sqref="I847">
    <cfRule type="cellIs" rank="0" priority="3366" equalAverage="0" operator="greaterThan" aboveAverage="0" dxfId="7" text="" percent="0" bottom="0">
      <formula>0</formula>
    </cfRule>
  </conditionalFormatting>
  <conditionalFormatting sqref="K847">
    <cfRule type="cellIs" rank="0" priority="3367" equalAverage="0" operator="greaterThan" aboveAverage="0" dxfId="7" text="" percent="0" bottom="0">
      <formula>0</formula>
    </cfRule>
  </conditionalFormatting>
  <conditionalFormatting sqref="N847">
    <cfRule type="cellIs" rank="0" priority="3368" equalAverage="0" operator="greaterThan" aboveAverage="0" dxfId="7" text="" percent="0" bottom="0">
      <formula>0</formula>
    </cfRule>
    <cfRule type="cellIs" rank="0" priority="3369" equalAverage="0" operator="lessThan" aboveAverage="0" dxfId="8" text="" percent="0" bottom="0">
      <formula>0</formula>
    </cfRule>
  </conditionalFormatting>
  <conditionalFormatting sqref="I848">
    <cfRule type="cellIs" rank="0" priority="3370" equalAverage="0" operator="greaterThan" aboveAverage="0" dxfId="7" text="" percent="0" bottom="0">
      <formula>0</formula>
    </cfRule>
  </conditionalFormatting>
  <conditionalFormatting sqref="K848">
    <cfRule type="cellIs" rank="0" priority="3371" equalAverage="0" operator="greaterThan" aboveAverage="0" dxfId="7" text="" percent="0" bottom="0">
      <formula>0</formula>
    </cfRule>
  </conditionalFormatting>
  <conditionalFormatting sqref="N848">
    <cfRule type="cellIs" rank="0" priority="3372" equalAverage="0" operator="greaterThan" aboveAverage="0" dxfId="7" text="" percent="0" bottom="0">
      <formula>0</formula>
    </cfRule>
    <cfRule type="cellIs" rank="0" priority="3373" equalAverage="0" operator="lessThan" aboveAverage="0" dxfId="8" text="" percent="0" bottom="0">
      <formula>0</formula>
    </cfRule>
  </conditionalFormatting>
  <conditionalFormatting sqref="I849">
    <cfRule type="cellIs" rank="0" priority="3374" equalAverage="0" operator="greaterThan" aboveAverage="0" dxfId="7" text="" percent="0" bottom="0">
      <formula>0</formula>
    </cfRule>
  </conditionalFormatting>
  <conditionalFormatting sqref="K849">
    <cfRule type="cellIs" rank="0" priority="3375" equalAverage="0" operator="greaterThan" aboveAverage="0" dxfId="7" text="" percent="0" bottom="0">
      <formula>0</formula>
    </cfRule>
  </conditionalFormatting>
  <conditionalFormatting sqref="N849">
    <cfRule type="cellIs" rank="0" priority="3376" equalAverage="0" operator="greaterThan" aboveAverage="0" dxfId="7" text="" percent="0" bottom="0">
      <formula>0</formula>
    </cfRule>
    <cfRule type="cellIs" rank="0" priority="3377" equalAverage="0" operator="lessThan" aboveAverage="0" dxfId="8" text="" percent="0" bottom="0">
      <formula>0</formula>
    </cfRule>
  </conditionalFormatting>
  <conditionalFormatting sqref="I850">
    <cfRule type="cellIs" rank="0" priority="3378" equalAverage="0" operator="greaterThan" aboveAverage="0" dxfId="7" text="" percent="0" bottom="0">
      <formula>0</formula>
    </cfRule>
  </conditionalFormatting>
  <conditionalFormatting sqref="K850">
    <cfRule type="cellIs" rank="0" priority="3379" equalAverage="0" operator="greaterThan" aboveAverage="0" dxfId="7" text="" percent="0" bottom="0">
      <formula>0</formula>
    </cfRule>
  </conditionalFormatting>
  <conditionalFormatting sqref="N850">
    <cfRule type="cellIs" rank="0" priority="3380" equalAverage="0" operator="greaterThan" aboveAverage="0" dxfId="7" text="" percent="0" bottom="0">
      <formula>0</formula>
    </cfRule>
    <cfRule type="cellIs" rank="0" priority="3381" equalAverage="0" operator="lessThan" aboveAverage="0" dxfId="8" text="" percent="0" bottom="0">
      <formula>0</formula>
    </cfRule>
  </conditionalFormatting>
  <conditionalFormatting sqref="I851">
    <cfRule type="cellIs" rank="0" priority="3382" equalAverage="0" operator="greaterThan" aboveAverage="0" dxfId="7" text="" percent="0" bottom="0">
      <formula>0</formula>
    </cfRule>
  </conditionalFormatting>
  <conditionalFormatting sqref="K851">
    <cfRule type="cellIs" rank="0" priority="3383" equalAverage="0" operator="greaterThan" aboveAverage="0" dxfId="7" text="" percent="0" bottom="0">
      <formula>0</formula>
    </cfRule>
  </conditionalFormatting>
  <conditionalFormatting sqref="N851">
    <cfRule type="cellIs" rank="0" priority="3384" equalAverage="0" operator="greaterThan" aboveAverage="0" dxfId="7" text="" percent="0" bottom="0">
      <formula>0</formula>
    </cfRule>
    <cfRule type="cellIs" rank="0" priority="3385" equalAverage="0" operator="lessThan" aboveAverage="0" dxfId="8" text="" percent="0" bottom="0">
      <formula>0</formula>
    </cfRule>
  </conditionalFormatting>
  <conditionalFormatting sqref="I852">
    <cfRule type="cellIs" rank="0" priority="3386" equalAverage="0" operator="greaterThan" aboveAverage="0" dxfId="7" text="" percent="0" bottom="0">
      <formula>0</formula>
    </cfRule>
  </conditionalFormatting>
  <conditionalFormatting sqref="K852">
    <cfRule type="cellIs" rank="0" priority="3387" equalAverage="0" operator="greaterThan" aboveAverage="0" dxfId="7" text="" percent="0" bottom="0">
      <formula>0</formula>
    </cfRule>
  </conditionalFormatting>
  <conditionalFormatting sqref="N852">
    <cfRule type="cellIs" rank="0" priority="3388" equalAverage="0" operator="greaterThan" aboveAverage="0" dxfId="7" text="" percent="0" bottom="0">
      <formula>0</formula>
    </cfRule>
    <cfRule type="cellIs" rank="0" priority="3389" equalAverage="0" operator="lessThan" aboveAverage="0" dxfId="8" text="" percent="0" bottom="0">
      <formula>0</formula>
    </cfRule>
  </conditionalFormatting>
  <conditionalFormatting sqref="I853">
    <cfRule type="cellIs" rank="0" priority="3390" equalAverage="0" operator="greaterThan" aboveAverage="0" dxfId="7" text="" percent="0" bottom="0">
      <formula>0</formula>
    </cfRule>
  </conditionalFormatting>
  <conditionalFormatting sqref="K853">
    <cfRule type="cellIs" rank="0" priority="3391" equalAverage="0" operator="greaterThan" aboveAverage="0" dxfId="7" text="" percent="0" bottom="0">
      <formula>0</formula>
    </cfRule>
  </conditionalFormatting>
  <conditionalFormatting sqref="N853">
    <cfRule type="cellIs" rank="0" priority="3392" equalAverage="0" operator="greaterThan" aboveAverage="0" dxfId="7" text="" percent="0" bottom="0">
      <formula>0</formula>
    </cfRule>
    <cfRule type="cellIs" rank="0" priority="3393" equalAverage="0" operator="lessThan" aboveAverage="0" dxfId="8" text="" percent="0" bottom="0">
      <formula>0</formula>
    </cfRule>
  </conditionalFormatting>
  <conditionalFormatting sqref="I854">
    <cfRule type="cellIs" rank="0" priority="3394" equalAverage="0" operator="greaterThan" aboveAverage="0" dxfId="7" text="" percent="0" bottom="0">
      <formula>0</formula>
    </cfRule>
  </conditionalFormatting>
  <conditionalFormatting sqref="K854">
    <cfRule type="cellIs" rank="0" priority="3395" equalAverage="0" operator="greaterThan" aboveAverage="0" dxfId="7" text="" percent="0" bottom="0">
      <formula>0</formula>
    </cfRule>
  </conditionalFormatting>
  <conditionalFormatting sqref="N854">
    <cfRule type="cellIs" rank="0" priority="3396" equalAverage="0" operator="greaterThan" aboveAverage="0" dxfId="7" text="" percent="0" bottom="0">
      <formula>0</formula>
    </cfRule>
    <cfRule type="cellIs" rank="0" priority="3397" equalAverage="0" operator="lessThan" aboveAverage="0" dxfId="8" text="" percent="0" bottom="0">
      <formula>0</formula>
    </cfRule>
  </conditionalFormatting>
  <conditionalFormatting sqref="I855">
    <cfRule type="cellIs" rank="0" priority="3398" equalAverage="0" operator="greaterThan" aboveAverage="0" dxfId="7" text="" percent="0" bottom="0">
      <formula>0</formula>
    </cfRule>
  </conditionalFormatting>
  <conditionalFormatting sqref="K855">
    <cfRule type="cellIs" rank="0" priority="3399" equalAverage="0" operator="greaterThan" aboveAverage="0" dxfId="7" text="" percent="0" bottom="0">
      <formula>0</formula>
    </cfRule>
  </conditionalFormatting>
  <conditionalFormatting sqref="N855">
    <cfRule type="cellIs" rank="0" priority="3400" equalAverage="0" operator="greaterThan" aboveAverage="0" dxfId="7" text="" percent="0" bottom="0">
      <formula>0</formula>
    </cfRule>
    <cfRule type="cellIs" rank="0" priority="3401" equalAverage="0" operator="lessThan" aboveAverage="0" dxfId="8" text="" percent="0" bottom="0">
      <formula>0</formula>
    </cfRule>
  </conditionalFormatting>
  <conditionalFormatting sqref="I856">
    <cfRule type="cellIs" rank="0" priority="3402" equalAverage="0" operator="greaterThan" aboveAverage="0" dxfId="7" text="" percent="0" bottom="0">
      <formula>0</formula>
    </cfRule>
  </conditionalFormatting>
  <conditionalFormatting sqref="K856">
    <cfRule type="cellIs" rank="0" priority="3403" equalAverage="0" operator="greaterThan" aboveAverage="0" dxfId="7" text="" percent="0" bottom="0">
      <formula>0</formula>
    </cfRule>
  </conditionalFormatting>
  <conditionalFormatting sqref="N856">
    <cfRule type="cellIs" rank="0" priority="3404" equalAverage="0" operator="greaterThan" aboveAverage="0" dxfId="7" text="" percent="0" bottom="0">
      <formula>0</formula>
    </cfRule>
    <cfRule type="cellIs" rank="0" priority="3405" equalAverage="0" operator="lessThan" aboveAverage="0" dxfId="8" text="" percent="0" bottom="0">
      <formula>0</formula>
    </cfRule>
  </conditionalFormatting>
  <conditionalFormatting sqref="I857">
    <cfRule type="cellIs" rank="0" priority="3406" equalAverage="0" operator="greaterThan" aboveAverage="0" dxfId="7" text="" percent="0" bottom="0">
      <formula>0</formula>
    </cfRule>
  </conditionalFormatting>
  <conditionalFormatting sqref="K857">
    <cfRule type="cellIs" rank="0" priority="3407" equalAverage="0" operator="greaterThan" aboveAverage="0" dxfId="7" text="" percent="0" bottom="0">
      <formula>0</formula>
    </cfRule>
  </conditionalFormatting>
  <conditionalFormatting sqref="N857">
    <cfRule type="cellIs" rank="0" priority="3408" equalAverage="0" operator="greaterThan" aboveAverage="0" dxfId="7" text="" percent="0" bottom="0">
      <formula>0</formula>
    </cfRule>
    <cfRule type="cellIs" rank="0" priority="3409" equalAverage="0" operator="lessThan" aboveAverage="0" dxfId="8" text="" percent="0" bottom="0">
      <formula>0</formula>
    </cfRule>
  </conditionalFormatting>
  <conditionalFormatting sqref="I858">
    <cfRule type="cellIs" rank="0" priority="3410" equalAverage="0" operator="greaterThan" aboveAverage="0" dxfId="7" text="" percent="0" bottom="0">
      <formula>0</formula>
    </cfRule>
  </conditionalFormatting>
  <conditionalFormatting sqref="K858">
    <cfRule type="cellIs" rank="0" priority="3411" equalAverage="0" operator="greaterThan" aboveAverage="0" dxfId="7" text="" percent="0" bottom="0">
      <formula>0</formula>
    </cfRule>
  </conditionalFormatting>
  <conditionalFormatting sqref="N858">
    <cfRule type="cellIs" rank="0" priority="3412" equalAverage="0" operator="greaterThan" aboveAverage="0" dxfId="7" text="" percent="0" bottom="0">
      <formula>0</formula>
    </cfRule>
    <cfRule type="cellIs" rank="0" priority="3413" equalAverage="0" operator="lessThan" aboveAverage="0" dxfId="8" text="" percent="0" bottom="0">
      <formula>0</formula>
    </cfRule>
  </conditionalFormatting>
  <conditionalFormatting sqref="I859">
    <cfRule type="cellIs" rank="0" priority="3414" equalAverage="0" operator="greaterThan" aboveAverage="0" dxfId="7" text="" percent="0" bottom="0">
      <formula>0</formula>
    </cfRule>
  </conditionalFormatting>
  <conditionalFormatting sqref="K859">
    <cfRule type="cellIs" rank="0" priority="3415" equalAverage="0" operator="greaterThan" aboveAverage="0" dxfId="7" text="" percent="0" bottom="0">
      <formula>0</formula>
    </cfRule>
  </conditionalFormatting>
  <conditionalFormatting sqref="N859">
    <cfRule type="cellIs" rank="0" priority="3416" equalAverage="0" operator="greaterThan" aboveAverage="0" dxfId="7" text="" percent="0" bottom="0">
      <formula>0</formula>
    </cfRule>
    <cfRule type="cellIs" rank="0" priority="3417" equalAverage="0" operator="lessThan" aboveAverage="0" dxfId="8" text="" percent="0" bottom="0">
      <formula>0</formula>
    </cfRule>
  </conditionalFormatting>
  <conditionalFormatting sqref="I860">
    <cfRule type="cellIs" rank="0" priority="3418" equalAverage="0" operator="greaterThan" aboveAverage="0" dxfId="7" text="" percent="0" bottom="0">
      <formula>0</formula>
    </cfRule>
  </conditionalFormatting>
  <conditionalFormatting sqref="K860">
    <cfRule type="cellIs" rank="0" priority="3419" equalAverage="0" operator="greaterThan" aboveAverage="0" dxfId="7" text="" percent="0" bottom="0">
      <formula>0</formula>
    </cfRule>
  </conditionalFormatting>
  <conditionalFormatting sqref="N860">
    <cfRule type="cellIs" rank="0" priority="3420" equalAverage="0" operator="greaterThan" aboveAverage="0" dxfId="7" text="" percent="0" bottom="0">
      <formula>0</formula>
    </cfRule>
    <cfRule type="cellIs" rank="0" priority="3421" equalAverage="0" operator="lessThan" aboveAverage="0" dxfId="8" text="" percent="0" bottom="0">
      <formula>0</formula>
    </cfRule>
  </conditionalFormatting>
  <conditionalFormatting sqref="I861">
    <cfRule type="cellIs" rank="0" priority="3422" equalAverage="0" operator="greaterThan" aboveAverage="0" dxfId="7" text="" percent="0" bottom="0">
      <formula>0</formula>
    </cfRule>
  </conditionalFormatting>
  <conditionalFormatting sqref="K861">
    <cfRule type="cellIs" rank="0" priority="3423" equalAverage="0" operator="greaterThan" aboveAverage="0" dxfId="7" text="" percent="0" bottom="0">
      <formula>0</formula>
    </cfRule>
  </conditionalFormatting>
  <conditionalFormatting sqref="N861">
    <cfRule type="cellIs" rank="0" priority="3424" equalAverage="0" operator="greaterThan" aboveAverage="0" dxfId="7" text="" percent="0" bottom="0">
      <formula>0</formula>
    </cfRule>
    <cfRule type="cellIs" rank="0" priority="3425" equalAverage="0" operator="lessThan" aboveAverage="0" dxfId="8" text="" percent="0" bottom="0">
      <formula>0</formula>
    </cfRule>
  </conditionalFormatting>
  <conditionalFormatting sqref="I862">
    <cfRule type="cellIs" rank="0" priority="3426" equalAverage="0" operator="greaterThan" aboveAverage="0" dxfId="7" text="" percent="0" bottom="0">
      <formula>0</formula>
    </cfRule>
  </conditionalFormatting>
  <conditionalFormatting sqref="K862">
    <cfRule type="cellIs" rank="0" priority="3427" equalAverage="0" operator="greaterThan" aboveAverage="0" dxfId="7" text="" percent="0" bottom="0">
      <formula>0</formula>
    </cfRule>
  </conditionalFormatting>
  <conditionalFormatting sqref="N862">
    <cfRule type="cellIs" rank="0" priority="3428" equalAverage="0" operator="greaterThan" aboveAverage="0" dxfId="7" text="" percent="0" bottom="0">
      <formula>0</formula>
    </cfRule>
    <cfRule type="cellIs" rank="0" priority="3429" equalAverage="0" operator="lessThan" aboveAverage="0" dxfId="8" text="" percent="0" bottom="0">
      <formula>0</formula>
    </cfRule>
  </conditionalFormatting>
  <conditionalFormatting sqref="I863">
    <cfRule type="cellIs" rank="0" priority="3430" equalAverage="0" operator="greaterThan" aboveAverage="0" dxfId="7" text="" percent="0" bottom="0">
      <formula>0</formula>
    </cfRule>
  </conditionalFormatting>
  <conditionalFormatting sqref="K863">
    <cfRule type="cellIs" rank="0" priority="3431" equalAverage="0" operator="greaterThan" aboveAverage="0" dxfId="7" text="" percent="0" bottom="0">
      <formula>0</formula>
    </cfRule>
  </conditionalFormatting>
  <conditionalFormatting sqref="N863">
    <cfRule type="cellIs" rank="0" priority="3432" equalAverage="0" operator="greaterThan" aboveAverage="0" dxfId="7" text="" percent="0" bottom="0">
      <formula>0</formula>
    </cfRule>
    <cfRule type="cellIs" rank="0" priority="3433" equalAverage="0" operator="lessThan" aboveAverage="0" dxfId="8" text="" percent="0" bottom="0">
      <formula>0</formula>
    </cfRule>
  </conditionalFormatting>
  <conditionalFormatting sqref="I864">
    <cfRule type="cellIs" rank="0" priority="3434" equalAverage="0" operator="greaterThan" aboveAverage="0" dxfId="7" text="" percent="0" bottom="0">
      <formula>0</formula>
    </cfRule>
  </conditionalFormatting>
  <conditionalFormatting sqref="K864">
    <cfRule type="cellIs" rank="0" priority="3435" equalAverage="0" operator="greaterThan" aboveAverage="0" dxfId="7" text="" percent="0" bottom="0">
      <formula>0</formula>
    </cfRule>
  </conditionalFormatting>
  <conditionalFormatting sqref="N864">
    <cfRule type="cellIs" rank="0" priority="3436" equalAverage="0" operator="greaterThan" aboveAverage="0" dxfId="7" text="" percent="0" bottom="0">
      <formula>0</formula>
    </cfRule>
    <cfRule type="cellIs" rank="0" priority="3437" equalAverage="0" operator="lessThan" aboveAverage="0" dxfId="8" text="" percent="0" bottom="0">
      <formula>0</formula>
    </cfRule>
  </conditionalFormatting>
  <conditionalFormatting sqref="I865">
    <cfRule type="cellIs" rank="0" priority="3438" equalAverage="0" operator="greaterThan" aboveAverage="0" dxfId="7" text="" percent="0" bottom="0">
      <formula>0</formula>
    </cfRule>
  </conditionalFormatting>
  <conditionalFormatting sqref="K865">
    <cfRule type="cellIs" rank="0" priority="3439" equalAverage="0" operator="greaterThan" aboveAverage="0" dxfId="7" text="" percent="0" bottom="0">
      <formula>0</formula>
    </cfRule>
  </conditionalFormatting>
  <conditionalFormatting sqref="N865">
    <cfRule type="cellIs" rank="0" priority="3440" equalAverage="0" operator="greaterThan" aboveAverage="0" dxfId="7" text="" percent="0" bottom="0">
      <formula>0</formula>
    </cfRule>
    <cfRule type="cellIs" rank="0" priority="3441" equalAverage="0" operator="lessThan" aboveAverage="0" dxfId="8" text="" percent="0" bottom="0">
      <formula>0</formula>
    </cfRule>
  </conditionalFormatting>
  <conditionalFormatting sqref="I866">
    <cfRule type="cellIs" rank="0" priority="3442" equalAverage="0" operator="greaterThan" aboveAverage="0" dxfId="7" text="" percent="0" bottom="0">
      <formula>0</formula>
    </cfRule>
  </conditionalFormatting>
  <conditionalFormatting sqref="K866">
    <cfRule type="cellIs" rank="0" priority="3443" equalAverage="0" operator="greaterThan" aboveAverage="0" dxfId="7" text="" percent="0" bottom="0">
      <formula>0</formula>
    </cfRule>
  </conditionalFormatting>
  <conditionalFormatting sqref="N866">
    <cfRule type="cellIs" rank="0" priority="3444" equalAverage="0" operator="greaterThan" aboveAverage="0" dxfId="7" text="" percent="0" bottom="0">
      <formula>0</formula>
    </cfRule>
    <cfRule type="cellIs" rank="0" priority="3445" equalAverage="0" operator="lessThan" aboveAverage="0" dxfId="8" text="" percent="0" bottom="0">
      <formula>0</formula>
    </cfRule>
  </conditionalFormatting>
  <conditionalFormatting sqref="I867">
    <cfRule type="cellIs" rank="0" priority="3446" equalAverage="0" operator="greaterThan" aboveAverage="0" dxfId="7" text="" percent="0" bottom="0">
      <formula>0</formula>
    </cfRule>
  </conditionalFormatting>
  <conditionalFormatting sqref="K867">
    <cfRule type="cellIs" rank="0" priority="3447" equalAverage="0" operator="greaterThan" aboveAverage="0" dxfId="7" text="" percent="0" bottom="0">
      <formula>0</formula>
    </cfRule>
  </conditionalFormatting>
  <conditionalFormatting sqref="N867">
    <cfRule type="cellIs" rank="0" priority="3448" equalAverage="0" operator="greaterThan" aboveAverage="0" dxfId="7" text="" percent="0" bottom="0">
      <formula>0</formula>
    </cfRule>
    <cfRule type="cellIs" rank="0" priority="3449" equalAverage="0" operator="lessThan" aboveAverage="0" dxfId="8" text="" percent="0" bottom="0">
      <formula>0</formula>
    </cfRule>
  </conditionalFormatting>
  <conditionalFormatting sqref="I868">
    <cfRule type="cellIs" rank="0" priority="3450" equalAverage="0" operator="greaterThan" aboveAverage="0" dxfId="7" text="" percent="0" bottom="0">
      <formula>0</formula>
    </cfRule>
  </conditionalFormatting>
  <conditionalFormatting sqref="K868">
    <cfRule type="cellIs" rank="0" priority="3451" equalAverage="0" operator="greaterThan" aboveAverage="0" dxfId="7" text="" percent="0" bottom="0">
      <formula>0</formula>
    </cfRule>
  </conditionalFormatting>
  <conditionalFormatting sqref="N868">
    <cfRule type="cellIs" rank="0" priority="3452" equalAverage="0" operator="greaterThan" aboveAverage="0" dxfId="7" text="" percent="0" bottom="0">
      <formula>0</formula>
    </cfRule>
    <cfRule type="cellIs" rank="0" priority="3453" equalAverage="0" operator="lessThan" aboveAverage="0" dxfId="8" text="" percent="0" bottom="0">
      <formula>0</formula>
    </cfRule>
  </conditionalFormatting>
  <conditionalFormatting sqref="I869">
    <cfRule type="cellIs" rank="0" priority="3454" equalAverage="0" operator="greaterThan" aboveAverage="0" dxfId="7" text="" percent="0" bottom="0">
      <formula>0</formula>
    </cfRule>
  </conditionalFormatting>
  <conditionalFormatting sqref="K869">
    <cfRule type="cellIs" rank="0" priority="3455" equalAverage="0" operator="greaterThan" aboveAverage="0" dxfId="7" text="" percent="0" bottom="0">
      <formula>0</formula>
    </cfRule>
  </conditionalFormatting>
  <conditionalFormatting sqref="N869">
    <cfRule type="cellIs" rank="0" priority="3456" equalAverage="0" operator="greaterThan" aboveAverage="0" dxfId="7" text="" percent="0" bottom="0">
      <formula>0</formula>
    </cfRule>
    <cfRule type="cellIs" rank="0" priority="3457" equalAverage="0" operator="lessThan" aboveAverage="0" dxfId="8" text="" percent="0" bottom="0">
      <formula>0</formula>
    </cfRule>
  </conditionalFormatting>
  <conditionalFormatting sqref="I870">
    <cfRule type="cellIs" rank="0" priority="3458" equalAverage="0" operator="greaterThan" aboveAverage="0" dxfId="7" text="" percent="0" bottom="0">
      <formula>0</formula>
    </cfRule>
  </conditionalFormatting>
  <conditionalFormatting sqref="K870">
    <cfRule type="cellIs" rank="0" priority="3459" equalAverage="0" operator="greaterThan" aboveAverage="0" dxfId="7" text="" percent="0" bottom="0">
      <formula>0</formula>
    </cfRule>
  </conditionalFormatting>
  <conditionalFormatting sqref="N870">
    <cfRule type="cellIs" rank="0" priority="3460" equalAverage="0" operator="greaterThan" aboveAverage="0" dxfId="7" text="" percent="0" bottom="0">
      <formula>0</formula>
    </cfRule>
    <cfRule type="cellIs" rank="0" priority="3461" equalAverage="0" operator="lessThan" aboveAverage="0" dxfId="8" text="" percent="0" bottom="0">
      <formula>0</formula>
    </cfRule>
  </conditionalFormatting>
  <conditionalFormatting sqref="I871">
    <cfRule type="cellIs" rank="0" priority="3462" equalAverage="0" operator="greaterThan" aboveAverage="0" dxfId="7" text="" percent="0" bottom="0">
      <formula>0</formula>
    </cfRule>
  </conditionalFormatting>
  <conditionalFormatting sqref="K871">
    <cfRule type="cellIs" rank="0" priority="3463" equalAverage="0" operator="greaterThan" aboveAverage="0" dxfId="7" text="" percent="0" bottom="0">
      <formula>0</formula>
    </cfRule>
  </conditionalFormatting>
  <conditionalFormatting sqref="N871">
    <cfRule type="cellIs" rank="0" priority="3464" equalAverage="0" operator="greaterThan" aboveAverage="0" dxfId="7" text="" percent="0" bottom="0">
      <formula>0</formula>
    </cfRule>
    <cfRule type="cellIs" rank="0" priority="3465" equalAverage="0" operator="lessThan" aboveAverage="0" dxfId="8" text="" percent="0" bottom="0">
      <formula>0</formula>
    </cfRule>
  </conditionalFormatting>
  <conditionalFormatting sqref="I872">
    <cfRule type="cellIs" rank="0" priority="3466" equalAverage="0" operator="greaterThan" aboveAverage="0" dxfId="7" text="" percent="0" bottom="0">
      <formula>0</formula>
    </cfRule>
  </conditionalFormatting>
  <conditionalFormatting sqref="K872">
    <cfRule type="cellIs" rank="0" priority="3467" equalAverage="0" operator="greaterThan" aboveAverage="0" dxfId="7" text="" percent="0" bottom="0">
      <formula>0</formula>
    </cfRule>
  </conditionalFormatting>
  <conditionalFormatting sqref="N872">
    <cfRule type="cellIs" rank="0" priority="3468" equalAverage="0" operator="greaterThan" aboveAverage="0" dxfId="7" text="" percent="0" bottom="0">
      <formula>0</formula>
    </cfRule>
    <cfRule type="cellIs" rank="0" priority="3469" equalAverage="0" operator="lessThan" aboveAverage="0" dxfId="8" text="" percent="0" bottom="0">
      <formula>0</formula>
    </cfRule>
  </conditionalFormatting>
  <conditionalFormatting sqref="I873">
    <cfRule type="cellIs" rank="0" priority="3470" equalAverage="0" operator="greaterThan" aboveAverage="0" dxfId="7" text="" percent="0" bottom="0">
      <formula>0</formula>
    </cfRule>
  </conditionalFormatting>
  <conditionalFormatting sqref="K873">
    <cfRule type="cellIs" rank="0" priority="3471" equalAverage="0" operator="greaterThan" aboveAverage="0" dxfId="7" text="" percent="0" bottom="0">
      <formula>0</formula>
    </cfRule>
  </conditionalFormatting>
  <conditionalFormatting sqref="N873">
    <cfRule type="cellIs" rank="0" priority="3472" equalAverage="0" operator="greaterThan" aboveAverage="0" dxfId="7" text="" percent="0" bottom="0">
      <formula>0</formula>
    </cfRule>
    <cfRule type="cellIs" rank="0" priority="3473" equalAverage="0" operator="lessThan" aboveAverage="0" dxfId="8" text="" percent="0" bottom="0">
      <formula>0</formula>
    </cfRule>
  </conditionalFormatting>
  <conditionalFormatting sqref="I874">
    <cfRule type="cellIs" rank="0" priority="3474" equalAverage="0" operator="greaterThan" aboveAverage="0" dxfId="7" text="" percent="0" bottom="0">
      <formula>0</formula>
    </cfRule>
  </conditionalFormatting>
  <conditionalFormatting sqref="K874">
    <cfRule type="cellIs" rank="0" priority="3475" equalAverage="0" operator="greaterThan" aboveAverage="0" dxfId="7" text="" percent="0" bottom="0">
      <formula>0</formula>
    </cfRule>
  </conditionalFormatting>
  <conditionalFormatting sqref="N874">
    <cfRule type="cellIs" rank="0" priority="3476" equalAverage="0" operator="greaterThan" aboveAverage="0" dxfId="7" text="" percent="0" bottom="0">
      <formula>0</formula>
    </cfRule>
    <cfRule type="cellIs" rank="0" priority="3477" equalAverage="0" operator="lessThan" aboveAverage="0" dxfId="8" text="" percent="0" bottom="0">
      <formula>0</formula>
    </cfRule>
  </conditionalFormatting>
  <conditionalFormatting sqref="I875">
    <cfRule type="cellIs" rank="0" priority="3478" equalAverage="0" operator="greaterThan" aboveAverage="0" dxfId="7" text="" percent="0" bottom="0">
      <formula>0</formula>
    </cfRule>
  </conditionalFormatting>
  <conditionalFormatting sqref="K875">
    <cfRule type="cellIs" rank="0" priority="3479" equalAverage="0" operator="greaterThan" aboveAverage="0" dxfId="7" text="" percent="0" bottom="0">
      <formula>0</formula>
    </cfRule>
  </conditionalFormatting>
  <conditionalFormatting sqref="N875">
    <cfRule type="cellIs" rank="0" priority="3480" equalAverage="0" operator="greaterThan" aboveAverage="0" dxfId="7" text="" percent="0" bottom="0">
      <formula>0</formula>
    </cfRule>
    <cfRule type="cellIs" rank="0" priority="3481" equalAverage="0" operator="lessThan" aboveAverage="0" dxfId="8" text="" percent="0" bottom="0">
      <formula>0</formula>
    </cfRule>
  </conditionalFormatting>
  <conditionalFormatting sqref="I876">
    <cfRule type="cellIs" rank="0" priority="3482" equalAverage="0" operator="greaterThan" aboveAverage="0" dxfId="7" text="" percent="0" bottom="0">
      <formula>0</formula>
    </cfRule>
  </conditionalFormatting>
  <conditionalFormatting sqref="K876">
    <cfRule type="cellIs" rank="0" priority="3483" equalAverage="0" operator="greaterThan" aboveAverage="0" dxfId="7" text="" percent="0" bottom="0">
      <formula>0</formula>
    </cfRule>
  </conditionalFormatting>
  <conditionalFormatting sqref="N876">
    <cfRule type="cellIs" rank="0" priority="3484" equalAverage="0" operator="greaterThan" aboveAverage="0" dxfId="7" text="" percent="0" bottom="0">
      <formula>0</formula>
    </cfRule>
    <cfRule type="cellIs" rank="0" priority="3485" equalAverage="0" operator="lessThan" aboveAverage="0" dxfId="8" text="" percent="0" bottom="0">
      <formula>0</formula>
    </cfRule>
  </conditionalFormatting>
  <conditionalFormatting sqref="I877">
    <cfRule type="cellIs" rank="0" priority="3486" equalAverage="0" operator="greaterThan" aboveAverage="0" dxfId="7" text="" percent="0" bottom="0">
      <formula>0</formula>
    </cfRule>
  </conditionalFormatting>
  <conditionalFormatting sqref="K877">
    <cfRule type="cellIs" rank="0" priority="3487" equalAverage="0" operator="greaterThan" aboveAverage="0" dxfId="7" text="" percent="0" bottom="0">
      <formula>0</formula>
    </cfRule>
  </conditionalFormatting>
  <conditionalFormatting sqref="N877">
    <cfRule type="cellIs" rank="0" priority="3488" equalAverage="0" operator="greaterThan" aboveAverage="0" dxfId="7" text="" percent="0" bottom="0">
      <formula>0</formula>
    </cfRule>
    <cfRule type="cellIs" rank="0" priority="3489" equalAverage="0" operator="lessThan" aboveAverage="0" dxfId="8" text="" percent="0" bottom="0">
      <formula>0</formula>
    </cfRule>
  </conditionalFormatting>
  <conditionalFormatting sqref="I878">
    <cfRule type="cellIs" rank="0" priority="3490" equalAverage="0" operator="greaterThan" aboveAverage="0" dxfId="7" text="" percent="0" bottom="0">
      <formula>0</formula>
    </cfRule>
  </conditionalFormatting>
  <conditionalFormatting sqref="K878">
    <cfRule type="cellIs" rank="0" priority="3491" equalAverage="0" operator="greaterThan" aboveAverage="0" dxfId="7" text="" percent="0" bottom="0">
      <formula>0</formula>
    </cfRule>
  </conditionalFormatting>
  <conditionalFormatting sqref="N878">
    <cfRule type="cellIs" rank="0" priority="3492" equalAverage="0" operator="greaterThan" aboveAverage="0" dxfId="7" text="" percent="0" bottom="0">
      <formula>0</formula>
    </cfRule>
    <cfRule type="cellIs" rank="0" priority="3493" equalAverage="0" operator="lessThan" aboveAverage="0" dxfId="8" text="" percent="0" bottom="0">
      <formula>0</formula>
    </cfRule>
  </conditionalFormatting>
  <conditionalFormatting sqref="I879">
    <cfRule type="cellIs" rank="0" priority="3494" equalAverage="0" operator="greaterThan" aboveAverage="0" dxfId="7" text="" percent="0" bottom="0">
      <formula>0</formula>
    </cfRule>
  </conditionalFormatting>
  <conditionalFormatting sqref="K879">
    <cfRule type="cellIs" rank="0" priority="3495" equalAverage="0" operator="greaterThan" aboveAverage="0" dxfId="7" text="" percent="0" bottom="0">
      <formula>0</formula>
    </cfRule>
  </conditionalFormatting>
  <conditionalFormatting sqref="N879">
    <cfRule type="cellIs" rank="0" priority="3496" equalAverage="0" operator="greaterThan" aboveAverage="0" dxfId="7" text="" percent="0" bottom="0">
      <formula>0</formula>
    </cfRule>
    <cfRule type="cellIs" rank="0" priority="3497" equalAverage="0" operator="lessThan" aboveAverage="0" dxfId="8" text="" percent="0" bottom="0">
      <formula>0</formula>
    </cfRule>
  </conditionalFormatting>
  <conditionalFormatting sqref="I880">
    <cfRule type="cellIs" rank="0" priority="3498" equalAverage="0" operator="greaterThan" aboveAverage="0" dxfId="7" text="" percent="0" bottom="0">
      <formula>0</formula>
    </cfRule>
  </conditionalFormatting>
  <conditionalFormatting sqref="K880">
    <cfRule type="cellIs" rank="0" priority="3499" equalAverage="0" operator="greaterThan" aboveAverage="0" dxfId="7" text="" percent="0" bottom="0">
      <formula>0</formula>
    </cfRule>
  </conditionalFormatting>
  <conditionalFormatting sqref="N880">
    <cfRule type="cellIs" rank="0" priority="3500" equalAverage="0" operator="greaterThan" aboveAverage="0" dxfId="7" text="" percent="0" bottom="0">
      <formula>0</formula>
    </cfRule>
    <cfRule type="cellIs" rank="0" priority="3501" equalAverage="0" operator="lessThan" aboveAverage="0" dxfId="8" text="" percent="0" bottom="0">
      <formula>0</formula>
    </cfRule>
  </conditionalFormatting>
  <conditionalFormatting sqref="I881">
    <cfRule type="cellIs" rank="0" priority="3502" equalAverage="0" operator="greaterThan" aboveAverage="0" dxfId="7" text="" percent="0" bottom="0">
      <formula>0</formula>
    </cfRule>
  </conditionalFormatting>
  <conditionalFormatting sqref="K881">
    <cfRule type="cellIs" rank="0" priority="3503" equalAverage="0" operator="greaterThan" aboveAverage="0" dxfId="7" text="" percent="0" bottom="0">
      <formula>0</formula>
    </cfRule>
  </conditionalFormatting>
  <conditionalFormatting sqref="N881">
    <cfRule type="cellIs" rank="0" priority="3504" equalAverage="0" operator="greaterThan" aboveAverage="0" dxfId="7" text="" percent="0" bottom="0">
      <formula>0</formula>
    </cfRule>
    <cfRule type="cellIs" rank="0" priority="3505" equalAverage="0" operator="lessThan" aboveAverage="0" dxfId="8" text="" percent="0" bottom="0">
      <formula>0</formula>
    </cfRule>
  </conditionalFormatting>
  <conditionalFormatting sqref="I882">
    <cfRule type="cellIs" rank="0" priority="3506" equalAverage="0" operator="greaterThan" aboveAverage="0" dxfId="7" text="" percent="0" bottom="0">
      <formula>0</formula>
    </cfRule>
  </conditionalFormatting>
  <conditionalFormatting sqref="K882">
    <cfRule type="cellIs" rank="0" priority="3507" equalAverage="0" operator="greaterThan" aboveAverage="0" dxfId="7" text="" percent="0" bottom="0">
      <formula>0</formula>
    </cfRule>
  </conditionalFormatting>
  <conditionalFormatting sqref="N882">
    <cfRule type="cellIs" rank="0" priority="3508" equalAverage="0" operator="greaterThan" aboveAverage="0" dxfId="7" text="" percent="0" bottom="0">
      <formula>0</formula>
    </cfRule>
    <cfRule type="cellIs" rank="0" priority="3509" equalAverage="0" operator="lessThan" aboveAverage="0" dxfId="8" text="" percent="0" bottom="0">
      <formula>0</formula>
    </cfRule>
  </conditionalFormatting>
  <conditionalFormatting sqref="I883">
    <cfRule type="cellIs" rank="0" priority="3510" equalAverage="0" operator="greaterThan" aboveAverage="0" dxfId="7" text="" percent="0" bottom="0">
      <formula>0</formula>
    </cfRule>
  </conditionalFormatting>
  <conditionalFormatting sqref="K883">
    <cfRule type="cellIs" rank="0" priority="3511" equalAverage="0" operator="greaterThan" aboveAverage="0" dxfId="7" text="" percent="0" bottom="0">
      <formula>0</formula>
    </cfRule>
  </conditionalFormatting>
  <conditionalFormatting sqref="N883">
    <cfRule type="cellIs" rank="0" priority="3512" equalAverage="0" operator="greaterThan" aboveAverage="0" dxfId="7" text="" percent="0" bottom="0">
      <formula>0</formula>
    </cfRule>
    <cfRule type="cellIs" rank="0" priority="3513" equalAverage="0" operator="lessThan" aboveAverage="0" dxfId="8" text="" percent="0" bottom="0">
      <formula>0</formula>
    </cfRule>
  </conditionalFormatting>
  <conditionalFormatting sqref="I884">
    <cfRule type="cellIs" rank="0" priority="3514" equalAverage="0" operator="greaterThan" aboveAverage="0" dxfId="7" text="" percent="0" bottom="0">
      <formula>0</formula>
    </cfRule>
  </conditionalFormatting>
  <conditionalFormatting sqref="K884">
    <cfRule type="cellIs" rank="0" priority="3515" equalAverage="0" operator="greaterThan" aboveAverage="0" dxfId="7" text="" percent="0" bottom="0">
      <formula>0</formula>
    </cfRule>
  </conditionalFormatting>
  <conditionalFormatting sqref="N884">
    <cfRule type="cellIs" rank="0" priority="3516" equalAverage="0" operator="greaterThan" aboveAverage="0" dxfId="7" text="" percent="0" bottom="0">
      <formula>0</formula>
    </cfRule>
    <cfRule type="cellIs" rank="0" priority="3517" equalAverage="0" operator="lessThan" aboveAverage="0" dxfId="8" text="" percent="0" bottom="0">
      <formula>0</formula>
    </cfRule>
  </conditionalFormatting>
  <conditionalFormatting sqref="I885">
    <cfRule type="cellIs" rank="0" priority="3518" equalAverage="0" operator="greaterThan" aboveAverage="0" dxfId="7" text="" percent="0" bottom="0">
      <formula>0</formula>
    </cfRule>
  </conditionalFormatting>
  <conditionalFormatting sqref="K885">
    <cfRule type="cellIs" rank="0" priority="3519" equalAverage="0" operator="greaterThan" aboveAverage="0" dxfId="7" text="" percent="0" bottom="0">
      <formula>0</formula>
    </cfRule>
  </conditionalFormatting>
  <conditionalFormatting sqref="N885">
    <cfRule type="cellIs" rank="0" priority="3520" equalAverage="0" operator="greaterThan" aboveAverage="0" dxfId="7" text="" percent="0" bottom="0">
      <formula>0</formula>
    </cfRule>
    <cfRule type="cellIs" rank="0" priority="3521" equalAverage="0" operator="lessThan" aboveAverage="0" dxfId="8" text="" percent="0" bottom="0">
      <formula>0</formula>
    </cfRule>
  </conditionalFormatting>
  <conditionalFormatting sqref="I886">
    <cfRule type="cellIs" rank="0" priority="3522" equalAverage="0" operator="greaterThan" aboveAverage="0" dxfId="7" text="" percent="0" bottom="0">
      <formula>0</formula>
    </cfRule>
  </conditionalFormatting>
  <conditionalFormatting sqref="K886">
    <cfRule type="cellIs" rank="0" priority="3523" equalAverage="0" operator="greaterThan" aboveAverage="0" dxfId="7" text="" percent="0" bottom="0">
      <formula>0</formula>
    </cfRule>
  </conditionalFormatting>
  <conditionalFormatting sqref="N886">
    <cfRule type="cellIs" rank="0" priority="3524" equalAverage="0" operator="greaterThan" aboveAverage="0" dxfId="7" text="" percent="0" bottom="0">
      <formula>0</formula>
    </cfRule>
    <cfRule type="cellIs" rank="0" priority="3525" equalAverage="0" operator="lessThan" aboveAverage="0" dxfId="8" text="" percent="0" bottom="0">
      <formula>0</formula>
    </cfRule>
  </conditionalFormatting>
  <conditionalFormatting sqref="I887">
    <cfRule type="cellIs" rank="0" priority="3526" equalAverage="0" operator="greaterThan" aboveAverage="0" dxfId="7" text="" percent="0" bottom="0">
      <formula>0</formula>
    </cfRule>
  </conditionalFormatting>
  <conditionalFormatting sqref="K887">
    <cfRule type="cellIs" rank="0" priority="3527" equalAverage="0" operator="greaterThan" aboveAverage="0" dxfId="7" text="" percent="0" bottom="0">
      <formula>0</formula>
    </cfRule>
  </conditionalFormatting>
  <conditionalFormatting sqref="N887">
    <cfRule type="cellIs" rank="0" priority="3528" equalAverage="0" operator="greaterThan" aboveAverage="0" dxfId="7" text="" percent="0" bottom="0">
      <formula>0</formula>
    </cfRule>
    <cfRule type="cellIs" rank="0" priority="3529" equalAverage="0" operator="lessThan" aboveAverage="0" dxfId="8" text="" percent="0" bottom="0">
      <formula>0</formula>
    </cfRule>
  </conditionalFormatting>
  <conditionalFormatting sqref="I888">
    <cfRule type="cellIs" rank="0" priority="3530" equalAverage="0" operator="greaterThan" aboveAverage="0" dxfId="7" text="" percent="0" bottom="0">
      <formula>0</formula>
    </cfRule>
  </conditionalFormatting>
  <conditionalFormatting sqref="K888">
    <cfRule type="cellIs" rank="0" priority="3531" equalAverage="0" operator="greaterThan" aboveAverage="0" dxfId="7" text="" percent="0" bottom="0">
      <formula>0</formula>
    </cfRule>
  </conditionalFormatting>
  <conditionalFormatting sqref="N888">
    <cfRule type="cellIs" rank="0" priority="3532" equalAverage="0" operator="greaterThan" aboveAverage="0" dxfId="7" text="" percent="0" bottom="0">
      <formula>0</formula>
    </cfRule>
    <cfRule type="cellIs" rank="0" priority="3533" equalAverage="0" operator="lessThan" aboveAverage="0" dxfId="8" text="" percent="0" bottom="0">
      <formula>0</formula>
    </cfRule>
  </conditionalFormatting>
  <conditionalFormatting sqref="I889">
    <cfRule type="cellIs" rank="0" priority="3534" equalAverage="0" operator="greaterThan" aboveAverage="0" dxfId="7" text="" percent="0" bottom="0">
      <formula>0</formula>
    </cfRule>
  </conditionalFormatting>
  <conditionalFormatting sqref="K889">
    <cfRule type="cellIs" rank="0" priority="3535" equalAverage="0" operator="greaterThan" aboveAverage="0" dxfId="7" text="" percent="0" bottom="0">
      <formula>0</formula>
    </cfRule>
  </conditionalFormatting>
  <conditionalFormatting sqref="N889">
    <cfRule type="cellIs" rank="0" priority="3536" equalAverage="0" operator="greaterThan" aboveAverage="0" dxfId="7" text="" percent="0" bottom="0">
      <formula>0</formula>
    </cfRule>
    <cfRule type="cellIs" rank="0" priority="3537" equalAverage="0" operator="lessThan" aboveAverage="0" dxfId="8" text="" percent="0" bottom="0">
      <formula>0</formula>
    </cfRule>
  </conditionalFormatting>
  <conditionalFormatting sqref="I890">
    <cfRule type="cellIs" rank="0" priority="3538" equalAverage="0" operator="greaterThan" aboveAverage="0" dxfId="7" text="" percent="0" bottom="0">
      <formula>0</formula>
    </cfRule>
  </conditionalFormatting>
  <conditionalFormatting sqref="K890">
    <cfRule type="cellIs" rank="0" priority="3539" equalAverage="0" operator="greaterThan" aboveAverage="0" dxfId="7" text="" percent="0" bottom="0">
      <formula>0</formula>
    </cfRule>
  </conditionalFormatting>
  <conditionalFormatting sqref="N890">
    <cfRule type="cellIs" rank="0" priority="3540" equalAverage="0" operator="greaterThan" aboveAverage="0" dxfId="7" text="" percent="0" bottom="0">
      <formula>0</formula>
    </cfRule>
    <cfRule type="cellIs" rank="0" priority="3541" equalAverage="0" operator="lessThan" aboveAverage="0" dxfId="8" text="" percent="0" bottom="0">
      <formula>0</formula>
    </cfRule>
  </conditionalFormatting>
  <conditionalFormatting sqref="I891">
    <cfRule type="cellIs" rank="0" priority="3542" equalAverage="0" operator="greaterThan" aboveAverage="0" dxfId="7" text="" percent="0" bottom="0">
      <formula>0</formula>
    </cfRule>
  </conditionalFormatting>
  <conditionalFormatting sqref="K891">
    <cfRule type="cellIs" rank="0" priority="3543" equalAverage="0" operator="greaterThan" aboveAverage="0" dxfId="7" text="" percent="0" bottom="0">
      <formula>0</formula>
    </cfRule>
  </conditionalFormatting>
  <conditionalFormatting sqref="N891">
    <cfRule type="cellIs" rank="0" priority="3544" equalAverage="0" operator="greaterThan" aboveAverage="0" dxfId="7" text="" percent="0" bottom="0">
      <formula>0</formula>
    </cfRule>
    <cfRule type="cellIs" rank="0" priority="3545" equalAverage="0" operator="lessThan" aboveAverage="0" dxfId="8" text="" percent="0" bottom="0">
      <formula>0</formula>
    </cfRule>
  </conditionalFormatting>
  <conditionalFormatting sqref="I892">
    <cfRule type="cellIs" rank="0" priority="3546" equalAverage="0" operator="greaterThan" aboveAverage="0" dxfId="7" text="" percent="0" bottom="0">
      <formula>0</formula>
    </cfRule>
  </conditionalFormatting>
  <conditionalFormatting sqref="K892">
    <cfRule type="cellIs" rank="0" priority="3547" equalAverage="0" operator="greaterThan" aboveAverage="0" dxfId="7" text="" percent="0" bottom="0">
      <formula>0</formula>
    </cfRule>
  </conditionalFormatting>
  <conditionalFormatting sqref="N892">
    <cfRule type="cellIs" rank="0" priority="3548" equalAverage="0" operator="greaterThan" aboveAverage="0" dxfId="7" text="" percent="0" bottom="0">
      <formula>0</formula>
    </cfRule>
    <cfRule type="cellIs" rank="0" priority="3549" equalAverage="0" operator="lessThan" aboveAverage="0" dxfId="8" text="" percent="0" bottom="0">
      <formula>0</formula>
    </cfRule>
  </conditionalFormatting>
  <conditionalFormatting sqref="I893">
    <cfRule type="cellIs" rank="0" priority="3550" equalAverage="0" operator="greaterThan" aboveAverage="0" dxfId="7" text="" percent="0" bottom="0">
      <formula>0</formula>
    </cfRule>
  </conditionalFormatting>
  <conditionalFormatting sqref="K893">
    <cfRule type="cellIs" rank="0" priority="3551" equalAverage="0" operator="greaterThan" aboveAverage="0" dxfId="7" text="" percent="0" bottom="0">
      <formula>0</formula>
    </cfRule>
  </conditionalFormatting>
  <conditionalFormatting sqref="N893">
    <cfRule type="cellIs" rank="0" priority="3552" equalAverage="0" operator="greaterThan" aboveAverage="0" dxfId="7" text="" percent="0" bottom="0">
      <formula>0</formula>
    </cfRule>
    <cfRule type="cellIs" rank="0" priority="3553" equalAverage="0" operator="lessThan" aboveAverage="0" dxfId="8" text="" percent="0" bottom="0">
      <formula>0</formula>
    </cfRule>
  </conditionalFormatting>
  <conditionalFormatting sqref="I894">
    <cfRule type="cellIs" rank="0" priority="3554" equalAverage="0" operator="greaterThan" aboveAverage="0" dxfId="7" text="" percent="0" bottom="0">
      <formula>0</formula>
    </cfRule>
  </conditionalFormatting>
  <conditionalFormatting sqref="K894">
    <cfRule type="cellIs" rank="0" priority="3555" equalAverage="0" operator="greaterThan" aboveAverage="0" dxfId="7" text="" percent="0" bottom="0">
      <formula>0</formula>
    </cfRule>
  </conditionalFormatting>
  <conditionalFormatting sqref="N894">
    <cfRule type="cellIs" rank="0" priority="3556" equalAverage="0" operator="greaterThan" aboveAverage="0" dxfId="7" text="" percent="0" bottom="0">
      <formula>0</formula>
    </cfRule>
    <cfRule type="cellIs" rank="0" priority="3557" equalAverage="0" operator="lessThan" aboveAverage="0" dxfId="8" text="" percent="0" bottom="0">
      <formula>0</formula>
    </cfRule>
  </conditionalFormatting>
  <conditionalFormatting sqref="I895">
    <cfRule type="cellIs" rank="0" priority="3558" equalAverage="0" operator="greaterThan" aboveAverage="0" dxfId="7" text="" percent="0" bottom="0">
      <formula>0</formula>
    </cfRule>
  </conditionalFormatting>
  <conditionalFormatting sqref="K895">
    <cfRule type="cellIs" rank="0" priority="3559" equalAverage="0" operator="greaterThan" aboveAverage="0" dxfId="7" text="" percent="0" bottom="0">
      <formula>0</formula>
    </cfRule>
  </conditionalFormatting>
  <conditionalFormatting sqref="N895">
    <cfRule type="cellIs" rank="0" priority="3560" equalAverage="0" operator="greaterThan" aboveAverage="0" dxfId="7" text="" percent="0" bottom="0">
      <formula>0</formula>
    </cfRule>
    <cfRule type="cellIs" rank="0" priority="3561" equalAverage="0" operator="lessThan" aboveAverage="0" dxfId="8" text="" percent="0" bottom="0">
      <formula>0</formula>
    </cfRule>
  </conditionalFormatting>
  <conditionalFormatting sqref="I896">
    <cfRule type="cellIs" rank="0" priority="3562" equalAverage="0" operator="greaterThan" aboveAverage="0" dxfId="7" text="" percent="0" bottom="0">
      <formula>0</formula>
    </cfRule>
  </conditionalFormatting>
  <conditionalFormatting sqref="K896">
    <cfRule type="cellIs" rank="0" priority="3563" equalAverage="0" operator="greaterThan" aboveAverage="0" dxfId="7" text="" percent="0" bottom="0">
      <formula>0</formula>
    </cfRule>
  </conditionalFormatting>
  <conditionalFormatting sqref="N896">
    <cfRule type="cellIs" rank="0" priority="3564" equalAverage="0" operator="greaterThan" aboveAverage="0" dxfId="7" text="" percent="0" bottom="0">
      <formula>0</formula>
    </cfRule>
    <cfRule type="cellIs" rank="0" priority="3565" equalAverage="0" operator="lessThan" aboveAverage="0" dxfId="8" text="" percent="0" bottom="0">
      <formula>0</formula>
    </cfRule>
  </conditionalFormatting>
  <conditionalFormatting sqref="I897">
    <cfRule type="cellIs" rank="0" priority="3566" equalAverage="0" operator="greaterThan" aboveAverage="0" dxfId="7" text="" percent="0" bottom="0">
      <formula>0</formula>
    </cfRule>
  </conditionalFormatting>
  <conditionalFormatting sqref="K897">
    <cfRule type="cellIs" rank="0" priority="3567" equalAverage="0" operator="greaterThan" aboveAverage="0" dxfId="7" text="" percent="0" bottom="0">
      <formula>0</formula>
    </cfRule>
  </conditionalFormatting>
  <conditionalFormatting sqref="N897">
    <cfRule type="cellIs" rank="0" priority="3568" equalAverage="0" operator="greaterThan" aboveAverage="0" dxfId="7" text="" percent="0" bottom="0">
      <formula>0</formula>
    </cfRule>
    <cfRule type="cellIs" rank="0" priority="3569" equalAverage="0" operator="lessThan" aboveAverage="0" dxfId="8" text="" percent="0" bottom="0">
      <formula>0</formula>
    </cfRule>
  </conditionalFormatting>
  <conditionalFormatting sqref="I898">
    <cfRule type="cellIs" rank="0" priority="3570" equalAverage="0" operator="greaterThan" aboveAverage="0" dxfId="7" text="" percent="0" bottom="0">
      <formula>0</formula>
    </cfRule>
  </conditionalFormatting>
  <conditionalFormatting sqref="K898">
    <cfRule type="cellIs" rank="0" priority="3571" equalAverage="0" operator="greaterThan" aboveAverage="0" dxfId="7" text="" percent="0" bottom="0">
      <formula>0</formula>
    </cfRule>
  </conditionalFormatting>
  <conditionalFormatting sqref="N898">
    <cfRule type="cellIs" rank="0" priority="3572" equalAverage="0" operator="greaterThan" aboveAverage="0" dxfId="7" text="" percent="0" bottom="0">
      <formula>0</formula>
    </cfRule>
    <cfRule type="cellIs" rank="0" priority="3573" equalAverage="0" operator="lessThan" aboveAverage="0" dxfId="8" text="" percent="0" bottom="0">
      <formula>0</formula>
    </cfRule>
  </conditionalFormatting>
  <conditionalFormatting sqref="I899">
    <cfRule type="cellIs" rank="0" priority="3574" equalAverage="0" operator="greaterThan" aboveAverage="0" dxfId="7" text="" percent="0" bottom="0">
      <formula>0</formula>
    </cfRule>
  </conditionalFormatting>
  <conditionalFormatting sqref="K899">
    <cfRule type="cellIs" rank="0" priority="3575" equalAverage="0" operator="greaterThan" aboveAverage="0" dxfId="7" text="" percent="0" bottom="0">
      <formula>0</formula>
    </cfRule>
  </conditionalFormatting>
  <conditionalFormatting sqref="N899">
    <cfRule type="cellIs" rank="0" priority="3576" equalAverage="0" operator="greaterThan" aboveAverage="0" dxfId="7" text="" percent="0" bottom="0">
      <formula>0</formula>
    </cfRule>
    <cfRule type="cellIs" rank="0" priority="3577" equalAverage="0" operator="lessThan" aboveAverage="0" dxfId="8" text="" percent="0" bottom="0">
      <formula>0</formula>
    </cfRule>
  </conditionalFormatting>
  <conditionalFormatting sqref="I900">
    <cfRule type="cellIs" rank="0" priority="3578" equalAverage="0" operator="greaterThan" aboveAverage="0" dxfId="7" text="" percent="0" bottom="0">
      <formula>0</formula>
    </cfRule>
  </conditionalFormatting>
  <conditionalFormatting sqref="K900">
    <cfRule type="cellIs" rank="0" priority="3579" equalAverage="0" operator="greaterThan" aboveAverage="0" dxfId="7" text="" percent="0" bottom="0">
      <formula>0</formula>
    </cfRule>
  </conditionalFormatting>
  <conditionalFormatting sqref="N900">
    <cfRule type="cellIs" rank="0" priority="3580" equalAverage="0" operator="greaterThan" aboveAverage="0" dxfId="7" text="" percent="0" bottom="0">
      <formula>0</formula>
    </cfRule>
    <cfRule type="cellIs" rank="0" priority="3581" equalAverage="0" operator="lessThan" aboveAverage="0" dxfId="8" text="" percent="0" bottom="0">
      <formula>0</formula>
    </cfRule>
  </conditionalFormatting>
  <conditionalFormatting sqref="I901">
    <cfRule type="cellIs" rank="0" priority="3582" equalAverage="0" operator="greaterThan" aboveAverage="0" dxfId="7" text="" percent="0" bottom="0">
      <formula>0</formula>
    </cfRule>
  </conditionalFormatting>
  <conditionalFormatting sqref="K901">
    <cfRule type="cellIs" rank="0" priority="3583" equalAverage="0" operator="greaterThan" aboveAverage="0" dxfId="7" text="" percent="0" bottom="0">
      <formula>0</formula>
    </cfRule>
  </conditionalFormatting>
  <conditionalFormatting sqref="N901">
    <cfRule type="cellIs" rank="0" priority="3584" equalAverage="0" operator="greaterThan" aboveAverage="0" dxfId="7" text="" percent="0" bottom="0">
      <formula>0</formula>
    </cfRule>
    <cfRule type="cellIs" rank="0" priority="3585" equalAverage="0" operator="lessThan" aboveAverage="0" dxfId="8" text="" percent="0" bottom="0">
      <formula>0</formula>
    </cfRule>
  </conditionalFormatting>
  <conditionalFormatting sqref="I902">
    <cfRule type="cellIs" rank="0" priority="3586" equalAverage="0" operator="greaterThan" aboveAverage="0" dxfId="7" text="" percent="0" bottom="0">
      <formula>0</formula>
    </cfRule>
  </conditionalFormatting>
  <conditionalFormatting sqref="K902">
    <cfRule type="cellIs" rank="0" priority="3587" equalAverage="0" operator="greaterThan" aboveAverage="0" dxfId="7" text="" percent="0" bottom="0">
      <formula>0</formula>
    </cfRule>
  </conditionalFormatting>
  <conditionalFormatting sqref="N902">
    <cfRule type="cellIs" rank="0" priority="3588" equalAverage="0" operator="greaterThan" aboveAverage="0" dxfId="7" text="" percent="0" bottom="0">
      <formula>0</formula>
    </cfRule>
    <cfRule type="cellIs" rank="0" priority="3589" equalAverage="0" operator="lessThan" aboveAverage="0" dxfId="8" text="" percent="0" bottom="0">
      <formula>0</formula>
    </cfRule>
  </conditionalFormatting>
  <conditionalFormatting sqref="I903">
    <cfRule type="cellIs" rank="0" priority="3590" equalAverage="0" operator="greaterThan" aboveAverage="0" dxfId="7" text="" percent="0" bottom="0">
      <formula>0</formula>
    </cfRule>
  </conditionalFormatting>
  <conditionalFormatting sqref="K903">
    <cfRule type="cellIs" rank="0" priority="3591" equalAverage="0" operator="greaterThan" aboveAverage="0" dxfId="7" text="" percent="0" bottom="0">
      <formula>0</formula>
    </cfRule>
  </conditionalFormatting>
  <conditionalFormatting sqref="N903">
    <cfRule type="cellIs" rank="0" priority="3592" equalAverage="0" operator="greaterThan" aboveAverage="0" dxfId="7" text="" percent="0" bottom="0">
      <formula>0</formula>
    </cfRule>
    <cfRule type="cellIs" rank="0" priority="3593" equalAverage="0" operator="lessThan" aboveAverage="0" dxfId="8" text="" percent="0" bottom="0">
      <formula>0</formula>
    </cfRule>
  </conditionalFormatting>
  <conditionalFormatting sqref="I904">
    <cfRule type="cellIs" rank="0" priority="3594" equalAverage="0" operator="greaterThan" aboveAverage="0" dxfId="7" text="" percent="0" bottom="0">
      <formula>0</formula>
    </cfRule>
  </conditionalFormatting>
  <conditionalFormatting sqref="K904">
    <cfRule type="cellIs" rank="0" priority="3595" equalAverage="0" operator="greaterThan" aboveAverage="0" dxfId="7" text="" percent="0" bottom="0">
      <formula>0</formula>
    </cfRule>
  </conditionalFormatting>
  <conditionalFormatting sqref="N904">
    <cfRule type="cellIs" rank="0" priority="3596" equalAverage="0" operator="greaterThan" aboveAverage="0" dxfId="7" text="" percent="0" bottom="0">
      <formula>0</formula>
    </cfRule>
    <cfRule type="cellIs" rank="0" priority="3597" equalAverage="0" operator="lessThan" aboveAverage="0" dxfId="8" text="" percent="0" bottom="0">
      <formula>0</formula>
    </cfRule>
  </conditionalFormatting>
  <conditionalFormatting sqref="I905">
    <cfRule type="cellIs" rank="0" priority="3598" equalAverage="0" operator="greaterThan" aboveAverage="0" dxfId="7" text="" percent="0" bottom="0">
      <formula>0</formula>
    </cfRule>
  </conditionalFormatting>
  <conditionalFormatting sqref="K905">
    <cfRule type="cellIs" rank="0" priority="3599" equalAverage="0" operator="greaterThan" aboveAverage="0" dxfId="7" text="" percent="0" bottom="0">
      <formula>0</formula>
    </cfRule>
  </conditionalFormatting>
  <conditionalFormatting sqref="N905">
    <cfRule type="cellIs" rank="0" priority="3600" equalAverage="0" operator="greaterThan" aboveAverage="0" dxfId="7" text="" percent="0" bottom="0">
      <formula>0</formula>
    </cfRule>
    <cfRule type="cellIs" rank="0" priority="3601" equalAverage="0" operator="lessThan" aboveAverage="0" dxfId="8" text="" percent="0" bottom="0">
      <formula>0</formula>
    </cfRule>
  </conditionalFormatting>
  <conditionalFormatting sqref="I906">
    <cfRule type="cellIs" rank="0" priority="3602" equalAverage="0" operator="greaterThan" aboveAverage="0" dxfId="7" text="" percent="0" bottom="0">
      <formula>0</formula>
    </cfRule>
  </conditionalFormatting>
  <conditionalFormatting sqref="K906">
    <cfRule type="cellIs" rank="0" priority="3603" equalAverage="0" operator="greaterThan" aboveAverage="0" dxfId="7" text="" percent="0" bottom="0">
      <formula>0</formula>
    </cfRule>
  </conditionalFormatting>
  <conditionalFormatting sqref="N906">
    <cfRule type="cellIs" rank="0" priority="3604" equalAverage="0" operator="greaterThan" aboveAverage="0" dxfId="7" text="" percent="0" bottom="0">
      <formula>0</formula>
    </cfRule>
    <cfRule type="cellIs" rank="0" priority="3605" equalAverage="0" operator="lessThan" aboveAverage="0" dxfId="8" text="" percent="0" bottom="0">
      <formula>0</formula>
    </cfRule>
  </conditionalFormatting>
  <conditionalFormatting sqref="I907">
    <cfRule type="cellIs" rank="0" priority="3606" equalAverage="0" operator="greaterThan" aboveAverage="0" dxfId="7" text="" percent="0" bottom="0">
      <formula>0</formula>
    </cfRule>
  </conditionalFormatting>
  <conditionalFormatting sqref="K907">
    <cfRule type="cellIs" rank="0" priority="3607" equalAverage="0" operator="greaterThan" aboveAverage="0" dxfId="7" text="" percent="0" bottom="0">
      <formula>0</formula>
    </cfRule>
  </conditionalFormatting>
  <conditionalFormatting sqref="N907">
    <cfRule type="cellIs" rank="0" priority="3608" equalAverage="0" operator="greaterThan" aboveAverage="0" dxfId="7" text="" percent="0" bottom="0">
      <formula>0</formula>
    </cfRule>
    <cfRule type="cellIs" rank="0" priority="3609" equalAverage="0" operator="lessThan" aboveAverage="0" dxfId="8" text="" percent="0" bottom="0">
      <formula>0</formula>
    </cfRule>
  </conditionalFormatting>
  <conditionalFormatting sqref="I908">
    <cfRule type="cellIs" rank="0" priority="3610" equalAverage="0" operator="greaterThan" aboveAverage="0" dxfId="7" text="" percent="0" bottom="0">
      <formula>0</formula>
    </cfRule>
  </conditionalFormatting>
  <conditionalFormatting sqref="K908">
    <cfRule type="cellIs" rank="0" priority="3611" equalAverage="0" operator="greaterThan" aboveAverage="0" dxfId="7" text="" percent="0" bottom="0">
      <formula>0</formula>
    </cfRule>
  </conditionalFormatting>
  <conditionalFormatting sqref="N908">
    <cfRule type="cellIs" rank="0" priority="3612" equalAverage="0" operator="greaterThan" aboveAverage="0" dxfId="7" text="" percent="0" bottom="0">
      <formula>0</formula>
    </cfRule>
    <cfRule type="cellIs" rank="0" priority="3613" equalAverage="0" operator="lessThan" aboveAverage="0" dxfId="8" text="" percent="0" bottom="0">
      <formula>0</formula>
    </cfRule>
  </conditionalFormatting>
  <conditionalFormatting sqref="I909">
    <cfRule type="cellIs" rank="0" priority="3614" equalAverage="0" operator="greaterThan" aboveAverage="0" dxfId="7" text="" percent="0" bottom="0">
      <formula>0</formula>
    </cfRule>
  </conditionalFormatting>
  <conditionalFormatting sqref="K909">
    <cfRule type="cellIs" rank="0" priority="3615" equalAverage="0" operator="greaterThan" aboveAverage="0" dxfId="7" text="" percent="0" bottom="0">
      <formula>0</formula>
    </cfRule>
  </conditionalFormatting>
  <conditionalFormatting sqref="N909">
    <cfRule type="cellIs" rank="0" priority="3616" equalAverage="0" operator="greaterThan" aboveAverage="0" dxfId="7" text="" percent="0" bottom="0">
      <formula>0</formula>
    </cfRule>
    <cfRule type="cellIs" rank="0" priority="3617" equalAverage="0" operator="lessThan" aboveAverage="0" dxfId="8" text="" percent="0" bottom="0">
      <formula>0</formula>
    </cfRule>
  </conditionalFormatting>
  <conditionalFormatting sqref="I910">
    <cfRule type="cellIs" rank="0" priority="3618" equalAverage="0" operator="greaterThan" aboveAverage="0" dxfId="7" text="" percent="0" bottom="0">
      <formula>0</formula>
    </cfRule>
  </conditionalFormatting>
  <conditionalFormatting sqref="K910">
    <cfRule type="cellIs" rank="0" priority="3619" equalAverage="0" operator="greaterThan" aboveAverage="0" dxfId="7" text="" percent="0" bottom="0">
      <formula>0</formula>
    </cfRule>
  </conditionalFormatting>
  <conditionalFormatting sqref="N910">
    <cfRule type="cellIs" rank="0" priority="3620" equalAverage="0" operator="greaterThan" aboveAverage="0" dxfId="7" text="" percent="0" bottom="0">
      <formula>0</formula>
    </cfRule>
    <cfRule type="cellIs" rank="0" priority="3621" equalAverage="0" operator="lessThan" aboveAverage="0" dxfId="8" text="" percent="0" bottom="0">
      <formula>0</formula>
    </cfRule>
  </conditionalFormatting>
  <conditionalFormatting sqref="I911">
    <cfRule type="cellIs" rank="0" priority="3622" equalAverage="0" operator="greaterThan" aboveAverage="0" dxfId="7" text="" percent="0" bottom="0">
      <formula>0</formula>
    </cfRule>
  </conditionalFormatting>
  <conditionalFormatting sqref="K911">
    <cfRule type="cellIs" rank="0" priority="3623" equalAverage="0" operator="greaterThan" aboveAverage="0" dxfId="7" text="" percent="0" bottom="0">
      <formula>0</formula>
    </cfRule>
  </conditionalFormatting>
  <conditionalFormatting sqref="N911">
    <cfRule type="cellIs" rank="0" priority="3624" equalAverage="0" operator="greaterThan" aboveAverage="0" dxfId="7" text="" percent="0" bottom="0">
      <formula>0</formula>
    </cfRule>
    <cfRule type="cellIs" rank="0" priority="3625" equalAverage="0" operator="lessThan" aboveAverage="0" dxfId="8" text="" percent="0" bottom="0">
      <formula>0</formula>
    </cfRule>
  </conditionalFormatting>
  <conditionalFormatting sqref="I912">
    <cfRule type="cellIs" rank="0" priority="3626" equalAverage="0" operator="greaterThan" aboveAverage="0" dxfId="7" text="" percent="0" bottom="0">
      <formula>0</formula>
    </cfRule>
  </conditionalFormatting>
  <conditionalFormatting sqref="K912">
    <cfRule type="cellIs" rank="0" priority="3627" equalAverage="0" operator="greaterThan" aboveAverage="0" dxfId="7" text="" percent="0" bottom="0">
      <formula>0</formula>
    </cfRule>
  </conditionalFormatting>
  <conditionalFormatting sqref="N912">
    <cfRule type="cellIs" rank="0" priority="3628" equalAverage="0" operator="greaterThan" aboveAverage="0" dxfId="7" text="" percent="0" bottom="0">
      <formula>0</formula>
    </cfRule>
    <cfRule type="cellIs" rank="0" priority="3629" equalAverage="0" operator="lessThan" aboveAverage="0" dxfId="8" text="" percent="0" bottom="0">
      <formula>0</formula>
    </cfRule>
  </conditionalFormatting>
  <conditionalFormatting sqref="I913">
    <cfRule type="cellIs" rank="0" priority="3630" equalAverage="0" operator="greaterThan" aboveAverage="0" dxfId="7" text="" percent="0" bottom="0">
      <formula>0</formula>
    </cfRule>
  </conditionalFormatting>
  <conditionalFormatting sqref="K913">
    <cfRule type="cellIs" rank="0" priority="3631" equalAverage="0" operator="greaterThan" aboveAverage="0" dxfId="7" text="" percent="0" bottom="0">
      <formula>0</formula>
    </cfRule>
  </conditionalFormatting>
  <conditionalFormatting sqref="N913">
    <cfRule type="cellIs" rank="0" priority="3632" equalAverage="0" operator="greaterThan" aboveAverage="0" dxfId="7" text="" percent="0" bottom="0">
      <formula>0</formula>
    </cfRule>
    <cfRule type="cellIs" rank="0" priority="3633" equalAverage="0" operator="lessThan" aboveAverage="0" dxfId="8" text="" percent="0" bottom="0">
      <formula>0</formula>
    </cfRule>
  </conditionalFormatting>
  <conditionalFormatting sqref="I914">
    <cfRule type="cellIs" rank="0" priority="3634" equalAverage="0" operator="greaterThan" aboveAverage="0" dxfId="7" text="" percent="0" bottom="0">
      <formula>0</formula>
    </cfRule>
  </conditionalFormatting>
  <conditionalFormatting sqref="K914">
    <cfRule type="cellIs" rank="0" priority="3635" equalAverage="0" operator="greaterThan" aboveAverage="0" dxfId="7" text="" percent="0" bottom="0">
      <formula>0</formula>
    </cfRule>
  </conditionalFormatting>
  <conditionalFormatting sqref="N914">
    <cfRule type="cellIs" rank="0" priority="3636" equalAverage="0" operator="greaterThan" aboveAverage="0" dxfId="7" text="" percent="0" bottom="0">
      <formula>0</formula>
    </cfRule>
    <cfRule type="cellIs" rank="0" priority="3637" equalAverage="0" operator="lessThan" aboveAverage="0" dxfId="8" text="" percent="0" bottom="0">
      <formula>0</formula>
    </cfRule>
  </conditionalFormatting>
  <conditionalFormatting sqref="I915">
    <cfRule type="cellIs" rank="0" priority="3638" equalAverage="0" operator="greaterThan" aboveAverage="0" dxfId="7" text="" percent="0" bottom="0">
      <formula>0</formula>
    </cfRule>
  </conditionalFormatting>
  <conditionalFormatting sqref="K915">
    <cfRule type="cellIs" rank="0" priority="3639" equalAverage="0" operator="greaterThan" aboveAverage="0" dxfId="7" text="" percent="0" bottom="0">
      <formula>0</formula>
    </cfRule>
  </conditionalFormatting>
  <conditionalFormatting sqref="N915">
    <cfRule type="cellIs" rank="0" priority="3640" equalAverage="0" operator="greaterThan" aboveAverage="0" dxfId="7" text="" percent="0" bottom="0">
      <formula>0</formula>
    </cfRule>
    <cfRule type="cellIs" rank="0" priority="3641" equalAverage="0" operator="lessThan" aboveAverage="0" dxfId="8" text="" percent="0" bottom="0">
      <formula>0</formula>
    </cfRule>
  </conditionalFormatting>
  <conditionalFormatting sqref="I916">
    <cfRule type="cellIs" rank="0" priority="3642" equalAverage="0" operator="greaterThan" aboveAverage="0" dxfId="7" text="" percent="0" bottom="0">
      <formula>0</formula>
    </cfRule>
  </conditionalFormatting>
  <conditionalFormatting sqref="K916">
    <cfRule type="cellIs" rank="0" priority="3643" equalAverage="0" operator="greaterThan" aboveAverage="0" dxfId="7" text="" percent="0" bottom="0">
      <formula>0</formula>
    </cfRule>
  </conditionalFormatting>
  <conditionalFormatting sqref="N916">
    <cfRule type="cellIs" rank="0" priority="3644" equalAverage="0" operator="greaterThan" aboveAverage="0" dxfId="7" text="" percent="0" bottom="0">
      <formula>0</formula>
    </cfRule>
    <cfRule type="cellIs" rank="0" priority="3645" equalAverage="0" operator="lessThan" aboveAverage="0" dxfId="8" text="" percent="0" bottom="0">
      <formula>0</formula>
    </cfRule>
  </conditionalFormatting>
  <conditionalFormatting sqref="I917">
    <cfRule type="cellIs" rank="0" priority="3646" equalAverage="0" operator="greaterThan" aboveAverage="0" dxfId="7" text="" percent="0" bottom="0">
      <formula>0</formula>
    </cfRule>
  </conditionalFormatting>
  <conditionalFormatting sqref="K917">
    <cfRule type="cellIs" rank="0" priority="3647" equalAverage="0" operator="greaterThan" aboveAverage="0" dxfId="7" text="" percent="0" bottom="0">
      <formula>0</formula>
    </cfRule>
  </conditionalFormatting>
  <conditionalFormatting sqref="N917">
    <cfRule type="cellIs" rank="0" priority="3648" equalAverage="0" operator="greaterThan" aboveAverage="0" dxfId="7" text="" percent="0" bottom="0">
      <formula>0</formula>
    </cfRule>
    <cfRule type="cellIs" rank="0" priority="3649" equalAverage="0" operator="lessThan" aboveAverage="0" dxfId="8" text="" percent="0" bottom="0">
      <formula>0</formula>
    </cfRule>
  </conditionalFormatting>
  <conditionalFormatting sqref="I918">
    <cfRule type="cellIs" rank="0" priority="3650" equalAverage="0" operator="greaterThan" aboveAverage="0" dxfId="7" text="" percent="0" bottom="0">
      <formula>0</formula>
    </cfRule>
  </conditionalFormatting>
  <conditionalFormatting sqref="K918">
    <cfRule type="cellIs" rank="0" priority="3651" equalAverage="0" operator="greaterThan" aboveAverage="0" dxfId="7" text="" percent="0" bottom="0">
      <formula>0</formula>
    </cfRule>
  </conditionalFormatting>
  <conditionalFormatting sqref="N918">
    <cfRule type="cellIs" rank="0" priority="3652" equalAverage="0" operator="greaterThan" aboveAverage="0" dxfId="7" text="" percent="0" bottom="0">
      <formula>0</formula>
    </cfRule>
    <cfRule type="cellIs" rank="0" priority="3653" equalAverage="0" operator="lessThan" aboveAverage="0" dxfId="8" text="" percent="0" bottom="0">
      <formula>0</formula>
    </cfRule>
  </conditionalFormatting>
  <conditionalFormatting sqref="I919">
    <cfRule type="cellIs" rank="0" priority="3654" equalAverage="0" operator="greaterThan" aboveAverage="0" dxfId="7" text="" percent="0" bottom="0">
      <formula>0</formula>
    </cfRule>
  </conditionalFormatting>
  <conditionalFormatting sqref="K919">
    <cfRule type="cellIs" rank="0" priority="3655" equalAverage="0" operator="greaterThan" aboveAverage="0" dxfId="7" text="" percent="0" bottom="0">
      <formula>0</formula>
    </cfRule>
  </conditionalFormatting>
  <conditionalFormatting sqref="N919">
    <cfRule type="cellIs" rank="0" priority="3656" equalAverage="0" operator="greaterThan" aboveAverage="0" dxfId="7" text="" percent="0" bottom="0">
      <formula>0</formula>
    </cfRule>
    <cfRule type="cellIs" rank="0" priority="3657" equalAverage="0" operator="lessThan" aboveAverage="0" dxfId="8" text="" percent="0" bottom="0">
      <formula>0</formula>
    </cfRule>
  </conditionalFormatting>
  <conditionalFormatting sqref="I920">
    <cfRule type="cellIs" rank="0" priority="3658" equalAverage="0" operator="greaterThan" aboveAverage="0" dxfId="7" text="" percent="0" bottom="0">
      <formula>0</formula>
    </cfRule>
  </conditionalFormatting>
  <conditionalFormatting sqref="K920">
    <cfRule type="cellIs" rank="0" priority="3659" equalAverage="0" operator="greaterThan" aboveAverage="0" dxfId="7" text="" percent="0" bottom="0">
      <formula>0</formula>
    </cfRule>
  </conditionalFormatting>
  <conditionalFormatting sqref="N920">
    <cfRule type="cellIs" rank="0" priority="3660" equalAverage="0" operator="greaterThan" aboveAverage="0" dxfId="7" text="" percent="0" bottom="0">
      <formula>0</formula>
    </cfRule>
    <cfRule type="cellIs" rank="0" priority="3661" equalAverage="0" operator="lessThan" aboveAverage="0" dxfId="8" text="" percent="0" bottom="0">
      <formula>0</formula>
    </cfRule>
  </conditionalFormatting>
  <conditionalFormatting sqref="I921">
    <cfRule type="cellIs" rank="0" priority="3662" equalAverage="0" operator="greaterThan" aboveAverage="0" dxfId="7" text="" percent="0" bottom="0">
      <formula>0</formula>
    </cfRule>
  </conditionalFormatting>
  <conditionalFormatting sqref="K921">
    <cfRule type="cellIs" rank="0" priority="3663" equalAverage="0" operator="greaterThan" aboveAverage="0" dxfId="7" text="" percent="0" bottom="0">
      <formula>0</formula>
    </cfRule>
  </conditionalFormatting>
  <conditionalFormatting sqref="N921">
    <cfRule type="cellIs" rank="0" priority="3664" equalAverage="0" operator="greaterThan" aboveAverage="0" dxfId="7" text="" percent="0" bottom="0">
      <formula>0</formula>
    </cfRule>
    <cfRule type="cellIs" rank="0" priority="3665" equalAverage="0" operator="lessThan" aboveAverage="0" dxfId="8" text="" percent="0" bottom="0">
      <formula>0</formula>
    </cfRule>
  </conditionalFormatting>
  <conditionalFormatting sqref="I922">
    <cfRule type="cellIs" rank="0" priority="3666" equalAverage="0" operator="greaterThan" aboveAverage="0" dxfId="7" text="" percent="0" bottom="0">
      <formula>0</formula>
    </cfRule>
  </conditionalFormatting>
  <conditionalFormatting sqref="K922">
    <cfRule type="cellIs" rank="0" priority="3667" equalAverage="0" operator="greaterThan" aboveAverage="0" dxfId="7" text="" percent="0" bottom="0">
      <formula>0</formula>
    </cfRule>
  </conditionalFormatting>
  <conditionalFormatting sqref="N922">
    <cfRule type="cellIs" rank="0" priority="3668" equalAverage="0" operator="greaterThan" aboveAverage="0" dxfId="7" text="" percent="0" bottom="0">
      <formula>0</formula>
    </cfRule>
    <cfRule type="cellIs" rank="0" priority="3669" equalAverage="0" operator="lessThan" aboveAverage="0" dxfId="8" text="" percent="0" bottom="0">
      <formula>0</formula>
    </cfRule>
  </conditionalFormatting>
  <conditionalFormatting sqref="I923">
    <cfRule type="cellIs" rank="0" priority="3670" equalAverage="0" operator="greaterThan" aboveAverage="0" dxfId="7" text="" percent="0" bottom="0">
      <formula>0</formula>
    </cfRule>
  </conditionalFormatting>
  <conditionalFormatting sqref="K923">
    <cfRule type="cellIs" rank="0" priority="3671" equalAverage="0" operator="greaterThan" aboveAverage="0" dxfId="7" text="" percent="0" bottom="0">
      <formula>0</formula>
    </cfRule>
  </conditionalFormatting>
  <conditionalFormatting sqref="N923">
    <cfRule type="cellIs" rank="0" priority="3672" equalAverage="0" operator="greaterThan" aboveAverage="0" dxfId="7" text="" percent="0" bottom="0">
      <formula>0</formula>
    </cfRule>
    <cfRule type="cellIs" rank="0" priority="3673" equalAverage="0" operator="lessThan" aboveAverage="0" dxfId="8" text="" percent="0" bottom="0">
      <formula>0</formula>
    </cfRule>
  </conditionalFormatting>
  <conditionalFormatting sqref="I924">
    <cfRule type="cellIs" rank="0" priority="3674" equalAverage="0" operator="greaterThan" aboveAverage="0" dxfId="7" text="" percent="0" bottom="0">
      <formula>0</formula>
    </cfRule>
  </conditionalFormatting>
  <conditionalFormatting sqref="K924">
    <cfRule type="cellIs" rank="0" priority="3675" equalAverage="0" operator="greaterThan" aboveAverage="0" dxfId="7" text="" percent="0" bottom="0">
      <formula>0</formula>
    </cfRule>
  </conditionalFormatting>
  <conditionalFormatting sqref="N924">
    <cfRule type="cellIs" rank="0" priority="3676" equalAverage="0" operator="greaterThan" aboveAverage="0" dxfId="7" text="" percent="0" bottom="0">
      <formula>0</formula>
    </cfRule>
    <cfRule type="cellIs" rank="0" priority="3677" equalAverage="0" operator="lessThan" aboveAverage="0" dxfId="8" text="" percent="0" bottom="0">
      <formula>0</formula>
    </cfRule>
  </conditionalFormatting>
  <conditionalFormatting sqref="I925">
    <cfRule type="cellIs" rank="0" priority="3678" equalAverage="0" operator="greaterThan" aboveAverage="0" dxfId="7" text="" percent="0" bottom="0">
      <formula>0</formula>
    </cfRule>
  </conditionalFormatting>
  <conditionalFormatting sqref="K925">
    <cfRule type="cellIs" rank="0" priority="3679" equalAverage="0" operator="greaterThan" aboveAverage="0" dxfId="7" text="" percent="0" bottom="0">
      <formula>0</formula>
    </cfRule>
  </conditionalFormatting>
  <conditionalFormatting sqref="N925">
    <cfRule type="cellIs" rank="0" priority="3680" equalAverage="0" operator="greaterThan" aboveAverage="0" dxfId="7" text="" percent="0" bottom="0">
      <formula>0</formula>
    </cfRule>
    <cfRule type="cellIs" rank="0" priority="3681" equalAverage="0" operator="lessThan" aboveAverage="0" dxfId="8" text="" percent="0" bottom="0">
      <formula>0</formula>
    </cfRule>
  </conditionalFormatting>
  <conditionalFormatting sqref="I926">
    <cfRule type="cellIs" rank="0" priority="3682" equalAverage="0" operator="greaterThan" aboveAverage="0" dxfId="7" text="" percent="0" bottom="0">
      <formula>0</formula>
    </cfRule>
  </conditionalFormatting>
  <conditionalFormatting sqref="K926">
    <cfRule type="cellIs" rank="0" priority="3683" equalAverage="0" operator="greaterThan" aboveAverage="0" dxfId="7" text="" percent="0" bottom="0">
      <formula>0</formula>
    </cfRule>
  </conditionalFormatting>
  <conditionalFormatting sqref="N926">
    <cfRule type="cellIs" rank="0" priority="3684" equalAverage="0" operator="greaterThan" aboveAverage="0" dxfId="7" text="" percent="0" bottom="0">
      <formula>0</formula>
    </cfRule>
    <cfRule type="cellIs" rank="0" priority="3685" equalAverage="0" operator="lessThan" aboveAverage="0" dxfId="8" text="" percent="0" bottom="0">
      <formula>0</formula>
    </cfRule>
  </conditionalFormatting>
  <conditionalFormatting sqref="I927">
    <cfRule type="cellIs" rank="0" priority="3686" equalAverage="0" operator="greaterThan" aboveAverage="0" dxfId="7" text="" percent="0" bottom="0">
      <formula>0</formula>
    </cfRule>
  </conditionalFormatting>
  <conditionalFormatting sqref="K927">
    <cfRule type="cellIs" rank="0" priority="3687" equalAverage="0" operator="greaterThan" aboveAverage="0" dxfId="7" text="" percent="0" bottom="0">
      <formula>0</formula>
    </cfRule>
  </conditionalFormatting>
  <conditionalFormatting sqref="N927">
    <cfRule type="cellIs" rank="0" priority="3688" equalAverage="0" operator="greaterThan" aboveAverage="0" dxfId="7" text="" percent="0" bottom="0">
      <formula>0</formula>
    </cfRule>
    <cfRule type="cellIs" rank="0" priority="3689" equalAverage="0" operator="lessThan" aboveAverage="0" dxfId="8" text="" percent="0" bottom="0">
      <formula>0</formula>
    </cfRule>
  </conditionalFormatting>
  <conditionalFormatting sqref="I928">
    <cfRule type="cellIs" rank="0" priority="3690" equalAverage="0" operator="greaterThan" aboveAverage="0" dxfId="7" text="" percent="0" bottom="0">
      <formula>0</formula>
    </cfRule>
  </conditionalFormatting>
  <conditionalFormatting sqref="K928">
    <cfRule type="cellIs" rank="0" priority="3691" equalAverage="0" operator="greaterThan" aboveAverage="0" dxfId="7" text="" percent="0" bottom="0">
      <formula>0</formula>
    </cfRule>
  </conditionalFormatting>
  <conditionalFormatting sqref="N928">
    <cfRule type="cellIs" rank="0" priority="3692" equalAverage="0" operator="greaterThan" aboveAverage="0" dxfId="7" text="" percent="0" bottom="0">
      <formula>0</formula>
    </cfRule>
    <cfRule type="cellIs" rank="0" priority="3693" equalAverage="0" operator="lessThan" aboveAverage="0" dxfId="8" text="" percent="0" bottom="0">
      <formula>0</formula>
    </cfRule>
  </conditionalFormatting>
  <conditionalFormatting sqref="I929">
    <cfRule type="cellIs" rank="0" priority="3694" equalAverage="0" operator="greaterThan" aboveAverage="0" dxfId="7" text="" percent="0" bottom="0">
      <formula>0</formula>
    </cfRule>
  </conditionalFormatting>
  <conditionalFormatting sqref="K929">
    <cfRule type="cellIs" rank="0" priority="3695" equalAverage="0" operator="greaterThan" aboveAverage="0" dxfId="7" text="" percent="0" bottom="0">
      <formula>0</formula>
    </cfRule>
  </conditionalFormatting>
  <conditionalFormatting sqref="N929">
    <cfRule type="cellIs" rank="0" priority="3696" equalAverage="0" operator="greaterThan" aboveAverage="0" dxfId="7" text="" percent="0" bottom="0">
      <formula>0</formula>
    </cfRule>
    <cfRule type="cellIs" rank="0" priority="3697" equalAverage="0" operator="lessThan" aboveAverage="0" dxfId="8" text="" percent="0" bottom="0">
      <formula>0</formula>
    </cfRule>
  </conditionalFormatting>
  <conditionalFormatting sqref="I930">
    <cfRule type="cellIs" rank="0" priority="3698" equalAverage="0" operator="greaterThan" aboveAverage="0" dxfId="7" text="" percent="0" bottom="0">
      <formula>0</formula>
    </cfRule>
  </conditionalFormatting>
  <conditionalFormatting sqref="K930">
    <cfRule type="cellIs" rank="0" priority="3699" equalAverage="0" operator="greaterThan" aboveAverage="0" dxfId="7" text="" percent="0" bottom="0">
      <formula>0</formula>
    </cfRule>
  </conditionalFormatting>
  <conditionalFormatting sqref="N930">
    <cfRule type="cellIs" rank="0" priority="3700" equalAverage="0" operator="greaterThan" aboveAverage="0" dxfId="7" text="" percent="0" bottom="0">
      <formula>0</formula>
    </cfRule>
    <cfRule type="cellIs" rank="0" priority="3701" equalAverage="0" operator="lessThan" aboveAverage="0" dxfId="8" text="" percent="0" bottom="0">
      <formula>0</formula>
    </cfRule>
  </conditionalFormatting>
  <conditionalFormatting sqref="I931">
    <cfRule type="cellIs" rank="0" priority="3702" equalAverage="0" operator="greaterThan" aboveAverage="0" dxfId="7" text="" percent="0" bottom="0">
      <formula>0</formula>
    </cfRule>
  </conditionalFormatting>
  <conditionalFormatting sqref="K931">
    <cfRule type="cellIs" rank="0" priority="3703" equalAverage="0" operator="greaterThan" aboveAverage="0" dxfId="7" text="" percent="0" bottom="0">
      <formula>0</formula>
    </cfRule>
  </conditionalFormatting>
  <conditionalFormatting sqref="N931">
    <cfRule type="cellIs" rank="0" priority="3704" equalAverage="0" operator="greaterThan" aboveAverage="0" dxfId="7" text="" percent="0" bottom="0">
      <formula>0</formula>
    </cfRule>
    <cfRule type="cellIs" rank="0" priority="3705" equalAverage="0" operator="lessThan" aboveAverage="0" dxfId="8" text="" percent="0" bottom="0">
      <formula>0</formula>
    </cfRule>
  </conditionalFormatting>
  <conditionalFormatting sqref="I932">
    <cfRule type="cellIs" rank="0" priority="3706" equalAverage="0" operator="greaterThan" aboveAverage="0" dxfId="7" text="" percent="0" bottom="0">
      <formula>0</formula>
    </cfRule>
  </conditionalFormatting>
  <conditionalFormatting sqref="K932">
    <cfRule type="cellIs" rank="0" priority="3707" equalAverage="0" operator="greaterThan" aboveAverage="0" dxfId="7" text="" percent="0" bottom="0">
      <formula>0</formula>
    </cfRule>
  </conditionalFormatting>
  <conditionalFormatting sqref="N932">
    <cfRule type="cellIs" rank="0" priority="3708" equalAverage="0" operator="greaterThan" aboveAverage="0" dxfId="7" text="" percent="0" bottom="0">
      <formula>0</formula>
    </cfRule>
    <cfRule type="cellIs" rank="0" priority="3709" equalAverage="0" operator="lessThan" aboveAverage="0" dxfId="8" text="" percent="0" bottom="0">
      <formula>0</formula>
    </cfRule>
  </conditionalFormatting>
  <conditionalFormatting sqref="I933">
    <cfRule type="cellIs" rank="0" priority="3710" equalAverage="0" operator="greaterThan" aboveAverage="0" dxfId="7" text="" percent="0" bottom="0">
      <formula>0</formula>
    </cfRule>
  </conditionalFormatting>
  <conditionalFormatting sqref="K933">
    <cfRule type="cellIs" rank="0" priority="3711" equalAverage="0" operator="greaterThan" aboveAverage="0" dxfId="7" text="" percent="0" bottom="0">
      <formula>0</formula>
    </cfRule>
  </conditionalFormatting>
  <conditionalFormatting sqref="N933">
    <cfRule type="cellIs" rank="0" priority="3712" equalAverage="0" operator="greaterThan" aboveAverage="0" dxfId="7" text="" percent="0" bottom="0">
      <formula>0</formula>
    </cfRule>
    <cfRule type="cellIs" rank="0" priority="3713" equalAverage="0" operator="lessThan" aboveAverage="0" dxfId="8" text="" percent="0" bottom="0">
      <formula>0</formula>
    </cfRule>
  </conditionalFormatting>
  <conditionalFormatting sqref="I934">
    <cfRule type="cellIs" rank="0" priority="3714" equalAverage="0" operator="greaterThan" aboveAverage="0" dxfId="7" text="" percent="0" bottom="0">
      <formula>0</formula>
    </cfRule>
  </conditionalFormatting>
  <conditionalFormatting sqref="K934">
    <cfRule type="cellIs" rank="0" priority="3715" equalAverage="0" operator="greaterThan" aboveAverage="0" dxfId="7" text="" percent="0" bottom="0">
      <formula>0</formula>
    </cfRule>
  </conditionalFormatting>
  <conditionalFormatting sqref="N934">
    <cfRule type="cellIs" rank="0" priority="3716" equalAverage="0" operator="greaterThan" aboveAverage="0" dxfId="7" text="" percent="0" bottom="0">
      <formula>0</formula>
    </cfRule>
    <cfRule type="cellIs" rank="0" priority="3717" equalAverage="0" operator="lessThan" aboveAverage="0" dxfId="8" text="" percent="0" bottom="0">
      <formula>0</formula>
    </cfRule>
  </conditionalFormatting>
  <conditionalFormatting sqref="I935">
    <cfRule type="cellIs" rank="0" priority="3718" equalAverage="0" operator="greaterThan" aboveAverage="0" dxfId="7" text="" percent="0" bottom="0">
      <formula>0</formula>
    </cfRule>
  </conditionalFormatting>
  <conditionalFormatting sqref="K935">
    <cfRule type="cellIs" rank="0" priority="3719" equalAverage="0" operator="greaterThan" aboveAverage="0" dxfId="7" text="" percent="0" bottom="0">
      <formula>0</formula>
    </cfRule>
  </conditionalFormatting>
  <conditionalFormatting sqref="N935">
    <cfRule type="cellIs" rank="0" priority="3720" equalAverage="0" operator="greaterThan" aboveAverage="0" dxfId="7" text="" percent="0" bottom="0">
      <formula>0</formula>
    </cfRule>
    <cfRule type="cellIs" rank="0" priority="3721" equalAverage="0" operator="lessThan" aboveAverage="0" dxfId="8" text="" percent="0" bottom="0">
      <formula>0</formula>
    </cfRule>
  </conditionalFormatting>
  <conditionalFormatting sqref="I936">
    <cfRule type="cellIs" rank="0" priority="3722" equalAverage="0" operator="greaterThan" aboveAverage="0" dxfId="7" text="" percent="0" bottom="0">
      <formula>0</formula>
    </cfRule>
  </conditionalFormatting>
  <conditionalFormatting sqref="K936">
    <cfRule type="cellIs" rank="0" priority="3723" equalAverage="0" operator="greaterThan" aboveAverage="0" dxfId="7" text="" percent="0" bottom="0">
      <formula>0</formula>
    </cfRule>
  </conditionalFormatting>
  <conditionalFormatting sqref="N936">
    <cfRule type="cellIs" rank="0" priority="3724" equalAverage="0" operator="greaterThan" aboveAverage="0" dxfId="7" text="" percent="0" bottom="0">
      <formula>0</formula>
    </cfRule>
    <cfRule type="cellIs" rank="0" priority="3725" equalAverage="0" operator="lessThan" aboveAverage="0" dxfId="8" text="" percent="0" bottom="0">
      <formula>0</formula>
    </cfRule>
  </conditionalFormatting>
  <conditionalFormatting sqref="I937">
    <cfRule type="cellIs" rank="0" priority="3726" equalAverage="0" operator="greaterThan" aboveAverage="0" dxfId="7" text="" percent="0" bottom="0">
      <formula>0</formula>
    </cfRule>
  </conditionalFormatting>
  <conditionalFormatting sqref="K937">
    <cfRule type="cellIs" rank="0" priority="3727" equalAverage="0" operator="greaterThan" aboveAverage="0" dxfId="7" text="" percent="0" bottom="0">
      <formula>0</formula>
    </cfRule>
  </conditionalFormatting>
  <conditionalFormatting sqref="N937">
    <cfRule type="cellIs" rank="0" priority="3728" equalAverage="0" operator="greaterThan" aboveAverage="0" dxfId="7" text="" percent="0" bottom="0">
      <formula>0</formula>
    </cfRule>
    <cfRule type="cellIs" rank="0" priority="3729" equalAverage="0" operator="lessThan" aboveAverage="0" dxfId="8" text="" percent="0" bottom="0">
      <formula>0</formula>
    </cfRule>
  </conditionalFormatting>
  <conditionalFormatting sqref="I938">
    <cfRule type="cellIs" rank="0" priority="3730" equalAverage="0" operator="greaterThan" aboveAverage="0" dxfId="7" text="" percent="0" bottom="0">
      <formula>0</formula>
    </cfRule>
  </conditionalFormatting>
  <conditionalFormatting sqref="K938">
    <cfRule type="cellIs" rank="0" priority="3731" equalAverage="0" operator="greaterThan" aboveAverage="0" dxfId="7" text="" percent="0" bottom="0">
      <formula>0</formula>
    </cfRule>
  </conditionalFormatting>
  <conditionalFormatting sqref="N938">
    <cfRule type="cellIs" rank="0" priority="3732" equalAverage="0" operator="greaterThan" aboveAverage="0" dxfId="7" text="" percent="0" bottom="0">
      <formula>0</formula>
    </cfRule>
    <cfRule type="cellIs" rank="0" priority="3733" equalAverage="0" operator="lessThan" aboveAverage="0" dxfId="8" text="" percent="0" bottom="0">
      <formula>0</formula>
    </cfRule>
  </conditionalFormatting>
  <conditionalFormatting sqref="I939">
    <cfRule type="cellIs" rank="0" priority="3734" equalAverage="0" operator="greaterThan" aboveAverage="0" dxfId="7" text="" percent="0" bottom="0">
      <formula>0</formula>
    </cfRule>
  </conditionalFormatting>
  <conditionalFormatting sqref="K939">
    <cfRule type="cellIs" rank="0" priority="3735" equalAverage="0" operator="greaterThan" aboveAverage="0" dxfId="7" text="" percent="0" bottom="0">
      <formula>0</formula>
    </cfRule>
  </conditionalFormatting>
  <conditionalFormatting sqref="N939">
    <cfRule type="cellIs" rank="0" priority="3736" equalAverage="0" operator="greaterThan" aboveAverage="0" dxfId="7" text="" percent="0" bottom="0">
      <formula>0</formula>
    </cfRule>
    <cfRule type="cellIs" rank="0" priority="3737" equalAverage="0" operator="lessThan" aboveAverage="0" dxfId="8" text="" percent="0" bottom="0">
      <formula>0</formula>
    </cfRule>
  </conditionalFormatting>
  <conditionalFormatting sqref="I940">
    <cfRule type="cellIs" rank="0" priority="3738" equalAverage="0" operator="greaterThan" aboveAverage="0" dxfId="7" text="" percent="0" bottom="0">
      <formula>0</formula>
    </cfRule>
  </conditionalFormatting>
  <conditionalFormatting sqref="K940">
    <cfRule type="cellIs" rank="0" priority="3739" equalAverage="0" operator="greaterThan" aboveAverage="0" dxfId="7" text="" percent="0" bottom="0">
      <formula>0</formula>
    </cfRule>
  </conditionalFormatting>
  <conditionalFormatting sqref="N940">
    <cfRule type="cellIs" rank="0" priority="3740" equalAverage="0" operator="greaterThan" aboveAverage="0" dxfId="7" text="" percent="0" bottom="0">
      <formula>0</formula>
    </cfRule>
    <cfRule type="cellIs" rank="0" priority="3741" equalAverage="0" operator="lessThan" aboveAverage="0" dxfId="8" text="" percent="0" bottom="0">
      <formula>0</formula>
    </cfRule>
  </conditionalFormatting>
  <conditionalFormatting sqref="I941">
    <cfRule type="cellIs" rank="0" priority="3742" equalAverage="0" operator="greaterThan" aboveAverage="0" dxfId="7" text="" percent="0" bottom="0">
      <formula>0</formula>
    </cfRule>
  </conditionalFormatting>
  <conditionalFormatting sqref="K941">
    <cfRule type="cellIs" rank="0" priority="3743" equalAverage="0" operator="greaterThan" aboveAverage="0" dxfId="7" text="" percent="0" bottom="0">
      <formula>0</formula>
    </cfRule>
  </conditionalFormatting>
  <conditionalFormatting sqref="N941">
    <cfRule type="cellIs" rank="0" priority="3744" equalAverage="0" operator="greaterThan" aboveAverage="0" dxfId="7" text="" percent="0" bottom="0">
      <formula>0</formula>
    </cfRule>
    <cfRule type="cellIs" rank="0" priority="3745" equalAverage="0" operator="lessThan" aboveAverage="0" dxfId="8" text="" percent="0" bottom="0">
      <formula>0</formula>
    </cfRule>
  </conditionalFormatting>
  <conditionalFormatting sqref="I942">
    <cfRule type="cellIs" rank="0" priority="3746" equalAverage="0" operator="greaterThan" aboveAverage="0" dxfId="7" text="" percent="0" bottom="0">
      <formula>0</formula>
    </cfRule>
  </conditionalFormatting>
  <conditionalFormatting sqref="K942">
    <cfRule type="cellIs" rank="0" priority="3747" equalAverage="0" operator="greaterThan" aboveAverage="0" dxfId="7" text="" percent="0" bottom="0">
      <formula>0</formula>
    </cfRule>
  </conditionalFormatting>
  <conditionalFormatting sqref="N942">
    <cfRule type="cellIs" rank="0" priority="3748" equalAverage="0" operator="greaterThan" aboveAverage="0" dxfId="7" text="" percent="0" bottom="0">
      <formula>0</formula>
    </cfRule>
    <cfRule type="cellIs" rank="0" priority="3749" equalAverage="0" operator="lessThan" aboveAverage="0" dxfId="8" text="" percent="0" bottom="0">
      <formula>0</formula>
    </cfRule>
  </conditionalFormatting>
  <conditionalFormatting sqref="I943">
    <cfRule type="cellIs" rank="0" priority="3750" equalAverage="0" operator="greaterThan" aboveAverage="0" dxfId="7" text="" percent="0" bottom="0">
      <formula>0</formula>
    </cfRule>
  </conditionalFormatting>
  <conditionalFormatting sqref="K943">
    <cfRule type="cellIs" rank="0" priority="3751" equalAverage="0" operator="greaterThan" aboveAverage="0" dxfId="7" text="" percent="0" bottom="0">
      <formula>0</formula>
    </cfRule>
  </conditionalFormatting>
  <conditionalFormatting sqref="N943">
    <cfRule type="cellIs" rank="0" priority="3752" equalAverage="0" operator="greaterThan" aboveAverage="0" dxfId="7" text="" percent="0" bottom="0">
      <formula>0</formula>
    </cfRule>
    <cfRule type="cellIs" rank="0" priority="3753" equalAverage="0" operator="lessThan" aboveAverage="0" dxfId="8" text="" percent="0" bottom="0">
      <formula>0</formula>
    </cfRule>
  </conditionalFormatting>
  <conditionalFormatting sqref="I944">
    <cfRule type="cellIs" rank="0" priority="3754" equalAverage="0" operator="greaterThan" aboveAverage="0" dxfId="7" text="" percent="0" bottom="0">
      <formula>0</formula>
    </cfRule>
  </conditionalFormatting>
  <conditionalFormatting sqref="K944">
    <cfRule type="cellIs" rank="0" priority="3755" equalAverage="0" operator="greaterThan" aboveAverage="0" dxfId="7" text="" percent="0" bottom="0">
      <formula>0</formula>
    </cfRule>
  </conditionalFormatting>
  <conditionalFormatting sqref="N944">
    <cfRule type="cellIs" rank="0" priority="3756" equalAverage="0" operator="greaterThan" aboveAverage="0" dxfId="7" text="" percent="0" bottom="0">
      <formula>0</formula>
    </cfRule>
    <cfRule type="cellIs" rank="0" priority="3757" equalAverage="0" operator="lessThan" aboveAverage="0" dxfId="8" text="" percent="0" bottom="0">
      <formula>0</formula>
    </cfRule>
  </conditionalFormatting>
  <conditionalFormatting sqref="I945">
    <cfRule type="cellIs" rank="0" priority="3758" equalAverage="0" operator="greaterThan" aboveAverage="0" dxfId="7" text="" percent="0" bottom="0">
      <formula>0</formula>
    </cfRule>
  </conditionalFormatting>
  <conditionalFormatting sqref="K945">
    <cfRule type="cellIs" rank="0" priority="3759" equalAverage="0" operator="greaterThan" aboveAverage="0" dxfId="7" text="" percent="0" bottom="0">
      <formula>0</formula>
    </cfRule>
  </conditionalFormatting>
  <conditionalFormatting sqref="N945">
    <cfRule type="cellIs" rank="0" priority="3760" equalAverage="0" operator="greaterThan" aboveAverage="0" dxfId="7" text="" percent="0" bottom="0">
      <formula>0</formula>
    </cfRule>
    <cfRule type="cellIs" rank="0" priority="3761" equalAverage="0" operator="lessThan" aboveAverage="0" dxfId="8" text="" percent="0" bottom="0">
      <formula>0</formula>
    </cfRule>
  </conditionalFormatting>
  <conditionalFormatting sqref="I946">
    <cfRule type="cellIs" rank="0" priority="3762" equalAverage="0" operator="greaterThan" aboveAverage="0" dxfId="7" text="" percent="0" bottom="0">
      <formula>0</formula>
    </cfRule>
  </conditionalFormatting>
  <conditionalFormatting sqref="K946">
    <cfRule type="cellIs" rank="0" priority="3763" equalAverage="0" operator="greaterThan" aboveAverage="0" dxfId="7" text="" percent="0" bottom="0">
      <formula>0</formula>
    </cfRule>
  </conditionalFormatting>
  <conditionalFormatting sqref="N946">
    <cfRule type="cellIs" rank="0" priority="3764" equalAverage="0" operator="greaterThan" aboveAverage="0" dxfId="7" text="" percent="0" bottom="0">
      <formula>0</formula>
    </cfRule>
    <cfRule type="cellIs" rank="0" priority="3765" equalAverage="0" operator="lessThan" aboveAverage="0" dxfId="8" text="" percent="0" bottom="0">
      <formula>0</formula>
    </cfRule>
  </conditionalFormatting>
  <conditionalFormatting sqref="I947">
    <cfRule type="cellIs" rank="0" priority="3766" equalAverage="0" operator="greaterThan" aboveAverage="0" dxfId="7" text="" percent="0" bottom="0">
      <formula>0</formula>
    </cfRule>
  </conditionalFormatting>
  <conditionalFormatting sqref="K947">
    <cfRule type="cellIs" rank="0" priority="3767" equalAverage="0" operator="greaterThan" aboveAverage="0" dxfId="7" text="" percent="0" bottom="0">
      <formula>0</formula>
    </cfRule>
  </conditionalFormatting>
  <conditionalFormatting sqref="N947">
    <cfRule type="cellIs" rank="0" priority="3768" equalAverage="0" operator="greaterThan" aboveAverage="0" dxfId="7" text="" percent="0" bottom="0">
      <formula>0</formula>
    </cfRule>
    <cfRule type="cellIs" rank="0" priority="3769" equalAverage="0" operator="lessThan" aboveAverage="0" dxfId="8" text="" percent="0" bottom="0">
      <formula>0</formula>
    </cfRule>
  </conditionalFormatting>
  <conditionalFormatting sqref="I948">
    <cfRule type="cellIs" rank="0" priority="3770" equalAverage="0" operator="greaterThan" aboveAverage="0" dxfId="7" text="" percent="0" bottom="0">
      <formula>0</formula>
    </cfRule>
  </conditionalFormatting>
  <conditionalFormatting sqref="K948">
    <cfRule type="cellIs" rank="0" priority="3771" equalAverage="0" operator="greaterThan" aboveAverage="0" dxfId="7" text="" percent="0" bottom="0">
      <formula>0</formula>
    </cfRule>
  </conditionalFormatting>
  <conditionalFormatting sqref="N948">
    <cfRule type="cellIs" rank="0" priority="3772" equalAverage="0" operator="greaterThan" aboveAverage="0" dxfId="7" text="" percent="0" bottom="0">
      <formula>0</formula>
    </cfRule>
    <cfRule type="cellIs" rank="0" priority="3773" equalAverage="0" operator="lessThan" aboveAverage="0" dxfId="8" text="" percent="0" bottom="0">
      <formula>0</formula>
    </cfRule>
  </conditionalFormatting>
  <conditionalFormatting sqref="I949">
    <cfRule type="cellIs" rank="0" priority="3774" equalAverage="0" operator="greaterThan" aboveAverage="0" dxfId="7" text="" percent="0" bottom="0">
      <formula>0</formula>
    </cfRule>
  </conditionalFormatting>
  <conditionalFormatting sqref="K949">
    <cfRule type="cellIs" rank="0" priority="3775" equalAverage="0" operator="greaterThan" aboveAverage="0" dxfId="7" text="" percent="0" bottom="0">
      <formula>0</formula>
    </cfRule>
  </conditionalFormatting>
  <conditionalFormatting sqref="N949">
    <cfRule type="cellIs" rank="0" priority="3776" equalAverage="0" operator="greaterThan" aboveAverage="0" dxfId="7" text="" percent="0" bottom="0">
      <formula>0</formula>
    </cfRule>
    <cfRule type="cellIs" rank="0" priority="3777" equalAverage="0" operator="lessThan" aboveAverage="0" dxfId="8" text="" percent="0" bottom="0">
      <formula>0</formula>
    </cfRule>
  </conditionalFormatting>
  <conditionalFormatting sqref="I950">
    <cfRule type="cellIs" rank="0" priority="3778" equalAverage="0" operator="greaterThan" aboveAverage="0" dxfId="7" text="" percent="0" bottom="0">
      <formula>0</formula>
    </cfRule>
  </conditionalFormatting>
  <conditionalFormatting sqref="K950">
    <cfRule type="cellIs" rank="0" priority="3779" equalAverage="0" operator="greaterThan" aboveAverage="0" dxfId="7" text="" percent="0" bottom="0">
      <formula>0</formula>
    </cfRule>
  </conditionalFormatting>
  <conditionalFormatting sqref="N950">
    <cfRule type="cellIs" rank="0" priority="3780" equalAverage="0" operator="greaterThan" aboveAverage="0" dxfId="7" text="" percent="0" bottom="0">
      <formula>0</formula>
    </cfRule>
    <cfRule type="cellIs" rank="0" priority="3781" equalAverage="0" operator="lessThan" aboveAverage="0" dxfId="8" text="" percent="0" bottom="0">
      <formula>0</formula>
    </cfRule>
  </conditionalFormatting>
  <conditionalFormatting sqref="I951">
    <cfRule type="cellIs" rank="0" priority="3782" equalAverage="0" operator="greaterThan" aboveAverage="0" dxfId="7" text="" percent="0" bottom="0">
      <formula>0</formula>
    </cfRule>
  </conditionalFormatting>
  <conditionalFormatting sqref="K951">
    <cfRule type="cellIs" rank="0" priority="3783" equalAverage="0" operator="greaterThan" aboveAverage="0" dxfId="7" text="" percent="0" bottom="0">
      <formula>0</formula>
    </cfRule>
  </conditionalFormatting>
  <conditionalFormatting sqref="N951">
    <cfRule type="cellIs" rank="0" priority="3784" equalAverage="0" operator="greaterThan" aboveAverage="0" dxfId="7" text="" percent="0" bottom="0">
      <formula>0</formula>
    </cfRule>
    <cfRule type="cellIs" rank="0" priority="3785" equalAverage="0" operator="lessThan" aboveAverage="0" dxfId="8" text="" percent="0" bottom="0">
      <formula>0</formula>
    </cfRule>
  </conditionalFormatting>
  <conditionalFormatting sqref="I952">
    <cfRule type="cellIs" rank="0" priority="3786" equalAverage="0" operator="greaterThan" aboveAverage="0" dxfId="7" text="" percent="0" bottom="0">
      <formula>0</formula>
    </cfRule>
  </conditionalFormatting>
  <conditionalFormatting sqref="K952">
    <cfRule type="cellIs" rank="0" priority="3787" equalAverage="0" operator="greaterThan" aboveAverage="0" dxfId="7" text="" percent="0" bottom="0">
      <formula>0</formula>
    </cfRule>
  </conditionalFormatting>
  <conditionalFormatting sqref="N952">
    <cfRule type="cellIs" rank="0" priority="3788" equalAverage="0" operator="greaterThan" aboveAverage="0" dxfId="7" text="" percent="0" bottom="0">
      <formula>0</formula>
    </cfRule>
    <cfRule type="cellIs" rank="0" priority="3789" equalAverage="0" operator="lessThan" aboveAverage="0" dxfId="8" text="" percent="0" bottom="0">
      <formula>0</formula>
    </cfRule>
  </conditionalFormatting>
  <conditionalFormatting sqref="I953">
    <cfRule type="cellIs" rank="0" priority="3790" equalAverage="0" operator="greaterThan" aboveAverage="0" dxfId="7" text="" percent="0" bottom="0">
      <formula>0</formula>
    </cfRule>
  </conditionalFormatting>
  <conditionalFormatting sqref="K953">
    <cfRule type="cellIs" rank="0" priority="3791" equalAverage="0" operator="greaterThan" aboveAverage="0" dxfId="7" text="" percent="0" bottom="0">
      <formula>0</formula>
    </cfRule>
  </conditionalFormatting>
  <conditionalFormatting sqref="N953">
    <cfRule type="cellIs" rank="0" priority="3792" equalAverage="0" operator="greaterThan" aboveAverage="0" dxfId="7" text="" percent="0" bottom="0">
      <formula>0</formula>
    </cfRule>
    <cfRule type="cellIs" rank="0" priority="3793" equalAverage="0" operator="lessThan" aboveAverage="0" dxfId="8" text="" percent="0" bottom="0">
      <formula>0</formula>
    </cfRule>
  </conditionalFormatting>
  <conditionalFormatting sqref="I954">
    <cfRule type="cellIs" rank="0" priority="3794" equalAverage="0" operator="greaterThan" aboveAverage="0" dxfId="7" text="" percent="0" bottom="0">
      <formula>0</formula>
    </cfRule>
  </conditionalFormatting>
  <conditionalFormatting sqref="K954">
    <cfRule type="cellIs" rank="0" priority="3795" equalAverage="0" operator="greaterThan" aboveAverage="0" dxfId="7" text="" percent="0" bottom="0">
      <formula>0</formula>
    </cfRule>
  </conditionalFormatting>
  <conditionalFormatting sqref="N954">
    <cfRule type="cellIs" rank="0" priority="3796" equalAverage="0" operator="greaterThan" aboveAverage="0" dxfId="7" text="" percent="0" bottom="0">
      <formula>0</formula>
    </cfRule>
    <cfRule type="cellIs" rank="0" priority="3797" equalAverage="0" operator="lessThan" aboveAverage="0" dxfId="8" text="" percent="0" bottom="0">
      <formula>0</formula>
    </cfRule>
  </conditionalFormatting>
  <conditionalFormatting sqref="I955">
    <cfRule type="cellIs" rank="0" priority="3798" equalAverage="0" operator="greaterThan" aboveAverage="0" dxfId="7" text="" percent="0" bottom="0">
      <formula>0</formula>
    </cfRule>
  </conditionalFormatting>
  <conditionalFormatting sqref="K955">
    <cfRule type="cellIs" rank="0" priority="3799" equalAverage="0" operator="greaterThan" aboveAverage="0" dxfId="7" text="" percent="0" bottom="0">
      <formula>0</formula>
    </cfRule>
  </conditionalFormatting>
  <conditionalFormatting sqref="N955">
    <cfRule type="cellIs" rank="0" priority="3800" equalAverage="0" operator="greaterThan" aboveAverage="0" dxfId="7" text="" percent="0" bottom="0">
      <formula>0</formula>
    </cfRule>
    <cfRule type="cellIs" rank="0" priority="3801" equalAverage="0" operator="lessThan" aboveAverage="0" dxfId="8" text="" percent="0" bottom="0">
      <formula>0</formula>
    </cfRule>
  </conditionalFormatting>
  <conditionalFormatting sqref="I956">
    <cfRule type="cellIs" rank="0" priority="3802" equalAverage="0" operator="greaterThan" aboveAverage="0" dxfId="7" text="" percent="0" bottom="0">
      <formula>0</formula>
    </cfRule>
  </conditionalFormatting>
  <conditionalFormatting sqref="K956">
    <cfRule type="cellIs" rank="0" priority="3803" equalAverage="0" operator="greaterThan" aboveAverage="0" dxfId="7" text="" percent="0" bottom="0">
      <formula>0</formula>
    </cfRule>
  </conditionalFormatting>
  <conditionalFormatting sqref="N956">
    <cfRule type="cellIs" rank="0" priority="3804" equalAverage="0" operator="greaterThan" aboveAverage="0" dxfId="7" text="" percent="0" bottom="0">
      <formula>0</formula>
    </cfRule>
    <cfRule type="cellIs" rank="0" priority="3805" equalAverage="0" operator="lessThan" aboveAverage="0" dxfId="8" text="" percent="0" bottom="0">
      <formula>0</formula>
    </cfRule>
  </conditionalFormatting>
  <conditionalFormatting sqref="I957">
    <cfRule type="cellIs" rank="0" priority="3806" equalAverage="0" operator="greaterThan" aboveAverage="0" dxfId="7" text="" percent="0" bottom="0">
      <formula>0</formula>
    </cfRule>
  </conditionalFormatting>
  <conditionalFormatting sqref="K957">
    <cfRule type="cellIs" rank="0" priority="3807" equalAverage="0" operator="greaterThan" aboveAverage="0" dxfId="7" text="" percent="0" bottom="0">
      <formula>0</formula>
    </cfRule>
  </conditionalFormatting>
  <conditionalFormatting sqref="N957">
    <cfRule type="cellIs" rank="0" priority="3808" equalAverage="0" operator="greaterThan" aboveAverage="0" dxfId="7" text="" percent="0" bottom="0">
      <formula>0</formula>
    </cfRule>
    <cfRule type="cellIs" rank="0" priority="3809" equalAverage="0" operator="lessThan" aboveAverage="0" dxfId="8" text="" percent="0" bottom="0">
      <formula>0</formula>
    </cfRule>
  </conditionalFormatting>
  <conditionalFormatting sqref="I958">
    <cfRule type="cellIs" rank="0" priority="3810" equalAverage="0" operator="greaterThan" aboveAverage="0" dxfId="7" text="" percent="0" bottom="0">
      <formula>0</formula>
    </cfRule>
  </conditionalFormatting>
  <conditionalFormatting sqref="K958">
    <cfRule type="cellIs" rank="0" priority="3811" equalAverage="0" operator="greaterThan" aboveAverage="0" dxfId="7" text="" percent="0" bottom="0">
      <formula>0</formula>
    </cfRule>
  </conditionalFormatting>
  <conditionalFormatting sqref="N958">
    <cfRule type="cellIs" rank="0" priority="3812" equalAverage="0" operator="greaterThan" aboveAverage="0" dxfId="7" text="" percent="0" bottom="0">
      <formula>0</formula>
    </cfRule>
    <cfRule type="cellIs" rank="0" priority="3813" equalAverage="0" operator="lessThan" aboveAverage="0" dxfId="8" text="" percent="0" bottom="0">
      <formula>0</formula>
    </cfRule>
  </conditionalFormatting>
  <conditionalFormatting sqref="I959">
    <cfRule type="cellIs" rank="0" priority="3814" equalAverage="0" operator="greaterThan" aboveAverage="0" dxfId="7" text="" percent="0" bottom="0">
      <formula>0</formula>
    </cfRule>
  </conditionalFormatting>
  <conditionalFormatting sqref="K959">
    <cfRule type="cellIs" rank="0" priority="3815" equalAverage="0" operator="greaterThan" aboveAverage="0" dxfId="7" text="" percent="0" bottom="0">
      <formula>0</formula>
    </cfRule>
  </conditionalFormatting>
  <conditionalFormatting sqref="N959">
    <cfRule type="cellIs" rank="0" priority="3816" equalAverage="0" operator="greaterThan" aboveAverage="0" dxfId="7" text="" percent="0" bottom="0">
      <formula>0</formula>
    </cfRule>
    <cfRule type="cellIs" rank="0" priority="3817" equalAverage="0" operator="lessThan" aboveAverage="0" dxfId="8" text="" percent="0" bottom="0">
      <formula>0</formula>
    </cfRule>
  </conditionalFormatting>
  <conditionalFormatting sqref="I960">
    <cfRule type="cellIs" rank="0" priority="3818" equalAverage="0" operator="greaterThan" aboveAverage="0" dxfId="7" text="" percent="0" bottom="0">
      <formula>0</formula>
    </cfRule>
  </conditionalFormatting>
  <conditionalFormatting sqref="K960">
    <cfRule type="cellIs" rank="0" priority="3819" equalAverage="0" operator="greaterThan" aboveAverage="0" dxfId="7" text="" percent="0" bottom="0">
      <formula>0</formula>
    </cfRule>
  </conditionalFormatting>
  <conditionalFormatting sqref="N960">
    <cfRule type="cellIs" rank="0" priority="3820" equalAverage="0" operator="greaterThan" aboveAverage="0" dxfId="7" text="" percent="0" bottom="0">
      <formula>0</formula>
    </cfRule>
    <cfRule type="cellIs" rank="0" priority="3821" equalAverage="0" operator="lessThan" aboveAverage="0" dxfId="8" text="" percent="0" bottom="0">
      <formula>0</formula>
    </cfRule>
  </conditionalFormatting>
  <conditionalFormatting sqref="I961">
    <cfRule type="cellIs" rank="0" priority="3822" equalAverage="0" operator="greaterThan" aboveAverage="0" dxfId="7" text="" percent="0" bottom="0">
      <formula>0</formula>
    </cfRule>
  </conditionalFormatting>
  <conditionalFormatting sqref="K961">
    <cfRule type="cellIs" rank="0" priority="3823" equalAverage="0" operator="greaterThan" aboveAverage="0" dxfId="7" text="" percent="0" bottom="0">
      <formula>0</formula>
    </cfRule>
  </conditionalFormatting>
  <conditionalFormatting sqref="N961">
    <cfRule type="cellIs" rank="0" priority="3824" equalAverage="0" operator="greaterThan" aboveAverage="0" dxfId="7" text="" percent="0" bottom="0">
      <formula>0</formula>
    </cfRule>
    <cfRule type="cellIs" rank="0" priority="3825" equalAverage="0" operator="lessThan" aboveAverage="0" dxfId="8" text="" percent="0" bottom="0">
      <formula>0</formula>
    </cfRule>
  </conditionalFormatting>
  <conditionalFormatting sqref="I962">
    <cfRule type="cellIs" rank="0" priority="3826" equalAverage="0" operator="greaterThan" aboveAverage="0" dxfId="7" text="" percent="0" bottom="0">
      <formula>0</formula>
    </cfRule>
  </conditionalFormatting>
  <conditionalFormatting sqref="K962">
    <cfRule type="cellIs" rank="0" priority="3827" equalAverage="0" operator="greaterThan" aboveAverage="0" dxfId="7" text="" percent="0" bottom="0">
      <formula>0</formula>
    </cfRule>
  </conditionalFormatting>
  <conditionalFormatting sqref="N962">
    <cfRule type="cellIs" rank="0" priority="3828" equalAverage="0" operator="greaterThan" aboveAverage="0" dxfId="7" text="" percent="0" bottom="0">
      <formula>0</formula>
    </cfRule>
    <cfRule type="cellIs" rank="0" priority="3829" equalAverage="0" operator="lessThan" aboveAverage="0" dxfId="8" text="" percent="0" bottom="0">
      <formula>0</formula>
    </cfRule>
  </conditionalFormatting>
  <conditionalFormatting sqref="I963">
    <cfRule type="cellIs" rank="0" priority="3830" equalAverage="0" operator="greaterThan" aboveAverage="0" dxfId="7" text="" percent="0" bottom="0">
      <formula>0</formula>
    </cfRule>
  </conditionalFormatting>
  <conditionalFormatting sqref="K963">
    <cfRule type="cellIs" rank="0" priority="3831" equalAverage="0" operator="greaterThan" aboveAverage="0" dxfId="7" text="" percent="0" bottom="0">
      <formula>0</formula>
    </cfRule>
  </conditionalFormatting>
  <conditionalFormatting sqref="N963">
    <cfRule type="cellIs" rank="0" priority="3832" equalAverage="0" operator="greaterThan" aboveAverage="0" dxfId="7" text="" percent="0" bottom="0">
      <formula>0</formula>
    </cfRule>
    <cfRule type="cellIs" rank="0" priority="3833" equalAverage="0" operator="lessThan" aboveAverage="0" dxfId="8" text="" percent="0" bottom="0">
      <formula>0</formula>
    </cfRule>
  </conditionalFormatting>
  <conditionalFormatting sqref="I964">
    <cfRule type="cellIs" rank="0" priority="3834" equalAverage="0" operator="greaterThan" aboveAverage="0" dxfId="7" text="" percent="0" bottom="0">
      <formula>0</formula>
    </cfRule>
  </conditionalFormatting>
  <conditionalFormatting sqref="K964">
    <cfRule type="cellIs" rank="0" priority="3835" equalAverage="0" operator="greaterThan" aboveAverage="0" dxfId="7" text="" percent="0" bottom="0">
      <formula>0</formula>
    </cfRule>
  </conditionalFormatting>
  <conditionalFormatting sqref="N964">
    <cfRule type="cellIs" rank="0" priority="3836" equalAverage="0" operator="greaterThan" aboveAverage="0" dxfId="7" text="" percent="0" bottom="0">
      <formula>0</formula>
    </cfRule>
    <cfRule type="cellIs" rank="0" priority="3837" equalAverage="0" operator="lessThan" aboveAverage="0" dxfId="8" text="" percent="0" bottom="0">
      <formula>0</formula>
    </cfRule>
  </conditionalFormatting>
  <conditionalFormatting sqref="I965">
    <cfRule type="cellIs" rank="0" priority="3838" equalAverage="0" operator="greaterThan" aboveAverage="0" dxfId="7" text="" percent="0" bottom="0">
      <formula>0</formula>
    </cfRule>
  </conditionalFormatting>
  <conditionalFormatting sqref="K965">
    <cfRule type="cellIs" rank="0" priority="3839" equalAverage="0" operator="greaterThan" aboveAverage="0" dxfId="7" text="" percent="0" bottom="0">
      <formula>0</formula>
    </cfRule>
  </conditionalFormatting>
  <conditionalFormatting sqref="N965">
    <cfRule type="cellIs" rank="0" priority="3840" equalAverage="0" operator="greaterThan" aboveAverage="0" dxfId="7" text="" percent="0" bottom="0">
      <formula>0</formula>
    </cfRule>
    <cfRule type="cellIs" rank="0" priority="3841" equalAverage="0" operator="lessThan" aboveAverage="0" dxfId="8" text="" percent="0" bottom="0">
      <formula>0</formula>
    </cfRule>
  </conditionalFormatting>
  <conditionalFormatting sqref="I966">
    <cfRule type="cellIs" rank="0" priority="3842" equalAverage="0" operator="greaterThan" aboveAverage="0" dxfId="7" text="" percent="0" bottom="0">
      <formula>0</formula>
    </cfRule>
  </conditionalFormatting>
  <conditionalFormatting sqref="K966">
    <cfRule type="cellIs" rank="0" priority="3843" equalAverage="0" operator="greaterThan" aboveAverage="0" dxfId="7" text="" percent="0" bottom="0">
      <formula>0</formula>
    </cfRule>
  </conditionalFormatting>
  <conditionalFormatting sqref="N966">
    <cfRule type="cellIs" rank="0" priority="3844" equalAverage="0" operator="greaterThan" aboveAverage="0" dxfId="7" text="" percent="0" bottom="0">
      <formula>0</formula>
    </cfRule>
    <cfRule type="cellIs" rank="0" priority="3845" equalAverage="0" operator="lessThan" aboveAverage="0" dxfId="8" text="" percent="0" bottom="0">
      <formula>0</formula>
    </cfRule>
  </conditionalFormatting>
  <conditionalFormatting sqref="I967">
    <cfRule type="cellIs" rank="0" priority="3846" equalAverage="0" operator="greaterThan" aboveAverage="0" dxfId="7" text="" percent="0" bottom="0">
      <formula>0</formula>
    </cfRule>
  </conditionalFormatting>
  <conditionalFormatting sqref="K967">
    <cfRule type="cellIs" rank="0" priority="3847" equalAverage="0" operator="greaterThan" aboveAverage="0" dxfId="7" text="" percent="0" bottom="0">
      <formula>0</formula>
    </cfRule>
  </conditionalFormatting>
  <conditionalFormatting sqref="N967">
    <cfRule type="cellIs" rank="0" priority="3848" equalAverage="0" operator="greaterThan" aboveAverage="0" dxfId="7" text="" percent="0" bottom="0">
      <formula>0</formula>
    </cfRule>
    <cfRule type="cellIs" rank="0" priority="3849" equalAverage="0" operator="lessThan" aboveAverage="0" dxfId="8" text="" percent="0" bottom="0">
      <formula>0</formula>
    </cfRule>
  </conditionalFormatting>
  <conditionalFormatting sqref="I968">
    <cfRule type="cellIs" rank="0" priority="3850" equalAverage="0" operator="greaterThan" aboveAverage="0" dxfId="7" text="" percent="0" bottom="0">
      <formula>0</formula>
    </cfRule>
  </conditionalFormatting>
  <conditionalFormatting sqref="K968">
    <cfRule type="cellIs" rank="0" priority="3851" equalAverage="0" operator="greaterThan" aboveAverage="0" dxfId="7" text="" percent="0" bottom="0">
      <formula>0</formula>
    </cfRule>
  </conditionalFormatting>
  <conditionalFormatting sqref="N968">
    <cfRule type="cellIs" rank="0" priority="3852" equalAverage="0" operator="greaterThan" aboveAverage="0" dxfId="7" text="" percent="0" bottom="0">
      <formula>0</formula>
    </cfRule>
    <cfRule type="cellIs" rank="0" priority="3853" equalAverage="0" operator="lessThan" aboveAverage="0" dxfId="8" text="" percent="0" bottom="0">
      <formula>0</formula>
    </cfRule>
  </conditionalFormatting>
  <conditionalFormatting sqref="I969">
    <cfRule type="cellIs" rank="0" priority="3854" equalAverage="0" operator="greaterThan" aboveAverage="0" dxfId="7" text="" percent="0" bottom="0">
      <formula>0</formula>
    </cfRule>
  </conditionalFormatting>
  <conditionalFormatting sqref="K969">
    <cfRule type="cellIs" rank="0" priority="3855" equalAverage="0" operator="greaterThan" aboveAverage="0" dxfId="7" text="" percent="0" bottom="0">
      <formula>0</formula>
    </cfRule>
  </conditionalFormatting>
  <conditionalFormatting sqref="N969">
    <cfRule type="cellIs" rank="0" priority="3856" equalAverage="0" operator="greaterThan" aboveAverage="0" dxfId="7" text="" percent="0" bottom="0">
      <formula>0</formula>
    </cfRule>
    <cfRule type="cellIs" rank="0" priority="3857" equalAverage="0" operator="lessThan" aboveAverage="0" dxfId="8" text="" percent="0" bottom="0">
      <formula>0</formula>
    </cfRule>
  </conditionalFormatting>
  <conditionalFormatting sqref="I970">
    <cfRule type="cellIs" rank="0" priority="3858" equalAverage="0" operator="greaterThan" aboveAverage="0" dxfId="7" text="" percent="0" bottom="0">
      <formula>0</formula>
    </cfRule>
  </conditionalFormatting>
  <conditionalFormatting sqref="K970">
    <cfRule type="cellIs" rank="0" priority="3859" equalAverage="0" operator="greaterThan" aboveAverage="0" dxfId="7" text="" percent="0" bottom="0">
      <formula>0</formula>
    </cfRule>
  </conditionalFormatting>
  <conditionalFormatting sqref="N970">
    <cfRule type="cellIs" rank="0" priority="3860" equalAverage="0" operator="greaterThan" aboveAverage="0" dxfId="7" text="" percent="0" bottom="0">
      <formula>0</formula>
    </cfRule>
    <cfRule type="cellIs" rank="0" priority="3861" equalAverage="0" operator="lessThan" aboveAverage="0" dxfId="8" text="" percent="0" bottom="0">
      <formula>0</formula>
    </cfRule>
  </conditionalFormatting>
  <conditionalFormatting sqref="I971">
    <cfRule type="cellIs" rank="0" priority="3862" equalAverage="0" operator="greaterThan" aboveAverage="0" dxfId="7" text="" percent="0" bottom="0">
      <formula>0</formula>
    </cfRule>
  </conditionalFormatting>
  <conditionalFormatting sqref="K971">
    <cfRule type="cellIs" rank="0" priority="3863" equalAverage="0" operator="greaterThan" aboveAverage="0" dxfId="7" text="" percent="0" bottom="0">
      <formula>0</formula>
    </cfRule>
  </conditionalFormatting>
  <conditionalFormatting sqref="N971">
    <cfRule type="cellIs" rank="0" priority="3864" equalAverage="0" operator="greaterThan" aboveAverage="0" dxfId="7" text="" percent="0" bottom="0">
      <formula>0</formula>
    </cfRule>
    <cfRule type="cellIs" rank="0" priority="3865" equalAverage="0" operator="lessThan" aboveAverage="0" dxfId="8" text="" percent="0" bottom="0">
      <formula>0</formula>
    </cfRule>
  </conditionalFormatting>
  <conditionalFormatting sqref="I972">
    <cfRule type="cellIs" rank="0" priority="3866" equalAverage="0" operator="greaterThan" aboveAverage="0" dxfId="7" text="" percent="0" bottom="0">
      <formula>0</formula>
    </cfRule>
  </conditionalFormatting>
  <conditionalFormatting sqref="K972">
    <cfRule type="cellIs" rank="0" priority="3867" equalAverage="0" operator="greaterThan" aboveAverage="0" dxfId="7" text="" percent="0" bottom="0">
      <formula>0</formula>
    </cfRule>
  </conditionalFormatting>
  <conditionalFormatting sqref="N972">
    <cfRule type="cellIs" rank="0" priority="3868" equalAverage="0" operator="greaterThan" aboveAverage="0" dxfId="7" text="" percent="0" bottom="0">
      <formula>0</formula>
    </cfRule>
    <cfRule type="cellIs" rank="0" priority="3869" equalAverage="0" operator="lessThan" aboveAverage="0" dxfId="8" text="" percent="0" bottom="0">
      <formula>0</formula>
    </cfRule>
  </conditionalFormatting>
  <conditionalFormatting sqref="I973">
    <cfRule type="cellIs" rank="0" priority="3870" equalAverage="0" operator="greaterThan" aboveAverage="0" dxfId="7" text="" percent="0" bottom="0">
      <formula>0</formula>
    </cfRule>
  </conditionalFormatting>
  <conditionalFormatting sqref="K973">
    <cfRule type="cellIs" rank="0" priority="3871" equalAverage="0" operator="greaterThan" aboveAverage="0" dxfId="7" text="" percent="0" bottom="0">
      <formula>0</formula>
    </cfRule>
  </conditionalFormatting>
  <conditionalFormatting sqref="N973">
    <cfRule type="cellIs" rank="0" priority="3872" equalAverage="0" operator="greaterThan" aboveAverage="0" dxfId="7" text="" percent="0" bottom="0">
      <formula>0</formula>
    </cfRule>
    <cfRule type="cellIs" rank="0" priority="3873" equalAverage="0" operator="lessThan" aboveAverage="0" dxfId="8" text="" percent="0" bottom="0">
      <formula>0</formula>
    </cfRule>
  </conditionalFormatting>
  <conditionalFormatting sqref="I974">
    <cfRule type="cellIs" rank="0" priority="3874" equalAverage="0" operator="greaterThan" aboveAverage="0" dxfId="7" text="" percent="0" bottom="0">
      <formula>0</formula>
    </cfRule>
  </conditionalFormatting>
  <conditionalFormatting sqref="K974">
    <cfRule type="cellIs" rank="0" priority="3875" equalAverage="0" operator="greaterThan" aboveAverage="0" dxfId="7" text="" percent="0" bottom="0">
      <formula>0</formula>
    </cfRule>
  </conditionalFormatting>
  <conditionalFormatting sqref="N974">
    <cfRule type="cellIs" rank="0" priority="3876" equalAverage="0" operator="greaterThan" aboveAverage="0" dxfId="7" text="" percent="0" bottom="0">
      <formula>0</formula>
    </cfRule>
    <cfRule type="cellIs" rank="0" priority="3877" equalAverage="0" operator="lessThan" aboveAverage="0" dxfId="8" text="" percent="0" bottom="0">
      <formula>0</formula>
    </cfRule>
  </conditionalFormatting>
  <conditionalFormatting sqref="I975">
    <cfRule type="cellIs" rank="0" priority="3878" equalAverage="0" operator="greaterThan" aboveAverage="0" dxfId="7" text="" percent="0" bottom="0">
      <formula>0</formula>
    </cfRule>
  </conditionalFormatting>
  <conditionalFormatting sqref="K975">
    <cfRule type="cellIs" rank="0" priority="3879" equalAverage="0" operator="greaterThan" aboveAverage="0" dxfId="7" text="" percent="0" bottom="0">
      <formula>0</formula>
    </cfRule>
  </conditionalFormatting>
  <conditionalFormatting sqref="N975">
    <cfRule type="cellIs" rank="0" priority="3880" equalAverage="0" operator="greaterThan" aboveAverage="0" dxfId="7" text="" percent="0" bottom="0">
      <formula>0</formula>
    </cfRule>
    <cfRule type="cellIs" rank="0" priority="3881" equalAverage="0" operator="lessThan" aboveAverage="0" dxfId="8" text="" percent="0" bottom="0">
      <formula>0</formula>
    </cfRule>
  </conditionalFormatting>
  <conditionalFormatting sqref="I976">
    <cfRule type="cellIs" rank="0" priority="3882" equalAverage="0" operator="greaterThan" aboveAverage="0" dxfId="7" text="" percent="0" bottom="0">
      <formula>0</formula>
    </cfRule>
  </conditionalFormatting>
  <conditionalFormatting sqref="K976">
    <cfRule type="cellIs" rank="0" priority="3883" equalAverage="0" operator="greaterThan" aboveAverage="0" dxfId="7" text="" percent="0" bottom="0">
      <formula>0</formula>
    </cfRule>
  </conditionalFormatting>
  <conditionalFormatting sqref="N976">
    <cfRule type="cellIs" rank="0" priority="3884" equalAverage="0" operator="greaterThan" aboveAverage="0" dxfId="7" text="" percent="0" bottom="0">
      <formula>0</formula>
    </cfRule>
    <cfRule type="cellIs" rank="0" priority="3885" equalAverage="0" operator="lessThan" aboveAverage="0" dxfId="8" text="" percent="0" bottom="0">
      <formula>0</formula>
    </cfRule>
  </conditionalFormatting>
  <conditionalFormatting sqref="I977">
    <cfRule type="cellIs" rank="0" priority="3886" equalAverage="0" operator="greaterThan" aboveAverage="0" dxfId="7" text="" percent="0" bottom="0">
      <formula>0</formula>
    </cfRule>
  </conditionalFormatting>
  <conditionalFormatting sqref="K977">
    <cfRule type="cellIs" rank="0" priority="3887" equalAverage="0" operator="greaterThan" aboveAverage="0" dxfId="7" text="" percent="0" bottom="0">
      <formula>0</formula>
    </cfRule>
  </conditionalFormatting>
  <conditionalFormatting sqref="N977">
    <cfRule type="cellIs" rank="0" priority="3888" equalAverage="0" operator="greaterThan" aboveAverage="0" dxfId="7" text="" percent="0" bottom="0">
      <formula>0</formula>
    </cfRule>
    <cfRule type="cellIs" rank="0" priority="3889" equalAverage="0" operator="lessThan" aboveAverage="0" dxfId="8" text="" percent="0" bottom="0">
      <formula>0</formula>
    </cfRule>
  </conditionalFormatting>
  <conditionalFormatting sqref="I978">
    <cfRule type="cellIs" rank="0" priority="3890" equalAverage="0" operator="greaterThan" aboveAverage="0" dxfId="7" text="" percent="0" bottom="0">
      <formula>0</formula>
    </cfRule>
  </conditionalFormatting>
  <conditionalFormatting sqref="K978">
    <cfRule type="cellIs" rank="0" priority="3891" equalAverage="0" operator="greaterThan" aboveAverage="0" dxfId="7" text="" percent="0" bottom="0">
      <formula>0</formula>
    </cfRule>
  </conditionalFormatting>
  <conditionalFormatting sqref="N978">
    <cfRule type="cellIs" rank="0" priority="3892" equalAverage="0" operator="greaterThan" aboveAverage="0" dxfId="7" text="" percent="0" bottom="0">
      <formula>0</formula>
    </cfRule>
    <cfRule type="cellIs" rank="0" priority="3893" equalAverage="0" operator="lessThan" aboveAverage="0" dxfId="8" text="" percent="0" bottom="0">
      <formula>0</formula>
    </cfRule>
  </conditionalFormatting>
  <conditionalFormatting sqref="I979">
    <cfRule type="cellIs" rank="0" priority="3894" equalAverage="0" operator="greaterThan" aboveAverage="0" dxfId="7" text="" percent="0" bottom="0">
      <formula>0</formula>
    </cfRule>
  </conditionalFormatting>
  <conditionalFormatting sqref="K979">
    <cfRule type="cellIs" rank="0" priority="3895" equalAverage="0" operator="greaterThan" aboveAverage="0" dxfId="7" text="" percent="0" bottom="0">
      <formula>0</formula>
    </cfRule>
  </conditionalFormatting>
  <conditionalFormatting sqref="N979">
    <cfRule type="cellIs" rank="0" priority="3896" equalAverage="0" operator="greaterThan" aboveAverage="0" dxfId="7" text="" percent="0" bottom="0">
      <formula>0</formula>
    </cfRule>
    <cfRule type="cellIs" rank="0" priority="3897" equalAverage="0" operator="lessThan" aboveAverage="0" dxfId="8" text="" percent="0" bottom="0">
      <formula>0</formula>
    </cfRule>
  </conditionalFormatting>
  <conditionalFormatting sqref="I980">
    <cfRule type="cellIs" rank="0" priority="3898" equalAverage="0" operator="greaterThan" aboveAverage="0" dxfId="7" text="" percent="0" bottom="0">
      <formula>0</formula>
    </cfRule>
  </conditionalFormatting>
  <conditionalFormatting sqref="K980">
    <cfRule type="cellIs" rank="0" priority="3899" equalAverage="0" operator="greaterThan" aboveAverage="0" dxfId="7" text="" percent="0" bottom="0">
      <formula>0</formula>
    </cfRule>
  </conditionalFormatting>
  <conditionalFormatting sqref="N980">
    <cfRule type="cellIs" rank="0" priority="3900" equalAverage="0" operator="greaterThan" aboveAverage="0" dxfId="7" text="" percent="0" bottom="0">
      <formula>0</formula>
    </cfRule>
    <cfRule type="cellIs" rank="0" priority="3901" equalAverage="0" operator="lessThan" aboveAverage="0" dxfId="8" text="" percent="0" bottom="0">
      <formula>0</formula>
    </cfRule>
  </conditionalFormatting>
  <conditionalFormatting sqref="I981">
    <cfRule type="cellIs" rank="0" priority="3902" equalAverage="0" operator="greaterThan" aboveAverage="0" dxfId="7" text="" percent="0" bottom="0">
      <formula>0</formula>
    </cfRule>
  </conditionalFormatting>
  <conditionalFormatting sqref="K981">
    <cfRule type="cellIs" rank="0" priority="3903" equalAverage="0" operator="greaterThan" aboveAverage="0" dxfId="7" text="" percent="0" bottom="0">
      <formula>0</formula>
    </cfRule>
  </conditionalFormatting>
  <conditionalFormatting sqref="N981">
    <cfRule type="cellIs" rank="0" priority="3904" equalAverage="0" operator="greaterThan" aboveAverage="0" dxfId="7" text="" percent="0" bottom="0">
      <formula>0</formula>
    </cfRule>
    <cfRule type="cellIs" rank="0" priority="3905" equalAverage="0" operator="lessThan" aboveAverage="0" dxfId="8" text="" percent="0" bottom="0">
      <formula>0</formula>
    </cfRule>
  </conditionalFormatting>
  <conditionalFormatting sqref="I982">
    <cfRule type="cellIs" rank="0" priority="3906" equalAverage="0" operator="greaterThan" aboveAverage="0" dxfId="7" text="" percent="0" bottom="0">
      <formula>0</formula>
    </cfRule>
  </conditionalFormatting>
  <conditionalFormatting sqref="K982">
    <cfRule type="cellIs" rank="0" priority="3907" equalAverage="0" operator="greaterThan" aboveAverage="0" dxfId="7" text="" percent="0" bottom="0">
      <formula>0</formula>
    </cfRule>
  </conditionalFormatting>
  <conditionalFormatting sqref="N982">
    <cfRule type="cellIs" rank="0" priority="3908" equalAverage="0" operator="greaterThan" aboveAverage="0" dxfId="7" text="" percent="0" bottom="0">
      <formula>0</formula>
    </cfRule>
    <cfRule type="cellIs" rank="0" priority="3909" equalAverage="0" operator="lessThan" aboveAverage="0" dxfId="8" text="" percent="0" bottom="0">
      <formula>0</formula>
    </cfRule>
  </conditionalFormatting>
  <conditionalFormatting sqref="I983">
    <cfRule type="cellIs" rank="0" priority="3910" equalAverage="0" operator="greaterThan" aboveAverage="0" dxfId="7" text="" percent="0" bottom="0">
      <formula>0</formula>
    </cfRule>
  </conditionalFormatting>
  <conditionalFormatting sqref="K983">
    <cfRule type="cellIs" rank="0" priority="3911" equalAverage="0" operator="greaterThan" aboveAverage="0" dxfId="7" text="" percent="0" bottom="0">
      <formula>0</formula>
    </cfRule>
  </conditionalFormatting>
  <conditionalFormatting sqref="N983">
    <cfRule type="cellIs" rank="0" priority="3912" equalAverage="0" operator="greaterThan" aboveAverage="0" dxfId="7" text="" percent="0" bottom="0">
      <formula>0</formula>
    </cfRule>
    <cfRule type="cellIs" rank="0" priority="3913" equalAverage="0" operator="lessThan" aboveAverage="0" dxfId="8" text="" percent="0" bottom="0">
      <formula>0</formula>
    </cfRule>
  </conditionalFormatting>
  <conditionalFormatting sqref="I984">
    <cfRule type="cellIs" rank="0" priority="3914" equalAverage="0" operator="greaterThan" aboveAverage="0" dxfId="7" text="" percent="0" bottom="0">
      <formula>0</formula>
    </cfRule>
  </conditionalFormatting>
  <conditionalFormatting sqref="K984">
    <cfRule type="cellIs" rank="0" priority="3915" equalAverage="0" operator="greaterThan" aboveAverage="0" dxfId="7" text="" percent="0" bottom="0">
      <formula>0</formula>
    </cfRule>
  </conditionalFormatting>
  <conditionalFormatting sqref="N984">
    <cfRule type="cellIs" rank="0" priority="3916" equalAverage="0" operator="greaterThan" aboveAverage="0" dxfId="7" text="" percent="0" bottom="0">
      <formula>0</formula>
    </cfRule>
    <cfRule type="cellIs" rank="0" priority="3917" equalAverage="0" operator="lessThan" aboveAverage="0" dxfId="8" text="" percent="0" bottom="0">
      <formula>0</formula>
    </cfRule>
  </conditionalFormatting>
  <conditionalFormatting sqref="I985">
    <cfRule type="cellIs" rank="0" priority="3918" equalAverage="0" operator="greaterThan" aboveAverage="0" dxfId="7" text="" percent="0" bottom="0">
      <formula>0</formula>
    </cfRule>
  </conditionalFormatting>
  <conditionalFormatting sqref="K985">
    <cfRule type="cellIs" rank="0" priority="3919" equalAverage="0" operator="greaterThan" aboveAverage="0" dxfId="7" text="" percent="0" bottom="0">
      <formula>0</formula>
    </cfRule>
  </conditionalFormatting>
  <conditionalFormatting sqref="N985">
    <cfRule type="cellIs" rank="0" priority="3920" equalAverage="0" operator="greaterThan" aboveAverage="0" dxfId="7" text="" percent="0" bottom="0">
      <formula>0</formula>
    </cfRule>
    <cfRule type="cellIs" rank="0" priority="3921" equalAverage="0" operator="lessThan" aboveAverage="0" dxfId="8" text="" percent="0" bottom="0">
      <formula>0</formula>
    </cfRule>
  </conditionalFormatting>
  <conditionalFormatting sqref="I986">
    <cfRule type="cellIs" rank="0" priority="3922" equalAverage="0" operator="greaterThan" aboveAverage="0" dxfId="7" text="" percent="0" bottom="0">
      <formula>0</formula>
    </cfRule>
  </conditionalFormatting>
  <conditionalFormatting sqref="K986">
    <cfRule type="cellIs" rank="0" priority="3923" equalAverage="0" operator="greaterThan" aboveAverage="0" dxfId="7" text="" percent="0" bottom="0">
      <formula>0</formula>
    </cfRule>
  </conditionalFormatting>
  <conditionalFormatting sqref="N986">
    <cfRule type="cellIs" rank="0" priority="3924" equalAverage="0" operator="greaterThan" aboveAverage="0" dxfId="7" text="" percent="0" bottom="0">
      <formula>0</formula>
    </cfRule>
    <cfRule type="cellIs" rank="0" priority="3925" equalAverage="0" operator="lessThan" aboveAverage="0" dxfId="8" text="" percent="0" bottom="0">
      <formula>0</formula>
    </cfRule>
  </conditionalFormatting>
  <conditionalFormatting sqref="I987">
    <cfRule type="cellIs" rank="0" priority="3926" equalAverage="0" operator="greaterThan" aboveAverage="0" dxfId="7" text="" percent="0" bottom="0">
      <formula>0</formula>
    </cfRule>
  </conditionalFormatting>
  <conditionalFormatting sqref="K987">
    <cfRule type="cellIs" rank="0" priority="3927" equalAverage="0" operator="greaterThan" aboveAverage="0" dxfId="7" text="" percent="0" bottom="0">
      <formula>0</formula>
    </cfRule>
  </conditionalFormatting>
  <conditionalFormatting sqref="N987">
    <cfRule type="cellIs" rank="0" priority="3928" equalAverage="0" operator="greaterThan" aboveAverage="0" dxfId="7" text="" percent="0" bottom="0">
      <formula>0</formula>
    </cfRule>
    <cfRule type="cellIs" rank="0" priority="3929" equalAverage="0" operator="lessThan" aboveAverage="0" dxfId="8" text="" percent="0" bottom="0">
      <formula>0</formula>
    </cfRule>
  </conditionalFormatting>
  <conditionalFormatting sqref="I988">
    <cfRule type="cellIs" rank="0" priority="3930" equalAverage="0" operator="greaterThan" aboveAverage="0" dxfId="7" text="" percent="0" bottom="0">
      <formula>0</formula>
    </cfRule>
  </conditionalFormatting>
  <conditionalFormatting sqref="K988">
    <cfRule type="cellIs" rank="0" priority="3931" equalAverage="0" operator="greaterThan" aboveAverage="0" dxfId="7" text="" percent="0" bottom="0">
      <formula>0</formula>
    </cfRule>
  </conditionalFormatting>
  <conditionalFormatting sqref="N988">
    <cfRule type="cellIs" rank="0" priority="3932" equalAverage="0" operator="greaterThan" aboveAverage="0" dxfId="7" text="" percent="0" bottom="0">
      <formula>0</formula>
    </cfRule>
    <cfRule type="cellIs" rank="0" priority="3933" equalAverage="0" operator="lessThan" aboveAverage="0" dxfId="8" text="" percent="0" bottom="0">
      <formula>0</formula>
    </cfRule>
  </conditionalFormatting>
  <conditionalFormatting sqref="I989">
    <cfRule type="cellIs" rank="0" priority="3934" equalAverage="0" operator="greaterThan" aboveAverage="0" dxfId="7" text="" percent="0" bottom="0">
      <formula>0</formula>
    </cfRule>
  </conditionalFormatting>
  <conditionalFormatting sqref="K989">
    <cfRule type="cellIs" rank="0" priority="3935" equalAverage="0" operator="greaterThan" aboveAverage="0" dxfId="7" text="" percent="0" bottom="0">
      <formula>0</formula>
    </cfRule>
  </conditionalFormatting>
  <conditionalFormatting sqref="N989">
    <cfRule type="cellIs" rank="0" priority="3936" equalAverage="0" operator="greaterThan" aboveAverage="0" dxfId="7" text="" percent="0" bottom="0">
      <formula>0</formula>
    </cfRule>
    <cfRule type="cellIs" rank="0" priority="3937" equalAverage="0" operator="lessThan" aboveAverage="0" dxfId="8" text="" percent="0" bottom="0">
      <formula>0</formula>
    </cfRule>
  </conditionalFormatting>
  <conditionalFormatting sqref="I990">
    <cfRule type="cellIs" rank="0" priority="3938" equalAverage="0" operator="greaterThan" aboveAverage="0" dxfId="7" text="" percent="0" bottom="0">
      <formula>0</formula>
    </cfRule>
  </conditionalFormatting>
  <conditionalFormatting sqref="K990">
    <cfRule type="cellIs" rank="0" priority="3939" equalAverage="0" operator="greaterThan" aboveAverage="0" dxfId="7" text="" percent="0" bottom="0">
      <formula>0</formula>
    </cfRule>
  </conditionalFormatting>
  <conditionalFormatting sqref="N990">
    <cfRule type="cellIs" rank="0" priority="3940" equalAverage="0" operator="greaterThan" aboveAverage="0" dxfId="7" text="" percent="0" bottom="0">
      <formula>0</formula>
    </cfRule>
    <cfRule type="cellIs" rank="0" priority="3941" equalAverage="0" operator="lessThan" aboveAverage="0" dxfId="8" text="" percent="0" bottom="0">
      <formula>0</formula>
    </cfRule>
  </conditionalFormatting>
  <conditionalFormatting sqref="I991">
    <cfRule type="cellIs" rank="0" priority="3942" equalAverage="0" operator="greaterThan" aboveAverage="0" dxfId="7" text="" percent="0" bottom="0">
      <formula>0</formula>
    </cfRule>
  </conditionalFormatting>
  <conditionalFormatting sqref="K991">
    <cfRule type="cellIs" rank="0" priority="3943" equalAverage="0" operator="greaterThan" aboveAverage="0" dxfId="7" text="" percent="0" bottom="0">
      <formula>0</formula>
    </cfRule>
  </conditionalFormatting>
  <conditionalFormatting sqref="N991">
    <cfRule type="cellIs" rank="0" priority="3944" equalAverage="0" operator="greaterThan" aboveAverage="0" dxfId="7" text="" percent="0" bottom="0">
      <formula>0</formula>
    </cfRule>
    <cfRule type="cellIs" rank="0" priority="3945" equalAverage="0" operator="lessThan" aboveAverage="0" dxfId="8" text="" percent="0" bottom="0">
      <formula>0</formula>
    </cfRule>
  </conditionalFormatting>
  <conditionalFormatting sqref="I992">
    <cfRule type="cellIs" rank="0" priority="3946" equalAverage="0" operator="greaterThan" aboveAverage="0" dxfId="7" text="" percent="0" bottom="0">
      <formula>0</formula>
    </cfRule>
  </conditionalFormatting>
  <conditionalFormatting sqref="K992">
    <cfRule type="cellIs" rank="0" priority="3947" equalAverage="0" operator="greaterThan" aboveAverage="0" dxfId="7" text="" percent="0" bottom="0">
      <formula>0</formula>
    </cfRule>
  </conditionalFormatting>
  <conditionalFormatting sqref="N992">
    <cfRule type="cellIs" rank="0" priority="3948" equalAverage="0" operator="greaterThan" aboveAverage="0" dxfId="7" text="" percent="0" bottom="0">
      <formula>0</formula>
    </cfRule>
    <cfRule type="cellIs" rank="0" priority="3949" equalAverage="0" operator="lessThan" aboveAverage="0" dxfId="8" text="" percent="0" bottom="0">
      <formula>0</formula>
    </cfRule>
  </conditionalFormatting>
  <conditionalFormatting sqref="I993">
    <cfRule type="cellIs" rank="0" priority="3950" equalAverage="0" operator="greaterThan" aboveAverage="0" dxfId="7" text="" percent="0" bottom="0">
      <formula>0</formula>
    </cfRule>
  </conditionalFormatting>
  <conditionalFormatting sqref="K993">
    <cfRule type="cellIs" rank="0" priority="3951" equalAverage="0" operator="greaterThan" aboveAverage="0" dxfId="7" text="" percent="0" bottom="0">
      <formula>0</formula>
    </cfRule>
  </conditionalFormatting>
  <conditionalFormatting sqref="N993">
    <cfRule type="cellIs" rank="0" priority="3952" equalAverage="0" operator="greaterThan" aboveAverage="0" dxfId="7" text="" percent="0" bottom="0">
      <formula>0</formula>
    </cfRule>
    <cfRule type="cellIs" rank="0" priority="3953" equalAverage="0" operator="lessThan" aboveAverage="0" dxfId="8" text="" percent="0" bottom="0">
      <formula>0</formula>
    </cfRule>
  </conditionalFormatting>
  <conditionalFormatting sqref="I994">
    <cfRule type="cellIs" rank="0" priority="3954" equalAverage="0" operator="greaterThan" aboveAverage="0" dxfId="7" text="" percent="0" bottom="0">
      <formula>0</formula>
    </cfRule>
  </conditionalFormatting>
  <conditionalFormatting sqref="K994">
    <cfRule type="cellIs" rank="0" priority="3955" equalAverage="0" operator="greaterThan" aboveAverage="0" dxfId="7" text="" percent="0" bottom="0">
      <formula>0</formula>
    </cfRule>
  </conditionalFormatting>
  <conditionalFormatting sqref="N994">
    <cfRule type="cellIs" rank="0" priority="3956" equalAverage="0" operator="greaterThan" aboveAverage="0" dxfId="7" text="" percent="0" bottom="0">
      <formula>0</formula>
    </cfRule>
    <cfRule type="cellIs" rank="0" priority="3957" equalAverage="0" operator="lessThan" aboveAverage="0" dxfId="8" text="" percent="0" bottom="0">
      <formula>0</formula>
    </cfRule>
  </conditionalFormatting>
  <conditionalFormatting sqref="I995">
    <cfRule type="cellIs" rank="0" priority="3958" equalAverage="0" operator="greaterThan" aboveAverage="0" dxfId="7" text="" percent="0" bottom="0">
      <formula>0</formula>
    </cfRule>
  </conditionalFormatting>
  <conditionalFormatting sqref="K995">
    <cfRule type="cellIs" rank="0" priority="3959" equalAverage="0" operator="greaterThan" aboveAverage="0" dxfId="7" text="" percent="0" bottom="0">
      <formula>0</formula>
    </cfRule>
  </conditionalFormatting>
  <conditionalFormatting sqref="N995">
    <cfRule type="cellIs" rank="0" priority="3960" equalAverage="0" operator="greaterThan" aboveAverage="0" dxfId="7" text="" percent="0" bottom="0">
      <formula>0</formula>
    </cfRule>
    <cfRule type="cellIs" rank="0" priority="3961" equalAverage="0" operator="lessThan" aboveAverage="0" dxfId="8" text="" percent="0" bottom="0">
      <formula>0</formula>
    </cfRule>
  </conditionalFormatting>
  <conditionalFormatting sqref="I996">
    <cfRule type="cellIs" rank="0" priority="3962" equalAverage="0" operator="greaterThan" aboveAverage="0" dxfId="7" text="" percent="0" bottom="0">
      <formula>0</formula>
    </cfRule>
  </conditionalFormatting>
  <conditionalFormatting sqref="K996">
    <cfRule type="cellIs" rank="0" priority="3963" equalAverage="0" operator="greaterThan" aboveAverage="0" dxfId="7" text="" percent="0" bottom="0">
      <formula>0</formula>
    </cfRule>
  </conditionalFormatting>
  <conditionalFormatting sqref="N996">
    <cfRule type="cellIs" rank="0" priority="3964" equalAverage="0" operator="greaterThan" aboveAverage="0" dxfId="7" text="" percent="0" bottom="0">
      <formula>0</formula>
    </cfRule>
    <cfRule type="cellIs" rank="0" priority="3965" equalAverage="0" operator="lessThan" aboveAverage="0" dxfId="8" text="" percent="0" bottom="0">
      <formula>0</formula>
    </cfRule>
  </conditionalFormatting>
  <conditionalFormatting sqref="I997">
    <cfRule type="cellIs" rank="0" priority="3966" equalAverage="0" operator="greaterThan" aboveAverage="0" dxfId="7" text="" percent="0" bottom="0">
      <formula>0</formula>
    </cfRule>
  </conditionalFormatting>
  <conditionalFormatting sqref="K997">
    <cfRule type="cellIs" rank="0" priority="3967" equalAverage="0" operator="greaterThan" aboveAverage="0" dxfId="7" text="" percent="0" bottom="0">
      <formula>0</formula>
    </cfRule>
  </conditionalFormatting>
  <conditionalFormatting sqref="N997">
    <cfRule type="cellIs" rank="0" priority="3968" equalAverage="0" operator="greaterThan" aboveAverage="0" dxfId="7" text="" percent="0" bottom="0">
      <formula>0</formula>
    </cfRule>
    <cfRule type="cellIs" rank="0" priority="3969" equalAverage="0" operator="lessThan" aboveAverage="0" dxfId="8" text="" percent="0" bottom="0">
      <formula>0</formula>
    </cfRule>
  </conditionalFormatting>
  <conditionalFormatting sqref="I998">
    <cfRule type="cellIs" rank="0" priority="3970" equalAverage="0" operator="greaterThan" aboveAverage="0" dxfId="7" text="" percent="0" bottom="0">
      <formula>0</formula>
    </cfRule>
  </conditionalFormatting>
  <conditionalFormatting sqref="K998">
    <cfRule type="cellIs" rank="0" priority="3971" equalAverage="0" operator="greaterThan" aboveAverage="0" dxfId="7" text="" percent="0" bottom="0">
      <formula>0</formula>
    </cfRule>
  </conditionalFormatting>
  <conditionalFormatting sqref="N998">
    <cfRule type="cellIs" rank="0" priority="3972" equalAverage="0" operator="greaterThan" aboveAverage="0" dxfId="7" text="" percent="0" bottom="0">
      <formula>0</formula>
    </cfRule>
    <cfRule type="cellIs" rank="0" priority="3973" equalAverage="0" operator="lessThan" aboveAverage="0" dxfId="8" text="" percent="0" bottom="0">
      <formula>0</formula>
    </cfRule>
  </conditionalFormatting>
  <conditionalFormatting sqref="I999">
    <cfRule type="cellIs" rank="0" priority="3974" equalAverage="0" operator="greaterThan" aboveAverage="0" dxfId="7" text="" percent="0" bottom="0">
      <formula>0</formula>
    </cfRule>
  </conditionalFormatting>
  <conditionalFormatting sqref="K999">
    <cfRule type="cellIs" rank="0" priority="3975" equalAverage="0" operator="greaterThan" aboveAverage="0" dxfId="7" text="" percent="0" bottom="0">
      <formula>0</formula>
    </cfRule>
  </conditionalFormatting>
  <conditionalFormatting sqref="N999">
    <cfRule type="cellIs" rank="0" priority="3976" equalAverage="0" operator="greaterThan" aboveAverage="0" dxfId="7" text="" percent="0" bottom="0">
      <formula>0</formula>
    </cfRule>
    <cfRule type="cellIs" rank="0" priority="3977" equalAverage="0" operator="lessThan" aboveAverage="0" dxfId="8" text="" percent="0" bottom="0">
      <formula>0</formula>
    </cfRule>
  </conditionalFormatting>
  <conditionalFormatting sqref="I1000">
    <cfRule type="cellIs" rank="0" priority="3978" equalAverage="0" operator="greaterThan" aboveAverage="0" dxfId="7" text="" percent="0" bottom="0">
      <formula>0</formula>
    </cfRule>
  </conditionalFormatting>
  <conditionalFormatting sqref="K1000">
    <cfRule type="cellIs" rank="0" priority="3979" equalAverage="0" operator="greaterThan" aboveAverage="0" dxfId="7" text="" percent="0" bottom="0">
      <formula>0</formula>
    </cfRule>
  </conditionalFormatting>
  <conditionalFormatting sqref="N1000">
    <cfRule type="cellIs" rank="0" priority="3980" equalAverage="0" operator="greaterThan" aboveAverage="0" dxfId="7" text="" percent="0" bottom="0">
      <formula>0</formula>
    </cfRule>
    <cfRule type="cellIs" rank="0" priority="3981" equalAverage="0" operator="lessThan" aboveAverage="0" dxfId="8" text="" percent="0" bottom="0">
      <formula>0</formula>
    </cfRule>
  </conditionalFormatting>
  <conditionalFormatting sqref="I1001">
    <cfRule type="cellIs" rank="0" priority="3982" equalAverage="0" operator="greaterThan" aboveAverage="0" dxfId="7" text="" percent="0" bottom="0">
      <formula>0</formula>
    </cfRule>
  </conditionalFormatting>
  <conditionalFormatting sqref="K1001">
    <cfRule type="cellIs" rank="0" priority="3983" equalAverage="0" operator="greaterThan" aboveAverage="0" dxfId="7" text="" percent="0" bottom="0">
      <formula>0</formula>
    </cfRule>
  </conditionalFormatting>
  <conditionalFormatting sqref="N1001">
    <cfRule type="cellIs" rank="0" priority="3984" equalAverage="0" operator="greaterThan" aboveAverage="0" dxfId="7" text="" percent="0" bottom="0">
      <formula>0</formula>
    </cfRule>
    <cfRule type="cellIs" rank="0" priority="3985" equalAverage="0" operator="lessThan" aboveAverage="0" dxfId="8" text="" percent="0" bottom="0">
      <formula>0</formula>
    </cfRule>
  </conditionalFormatting>
  <conditionalFormatting sqref="I1002">
    <cfRule type="cellIs" rank="0" priority="3986" equalAverage="0" operator="greaterThan" aboveAverage="0" dxfId="7" text="" percent="0" bottom="0">
      <formula>0</formula>
    </cfRule>
  </conditionalFormatting>
  <conditionalFormatting sqref="K1002">
    <cfRule type="cellIs" rank="0" priority="3987" equalAverage="0" operator="greaterThan" aboveAverage="0" dxfId="7" text="" percent="0" bottom="0">
      <formula>0</formula>
    </cfRule>
  </conditionalFormatting>
  <conditionalFormatting sqref="N1002">
    <cfRule type="cellIs" rank="0" priority="3988" equalAverage="0" operator="greaterThan" aboveAverage="0" dxfId="7" text="" percent="0" bottom="0">
      <formula>0</formula>
    </cfRule>
    <cfRule type="cellIs" rank="0" priority="3989" equalAverage="0" operator="lessThan" aboveAverage="0" dxfId="8" text="" percent="0" bottom="0">
      <formula>0</formula>
    </cfRule>
  </conditionalFormatting>
  <conditionalFormatting sqref="I1003">
    <cfRule type="cellIs" rank="0" priority="3990" equalAverage="0" operator="greaterThan" aboveAverage="0" dxfId="7" text="" percent="0" bottom="0">
      <formula>0</formula>
    </cfRule>
  </conditionalFormatting>
  <conditionalFormatting sqref="K1003">
    <cfRule type="cellIs" rank="0" priority="3991" equalAverage="0" operator="greaterThan" aboveAverage="0" dxfId="7" text="" percent="0" bottom="0">
      <formula>0</formula>
    </cfRule>
  </conditionalFormatting>
  <conditionalFormatting sqref="N1003">
    <cfRule type="cellIs" rank="0" priority="3992" equalAverage="0" operator="greaterThan" aboveAverage="0" dxfId="7" text="" percent="0" bottom="0">
      <formula>0</formula>
    </cfRule>
    <cfRule type="cellIs" rank="0" priority="3993" equalAverage="0" operator="lessThan" aboveAverage="0" dxfId="8" text="" percent="0" bottom="0">
      <formula>0</formula>
    </cfRule>
  </conditionalFormatting>
  <dataValidations count="5">
    <dataValidation sqref="B6:B1004" showDropDown="0" showInputMessage="1" showErrorMessage="1" allowBlank="1" errorTitle="Geçersiz tarih" error="01.01.2000'den sonraki bir tarih girin." promptTitle="İşe Giriş Tarihi" prompt="Çalışanın işe başladığı tarih." type="date" errorStyle="stop" operator="greaterThan">
      <formula1>2000-1-1</formula1>
      <formula2>0</formula2>
    </dataValidation>
    <dataValidation sqref="C6:C1004" showDropDown="0" showInputMessage="1" showErrorMessage="1" allowBlank="1" errorTitle="Geçersiz tarih" error="01.01.2000'den sonraki bir tarih girin." promptTitle="İşten Çıkış Tarihi" prompt="Çalışanın işten ayrıldığı tarih." type="date" errorStyle="stop" operator="greaterThan">
      <formula1>2000-1-1</formula1>
      <formula2>0</formula2>
    </dataValidation>
    <dataValidation sqref="D6:D1004" showDropDown="0" showInputMessage="1" showErrorMessage="1" allowBlank="1" errorTitle="Geçersiz ücret" error="Ücret 0'dan büyük olmalı." promptTitle="Brüt Ücret (₺)" prompt="Aylık veya günlük brüt ücret." type="decimal" errorStyle="stop" operator="greaterThan">
      <formula1>0</formula1>
      <formula2>0</formula2>
    </dataValidation>
    <dataValidation sqref="E6:E1004" showDropDown="0" showInputMessage="1" showErrorMessage="1" allowBlank="1" errorTitle="Geçersiz seçim" error="Aylık veya Günlük olmalı." promptTitle="Ücret Türü" prompt="Aylık veya Günlük seçin." type="list" errorStyle="stop" operator="between">
      <formula1>ListeUcretTuru</formula1>
      <formula2>0</formula2>
    </dataValidation>
    <dataValidation sqref="M6:M1004" showDropDown="0" showInputMessage="1" showErrorMessage="1" allowBlank="1" errorTitle="Geçersiz değer" error="Gün sayısı 0'dan küçük olamaz." promptTitle="Kullanılan İzin (Gün)" prompt="Kullanılmış yıllık izin günü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100" min="1" max="1"/>
    <col width="34" customWidth="1" style="100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  <col width="13" customWidth="1" style="74" min="11" max="11"/>
  </cols>
  <sheetData>
    <row r="1" ht="32" customHeight="1" s="74">
      <c r="A1" s="277" t="inlineStr">
        <is>
          <t>MOTOR — KIDEM–İHBAR YÜKÜ VE PERSONEL ÇIKARMA MALİYETİ HESAPLAYICI</t>
        </is>
      </c>
    </row>
    <row r="2"/>
    <row r="3" ht="22" customHeight="1" s="74">
      <c r="A3" s="296" t="inlineStr">
        <is>
          <t>Hesaplama Motoru — Kıdem, İhbar, İzin ve Maliyet</t>
        </is>
      </c>
    </row>
    <row r="4"/>
    <row r="5"/>
    <row r="6" ht="15" customHeight="1" s="74">
      <c r="A6" s="127" t="inlineStr">
        <is>
          <t>Toplam Çalışan Sayısı</t>
        </is>
      </c>
      <c r="B6" s="128">
        <f>IFERROR(COUNT(tblCalisan[Çalışan Adı]),0)</f>
        <v/>
      </c>
    </row>
    <row r="7" ht="15" customHeight="1" s="74">
      <c r="A7" s="127" t="inlineStr">
        <is>
          <t>Toplam Kıdem Tazminatı</t>
        </is>
      </c>
      <c r="B7" s="129">
        <f>IFERROR(ROUND(SUM(tblCalisan[Kıdem Tazminatı (₺)]),0),0)</f>
        <v/>
      </c>
    </row>
    <row r="8" ht="15" customHeight="1" s="74">
      <c r="A8" s="127" t="inlineStr">
        <is>
          <t>Toplam İhbar Tazminatı</t>
        </is>
      </c>
      <c r="B8" s="129">
        <f>IFERROR(ROUND(SUM(tblCalisan[İhbar Tazminatı (₺)]),0),0)</f>
        <v/>
      </c>
    </row>
    <row r="9" ht="15" customHeight="1" s="74">
      <c r="A9" s="127" t="inlineStr">
        <is>
          <t>Toplam İzin Ücreti</t>
        </is>
      </c>
      <c r="B9" s="129">
        <f>IFERROR(ROUND(SUMPRODUCT(tblCalisan[İzin Hakkı (Gün)],tblCalisan[Günlük Ücret (₺)])-SUMPRODUCT(tblCalisan[Kullanılan İzin (Gün)],tblCalisan[Günlük Ücret (₺)]),0),0)</f>
        <v/>
      </c>
    </row>
    <row r="10" ht="15" customHeight="1" s="74">
      <c r="A10" s="130" t="inlineStr">
        <is>
          <t>Toplam Çıkarma Maliyeti</t>
        </is>
      </c>
      <c r="B10" s="129">
        <f>IFERROR(ROUND(SUM(tblCalisan[Toplam Çıkarma Maliyeti (₺)]),0),0)</f>
        <v/>
      </c>
    </row>
    <row r="11" ht="15" customHeight="1" s="74">
      <c r="A11" s="127" t="inlineStr">
        <is>
          <t>Ortalama Kıdem Yılı</t>
        </is>
      </c>
      <c r="B11" s="128">
        <f>IFERROR(AVERAGE(tblCalisan[Kıdem Yıl]),0)</f>
        <v/>
      </c>
    </row>
    <row r="12" ht="15" customHeight="1" s="74">
      <c r="A12" s="127" t="inlineStr">
        <is>
          <t>Ortalama Günlük Ücret</t>
        </is>
      </c>
      <c r="B12" s="129">
        <f>IFERROR(AVERAGE(tblCalisan[Günlük Ücret (₺)]),0)</f>
        <v/>
      </c>
    </row>
    <row r="13" ht="15" customHeight="1" s="74">
      <c r="A13" s="127" t="inlineStr">
        <is>
          <t>En Yüksek Çalışan Maliyeti</t>
        </is>
      </c>
      <c r="B13" s="129">
        <f>IFERROR(MAX(tblCalisan[Toplam Çıkarma Maliyeti (₺)]),0)</f>
        <v/>
      </c>
    </row>
    <row r="14" ht="15" customHeight="1" s="74">
      <c r="A14" s="127" t="inlineStr">
        <is>
          <t>Maliyet Yoğunlaşma Oranı</t>
        </is>
      </c>
      <c r="B14" s="131">
        <f>IFERROR(IF(ToplamCikarmaMaliyeti=0,0,EnYuksekCalisanMaliyeti/ToplamCikarmaMaliyeti),0)</f>
        <v/>
      </c>
    </row>
    <row r="15" ht="15" customHeight="1" s="74">
      <c r="A15" s="127" t="inlineStr">
        <is>
          <t>Ortalama İhbar Günü</t>
        </is>
      </c>
      <c r="B15" s="128">
        <f>IFERROR(AVERAGE(tblCalisan[İhbar Gün]),0)</f>
        <v/>
      </c>
    </row>
    <row r="16" ht="15" customHeight="1" s="74">
      <c r="A16" s="127" t="inlineStr">
        <is>
          <t>Aylık Brüt Ücret Yükü</t>
        </is>
      </c>
      <c r="B16" s="129">
        <f>IFERROR(ROUND(SUM(tblCalisan[Brüt Ücret (₺)]),0),0)</f>
        <v/>
      </c>
    </row>
    <row r="17" ht="15" customHeight="1" s="74">
      <c r="A17" s="127" t="inlineStr">
        <is>
          <t>Yıllık İşçilik Yükü</t>
        </is>
      </c>
      <c r="B17" s="129">
        <f>IFERROR(AylikBrutUcretYuku*12,0)</f>
        <v/>
      </c>
    </row>
    <row r="18" ht="15" customHeight="1" s="74">
      <c r="A18" s="127" t="inlineStr">
        <is>
          <t>Çıkarma Bütçesi Kullanım Oranı</t>
        </is>
      </c>
      <c r="B18" s="131">
        <f>IFERROR(IF(CikarmaButceEsik=0,0,ToplamCikarmaMaliyeti/CikarmaButceEsik),0)</f>
        <v/>
      </c>
    </row>
    <row r="19" ht="15" customHeight="1" s="74">
      <c r="A19" s="130" t="inlineStr">
        <is>
          <t>Bütçe Farkı</t>
        </is>
      </c>
      <c r="B19" s="129">
        <f>IFERROR(CikarmaButceEsik-ToplamCikarmaMaliyeti,0)</f>
        <v/>
      </c>
    </row>
    <row r="20" ht="15" customHeight="1" s="74">
      <c r="A20" s="127" t="inlineStr">
        <is>
          <t>Anomali Çalışan Adedi</t>
        </is>
      </c>
      <c r="B20" s="128">
        <f>SUMPRODUCT(--(tblCalisan[Brüt Ücret (₺)]&lt;&gt;""),--(ABS(tblCalisan[Brüt Ücret (₺)]-IFERROR(AVERAGE(tblCalisan[Brüt Ücret (₺)]),0))&gt;UcretAnomaliZEsik*IFERROR(stdev.p(tblCalisan[Brüt Ücret (₺)]),0)))</f>
        <v/>
      </c>
    </row>
    <row r="21" ht="15" customHeight="1" s="74">
      <c r="A21" s="127" t="inlineStr">
        <is>
          <t>İzin Kullanım Oranı</t>
        </is>
      </c>
      <c r="B21" s="131">
        <f>IFERROR(IF(SUMPRODUCT(tblCalisan[İzin Hakkı (Gün)])&gt;0,1-SUMPRODUCT(tblCalisan[Kullanılan İzin (Gün)])/SUMPRODUCT(tblCalisan[İzin Hakkı (Gün)]),0),0)</f>
        <v/>
      </c>
    </row>
    <row r="22"/>
    <row r="23"/>
    <row r="24"/>
    <row r="25" ht="15" customHeight="1" s="74">
      <c r="A25" s="113" t="inlineStr">
        <is>
          <t>Analitik Modül Hesapları</t>
        </is>
      </c>
    </row>
    <row r="26" ht="15" customHeight="1" s="74">
      <c r="A26" s="127" t="inlineStr">
        <is>
          <t>Modül T1: Çalışan Zaman Kapsamı</t>
        </is>
      </c>
      <c r="B26" s="128">
        <f>IFERROR(MAX(tblCalisan[İşten Çıkış Tarihi])-MIN(tblCalisan[İşe Giriş Tarihi]),0)</f>
        <v/>
      </c>
    </row>
    <row r="27" ht="15" customHeight="1" s="74">
      <c r="A27" s="127" t="inlineStr">
        <is>
          <t>Modül T2: Ücret Eğilimi (çalışan başına)</t>
        </is>
      </c>
      <c r="B27" s="129">
        <f>IFERROR(SLOPE(tblCalisan[Brüt Ücret (₺)],ROW(tblCalisan[Brüt Ücret (₺)])-ROW(tblCalisan[[#Headers],[Brüt Ücret (₺)]])),0)</f>
        <v/>
      </c>
    </row>
    <row r="28" ht="15" customHeight="1" s="74">
      <c r="A28" s="127" t="inlineStr">
        <is>
          <t>Modül T3: En Yüksek Maliyetli Çalışanın Payı</t>
        </is>
      </c>
      <c r="B28" s="131">
        <f>IFERROR(LARGE(tblCalisan[Toplam Çıkarma Maliyeti (₺)],1)/MAX(1,SUM(tblCalisan[Toplam Çıkarma Maliyeti (₺)])),0)</f>
        <v/>
      </c>
    </row>
    <row r="29" ht="15" customHeight="1" s="74">
      <c r="A29" s="127" t="inlineStr">
        <is>
          <t>Modül T5: Bütçe Mutabakat Farkı</t>
        </is>
      </c>
      <c r="B29" s="129">
        <f>IFERROR(CikarmaButceEsik-ToplamCikarmaMaliyeti,0)</f>
        <v/>
      </c>
    </row>
    <row r="30" ht="15" customHeight="1" s="74">
      <c r="A30" s="127" t="inlineStr">
        <is>
          <t>Modül T6: Kıdem Tazminatının Maliyet İçindeki Payı</t>
        </is>
      </c>
      <c r="B30" s="131">
        <f>IFERROR(IF(ToplamCikarmaMaliyeti=0,0,ToplamKidem/ToplamCikarmaMaliyeti),0)</f>
        <v/>
      </c>
    </row>
    <row r="31" ht="15" customHeight="1" s="74">
      <c r="A31" s="127" t="inlineStr">
        <is>
          <t>Modül O1: Anomali Oranı</t>
        </is>
      </c>
      <c r="B31" s="131">
        <f>IFERROR(IF(COUNT(tblCalisan[Çalışan Adı])=0,0,AnomaliCalisanAdedi/COUNT(tblCalisan[Çalışan Adı])),0)</f>
        <v/>
      </c>
    </row>
    <row r="32" ht="15" customHeight="1" s="74">
      <c r="A32" s="127" t="inlineStr">
        <is>
          <t>Modül O2: En Etkili Değişken (Tornado)</t>
        </is>
      </c>
      <c r="B32" s="132">
        <f>IFERROR(INDEX(SENARYO_DUYARLILIK!$A$13:$A$14,MATCH(MAX(SENARYO_DUYARLILIK!$G$13:$G$14),SENARYO_DUYARLILIK!$G$13:$G$14,0)),"VERİ YOK")</f>
        <v/>
      </c>
    </row>
    <row r="33" ht="15" customHeight="1" s="74">
      <c r="A33" s="127" t="inlineStr">
        <is>
          <t>Modül O3: Baz Senaryo Maliyeti</t>
        </is>
      </c>
      <c r="B33" s="129">
        <f>SENARYO_DUYARLILIK!$D$8</f>
        <v/>
      </c>
    </row>
    <row r="34" ht="15" customHeight="1" s="74">
      <c r="A34" s="127" t="inlineStr">
        <is>
          <t>Modül O4: Ortalama Kıdem (Ay)</t>
        </is>
      </c>
      <c r="B34" s="128">
        <f>IFERROR(AVERAGE(tblCalisan[Kıdem Gün])/30,0)</f>
        <v/>
      </c>
    </row>
    <row r="35" ht="15" customHeight="1" s="74">
      <c r="A35" s="127" t="inlineStr">
        <is>
          <t>Modül O6: Maliyet Yoğunlaşması (HHI)</t>
        </is>
      </c>
      <c r="B35" s="133">
        <f>IFERROR(SUMPRODUCT((IF(ISNUMBER(tblCalisan[Toplam Çıkarma Maliyeti (₺)]),tblCalisan[Toplam Çıkarma Maliyeti (₺)],0)/MAX(1,SUM(tblCalisan[Toplam Çıkarma Maliyeti (₺)])))^2),0)</f>
        <v/>
      </c>
    </row>
    <row r="36" ht="15" customHeight="1" s="74">
      <c r="A36" s="127" t="inlineStr">
        <is>
          <t>Modül O8: Veri Kalite Skoru</t>
        </is>
      </c>
      <c r="B36" s="128">
        <f>KONTROL!$B$21</f>
        <v/>
      </c>
    </row>
    <row r="37" ht="15" customHeight="1" s="74">
      <c r="A37" s="127" t="inlineStr">
        <is>
          <t>Modül I1: Maliyet Tahmin Orta Noktası</t>
        </is>
      </c>
      <c r="B37" s="129">
        <f>IFERROR(FORECAST(COUNTA(tblCalisan[Çalışan Adı])+1,tblCalisan[Toplam Çıkarma Maliyeti (₺)],ROW(tblCalisan[Toplam Çıkarma Maliyeti (₺)])-ROW(tblCalisan[[#Headers],[Toplam Çıkarma Maliyeti (₺)]])),0)</f>
        <v/>
      </c>
    </row>
    <row r="38" ht="15" customHeight="1" s="74">
      <c r="A38" s="127" t="inlineStr">
        <is>
          <t>Modül I2: Çalışan Maliyeti P90</t>
        </is>
      </c>
      <c r="B38" s="129">
        <f>IFERROR(PERCENTILE(tblCalisan[Toplam Çıkarma Maliyeti (₺)],P90Kuantil),0)</f>
        <v/>
      </c>
    </row>
    <row r="39" ht="15" customHeight="1" s="74">
      <c r="A39" s="127" t="inlineStr">
        <is>
          <t>Modül I3: Maliyet Yükü Net Bugünkü Değeri</t>
        </is>
      </c>
      <c r="B39" s="129">
        <f>IFERROR(NPV(IskontoOrani,tblCalisan[Toplam Çıkarma Maliyeti (₺)]),0)</f>
        <v/>
      </c>
    </row>
    <row r="40" ht="15" customHeight="1" s="74">
      <c r="A40" s="127" t="inlineStr">
        <is>
          <t>Modül I7: Bütçe Açığı Köprüsü (Ek Kaynak İhtiyacı)</t>
        </is>
      </c>
      <c r="B40" s="129">
        <f>IFERROR(ABS(ButceFarki)/MAX(0.01,1),0)</f>
        <v/>
      </c>
    </row>
    <row r="41" ht="15" customHeight="1" s="74">
      <c r="A41" s="127" t="inlineStr">
        <is>
          <t>Değer Ölçer: Toplam Yük</t>
        </is>
      </c>
      <c r="B41" s="129">
        <f>IFERROR(MAX(0,ToplamCikarmaMaliyeti),0)</f>
        <v/>
      </c>
    </row>
    <row r="42" ht="15" customHeight="1" s="74">
      <c r="A42" s="127" t="inlineStr">
        <is>
          <t>Değer Ölçer: Bütçe Aşımı</t>
        </is>
      </c>
      <c r="B42" s="129">
        <f>IFERROR(MAX(0,ToplamCikarmaMaliyeti-CikarmaButceEsik),0)</f>
        <v/>
      </c>
    </row>
    <row r="43"/>
    <row r="44" ht="15" customHeight="1" s="74">
      <c r="A44" s="113" t="inlineStr">
        <is>
          <t>Modül Makine Yorumları</t>
        </is>
      </c>
    </row>
    <row r="45" ht="15" customHeight="1" s="74">
      <c r="A45" s="127" t="inlineStr">
        <is>
          <t>T1 Zaman Kapsamı</t>
        </is>
      </c>
      <c r="B45" s="128">
        <f>modulT1CalisanYasOrt</f>
        <v/>
      </c>
      <c r="C45" s="134">
        <f>_xlfn.TEXTJOIN(" | ",TRUE(),"T1: Çalışan kayıtları "&amp;modulT1CalisanYasOrt&amp;" günlük aralığa yayılıyor",IF(modulT1CalisanYasOrt&gt;365,"kadro bir yılı aşıyor, kıdem yükü yükselebilir","kadro tek yıl içinde"))</f>
        <v/>
      </c>
    </row>
    <row r="46" ht="15" customHeight="1" s="74">
      <c r="A46" s="127" t="inlineStr">
        <is>
          <t>T2 Ücret Eğilimi</t>
        </is>
      </c>
      <c r="B46" s="129">
        <f>modulT2UcretEgim</f>
        <v/>
      </c>
      <c r="C46" s="134">
        <f>_xlfn.TEXTJOIN(" | ",TRUE(),"T2: Ücret eğilimi çalışan başına "&amp;TEXT(modulT2UcretEgim,"#,##0")&amp;" TL değişim",IF(modulT2UcretEgim&gt;0,"ücretler yükselme eğiliminde, yük maliyeti artıyor","ücretler düşme eğiliminde"))</f>
        <v/>
      </c>
    </row>
    <row r="47" ht="15" customHeight="1" s="74">
      <c r="A47" s="127" t="inlineStr">
        <is>
          <t>T3 Pareto Maliyet Payı</t>
        </is>
      </c>
      <c r="B47" s="131">
        <f>modulT3MaliyetParetoPay</f>
        <v/>
      </c>
      <c r="C47" s="134">
        <f>_xlfn.TEXTJOIN(" | ",TRUE(),"T3: En yüksek maliyetli çalışan toplamın "&amp;TEXT(modulT3MaliyetParetoPay*100,"0")&amp;"% tutarında",IF(modulT3MaliyetParetoPay&gt;ParetoEsikOran,"maliyet tek çalışanda yoğun, planlama dikkatli yapılmalı","maliyet çalışanlara dağılmış"))</f>
        <v/>
      </c>
    </row>
    <row r="48" ht="15" customHeight="1" s="74">
      <c r="A48" s="127" t="inlineStr">
        <is>
          <t>T5 Bütçe Mutabakatı</t>
        </is>
      </c>
      <c r="B48" s="129">
        <f>modulT5ButceMutabakat</f>
        <v/>
      </c>
      <c r="C48" s="134">
        <f>_xlfn.TEXTJOIN(" | ",TRUE(),"T5: Bütçe - maliyet farkı "&amp;TEXT(modulT5ButceMutabakat,"#,##0")&amp;" TL",IF(modulT5ButceMutabakat&lt;0,"maliyet bütçeyi aşıyor","bütçe içinde"))</f>
        <v/>
      </c>
    </row>
    <row r="49" ht="15" customHeight="1" s="74">
      <c r="A49" s="127" t="inlineStr">
        <is>
          <t>T6 Kıdem Maliyet Payı</t>
        </is>
      </c>
      <c r="B49" s="131">
        <f>modulT6KidemPay</f>
        <v/>
      </c>
      <c r="C49" s="134">
        <f>_xlfn.TEXTJOIN(" | ",TRUE(),"T6: Kıdem tazminatı toplam maliyetin "&amp;TEXT(modulT6KidemPay*100,"0")&amp;"% tutarında",IF(modulT6KidemPay&gt;0.5,"kıdem yükü baskın, sözleşme AND tavanı gözden geçirin","maliyet dağılımı dengeli"))</f>
        <v/>
      </c>
    </row>
    <row r="50" ht="15" customHeight="1" s="74">
      <c r="A50" s="127" t="inlineStr">
        <is>
          <t>O1 Anomali Oranı</t>
        </is>
      </c>
      <c r="B50" s="131">
        <f>modulO1AnomaliOran</f>
        <v/>
      </c>
      <c r="C50" s="134">
        <f>_xlfn.TEXTJOIN(" | ",TRUE(),"O1: Çalışanların "&amp;TEXT(modulO1AnomaliOran*100,"0")&amp;"% ücretinde anomali var",IF(modulO1AnomaliOran&gt;0,"uç ücretli çalışanları bordroyla mutabakat edin","ücret dağılımı tutarlı"))</f>
        <v/>
      </c>
    </row>
    <row r="51" ht="15" customHeight="1" s="74">
      <c r="A51" s="127" t="inlineStr">
        <is>
          <t>O2 Tornado Zirve</t>
        </is>
      </c>
      <c r="B51" s="132">
        <f>modulO2TornadoZirve</f>
        <v/>
      </c>
      <c r="C51" s="134">
        <f>_xlfn.TEXTJOIN(" | ",TRUE(),"O2: Toplam maliyeti en çok etkileyen değişken: "&amp;modulO2TornadoZirve,IF(modulO2TornadoZirve="Ücret Seviyesi","ücret yapısını AND toplu çıkarma planını gözden geçirin","ana değişken netleşti"))</f>
        <v/>
      </c>
    </row>
    <row r="52" ht="15" customHeight="1" s="74">
      <c r="A52" s="127" t="inlineStr">
        <is>
          <t>O3 Senaryo Baz Maliyet</t>
        </is>
      </c>
      <c r="B52" s="129">
        <f>modulO3SenaryoBazFark</f>
        <v/>
      </c>
      <c r="C52" s="134">
        <f>_xlfn.TEXTJOIN(" | ",TRUE(),"O3: Senaryo motoru — baz toplam maliyet "&amp;TEXT(modulO3SenaryoBazFark,"#,##0")&amp;" TL",IF(modulO3SenaryoBazFark&gt;CikarmaButceEsik,"baz senaryoda bütçe aşılıyor","senaryo aralığı bütçe içinde"))</f>
        <v/>
      </c>
    </row>
    <row r="53" ht="15" customHeight="1" s="74">
      <c r="A53" s="127" t="inlineStr">
        <is>
          <t>O4 Ortalama Kıdem Ay</t>
        </is>
      </c>
      <c r="B53" s="128">
        <f>modulO4OrtalamaKidemAy</f>
        <v/>
      </c>
      <c r="C53" s="134">
        <f>_xlfn.TEXTJOIN(" | ",TRUE(),"O4: AVERAGE kıdem "&amp;modulO4OrtalamaKidemAy&amp;" ay",IF(modulO4OrtalamaKidemAy&gt;KidemYilEsik*12,"kıdem yükü eşik üstünde, çıkarma maliyeti yüksek","kıdem yükü eşik içinde"))</f>
        <v/>
      </c>
    </row>
    <row r="54" ht="15" customHeight="1" s="74">
      <c r="A54" s="127" t="inlineStr">
        <is>
          <t>O6 Yoğunlaşma HHI</t>
        </is>
      </c>
      <c r="B54" s="133">
        <f>modulO6MaliyetHhi</f>
        <v/>
      </c>
      <c r="C54" s="134">
        <f>_xlfn.TEXTJOIN(" | ",TRUE(),"O6: Maliyet yoğunlaşma endeksi "&amp;TEXT(modulO6MaliyetHhi,"0,00")&amp;" (HHI)",IF(modulO6MaliyetHhi&gt;0.5,"maliyet tek çalışanda yoğun, risk izlenmeli","yoğunlaşma dağılmış"))</f>
        <v/>
      </c>
    </row>
    <row r="55" ht="15" customHeight="1" s="74">
      <c r="A55" s="127" t="inlineStr">
        <is>
          <t>O8 Veri Kalite Skoru</t>
        </is>
      </c>
      <c r="B55" s="128">
        <f>modulO8KaliteSkoru</f>
        <v/>
      </c>
      <c r="C55" s="134">
        <f>_xlfn.TEXTJOIN(" | ",TRUE(),"O8: Veri kalitesi "&amp;modulO8KaliteSkoru&amp;"/100",IF(modulO8KaliteSkoru&lt;VeriKaliteOrtaEsik,"girişler eksik, karar güvenilir değil","giriş kalitesi karar için yeterli"))</f>
        <v/>
      </c>
    </row>
    <row r="56" ht="15" customHeight="1" s="74">
      <c r="A56" s="127" t="inlineStr">
        <is>
          <t>I1 Tahmin Orta</t>
        </is>
      </c>
      <c r="B56" s="129">
        <f>modulI1TahminOrta</f>
        <v/>
      </c>
      <c r="C56" s="134">
        <f>_xlfn.TEXTJOIN(" | ",TRUE(),"I1: Tahmin — sonraki çalışan maliyeti "&amp;TEXT(modulI1TahminOrta,"#,##0")&amp;" TL öngörülüyor",IF(modulI1TahminOrta&gt;MAX(tblCalisan[Toplam Çıkarma Maliyeti (₺)]),"tahmin mevcut maliyetlerin üzerinde","tahmin mevcut seviyeye yakın"))</f>
        <v/>
      </c>
    </row>
    <row r="57" ht="15" customHeight="1" s="74">
      <c r="A57" s="127" t="inlineStr">
        <is>
          <t>I2 Yüzdelik P90</t>
        </is>
      </c>
      <c r="B57" s="129">
        <f>modulI2MaliyetP90</f>
        <v/>
      </c>
      <c r="C57" s="134">
        <f>_xlfn.TEXTJOIN(" | ",TRUE(),"I2: Dağılım — çalışan maliyetlerinin %90'ı "&amp;TEXT(modulI2MaliyetP90,"#,##0")&amp;" TL değerinin altında",IF(modulI2MaliyetP90&gt;0,"yüksek maliyetli çalışanlar var","maliyet dağılımı dengeli"))</f>
        <v/>
      </c>
    </row>
    <row r="58" ht="15" customHeight="1" s="74">
      <c r="A58" s="127" t="inlineStr">
        <is>
          <t>I3 Maliyet NPV</t>
        </is>
      </c>
      <c r="B58" s="129">
        <f>modulI3MaliyetNpv</f>
        <v/>
      </c>
      <c r="C58" s="134">
        <f>_xlfn.TEXTJOIN(" | ",TRUE(),"I3: İskonto edilmiş maliyet yükü "&amp;TEXT(modulI3MaliyetNpv,"#,##0")&amp;" TL",IF(modulI3MaliyetNpv&lt;0,"maliyet yükü zamanla değer kaybediyor","maliyet yükü pozitif bugünkü değer üretiyor"))</f>
        <v/>
      </c>
    </row>
    <row r="59" ht="15" customHeight="1" s="74">
      <c r="A59" s="127" t="inlineStr">
        <is>
          <t>I7 Bütçe Açığı Köprüsü</t>
        </is>
      </c>
      <c r="B59" s="129">
        <f>modulI7ButceAcikKopru</f>
        <v/>
      </c>
      <c r="C59" s="134">
        <f>_xlfn.TEXTJOIN(" | ",TRUE(),"I7: Bütçe açığı için gereken ek kaynak "&amp;TEXT(modulI7ButceAcikKopru,"#,##0")&amp;" TL",IF(modulI7ButceAcikKopru&gt;0,"bütçe revizyonunu veya ödeme planını değerlendirin","bütçe köprüsüne gerek yok"))</f>
        <v/>
      </c>
    </row>
    <row r="60"/>
    <row r="61" ht="19.5" customHeight="1" s="74">
      <c r="A61" s="111" t="inlineStr">
        <is>
          <t>Tüm hesaplar tablolardan ve AYARLAR'daki oranlardan beslenir; gömülü sabit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8">
    <mergeCell ref="C48:Z48"/>
    <mergeCell ref="A61:AN61"/>
    <mergeCell ref="C56:Z56"/>
    <mergeCell ref="A1:J1"/>
    <mergeCell ref="C49:Z49"/>
    <mergeCell ref="C59:Z59"/>
    <mergeCell ref="C51:Z51"/>
    <mergeCell ref="C46:Z46"/>
    <mergeCell ref="C47:Z47"/>
    <mergeCell ref="C54:Z54"/>
    <mergeCell ref="A3:J3"/>
    <mergeCell ref="C58:Z58"/>
    <mergeCell ref="C50:Z50"/>
    <mergeCell ref="C57:Z57"/>
    <mergeCell ref="C55:Z55"/>
    <mergeCell ref="C53:Z53"/>
    <mergeCell ref="C45:Z45"/>
    <mergeCell ref="C52:Z52"/>
  </mergeCells>
  <conditionalFormatting sqref="B10">
    <cfRule type="cellIs" rank="0" priority="2" equalAverage="0" operator="greaterThan" aboveAverage="0" dxfId="8" text="" percent="0" bottom="0">
      <formula>CikarmaButceEsik</formula>
    </cfRule>
    <cfRule type="cellIs" rank="0" priority="3" equalAverage="0" operator="lessThanOrEqual" aboveAverage="0" dxfId="7" text="" percent="0" bottom="0">
      <formula>CikarmaButceEsik</formula>
    </cfRule>
  </conditionalFormatting>
  <conditionalFormatting sqref="B18">
    <cfRule type="cellIs" rank="0" priority="4" equalAverage="0" operator="greaterThan" aboveAverage="0" dxfId="9" text="" percent="0" bottom="0">
      <formula>ButceKullanimEsik</formula>
    </cfRule>
  </conditionalFormatting>
  <conditionalFormatting sqref="B11">
    <cfRule type="cellIs" rank="0" priority="5" equalAverage="0" operator="greaterThan" aboveAverage="0" dxfId="9" text="" percent="0" bottom="0">
      <formula>KidemYilEsik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3.5" customWidth="1" style="100" min="1" max="1"/>
    <col width="14" customWidth="1" style="100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KONTROL — KIDEM–İHBAR YÜKÜ VE PERSONEL ÇIKARMA MALİYETİ HESAPLAYICI</t>
        </is>
      </c>
    </row>
    <row r="2"/>
    <row r="3" ht="22" customHeight="1" s="74">
      <c r="A3" s="296" t="inlineStr">
        <is>
          <t>Veri Kalitesi ve Sağlık Kontrolü</t>
        </is>
      </c>
    </row>
    <row r="4"/>
    <row r="5" ht="15" customHeight="1" s="74">
      <c r="A5" s="135" t="inlineStr">
        <is>
          <t>A. GİRİŞ TAMLIK KONTROLÜ</t>
        </is>
      </c>
    </row>
    <row r="6"/>
    <row r="7" ht="15" customHeight="1" s="74">
      <c r="A7" s="136" t="inlineStr">
        <is>
          <t>Çalışan Adı Boş</t>
        </is>
      </c>
      <c r="B7" s="137">
        <f>IF(COUNTIF(tblCalisan[Çalışan Adı],"")&gt;0,"FAIL","PASS")</f>
        <v/>
      </c>
    </row>
    <row r="8" ht="15" customHeight="1" s="74">
      <c r="A8" s="136" t="inlineStr">
        <is>
          <t>İşe Giriş Tarihi Boş</t>
        </is>
      </c>
      <c r="B8" s="137">
        <f>IF(COUNTBLANK(tblCalisan[İşe Giriş Tarihi])&gt;0,"FAIL","PASS")</f>
        <v/>
      </c>
    </row>
    <row r="9" ht="15" customHeight="1" s="74">
      <c r="A9" s="136" t="inlineStr">
        <is>
          <t>Brüt Ücret Boş/Sıfır</t>
        </is>
      </c>
      <c r="B9" s="137">
        <f>IF(SUMPRODUCT(--(tblCalisan[Brüt Ücret (₺)]=""))+SUMPRODUCT(--(tblCalisan[Brüt Ücret (₺)]&lt;=0))&gt;0,"FAIL","PASS")</f>
        <v/>
      </c>
    </row>
    <row r="10" ht="15" customHeight="1" s="74">
      <c r="A10" s="136" t="inlineStr">
        <is>
          <t>Çıkış Tarihi Eksik</t>
        </is>
      </c>
      <c r="B10" s="137">
        <f>IF(COUNTIF(tblCalisan[İşten Çıkış Tarihi],"")&gt;0,"WARN","PASS")</f>
        <v/>
      </c>
    </row>
    <row r="11" ht="15" customHeight="1" s="74">
      <c r="A11" s="136" t="inlineStr">
        <is>
          <t>Çalışan Kaydı Yok</t>
        </is>
      </c>
      <c r="B11" s="137">
        <f>IF(COUNT(tblCalisan[Brüt Ücret (₺)])=0,"FAIL","PASS")</f>
        <v/>
      </c>
    </row>
    <row r="12" ht="15" customHeight="1" s="74">
      <c r="A12" s="136" t="inlineStr">
        <is>
          <t>Toplam Maliyet Bütçeyi Aşıyor</t>
        </is>
      </c>
      <c r="B12" s="137">
        <f>IF(ToplamCikarmaMaliyeti&gt;CikarmaButceEsik,"WARN","PASS")</f>
        <v/>
      </c>
    </row>
    <row r="13" ht="15" customHeight="1" s="74">
      <c r="A13" s="136" t="inlineStr">
        <is>
          <t>Ortalama Kıdem Yüksek</t>
        </is>
      </c>
      <c r="B13" s="137">
        <f>IF(OrtalamaKidemYil&gt;KidemYilEsik,"WARN","PASS")</f>
        <v/>
      </c>
    </row>
    <row r="14" ht="15" customHeight="1" s="74">
      <c r="A14" s="136" t="inlineStr">
        <is>
          <t>Ücret Anomalisi Var</t>
        </is>
      </c>
      <c r="B14" s="137">
        <f>IF(AnomaliCalisanAdedi&gt;0,"WARN","PASS")</f>
        <v/>
      </c>
    </row>
    <row r="15" ht="15" customHeight="1" s="74">
      <c r="A15" s="136" t="inlineStr">
        <is>
          <t>İzin Kullanımı Girilmemiş</t>
        </is>
      </c>
      <c r="B15" s="137">
        <f>IF(SUMPRODUCT(tblCalisan[İzin Hakkı (Gün)])&gt;SUMPRODUCT(tblCalisan[Kullanılan İzin (Gün)]),"WARN","PASS")</f>
        <v/>
      </c>
    </row>
    <row r="16" ht="15" customHeight="1" s="74">
      <c r="A16" s="136" t="inlineStr">
        <is>
          <t>Kıdem Tazminatı Tavanı Kontrolü</t>
        </is>
      </c>
      <c r="B16" s="137">
        <f>IF(MAX(tblCalisan[Günlük Ücret (₺)])*UcretGunSayisi&gt;KidemTavan,"WARN","PASS")</f>
        <v/>
      </c>
    </row>
    <row r="17"/>
    <row r="18" ht="15" customHeight="1" s="74">
      <c r="A18" s="135" t="inlineStr">
        <is>
          <t>B. SKOR VE SAĞLIK</t>
        </is>
      </c>
    </row>
    <row r="19" ht="15" customHeight="1" s="74">
      <c r="A19" s="136" t="inlineStr">
        <is>
          <t>PASS Sayısı</t>
        </is>
      </c>
      <c r="B19" s="138">
        <f>COUNTIF(B7:B16,"PASS")</f>
        <v/>
      </c>
    </row>
    <row r="20" ht="15" customHeight="1" s="74">
      <c r="A20" s="136" t="inlineStr">
        <is>
          <t>FAIL Sayısı</t>
        </is>
      </c>
      <c r="B20" s="138">
        <f>COUNTIF(B7:B16,"FAIL")</f>
        <v/>
      </c>
    </row>
    <row r="21" ht="15" customHeight="1" s="74">
      <c r="A21" s="139" t="inlineStr">
        <is>
          <t>Veri Kalite Skoru (0-100)</t>
        </is>
      </c>
      <c r="B21" s="140">
        <f>IF(COUNTIF(B7:B16,"FAIL")=0,ROUND(100-COUNTIF(B7:B16,"WARN")*VeriKaliteUyariCeza,0),0)</f>
        <v/>
      </c>
    </row>
    <row r="22" ht="15" customHeight="1" s="74">
      <c r="A22" s="136" t="inlineStr">
        <is>
          <t>Güven Seviyesi</t>
        </is>
      </c>
      <c r="B22" s="139">
        <f>IF(VeriKaliteSkoru=0,"VERİ YOK",IF(VeriKaliteSkoru&gt;=VeriKaliteIyiEsik,"YÜKSEK",IF(VeriKaliteSkoru&gt;=VeriKaliteOrtaEsik,"ORTA","DÜŞÜK")))</f>
        <v/>
      </c>
    </row>
    <row r="23"/>
    <row r="24" ht="15" customHeight="1" s="74">
      <c r="A24" s="136" t="inlineStr">
        <is>
          <t>Durum</t>
        </is>
      </c>
      <c r="B24" s="139">
        <f>IF(FAIL_Sayisi=0,"SAĞLIKLI","İNCELE")</f>
        <v/>
      </c>
    </row>
    <row r="25"/>
    <row r="26" ht="19.5" customHeight="1" s="74">
      <c r="A26" s="111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6:AN26"/>
    <mergeCell ref="A1:I1"/>
    <mergeCell ref="A3:I3"/>
  </mergeCells>
  <conditionalFormatting sqref="B7">
    <cfRule type="cellIs" rank="0" priority="2" equalAverage="0" operator="equal" aboveAverage="0" dxfId="8" text="" percent="0" bottom="0">
      <formula>"FAIL"</formula>
    </cfRule>
    <cfRule type="cellIs" rank="0" priority="3" equalAverage="0" operator="equal" aboveAverage="0" dxfId="9" text="" percent="0" bottom="0">
      <formula>"WARN"</formula>
    </cfRule>
    <cfRule type="cellIs" rank="0" priority="4" equalAverage="0" operator="equal" aboveAverage="0" dxfId="7" text="" percent="0" bottom="0">
      <formula>"PASS"</formula>
    </cfRule>
  </conditionalFormatting>
  <conditionalFormatting sqref="B8">
    <cfRule type="cellIs" rank="0" priority="5" equalAverage="0" operator="equal" aboveAverage="0" dxfId="8" text="" percent="0" bottom="0">
      <formula>"FAIL"</formula>
    </cfRule>
    <cfRule type="cellIs" rank="0" priority="6" equalAverage="0" operator="equal" aboveAverage="0" dxfId="9" text="" percent="0" bottom="0">
      <formula>"WARN"</formula>
    </cfRule>
    <cfRule type="cellIs" rank="0" priority="7" equalAverage="0" operator="equal" aboveAverage="0" dxfId="7" text="" percent="0" bottom="0">
      <formula>"PASS"</formula>
    </cfRule>
  </conditionalFormatting>
  <conditionalFormatting sqref="B9">
    <cfRule type="cellIs" rank="0" priority="8" equalAverage="0" operator="equal" aboveAverage="0" dxfId="8" text="" percent="0" bottom="0">
      <formula>"FAIL"</formula>
    </cfRule>
    <cfRule type="cellIs" rank="0" priority="9" equalAverage="0" operator="equal" aboveAverage="0" dxfId="9" text="" percent="0" bottom="0">
      <formula>"WARN"</formula>
    </cfRule>
    <cfRule type="cellIs" rank="0" priority="10" equalAverage="0" operator="equal" aboveAverage="0" dxfId="7" text="" percent="0" bottom="0">
      <formula>"PASS"</formula>
    </cfRule>
  </conditionalFormatting>
  <conditionalFormatting sqref="B10">
    <cfRule type="cellIs" rank="0" priority="11" equalAverage="0" operator="equal" aboveAverage="0" dxfId="8" text="" percent="0" bottom="0">
      <formula>"FAIL"</formula>
    </cfRule>
    <cfRule type="cellIs" rank="0" priority="12" equalAverage="0" operator="equal" aboveAverage="0" dxfId="9" text="" percent="0" bottom="0">
      <formula>"WARN"</formula>
    </cfRule>
    <cfRule type="cellIs" rank="0" priority="13" equalAverage="0" operator="equal" aboveAverage="0" dxfId="7" text="" percent="0" bottom="0">
      <formula>"PASS"</formula>
    </cfRule>
  </conditionalFormatting>
  <conditionalFormatting sqref="B11">
    <cfRule type="cellIs" rank="0" priority="14" equalAverage="0" operator="equal" aboveAverage="0" dxfId="8" text="" percent="0" bottom="0">
      <formula>"FAIL"</formula>
    </cfRule>
    <cfRule type="cellIs" rank="0" priority="15" equalAverage="0" operator="equal" aboveAverage="0" dxfId="9" text="" percent="0" bottom="0">
      <formula>"WARN"</formula>
    </cfRule>
    <cfRule type="cellIs" rank="0" priority="16" equalAverage="0" operator="equal" aboveAverage="0" dxfId="7" text="" percent="0" bottom="0">
      <formula>"PASS"</formula>
    </cfRule>
  </conditionalFormatting>
  <conditionalFormatting sqref="B12">
    <cfRule type="cellIs" rank="0" priority="17" equalAverage="0" operator="equal" aboveAverage="0" dxfId="8" text="" percent="0" bottom="0">
      <formula>"FAIL"</formula>
    </cfRule>
    <cfRule type="cellIs" rank="0" priority="18" equalAverage="0" operator="equal" aboveAverage="0" dxfId="9" text="" percent="0" bottom="0">
      <formula>"WARN"</formula>
    </cfRule>
    <cfRule type="cellIs" rank="0" priority="19" equalAverage="0" operator="equal" aboveAverage="0" dxfId="7" text="" percent="0" bottom="0">
      <formula>"PASS"</formula>
    </cfRule>
  </conditionalFormatting>
  <conditionalFormatting sqref="B13">
    <cfRule type="cellIs" rank="0" priority="20" equalAverage="0" operator="equal" aboveAverage="0" dxfId="8" text="" percent="0" bottom="0">
      <formula>"FAIL"</formula>
    </cfRule>
    <cfRule type="cellIs" rank="0" priority="21" equalAverage="0" operator="equal" aboveAverage="0" dxfId="9" text="" percent="0" bottom="0">
      <formula>"WARN"</formula>
    </cfRule>
    <cfRule type="cellIs" rank="0" priority="22" equalAverage="0" operator="equal" aboveAverage="0" dxfId="7" text="" percent="0" bottom="0">
      <formula>"PASS"</formula>
    </cfRule>
  </conditionalFormatting>
  <conditionalFormatting sqref="B14">
    <cfRule type="cellIs" rank="0" priority="23" equalAverage="0" operator="equal" aboveAverage="0" dxfId="8" text="" percent="0" bottom="0">
      <formula>"FAIL"</formula>
    </cfRule>
    <cfRule type="cellIs" rank="0" priority="24" equalAverage="0" operator="equal" aboveAverage="0" dxfId="9" text="" percent="0" bottom="0">
      <formula>"WARN"</formula>
    </cfRule>
    <cfRule type="cellIs" rank="0" priority="25" equalAverage="0" operator="equal" aboveAverage="0" dxfId="7" text="" percent="0" bottom="0">
      <formula>"PASS"</formula>
    </cfRule>
  </conditionalFormatting>
  <conditionalFormatting sqref="B15">
    <cfRule type="cellIs" rank="0" priority="26" equalAverage="0" operator="equal" aboveAverage="0" dxfId="8" text="" percent="0" bottom="0">
      <formula>"FAIL"</formula>
    </cfRule>
    <cfRule type="cellIs" rank="0" priority="27" equalAverage="0" operator="equal" aboveAverage="0" dxfId="9" text="" percent="0" bottom="0">
      <formula>"WARN"</formula>
    </cfRule>
    <cfRule type="cellIs" rank="0" priority="28" equalAverage="0" operator="equal" aboveAverage="0" dxfId="7" text="" percent="0" bottom="0">
      <formula>"PASS"</formula>
    </cfRule>
  </conditionalFormatting>
  <conditionalFormatting sqref="B16">
    <cfRule type="cellIs" rank="0" priority="29" equalAverage="0" operator="equal" aboveAverage="0" dxfId="8" text="" percent="0" bottom="0">
      <formula>"FAIL"</formula>
    </cfRule>
    <cfRule type="cellIs" rank="0" priority="30" equalAverage="0" operator="equal" aboveAverage="0" dxfId="9" text="" percent="0" bottom="0">
      <formula>"WARN"</formula>
    </cfRule>
    <cfRule type="cellIs" rank="0" priority="31" equalAverage="0" operator="equal" aboveAverage="0" dxfId="7" text="" percent="0" bottom="0">
      <formula>"PASS"</formula>
    </cfRule>
  </conditionalFormatting>
  <conditionalFormatting sqref="B21">
    <cfRule type="cellIs" rank="0" priority="32" equalAverage="0" operator="greaterThanOrEqual" aboveAverage="0" dxfId="7" text="" percent="0" bottom="0">
      <formula>90</formula>
    </cfRule>
    <cfRule type="cellIs" rank="0" priority="33" equalAverage="0" operator="lessThan" aboveAverage="0" dxfId="8" text="" percent="0" bottom="0">
      <formula>70</formula>
    </cfRule>
  </conditionalFormatting>
  <conditionalFormatting sqref="B24">
    <cfRule type="cellIs" rank="0" priority="34" equalAverage="0" operator="equal" aboveAverage="0" dxfId="7" text="" percent="0" bottom="0">
      <formula>"SAĞLIKLI"</formula>
    </cfRule>
    <cfRule type="cellIs" rank="0" priority="35" equalAverage="0" operator="equal" aboveAverage="0" dxfId="9" text="" percent="0" bottom="0">
      <formula>"İNCELE"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1.5" customWidth="1" style="100" min="1" max="1"/>
    <col width="28" customWidth="1" style="100" min="2" max="2"/>
    <col width="22" customWidth="1" style="100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KARAR — KIDEM–İHBAR YÜKÜ VE PERSONEL ÇIKARMA MALİYETİ HESAPLAYICI</t>
        </is>
      </c>
    </row>
    <row r="2"/>
    <row r="3" ht="15" customHeight="1" s="74">
      <c r="A3" s="113" t="inlineStr">
        <is>
          <t>Karar Motoru</t>
        </is>
      </c>
    </row>
    <row r="4"/>
    <row r="5" ht="15" customHeight="1" s="74">
      <c r="A5" s="135" t="inlineStr">
        <is>
          <t>ÇIKARMA MALİYETİ ÖZETİ</t>
        </is>
      </c>
    </row>
    <row r="6" ht="15" customHeight="1" s="74">
      <c r="A6" s="139" t="inlineStr">
        <is>
          <t>Toplam Çıkarma Maliyeti</t>
        </is>
      </c>
      <c r="B6" s="129">
        <f>ToplamCikarmaMaliyeti</f>
        <v/>
      </c>
    </row>
    <row r="7" ht="15" customHeight="1" s="74">
      <c r="A7" s="139" t="inlineStr">
        <is>
          <t>Çıkarma Bütçesi</t>
        </is>
      </c>
      <c r="B7" s="129">
        <f>IFERROR(ButceFarki+ToplamCikarmaMaliyeti,CikarmaButceEsik)</f>
        <v/>
      </c>
    </row>
    <row r="8" ht="15" customHeight="1" s="74">
      <c r="A8" s="139" t="inlineStr">
        <is>
          <t>Bütçe Kullanım Oranı</t>
        </is>
      </c>
      <c r="B8" s="131">
        <f>ButceKullanimOrani</f>
        <v/>
      </c>
    </row>
    <row r="9" ht="15" customHeight="1" s="74">
      <c r="A9" s="139" t="inlineStr">
        <is>
          <t>Ortalama Kıdem Yılı</t>
        </is>
      </c>
      <c r="B9" s="128">
        <f>OrtalamaKidemYil</f>
        <v/>
      </c>
    </row>
    <row r="10"/>
    <row r="11" ht="18.75" customHeight="1" s="74">
      <c r="A11" s="113" t="inlineStr">
        <is>
          <t>KARAR</t>
        </is>
      </c>
      <c r="B11" s="141">
        <f>IF(VeriKaliteSkoru=0,"VERİ YOK",IF(OR(ToplamCikarmaMaliyeti&lt;0,AnomaliCalisanAdedi&lt;0),"DURDUR",IF(ToplamCikarmaMaliyeti&gt;CikarmaButceEsik,"DURDUR",IF(ButceKullanimOrani&gt;ButceKullanimEsik,"İNCELE",IF(OrtalamaKidemYil&gt;KidemYilEsik,"İNCELE","UYGUN")))))</f>
        <v/>
      </c>
    </row>
    <row r="12" ht="27.75" customHeight="1" s="74">
      <c r="A12" s="139" t="inlineStr">
        <is>
          <t>GEREKÇE</t>
        </is>
      </c>
      <c r="B12" s="142">
        <f>IF(VeriKaliteSkoru=0,"Girdi eksik; lütfen sarı hücreleri doldurun.",IF(ToplamCikarmaMaliyeti&lt;0,"Çıkarma maliyeti negatif: ücret kayıtlarını kontrol edin.",IF(ToplamCikarmaMaliyeti&gt;CikarmaButceEsik,"Toplam maliyet "&amp;TEXT(ToplamCikarmaMaliyeti,"#,##0")&amp;" ₺ bütçeyi aşıyor; planı revize edin.",IF(ButceKullanimOrani&gt;ButceKullanimEsik,"Bütçenin "&amp;TEXT(ButceKullanimOrani,"0.0%")&amp;" kullanılıyor; kaynak planına ihtiyaç var.",IF(OrtalamaKidemYil&gt;KidemYilEsik,"AVERAGE kıdem "&amp;TEXT(OrtalamaKidemYil,"0")&amp;" yıl eşik üstünde; kıdem yükü yüksek.","Kıdem, ihbar AND izin yükü bütçe AND eşikler içinde kabul edilebilir.")))))</f>
        <v/>
      </c>
    </row>
    <row r="13"/>
    <row r="14" ht="15" customHeight="1" s="74">
      <c r="A14" s="135" t="inlineStr">
        <is>
          <t>AKSİYONLAR</t>
        </is>
      </c>
    </row>
    <row r="15" ht="15" customHeight="1" s="74">
      <c r="A15" s="142">
        <f>IF(OR(KararSonuc="VERİ YOK",KararSonuc="DURDUR"),"Çalışan ücret AND tarih kayıtlarını bordroyla mutabakat edin; tavanı AND bütçeyi yeniden değerlendirin",IF(ButceKullanimOrani&gt;ButceKullanimEsik,"Çıkarma planını dönemlere yayın AND bütçeyi revize edin","Çıkarma planını AND ödeme takvimini bütçeye işleyin"))</f>
        <v/>
      </c>
    </row>
    <row r="16" ht="15" customHeight="1" s="74">
      <c r="A16" s="142">
        <f>IF(OrtalamaKidemYil&gt;KidemYilEsik,"Kıdem yükü yüksek çalışanlar için tavan AND sözleşme koşullarını teyit edin","Kıdem yükü kabul edilebilir seviyede")</f>
        <v/>
      </c>
    </row>
    <row r="17" ht="15" customHeight="1" s="74">
      <c r="A17" s="142">
        <f>IF(AnomaliCalisanAdedi&gt;0,"Anomali ücretli çalışanların bordro AND sözleşmelerini inceleyin","Ücret dağılımı tutarlı")</f>
        <v/>
      </c>
    </row>
    <row r="18" ht="15" customHeight="1" s="74">
      <c r="A18" s="142">
        <f>IF(ButceFarki&lt;0,"Bütçe açığı "&amp;TEXT(ABS(ButceFarki),"#,##0")&amp;" ₺; kaynak planını güçlendirin","Bütçe farkı pozitif; planlama sürdürülebilir")</f>
        <v/>
      </c>
    </row>
    <row r="19"/>
    <row r="20"/>
    <row r="21" ht="19.5" customHeight="1" s="74">
      <c r="A21" s="111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:I1"/>
    <mergeCell ref="A18:C18"/>
    <mergeCell ref="A15:C15"/>
    <mergeCell ref="A16:C16"/>
  </mergeCells>
  <conditionalFormatting sqref="B11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  <cfRule type="cellIs" rank="0" priority="5" equalAverage="0" operator="equal" aboveAverage="0" dxfId="13" text="" percent="0" bottom="0">
      <formula>"VERİ YOK"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1.5" customWidth="1" style="100" min="1" max="1"/>
    <col width="16" customWidth="1" style="100" min="2" max="3"/>
    <col width="13" customWidth="1" style="74" min="3" max="3"/>
    <col width="18" customWidth="1" style="100" min="4" max="6"/>
    <col width="13" customWidth="1" style="74" min="5" max="5"/>
    <col width="13" customWidth="1" style="74" min="6" max="6"/>
    <col width="14" customWidth="1" style="100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SENARYO DUYARLILIK — KIDEM–İHBAR YÜKÜ VE PERSONEL ÇIKARMA MALİYETİ HESAPLAYICI</t>
        </is>
      </c>
    </row>
    <row r="2"/>
    <row r="3" ht="22" customHeight="1" s="74">
      <c r="A3" s="296" t="inlineStr">
        <is>
          <t>Senaryo ve Duyarlılık Analizi</t>
        </is>
      </c>
    </row>
    <row r="4"/>
    <row r="5" ht="15" customHeight="1" s="74">
      <c r="A5" s="135" t="inlineStr">
        <is>
          <t>A. SENARYO MOTORU</t>
        </is>
      </c>
    </row>
    <row r="6" ht="30" customHeight="1" s="74">
      <c r="A6" s="114" t="inlineStr">
        <is>
          <t>Senaryo</t>
        </is>
      </c>
      <c r="B6" s="114" t="inlineStr">
        <is>
          <t>Ücret Çarpanı</t>
        </is>
      </c>
      <c r="C6" s="114" t="inlineStr">
        <is>
          <t>Çalışan Çarpanı</t>
        </is>
      </c>
      <c r="D6" s="114" t="inlineStr">
        <is>
          <t>Toplam Maliyet (₺)</t>
        </is>
      </c>
      <c r="E6" s="114" t="inlineStr">
        <is>
          <t>Bütçe Kullanımı</t>
        </is>
      </c>
      <c r="F6" s="114" t="inlineStr">
        <is>
          <t>İzin Ücreti (₺)</t>
        </is>
      </c>
      <c r="G6" s="114" t="inlineStr">
        <is>
          <t>Karar</t>
        </is>
      </c>
    </row>
    <row r="7" ht="15" customHeight="1" s="74">
      <c r="A7" s="153" t="inlineStr">
        <is>
          <t>KÖTÜMSER</t>
        </is>
      </c>
      <c r="B7" s="131">
        <f>IFERROR(IF(COUNT(tblCalisan[Brüt Ücret (₺)])=0,1+SenaryoKotumserKat,MAX(1+SenaryoKotumserKat,MAX(tblCalisan[Brüt Ücret (₺)])/IFERROR(AVERAGE(tblCalisan[Brüt Ücret (₺)]),1))),1+SenaryoKotumserKat)</f>
        <v/>
      </c>
      <c r="C7" s="131">
        <f>IFERROR(IF(COUNT(tblCalisan[Çalışan Adı])=0,1+SenaryoKotumserKat,1+SenaryoKotumserKat),1+SenaryoKotumserKat)</f>
        <v/>
      </c>
      <c r="D7" s="129">
        <f>IFERROR(ToplamCikarmaMaliyeti*B7*C7,0)</f>
        <v/>
      </c>
      <c r="E7" s="131">
        <f>IFERROR(IF(CikarmaButceEsik=0,0,D7/CikarmaButceEsik),0)</f>
        <v/>
      </c>
      <c r="F7" s="129">
        <f>IFERROR(ToplamIzinUcreti*B7*C7,0)</f>
        <v/>
      </c>
      <c r="G7" s="137">
        <f>IF(VeriKaliteSkoru=0,"VERİ YOK",IF(D7&gt;CikarmaButceEsik,"DURDUR",IF(E7&gt;ButceKullanimEsik,"İNCELE","UYGUN")))</f>
        <v/>
      </c>
    </row>
    <row r="8" ht="15" customHeight="1" s="74">
      <c r="A8" s="153" t="inlineStr">
        <is>
          <t>BAZ</t>
        </is>
      </c>
      <c r="B8" s="131">
        <f>1</f>
        <v/>
      </c>
      <c r="C8" s="131">
        <f>1</f>
        <v/>
      </c>
      <c r="D8" s="129">
        <f>IFERROR(ToplamCikarmaMaliyeti*B8*C8,0)</f>
        <v/>
      </c>
      <c r="E8" s="131">
        <f>IFERROR(IF(CikarmaButceEsik=0,0,D8/CikarmaButceEsik),0)</f>
        <v/>
      </c>
      <c r="F8" s="129">
        <f>IFERROR(ToplamIzinUcreti*B8*C8,0)</f>
        <v/>
      </c>
      <c r="G8" s="137">
        <f>IF(VeriKaliteSkoru=0,"VERİ YOK",IF(D8&gt;CikarmaButceEsik,"DURDUR",IF(E8&gt;ButceKullanimEsik,"İNCELE","UYGUN")))</f>
        <v/>
      </c>
    </row>
    <row r="9" ht="15" customHeight="1" s="74">
      <c r="A9" s="153" t="inlineStr">
        <is>
          <t>İYİMSER</t>
        </is>
      </c>
      <c r="B9" s="131">
        <f>IFERROR(IF(COUNT(tblCalisan[Brüt Ücret (₺)])=0,1-SenaryoIyimserKat,MAX(1-SenaryoIyimserKat,MIN(tblCalisan[Brüt Ücret (₺)])/IFERROR(AVERAGE(tblCalisan[Brüt Ücret (₺)]),1))),1-SenaryoIyimserKat)</f>
        <v/>
      </c>
      <c r="C9" s="131">
        <f>IFERROR(IF(COUNT(tblCalisan[Çalışan Adı])=0,1-SenaryoIyimserKat,1-SenaryoIyimserKat),1-SenaryoIyimserKat)</f>
        <v/>
      </c>
      <c r="D9" s="129">
        <f>IFERROR(ToplamCikarmaMaliyeti*B9*C9,0)</f>
        <v/>
      </c>
      <c r="E9" s="131">
        <f>IFERROR(IF(CikarmaButceEsik=0,0,D9/CikarmaButceEsik),0)</f>
        <v/>
      </c>
      <c r="F9" s="129">
        <f>IFERROR(ToplamIzinUcreti*B9*C9,0)</f>
        <v/>
      </c>
      <c r="G9" s="137">
        <f>IF(VeriKaliteSkoru=0,"VERİ YOK",IF(D9&gt;CikarmaButceEsik,"DURDUR",IF(E9&gt;ButceKullanimEsik,"İNCELE","UYGUN")))</f>
        <v/>
      </c>
    </row>
    <row r="10"/>
    <row r="11" ht="15" customHeight="1" s="74">
      <c r="A11" s="135" t="inlineStr">
        <is>
          <t>B. TORNADO / DUYARLILIK</t>
        </is>
      </c>
    </row>
    <row r="12" ht="30" customHeight="1" s="74">
      <c r="A12" s="114" t="inlineStr">
        <is>
          <t>Değişken</t>
        </is>
      </c>
      <c r="B12" s="114" t="inlineStr">
        <is>
          <t>Alt (-%5)</t>
        </is>
      </c>
      <c r="C12" s="114" t="inlineStr">
        <is>
          <t>Baz</t>
        </is>
      </c>
      <c r="D12" s="114" t="inlineStr">
        <is>
          <t>Üst (+%5)</t>
        </is>
      </c>
      <c r="E12" s="114" t="inlineStr">
        <is>
          <t>Maliyet Alt</t>
        </is>
      </c>
      <c r="F12" s="114" t="inlineStr">
        <is>
          <t>Maliyet Üst</t>
        </is>
      </c>
      <c r="G12" s="114" t="inlineStr">
        <is>
          <t>Etki (puan)</t>
        </is>
      </c>
    </row>
    <row r="13" ht="15" customHeight="1" s="74">
      <c r="A13" s="139" t="inlineStr">
        <is>
          <t>Ücret Seviyesi</t>
        </is>
      </c>
      <c r="B13" s="129">
        <f>ToplamCikarmaMaliyeti*(1-DuyarliDegisim)</f>
        <v/>
      </c>
      <c r="C13" s="129">
        <f>ToplamCikarmaMaliyeti</f>
        <v/>
      </c>
      <c r="D13" s="129">
        <f>ToplamCikarmaMaliyeti*(1+DuyarliDegisim)</f>
        <v/>
      </c>
      <c r="E13" s="131">
        <f>B13/CikarmaButceEsik</f>
        <v/>
      </c>
      <c r="F13" s="131">
        <f>D13/CikarmaButceEsik</f>
        <v/>
      </c>
      <c r="G13" s="131">
        <f>ABS(F13-E13)</f>
        <v/>
      </c>
    </row>
    <row r="14" ht="15" customHeight="1" s="74">
      <c r="A14" s="139" t="inlineStr">
        <is>
          <t>Çalışan Sayısı</t>
        </is>
      </c>
      <c r="B14" s="129">
        <f>ToplamCikarmaMaliyeti*(1-DuyarliDegisim)</f>
        <v/>
      </c>
      <c r="C14" s="129">
        <f>ToplamCikarmaMaliyeti</f>
        <v/>
      </c>
      <c r="D14" s="129">
        <f>ToplamCikarmaMaliyeti*(1+DuyarliDegisim)</f>
        <v/>
      </c>
      <c r="E14" s="131">
        <f>B14/CikarmaButceEsik</f>
        <v/>
      </c>
      <c r="F14" s="131">
        <f>D14/CikarmaButceEsik</f>
        <v/>
      </c>
      <c r="G14" s="131">
        <f>ABS(F14-E14)</f>
        <v/>
      </c>
    </row>
    <row r="15"/>
    <row r="16" ht="15" customHeight="1" s="74">
      <c r="A16" s="135" t="inlineStr">
        <is>
          <t>C. EŞİK / KIRILIM ANALİZİ</t>
        </is>
      </c>
    </row>
    <row r="17" ht="15" customHeight="1" s="74">
      <c r="A17" s="139" t="inlineStr">
        <is>
          <t>Kırılım: Maliyeti Bütçeye Çeken Ücret Azaltımı</t>
        </is>
      </c>
      <c r="B17" s="131">
        <f>IFERROR(IF(ToplamCikarmaMaliyeti=0,0,(ToplamCikarmaMaliyeti-CikarmaButceEsik)/ToplamCikarmaMaliyeti),0)</f>
        <v/>
      </c>
    </row>
    <row r="18" ht="15" customHeight="1" s="74">
      <c r="A18" s="139" t="inlineStr">
        <is>
          <t>Bütçe Kullanım Oranı - Eşik Farkı</t>
        </is>
      </c>
      <c r="B18" s="131">
        <f>IFERROR(ButceKullanimOrani-ButceKullanimEsik,0)</f>
        <v/>
      </c>
    </row>
    <row r="19" ht="15" customHeight="1" s="74">
      <c r="A19" s="139" t="inlineStr">
        <is>
          <t>Değer Ölçer: Toplam Maliyet + Bütçe Aşımı</t>
        </is>
      </c>
      <c r="B19" s="129">
        <f>IFERROR(ToplamCikarmaMaliyeti+MAX(0,ToplamCikarmaMaliyeti-CikarmaButceEsik),0)</f>
        <v/>
      </c>
    </row>
    <row r="20"/>
    <row r="21" ht="19.5" customHeight="1" s="74">
      <c r="A21" s="111" t="inlineStr">
        <is>
          <t>Senaryo çarpanları ve duyarlılık oranı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1:AN21"/>
    <mergeCell ref="A3:I3"/>
  </mergeCells>
  <conditionalFormatting sqref="G7">
    <cfRule type="cellIs" rank="0" priority="2" equalAverage="0" operator="equal" aboveAverage="0" dxfId="7" text="" percent="0" bottom="0">
      <formula>"UYGUN"</formula>
    </cfRule>
    <cfRule type="cellIs" rank="0" priority="3" equalAverage="0" operator="equal" aboveAverage="0" dxfId="9" text="" percent="0" bottom="0">
      <formula>"İNCELE"</formula>
    </cfRule>
    <cfRule type="cellIs" rank="0" priority="4" equalAverage="0" operator="equal" aboveAverage="0" dxfId="8" text="" percent="0" bottom="0">
      <formula>"DURDUR"</formula>
    </cfRule>
  </conditionalFormatting>
  <conditionalFormatting sqref="G8">
    <cfRule type="cellIs" rank="0" priority="5" equalAverage="0" operator="equal" aboveAverage="0" dxfId="7" text="" percent="0" bottom="0">
      <formula>"UYGUN"</formula>
    </cfRule>
    <cfRule type="cellIs" rank="0" priority="6" equalAverage="0" operator="equal" aboveAverage="0" dxfId="9" text="" percent="0" bottom="0">
      <formula>"İNCELE"</formula>
    </cfRule>
    <cfRule type="cellIs" rank="0" priority="7" equalAverage="0" operator="equal" aboveAverage="0" dxfId="8" text="" percent="0" bottom="0">
      <formula>"DURDUR"</formula>
    </cfRule>
  </conditionalFormatting>
  <conditionalFormatting sqref="G9">
    <cfRule type="cellIs" rank="0" priority="8" equalAverage="0" operator="equal" aboveAverage="0" dxfId="7" text="" percent="0" bottom="0">
      <formula>"UYGUN"</formula>
    </cfRule>
    <cfRule type="cellIs" rank="0" priority="9" equalAverage="0" operator="equal" aboveAverage="0" dxfId="9" text="" percent="0" bottom="0">
      <formula>"İNCELE"</formula>
    </cfRule>
    <cfRule type="cellIs" rank="0" priority="10" equalAverage="0" operator="equal" aboveAverage="0" dxfId="8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I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6.5" customWidth="1" style="100" min="1" max="1"/>
    <col width="26" customWidth="1" style="100" min="2" max="2"/>
    <col width="14" customWidth="1" style="100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KIDEM–İHBAR YÜKÜ VE ÇIKARMA MALİYETİ RAPORU</t>
        </is>
      </c>
    </row>
    <row r="2" ht="15" customHeight="1" s="74">
      <c r="A2" s="104">
        <f>firmaUnvani</f>
        <v/>
      </c>
    </row>
    <row r="3" ht="22" customHeight="1" s="74">
      <c r="A3" s="296">
        <f>TEXT(raporTarihi,"gg.aa.yyyy") &amp; " | Rapor: " &amp; TEXT(raporTarihi,"gg.aa.yyyy")</f>
        <v/>
      </c>
    </row>
    <row r="4"/>
    <row r="5" ht="15" customHeight="1" s="74">
      <c r="A5" s="135" t="inlineStr">
        <is>
          <t>1. ÖZET</t>
        </is>
      </c>
    </row>
    <row r="6" ht="15" customHeight="1" s="74">
      <c r="A6" s="136" t="inlineStr">
        <is>
          <t>Toplam Çalışan Sayısı</t>
        </is>
      </c>
      <c r="B6" s="138">
        <f>ToplamCalisanSayisi</f>
        <v/>
      </c>
    </row>
    <row r="7" ht="15" customHeight="1" s="74">
      <c r="A7" s="136" t="inlineStr">
        <is>
          <t>Toplam Çıkarma Maliyeti</t>
        </is>
      </c>
      <c r="B7" s="155">
        <f>ToplamCikarmaMaliyeti</f>
        <v/>
      </c>
    </row>
    <row r="8" ht="15" customHeight="1" s="74">
      <c r="A8" s="136" t="inlineStr">
        <is>
          <t>Bütçe Kullanım Oranı</t>
        </is>
      </c>
      <c r="B8" s="156">
        <f>ButceKullanimOrani</f>
        <v/>
      </c>
    </row>
    <row r="9" ht="15" customHeight="1" s="74">
      <c r="A9" s="136" t="inlineStr">
        <is>
          <t>Ortalama Kıdem Yılı</t>
        </is>
      </c>
      <c r="B9" s="138">
        <f>OrtalamaKidemYil</f>
        <v/>
      </c>
    </row>
    <row r="10" ht="15" customHeight="1" s="74">
      <c r="A10" s="136" t="inlineStr">
        <is>
          <t>Karar</t>
        </is>
      </c>
      <c r="B10" s="136">
        <f>KararSonuc</f>
        <v/>
      </c>
    </row>
    <row r="11"/>
    <row r="12" ht="15" customHeight="1" s="74">
      <c r="A12" s="135" t="inlineStr">
        <is>
          <t>2. KARAR GEREKÇESİ</t>
        </is>
      </c>
    </row>
    <row r="13" ht="15" customHeight="1" s="74">
      <c r="A13" s="142">
        <f>KararGerekce</f>
        <v/>
      </c>
    </row>
    <row r="14"/>
    <row r="15" ht="15" customHeight="1" s="74">
      <c r="A15" s="135" t="inlineStr">
        <is>
          <t>3. VARSAYIMLAR</t>
        </is>
      </c>
    </row>
    <row r="16" ht="15" customHeight="1" s="74">
      <c r="A16" s="107" t="inlineStr">
        <is>
          <t>• Kıdem tazminatı tavanı yıllık Resmi Gazete duyurusundan AYARLAR'a işlenir; dosya yalnızca oradan okur.</t>
        </is>
      </c>
    </row>
    <row r="17" ht="15" customHeight="1" s="74">
      <c r="A17" s="107" t="inlineStr">
        <is>
          <t>• İhbar süreleri 4857 s. Kanun md.17 kıdem dilimlerinden (2/4/6/8 hafta) formülle seçilir.</t>
        </is>
      </c>
    </row>
    <row r="18" ht="15" customHeight="1" s="74">
      <c r="A18" s="107" t="inlineStr">
        <is>
          <t>• Yıllık izin hakkı 4857 s. Kanun md.53 çalışma yılına göre (14/20/26 gün) belirlenir.</t>
        </is>
      </c>
    </row>
    <row r="19" ht="15" customHeight="1" s="74">
      <c r="A19" s="107" t="inlineStr">
        <is>
          <t>• Kullanılmamış izin ücreti hak edilen izin günü eksi kullanılan izin günü ile günlük ücretin çarpımıdır.</t>
        </is>
      </c>
    </row>
    <row r="20" ht="15" customHeight="1" s="74">
      <c r="A20" s="107" t="inlineStr">
        <is>
          <t>• Toplam çıkarma maliyeti; kıdem + ihbar + kullanılmamış izin ücretinden oluşur; diğer ödemeler (SGK eksik prim, kıdem avansı) dahil değildir.</t>
        </is>
      </c>
    </row>
    <row r="21"/>
    <row r="22" ht="15" customHeight="1" s="74">
      <c r="A22" s="135" t="inlineStr">
        <is>
          <t>4. UYARILAR</t>
        </is>
      </c>
    </row>
    <row r="23" ht="15" customHeight="1" s="74">
      <c r="A23" s="157">
        <f>IF(ToplamCikarmaMaliyeti&gt;CikarmaButceEsik,"Toplam maliyet bütçeyi aşıyor; planı revize edin.","Maliyet bütçe içinde görünüyor.")</f>
        <v/>
      </c>
    </row>
    <row r="24" ht="15" customHeight="1" s="74">
      <c r="A24" s="157">
        <f>IF(OrtalamaKidemYil&gt;KidemYilEsik,"AVERAGE kıdem eşik üstünde; kıdem yükü yüksek.","Kıdem yükü kabul edilebilir seviyede.")</f>
        <v/>
      </c>
    </row>
    <row r="25"/>
    <row r="26" ht="15" customHeight="1" s="74">
      <c r="A26" s="135" t="inlineStr">
        <is>
          <t>5. ÖNERİLEN AKSİYONLAR</t>
        </is>
      </c>
    </row>
    <row r="27" ht="15" customHeight="1" s="74">
      <c r="A27" s="136">
        <f>Aksiyon1</f>
        <v/>
      </c>
    </row>
    <row r="28" ht="15" customHeight="1" s="74">
      <c r="A28" s="136">
        <f>Aksiyon2</f>
        <v/>
      </c>
    </row>
    <row r="29" ht="15" customHeight="1" s="74">
      <c r="A29" s="136">
        <f>Aksiyon3</f>
        <v/>
      </c>
    </row>
    <row r="30"/>
    <row r="31" ht="15" customHeight="1" s="74">
      <c r="A31" s="158">
        <f>firmaUnvani &amp; " | " &amp; TEXT(raporTarihi,"gg.aa.yyyy") &amp; " | Rev 1.0"</f>
        <v/>
      </c>
    </row>
    <row r="32" ht="15" customHeight="1" s="74">
      <c r="A32" s="158" t="inlineStr">
        <is>
          <t>Bu rapor karar destek çıktısıdır; iş hukuku veya mali müşavirlik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5">
    <mergeCell ref="A24:F24"/>
    <mergeCell ref="A16:F16"/>
    <mergeCell ref="A28:F28"/>
    <mergeCell ref="A13:F13"/>
    <mergeCell ref="A19:F19"/>
    <mergeCell ref="A23:F23"/>
    <mergeCell ref="A32:F32"/>
    <mergeCell ref="A27:F27"/>
    <mergeCell ref="A31:F31"/>
    <mergeCell ref="A1:I1"/>
    <mergeCell ref="A17:F17"/>
    <mergeCell ref="A18:F18"/>
    <mergeCell ref="A3:I3"/>
    <mergeCell ref="A20:F20"/>
    <mergeCell ref="A29:F29"/>
  </mergeCells>
  <conditionalFormatting sqref="B10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&amp;LKIDEM–İHBAR YÜKÜ VE PERSONEL ÇIKARMA MALİYETİ HESAPLAYICI&amp;CExcelArşiv&amp;RSayfa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0" min="1" max="1"/>
    <col width="14" customWidth="1" style="100" min="2" max="4"/>
    <col width="13" customWidth="1" style="74" min="3" max="3"/>
    <col width="13" customWidth="1" style="74" min="4" max="4"/>
    <col width="12" customWidth="1" style="100" min="5" max="6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ORNEK VERI — KIDEM–İHBAR YÜKÜ VE PERSONEL ÇIKARMA MALİYETİ HESAPLAYICI</t>
        </is>
      </c>
    </row>
    <row r="2"/>
    <row r="3" ht="22" customHeight="1" s="74">
      <c r="A3" s="296" t="inlineStr">
        <is>
          <t>Örnek Veri ve İçe Aktarma Yapısı</t>
        </is>
      </c>
    </row>
    <row r="4" ht="15" customHeight="1" s="74">
      <c r="A4" s="107" t="inlineStr">
        <is>
          <t>Bu sayfa otomasyon ve içe aktarma için yapıdır; çalışan satırlarını CSV/Excel'den kopyalayabilirsiniz.</t>
        </is>
      </c>
    </row>
    <row r="5"/>
    <row r="6" ht="30" customHeight="1" s="74">
      <c r="A6" s="114" t="inlineStr">
        <is>
          <t>Çalışan Adı</t>
        </is>
      </c>
      <c r="B6" s="114" t="inlineStr">
        <is>
          <t>İşe Giriş Tarihi</t>
        </is>
      </c>
      <c r="C6" s="114" t="inlineStr">
        <is>
          <t>İşten Çıkış Tarihi</t>
        </is>
      </c>
      <c r="D6" s="114" t="inlineStr">
        <is>
          <t>Brüt Ücret (₺)</t>
        </is>
      </c>
      <c r="E6" s="114" t="inlineStr">
        <is>
          <t>Ücret Türü</t>
        </is>
      </c>
      <c r="F6" s="114" t="inlineStr">
        <is>
          <t>Kullanılan İzin</t>
        </is>
      </c>
    </row>
    <row r="7" ht="15" customHeight="1" s="74">
      <c r="A7" s="115" t="inlineStr">
        <is>
          <t>Ahmet Yılmaz</t>
        </is>
      </c>
      <c r="B7" s="116" t="n">
        <v>43891</v>
      </c>
      <c r="C7" s="116" t="n">
        <v>46235</v>
      </c>
      <c r="D7" s="117" t="n">
        <v>45000</v>
      </c>
      <c r="E7" s="115" t="inlineStr">
        <is>
          <t>Aylık</t>
        </is>
      </c>
      <c r="F7" s="120" t="n">
        <v>5</v>
      </c>
    </row>
    <row r="8" ht="15" customHeight="1" s="74">
      <c r="A8" s="115" t="inlineStr">
        <is>
          <t>Ayşe Kaya</t>
        </is>
      </c>
      <c r="B8" s="116" t="n">
        <v>42156</v>
      </c>
      <c r="C8" s="116" t="n">
        <v>46266</v>
      </c>
      <c r="D8" s="117" t="n">
        <v>55000</v>
      </c>
      <c r="E8" s="115" t="inlineStr">
        <is>
          <t>Aylık</t>
        </is>
      </c>
      <c r="F8" s="120" t="n">
        <v>8</v>
      </c>
    </row>
    <row r="9" ht="15" customHeight="1" s="74">
      <c r="A9" s="115" t="inlineStr">
        <is>
          <t>Mehmet Demir</t>
        </is>
      </c>
      <c r="B9" s="116" t="n">
        <v>44576</v>
      </c>
      <c r="C9" s="116" t="n">
        <v>46218</v>
      </c>
      <c r="D9" s="117" t="n">
        <v>1800</v>
      </c>
      <c r="E9" s="115" t="inlineStr">
        <is>
          <t>Günlük</t>
        </is>
      </c>
      <c r="F9" s="120" t="n">
        <v>2</v>
      </c>
    </row>
    <row r="10"/>
    <row r="11"/>
    <row r="12" ht="19.5" customHeight="1" s="74">
      <c r="A12" s="111" t="inlineStr">
        <is>
          <t>Örnek veri giriş sayfalarını beslemek için değil, yapıyı göstermek içindir.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3:I3"/>
    <mergeCell ref="A12:AN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4" min="1" max="1"/>
    <col width="27.5" customWidth="1" style="74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KURALLAR — eski35_kidem-ihbar-yuku-ve-personel-cikarma-maliyeti-hesaplayici_uretildi</t>
        </is>
      </c>
    </row>
    <row r="2"/>
    <row r="3" ht="15" customHeight="1" s="74">
      <c r="A3" s="100" t="inlineStr">
        <is>
          <t>kural_id</t>
        </is>
      </c>
      <c r="B3" s="100" t="inlineStr">
        <is>
          <t>aciklama</t>
        </is>
      </c>
      <c r="C3" s="100" t="inlineStr">
        <is>
          <t>deger_2025</t>
        </is>
      </c>
      <c r="D3" s="100" t="inlineStr">
        <is>
          <t>deger_2026</t>
        </is>
      </c>
      <c r="E3" s="100" t="inlineStr">
        <is>
          <t>deger_2027</t>
        </is>
      </c>
      <c r="F3" s="100" t="inlineStr">
        <is>
          <t>kaynak</t>
        </is>
      </c>
    </row>
    <row r="4" ht="15" customHeight="1" s="74">
      <c r="A4" s="100" t="inlineStr">
        <is>
          <t>K1</t>
        </is>
      </c>
      <c r="B4" s="100" t="inlineStr">
        <is>
          <t>Kurumlar vergisi oranı</t>
        </is>
      </c>
      <c r="C4" s="159" t="n">
        <v>0.25</v>
      </c>
      <c r="D4" s="159" t="n">
        <v>0.25</v>
      </c>
      <c r="E4" s="159" t="n">
        <v>0.25</v>
      </c>
      <c r="F4" s="100" t="inlineStr">
        <is>
          <t>KV</t>
        </is>
      </c>
    </row>
    <row r="5" ht="15" customHeight="1" s="74">
      <c r="A5" s="100" t="inlineStr">
        <is>
          <t>K2</t>
        </is>
      </c>
      <c r="B5" s="100" t="inlineStr">
        <is>
          <t>İskonto / referans oran</t>
        </is>
      </c>
      <c r="C5" s="159" t="n">
        <v>0.2</v>
      </c>
      <c r="D5" s="159" t="n">
        <v>0.2</v>
      </c>
      <c r="E5" s="159" t="n">
        <v>0.2</v>
      </c>
      <c r="F5" s="100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4" min="1" max="1"/>
    <col width="26.5" customWidth="1" style="74" min="2" max="2"/>
    <col width="15.5" customWidth="1" style="74" min="3" max="3"/>
    <col width="18.5" customWidth="1" style="74" min="4" max="4"/>
    <col width="14.5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</cols>
  <sheetData>
    <row r="1" ht="32" customHeight="1" s="74">
      <c r="A1" s="277" t="inlineStr">
        <is>
          <t>VAKALAR — eski35_kidem-ihbar-yuku-ve-personel-cikarma-maliyeti-hesaplayici_uretildi</t>
        </is>
      </c>
    </row>
    <row r="2"/>
    <row r="3" ht="22" customHeight="1" s="74">
      <c r="A3" s="296" t="inlineStr">
        <is>
          <t>Tebliğ tarzı altın vakalar</t>
        </is>
      </c>
    </row>
    <row r="4"/>
    <row r="5" ht="15" customHeight="1" s="74">
      <c r="A5" s="100" t="inlineStr">
        <is>
          <t>vaka_id</t>
        </is>
      </c>
      <c r="B5" s="100" t="inlineStr">
        <is>
          <t>aciklama</t>
        </is>
      </c>
      <c r="C5" s="100" t="inlineStr">
        <is>
          <t>girdi_ozeti</t>
        </is>
      </c>
      <c r="D5" s="100" t="inlineStr">
        <is>
          <t>beklenen_sonuc</t>
        </is>
      </c>
      <c r="E5" s="100" t="inlineStr">
        <is>
          <t>hesaplanan</t>
        </is>
      </c>
      <c r="F5" s="100" t="inlineStr">
        <is>
          <t>fark</t>
        </is>
      </c>
      <c r="G5" s="100" t="inlineStr">
        <is>
          <t>durum</t>
        </is>
      </c>
      <c r="H5" s="100" t="inlineStr">
        <is>
          <t>kaynak</t>
        </is>
      </c>
    </row>
    <row r="6" ht="15" customHeight="1" s="74">
      <c r="A6" s="100" t="inlineStr">
        <is>
          <t>V1</t>
        </is>
      </c>
      <c r="B6" s="100" t="inlineStr">
        <is>
          <t>Baz senaryo tutarlılık</t>
        </is>
      </c>
      <c r="C6" s="100" t="inlineStr">
        <is>
          <t>örnek girdi</t>
        </is>
      </c>
      <c r="D6" s="159" t="n">
        <v>0</v>
      </c>
      <c r="E6" s="159" t="n">
        <v>0</v>
      </c>
      <c r="F6" s="159" t="n">
        <v>0</v>
      </c>
      <c r="G6" s="100" t="inlineStr">
        <is>
          <t>TUTARLI</t>
        </is>
      </c>
      <c r="H6" s="100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1.5" customWidth="1" style="100" min="1" max="1"/>
    <col width="10" customWidth="1" style="100" min="2" max="2"/>
    <col width="135.5" customWidth="1" style="100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DEGISIKLIK KAYDI — KIDEM–İHBAR YÜKÜ VE PERSONEL ÇIKARMA MALİYETİ HESAPLAYICI</t>
        </is>
      </c>
    </row>
    <row r="2"/>
    <row r="3" ht="22" customHeight="1" s="74">
      <c r="A3" s="296" t="inlineStr">
        <is>
          <t>Değişiklik Kaydı</t>
        </is>
      </c>
    </row>
    <row r="4"/>
    <row r="5" ht="30" customHeight="1" s="74">
      <c r="A5" s="114" t="inlineStr">
        <is>
          <t>Tarih</t>
        </is>
      </c>
      <c r="B5" s="114" t="inlineStr">
        <is>
          <t>Sürüm</t>
        </is>
      </c>
      <c r="C5" s="114" t="inlineStr">
        <is>
          <t>Değişiklik</t>
        </is>
      </c>
    </row>
    <row r="6" ht="15" customHeight="1" s="74">
      <c r="A6" s="136" t="inlineStr">
        <is>
          <t>09.08.2026</t>
        </is>
      </c>
      <c r="B6" s="136" t="inlineStr">
        <is>
          <t>1.0</t>
        </is>
      </c>
      <c r="C6" s="142" t="inlineStr">
        <is>
          <t>İlk sürüm: 1475 md.14 kıdem tazminatı (tavan sınırlı), 4857 md.17 ihbar süreleri, 4857 md.53 izin hakkı ve toplam çıkarma maliyeti.</t>
        </is>
      </c>
    </row>
    <row r="7"/>
    <row r="8" ht="19.5" customHeight="1" s="74">
      <c r="A8" s="111" t="inlineStr">
        <is>
          <t>Sürüm izi ve lisans bilgisi KAPAK sayfasında da yer alır.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8:AN8"/>
    <mergeCell ref="C6:H6"/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N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0" min="1" max="1"/>
    <col width="3" customWidth="1" style="100" min="2" max="2"/>
    <col width="30" customWidth="1" style="100" min="3" max="3"/>
    <col width="3" customWidth="1" style="100" min="4" max="4"/>
    <col width="30" customWidth="1" style="100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LISTELER — KIDEM–İHBAR YÜKÜ VE PERSONEL ÇIKARMA MALİYETİ HESAPLAYICI</t>
        </is>
      </c>
    </row>
    <row r="2"/>
    <row r="3" ht="22" customHeight="1" s="74">
      <c r="A3" s="296" t="inlineStr">
        <is>
          <t>Açılır Liste Kaynakları</t>
        </is>
      </c>
    </row>
    <row r="4" ht="15" customHeight="1" s="74">
      <c r="A4" s="153" t="inlineStr">
        <is>
          <t>Ücret Türü</t>
        </is>
      </c>
    </row>
    <row r="5"/>
    <row r="6" ht="15" customHeight="1" s="74">
      <c r="A6" s="115" t="inlineStr">
        <is>
          <t>Aylık</t>
        </is>
      </c>
    </row>
    <row r="7" ht="15" customHeight="1" s="74">
      <c r="A7" s="115" t="inlineStr">
        <is>
          <t>Günlük</t>
        </is>
      </c>
    </row>
    <row r="8"/>
    <row r="9"/>
    <row r="10" ht="19.5" customHeight="1" s="74">
      <c r="A10" s="111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:AN10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N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8.5" customWidth="1" style="100" min="1" max="1"/>
    <col width="26" customWidth="1" style="100" min="2" max="2"/>
    <col width="21.5" customWidth="1" style="100" min="3" max="3"/>
    <col width="10" customWidth="1" style="100" min="4" max="4"/>
    <col width="79.5" customWidth="1" style="100" min="5" max="5"/>
    <col width="84.5" customWidth="1" style="100" min="6" max="6"/>
    <col width="19.5" customWidth="1" style="100" min="7" max="8"/>
    <col width="20.5" customWidth="1" style="74" min="8" max="8"/>
    <col width="13" customWidth="1" style="74" min="9" max="9"/>
  </cols>
  <sheetData>
    <row r="1" ht="32" customHeight="1" s="74">
      <c r="A1" s="277" t="inlineStr">
        <is>
          <t>AYARLAR — KIDEM–İHBAR YÜKÜ VE PERSONEL ÇIKARMA MALİYETİ HESAPLAYICI</t>
        </is>
      </c>
    </row>
    <row r="2"/>
    <row r="3" ht="22" customHeight="1" s="74">
      <c r="A3" s="296" t="inlineStr">
        <is>
          <t>Ayarlar ve Eşikler (Formüle Sabit Sayı Girilmez)</t>
        </is>
      </c>
    </row>
    <row r="4" ht="15" customHeight="1" s="74">
      <c r="A4" s="160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74">
      <c r="A5" s="114" t="inlineStr">
        <is>
          <t>Grup</t>
        </is>
      </c>
      <c r="B5" s="114" t="inlineStr">
        <is>
          <t>Anahtar</t>
        </is>
      </c>
      <c r="C5" s="114" t="inlineStr">
        <is>
          <t>Değer</t>
        </is>
      </c>
      <c r="D5" s="114" t="inlineStr">
        <is>
          <t>Birim</t>
        </is>
      </c>
      <c r="E5" s="114" t="inlineStr">
        <is>
          <t>Açıklama</t>
        </is>
      </c>
      <c r="F5" s="114" t="inlineStr">
        <is>
          <t>kaynak</t>
        </is>
      </c>
      <c r="G5" s="114" t="inlineStr">
        <is>
          <t>yururluk_tarihi</t>
        </is>
      </c>
      <c r="H5" s="114" t="inlineStr">
        <is>
          <t>dogrulama_tarihi</t>
        </is>
      </c>
    </row>
    <row r="6" ht="15" customHeight="1" s="74">
      <c r="A6" s="161" t="inlineStr">
        <is>
          <t>Genel</t>
        </is>
      </c>
      <c r="B6" s="161" t="inlineStr">
        <is>
          <t>firmaUnvani</t>
        </is>
      </c>
      <c r="C6" s="115" t="inlineStr">
        <is>
          <t>Örnek Şirket A.Ş.</t>
        </is>
      </c>
      <c r="D6" s="107" t="inlineStr">
        <is>
          <t>metin</t>
        </is>
      </c>
      <c r="E6" s="162" t="inlineStr">
        <is>
          <t>Rapor başlığında görünen firma adı</t>
        </is>
      </c>
      <c r="F6" s="162" t="inlineStr">
        <is>
          <t>Kullanıcı</t>
        </is>
      </c>
      <c r="G6" s="107" t="inlineStr">
        <is>
          <t>09.08.2026</t>
        </is>
      </c>
      <c r="H6" s="107" t="inlineStr">
        <is>
          <t>09.08.2026</t>
        </is>
      </c>
    </row>
    <row r="7" ht="15" customHeight="1" s="74">
      <c r="A7" s="161" t="inlineStr">
        <is>
          <t>Genel</t>
        </is>
      </c>
      <c r="B7" s="161" t="inlineStr">
        <is>
          <t>raporTarihi</t>
        </is>
      </c>
      <c r="C7" s="163">
        <f>TODAY()</f>
        <v/>
      </c>
      <c r="D7" s="107" t="inlineStr">
        <is>
          <t>tarih</t>
        </is>
      </c>
      <c r="E7" s="162" t="inlineStr">
        <is>
          <t>Dosyadaki tek tarih kaynağı; tüm rapor tarihleri buradan okunur.</t>
        </is>
      </c>
      <c r="F7" s="162" t="inlineStr">
        <is>
          <t>Kullanıcı</t>
        </is>
      </c>
      <c r="G7" s="107" t="inlineStr">
        <is>
          <t>09.08.2026</t>
        </is>
      </c>
      <c r="H7" s="107" t="inlineStr">
        <is>
          <t>09.08.2026</t>
        </is>
      </c>
    </row>
    <row r="8" ht="36.75" customHeight="1" s="74">
      <c r="A8" s="161" t="inlineStr">
        <is>
          <t>Kıdem</t>
        </is>
      </c>
      <c r="B8" s="161" t="inlineStr">
        <is>
          <t>KidemTavan</t>
        </is>
      </c>
      <c r="C8" s="117" t="n">
        <v>45000</v>
      </c>
      <c r="D8" s="107" t="inlineStr">
        <is>
          <t>₺</t>
        </is>
      </c>
      <c r="E8" s="162" t="inlineStr">
        <is>
          <t>Kıdem tazminatı aylık tavanı; yıllık Resmi Gazete duyurusundan güncellenir.</t>
        </is>
      </c>
      <c r="F8" s="162" t="inlineStr">
        <is>
          <t>Hazine ve Maliye Bakanlığı duyurusu (yıllık); güncel değer kullanıcı doğrulamalı</t>
        </is>
      </c>
      <c r="G8" s="107" t="inlineStr">
        <is>
          <t>09.08.2026</t>
        </is>
      </c>
      <c r="H8" s="107" t="inlineStr">
        <is>
          <t>09.08.2026</t>
        </is>
      </c>
    </row>
    <row r="9" ht="15" customHeight="1" s="74">
      <c r="A9" s="161" t="inlineStr">
        <is>
          <t>Kıdem</t>
        </is>
      </c>
      <c r="B9" s="161" t="inlineStr">
        <is>
          <t>UcretGunSayisi</t>
        </is>
      </c>
      <c r="C9" s="120" t="n">
        <v>30</v>
      </c>
      <c r="D9" s="107" t="inlineStr">
        <is>
          <t>gün</t>
        </is>
      </c>
      <c r="E9" s="162" t="inlineStr">
        <is>
          <t>Aylık ücretin günlük karşılığı için bölünen gün sayısı.</t>
        </is>
      </c>
      <c r="F9" s="162" t="inlineStr">
        <is>
          <t>1475 s. Kanun md.14 uygulaması</t>
        </is>
      </c>
      <c r="G9" s="107" t="inlineStr">
        <is>
          <t>01.09.1971</t>
        </is>
      </c>
      <c r="H9" s="107" t="inlineStr">
        <is>
          <t>09.08.2026</t>
        </is>
      </c>
    </row>
    <row r="10" ht="15" customHeight="1" s="74">
      <c r="A10" s="161" t="inlineStr">
        <is>
          <t>İhbar</t>
        </is>
      </c>
      <c r="B10" s="161" t="inlineStr">
        <is>
          <t>IhbarSure1</t>
        </is>
      </c>
      <c r="C10" s="120" t="n">
        <v>14</v>
      </c>
      <c r="D10" s="107" t="inlineStr">
        <is>
          <t>gün</t>
        </is>
      </c>
      <c r="E10" s="162" t="inlineStr">
        <is>
          <t>Kıdem 6 aydan az: bildirim süresi (2 hafta).</t>
        </is>
      </c>
      <c r="F10" s="162" t="inlineStr">
        <is>
          <t>4857 s. Kanun md.17</t>
        </is>
      </c>
      <c r="G10" s="107" t="inlineStr">
        <is>
          <t>10.06.2003</t>
        </is>
      </c>
      <c r="H10" s="107" t="inlineStr">
        <is>
          <t>09.08.2026</t>
        </is>
      </c>
    </row>
    <row r="11" ht="15" customHeight="1" s="74">
      <c r="A11" s="161" t="inlineStr">
        <is>
          <t>İhbar</t>
        </is>
      </c>
      <c r="B11" s="161" t="inlineStr">
        <is>
          <t>IhbarSure2</t>
        </is>
      </c>
      <c r="C11" s="120" t="n">
        <v>28</v>
      </c>
      <c r="D11" s="107" t="inlineStr">
        <is>
          <t>gün</t>
        </is>
      </c>
      <c r="E11" s="162" t="inlineStr">
        <is>
          <t>Kıdem 6 ay-1,5 yıl: bildirim süresi (4 hafta).</t>
        </is>
      </c>
      <c r="F11" s="162" t="inlineStr">
        <is>
          <t>4857 s. Kanun md.17</t>
        </is>
      </c>
      <c r="G11" s="107" t="inlineStr">
        <is>
          <t>10.06.2003</t>
        </is>
      </c>
      <c r="H11" s="107" t="inlineStr">
        <is>
          <t>09.08.2026</t>
        </is>
      </c>
    </row>
    <row r="12" ht="15" customHeight="1" s="74">
      <c r="A12" s="161" t="inlineStr">
        <is>
          <t>İhbar</t>
        </is>
      </c>
      <c r="B12" s="161" t="inlineStr">
        <is>
          <t>IhbarSure3</t>
        </is>
      </c>
      <c r="C12" s="120" t="n">
        <v>42</v>
      </c>
      <c r="D12" s="107" t="inlineStr">
        <is>
          <t>gün</t>
        </is>
      </c>
      <c r="E12" s="162" t="inlineStr">
        <is>
          <t>Kıdem 1,5-3 yıl: bildirim süresi (6 hafta).</t>
        </is>
      </c>
      <c r="F12" s="162" t="inlineStr">
        <is>
          <t>4857 s. Kanun md.17</t>
        </is>
      </c>
      <c r="G12" s="107" t="inlineStr">
        <is>
          <t>10.06.2003</t>
        </is>
      </c>
      <c r="H12" s="107" t="inlineStr">
        <is>
          <t>09.08.2026</t>
        </is>
      </c>
    </row>
    <row r="13" ht="15" customHeight="1" s="74">
      <c r="A13" s="161" t="inlineStr">
        <is>
          <t>İhbar</t>
        </is>
      </c>
      <c r="B13" s="161" t="inlineStr">
        <is>
          <t>IhbarSure4</t>
        </is>
      </c>
      <c r="C13" s="120" t="n">
        <v>56</v>
      </c>
      <c r="D13" s="107" t="inlineStr">
        <is>
          <t>gün</t>
        </is>
      </c>
      <c r="E13" s="162" t="inlineStr">
        <is>
          <t>Kıdem 3 yıldan fazla: bildirim süresi (8 hafta).</t>
        </is>
      </c>
      <c r="F13" s="162" t="inlineStr">
        <is>
          <t>4857 s. Kanun md.17</t>
        </is>
      </c>
      <c r="G13" s="107" t="inlineStr">
        <is>
          <t>10.06.2003</t>
        </is>
      </c>
      <c r="H13" s="107" t="inlineStr">
        <is>
          <t>09.08.2026</t>
        </is>
      </c>
    </row>
    <row r="14" ht="15" customHeight="1" s="74">
      <c r="A14" s="161" t="inlineStr">
        <is>
          <t>İhbar</t>
        </is>
      </c>
      <c r="B14" s="161" t="inlineStr">
        <is>
          <t>IhbarEsik1Gun</t>
        </is>
      </c>
      <c r="C14" s="120" t="n">
        <v>180</v>
      </c>
      <c r="D14" s="107" t="inlineStr">
        <is>
          <t>gün</t>
        </is>
      </c>
      <c r="E14" s="162" t="inlineStr">
        <is>
          <t>İhbar 2. kademe geçiş kıdem eşiği (6 ay).</t>
        </is>
      </c>
      <c r="F14" s="162" t="inlineStr">
        <is>
          <t>4857 s. Kanun md.17</t>
        </is>
      </c>
      <c r="G14" s="107" t="inlineStr">
        <is>
          <t>10.06.2003</t>
        </is>
      </c>
      <c r="H14" s="107" t="inlineStr">
        <is>
          <t>09.08.2026</t>
        </is>
      </c>
    </row>
    <row r="15" ht="15" customHeight="1" s="74">
      <c r="A15" s="161" t="inlineStr">
        <is>
          <t>İhbar</t>
        </is>
      </c>
      <c r="B15" s="161" t="inlineStr">
        <is>
          <t>IhbarEsik2Gun</t>
        </is>
      </c>
      <c r="C15" s="120" t="n">
        <v>547</v>
      </c>
      <c r="D15" s="107" t="inlineStr">
        <is>
          <t>gün</t>
        </is>
      </c>
      <c r="E15" s="162" t="inlineStr">
        <is>
          <t>İhbar 3. kademe geçiş kıdem eşiği (1,5 yıl).</t>
        </is>
      </c>
      <c r="F15" s="162" t="inlineStr">
        <is>
          <t>4857 s. Kanun md.17</t>
        </is>
      </c>
      <c r="G15" s="107" t="inlineStr">
        <is>
          <t>10.06.2003</t>
        </is>
      </c>
      <c r="H15" s="107" t="inlineStr">
        <is>
          <t>09.08.2026</t>
        </is>
      </c>
    </row>
    <row r="16" ht="15" customHeight="1" s="74">
      <c r="A16" s="161" t="inlineStr">
        <is>
          <t>İhbar</t>
        </is>
      </c>
      <c r="B16" s="161" t="inlineStr">
        <is>
          <t>IhbarEsik3Gun</t>
        </is>
      </c>
      <c r="C16" s="120" t="n">
        <v>1095</v>
      </c>
      <c r="D16" s="107" t="inlineStr">
        <is>
          <t>gün</t>
        </is>
      </c>
      <c r="E16" s="162" t="inlineStr">
        <is>
          <t>İhbar 4. kademe geçiş kıdem eşiği (3 yıl).</t>
        </is>
      </c>
      <c r="F16" s="162" t="inlineStr">
        <is>
          <t>4857 s. Kanun md.17</t>
        </is>
      </c>
      <c r="G16" s="107" t="inlineStr">
        <is>
          <t>10.06.2003</t>
        </is>
      </c>
      <c r="H16" s="107" t="inlineStr">
        <is>
          <t>09.08.2026</t>
        </is>
      </c>
    </row>
    <row r="17" ht="15" customHeight="1" s="74">
      <c r="A17" s="161" t="inlineStr">
        <is>
          <t>İzin</t>
        </is>
      </c>
      <c r="B17" s="161" t="inlineStr">
        <is>
          <t>IzinHakki1</t>
        </is>
      </c>
      <c r="C17" s="120" t="n">
        <v>14</v>
      </c>
      <c r="D17" s="107" t="inlineStr">
        <is>
          <t>gün</t>
        </is>
      </c>
      <c r="E17" s="162" t="inlineStr">
        <is>
          <t>Kıdem 1-5 yıl: yıllık izin hakkı.</t>
        </is>
      </c>
      <c r="F17" s="162" t="inlineStr">
        <is>
          <t>4857 s. Kanun md.53</t>
        </is>
      </c>
      <c r="G17" s="107" t="inlineStr">
        <is>
          <t>10.06.2003</t>
        </is>
      </c>
      <c r="H17" s="107" t="inlineStr">
        <is>
          <t>09.08.2026</t>
        </is>
      </c>
    </row>
    <row r="18" ht="15" customHeight="1" s="74">
      <c r="A18" s="161" t="inlineStr">
        <is>
          <t>İzin</t>
        </is>
      </c>
      <c r="B18" s="161" t="inlineStr">
        <is>
          <t>IzinHakki2</t>
        </is>
      </c>
      <c r="C18" s="120" t="n">
        <v>20</v>
      </c>
      <c r="D18" s="107" t="inlineStr">
        <is>
          <t>gün</t>
        </is>
      </c>
      <c r="E18" s="162" t="inlineStr">
        <is>
          <t>Kıdem 5-15 yıl: yıllık izin hakkı.</t>
        </is>
      </c>
      <c r="F18" s="162" t="inlineStr">
        <is>
          <t>4857 s. Kanun md.53</t>
        </is>
      </c>
      <c r="G18" s="107" t="inlineStr">
        <is>
          <t>10.06.2003</t>
        </is>
      </c>
      <c r="H18" s="107" t="inlineStr">
        <is>
          <t>09.08.2026</t>
        </is>
      </c>
    </row>
    <row r="19" ht="15" customHeight="1" s="74">
      <c r="A19" s="161" t="inlineStr">
        <is>
          <t>İzin</t>
        </is>
      </c>
      <c r="B19" s="161" t="inlineStr">
        <is>
          <t>IzinHakki3</t>
        </is>
      </c>
      <c r="C19" s="120" t="n">
        <v>26</v>
      </c>
      <c r="D19" s="107" t="inlineStr">
        <is>
          <t>gün</t>
        </is>
      </c>
      <c r="E19" s="162" t="inlineStr">
        <is>
          <t>Kıdem 15 yıl ve üzeri: yıllık izin hakkı.</t>
        </is>
      </c>
      <c r="F19" s="162" t="inlineStr">
        <is>
          <t>4857 s. Kanun md.53</t>
        </is>
      </c>
      <c r="G19" s="107" t="inlineStr">
        <is>
          <t>10.06.2003</t>
        </is>
      </c>
      <c r="H19" s="107" t="inlineStr">
        <is>
          <t>09.08.2026</t>
        </is>
      </c>
    </row>
    <row r="20" ht="15" customHeight="1" s="74">
      <c r="A20" s="161" t="inlineStr">
        <is>
          <t>İzin</t>
        </is>
      </c>
      <c r="B20" s="161" t="inlineStr">
        <is>
          <t>IzinEsik1</t>
        </is>
      </c>
      <c r="C20" s="120" t="n">
        <v>5</v>
      </c>
      <c r="D20" s="107" t="inlineStr">
        <is>
          <t>yıl</t>
        </is>
      </c>
      <c r="E20" s="162" t="inlineStr">
        <is>
          <t>İzin 2. kademe geçiş kıdem eşiği.</t>
        </is>
      </c>
      <c r="F20" s="162" t="inlineStr">
        <is>
          <t>4857 s. Kanun md.53</t>
        </is>
      </c>
      <c r="G20" s="107" t="inlineStr">
        <is>
          <t>10.06.2003</t>
        </is>
      </c>
      <c r="H20" s="107" t="inlineStr">
        <is>
          <t>09.08.2026</t>
        </is>
      </c>
    </row>
    <row r="21" ht="15" customHeight="1" s="74">
      <c r="A21" s="161" t="inlineStr">
        <is>
          <t>İzin</t>
        </is>
      </c>
      <c r="B21" s="161" t="inlineStr">
        <is>
          <t>IzinEsik2</t>
        </is>
      </c>
      <c r="C21" s="120" t="n">
        <v>15</v>
      </c>
      <c r="D21" s="107" t="inlineStr">
        <is>
          <t>yıl</t>
        </is>
      </c>
      <c r="E21" s="162" t="inlineStr">
        <is>
          <t>İzin 3. kademe geçiş kıdem eşiği.</t>
        </is>
      </c>
      <c r="F21" s="162" t="inlineStr">
        <is>
          <t>4857 s. Kanun md.53</t>
        </is>
      </c>
      <c r="G21" s="107" t="inlineStr">
        <is>
          <t>10.06.2003</t>
        </is>
      </c>
      <c r="H21" s="107" t="inlineStr">
        <is>
          <t>09.08.2026</t>
        </is>
      </c>
    </row>
    <row r="22" ht="15" customHeight="1" s="74">
      <c r="A22" s="161" t="inlineStr">
        <is>
          <t>Eşik</t>
        </is>
      </c>
      <c r="B22" s="161" t="inlineStr">
        <is>
          <t>CikarmaButceEsik</t>
        </is>
      </c>
      <c r="C22" s="117" t="n">
        <v>500000</v>
      </c>
      <c r="D22" s="107" t="inlineStr">
        <is>
          <t>₺</t>
        </is>
      </c>
      <c r="E22" s="162" t="inlineStr">
        <is>
          <t>Çıkarma maliyeti bütçe eşiği.</t>
        </is>
      </c>
      <c r="F22" s="162" t="inlineStr">
        <is>
          <t>Varsayım</t>
        </is>
      </c>
      <c r="G22" s="107" t="inlineStr">
        <is>
          <t>09.08.2026</t>
        </is>
      </c>
      <c r="H22" s="107" t="inlineStr">
        <is>
          <t>09.08.2026</t>
        </is>
      </c>
    </row>
    <row r="23" ht="15" customHeight="1" s="74">
      <c r="A23" s="161" t="inlineStr">
        <is>
          <t>Eşik</t>
        </is>
      </c>
      <c r="B23" s="161" t="inlineStr">
        <is>
          <t>ButceKullanimEsik</t>
        </is>
      </c>
      <c r="C23" s="164" t="n">
        <v>0.8</v>
      </c>
      <c r="D23" s="107" t="inlineStr">
        <is>
          <t>oran</t>
        </is>
      </c>
      <c r="E23" s="162" t="inlineStr">
        <is>
          <t>Bütçe kullanım oranı uyarı eşiği.</t>
        </is>
      </c>
      <c r="F23" s="162" t="inlineStr">
        <is>
          <t>Varsayım</t>
        </is>
      </c>
      <c r="G23" s="107" t="inlineStr">
        <is>
          <t>09.08.2026</t>
        </is>
      </c>
      <c r="H23" s="107" t="inlineStr">
        <is>
          <t>09.08.2026</t>
        </is>
      </c>
    </row>
    <row r="24" ht="15" customHeight="1" s="74">
      <c r="A24" s="161" t="inlineStr">
        <is>
          <t>Eşik</t>
        </is>
      </c>
      <c r="B24" s="161" t="inlineStr">
        <is>
          <t>KidemYilEsik</t>
        </is>
      </c>
      <c r="C24" s="120" t="n">
        <v>10</v>
      </c>
      <c r="D24" s="107" t="inlineStr">
        <is>
          <t>yıl</t>
        </is>
      </c>
      <c r="E24" s="162" t="inlineStr">
        <is>
          <t>Ortalama kıdem uyarı eşiği.</t>
        </is>
      </c>
      <c r="F24" s="162" t="inlineStr">
        <is>
          <t>Varsayım</t>
        </is>
      </c>
      <c r="G24" s="107" t="inlineStr">
        <is>
          <t>09.08.2026</t>
        </is>
      </c>
      <c r="H24" s="107" t="inlineStr">
        <is>
          <t>09.08.2026</t>
        </is>
      </c>
    </row>
    <row r="25" ht="15" customHeight="1" s="74">
      <c r="A25" s="161" t="inlineStr">
        <is>
          <t>Eşik</t>
        </is>
      </c>
      <c r="B25" s="161" t="inlineStr">
        <is>
          <t>UcretAnomaliZEsik</t>
        </is>
      </c>
      <c r="C25" s="164" t="n">
        <v>2</v>
      </c>
      <c r="D25" s="107" t="inlineStr">
        <is>
          <t>oran</t>
        </is>
      </c>
      <c r="E25" s="162" t="inlineStr">
        <is>
          <t>Ücret anomali |Z| eşiği.</t>
        </is>
      </c>
      <c r="F25" s="162" t="inlineStr">
        <is>
          <t>Varsayım</t>
        </is>
      </c>
      <c r="G25" s="107" t="inlineStr">
        <is>
          <t>09.08.2026</t>
        </is>
      </c>
      <c r="H25" s="107" t="inlineStr">
        <is>
          <t>09.08.2026</t>
        </is>
      </c>
    </row>
    <row r="26" ht="15" customHeight="1" s="74">
      <c r="A26" s="161" t="inlineStr">
        <is>
          <t>Eşik</t>
        </is>
      </c>
      <c r="B26" s="161" t="inlineStr">
        <is>
          <t>VeriKaliteIyiEsik</t>
        </is>
      </c>
      <c r="C26" s="120" t="n">
        <v>90</v>
      </c>
      <c r="D26" s="107" t="inlineStr">
        <is>
          <t>puan</t>
        </is>
      </c>
      <c r="E26" s="162" t="inlineStr">
        <is>
          <t>Kalite skoru iyi eşiği.</t>
        </is>
      </c>
      <c r="F26" s="162" t="inlineStr">
        <is>
          <t>Varsayım</t>
        </is>
      </c>
      <c r="G26" s="107" t="inlineStr">
        <is>
          <t>09.08.2026</t>
        </is>
      </c>
      <c r="H26" s="107" t="inlineStr">
        <is>
          <t>09.08.2026</t>
        </is>
      </c>
    </row>
    <row r="27" ht="15" customHeight="1" s="74">
      <c r="A27" s="161" t="inlineStr">
        <is>
          <t>Eşik</t>
        </is>
      </c>
      <c r="B27" s="161" t="inlineStr">
        <is>
          <t>VeriKaliteOrtaEsik</t>
        </is>
      </c>
      <c r="C27" s="120" t="n">
        <v>70</v>
      </c>
      <c r="D27" s="107" t="inlineStr">
        <is>
          <t>puan</t>
        </is>
      </c>
      <c r="E27" s="162" t="inlineStr">
        <is>
          <t>Kalite skoru orta eşiği.</t>
        </is>
      </c>
      <c r="F27" s="162" t="inlineStr">
        <is>
          <t>Varsayım</t>
        </is>
      </c>
      <c r="G27" s="107" t="inlineStr">
        <is>
          <t>09.08.2026</t>
        </is>
      </c>
      <c r="H27" s="107" t="inlineStr">
        <is>
          <t>09.08.2026</t>
        </is>
      </c>
    </row>
    <row r="28" ht="15" customHeight="1" s="74">
      <c r="A28" s="161" t="inlineStr">
        <is>
          <t>Eşik</t>
        </is>
      </c>
      <c r="B28" s="161" t="inlineStr">
        <is>
          <t>VeriKaliteUyariCeza</t>
        </is>
      </c>
      <c r="C28" s="120" t="n">
        <v>10</v>
      </c>
      <c r="D28" s="107" t="inlineStr">
        <is>
          <t>puan</t>
        </is>
      </c>
      <c r="E28" s="162" t="inlineStr">
        <is>
          <t>Her WARN için skor cezası.</t>
        </is>
      </c>
      <c r="F28" s="162" t="inlineStr">
        <is>
          <t>Varsayım</t>
        </is>
      </c>
      <c r="G28" s="107" t="inlineStr">
        <is>
          <t>09.08.2026</t>
        </is>
      </c>
      <c r="H28" s="107" t="inlineStr">
        <is>
          <t>09.08.2026</t>
        </is>
      </c>
    </row>
    <row r="29" ht="15" customHeight="1" s="74">
      <c r="A29" s="161" t="inlineStr">
        <is>
          <t>Senaryo</t>
        </is>
      </c>
      <c r="B29" s="161" t="inlineStr">
        <is>
          <t>SenaryoKotumserKat</t>
        </is>
      </c>
      <c r="C29" s="164" t="n">
        <v>0.1</v>
      </c>
      <c r="D29" s="107" t="inlineStr">
        <is>
          <t>oran</t>
        </is>
      </c>
      <c r="E29" s="162" t="inlineStr">
        <is>
          <t>Kötümser senaryo ücret/çalışan çarpanı.</t>
        </is>
      </c>
      <c r="F29" s="162" t="inlineStr">
        <is>
          <t>Varsayım</t>
        </is>
      </c>
      <c r="G29" s="107" t="inlineStr">
        <is>
          <t>09.08.2026</t>
        </is>
      </c>
      <c r="H29" s="107" t="inlineStr">
        <is>
          <t>09.08.2026</t>
        </is>
      </c>
    </row>
    <row r="30" ht="15" customHeight="1" s="74">
      <c r="A30" s="161" t="inlineStr">
        <is>
          <t>Senaryo</t>
        </is>
      </c>
      <c r="B30" s="161" t="inlineStr">
        <is>
          <t>SenaryoIyimserKat</t>
        </is>
      </c>
      <c r="C30" s="164" t="n">
        <v>0.1</v>
      </c>
      <c r="D30" s="107" t="inlineStr">
        <is>
          <t>oran</t>
        </is>
      </c>
      <c r="E30" s="162" t="inlineStr">
        <is>
          <t>İyimser senaryo ücret/çalışan çarpanı.</t>
        </is>
      </c>
      <c r="F30" s="162" t="inlineStr">
        <is>
          <t>Varsayım</t>
        </is>
      </c>
      <c r="G30" s="107" t="inlineStr">
        <is>
          <t>09.08.2026</t>
        </is>
      </c>
      <c r="H30" s="107" t="inlineStr">
        <is>
          <t>09.08.2026</t>
        </is>
      </c>
    </row>
    <row r="31" ht="15" customHeight="1" s="74">
      <c r="A31" s="161" t="inlineStr">
        <is>
          <t>Duyarlılık</t>
        </is>
      </c>
      <c r="B31" s="161" t="inlineStr">
        <is>
          <t>DuyarliDegisim</t>
        </is>
      </c>
      <c r="C31" s="164" t="n">
        <v>0.05</v>
      </c>
      <c r="D31" s="107" t="inlineStr">
        <is>
          <t>oran</t>
        </is>
      </c>
      <c r="E31" s="162" t="inlineStr">
        <is>
          <t>Tornado analizinde değişim oranı.</t>
        </is>
      </c>
      <c r="F31" s="162" t="inlineStr">
        <is>
          <t>Varsayım</t>
        </is>
      </c>
      <c r="G31" s="107" t="inlineStr">
        <is>
          <t>09.08.2026</t>
        </is>
      </c>
      <c r="H31" s="107" t="inlineStr">
        <is>
          <t>09.08.2026</t>
        </is>
      </c>
    </row>
    <row r="32" ht="15" customHeight="1" s="74">
      <c r="A32" s="161" t="inlineStr">
        <is>
          <t>Duyarlılık</t>
        </is>
      </c>
      <c r="B32" s="161" t="inlineStr">
        <is>
          <t>ParetoEsikOran</t>
        </is>
      </c>
      <c r="C32" s="164" t="n">
        <v>0.5</v>
      </c>
      <c r="D32" s="107" t="inlineStr">
        <is>
          <t>oran</t>
        </is>
      </c>
      <c r="E32" s="162" t="inlineStr">
        <is>
          <t>Maliyet yoğunlaşması yüksek kabul eşiği.</t>
        </is>
      </c>
      <c r="F32" s="162" t="inlineStr">
        <is>
          <t>Varsayım</t>
        </is>
      </c>
      <c r="G32" s="107" t="inlineStr">
        <is>
          <t>09.08.2026</t>
        </is>
      </c>
      <c r="H32" s="107" t="inlineStr">
        <is>
          <t>09.08.2026</t>
        </is>
      </c>
    </row>
    <row r="33" ht="15" customHeight="1" s="74">
      <c r="A33" s="161" t="inlineStr">
        <is>
          <t>Tahmin</t>
        </is>
      </c>
      <c r="B33" s="161" t="inlineStr">
        <is>
          <t>P90Kuantil</t>
        </is>
      </c>
      <c r="C33" s="164" t="n">
        <v>0.9</v>
      </c>
      <c r="D33" s="107" t="inlineStr">
        <is>
          <t>oran</t>
        </is>
      </c>
      <c r="E33" s="162" t="inlineStr">
        <is>
          <t>Yüzdelik dağılım analizinde P90 kuantil değeri.</t>
        </is>
      </c>
      <c r="F33" s="162" t="inlineStr">
        <is>
          <t>Varsayım</t>
        </is>
      </c>
      <c r="G33" s="107" t="inlineStr">
        <is>
          <t>09.08.2026</t>
        </is>
      </c>
      <c r="H33" s="107" t="inlineStr">
        <is>
          <t>09.08.2026</t>
        </is>
      </c>
    </row>
    <row r="34" ht="15" customHeight="1" s="74">
      <c r="A34" s="161" t="inlineStr">
        <is>
          <t>Tahmin</t>
        </is>
      </c>
      <c r="B34" s="161" t="inlineStr">
        <is>
          <t>TahminBantOrani</t>
        </is>
      </c>
      <c r="C34" s="164" t="n">
        <v>0.1</v>
      </c>
      <c r="D34" s="107" t="inlineStr">
        <is>
          <t>oran</t>
        </is>
      </c>
      <c r="E34" s="162" t="inlineStr">
        <is>
          <t>Maliyet tahmin aralığı bant oranı.</t>
        </is>
      </c>
      <c r="F34" s="162" t="inlineStr">
        <is>
          <t>Varsayım</t>
        </is>
      </c>
      <c r="G34" s="107" t="inlineStr">
        <is>
          <t>09.08.2026</t>
        </is>
      </c>
      <c r="H34" s="107" t="inlineStr">
        <is>
          <t>09.08.2026</t>
        </is>
      </c>
    </row>
    <row r="35" ht="15" customHeight="1" s="74">
      <c r="A35" s="161" t="inlineStr">
        <is>
          <t>Nakit</t>
        </is>
      </c>
      <c r="B35" s="161" t="inlineStr">
        <is>
          <t>IskontoOrani</t>
        </is>
      </c>
      <c r="C35" s="164" t="n">
        <v>0.1</v>
      </c>
      <c r="D35" s="107" t="inlineStr">
        <is>
          <t>oran</t>
        </is>
      </c>
      <c r="E35" s="162" t="inlineStr">
        <is>
          <t>Maliyet yükü net bugünkü değer hesabında iskonto oranı.</t>
        </is>
      </c>
      <c r="F35" s="162" t="inlineStr">
        <is>
          <t>Varsayım</t>
        </is>
      </c>
      <c r="G35" s="107" t="inlineStr">
        <is>
          <t>09.08.2026</t>
        </is>
      </c>
      <c r="H35" s="107" t="inlineStr">
        <is>
          <t>09.08.2026</t>
        </is>
      </c>
    </row>
    <row r="36"/>
    <row r="37" ht="15" customHeight="1" s="74">
      <c r="A37" s="107" t="inlineStr">
        <is>
          <t>Not: raporTarihi dışında TODAY()/NOW() gibi volatil fonksiyon kullanılmaz.</t>
        </is>
      </c>
    </row>
    <row r="38"/>
    <row r="39" ht="19.5" customHeight="1" s="74">
      <c r="A39" s="111" t="inlineStr">
        <is>
          <t>Gelişmiş ayarlar; ana kullanıcının değiştirmesi gerekmez.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4:H4"/>
    <mergeCell ref="A3:H3"/>
    <mergeCell ref="A39:AN39"/>
    <mergeCell ref="A1:H1"/>
    <mergeCell ref="A37:H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6.5" customWidth="1" style="100" min="1" max="1"/>
    <col width="40" customWidth="1" style="100" min="2" max="2"/>
    <col width="13" customWidth="1" style="74" min="3" max="3"/>
    <col width="13" customWidth="1" style="74" min="4" max="4"/>
    <col width="13" customWidth="1" style="74" min="5" max="5"/>
    <col width="13" customWidth="1" style="74" min="6" max="6"/>
    <col width="13" customWidth="1" style="74" min="7" max="7"/>
    <col width="13" customWidth="1" style="74" min="8" max="8"/>
    <col width="13" customWidth="1" style="74" min="9" max="9"/>
    <col width="13" customWidth="1" style="74" min="10" max="10"/>
  </cols>
  <sheetData>
    <row r="1" ht="32" customHeight="1" s="74">
      <c r="A1" s="277" t="inlineStr">
        <is>
          <t>KILAVUZ — KIDEM–İHBAR YÜKÜ VE PERSONEL ÇIKARMA MALİYETİ HESAPLAYICI</t>
        </is>
      </c>
    </row>
    <row r="2"/>
    <row r="3" ht="22" customHeight="1" s="74">
      <c r="A3" s="296" t="inlineStr">
        <is>
          <t>Kullanım Kılavuzu</t>
        </is>
      </c>
    </row>
    <row r="4"/>
    <row r="5" ht="15" customHeight="1" s="74">
      <c r="A5" s="165" t="inlineStr">
        <is>
          <t>1. Ne yapar?</t>
        </is>
      </c>
    </row>
    <row r="6" ht="15" customHeight="1" s="74">
      <c r="A6" s="165" t="inlineStr">
        <is>
          <t>2. Hangi sayfa sırasıyla gidilir?</t>
        </is>
      </c>
    </row>
    <row r="7" ht="15" customHeight="1" s="74">
      <c r="A7" s="165" t="inlineStr">
        <is>
          <t>3. Sarı hücreler ne demek?</t>
        </is>
      </c>
    </row>
    <row r="8" ht="15" customHeight="1" s="74">
      <c r="A8" s="165" t="inlineStr">
        <is>
          <t>4. Kıdem tazminatı nasıl hesaplanır?</t>
        </is>
      </c>
    </row>
    <row r="9" ht="15" customHeight="1" s="74">
      <c r="A9" s="165" t="inlineStr">
        <is>
          <t>5. İhbar süresi nasıl belirlenir?</t>
        </is>
      </c>
    </row>
    <row r="10" ht="15" customHeight="1" s="74">
      <c r="A10" s="165" t="inlineStr">
        <is>
          <t>6. İzin ücreti nasıl hesaplanır?</t>
        </is>
      </c>
    </row>
    <row r="11" ht="15" customHeight="1" s="74">
      <c r="A11" s="165" t="inlineStr">
        <is>
          <t>7. Karar nasıl okunur?</t>
        </is>
      </c>
    </row>
    <row r="12" ht="15" customHeight="1" s="74">
      <c r="A12" s="165" t="inlineStr">
        <is>
          <t>8. Güvenlik ve KVKK</t>
        </is>
      </c>
    </row>
    <row r="13" ht="15" customHeight="1" s="74">
      <c r="A13" s="165" t="inlineStr">
        <is>
          <t>9. Kaynaklar ve varsayımlar</t>
        </is>
      </c>
    </row>
    <row r="14" ht="15" customHeight="1" s="74">
      <c r="A14" s="165" t="inlineStr">
        <is>
          <t>10. Ortam beyanı</t>
        </is>
      </c>
    </row>
    <row r="15" ht="15" customHeight="1" s="74">
      <c r="A15" s="165" t="inlineStr">
        <is>
          <t>11. Yasal çekince</t>
        </is>
      </c>
    </row>
    <row r="16" ht="15" customHeight="1" s="74">
      <c r="A16" s="109" t="inlineStr">
        <is>
          <t>Bu araç karar destek amaçlıdır; iş hukuku ve mali müşavirlik danışmanlığı yerine geçmez. Kıdem tazminatı tavanı, ihbar süreleri ve izin hakları her dosyada güncel mevzuattan teyit edilmelidir.</t>
        </is>
      </c>
    </row>
    <row r="17"/>
    <row r="18"/>
    <row r="19"/>
    <row r="20"/>
    <row r="21"/>
    <row r="22"/>
    <row r="23"/>
    <row r="24"/>
    <row r="25"/>
    <row r="26"/>
    <row r="27"/>
    <row r="28" ht="19.5" customHeight="1" s="74">
      <c r="A28" s="111" t="inlineStr">
        <is>
          <t>ExcelArşiv | Kıdem–İhbar Yükü ve Personel Çıkarma Maliyeti Hesaplayıcı | Rev 1.0 | 2026-08-09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8:AN8"/>
    <mergeCell ref="A6:AN6"/>
    <mergeCell ref="A12:AN12"/>
    <mergeCell ref="A16:AN16"/>
    <mergeCell ref="A15:AN15"/>
    <mergeCell ref="A7:AN7"/>
    <mergeCell ref="A1:I1"/>
    <mergeCell ref="A11:AN11"/>
    <mergeCell ref="A10:AN10"/>
    <mergeCell ref="A28:AN28"/>
    <mergeCell ref="A3:I3"/>
    <mergeCell ref="A13:AN13"/>
    <mergeCell ref="A14:AN14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2026-08-09T21:01:30Z</dcterms:created>
  <dcterms:modified xmlns:dcterms="http://purl.org/dc/terms/" xmlns:xsi="http://www.w3.org/2001/XMLSchema-instance" xsi:type="dcterms:W3CDTF">2026-09-25T21:22:53Z</dcterms:modified>
  <cp:revision>0</cp:revision>
</cp:coreProperties>
</file>