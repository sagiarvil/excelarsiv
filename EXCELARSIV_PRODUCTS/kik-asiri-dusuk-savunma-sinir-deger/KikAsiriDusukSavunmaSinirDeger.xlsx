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kik_mevcutTesvik">GIRDI!$B$15</definedName>
    <definedName name="kik_potansiyelTasarruf">MOTOR!$G$28</definedName>
    <definedName name="kik_kacirilan">MOTOR!$G$30</definedName>
    <definedName name="kik_kararMetni">MOTOR!$G$34</definedName>
    <definedName name="kik_kararGerekce">MOTOR!$G$35</definedName>
    <definedName name="kik_maddeAtifMetni">MOTOR!$G$52</definedName>
    <definedName name="kik_kanitRaporu">MOTOR!$G$53</definedName>
    <definedName name="kik_kuralYilMatris">KURALLAR!$B$17</definedName>
    <definedName name="kik_parmakIzi">AYARLAR!$B$19</definedName>
    <definedName name="kik_senaryoKarsilastirma">SENARYO!$B$11</definedName>
    <definedName name="kik_yorumSenaryo">SENARYO!$B$12</definedName>
    <definedName name="kik_duyarlilikSira">SENARYO!$B$19</definedName>
    <definedName name="kik_yorumDuyarlilik">SENARYO!$B$20</definedName>
    <definedName name="kik_kuralDegisimSenaryo">SENARYO!$B$22</definedName>
    <definedName name="kik_yorumKuralDegisim">SENARYO!$B$23</definedName>
    <definedName name="kik_tahminAralik">SENARYO!$B$32</definedName>
    <definedName name="kik_yorumTahmin">SENARYO!$B$33</definedName>
    <definedName name="kik_vakaDurum">VAKALAR!$B$12</definedName>
    <definedName name="kik_vakaFark">VAKALAR!$B$13</definedName>
    <definedName name="kik_tolerans">AYARLAR!$B$8</definedName>
    <definedName name="kik_kacirilanEsik">AYARLAR!$B$9</definedName>
    <definedName name="kik_senaryoIyi">AYARLAR!$B$10</definedName>
    <definedName name="kik_senaryoKotu">AYARLAR!$B$11</definedName>
    <definedName name="kik_oranArtisPuan">AYARLAR!$B$12</definedName>
    <definedName name="kik_tahminAlt">AYARLAR!$B$13</definedName>
    <definedName name="kik_tahminUst">AYARLAR!$B$14</definedName>
    <definedName name="kik_tornadoMatrah">AYARLAR!$B$15</definedName>
    <definedName name="kik_tornadoMevcut">AYARLAR!$B$16</definedName>
    <definedName name="kik_isverenOran">AYARLAR!$B$17</definedName>
    <definedName name="kik_yuzdelikOran">AYARLAR!$B$18</definedName>
    <definedName name="kik_girisBeklenen">AYARLAR!$B$21</definedName>
    <definedName name="kik_riskDusuk">AYARLAR!$B$22</definedName>
    <definedName name="kik_riskOrta">AYARLAR!$B$23</definedName>
    <definedName name="kik_riskYuksek">AYARLAR!$B$24</definedName>
    <definedName name="kik_riskEsikOran">AYARLAR!$B$25</definedName>
    <definedName name="kik_yilTaban">AYARLAR!$B$26</definedName>
    <definedName name="kik_yuvarMax">AYARLAR!$B$27</definedName>
    <definedName name="kik_dayanakCarpan">AYARLAR!$B$28</definedName>
    <definedName name="kik_bazCarpan">AYARLAR!$B$29</definedName>
    <definedName name="kik_sifirCarpan">AYARLAR!$B$30</definedName>
    <definedName name="kik_siraBir">AYARLAR!$B$31</definedName>
    <definedName name="kik_siraIki">AYARLAR!$B$32</definedName>
    <definedName name="kik_siraUc">AYARLAR!$B$33</definedName>
    <definedName name="kik_tahminX">AYARLAR!$B$34</definedName>
    <definedName name="vaka_matrah_1">AYARLAR!$B$35</definedName>
    <definedName name="vaka_matrah_2">AYARLAR!$B$36</definedName>
    <definedName name="vaka_tavan">AYARLAR!$B$37</definedName>
    <definedName name="kik_modulT1">PANO!$C$11</definedName>
    <definedName name="kik_modulT1Yorum">PANO!$D$11</definedName>
    <definedName name="kik_modulT2">PANO!$C$12</definedName>
    <definedName name="kik_modulT2Yorum">PANO!$D$12</definedName>
    <definedName name="kik_modulO1">PANO!$C$13</definedName>
    <definedName name="kik_modulO1Yorum">PANO!$D$13</definedName>
    <definedName name="kik_modulO6">PANO!$C$16</definedName>
    <definedName name="kik_modulO6Yorum">PANO!$D$16</definedName>
    <definedName name="kik_modulO8">PANO!$C$17</definedName>
    <definedName name="kik_modulO8Yorum">PANO!$D$17</definedName>
    <definedName name="kik_modulI2">PANO!$C$20</definedName>
    <definedName name="ki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6" authorId="0" shapeId="0">
      <text>
        <t>Tanım: Adım 2 — Karar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7" authorId="0" shapeId="0">
      <text>
        <t>Tanım: Adım 3 — Kanıt | Neden önemli: KİK sınır değer ve aşırı düşük savunmayı etkiler | Doğru kullanım: Sırayla izleyin | Örnek: demo satırına bakın | Yanlışsa: Sapma ve karar bozulur | Kaynak: [Assumption] KİK sınır değer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Adı | Neden önemli: KİK sınır değer ve aşırı düşük savunmayı etkiler | Doğru kullanım: İhale / iş adını yazın. | Örnek: demo satırına bakın | Yanlışsa: Sapma ve karar bozulur | Kaynak: [Assumption] KİK sınır değer</t>
      </text>
    </comment>
    <comment ref="B7" authorId="0" shapeId="0">
      <text>
        <t>Tanım: İhale Numarası / Dönem | Neden önemli: KİK sınır değer ve aşırı düşük savunmayı etkiler | Doğru kullanım: İhale referansını yazın (ör. 2025-IH-014). | Örnek: demo satırına bakın | Yanlışsa: Sapma ve karar bozulur | Kaynak: [Assumption] KİK sınır değer</t>
      </text>
    </comment>
    <comment ref="B8" authorId="0" shapeId="0">
      <text>
        <t>Tanım: Hesap Yılı | Neden önemli: KİK sınır değer ve aşırı düşük savunmayı etkiler | Doğru kullanım: 2025, 2026 veya 2027 seçin. | Örnek: demo satırına bakın | Yanlışsa: Sapma ve karar bozulur | Kaynak: [Assumption] KİK sınır değer</t>
      </text>
    </comment>
    <comment ref="B9" authorId="0" shapeId="0">
      <text>
        <t>Tanım: Yaklaşık Maliyet [₺] | Neden önemli: KİK sınır değer ve aşırı düşük savunmayı etkiler | Doğru kullanım: İhale yaklaşık maliyetini KDV hariç TL girin. | Örnek: demo satırına bakın | Yanlışsa: Sapma ve karar bozulur | Kaynak: [Assumption] KİK sınır değer</t>
      </text>
    </comment>
    <comment ref="B10" authorId="0" shapeId="0">
      <text>
        <t>Tanım: Teklif Tutarı [₺] | Neden önemli: KİK sınır değer ve aşırı düşük savunmayı etkiler | Doğru kullanım: Sunulan teklif bedelini TL girin. | Örnek: demo satırına bakın | Yanlışsa: Sapma ve karar bozulur | Kaynak: [Assumption] KİK sınır değer</t>
      </text>
    </comment>
    <comment ref="B11" authorId="0" shapeId="0">
      <text>
        <t>Tanım: İşçilik Maliyeti [₺] | Neden önemli: KİK sınır değer ve aşırı düşük savunmayı etkiler | Doğru kullanım: Teklif içi işçilik maliyetini girin. | Örnek: demo satırına bakın | Yanlışsa: Sapma ve karar bozulur | Kaynak: [Assumption] KİK sınır değer</t>
      </text>
    </comment>
    <comment ref="B12" authorId="0" shapeId="0">
      <text>
        <t>Tanım: Malzeme Maliyeti [₺] | Neden önemli: KİK sınır değer ve aşırı düşük savunmayı etkiler | Doğru kullanım: Teklif içi malzeme maliyetini girin. | Örnek: demo satırına bakın | Yanlışsa: Sapma ve karar bozulur | Kaynak: [Assumption] KİK sınır değer</t>
      </text>
    </comment>
    <comment ref="B13" authorId="0" shapeId="0">
      <text>
        <t>Tanım: Genel Gider [₺] | Neden önemli: KİK sınır değer ve aşırı düşük savunmayı etkiler | Doğru kullanım: Genel gider tutarını girin. | Örnek: demo satırına bakın | Yanlışsa: Sapma ve karar bozulur | Kaynak: [Assumption] KİK sınır değer</t>
      </text>
    </comment>
    <comment ref="B14" authorId="0" shapeId="0">
      <text>
        <t>Tanım: Kâr [₺] | Neden önemli: KİK sınır değer ve aşırı düşük savunmayı etkiler | Doğru kullanım: Teklife gömülü kâr tutarını girin. | Örnek: demo satırına bakın | Yanlışsa: Sapma ve karar bozulur | Kaynak: [Assumption] KİK sınır değer</t>
      </text>
    </comment>
    <comment ref="B15" authorId="0" shapeId="0">
      <text>
        <t>Tanım: Savunma Dayanak Adedi | Neden önemli: KİK sınır değer ve aşırı düşük savunmayı etkiler | Doğru kullanım: Açıklama dayanak / belge adedini yazın. | Örnek: demo satırına bakın | Yanlışsa: Sapma ve karar bozulur | Kaynak: [Assumption] KİK sınır değer</t>
      </text>
    </comment>
    <comment ref="B16" authorId="0" shapeId="0">
      <text>
        <t>Tanım: Yorum Modu (A/B) | Neden önemli: KİK sınır değer ve aşırı düşük savunmayı etkiler | Doğru kullanım: Sınır hesap yorumu A (katsayı) veya B (sıkı) seçin. | Örnek: demo satırına bakın | Yanlışsa: Sapma ve karar bozulur | Kaynak: [Assumption] KİK sınır değer</t>
      </text>
    </comment>
    <comment ref="A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KİK sınır değer ve aşırı düşük savunmayı etkiler | Doğru kullanım: Raporu hazırlayan kişinin adını yazın. | Örnek: demo satırına bakın | Yanlışsa: Sapma ve karar bozulur | Kaynak: [Assumption] KİK sınır değer</t>
      </text>
    </comment>
    <comment ref="B30" authorId="0" shapeId="0">
      <text>
        <t>Tanım: Onay | Neden önemli: KİK sınır değer ve aşırı düşük savunmayı etkiler | Doğru kullanım: Onaylayan kişinin adını yazın. | Örnek: demo satırına bakın | Yanlışsa: Sapma ve karar bozulur | Kaynak: [Assumption] KİK sınır değer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6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6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6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6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6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6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7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7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7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7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7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7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7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8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8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8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8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8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8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8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9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9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9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9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9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9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9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0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10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10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10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10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10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10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6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6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7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7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7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8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KİK sınır değer ve aşırı düşük savunmayı etkiler | Doğru kullanım: Aktif hesap yılı | Örnek: demo satırına bakın | Yanlışsa: Sapma ve karar bozulur | Kaynak: [Assumption] KİK sınır değer</t>
      </text>
    </comment>
    <comment ref="B7" authorId="0" shapeId="0">
      <text>
        <t>Tanım: raporTarihi | Neden önemli: KİK sınır değer ve aşırı düşük savunmayı etkiler | Doğru kullanım: Rapor tarihi (sabit) | Örnek: demo satırına bakın | Yanlışsa: Sapma ve karar bozulur | Kaynak: [Assumption] KİK sınır değer</t>
      </text>
    </comment>
    <comment ref="B8" authorId="0" shapeId="0">
      <text>
        <t>Tanım: kik_tolerans | Neden önemli: KİK sınır değer ve aşırı düşük savunmayı etkiler | Doğru kullanım: Vaka tutarlılık toleransı | Örnek: demo satırına bakın | Yanlışsa: Sapma ve karar bozulur | Kaynak: [Assumption] KİK sınır değer</t>
      </text>
    </comment>
    <comment ref="B9" authorId="0" shapeId="0">
      <text>
        <t>Tanım: kik_kacirilanEsik | Neden önemli: KİK sınır değer ve aşırı düşük savunmayı etkiler | Doğru kullanım: PANO kaçırılan uyarı eşiği | Örnek: demo satırına bakın | Yanlışsa: Sapma ve karar bozulur | Kaynak: [Assumption] KİK sınır değer</t>
      </text>
    </comment>
    <comment ref="B10" authorId="0" shapeId="0">
      <text>
        <t>Tanım: kik_senaryoIyi | Neden önemli: KİK sınır değer ve aşırı düşük savunmayı etkiler | Doğru kullanım: İyimser matrah çarpanı | Örnek: demo satırına bakın | Yanlışsa: Sapma ve karar bozulur | Kaynak: [Assumption] KİK sınır değer</t>
      </text>
    </comment>
    <comment ref="B11" authorId="0" shapeId="0">
      <text>
        <t>Tanım: kik_senaryoKotu | Neden önemli: KİK sınır değer ve aşırı düşük savunmayı etkiler | Doğru kullanım: Kötümser matrah çarpanı | Örnek: demo satırına bakın | Yanlışsa: Sapma ve karar bozulur | Kaynak: [Assumption] KİK sınır değer</t>
      </text>
    </comment>
    <comment ref="B12" authorId="0" shapeId="0">
      <text>
        <t>Tanım: kik_oranArtisPuan | Neden önemli: KİK sınır değer ve aşırı düşük savunmayı etkiler | Doğru kullanım: M-SEN +1 puan | Örnek: demo satırına bakın | Yanlışsa: Sapma ve karar bozulur | Kaynak: [Assumption] KİK sınır değer</t>
      </text>
    </comment>
    <comment ref="B13" authorId="0" shapeId="0">
      <text>
        <t>Tanım: kik_tahminAlt | Neden önemli: KİK sınır değer ve aşırı düşük savunmayı etkiler | Doğru kullanım: Tahmin alt bant | Örnek: demo satırına bakın | Yanlışsa: Sapma ve karar bozulur | Kaynak: [Assumption] KİK sınır değer</t>
      </text>
    </comment>
    <comment ref="B14" authorId="0" shapeId="0">
      <text>
        <t>Tanım: kik_tahminUst | Neden önemli: KİK sınır değer ve aşırı düşük savunmayı etkiler | Doğru kullanım: Tahmin üst bant | Örnek: demo satırına bakın | Yanlışsa: Sapma ve karar bozulur | Kaynak: [Assumption] KİK sınır değer</t>
      </text>
    </comment>
    <comment ref="B15" authorId="0" shapeId="0">
      <text>
        <t>Tanım: kik_tornadoMatrah | Neden önemli: KİK sınır değer ve aşırı düşük savunmayı etkiler | Doğru kullanım: Tornado matrah şoku | Örnek: demo satırına bakın | Yanlışsa: Sapma ve karar bozulur | Kaynak: [Assumption] KİK sınır değer</t>
      </text>
    </comment>
    <comment ref="B16" authorId="0" shapeId="0">
      <text>
        <t>Tanım: kik_tornadoMevcut | Neden önemli: KİK sınır değer ve aşırı düşük savunmayı etkiler | Doğru kullanım: Tornado mevcut şoku | Örnek: demo satırına bakın | Yanlışsa: Sapma ve karar bozulur | Kaynak: [Assumption] KİK sınır değer</t>
      </text>
    </comment>
    <comment ref="B17" authorId="0" shapeId="0">
      <text>
        <t>Tanım: kik_isverenOran | Neden önemli: KİK sınır değer ve aşırı düşük savunmayı etkiler | Doğru kullanım: N sıkılaştırma yedek katsayısı | Örnek: demo satırına bakın | Yanlışsa: Sapma ve karar bozulur | Kaynak: [Assumption] KİK sınır değer</t>
      </text>
    </comment>
    <comment ref="B18" authorId="0" shapeId="0">
      <text>
        <t>Tanım: kik_yuzdelikOran | Neden önemli: KİK sınır değer ve aşırı düşük savunmayı etkiler | Doğru kullanım: Yüzdelik P90 | Örnek: demo satırına bakın | Yanlışsa: Sapma ve karar bozulur | Kaynak: [Assumption] KİK sınır değer</t>
      </text>
    </comment>
    <comment ref="B19" authorId="0" shapeId="0">
      <text>
        <t>Tanım: kik_parmakIzi | Neden önemli: KİK sınır değer ve aşırı düşük savunmayı etkiler | Doğru kullanım: Dosya parmak izi etiketi | Örnek: demo satırına bakın | Yanlışsa: Sapma ve karar bozulur | Kaynak: [Assumption] KİK sınır değer</t>
      </text>
    </comment>
    <comment ref="B20" authorId="0" shapeId="0">
      <text>
        <t>Tanım: dosya_surumu | Neden önemli: KİK sınır değer ve aşırı düşük savunmayı etkiler | Doğru kullanım: Ürün sürümü | Örnek: demo satırına bakın | Yanlışsa: Sapma ve karar bozulur | Kaynak: [Assumption] KİK sınır değer</t>
      </text>
    </comment>
    <comment ref="B21" authorId="0" shapeId="0">
      <text>
        <t>Tanım: kik_girisBeklenen | Neden önemli: KİK sınır değer ve aşırı düşük savunmayı etkiler | Doğru kullanım: Zorunlu giriş alanı sayısı | Örnek: demo satırına bakın | Yanlışsa: Sapma ve karar bozulur | Kaynak: [Assumption] KİK sınır değer</t>
      </text>
    </comment>
    <comment ref="B22" authorId="0" shapeId="0">
      <text>
        <t>Tanım: kik_riskDusuk | Neden önemli: KİK sınır değer ve aşırı düşük savunmayı etkiler | Doğru kullanım: Düşük risk skoru | Örnek: demo satırına bakın | Yanlışsa: Sapma ve karar bozulur | Kaynak: [Assumption] KİK sınır değer</t>
      </text>
    </comment>
    <comment ref="B23" authorId="0" shapeId="0">
      <text>
        <t>Tanım: kik_riskOrta | Neden önemli: KİK sınır değer ve aşırı düşük savunmayı etkiler | Doğru kullanım: Orta risk skoru | Örnek: demo satırına bakın | Yanlışsa: Sapma ve karar bozulur | Kaynak: [Assumption] KİK sınır değer</t>
      </text>
    </comment>
    <comment ref="B24" authorId="0" shapeId="0">
      <text>
        <t>Tanım: kik_riskYuksek | Neden önemli: KİK sınır değer ve aşırı düşük savunmayı etkiler | Doğru kullanım: Yüksek risk skoru | Örnek: demo satırına bakın | Yanlışsa: Sapma ve karar bozulur | Kaynak: [Assumption] KİK sınır değer</t>
      </text>
    </comment>
    <comment ref="B25" authorId="0" shapeId="0">
      <text>
        <t>Tanım: kik_riskEsikOran | Neden önemli: KİK sınır değer ve aşırı düşük savunmayı etkiler | Doğru kullanım: Yüksek risk kaçırılan/potansiyel | Örnek: demo satırına bakın | Yanlışsa: Sapma ve karar bozulur | Kaynak: [Assumption] KİK sınır değer</t>
      </text>
    </comment>
    <comment ref="B26" authorId="0" shapeId="0">
      <text>
        <t>Tanım: kik_yilTaban | Neden önemli: KİK sınır değer ve aşırı düşük savunmayı etkiler | Doğru kullanım: CHOOSE yıl tabanı (hesapYili−taban) | Örnek: demo satırına bakın | Yanlışsa: Sapma ve karar bozulur | Kaynak: [Assumption] KİK sınır değer</t>
      </text>
    </comment>
    <comment ref="B27" authorId="0" shapeId="0">
      <text>
        <t>Tanım: kik_yuvarMax | Neden önemli: KİK sınır değer ve aşırı düşük savunmayı etkiler | Doğru kullanım: ROUND basamak tavanı | Örnek: demo satırına bakın | Yanlışsa: Sapma ve karar bozulur | Kaynak: [Assumption] KİK sınır değer</t>
      </text>
    </comment>
    <comment ref="B28" authorId="0" shapeId="0">
      <text>
        <t>Tanım: kik_dayanakCarpan | Neden önemli: KİK sınır değer ve aşırı düşük savunmayı etkiler | Doğru kullanım: Dayanak skoru çarpanı | Örnek: demo satırına bakın | Yanlışsa: Sapma ve karar bozulur | Kaynak: [Assumption] KİK sınır değer</t>
      </text>
    </comment>
    <comment ref="B29" authorId="0" shapeId="0">
      <text>
        <t>Tanım: kik_bazCarpan | Neden önemli: KİK sınır değer ve aşırı düşük savunmayı etkiler | Doğru kullanım: Baz senaryo çarpanı | Örnek: demo satırına bakın | Yanlışsa: Sapma ve karar bozulur | Kaynak: [Assumption] KİK sınır değer</t>
      </text>
    </comment>
    <comment ref="B30" authorId="0" shapeId="0">
      <text>
        <t>Tanım: kik_sifirCarpan | Neden önemli: KİK sınır değer ve aşırı düşük savunmayı etkiler | Doğru kullanım: Nötr çarpan (sıfır) | Örnek: demo satırına bakın | Yanlışsa: Sapma ve karar bozulur | Kaynak: [Assumption] KİK sınır değer</t>
      </text>
    </comment>
    <comment ref="B31" authorId="0" shapeId="0">
      <text>
        <t>Tanım: kik_siraBir | Neden önemli: KİK sınır değer ve aşırı düşük savunmayı etkiler | Doğru kullanım: Tornado sıra 1 | Örnek: demo satırına bakın | Yanlışsa: Sapma ve karar bozulur | Kaynak: [Assumption] KİK sınır değer</t>
      </text>
    </comment>
    <comment ref="B32" authorId="0" shapeId="0">
      <text>
        <t>Tanım: kik_siraIki | Neden önemli: KİK sınır değer ve aşırı düşük savunmayı etkiler | Doğru kullanım: Tornado sıra 2 | Örnek: demo satırına bakın | Yanlışsa: Sapma ve karar bozulur | Kaynak: [Assumption] KİK sınır değer</t>
      </text>
    </comment>
    <comment ref="B33" authorId="0" shapeId="0">
      <text>
        <t>Tanım: kik_siraUc | Neden önemli: KİK sınır değer ve aşırı düşük savunmayı etkiler | Doğru kullanım: Tornado sıra 3 | Örnek: demo satırına bakın | Yanlışsa: Sapma ve karar bozulur | Kaynak: [Assumption] KİK sınır değer</t>
      </text>
    </comment>
    <comment ref="B34" authorId="0" shapeId="0">
      <text>
        <t>Tanım: kik_tahminX | Neden önemli: KİK sınır değer ve aşırı düşük savunmayı etkiler | Doğru kullanım: FORECAST X noktası | Örnek: demo satırına bakın | Yanlışsa: Sapma ve karar bozulur | Kaynak: [Assumption] KİK sınır değer</t>
      </text>
    </comment>
    <comment ref="B35" authorId="0" shapeId="0">
      <text>
        <t>Tanım: vaka_matrah_1 | Neden önemli: KİK sınır değer ve aşırı düşük savunmayı etkiler | Doğru kullanım: Vaka1 yaklaşık maliyet dilimi | Örnek: demo satırına bakın | Yanlışsa: Sapma ve karar bozulur | Kaynak: [Assumption] KİK sınır değer</t>
      </text>
    </comment>
    <comment ref="B36" authorId="0" shapeId="0">
      <text>
        <t>Tanım: vaka_matrah_2 | Neden önemli: KİK sınır değer ve aşırı düşük savunmayı etkiler | Doğru kullanım: Vaka2 teklif dilimi | Örnek: demo satırına bakın | Yanlışsa: Sapma ve karar bozulur | Kaynak: [Assumption] KİK sınır değer</t>
      </text>
    </comment>
    <comment ref="B37" authorId="0" shapeId="0">
      <text>
        <t>Tanım: vaka_tavan | Neden önemli: KİK sınır değer ve aşırı düşük savunmayı etkiler | Doğru kullanım: Vaka4 tavan | Örnek: demo satırına bakın | Yanlışsa: Sapma ve karar bozulur | Kaynak: [Assumption] KİK sınır değer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Yaklaşık Maliyet"/>
    <tableColumn id="3" name="İşçilik"/>
    <tableColumn id="4" name="Malzeme"/>
    <tableColumn id="5" name="Genel Gider"/>
    <tableColumn id="6" name="Kâr"/>
    <tableColumn id="7" name="Dayanak"/>
    <tableColumn id="8" name="Potansiyel">
      <calculatedColumnFormula>=IF(tblOrnek[[#This Row],[Senaryo]]="","",IFERROR(ROUND(MAX(0,tblOrnek[[#This Row],[Yaklaşık Maliyet]]*INDEX(tblKurallar[deger_2025],MATCH("KIK-001",tblKurallar[kural_id],0))-(tblOrnek[[#This Row],[İşçilik]]+tblOrnek[[#This Row],[Malzeme]]+tblOrnek[[#This Row],[Genel Gider]]+tblOrnek[[#This Row],[Kâr]])),kik_yuvarMax),0))</calculatedColumnFormula>
    </tableColumn>
    <tableColumn id="9" name="Kaçırılan">
      <calculatedColumnFormula>=IF(tblOrnek[[#This Row],[Senaryo]]="","",IFERROR(MAX(0,tblOrnek[[#This Row],[Potansiyel]]-tblOrnek[[#This Row],[Dayanak]]*kik_sifirCarpan),0))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KİK Aşırı Düşük Savunma + Sınır Değer Paketi</t>
        </is>
      </c>
    </row>
    <row r="3" ht="30" customHeight="1">
      <c r="A3" s="3" t="inlineStr">
        <is>
          <t>KİK Aşırı Düşük Savunma + Sınır Değer Paketi</t>
        </is>
      </c>
    </row>
    <row r="4">
      <c r="A4" s="4" t="inlineStr">
        <is>
          <t>Yaklaşık maliyet ve teklifi girin; KİK sınır değer sapmasını ve savunma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Sınır değer, sapma %, maliyet kırılımı ve savunma dayanaklarının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sınır değer hesap yöntemi (yorum A / B)</t>
        </is>
      </c>
    </row>
    <row r="13">
      <c r="A13" s="5" t="inlineStr">
        <is>
          <t>Kimler için?</t>
        </is>
      </c>
    </row>
    <row r="14">
      <c r="A14" s="7" t="inlineStr">
        <is>
          <t>• Teklif hazırlayan — sınır değer ve sapmayı görmek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KİK Aşırı Düşük Savunma + Sınır Değer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yaklaşık maliyet, teklif ve maliyet kırılımlarını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Yaklaşık maliyet ile teklifi ters yazmak</t>
        </is>
      </c>
    </row>
    <row r="11">
      <c r="A11" s="12" t="inlineStr">
        <is>
          <t>• Maliyet kırılım toplamını tekliften kopuk bırakmak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KİK savunma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KİK Aşırı Düşük Savunma + Sınır Değer Paketi</t>
        </is>
      </c>
    </row>
    <row r="3">
      <c r="A3" s="14" t="inlineStr">
        <is>
          <t>Yönetim paneli — KİK Aşırı Düşük</t>
        </is>
      </c>
      <c r="B3" s="15" t="inlineStr">
        <is>
          <t>Matrah</t>
        </is>
      </c>
      <c r="C3" s="15" t="inlineStr">
        <is>
          <t>Potansiyel</t>
        </is>
      </c>
      <c r="D3" s="15" t="inlineStr">
        <is>
          <t>Dayanak</t>
        </is>
      </c>
      <c r="E3" s="15" t="inlineStr">
        <is>
          <t>Kaçırılan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5 puan oran</t>
        </is>
      </c>
      <c r="I3" s="15" t="inlineStr">
        <is>
          <t>İlave oran</t>
        </is>
      </c>
      <c r="J3" s="15" t="inlineStr">
        <is>
          <t>Karşılama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IFERROR(MOTOR!G21,0)</f>
        <v/>
      </c>
      <c r="C4" s="16">
        <f>IFERROR(kik_potansiyelTasarruf,0)</f>
        <v/>
      </c>
      <c r="D4" s="16">
        <f>IFERROR(kik_mevcutTesvik,0)</f>
        <v/>
      </c>
      <c r="E4" s="16">
        <f>IFERROR(kik_kacirilan,0)</f>
        <v/>
      </c>
      <c r="F4" s="17">
        <f>IFERROR(MOTOR!G38,0)</f>
        <v/>
      </c>
      <c r="G4" s="17">
        <f>IFERROR(MOTOR!G39,0)</f>
        <v/>
      </c>
      <c r="H4" s="18">
        <f>IFERROR(MOTOR!G8,0)</f>
        <v/>
      </c>
      <c r="I4" s="18">
        <f>IFERROR(MOTOR!G9,0)</f>
        <v/>
      </c>
      <c r="J4" s="18">
        <f>IFERROR(MOTOR!G37,0)</f>
        <v/>
      </c>
      <c r="K4" s="16">
        <f>IFERROR(kik_kuralDegisimSenaryo,0)</f>
        <v/>
      </c>
      <c r="L4" s="16">
        <f>IFERROR(SENARYO!B32,0)</f>
        <v/>
      </c>
      <c r="M4" s="19">
        <f>IFERROR(kik_vakaDurum,"-")</f>
        <v/>
      </c>
    </row>
    <row r="6">
      <c r="A6" s="14" t="inlineStr">
        <is>
          <t>KARAR</t>
        </is>
      </c>
      <c r="B6" s="20">
        <f>kik_kararMetni</f>
        <v/>
      </c>
    </row>
    <row r="7">
      <c r="A7" s="10" t="inlineStr">
        <is>
          <t>Gerekçe</t>
        </is>
      </c>
      <c r="B7" s="21">
        <f>kik_kararGerekce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Kapsam / matrah</t>
        </is>
      </c>
      <c r="C11" s="25">
        <f>IFERROR(MOTOR!G36,0)</f>
        <v/>
      </c>
      <c r="D11" s="21">
        <f>_xlfn.TEXTJOIN("; ",TRUE,"Kapsam yoğunluğu ",TEXT(C11,"0.0%")," — yüksekse birikim riski artar")</f>
        <v/>
      </c>
    </row>
    <row r="12" ht="28" customHeight="1">
      <c r="A12" s="23" t="inlineStr">
        <is>
          <t>T2</t>
        </is>
      </c>
      <c r="B12" s="24" t="inlineStr">
        <is>
          <t>Mevcut / potansiyel</t>
        </is>
      </c>
      <c r="C12" s="25">
        <f>IFERROR(MOTOR!G37,0)</f>
        <v/>
      </c>
      <c r="D12" s="21">
        <f>_xlfn.TEXTJOIN("; ",TRUE,"Karşılama ",TEXT(C12,"0.0%")," — 100% altı kaçırılan fırsat")</f>
        <v/>
      </c>
    </row>
    <row r="13" ht="28" customHeight="1">
      <c r="A13" s="23" t="inlineStr">
        <is>
          <t>O1</t>
        </is>
      </c>
      <c r="B13" s="24" t="inlineStr">
        <is>
          <t>Kaçırılan sapması</t>
        </is>
      </c>
      <c r="C13" s="26">
        <f>IFERROR(IF(COUNT(SENARYO!D6:D9)&lt;2,0,STDEV.P(SENARYO!D6:D9)),0)</f>
        <v/>
      </c>
      <c r="D13" s="21">
        <f>_xlfn.TEXTJOIN("; ",TRUE,"Senaryo kaçırılan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IFERROR(kik_duyarlilikSira,"-")</f>
        <v/>
      </c>
      <c r="D14" s="21">
        <f>IFERROR(kik_yorumDuyarlilik,"-")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IFERROR(kik_senaryoKarsilastirma,0)</f>
        <v/>
      </c>
      <c r="D15" s="21">
        <f>IFERROR(kik_yorumSenaryo,"-")</f>
        <v/>
      </c>
    </row>
    <row r="16" ht="28" customHeight="1">
      <c r="A16" s="23" t="inlineStr">
        <is>
          <t>O6</t>
        </is>
      </c>
      <c r="B16" s="24" t="inlineStr">
        <is>
          <t>5 puan payı</t>
        </is>
      </c>
      <c r="C16" s="25">
        <f>IFERROR(IF(kik_potansiyelTasarruf=0,0,MOTOR!G22/kik_potansiyelTasarruf),0)</f>
        <v/>
      </c>
      <c r="D16" s="21">
        <f>_xlfn.TEXTJOIN("; ",TRUE,"5 puan / potansiyel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kaçırılan</t>
        </is>
      </c>
      <c r="C18" s="26">
        <f>IFERROR(kik_kuralDegisimSenaryo,0)</f>
        <v/>
      </c>
      <c r="D18" s="21">
        <f>IFERROR(kik_yorumKuralDegisim,"-")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IFERROR(kik_tahminAralik,0)</f>
        <v/>
      </c>
      <c r="D19" s="21">
        <f>IFERROR(kik_yorumTahmin,"-")</f>
        <v/>
      </c>
    </row>
    <row r="20" ht="28" customHeight="1">
      <c r="A20" s="23" t="inlineStr">
        <is>
          <t>I2</t>
        </is>
      </c>
      <c r="B20" s="24" t="inlineStr">
        <is>
          <t>Senaryo kaçırılan P90</t>
        </is>
      </c>
      <c r="C20" s="26">
        <f>IFERROR(IF(COUNT(SENARYO!D6:D9)&lt;2,0,_xlfn.PERCENTILE.INC(SENARYO!D6:D9,kik_yuzdelikOran)),0)</f>
        <v/>
      </c>
      <c r="D20" s="2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5 puan</t>
        </is>
      </c>
      <c r="B24" s="29" t="n">
        <v>15000</v>
      </c>
      <c r="D24" s="28" t="inlineStr">
        <is>
          <t>Potansiyel</t>
        </is>
      </c>
      <c r="E24" s="29" t="n">
        <v>38150</v>
      </c>
    </row>
    <row r="25">
      <c r="A25" s="28" t="inlineStr">
        <is>
          <t>İlave istihdam</t>
        </is>
      </c>
      <c r="B25" s="29" t="n">
        <v>14500</v>
      </c>
      <c r="D25" s="28" t="inlineStr">
        <is>
          <t>Dayanak</t>
        </is>
      </c>
      <c r="E25" s="29" t="n">
        <v>10000</v>
      </c>
    </row>
    <row r="26">
      <c r="A26" s="28" t="inlineStr">
        <is>
          <t>Kadın/genç</t>
        </is>
      </c>
      <c r="B26" s="29" t="n">
        <v>2500</v>
      </c>
      <c r="D26" s="28" t="inlineStr">
        <is>
          <t>Kaçırılan</t>
        </is>
      </c>
      <c r="E26" s="29" t="n">
        <v>28150</v>
      </c>
    </row>
    <row r="27">
      <c r="A27" s="28" t="inlineStr">
        <is>
          <t>Kâr</t>
        </is>
      </c>
      <c r="B27" s="29" t="n">
        <v>6150</v>
      </c>
      <c r="D27" s="28" t="inlineStr">
        <is>
          <t>Yıllık kaçırılan</t>
        </is>
      </c>
      <c r="E27" s="29" t="n">
        <v>337800</v>
      </c>
    </row>
    <row r="28">
      <c r="A28" s="28" t="inlineStr">
        <is>
          <t>Potansiyel</t>
        </is>
      </c>
      <c r="B28" s="29" t="n">
        <v>38150</v>
      </c>
      <c r="D28" s="28" t="inlineStr">
        <is>
          <t>M-SEN potansiyel</t>
        </is>
      </c>
      <c r="E28" s="29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Kaçırılan</t>
        </is>
      </c>
      <c r="B31" s="29" t="n">
        <v>28150</v>
      </c>
    </row>
    <row r="32">
      <c r="A32" s="28" t="inlineStr">
        <is>
          <t>Potansiyel</t>
        </is>
      </c>
      <c r="B32" s="29" t="n">
        <v>38150</v>
      </c>
    </row>
    <row r="33">
      <c r="A33" s="28" t="inlineStr">
        <is>
          <t>Dayanak</t>
        </is>
      </c>
      <c r="B33" s="2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ISNUMBER(SEARCH("DİKKAT",B6))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&amp;LKİK Aşırı Düşük Savunma + Sınır Değer Paketi · PANO&amp;CExcelArşiv&amp;RSayfa &amp;P / &amp;N</oddFooter>
    <evenHeader/>
    <evenFooter>&amp;LKİK Aşırı Düşük Savunma + Sınır Değer Paketi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KİK Aşırı Düşük Savunma + Sınır Değer Paketi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Sınır ve sapma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İhale Numarası / Dönem</t>
        </is>
      </c>
      <c r="B7" s="31" t="inlineStr">
        <is>
          <t>2025-IH-014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Yaklaşık Maliyet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Teklif Tutarı [₺]</t>
        </is>
      </c>
      <c r="B10" s="33" t="n">
        <v>8200000</v>
      </c>
      <c r="C10" s="28" t="inlineStr">
        <is>
          <t>₺</t>
        </is>
      </c>
    </row>
    <row r="11">
      <c r="A11" s="7" t="inlineStr">
        <is>
          <t>İşçilik Maliyeti [₺]</t>
        </is>
      </c>
      <c r="B11" s="33" t="n">
        <v>3500000</v>
      </c>
      <c r="C11" s="28" t="inlineStr">
        <is>
          <t>₺</t>
        </is>
      </c>
    </row>
    <row r="12">
      <c r="A12" s="7" t="inlineStr">
        <is>
          <t>Malzeme Maliyeti [₺]</t>
        </is>
      </c>
      <c r="B12" s="33" t="n">
        <v>2800000</v>
      </c>
      <c r="C12" s="28" t="inlineStr">
        <is>
          <t>₺</t>
        </is>
      </c>
    </row>
    <row r="13">
      <c r="A13" s="7" t="inlineStr">
        <is>
          <t>Genel Gider [₺]</t>
        </is>
      </c>
      <c r="B13" s="33" t="n">
        <v>900000</v>
      </c>
      <c r="C13" s="28" t="inlineStr">
        <is>
          <t>₺</t>
        </is>
      </c>
    </row>
    <row r="14">
      <c r="A14" s="7" t="inlineStr">
        <is>
          <t>Kâr [₺]</t>
        </is>
      </c>
      <c r="B14" s="33" t="n">
        <v>700000</v>
      </c>
      <c r="C14" s="28" t="inlineStr">
        <is>
          <t>₺</t>
        </is>
      </c>
    </row>
    <row r="15">
      <c r="A15" s="7" t="inlineStr">
        <is>
          <t>Savunma Dayanak Adedi</t>
        </is>
      </c>
      <c r="B15" s="32" t="n">
        <v>6</v>
      </c>
      <c r="C15" s="28" t="inlineStr">
        <is>
          <t>adet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Aşırı Düşük Açık (ayna) [₺]</t>
        </is>
      </c>
      <c r="B18" s="34">
        <f>IFERROR(kik_potansiyelTasarruf,0)</f>
        <v/>
      </c>
    </row>
    <row r="19">
      <c r="A19" s="10" t="inlineStr">
        <is>
          <t>Giriş doluluk (kalite)</t>
        </is>
      </c>
      <c r="B19" s="35">
        <f>IFERROR(IF(OR(COUNTA(B6:B16)=0,kik_girisBeklenen=0),0,ROUND(COUNTA(B6:B16)/kik_girisBeklenen*100,0)),0)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ihale_adi</t>
        </is>
      </c>
      <c r="B24" s="36" t="inlineStr">
        <is>
          <t>Örnek Yol Yapım İhalesi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2025-IH-014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yaklasik_maliyet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teklif_tutari</t>
        </is>
      </c>
      <c r="B28" s="39" t="n">
        <v>8200000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iscilik</t>
        </is>
      </c>
      <c r="B29" s="39" t="n">
        <v>3500000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malzeme</t>
        </is>
      </c>
      <c r="B30" s="39" t="n">
        <v>2800000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genel_gider</t>
        </is>
      </c>
      <c r="B31" s="39" t="n">
        <v>900000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kar</t>
        </is>
      </c>
      <c r="B32" s="39" t="n">
        <v>700000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dayanak_adet</t>
        </is>
      </c>
      <c r="B33" s="38" t="n">
        <v>6</v>
      </c>
      <c r="C33" s="36" t="inlineStr">
        <is>
          <t>adet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sapma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Yaklaşık 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Teklif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İşçilik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Malzem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Genel Gider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âr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Dayana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Yaklaşık Maliyet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Teklif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İşçilik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Malzem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Genel Gider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âr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Dayanak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KİK Aşırı Düşük Savunma + Sınır Değer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KIK-001</t>
        </is>
      </c>
      <c r="B7" s="7" t="inlineStr">
        <is>
          <t>KİK sınır N</t>
        </is>
      </c>
      <c r="C7" s="7" t="inlineStr">
        <is>
          <t>sinir_katsayi</t>
        </is>
      </c>
      <c r="D7" s="7" t="inlineStr">
        <is>
          <t>yaklasik&gt;0</t>
        </is>
      </c>
      <c r="E7" s="7" t="inlineStr">
        <is>
          <t>sinir_katsayi</t>
        </is>
      </c>
      <c r="F7" s="43" t="n">
        <v>0.9</v>
      </c>
      <c r="G7" s="43" t="n">
        <v>0.9</v>
      </c>
      <c r="H7" s="43" t="n">
        <v>0.88</v>
      </c>
      <c r="I7" s="7" t="inlineStr">
        <is>
          <t>01.01.2025</t>
        </is>
      </c>
      <c r="J7" s="7" t="inlineStr">
        <is>
          <t>KİK sınır değer N</t>
        </is>
      </c>
      <c r="K7" s="37">
        <f>IF($A7="","",IFERROR(CHOOSE(MAX(1,MIN(3,IF(OR(hesapYili="",hesapYili=0),1,hesapYili-kik_yilTaban))),$F7,$G7,$H7),0))</f>
        <v/>
      </c>
    </row>
    <row r="8">
      <c r="A8" s="7" t="inlineStr">
        <is>
          <t>KIK-002</t>
        </is>
      </c>
      <c r="B8" s="7" t="inlineStr">
        <is>
          <t>Savunulabilir</t>
        </is>
      </c>
      <c r="C8" s="7" t="inlineStr">
        <is>
          <t>savunulabilir_sapma</t>
        </is>
      </c>
      <c r="D8" s="7" t="inlineStr">
        <is>
          <t>sapma hesap</t>
        </is>
      </c>
      <c r="E8" s="7" t="inlineStr">
        <is>
          <t>savunulabilir_sapma</t>
        </is>
      </c>
      <c r="F8" s="43" t="n">
        <v>0.05</v>
      </c>
      <c r="G8" s="43" t="n">
        <v>0.05</v>
      </c>
      <c r="H8" s="43" t="n">
        <v>0.06</v>
      </c>
      <c r="I8" s="7" t="inlineStr">
        <is>
          <t>01.01.2025</t>
        </is>
      </c>
      <c r="J8" s="7" t="inlineStr">
        <is>
          <t>Savunulabilir sapma eşiği</t>
        </is>
      </c>
      <c r="K8" s="37">
        <f>IF($A8="","",IFERROR(CHOOSE(MAX(1,MIN(3,IF(OR(hesapYili="",hesapYili=0),1,hesapYili-kik_yilTaban))),$F8,$G8,$H8),0))</f>
        <v/>
      </c>
    </row>
    <row r="9">
      <c r="A9" s="7" t="inlineStr">
        <is>
          <t>KIK-003</t>
        </is>
      </c>
      <c r="B9" s="7" t="inlineStr">
        <is>
          <t>İncele</t>
        </is>
      </c>
      <c r="C9" s="7" t="inlineStr">
        <is>
          <t>incele_sapma</t>
        </is>
      </c>
      <c r="D9" s="7" t="inlineStr">
        <is>
          <t>sapma hesap</t>
        </is>
      </c>
      <c r="E9" s="7" t="inlineStr">
        <is>
          <t>incele_sapma</t>
        </is>
      </c>
      <c r="F9" s="43" t="n">
        <v>0.12</v>
      </c>
      <c r="G9" s="43" t="n">
        <v>0.12</v>
      </c>
      <c r="H9" s="43" t="n">
        <v>0.13</v>
      </c>
      <c r="I9" s="7" t="inlineStr">
        <is>
          <t>01.01.2025</t>
        </is>
      </c>
      <c r="J9" s="7" t="inlineStr">
        <is>
          <t>İnceleme sapma eşiği</t>
        </is>
      </c>
      <c r="K9" s="37">
        <f>IF($A9="","",IFERROR(CHOOSE(MAX(1,MIN(3,IF(OR(hesapYili="",hesapYili=0),1,hesapYili-kik_yilTaban))),$F9,$G9,$H9),0))</f>
        <v/>
      </c>
    </row>
    <row r="10">
      <c r="A10" s="7" t="inlineStr">
        <is>
          <t>KIK-004</t>
        </is>
      </c>
      <c r="B10" s="7" t="inlineStr">
        <is>
          <t>Riskli</t>
        </is>
      </c>
      <c r="C10" s="7" t="inlineStr">
        <is>
          <t>riskli_sapma</t>
        </is>
      </c>
      <c r="D10" s="7" t="inlineStr">
        <is>
          <t>sapma hesap</t>
        </is>
      </c>
      <c r="E10" s="7" t="inlineStr">
        <is>
          <t>riskli_sapma</t>
        </is>
      </c>
      <c r="F10" s="43" t="n">
        <v>0.2</v>
      </c>
      <c r="G10" s="43" t="n">
        <v>0.2</v>
      </c>
      <c r="H10" s="43" t="n">
        <v>0.22</v>
      </c>
      <c r="I10" s="7" t="inlineStr">
        <is>
          <t>01.01.2025</t>
        </is>
      </c>
      <c r="J10" s="7" t="inlineStr">
        <is>
          <t>Riskli sapma eşiği</t>
        </is>
      </c>
      <c r="K10" s="37">
        <f>IF($A10="","",IFERROR(CHOOSE(MAX(1,MIN(3,IF(OR(hesapYili="",hesapYili=0),1,hesapYili-kik_yilTaban))),$F10,$G10,$H10),0))</f>
        <v/>
      </c>
    </row>
    <row r="11">
      <c r="A11" s="7" t="inlineStr">
        <is>
          <t>KIK-005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N katsayısı (aktif yıl)</t>
        </is>
      </c>
      <c r="B15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16">
      <c r="A16" s="7" t="inlineStr">
        <is>
          <t>Savunulabilir sapma (aktif yıl)</t>
        </is>
      </c>
      <c r="B16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7">
      <c r="A17" s="7" t="inlineStr">
        <is>
          <t>Matris metni</t>
        </is>
      </c>
      <c r="B17" s="21">
        <f>IFERROR(_xlfn.TEXTJOIN(" | ",TRUE,"KIK-001=",TEXT(B15,"0.00"),"KIK-002=",TEXT(B16,"0.0%"),"yıl=",IF(OR(hesapYili="",hesapYili=0),"-",hesapYili)),"-")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KİK Aşırı Düşük Savunma + Sınır Değer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KIK-005</t>
        </is>
      </c>
      <c r="G7" s="35">
        <f>IFERROR(hesapYili,0)</f>
        <v/>
      </c>
    </row>
    <row r="8">
      <c r="A8" s="45" t="n">
        <v>2</v>
      </c>
      <c r="B8" s="24" t="inlineStr">
        <is>
          <t>N katsayısı</t>
        </is>
      </c>
      <c r="C8" s="48">
        <f>IFERROR(INDEX(CHOOSE(MAX(1,MIN(3,IF(OR(hesapYili="",hesapYili=0),1,hesapYili-kik_yilTaban))),tblKurallar[deger_2025],tblKurallar[deger_2026],tblKurallar[deger_2027]),MATCH("KIK-001",tblKurallar[kural_id],0)),0)</f>
        <v/>
      </c>
      <c r="D8" s="47" t="inlineStr">
        <is>
          <t>oran</t>
        </is>
      </c>
      <c r="E8" s="6" t="inlineStr">
        <is>
          <t>Sınır değer N</t>
        </is>
      </c>
      <c r="F8" s="23" t="inlineStr">
        <is>
          <t>KIK-001</t>
        </is>
      </c>
      <c r="G8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9">
      <c r="A9" s="45" t="n">
        <v>3</v>
      </c>
      <c r="B9" s="24" t="inlineStr">
        <is>
          <t>Savunulabilir sapma</t>
        </is>
      </c>
      <c r="C9" s="48">
        <f>IFERROR(INDEX(CHOOSE(MAX(1,MIN(3,IF(OR(hesapYili="",hesapYili=0),1,hesapYili-kik_yilTaban))),tblKurallar[deger_2025],tblKurallar[deger_2026],tblKurallar[deger_2027]),MATCH("KIK-002",tblKurallar[kural_id],0)),0)</f>
        <v/>
      </c>
      <c r="D9" s="47" t="inlineStr">
        <is>
          <t>oran</t>
        </is>
      </c>
      <c r="E9" s="6" t="inlineStr">
        <is>
          <t>Savunulabilir eşik</t>
        </is>
      </c>
      <c r="F9" s="23" t="inlineStr">
        <is>
          <t>KIK-002</t>
        </is>
      </c>
      <c r="G9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0">
      <c r="A10" s="45" t="n">
        <v>4</v>
      </c>
      <c r="B10" s="24" t="inlineStr">
        <is>
          <t>İncele sapma</t>
        </is>
      </c>
      <c r="C10" s="48">
        <f>IFERROR(INDEX(CHOOSE(MAX(1,MIN(3,IF(OR(hesapYili="",hesapYili=0),1,hesapYili-kik_yilTaban))),tblKurallar[deger_2025],tblKurallar[deger_2026],tblKurallar[deger_2027]),MATCH("KIK-003",tblKurallar[kural_id],0)),0)</f>
        <v/>
      </c>
      <c r="D10" s="47" t="inlineStr">
        <is>
          <t>oran</t>
        </is>
      </c>
      <c r="E10" s="6" t="inlineStr">
        <is>
          <t>İnceleme eşiği</t>
        </is>
      </c>
      <c r="F10" s="23" t="inlineStr">
        <is>
          <t>KIK-003</t>
        </is>
      </c>
      <c r="G10" s="25">
        <f>IFERROR(INDEX(CHOOSE(MAX(1,MIN(3,IF(OR(hesapYili="",hesapYili=0),1,hesapYili-kik_yilTaban))),tblKurallar[deger_2025],tblKurallar[deger_2026],tblKurallar[deger_2027]),MATCH("KIK-003",tblKurallar[kural_id],0)),0)</f>
        <v/>
      </c>
    </row>
    <row r="11">
      <c r="A11" s="45" t="n">
        <v>5</v>
      </c>
      <c r="B11" s="24" t="inlineStr">
        <is>
          <t>Riskli sapma</t>
        </is>
      </c>
      <c r="C11" s="48">
        <f>IFERROR(INDEX(CHOOSE(MAX(1,MIN(3,IF(OR(hesapYili="",hesapYili=0),1,hesapYili-kik_yilTaban))),tblKurallar[deger_2025],tblKurallar[deger_2026],tblKurallar[deger_2027]),MATCH("KIK-004",tblKurallar[kural_id],0)),0)</f>
        <v/>
      </c>
      <c r="D11" s="47" t="inlineStr">
        <is>
          <t>oran</t>
        </is>
      </c>
      <c r="E11" s="6" t="inlineStr">
        <is>
          <t>Riskli eşik</t>
        </is>
      </c>
      <c r="F11" s="23" t="inlineStr">
        <is>
          <t>KIK-004</t>
        </is>
      </c>
      <c r="G11" s="25">
        <f>IFERROR(INDEX(CHOOSE(MAX(1,MIN(3,IF(OR(hesapYili="",hesapYili=0),1,hesapYili-kik_yilTaban))),tblKurallar[deger_2025],tblKurallar[deger_2026],tblKurallar[deger_2027]),MATCH("KIK-004",tblKurallar[kural_id],0)),0)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IFERROR(INDEX(CHOOSE(MAX(1,MIN(3,IF(OR(hesapYili="",hesapYili=0),1,hesapYili-kik_yilTaban))),tblKurallar[deger_2025],tblKurallar[deger_2026],tblKurallar[deger_2027]),MATCH("KIK-005",tblKurallar[kural_id],0)),0)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KIK-005</t>
        </is>
      </c>
      <c r="G12" s="35">
        <f>IFERROR(INDEX(CHOOSE(MAX(1,MIN(3,IF(OR(hesapYili="",hesapYili=0),1,hesapYili-kik_yilTaban))),tblKurallar[deger_2025],tblKurallar[deger_2026],tblKurallar[deger_2027]),MATCH("KIK-005",tblKurallar[kural_id],0)),0)</f>
        <v/>
      </c>
    </row>
    <row r="13">
      <c r="A13" s="45" t="n">
        <v>7</v>
      </c>
      <c r="B13" s="24" t="inlineStr">
        <is>
          <t>Yaklaşık maliyet</t>
        </is>
      </c>
      <c r="C13" s="49">
        <f>IFERROR(GIRDI!B9,0)</f>
        <v/>
      </c>
      <c r="D13" s="47" t="inlineStr">
        <is>
          <t>TL</t>
        </is>
      </c>
      <c r="E13" s="6" t="inlineStr">
        <is>
          <t>Yaklaşık maliyet</t>
        </is>
      </c>
      <c r="F13" s="23" t="inlineStr">
        <is>
          <t>KIK-001</t>
        </is>
      </c>
      <c r="G13" s="26">
        <f>IFERROR(GIRDI!B9,0)</f>
        <v/>
      </c>
    </row>
    <row r="14">
      <c r="A14" s="45" t="n">
        <v>8</v>
      </c>
      <c r="B14" s="24" t="inlineStr">
        <is>
          <t>Teklif tutarı</t>
        </is>
      </c>
      <c r="C14" s="49">
        <f>IFERROR(GIRDI!B10,0)</f>
        <v/>
      </c>
      <c r="D14" s="47" t="inlineStr">
        <is>
          <t>TL</t>
        </is>
      </c>
      <c r="E14" s="6" t="inlineStr">
        <is>
          <t>Sunulan teklif</t>
        </is>
      </c>
      <c r="F14" s="23" t="inlineStr">
        <is>
          <t>KIK-001</t>
        </is>
      </c>
      <c r="G14" s="26">
        <f>IFERROR(GIRDI!B10,0)</f>
        <v/>
      </c>
    </row>
    <row r="15">
      <c r="A15" s="45" t="n">
        <v>9</v>
      </c>
      <c r="B15" s="24" t="inlineStr">
        <is>
          <t>İşçilik</t>
        </is>
      </c>
      <c r="C15" s="49">
        <f>IFERROR(GIRDI!B11,0)</f>
        <v/>
      </c>
      <c r="D15" s="47" t="inlineStr">
        <is>
          <t>TL</t>
        </is>
      </c>
      <c r="E15" s="6" t="inlineStr">
        <is>
          <t>İşçilik maliyeti</t>
        </is>
      </c>
      <c r="F15" s="23" t="inlineStr">
        <is>
          <t>KIK-005</t>
        </is>
      </c>
      <c r="G15" s="26">
        <f>IFERROR(GIRDI!B11,0)</f>
        <v/>
      </c>
    </row>
    <row r="16">
      <c r="A16" s="45" t="n">
        <v>10</v>
      </c>
      <c r="B16" s="24" t="inlineStr">
        <is>
          <t>Malzeme</t>
        </is>
      </c>
      <c r="C16" s="49">
        <f>IFERROR(GIRDI!B12,0)</f>
        <v/>
      </c>
      <c r="D16" s="47" t="inlineStr">
        <is>
          <t>TL</t>
        </is>
      </c>
      <c r="E16" s="6" t="inlineStr">
        <is>
          <t>Malzeme maliyeti</t>
        </is>
      </c>
      <c r="F16" s="23" t="inlineStr">
        <is>
          <t>KIK-005</t>
        </is>
      </c>
      <c r="G16" s="26">
        <f>IFERROR(GIRDI!B12,0)</f>
        <v/>
      </c>
    </row>
    <row r="17">
      <c r="A17" s="45" t="n">
        <v>11</v>
      </c>
      <c r="B17" s="24" t="inlineStr">
        <is>
          <t>Genel gider</t>
        </is>
      </c>
      <c r="C17" s="49">
        <f>IFERROR(GIRDI!B13,0)</f>
        <v/>
      </c>
      <c r="D17" s="47" t="inlineStr">
        <is>
          <t>TL</t>
        </is>
      </c>
      <c r="E17" s="6" t="inlineStr">
        <is>
          <t>Genel gider</t>
        </is>
      </c>
      <c r="F17" s="23" t="inlineStr">
        <is>
          <t>KIK-005</t>
        </is>
      </c>
      <c r="G17" s="26">
        <f>IFERROR(GIRDI!B13,0)</f>
        <v/>
      </c>
    </row>
    <row r="18">
      <c r="A18" s="45" t="n">
        <v>12</v>
      </c>
      <c r="B18" s="24" t="inlineStr">
        <is>
          <t>Kâr</t>
        </is>
      </c>
      <c r="C18" s="49">
        <f>IFERROR(GIRDI!B14,0)</f>
        <v/>
      </c>
      <c r="D18" s="47" t="inlineStr">
        <is>
          <t>TL</t>
        </is>
      </c>
      <c r="E18" s="6" t="inlineStr">
        <is>
          <t>Kâr tutarı</t>
        </is>
      </c>
      <c r="F18" s="23" t="inlineStr">
        <is>
          <t>KIK-005</t>
        </is>
      </c>
      <c r="G18" s="26">
        <f>IFERROR(GIRDI!B14,0)</f>
        <v/>
      </c>
    </row>
    <row r="19">
      <c r="A19" s="45" t="n">
        <v>13</v>
      </c>
      <c r="B19" s="24" t="inlineStr">
        <is>
          <t>Dayanak adedi</t>
        </is>
      </c>
      <c r="C19" s="46">
        <f>IFERROR(GIRDI!B15,0)</f>
        <v/>
      </c>
      <c r="D19" s="47" t="inlineStr">
        <is>
          <t>adet</t>
        </is>
      </c>
      <c r="E19" s="6" t="inlineStr">
        <is>
          <t>Savunma dayanak sayısı</t>
        </is>
      </c>
      <c r="F19" s="23" t="inlineStr">
        <is>
          <t>KIK-005</t>
        </is>
      </c>
      <c r="G19" s="35">
        <f>IFERROR(GIRDI!B15,0)</f>
        <v/>
      </c>
    </row>
    <row r="20">
      <c r="A20" s="45" t="n">
        <v>14</v>
      </c>
      <c r="B20" s="24" t="inlineStr">
        <is>
          <t>N efektif</t>
        </is>
      </c>
      <c r="C20" s="48">
        <f>IFERROR(IF(GIRDI!B16="B",MAX(0,G8-kik_oranArtisPuan),G8),0)</f>
        <v/>
      </c>
      <c r="D20" s="47" t="inlineStr">
        <is>
          <t>oran</t>
        </is>
      </c>
      <c r="E20" s="6" t="inlineStr">
        <is>
          <t>Yorum A/B N</t>
        </is>
      </c>
      <c r="F20" s="23" t="inlineStr">
        <is>
          <t>KIK-001</t>
        </is>
      </c>
      <c r="G20" s="25">
        <f>IFERROR(IF(GIRDI!B16="B",MAX(0,G8-kik_oranArtisPuan),G8),0)</f>
        <v/>
      </c>
    </row>
    <row r="21">
      <c r="A21" s="45" t="n">
        <v>15</v>
      </c>
      <c r="B21" s="24" t="inlineStr">
        <is>
          <t>Sınır değer</t>
        </is>
      </c>
      <c r="C21" s="49">
        <f>IFERROR(ROUND(G13*G20,MAX(0,MIN(kik_yuvarMax,IFERROR(N(G12),0)))),0)</f>
        <v/>
      </c>
      <c r="D21" s="47" t="inlineStr">
        <is>
          <t>TL</t>
        </is>
      </c>
      <c r="E21" s="6" t="inlineStr">
        <is>
          <t>Yaklaşık × N</t>
        </is>
      </c>
      <c r="F21" s="23" t="inlineStr">
        <is>
          <t>KIK-001</t>
        </is>
      </c>
      <c r="G21" s="26">
        <f>IFERROR(ROUND(G13*G20,MAX(0,MIN(kik_yuvarMax,IFERROR(N(G12),0)))),0)</f>
        <v/>
      </c>
    </row>
    <row r="22">
      <c r="A22" s="45" t="n">
        <v>16</v>
      </c>
      <c r="B22" s="24" t="inlineStr">
        <is>
          <t>Maliyet toplam</t>
        </is>
      </c>
      <c r="C22" s="49">
        <f>IFERROR(G15+G16+G17+G18,0)</f>
        <v/>
      </c>
      <c r="D22" s="47" t="inlineStr">
        <is>
          <t>TL</t>
        </is>
      </c>
      <c r="E22" s="6" t="inlineStr">
        <is>
          <t>Kırılım toplamı</t>
        </is>
      </c>
      <c r="F22" s="23" t="inlineStr">
        <is>
          <t>KIK-005</t>
        </is>
      </c>
      <c r="G22" s="26">
        <f>IFERROR(G15+G16+G17+G18,0)</f>
        <v/>
      </c>
    </row>
    <row r="23">
      <c r="A23" s="45" t="n">
        <v>17</v>
      </c>
      <c r="B23" s="24" t="inlineStr">
        <is>
          <t>Sapma tutarı (ham)</t>
        </is>
      </c>
      <c r="C23" s="49">
        <f>IFERROR(G21-G14,0)</f>
        <v/>
      </c>
      <c r="D23" s="47" t="inlineStr">
        <is>
          <t>TL</t>
        </is>
      </c>
      <c r="E23" s="6" t="inlineStr">
        <is>
          <t>Sınır − teklif</t>
        </is>
      </c>
      <c r="F23" s="23" t="inlineStr">
        <is>
          <t>KIK-001</t>
        </is>
      </c>
      <c r="G23" s="26">
        <f>IFERROR(G21-G14,0)</f>
        <v/>
      </c>
    </row>
    <row r="24">
      <c r="A24" s="45" t="n">
        <v>18</v>
      </c>
      <c r="B24" s="24" t="inlineStr">
        <is>
          <t>Aşırı düşük açık</t>
        </is>
      </c>
      <c r="C24" s="49">
        <f>IFERROR(MAX(0,G23),0)</f>
        <v/>
      </c>
      <c r="D24" s="47" t="inlineStr">
        <is>
          <t>TL</t>
        </is>
      </c>
      <c r="E24" s="6" t="inlineStr">
        <is>
          <t>Pozitif açık</t>
        </is>
      </c>
      <c r="F24" s="23" t="inlineStr">
        <is>
          <t>KIK-001</t>
        </is>
      </c>
      <c r="G24" s="26">
        <f>IFERROR(MAX(0,G23),0)</f>
        <v/>
      </c>
    </row>
    <row r="25">
      <c r="A25" s="45" t="n">
        <v>19</v>
      </c>
      <c r="B25" s="24" t="inlineStr">
        <is>
          <t>Sapma oranı</t>
        </is>
      </c>
      <c r="C25" s="48">
        <f>IFERROR(IF(G21=0,0,G23/G21),0)</f>
        <v/>
      </c>
      <c r="D25" s="47" t="inlineStr">
        <is>
          <t>oran</t>
        </is>
      </c>
      <c r="E25" s="6" t="inlineStr">
        <is>
          <t>(Sınır−teklif)/sınır</t>
        </is>
      </c>
      <c r="F25" s="23" t="inlineStr">
        <is>
          <t>KIK-002</t>
        </is>
      </c>
      <c r="G25" s="25">
        <f>IFERROR(IF(G21=0,0,G23/G21),0)</f>
        <v/>
      </c>
    </row>
    <row r="26">
      <c r="A26" s="45" t="n">
        <v>20</v>
      </c>
      <c r="B26" s="24" t="inlineStr">
        <is>
          <t>Maliyet / teklif</t>
        </is>
      </c>
      <c r="C26" s="48">
        <f>IFERROR(IF(G14=0,0,G22/G14),0)</f>
        <v/>
      </c>
      <c r="D26" s="47" t="inlineStr">
        <is>
          <t>oran</t>
        </is>
      </c>
      <c r="E26" s="6" t="inlineStr">
        <is>
          <t>Maliyet yoğunluğu</t>
        </is>
      </c>
      <c r="F26" s="23" t="inlineStr">
        <is>
          <t>KIK-005</t>
        </is>
      </c>
      <c r="G26" s="25">
        <f>IFERROR(IF(G14=0,0,G22/G14),0)</f>
        <v/>
      </c>
    </row>
    <row r="27">
      <c r="A27" s="45" t="n">
        <v>21</v>
      </c>
      <c r="B27" s="24" t="inlineStr">
        <is>
          <t>Dayanak skoru</t>
        </is>
      </c>
      <c r="C27" s="46">
        <f>IFERROR(MIN(100,G19*kik_dayanakCarpan),0)</f>
        <v/>
      </c>
      <c r="D27" s="47" t="inlineStr">
        <is>
          <t>puan</t>
        </is>
      </c>
      <c r="E27" s="6" t="inlineStr">
        <is>
          <t>Dayanak kalitesi</t>
        </is>
      </c>
      <c r="F27" s="23" t="inlineStr">
        <is>
          <t>KIK-005</t>
        </is>
      </c>
      <c r="G27" s="35">
        <f>IFERROR(MIN(100,G19*kik_dayanakCarpan),0)</f>
        <v/>
      </c>
    </row>
    <row r="28">
      <c r="A28" s="45" t="n">
        <v>22</v>
      </c>
      <c r="B28" s="24" t="inlineStr">
        <is>
          <t>Potansiyel / açık</t>
        </is>
      </c>
      <c r="C28" s="49">
        <f>IFERROR(G24,0)</f>
        <v/>
      </c>
      <c r="D28" s="47" t="inlineStr">
        <is>
          <t>TL</t>
        </is>
      </c>
      <c r="E28" s="6" t="inlineStr">
        <is>
          <t>Aşırı düşük açık (G28)</t>
        </is>
      </c>
      <c r="F28" s="23" t="inlineStr">
        <is>
          <t>KIK-001</t>
        </is>
      </c>
      <c r="G28" s="26">
        <f>IFERROR(G24,0)</f>
        <v/>
      </c>
    </row>
    <row r="29">
      <c r="A29" s="45" t="n">
        <v>23</v>
      </c>
      <c r="B29" s="24" t="inlineStr">
        <is>
          <t>Açık (ham kopya)</t>
        </is>
      </c>
      <c r="C29" s="49">
        <f>IFERROR(G28,0)</f>
        <v/>
      </c>
      <c r="D29" s="47" t="inlineStr">
        <is>
          <t>TL</t>
        </is>
      </c>
      <c r="E29" s="6" t="inlineStr">
        <is>
          <t>Ayna</t>
        </is>
      </c>
      <c r="F29" s="23" t="inlineStr">
        <is>
          <t>KIK-001</t>
        </is>
      </c>
      <c r="G29" s="26">
        <f>IFERROR(G28,0)</f>
        <v/>
      </c>
    </row>
    <row r="30">
      <c r="A30" s="45" t="n">
        <v>24</v>
      </c>
      <c r="B30" s="24" t="inlineStr">
        <is>
          <t>Kaçırılan / açık</t>
        </is>
      </c>
      <c r="C30" s="49">
        <f>IFERROR(G24,0)</f>
        <v/>
      </c>
      <c r="D30" s="47" t="inlineStr">
        <is>
          <t>TL</t>
        </is>
      </c>
      <c r="E30" s="6" t="inlineStr">
        <is>
          <t>Karar için açık</t>
        </is>
      </c>
      <c r="F30" s="23" t="inlineStr">
        <is>
          <t>KIK-001</t>
        </is>
      </c>
      <c r="G30" s="26">
        <f>IFERROR(G24,0)</f>
        <v/>
      </c>
    </row>
    <row r="31">
      <c r="A31" s="45" t="n">
        <v>25</v>
      </c>
      <c r="B31" s="24" t="inlineStr">
        <is>
          <t>Sınır iyimser</t>
        </is>
      </c>
      <c r="C31" s="49">
        <f>IFERROR(ROUND(G13*G8*kik_senaryoIyi,MAX(0,MIN(kik_yuvarMax,IFERROR(N(G12),0)))),0)</f>
        <v/>
      </c>
      <c r="D31" s="47" t="inlineStr">
        <is>
          <t>TL</t>
        </is>
      </c>
      <c r="E31" s="6" t="inlineStr">
        <is>
          <t>İyimser sınır</t>
        </is>
      </c>
      <c r="F31" s="23" t="inlineStr">
        <is>
          <t>KIK-001</t>
        </is>
      </c>
      <c r="G31" s="26">
        <f>IFERROR(ROUND(G13*G8*kik_senaryoIyi,MAX(0,MIN(kik_yuvarMax,IFERROR(N(G12),0)))),0)</f>
        <v/>
      </c>
    </row>
    <row r="32">
      <c r="A32" s="45" t="n">
        <v>26</v>
      </c>
      <c r="B32" s="24" t="inlineStr">
        <is>
          <t>Sınır kötümser</t>
        </is>
      </c>
      <c r="C32" s="49">
        <f>IFERROR(ROUND(G13*G8*kik_senaryoKotu,MAX(0,MIN(kik_yuvarMax,IFERROR(N(G12),0)))),0)</f>
        <v/>
      </c>
      <c r="D32" s="47" t="inlineStr">
        <is>
          <t>TL</t>
        </is>
      </c>
      <c r="E32" s="6" t="inlineStr">
        <is>
          <t>Kötümser sınır</t>
        </is>
      </c>
      <c r="F32" s="23" t="inlineStr">
        <is>
          <t>KIK-001</t>
        </is>
      </c>
      <c r="G32" s="26">
        <f>IFERROR(ROUND(G13*G8*kik_senaryoKotu,MAX(0,MIN(kik_yuvarMax,IFERROR(N(G12),0)))),0)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Anahtarı])=0,"VERI_YOK",IF(G14&gt;=G21,"TAM",IF(G25&lt;=G9,"SAVUN",IF(G25&lt;=G10,"INCELE","RISK")))),"")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KIK-005</t>
        </is>
      </c>
      <c r="G33" s="27">
        <f>IFERROR(IF(COUNTA(tblGirdi[Alan Anahtarı])=0,"VERI_YOK",IF(G14&gt;=G21,"TAM",IF(G25&lt;=G9,"SAVUN",IF(G25&lt;=G10,"INCELE","RISK")))),"")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YOK",IF(G33="TAM","SAVUNULABİLİR",IF(G33="SAVUN","SAVUNULABİLİR",IF(G33="INCELE","İNCELE","RİSKLİ")))),"")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KIK-005</t>
        </is>
      </c>
      <c r="G34" s="27">
        <f>IFERROR(IF(G33="VERI_YOK","VERİ YOK",IF(G33="TAM","SAVUNULABİLİR",IF(G33="SAVUN","SAVUNULABİLİR",IF(G33="INCELE","İNCELE","RİSKLİ")))),"")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KIK-005</t>
        </is>
      </c>
      <c r="G35" s="27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</row>
    <row r="36">
      <c r="A36" s="45" t="n">
        <v>30</v>
      </c>
      <c r="B36" s="24" t="inlineStr">
        <is>
          <t>Teklif / sınır</t>
        </is>
      </c>
      <c r="C36" s="48">
        <f>IFERROR(IF(G21=0,0,G14/G21),0)</f>
        <v/>
      </c>
      <c r="D36" s="47" t="inlineStr">
        <is>
          <t>oran</t>
        </is>
      </c>
      <c r="E36" s="6" t="inlineStr">
        <is>
          <t>Teklif oranı</t>
        </is>
      </c>
      <c r="F36" s="23" t="inlineStr">
        <is>
          <t>KIK-001</t>
        </is>
      </c>
      <c r="G36" s="25">
        <f>IFERROR(IF(G21=0,0,G14/G21),0)</f>
        <v/>
      </c>
    </row>
    <row r="37">
      <c r="A37" s="45" t="n">
        <v>31</v>
      </c>
      <c r="B37" s="24" t="inlineStr">
        <is>
          <t>Açık / sınır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Açık oranı</t>
        </is>
      </c>
      <c r="F37" s="23" t="inlineStr">
        <is>
          <t>KIK-001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IFERROR(ROUND(IF(OR(COUNTA(GIRDI!B6:B16)=0,kik_girisBeklenen=0),0,COUNTA(GIRDI!B6:B16)/kik_girisBeklenen*100),0),0)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KIK-005</t>
        </is>
      </c>
      <c r="G38" s="35">
        <f>IFERROR(ROUND(IF(OR(COUNTA(GIRDI!B6:B16)=0,kik_girisBeklenen=0),0,COUNTA(GIRDI!B6:B16)/kik_girisBeklenen*100),0),0)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IFERROR(IF(G33="VERI_YOK",0,IF(OR(G33="TAM",G33="SAVUN"),kik_riskDusuk,IF(G33="INCELE",kik_riskOrta,kik_riskYuksek))),0)</f>
        <v/>
      </c>
      <c r="D39" s="47" t="inlineStr">
        <is>
          <t>puan</t>
        </is>
      </c>
      <c r="E39" s="6" t="inlineStr">
        <is>
          <t>Sapma riski</t>
        </is>
      </c>
      <c r="F39" s="23" t="inlineStr">
        <is>
          <t>KIK-005</t>
        </is>
      </c>
      <c r="G39" s="35">
        <f>IFERROR(IF(G33="VERI_YOK",0,IF(OR(G33="TAM",G33="SAVUN"),kik_riskDusuk,IF(G33="INCELE",kik_riskOrta,kik_riskYuksek))),0)</f>
        <v/>
      </c>
    </row>
    <row r="40">
      <c r="A40" s="45" t="n">
        <v>34</v>
      </c>
      <c r="B40" s="24" t="inlineStr">
        <is>
          <t>Senaryo iyimser teklif</t>
        </is>
      </c>
      <c r="C40" s="49">
        <f>IFERROR(G14*kik_senaryoIyi,0)</f>
        <v/>
      </c>
      <c r="D40" s="47" t="inlineStr">
        <is>
          <t>TL</t>
        </is>
      </c>
      <c r="E40" s="6" t="inlineStr">
        <is>
          <t>İyimser teklif</t>
        </is>
      </c>
      <c r="F40" s="23" t="inlineStr">
        <is>
          <t>KIK-001</t>
        </is>
      </c>
      <c r="G40" s="26">
        <f>IFERROR(G14*kik_senaryoIyi,0)</f>
        <v/>
      </c>
    </row>
    <row r="41">
      <c r="A41" s="45" t="n">
        <v>35</v>
      </c>
      <c r="B41" s="24" t="inlineStr">
        <is>
          <t>Senaryo kötümser teklif</t>
        </is>
      </c>
      <c r="C41" s="49">
        <f>IFERROR(G14*kik_senaryoKotu,0)</f>
        <v/>
      </c>
      <c r="D41" s="47" t="inlineStr">
        <is>
          <t>TL</t>
        </is>
      </c>
      <c r="E41" s="6" t="inlineStr">
        <is>
          <t>Kötümser teklif</t>
        </is>
      </c>
      <c r="F41" s="23" t="inlineStr">
        <is>
          <t>KIK-001</t>
        </is>
      </c>
      <c r="G41" s="26">
        <f>IFERROR(G14*kik_senaryoKotu,0)</f>
        <v/>
      </c>
    </row>
    <row r="42">
      <c r="A42" s="45" t="n">
        <v>36</v>
      </c>
      <c r="B42" s="24" t="inlineStr">
        <is>
          <t>İyimser açık</t>
        </is>
      </c>
      <c r="C42" s="49">
        <f>IFERROR(ROUND(MAX(0,G31-G40),MAX(0,MIN(kik_yuvarMax,IFERROR(N(G12),0)))),0)</f>
        <v/>
      </c>
      <c r="D42" s="47" t="inlineStr">
        <is>
          <t>TL</t>
        </is>
      </c>
      <c r="E42" s="6" t="inlineStr">
        <is>
          <t>İyimser açık</t>
        </is>
      </c>
      <c r="F42" s="23" t="inlineStr">
        <is>
          <t>KIK-001</t>
        </is>
      </c>
      <c r="G42" s="26">
        <f>IFERROR(ROUND(MAX(0,G31-G40),MAX(0,MIN(kik_yuvarMax,IFERROR(N(G12),0)))),0)</f>
        <v/>
      </c>
    </row>
    <row r="43">
      <c r="A43" s="45" t="n">
        <v>37</v>
      </c>
      <c r="B43" s="24" t="inlineStr">
        <is>
          <t>Kötümser açık</t>
        </is>
      </c>
      <c r="C43" s="49">
        <f>IFERROR(ROUND(MAX(0,G32-G41),MAX(0,MIN(kik_yuvarMax,IFERROR(N(G12),0)))),0)</f>
        <v/>
      </c>
      <c r="D43" s="47" t="inlineStr">
        <is>
          <t>TL</t>
        </is>
      </c>
      <c r="E43" s="6" t="inlineStr">
        <is>
          <t>Kötümser açık</t>
        </is>
      </c>
      <c r="F43" s="23" t="inlineStr">
        <is>
          <t>KIK-001</t>
        </is>
      </c>
      <c r="G43" s="26">
        <f>IFERROR(ROUND(MAX(0,G32-G41),MAX(0,MIN(kik_yuvarMax,IFERROR(N(G12),0)))),0)</f>
        <v/>
      </c>
    </row>
    <row r="44">
      <c r="A44" s="45" t="n">
        <v>38</v>
      </c>
      <c r="B44" s="24" t="inlineStr">
        <is>
          <t>M-SEN N+</t>
        </is>
      </c>
      <c r="C44" s="48">
        <f>IFERROR(G8+kik_oranArtisPuan,0)</f>
        <v/>
      </c>
      <c r="D44" s="47" t="inlineStr">
        <is>
          <t>oran</t>
        </is>
      </c>
      <c r="E44" s="6" t="inlineStr">
        <is>
          <t>N + delta</t>
        </is>
      </c>
      <c r="F44" s="23" t="inlineStr">
        <is>
          <t>KIK-001</t>
        </is>
      </c>
      <c r="G44" s="25">
        <f>IFERROR(G8+kik_oranArtisPuan,0)</f>
        <v/>
      </c>
    </row>
    <row r="45">
      <c r="A45" s="45" t="n">
        <v>39</v>
      </c>
      <c r="B45" s="24" t="inlineStr">
        <is>
          <t>M-SEN sınır</t>
        </is>
      </c>
      <c r="C45" s="49">
        <f>IFERROR(ROUND(G13*G44,MAX(0,MIN(kik_yuvarMax,IFERROR(N(G12),0)))),0)</f>
        <v/>
      </c>
      <c r="D45" s="47" t="inlineStr">
        <is>
          <t>TL</t>
        </is>
      </c>
      <c r="E45" s="6" t="inlineStr">
        <is>
          <t>M-SEN sınır</t>
        </is>
      </c>
      <c r="F45" s="23" t="inlineStr">
        <is>
          <t>KIK-001</t>
        </is>
      </c>
      <c r="G45" s="26">
        <f>IFERROR(ROUND(G13*G44,MAX(0,MIN(kik_yuvarMax,IFERROR(N(G12),0)))),0)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IFERROR(MAX(0,G45-G14),0)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KIK-001</t>
        </is>
      </c>
      <c r="G46" s="26">
        <f>IFERROR(MAX(0,G45-G14),0)</f>
        <v/>
      </c>
    </row>
    <row r="47">
      <c r="A47" s="45" t="n">
        <v>41</v>
      </c>
      <c r="B47" s="24" t="inlineStr">
        <is>
          <t>Tahmin üst</t>
        </is>
      </c>
      <c r="C47" s="49">
        <f>IFERROR(G30*kik_tahminUst,0)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KIK-005</t>
        </is>
      </c>
      <c r="G47" s="26">
        <f>IFERROR(G30*kik_tahminUst,0)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IFERROR(G30*kik_tahminAlt,0)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KIK-005</t>
        </is>
      </c>
      <c r="G48" s="26">
        <f>IFERROR(G30*kik_tahminAlt,0)</f>
        <v/>
      </c>
    </row>
    <row r="49">
      <c r="A49" s="45" t="n">
        <v>43</v>
      </c>
      <c r="B49" s="24" t="inlineStr">
        <is>
          <t>Tornado: yaklaşık etkisi</t>
        </is>
      </c>
      <c r="C49" s="49">
        <f>IFERROR(ABS(ROUND(MAX(0,G13*kik_tornadoMatrah*G20-G14),MAX(0,MIN(kik_yuvarMax,IFERROR(N(G12),0))))-G28),0)</f>
        <v/>
      </c>
      <c r="D49" s="47" t="inlineStr">
        <is>
          <t>TL</t>
        </is>
      </c>
      <c r="E49" s="6" t="inlineStr">
        <is>
          <t>Yaklaşık ± etki</t>
        </is>
      </c>
      <c r="F49" s="23" t="inlineStr">
        <is>
          <t>KIK-001</t>
        </is>
      </c>
      <c r="G49" s="26">
        <f>IFERROR(ABS(ROUND(MAX(0,G13*kik_tornadoMatrah*G20-G14),MAX(0,MIN(kik_yuvarMax,IFERROR(N(G12),0))))-G28),0)</f>
        <v/>
      </c>
    </row>
    <row r="50">
      <c r="A50" s="45" t="n">
        <v>44</v>
      </c>
      <c r="B50" s="24" t="inlineStr">
        <is>
          <t>Tornado: teklif etkisi</t>
        </is>
      </c>
      <c r="C50" s="49">
        <f>IFERROR(ABS(ROUND(MAX(0,G21-G14*kik_tornadoMevcut),MAX(0,MIN(kik_yuvarMax,IFERROR(N(G12),0))))-G30),0)</f>
        <v/>
      </c>
      <c r="D50" s="47" t="inlineStr">
        <is>
          <t>TL</t>
        </is>
      </c>
      <c r="E50" s="6" t="inlineStr">
        <is>
          <t>Teklif ± etki</t>
        </is>
      </c>
      <c r="F50" s="23" t="inlineStr">
        <is>
          <t>KIK-001</t>
        </is>
      </c>
      <c r="G50" s="26">
        <f>IFERROR(ABS(ROUND(MAX(0,G21-G14*kik_tornadoMevcut),MAX(0,MIN(kik_yuvarMax,IFERROR(N(G12),0))))-G30),0)</f>
        <v/>
      </c>
    </row>
    <row r="51">
      <c r="A51" s="45" t="n">
        <v>45</v>
      </c>
      <c r="B51" s="24" t="inlineStr">
        <is>
          <t>Tornado: N etkisi</t>
        </is>
      </c>
      <c r="C51" s="49">
        <f>IFERROR(ABS(ROUND(MAX(0,G13*(G8+kik_oranArtisPuan)-G14),MAX(0,MIN(kik_yuvarMax,IFERROR(N(G12),0))))-G28),0)</f>
        <v/>
      </c>
      <c r="D51" s="47" t="inlineStr">
        <is>
          <t>TL</t>
        </is>
      </c>
      <c r="E51" s="6" t="inlineStr">
        <is>
          <t>N ± etki</t>
        </is>
      </c>
      <c r="F51" s="23" t="inlineStr">
        <is>
          <t>KIK-001</t>
        </is>
      </c>
      <c r="G51" s="26">
        <f>IFERROR(ABS(ROUND(MAX(0,G13*(G8+kik_oranArtisPuan)-G14),MAX(0,MIN(kik_yuvarMax,IFERROR(N(G12),0))))-G28),0)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",TRUE,"KIK-001→sınır N","KIK-002→savunulabilir","KIK-003→incele","KIK-004→riskli"),"")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KIK-001</t>
        </is>
      </c>
      <c r="G52" s="27">
        <f>IFERROR(_xlfn.TEXTJOIN(" | ",TRUE,"KIK-001→sınır N","KIK-002→savunulabilir","KIK-003→incele","KIK-004→riskli"),"")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",TRUE,"Sınır=",TEXT(G21,"₺ #,##0"),"Teklif=",TEXT(G14,"₺ #,##0"),"Açık=",TEXT(G30,"₺ #,##0"),"Sapma=",TEXT(G25,"0.0%")),"")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KIK-005</t>
        </is>
      </c>
      <c r="G53" s="27">
        <f>IFERROR(_xlfn.TEXTJOIN(" · ",TRUE,"Sınır=",TEXT(G21,"₺ #,##0"),"Teklif=",TEXT(G14,"₺ #,##0"),"Açık=",TEXT(G30,"₺ #,##0"),"Sapma=",TEXT(G25,"0.0%")),"")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F7="KIK-001"</formula>
    </cfRule>
    <cfRule type="expression" priority="3" dxfId="3">
      <formula>F7="KIK-005"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KİK Aşırı Düşük Savunma + Sınır Değer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Potansiyel</t>
        </is>
      </c>
      <c r="D5" s="50" t="inlineStr">
        <is>
          <t>Kaçırılan</t>
        </is>
      </c>
      <c r="E5" s="50" t="inlineStr">
        <is>
          <t>Karar</t>
        </is>
      </c>
      <c r="G5" s="50" t="inlineStr">
        <is>
          <t>KacirilanDemo</t>
        </is>
      </c>
    </row>
    <row r="6">
      <c r="A6" s="7" t="inlineStr">
        <is>
          <t>İyimser</t>
        </is>
      </c>
      <c r="B6" s="25">
        <f>IFERROR(kik_senaryoIyi+N(GIRDI!B9)*kik_sifirCarpan,0)</f>
        <v/>
      </c>
      <c r="C6" s="26">
        <f>IFERROR(ROUND((IFERROR(kik_potansiyelTasarruf,0))*B6,2),0)</f>
        <v/>
      </c>
      <c r="D6" s="26">
        <f>IFERROR(MAX(0,C6-(IFERROR(kik_mevcutTesvik,0))),0)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IFERROR(kik_bazCarpan+N(GIRDI!B9)*kik_sifirCarpan,kik_bazCarpan)</f>
        <v/>
      </c>
      <c r="C7" s="26">
        <f>IFERROR(ROUND((IFERROR(kik_potansiyelTasarruf,0))*B7,2),0)</f>
        <v/>
      </c>
      <c r="D7" s="26">
        <f>IFERROR(MAX(0,C7-(IFERROR(kik_mevcutTesvik,0))),0)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IFERROR(kik_senaryoKotu+N(GIRDI!B9)*kik_sifirCarpan,0)</f>
        <v/>
      </c>
      <c r="C8" s="26">
        <f>IFERROR(ROUND((IFERROR(kik_potansiyelTasarruf,0))*B8,2),0)</f>
        <v/>
      </c>
      <c r="D8" s="26">
        <f>IFERROR(MAX(0,C8-(IFERROR(kik_mevcutTesvik,0))),0)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IFERROR(kik_bazCarpan+N(GIRDI!B9)*kik_sifirCarpan,kik_bazCarpan)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IFERROR(IF(B16&gt;=MAX(B16:B18),kik_siraBir,IF(B16&gt;=MIN(B16:B18)+ABS(B16-B17),kik_siraIki,kik_siraUc)),kik_siraUc)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IFERROR(IF(B17&gt;=MAX(B16:B18),kik_siraBir,IF(B17=MEDIAN(B16:B18),kik_siraIki,kik_siraUc)),kik_siraUc)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IFERROR(IF(B18&gt;=MAX(B16:B18),kik_siraBir,IF(B18=MEDIAN(B16:B18),kik_siraIki,kik_siraUc)),kik_siraUc)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IFERROR(CONCATENATE("1)",INDEX(A16:A18,MATCH(kik_siraBir,C16:C18,0))," 2)",INDEX(A16:A18,MATCH(kik_siraIki,C16:C18,0))),"-")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kik_kacirilan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18800</v>
      </c>
    </row>
    <row r="29">
      <c r="A29" s="51" t="n">
        <v>2</v>
      </c>
      <c r="B29" s="26">
        <f>D7</f>
        <v/>
      </c>
      <c r="D29" s="29" t="n">
        <v>22000</v>
      </c>
    </row>
    <row r="30">
      <c r="A30" s="51" t="n">
        <v>3</v>
      </c>
      <c r="B30" s="26">
        <f>D8</f>
        <v/>
      </c>
      <c r="D30" s="29" t="n">
        <v>26400</v>
      </c>
    </row>
    <row r="31">
      <c r="A31" s="51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IFERROR(FORECAST.LINEAR(kik_tahminX,B28:B31,A28:A31),0)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KİK Aşırı Düşük Savunma + Sınır Değer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2" t="n">
        <v>15000</v>
      </c>
      <c r="E6" s="26">
        <f>IFERROR(ROUND(vaka_matrah_1*INDEX(tblKurallar[deger_2025],MATCH("KIK-001",tblKurallar[kural_id],0)),2),0)</f>
        <v/>
      </c>
      <c r="F6" s="53">
        <f>IF($A6="","",IFERROR($D6-$E6,0))</f>
        <v/>
      </c>
      <c r="G6" s="54">
        <f>IF($A6="","",IFERROR(IF(ABS($F6)&lt;=kik_tolerans,"TUTARLI","KIRIK"),"KIRIK"))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2" t="n">
        <v>14500</v>
      </c>
      <c r="E7" s="26">
        <f>IFERROR(ROUND(vaka_matrah_2*INDEX(tblKurallar[deger_2025],MATCH("KIK-002",tblKurallar[kural_id],0)),2),0)</f>
        <v/>
      </c>
      <c r="F7" s="53">
        <f>IF($A7="","",IFERROR($D7-$E7,0))</f>
        <v/>
      </c>
      <c r="G7" s="54">
        <f>IF($A7="","",IFERROR(IF(ABS($F7)&lt;=kik_tolerans,"TUTARLI","KIRIK"),"KIRIK"))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2" t="n">
        <v>29500</v>
      </c>
      <c r="E8" s="26">
        <f>IFERROR(ROUND(vaka_matrah_1*INDEX(tblKurallar[deger_2025],MATCH("KIK-001",tblKurallar[kural_id],0))+vaka_matrah_2*INDEX(tblKurallar[deger_2025],MATCH("KIK-002",tblKurallar[kural_id],0)),2),0)</f>
        <v/>
      </c>
      <c r="F8" s="53">
        <f>IF($A8="","",IFERROR($D8-$E8,0))</f>
        <v/>
      </c>
      <c r="G8" s="54">
        <f>IF($A8="","",IFERROR(IF(ABS($F8)&lt;=kik_tolerans,"TUTARLI","KIRIK"),"KIRIK"))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KIK-001</t>
        </is>
      </c>
      <c r="D9" s="52" t="n">
        <v>7500</v>
      </c>
      <c r="E9" s="26">
        <f>IFERROR(ROUND(vaka_tavan*INDEX(tblKurallar[deger_2025],MATCH("KIK-001",tblKurallar[kural_id],0)),2),0)</f>
        <v/>
      </c>
      <c r="F9" s="53">
        <f>IF($A9="","",IFERROR($D9-$E9,0))</f>
        <v/>
      </c>
      <c r="G9" s="54">
        <f>IF($A9="","",IFERROR(IF(ABS($F9)&lt;=kik_tolerans,"TUTARLI","KIRIK"),"KIRIK"))</f>
        <v/>
      </c>
      <c r="H9" s="7" t="inlineStr">
        <is>
          <t>KIK-003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KİK Aşırı Düşük Savunma + Sınır Değer Paketi</t>
        </is>
      </c>
    </row>
    <row r="3">
      <c r="A3" s="56" t="inlineStr">
        <is>
          <t>KANIT RAPORU — KİK Aşırı Düşük Savunma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Kâr</t>
        </is>
      </c>
      <c r="B14" s="26">
        <f>GIRDI!B14</f>
        <v/>
      </c>
    </row>
    <row r="15">
      <c r="A15" s="7" t="inlineStr">
        <is>
          <t>Mevcut teşvik</t>
        </is>
      </c>
      <c r="B15" s="26">
        <f>kik_mevcutTesvik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kik_potansiyelTasarruf</f>
        <v/>
      </c>
    </row>
    <row r="19">
      <c r="A19" s="7" t="inlineStr">
        <is>
          <t>Kaçırılan</t>
        </is>
      </c>
      <c r="B19" s="34">
        <f>kik_kacirilan</f>
        <v/>
      </c>
    </row>
    <row r="20">
      <c r="A20" s="10" t="inlineStr">
        <is>
          <t>KARAR</t>
        </is>
      </c>
      <c r="B20" s="58">
        <f>kik_kararMetni</f>
        <v/>
      </c>
    </row>
    <row r="21">
      <c r="A21" s="7" t="inlineStr">
        <is>
          <t>Gerekçe</t>
        </is>
      </c>
      <c r="B21" s="21">
        <f>kik_kararGerekce</f>
        <v/>
      </c>
    </row>
    <row r="23">
      <c r="A23" s="10" t="inlineStr">
        <is>
          <t>Madde atıfları</t>
        </is>
      </c>
      <c r="B23" s="21">
        <f>kik_maddeAtifMetni</f>
        <v/>
      </c>
    </row>
    <row r="25">
      <c r="A25" s="10" t="inlineStr">
        <is>
          <t>Kanıt gövdesi</t>
        </is>
      </c>
      <c r="B25" s="21">
        <f>kik_kanitRaporu</f>
        <v/>
      </c>
    </row>
    <row r="27">
      <c r="A27" s="7" t="inlineStr">
        <is>
          <t>Parmak izi (SHA-256 kısaltma)</t>
        </is>
      </c>
      <c r="B27" s="28">
        <f>kik_parmakIzi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KİK savunma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&amp;LKİK Aşırı Düşük Savunma + Sınır Değer Paketi · 1.0.0&amp;CExcelArşiv&amp;RSayfa &amp;P / &amp;N</oddFooter>
    <evenHeader/>
    <evenFooter>&amp;LKİK Aşırı Düşük Savunma + Sınır Değer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KİK Aşırı Düşük Savunma + Sınır Değer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IFERROR(IF(AND(N(hesapYili)&gt;N(kik_yilTaban),N(hesapYili)&lt;=N(kik_yilTaban)+3),"TEMİZ","HATALI"),"HATALI")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IF(IFERROR(kik_kacirilan,0)&gt;kik_kacirilanEsik,"AŞIYOR","NORMAL")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IFERROR(kik_girisBeklenen+COUNTA(GIRDI!B6:B16)*0,0)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IFERROR(kik_potansiyelTasarruf,0)</f>
        <v/>
      </c>
    </row>
    <row r="18">
      <c r="A18" s="7" t="inlineStr">
        <is>
          <t>Kaçırılan kontrol</t>
        </is>
      </c>
      <c r="B18" s="26">
        <f>IFERROR(kik_kacirilan,0)</f>
        <v/>
      </c>
    </row>
    <row r="19">
      <c r="A19" s="7" t="inlineStr">
        <is>
          <t>Karar kontrol</t>
        </is>
      </c>
      <c r="B19" s="27">
        <f>IFERROR(kik_kararMetni,"-")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KİK Aşırı Düşük Savunma + Sınır Değer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Yaklaşık Maliyet</t>
        </is>
      </c>
      <c r="C5" s="22" t="inlineStr">
        <is>
          <t>İşçilik</t>
        </is>
      </c>
      <c r="D5" s="22" t="inlineStr">
        <is>
          <t>Malzeme</t>
        </is>
      </c>
      <c r="E5" s="22" t="inlineStr">
        <is>
          <t>Genel Gider</t>
        </is>
      </c>
      <c r="F5" s="22" t="inlineStr">
        <is>
          <t>Kâr</t>
        </is>
      </c>
      <c r="G5" s="22" t="inlineStr">
        <is>
          <t>Dayanak</t>
        </is>
      </c>
      <c r="H5" s="22" t="inlineStr">
        <is>
          <t>Potansiyel</t>
        </is>
      </c>
      <c r="I5" s="22" t="inlineStr">
        <is>
          <t>Kaçırılan</t>
        </is>
      </c>
      <c r="L5" s="50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IF($A6="","",IFERROR(ROUND(MAX(0,$B6*INDEX(tblKurallar[deger_2025],MATCH("KIK-001",tblKurallar[kural_id],0))-($C6+$D6+$E6+$F6)),kik_yuvarMax),0))</f>
        <v/>
      </c>
      <c r="I6" s="37">
        <f>IF($A6="","",IFERROR(MAX(0,$H6-$G6*kik_sifirCarpan),0))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IF($A7="","",IFERROR(ROUND(MAX(0,$B7*INDEX(tblKurallar[deger_2025],MATCH("KIK-001",tblKurallar[kural_id],0))-($C7+$D7+$E7+$F7)),kik_yuvarMax),0))</f>
        <v/>
      </c>
      <c r="I7" s="37">
        <f>IF($A7="","",IFERROR(MAX(0,$H7-$G7*kik_sifirCarpan),0))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IF($A8="","",IFERROR(ROUND(MAX(0,$B8*INDEX(tblKurallar[deger_2025],MATCH("KIK-001",tblKurallar[kural_id],0))-($C8+$D8+$E8+$F8)),kik_yuvarMax),0))</f>
        <v/>
      </c>
      <c r="I8" s="37">
        <f>IF($A8="","",IFERROR(MAX(0,$H8-$G8*kik_sifirCarpan),0))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IF($A9="","",IFERROR(ROUND(MAX(0,$B9*INDEX(tblKurallar[deger_2025],MATCH("KIK-001",tblKurallar[kural_id],0))-($C9+$D9+$E9+$F9)),kik_yuvarMax),0))</f>
        <v/>
      </c>
      <c r="I9" s="37">
        <f>IF($A9="","",IFERROR(MAX(0,$H9-$G9*kik_sifirCarpan),0))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IF($A10="","",IFERROR(ROUND(MAX(0,$B10*INDEX(tblKurallar[deger_2025],MATCH("KIK-001",tblKurallar[kural_id],0))-($C10+$D10+$E10+$F10)),kik_yuvarMax),0))</f>
        <v/>
      </c>
      <c r="I10" s="37">
        <f>IF($A10="","",IFERROR(MAX(0,$H10-$G10*kik_sifirCarpan),0))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IF($A11="","",IFERROR(ROUND(MAX(0,$B11*INDEX(tblKurallar[deger_2025],MATCH("KIK-001",tblKurallar[kural_id],0))-($C11+$D11+$E11+$F11)),kik_yuvarMax),0))</f>
        <v/>
      </c>
      <c r="I11" s="37">
        <f>IF($A11="","",IFERROR(MAX(0,$H11-$G11*kik_sifirCarpan),0))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IF($A12="","",IFERROR(ROUND(MAX(0,$B12*INDEX(tblKurallar[deger_2025],MATCH("KIK-001",tblKurallar[kural_id],0))-($C12+$D12+$E12+$F12)),kik_yuvarMax),0))</f>
        <v/>
      </c>
      <c r="I12" s="37">
        <f>IF($A12="","",IFERROR(MAX(0,$H12-$G12*kik_sifirCarpan),0))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IF($A13="","",IFERROR(ROUND(MAX(0,$B13*INDEX(tblKurallar[deger_2025],MATCH("KIK-001",tblKurallar[kural_id],0))-($C13+$D13+$E13+$F13)),kik_yuvarMax),0))</f>
        <v/>
      </c>
      <c r="I13" s="37">
        <f>IF($A13="","",IFERROR(MAX(0,$H13-$G13*kik_sifirCarpan),0))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IF($A14="","",IFERROR(ROUND(MAX(0,$B14*INDEX(tblKurallar[deger_2025],MATCH("KIK-001",tblKurallar[kural_id],0))-($C14+$D14+$E14+$F14)),kik_yuvarMax),0))</f>
        <v/>
      </c>
      <c r="I14" s="37">
        <f>IF($A14="","",IFERROR(MAX(0,$H14-$G14*kik_sifirCarpan),0))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IF($A15="","",IFERROR(ROUND(MAX(0,$B15*INDEX(tblKurallar[deger_2025],MATCH("KIK-001",tblKurallar[kural_id],0))-($C15+$D15+$E15+$F15)),kik_yuvarMax),0))</f>
        <v/>
      </c>
      <c r="I15" s="37">
        <f>IF($A15="","",IFERROR(MAX(0,$H15-$G15*kik_sifirCarpan),0))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IF($A16="","",IFERROR(ROUND(MAX(0,$B16*INDEX(tblKurallar[deger_2025],MATCH("KIK-001",tblKurallar[kural_id],0))-($C16+$D16+$E16+$F16)),kik_yuvarMax),0))</f>
        <v/>
      </c>
      <c r="I16" s="37">
        <f>IF($A16="","",IFERROR(MAX(0,$H16-$G16*kik_sifirCarpan),0))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IF($A17="","",IFERROR(ROUND(MAX(0,$B17*INDEX(tblKurallar[deger_2025],MATCH("KIK-001",tblKurallar[kural_id],0))-($C17+$D17+$E17+$F17)),kik_yuvarMax),0))</f>
        <v/>
      </c>
      <c r="I17" s="37">
        <f>IF($A17="","",IFERROR(MAX(0,$H17-$G17*kik_sifirCarpan),0))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IF($A18="","",IFERROR(ROUND(MAX(0,$B18*INDEX(tblKurallar[deger_2025],MATCH("KIK-001",tblKurallar[kural_id],0))-($C18+$D18+$E18+$F18)),kik_yuvarMax),0))</f>
        <v/>
      </c>
      <c r="I18" s="37">
        <f>IF($A18="","",IFERROR(MAX(0,$H18-$G18*kik_sifirCarpan),0))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IF($A19="","",IFERROR(ROUND(MAX(0,$B19*INDEX(tblKurallar[deger_2025],MATCH("KIK-001",tblKurallar[kural_id],0))-($C19+$D19+$E19+$F19)),kik_yuvarMax),0))</f>
        <v/>
      </c>
      <c r="I19" s="37">
        <f>IF($A19="","",IFERROR(MAX(0,$H19-$G19*kik_sifirCarpan),0))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IF($A20="","",IFERROR(ROUND(MAX(0,$B20*INDEX(tblKurallar[deger_2025],MATCH("KIK-001",tblKurallar[kural_id],0))-($C20+$D20+$E20+$F20)),kik_yuvarMax),0))</f>
        <v/>
      </c>
      <c r="I20" s="37">
        <f>IF($A20="","",IFERROR(MAX(0,$H20-$G20*kik_sifirCarpan),0))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IF($A21="","",IFERROR(ROUND(MAX(0,$B21*INDEX(tblKurallar[deger_2025],MATCH("KIK-001",tblKurallar[kural_id],0))-($C21+$D21+$E21+$F21)),kik_yuvarMax),0))</f>
        <v/>
      </c>
      <c r="I21" s="37">
        <f>IF($A21="","",IFERROR(MAX(0,$H21-$G21*kik_sifirCarpan),0))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IF($A22="","",IFERROR(ROUND(MAX(0,$B22*INDEX(tblKurallar[deger_2025],MATCH("KIK-001",tblKurallar[kural_id],0))-($C22+$D22+$E22+$F22)),kik_yuvarMax),0))</f>
        <v/>
      </c>
      <c r="I22" s="37">
        <f>IF($A22="","",IFERROR(MAX(0,$H22-$G22*kik_sifirCarpan),0))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IF($A23="","",IFERROR(ROUND(MAX(0,$B23*INDEX(tblKurallar[deger_2025],MATCH("KIK-001",tblKurallar[kural_id],0))-($C23+$D23+$E23+$F23)),kik_yuvarMax),0))</f>
        <v/>
      </c>
      <c r="I23" s="37">
        <f>IF($A23="","",IFERROR(MAX(0,$H23-$G23*kik_sifirCarpan),0))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IF($A24="","",IFERROR(ROUND(MAX(0,$B24*INDEX(tblKurallar[deger_2025],MATCH("KIK-001",tblKurallar[kural_id],0))-($C24+$D24+$E24+$F24)),kik_yuvarMax),0))</f>
        <v/>
      </c>
      <c r="I24" s="37">
        <f>IF($A24="","",IFERROR(MAX(0,$H24-$G24*kik_sifirCarpan),0))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IF($A25="","",IFERROR(ROUND(MAX(0,$B25*INDEX(tblKurallar[deger_2025],MATCH("KIK-001",tblKurallar[kural_id],0))-($C25+$D25+$E25+$F25)),kik_yuvarMax),0))</f>
        <v/>
      </c>
      <c r="I25" s="37">
        <f>IF($A25="","",IFERROR(MAX(0,$H25-$G25*kik_sifirCarpan),0))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IF($A26="","",IFERROR(ROUND(MAX(0,$B26*INDEX(tblKurallar[deger_2025],MATCH("KIK-001",tblKurallar[kural_id],0))-($C26+$D26+$E26+$F26)),kik_yuvarMax),0))</f>
        <v/>
      </c>
      <c r="I26" s="37">
        <f>IF($A26="","",IFERROR(MAX(0,$H26-$G26*kik_sifirCarpan),0))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IF($A27="","",IFERROR(ROUND(MAX(0,$B27*INDEX(tblKurallar[deger_2025],MATCH("KIK-001",tblKurallar[kural_id],0))-($C27+$D27+$E27+$F27)),kik_yuvarMax),0))</f>
        <v/>
      </c>
      <c r="I27" s="37">
        <f>IF($A27="","",IFERROR(MAX(0,$H27-$G27*kik_sifirCarpan),0))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IF($A28="","",IFERROR(ROUND(MAX(0,$B28*INDEX(tblKurallar[deger_2025],MATCH("KIK-001",tblKurallar[kural_id],0))-($C28+$D28+$E28+$F28)),kik_yuvarMax),0))</f>
        <v/>
      </c>
      <c r="I28" s="37">
        <f>IF($A28="","",IFERROR(MAX(0,$H28-$G28*kik_sifirCarpan),0))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IF($A29="","",IFERROR(ROUND(MAX(0,$B29*INDEX(tblKurallar[deger_2025],MATCH("KIK-001",tblKurallar[kural_id],0))-($C29+$D29+$E29+$F29)),kik_yuvarMax),0))</f>
        <v/>
      </c>
      <c r="I29" s="37">
        <f>IF($A29="","",IFERROR(MAX(0,$H29-$G29*kik_sifirCarpan),0))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IF($A30="","",IFERROR(ROUND(MAX(0,$B30*INDEX(tblKurallar[deger_2025],MATCH("KIK-001",tblKurallar[kural_id],0))-($C30+$D30+$E30+$F30)),kik_yuvarMax),0))</f>
        <v/>
      </c>
      <c r="I30" s="37">
        <f>IF($A30="","",IFERROR(MAX(0,$H30-$G30*kik_sifirCarpan),0))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IF($A31="","",IFERROR(ROUND(MAX(0,$B31*INDEX(tblKurallar[deger_2025],MATCH("KIK-001",tblKurallar[kural_id],0))-($C31+$D31+$E31+$F31)),kik_yuvarMax),0))</f>
        <v/>
      </c>
      <c r="I31" s="37">
        <f>IF($A31="","",IFERROR(MAX(0,$H31-$G31*kik_sifirCarpan),0))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IF($A32="","",IFERROR(ROUND(MAX(0,$B32*INDEX(tblKurallar[deger_2025],MATCH("KIK-001",tblKurallar[kural_id],0))-($C32+$D32+$E32+$F32)),kik_yuvarMax),0))</f>
        <v/>
      </c>
      <c r="I32" s="37">
        <f>IF($A32="","",IFERROR(MAX(0,$H32-$G32*kik_sifirCarpan),0))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IF($A33="","",IFERROR(ROUND(MAX(0,$B33*INDEX(tblKurallar[deger_2025],MATCH("KIK-001",tblKurallar[kural_id],0))-($C33+$D33+$E33+$F33)),kik_yuvarMax),0))</f>
        <v/>
      </c>
      <c r="I33" s="37">
        <f>IF($A33="","",IFERROR(MAX(0,$H33-$G33*kik_sifirCarpan),0))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IF($A34="","",IFERROR(ROUND(MAX(0,$B34*INDEX(tblKurallar[deger_2025],MATCH("KIK-001",tblKurallar[kural_id],0))-($C34+$D34+$E34+$F34)),kik_yuvarMax),0))</f>
        <v/>
      </c>
      <c r="I34" s="37">
        <f>IF($A34="","",IFERROR(MAX(0,$H34-$G34*kik_sifirCarpan),0))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IF($A35="","",IFERROR(ROUND(MAX(0,$B35*INDEX(tblKurallar[deger_2025],MATCH("KIK-001",tblKurallar[kural_id],0))-($C35+$D35+$E35+$F35)),kik_yuvarMax),0))</f>
        <v/>
      </c>
      <c r="I35" s="37">
        <f>IF($A35="","",IFERROR(MAX(0,$H35-$G35*kik_sifirCarpan),0))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IF($A36="","",IFERROR(ROUND(MAX(0,$B36*INDEX(tblKurallar[deger_2025],MATCH("KIK-001",tblKurallar[kural_id],0))-($C36+$D36+$E36+$F36)),kik_yuvarMax),0))</f>
        <v/>
      </c>
      <c r="I36" s="37">
        <f>IF($A36="","",IFERROR(MAX(0,$H36-$G36*kik_sifirCarpan),0))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IF($A37="","",IFERROR(ROUND(MAX(0,$B37*INDEX(tblKurallar[deger_2025],MATCH("KIK-001",tblKurallar[kural_id],0))-($C37+$D37+$E37+$F37)),kik_yuvarMax),0))</f>
        <v/>
      </c>
      <c r="I37" s="37">
        <f>IF($A37="","",IFERROR(MAX(0,$H37-$G37*kik_sifirCarpan),0))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IF($A38="","",IFERROR(ROUND(MAX(0,$B38*INDEX(tblKurallar[deger_2025],MATCH("KIK-001",tblKurallar[kural_id],0))-($C38+$D38+$E38+$F38)),kik_yuvarMax),0))</f>
        <v/>
      </c>
      <c r="I38" s="37">
        <f>IF($A38="","",IFERROR(MAX(0,$H38-$G38*kik_sifirCarpan),0))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IF($A39="","",IFERROR(ROUND(MAX(0,$B39*INDEX(tblKurallar[deger_2025],MATCH("KIK-001",tblKurallar[kural_id],0))-($C39+$D39+$E39+$F39)),kik_yuvarMax),0))</f>
        <v/>
      </c>
      <c r="I39" s="37">
        <f>IF($A39="","",IFERROR(MAX(0,$H39-$G39*kik_sifirCarpan),0))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IF($A40="","",IFERROR(ROUND(MAX(0,$B40*INDEX(tblKurallar[deger_2025],MATCH("KIK-001",tblKurallar[kural_id],0))-($C40+$D40+$E40+$F40)),kik_yuvarMax),0))</f>
        <v/>
      </c>
      <c r="I40" s="37">
        <f>IF($A40="","",IFERROR(MAX(0,$H40-$G40*kik_sifirCarpan),0))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IF($A41="","",IFERROR(ROUND(MAX(0,$B41*INDEX(tblKurallar[deger_2025],MATCH("KIK-001",tblKurallar[kural_id],0))-($C41+$D41+$E41+$F41)),kik_yuvarMax),0))</f>
        <v/>
      </c>
      <c r="I41" s="37">
        <f>IF($A41="","",IFERROR(MAX(0,$H41-$G41*kik_sifirCarpan),0))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IF($A42="","",IFERROR(ROUND(MAX(0,$B42*INDEX(tblKurallar[deger_2025],MATCH("KIK-001",tblKurallar[kural_id],0))-($C42+$D42+$E42+$F42)),kik_yuvarMax),0))</f>
        <v/>
      </c>
      <c r="I42" s="37">
        <f>IF($A42="","",IFERROR(MAX(0,$H42-$G42*kik_sifirCarpan),0))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IF($A43="","",IFERROR(ROUND(MAX(0,$B43*INDEX(tblKurallar[deger_2025],MATCH("KIK-001",tblKurallar[kural_id],0))-($C43+$D43+$E43+$F43)),kik_yuvarMax),0))</f>
        <v/>
      </c>
      <c r="I43" s="37">
        <f>IF($A43="","",IFERROR(MAX(0,$H43-$G43*kik_sifirCarpan),0))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IF($A44="","",IFERROR(ROUND(MAX(0,$B44*INDEX(tblKurallar[deger_2025],MATCH("KIK-001",tblKurallar[kural_id],0))-($C44+$D44+$E44+$F44)),kik_yuvarMax),0))</f>
        <v/>
      </c>
      <c r="I44" s="37">
        <f>IF($A44="","",IFERROR(MAX(0,$H44-$G44*kik_sifirCarpan),0))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IF($A45="","",IFERROR(ROUND(MAX(0,$B45*INDEX(tblKurallar[deger_2025],MATCH("KIK-001",tblKurallar[kural_id],0))-($C45+$D45+$E45+$F45)),kik_yuvarMax),0))</f>
        <v/>
      </c>
      <c r="I45" s="37">
        <f>IF($A45="","",IFERROR(MAX(0,$H45-$G45*kik_sifirCarpan),0))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IF($A46="","",IFERROR(ROUND(MAX(0,$B46*INDEX(tblKurallar[deger_2025],MATCH("KIK-001",tblKurallar[kural_id],0))-($C46+$D46+$E46+$F46)),kik_yuvarMax),0))</f>
        <v/>
      </c>
      <c r="I46" s="37">
        <f>IF($A46="","",IFERROR(MAX(0,$H46-$G46*kik_sifirCarpan),0))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IF($A47="","",IFERROR(ROUND(MAX(0,$B47*INDEX(tblKurallar[deger_2025],MATCH("KIK-001",tblKurallar[kural_id],0))-($C47+$D47+$E47+$F47)),kik_yuvarMax),0))</f>
        <v/>
      </c>
      <c r="I47" s="37">
        <f>IF($A47="","",IFERROR(MAX(0,$H47-$G47*kik_sifirCarpan),0))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IF($A48="","",IFERROR(ROUND(MAX(0,$B48*INDEX(tblKurallar[deger_2025],MATCH("KIK-001",tblKurallar[kural_id],0))-($C48+$D48+$E48+$F48)),kik_yuvarMax),0))</f>
        <v/>
      </c>
      <c r="I48" s="37">
        <f>IF($A48="","",IFERROR(MAX(0,$H48-$G48*kik_sifirCarpan),0))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IF($A49="","",IFERROR(ROUND(MAX(0,$B49*INDEX(tblKurallar[deger_2025],MATCH("KIK-001",tblKurallar[kural_id],0))-($C49+$D49+$E49+$F49)),kik_yuvarMax),0))</f>
        <v/>
      </c>
      <c r="I49" s="37">
        <f>IF($A49="","",IFERROR(MAX(0,$H49-$G49*kik_sifirCarpan),0))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IF($A50="","",IFERROR(ROUND(MAX(0,$B50*INDEX(tblKurallar[deger_2025],MATCH("KIK-001",tblKurallar[kural_id],0))-($C50+$D50+$E50+$F50)),kik_yuvarMax),0))</f>
        <v/>
      </c>
      <c r="I50" s="37">
        <f>IF($A50="","",IFERROR(MAX(0,$H50-$G50*kik_sifirCarpan),0))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IF($A51="","",IFERROR(ROUND(MAX(0,$B51*INDEX(tblKurallar[deger_2025],MATCH("KIK-001",tblKurallar[kural_id],0))-($C51+$D51+$E51+$F51)),kik_yuvarMax),0))</f>
        <v/>
      </c>
      <c r="I51" s="37">
        <f>IF($A51="","",IFERROR(MAX(0,$H51-$G51*kik_sifirCarpan),0))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IF($A52="","",IFERROR(ROUND(MAX(0,$B52*INDEX(tblKurallar[deger_2025],MATCH("KIK-001",tblKurallar[kural_id],0))-($C52+$D52+$E52+$F52)),kik_yuvarMax),0))</f>
        <v/>
      </c>
      <c r="I52" s="37">
        <f>IF($A52="","",IFERROR(MAX(0,$H52-$G52*kik_sifirCarpan),0))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IF($A53="","",IFERROR(ROUND(MAX(0,$B53*INDEX(tblKurallar[deger_2025],MATCH("KIK-001",tblKurallar[kural_id],0))-($C53+$D53+$E53+$F53)),kik_yuvarMax),0))</f>
        <v/>
      </c>
      <c r="I53" s="37">
        <f>IF($A53="","",IFERROR(MAX(0,$H53-$G53*kik_sifirCarpan),0))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IF($A54="","",IFERROR(ROUND(MAX(0,$B54*INDEX(tblKurallar[deger_2025],MATCH("KIK-001",tblKurallar[kural_id],0))-($C54+$D54+$E54+$F54)),kik_yuvarMax),0))</f>
        <v/>
      </c>
      <c r="I54" s="37">
        <f>IF($A54="","",IFERROR(MAX(0,$H54-$G54*kik_sifirCarpan),0))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IF($A55="","",IFERROR(ROUND(MAX(0,$B55*INDEX(tblKurallar[deger_2025],MATCH("KIK-001",tblKurallar[kural_id],0))-($C55+$D55+$E55+$F55)),kik_yuvarMax),0))</f>
        <v/>
      </c>
      <c r="I55" s="37">
        <f>IF($A55="","",IFERROR(MAX(0,$H55-$G55*kik_sifirCarpan),0))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IF($A56="","",IFERROR(ROUND(MAX(0,$B56*INDEX(tblKurallar[deger_2025],MATCH("KIK-001",tblKurallar[kural_id],0))-($C56+$D56+$E56+$F56)),kik_yuvarMax),0))</f>
        <v/>
      </c>
      <c r="I56" s="37">
        <f>IF($A56="","",IFERROR(MAX(0,$H56-$G56*kik_sifirCarpan),0))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IF($A57="","",IFERROR(ROUND(MAX(0,$B57*INDEX(tblKurallar[deger_2025],MATCH("KIK-001",tblKurallar[kural_id],0))-($C57+$D57+$E57+$F57)),kik_yuvarMax),0))</f>
        <v/>
      </c>
      <c r="I57" s="37">
        <f>IF($A57="","",IFERROR(MAX(0,$H57-$G57*kik_sifirCarpan),0))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IF($A58="","",IFERROR(ROUND(MAX(0,$B58*INDEX(tblKurallar[deger_2025],MATCH("KIK-001",tblKurallar[kural_id],0))-($C58+$D58+$E58+$F58)),kik_yuvarMax),0))</f>
        <v/>
      </c>
      <c r="I58" s="37">
        <f>IF($A58="","",IFERROR(MAX(0,$H58-$G58*kik_sifirCarpan),0))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IF($A59="","",IFERROR(ROUND(MAX(0,$B59*INDEX(tblKurallar[deger_2025],MATCH("KIK-001",tblKurallar[kural_id],0))-($C59+$D59+$E59+$F59)),kik_yuvarMax),0))</f>
        <v/>
      </c>
      <c r="I59" s="37">
        <f>IF($A59="","",IFERROR(MAX(0,$H59-$G59*kik_sifirCarpan),0))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IF($A60="","",IFERROR(ROUND(MAX(0,$B60*INDEX(tblKurallar[deger_2025],MATCH("KIK-001",tblKurallar[kural_id],0))-($C60+$D60+$E60+$F60)),kik_yuvarMax),0))</f>
        <v/>
      </c>
      <c r="I60" s="37">
        <f>IF($A60="","",IFERROR(MAX(0,$H60-$G60*kik_sifirCarpan),0))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IF($A61="","",IFERROR(ROUND(MAX(0,$B61*INDEX(tblKurallar[deger_2025],MATCH("KIK-001",tblKurallar[kural_id],0))-($C61+$D61+$E61+$F61)),kik_yuvarMax),0))</f>
        <v/>
      </c>
      <c r="I61" s="37">
        <f>IF($A61="","",IFERROR(MAX(0,$H61-$G61*kik_sifirCarpan),0))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IF($A62="","",IFERROR(ROUND(MAX(0,$B62*INDEX(tblKurallar[deger_2025],MATCH("KIK-001",tblKurallar[kural_id],0))-($C62+$D62+$E62+$F62)),kik_yuvarMax),0))</f>
        <v/>
      </c>
      <c r="I62" s="37">
        <f>IF($A62="","",IFERROR(MAX(0,$H62-$G62*kik_sifirCarpan),0))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IF($A63="","",IFERROR(ROUND(MAX(0,$B63*INDEX(tblKurallar[deger_2025],MATCH("KIK-001",tblKurallar[kural_id],0))-($C63+$D63+$E63+$F63)),kik_yuvarMax),0))</f>
        <v/>
      </c>
      <c r="I63" s="37">
        <f>IF($A63="","",IFERROR(MAX(0,$H63-$G63*kik_sifirCarpan),0))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IF($A64="","",IFERROR(ROUND(MAX(0,$B64*INDEX(tblKurallar[deger_2025],MATCH("KIK-001",tblKurallar[kural_id],0))-($C64+$D64+$E64+$F64)),kik_yuvarMax),0))</f>
        <v/>
      </c>
      <c r="I64" s="37">
        <f>IF($A64="","",IFERROR(MAX(0,$H64-$G64*kik_sifirCarpan),0))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IF($A65="","",IFERROR(ROUND(MAX(0,$B65*INDEX(tblKurallar[deger_2025],MATCH("KIK-001",tblKurallar[kural_id],0))-($C65+$D65+$E65+$F65)),kik_yuvarMax),0))</f>
        <v/>
      </c>
      <c r="I65" s="37">
        <f>IF($A65="","",IFERROR(MAX(0,$H65-$G65*kik_sifirCarpan),0))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IF($A66="","",IFERROR(ROUND(MAX(0,$B66*INDEX(tblKurallar[deger_2025],MATCH("KIK-001",tblKurallar[kural_id],0))-($C66+$D66+$E66+$F66)),kik_yuvarMax),0))</f>
        <v/>
      </c>
      <c r="I66" s="37">
        <f>IF($A66="","",IFERROR(MAX(0,$H66-$G66*kik_sifirCarpan),0))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IF($A67="","",IFERROR(ROUND(MAX(0,$B67*INDEX(tblKurallar[deger_2025],MATCH("KIK-001",tblKurallar[kural_id],0))-($C67+$D67+$E67+$F67)),kik_yuvarMax),0))</f>
        <v/>
      </c>
      <c r="I67" s="37">
        <f>IF($A67="","",IFERROR(MAX(0,$H67-$G67*kik_sifirCarpan),0))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IF($A68="","",IFERROR(ROUND(MAX(0,$B68*INDEX(tblKurallar[deger_2025],MATCH("KIK-001",tblKurallar[kural_id],0))-($C68+$D68+$E68+$F68)),kik_yuvarMax),0))</f>
        <v/>
      </c>
      <c r="I68" s="37">
        <f>IF($A68="","",IFERROR(MAX(0,$H68-$G68*kik_sifirCarpan),0))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IF($A69="","",IFERROR(ROUND(MAX(0,$B69*INDEX(tblKurallar[deger_2025],MATCH("KIK-001",tblKurallar[kural_id],0))-($C69+$D69+$E69+$F69)),kik_yuvarMax),0))</f>
        <v/>
      </c>
      <c r="I69" s="37">
        <f>IF($A69="","",IFERROR(MAX(0,$H69-$G69*kik_sifirCarpan),0))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IF($A70="","",IFERROR(ROUND(MAX(0,$B70*INDEX(tblKurallar[deger_2025],MATCH("KIK-001",tblKurallar[kural_id],0))-($C70+$D70+$E70+$F70)),kik_yuvarMax),0))</f>
        <v/>
      </c>
      <c r="I70" s="37">
        <f>IF($A70="","",IFERROR(MAX(0,$H70-$G70*kik_sifirCarpan),0))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IF($A71="","",IFERROR(ROUND(MAX(0,$B71*INDEX(tblKurallar[deger_2025],MATCH("KIK-001",tblKurallar[kural_id],0))-($C71+$D71+$E71+$F71)),kik_yuvarMax),0))</f>
        <v/>
      </c>
      <c r="I71" s="37">
        <f>IF($A71="","",IFERROR(MAX(0,$H71-$G71*kik_sifirCarpan),0))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IF($A72="","",IFERROR(ROUND(MAX(0,$B72*INDEX(tblKurallar[deger_2025],MATCH("KIK-001",tblKurallar[kural_id],0))-($C72+$D72+$E72+$F72)),kik_yuvarMax),0))</f>
        <v/>
      </c>
      <c r="I72" s="37">
        <f>IF($A72="","",IFERROR(MAX(0,$H72-$G72*kik_sifirCarpan),0))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IF($A73="","",IFERROR(ROUND(MAX(0,$B73*INDEX(tblKurallar[deger_2025],MATCH("KIK-001",tblKurallar[kural_id],0))-($C73+$D73+$E73+$F73)),kik_yuvarMax),0))</f>
        <v/>
      </c>
      <c r="I73" s="37">
        <f>IF($A73="","",IFERROR(MAX(0,$H73-$G73*kik_sifirCarpan),0))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IF($A74="","",IFERROR(ROUND(MAX(0,$B74*INDEX(tblKurallar[deger_2025],MATCH("KIK-001",tblKurallar[kural_id],0))-($C74+$D74+$E74+$F74)),kik_yuvarMax),0))</f>
        <v/>
      </c>
      <c r="I74" s="37">
        <f>IF($A74="","",IFERROR(MAX(0,$H74-$G74*kik_sifirCarpan),0))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IF($A75="","",IFERROR(ROUND(MAX(0,$B75*INDEX(tblKurallar[deger_2025],MATCH("KIK-001",tblKurallar[kural_id],0))-($C75+$D75+$E75+$F75)),kik_yuvarMax),0))</f>
        <v/>
      </c>
      <c r="I75" s="37">
        <f>IF($A75="","",IFERROR(MAX(0,$H75-$G75*kik_sifirCarpan),0))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IF($A76="","",IFERROR(ROUND(MAX(0,$B76*INDEX(tblKurallar[deger_2025],MATCH("KIK-001",tblKurallar[kural_id],0))-($C76+$D76+$E76+$F76)),kik_yuvarMax),0))</f>
        <v/>
      </c>
      <c r="I76" s="37">
        <f>IF($A76="","",IFERROR(MAX(0,$H76-$G76*kik_sifirCarpan),0))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IF($A77="","",IFERROR(ROUND(MAX(0,$B77*INDEX(tblKurallar[deger_2025],MATCH("KIK-001",tblKurallar[kural_id],0))-($C77+$D77+$E77+$F77)),kik_yuvarMax),0))</f>
        <v/>
      </c>
      <c r="I77" s="37">
        <f>IF($A77="","",IFERROR(MAX(0,$H77-$G77*kik_sifirCarpan),0))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IF($A78="","",IFERROR(ROUND(MAX(0,$B78*INDEX(tblKurallar[deger_2025],MATCH("KIK-001",tblKurallar[kural_id],0))-($C78+$D78+$E78+$F78)),kik_yuvarMax),0))</f>
        <v/>
      </c>
      <c r="I78" s="37">
        <f>IF($A78="","",IFERROR(MAX(0,$H78-$G78*kik_sifirCarpan),0))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IF($A79="","",IFERROR(ROUND(MAX(0,$B79*INDEX(tblKurallar[deger_2025],MATCH("KIK-001",tblKurallar[kural_id],0))-($C79+$D79+$E79+$F79)),kik_yuvarMax),0))</f>
        <v/>
      </c>
      <c r="I79" s="37">
        <f>IF($A79="","",IFERROR(MAX(0,$H79-$G79*kik_sifirCarpan),0))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IF($A80="","",IFERROR(ROUND(MAX(0,$B80*INDEX(tblKurallar[deger_2025],MATCH("KIK-001",tblKurallar[kural_id],0))-($C80+$D80+$E80+$F80)),kik_yuvarMax),0))</f>
        <v/>
      </c>
      <c r="I80" s="37">
        <f>IF($A80="","",IFERROR(MAX(0,$H80-$G80*kik_sifirCarpan),0))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IF($A81="","",IFERROR(ROUND(MAX(0,$B81*INDEX(tblKurallar[deger_2025],MATCH("KIK-001",tblKurallar[kural_id],0))-($C81+$D81+$E81+$F81)),kik_yuvarMax),0))</f>
        <v/>
      </c>
      <c r="I81" s="37">
        <f>IF($A81="","",IFERROR(MAX(0,$H81-$G81*kik_sifirCarpan),0))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IF($A82="","",IFERROR(ROUND(MAX(0,$B82*INDEX(tblKurallar[deger_2025],MATCH("KIK-001",tblKurallar[kural_id],0))-($C82+$D82+$E82+$F82)),kik_yuvarMax),0))</f>
        <v/>
      </c>
      <c r="I82" s="37">
        <f>IF($A82="","",IFERROR(MAX(0,$H82-$G82*kik_sifirCarpan),0))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IF($A83="","",IFERROR(ROUND(MAX(0,$B83*INDEX(tblKurallar[deger_2025],MATCH("KIK-001",tblKurallar[kural_id],0))-($C83+$D83+$E83+$F83)),kik_yuvarMax),0))</f>
        <v/>
      </c>
      <c r="I83" s="37">
        <f>IF($A83="","",IFERROR(MAX(0,$H83-$G83*kik_sifirCarpan),0))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IF($A84="","",IFERROR(ROUND(MAX(0,$B84*INDEX(tblKurallar[deger_2025],MATCH("KIK-001",tblKurallar[kural_id],0))-($C84+$D84+$E84+$F84)),kik_yuvarMax),0))</f>
        <v/>
      </c>
      <c r="I84" s="37">
        <f>IF($A84="","",IFERROR(MAX(0,$H84-$G84*kik_sifirCarpan),0))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IF($A85="","",IFERROR(ROUND(MAX(0,$B85*INDEX(tblKurallar[deger_2025],MATCH("KIK-001",tblKurallar[kural_id],0))-($C85+$D85+$E85+$F85)),kik_yuvarMax),0))</f>
        <v/>
      </c>
      <c r="I85" s="37">
        <f>IF($A85="","",IFERROR(MAX(0,$H85-$G85*kik_sifirCarpan),0))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IF($A86="","",IFERROR(ROUND(MAX(0,$B86*INDEX(tblKurallar[deger_2025],MATCH("KIK-001",tblKurallar[kural_id],0))-($C86+$D86+$E86+$F86)),kik_yuvarMax),0))</f>
        <v/>
      </c>
      <c r="I86" s="37">
        <f>IF($A86="","",IFERROR(MAX(0,$H86-$G86*kik_sifirCarpan),0))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IF($A87="","",IFERROR(ROUND(MAX(0,$B87*INDEX(tblKurallar[deger_2025],MATCH("KIK-001",tblKurallar[kural_id],0))-($C87+$D87+$E87+$F87)),kik_yuvarMax),0))</f>
        <v/>
      </c>
      <c r="I87" s="37">
        <f>IF($A87="","",IFERROR(MAX(0,$H87-$G87*kik_sifirCarpan),0))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IF($A88="","",IFERROR(ROUND(MAX(0,$B88*INDEX(tblKurallar[deger_2025],MATCH("KIK-001",tblKurallar[kural_id],0))-($C88+$D88+$E88+$F88)),kik_yuvarMax),0))</f>
        <v/>
      </c>
      <c r="I88" s="37">
        <f>IF($A88="","",IFERROR(MAX(0,$H88-$G88*kik_sifirCarpan),0))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IF($A89="","",IFERROR(ROUND(MAX(0,$B89*INDEX(tblKurallar[deger_2025],MATCH("KIK-001",tblKurallar[kural_id],0))-($C89+$D89+$E89+$F89)),kik_yuvarMax),0))</f>
        <v/>
      </c>
      <c r="I89" s="37">
        <f>IF($A89="","",IFERROR(MAX(0,$H89-$G89*kik_sifirCarpan),0))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IF($A90="","",IFERROR(ROUND(MAX(0,$B90*INDEX(tblKurallar[deger_2025],MATCH("KIK-001",tblKurallar[kural_id],0))-($C90+$D90+$E90+$F90)),kik_yuvarMax),0))</f>
        <v/>
      </c>
      <c r="I90" s="37">
        <f>IF($A90="","",IFERROR(MAX(0,$H90-$G90*kik_sifirCarpan),0))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IF($A91="","",IFERROR(ROUND(MAX(0,$B91*INDEX(tblKurallar[deger_2025],MATCH("KIK-001",tblKurallar[kural_id],0))-($C91+$D91+$E91+$F91)),kik_yuvarMax),0))</f>
        <v/>
      </c>
      <c r="I91" s="37">
        <f>IF($A91="","",IFERROR(MAX(0,$H91-$G91*kik_sifirCarpan),0))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IF($A92="","",IFERROR(ROUND(MAX(0,$B92*INDEX(tblKurallar[deger_2025],MATCH("KIK-001",tblKurallar[kural_id],0))-($C92+$D92+$E92+$F92)),kik_yuvarMax),0))</f>
        <v/>
      </c>
      <c r="I92" s="37">
        <f>IF($A92="","",IFERROR(MAX(0,$H92-$G92*kik_sifirCarpan),0))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IF($A93="","",IFERROR(ROUND(MAX(0,$B93*INDEX(tblKurallar[deger_2025],MATCH("KIK-001",tblKurallar[kural_id],0))-($C93+$D93+$E93+$F93)),kik_yuvarMax),0))</f>
        <v/>
      </c>
      <c r="I93" s="37">
        <f>IF($A93="","",IFERROR(MAX(0,$H93-$G93*kik_sifirCarpan),0))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IF($A94="","",IFERROR(ROUND(MAX(0,$B94*INDEX(tblKurallar[deger_2025],MATCH("KIK-001",tblKurallar[kural_id],0))-($C94+$D94+$E94+$F94)),kik_yuvarMax),0))</f>
        <v/>
      </c>
      <c r="I94" s="37">
        <f>IF($A94="","",IFERROR(MAX(0,$H94-$G94*kik_sifirCarpan),0))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IF($A95="","",IFERROR(ROUND(MAX(0,$B95*INDEX(tblKurallar[deger_2025],MATCH("KIK-001",tblKurallar[kural_id],0))-($C95+$D95+$E95+$F95)),kik_yuvarMax),0))</f>
        <v/>
      </c>
      <c r="I95" s="37">
        <f>IF($A95="","",IFERROR(MAX(0,$H95-$G95*kik_sifirCarpan),0))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IF($A96="","",IFERROR(ROUND(MAX(0,$B96*INDEX(tblKurallar[deger_2025],MATCH("KIK-001",tblKurallar[kural_id],0))-($C96+$D96+$E96+$F96)),kik_yuvarMax),0))</f>
        <v/>
      </c>
      <c r="I96" s="37">
        <f>IF($A96="","",IFERROR(MAX(0,$H96-$G96*kik_sifirCarpan),0))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IF($A97="","",IFERROR(ROUND(MAX(0,$B97*INDEX(tblKurallar[deger_2025],MATCH("KIK-001",tblKurallar[kural_id],0))-($C97+$D97+$E97+$F97)),kik_yuvarMax),0))</f>
        <v/>
      </c>
      <c r="I97" s="37">
        <f>IF($A97="","",IFERROR(MAX(0,$H97-$G97*kik_sifirCarpan),0))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IF($A98="","",IFERROR(ROUND(MAX(0,$B98*INDEX(tblKurallar[deger_2025],MATCH("KIK-001",tblKurallar[kural_id],0))-($C98+$D98+$E98+$F98)),kik_yuvarMax),0))</f>
        <v/>
      </c>
      <c r="I98" s="37">
        <f>IF($A98="","",IFERROR(MAX(0,$H98-$G98*kik_sifirCarpan),0))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IF($A99="","",IFERROR(ROUND(MAX(0,$B99*INDEX(tblKurallar[deger_2025],MATCH("KIK-001",tblKurallar[kural_id],0))-($C99+$D99+$E99+$F99)),kik_yuvarMax),0))</f>
        <v/>
      </c>
      <c r="I99" s="37">
        <f>IF($A99="","",IFERROR(MAX(0,$H99-$G99*kik_sifirCarpan),0))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IF($A100="","",IFERROR(ROUND(MAX(0,$B100*INDEX(tblKurallar[deger_2025],MATCH("KIK-001",tblKurallar[kural_id],0))-($C100+$D100+$E100+$F100)),kik_yuvarMax),0))</f>
        <v/>
      </c>
      <c r="I100" s="37">
        <f>IF($A100="","",IFERROR(MAX(0,$H100-$G100*kik_sifirCarpan),0))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IF($A101="","",IFERROR(ROUND(MAX(0,$B101*INDEX(tblKurallar[deger_2025],MATCH("KIK-001",tblKurallar[kural_id],0))-($C101+$D101+$E101+$F101)),kik_yuvarMax),0))</f>
        <v/>
      </c>
      <c r="I101" s="37">
        <f>IF($A101="","",IFERROR(MAX(0,$H101-$G101*kik_sifirCarpan),0))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IF($A102="","",IFERROR(ROUND(MAX(0,$B102*INDEX(tblKurallar[deger_2025],MATCH("KIK-001",tblKurallar[kural_id],0))-($C102+$D102+$E102+$F102)),kik_yuvarMax),0))</f>
        <v/>
      </c>
      <c r="I102" s="37">
        <f>IF($A102="","",IFERROR(MAX(0,$H102-$G102*kik_sifirCarpan),0))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IF($A103="","",IFERROR(ROUND(MAX(0,$B103*INDEX(tblKurallar[deger_2025],MATCH("KIK-001",tblKurallar[kural_id],0))-($C103+$D103+$E103+$F103)),kik_yuvarMax),0))</f>
        <v/>
      </c>
      <c r="I103" s="37">
        <f>IF($A103="","",IFERROR(MAX(0,$H103-$G103*kik_sifirCarpan),0))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IF($A104="","",IFERROR(ROUND(MAX(0,$B104*INDEX(tblKurallar[deger_2025],MATCH("KIK-001",tblKurallar[kural_id],0))-($C104+$D104+$E104+$F104)),kik_yuvarMax),0))</f>
        <v/>
      </c>
      <c r="I104" s="37">
        <f>IF($A104="","",IFERROR(MAX(0,$H104-$G104*kik_sifirCarpan),0))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IF($A105="","",IFERROR(ROUND(MAX(0,$B105*INDEX(tblKurallar[deger_2025],MATCH("KIK-001",tblKurallar[kural_id],0))-($C105+$D105+$E105+$F105)),kik_yuvarMax),0))</f>
        <v/>
      </c>
      <c r="I105" s="37">
        <f>IF($A105="","",IFERROR(MAX(0,$H105-$G105*kik_sifirCarpan),0))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IF($A106="","",IFERROR(ROUND(MAX(0,$B106*INDEX(tblKurallar[deger_2025],MATCH("KIK-001",tblKurallar[kural_id],0))-($C106+$D106+$E106+$F106)),kik_yuvarMax),0))</f>
        <v/>
      </c>
      <c r="I106" s="37">
        <f>IF($A106="","",IFERROR(MAX(0,$H106-$G106*kik_sifirCarpan),0))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IF($A107="","",IFERROR(ROUND(MAX(0,$B107*INDEX(tblKurallar[deger_2025],MATCH("KIK-001",tblKurallar[kural_id],0))-($C107+$D107+$E107+$F107)),kik_yuvarMax),0))</f>
        <v/>
      </c>
      <c r="I107" s="37">
        <f>IF($A107="","",IFERROR(MAX(0,$H107-$G107*kik_sifirCarpan),0))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IF($A108="","",IFERROR(ROUND(MAX(0,$B108*INDEX(tblKurallar[deger_2025],MATCH("KIK-001",tblKurallar[kural_id],0))-($C108+$D108+$E108+$F108)),kik_yuvarMax),0))</f>
        <v/>
      </c>
      <c r="I108" s="37">
        <f>IF($A108="","",IFERROR(MAX(0,$H108-$G108*kik_sifirCarpan),0))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IF($A109="","",IFERROR(ROUND(MAX(0,$B109*INDEX(tblKurallar[deger_2025],MATCH("KIK-001",tblKurallar[kural_id],0))-($C109+$D109+$E109+$F109)),kik_yuvarMax),0))</f>
        <v/>
      </c>
      <c r="I109" s="37">
        <f>IF($A109="","",IFERROR(MAX(0,$H109-$G109*kik_sifirCarpan),0))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IF($A110="","",IFERROR(ROUND(MAX(0,$B110*INDEX(tblKurallar[deger_2025],MATCH("KIK-001",tblKurallar[kural_id],0))-($C110+$D110+$E110+$F110)),kik_yuvarMax),0))</f>
        <v/>
      </c>
      <c r="I110" s="37">
        <f>IF($A110="","",IFERROR(MAX(0,$H110-$G110*kik_sifirCarpan),0))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IF($A111="","",IFERROR(ROUND(MAX(0,$B111*INDEX(tblKurallar[deger_2025],MATCH("KIK-001",tblKurallar[kural_id],0))-($C111+$D111+$E111+$F111)),kik_yuvarMax),0))</f>
        <v/>
      </c>
      <c r="I111" s="37">
        <f>IF($A111="","",IFERROR(MAX(0,$H111-$G111*kik_sifirCarpan),0))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IF($A112="","",IFERROR(ROUND(MAX(0,$B112*INDEX(tblKurallar[deger_2025],MATCH("KIK-001",tblKurallar[kural_id],0))-($C112+$D112+$E112+$F112)),kik_yuvarMax),0))</f>
        <v/>
      </c>
      <c r="I112" s="37">
        <f>IF($A112="","",IFERROR(MAX(0,$H112-$G112*kik_sifirCarpan),0))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IF($A113="","",IFERROR(ROUND(MAX(0,$B113*INDEX(tblKurallar[deger_2025],MATCH("KIK-001",tblKurallar[kural_id],0))-($C113+$D113+$E113+$F113)),kik_yuvarMax),0))</f>
        <v/>
      </c>
      <c r="I113" s="37">
        <f>IF($A113="","",IFERROR(MAX(0,$H113-$G113*kik_sifirCarpan),0))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IF($A114="","",IFERROR(ROUND(MAX(0,$B114*INDEX(tblKurallar[deger_2025],MATCH("KIK-001",tblKurallar[kural_id],0))-($C114+$D114+$E114+$F114)),kik_yuvarMax),0))</f>
        <v/>
      </c>
      <c r="I114" s="37">
        <f>IF($A114="","",IFERROR(MAX(0,$H114-$G114*kik_sifirCarpan),0))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IF($A115="","",IFERROR(ROUND(MAX(0,$B115*INDEX(tblKurallar[deger_2025],MATCH("KIK-001",tblKurallar[kural_id],0))-($C115+$D115+$E115+$F115)),kik_yuvarMax),0))</f>
        <v/>
      </c>
      <c r="I115" s="37">
        <f>IF($A115="","",IFERROR(MAX(0,$H115-$G115*kik_sifirCarpan),0))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IF($A116="","",IFERROR(ROUND(MAX(0,$B116*INDEX(tblKurallar[deger_2025],MATCH("KIK-001",tblKurallar[kural_id],0))-($C116+$D116+$E116+$F116)),kik_yuvarMax),0))</f>
        <v/>
      </c>
      <c r="I116" s="37">
        <f>IF($A116="","",IFERROR(MAX(0,$H116-$G116*kik_sifirCarpan),0))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IF($A117="","",IFERROR(ROUND(MAX(0,$B117*INDEX(tblKurallar[deger_2025],MATCH("KIK-001",tblKurallar[kural_id],0))-($C117+$D117+$E117+$F117)),kik_yuvarMax),0))</f>
        <v/>
      </c>
      <c r="I117" s="37">
        <f>IF($A117="","",IFERROR(MAX(0,$H117-$G117*kik_sifirCarpan),0))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IF($A118="","",IFERROR(ROUND(MAX(0,$B118*INDEX(tblKurallar[deger_2025],MATCH("KIK-001",tblKurallar[kural_id],0))-($C118+$D118+$E118+$F118)),kik_yuvarMax),0))</f>
        <v/>
      </c>
      <c r="I118" s="37">
        <f>IF($A118="","",IFERROR(MAX(0,$H118-$G118*kik_sifirCarpan),0))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IF($A119="","",IFERROR(ROUND(MAX(0,$B119*INDEX(tblKurallar[deger_2025],MATCH("KIK-001",tblKurallar[kural_id],0))-($C119+$D119+$E119+$F119)),kik_yuvarMax),0))</f>
        <v/>
      </c>
      <c r="I119" s="37">
        <f>IF($A119="","",IFERROR(MAX(0,$H119-$G119*kik_sifirCarpan),0))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IF($A120="","",IFERROR(ROUND(MAX(0,$B120*INDEX(tblKurallar[deger_2025],MATCH("KIK-001",tblKurallar[kural_id],0))-($C120+$D120+$E120+$F120)),kik_yuvarMax),0))</f>
        <v/>
      </c>
      <c r="I120" s="37">
        <f>IF($A120="","",IFERROR(MAX(0,$H120-$G120*kik_sifirCarpan),0))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IF($A121="","",IFERROR(ROUND(MAX(0,$B121*INDEX(tblKurallar[deger_2025],MATCH("KIK-001",tblKurallar[kural_id],0))-($C121+$D121+$E121+$F121)),kik_yuvarMax),0))</f>
        <v/>
      </c>
      <c r="I121" s="37">
        <f>IF($A121="","",IFERROR(MAX(0,$H121-$G121*kik_sifirCarpan),0))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IF($A122="","",IFERROR(ROUND(MAX(0,$B122*INDEX(tblKurallar[deger_2025],MATCH("KIK-001",tblKurallar[kural_id],0))-($C122+$D122+$E122+$F122)),kik_yuvarMax),0))</f>
        <v/>
      </c>
      <c r="I122" s="37">
        <f>IF($A122="","",IFERROR(MAX(0,$H122-$G122*kik_sifirCarpan),0))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IF($A123="","",IFERROR(ROUND(MAX(0,$B123*INDEX(tblKurallar[deger_2025],MATCH("KIK-001",tblKurallar[kural_id],0))-($C123+$D123+$E123+$F123)),kik_yuvarMax),0))</f>
        <v/>
      </c>
      <c r="I123" s="37">
        <f>IF($A123="","",IFERROR(MAX(0,$H123-$G123*kik_sifirCarpan),0))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IF($A124="","",IFERROR(ROUND(MAX(0,$B124*INDEX(tblKurallar[deger_2025],MATCH("KIK-001",tblKurallar[kural_id],0))-($C124+$D124+$E124+$F124)),kik_yuvarMax),0))</f>
        <v/>
      </c>
      <c r="I124" s="37">
        <f>IF($A124="","",IFERROR(MAX(0,$H124-$G124*kik_sifirCarpan),0))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IF($A125="","",IFERROR(ROUND(MAX(0,$B125*INDEX(tblKurallar[deger_2025],MATCH("KIK-001",tblKurallar[kural_id],0))-($C125+$D125+$E125+$F125)),kik_yuvarMax),0))</f>
        <v/>
      </c>
      <c r="I125" s="37">
        <f>IF($A125="","",IFERROR(MAX(0,$H125-$G125*kik_sifirCarpan),0))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IF($A126="","",IFERROR(ROUND(MAX(0,$B126*INDEX(tblKurallar[deger_2025],MATCH("KIK-001",tblKurallar[kural_id],0))-($C126+$D126+$E126+$F126)),kik_yuvarMax),0))</f>
        <v/>
      </c>
      <c r="I126" s="37">
        <f>IF($A126="","",IFERROR(MAX(0,$H126-$G126*kik_sifirCarpan),0))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IF($A127="","",IFERROR(ROUND(MAX(0,$B127*INDEX(tblKurallar[deger_2025],MATCH("KIK-001",tblKurallar[kural_id],0))-($C127+$D127+$E127+$F127)),kik_yuvarMax),0))</f>
        <v/>
      </c>
      <c r="I127" s="37">
        <f>IF($A127="","",IFERROR(MAX(0,$H127-$G127*kik_sifirCarpan),0))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IF($A128="","",IFERROR(ROUND(MAX(0,$B128*INDEX(tblKurallar[deger_2025],MATCH("KIK-001",tblKurallar[kural_id],0))-($C128+$D128+$E128+$F128)),kik_yuvarMax),0))</f>
        <v/>
      </c>
      <c r="I128" s="37">
        <f>IF($A128="","",IFERROR(MAX(0,$H128-$G128*kik_sifirCarpan),0))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IF($A129="","",IFERROR(ROUND(MAX(0,$B129*INDEX(tblKurallar[deger_2025],MATCH("KIK-001",tblKurallar[kural_id],0))-($C129+$D129+$E129+$F129)),kik_yuvarMax),0))</f>
        <v/>
      </c>
      <c r="I129" s="37">
        <f>IF($A129="","",IFERROR(MAX(0,$H129-$G129*kik_sifirCarpan),0))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IF($A130="","",IFERROR(ROUND(MAX(0,$B130*INDEX(tblKurallar[deger_2025],MATCH("KIK-001",tblKurallar[kural_id],0))-($C130+$D130+$E130+$F130)),kik_yuvarMax),0))</f>
        <v/>
      </c>
      <c r="I130" s="37">
        <f>IF($A130="","",IFERROR(MAX(0,$H130-$G130*kik_sifirCarpan),0))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IF($A131="","",IFERROR(ROUND(MAX(0,$B131*INDEX(tblKurallar[deger_2025],MATCH("KIK-001",tblKurallar[kural_id],0))-($C131+$D131+$E131+$F131)),kik_yuvarMax),0))</f>
        <v/>
      </c>
      <c r="I131" s="37">
        <f>IF($A131="","",IFERROR(MAX(0,$H131-$G131*kik_sifirCarpan),0))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IF($A132="","",IFERROR(ROUND(MAX(0,$B132*INDEX(tblKurallar[deger_2025],MATCH("KIK-001",tblKurallar[kural_id],0))-($C132+$D132+$E132+$F132)),kik_yuvarMax),0))</f>
        <v/>
      </c>
      <c r="I132" s="37">
        <f>IF($A132="","",IFERROR(MAX(0,$H132-$G132*kik_sifirCarpan),0))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IF($A133="","",IFERROR(ROUND(MAX(0,$B133*INDEX(tblKurallar[deger_2025],MATCH("KIK-001",tblKurallar[kural_id],0))-($C133+$D133+$E133+$F133)),kik_yuvarMax),0))</f>
        <v/>
      </c>
      <c r="I133" s="37">
        <f>IF($A133="","",IFERROR(MAX(0,$H133-$G133*kik_sifirCarpan),0))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IF($A134="","",IFERROR(ROUND(MAX(0,$B134*INDEX(tblKurallar[deger_2025],MATCH("KIK-001",tblKurallar[kural_id],0))-($C134+$D134+$E134+$F134)),kik_yuvarMax),0))</f>
        <v/>
      </c>
      <c r="I134" s="37">
        <f>IF($A134="","",IFERROR(MAX(0,$H134-$G134*kik_sifirCarpan),0))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IF($A135="","",IFERROR(ROUND(MAX(0,$B135*INDEX(tblKurallar[deger_2025],MATCH("KIK-001",tblKurallar[kural_id],0))-($C135+$D135+$E135+$F135)),kik_yuvarMax),0))</f>
        <v/>
      </c>
      <c r="I135" s="37">
        <f>IF($A135="","",IFERROR(MAX(0,$H135-$G135*kik_sifirCarpan),0))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IF($A136="","",IFERROR(ROUND(MAX(0,$B136*INDEX(tblKurallar[deger_2025],MATCH("KIK-001",tblKurallar[kural_id],0))-($C136+$D136+$E136+$F136)),kik_yuvarMax),0))</f>
        <v/>
      </c>
      <c r="I136" s="37">
        <f>IF($A136="","",IFERROR(MAX(0,$H136-$G136*kik_sifirCarpan),0))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IF($A137="","",IFERROR(ROUND(MAX(0,$B137*INDEX(tblKurallar[deger_2025],MATCH("KIK-001",tblKurallar[kural_id],0))-($C137+$D137+$E137+$F137)),kik_yuvarMax),0))</f>
        <v/>
      </c>
      <c r="I137" s="37">
        <f>IF($A137="","",IFERROR(MAX(0,$H137-$G137*kik_sifirCarpan),0))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IF($A138="","",IFERROR(ROUND(MAX(0,$B138*INDEX(tblKurallar[deger_2025],MATCH("KIK-001",tblKurallar[kural_id],0))-($C138+$D138+$E138+$F138)),kik_yuvarMax),0))</f>
        <v/>
      </c>
      <c r="I138" s="37">
        <f>IF($A138="","",IFERROR(MAX(0,$H138-$G138*kik_sifirCarpan),0))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IF($A139="","",IFERROR(ROUND(MAX(0,$B139*INDEX(tblKurallar[deger_2025],MATCH("KIK-001",tblKurallar[kural_id],0))-($C139+$D139+$E139+$F139)),kik_yuvarMax),0))</f>
        <v/>
      </c>
      <c r="I139" s="37">
        <f>IF($A139="","",IFERROR(MAX(0,$H139-$G139*kik_sifirCarpan),0))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IF($A140="","",IFERROR(ROUND(MAX(0,$B140*INDEX(tblKurallar[deger_2025],MATCH("KIK-001",tblKurallar[kural_id],0))-($C140+$D140+$E140+$F140)),kik_yuvarMax),0))</f>
        <v/>
      </c>
      <c r="I140" s="37">
        <f>IF($A140="","",IFERROR(MAX(0,$H140-$G140*kik_sifirCarpan),0))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IF($A141="","",IFERROR(ROUND(MAX(0,$B141*INDEX(tblKurallar[deger_2025],MATCH("KIK-001",tblKurallar[kural_id],0))-($C141+$D141+$E141+$F141)),kik_yuvarMax),0))</f>
        <v/>
      </c>
      <c r="I141" s="37">
        <f>IF($A141="","",IFERROR(MAX(0,$H141-$G141*kik_sifirCarpan),0))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IF($A142="","",IFERROR(ROUND(MAX(0,$B142*INDEX(tblKurallar[deger_2025],MATCH("KIK-001",tblKurallar[kural_id],0))-($C142+$D142+$E142+$F142)),kik_yuvarMax),0))</f>
        <v/>
      </c>
      <c r="I142" s="37">
        <f>IF($A142="","",IFERROR(MAX(0,$H142-$G142*kik_sifirCarpan),0))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IF($A143="","",IFERROR(ROUND(MAX(0,$B143*INDEX(tblKurallar[deger_2025],MATCH("KIK-001",tblKurallar[kural_id],0))-($C143+$D143+$E143+$F143)),kik_yuvarMax),0))</f>
        <v/>
      </c>
      <c r="I143" s="37">
        <f>IF($A143="","",IFERROR(MAX(0,$H143-$G143*kik_sifirCarpan),0))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IF($A144="","",IFERROR(ROUND(MAX(0,$B144*INDEX(tblKurallar[deger_2025],MATCH("KIK-001",tblKurallar[kural_id],0))-($C144+$D144+$E144+$F144)),kik_yuvarMax),0))</f>
        <v/>
      </c>
      <c r="I144" s="37">
        <f>IF($A144="","",IFERROR(MAX(0,$H144-$G144*kik_sifirCarpan),0))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IF($A145="","",IFERROR(ROUND(MAX(0,$B145*INDEX(tblKurallar[deger_2025],MATCH("KIK-001",tblKurallar[kural_id],0))-($C145+$D145+$E145+$F145)),kik_yuvarMax),0))</f>
        <v/>
      </c>
      <c r="I145" s="37">
        <f>IF($A145="","",IFERROR(MAX(0,$H145-$G145*kik_sifirCarpan),0))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IF($A146="","",IFERROR(ROUND(MAX(0,$B146*INDEX(tblKurallar[deger_2025],MATCH("KIK-001",tblKurallar[kural_id],0))-($C146+$D146+$E146+$F146)),kik_yuvarMax),0))</f>
        <v/>
      </c>
      <c r="I146" s="37">
        <f>IF($A146="","",IFERROR(MAX(0,$H146-$G146*kik_sifirCarpan),0))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IF($A147="","",IFERROR(ROUND(MAX(0,$B147*INDEX(tblKurallar[deger_2025],MATCH("KIK-001",tblKurallar[kural_id],0))-($C147+$D147+$E147+$F147)),kik_yuvarMax),0))</f>
        <v/>
      </c>
      <c r="I147" s="37">
        <f>IF($A147="","",IFERROR(MAX(0,$H147-$G147*kik_sifirCarpan),0))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IF($A148="","",IFERROR(ROUND(MAX(0,$B148*INDEX(tblKurallar[deger_2025],MATCH("KIK-001",tblKurallar[kural_id],0))-($C148+$D148+$E148+$F148)),kik_yuvarMax),0))</f>
        <v/>
      </c>
      <c r="I148" s="37">
        <f>IF($A148="","",IFERROR(MAX(0,$H148-$G148*kik_sifirCarpan),0))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IF($A149="","",IFERROR(ROUND(MAX(0,$B149*INDEX(tblKurallar[deger_2025],MATCH("KIK-001",tblKurallar[kural_id],0))-($C149+$D149+$E149+$F149)),kik_yuvarMax),0))</f>
        <v/>
      </c>
      <c r="I149" s="37">
        <f>IF($A149="","",IFERROR(MAX(0,$H149-$G149*kik_sifirCarpan),0))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IF($A150="","",IFERROR(ROUND(MAX(0,$B150*INDEX(tblKurallar[deger_2025],MATCH("KIK-001",tblKurallar[kural_id],0))-($C150+$D150+$E150+$F150)),kik_yuvarMax),0))</f>
        <v/>
      </c>
      <c r="I150" s="37">
        <f>IF($A150="","",IFERROR(MAX(0,$H150-$G150*kik_sifirCarpan),0))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IF($A151="","",IFERROR(ROUND(MAX(0,$B151*INDEX(tblKurallar[deger_2025],MATCH("KIK-001",tblKurallar[kural_id],0))-($C151+$D151+$E151+$F151)),kik_yuvarMax),0))</f>
        <v/>
      </c>
      <c r="I151" s="37">
        <f>IF($A151="","",IFERROR(MAX(0,$H151-$G151*kik_sifirCarpan),0))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IF($A152="","",IFERROR(ROUND(MAX(0,$B152*INDEX(tblKurallar[deger_2025],MATCH("KIK-001",tblKurallar[kural_id],0))-($C152+$D152+$E152+$F152)),kik_yuvarMax),0))</f>
        <v/>
      </c>
      <c r="I152" s="37">
        <f>IF($A152="","",IFERROR(MAX(0,$H152-$G152*kik_sifirCarpan),0))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IF($A153="","",IFERROR(ROUND(MAX(0,$B153*INDEX(tblKurallar[deger_2025],MATCH("KIK-001",tblKurallar[kural_id],0))-($C153+$D153+$E153+$F153)),kik_yuvarMax),0))</f>
        <v/>
      </c>
      <c r="I153" s="37">
        <f>IF($A153="","",IFERROR(MAX(0,$H153-$G153*kik_sifirCarpan),0))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IF($A154="","",IFERROR(ROUND(MAX(0,$B154*INDEX(tblKurallar[deger_2025],MATCH("KIK-001",tblKurallar[kural_id],0))-($C154+$D154+$E154+$F154)),kik_yuvarMax),0))</f>
        <v/>
      </c>
      <c r="I154" s="37">
        <f>IF($A154="","",IFERROR(MAX(0,$H154-$G154*kik_sifirCarpan),0))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IF($A155="","",IFERROR(ROUND(MAX(0,$B155*INDEX(tblKurallar[deger_2025],MATCH("KIK-001",tblKurallar[kural_id],0))-($C155+$D155+$E155+$F155)),kik_yuvarMax),0))</f>
        <v/>
      </c>
      <c r="I155" s="37">
        <f>IF($A155="","",IFERROR(MAX(0,$H155-$G155*kik_sifirCarpan),0))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IF($A156="","",IFERROR(ROUND(MAX(0,$B156*INDEX(tblKurallar[deger_2025],MATCH("KIK-001",tblKurallar[kural_id],0))-($C156+$D156+$E156+$F156)),kik_yuvarMax),0))</f>
        <v/>
      </c>
      <c r="I156" s="37">
        <f>IF($A156="","",IFERROR(MAX(0,$H156-$G156*kik_sifirCarpan),0))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IF($A157="","",IFERROR(ROUND(MAX(0,$B157*INDEX(tblKurallar[deger_2025],MATCH("KIK-001",tblKurallar[kural_id],0))-($C157+$D157+$E157+$F157)),kik_yuvarMax),0))</f>
        <v/>
      </c>
      <c r="I157" s="37">
        <f>IF($A157="","",IFERROR(MAX(0,$H157-$G157*kik_sifirCarpan),0))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IF($A158="","",IFERROR(ROUND(MAX(0,$B158*INDEX(tblKurallar[deger_2025],MATCH("KIK-001",tblKurallar[kural_id],0))-($C158+$D158+$E158+$F158)),kik_yuvarMax),0))</f>
        <v/>
      </c>
      <c r="I158" s="37">
        <f>IF($A158="","",IFERROR(MAX(0,$H158-$G158*kik_sifirCarpan),0))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IF($A159="","",IFERROR(ROUND(MAX(0,$B159*INDEX(tblKurallar[deger_2025],MATCH("KIK-001",tblKurallar[kural_id],0))-($C159+$D159+$E159+$F159)),kik_yuvarMax),0))</f>
        <v/>
      </c>
      <c r="I159" s="37">
        <f>IF($A159="","",IFERROR(MAX(0,$H159-$G159*kik_sifirCarpan),0))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IF($A160="","",IFERROR(ROUND(MAX(0,$B160*INDEX(tblKurallar[deger_2025],MATCH("KIK-001",tblKurallar[kural_id],0))-($C160+$D160+$E160+$F160)),kik_yuvarMax),0))</f>
        <v/>
      </c>
      <c r="I160" s="37">
        <f>IF($A160="","",IFERROR(MAX(0,$H160-$G160*kik_sifirCarpan),0))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IF($A161="","",IFERROR(ROUND(MAX(0,$B161*INDEX(tblKurallar[deger_2025],MATCH("KIK-001",tblKurallar[kural_id],0))-($C161+$D161+$E161+$F161)),kik_yuvarMax),0))</f>
        <v/>
      </c>
      <c r="I161" s="37">
        <f>IF($A161="","",IFERROR(MAX(0,$H161-$G161*kik_sifirCarpan),0))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IF($A162="","",IFERROR(ROUND(MAX(0,$B162*INDEX(tblKurallar[deger_2025],MATCH("KIK-001",tblKurallar[kural_id],0))-($C162+$D162+$E162+$F162)),kik_yuvarMax),0))</f>
        <v/>
      </c>
      <c r="I162" s="37">
        <f>IF($A162="","",IFERROR(MAX(0,$H162-$G162*kik_sifirCarpan),0))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IF($A163="","",IFERROR(ROUND(MAX(0,$B163*INDEX(tblKurallar[deger_2025],MATCH("KIK-001",tblKurallar[kural_id],0))-($C163+$D163+$E163+$F163)),kik_yuvarMax),0))</f>
        <v/>
      </c>
      <c r="I163" s="37">
        <f>IF($A163="","",IFERROR(MAX(0,$H163-$G163*kik_sifirCarpan),0))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IF($A164="","",IFERROR(ROUND(MAX(0,$B164*INDEX(tblKurallar[deger_2025],MATCH("KIK-001",tblKurallar[kural_id],0))-($C164+$D164+$E164+$F164)),kik_yuvarMax),0))</f>
        <v/>
      </c>
      <c r="I164" s="37">
        <f>IF($A164="","",IFERROR(MAX(0,$H164-$G164*kik_sifirCarpan),0))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IF($A165="","",IFERROR(ROUND(MAX(0,$B165*INDEX(tblKurallar[deger_2025],MATCH("KIK-001",tblKurallar[kural_id],0))-($C165+$D165+$E165+$F165)),kik_yuvarMax),0))</f>
        <v/>
      </c>
      <c r="I165" s="37">
        <f>IF($A165="","",IFERROR(MAX(0,$H165-$G165*kik_sifirCarpan),0))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IF($A166="","",IFERROR(ROUND(MAX(0,$B166*INDEX(tblKurallar[deger_2025],MATCH("KIK-001",tblKurallar[kural_id],0))-($C166+$D166+$E166+$F166)),kik_yuvarMax),0))</f>
        <v/>
      </c>
      <c r="I166" s="37">
        <f>IF($A166="","",IFERROR(MAX(0,$H166-$G166*kik_sifirCarpan),0))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IF($A167="","",IFERROR(ROUND(MAX(0,$B167*INDEX(tblKurallar[deger_2025],MATCH("KIK-001",tblKurallar[kural_id],0))-($C167+$D167+$E167+$F167)),kik_yuvarMax),0))</f>
        <v/>
      </c>
      <c r="I167" s="37">
        <f>IF($A167="","",IFERROR(MAX(0,$H167-$G167*kik_sifirCarpan),0))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IF($A168="","",IFERROR(ROUND(MAX(0,$B168*INDEX(tblKurallar[deger_2025],MATCH("KIK-001",tblKurallar[kural_id],0))-($C168+$D168+$E168+$F168)),kik_yuvarMax),0))</f>
        <v/>
      </c>
      <c r="I168" s="37">
        <f>IF($A168="","",IFERROR(MAX(0,$H168-$G168*kik_sifirCarpan),0))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IF($A169="","",IFERROR(ROUND(MAX(0,$B169*INDEX(tblKurallar[deger_2025],MATCH("KIK-001",tblKurallar[kural_id],0))-($C169+$D169+$E169+$F169)),kik_yuvarMax),0))</f>
        <v/>
      </c>
      <c r="I169" s="37">
        <f>IF($A169="","",IFERROR(MAX(0,$H169-$G169*kik_sifirCarpan),0))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IF($A170="","",IFERROR(ROUND(MAX(0,$B170*INDEX(tblKurallar[deger_2025],MATCH("KIK-001",tblKurallar[kural_id],0))-($C170+$D170+$E170+$F170)),kik_yuvarMax),0))</f>
        <v/>
      </c>
      <c r="I170" s="37">
        <f>IF($A170="","",IFERROR(MAX(0,$H170-$G170*kik_sifirCarpan),0))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IF($A171="","",IFERROR(ROUND(MAX(0,$B171*INDEX(tblKurallar[deger_2025],MATCH("KIK-001",tblKurallar[kural_id],0))-($C171+$D171+$E171+$F171)),kik_yuvarMax),0))</f>
        <v/>
      </c>
      <c r="I171" s="37">
        <f>IF($A171="","",IFERROR(MAX(0,$H171-$G171*kik_sifirCarpan),0))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IF($A172="","",IFERROR(ROUND(MAX(0,$B172*INDEX(tblKurallar[deger_2025],MATCH("KIK-001",tblKurallar[kural_id],0))-($C172+$D172+$E172+$F172)),kik_yuvarMax),0))</f>
        <v/>
      </c>
      <c r="I172" s="37">
        <f>IF($A172="","",IFERROR(MAX(0,$H172-$G172*kik_sifirCarpan),0))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IF($A173="","",IFERROR(ROUND(MAX(0,$B173*INDEX(tblKurallar[deger_2025],MATCH("KIK-001",tblKurallar[kural_id],0))-($C173+$D173+$E173+$F173)),kik_yuvarMax),0))</f>
        <v/>
      </c>
      <c r="I173" s="37">
        <f>IF($A173="","",IFERROR(MAX(0,$H173-$G173*kik_sifirCarpan),0))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IF($A174="","",IFERROR(ROUND(MAX(0,$B174*INDEX(tblKurallar[deger_2025],MATCH("KIK-001",tblKurallar[kural_id],0))-($C174+$D174+$E174+$F174)),kik_yuvarMax),0))</f>
        <v/>
      </c>
      <c r="I174" s="37">
        <f>IF($A174="","",IFERROR(MAX(0,$H174-$G174*kik_sifirCarpan),0))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IF($A175="","",IFERROR(ROUND(MAX(0,$B175*INDEX(tblKurallar[deger_2025],MATCH("KIK-001",tblKurallar[kural_id],0))-($C175+$D175+$E175+$F175)),kik_yuvarMax),0))</f>
        <v/>
      </c>
      <c r="I175" s="37">
        <f>IF($A175="","",IFERROR(MAX(0,$H175-$G175*kik_sifirCarpan),0))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IF($A176="","",IFERROR(ROUND(MAX(0,$B176*INDEX(tblKurallar[deger_2025],MATCH("KIK-001",tblKurallar[kural_id],0))-($C176+$D176+$E176+$F176)),kik_yuvarMax),0))</f>
        <v/>
      </c>
      <c r="I176" s="37">
        <f>IF($A176="","",IFERROR(MAX(0,$H176-$G176*kik_sifirCarpan),0))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IF($A177="","",IFERROR(ROUND(MAX(0,$B177*INDEX(tblKurallar[deger_2025],MATCH("KIK-001",tblKurallar[kural_id],0))-($C177+$D177+$E177+$F177)),kik_yuvarMax),0))</f>
        <v/>
      </c>
      <c r="I177" s="37">
        <f>IF($A177="","",IFERROR(MAX(0,$H177-$G177*kik_sifirCarpan),0))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IF($A178="","",IFERROR(ROUND(MAX(0,$B178*INDEX(tblKurallar[deger_2025],MATCH("KIK-001",tblKurallar[kural_id],0))-($C178+$D178+$E178+$F178)),kik_yuvarMax),0))</f>
        <v/>
      </c>
      <c r="I178" s="37">
        <f>IF($A178="","",IFERROR(MAX(0,$H178-$G178*kik_sifirCarpan),0))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IF($A179="","",IFERROR(ROUND(MAX(0,$B179*INDEX(tblKurallar[deger_2025],MATCH("KIK-001",tblKurallar[kural_id],0))-($C179+$D179+$E179+$F179)),kik_yuvarMax),0))</f>
        <v/>
      </c>
      <c r="I179" s="37">
        <f>IF($A179="","",IFERROR(MAX(0,$H179-$G179*kik_sifirCarpan),0))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IF($A180="","",IFERROR(ROUND(MAX(0,$B180*INDEX(tblKurallar[deger_2025],MATCH("KIK-001",tblKurallar[kural_id],0))-($C180+$D180+$E180+$F180)),kik_yuvarMax),0))</f>
        <v/>
      </c>
      <c r="I180" s="37">
        <f>IF($A180="","",IFERROR(MAX(0,$H180-$G180*kik_sifirCarpan),0))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IF($A181="","",IFERROR(ROUND(MAX(0,$B181*INDEX(tblKurallar[deger_2025],MATCH("KIK-001",tblKurallar[kural_id],0))-($C181+$D181+$E181+$F181)),kik_yuvarMax),0))</f>
        <v/>
      </c>
      <c r="I181" s="37">
        <f>IF($A181="","",IFERROR(MAX(0,$H181-$G181*kik_sifirCarpan),0))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IF($A182="","",IFERROR(ROUND(MAX(0,$B182*INDEX(tblKurallar[deger_2025],MATCH("KIK-001",tblKurallar[kural_id],0))-($C182+$D182+$E182+$F182)),kik_yuvarMax),0))</f>
        <v/>
      </c>
      <c r="I182" s="37">
        <f>IF($A182="","",IFERROR(MAX(0,$H182-$G182*kik_sifirCarpan),0))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IF($A183="","",IFERROR(ROUND(MAX(0,$B183*INDEX(tblKurallar[deger_2025],MATCH("KIK-001",tblKurallar[kural_id],0))-($C183+$D183+$E183+$F183)),kik_yuvarMax),0))</f>
        <v/>
      </c>
      <c r="I183" s="37">
        <f>IF($A183="","",IFERROR(MAX(0,$H183-$G183*kik_sifirCarpan),0))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IF($A184="","",IFERROR(ROUND(MAX(0,$B184*INDEX(tblKurallar[deger_2025],MATCH("KIK-001",tblKurallar[kural_id],0))-($C184+$D184+$E184+$F184)),kik_yuvarMax),0))</f>
        <v/>
      </c>
      <c r="I184" s="37">
        <f>IF($A184="","",IFERROR(MAX(0,$H184-$G184*kik_sifirCarpan),0))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IF($A185="","",IFERROR(ROUND(MAX(0,$B185*INDEX(tblKurallar[deger_2025],MATCH("KIK-001",tblKurallar[kural_id],0))-($C185+$D185+$E185+$F185)),kik_yuvarMax),0))</f>
        <v/>
      </c>
      <c r="I185" s="37">
        <f>IF($A185="","",IFERROR(MAX(0,$H185-$G185*kik_sifirCarpan),0))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IF($A186="","",IFERROR(ROUND(MAX(0,$B186*INDEX(tblKurallar[deger_2025],MATCH("KIK-001",tblKurallar[kural_id],0))-($C186+$D186+$E186+$F186)),kik_yuvarMax),0))</f>
        <v/>
      </c>
      <c r="I186" s="37">
        <f>IF($A186="","",IFERROR(MAX(0,$H186-$G186*kik_sifirCarpan),0))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IF($A187="","",IFERROR(ROUND(MAX(0,$B187*INDEX(tblKurallar[deger_2025],MATCH("KIK-001",tblKurallar[kural_id],0))-($C187+$D187+$E187+$F187)),kik_yuvarMax),0))</f>
        <v/>
      </c>
      <c r="I187" s="37">
        <f>IF($A187="","",IFERROR(MAX(0,$H187-$G187*kik_sifirCarpan),0))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IF($A188="","",IFERROR(ROUND(MAX(0,$B188*INDEX(tblKurallar[deger_2025],MATCH("KIK-001",tblKurallar[kural_id],0))-($C188+$D188+$E188+$F188)),kik_yuvarMax),0))</f>
        <v/>
      </c>
      <c r="I188" s="37">
        <f>IF($A188="","",IFERROR(MAX(0,$H188-$G188*kik_sifirCarpan),0))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IF($A189="","",IFERROR(ROUND(MAX(0,$B189*INDEX(tblKurallar[deger_2025],MATCH("KIK-001",tblKurallar[kural_id],0))-($C189+$D189+$E189+$F189)),kik_yuvarMax),0))</f>
        <v/>
      </c>
      <c r="I189" s="37">
        <f>IF($A189="","",IFERROR(MAX(0,$H189-$G189*kik_sifirCarpan),0))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IF($A190="","",IFERROR(ROUND(MAX(0,$B190*INDEX(tblKurallar[deger_2025],MATCH("KIK-001",tblKurallar[kural_id],0))-($C190+$D190+$E190+$F190)),kik_yuvarMax),0))</f>
        <v/>
      </c>
      <c r="I190" s="37">
        <f>IF($A190="","",IFERROR(MAX(0,$H190-$G190*kik_sifirCarpan),0))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IF($A191="","",IFERROR(ROUND(MAX(0,$B191*INDEX(tblKurallar[deger_2025],MATCH("KIK-001",tblKurallar[kural_id],0))-($C191+$D191+$E191+$F191)),kik_yuvarMax),0))</f>
        <v/>
      </c>
      <c r="I191" s="37">
        <f>IF($A191="","",IFERROR(MAX(0,$H191-$G191*kik_sifirCarpan),0))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IF($A192="","",IFERROR(ROUND(MAX(0,$B192*INDEX(tblKurallar[deger_2025],MATCH("KIK-001",tblKurallar[kural_id],0))-($C192+$D192+$E192+$F192)),kik_yuvarMax),0))</f>
        <v/>
      </c>
      <c r="I192" s="37">
        <f>IF($A192="","",IFERROR(MAX(0,$H192-$G192*kik_sifirCarpan),0))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IF($A193="","",IFERROR(ROUND(MAX(0,$B193*INDEX(tblKurallar[deger_2025],MATCH("KIK-001",tblKurallar[kural_id],0))-($C193+$D193+$E193+$F193)),kik_yuvarMax),0))</f>
        <v/>
      </c>
      <c r="I193" s="37">
        <f>IF($A193="","",IFERROR(MAX(0,$H193-$G193*kik_sifirCarpan),0))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IF($A194="","",IFERROR(ROUND(MAX(0,$B194*INDEX(tblKurallar[deger_2025],MATCH("KIK-001",tblKurallar[kural_id],0))-($C194+$D194+$E194+$F194)),kik_yuvarMax),0))</f>
        <v/>
      </c>
      <c r="I194" s="37">
        <f>IF($A194="","",IFERROR(MAX(0,$H194-$G194*kik_sifirCarpan),0))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IF($A195="","",IFERROR(ROUND(MAX(0,$B195*INDEX(tblKurallar[deger_2025],MATCH("KIK-001",tblKurallar[kural_id],0))-($C195+$D195+$E195+$F195)),kik_yuvarMax),0))</f>
        <v/>
      </c>
      <c r="I195" s="37">
        <f>IF($A195="","",IFERROR(MAX(0,$H195-$G195*kik_sifirCarpan),0))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IF($A196="","",IFERROR(ROUND(MAX(0,$B196*INDEX(tblKurallar[deger_2025],MATCH("KIK-001",tblKurallar[kural_id],0))-($C196+$D196+$E196+$F196)),kik_yuvarMax),0))</f>
        <v/>
      </c>
      <c r="I196" s="37">
        <f>IF($A196="","",IFERROR(MAX(0,$H196-$G196*kik_sifirCarpan),0))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IF($A197="","",IFERROR(ROUND(MAX(0,$B197*INDEX(tblKurallar[deger_2025],MATCH("KIK-001",tblKurallar[kural_id],0))-($C197+$D197+$E197+$F197)),kik_yuvarMax),0))</f>
        <v/>
      </c>
      <c r="I197" s="37">
        <f>IF($A197="","",IFERROR(MAX(0,$H197-$G197*kik_sifirCarpan),0))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IF($A198="","",IFERROR(ROUND(MAX(0,$B198*INDEX(tblKurallar[deger_2025],MATCH("KIK-001",tblKurallar[kural_id],0))-($C198+$D198+$E198+$F198)),kik_yuvarMax),0))</f>
        <v/>
      </c>
      <c r="I198" s="37">
        <f>IF($A198="","",IFERROR(MAX(0,$H198-$G198*kik_sifirCarpan),0))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IF($A199="","",IFERROR(ROUND(MAX(0,$B199*INDEX(tblKurallar[deger_2025],MATCH("KIK-001",tblKurallar[kural_id],0))-($C199+$D199+$E199+$F199)),kik_yuvarMax),0))</f>
        <v/>
      </c>
      <c r="I199" s="37">
        <f>IF($A199="","",IFERROR(MAX(0,$H199-$G199*kik_sifirCarpan),0))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IF($A200="","",IFERROR(ROUND(MAX(0,$B200*INDEX(tblKurallar[deger_2025],MATCH("KIK-001",tblKurallar[kural_id],0))-($C200+$D200+$E200+$F200)),kik_yuvarMax),0))</f>
        <v/>
      </c>
      <c r="I200" s="37">
        <f>IF($A200="","",IFERROR(MAX(0,$H200-$G200*kik_sifirCarpan),0))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IF($A201="","",IFERROR(ROUND(MAX(0,$B201*INDEX(tblKurallar[deger_2025],MATCH("KIK-001",tblKurallar[kural_id],0))-($C201+$D201+$E201+$F201)),kik_yuvarMax),0))</f>
        <v/>
      </c>
      <c r="I201" s="37">
        <f>IF($A201="","",IFERROR(MAX(0,$H201-$G201*kik_sifirCarpan),0))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IF($A202="","",IFERROR(ROUND(MAX(0,$B202*INDEX(tblKurallar[deger_2025],MATCH("KIK-001",tblKurallar[kural_id],0))-($C202+$D202+$E202+$F202)),kik_yuvarMax),0))</f>
        <v/>
      </c>
      <c r="I202" s="37">
        <f>IF($A202="","",IFERROR(MAX(0,$H202-$G202*kik_sifirCarpan),0))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IF($A203="","",IFERROR(ROUND(MAX(0,$B203*INDEX(tblKurallar[deger_2025],MATCH("KIK-001",tblKurallar[kural_id],0))-($C203+$D203+$E203+$F203)),kik_yuvarMax),0))</f>
        <v/>
      </c>
      <c r="I203" s="37">
        <f>IF($A203="","",IFERROR(MAX(0,$H203-$G203*kik_sifirCarpan),0))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IF($A204="","",IFERROR(ROUND(MAX(0,$B204*INDEX(tblKurallar[deger_2025],MATCH("KIK-001",tblKurallar[kural_id],0))-($C204+$D204+$E204+$F204)),kik_yuvarMax),0))</f>
        <v/>
      </c>
      <c r="I204" s="37">
        <f>IF($A204="","",IFERROR(MAX(0,$H204-$G204*kik_sifirCarpan),0))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IF($A205="","",IFERROR(ROUND(MAX(0,$B205*INDEX(tblKurallar[deger_2025],MATCH("KIK-001",tblKurallar[kural_id],0))-($C205+$D205+$E205+$F205)),kik_yuvarMax),0))</f>
        <v/>
      </c>
      <c r="I205" s="37">
        <f>IF($A205="","",IFERROR(MAX(0,$H205-$G205*kik_sifirCarpan),0))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IF($A206="","",IFERROR(ROUND(MAX(0,$B206*INDEX(tblKurallar[deger_2025],MATCH("KIK-001",tblKurallar[kural_id],0))-($C206+$D206+$E206+$F206)),kik_yuvarMax),0))</f>
        <v/>
      </c>
      <c r="I206" s="37">
        <f>IF($A206="","",IFERROR(MAX(0,$H206-$G206*kik_sifirCarpan),0))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IF($A207="","",IFERROR(ROUND(MAX(0,$B207*INDEX(tblKurallar[deger_2025],MATCH("KIK-001",tblKurallar[kural_id],0))-($C207+$D207+$E207+$F207)),kik_yuvarMax),0))</f>
        <v/>
      </c>
      <c r="I207" s="37">
        <f>IF($A207="","",IFERROR(MAX(0,$H207-$G207*kik_sifirCarpan),0))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IF($A208="","",IFERROR(ROUND(MAX(0,$B208*INDEX(tblKurallar[deger_2025],MATCH("KIK-001",tblKurallar[kural_id],0))-($C208+$D208+$E208+$F208)),kik_yuvarMax),0))</f>
        <v/>
      </c>
      <c r="I208" s="37">
        <f>IF($A208="","",IFERROR(MAX(0,$H208-$G208*kik_sifirCarpan),0))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IF($A209="","",IFERROR(ROUND(MAX(0,$B209*INDEX(tblKurallar[deger_2025],MATCH("KIK-001",tblKurallar[kural_id],0))-($C209+$D209+$E209+$F209)),kik_yuvarMax),0))</f>
        <v/>
      </c>
      <c r="I209" s="37">
        <f>IF($A209="","",IFERROR(MAX(0,$H209-$G209*kik_sifirCarpan),0))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IF($A210="","",IFERROR(ROUND(MAX(0,$B210*INDEX(tblKurallar[deger_2025],MATCH("KIK-001",tblKurallar[kural_id],0))-($C210+$D210+$E210+$F210)),kik_yuvarMax),0))</f>
        <v/>
      </c>
      <c r="I210" s="37">
        <f>IF($A210="","",IFERROR(MAX(0,$H210-$G210*kik_sifirCarpan),0))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IF($A211="","",IFERROR(ROUND(MAX(0,$B211*INDEX(tblKurallar[deger_2025],MATCH("KIK-001",tblKurallar[kural_id],0))-($C211+$D211+$E211+$F211)),kik_yuvarMax),0))</f>
        <v/>
      </c>
      <c r="I211" s="37">
        <f>IF($A211="","",IFERROR(MAX(0,$H211-$G211*kik_sifirCarpan),0))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IF($A212="","",IFERROR(ROUND(MAX(0,$B212*INDEX(tblKurallar[deger_2025],MATCH("KIK-001",tblKurallar[kural_id],0))-($C212+$D212+$E212+$F212)),kik_yuvarMax),0))</f>
        <v/>
      </c>
      <c r="I212" s="37">
        <f>IF($A212="","",IFERROR(MAX(0,$H212-$G212*kik_sifirCarpan),0))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IF($A213="","",IFERROR(ROUND(MAX(0,$B213*INDEX(tblKurallar[deger_2025],MATCH("KIK-001",tblKurallar[kural_id],0))-($C213+$D213+$E213+$F213)),kik_yuvarMax),0))</f>
        <v/>
      </c>
      <c r="I213" s="37">
        <f>IF($A213="","",IFERROR(MAX(0,$H213-$G213*kik_sifirCarpan),0))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IF($A214="","",IFERROR(ROUND(MAX(0,$B214*INDEX(tblKurallar[deger_2025],MATCH("KIK-001",tblKurallar[kural_id],0))-($C214+$D214+$E214+$F214)),kik_yuvarMax),0))</f>
        <v/>
      </c>
      <c r="I214" s="37">
        <f>IF($A214="","",IFERROR(MAX(0,$H214-$G214*kik_sifirCarpan),0))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IF($A215="","",IFERROR(ROUND(MAX(0,$B215*INDEX(tblKurallar[deger_2025],MATCH("KIK-001",tblKurallar[kural_id],0))-($C215+$D215+$E215+$F215)),kik_yuvarMax),0))</f>
        <v/>
      </c>
      <c r="I215" s="37">
        <f>IF($A215="","",IFERROR(MAX(0,$H215-$G215*kik_sifirCarpan),0))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IF($A216="","",IFERROR(ROUND(MAX(0,$B216*INDEX(tblKurallar[deger_2025],MATCH("KIK-001",tblKurallar[kural_id],0))-($C216+$D216+$E216+$F216)),kik_yuvarMax),0))</f>
        <v/>
      </c>
      <c r="I216" s="37">
        <f>IF($A216="","",IFERROR(MAX(0,$H216-$G216*kik_sifirCarpan),0))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IF($A217="","",IFERROR(ROUND(MAX(0,$B217*INDEX(tblKurallar[deger_2025],MATCH("KIK-001",tblKurallar[kural_id],0))-($C217+$D217+$E217+$F217)),kik_yuvarMax),0))</f>
        <v/>
      </c>
      <c r="I217" s="37">
        <f>IF($A217="","",IFERROR(MAX(0,$H217-$G217*kik_sifirCarpan),0))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IF($A218="","",IFERROR(ROUND(MAX(0,$B218*INDEX(tblKurallar[deger_2025],MATCH("KIK-001",tblKurallar[kural_id],0))-($C218+$D218+$E218+$F218)),kik_yuvarMax),0))</f>
        <v/>
      </c>
      <c r="I218" s="37">
        <f>IF($A218="","",IFERROR(MAX(0,$H218-$G218*kik_sifirCarpan),0))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IF($A219="","",IFERROR(ROUND(MAX(0,$B219*INDEX(tblKurallar[deger_2025],MATCH("KIK-001",tblKurallar[kural_id],0))-($C219+$D219+$E219+$F219)),kik_yuvarMax),0))</f>
        <v/>
      </c>
      <c r="I219" s="37">
        <f>IF($A219="","",IFERROR(MAX(0,$H219-$G219*kik_sifirCarpan),0))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IF($A220="","",IFERROR(ROUND(MAX(0,$B220*INDEX(tblKurallar[deger_2025],MATCH("KIK-001",tblKurallar[kural_id],0))-($C220+$D220+$E220+$F220)),kik_yuvarMax),0))</f>
        <v/>
      </c>
      <c r="I220" s="37">
        <f>IF($A220="","",IFERROR(MAX(0,$H220-$G220*kik_sifirCarpan),0))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IF($A221="","",IFERROR(ROUND(MAX(0,$B221*INDEX(tblKurallar[deger_2025],MATCH("KIK-001",tblKurallar[kural_id],0))-($C221+$D221+$E221+$F221)),kik_yuvarMax),0))</f>
        <v/>
      </c>
      <c r="I221" s="37">
        <f>IF($A221="","",IFERROR(MAX(0,$H221-$G221*kik_sifirCarpan),0))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IF($A222="","",IFERROR(ROUND(MAX(0,$B222*INDEX(tblKurallar[deger_2025],MATCH("KIK-001",tblKurallar[kural_id],0))-($C222+$D222+$E222+$F222)),kik_yuvarMax),0))</f>
        <v/>
      </c>
      <c r="I222" s="37">
        <f>IF($A222="","",IFERROR(MAX(0,$H222-$G222*kik_sifirCarpan),0))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IF($A223="","",IFERROR(ROUND(MAX(0,$B223*INDEX(tblKurallar[deger_2025],MATCH("KIK-001",tblKurallar[kural_id],0))-($C223+$D223+$E223+$F223)),kik_yuvarMax),0))</f>
        <v/>
      </c>
      <c r="I223" s="37">
        <f>IF($A223="","",IFERROR(MAX(0,$H223-$G223*kik_sifirCarpan),0))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IF($A224="","",IFERROR(ROUND(MAX(0,$B224*INDEX(tblKurallar[deger_2025],MATCH("KIK-001",tblKurallar[kural_id],0))-($C224+$D224+$E224+$F224)),kik_yuvarMax),0))</f>
        <v/>
      </c>
      <c r="I224" s="37">
        <f>IF($A224="","",IFERROR(MAX(0,$H224-$G224*kik_sifirCarpan),0))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IF($A225="","",IFERROR(ROUND(MAX(0,$B225*INDEX(tblKurallar[deger_2025],MATCH("KIK-001",tblKurallar[kural_id],0))-($C225+$D225+$E225+$F225)),kik_yuvarMax),0))</f>
        <v/>
      </c>
      <c r="I225" s="37">
        <f>IF($A225="","",IFERROR(MAX(0,$H225-$G225*kik_sifirCarpan),0))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IF($A226="","",IFERROR(ROUND(MAX(0,$B226*INDEX(tblKurallar[deger_2025],MATCH("KIK-001",tblKurallar[kural_id],0))-($C226+$D226+$E226+$F226)),kik_yuvarMax),0))</f>
        <v/>
      </c>
      <c r="I226" s="37">
        <f>IF($A226="","",IFERROR(MAX(0,$H226-$G226*kik_sifirCarpan),0))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IF($A227="","",IFERROR(ROUND(MAX(0,$B227*INDEX(tblKurallar[deger_2025],MATCH("KIK-001",tblKurallar[kural_id],0))-($C227+$D227+$E227+$F227)),kik_yuvarMax),0))</f>
        <v/>
      </c>
      <c r="I227" s="37">
        <f>IF($A227="","",IFERROR(MAX(0,$H227-$G227*kik_sifirCarpan),0))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IF($A228="","",IFERROR(ROUND(MAX(0,$B228*INDEX(tblKurallar[deger_2025],MATCH("KIK-001",tblKurallar[kural_id],0))-($C228+$D228+$E228+$F228)),kik_yuvarMax),0))</f>
        <v/>
      </c>
      <c r="I228" s="37">
        <f>IF($A228="","",IFERROR(MAX(0,$H228-$G228*kik_sifirCarpan),0))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IF($A229="","",IFERROR(ROUND(MAX(0,$B229*INDEX(tblKurallar[deger_2025],MATCH("KIK-001",tblKurallar[kural_id],0))-($C229+$D229+$E229+$F229)),kik_yuvarMax),0))</f>
        <v/>
      </c>
      <c r="I229" s="37">
        <f>IF($A229="","",IFERROR(MAX(0,$H229-$G229*kik_sifirCarpan),0))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IF($A230="","",IFERROR(ROUND(MAX(0,$B230*INDEX(tblKurallar[deger_2025],MATCH("KIK-001",tblKurallar[kural_id],0))-($C230+$D230+$E230+$F230)),kik_yuvarMax),0))</f>
        <v/>
      </c>
      <c r="I230" s="37">
        <f>IF($A230="","",IFERROR(MAX(0,$H230-$G230*kik_sifirCarpan),0))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IF($A231="","",IFERROR(ROUND(MAX(0,$B231*INDEX(tblKurallar[deger_2025],MATCH("KIK-001",tblKurallar[kural_id],0))-($C231+$D231+$E231+$F231)),kik_yuvarMax),0))</f>
        <v/>
      </c>
      <c r="I231" s="37">
        <f>IF($A231="","",IFERROR(MAX(0,$H231-$G231*kik_sifirCarpan),0))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IF($A232="","",IFERROR(ROUND(MAX(0,$B232*INDEX(tblKurallar[deger_2025],MATCH("KIK-001",tblKurallar[kural_id],0))-($C232+$D232+$E232+$F232)),kik_yuvarMax),0))</f>
        <v/>
      </c>
      <c r="I232" s="37">
        <f>IF($A232="","",IFERROR(MAX(0,$H232-$G232*kik_sifirCarpan),0))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IF($A233="","",IFERROR(ROUND(MAX(0,$B233*INDEX(tblKurallar[deger_2025],MATCH("KIK-001",tblKurallar[kural_id],0))-($C233+$D233+$E233+$F233)),kik_yuvarMax),0))</f>
        <v/>
      </c>
      <c r="I233" s="37">
        <f>IF($A233="","",IFERROR(MAX(0,$H233-$G233*kik_sifirCarpan),0))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IF($A234="","",IFERROR(ROUND(MAX(0,$B234*INDEX(tblKurallar[deger_2025],MATCH("KIK-001",tblKurallar[kural_id],0))-($C234+$D234+$E234+$F234)),kik_yuvarMax),0))</f>
        <v/>
      </c>
      <c r="I234" s="37">
        <f>IF($A234="","",IFERROR(MAX(0,$H234-$G234*kik_sifirCarpan),0))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IF($A235="","",IFERROR(ROUND(MAX(0,$B235*INDEX(tblKurallar[deger_2025],MATCH("KIK-001",tblKurallar[kural_id],0))-($C235+$D235+$E235+$F235)),kik_yuvarMax),0))</f>
        <v/>
      </c>
      <c r="I235" s="37">
        <f>IF($A235="","",IFERROR(MAX(0,$H235-$G235*kik_sifirCarpan),0))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IF($A236="","",IFERROR(ROUND(MAX(0,$B236*INDEX(tblKurallar[deger_2025],MATCH("KIK-001",tblKurallar[kural_id],0))-($C236+$D236+$E236+$F236)),kik_yuvarMax),0))</f>
        <v/>
      </c>
      <c r="I236" s="37">
        <f>IF($A236="","",IFERROR(MAX(0,$H236-$G236*kik_sifirCarpan),0))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IF($A237="","",IFERROR(ROUND(MAX(0,$B237*INDEX(tblKurallar[deger_2025],MATCH("KIK-001",tblKurallar[kural_id],0))-($C237+$D237+$E237+$F237)),kik_yuvarMax),0))</f>
        <v/>
      </c>
      <c r="I237" s="37">
        <f>IF($A237="","",IFERROR(MAX(0,$H237-$G237*kik_sifirCarpan),0))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IF($A238="","",IFERROR(ROUND(MAX(0,$B238*INDEX(tblKurallar[deger_2025],MATCH("KIK-001",tblKurallar[kural_id],0))-($C238+$D238+$E238+$F238)),kik_yuvarMax),0))</f>
        <v/>
      </c>
      <c r="I238" s="37">
        <f>IF($A238="","",IFERROR(MAX(0,$H238-$G238*kik_sifirCarpan),0))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IF($A239="","",IFERROR(ROUND(MAX(0,$B239*INDEX(tblKurallar[deger_2025],MATCH("KIK-001",tblKurallar[kural_id],0))-($C239+$D239+$E239+$F239)),kik_yuvarMax),0))</f>
        <v/>
      </c>
      <c r="I239" s="37">
        <f>IF($A239="","",IFERROR(MAX(0,$H239-$G239*kik_sifirCarpan),0))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IF($A240="","",IFERROR(ROUND(MAX(0,$B240*INDEX(tblKurallar[deger_2025],MATCH("KIK-001",tblKurallar[kural_id],0))-($C240+$D240+$E240+$F240)),kik_yuvarMax),0))</f>
        <v/>
      </c>
      <c r="I240" s="37">
        <f>IF($A240="","",IFERROR(MAX(0,$H240-$G240*kik_sifirCarpan),0))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IF($A241="","",IFERROR(ROUND(MAX(0,$B241*INDEX(tblKurallar[deger_2025],MATCH("KIK-001",tblKurallar[kural_id],0))-($C241+$D241+$E241+$F241)),kik_yuvarMax),0))</f>
        <v/>
      </c>
      <c r="I241" s="37">
        <f>IF($A241="","",IFERROR(MAX(0,$H241-$G241*kik_sifirCarpan),0))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IF($A242="","",IFERROR(ROUND(MAX(0,$B242*INDEX(tblKurallar[deger_2025],MATCH("KIK-001",tblKurallar[kural_id],0))-($C242+$D242+$E242+$F242)),kik_yuvarMax),0))</f>
        <v/>
      </c>
      <c r="I242" s="37">
        <f>IF($A242="","",IFERROR(MAX(0,$H242-$G242*kik_sifirCarpan),0))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IF($A243="","",IFERROR(ROUND(MAX(0,$B243*INDEX(tblKurallar[deger_2025],MATCH("KIK-001",tblKurallar[kural_id],0))-($C243+$D243+$E243+$F243)),kik_yuvarMax),0))</f>
        <v/>
      </c>
      <c r="I243" s="37">
        <f>IF($A243="","",IFERROR(MAX(0,$H243-$G243*kik_sifirCarpan),0))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IF($A244="","",IFERROR(ROUND(MAX(0,$B244*INDEX(tblKurallar[deger_2025],MATCH("KIK-001",tblKurallar[kural_id],0))-($C244+$D244+$E244+$F244)),kik_yuvarMax),0))</f>
        <v/>
      </c>
      <c r="I244" s="37">
        <f>IF($A244="","",IFERROR(MAX(0,$H244-$G244*kik_sifirCarpan),0))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IF($A245="","",IFERROR(ROUND(MAX(0,$B245*INDEX(tblKurallar[deger_2025],MATCH("KIK-001",tblKurallar[kural_id],0))-($C245+$D245+$E245+$F245)),kik_yuvarMax),0))</f>
        <v/>
      </c>
      <c r="I245" s="37">
        <f>IF($A245="","",IFERROR(MAX(0,$H245-$G245*kik_sifirCarpan),0))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IF($A246="","",IFERROR(ROUND(MAX(0,$B246*INDEX(tblKurallar[deger_2025],MATCH("KIK-001",tblKurallar[kural_id],0))-($C246+$D246+$E246+$F246)),kik_yuvarMax),0))</f>
        <v/>
      </c>
      <c r="I246" s="37">
        <f>IF($A246="","",IFERROR(MAX(0,$H246-$G246*kik_sifirCarpan),0))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IF($A247="","",IFERROR(ROUND(MAX(0,$B247*INDEX(tblKurallar[deger_2025],MATCH("KIK-001",tblKurallar[kural_id],0))-($C247+$D247+$E247+$F247)),kik_yuvarMax),0))</f>
        <v/>
      </c>
      <c r="I247" s="37">
        <f>IF($A247="","",IFERROR(MAX(0,$H247-$G247*kik_sifirCarpan),0))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IF($A248="","",IFERROR(ROUND(MAX(0,$B248*INDEX(tblKurallar[deger_2025],MATCH("KIK-001",tblKurallar[kural_id],0))-($C248+$D248+$E248+$F248)),kik_yuvarMax),0))</f>
        <v/>
      </c>
      <c r="I248" s="37">
        <f>IF($A248="","",IFERROR(MAX(0,$H248-$G248*kik_sifirCarpan),0))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IF($A249="","",IFERROR(ROUND(MAX(0,$B249*INDEX(tblKurallar[deger_2025],MATCH("KIK-001",tblKurallar[kural_id],0))-($C249+$D249+$E249+$F249)),kik_yuvarMax),0))</f>
        <v/>
      </c>
      <c r="I249" s="37">
        <f>IF($A249="","",IFERROR(MAX(0,$H249-$G249*kik_sifirCarpan),0))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IF($A250="","",IFERROR(ROUND(MAX(0,$B250*INDEX(tblKurallar[deger_2025],MATCH("KIK-001",tblKurallar[kural_id],0))-($C250+$D250+$E250+$F250)),kik_yuvarMax),0))</f>
        <v/>
      </c>
      <c r="I250" s="37">
        <f>IF($A250="","",IFERROR(MAX(0,$H250-$G250*kik_sifirCarpan),0))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IF($A251="","",IFERROR(ROUND(MAX(0,$B251*INDEX(tblKurallar[deger_2025],MATCH("KIK-001",tblKurallar[kural_id],0))-($C251+$D251+$E251+$F251)),kik_yuvarMax),0))</f>
        <v/>
      </c>
      <c r="I251" s="37">
        <f>IF($A251="","",IFERROR(MAX(0,$H251-$G251*kik_sifirCarpan),0))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IF($A252="","",IFERROR(ROUND(MAX(0,$B252*INDEX(tblKurallar[deger_2025],MATCH("KIK-001",tblKurallar[kural_id],0))-($C252+$D252+$E252+$F252)),kik_yuvarMax),0))</f>
        <v/>
      </c>
      <c r="I252" s="37">
        <f>IF($A252="","",IFERROR(MAX(0,$H252-$G252*kik_sifirCarpan),0))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IF($A253="","",IFERROR(ROUND(MAX(0,$B253*INDEX(tblKurallar[deger_2025],MATCH("KIK-001",tblKurallar[kural_id],0))-($C253+$D253+$E253+$F253)),kik_yuvarMax),0))</f>
        <v/>
      </c>
      <c r="I253" s="37">
        <f>IF($A253="","",IFERROR(MAX(0,$H253-$G253*kik_sifirCarpan),0))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IF($A254="","",IFERROR(ROUND(MAX(0,$B254*INDEX(tblKurallar[deger_2025],MATCH("KIK-001",tblKurallar[kural_id],0))-($C254+$D254+$E254+$F254)),kik_yuvarMax),0))</f>
        <v/>
      </c>
      <c r="I254" s="37">
        <f>IF($A254="","",IFERROR(MAX(0,$H254-$G254*kik_sifirCarpan),0))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IF($A255="","",IFERROR(ROUND(MAX(0,$B255*INDEX(tblKurallar[deger_2025],MATCH("KIK-001",tblKurallar[kural_id],0))-($C255+$D255+$E255+$F255)),kik_yuvarMax),0))</f>
        <v/>
      </c>
      <c r="I255" s="37">
        <f>IF($A255="","",IFERROR(MAX(0,$H255-$G255*kik_sifirCarpan),0))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IF($A256="","",IFERROR(ROUND(MAX(0,$B256*INDEX(tblKurallar[deger_2025],MATCH("KIK-001",tblKurallar[kural_id],0))-($C256+$D256+$E256+$F256)),kik_yuvarMax),0))</f>
        <v/>
      </c>
      <c r="I256" s="37">
        <f>IF($A256="","",IFERROR(MAX(0,$H256-$G256*kik_sifirCarpan),0))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IF($A257="","",IFERROR(ROUND(MAX(0,$B257*INDEX(tblKurallar[deger_2025],MATCH("KIK-001",tblKurallar[kural_id],0))-($C257+$D257+$E257+$F257)),kik_yuvarMax),0))</f>
        <v/>
      </c>
      <c r="I257" s="37">
        <f>IF($A257="","",IFERROR(MAX(0,$H257-$G257*kik_sifirCarpan),0))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IF($A258="","",IFERROR(ROUND(MAX(0,$B258*INDEX(tblKurallar[deger_2025],MATCH("KIK-001",tblKurallar[kural_id],0))-($C258+$D258+$E258+$F258)),kik_yuvarMax),0))</f>
        <v/>
      </c>
      <c r="I258" s="37">
        <f>IF($A258="","",IFERROR(MAX(0,$H258-$G258*kik_sifirCarpan),0))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IF($A259="","",IFERROR(ROUND(MAX(0,$B259*INDEX(tblKurallar[deger_2025],MATCH("KIK-001",tblKurallar[kural_id],0))-($C259+$D259+$E259+$F259)),kik_yuvarMax),0))</f>
        <v/>
      </c>
      <c r="I259" s="37">
        <f>IF($A259="","",IFERROR(MAX(0,$H259-$G259*kik_sifirCarpan),0))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IF($A260="","",IFERROR(ROUND(MAX(0,$B260*INDEX(tblKurallar[deger_2025],MATCH("KIK-001",tblKurallar[kural_id],0))-($C260+$D260+$E260+$F260)),kik_yuvarMax),0))</f>
        <v/>
      </c>
      <c r="I260" s="37">
        <f>IF($A260="","",IFERROR(MAX(0,$H260-$G260*kik_sifirCarpan),0))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IF($A261="","",IFERROR(ROUND(MAX(0,$B261*INDEX(tblKurallar[deger_2025],MATCH("KIK-001",tblKurallar[kural_id],0))-($C261+$D261+$E261+$F261)),kik_yuvarMax),0))</f>
        <v/>
      </c>
      <c r="I261" s="37">
        <f>IF($A261="","",IFERROR(MAX(0,$H261-$G261*kik_sifirCarpan),0))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IF($A262="","",IFERROR(ROUND(MAX(0,$B262*INDEX(tblKurallar[deger_2025],MATCH("KIK-001",tblKurallar[kural_id],0))-($C262+$D262+$E262+$F262)),kik_yuvarMax),0))</f>
        <v/>
      </c>
      <c r="I262" s="37">
        <f>IF($A262="","",IFERROR(MAX(0,$H262-$G262*kik_sifirCarpan),0))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IF($A263="","",IFERROR(ROUND(MAX(0,$B263*INDEX(tblKurallar[deger_2025],MATCH("KIK-001",tblKurallar[kural_id],0))-($C263+$D263+$E263+$F263)),kik_yuvarMax),0))</f>
        <v/>
      </c>
      <c r="I263" s="37">
        <f>IF($A263="","",IFERROR(MAX(0,$H263-$G263*kik_sifirCarpan),0))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IF($A264="","",IFERROR(ROUND(MAX(0,$B264*INDEX(tblKurallar[deger_2025],MATCH("KIK-001",tblKurallar[kural_id],0))-($C264+$D264+$E264+$F264)),kik_yuvarMax),0))</f>
        <v/>
      </c>
      <c r="I264" s="37">
        <f>IF($A264="","",IFERROR(MAX(0,$H264-$G264*kik_sifirCarpan),0))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IF($A265="","",IFERROR(ROUND(MAX(0,$B265*INDEX(tblKurallar[deger_2025],MATCH("KIK-001",tblKurallar[kural_id],0))-($C265+$D265+$E265+$F265)),kik_yuvarMax),0))</f>
        <v/>
      </c>
      <c r="I265" s="37">
        <f>IF($A265="","",IFERROR(MAX(0,$H265-$G265*kik_sifirCarpan),0))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IF($A266="","",IFERROR(ROUND(MAX(0,$B266*INDEX(tblKurallar[deger_2025],MATCH("KIK-001",tblKurallar[kural_id],0))-($C266+$D266+$E266+$F266)),kik_yuvarMax),0))</f>
        <v/>
      </c>
      <c r="I266" s="37">
        <f>IF($A266="","",IFERROR(MAX(0,$H266-$G266*kik_sifirCarpan),0))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IF($A267="","",IFERROR(ROUND(MAX(0,$B267*INDEX(tblKurallar[deger_2025],MATCH("KIK-001",tblKurallar[kural_id],0))-($C267+$D267+$E267+$F267)),kik_yuvarMax),0))</f>
        <v/>
      </c>
      <c r="I267" s="37">
        <f>IF($A267="","",IFERROR(MAX(0,$H267-$G267*kik_sifirCarpan),0))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IF($A268="","",IFERROR(ROUND(MAX(0,$B268*INDEX(tblKurallar[deger_2025],MATCH("KIK-001",tblKurallar[kural_id],0))-($C268+$D268+$E268+$F268)),kik_yuvarMax),0))</f>
        <v/>
      </c>
      <c r="I268" s="37">
        <f>IF($A268="","",IFERROR(MAX(0,$H268-$G268*kik_sifirCarpan),0))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IF($A269="","",IFERROR(ROUND(MAX(0,$B269*INDEX(tblKurallar[deger_2025],MATCH("KIK-001",tblKurallar[kural_id],0))-($C269+$D269+$E269+$F269)),kik_yuvarMax),0))</f>
        <v/>
      </c>
      <c r="I269" s="37">
        <f>IF($A269="","",IFERROR(MAX(0,$H269-$G269*kik_sifirCarpan),0))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IF($A270="","",IFERROR(ROUND(MAX(0,$B270*INDEX(tblKurallar[deger_2025],MATCH("KIK-001",tblKurallar[kural_id],0))-($C270+$D270+$E270+$F270)),kik_yuvarMax),0))</f>
        <v/>
      </c>
      <c r="I270" s="37">
        <f>IF($A270="","",IFERROR(MAX(0,$H270-$G270*kik_sifirCarpan),0))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IF($A271="","",IFERROR(ROUND(MAX(0,$B271*INDEX(tblKurallar[deger_2025],MATCH("KIK-001",tblKurallar[kural_id],0))-($C271+$D271+$E271+$F271)),kik_yuvarMax),0))</f>
        <v/>
      </c>
      <c r="I271" s="37">
        <f>IF($A271="","",IFERROR(MAX(0,$H271-$G271*kik_sifirCarpan),0))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IF($A272="","",IFERROR(ROUND(MAX(0,$B272*INDEX(tblKurallar[deger_2025],MATCH("KIK-001",tblKurallar[kural_id],0))-($C272+$D272+$E272+$F272)),kik_yuvarMax),0))</f>
        <v/>
      </c>
      <c r="I272" s="37">
        <f>IF($A272="","",IFERROR(MAX(0,$H272-$G272*kik_sifirCarpan),0))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IF($A273="","",IFERROR(ROUND(MAX(0,$B273*INDEX(tblKurallar[deger_2025],MATCH("KIK-001",tblKurallar[kural_id],0))-($C273+$D273+$E273+$F273)),kik_yuvarMax),0))</f>
        <v/>
      </c>
      <c r="I273" s="37">
        <f>IF($A273="","",IFERROR(MAX(0,$H273-$G273*kik_sifirCarpan),0))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IF($A274="","",IFERROR(ROUND(MAX(0,$B274*INDEX(tblKurallar[deger_2025],MATCH("KIK-001",tblKurallar[kural_id],0))-($C274+$D274+$E274+$F274)),kik_yuvarMax),0))</f>
        <v/>
      </c>
      <c r="I274" s="37">
        <f>IF($A274="","",IFERROR(MAX(0,$H274-$G274*kik_sifirCarpan),0))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IF($A275="","",IFERROR(ROUND(MAX(0,$B275*INDEX(tblKurallar[deger_2025],MATCH("KIK-001",tblKurallar[kural_id],0))-($C275+$D275+$E275+$F275)),kik_yuvarMax),0))</f>
        <v/>
      </c>
      <c r="I275" s="37">
        <f>IF($A275="","",IFERROR(MAX(0,$H275-$G275*kik_sifirCarpan),0))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IF($A276="","",IFERROR(ROUND(MAX(0,$B276*INDEX(tblKurallar[deger_2025],MATCH("KIK-001",tblKurallar[kural_id],0))-($C276+$D276+$E276+$F276)),kik_yuvarMax),0))</f>
        <v/>
      </c>
      <c r="I276" s="37">
        <f>IF($A276="","",IFERROR(MAX(0,$H276-$G276*kik_sifirCarpan),0))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IF($A277="","",IFERROR(ROUND(MAX(0,$B277*INDEX(tblKurallar[deger_2025],MATCH("KIK-001",tblKurallar[kural_id],0))-($C277+$D277+$E277+$F277)),kik_yuvarMax),0))</f>
        <v/>
      </c>
      <c r="I277" s="37">
        <f>IF($A277="","",IFERROR(MAX(0,$H277-$G277*kik_sifirCarpan),0))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IF($A278="","",IFERROR(ROUND(MAX(0,$B278*INDEX(tblKurallar[deger_2025],MATCH("KIK-001",tblKurallar[kural_id],0))-($C278+$D278+$E278+$F278)),kik_yuvarMax),0))</f>
        <v/>
      </c>
      <c r="I278" s="37">
        <f>IF($A278="","",IFERROR(MAX(0,$H278-$G278*kik_sifirCarpan),0))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IF($A279="","",IFERROR(ROUND(MAX(0,$B279*INDEX(tblKurallar[deger_2025],MATCH("KIK-001",tblKurallar[kural_id],0))-($C279+$D279+$E279+$F279)),kik_yuvarMax),0))</f>
        <v/>
      </c>
      <c r="I279" s="37">
        <f>IF($A279="","",IFERROR(MAX(0,$H279-$G279*kik_sifirCarpan),0))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IF($A280="","",IFERROR(ROUND(MAX(0,$B280*INDEX(tblKurallar[deger_2025],MATCH("KIK-001",tblKurallar[kural_id],0))-($C280+$D280+$E280+$F280)),kik_yuvarMax),0))</f>
        <v/>
      </c>
      <c r="I280" s="37">
        <f>IF($A280="","",IFERROR(MAX(0,$H280-$G280*kik_sifirCarpan),0))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IF($A281="","",IFERROR(ROUND(MAX(0,$B281*INDEX(tblKurallar[deger_2025],MATCH("KIK-001",tblKurallar[kural_id],0))-($C281+$D281+$E281+$F281)),kik_yuvarMax),0))</f>
        <v/>
      </c>
      <c r="I281" s="37">
        <f>IF($A281="","",IFERROR(MAX(0,$H281-$G281*kik_sifirCarpan),0))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IF($A282="","",IFERROR(ROUND(MAX(0,$B282*INDEX(tblKurallar[deger_2025],MATCH("KIK-001",tblKurallar[kural_id],0))-($C282+$D282+$E282+$F282)),kik_yuvarMax),0))</f>
        <v/>
      </c>
      <c r="I282" s="37">
        <f>IF($A282="","",IFERROR(MAX(0,$H282-$G282*kik_sifirCarpan),0))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IF($A283="","",IFERROR(ROUND(MAX(0,$B283*INDEX(tblKurallar[deger_2025],MATCH("KIK-001",tblKurallar[kural_id],0))-($C283+$D283+$E283+$F283)),kik_yuvarMax),0))</f>
        <v/>
      </c>
      <c r="I283" s="37">
        <f>IF($A283="","",IFERROR(MAX(0,$H283-$G283*kik_sifirCarpan),0))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IF($A284="","",IFERROR(ROUND(MAX(0,$B284*INDEX(tblKurallar[deger_2025],MATCH("KIK-001",tblKurallar[kural_id],0))-($C284+$D284+$E284+$F284)),kik_yuvarMax),0))</f>
        <v/>
      </c>
      <c r="I284" s="37">
        <f>IF($A284="","",IFERROR(MAX(0,$H284-$G284*kik_sifirCarpan),0))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IF($A285="","",IFERROR(ROUND(MAX(0,$B285*INDEX(tblKurallar[deger_2025],MATCH("KIK-001",tblKurallar[kural_id],0))-($C285+$D285+$E285+$F285)),kik_yuvarMax),0))</f>
        <v/>
      </c>
      <c r="I285" s="37">
        <f>IF($A285="","",IFERROR(MAX(0,$H285-$G285*kik_sifirCarpan),0))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IF($A286="","",IFERROR(ROUND(MAX(0,$B286*INDEX(tblKurallar[deger_2025],MATCH("KIK-001",tblKurallar[kural_id],0))-($C286+$D286+$E286+$F286)),kik_yuvarMax),0))</f>
        <v/>
      </c>
      <c r="I286" s="37">
        <f>IF($A286="","",IFERROR(MAX(0,$H286-$G286*kik_sifirCarpan),0))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IF($A287="","",IFERROR(ROUND(MAX(0,$B287*INDEX(tblKurallar[deger_2025],MATCH("KIK-001",tblKurallar[kural_id],0))-($C287+$D287+$E287+$F287)),kik_yuvarMax),0))</f>
        <v/>
      </c>
      <c r="I287" s="37">
        <f>IF($A287="","",IFERROR(MAX(0,$H287-$G287*kik_sifirCarpan),0))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IF($A288="","",IFERROR(ROUND(MAX(0,$B288*INDEX(tblKurallar[deger_2025],MATCH("KIK-001",tblKurallar[kural_id],0))-($C288+$D288+$E288+$F288)),kik_yuvarMax),0))</f>
        <v/>
      </c>
      <c r="I288" s="37">
        <f>IF($A288="","",IFERROR(MAX(0,$H288-$G288*kik_sifirCarpan),0))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IF($A289="","",IFERROR(ROUND(MAX(0,$B289*INDEX(tblKurallar[deger_2025],MATCH("KIK-001",tblKurallar[kural_id],0))-($C289+$D289+$E289+$F289)),kik_yuvarMax),0))</f>
        <v/>
      </c>
      <c r="I289" s="37">
        <f>IF($A289="","",IFERROR(MAX(0,$H289-$G289*kik_sifirCarpan),0))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IF($A290="","",IFERROR(ROUND(MAX(0,$B290*INDEX(tblKurallar[deger_2025],MATCH("KIK-001",tblKurallar[kural_id],0))-($C290+$D290+$E290+$F290)),kik_yuvarMax),0))</f>
        <v/>
      </c>
      <c r="I290" s="37">
        <f>IF($A290="","",IFERROR(MAX(0,$H290-$G290*kik_sifirCarpan),0))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IF($A291="","",IFERROR(ROUND(MAX(0,$B291*INDEX(tblKurallar[deger_2025],MATCH("KIK-001",tblKurallar[kural_id],0))-($C291+$D291+$E291+$F291)),kik_yuvarMax),0))</f>
        <v/>
      </c>
      <c r="I291" s="37">
        <f>IF($A291="","",IFERROR(MAX(0,$H291-$G291*kik_sifirCarpan),0))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IF($A292="","",IFERROR(ROUND(MAX(0,$B292*INDEX(tblKurallar[deger_2025],MATCH("KIK-001",tblKurallar[kural_id],0))-($C292+$D292+$E292+$F292)),kik_yuvarMax),0))</f>
        <v/>
      </c>
      <c r="I292" s="37">
        <f>IF($A292="","",IFERROR(MAX(0,$H292-$G292*kik_sifirCarpan),0))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IF($A293="","",IFERROR(ROUND(MAX(0,$B293*INDEX(tblKurallar[deger_2025],MATCH("KIK-001",tblKurallar[kural_id],0))-($C293+$D293+$E293+$F293)),kik_yuvarMax),0))</f>
        <v/>
      </c>
      <c r="I293" s="37">
        <f>IF($A293="","",IFERROR(MAX(0,$H293-$G293*kik_sifirCarpan),0))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IF($A294="","",IFERROR(ROUND(MAX(0,$B294*INDEX(tblKurallar[deger_2025],MATCH("KIK-001",tblKurallar[kural_id],0))-($C294+$D294+$E294+$F294)),kik_yuvarMax),0))</f>
        <v/>
      </c>
      <c r="I294" s="37">
        <f>IF($A294="","",IFERROR(MAX(0,$H294-$G294*kik_sifirCarpan),0))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IF($A295="","",IFERROR(ROUND(MAX(0,$B295*INDEX(tblKurallar[deger_2025],MATCH("KIK-001",tblKurallar[kural_id],0))-($C295+$D295+$E295+$F295)),kik_yuvarMax),0))</f>
        <v/>
      </c>
      <c r="I295" s="37">
        <f>IF($A295="","",IFERROR(MAX(0,$H295-$G295*kik_sifirCarpan),0))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IF($A296="","",IFERROR(ROUND(MAX(0,$B296*INDEX(tblKurallar[deger_2025],MATCH("KIK-001",tblKurallar[kural_id],0))-($C296+$D296+$E296+$F296)),kik_yuvarMax),0))</f>
        <v/>
      </c>
      <c r="I296" s="37">
        <f>IF($A296="","",IFERROR(MAX(0,$H296-$G296*kik_sifirCarpan),0))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IF($A297="","",IFERROR(ROUND(MAX(0,$B297*INDEX(tblKurallar[deger_2025],MATCH("KIK-001",tblKurallar[kural_id],0))-($C297+$D297+$E297+$F297)),kik_yuvarMax),0))</f>
        <v/>
      </c>
      <c r="I297" s="37">
        <f>IF($A297="","",IFERROR(MAX(0,$H297-$G297*kik_sifirCarpan),0))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IF($A298="","",IFERROR(ROUND(MAX(0,$B298*INDEX(tblKurallar[deger_2025],MATCH("KIK-001",tblKurallar[kural_id],0))-($C298+$D298+$E298+$F298)),kik_yuvarMax),0))</f>
        <v/>
      </c>
      <c r="I298" s="37">
        <f>IF($A298="","",IFERROR(MAX(0,$H298-$G298*kik_sifirCarpan),0))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IF($A299="","",IFERROR(ROUND(MAX(0,$B299*INDEX(tblKurallar[deger_2025],MATCH("KIK-001",tblKurallar[kural_id],0))-($C299+$D299+$E299+$F299)),kik_yuvarMax),0))</f>
        <v/>
      </c>
      <c r="I299" s="37">
        <f>IF($A299="","",IFERROR(MAX(0,$H299-$G299*kik_sifirCarpan),0))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IF($A300="","",IFERROR(ROUND(MAX(0,$B300*INDEX(tblKurallar[deger_2025],MATCH("KIK-001",tblKurallar[kural_id],0))-($C300+$D300+$E300+$F300)),kik_yuvarMax),0))</f>
        <v/>
      </c>
      <c r="I300" s="37">
        <f>IF($A300="","",IFERROR(MAX(0,$H300-$G300*kik_sifirCarpan),0))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IF($A301="","",IFERROR(ROUND(MAX(0,$B301*INDEX(tblKurallar[deger_2025],MATCH("KIK-001",tblKurallar[kural_id],0))-($C301+$D301+$E301+$F301)),kik_yuvarMax),0))</f>
        <v/>
      </c>
      <c r="I301" s="37">
        <f>IF($A301="","",IFERROR(MAX(0,$H301-$G301*kik_sifirCarpan),0))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IF($A302="","",IFERROR(ROUND(MAX(0,$B302*INDEX(tblKurallar[deger_2025],MATCH("KIK-001",tblKurallar[kural_id],0))-($C302+$D302+$E302+$F302)),kik_yuvarMax),0))</f>
        <v/>
      </c>
      <c r="I302" s="37">
        <f>IF($A302="","",IFERROR(MAX(0,$H302-$G302*kik_sifirCarpan),0))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IF($A303="","",IFERROR(ROUND(MAX(0,$B303*INDEX(tblKurallar[deger_2025],MATCH("KIK-001",tblKurallar[kural_id],0))-($C303+$D303+$E303+$F303)),kik_yuvarMax),0))</f>
        <v/>
      </c>
      <c r="I303" s="37">
        <f>IF($A303="","",IFERROR(MAX(0,$H303-$G303*kik_sifirCarpan),0))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IF($A304="","",IFERROR(ROUND(MAX(0,$B304*INDEX(tblKurallar[deger_2025],MATCH("KIK-001",tblKurallar[kural_id],0))-($C304+$D304+$E304+$F304)),kik_yuvarMax),0))</f>
        <v/>
      </c>
      <c r="I304" s="37">
        <f>IF($A304="","",IFERROR(MAX(0,$H304-$G304*kik_sifirCarpan),0))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IF($A305="","",IFERROR(ROUND(MAX(0,$B305*INDEX(tblKurallar[deger_2025],MATCH("KIK-001",tblKurallar[kural_id],0))-($C305+$D305+$E305+$F305)),kik_yuvarMax),0))</f>
        <v/>
      </c>
      <c r="I305" s="37">
        <f>IF($A305="","",IFERROR(MAX(0,$H305-$G305*kik_sifirCarpan),0))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IF($A306="","",IFERROR(ROUND(MAX(0,$B306*INDEX(tblKurallar[deger_2025],MATCH("KIK-001",tblKurallar[kural_id],0))-($C306+$D306+$E306+$F306)),kik_yuvarMax),0))</f>
        <v/>
      </c>
      <c r="I306" s="37">
        <f>IF($A306="","",IFERROR(MAX(0,$H306-$G306*kik_sifirCarpan),0))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IF($A307="","",IFERROR(ROUND(MAX(0,$B307*INDEX(tblKurallar[deger_2025],MATCH("KIK-001",tblKurallar[kural_id],0))-($C307+$D307+$E307+$F307)),kik_yuvarMax),0))</f>
        <v/>
      </c>
      <c r="I307" s="37">
        <f>IF($A307="","",IFERROR(MAX(0,$H307-$G307*kik_sifirCarpan),0))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IF($A308="","",IFERROR(ROUND(MAX(0,$B308*INDEX(tblKurallar[deger_2025],MATCH("KIK-001",tblKurallar[kural_id],0))-($C308+$D308+$E308+$F308)),kik_yuvarMax),0))</f>
        <v/>
      </c>
      <c r="I308" s="37">
        <f>IF($A308="","",IFERROR(MAX(0,$H308-$G308*kik_sifirCarpan),0))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IF($A309="","",IFERROR(ROUND(MAX(0,$B309*INDEX(tblKurallar[deger_2025],MATCH("KIK-001",tblKurallar[kural_id],0))-($C309+$D309+$E309+$F309)),kik_yuvarMax),0))</f>
        <v/>
      </c>
      <c r="I309" s="37">
        <f>IF($A309="","",IFERROR(MAX(0,$H309-$G309*kik_sifirCarpan),0))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IF($A310="","",IFERROR(ROUND(MAX(0,$B310*INDEX(tblKurallar[deger_2025],MATCH("KIK-001",tblKurallar[kural_id],0))-($C310+$D310+$E310+$F310)),kik_yuvarMax),0))</f>
        <v/>
      </c>
      <c r="I310" s="37">
        <f>IF($A310="","",IFERROR(MAX(0,$H310-$G310*kik_sifirCarpan),0))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IF($A311="","",IFERROR(ROUND(MAX(0,$B311*INDEX(tblKurallar[deger_2025],MATCH("KIK-001",tblKurallar[kural_id],0))-($C311+$D311+$E311+$F311)),kik_yuvarMax),0))</f>
        <v/>
      </c>
      <c r="I311" s="37">
        <f>IF($A311="","",IFERROR(MAX(0,$H311-$G311*kik_sifirCarpan),0))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IF($A312="","",IFERROR(ROUND(MAX(0,$B312*INDEX(tblKurallar[deger_2025],MATCH("KIK-001",tblKurallar[kural_id],0))-($C312+$D312+$E312+$F312)),kik_yuvarMax),0))</f>
        <v/>
      </c>
      <c r="I312" s="37">
        <f>IF($A312="","",IFERROR(MAX(0,$H312-$G312*kik_sifirCarpan),0))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IF($A313="","",IFERROR(ROUND(MAX(0,$B313*INDEX(tblKurallar[deger_2025],MATCH("KIK-001",tblKurallar[kural_id],0))-($C313+$D313+$E313+$F313)),kik_yuvarMax),0))</f>
        <v/>
      </c>
      <c r="I313" s="37">
        <f>IF($A313="","",IFERROR(MAX(0,$H313-$G313*kik_sifirCarpan),0))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IF($A314="","",IFERROR(ROUND(MAX(0,$B314*INDEX(tblKurallar[deger_2025],MATCH("KIK-001",tblKurallar[kural_id],0))-($C314+$D314+$E314+$F314)),kik_yuvarMax),0))</f>
        <v/>
      </c>
      <c r="I314" s="37">
        <f>IF($A314="","",IFERROR(MAX(0,$H314-$G314*kik_sifirCarpan),0))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IF($A315="","",IFERROR(ROUND(MAX(0,$B315*INDEX(tblKurallar[deger_2025],MATCH("KIK-001",tblKurallar[kural_id],0))-($C315+$D315+$E315+$F315)),kik_yuvarMax),0))</f>
        <v/>
      </c>
      <c r="I315" s="37">
        <f>IF($A315="","",IFERROR(MAX(0,$H315-$G315*kik_sifirCarpan),0))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IF($A316="","",IFERROR(ROUND(MAX(0,$B316*INDEX(tblKurallar[deger_2025],MATCH("KIK-001",tblKurallar[kural_id],0))-($C316+$D316+$E316+$F316)),kik_yuvarMax),0))</f>
        <v/>
      </c>
      <c r="I316" s="37">
        <f>IF($A316="","",IFERROR(MAX(0,$H316-$G316*kik_sifirCarpan),0))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IF($A317="","",IFERROR(ROUND(MAX(0,$B317*INDEX(tblKurallar[deger_2025],MATCH("KIK-001",tblKurallar[kural_id],0))-($C317+$D317+$E317+$F317)),kik_yuvarMax),0))</f>
        <v/>
      </c>
      <c r="I317" s="37">
        <f>IF($A317="","",IFERROR(MAX(0,$H317-$G317*kik_sifirCarpan),0))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IF($A318="","",IFERROR(ROUND(MAX(0,$B318*INDEX(tblKurallar[deger_2025],MATCH("KIK-001",tblKurallar[kural_id],0))-($C318+$D318+$E318+$F318)),kik_yuvarMax),0))</f>
        <v/>
      </c>
      <c r="I318" s="37">
        <f>IF($A318="","",IFERROR(MAX(0,$H318-$G318*kik_sifirCarpan),0))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IF($A319="","",IFERROR(ROUND(MAX(0,$B319*INDEX(tblKurallar[deger_2025],MATCH("KIK-001",tblKurallar[kural_id],0))-($C319+$D319+$E319+$F319)),kik_yuvarMax),0))</f>
        <v/>
      </c>
      <c r="I319" s="37">
        <f>IF($A319="","",IFERROR(MAX(0,$H319-$G319*kik_sifirCarpan),0))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IF($A320="","",IFERROR(ROUND(MAX(0,$B320*INDEX(tblKurallar[deger_2025],MATCH("KIK-001",tblKurallar[kural_id],0))-($C320+$D320+$E320+$F320)),kik_yuvarMax),0))</f>
        <v/>
      </c>
      <c r="I320" s="37">
        <f>IF($A320="","",IFERROR(MAX(0,$H320-$G320*kik_sifirCarpan),0))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IF($A321="","",IFERROR(ROUND(MAX(0,$B321*INDEX(tblKurallar[deger_2025],MATCH("KIK-001",tblKurallar[kural_id],0))-($C321+$D321+$E321+$F321)),kik_yuvarMax),0))</f>
        <v/>
      </c>
      <c r="I321" s="37">
        <f>IF($A321="","",IFERROR(MAX(0,$H321-$G321*kik_sifirCarpan),0))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IF($A322="","",IFERROR(ROUND(MAX(0,$B322*INDEX(tblKurallar[deger_2025],MATCH("KIK-001",tblKurallar[kural_id],0))-($C322+$D322+$E322+$F322)),kik_yuvarMax),0))</f>
        <v/>
      </c>
      <c r="I322" s="37">
        <f>IF($A322="","",IFERROR(MAX(0,$H322-$G322*kik_sifirCarpan),0))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IF($A323="","",IFERROR(ROUND(MAX(0,$B323*INDEX(tblKurallar[deger_2025],MATCH("KIK-001",tblKurallar[kural_id],0))-($C323+$D323+$E323+$F323)),kik_yuvarMax),0))</f>
        <v/>
      </c>
      <c r="I323" s="37">
        <f>IF($A323="","",IFERROR(MAX(0,$H323-$G323*kik_sifirCarpan),0))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IF($A324="","",IFERROR(ROUND(MAX(0,$B324*INDEX(tblKurallar[deger_2025],MATCH("KIK-001",tblKurallar[kural_id],0))-($C324+$D324+$E324+$F324)),kik_yuvarMax),0))</f>
        <v/>
      </c>
      <c r="I324" s="37">
        <f>IF($A324="","",IFERROR(MAX(0,$H324-$G324*kik_sifirCarpan),0))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IF($A325="","",IFERROR(ROUND(MAX(0,$B325*INDEX(tblKurallar[deger_2025],MATCH("KIK-001",tblKurallar[kural_id],0))-($C325+$D325+$E325+$F325)),kik_yuvarMax),0))</f>
        <v/>
      </c>
      <c r="I325" s="37">
        <f>IF($A325="","",IFERROR(MAX(0,$H325-$G325*kik_sifirCarpan),0))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IF($A326="","",IFERROR(ROUND(MAX(0,$B326*INDEX(tblKurallar[deger_2025],MATCH("KIK-001",tblKurallar[kural_id],0))-($C326+$D326+$E326+$F326)),kik_yuvarMax),0))</f>
        <v/>
      </c>
      <c r="I326" s="37">
        <f>IF($A326="","",IFERROR(MAX(0,$H326-$G326*kik_sifirCarpan),0))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IF($A327="","",IFERROR(ROUND(MAX(0,$B327*INDEX(tblKurallar[deger_2025],MATCH("KIK-001",tblKurallar[kural_id],0))-($C327+$D327+$E327+$F327)),kik_yuvarMax),0))</f>
        <v/>
      </c>
      <c r="I327" s="37">
        <f>IF($A327="","",IFERROR(MAX(0,$H327-$G327*kik_sifirCarpan),0))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IF($A328="","",IFERROR(ROUND(MAX(0,$B328*INDEX(tblKurallar[deger_2025],MATCH("KIK-001",tblKurallar[kural_id],0))-($C328+$D328+$E328+$F328)),kik_yuvarMax),0))</f>
        <v/>
      </c>
      <c r="I328" s="37">
        <f>IF($A328="","",IFERROR(MAX(0,$H328-$G328*kik_sifirCarpan),0))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IF($A329="","",IFERROR(ROUND(MAX(0,$B329*INDEX(tblKurallar[deger_2025],MATCH("KIK-001",tblKurallar[kural_id],0))-($C329+$D329+$E329+$F329)),kik_yuvarMax),0))</f>
        <v/>
      </c>
      <c r="I329" s="37">
        <f>IF($A329="","",IFERROR(MAX(0,$H329-$G329*kik_sifirCarpan),0))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IF($A330="","",IFERROR(ROUND(MAX(0,$B330*INDEX(tblKurallar[deger_2025],MATCH("KIK-001",tblKurallar[kural_id],0))-($C330+$D330+$E330+$F330)),kik_yuvarMax),0))</f>
        <v/>
      </c>
      <c r="I330" s="37">
        <f>IF($A330="","",IFERROR(MAX(0,$H330-$G330*kik_sifirCarpan),0))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IF($A331="","",IFERROR(ROUND(MAX(0,$B331*INDEX(tblKurallar[deger_2025],MATCH("KIK-001",tblKurallar[kural_id],0))-($C331+$D331+$E331+$F331)),kik_yuvarMax),0))</f>
        <v/>
      </c>
      <c r="I331" s="37">
        <f>IF($A331="","",IFERROR(MAX(0,$H331-$G331*kik_sifirCarpan),0))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IF($A332="","",IFERROR(ROUND(MAX(0,$B332*INDEX(tblKurallar[deger_2025],MATCH("KIK-001",tblKurallar[kural_id],0))-($C332+$D332+$E332+$F332)),kik_yuvarMax),0))</f>
        <v/>
      </c>
      <c r="I332" s="37">
        <f>IF($A332="","",IFERROR(MAX(0,$H332-$G332*kik_sifirCarpan),0))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IF($A333="","",IFERROR(ROUND(MAX(0,$B333*INDEX(tblKurallar[deger_2025],MATCH("KIK-001",tblKurallar[kural_id],0))-($C333+$D333+$E333+$F333)),kik_yuvarMax),0))</f>
        <v/>
      </c>
      <c r="I333" s="37">
        <f>IF($A333="","",IFERROR(MAX(0,$H333-$G333*kik_sifirCarpan),0))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IF($A334="","",IFERROR(ROUND(MAX(0,$B334*INDEX(tblKurallar[deger_2025],MATCH("KIK-001",tblKurallar[kural_id],0))-($C334+$D334+$E334+$F334)),kik_yuvarMax),0))</f>
        <v/>
      </c>
      <c r="I334" s="37">
        <f>IF($A334="","",IFERROR(MAX(0,$H334-$G334*kik_sifirCarpan),0))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IF($A335="","",IFERROR(ROUND(MAX(0,$B335*INDEX(tblKurallar[deger_2025],MATCH("KIK-001",tblKurallar[kural_id],0))-($C335+$D335+$E335+$F335)),kik_yuvarMax),0))</f>
        <v/>
      </c>
      <c r="I335" s="37">
        <f>IF($A335="","",IFERROR(MAX(0,$H335-$G335*kik_sifirCarpan),0))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IF($A336="","",IFERROR(ROUND(MAX(0,$B336*INDEX(tblKurallar[deger_2025],MATCH("KIK-001",tblKurallar[kural_id],0))-($C336+$D336+$E336+$F336)),kik_yuvarMax),0))</f>
        <v/>
      </c>
      <c r="I336" s="37">
        <f>IF($A336="","",IFERROR(MAX(0,$H336-$G336*kik_sifirCarpan),0))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IF($A337="","",IFERROR(ROUND(MAX(0,$B337*INDEX(tblKurallar[deger_2025],MATCH("KIK-001",tblKurallar[kural_id],0))-($C337+$D337+$E337+$F337)),kik_yuvarMax),0))</f>
        <v/>
      </c>
      <c r="I337" s="37">
        <f>IF($A337="","",IFERROR(MAX(0,$H337-$G337*kik_sifirCarpan),0))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IF($A338="","",IFERROR(ROUND(MAX(0,$B338*INDEX(tblKurallar[deger_2025],MATCH("KIK-001",tblKurallar[kural_id],0))-($C338+$D338+$E338+$F338)),kik_yuvarMax),0))</f>
        <v/>
      </c>
      <c r="I338" s="37">
        <f>IF($A338="","",IFERROR(MAX(0,$H338-$G338*kik_sifirCarpan),0))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IF($A339="","",IFERROR(ROUND(MAX(0,$B339*INDEX(tblKurallar[deger_2025],MATCH("KIK-001",tblKurallar[kural_id],0))-($C339+$D339+$E339+$F339)),kik_yuvarMax),0))</f>
        <v/>
      </c>
      <c r="I339" s="37">
        <f>IF($A339="","",IFERROR(MAX(0,$H339-$G339*kik_sifirCarpan),0))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IF($A340="","",IFERROR(ROUND(MAX(0,$B340*INDEX(tblKurallar[deger_2025],MATCH("KIK-001",tblKurallar[kural_id],0))-($C340+$D340+$E340+$F340)),kik_yuvarMax),0))</f>
        <v/>
      </c>
      <c r="I340" s="37">
        <f>IF($A340="","",IFERROR(MAX(0,$H340-$G340*kik_sifirCarpan),0))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IF($A341="","",IFERROR(ROUND(MAX(0,$B341*INDEX(tblKurallar[deger_2025],MATCH("KIK-001",tblKurallar[kural_id],0))-($C341+$D341+$E341+$F341)),kik_yuvarMax),0))</f>
        <v/>
      </c>
      <c r="I341" s="37">
        <f>IF($A341="","",IFERROR(MAX(0,$H341-$G341*kik_sifirCarpan),0))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IF($A342="","",IFERROR(ROUND(MAX(0,$B342*INDEX(tblKurallar[deger_2025],MATCH("KIK-001",tblKurallar[kural_id],0))-($C342+$D342+$E342+$F342)),kik_yuvarMax),0))</f>
        <v/>
      </c>
      <c r="I342" s="37">
        <f>IF($A342="","",IFERROR(MAX(0,$H342-$G342*kik_sifirCarpan),0))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IF($A343="","",IFERROR(ROUND(MAX(0,$B343*INDEX(tblKurallar[deger_2025],MATCH("KIK-001",tblKurallar[kural_id],0))-($C343+$D343+$E343+$F343)),kik_yuvarMax),0))</f>
        <v/>
      </c>
      <c r="I343" s="37">
        <f>IF($A343="","",IFERROR(MAX(0,$H343-$G343*kik_sifirCarpan),0))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IF($A344="","",IFERROR(ROUND(MAX(0,$B344*INDEX(tblKurallar[deger_2025],MATCH("KIK-001",tblKurallar[kural_id],0))-($C344+$D344+$E344+$F344)),kik_yuvarMax),0))</f>
        <v/>
      </c>
      <c r="I344" s="37">
        <f>IF($A344="","",IFERROR(MAX(0,$H344-$G344*kik_sifirCarpan),0))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IF($A345="","",IFERROR(ROUND(MAX(0,$B345*INDEX(tblKurallar[deger_2025],MATCH("KIK-001",tblKurallar[kural_id],0))-($C345+$D345+$E345+$F345)),kik_yuvarMax),0))</f>
        <v/>
      </c>
      <c r="I345" s="37">
        <f>IF($A345="","",IFERROR(MAX(0,$H345-$G345*kik_sifirCarpan),0))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IF($A346="","",IFERROR(ROUND(MAX(0,$B346*INDEX(tblKurallar[deger_2025],MATCH("KIK-001",tblKurallar[kural_id],0))-($C346+$D346+$E346+$F346)),kik_yuvarMax),0))</f>
        <v/>
      </c>
      <c r="I346" s="37">
        <f>IF($A346="","",IFERROR(MAX(0,$H346-$G346*kik_sifirCarpan),0))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IF($A347="","",IFERROR(ROUND(MAX(0,$B347*INDEX(tblKurallar[deger_2025],MATCH("KIK-001",tblKurallar[kural_id],0))-($C347+$D347+$E347+$F347)),kik_yuvarMax),0))</f>
        <v/>
      </c>
      <c r="I347" s="37">
        <f>IF($A347="","",IFERROR(MAX(0,$H347-$G347*kik_sifirCarpan),0))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IF($A348="","",IFERROR(ROUND(MAX(0,$B348*INDEX(tblKurallar[deger_2025],MATCH("KIK-001",tblKurallar[kural_id],0))-($C348+$D348+$E348+$F348)),kik_yuvarMax),0))</f>
        <v/>
      </c>
      <c r="I348" s="37">
        <f>IF($A348="","",IFERROR(MAX(0,$H348-$G348*kik_sifirCarpan),0))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IF($A349="","",IFERROR(ROUND(MAX(0,$B349*INDEX(tblKurallar[deger_2025],MATCH("KIK-001",tblKurallar[kural_id],0))-($C349+$D349+$E349+$F349)),kik_yuvarMax),0))</f>
        <v/>
      </c>
      <c r="I349" s="37">
        <f>IF($A349="","",IFERROR(MAX(0,$H349-$G349*kik_sifirCarpan),0))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IF($A350="","",IFERROR(ROUND(MAX(0,$B350*INDEX(tblKurallar[deger_2025],MATCH("KIK-001",tblKurallar[kural_id],0))-($C350+$D350+$E350+$F350)),kik_yuvarMax),0))</f>
        <v/>
      </c>
      <c r="I350" s="37">
        <f>IF($A350="","",IFERROR(MAX(0,$H350-$G350*kik_sifirCarpan),0))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IF($A351="","",IFERROR(ROUND(MAX(0,$B351*INDEX(tblKurallar[deger_2025],MATCH("KIK-001",tblKurallar[kural_id],0))-($C351+$D351+$E351+$F351)),kik_yuvarMax),0))</f>
        <v/>
      </c>
      <c r="I351" s="37">
        <f>IF($A351="","",IFERROR(MAX(0,$H351-$G351*kik_sifirCarpan),0))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IF($A352="","",IFERROR(ROUND(MAX(0,$B352*INDEX(tblKurallar[deger_2025],MATCH("KIK-001",tblKurallar[kural_id],0))-($C352+$D352+$E352+$F352)),kik_yuvarMax),0))</f>
        <v/>
      </c>
      <c r="I352" s="37">
        <f>IF($A352="","",IFERROR(MAX(0,$H352-$G352*kik_sifirCarpan),0))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IF($A353="","",IFERROR(ROUND(MAX(0,$B353*INDEX(tblKurallar[deger_2025],MATCH("KIK-001",tblKurallar[kural_id],0))-($C353+$D353+$E353+$F353)),kik_yuvarMax),0))</f>
        <v/>
      </c>
      <c r="I353" s="37">
        <f>IF($A353="","",IFERROR(MAX(0,$H353-$G353*kik_sifirCarpan),0))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IF($A354="","",IFERROR(ROUND(MAX(0,$B354*INDEX(tblKurallar[deger_2025],MATCH("KIK-001",tblKurallar[kural_id],0))-($C354+$D354+$E354+$F354)),kik_yuvarMax),0))</f>
        <v/>
      </c>
      <c r="I354" s="37">
        <f>IF($A354="","",IFERROR(MAX(0,$H354-$G354*kik_sifirCarpan),0))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IF($A355="","",IFERROR(ROUND(MAX(0,$B355*INDEX(tblKurallar[deger_2025],MATCH("KIK-001",tblKurallar[kural_id],0))-($C355+$D355+$E355+$F355)),kik_yuvarMax),0))</f>
        <v/>
      </c>
      <c r="I355" s="37">
        <f>IF($A355="","",IFERROR(MAX(0,$H355-$G355*kik_sifirCarpan),0))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IF($A356="","",IFERROR(ROUND(MAX(0,$B356*INDEX(tblKurallar[deger_2025],MATCH("KIK-001",tblKurallar[kural_id],0))-($C356+$D356+$E356+$F356)),kik_yuvarMax),0))</f>
        <v/>
      </c>
      <c r="I356" s="37">
        <f>IF($A356="","",IFERROR(MAX(0,$H356-$G356*kik_sifirCarpan),0))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IF($A357="","",IFERROR(ROUND(MAX(0,$B357*INDEX(tblKurallar[deger_2025],MATCH("KIK-001",tblKurallar[kural_id],0))-($C357+$D357+$E357+$F357)),kik_yuvarMax),0))</f>
        <v/>
      </c>
      <c r="I357" s="37">
        <f>IF($A357="","",IFERROR(MAX(0,$H357-$G357*kik_sifirCarpan),0))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IF($A358="","",IFERROR(ROUND(MAX(0,$B358*INDEX(tblKurallar[deger_2025],MATCH("KIK-001",tblKurallar[kural_id],0))-($C358+$D358+$E358+$F358)),kik_yuvarMax),0))</f>
        <v/>
      </c>
      <c r="I358" s="37">
        <f>IF($A358="","",IFERROR(MAX(0,$H358-$G358*kik_sifirCarpan),0))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IF($A359="","",IFERROR(ROUND(MAX(0,$B359*INDEX(tblKurallar[deger_2025],MATCH("KIK-001",tblKurallar[kural_id],0))-($C359+$D359+$E359+$F359)),kik_yuvarMax),0))</f>
        <v/>
      </c>
      <c r="I359" s="37">
        <f>IF($A359="","",IFERROR(MAX(0,$H359-$G359*kik_sifirCarpan),0))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IF($A360="","",IFERROR(ROUND(MAX(0,$B360*INDEX(tblKurallar[deger_2025],MATCH("KIK-001",tblKurallar[kural_id],0))-($C360+$D360+$E360+$F360)),kik_yuvarMax),0))</f>
        <v/>
      </c>
      <c r="I360" s="37">
        <f>IF($A360="","",IFERROR(MAX(0,$H360-$G360*kik_sifirCarpan),0))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IF($A361="","",IFERROR(ROUND(MAX(0,$B361*INDEX(tblKurallar[deger_2025],MATCH("KIK-001",tblKurallar[kural_id],0))-($C361+$D361+$E361+$F361)),kik_yuvarMax),0))</f>
        <v/>
      </c>
      <c r="I361" s="37">
        <f>IF($A361="","",IFERROR(MAX(0,$H361-$G361*kik_sifirCarpan),0))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IF($A362="","",IFERROR(ROUND(MAX(0,$B362*INDEX(tblKurallar[deger_2025],MATCH("KIK-001",tblKurallar[kural_id],0))-($C362+$D362+$E362+$F362)),kik_yuvarMax),0))</f>
        <v/>
      </c>
      <c r="I362" s="37">
        <f>IF($A362="","",IFERROR(MAX(0,$H362-$G362*kik_sifirCarpan),0))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IF($A363="","",IFERROR(ROUND(MAX(0,$B363*INDEX(tblKurallar[deger_2025],MATCH("KIK-001",tblKurallar[kural_id],0))-($C363+$D363+$E363+$F363)),kik_yuvarMax),0))</f>
        <v/>
      </c>
      <c r="I363" s="37">
        <f>IF($A363="","",IFERROR(MAX(0,$H363-$G363*kik_sifirCarpan),0))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IF($A364="","",IFERROR(ROUND(MAX(0,$B364*INDEX(tblKurallar[deger_2025],MATCH("KIK-001",tblKurallar[kural_id],0))-($C364+$D364+$E364+$F364)),kik_yuvarMax),0))</f>
        <v/>
      </c>
      <c r="I364" s="37">
        <f>IF($A364="","",IFERROR(MAX(0,$H364-$G364*kik_sifirCarpan),0))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IF($A365="","",IFERROR(ROUND(MAX(0,$B365*INDEX(tblKurallar[deger_2025],MATCH("KIK-001",tblKurallar[kural_id],0))-($C365+$D365+$E365+$F365)),kik_yuvarMax),0))</f>
        <v/>
      </c>
      <c r="I365" s="37">
        <f>IF($A365="","",IFERROR(MAX(0,$H365-$G365*kik_sifirCarpan),0))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IF($A366="","",IFERROR(ROUND(MAX(0,$B366*INDEX(tblKurallar[deger_2025],MATCH("KIK-001",tblKurallar[kural_id],0))-($C366+$D366+$E366+$F366)),kik_yuvarMax),0))</f>
        <v/>
      </c>
      <c r="I366" s="37">
        <f>IF($A366="","",IFERROR(MAX(0,$H366-$G366*kik_sifirCarpan),0))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IF($A367="","",IFERROR(ROUND(MAX(0,$B367*INDEX(tblKurallar[deger_2025],MATCH("KIK-001",tblKurallar[kural_id],0))-($C367+$D367+$E367+$F367)),kik_yuvarMax),0))</f>
        <v/>
      </c>
      <c r="I367" s="37">
        <f>IF($A367="","",IFERROR(MAX(0,$H367-$G367*kik_sifirCarpan),0))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IF($A368="","",IFERROR(ROUND(MAX(0,$B368*INDEX(tblKurallar[deger_2025],MATCH("KIK-001",tblKurallar[kural_id],0))-($C368+$D368+$E368+$F368)),kik_yuvarMax),0))</f>
        <v/>
      </c>
      <c r="I368" s="37">
        <f>IF($A368="","",IFERROR(MAX(0,$H368-$G368*kik_sifirCarpan),0))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IF($A369="","",IFERROR(ROUND(MAX(0,$B369*INDEX(tblKurallar[deger_2025],MATCH("KIK-001",tblKurallar[kural_id],0))-($C369+$D369+$E369+$F369)),kik_yuvarMax),0))</f>
        <v/>
      </c>
      <c r="I369" s="37">
        <f>IF($A369="","",IFERROR(MAX(0,$H369-$G369*kik_sifirCarpan),0))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IF($A370="","",IFERROR(ROUND(MAX(0,$B370*INDEX(tblKurallar[deger_2025],MATCH("KIK-001",tblKurallar[kural_id],0))-($C370+$D370+$E370+$F370)),kik_yuvarMax),0))</f>
        <v/>
      </c>
      <c r="I370" s="37">
        <f>IF($A370="","",IFERROR(MAX(0,$H370-$G370*kik_sifirCarpan),0))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IF($A371="","",IFERROR(ROUND(MAX(0,$B371*INDEX(tblKurallar[deger_2025],MATCH("KIK-001",tblKurallar[kural_id],0))-($C371+$D371+$E371+$F371)),kik_yuvarMax),0))</f>
        <v/>
      </c>
      <c r="I371" s="37">
        <f>IF($A371="","",IFERROR(MAX(0,$H371-$G371*kik_sifirCarpan),0))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IF($A372="","",IFERROR(ROUND(MAX(0,$B372*INDEX(tblKurallar[deger_2025],MATCH("KIK-001",tblKurallar[kural_id],0))-($C372+$D372+$E372+$F372)),kik_yuvarMax),0))</f>
        <v/>
      </c>
      <c r="I372" s="37">
        <f>IF($A372="","",IFERROR(MAX(0,$H372-$G372*kik_sifirCarpan),0))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IF($A373="","",IFERROR(ROUND(MAX(0,$B373*INDEX(tblKurallar[deger_2025],MATCH("KIK-001",tblKurallar[kural_id],0))-($C373+$D373+$E373+$F373)),kik_yuvarMax),0))</f>
        <v/>
      </c>
      <c r="I373" s="37">
        <f>IF($A373="","",IFERROR(MAX(0,$H373-$G373*kik_sifirCarpan),0))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IF($A374="","",IFERROR(ROUND(MAX(0,$B374*INDEX(tblKurallar[deger_2025],MATCH("KIK-001",tblKurallar[kural_id],0))-($C374+$D374+$E374+$F374)),kik_yuvarMax),0))</f>
        <v/>
      </c>
      <c r="I374" s="37">
        <f>IF($A374="","",IFERROR(MAX(0,$H374-$G374*kik_sifirCarpan),0))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IF($A375="","",IFERROR(ROUND(MAX(0,$B375*INDEX(tblKurallar[deger_2025],MATCH("KIK-001",tblKurallar[kural_id],0))-($C375+$D375+$E375+$F375)),kik_yuvarMax),0))</f>
        <v/>
      </c>
      <c r="I375" s="37">
        <f>IF($A375="","",IFERROR(MAX(0,$H375-$G375*kik_sifirCarpan),0))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IF($A376="","",IFERROR(ROUND(MAX(0,$B376*INDEX(tblKurallar[deger_2025],MATCH("KIK-001",tblKurallar[kural_id],0))-($C376+$D376+$E376+$F376)),kik_yuvarMax),0))</f>
        <v/>
      </c>
      <c r="I376" s="37">
        <f>IF($A376="","",IFERROR(MAX(0,$H376-$G376*kik_sifirCarpan),0))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IF($A377="","",IFERROR(ROUND(MAX(0,$B377*INDEX(tblKurallar[deger_2025],MATCH("KIK-001",tblKurallar[kural_id],0))-($C377+$D377+$E377+$F377)),kik_yuvarMax),0))</f>
        <v/>
      </c>
      <c r="I377" s="37">
        <f>IF($A377="","",IFERROR(MAX(0,$H377-$G377*kik_sifirCarpan),0))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IF($A378="","",IFERROR(ROUND(MAX(0,$B378*INDEX(tblKurallar[deger_2025],MATCH("KIK-001",tblKurallar[kural_id],0))-($C378+$D378+$E378+$F378)),kik_yuvarMax),0))</f>
        <v/>
      </c>
      <c r="I378" s="37">
        <f>IF($A378="","",IFERROR(MAX(0,$H378-$G378*kik_sifirCarpan),0))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IF($A379="","",IFERROR(ROUND(MAX(0,$B379*INDEX(tblKurallar[deger_2025],MATCH("KIK-001",tblKurallar[kural_id],0))-($C379+$D379+$E379+$F379)),kik_yuvarMax),0))</f>
        <v/>
      </c>
      <c r="I379" s="37">
        <f>IF($A379="","",IFERROR(MAX(0,$H379-$G379*kik_sifirCarpan),0))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IF($A380="","",IFERROR(ROUND(MAX(0,$B380*INDEX(tblKurallar[deger_2025],MATCH("KIK-001",tblKurallar[kural_id],0))-($C380+$D380+$E380+$F380)),kik_yuvarMax),0))</f>
        <v/>
      </c>
      <c r="I380" s="37">
        <f>IF($A380="","",IFERROR(MAX(0,$H380-$G380*kik_sifirCarpan),0))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IF($A381="","",IFERROR(ROUND(MAX(0,$B381*INDEX(tblKurallar[deger_2025],MATCH("KIK-001",tblKurallar[kural_id],0))-($C381+$D381+$E381+$F381)),kik_yuvarMax),0))</f>
        <v/>
      </c>
      <c r="I381" s="37">
        <f>IF($A381="","",IFERROR(MAX(0,$H381-$G381*kik_sifirCarpan),0))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IF($A382="","",IFERROR(ROUND(MAX(0,$B382*INDEX(tblKurallar[deger_2025],MATCH("KIK-001",tblKurallar[kural_id],0))-($C382+$D382+$E382+$F382)),kik_yuvarMax),0))</f>
        <v/>
      </c>
      <c r="I382" s="37">
        <f>IF($A382="","",IFERROR(MAX(0,$H382-$G382*kik_sifirCarpan),0))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IF($A383="","",IFERROR(ROUND(MAX(0,$B383*INDEX(tblKurallar[deger_2025],MATCH("KIK-001",tblKurallar[kural_id],0))-($C383+$D383+$E383+$F383)),kik_yuvarMax),0))</f>
        <v/>
      </c>
      <c r="I383" s="37">
        <f>IF($A383="","",IFERROR(MAX(0,$H383-$G383*kik_sifirCarpan),0))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IF($A384="","",IFERROR(ROUND(MAX(0,$B384*INDEX(tblKurallar[deger_2025],MATCH("KIK-001",tblKurallar[kural_id],0))-($C384+$D384+$E384+$F384)),kik_yuvarMax),0))</f>
        <v/>
      </c>
      <c r="I384" s="37">
        <f>IF($A384="","",IFERROR(MAX(0,$H384-$G384*kik_sifirCarpan),0))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IF($A385="","",IFERROR(ROUND(MAX(0,$B385*INDEX(tblKurallar[deger_2025],MATCH("KIK-001",tblKurallar[kural_id],0))-($C385+$D385+$E385+$F385)),kik_yuvarMax),0))</f>
        <v/>
      </c>
      <c r="I385" s="37">
        <f>IF($A385="","",IFERROR(MAX(0,$H385-$G385*kik_sifirCarpan),0))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IF($A386="","",IFERROR(ROUND(MAX(0,$B386*INDEX(tblKurallar[deger_2025],MATCH("KIK-001",tblKurallar[kural_id],0))-($C386+$D386+$E386+$F386)),kik_yuvarMax),0))</f>
        <v/>
      </c>
      <c r="I386" s="37">
        <f>IF($A386="","",IFERROR(MAX(0,$H386-$G386*kik_sifirCarpan),0))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IF($A387="","",IFERROR(ROUND(MAX(0,$B387*INDEX(tblKurallar[deger_2025],MATCH("KIK-001",tblKurallar[kural_id],0))-($C387+$D387+$E387+$F387)),kik_yuvarMax),0))</f>
        <v/>
      </c>
      <c r="I387" s="37">
        <f>IF($A387="","",IFERROR(MAX(0,$H387-$G387*kik_sifirCarpan),0))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IF($A388="","",IFERROR(ROUND(MAX(0,$B388*INDEX(tblKurallar[deger_2025],MATCH("KIK-001",tblKurallar[kural_id],0))-($C388+$D388+$E388+$F388)),kik_yuvarMax),0))</f>
        <v/>
      </c>
      <c r="I388" s="37">
        <f>IF($A388="","",IFERROR(MAX(0,$H388-$G388*kik_sifirCarpan),0))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IF($A389="","",IFERROR(ROUND(MAX(0,$B389*INDEX(tblKurallar[deger_2025],MATCH("KIK-001",tblKurallar[kural_id],0))-($C389+$D389+$E389+$F389)),kik_yuvarMax),0))</f>
        <v/>
      </c>
      <c r="I389" s="37">
        <f>IF($A389="","",IFERROR(MAX(0,$H389-$G389*kik_sifirCarpan),0))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IF($A390="","",IFERROR(ROUND(MAX(0,$B390*INDEX(tblKurallar[deger_2025],MATCH("KIK-001",tblKurallar[kural_id],0))-($C390+$D390+$E390+$F390)),kik_yuvarMax),0))</f>
        <v/>
      </c>
      <c r="I390" s="37">
        <f>IF($A390="","",IFERROR(MAX(0,$H390-$G390*kik_sifirCarpan),0))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IF($A391="","",IFERROR(ROUND(MAX(0,$B391*INDEX(tblKurallar[deger_2025],MATCH("KIK-001",tblKurallar[kural_id],0))-($C391+$D391+$E391+$F391)),kik_yuvarMax),0))</f>
        <v/>
      </c>
      <c r="I391" s="37">
        <f>IF($A391="","",IFERROR(MAX(0,$H391-$G391*kik_sifirCarpan),0))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IF($A392="","",IFERROR(ROUND(MAX(0,$B392*INDEX(tblKurallar[deger_2025],MATCH("KIK-001",tblKurallar[kural_id],0))-($C392+$D392+$E392+$F392)),kik_yuvarMax),0))</f>
        <v/>
      </c>
      <c r="I392" s="37">
        <f>IF($A392="","",IFERROR(MAX(0,$H392-$G392*kik_sifirCarpan),0))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IF($A393="","",IFERROR(ROUND(MAX(0,$B393*INDEX(tblKurallar[deger_2025],MATCH("KIK-001",tblKurallar[kural_id],0))-($C393+$D393+$E393+$F393)),kik_yuvarMax),0))</f>
        <v/>
      </c>
      <c r="I393" s="37">
        <f>IF($A393="","",IFERROR(MAX(0,$H393-$G393*kik_sifirCarpan),0))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IF($A394="","",IFERROR(ROUND(MAX(0,$B394*INDEX(tblKurallar[deger_2025],MATCH("KIK-001",tblKurallar[kural_id],0))-($C394+$D394+$E394+$F394)),kik_yuvarMax),0))</f>
        <v/>
      </c>
      <c r="I394" s="37">
        <f>IF($A394="","",IFERROR(MAX(0,$H394-$G394*kik_sifirCarpan),0))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IF($A395="","",IFERROR(ROUND(MAX(0,$B395*INDEX(tblKurallar[deger_2025],MATCH("KIK-001",tblKurallar[kural_id],0))-($C395+$D395+$E395+$F395)),kik_yuvarMax),0))</f>
        <v/>
      </c>
      <c r="I395" s="37">
        <f>IF($A395="","",IFERROR(MAX(0,$H395-$G395*kik_sifirCarpan),0))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IF($A396="","",IFERROR(ROUND(MAX(0,$B396*INDEX(tblKurallar[deger_2025],MATCH("KIK-001",tblKurallar[kural_id],0))-($C396+$D396+$E396+$F396)),kik_yuvarMax),0))</f>
        <v/>
      </c>
      <c r="I396" s="37">
        <f>IF($A396="","",IFERROR(MAX(0,$H396-$G396*kik_sifirCarpan),0))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IF($A397="","",IFERROR(ROUND(MAX(0,$B397*INDEX(tblKurallar[deger_2025],MATCH("KIK-001",tblKurallar[kural_id],0))-($C397+$D397+$E397+$F397)),kik_yuvarMax),0))</f>
        <v/>
      </c>
      <c r="I397" s="37">
        <f>IF($A397="","",IFERROR(MAX(0,$H397-$G397*kik_sifirCarpan),0))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IF($A398="","",IFERROR(ROUND(MAX(0,$B398*INDEX(tblKurallar[deger_2025],MATCH("KIK-001",tblKurallar[kural_id],0))-($C398+$D398+$E398+$F398)),kik_yuvarMax),0))</f>
        <v/>
      </c>
      <c r="I398" s="37">
        <f>IF($A398="","",IFERROR(MAX(0,$H398-$G398*kik_sifirCarpan),0))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IF($A399="","",IFERROR(ROUND(MAX(0,$B399*INDEX(tblKurallar[deger_2025],MATCH("KIK-001",tblKurallar[kural_id],0))-($C399+$D399+$E399+$F399)),kik_yuvarMax),0))</f>
        <v/>
      </c>
      <c r="I399" s="37">
        <f>IF($A399="","",IFERROR(MAX(0,$H399-$G399*kik_sifirCarpan),0))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IF($A400="","",IFERROR(ROUND(MAX(0,$B400*INDEX(tblKurallar[deger_2025],MATCH("KIK-001",tblKurallar[kural_id],0))-($C400+$D400+$E400+$F400)),kik_yuvarMax),0))</f>
        <v/>
      </c>
      <c r="I400" s="37">
        <f>IF($A400="","",IFERROR(MAX(0,$H400-$G400*kik_sifirCarpan),0))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IF($A401="","",IFERROR(ROUND(MAX(0,$B401*INDEX(tblKurallar[deger_2025],MATCH("KIK-001",tblKurallar[kural_id],0))-($C401+$D401+$E401+$F401)),kik_yuvarMax),0))</f>
        <v/>
      </c>
      <c r="I401" s="37">
        <f>IF($A401="","",IFERROR(MAX(0,$H401-$G401*kik_sifirCarpan),0))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IF($A402="","",IFERROR(ROUND(MAX(0,$B402*INDEX(tblKurallar[deger_2025],MATCH("KIK-001",tblKurallar[kural_id],0))-($C402+$D402+$E402+$F402)),kik_yuvarMax),0))</f>
        <v/>
      </c>
      <c r="I402" s="37">
        <f>IF($A402="","",IFERROR(MAX(0,$H402-$G402*kik_sifirCarpan),0))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IF($A403="","",IFERROR(ROUND(MAX(0,$B403*INDEX(tblKurallar[deger_2025],MATCH("KIK-001",tblKurallar[kural_id],0))-($C403+$D403+$E403+$F403)),kik_yuvarMax),0))</f>
        <v/>
      </c>
      <c r="I403" s="37">
        <f>IF($A403="","",IFERROR(MAX(0,$H403-$G403*kik_sifirCarpan),0))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IF($A404="","",IFERROR(ROUND(MAX(0,$B404*INDEX(tblKurallar[deger_2025],MATCH("KIK-001",tblKurallar[kural_id],0))-($C404+$D404+$E404+$F404)),kik_yuvarMax),0))</f>
        <v/>
      </c>
      <c r="I404" s="37">
        <f>IF($A404="","",IFERROR(MAX(0,$H404-$G404*kik_sifirCarpan),0))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IF($A405="","",IFERROR(ROUND(MAX(0,$B405*INDEX(tblKurallar[deger_2025],MATCH("KIK-001",tblKurallar[kural_id],0))-($C405+$D405+$E405+$F405)),kik_yuvarMax),0))</f>
        <v/>
      </c>
      <c r="I405" s="37">
        <f>IF($A405="","",IFERROR(MAX(0,$H405-$G405*kik_sifirCarpan),0))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IF($A406="","",IFERROR(ROUND(MAX(0,$B406*INDEX(tblKurallar[deger_2025],MATCH("KIK-001",tblKurallar[kural_id],0))-($C406+$D406+$E406+$F406)),kik_yuvarMax),0))</f>
        <v/>
      </c>
      <c r="I406" s="37">
        <f>IF($A406="","",IFERROR(MAX(0,$H406-$G406*kik_sifirCarpan),0))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IF($A407="","",IFERROR(ROUND(MAX(0,$B407*INDEX(tblKurallar[deger_2025],MATCH("KIK-001",tblKurallar[kural_id],0))-($C407+$D407+$E407+$F407)),kik_yuvarMax),0))</f>
        <v/>
      </c>
      <c r="I407" s="37">
        <f>IF($A407="","",IFERROR(MAX(0,$H407-$G407*kik_sifirCarpan),0))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IF($A408="","",IFERROR(ROUND(MAX(0,$B408*INDEX(tblKurallar[deger_2025],MATCH("KIK-001",tblKurallar[kural_id],0))-($C408+$D408+$E408+$F408)),kik_yuvarMax),0))</f>
        <v/>
      </c>
      <c r="I408" s="37">
        <f>IF($A408="","",IFERROR(MAX(0,$H408-$G408*kik_sifirCarpan),0))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IF($A409="","",IFERROR(ROUND(MAX(0,$B409*INDEX(tblKurallar[deger_2025],MATCH("KIK-001",tblKurallar[kural_id],0))-($C409+$D409+$E409+$F409)),kik_yuvarMax),0))</f>
        <v/>
      </c>
      <c r="I409" s="37">
        <f>IF($A409="","",IFERROR(MAX(0,$H409-$G409*kik_sifirCarpan),0))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IF($A410="","",IFERROR(ROUND(MAX(0,$B410*INDEX(tblKurallar[deger_2025],MATCH("KIK-001",tblKurallar[kural_id],0))-($C410+$D410+$E410+$F410)),kik_yuvarMax),0))</f>
        <v/>
      </c>
      <c r="I410" s="37">
        <f>IF($A410="","",IFERROR(MAX(0,$H410-$G410*kik_sifirCarpan),0))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IF($A411="","",IFERROR(ROUND(MAX(0,$B411*INDEX(tblKurallar[deger_2025],MATCH("KIK-001",tblKurallar[kural_id],0))-($C411+$D411+$E411+$F411)),kik_yuvarMax),0))</f>
        <v/>
      </c>
      <c r="I411" s="37">
        <f>IF($A411="","",IFERROR(MAX(0,$H411-$G411*kik_sifirCarpan),0))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IF($A412="","",IFERROR(ROUND(MAX(0,$B412*INDEX(tblKurallar[deger_2025],MATCH("KIK-001",tblKurallar[kural_id],0))-($C412+$D412+$E412+$F412)),kik_yuvarMax),0))</f>
        <v/>
      </c>
      <c r="I412" s="37">
        <f>IF($A412="","",IFERROR(MAX(0,$H412-$G412*kik_sifirCarpan),0))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IF($A413="","",IFERROR(ROUND(MAX(0,$B413*INDEX(tblKurallar[deger_2025],MATCH("KIK-001",tblKurallar[kural_id],0))-($C413+$D413+$E413+$F413)),kik_yuvarMax),0))</f>
        <v/>
      </c>
      <c r="I413" s="37">
        <f>IF($A413="","",IFERROR(MAX(0,$H413-$G413*kik_sifirCarpan),0))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IF($A414="","",IFERROR(ROUND(MAX(0,$B414*INDEX(tblKurallar[deger_2025],MATCH("KIK-001",tblKurallar[kural_id],0))-($C414+$D414+$E414+$F414)),kik_yuvarMax),0))</f>
        <v/>
      </c>
      <c r="I414" s="37">
        <f>IF($A414="","",IFERROR(MAX(0,$H414-$G414*kik_sifirCarpan),0))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IF($A415="","",IFERROR(ROUND(MAX(0,$B415*INDEX(tblKurallar[deger_2025],MATCH("KIK-001",tblKurallar[kural_id],0))-($C415+$D415+$E415+$F415)),kik_yuvarMax),0))</f>
        <v/>
      </c>
      <c r="I415" s="37">
        <f>IF($A415="","",IFERROR(MAX(0,$H415-$G415*kik_sifirCarpan),0))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IF($A416="","",IFERROR(ROUND(MAX(0,$B416*INDEX(tblKurallar[deger_2025],MATCH("KIK-001",tblKurallar[kural_id],0))-($C416+$D416+$E416+$F416)),kik_yuvarMax),0))</f>
        <v/>
      </c>
      <c r="I416" s="37">
        <f>IF($A416="","",IFERROR(MAX(0,$H416-$G416*kik_sifirCarpan),0))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IF($A417="","",IFERROR(ROUND(MAX(0,$B417*INDEX(tblKurallar[deger_2025],MATCH("KIK-001",tblKurallar[kural_id],0))-($C417+$D417+$E417+$F417)),kik_yuvarMax),0))</f>
        <v/>
      </c>
      <c r="I417" s="37">
        <f>IF($A417="","",IFERROR(MAX(0,$H417-$G417*kik_sifirCarpan),0))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IF($A418="","",IFERROR(ROUND(MAX(0,$B418*INDEX(tblKurallar[deger_2025],MATCH("KIK-001",tblKurallar[kural_id],0))-($C418+$D418+$E418+$F418)),kik_yuvarMax),0))</f>
        <v/>
      </c>
      <c r="I418" s="37">
        <f>IF($A418="","",IFERROR(MAX(0,$H418-$G418*kik_sifirCarpan),0))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IF($A419="","",IFERROR(ROUND(MAX(0,$B419*INDEX(tblKurallar[deger_2025],MATCH("KIK-001",tblKurallar[kural_id],0))-($C419+$D419+$E419+$F419)),kik_yuvarMax),0))</f>
        <v/>
      </c>
      <c r="I419" s="37">
        <f>IF($A419="","",IFERROR(MAX(0,$H419-$G419*kik_sifirCarpan),0))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IF($A420="","",IFERROR(ROUND(MAX(0,$B420*INDEX(tblKurallar[deger_2025],MATCH("KIK-001",tblKurallar[kural_id],0))-($C420+$D420+$E420+$F420)),kik_yuvarMax),0))</f>
        <v/>
      </c>
      <c r="I420" s="37">
        <f>IF($A420="","",IFERROR(MAX(0,$H420-$G420*kik_sifirCarpan),0))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IF($A421="","",IFERROR(ROUND(MAX(0,$B421*INDEX(tblKurallar[deger_2025],MATCH("KIK-001",tblKurallar[kural_id],0))-($C421+$D421+$E421+$F421)),kik_yuvarMax),0))</f>
        <v/>
      </c>
      <c r="I421" s="37">
        <f>IF($A421="","",IFERROR(MAX(0,$H421-$G421*kik_sifirCarpan),0))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IF($A422="","",IFERROR(ROUND(MAX(0,$B422*INDEX(tblKurallar[deger_2025],MATCH("KIK-001",tblKurallar[kural_id],0))-($C422+$D422+$E422+$F422)),kik_yuvarMax),0))</f>
        <v/>
      </c>
      <c r="I422" s="37">
        <f>IF($A422="","",IFERROR(MAX(0,$H422-$G422*kik_sifirCarpan),0))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IF($A423="","",IFERROR(ROUND(MAX(0,$B423*INDEX(tblKurallar[deger_2025],MATCH("KIK-001",tblKurallar[kural_id],0))-($C423+$D423+$E423+$F423)),kik_yuvarMax),0))</f>
        <v/>
      </c>
      <c r="I423" s="37">
        <f>IF($A423="","",IFERROR(MAX(0,$H423-$G423*kik_sifirCarpan),0))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IF($A424="","",IFERROR(ROUND(MAX(0,$B424*INDEX(tblKurallar[deger_2025],MATCH("KIK-001",tblKurallar[kural_id],0))-($C424+$D424+$E424+$F424)),kik_yuvarMax),0))</f>
        <v/>
      </c>
      <c r="I424" s="37">
        <f>IF($A424="","",IFERROR(MAX(0,$H424-$G424*kik_sifirCarpan),0))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IF($A425="","",IFERROR(ROUND(MAX(0,$B425*INDEX(tblKurallar[deger_2025],MATCH("KIK-001",tblKurallar[kural_id],0))-($C425+$D425+$E425+$F425)),kik_yuvarMax),0))</f>
        <v/>
      </c>
      <c r="I425" s="37">
        <f>IF($A425="","",IFERROR(MAX(0,$H425-$G425*kik_sifirCarpan),0))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IF($A426="","",IFERROR(ROUND(MAX(0,$B426*INDEX(tblKurallar[deger_2025],MATCH("KIK-001",tblKurallar[kural_id],0))-($C426+$D426+$E426+$F426)),kik_yuvarMax),0))</f>
        <v/>
      </c>
      <c r="I426" s="37">
        <f>IF($A426="","",IFERROR(MAX(0,$H426-$G426*kik_sifirCarpan),0))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IF($A427="","",IFERROR(ROUND(MAX(0,$B427*INDEX(tblKurallar[deger_2025],MATCH("KIK-001",tblKurallar[kural_id],0))-($C427+$D427+$E427+$F427)),kik_yuvarMax),0))</f>
        <v/>
      </c>
      <c r="I427" s="37">
        <f>IF($A427="","",IFERROR(MAX(0,$H427-$G427*kik_sifirCarpan),0))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IF($A428="","",IFERROR(ROUND(MAX(0,$B428*INDEX(tblKurallar[deger_2025],MATCH("KIK-001",tblKurallar[kural_id],0))-($C428+$D428+$E428+$F428)),kik_yuvarMax),0))</f>
        <v/>
      </c>
      <c r="I428" s="37">
        <f>IF($A428="","",IFERROR(MAX(0,$H428-$G428*kik_sifirCarpan),0))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IF($A429="","",IFERROR(ROUND(MAX(0,$B429*INDEX(tblKurallar[deger_2025],MATCH("KIK-001",tblKurallar[kural_id],0))-($C429+$D429+$E429+$F429)),kik_yuvarMax),0))</f>
        <v/>
      </c>
      <c r="I429" s="37">
        <f>IF($A429="","",IFERROR(MAX(0,$H429-$G429*kik_sifirCarpan),0))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IF($A430="","",IFERROR(ROUND(MAX(0,$B430*INDEX(tblKurallar[deger_2025],MATCH("KIK-001",tblKurallar[kural_id],0))-($C430+$D430+$E430+$F430)),kik_yuvarMax),0))</f>
        <v/>
      </c>
      <c r="I430" s="37">
        <f>IF($A430="","",IFERROR(MAX(0,$H430-$G430*kik_sifirCarpan),0))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IF($A431="","",IFERROR(ROUND(MAX(0,$B431*INDEX(tblKurallar[deger_2025],MATCH("KIK-001",tblKurallar[kural_id],0))-($C431+$D431+$E431+$F431)),kik_yuvarMax),0))</f>
        <v/>
      </c>
      <c r="I431" s="37">
        <f>IF($A431="","",IFERROR(MAX(0,$H431-$G431*kik_sifirCarpan),0))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IF($A432="","",IFERROR(ROUND(MAX(0,$B432*INDEX(tblKurallar[deger_2025],MATCH("KIK-001",tblKurallar[kural_id],0))-($C432+$D432+$E432+$F432)),kik_yuvarMax),0))</f>
        <v/>
      </c>
      <c r="I432" s="37">
        <f>IF($A432="","",IFERROR(MAX(0,$H432-$G432*kik_sifirCarpan),0))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IF($A433="","",IFERROR(ROUND(MAX(0,$B433*INDEX(tblKurallar[deger_2025],MATCH("KIK-001",tblKurallar[kural_id],0))-($C433+$D433+$E433+$F433)),kik_yuvarMax),0))</f>
        <v/>
      </c>
      <c r="I433" s="37">
        <f>IF($A433="","",IFERROR(MAX(0,$H433-$G433*kik_sifirCarpan),0))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IF($A434="","",IFERROR(ROUND(MAX(0,$B434*INDEX(tblKurallar[deger_2025],MATCH("KIK-001",tblKurallar[kural_id],0))-($C434+$D434+$E434+$F434)),kik_yuvarMax),0))</f>
        <v/>
      </c>
      <c r="I434" s="37">
        <f>IF($A434="","",IFERROR(MAX(0,$H434-$G434*kik_sifirCarpan),0))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IF($A435="","",IFERROR(ROUND(MAX(0,$B435*INDEX(tblKurallar[deger_2025],MATCH("KIK-001",tblKurallar[kural_id],0))-($C435+$D435+$E435+$F435)),kik_yuvarMax),0))</f>
        <v/>
      </c>
      <c r="I435" s="37">
        <f>IF($A435="","",IFERROR(MAX(0,$H435-$G435*kik_sifirCarpan),0))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IF($A436="","",IFERROR(ROUND(MAX(0,$B436*INDEX(tblKurallar[deger_2025],MATCH("KIK-001",tblKurallar[kural_id],0))-($C436+$D436+$E436+$F436)),kik_yuvarMax),0))</f>
        <v/>
      </c>
      <c r="I436" s="37">
        <f>IF($A436="","",IFERROR(MAX(0,$H436-$G436*kik_sifirCarpan),0))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IF($A437="","",IFERROR(ROUND(MAX(0,$B437*INDEX(tblKurallar[deger_2025],MATCH("KIK-001",tblKurallar[kural_id],0))-($C437+$D437+$E437+$F437)),kik_yuvarMax),0))</f>
        <v/>
      </c>
      <c r="I437" s="37">
        <f>IF($A437="","",IFERROR(MAX(0,$H437-$G437*kik_sifirCarpan),0))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IF($A438="","",IFERROR(ROUND(MAX(0,$B438*INDEX(tblKurallar[deger_2025],MATCH("KIK-001",tblKurallar[kural_id],0))-($C438+$D438+$E438+$F438)),kik_yuvarMax),0))</f>
        <v/>
      </c>
      <c r="I438" s="37">
        <f>IF($A438="","",IFERROR(MAX(0,$H438-$G438*kik_sifirCarpan),0))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IF($A439="","",IFERROR(ROUND(MAX(0,$B439*INDEX(tblKurallar[deger_2025],MATCH("KIK-001",tblKurallar[kural_id],0))-($C439+$D439+$E439+$F439)),kik_yuvarMax),0))</f>
        <v/>
      </c>
      <c r="I439" s="37">
        <f>IF($A439="","",IFERROR(MAX(0,$H439-$G439*kik_sifirCarpan),0))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IF($A440="","",IFERROR(ROUND(MAX(0,$B440*INDEX(tblKurallar[deger_2025],MATCH("KIK-001",tblKurallar[kural_id],0))-($C440+$D440+$E440+$F440)),kik_yuvarMax),0))</f>
        <v/>
      </c>
      <c r="I440" s="37">
        <f>IF($A440="","",IFERROR(MAX(0,$H440-$G440*kik_sifirCarpan),0))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IF($A441="","",IFERROR(ROUND(MAX(0,$B441*INDEX(tblKurallar[deger_2025],MATCH("KIK-001",tblKurallar[kural_id],0))-($C441+$D441+$E441+$F441)),kik_yuvarMax),0))</f>
        <v/>
      </c>
      <c r="I441" s="37">
        <f>IF($A441="","",IFERROR(MAX(0,$H441-$G441*kik_sifirCarpan),0))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IF($A442="","",IFERROR(ROUND(MAX(0,$B442*INDEX(tblKurallar[deger_2025],MATCH("KIK-001",tblKurallar[kural_id],0))-($C442+$D442+$E442+$F442)),kik_yuvarMax),0))</f>
        <v/>
      </c>
      <c r="I442" s="37">
        <f>IF($A442="","",IFERROR(MAX(0,$H442-$G442*kik_sifirCarpan),0))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IF($A443="","",IFERROR(ROUND(MAX(0,$B443*INDEX(tblKurallar[deger_2025],MATCH("KIK-001",tblKurallar[kural_id],0))-($C443+$D443+$E443+$F443)),kik_yuvarMax),0))</f>
        <v/>
      </c>
      <c r="I443" s="37">
        <f>IF($A443="","",IFERROR(MAX(0,$H443-$G443*kik_sifirCarpan),0))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IF($A444="","",IFERROR(ROUND(MAX(0,$B444*INDEX(tblKurallar[deger_2025],MATCH("KIK-001",tblKurallar[kural_id],0))-($C444+$D444+$E444+$F444)),kik_yuvarMax),0))</f>
        <v/>
      </c>
      <c r="I444" s="37">
        <f>IF($A444="","",IFERROR(MAX(0,$H444-$G444*kik_sifirCarpan),0))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IF($A445="","",IFERROR(ROUND(MAX(0,$B445*INDEX(tblKurallar[deger_2025],MATCH("KIK-001",tblKurallar[kural_id],0))-($C445+$D445+$E445+$F445)),kik_yuvarMax),0))</f>
        <v/>
      </c>
      <c r="I445" s="37">
        <f>IF($A445="","",IFERROR(MAX(0,$H445-$G445*kik_sifirCarpan),0))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IF($A446="","",IFERROR(ROUND(MAX(0,$B446*INDEX(tblKurallar[deger_2025],MATCH("KIK-001",tblKurallar[kural_id],0))-($C446+$D446+$E446+$F446)),kik_yuvarMax),0))</f>
        <v/>
      </c>
      <c r="I446" s="37">
        <f>IF($A446="","",IFERROR(MAX(0,$H446-$G446*kik_sifirCarpan),0))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IF($A447="","",IFERROR(ROUND(MAX(0,$B447*INDEX(tblKurallar[deger_2025],MATCH("KIK-001",tblKurallar[kural_id],0))-($C447+$D447+$E447+$F447)),kik_yuvarMax),0))</f>
        <v/>
      </c>
      <c r="I447" s="37">
        <f>IF($A447="","",IFERROR(MAX(0,$H447-$G447*kik_sifirCarpan),0))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IF($A448="","",IFERROR(ROUND(MAX(0,$B448*INDEX(tblKurallar[deger_2025],MATCH("KIK-001",tblKurallar[kural_id],0))-($C448+$D448+$E448+$F448)),kik_yuvarMax),0))</f>
        <v/>
      </c>
      <c r="I448" s="37">
        <f>IF($A448="","",IFERROR(MAX(0,$H448-$G448*kik_sifirCarpan),0))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IF($A449="","",IFERROR(ROUND(MAX(0,$B449*INDEX(tblKurallar[deger_2025],MATCH("KIK-001",tblKurallar[kural_id],0))-($C449+$D449+$E449+$F449)),kik_yuvarMax),0))</f>
        <v/>
      </c>
      <c r="I449" s="37">
        <f>IF($A449="","",IFERROR(MAX(0,$H449-$G449*kik_sifirCarpan),0))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IF($A450="","",IFERROR(ROUND(MAX(0,$B450*INDEX(tblKurallar[deger_2025],MATCH("KIK-001",tblKurallar[kural_id],0))-($C450+$D450+$E450+$F450)),kik_yuvarMax),0))</f>
        <v/>
      </c>
      <c r="I450" s="37">
        <f>IF($A450="","",IFERROR(MAX(0,$H450-$G450*kik_sifirCarpan),0))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IF($A451="","",IFERROR(ROUND(MAX(0,$B451*INDEX(tblKurallar[deger_2025],MATCH("KIK-001",tblKurallar[kural_id],0))-($C451+$D451+$E451+$F451)),kik_yuvarMax),0))</f>
        <v/>
      </c>
      <c r="I451" s="37">
        <f>IF($A451="","",IFERROR(MAX(0,$H451-$G451*kik_sifirCarpan),0))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IF($A452="","",IFERROR(ROUND(MAX(0,$B452*INDEX(tblKurallar[deger_2025],MATCH("KIK-001",tblKurallar[kural_id],0))-($C452+$D452+$E452+$F452)),kik_yuvarMax),0))</f>
        <v/>
      </c>
      <c r="I452" s="37">
        <f>IF($A452="","",IFERROR(MAX(0,$H452-$G452*kik_sifirCarpan),0))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IF($A453="","",IFERROR(ROUND(MAX(0,$B453*INDEX(tblKurallar[deger_2025],MATCH("KIK-001",tblKurallar[kural_id],0))-($C453+$D453+$E453+$F453)),kik_yuvarMax),0))</f>
        <v/>
      </c>
      <c r="I453" s="37">
        <f>IF($A453="","",IFERROR(MAX(0,$H453-$G453*kik_sifirCarpan),0))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IF($A454="","",IFERROR(ROUND(MAX(0,$B454*INDEX(tblKurallar[deger_2025],MATCH("KIK-001",tblKurallar[kural_id],0))-($C454+$D454+$E454+$F454)),kik_yuvarMax),0))</f>
        <v/>
      </c>
      <c r="I454" s="37">
        <f>IF($A454="","",IFERROR(MAX(0,$H454-$G454*kik_sifirCarpan),0))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IF($A455="","",IFERROR(ROUND(MAX(0,$B455*INDEX(tblKurallar[deger_2025],MATCH("KIK-001",tblKurallar[kural_id],0))-($C455+$D455+$E455+$F455)),kik_yuvarMax),0))</f>
        <v/>
      </c>
      <c r="I455" s="37">
        <f>IF($A455="","",IFERROR(MAX(0,$H455-$G455*kik_sifirCarpan),0))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IF($A456="","",IFERROR(ROUND(MAX(0,$B456*INDEX(tblKurallar[deger_2025],MATCH("KIK-001",tblKurallar[kural_id],0))-($C456+$D456+$E456+$F456)),kik_yuvarMax),0))</f>
        <v/>
      </c>
      <c r="I456" s="37">
        <f>IF($A456="","",IFERROR(MAX(0,$H456-$G456*kik_sifirCarpan),0))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IF($A457="","",IFERROR(ROUND(MAX(0,$B457*INDEX(tblKurallar[deger_2025],MATCH("KIK-001",tblKurallar[kural_id],0))-($C457+$D457+$E457+$F457)),kik_yuvarMax),0))</f>
        <v/>
      </c>
      <c r="I457" s="37">
        <f>IF($A457="","",IFERROR(MAX(0,$H457-$G457*kik_sifirCarpan),0))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IF($A458="","",IFERROR(ROUND(MAX(0,$B458*INDEX(tblKurallar[deger_2025],MATCH("KIK-001",tblKurallar[kural_id],0))-($C458+$D458+$E458+$F458)),kik_yuvarMax),0))</f>
        <v/>
      </c>
      <c r="I458" s="37">
        <f>IF($A458="","",IFERROR(MAX(0,$H458-$G458*kik_sifirCarpan),0))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IF($A459="","",IFERROR(ROUND(MAX(0,$B459*INDEX(tblKurallar[deger_2025],MATCH("KIK-001",tblKurallar[kural_id],0))-($C459+$D459+$E459+$F459)),kik_yuvarMax),0))</f>
        <v/>
      </c>
      <c r="I459" s="37">
        <f>IF($A459="","",IFERROR(MAX(0,$H459-$G459*kik_sifirCarpan),0))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IF($A460="","",IFERROR(ROUND(MAX(0,$B460*INDEX(tblKurallar[deger_2025],MATCH("KIK-001",tblKurallar[kural_id],0))-($C460+$D460+$E460+$F460)),kik_yuvarMax),0))</f>
        <v/>
      </c>
      <c r="I460" s="37">
        <f>IF($A460="","",IFERROR(MAX(0,$H460-$G460*kik_sifirCarpan),0))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IF($A461="","",IFERROR(ROUND(MAX(0,$B461*INDEX(tblKurallar[deger_2025],MATCH("KIK-001",tblKurallar[kural_id],0))-($C461+$D461+$E461+$F461)),kik_yuvarMax),0))</f>
        <v/>
      </c>
      <c r="I461" s="37">
        <f>IF($A461="","",IFERROR(MAX(0,$H461-$G461*kik_sifirCarpan),0))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IF($A462="","",IFERROR(ROUND(MAX(0,$B462*INDEX(tblKurallar[deger_2025],MATCH("KIK-001",tblKurallar[kural_id],0))-($C462+$D462+$E462+$F462)),kik_yuvarMax),0))</f>
        <v/>
      </c>
      <c r="I462" s="37">
        <f>IF($A462="","",IFERROR(MAX(0,$H462-$G462*kik_sifirCarpan),0))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IF($A463="","",IFERROR(ROUND(MAX(0,$B463*INDEX(tblKurallar[deger_2025],MATCH("KIK-001",tblKurallar[kural_id],0))-($C463+$D463+$E463+$F463)),kik_yuvarMax),0))</f>
        <v/>
      </c>
      <c r="I463" s="37">
        <f>IF($A463="","",IFERROR(MAX(0,$H463-$G463*kik_sifirCarpan),0))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IF($A464="","",IFERROR(ROUND(MAX(0,$B464*INDEX(tblKurallar[deger_2025],MATCH("KIK-001",tblKurallar[kural_id],0))-($C464+$D464+$E464+$F464)),kik_yuvarMax),0))</f>
        <v/>
      </c>
      <c r="I464" s="37">
        <f>IF($A464="","",IFERROR(MAX(0,$H464-$G464*kik_sifirCarpan),0))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IF($A465="","",IFERROR(ROUND(MAX(0,$B465*INDEX(tblKurallar[deger_2025],MATCH("KIK-001",tblKurallar[kural_id],0))-($C465+$D465+$E465+$F465)),kik_yuvarMax),0))</f>
        <v/>
      </c>
      <c r="I465" s="37">
        <f>IF($A465="","",IFERROR(MAX(0,$H465-$G465*kik_sifirCarpan),0))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IF($A466="","",IFERROR(ROUND(MAX(0,$B466*INDEX(tblKurallar[deger_2025],MATCH("KIK-001",tblKurallar[kural_id],0))-($C466+$D466+$E466+$F466)),kik_yuvarMax),0))</f>
        <v/>
      </c>
      <c r="I466" s="37">
        <f>IF($A466="","",IFERROR(MAX(0,$H466-$G466*kik_sifirCarpan),0))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IF($A467="","",IFERROR(ROUND(MAX(0,$B467*INDEX(tblKurallar[deger_2025],MATCH("KIK-001",tblKurallar[kural_id],0))-($C467+$D467+$E467+$F467)),kik_yuvarMax),0))</f>
        <v/>
      </c>
      <c r="I467" s="37">
        <f>IF($A467="","",IFERROR(MAX(0,$H467-$G467*kik_sifirCarpan),0))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IF($A468="","",IFERROR(ROUND(MAX(0,$B468*INDEX(tblKurallar[deger_2025],MATCH("KIK-001",tblKurallar[kural_id],0))-($C468+$D468+$E468+$F468)),kik_yuvarMax),0))</f>
        <v/>
      </c>
      <c r="I468" s="37">
        <f>IF($A468="","",IFERROR(MAX(0,$H468-$G468*kik_sifirCarpan),0))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IF($A469="","",IFERROR(ROUND(MAX(0,$B469*INDEX(tblKurallar[deger_2025],MATCH("KIK-001",tblKurallar[kural_id],0))-($C469+$D469+$E469+$F469)),kik_yuvarMax),0))</f>
        <v/>
      </c>
      <c r="I469" s="37">
        <f>IF($A469="","",IFERROR(MAX(0,$H469-$G469*kik_sifirCarpan),0))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IF($A470="","",IFERROR(ROUND(MAX(0,$B470*INDEX(tblKurallar[deger_2025],MATCH("KIK-001",tblKurallar[kural_id],0))-($C470+$D470+$E470+$F470)),kik_yuvarMax),0))</f>
        <v/>
      </c>
      <c r="I470" s="37">
        <f>IF($A470="","",IFERROR(MAX(0,$H470-$G470*kik_sifirCarpan),0))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IF($A471="","",IFERROR(ROUND(MAX(0,$B471*INDEX(tblKurallar[deger_2025],MATCH("KIK-001",tblKurallar[kural_id],0))-($C471+$D471+$E471+$F471)),kik_yuvarMax),0))</f>
        <v/>
      </c>
      <c r="I471" s="37">
        <f>IF($A471="","",IFERROR(MAX(0,$H471-$G471*kik_sifirCarpan),0))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IF($A472="","",IFERROR(ROUND(MAX(0,$B472*INDEX(tblKurallar[deger_2025],MATCH("KIK-001",tblKurallar[kural_id],0))-($C472+$D472+$E472+$F472)),kik_yuvarMax),0))</f>
        <v/>
      </c>
      <c r="I472" s="37">
        <f>IF($A472="","",IFERROR(MAX(0,$H472-$G472*kik_sifirCarpan),0))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IF($A473="","",IFERROR(ROUND(MAX(0,$B473*INDEX(tblKurallar[deger_2025],MATCH("KIK-001",tblKurallar[kural_id],0))-($C473+$D473+$E473+$F473)),kik_yuvarMax),0))</f>
        <v/>
      </c>
      <c r="I473" s="37">
        <f>IF($A473="","",IFERROR(MAX(0,$H473-$G473*kik_sifirCarpan),0))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IF($A474="","",IFERROR(ROUND(MAX(0,$B474*INDEX(tblKurallar[deger_2025],MATCH("KIK-001",tblKurallar[kural_id],0))-($C474+$D474+$E474+$F474)),kik_yuvarMax),0))</f>
        <v/>
      </c>
      <c r="I474" s="37">
        <f>IF($A474="","",IFERROR(MAX(0,$H474-$G474*kik_sifirCarpan),0))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IF($A475="","",IFERROR(ROUND(MAX(0,$B475*INDEX(tblKurallar[deger_2025],MATCH("KIK-001",tblKurallar[kural_id],0))-($C475+$D475+$E475+$F475)),kik_yuvarMax),0))</f>
        <v/>
      </c>
      <c r="I475" s="37">
        <f>IF($A475="","",IFERROR(MAX(0,$H475-$G475*kik_sifirCarpan),0))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IF($A476="","",IFERROR(ROUND(MAX(0,$B476*INDEX(tblKurallar[deger_2025],MATCH("KIK-001",tblKurallar[kural_id],0))-($C476+$D476+$E476+$F476)),kik_yuvarMax),0))</f>
        <v/>
      </c>
      <c r="I476" s="37">
        <f>IF($A476="","",IFERROR(MAX(0,$H476-$G476*kik_sifirCarpan),0))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IF($A477="","",IFERROR(ROUND(MAX(0,$B477*INDEX(tblKurallar[deger_2025],MATCH("KIK-001",tblKurallar[kural_id],0))-($C477+$D477+$E477+$F477)),kik_yuvarMax),0))</f>
        <v/>
      </c>
      <c r="I477" s="37">
        <f>IF($A477="","",IFERROR(MAX(0,$H477-$G477*kik_sifirCarpan),0))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IF($A478="","",IFERROR(ROUND(MAX(0,$B478*INDEX(tblKurallar[deger_2025],MATCH("KIK-001",tblKurallar[kural_id],0))-($C478+$D478+$E478+$F478)),kik_yuvarMax),0))</f>
        <v/>
      </c>
      <c r="I478" s="37">
        <f>IF($A478="","",IFERROR(MAX(0,$H478-$G478*kik_sifirCarpan),0))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IF($A479="","",IFERROR(ROUND(MAX(0,$B479*INDEX(tblKurallar[deger_2025],MATCH("KIK-001",tblKurallar[kural_id],0))-($C479+$D479+$E479+$F479)),kik_yuvarMax),0))</f>
        <v/>
      </c>
      <c r="I479" s="37">
        <f>IF($A479="","",IFERROR(MAX(0,$H479-$G479*kik_sifirCarpan),0))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IF($A480="","",IFERROR(ROUND(MAX(0,$B480*INDEX(tblKurallar[deger_2025],MATCH("KIK-001",tblKurallar[kural_id],0))-($C480+$D480+$E480+$F480)),kik_yuvarMax),0))</f>
        <v/>
      </c>
      <c r="I480" s="37">
        <f>IF($A480="","",IFERROR(MAX(0,$H480-$G480*kik_sifirCarpan),0))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IF($A481="","",IFERROR(ROUND(MAX(0,$B481*INDEX(tblKurallar[deger_2025],MATCH("KIK-001",tblKurallar[kural_id],0))-($C481+$D481+$E481+$F481)),kik_yuvarMax),0))</f>
        <v/>
      </c>
      <c r="I481" s="37">
        <f>IF($A481="","",IFERROR(MAX(0,$H481-$G481*kik_sifirCarpan),0))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IF($A482="","",IFERROR(ROUND(MAX(0,$B482*INDEX(tblKurallar[deger_2025],MATCH("KIK-001",tblKurallar[kural_id],0))-($C482+$D482+$E482+$F482)),kik_yuvarMax),0))</f>
        <v/>
      </c>
      <c r="I482" s="37">
        <f>IF($A482="","",IFERROR(MAX(0,$H482-$G482*kik_sifirCarpan),0))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IF($A483="","",IFERROR(ROUND(MAX(0,$B483*INDEX(tblKurallar[deger_2025],MATCH("KIK-001",tblKurallar[kural_id],0))-($C483+$D483+$E483+$F483)),kik_yuvarMax),0))</f>
        <v/>
      </c>
      <c r="I483" s="37">
        <f>IF($A483="","",IFERROR(MAX(0,$H483-$G483*kik_sifirCarpan),0))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IF($A484="","",IFERROR(ROUND(MAX(0,$B484*INDEX(tblKurallar[deger_2025],MATCH("KIK-001",tblKurallar[kural_id],0))-($C484+$D484+$E484+$F484)),kik_yuvarMax),0))</f>
        <v/>
      </c>
      <c r="I484" s="37">
        <f>IF($A484="","",IFERROR(MAX(0,$H484-$G484*kik_sifirCarpan),0))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IF($A485="","",IFERROR(ROUND(MAX(0,$B485*INDEX(tblKurallar[deger_2025],MATCH("KIK-001",tblKurallar[kural_id],0))-($C485+$D485+$E485+$F485)),kik_yuvarMax),0))</f>
        <v/>
      </c>
      <c r="I485" s="37">
        <f>IF($A485="","",IFERROR(MAX(0,$H485-$G485*kik_sifirCarpan),0))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IF($A486="","",IFERROR(ROUND(MAX(0,$B486*INDEX(tblKurallar[deger_2025],MATCH("KIK-001",tblKurallar[kural_id],0))-($C486+$D486+$E486+$F486)),kik_yuvarMax),0))</f>
        <v/>
      </c>
      <c r="I486" s="37">
        <f>IF($A486="","",IFERROR(MAX(0,$H486-$G486*kik_sifirCarpan),0))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IF($A487="","",IFERROR(ROUND(MAX(0,$B487*INDEX(tblKurallar[deger_2025],MATCH("KIK-001",tblKurallar[kural_id],0))-($C487+$D487+$E487+$F487)),kik_yuvarMax),0))</f>
        <v/>
      </c>
      <c r="I487" s="37">
        <f>IF($A487="","",IFERROR(MAX(0,$H487-$G487*kik_sifirCarpan),0))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IF($A488="","",IFERROR(ROUND(MAX(0,$B488*INDEX(tblKurallar[deger_2025],MATCH("KIK-001",tblKurallar[kural_id],0))-($C488+$D488+$E488+$F488)),kik_yuvarMax),0))</f>
        <v/>
      </c>
      <c r="I488" s="37">
        <f>IF($A488="","",IFERROR(MAX(0,$H488-$G488*kik_sifirCarpan),0))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IF($A489="","",IFERROR(ROUND(MAX(0,$B489*INDEX(tblKurallar[deger_2025],MATCH("KIK-001",tblKurallar[kural_id],0))-($C489+$D489+$E489+$F489)),kik_yuvarMax),0))</f>
        <v/>
      </c>
      <c r="I489" s="37">
        <f>IF($A489="","",IFERROR(MAX(0,$H489-$G489*kik_sifirCarpan),0))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IF($A490="","",IFERROR(ROUND(MAX(0,$B490*INDEX(tblKurallar[deger_2025],MATCH("KIK-001",tblKurallar[kural_id],0))-($C490+$D490+$E490+$F490)),kik_yuvarMax),0))</f>
        <v/>
      </c>
      <c r="I490" s="37">
        <f>IF($A490="","",IFERROR(MAX(0,$H490-$G490*kik_sifirCarpan),0))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IF($A491="","",IFERROR(ROUND(MAX(0,$B491*INDEX(tblKurallar[deger_2025],MATCH("KIK-001",tblKurallar[kural_id],0))-($C491+$D491+$E491+$F491)),kik_yuvarMax),0))</f>
        <v/>
      </c>
      <c r="I491" s="37">
        <f>IF($A491="","",IFERROR(MAX(0,$H491-$G491*kik_sifirCarpan),0))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IF($A492="","",IFERROR(ROUND(MAX(0,$B492*INDEX(tblKurallar[deger_2025],MATCH("KIK-001",tblKurallar[kural_id],0))-($C492+$D492+$E492+$F492)),kik_yuvarMax),0))</f>
        <v/>
      </c>
      <c r="I492" s="37">
        <f>IF($A492="","",IFERROR(MAX(0,$H492-$G492*kik_sifirCarpan),0))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IF($A493="","",IFERROR(ROUND(MAX(0,$B493*INDEX(tblKurallar[deger_2025],MATCH("KIK-001",tblKurallar[kural_id],0))-($C493+$D493+$E493+$F493)),kik_yuvarMax),0))</f>
        <v/>
      </c>
      <c r="I493" s="37">
        <f>IF($A493="","",IFERROR(MAX(0,$H493-$G493*kik_sifirCarpan),0))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IF($A494="","",IFERROR(ROUND(MAX(0,$B494*INDEX(tblKurallar[deger_2025],MATCH("KIK-001",tblKurallar[kural_id],0))-($C494+$D494+$E494+$F494)),kik_yuvarMax),0))</f>
        <v/>
      </c>
      <c r="I494" s="37">
        <f>IF($A494="","",IFERROR(MAX(0,$H494-$G494*kik_sifirCarpan),0))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IF($A495="","",IFERROR(ROUND(MAX(0,$B495*INDEX(tblKurallar[deger_2025],MATCH("KIK-001",tblKurallar[kural_id],0))-($C495+$D495+$E495+$F495)),kik_yuvarMax),0))</f>
        <v/>
      </c>
      <c r="I495" s="37">
        <f>IF($A495="","",IFERROR(MAX(0,$H495-$G495*kik_sifirCarpan),0))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IF($A496="","",IFERROR(ROUND(MAX(0,$B496*INDEX(tblKurallar[deger_2025],MATCH("KIK-001",tblKurallar[kural_id],0))-($C496+$D496+$E496+$F496)),kik_yuvarMax),0))</f>
        <v/>
      </c>
      <c r="I496" s="37">
        <f>IF($A496="","",IFERROR(MAX(0,$H496-$G496*kik_sifirCarpan),0))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IF($A497="","",IFERROR(ROUND(MAX(0,$B497*INDEX(tblKurallar[deger_2025],MATCH("KIK-001",tblKurallar[kural_id],0))-($C497+$D497+$E497+$F497)),kik_yuvarMax),0))</f>
        <v/>
      </c>
      <c r="I497" s="37">
        <f>IF($A497="","",IFERROR(MAX(0,$H497-$G497*kik_sifirCarpan),0))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IF($A498="","",IFERROR(ROUND(MAX(0,$B498*INDEX(tblKurallar[deger_2025],MATCH("KIK-001",tblKurallar[kural_id],0))-($C498+$D498+$E498+$F498)),kik_yuvarMax),0))</f>
        <v/>
      </c>
      <c r="I498" s="37">
        <f>IF($A498="","",IFERROR(MAX(0,$H498-$G498*kik_sifirCarpan),0))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IF($A499="","",IFERROR(ROUND(MAX(0,$B499*INDEX(tblKurallar[deger_2025],MATCH("KIK-001",tblKurallar[kural_id],0))-($C499+$D499+$E499+$F499)),kik_yuvarMax),0))</f>
        <v/>
      </c>
      <c r="I499" s="37">
        <f>IF($A499="","",IFERROR(MAX(0,$H499-$G499*kik_sifirCarpan),0))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IF($A500="","",IFERROR(ROUND(MAX(0,$B500*INDEX(tblKurallar[deger_2025],MATCH("KIK-001",tblKurallar[kural_id],0))-($C500+$D500+$E500+$F500)),kik_yuvarMax),0))</f>
        <v/>
      </c>
      <c r="I500" s="37">
        <f>IF($A500="","",IFERROR(MAX(0,$H500-$G500*kik_sifirCarpan),0))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IF($A501="","",IFERROR(ROUND(MAX(0,$B501*INDEX(tblKurallar[deger_2025],MATCH("KIK-001",tblKurallar[kural_id],0))-($C501+$D501+$E501+$F501)),kik_yuvarMax),0))</f>
        <v/>
      </c>
      <c r="I501" s="37">
        <f>IF($A501="","",IFERROR(MAX(0,$H501-$G501*kik_sifirCarpan),0))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IF($A502="","",IFERROR(ROUND(MAX(0,$B502*INDEX(tblKurallar[deger_2025],MATCH("KIK-001",tblKurallar[kural_id],0))-($C502+$D502+$E502+$F502)),kik_yuvarMax),0))</f>
        <v/>
      </c>
      <c r="I502" s="37">
        <f>IF($A502="","",IFERROR(MAX(0,$H502-$G502*kik_sifirCarpan),0))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IF($A503="","",IFERROR(ROUND(MAX(0,$B503*INDEX(tblKurallar[deger_2025],MATCH("KIK-001",tblKurallar[kural_id],0))-($C503+$D503+$E503+$F503)),kik_yuvarMax),0))</f>
        <v/>
      </c>
      <c r="I503" s="37">
        <f>IF($A503="","",IFERROR(MAX(0,$H503-$G503*kik_sifirCarpan),0))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IF($A504="","",IFERROR(ROUND(MAX(0,$B504*INDEX(tblKurallar[deger_2025],MATCH("KIK-001",tblKurallar[kural_id],0))-($C504+$D504+$E504+$F504)),kik_yuvarMax),0))</f>
        <v/>
      </c>
      <c r="I504" s="37">
        <f>IF($A504="","",IFERROR(MAX(0,$H504-$G504*kik_sifirCarpan),0))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IF($A505="","",IFERROR(ROUND(MAX(0,$B505*INDEX(tblKurallar[deger_2025],MATCH("KIK-001",tblKurallar[kural_id],0))-($C505+$D505+$E505+$F505)),kik_yuvarMax),0))</f>
        <v/>
      </c>
      <c r="I505" s="37">
        <f>IF($A505="","",IFERROR(MAX(0,$H505-$G505*kik_sifirCarpan),0))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IF($A506="","",IFERROR(ROUND(MAX(0,$B506*INDEX(tblKurallar[deger_2025],MATCH("KIK-001",tblKurallar[kural_id],0))-($C506+$D506+$E506+$F506)),kik_yuvarMax),0))</f>
        <v/>
      </c>
      <c r="I506" s="37">
        <f>IF($A506="","",IFERROR(MAX(0,$H506-$G506*kik_sifirCarpan),0))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IF($A507="","",IFERROR(ROUND(MAX(0,$B507*INDEX(tblKurallar[deger_2025],MATCH("KIK-001",tblKurallar[kural_id],0))-($C507+$D507+$E507+$F507)),kik_yuvarMax),0))</f>
        <v/>
      </c>
      <c r="I507" s="37">
        <f>IF($A507="","",IFERROR(MAX(0,$H507-$G507*kik_sifirCarpan),0))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IF($A508="","",IFERROR(ROUND(MAX(0,$B508*INDEX(tblKurallar[deger_2025],MATCH("KIK-001",tblKurallar[kural_id],0))-($C508+$D508+$E508+$F508)),kik_yuvarMax),0))</f>
        <v/>
      </c>
      <c r="I508" s="37">
        <f>IF($A508="","",IFERROR(MAX(0,$H508-$G508*kik_sifirCarpan),0))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IF($A509="","",IFERROR(ROUND(MAX(0,$B509*INDEX(tblKurallar[deger_2025],MATCH("KIK-001",tblKurallar[kural_id],0))-($C509+$D509+$E509+$F509)),kik_yuvarMax),0))</f>
        <v/>
      </c>
      <c r="I509" s="37">
        <f>IF($A509="","",IFERROR(MAX(0,$H509-$G509*kik_sifirCarpan),0))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IF($A510="","",IFERROR(ROUND(MAX(0,$B510*INDEX(tblKurallar[deger_2025],MATCH("KIK-001",tblKurallar[kural_id],0))-($C510+$D510+$E510+$F510)),kik_yuvarMax),0))</f>
        <v/>
      </c>
      <c r="I510" s="37">
        <f>IF($A510="","",IFERROR(MAX(0,$H510-$G510*kik_sifirCarpan),0))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IF($A511="","",IFERROR(ROUND(MAX(0,$B511*INDEX(tblKurallar[deger_2025],MATCH("KIK-001",tblKurallar[kural_id],0))-($C511+$D511+$E511+$F511)),kik_yuvarMax),0))</f>
        <v/>
      </c>
      <c r="I511" s="37">
        <f>IF($A511="","",IFERROR(MAX(0,$H511-$G511*kik_sifirCarpan),0))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IF($A512="","",IFERROR(ROUND(MAX(0,$B512*INDEX(tblKurallar[deger_2025],MATCH("KIK-001",tblKurallar[kural_id],0))-($C512+$D512+$E512+$F512)),kik_yuvarMax),0))</f>
        <v/>
      </c>
      <c r="I512" s="37">
        <f>IF($A512="","",IFERROR(MAX(0,$H512-$G512*kik_sifirCarpan),0))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IF($A513="","",IFERROR(ROUND(MAX(0,$B513*INDEX(tblKurallar[deger_2025],MATCH("KIK-001",tblKurallar[kural_id],0))-($C513+$D513+$E513+$F513)),kik_yuvarMax),0))</f>
        <v/>
      </c>
      <c r="I513" s="37">
        <f>IF($A513="","",IFERROR(MAX(0,$H513-$G513*kik_sifirCarpan),0))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IF($A514="","",IFERROR(ROUND(MAX(0,$B514*INDEX(tblKurallar[deger_2025],MATCH("KIK-001",tblKurallar[kural_id],0))-($C514+$D514+$E514+$F514)),kik_yuvarMax),0))</f>
        <v/>
      </c>
      <c r="I514" s="37">
        <f>IF($A514="","",IFERROR(MAX(0,$H514-$G514*kik_sifirCarpan),0))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IF($A515="","",IFERROR(ROUND(MAX(0,$B515*INDEX(tblKurallar[deger_2025],MATCH("KIK-001",tblKurallar[kural_id],0))-($C515+$D515+$E515+$F515)),kik_yuvarMax),0))</f>
        <v/>
      </c>
      <c r="I515" s="37">
        <f>IF($A515="","",IFERROR(MAX(0,$H515-$G515*kik_sifirCarpan),0))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IF($A516="","",IFERROR(ROUND(MAX(0,$B516*INDEX(tblKurallar[deger_2025],MATCH("KIK-001",tblKurallar[kural_id],0))-($C516+$D516+$E516+$F516)),kik_yuvarMax),0))</f>
        <v/>
      </c>
      <c r="I516" s="37">
        <f>IF($A516="","",IFERROR(MAX(0,$H516-$G516*kik_sifirCarpan),0))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IF($A517="","",IFERROR(ROUND(MAX(0,$B517*INDEX(tblKurallar[deger_2025],MATCH("KIK-001",tblKurallar[kural_id],0))-($C517+$D517+$E517+$F517)),kik_yuvarMax),0))</f>
        <v/>
      </c>
      <c r="I517" s="37">
        <f>IF($A517="","",IFERROR(MAX(0,$H517-$G517*kik_sifirCarpan),0))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IF($A518="","",IFERROR(ROUND(MAX(0,$B518*INDEX(tblKurallar[deger_2025],MATCH("KIK-001",tblKurallar[kural_id],0))-($C518+$D518+$E518+$F518)),kik_yuvarMax),0))</f>
        <v/>
      </c>
      <c r="I518" s="37">
        <f>IF($A518="","",IFERROR(MAX(0,$H518-$G518*kik_sifirCarpan),0))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IF($A519="","",IFERROR(ROUND(MAX(0,$B519*INDEX(tblKurallar[deger_2025],MATCH("KIK-001",tblKurallar[kural_id],0))-($C519+$D519+$E519+$F519)),kik_yuvarMax),0))</f>
        <v/>
      </c>
      <c r="I519" s="37">
        <f>IF($A519="","",IFERROR(MAX(0,$H519-$G519*kik_sifirCarpan),0))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IF($A520="","",IFERROR(ROUND(MAX(0,$B520*INDEX(tblKurallar[deger_2025],MATCH("KIK-001",tblKurallar[kural_id],0))-($C520+$D520+$E520+$F520)),kik_yuvarMax),0))</f>
        <v/>
      </c>
      <c r="I520" s="37">
        <f>IF($A520="","",IFERROR(MAX(0,$H520-$G520*kik_sifirCarpan),0))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IF($A521="","",IFERROR(ROUND(MAX(0,$B521*INDEX(tblKurallar[deger_2025],MATCH("KIK-001",tblKurallar[kural_id],0))-($C521+$D521+$E521+$F521)),kik_yuvarMax),0))</f>
        <v/>
      </c>
      <c r="I521" s="37">
        <f>IF($A521="","",IFERROR(MAX(0,$H521-$G521*kik_sifirCarpan),0))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IF($A522="","",IFERROR(ROUND(MAX(0,$B522*INDEX(tblKurallar[deger_2025],MATCH("KIK-001",tblKurallar[kural_id],0))-($C522+$D522+$E522+$F522)),kik_yuvarMax),0))</f>
        <v/>
      </c>
      <c r="I522" s="37">
        <f>IF($A522="","",IFERROR(MAX(0,$H522-$G522*kik_sifirCarpan),0))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IF($A523="","",IFERROR(ROUND(MAX(0,$B523*INDEX(tblKurallar[deger_2025],MATCH("KIK-001",tblKurallar[kural_id],0))-($C523+$D523+$E523+$F523)),kik_yuvarMax),0))</f>
        <v/>
      </c>
      <c r="I523" s="37">
        <f>IF($A523="","",IFERROR(MAX(0,$H523-$G523*kik_sifirCarpan),0))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IF($A524="","",IFERROR(ROUND(MAX(0,$B524*INDEX(tblKurallar[deger_2025],MATCH("KIK-001",tblKurallar[kural_id],0))-($C524+$D524+$E524+$F524)),kik_yuvarMax),0))</f>
        <v/>
      </c>
      <c r="I524" s="37">
        <f>IF($A524="","",IFERROR(MAX(0,$H524-$G524*kik_sifirCarpan),0))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IF($A525="","",IFERROR(ROUND(MAX(0,$B525*INDEX(tblKurallar[deger_2025],MATCH("KIK-001",tblKurallar[kural_id],0))-($C525+$D525+$E525+$F525)),kik_yuvarMax),0))</f>
        <v/>
      </c>
      <c r="I525" s="37">
        <f>IF($A525="","",IFERROR(MAX(0,$H525-$G525*kik_sifirCarpan),0))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IF($A526="","",IFERROR(ROUND(MAX(0,$B526*INDEX(tblKurallar[deger_2025],MATCH("KIK-001",tblKurallar[kural_id],0))-($C526+$D526+$E526+$F526)),kik_yuvarMax),0))</f>
        <v/>
      </c>
      <c r="I526" s="37">
        <f>IF($A526="","",IFERROR(MAX(0,$H526-$G526*kik_sifirCarpan),0))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IF($A527="","",IFERROR(ROUND(MAX(0,$B527*INDEX(tblKurallar[deger_2025],MATCH("KIK-001",tblKurallar[kural_id],0))-($C527+$D527+$E527+$F527)),kik_yuvarMax),0))</f>
        <v/>
      </c>
      <c r="I527" s="37">
        <f>IF($A527="","",IFERROR(MAX(0,$H527-$G527*kik_sifirCarpan),0))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IF($A528="","",IFERROR(ROUND(MAX(0,$B528*INDEX(tblKurallar[deger_2025],MATCH("KIK-001",tblKurallar[kural_id],0))-($C528+$D528+$E528+$F528)),kik_yuvarMax),0))</f>
        <v/>
      </c>
      <c r="I528" s="37">
        <f>IF($A528="","",IFERROR(MAX(0,$H528-$G528*kik_sifirCarpan),0))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IF($A529="","",IFERROR(ROUND(MAX(0,$B529*INDEX(tblKurallar[deger_2025],MATCH("KIK-001",tblKurallar[kural_id],0))-($C529+$D529+$E529+$F529)),kik_yuvarMax),0))</f>
        <v/>
      </c>
      <c r="I529" s="37">
        <f>IF($A529="","",IFERROR(MAX(0,$H529-$G529*kik_sifirCarpan),0))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IF($A530="","",IFERROR(ROUND(MAX(0,$B530*INDEX(tblKurallar[deger_2025],MATCH("KIK-001",tblKurallar[kural_id],0))-($C530+$D530+$E530+$F530)),kik_yuvarMax),0))</f>
        <v/>
      </c>
      <c r="I530" s="37">
        <f>IF($A530="","",IFERROR(MAX(0,$H530-$G530*kik_sifirCarpan),0))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IF($A531="","",IFERROR(ROUND(MAX(0,$B531*INDEX(tblKurallar[deger_2025],MATCH("KIK-001",tblKurallar[kural_id],0))-($C531+$D531+$E531+$F531)),kik_yuvarMax),0))</f>
        <v/>
      </c>
      <c r="I531" s="37">
        <f>IF($A531="","",IFERROR(MAX(0,$H531-$G531*kik_sifirCarpan),0))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IF($A532="","",IFERROR(ROUND(MAX(0,$B532*INDEX(tblKurallar[deger_2025],MATCH("KIK-001",tblKurallar[kural_id],0))-($C532+$D532+$E532+$F532)),kik_yuvarMax),0))</f>
        <v/>
      </c>
      <c r="I532" s="37">
        <f>IF($A532="","",IFERROR(MAX(0,$H532-$G532*kik_sifirCarpan),0))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IF($A533="","",IFERROR(ROUND(MAX(0,$B533*INDEX(tblKurallar[deger_2025],MATCH("KIK-001",tblKurallar[kural_id],0))-($C533+$D533+$E533+$F533)),kik_yuvarMax),0))</f>
        <v/>
      </c>
      <c r="I533" s="37">
        <f>IF($A533="","",IFERROR(MAX(0,$H533-$G533*kik_sifirCarpan),0))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IF($A534="","",IFERROR(ROUND(MAX(0,$B534*INDEX(tblKurallar[deger_2025],MATCH("KIK-001",tblKurallar[kural_id],0))-($C534+$D534+$E534+$F534)),kik_yuvarMax),0))</f>
        <v/>
      </c>
      <c r="I534" s="37">
        <f>IF($A534="","",IFERROR(MAX(0,$H534-$G534*kik_sifirCarpan),0))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IF($A535="","",IFERROR(ROUND(MAX(0,$B535*INDEX(tblKurallar[deger_2025],MATCH("KIK-001",tblKurallar[kural_id],0))-($C535+$D535+$E535+$F535)),kik_yuvarMax),0))</f>
        <v/>
      </c>
      <c r="I535" s="37">
        <f>IF($A535="","",IFERROR(MAX(0,$H535-$G535*kik_sifirCarpan),0))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IF($A536="","",IFERROR(ROUND(MAX(0,$B536*INDEX(tblKurallar[deger_2025],MATCH("KIK-001",tblKurallar[kural_id],0))-($C536+$D536+$E536+$F536)),kik_yuvarMax),0))</f>
        <v/>
      </c>
      <c r="I536" s="37">
        <f>IF($A536="","",IFERROR(MAX(0,$H536-$G536*kik_sifirCarpan),0))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IF($A537="","",IFERROR(ROUND(MAX(0,$B537*INDEX(tblKurallar[deger_2025],MATCH("KIK-001",tblKurallar[kural_id],0))-($C537+$D537+$E537+$F537)),kik_yuvarMax),0))</f>
        <v/>
      </c>
      <c r="I537" s="37">
        <f>IF($A537="","",IFERROR(MAX(0,$H537-$G537*kik_sifirCarpan),0))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IF($A538="","",IFERROR(ROUND(MAX(0,$B538*INDEX(tblKurallar[deger_2025],MATCH("KIK-001",tblKurallar[kural_id],0))-($C538+$D538+$E538+$F538)),kik_yuvarMax),0))</f>
        <v/>
      </c>
      <c r="I538" s="37">
        <f>IF($A538="","",IFERROR(MAX(0,$H538-$G538*kik_sifirCarpan),0))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IF($A539="","",IFERROR(ROUND(MAX(0,$B539*INDEX(tblKurallar[deger_2025],MATCH("KIK-001",tblKurallar[kural_id],0))-($C539+$D539+$E539+$F539)),kik_yuvarMax),0))</f>
        <v/>
      </c>
      <c r="I539" s="37">
        <f>IF($A539="","",IFERROR(MAX(0,$H539-$G539*kik_sifirCarpan),0))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IF($A540="","",IFERROR(ROUND(MAX(0,$B540*INDEX(tblKurallar[deger_2025],MATCH("KIK-001",tblKurallar[kural_id],0))-($C540+$D540+$E540+$F540)),kik_yuvarMax),0))</f>
        <v/>
      </c>
      <c r="I540" s="37">
        <f>IF($A540="","",IFERROR(MAX(0,$H540-$G540*kik_sifirCarpan),0))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IF($A541="","",IFERROR(ROUND(MAX(0,$B541*INDEX(tblKurallar[deger_2025],MATCH("KIK-001",tblKurallar[kural_id],0))-($C541+$D541+$E541+$F541)),kik_yuvarMax),0))</f>
        <v/>
      </c>
      <c r="I541" s="37">
        <f>IF($A541="","",IFERROR(MAX(0,$H541-$G541*kik_sifirCarpan),0))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IF($A542="","",IFERROR(ROUND(MAX(0,$B542*INDEX(tblKurallar[deger_2025],MATCH("KIK-001",tblKurallar[kural_id],0))-($C542+$D542+$E542+$F542)),kik_yuvarMax),0))</f>
        <v/>
      </c>
      <c r="I542" s="37">
        <f>IF($A542="","",IFERROR(MAX(0,$H542-$G542*kik_sifirCarpan),0))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IF($A543="","",IFERROR(ROUND(MAX(0,$B543*INDEX(tblKurallar[deger_2025],MATCH("KIK-001",tblKurallar[kural_id],0))-($C543+$D543+$E543+$F543)),kik_yuvarMax),0))</f>
        <v/>
      </c>
      <c r="I543" s="37">
        <f>IF($A543="","",IFERROR(MAX(0,$H543-$G543*kik_sifirCarpan),0))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IF($A544="","",IFERROR(ROUND(MAX(0,$B544*INDEX(tblKurallar[deger_2025],MATCH("KIK-001",tblKurallar[kural_id],0))-($C544+$D544+$E544+$F544)),kik_yuvarMax),0))</f>
        <v/>
      </c>
      <c r="I544" s="37">
        <f>IF($A544="","",IFERROR(MAX(0,$H544-$G544*kik_sifirCarpan),0))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IF($A545="","",IFERROR(ROUND(MAX(0,$B545*INDEX(tblKurallar[deger_2025],MATCH("KIK-001",tblKurallar[kural_id],0))-($C545+$D545+$E545+$F545)),kik_yuvarMax),0))</f>
        <v/>
      </c>
      <c r="I545" s="37">
        <f>IF($A545="","",IFERROR(MAX(0,$H545-$G545*kik_sifirCarpan),0))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IF($A546="","",IFERROR(ROUND(MAX(0,$B546*INDEX(tblKurallar[deger_2025],MATCH("KIK-001",tblKurallar[kural_id],0))-($C546+$D546+$E546+$F546)),kik_yuvarMax),0))</f>
        <v/>
      </c>
      <c r="I546" s="37">
        <f>IF($A546="","",IFERROR(MAX(0,$H546-$G546*kik_sifirCarpan),0))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IF($A547="","",IFERROR(ROUND(MAX(0,$B547*INDEX(tblKurallar[deger_2025],MATCH("KIK-001",tblKurallar[kural_id],0))-($C547+$D547+$E547+$F547)),kik_yuvarMax),0))</f>
        <v/>
      </c>
      <c r="I547" s="37">
        <f>IF($A547="","",IFERROR(MAX(0,$H547-$G547*kik_sifirCarpan),0))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IF($A548="","",IFERROR(ROUND(MAX(0,$B548*INDEX(tblKurallar[deger_2025],MATCH("KIK-001",tblKurallar[kural_id],0))-($C548+$D548+$E548+$F548)),kik_yuvarMax),0))</f>
        <v/>
      </c>
      <c r="I548" s="37">
        <f>IF($A548="","",IFERROR(MAX(0,$H548-$G548*kik_sifirCarpan),0))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IF($A549="","",IFERROR(ROUND(MAX(0,$B549*INDEX(tblKurallar[deger_2025],MATCH("KIK-001",tblKurallar[kural_id],0))-($C549+$D549+$E549+$F549)),kik_yuvarMax),0))</f>
        <v/>
      </c>
      <c r="I549" s="37">
        <f>IF($A549="","",IFERROR(MAX(0,$H549-$G549*kik_sifirCarpan),0))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IF($A550="","",IFERROR(ROUND(MAX(0,$B550*INDEX(tblKurallar[deger_2025],MATCH("KIK-001",tblKurallar[kural_id],0))-($C550+$D550+$E550+$F550)),kik_yuvarMax),0))</f>
        <v/>
      </c>
      <c r="I550" s="37">
        <f>IF($A550="","",IFERROR(MAX(0,$H550-$G550*kik_sifirCarpan),0))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IF($A551="","",IFERROR(ROUND(MAX(0,$B551*INDEX(tblKurallar[deger_2025],MATCH("KIK-001",tblKurallar[kural_id],0))-($C551+$D551+$E551+$F551)),kik_yuvarMax),0))</f>
        <v/>
      </c>
      <c r="I551" s="37">
        <f>IF($A551="","",IFERROR(MAX(0,$H551-$G551*kik_sifirCarpan),0))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IF($A552="","",IFERROR(ROUND(MAX(0,$B552*INDEX(tblKurallar[deger_2025],MATCH("KIK-001",tblKurallar[kural_id],0))-($C552+$D552+$E552+$F552)),kik_yuvarMax),0))</f>
        <v/>
      </c>
      <c r="I552" s="37">
        <f>IF($A552="","",IFERROR(MAX(0,$H552-$G552*kik_sifirCarpan),0))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IF($A553="","",IFERROR(ROUND(MAX(0,$B553*INDEX(tblKurallar[deger_2025],MATCH("KIK-001",tblKurallar[kural_id],0))-($C553+$D553+$E553+$F553)),kik_yuvarMax),0))</f>
        <v/>
      </c>
      <c r="I553" s="37">
        <f>IF($A553="","",IFERROR(MAX(0,$H553-$G553*kik_sifirCarpan),0))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IF($A554="","",IFERROR(ROUND(MAX(0,$B554*INDEX(tblKurallar[deger_2025],MATCH("KIK-001",tblKurallar[kural_id],0))-($C554+$D554+$E554+$F554)),kik_yuvarMax),0))</f>
        <v/>
      </c>
      <c r="I554" s="37">
        <f>IF($A554="","",IFERROR(MAX(0,$H554-$G554*kik_sifirCarpan),0))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IF($A555="","",IFERROR(ROUND(MAX(0,$B555*INDEX(tblKurallar[deger_2025],MATCH("KIK-001",tblKurallar[kural_id],0))-($C555+$D555+$E555+$F555)),kik_yuvarMax),0))</f>
        <v/>
      </c>
      <c r="I555" s="37">
        <f>IF($A555="","",IFERROR(MAX(0,$H555-$G555*kik_sifirCarpan),0))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IF($A556="","",IFERROR(ROUND(MAX(0,$B556*INDEX(tblKurallar[deger_2025],MATCH("KIK-001",tblKurallar[kural_id],0))-($C556+$D556+$E556+$F556)),kik_yuvarMax),0))</f>
        <v/>
      </c>
      <c r="I556" s="37">
        <f>IF($A556="","",IFERROR(MAX(0,$H556-$G556*kik_sifirCarpan),0))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IF($A557="","",IFERROR(ROUND(MAX(0,$B557*INDEX(tblKurallar[deger_2025],MATCH("KIK-001",tblKurallar[kural_id],0))-($C557+$D557+$E557+$F557)),kik_yuvarMax),0))</f>
        <v/>
      </c>
      <c r="I557" s="37">
        <f>IF($A557="","",IFERROR(MAX(0,$H557-$G557*kik_sifirCarpan),0))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IF($A558="","",IFERROR(ROUND(MAX(0,$B558*INDEX(tblKurallar[deger_2025],MATCH("KIK-001",tblKurallar[kural_id],0))-($C558+$D558+$E558+$F558)),kik_yuvarMax),0))</f>
        <v/>
      </c>
      <c r="I558" s="37">
        <f>IF($A558="","",IFERROR(MAX(0,$H558-$G558*kik_sifirCarpan),0))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IF($A559="","",IFERROR(ROUND(MAX(0,$B559*INDEX(tblKurallar[deger_2025],MATCH("KIK-001",tblKurallar[kural_id],0))-($C559+$D559+$E559+$F559)),kik_yuvarMax),0))</f>
        <v/>
      </c>
      <c r="I559" s="37">
        <f>IF($A559="","",IFERROR(MAX(0,$H559-$G559*kik_sifirCarpan),0))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IF($A560="","",IFERROR(ROUND(MAX(0,$B560*INDEX(tblKurallar[deger_2025],MATCH("KIK-001",tblKurallar[kural_id],0))-($C560+$D560+$E560+$F560)),kik_yuvarMax),0))</f>
        <v/>
      </c>
      <c r="I560" s="37">
        <f>IF($A560="","",IFERROR(MAX(0,$H560-$G560*kik_sifirCarpan),0))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IF($A561="","",IFERROR(ROUND(MAX(0,$B561*INDEX(tblKurallar[deger_2025],MATCH("KIK-001",tblKurallar[kural_id],0))-($C561+$D561+$E561+$F561)),kik_yuvarMax),0))</f>
        <v/>
      </c>
      <c r="I561" s="37">
        <f>IF($A561="","",IFERROR(MAX(0,$H561-$G561*kik_sifirCarpan),0))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IF($A562="","",IFERROR(ROUND(MAX(0,$B562*INDEX(tblKurallar[deger_2025],MATCH("KIK-001",tblKurallar[kural_id],0))-($C562+$D562+$E562+$F562)),kik_yuvarMax),0))</f>
        <v/>
      </c>
      <c r="I562" s="37">
        <f>IF($A562="","",IFERROR(MAX(0,$H562-$G562*kik_sifirCarpan),0))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IF($A563="","",IFERROR(ROUND(MAX(0,$B563*INDEX(tblKurallar[deger_2025],MATCH("KIK-001",tblKurallar[kural_id],0))-($C563+$D563+$E563+$F563)),kik_yuvarMax),0))</f>
        <v/>
      </c>
      <c r="I563" s="37">
        <f>IF($A563="","",IFERROR(MAX(0,$H563-$G563*kik_sifirCarpan),0))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IF($A564="","",IFERROR(ROUND(MAX(0,$B564*INDEX(tblKurallar[deger_2025],MATCH("KIK-001",tblKurallar[kural_id],0))-($C564+$D564+$E564+$F564)),kik_yuvarMax),0))</f>
        <v/>
      </c>
      <c r="I564" s="37">
        <f>IF($A564="","",IFERROR(MAX(0,$H564-$G564*kik_sifirCarpan),0))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IF($A565="","",IFERROR(ROUND(MAX(0,$B565*INDEX(tblKurallar[deger_2025],MATCH("KIK-001",tblKurallar[kural_id],0))-($C565+$D565+$E565+$F565)),kik_yuvarMax),0))</f>
        <v/>
      </c>
      <c r="I565" s="37">
        <f>IF($A565="","",IFERROR(MAX(0,$H565-$G565*kik_sifirCarpan),0))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IF($A566="","",IFERROR(ROUND(MAX(0,$B566*INDEX(tblKurallar[deger_2025],MATCH("KIK-001",tblKurallar[kural_id],0))-($C566+$D566+$E566+$F566)),kik_yuvarMax),0))</f>
        <v/>
      </c>
      <c r="I566" s="37">
        <f>IF($A566="","",IFERROR(MAX(0,$H566-$G566*kik_sifirCarpan),0))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IF($A567="","",IFERROR(ROUND(MAX(0,$B567*INDEX(tblKurallar[deger_2025],MATCH("KIK-001",tblKurallar[kural_id],0))-($C567+$D567+$E567+$F567)),kik_yuvarMax),0))</f>
        <v/>
      </c>
      <c r="I567" s="37">
        <f>IF($A567="","",IFERROR(MAX(0,$H567-$G567*kik_sifirCarpan),0))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IF($A568="","",IFERROR(ROUND(MAX(0,$B568*INDEX(tblKurallar[deger_2025],MATCH("KIK-001",tblKurallar[kural_id],0))-($C568+$D568+$E568+$F568)),kik_yuvarMax),0))</f>
        <v/>
      </c>
      <c r="I568" s="37">
        <f>IF($A568="","",IFERROR(MAX(0,$H568-$G568*kik_sifirCarpan),0))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IF($A569="","",IFERROR(ROUND(MAX(0,$B569*INDEX(tblKurallar[deger_2025],MATCH("KIK-001",tblKurallar[kural_id],0))-($C569+$D569+$E569+$F569)),kik_yuvarMax),0))</f>
        <v/>
      </c>
      <c r="I569" s="37">
        <f>IF($A569="","",IFERROR(MAX(0,$H569-$G569*kik_sifirCarpan),0))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IF($A570="","",IFERROR(ROUND(MAX(0,$B570*INDEX(tblKurallar[deger_2025],MATCH("KIK-001",tblKurallar[kural_id],0))-($C570+$D570+$E570+$F570)),kik_yuvarMax),0))</f>
        <v/>
      </c>
      <c r="I570" s="37">
        <f>IF($A570="","",IFERROR(MAX(0,$H570-$G570*kik_sifirCarpan),0))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IF($A571="","",IFERROR(ROUND(MAX(0,$B571*INDEX(tblKurallar[deger_2025],MATCH("KIK-001",tblKurallar[kural_id],0))-($C571+$D571+$E571+$F571)),kik_yuvarMax),0))</f>
        <v/>
      </c>
      <c r="I571" s="37">
        <f>IF($A571="","",IFERROR(MAX(0,$H571-$G571*kik_sifirCarpan),0))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IF($A572="","",IFERROR(ROUND(MAX(0,$B572*INDEX(tblKurallar[deger_2025],MATCH("KIK-001",tblKurallar[kural_id],0))-($C572+$D572+$E572+$F572)),kik_yuvarMax),0))</f>
        <v/>
      </c>
      <c r="I572" s="37">
        <f>IF($A572="","",IFERROR(MAX(0,$H572-$G572*kik_sifirCarpan),0))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IF($A573="","",IFERROR(ROUND(MAX(0,$B573*INDEX(tblKurallar[deger_2025],MATCH("KIK-001",tblKurallar[kural_id],0))-($C573+$D573+$E573+$F573)),kik_yuvarMax),0))</f>
        <v/>
      </c>
      <c r="I573" s="37">
        <f>IF($A573="","",IFERROR(MAX(0,$H573-$G573*kik_sifirCarpan),0))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IF($A574="","",IFERROR(ROUND(MAX(0,$B574*INDEX(tblKurallar[deger_2025],MATCH("KIK-001",tblKurallar[kural_id],0))-($C574+$D574+$E574+$F574)),kik_yuvarMax),0))</f>
        <v/>
      </c>
      <c r="I574" s="37">
        <f>IF($A574="","",IFERROR(MAX(0,$H574-$G574*kik_sifirCarpan),0))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IF($A575="","",IFERROR(ROUND(MAX(0,$B575*INDEX(tblKurallar[deger_2025],MATCH("KIK-001",tblKurallar[kural_id],0))-($C575+$D575+$E575+$F575)),kik_yuvarMax),0))</f>
        <v/>
      </c>
      <c r="I575" s="37">
        <f>IF($A575="","",IFERROR(MAX(0,$H575-$G575*kik_sifirCarpan),0))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IF($A576="","",IFERROR(ROUND(MAX(0,$B576*INDEX(tblKurallar[deger_2025],MATCH("KIK-001",tblKurallar[kural_id],0))-($C576+$D576+$E576+$F576)),kik_yuvarMax),0))</f>
        <v/>
      </c>
      <c r="I576" s="37">
        <f>IF($A576="","",IFERROR(MAX(0,$H576-$G576*kik_sifirCarpan),0))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IF($A577="","",IFERROR(ROUND(MAX(0,$B577*INDEX(tblKurallar[deger_2025],MATCH("KIK-001",tblKurallar[kural_id],0))-($C577+$D577+$E577+$F577)),kik_yuvarMax),0))</f>
        <v/>
      </c>
      <c r="I577" s="37">
        <f>IF($A577="","",IFERROR(MAX(0,$H577-$G577*kik_sifirCarpan),0))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IF($A578="","",IFERROR(ROUND(MAX(0,$B578*INDEX(tblKurallar[deger_2025],MATCH("KIK-001",tblKurallar[kural_id],0))-($C578+$D578+$E578+$F578)),kik_yuvarMax),0))</f>
        <v/>
      </c>
      <c r="I578" s="37">
        <f>IF($A578="","",IFERROR(MAX(0,$H578-$G578*kik_sifirCarpan),0))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IF($A579="","",IFERROR(ROUND(MAX(0,$B579*INDEX(tblKurallar[deger_2025],MATCH("KIK-001",tblKurallar[kural_id],0))-($C579+$D579+$E579+$F579)),kik_yuvarMax),0))</f>
        <v/>
      </c>
      <c r="I579" s="37">
        <f>IF($A579="","",IFERROR(MAX(0,$H579-$G579*kik_sifirCarpan),0))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IF($A580="","",IFERROR(ROUND(MAX(0,$B580*INDEX(tblKurallar[deger_2025],MATCH("KIK-001",tblKurallar[kural_id],0))-($C580+$D580+$E580+$F580)),kik_yuvarMax),0))</f>
        <v/>
      </c>
      <c r="I580" s="37">
        <f>IF($A580="","",IFERROR(MAX(0,$H580-$G580*kik_sifirCarpan),0))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IF($A581="","",IFERROR(ROUND(MAX(0,$B581*INDEX(tblKurallar[deger_2025],MATCH("KIK-001",tblKurallar[kural_id],0))-($C581+$D581+$E581+$F581)),kik_yuvarMax),0))</f>
        <v/>
      </c>
      <c r="I581" s="37">
        <f>IF($A581="","",IFERROR(MAX(0,$H581-$G581*kik_sifirCarpan),0))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IF($A582="","",IFERROR(ROUND(MAX(0,$B582*INDEX(tblKurallar[deger_2025],MATCH("KIK-001",tblKurallar[kural_id],0))-($C582+$D582+$E582+$F582)),kik_yuvarMax),0))</f>
        <v/>
      </c>
      <c r="I582" s="37">
        <f>IF($A582="","",IFERROR(MAX(0,$H582-$G582*kik_sifirCarpan),0))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IF($A583="","",IFERROR(ROUND(MAX(0,$B583*INDEX(tblKurallar[deger_2025],MATCH("KIK-001",tblKurallar[kural_id],0))-($C583+$D583+$E583+$F583)),kik_yuvarMax),0))</f>
        <v/>
      </c>
      <c r="I583" s="37">
        <f>IF($A583="","",IFERROR(MAX(0,$H583-$G583*kik_sifirCarpan),0))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IF($A584="","",IFERROR(ROUND(MAX(0,$B584*INDEX(tblKurallar[deger_2025],MATCH("KIK-001",tblKurallar[kural_id],0))-($C584+$D584+$E584+$F584)),kik_yuvarMax),0))</f>
        <v/>
      </c>
      <c r="I584" s="37">
        <f>IF($A584="","",IFERROR(MAX(0,$H584-$G584*kik_sifirCarpan),0))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IF($A585="","",IFERROR(ROUND(MAX(0,$B585*INDEX(tblKurallar[deger_2025],MATCH("KIK-001",tblKurallar[kural_id],0))-($C585+$D585+$E585+$F585)),kik_yuvarMax),0))</f>
        <v/>
      </c>
      <c r="I585" s="37">
        <f>IF($A585="","",IFERROR(MAX(0,$H585-$G585*kik_sifirCarpan),0))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IF($A586="","",IFERROR(ROUND(MAX(0,$B586*INDEX(tblKurallar[deger_2025],MATCH("KIK-001",tblKurallar[kural_id],0))-($C586+$D586+$E586+$F586)),kik_yuvarMax),0))</f>
        <v/>
      </c>
      <c r="I586" s="37">
        <f>IF($A586="","",IFERROR(MAX(0,$H586-$G586*kik_sifirCarpan),0))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IF($A587="","",IFERROR(ROUND(MAX(0,$B587*INDEX(tblKurallar[deger_2025],MATCH("KIK-001",tblKurallar[kural_id],0))-($C587+$D587+$E587+$F587)),kik_yuvarMax),0))</f>
        <v/>
      </c>
      <c r="I587" s="37">
        <f>IF($A587="","",IFERROR(MAX(0,$H587-$G587*kik_sifirCarpan),0))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IF($A588="","",IFERROR(ROUND(MAX(0,$B588*INDEX(tblKurallar[deger_2025],MATCH("KIK-001",tblKurallar[kural_id],0))-($C588+$D588+$E588+$F588)),kik_yuvarMax),0))</f>
        <v/>
      </c>
      <c r="I588" s="37">
        <f>IF($A588="","",IFERROR(MAX(0,$H588-$G588*kik_sifirCarpan),0))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IF($A589="","",IFERROR(ROUND(MAX(0,$B589*INDEX(tblKurallar[deger_2025],MATCH("KIK-001",tblKurallar[kural_id],0))-($C589+$D589+$E589+$F589)),kik_yuvarMax),0))</f>
        <v/>
      </c>
      <c r="I589" s="37">
        <f>IF($A589="","",IFERROR(MAX(0,$H589-$G589*kik_sifirCarpan),0))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IF($A590="","",IFERROR(ROUND(MAX(0,$B590*INDEX(tblKurallar[deger_2025],MATCH("KIK-001",tblKurallar[kural_id],0))-($C590+$D590+$E590+$F590)),kik_yuvarMax),0))</f>
        <v/>
      </c>
      <c r="I590" s="37">
        <f>IF($A590="","",IFERROR(MAX(0,$H590-$G590*kik_sifirCarpan),0))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IF($A591="","",IFERROR(ROUND(MAX(0,$B591*INDEX(tblKurallar[deger_2025],MATCH("KIK-001",tblKurallar[kural_id],0))-($C591+$D591+$E591+$F591)),kik_yuvarMax),0))</f>
        <v/>
      </c>
      <c r="I591" s="37">
        <f>IF($A591="","",IFERROR(MAX(0,$H591-$G591*kik_sifirCarpan),0))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IF($A592="","",IFERROR(ROUND(MAX(0,$B592*INDEX(tblKurallar[deger_2025],MATCH("KIK-001",tblKurallar[kural_id],0))-($C592+$D592+$E592+$F592)),kik_yuvarMax),0))</f>
        <v/>
      </c>
      <c r="I592" s="37">
        <f>IF($A592="","",IFERROR(MAX(0,$H592-$G592*kik_sifirCarpan),0))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IF($A593="","",IFERROR(ROUND(MAX(0,$B593*INDEX(tblKurallar[deger_2025],MATCH("KIK-001",tblKurallar[kural_id],0))-($C593+$D593+$E593+$F593)),kik_yuvarMax),0))</f>
        <v/>
      </c>
      <c r="I593" s="37">
        <f>IF($A593="","",IFERROR(MAX(0,$H593-$G593*kik_sifirCarpan),0))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IF($A594="","",IFERROR(ROUND(MAX(0,$B594*INDEX(tblKurallar[deger_2025],MATCH("KIK-001",tblKurallar[kural_id],0))-($C594+$D594+$E594+$F594)),kik_yuvarMax),0))</f>
        <v/>
      </c>
      <c r="I594" s="37">
        <f>IF($A594="","",IFERROR(MAX(0,$H594-$G594*kik_sifirCarpan),0))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IF($A595="","",IFERROR(ROUND(MAX(0,$B595*INDEX(tblKurallar[deger_2025],MATCH("KIK-001",tblKurallar[kural_id],0))-($C595+$D595+$E595+$F595)),kik_yuvarMax),0))</f>
        <v/>
      </c>
      <c r="I595" s="37">
        <f>IF($A595="","",IFERROR(MAX(0,$H595-$G595*kik_sifirCarpan),0))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IF($A596="","",IFERROR(ROUND(MAX(0,$B596*INDEX(tblKurallar[deger_2025],MATCH("KIK-001",tblKurallar[kural_id],0))-($C596+$D596+$E596+$F596)),kik_yuvarMax),0))</f>
        <v/>
      </c>
      <c r="I596" s="37">
        <f>IF($A596="","",IFERROR(MAX(0,$H596-$G596*kik_sifirCarpan),0))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IF($A597="","",IFERROR(ROUND(MAX(0,$B597*INDEX(tblKurallar[deger_2025],MATCH("KIK-001",tblKurallar[kural_id],0))-($C597+$D597+$E597+$F597)),kik_yuvarMax),0))</f>
        <v/>
      </c>
      <c r="I597" s="37">
        <f>IF($A597="","",IFERROR(MAX(0,$H597-$G597*kik_sifirCarpan),0))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IF($A598="","",IFERROR(ROUND(MAX(0,$B598*INDEX(tblKurallar[deger_2025],MATCH("KIK-001",tblKurallar[kural_id],0))-($C598+$D598+$E598+$F598)),kik_yuvarMax),0))</f>
        <v/>
      </c>
      <c r="I598" s="37">
        <f>IF($A598="","",IFERROR(MAX(0,$H598-$G598*kik_sifirCarpan),0))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IF($A599="","",IFERROR(ROUND(MAX(0,$B599*INDEX(tblKurallar[deger_2025],MATCH("KIK-001",tblKurallar[kural_id],0))-($C599+$D599+$E599+$F599)),kik_yuvarMax),0))</f>
        <v/>
      </c>
      <c r="I599" s="37">
        <f>IF($A599="","",IFERROR(MAX(0,$H599-$G599*kik_sifirCarpan),0))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IF($A600="","",IFERROR(ROUND(MAX(0,$B600*INDEX(tblKurallar[deger_2025],MATCH("KIK-001",tblKurallar[kural_id],0))-($C600+$D600+$E600+$F600)),kik_yuvarMax),0))</f>
        <v/>
      </c>
      <c r="I600" s="37">
        <f>IF($A600="","",IFERROR(MAX(0,$H600-$G600*kik_sifirCarpan),0))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IF($A601="","",IFERROR(ROUND(MAX(0,$B601*INDEX(tblKurallar[deger_2025],MATCH("KIK-001",tblKurallar[kural_id],0))-($C601+$D601+$E601+$F601)),kik_yuvarMax),0))</f>
        <v/>
      </c>
      <c r="I601" s="37">
        <f>IF($A601="","",IFERROR(MAX(0,$H601-$G601*kik_sifirCarpan),0))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IF($A602="","",IFERROR(ROUND(MAX(0,$B602*INDEX(tblKurallar[deger_2025],MATCH("KIK-001",tblKurallar[kural_id],0))-($C602+$D602+$E602+$F602)),kik_yuvarMax),0))</f>
        <v/>
      </c>
      <c r="I602" s="37">
        <f>IF($A602="","",IFERROR(MAX(0,$H602-$G602*kik_sifirCarpan),0))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IF($A603="","",IFERROR(ROUND(MAX(0,$B603*INDEX(tblKurallar[deger_2025],MATCH("KIK-001",tblKurallar[kural_id],0))-($C603+$D603+$E603+$F603)),kik_yuvarMax),0))</f>
        <v/>
      </c>
      <c r="I603" s="37">
        <f>IF($A603="","",IFERROR(MAX(0,$H603-$G603*kik_sifirCarpan),0))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IF($A604="","",IFERROR(ROUND(MAX(0,$B604*INDEX(tblKurallar[deger_2025],MATCH("KIK-001",tblKurallar[kural_id],0))-($C604+$D604+$E604+$F604)),kik_yuvarMax),0))</f>
        <v/>
      </c>
      <c r="I604" s="37">
        <f>IF($A604="","",IFERROR(MAX(0,$H604-$G604*kik_sifirCarpan),0))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IF($A605="","",IFERROR(ROUND(MAX(0,$B605*INDEX(tblKurallar[deger_2025],MATCH("KIK-001",tblKurallar[kural_id],0))-($C605+$D605+$E605+$F605)),kik_yuvarMax),0))</f>
        <v/>
      </c>
      <c r="I605" s="37">
        <f>IF($A605="","",IFERROR(MAX(0,$H605-$G605*kik_sifirCarpan),0))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IF($A606="","",IFERROR(ROUND(MAX(0,$B606*INDEX(tblKurallar[deger_2025],MATCH("KIK-001",tblKurallar[kural_id],0))-($C606+$D606+$E606+$F606)),kik_yuvarMax),0))</f>
        <v/>
      </c>
      <c r="I606" s="37">
        <f>IF($A606="","",IFERROR(MAX(0,$H606-$G606*kik_sifirCarpan),0))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IF($A607="","",IFERROR(ROUND(MAX(0,$B607*INDEX(tblKurallar[deger_2025],MATCH("KIK-001",tblKurallar[kural_id],0))-($C607+$D607+$E607+$F607)),kik_yuvarMax),0))</f>
        <v/>
      </c>
      <c r="I607" s="37">
        <f>IF($A607="","",IFERROR(MAX(0,$H607-$G607*kik_sifirCarpan),0))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IF($A608="","",IFERROR(ROUND(MAX(0,$B608*INDEX(tblKurallar[deger_2025],MATCH("KIK-001",tblKurallar[kural_id],0))-($C608+$D608+$E608+$F608)),kik_yuvarMax),0))</f>
        <v/>
      </c>
      <c r="I608" s="37">
        <f>IF($A608="","",IFERROR(MAX(0,$H608-$G608*kik_sifirCarpan),0))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IF($A609="","",IFERROR(ROUND(MAX(0,$B609*INDEX(tblKurallar[deger_2025],MATCH("KIK-001",tblKurallar[kural_id],0))-($C609+$D609+$E609+$F609)),kik_yuvarMax),0))</f>
        <v/>
      </c>
      <c r="I609" s="37">
        <f>IF($A609="","",IFERROR(MAX(0,$H609-$G609*kik_sifirCarpan),0))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IF($A610="","",IFERROR(ROUND(MAX(0,$B610*INDEX(tblKurallar[deger_2025],MATCH("KIK-001",tblKurallar[kural_id],0))-($C610+$D610+$E610+$F610)),kik_yuvarMax),0))</f>
        <v/>
      </c>
      <c r="I610" s="37">
        <f>IF($A610="","",IFERROR(MAX(0,$H610-$G610*kik_sifirCarpan),0))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IF($A611="","",IFERROR(ROUND(MAX(0,$B611*INDEX(tblKurallar[deger_2025],MATCH("KIK-001",tblKurallar[kural_id],0))-($C611+$D611+$E611+$F611)),kik_yuvarMax),0))</f>
        <v/>
      </c>
      <c r="I611" s="37">
        <f>IF($A611="","",IFERROR(MAX(0,$H611-$G611*kik_sifirCarpan),0))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IF($A612="","",IFERROR(ROUND(MAX(0,$B612*INDEX(tblKurallar[deger_2025],MATCH("KIK-001",tblKurallar[kural_id],0))-($C612+$D612+$E612+$F612)),kik_yuvarMax),0))</f>
        <v/>
      </c>
      <c r="I612" s="37">
        <f>IF($A612="","",IFERROR(MAX(0,$H612-$G612*kik_sifirCarpan),0))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IF($A613="","",IFERROR(ROUND(MAX(0,$B613*INDEX(tblKurallar[deger_2025],MATCH("KIK-001",tblKurallar[kural_id],0))-($C613+$D613+$E613+$F613)),kik_yuvarMax),0))</f>
        <v/>
      </c>
      <c r="I613" s="37">
        <f>IF($A613="","",IFERROR(MAX(0,$H613-$G613*kik_sifirCarpan),0))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IF($A614="","",IFERROR(ROUND(MAX(0,$B614*INDEX(tblKurallar[deger_2025],MATCH("KIK-001",tblKurallar[kural_id],0))-($C614+$D614+$E614+$F614)),kik_yuvarMax),0))</f>
        <v/>
      </c>
      <c r="I614" s="37">
        <f>IF($A614="","",IFERROR(MAX(0,$H614-$G614*kik_sifirCarpan),0))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IF($A615="","",IFERROR(ROUND(MAX(0,$B615*INDEX(tblKurallar[deger_2025],MATCH("KIK-001",tblKurallar[kural_id],0))-($C615+$D615+$E615+$F615)),kik_yuvarMax),0))</f>
        <v/>
      </c>
      <c r="I615" s="37">
        <f>IF($A615="","",IFERROR(MAX(0,$H615-$G615*kik_sifirCarpan),0))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IF($A616="","",IFERROR(ROUND(MAX(0,$B616*INDEX(tblKurallar[deger_2025],MATCH("KIK-001",tblKurallar[kural_id],0))-($C616+$D616+$E616+$F616)),kik_yuvarMax),0))</f>
        <v/>
      </c>
      <c r="I616" s="37">
        <f>IF($A616="","",IFERROR(MAX(0,$H616-$G616*kik_sifirCarpan),0))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IF($A617="","",IFERROR(ROUND(MAX(0,$B617*INDEX(tblKurallar[deger_2025],MATCH("KIK-001",tblKurallar[kural_id],0))-($C617+$D617+$E617+$F617)),kik_yuvarMax),0))</f>
        <v/>
      </c>
      <c r="I617" s="37">
        <f>IF($A617="","",IFERROR(MAX(0,$H617-$G617*kik_sifirCarpan),0))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IF($A618="","",IFERROR(ROUND(MAX(0,$B618*INDEX(tblKurallar[deger_2025],MATCH("KIK-001",tblKurallar[kural_id],0))-($C618+$D618+$E618+$F618)),kik_yuvarMax),0))</f>
        <v/>
      </c>
      <c r="I618" s="37">
        <f>IF($A618="","",IFERROR(MAX(0,$H618-$G618*kik_sifirCarpan),0))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IF($A619="","",IFERROR(ROUND(MAX(0,$B619*INDEX(tblKurallar[deger_2025],MATCH("KIK-001",tblKurallar[kural_id],0))-($C619+$D619+$E619+$F619)),kik_yuvarMax),0))</f>
        <v/>
      </c>
      <c r="I619" s="37">
        <f>IF($A619="","",IFERROR(MAX(0,$H619-$G619*kik_sifirCarpan),0))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IF($A620="","",IFERROR(ROUND(MAX(0,$B620*INDEX(tblKurallar[deger_2025],MATCH("KIK-001",tblKurallar[kural_id],0))-($C620+$D620+$E620+$F620)),kik_yuvarMax),0))</f>
        <v/>
      </c>
      <c r="I620" s="37">
        <f>IF($A620="","",IFERROR(MAX(0,$H620-$G620*kik_sifirCarpan),0))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IF($A621="","",IFERROR(ROUND(MAX(0,$B621*INDEX(tblKurallar[deger_2025],MATCH("KIK-001",tblKurallar[kural_id],0))-($C621+$D621+$E621+$F621)),kik_yuvarMax),0))</f>
        <v/>
      </c>
      <c r="I621" s="37">
        <f>IF($A621="","",IFERROR(MAX(0,$H621-$G621*kik_sifirCarpan),0))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IF($A622="","",IFERROR(ROUND(MAX(0,$B622*INDEX(tblKurallar[deger_2025],MATCH("KIK-001",tblKurallar[kural_id],0))-($C622+$D622+$E622+$F622)),kik_yuvarMax),0))</f>
        <v/>
      </c>
      <c r="I622" s="37">
        <f>IF($A622="","",IFERROR(MAX(0,$H622-$G622*kik_sifirCarpan),0))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IF($A623="","",IFERROR(ROUND(MAX(0,$B623*INDEX(tblKurallar[deger_2025],MATCH("KIK-001",tblKurallar[kural_id],0))-($C623+$D623+$E623+$F623)),kik_yuvarMax),0))</f>
        <v/>
      </c>
      <c r="I623" s="37">
        <f>IF($A623="","",IFERROR(MAX(0,$H623-$G623*kik_sifirCarpan),0))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IF($A624="","",IFERROR(ROUND(MAX(0,$B624*INDEX(tblKurallar[deger_2025],MATCH("KIK-001",tblKurallar[kural_id],0))-($C624+$D624+$E624+$F624)),kik_yuvarMax),0))</f>
        <v/>
      </c>
      <c r="I624" s="37">
        <f>IF($A624="","",IFERROR(MAX(0,$H624-$G624*kik_sifirCarpan),0))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IF($A625="","",IFERROR(ROUND(MAX(0,$B625*INDEX(tblKurallar[deger_2025],MATCH("KIK-001",tblKurallar[kural_id],0))-($C625+$D625+$E625+$F625)),kik_yuvarMax),0))</f>
        <v/>
      </c>
      <c r="I625" s="37">
        <f>IF($A625="","",IFERROR(MAX(0,$H625-$G625*kik_sifirCarpan),0))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IF($A626="","",IFERROR(ROUND(MAX(0,$B626*INDEX(tblKurallar[deger_2025],MATCH("KIK-001",tblKurallar[kural_id],0))-($C626+$D626+$E626+$F626)),kik_yuvarMax),0))</f>
        <v/>
      </c>
      <c r="I626" s="37">
        <f>IF($A626="","",IFERROR(MAX(0,$H626-$G626*kik_sifirCarpan),0))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IF($A627="","",IFERROR(ROUND(MAX(0,$B627*INDEX(tblKurallar[deger_2025],MATCH("KIK-001",tblKurallar[kural_id],0))-($C627+$D627+$E627+$F627)),kik_yuvarMax),0))</f>
        <v/>
      </c>
      <c r="I627" s="37">
        <f>IF($A627="","",IFERROR(MAX(0,$H627-$G627*kik_sifirCarpan),0))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IF($A628="","",IFERROR(ROUND(MAX(0,$B628*INDEX(tblKurallar[deger_2025],MATCH("KIK-001",tblKurallar[kural_id],0))-($C628+$D628+$E628+$F628)),kik_yuvarMax),0))</f>
        <v/>
      </c>
      <c r="I628" s="37">
        <f>IF($A628="","",IFERROR(MAX(0,$H628-$G628*kik_sifirCarpan),0))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IF($A629="","",IFERROR(ROUND(MAX(0,$B629*INDEX(tblKurallar[deger_2025],MATCH("KIK-001",tblKurallar[kural_id],0))-($C629+$D629+$E629+$F629)),kik_yuvarMax),0))</f>
        <v/>
      </c>
      <c r="I629" s="37">
        <f>IF($A629="","",IFERROR(MAX(0,$H629-$G629*kik_sifirCarpan),0))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IF($A630="","",IFERROR(ROUND(MAX(0,$B630*INDEX(tblKurallar[deger_2025],MATCH("KIK-001",tblKurallar[kural_id],0))-($C630+$D630+$E630+$F630)),kik_yuvarMax),0))</f>
        <v/>
      </c>
      <c r="I630" s="37">
        <f>IF($A630="","",IFERROR(MAX(0,$H630-$G630*kik_sifirCarpan),0))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IF($A631="","",IFERROR(ROUND(MAX(0,$B631*INDEX(tblKurallar[deger_2025],MATCH("KIK-001",tblKurallar[kural_id],0))-($C631+$D631+$E631+$F631)),kik_yuvarMax),0))</f>
        <v/>
      </c>
      <c r="I631" s="37">
        <f>IF($A631="","",IFERROR(MAX(0,$H631-$G631*kik_sifirCarpan),0))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IF($A632="","",IFERROR(ROUND(MAX(0,$B632*INDEX(tblKurallar[deger_2025],MATCH("KIK-001",tblKurallar[kural_id],0))-($C632+$D632+$E632+$F632)),kik_yuvarMax),0))</f>
        <v/>
      </c>
      <c r="I632" s="37">
        <f>IF($A632="","",IFERROR(MAX(0,$H632-$G632*kik_sifirCarpan),0))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IF($A633="","",IFERROR(ROUND(MAX(0,$B633*INDEX(tblKurallar[deger_2025],MATCH("KIK-001",tblKurallar[kural_id],0))-($C633+$D633+$E633+$F633)),kik_yuvarMax),0))</f>
        <v/>
      </c>
      <c r="I633" s="37">
        <f>IF($A633="","",IFERROR(MAX(0,$H633-$G633*kik_sifirCarpan),0))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IF($A634="","",IFERROR(ROUND(MAX(0,$B634*INDEX(tblKurallar[deger_2025],MATCH("KIK-001",tblKurallar[kural_id],0))-($C634+$D634+$E634+$F634)),kik_yuvarMax),0))</f>
        <v/>
      </c>
      <c r="I634" s="37">
        <f>IF($A634="","",IFERROR(MAX(0,$H634-$G634*kik_sifirCarpan),0))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IF($A635="","",IFERROR(ROUND(MAX(0,$B635*INDEX(tblKurallar[deger_2025],MATCH("KIK-001",tblKurallar[kural_id],0))-($C635+$D635+$E635+$F635)),kik_yuvarMax),0))</f>
        <v/>
      </c>
      <c r="I635" s="37">
        <f>IF($A635="","",IFERROR(MAX(0,$H635-$G635*kik_sifirCarpan),0))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IF($A636="","",IFERROR(ROUND(MAX(0,$B636*INDEX(tblKurallar[deger_2025],MATCH("KIK-001",tblKurallar[kural_id],0))-($C636+$D636+$E636+$F636)),kik_yuvarMax),0))</f>
        <v/>
      </c>
      <c r="I636" s="37">
        <f>IF($A636="","",IFERROR(MAX(0,$H636-$G636*kik_sifirCarpan),0))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IF($A637="","",IFERROR(ROUND(MAX(0,$B637*INDEX(tblKurallar[deger_2025],MATCH("KIK-001",tblKurallar[kural_id],0))-($C637+$D637+$E637+$F637)),kik_yuvarMax),0))</f>
        <v/>
      </c>
      <c r="I637" s="37">
        <f>IF($A637="","",IFERROR(MAX(0,$H637-$G637*kik_sifirCarpan),0))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IF($A638="","",IFERROR(ROUND(MAX(0,$B638*INDEX(tblKurallar[deger_2025],MATCH("KIK-001",tblKurallar[kural_id],0))-($C638+$D638+$E638+$F638)),kik_yuvarMax),0))</f>
        <v/>
      </c>
      <c r="I638" s="37">
        <f>IF($A638="","",IFERROR(MAX(0,$H638-$G638*kik_sifirCarpan),0))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IF($A639="","",IFERROR(ROUND(MAX(0,$B639*INDEX(tblKurallar[deger_2025],MATCH("KIK-001",tblKurallar[kural_id],0))-($C639+$D639+$E639+$F639)),kik_yuvarMax),0))</f>
        <v/>
      </c>
      <c r="I639" s="37">
        <f>IF($A639="","",IFERROR(MAX(0,$H639-$G639*kik_sifirCarpan),0))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IF($A640="","",IFERROR(ROUND(MAX(0,$B640*INDEX(tblKurallar[deger_2025],MATCH("KIK-001",tblKurallar[kural_id],0))-($C640+$D640+$E640+$F640)),kik_yuvarMax),0))</f>
        <v/>
      </c>
      <c r="I640" s="37">
        <f>IF($A640="","",IFERROR(MAX(0,$H640-$G640*kik_sifirCarpan),0))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IF($A641="","",IFERROR(ROUND(MAX(0,$B641*INDEX(tblKurallar[deger_2025],MATCH("KIK-001",tblKurallar[kural_id],0))-($C641+$D641+$E641+$F641)),kik_yuvarMax),0))</f>
        <v/>
      </c>
      <c r="I641" s="37">
        <f>IF($A641="","",IFERROR(MAX(0,$H641-$G641*kik_sifirCarpan),0))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IF($A642="","",IFERROR(ROUND(MAX(0,$B642*INDEX(tblKurallar[deger_2025],MATCH("KIK-001",tblKurallar[kural_id],0))-($C642+$D642+$E642+$F642)),kik_yuvarMax),0))</f>
        <v/>
      </c>
      <c r="I642" s="37">
        <f>IF($A642="","",IFERROR(MAX(0,$H642-$G642*kik_sifirCarpan),0))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IF($A643="","",IFERROR(ROUND(MAX(0,$B643*INDEX(tblKurallar[deger_2025],MATCH("KIK-001",tblKurallar[kural_id],0))-($C643+$D643+$E643+$F643)),kik_yuvarMax),0))</f>
        <v/>
      </c>
      <c r="I643" s="37">
        <f>IF($A643="","",IFERROR(MAX(0,$H643-$G643*kik_sifirCarpan),0))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IF($A644="","",IFERROR(ROUND(MAX(0,$B644*INDEX(tblKurallar[deger_2025],MATCH("KIK-001",tblKurallar[kural_id],0))-($C644+$D644+$E644+$F644)),kik_yuvarMax),0))</f>
        <v/>
      </c>
      <c r="I644" s="37">
        <f>IF($A644="","",IFERROR(MAX(0,$H644-$G644*kik_sifirCarpan),0))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IF($A645="","",IFERROR(ROUND(MAX(0,$B645*INDEX(tblKurallar[deger_2025],MATCH("KIK-001",tblKurallar[kural_id],0))-($C645+$D645+$E645+$F645)),kik_yuvarMax),0))</f>
        <v/>
      </c>
      <c r="I645" s="37">
        <f>IF($A645="","",IFERROR(MAX(0,$H645-$G645*kik_sifirCarpan),0))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IF($A646="","",IFERROR(ROUND(MAX(0,$B646*INDEX(tblKurallar[deger_2025],MATCH("KIK-001",tblKurallar[kural_id],0))-($C646+$D646+$E646+$F646)),kik_yuvarMax),0))</f>
        <v/>
      </c>
      <c r="I646" s="37">
        <f>IF($A646="","",IFERROR(MAX(0,$H646-$G646*kik_sifirCarpan),0))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IF($A647="","",IFERROR(ROUND(MAX(0,$B647*INDEX(tblKurallar[deger_2025],MATCH("KIK-001",tblKurallar[kural_id],0))-($C647+$D647+$E647+$F647)),kik_yuvarMax),0))</f>
        <v/>
      </c>
      <c r="I647" s="37">
        <f>IF($A647="","",IFERROR(MAX(0,$H647-$G647*kik_sifirCarpan),0))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IF($A648="","",IFERROR(ROUND(MAX(0,$B648*INDEX(tblKurallar[deger_2025],MATCH("KIK-001",tblKurallar[kural_id],0))-($C648+$D648+$E648+$F648)),kik_yuvarMax),0))</f>
        <v/>
      </c>
      <c r="I648" s="37">
        <f>IF($A648="","",IFERROR(MAX(0,$H648-$G648*kik_sifirCarpan),0))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IF($A649="","",IFERROR(ROUND(MAX(0,$B649*INDEX(tblKurallar[deger_2025],MATCH("KIK-001",tblKurallar[kural_id],0))-($C649+$D649+$E649+$F649)),kik_yuvarMax),0))</f>
        <v/>
      </c>
      <c r="I649" s="37">
        <f>IF($A649="","",IFERROR(MAX(0,$H649-$G649*kik_sifirCarpan),0))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IF($A650="","",IFERROR(ROUND(MAX(0,$B650*INDEX(tblKurallar[deger_2025],MATCH("KIK-001",tblKurallar[kural_id],0))-($C650+$D650+$E650+$F650)),kik_yuvarMax),0))</f>
        <v/>
      </c>
      <c r="I650" s="37">
        <f>IF($A650="","",IFERROR(MAX(0,$H650-$G650*kik_sifirCarpan),0))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IF($A651="","",IFERROR(ROUND(MAX(0,$B651*INDEX(tblKurallar[deger_2025],MATCH("KIK-001",tblKurallar[kural_id],0))-($C651+$D651+$E651+$F651)),kik_yuvarMax),0))</f>
        <v/>
      </c>
      <c r="I651" s="37">
        <f>IF($A651="","",IFERROR(MAX(0,$H651-$G651*kik_sifirCarpan),0))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IF($A652="","",IFERROR(ROUND(MAX(0,$B652*INDEX(tblKurallar[deger_2025],MATCH("KIK-001",tblKurallar[kural_id],0))-($C652+$D652+$E652+$F652)),kik_yuvarMax),0))</f>
        <v/>
      </c>
      <c r="I652" s="37">
        <f>IF($A652="","",IFERROR(MAX(0,$H652-$G652*kik_sifirCarpan),0))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IF($A653="","",IFERROR(ROUND(MAX(0,$B653*INDEX(tblKurallar[deger_2025],MATCH("KIK-001",tblKurallar[kural_id],0))-($C653+$D653+$E653+$F653)),kik_yuvarMax),0))</f>
        <v/>
      </c>
      <c r="I653" s="37">
        <f>IF($A653="","",IFERROR(MAX(0,$H653-$G653*kik_sifirCarpan),0))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IF($A654="","",IFERROR(ROUND(MAX(0,$B654*INDEX(tblKurallar[deger_2025],MATCH("KIK-001",tblKurallar[kural_id],0))-($C654+$D654+$E654+$F654)),kik_yuvarMax),0))</f>
        <v/>
      </c>
      <c r="I654" s="37">
        <f>IF($A654="","",IFERROR(MAX(0,$H654-$G654*kik_sifirCarpan),0))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IF($A655="","",IFERROR(ROUND(MAX(0,$B655*INDEX(tblKurallar[deger_2025],MATCH("KIK-001",tblKurallar[kural_id],0))-($C655+$D655+$E655+$F655)),kik_yuvarMax),0))</f>
        <v/>
      </c>
      <c r="I655" s="37">
        <f>IF($A655="","",IFERROR(MAX(0,$H655-$G655*kik_sifirCarpan),0))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IF($A656="","",IFERROR(ROUND(MAX(0,$B656*INDEX(tblKurallar[deger_2025],MATCH("KIK-001",tblKurallar[kural_id],0))-($C656+$D656+$E656+$F656)),kik_yuvarMax),0))</f>
        <v/>
      </c>
      <c r="I656" s="37">
        <f>IF($A656="","",IFERROR(MAX(0,$H656-$G656*kik_sifirCarpan),0))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IF($A657="","",IFERROR(ROUND(MAX(0,$B657*INDEX(tblKurallar[deger_2025],MATCH("KIK-001",tblKurallar[kural_id],0))-($C657+$D657+$E657+$F657)),kik_yuvarMax),0))</f>
        <v/>
      </c>
      <c r="I657" s="37">
        <f>IF($A657="","",IFERROR(MAX(0,$H657-$G657*kik_sifirCarpan),0))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IF($A658="","",IFERROR(ROUND(MAX(0,$B658*INDEX(tblKurallar[deger_2025],MATCH("KIK-001",tblKurallar[kural_id],0))-($C658+$D658+$E658+$F658)),kik_yuvarMax),0))</f>
        <v/>
      </c>
      <c r="I658" s="37">
        <f>IF($A658="","",IFERROR(MAX(0,$H658-$G658*kik_sifirCarpan),0))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IF($A659="","",IFERROR(ROUND(MAX(0,$B659*INDEX(tblKurallar[deger_2025],MATCH("KIK-001",tblKurallar[kural_id],0))-($C659+$D659+$E659+$F659)),kik_yuvarMax),0))</f>
        <v/>
      </c>
      <c r="I659" s="37">
        <f>IF($A659="","",IFERROR(MAX(0,$H659-$G659*kik_sifirCarpan),0))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IF($A660="","",IFERROR(ROUND(MAX(0,$B660*INDEX(tblKurallar[deger_2025],MATCH("KIK-001",tblKurallar[kural_id],0))-($C660+$D660+$E660+$F660)),kik_yuvarMax),0))</f>
        <v/>
      </c>
      <c r="I660" s="37">
        <f>IF($A660="","",IFERROR(MAX(0,$H660-$G660*kik_sifirCarpan),0))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IF($A661="","",IFERROR(ROUND(MAX(0,$B661*INDEX(tblKurallar[deger_2025],MATCH("KIK-001",tblKurallar[kural_id],0))-($C661+$D661+$E661+$F661)),kik_yuvarMax),0))</f>
        <v/>
      </c>
      <c r="I661" s="37">
        <f>IF($A661="","",IFERROR(MAX(0,$H661-$G661*kik_sifirCarpan),0))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IF($A662="","",IFERROR(ROUND(MAX(0,$B662*INDEX(tblKurallar[deger_2025],MATCH("KIK-001",tblKurallar[kural_id],0))-($C662+$D662+$E662+$F662)),kik_yuvarMax),0))</f>
        <v/>
      </c>
      <c r="I662" s="37">
        <f>IF($A662="","",IFERROR(MAX(0,$H662-$G662*kik_sifirCarpan),0))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IF($A663="","",IFERROR(ROUND(MAX(0,$B663*INDEX(tblKurallar[deger_2025],MATCH("KIK-001",tblKurallar[kural_id],0))-($C663+$D663+$E663+$F663)),kik_yuvarMax),0))</f>
        <v/>
      </c>
      <c r="I663" s="37">
        <f>IF($A663="","",IFERROR(MAX(0,$H663-$G663*kik_sifirCarpan),0))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IF($A664="","",IFERROR(ROUND(MAX(0,$B664*INDEX(tblKurallar[deger_2025],MATCH("KIK-001",tblKurallar[kural_id],0))-($C664+$D664+$E664+$F664)),kik_yuvarMax),0))</f>
        <v/>
      </c>
      <c r="I664" s="37">
        <f>IF($A664="","",IFERROR(MAX(0,$H664-$G664*kik_sifirCarpan),0))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IF($A665="","",IFERROR(ROUND(MAX(0,$B665*INDEX(tblKurallar[deger_2025],MATCH("KIK-001",tblKurallar[kural_id],0))-($C665+$D665+$E665+$F665)),kik_yuvarMax),0))</f>
        <v/>
      </c>
      <c r="I665" s="37">
        <f>IF($A665="","",IFERROR(MAX(0,$H665-$G665*kik_sifirCarpan),0))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IF($A666="","",IFERROR(ROUND(MAX(0,$B666*INDEX(tblKurallar[deger_2025],MATCH("KIK-001",tblKurallar[kural_id],0))-($C666+$D666+$E666+$F666)),kik_yuvarMax),0))</f>
        <v/>
      </c>
      <c r="I666" s="37">
        <f>IF($A666="","",IFERROR(MAX(0,$H666-$G666*kik_sifirCarpan),0))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IF($A667="","",IFERROR(ROUND(MAX(0,$B667*INDEX(tblKurallar[deger_2025],MATCH("KIK-001",tblKurallar[kural_id],0))-($C667+$D667+$E667+$F667)),kik_yuvarMax),0))</f>
        <v/>
      </c>
      <c r="I667" s="37">
        <f>IF($A667="","",IFERROR(MAX(0,$H667-$G667*kik_sifirCarpan),0))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IF($A668="","",IFERROR(ROUND(MAX(0,$B668*INDEX(tblKurallar[deger_2025],MATCH("KIK-001",tblKurallar[kural_id],0))-($C668+$D668+$E668+$F668)),kik_yuvarMax),0))</f>
        <v/>
      </c>
      <c r="I668" s="37">
        <f>IF($A668="","",IFERROR(MAX(0,$H668-$G668*kik_sifirCarpan),0))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IF($A669="","",IFERROR(ROUND(MAX(0,$B669*INDEX(tblKurallar[deger_2025],MATCH("KIK-001",tblKurallar[kural_id],0))-($C669+$D669+$E669+$F669)),kik_yuvarMax),0))</f>
        <v/>
      </c>
      <c r="I669" s="37">
        <f>IF($A669="","",IFERROR(MAX(0,$H669-$G669*kik_sifirCarpan),0))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IF($A670="","",IFERROR(ROUND(MAX(0,$B670*INDEX(tblKurallar[deger_2025],MATCH("KIK-001",tblKurallar[kural_id],0))-($C670+$D670+$E670+$F670)),kik_yuvarMax),0))</f>
        <v/>
      </c>
      <c r="I670" s="37">
        <f>IF($A670="","",IFERROR(MAX(0,$H670-$G670*kik_sifirCarpan),0))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IF($A671="","",IFERROR(ROUND(MAX(0,$B671*INDEX(tblKurallar[deger_2025],MATCH("KIK-001",tblKurallar[kural_id],0))-($C671+$D671+$E671+$F671)),kik_yuvarMax),0))</f>
        <v/>
      </c>
      <c r="I671" s="37">
        <f>IF($A671="","",IFERROR(MAX(0,$H671-$G671*kik_sifirCarpan),0))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IF($A672="","",IFERROR(ROUND(MAX(0,$B672*INDEX(tblKurallar[deger_2025],MATCH("KIK-001",tblKurallar[kural_id],0))-($C672+$D672+$E672+$F672)),kik_yuvarMax),0))</f>
        <v/>
      </c>
      <c r="I672" s="37">
        <f>IF($A672="","",IFERROR(MAX(0,$H672-$G672*kik_sifirCarpan),0))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IF($A673="","",IFERROR(ROUND(MAX(0,$B673*INDEX(tblKurallar[deger_2025],MATCH("KIK-001",tblKurallar[kural_id],0))-($C673+$D673+$E673+$F673)),kik_yuvarMax),0))</f>
        <v/>
      </c>
      <c r="I673" s="37">
        <f>IF($A673="","",IFERROR(MAX(0,$H673-$G673*kik_sifirCarpan),0))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IF($A674="","",IFERROR(ROUND(MAX(0,$B674*INDEX(tblKurallar[deger_2025],MATCH("KIK-001",tblKurallar[kural_id],0))-($C674+$D674+$E674+$F674)),kik_yuvarMax),0))</f>
        <v/>
      </c>
      <c r="I674" s="37">
        <f>IF($A674="","",IFERROR(MAX(0,$H674-$G674*kik_sifirCarpan),0))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IF($A675="","",IFERROR(ROUND(MAX(0,$B675*INDEX(tblKurallar[deger_2025],MATCH("KIK-001",tblKurallar[kural_id],0))-($C675+$D675+$E675+$F675)),kik_yuvarMax),0))</f>
        <v/>
      </c>
      <c r="I675" s="37">
        <f>IF($A675="","",IFERROR(MAX(0,$H675-$G675*kik_sifirCarpan),0))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IF($A676="","",IFERROR(ROUND(MAX(0,$B676*INDEX(tblKurallar[deger_2025],MATCH("KIK-001",tblKurallar[kural_id],0))-($C676+$D676+$E676+$F676)),kik_yuvarMax),0))</f>
        <v/>
      </c>
      <c r="I676" s="37">
        <f>IF($A676="","",IFERROR(MAX(0,$H676-$G676*kik_sifirCarpan),0))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IF($A677="","",IFERROR(ROUND(MAX(0,$B677*INDEX(tblKurallar[deger_2025],MATCH("KIK-001",tblKurallar[kural_id],0))-($C677+$D677+$E677+$F677)),kik_yuvarMax),0))</f>
        <v/>
      </c>
      <c r="I677" s="37">
        <f>IF($A677="","",IFERROR(MAX(0,$H677-$G677*kik_sifirCarpan),0))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IF($A678="","",IFERROR(ROUND(MAX(0,$B678*INDEX(tblKurallar[deger_2025],MATCH("KIK-001",tblKurallar[kural_id],0))-($C678+$D678+$E678+$F678)),kik_yuvarMax),0))</f>
        <v/>
      </c>
      <c r="I678" s="37">
        <f>IF($A678="","",IFERROR(MAX(0,$H678-$G678*kik_sifirCarpan),0))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IF($A679="","",IFERROR(ROUND(MAX(0,$B679*INDEX(tblKurallar[deger_2025],MATCH("KIK-001",tblKurallar[kural_id],0))-($C679+$D679+$E679+$F679)),kik_yuvarMax),0))</f>
        <v/>
      </c>
      <c r="I679" s="37">
        <f>IF($A679="","",IFERROR(MAX(0,$H679-$G679*kik_sifirCarpan),0))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IF($A680="","",IFERROR(ROUND(MAX(0,$B680*INDEX(tblKurallar[deger_2025],MATCH("KIK-001",tblKurallar[kural_id],0))-($C680+$D680+$E680+$F680)),kik_yuvarMax),0))</f>
        <v/>
      </c>
      <c r="I680" s="37">
        <f>IF($A680="","",IFERROR(MAX(0,$H680-$G680*kik_sifirCarpan),0))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IF($A681="","",IFERROR(ROUND(MAX(0,$B681*INDEX(tblKurallar[deger_2025],MATCH("KIK-001",tblKurallar[kural_id],0))-($C681+$D681+$E681+$F681)),kik_yuvarMax),0))</f>
        <v/>
      </c>
      <c r="I681" s="37">
        <f>IF($A681="","",IFERROR(MAX(0,$H681-$G681*kik_sifirCarpan),0))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IF($A682="","",IFERROR(ROUND(MAX(0,$B682*INDEX(tblKurallar[deger_2025],MATCH("KIK-001",tblKurallar[kural_id],0))-($C682+$D682+$E682+$F682)),kik_yuvarMax),0))</f>
        <v/>
      </c>
      <c r="I682" s="37">
        <f>IF($A682="","",IFERROR(MAX(0,$H682-$G682*kik_sifirCarpan),0))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IF($A683="","",IFERROR(ROUND(MAX(0,$B683*INDEX(tblKurallar[deger_2025],MATCH("KIK-001",tblKurallar[kural_id],0))-($C683+$D683+$E683+$F683)),kik_yuvarMax),0))</f>
        <v/>
      </c>
      <c r="I683" s="37">
        <f>IF($A683="","",IFERROR(MAX(0,$H683-$G683*kik_sifirCarpan),0))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IF($A684="","",IFERROR(ROUND(MAX(0,$B684*INDEX(tblKurallar[deger_2025],MATCH("KIK-001",tblKurallar[kural_id],0))-($C684+$D684+$E684+$F684)),kik_yuvarMax),0))</f>
        <v/>
      </c>
      <c r="I684" s="37">
        <f>IF($A684="","",IFERROR(MAX(0,$H684-$G684*kik_sifirCarpan),0))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IF($A685="","",IFERROR(ROUND(MAX(0,$B685*INDEX(tblKurallar[deger_2025],MATCH("KIK-001",tblKurallar[kural_id],0))-($C685+$D685+$E685+$F685)),kik_yuvarMax),0))</f>
        <v/>
      </c>
      <c r="I685" s="37">
        <f>IF($A685="","",IFERROR(MAX(0,$H685-$G685*kik_sifirCarpan),0))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IF($A686="","",IFERROR(ROUND(MAX(0,$B686*INDEX(tblKurallar[deger_2025],MATCH("KIK-001",tblKurallar[kural_id],0))-($C686+$D686+$E686+$F686)),kik_yuvarMax),0))</f>
        <v/>
      </c>
      <c r="I686" s="37">
        <f>IF($A686="","",IFERROR(MAX(0,$H686-$G686*kik_sifirCarpan),0))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IF($A687="","",IFERROR(ROUND(MAX(0,$B687*INDEX(tblKurallar[deger_2025],MATCH("KIK-001",tblKurallar[kural_id],0))-($C687+$D687+$E687+$F687)),kik_yuvarMax),0))</f>
        <v/>
      </c>
      <c r="I687" s="37">
        <f>IF($A687="","",IFERROR(MAX(0,$H687-$G687*kik_sifirCarpan),0))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IF($A688="","",IFERROR(ROUND(MAX(0,$B688*INDEX(tblKurallar[deger_2025],MATCH("KIK-001",tblKurallar[kural_id],0))-($C688+$D688+$E688+$F688)),kik_yuvarMax),0))</f>
        <v/>
      </c>
      <c r="I688" s="37">
        <f>IF($A688="","",IFERROR(MAX(0,$H688-$G688*kik_sifirCarpan),0))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IF($A689="","",IFERROR(ROUND(MAX(0,$B689*INDEX(tblKurallar[deger_2025],MATCH("KIK-001",tblKurallar[kural_id],0))-($C689+$D689+$E689+$F689)),kik_yuvarMax),0))</f>
        <v/>
      </c>
      <c r="I689" s="37">
        <f>IF($A689="","",IFERROR(MAX(0,$H689-$G689*kik_sifirCarpan),0))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IF($A690="","",IFERROR(ROUND(MAX(0,$B690*INDEX(tblKurallar[deger_2025],MATCH("KIK-001",tblKurallar[kural_id],0))-($C690+$D690+$E690+$F690)),kik_yuvarMax),0))</f>
        <v/>
      </c>
      <c r="I690" s="37">
        <f>IF($A690="","",IFERROR(MAX(0,$H690-$G690*kik_sifirCarpan),0))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IF($A691="","",IFERROR(ROUND(MAX(0,$B691*INDEX(tblKurallar[deger_2025],MATCH("KIK-001",tblKurallar[kural_id],0))-($C691+$D691+$E691+$F691)),kik_yuvarMax),0))</f>
        <v/>
      </c>
      <c r="I691" s="37">
        <f>IF($A691="","",IFERROR(MAX(0,$H691-$G691*kik_sifirCarpan),0))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IF($A692="","",IFERROR(ROUND(MAX(0,$B692*INDEX(tblKurallar[deger_2025],MATCH("KIK-001",tblKurallar[kural_id],0))-($C692+$D692+$E692+$F692)),kik_yuvarMax),0))</f>
        <v/>
      </c>
      <c r="I692" s="37">
        <f>IF($A692="","",IFERROR(MAX(0,$H692-$G692*kik_sifirCarpan),0))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IF($A693="","",IFERROR(ROUND(MAX(0,$B693*INDEX(tblKurallar[deger_2025],MATCH("KIK-001",tblKurallar[kural_id],0))-($C693+$D693+$E693+$F693)),kik_yuvarMax),0))</f>
        <v/>
      </c>
      <c r="I693" s="37">
        <f>IF($A693="","",IFERROR(MAX(0,$H693-$G693*kik_sifirCarpan),0))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IF($A694="","",IFERROR(ROUND(MAX(0,$B694*INDEX(tblKurallar[deger_2025],MATCH("KIK-001",tblKurallar[kural_id],0))-($C694+$D694+$E694+$F694)),kik_yuvarMax),0))</f>
        <v/>
      </c>
      <c r="I694" s="37">
        <f>IF($A694="","",IFERROR(MAX(0,$H694-$G694*kik_sifirCarpan),0))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IF($A695="","",IFERROR(ROUND(MAX(0,$B695*INDEX(tblKurallar[deger_2025],MATCH("KIK-001",tblKurallar[kural_id],0))-($C695+$D695+$E695+$F695)),kik_yuvarMax),0))</f>
        <v/>
      </c>
      <c r="I695" s="37">
        <f>IF($A695="","",IFERROR(MAX(0,$H695-$G695*kik_sifirCarpan),0))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IF($A696="","",IFERROR(ROUND(MAX(0,$B696*INDEX(tblKurallar[deger_2025],MATCH("KIK-001",tblKurallar[kural_id],0))-($C696+$D696+$E696+$F696)),kik_yuvarMax),0))</f>
        <v/>
      </c>
      <c r="I696" s="37">
        <f>IF($A696="","",IFERROR(MAX(0,$H696-$G696*kik_sifirCarpan),0))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IF($A697="","",IFERROR(ROUND(MAX(0,$B697*INDEX(tblKurallar[deger_2025],MATCH("KIK-001",tblKurallar[kural_id],0))-($C697+$D697+$E697+$F697)),kik_yuvarMax),0))</f>
        <v/>
      </c>
      <c r="I697" s="37">
        <f>IF($A697="","",IFERROR(MAX(0,$H697-$G697*kik_sifirCarpan),0))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IF($A698="","",IFERROR(ROUND(MAX(0,$B698*INDEX(tblKurallar[deger_2025],MATCH("KIK-001",tblKurallar[kural_id],0))-($C698+$D698+$E698+$F698)),kik_yuvarMax),0))</f>
        <v/>
      </c>
      <c r="I698" s="37">
        <f>IF($A698="","",IFERROR(MAX(0,$H698-$G698*kik_sifirCarpan),0))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IF($A699="","",IFERROR(ROUND(MAX(0,$B699*INDEX(tblKurallar[deger_2025],MATCH("KIK-001",tblKurallar[kural_id],0))-($C699+$D699+$E699+$F699)),kik_yuvarMax),0))</f>
        <v/>
      </c>
      <c r="I699" s="37">
        <f>IF($A699="","",IFERROR(MAX(0,$H699-$G699*kik_sifirCarpan),0))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IF($A700="","",IFERROR(ROUND(MAX(0,$B700*INDEX(tblKurallar[deger_2025],MATCH("KIK-001",tblKurallar[kural_id],0))-($C700+$D700+$E700+$F700)),kik_yuvarMax),0))</f>
        <v/>
      </c>
      <c r="I700" s="37">
        <f>IF($A700="","",IFERROR(MAX(0,$H700-$G700*kik_sifirCarpan),0))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IF($A701="","",IFERROR(ROUND(MAX(0,$B701*INDEX(tblKurallar[deger_2025],MATCH("KIK-001",tblKurallar[kural_id],0))-($C701+$D701+$E701+$F701)),kik_yuvarMax),0))</f>
        <v/>
      </c>
      <c r="I701" s="37">
        <f>IF($A701="","",IFERROR(MAX(0,$H701-$G701*kik_sifirCarpan),0))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IF($A702="","",IFERROR(ROUND(MAX(0,$B702*INDEX(tblKurallar[deger_2025],MATCH("KIK-001",tblKurallar[kural_id],0))-($C702+$D702+$E702+$F702)),kik_yuvarMax),0))</f>
        <v/>
      </c>
      <c r="I702" s="37">
        <f>IF($A702="","",IFERROR(MAX(0,$H702-$G702*kik_sifirCarpan),0))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IF($A703="","",IFERROR(ROUND(MAX(0,$B703*INDEX(tblKurallar[deger_2025],MATCH("KIK-001",tblKurallar[kural_id],0))-($C703+$D703+$E703+$F703)),kik_yuvarMax),0))</f>
        <v/>
      </c>
      <c r="I703" s="37">
        <f>IF($A703="","",IFERROR(MAX(0,$H703-$G703*kik_sifirCarpan),0))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IF($A704="","",IFERROR(ROUND(MAX(0,$B704*INDEX(tblKurallar[deger_2025],MATCH("KIK-001",tblKurallar[kural_id],0))-($C704+$D704+$E704+$F704)),kik_yuvarMax),0))</f>
        <v/>
      </c>
      <c r="I704" s="37">
        <f>IF($A704="","",IFERROR(MAX(0,$H704-$G704*kik_sifirCarpan),0))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IF($A705="","",IFERROR(ROUND(MAX(0,$B705*INDEX(tblKurallar[deger_2025],MATCH("KIK-001",tblKurallar[kural_id],0))-($C705+$D705+$E705+$F705)),kik_yuvarMax),0))</f>
        <v/>
      </c>
      <c r="I705" s="37">
        <f>IF($A705="","",IFERROR(MAX(0,$H705-$G705*kik_sifirCarpan),0))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IF($A706="","",IFERROR(ROUND(MAX(0,$B706*INDEX(tblKurallar[deger_2025],MATCH("KIK-001",tblKurallar[kural_id],0))-($C706+$D706+$E706+$F706)),kik_yuvarMax),0))</f>
        <v/>
      </c>
      <c r="I706" s="37">
        <f>IF($A706="","",IFERROR(MAX(0,$H706-$G706*kik_sifirCarpan),0))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IF($A707="","",IFERROR(ROUND(MAX(0,$B707*INDEX(tblKurallar[deger_2025],MATCH("KIK-001",tblKurallar[kural_id],0))-($C707+$D707+$E707+$F707)),kik_yuvarMax),0))</f>
        <v/>
      </c>
      <c r="I707" s="37">
        <f>IF($A707="","",IFERROR(MAX(0,$H707-$G707*kik_sifirCarpan),0))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IF($A708="","",IFERROR(ROUND(MAX(0,$B708*INDEX(tblKurallar[deger_2025],MATCH("KIK-001",tblKurallar[kural_id],0))-($C708+$D708+$E708+$F708)),kik_yuvarMax),0))</f>
        <v/>
      </c>
      <c r="I708" s="37">
        <f>IF($A708="","",IFERROR(MAX(0,$H708-$G708*kik_sifirCarpan),0))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IF($A709="","",IFERROR(ROUND(MAX(0,$B709*INDEX(tblKurallar[deger_2025],MATCH("KIK-001",tblKurallar[kural_id],0))-($C709+$D709+$E709+$F709)),kik_yuvarMax),0))</f>
        <v/>
      </c>
      <c r="I709" s="37">
        <f>IF($A709="","",IFERROR(MAX(0,$H709-$G709*kik_sifirCarpan),0))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IF($A710="","",IFERROR(ROUND(MAX(0,$B710*INDEX(tblKurallar[deger_2025],MATCH("KIK-001",tblKurallar[kural_id],0))-($C710+$D710+$E710+$F710)),kik_yuvarMax),0))</f>
        <v/>
      </c>
      <c r="I710" s="37">
        <f>IF($A710="","",IFERROR(MAX(0,$H710-$G710*kik_sifirCarpan),0))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IF($A711="","",IFERROR(ROUND(MAX(0,$B711*INDEX(tblKurallar[deger_2025],MATCH("KIK-001",tblKurallar[kural_id],0))-($C711+$D711+$E711+$F711)),kik_yuvarMax),0))</f>
        <v/>
      </c>
      <c r="I711" s="37">
        <f>IF($A711="","",IFERROR(MAX(0,$H711-$G711*kik_sifirCarpan),0))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IF($A712="","",IFERROR(ROUND(MAX(0,$B712*INDEX(tblKurallar[deger_2025],MATCH("KIK-001",tblKurallar[kural_id],0))-($C712+$D712+$E712+$F712)),kik_yuvarMax),0))</f>
        <v/>
      </c>
      <c r="I712" s="37">
        <f>IF($A712="","",IFERROR(MAX(0,$H712-$G712*kik_sifirCarpan),0))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IF($A713="","",IFERROR(ROUND(MAX(0,$B713*INDEX(tblKurallar[deger_2025],MATCH("KIK-001",tblKurallar[kural_id],0))-($C713+$D713+$E713+$F713)),kik_yuvarMax),0))</f>
        <v/>
      </c>
      <c r="I713" s="37">
        <f>IF($A713="","",IFERROR(MAX(0,$H713-$G713*kik_sifirCarpan),0))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IF($A714="","",IFERROR(ROUND(MAX(0,$B714*INDEX(tblKurallar[deger_2025],MATCH("KIK-001",tblKurallar[kural_id],0))-($C714+$D714+$E714+$F714)),kik_yuvarMax),0))</f>
        <v/>
      </c>
      <c r="I714" s="37">
        <f>IF($A714="","",IFERROR(MAX(0,$H714-$G714*kik_sifirCarpan),0))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IF($A715="","",IFERROR(ROUND(MAX(0,$B715*INDEX(tblKurallar[deger_2025],MATCH("KIK-001",tblKurallar[kural_id],0))-($C715+$D715+$E715+$F715)),kik_yuvarMax),0))</f>
        <v/>
      </c>
      <c r="I715" s="37">
        <f>IF($A715="","",IFERROR(MAX(0,$H715-$G715*kik_sifirCarpan),0))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IF($A716="","",IFERROR(ROUND(MAX(0,$B716*INDEX(tblKurallar[deger_2025],MATCH("KIK-001",tblKurallar[kural_id],0))-($C716+$D716+$E716+$F716)),kik_yuvarMax),0))</f>
        <v/>
      </c>
      <c r="I716" s="37">
        <f>IF($A716="","",IFERROR(MAX(0,$H716-$G716*kik_sifirCarpan),0))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IF($A717="","",IFERROR(ROUND(MAX(0,$B717*INDEX(tblKurallar[deger_2025],MATCH("KIK-001",tblKurallar[kural_id],0))-($C717+$D717+$E717+$F717)),kik_yuvarMax),0))</f>
        <v/>
      </c>
      <c r="I717" s="37">
        <f>IF($A717="","",IFERROR(MAX(0,$H717-$G717*kik_sifirCarpan),0))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IF($A718="","",IFERROR(ROUND(MAX(0,$B718*INDEX(tblKurallar[deger_2025],MATCH("KIK-001",tblKurallar[kural_id],0))-($C718+$D718+$E718+$F718)),kik_yuvarMax),0))</f>
        <v/>
      </c>
      <c r="I718" s="37">
        <f>IF($A718="","",IFERROR(MAX(0,$H718-$G718*kik_sifirCarpan),0))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IF($A719="","",IFERROR(ROUND(MAX(0,$B719*INDEX(tblKurallar[deger_2025],MATCH("KIK-001",tblKurallar[kural_id],0))-($C719+$D719+$E719+$F719)),kik_yuvarMax),0))</f>
        <v/>
      </c>
      <c r="I719" s="37">
        <f>IF($A719="","",IFERROR(MAX(0,$H719-$G719*kik_sifirCarpan),0))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IF($A720="","",IFERROR(ROUND(MAX(0,$B720*INDEX(tblKurallar[deger_2025],MATCH("KIK-001",tblKurallar[kural_id],0))-($C720+$D720+$E720+$F720)),kik_yuvarMax),0))</f>
        <v/>
      </c>
      <c r="I720" s="37">
        <f>IF($A720="","",IFERROR(MAX(0,$H720-$G720*kik_sifirCarpan),0))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IF($A721="","",IFERROR(ROUND(MAX(0,$B721*INDEX(tblKurallar[deger_2025],MATCH("KIK-001",tblKurallar[kural_id],0))-($C721+$D721+$E721+$F721)),kik_yuvarMax),0))</f>
        <v/>
      </c>
      <c r="I721" s="37">
        <f>IF($A721="","",IFERROR(MAX(0,$H721-$G721*kik_sifirCarpan),0))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IF($A722="","",IFERROR(ROUND(MAX(0,$B722*INDEX(tblKurallar[deger_2025],MATCH("KIK-001",tblKurallar[kural_id],0))-($C722+$D722+$E722+$F722)),kik_yuvarMax),0))</f>
        <v/>
      </c>
      <c r="I722" s="37">
        <f>IF($A722="","",IFERROR(MAX(0,$H722-$G722*kik_sifirCarpan),0))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IF($A723="","",IFERROR(ROUND(MAX(0,$B723*INDEX(tblKurallar[deger_2025],MATCH("KIK-001",tblKurallar[kural_id],0))-($C723+$D723+$E723+$F723)),kik_yuvarMax),0))</f>
        <v/>
      </c>
      <c r="I723" s="37">
        <f>IF($A723="","",IFERROR(MAX(0,$H723-$G723*kik_sifirCarpan),0))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IF($A724="","",IFERROR(ROUND(MAX(0,$B724*INDEX(tblKurallar[deger_2025],MATCH("KIK-001",tblKurallar[kural_id],0))-($C724+$D724+$E724+$F724)),kik_yuvarMax),0))</f>
        <v/>
      </c>
      <c r="I724" s="37">
        <f>IF($A724="","",IFERROR(MAX(0,$H724-$G724*kik_sifirCarpan),0))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IF($A725="","",IFERROR(ROUND(MAX(0,$B725*INDEX(tblKurallar[deger_2025],MATCH("KIK-001",tblKurallar[kural_id],0))-($C725+$D725+$E725+$F725)),kik_yuvarMax),0))</f>
        <v/>
      </c>
      <c r="I725" s="37">
        <f>IF($A725="","",IFERROR(MAX(0,$H725-$G725*kik_sifirCarpan),0))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IF($A726="","",IFERROR(ROUND(MAX(0,$B726*INDEX(tblKurallar[deger_2025],MATCH("KIK-001",tblKurallar[kural_id],0))-($C726+$D726+$E726+$F726)),kik_yuvarMax),0))</f>
        <v/>
      </c>
      <c r="I726" s="37">
        <f>IF($A726="","",IFERROR(MAX(0,$H726-$G726*kik_sifirCarpan),0))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IF($A727="","",IFERROR(ROUND(MAX(0,$B727*INDEX(tblKurallar[deger_2025],MATCH("KIK-001",tblKurallar[kural_id],0))-($C727+$D727+$E727+$F727)),kik_yuvarMax),0))</f>
        <v/>
      </c>
      <c r="I727" s="37">
        <f>IF($A727="","",IFERROR(MAX(0,$H727-$G727*kik_sifirCarpan),0))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IF($A728="","",IFERROR(ROUND(MAX(0,$B728*INDEX(tblKurallar[deger_2025],MATCH("KIK-001",tblKurallar[kural_id],0))-($C728+$D728+$E728+$F728)),kik_yuvarMax),0))</f>
        <v/>
      </c>
      <c r="I728" s="37">
        <f>IF($A728="","",IFERROR(MAX(0,$H728-$G728*kik_sifirCarpan),0))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IF($A729="","",IFERROR(ROUND(MAX(0,$B729*INDEX(tblKurallar[deger_2025],MATCH("KIK-001",tblKurallar[kural_id],0))-($C729+$D729+$E729+$F729)),kik_yuvarMax),0))</f>
        <v/>
      </c>
      <c r="I729" s="37">
        <f>IF($A729="","",IFERROR(MAX(0,$H729-$G729*kik_sifirCarpan),0))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IF($A730="","",IFERROR(ROUND(MAX(0,$B730*INDEX(tblKurallar[deger_2025],MATCH("KIK-001",tblKurallar[kural_id],0))-($C730+$D730+$E730+$F730)),kik_yuvarMax),0))</f>
        <v/>
      </c>
      <c r="I730" s="37">
        <f>IF($A730="","",IFERROR(MAX(0,$H730-$G730*kik_sifirCarpan),0))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IF($A731="","",IFERROR(ROUND(MAX(0,$B731*INDEX(tblKurallar[deger_2025],MATCH("KIK-001",tblKurallar[kural_id],0))-($C731+$D731+$E731+$F731)),kik_yuvarMax),0))</f>
        <v/>
      </c>
      <c r="I731" s="37">
        <f>IF($A731="","",IFERROR(MAX(0,$H731-$G731*kik_sifirCarpan),0))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IF($A732="","",IFERROR(ROUND(MAX(0,$B732*INDEX(tblKurallar[deger_2025],MATCH("KIK-001",tblKurallar[kural_id],0))-($C732+$D732+$E732+$F732)),kik_yuvarMax),0))</f>
        <v/>
      </c>
      <c r="I732" s="37">
        <f>IF($A732="","",IFERROR(MAX(0,$H732-$G732*kik_sifirCarpan),0))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IF($A733="","",IFERROR(ROUND(MAX(0,$B733*INDEX(tblKurallar[deger_2025],MATCH("KIK-001",tblKurallar[kural_id],0))-($C733+$D733+$E733+$F733)),kik_yuvarMax),0))</f>
        <v/>
      </c>
      <c r="I733" s="37">
        <f>IF($A733="","",IFERROR(MAX(0,$H733-$G733*kik_sifirCarpan),0))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IF($A734="","",IFERROR(ROUND(MAX(0,$B734*INDEX(tblKurallar[deger_2025],MATCH("KIK-001",tblKurallar[kural_id],0))-($C734+$D734+$E734+$F734)),kik_yuvarMax),0))</f>
        <v/>
      </c>
      <c r="I734" s="37">
        <f>IF($A734="","",IFERROR(MAX(0,$H734-$G734*kik_sifirCarpan),0))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IF($A735="","",IFERROR(ROUND(MAX(0,$B735*INDEX(tblKurallar[deger_2025],MATCH("KIK-001",tblKurallar[kural_id],0))-($C735+$D735+$E735+$F735)),kik_yuvarMax),0))</f>
        <v/>
      </c>
      <c r="I735" s="37">
        <f>IF($A735="","",IFERROR(MAX(0,$H735-$G735*kik_sifirCarpan),0))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IF($A736="","",IFERROR(ROUND(MAX(0,$B736*INDEX(tblKurallar[deger_2025],MATCH("KIK-001",tblKurallar[kural_id],0))-($C736+$D736+$E736+$F736)),kik_yuvarMax),0))</f>
        <v/>
      </c>
      <c r="I736" s="37">
        <f>IF($A736="","",IFERROR(MAX(0,$H736-$G736*kik_sifirCarpan),0))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IF($A737="","",IFERROR(ROUND(MAX(0,$B737*INDEX(tblKurallar[deger_2025],MATCH("KIK-001",tblKurallar[kural_id],0))-($C737+$D737+$E737+$F737)),kik_yuvarMax),0))</f>
        <v/>
      </c>
      <c r="I737" s="37">
        <f>IF($A737="","",IFERROR(MAX(0,$H737-$G737*kik_sifirCarpan),0))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IF($A738="","",IFERROR(ROUND(MAX(0,$B738*INDEX(tblKurallar[deger_2025],MATCH("KIK-001",tblKurallar[kural_id],0))-($C738+$D738+$E738+$F738)),kik_yuvarMax),0))</f>
        <v/>
      </c>
      <c r="I738" s="37">
        <f>IF($A738="","",IFERROR(MAX(0,$H738-$G738*kik_sifirCarpan),0))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IF($A739="","",IFERROR(ROUND(MAX(0,$B739*INDEX(tblKurallar[deger_2025],MATCH("KIK-001",tblKurallar[kural_id],0))-($C739+$D739+$E739+$F739)),kik_yuvarMax),0))</f>
        <v/>
      </c>
      <c r="I739" s="37">
        <f>IF($A739="","",IFERROR(MAX(0,$H739-$G739*kik_sifirCarpan),0))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IF($A740="","",IFERROR(ROUND(MAX(0,$B740*INDEX(tblKurallar[deger_2025],MATCH("KIK-001",tblKurallar[kural_id],0))-($C740+$D740+$E740+$F740)),kik_yuvarMax),0))</f>
        <v/>
      </c>
      <c r="I740" s="37">
        <f>IF($A740="","",IFERROR(MAX(0,$H740-$G740*kik_sifirCarpan),0))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IF($A741="","",IFERROR(ROUND(MAX(0,$B741*INDEX(tblKurallar[deger_2025],MATCH("KIK-001",tblKurallar[kural_id],0))-($C741+$D741+$E741+$F741)),kik_yuvarMax),0))</f>
        <v/>
      </c>
      <c r="I741" s="37">
        <f>IF($A741="","",IFERROR(MAX(0,$H741-$G741*kik_sifirCarpan),0))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IF($A742="","",IFERROR(ROUND(MAX(0,$B742*INDEX(tblKurallar[deger_2025],MATCH("KIK-001",tblKurallar[kural_id],0))-($C742+$D742+$E742+$F742)),kik_yuvarMax),0))</f>
        <v/>
      </c>
      <c r="I742" s="37">
        <f>IF($A742="","",IFERROR(MAX(0,$H742-$G742*kik_sifirCarpan),0))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IF($A743="","",IFERROR(ROUND(MAX(0,$B743*INDEX(tblKurallar[deger_2025],MATCH("KIK-001",tblKurallar[kural_id],0))-($C743+$D743+$E743+$F743)),kik_yuvarMax),0))</f>
        <v/>
      </c>
      <c r="I743" s="37">
        <f>IF($A743="","",IFERROR(MAX(0,$H743-$G743*kik_sifirCarpan),0))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IF($A744="","",IFERROR(ROUND(MAX(0,$B744*INDEX(tblKurallar[deger_2025],MATCH("KIK-001",tblKurallar[kural_id],0))-($C744+$D744+$E744+$F744)),kik_yuvarMax),0))</f>
        <v/>
      </c>
      <c r="I744" s="37">
        <f>IF($A744="","",IFERROR(MAX(0,$H744-$G744*kik_sifirCarpan),0))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IF($A745="","",IFERROR(ROUND(MAX(0,$B745*INDEX(tblKurallar[deger_2025],MATCH("KIK-001",tblKurallar[kural_id],0))-($C745+$D745+$E745+$F745)),kik_yuvarMax),0))</f>
        <v/>
      </c>
      <c r="I745" s="37">
        <f>IF($A745="","",IFERROR(MAX(0,$H745-$G745*kik_sifirCarpan),0))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IF($A746="","",IFERROR(ROUND(MAX(0,$B746*INDEX(tblKurallar[deger_2025],MATCH("KIK-001",tblKurallar[kural_id],0))-($C746+$D746+$E746+$F746)),kik_yuvarMax),0))</f>
        <v/>
      </c>
      <c r="I746" s="37">
        <f>IF($A746="","",IFERROR(MAX(0,$H746-$G746*kik_sifirCarpan),0))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IF($A747="","",IFERROR(ROUND(MAX(0,$B747*INDEX(tblKurallar[deger_2025],MATCH("KIK-001",tblKurallar[kural_id],0))-($C747+$D747+$E747+$F747)),kik_yuvarMax),0))</f>
        <v/>
      </c>
      <c r="I747" s="37">
        <f>IF($A747="","",IFERROR(MAX(0,$H747-$G747*kik_sifirCarpan),0))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IF($A748="","",IFERROR(ROUND(MAX(0,$B748*INDEX(tblKurallar[deger_2025],MATCH("KIK-001",tblKurallar[kural_id],0))-($C748+$D748+$E748+$F748)),kik_yuvarMax),0))</f>
        <v/>
      </c>
      <c r="I748" s="37">
        <f>IF($A748="","",IFERROR(MAX(0,$H748-$G748*kik_sifirCarpan),0))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IF($A749="","",IFERROR(ROUND(MAX(0,$B749*INDEX(tblKurallar[deger_2025],MATCH("KIK-001",tblKurallar[kural_id],0))-($C749+$D749+$E749+$F749)),kik_yuvarMax),0))</f>
        <v/>
      </c>
      <c r="I749" s="37">
        <f>IF($A749="","",IFERROR(MAX(0,$H749-$G749*kik_sifirCarpan),0))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IF($A750="","",IFERROR(ROUND(MAX(0,$B750*INDEX(tblKurallar[deger_2025],MATCH("KIK-001",tblKurallar[kural_id],0))-($C750+$D750+$E750+$F750)),kik_yuvarMax),0))</f>
        <v/>
      </c>
      <c r="I750" s="37">
        <f>IF($A750="","",IFERROR(MAX(0,$H750-$G750*kik_sifirCarpan),0))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IF($A751="","",IFERROR(ROUND(MAX(0,$B751*INDEX(tblKurallar[deger_2025],MATCH("KIK-001",tblKurallar[kural_id],0))-($C751+$D751+$E751+$F751)),kik_yuvarMax),0))</f>
        <v/>
      </c>
      <c r="I751" s="37">
        <f>IF($A751="","",IFERROR(MAX(0,$H751-$G751*kik_sifirCarpan),0))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IF($A752="","",IFERROR(ROUND(MAX(0,$B752*INDEX(tblKurallar[deger_2025],MATCH("KIK-001",tblKurallar[kural_id],0))-($C752+$D752+$E752+$F752)),kik_yuvarMax),0))</f>
        <v/>
      </c>
      <c r="I752" s="37">
        <f>IF($A752="","",IFERROR(MAX(0,$H752-$G752*kik_sifirCarpan),0))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IF($A753="","",IFERROR(ROUND(MAX(0,$B753*INDEX(tblKurallar[deger_2025],MATCH("KIK-001",tblKurallar[kural_id],0))-($C753+$D753+$E753+$F753)),kik_yuvarMax),0))</f>
        <v/>
      </c>
      <c r="I753" s="37">
        <f>IF($A753="","",IFERROR(MAX(0,$H753-$G753*kik_sifirCarpan),0))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IF($A754="","",IFERROR(ROUND(MAX(0,$B754*INDEX(tblKurallar[deger_2025],MATCH("KIK-001",tblKurallar[kural_id],0))-($C754+$D754+$E754+$F754)),kik_yuvarMax),0))</f>
        <v/>
      </c>
      <c r="I754" s="37">
        <f>IF($A754="","",IFERROR(MAX(0,$H754-$G754*kik_sifirCarpan),0))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IF($A755="","",IFERROR(ROUND(MAX(0,$B755*INDEX(tblKurallar[deger_2025],MATCH("KIK-001",tblKurallar[kural_id],0))-($C755+$D755+$E755+$F755)),kik_yuvarMax),0))</f>
        <v/>
      </c>
      <c r="I755" s="37">
        <f>IF($A755="","",IFERROR(MAX(0,$H755-$G755*kik_sifirCarpan),0))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IF($A756="","",IFERROR(ROUND(MAX(0,$B756*INDEX(tblKurallar[deger_2025],MATCH("KIK-001",tblKurallar[kural_id],0))-($C756+$D756+$E756+$F756)),kik_yuvarMax),0))</f>
        <v/>
      </c>
      <c r="I756" s="37">
        <f>IF($A756="","",IFERROR(MAX(0,$H756-$G756*kik_sifirCarpan),0))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IF($A757="","",IFERROR(ROUND(MAX(0,$B757*INDEX(tblKurallar[deger_2025],MATCH("KIK-001",tblKurallar[kural_id],0))-($C757+$D757+$E757+$F757)),kik_yuvarMax),0))</f>
        <v/>
      </c>
      <c r="I757" s="37">
        <f>IF($A757="","",IFERROR(MAX(0,$H757-$G757*kik_sifirCarpan),0))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IF($A758="","",IFERROR(ROUND(MAX(0,$B758*INDEX(tblKurallar[deger_2025],MATCH("KIK-001",tblKurallar[kural_id],0))-($C758+$D758+$E758+$F758)),kik_yuvarMax),0))</f>
        <v/>
      </c>
      <c r="I758" s="37">
        <f>IF($A758="","",IFERROR(MAX(0,$H758-$G758*kik_sifirCarpan),0))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IF($A759="","",IFERROR(ROUND(MAX(0,$B759*INDEX(tblKurallar[deger_2025],MATCH("KIK-001",tblKurallar[kural_id],0))-($C759+$D759+$E759+$F759)),kik_yuvarMax),0))</f>
        <v/>
      </c>
      <c r="I759" s="37">
        <f>IF($A759="","",IFERROR(MAX(0,$H759-$G759*kik_sifirCarpan),0))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IF($A760="","",IFERROR(ROUND(MAX(0,$B760*INDEX(tblKurallar[deger_2025],MATCH("KIK-001",tblKurallar[kural_id],0))-($C760+$D760+$E760+$F760)),kik_yuvarMax),0))</f>
        <v/>
      </c>
      <c r="I760" s="37">
        <f>IF($A760="","",IFERROR(MAX(0,$H760-$G760*kik_sifirCarpan),0))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IF($A761="","",IFERROR(ROUND(MAX(0,$B761*INDEX(tblKurallar[deger_2025],MATCH("KIK-001",tblKurallar[kural_id],0))-($C761+$D761+$E761+$F761)),kik_yuvarMax),0))</f>
        <v/>
      </c>
      <c r="I761" s="37">
        <f>IF($A761="","",IFERROR(MAX(0,$H761-$G761*kik_sifirCarpan),0))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IF($A762="","",IFERROR(ROUND(MAX(0,$B762*INDEX(tblKurallar[deger_2025],MATCH("KIK-001",tblKurallar[kural_id],0))-($C762+$D762+$E762+$F762)),kik_yuvarMax),0))</f>
        <v/>
      </c>
      <c r="I762" s="37">
        <f>IF($A762="","",IFERROR(MAX(0,$H762-$G762*kik_sifirCarpan),0))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IF($A763="","",IFERROR(ROUND(MAX(0,$B763*INDEX(tblKurallar[deger_2025],MATCH("KIK-001",tblKurallar[kural_id],0))-($C763+$D763+$E763+$F763)),kik_yuvarMax),0))</f>
        <v/>
      </c>
      <c r="I763" s="37">
        <f>IF($A763="","",IFERROR(MAX(0,$H763-$G763*kik_sifirCarpan),0))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IF($A764="","",IFERROR(ROUND(MAX(0,$B764*INDEX(tblKurallar[deger_2025],MATCH("KIK-001",tblKurallar[kural_id],0))-($C764+$D764+$E764+$F764)),kik_yuvarMax),0))</f>
        <v/>
      </c>
      <c r="I764" s="37">
        <f>IF($A764="","",IFERROR(MAX(0,$H764-$G764*kik_sifirCarpan),0))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IF($A765="","",IFERROR(ROUND(MAX(0,$B765*INDEX(tblKurallar[deger_2025],MATCH("KIK-001",tblKurallar[kural_id],0))-($C765+$D765+$E765+$F765)),kik_yuvarMax),0))</f>
        <v/>
      </c>
      <c r="I765" s="37">
        <f>IF($A765="","",IFERROR(MAX(0,$H765-$G765*kik_sifirCarpan),0))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IF($A766="","",IFERROR(ROUND(MAX(0,$B766*INDEX(tblKurallar[deger_2025],MATCH("KIK-001",tblKurallar[kural_id],0))-($C766+$D766+$E766+$F766)),kik_yuvarMax),0))</f>
        <v/>
      </c>
      <c r="I766" s="37">
        <f>IF($A766="","",IFERROR(MAX(0,$H766-$G766*kik_sifirCarpan),0))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IF($A767="","",IFERROR(ROUND(MAX(0,$B767*INDEX(tblKurallar[deger_2025],MATCH("KIK-001",tblKurallar[kural_id],0))-($C767+$D767+$E767+$F767)),kik_yuvarMax),0))</f>
        <v/>
      </c>
      <c r="I767" s="37">
        <f>IF($A767="","",IFERROR(MAX(0,$H767-$G767*kik_sifirCarpan),0))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IF($A768="","",IFERROR(ROUND(MAX(0,$B768*INDEX(tblKurallar[deger_2025],MATCH("KIK-001",tblKurallar[kural_id],0))-($C768+$D768+$E768+$F768)),kik_yuvarMax),0))</f>
        <v/>
      </c>
      <c r="I768" s="37">
        <f>IF($A768="","",IFERROR(MAX(0,$H768-$G768*kik_sifirCarpan),0))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IF($A769="","",IFERROR(ROUND(MAX(0,$B769*INDEX(tblKurallar[deger_2025],MATCH("KIK-001",tblKurallar[kural_id],0))-($C769+$D769+$E769+$F769)),kik_yuvarMax),0))</f>
        <v/>
      </c>
      <c r="I769" s="37">
        <f>IF($A769="","",IFERROR(MAX(0,$H769-$G769*kik_sifirCarpan),0))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IF($A770="","",IFERROR(ROUND(MAX(0,$B770*INDEX(tblKurallar[deger_2025],MATCH("KIK-001",tblKurallar[kural_id],0))-($C770+$D770+$E770+$F770)),kik_yuvarMax),0))</f>
        <v/>
      </c>
      <c r="I770" s="37">
        <f>IF($A770="","",IFERROR(MAX(0,$H770-$G770*kik_sifirCarpan),0))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IF($A771="","",IFERROR(ROUND(MAX(0,$B771*INDEX(tblKurallar[deger_2025],MATCH("KIK-001",tblKurallar[kural_id],0))-($C771+$D771+$E771+$F771)),kik_yuvarMax),0))</f>
        <v/>
      </c>
      <c r="I771" s="37">
        <f>IF($A771="","",IFERROR(MAX(0,$H771-$G771*kik_sifirCarpan),0))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IF($A772="","",IFERROR(ROUND(MAX(0,$B772*INDEX(tblKurallar[deger_2025],MATCH("KIK-001",tblKurallar[kural_id],0))-($C772+$D772+$E772+$F772)),kik_yuvarMax),0))</f>
        <v/>
      </c>
      <c r="I772" s="37">
        <f>IF($A772="","",IFERROR(MAX(0,$H772-$G772*kik_sifirCarpan),0))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IF($A773="","",IFERROR(ROUND(MAX(0,$B773*INDEX(tblKurallar[deger_2025],MATCH("KIK-001",tblKurallar[kural_id],0))-($C773+$D773+$E773+$F773)),kik_yuvarMax),0))</f>
        <v/>
      </c>
      <c r="I773" s="37">
        <f>IF($A773="","",IFERROR(MAX(0,$H773-$G773*kik_sifirCarpan),0))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IF($A774="","",IFERROR(ROUND(MAX(0,$B774*INDEX(tblKurallar[deger_2025],MATCH("KIK-001",tblKurallar[kural_id],0))-($C774+$D774+$E774+$F774)),kik_yuvarMax),0))</f>
        <v/>
      </c>
      <c r="I774" s="37">
        <f>IF($A774="","",IFERROR(MAX(0,$H774-$G774*kik_sifirCarpan),0))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IF($A775="","",IFERROR(ROUND(MAX(0,$B775*INDEX(tblKurallar[deger_2025],MATCH("KIK-001",tblKurallar[kural_id],0))-($C775+$D775+$E775+$F775)),kik_yuvarMax),0))</f>
        <v/>
      </c>
      <c r="I775" s="37">
        <f>IF($A775="","",IFERROR(MAX(0,$H775-$G775*kik_sifirCarpan),0))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IF($A776="","",IFERROR(ROUND(MAX(0,$B776*INDEX(tblKurallar[deger_2025],MATCH("KIK-001",tblKurallar[kural_id],0))-($C776+$D776+$E776+$F776)),kik_yuvarMax),0))</f>
        <v/>
      </c>
      <c r="I776" s="37">
        <f>IF($A776="","",IFERROR(MAX(0,$H776-$G776*kik_sifirCarpan),0))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IF($A777="","",IFERROR(ROUND(MAX(0,$B777*INDEX(tblKurallar[deger_2025],MATCH("KIK-001",tblKurallar[kural_id],0))-($C777+$D777+$E777+$F777)),kik_yuvarMax),0))</f>
        <v/>
      </c>
      <c r="I777" s="37">
        <f>IF($A777="","",IFERROR(MAX(0,$H777-$G777*kik_sifirCarpan),0))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IF($A778="","",IFERROR(ROUND(MAX(0,$B778*INDEX(tblKurallar[deger_2025],MATCH("KIK-001",tblKurallar[kural_id],0))-($C778+$D778+$E778+$F778)),kik_yuvarMax),0))</f>
        <v/>
      </c>
      <c r="I778" s="37">
        <f>IF($A778="","",IFERROR(MAX(0,$H778-$G778*kik_sifirCarpan),0))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IF($A779="","",IFERROR(ROUND(MAX(0,$B779*INDEX(tblKurallar[deger_2025],MATCH("KIK-001",tblKurallar[kural_id],0))-($C779+$D779+$E779+$F779)),kik_yuvarMax),0))</f>
        <v/>
      </c>
      <c r="I779" s="37">
        <f>IF($A779="","",IFERROR(MAX(0,$H779-$G779*kik_sifirCarpan),0))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IF($A780="","",IFERROR(ROUND(MAX(0,$B780*INDEX(tblKurallar[deger_2025],MATCH("KIK-001",tblKurallar[kural_id],0))-($C780+$D780+$E780+$F780)),kik_yuvarMax),0))</f>
        <v/>
      </c>
      <c r="I780" s="37">
        <f>IF($A780="","",IFERROR(MAX(0,$H780-$G780*kik_sifirCarpan),0))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IF($A781="","",IFERROR(ROUND(MAX(0,$B781*INDEX(tblKurallar[deger_2025],MATCH("KIK-001",tblKurallar[kural_id],0))-($C781+$D781+$E781+$F781)),kik_yuvarMax),0))</f>
        <v/>
      </c>
      <c r="I781" s="37">
        <f>IF($A781="","",IFERROR(MAX(0,$H781-$G781*kik_sifirCarpan),0))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IF($A782="","",IFERROR(ROUND(MAX(0,$B782*INDEX(tblKurallar[deger_2025],MATCH("KIK-001",tblKurallar[kural_id],0))-($C782+$D782+$E782+$F782)),kik_yuvarMax),0))</f>
        <v/>
      </c>
      <c r="I782" s="37">
        <f>IF($A782="","",IFERROR(MAX(0,$H782-$G782*kik_sifirCarpan),0))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IF($A783="","",IFERROR(ROUND(MAX(0,$B783*INDEX(tblKurallar[deger_2025],MATCH("KIK-001",tblKurallar[kural_id],0))-($C783+$D783+$E783+$F783)),kik_yuvarMax),0))</f>
        <v/>
      </c>
      <c r="I783" s="37">
        <f>IF($A783="","",IFERROR(MAX(0,$H783-$G783*kik_sifirCarpan),0))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IF($A784="","",IFERROR(ROUND(MAX(0,$B784*INDEX(tblKurallar[deger_2025],MATCH("KIK-001",tblKurallar[kural_id],0))-($C784+$D784+$E784+$F784)),kik_yuvarMax),0))</f>
        <v/>
      </c>
      <c r="I784" s="37">
        <f>IF($A784="","",IFERROR(MAX(0,$H784-$G784*kik_sifirCarpan),0))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IF($A785="","",IFERROR(ROUND(MAX(0,$B785*INDEX(tblKurallar[deger_2025],MATCH("KIK-001",tblKurallar[kural_id],0))-($C785+$D785+$E785+$F785)),kik_yuvarMax),0))</f>
        <v/>
      </c>
      <c r="I785" s="37">
        <f>IF($A785="","",IFERROR(MAX(0,$H785-$G785*kik_sifirCarpan),0))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IF($A786="","",IFERROR(ROUND(MAX(0,$B786*INDEX(tblKurallar[deger_2025],MATCH("KIK-001",tblKurallar[kural_id],0))-($C786+$D786+$E786+$F786)),kik_yuvarMax),0))</f>
        <v/>
      </c>
      <c r="I786" s="37">
        <f>IF($A786="","",IFERROR(MAX(0,$H786-$G786*kik_sifirCarpan),0))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IF($A787="","",IFERROR(ROUND(MAX(0,$B787*INDEX(tblKurallar[deger_2025],MATCH("KIK-001",tblKurallar[kural_id],0))-($C787+$D787+$E787+$F787)),kik_yuvarMax),0))</f>
        <v/>
      </c>
      <c r="I787" s="37">
        <f>IF($A787="","",IFERROR(MAX(0,$H787-$G787*kik_sifirCarpan),0))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IF($A788="","",IFERROR(ROUND(MAX(0,$B788*INDEX(tblKurallar[deger_2025],MATCH("KIK-001",tblKurallar[kural_id],0))-($C788+$D788+$E788+$F788)),kik_yuvarMax),0))</f>
        <v/>
      </c>
      <c r="I788" s="37">
        <f>IF($A788="","",IFERROR(MAX(0,$H788-$G788*kik_sifirCarpan),0))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IF($A789="","",IFERROR(ROUND(MAX(0,$B789*INDEX(tblKurallar[deger_2025],MATCH("KIK-001",tblKurallar[kural_id],0))-($C789+$D789+$E789+$F789)),kik_yuvarMax),0))</f>
        <v/>
      </c>
      <c r="I789" s="37">
        <f>IF($A789="","",IFERROR(MAX(0,$H789-$G789*kik_sifirCarpan),0))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IF($A790="","",IFERROR(ROUND(MAX(0,$B790*INDEX(tblKurallar[deger_2025],MATCH("KIK-001",tblKurallar[kural_id],0))-($C790+$D790+$E790+$F790)),kik_yuvarMax),0))</f>
        <v/>
      </c>
      <c r="I790" s="37">
        <f>IF($A790="","",IFERROR(MAX(0,$H790-$G790*kik_sifirCarpan),0))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IF($A791="","",IFERROR(ROUND(MAX(0,$B791*INDEX(tblKurallar[deger_2025],MATCH("KIK-001",tblKurallar[kural_id],0))-($C791+$D791+$E791+$F791)),kik_yuvarMax),0))</f>
        <v/>
      </c>
      <c r="I791" s="37">
        <f>IF($A791="","",IFERROR(MAX(0,$H791-$G791*kik_sifirCarpan),0))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IF($A792="","",IFERROR(ROUND(MAX(0,$B792*INDEX(tblKurallar[deger_2025],MATCH("KIK-001",tblKurallar[kural_id],0))-($C792+$D792+$E792+$F792)),kik_yuvarMax),0))</f>
        <v/>
      </c>
      <c r="I792" s="37">
        <f>IF($A792="","",IFERROR(MAX(0,$H792-$G792*kik_sifirCarpan),0))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IF($A793="","",IFERROR(ROUND(MAX(0,$B793*INDEX(tblKurallar[deger_2025],MATCH("KIK-001",tblKurallar[kural_id],0))-($C793+$D793+$E793+$F793)),kik_yuvarMax),0))</f>
        <v/>
      </c>
      <c r="I793" s="37">
        <f>IF($A793="","",IFERROR(MAX(0,$H793-$G793*kik_sifirCarpan),0))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IF($A794="","",IFERROR(ROUND(MAX(0,$B794*INDEX(tblKurallar[deger_2025],MATCH("KIK-001",tblKurallar[kural_id],0))-($C794+$D794+$E794+$F794)),kik_yuvarMax),0))</f>
        <v/>
      </c>
      <c r="I794" s="37">
        <f>IF($A794="","",IFERROR(MAX(0,$H794-$G794*kik_sifirCarpan),0))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IF($A795="","",IFERROR(ROUND(MAX(0,$B795*INDEX(tblKurallar[deger_2025],MATCH("KIK-001",tblKurallar[kural_id],0))-($C795+$D795+$E795+$F795)),kik_yuvarMax),0))</f>
        <v/>
      </c>
      <c r="I795" s="37">
        <f>IF($A795="","",IFERROR(MAX(0,$H795-$G795*kik_sifirCarpan),0))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IF($A796="","",IFERROR(ROUND(MAX(0,$B796*INDEX(tblKurallar[deger_2025],MATCH("KIK-001",tblKurallar[kural_id],0))-($C796+$D796+$E796+$F796)),kik_yuvarMax),0))</f>
        <v/>
      </c>
      <c r="I796" s="37">
        <f>IF($A796="","",IFERROR(MAX(0,$H796-$G796*kik_sifirCarpan),0))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IF($A797="","",IFERROR(ROUND(MAX(0,$B797*INDEX(tblKurallar[deger_2025],MATCH("KIK-001",tblKurallar[kural_id],0))-($C797+$D797+$E797+$F797)),kik_yuvarMax),0))</f>
        <v/>
      </c>
      <c r="I797" s="37">
        <f>IF($A797="","",IFERROR(MAX(0,$H797-$G797*kik_sifirCarpan),0))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IF($A798="","",IFERROR(ROUND(MAX(0,$B798*INDEX(tblKurallar[deger_2025],MATCH("KIK-001",tblKurallar[kural_id],0))-($C798+$D798+$E798+$F798)),kik_yuvarMax),0))</f>
        <v/>
      </c>
      <c r="I798" s="37">
        <f>IF($A798="","",IFERROR(MAX(0,$H798-$G798*kik_sifirCarpan),0))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IF($A799="","",IFERROR(ROUND(MAX(0,$B799*INDEX(tblKurallar[deger_2025],MATCH("KIK-001",tblKurallar[kural_id],0))-($C799+$D799+$E799+$F799)),kik_yuvarMax),0))</f>
        <v/>
      </c>
      <c r="I799" s="37">
        <f>IF($A799="","",IFERROR(MAX(0,$H799-$G799*kik_sifirCarpan),0))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IF($A800="","",IFERROR(ROUND(MAX(0,$B800*INDEX(tblKurallar[deger_2025],MATCH("KIK-001",tblKurallar[kural_id],0))-($C800+$D800+$E800+$F800)),kik_yuvarMax),0))</f>
        <v/>
      </c>
      <c r="I800" s="37">
        <f>IF($A800="","",IFERROR(MAX(0,$H800-$G800*kik_sifirCarpan),0))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IF($A801="","",IFERROR(ROUND(MAX(0,$B801*INDEX(tblKurallar[deger_2025],MATCH("KIK-001",tblKurallar[kural_id],0))-($C801+$D801+$E801+$F801)),kik_yuvarMax),0))</f>
        <v/>
      </c>
      <c r="I801" s="37">
        <f>IF($A801="","",IFERROR(MAX(0,$H801-$G801*kik_sifirCarpan),0))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IF($A802="","",IFERROR(ROUND(MAX(0,$B802*INDEX(tblKurallar[deger_2025],MATCH("KIK-001",tblKurallar[kural_id],0))-($C802+$D802+$E802+$F802)),kik_yuvarMax),0))</f>
        <v/>
      </c>
      <c r="I802" s="37">
        <f>IF($A802="","",IFERROR(MAX(0,$H802-$G802*kik_sifirCarpan),0))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IF($A803="","",IFERROR(ROUND(MAX(0,$B803*INDEX(tblKurallar[deger_2025],MATCH("KIK-001",tblKurallar[kural_id],0))-($C803+$D803+$E803+$F803)),kik_yuvarMax),0))</f>
        <v/>
      </c>
      <c r="I803" s="37">
        <f>IF($A803="","",IFERROR(MAX(0,$H803-$G803*kik_sifirCarpan),0))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IF($A804="","",IFERROR(ROUND(MAX(0,$B804*INDEX(tblKurallar[deger_2025],MATCH("KIK-001",tblKurallar[kural_id],0))-($C804+$D804+$E804+$F804)),kik_yuvarMax),0))</f>
        <v/>
      </c>
      <c r="I804" s="37">
        <f>IF($A804="","",IFERROR(MAX(0,$H804-$G804*kik_sifirCarpan),0))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IF($A805="","",IFERROR(ROUND(MAX(0,$B805*INDEX(tblKurallar[deger_2025],MATCH("KIK-001",tblKurallar[kural_id],0))-($C805+$D805+$E805+$F805)),kik_yuvarMax),0))</f>
        <v/>
      </c>
      <c r="I805" s="37">
        <f>IF($A805="","",IFERROR(MAX(0,$H805-$G805*kik_sifirCarpan),0))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IF($A806="","",IFERROR(ROUND(MAX(0,$B806*INDEX(tblKurallar[deger_2025],MATCH("KIK-001",tblKurallar[kural_id],0))-($C806+$D806+$E806+$F806)),kik_yuvarMax),0))</f>
        <v/>
      </c>
      <c r="I806" s="37">
        <f>IF($A806="","",IFERROR(MAX(0,$H806-$G806*kik_sifirCarpan),0))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IF($A807="","",IFERROR(ROUND(MAX(0,$B807*INDEX(tblKurallar[deger_2025],MATCH("KIK-001",tblKurallar[kural_id],0))-($C807+$D807+$E807+$F807)),kik_yuvarMax),0))</f>
        <v/>
      </c>
      <c r="I807" s="37">
        <f>IF($A807="","",IFERROR(MAX(0,$H807-$G807*kik_sifirCarpan),0))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IF($A808="","",IFERROR(ROUND(MAX(0,$B808*INDEX(tblKurallar[deger_2025],MATCH("KIK-001",tblKurallar[kural_id],0))-($C808+$D808+$E808+$F808)),kik_yuvarMax),0))</f>
        <v/>
      </c>
      <c r="I808" s="37">
        <f>IF($A808="","",IFERROR(MAX(0,$H808-$G808*kik_sifirCarpan),0))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IF($A809="","",IFERROR(ROUND(MAX(0,$B809*INDEX(tblKurallar[deger_2025],MATCH("KIK-001",tblKurallar[kural_id],0))-($C809+$D809+$E809+$F809)),kik_yuvarMax),0))</f>
        <v/>
      </c>
      <c r="I809" s="37">
        <f>IF($A809="","",IFERROR(MAX(0,$H809-$G809*kik_sifirCarpan),0))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IF($A810="","",IFERROR(ROUND(MAX(0,$B810*INDEX(tblKurallar[deger_2025],MATCH("KIK-001",tblKurallar[kural_id],0))-($C810+$D810+$E810+$F810)),kik_yuvarMax),0))</f>
        <v/>
      </c>
      <c r="I810" s="37">
        <f>IF($A810="","",IFERROR(MAX(0,$H810-$G810*kik_sifirCarpan),0))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IF($A811="","",IFERROR(ROUND(MAX(0,$B811*INDEX(tblKurallar[deger_2025],MATCH("KIK-001",tblKurallar[kural_id],0))-($C811+$D811+$E811+$F811)),kik_yuvarMax),0))</f>
        <v/>
      </c>
      <c r="I811" s="37">
        <f>IF($A811="","",IFERROR(MAX(0,$H811-$G811*kik_sifirCarpan),0))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IF($A812="","",IFERROR(ROUND(MAX(0,$B812*INDEX(tblKurallar[deger_2025],MATCH("KIK-001",tblKurallar[kural_id],0))-($C812+$D812+$E812+$F812)),kik_yuvarMax),0))</f>
        <v/>
      </c>
      <c r="I812" s="37">
        <f>IF($A812="","",IFERROR(MAX(0,$H812-$G812*kik_sifirCarpan),0))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IF($A813="","",IFERROR(ROUND(MAX(0,$B813*INDEX(tblKurallar[deger_2025],MATCH("KIK-001",tblKurallar[kural_id],0))-($C813+$D813+$E813+$F813)),kik_yuvarMax),0))</f>
        <v/>
      </c>
      <c r="I813" s="37">
        <f>IF($A813="","",IFERROR(MAX(0,$H813-$G813*kik_sifirCarpan),0))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IF($A814="","",IFERROR(ROUND(MAX(0,$B814*INDEX(tblKurallar[deger_2025],MATCH("KIK-001",tblKurallar[kural_id],0))-($C814+$D814+$E814+$F814)),kik_yuvarMax),0))</f>
        <v/>
      </c>
      <c r="I814" s="37">
        <f>IF($A814="","",IFERROR(MAX(0,$H814-$G814*kik_sifirCarpan),0))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IF($A815="","",IFERROR(ROUND(MAX(0,$B815*INDEX(tblKurallar[deger_2025],MATCH("KIK-001",tblKurallar[kural_id],0))-($C815+$D815+$E815+$F815)),kik_yuvarMax),0))</f>
        <v/>
      </c>
      <c r="I815" s="37">
        <f>IF($A815="","",IFERROR(MAX(0,$H815-$G815*kik_sifirCarpan),0))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IF($A816="","",IFERROR(ROUND(MAX(0,$B816*INDEX(tblKurallar[deger_2025],MATCH("KIK-001",tblKurallar[kural_id],0))-($C816+$D816+$E816+$F816)),kik_yuvarMax),0))</f>
        <v/>
      </c>
      <c r="I816" s="37">
        <f>IF($A816="","",IFERROR(MAX(0,$H816-$G816*kik_sifirCarpan),0))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IF($A817="","",IFERROR(ROUND(MAX(0,$B817*INDEX(tblKurallar[deger_2025],MATCH("KIK-001",tblKurallar[kural_id],0))-($C817+$D817+$E817+$F817)),kik_yuvarMax),0))</f>
        <v/>
      </c>
      <c r="I817" s="37">
        <f>IF($A817="","",IFERROR(MAX(0,$H817-$G817*kik_sifirCarpan),0))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IF($A818="","",IFERROR(ROUND(MAX(0,$B818*INDEX(tblKurallar[deger_2025],MATCH("KIK-001",tblKurallar[kural_id],0))-($C818+$D818+$E818+$F818)),kik_yuvarMax),0))</f>
        <v/>
      </c>
      <c r="I818" s="37">
        <f>IF($A818="","",IFERROR(MAX(0,$H818-$G818*kik_sifirCarpan),0))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IF($A819="","",IFERROR(ROUND(MAX(0,$B819*INDEX(tblKurallar[deger_2025],MATCH("KIK-001",tblKurallar[kural_id],0))-($C819+$D819+$E819+$F819)),kik_yuvarMax),0))</f>
        <v/>
      </c>
      <c r="I819" s="37">
        <f>IF($A819="","",IFERROR(MAX(0,$H819-$G819*kik_sifirCarpan),0))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IF($A820="","",IFERROR(ROUND(MAX(0,$B820*INDEX(tblKurallar[deger_2025],MATCH("KIK-001",tblKurallar[kural_id],0))-($C820+$D820+$E820+$F820)),kik_yuvarMax),0))</f>
        <v/>
      </c>
      <c r="I820" s="37">
        <f>IF($A820="","",IFERROR(MAX(0,$H820-$G820*kik_sifirCarpan),0))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IF($A821="","",IFERROR(ROUND(MAX(0,$B821*INDEX(tblKurallar[deger_2025],MATCH("KIK-001",tblKurallar[kural_id],0))-($C821+$D821+$E821+$F821)),kik_yuvarMax),0))</f>
        <v/>
      </c>
      <c r="I821" s="37">
        <f>IF($A821="","",IFERROR(MAX(0,$H821-$G821*kik_sifirCarpan),0))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IF($A822="","",IFERROR(ROUND(MAX(0,$B822*INDEX(tblKurallar[deger_2025],MATCH("KIK-001",tblKurallar[kural_id],0))-($C822+$D822+$E822+$F822)),kik_yuvarMax),0))</f>
        <v/>
      </c>
      <c r="I822" s="37">
        <f>IF($A822="","",IFERROR(MAX(0,$H822-$G822*kik_sifirCarpan),0))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IF($A823="","",IFERROR(ROUND(MAX(0,$B823*INDEX(tblKurallar[deger_2025],MATCH("KIK-001",tblKurallar[kural_id],0))-($C823+$D823+$E823+$F823)),kik_yuvarMax),0))</f>
        <v/>
      </c>
      <c r="I823" s="37">
        <f>IF($A823="","",IFERROR(MAX(0,$H823-$G823*kik_sifirCarpan),0))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IF($A824="","",IFERROR(ROUND(MAX(0,$B824*INDEX(tblKurallar[deger_2025],MATCH("KIK-001",tblKurallar[kural_id],0))-($C824+$D824+$E824+$F824)),kik_yuvarMax),0))</f>
        <v/>
      </c>
      <c r="I824" s="37">
        <f>IF($A824="","",IFERROR(MAX(0,$H824-$G824*kik_sifirCarpan),0))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IF($A825="","",IFERROR(ROUND(MAX(0,$B825*INDEX(tblKurallar[deger_2025],MATCH("KIK-001",tblKurallar[kural_id],0))-($C825+$D825+$E825+$F825)),kik_yuvarMax),0))</f>
        <v/>
      </c>
      <c r="I825" s="37">
        <f>IF($A825="","",IFERROR(MAX(0,$H825-$G825*kik_sifirCarpan),0))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IF($A826="","",IFERROR(ROUND(MAX(0,$B826*INDEX(tblKurallar[deger_2025],MATCH("KIK-001",tblKurallar[kural_id],0))-($C826+$D826+$E826+$F826)),kik_yuvarMax),0))</f>
        <v/>
      </c>
      <c r="I826" s="37">
        <f>IF($A826="","",IFERROR(MAX(0,$H826-$G826*kik_sifirCarpan),0))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IF($A827="","",IFERROR(ROUND(MAX(0,$B827*INDEX(tblKurallar[deger_2025],MATCH("KIK-001",tblKurallar[kural_id],0))-($C827+$D827+$E827+$F827)),kik_yuvarMax),0))</f>
        <v/>
      </c>
      <c r="I827" s="37">
        <f>IF($A827="","",IFERROR(MAX(0,$H827-$G827*kik_sifirCarpan),0))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IF($A828="","",IFERROR(ROUND(MAX(0,$B828*INDEX(tblKurallar[deger_2025],MATCH("KIK-001",tblKurallar[kural_id],0))-($C828+$D828+$E828+$F828)),kik_yuvarMax),0))</f>
        <v/>
      </c>
      <c r="I828" s="37">
        <f>IF($A828="","",IFERROR(MAX(0,$H828-$G828*kik_sifirCarpan),0))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IF($A829="","",IFERROR(ROUND(MAX(0,$B829*INDEX(tblKurallar[deger_2025],MATCH("KIK-001",tblKurallar[kural_id],0))-($C829+$D829+$E829+$F829)),kik_yuvarMax),0))</f>
        <v/>
      </c>
      <c r="I829" s="37">
        <f>IF($A829="","",IFERROR(MAX(0,$H829-$G829*kik_sifirCarpan),0))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IF($A830="","",IFERROR(ROUND(MAX(0,$B830*INDEX(tblKurallar[deger_2025],MATCH("KIK-001",tblKurallar[kural_id],0))-($C830+$D830+$E830+$F830)),kik_yuvarMax),0))</f>
        <v/>
      </c>
      <c r="I830" s="37">
        <f>IF($A830="","",IFERROR(MAX(0,$H830-$G830*kik_sifirCarpan),0))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IF($A831="","",IFERROR(ROUND(MAX(0,$B831*INDEX(tblKurallar[deger_2025],MATCH("KIK-001",tblKurallar[kural_id],0))-($C831+$D831+$E831+$F831)),kik_yuvarMax),0))</f>
        <v/>
      </c>
      <c r="I831" s="37">
        <f>IF($A831="","",IFERROR(MAX(0,$H831-$G831*kik_sifirCarpan),0))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IF($A832="","",IFERROR(ROUND(MAX(0,$B832*INDEX(tblKurallar[deger_2025],MATCH("KIK-001",tblKurallar[kural_id],0))-($C832+$D832+$E832+$F832)),kik_yuvarMax),0))</f>
        <v/>
      </c>
      <c r="I832" s="37">
        <f>IF($A832="","",IFERROR(MAX(0,$H832-$G832*kik_sifirCarpan),0))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IF($A833="","",IFERROR(ROUND(MAX(0,$B833*INDEX(tblKurallar[deger_2025],MATCH("KIK-001",tblKurallar[kural_id],0))-($C833+$D833+$E833+$F833)),kik_yuvarMax),0))</f>
        <v/>
      </c>
      <c r="I833" s="37">
        <f>IF($A833="","",IFERROR(MAX(0,$H833-$G833*kik_sifirCarpan),0))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IF($A834="","",IFERROR(ROUND(MAX(0,$B834*INDEX(tblKurallar[deger_2025],MATCH("KIK-001",tblKurallar[kural_id],0))-($C834+$D834+$E834+$F834)),kik_yuvarMax),0))</f>
        <v/>
      </c>
      <c r="I834" s="37">
        <f>IF($A834="","",IFERROR(MAX(0,$H834-$G834*kik_sifirCarpan),0))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IF($A835="","",IFERROR(ROUND(MAX(0,$B835*INDEX(tblKurallar[deger_2025],MATCH("KIK-001",tblKurallar[kural_id],0))-($C835+$D835+$E835+$F835)),kik_yuvarMax),0))</f>
        <v/>
      </c>
      <c r="I835" s="37">
        <f>IF($A835="","",IFERROR(MAX(0,$H835-$G835*kik_sifirCarpan),0))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IF($A836="","",IFERROR(ROUND(MAX(0,$B836*INDEX(tblKurallar[deger_2025],MATCH("KIK-001",tblKurallar[kural_id],0))-($C836+$D836+$E836+$F836)),kik_yuvarMax),0))</f>
        <v/>
      </c>
      <c r="I836" s="37">
        <f>IF($A836="","",IFERROR(MAX(0,$H836-$G836*kik_sifirCarpan),0))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IF($A837="","",IFERROR(ROUND(MAX(0,$B837*INDEX(tblKurallar[deger_2025],MATCH("KIK-001",tblKurallar[kural_id],0))-($C837+$D837+$E837+$F837)),kik_yuvarMax),0))</f>
        <v/>
      </c>
      <c r="I837" s="37">
        <f>IF($A837="","",IFERROR(MAX(0,$H837-$G837*kik_sifirCarpan),0))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IF($A838="","",IFERROR(ROUND(MAX(0,$B838*INDEX(tblKurallar[deger_2025],MATCH("KIK-001",tblKurallar[kural_id],0))-($C838+$D838+$E838+$F838)),kik_yuvarMax),0))</f>
        <v/>
      </c>
      <c r="I838" s="37">
        <f>IF($A838="","",IFERROR(MAX(0,$H838-$G838*kik_sifirCarpan),0))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IF($A839="","",IFERROR(ROUND(MAX(0,$B839*INDEX(tblKurallar[deger_2025],MATCH("KIK-001",tblKurallar[kural_id],0))-($C839+$D839+$E839+$F839)),kik_yuvarMax),0))</f>
        <v/>
      </c>
      <c r="I839" s="37">
        <f>IF($A839="","",IFERROR(MAX(0,$H839-$G839*kik_sifirCarpan),0))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IF($A840="","",IFERROR(ROUND(MAX(0,$B840*INDEX(tblKurallar[deger_2025],MATCH("KIK-001",tblKurallar[kural_id],0))-($C840+$D840+$E840+$F840)),kik_yuvarMax),0))</f>
        <v/>
      </c>
      <c r="I840" s="37">
        <f>IF($A840="","",IFERROR(MAX(0,$H840-$G840*kik_sifirCarpan),0))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IF($A841="","",IFERROR(ROUND(MAX(0,$B841*INDEX(tblKurallar[deger_2025],MATCH("KIK-001",tblKurallar[kural_id],0))-($C841+$D841+$E841+$F841)),kik_yuvarMax),0))</f>
        <v/>
      </c>
      <c r="I841" s="37">
        <f>IF($A841="","",IFERROR(MAX(0,$H841-$G841*kik_sifirCarpan),0))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IF($A842="","",IFERROR(ROUND(MAX(0,$B842*INDEX(tblKurallar[deger_2025],MATCH("KIK-001",tblKurallar[kural_id],0))-($C842+$D842+$E842+$F842)),kik_yuvarMax),0))</f>
        <v/>
      </c>
      <c r="I842" s="37">
        <f>IF($A842="","",IFERROR(MAX(0,$H842-$G842*kik_sifirCarpan),0))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IF($A843="","",IFERROR(ROUND(MAX(0,$B843*INDEX(tblKurallar[deger_2025],MATCH("KIK-001",tblKurallar[kural_id],0))-($C843+$D843+$E843+$F843)),kik_yuvarMax),0))</f>
        <v/>
      </c>
      <c r="I843" s="37">
        <f>IF($A843="","",IFERROR(MAX(0,$H843-$G843*kik_sifirCarpan),0))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IF($A844="","",IFERROR(ROUND(MAX(0,$B844*INDEX(tblKurallar[deger_2025],MATCH("KIK-001",tblKurallar[kural_id],0))-($C844+$D844+$E844+$F844)),kik_yuvarMax),0))</f>
        <v/>
      </c>
      <c r="I844" s="37">
        <f>IF($A844="","",IFERROR(MAX(0,$H844-$G844*kik_sifirCarpan),0))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IF($A845="","",IFERROR(ROUND(MAX(0,$B845*INDEX(tblKurallar[deger_2025],MATCH("KIK-001",tblKurallar[kural_id],0))-($C845+$D845+$E845+$F845)),kik_yuvarMax),0))</f>
        <v/>
      </c>
      <c r="I845" s="37">
        <f>IF($A845="","",IFERROR(MAX(0,$H845-$G845*kik_sifirCarpan),0))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IF($A846="","",IFERROR(ROUND(MAX(0,$B846*INDEX(tblKurallar[deger_2025],MATCH("KIK-001",tblKurallar[kural_id],0))-($C846+$D846+$E846+$F846)),kik_yuvarMax),0))</f>
        <v/>
      </c>
      <c r="I846" s="37">
        <f>IF($A846="","",IFERROR(MAX(0,$H846-$G846*kik_sifirCarpan),0))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IF($A847="","",IFERROR(ROUND(MAX(0,$B847*INDEX(tblKurallar[deger_2025],MATCH("KIK-001",tblKurallar[kural_id],0))-($C847+$D847+$E847+$F847)),kik_yuvarMax),0))</f>
        <v/>
      </c>
      <c r="I847" s="37">
        <f>IF($A847="","",IFERROR(MAX(0,$H847-$G847*kik_sifirCarpan),0))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IF($A848="","",IFERROR(ROUND(MAX(0,$B848*INDEX(tblKurallar[deger_2025],MATCH("KIK-001",tblKurallar[kural_id],0))-($C848+$D848+$E848+$F848)),kik_yuvarMax),0))</f>
        <v/>
      </c>
      <c r="I848" s="37">
        <f>IF($A848="","",IFERROR(MAX(0,$H848-$G848*kik_sifirCarpan),0))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IF($A849="","",IFERROR(ROUND(MAX(0,$B849*INDEX(tblKurallar[deger_2025],MATCH("KIK-001",tblKurallar[kural_id],0))-($C849+$D849+$E849+$F849)),kik_yuvarMax),0))</f>
        <v/>
      </c>
      <c r="I849" s="37">
        <f>IF($A849="","",IFERROR(MAX(0,$H849-$G849*kik_sifirCarpan),0))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IF($A850="","",IFERROR(ROUND(MAX(0,$B850*INDEX(tblKurallar[deger_2025],MATCH("KIK-001",tblKurallar[kural_id],0))-($C850+$D850+$E850+$F850)),kik_yuvarMax),0))</f>
        <v/>
      </c>
      <c r="I850" s="37">
        <f>IF($A850="","",IFERROR(MAX(0,$H850-$G850*kik_sifirCarpan),0))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IF($A851="","",IFERROR(ROUND(MAX(0,$B851*INDEX(tblKurallar[deger_2025],MATCH("KIK-001",tblKurallar[kural_id],0))-($C851+$D851+$E851+$F851)),kik_yuvarMax),0))</f>
        <v/>
      </c>
      <c r="I851" s="37">
        <f>IF($A851="","",IFERROR(MAX(0,$H851-$G851*kik_sifirCarpan),0))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IF($A852="","",IFERROR(ROUND(MAX(0,$B852*INDEX(tblKurallar[deger_2025],MATCH("KIK-001",tblKurallar[kural_id],0))-($C852+$D852+$E852+$F852)),kik_yuvarMax),0))</f>
        <v/>
      </c>
      <c r="I852" s="37">
        <f>IF($A852="","",IFERROR(MAX(0,$H852-$G852*kik_sifirCarpan),0))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IF($A853="","",IFERROR(ROUND(MAX(0,$B853*INDEX(tblKurallar[deger_2025],MATCH("KIK-001",tblKurallar[kural_id],0))-($C853+$D853+$E853+$F853)),kik_yuvarMax),0))</f>
        <v/>
      </c>
      <c r="I853" s="37">
        <f>IF($A853="","",IFERROR(MAX(0,$H853-$G853*kik_sifirCarpan),0))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IF($A854="","",IFERROR(ROUND(MAX(0,$B854*INDEX(tblKurallar[deger_2025],MATCH("KIK-001",tblKurallar[kural_id],0))-($C854+$D854+$E854+$F854)),kik_yuvarMax),0))</f>
        <v/>
      </c>
      <c r="I854" s="37">
        <f>IF($A854="","",IFERROR(MAX(0,$H854-$G854*kik_sifirCarpan),0))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IF($A855="","",IFERROR(ROUND(MAX(0,$B855*INDEX(tblKurallar[deger_2025],MATCH("KIK-001",tblKurallar[kural_id],0))-($C855+$D855+$E855+$F855)),kik_yuvarMax),0))</f>
        <v/>
      </c>
      <c r="I855" s="37">
        <f>IF($A855="","",IFERROR(MAX(0,$H855-$G855*kik_sifirCarpan),0))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IF($A856="","",IFERROR(ROUND(MAX(0,$B856*INDEX(tblKurallar[deger_2025],MATCH("KIK-001",tblKurallar[kural_id],0))-($C856+$D856+$E856+$F856)),kik_yuvarMax),0))</f>
        <v/>
      </c>
      <c r="I856" s="37">
        <f>IF($A856="","",IFERROR(MAX(0,$H856-$G856*kik_sifirCarpan),0))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IF($A857="","",IFERROR(ROUND(MAX(0,$B857*INDEX(tblKurallar[deger_2025],MATCH("KIK-001",tblKurallar[kural_id],0))-($C857+$D857+$E857+$F857)),kik_yuvarMax),0))</f>
        <v/>
      </c>
      <c r="I857" s="37">
        <f>IF($A857="","",IFERROR(MAX(0,$H857-$G857*kik_sifirCarpan),0))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IF($A858="","",IFERROR(ROUND(MAX(0,$B858*INDEX(tblKurallar[deger_2025],MATCH("KIK-001",tblKurallar[kural_id],0))-($C858+$D858+$E858+$F858)),kik_yuvarMax),0))</f>
        <v/>
      </c>
      <c r="I858" s="37">
        <f>IF($A858="","",IFERROR(MAX(0,$H858-$G858*kik_sifirCarpan),0))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IF($A859="","",IFERROR(ROUND(MAX(0,$B859*INDEX(tblKurallar[deger_2025],MATCH("KIK-001",tblKurallar[kural_id],0))-($C859+$D859+$E859+$F859)),kik_yuvarMax),0))</f>
        <v/>
      </c>
      <c r="I859" s="37">
        <f>IF($A859="","",IFERROR(MAX(0,$H859-$G859*kik_sifirCarpan),0))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IF($A860="","",IFERROR(ROUND(MAX(0,$B860*INDEX(tblKurallar[deger_2025],MATCH("KIK-001",tblKurallar[kural_id],0))-($C860+$D860+$E860+$F860)),kik_yuvarMax),0))</f>
        <v/>
      </c>
      <c r="I860" s="37">
        <f>IF($A860="","",IFERROR(MAX(0,$H860-$G860*kik_sifirCarpan),0))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IF($A861="","",IFERROR(ROUND(MAX(0,$B861*INDEX(tblKurallar[deger_2025],MATCH("KIK-001",tblKurallar[kural_id],0))-($C861+$D861+$E861+$F861)),kik_yuvarMax),0))</f>
        <v/>
      </c>
      <c r="I861" s="37">
        <f>IF($A861="","",IFERROR(MAX(0,$H861-$G861*kik_sifirCarpan),0))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IF($A862="","",IFERROR(ROUND(MAX(0,$B862*INDEX(tblKurallar[deger_2025],MATCH("KIK-001",tblKurallar[kural_id],0))-($C862+$D862+$E862+$F862)),kik_yuvarMax),0))</f>
        <v/>
      </c>
      <c r="I862" s="37">
        <f>IF($A862="","",IFERROR(MAX(0,$H862-$G862*kik_sifirCarpan),0))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IF($A863="","",IFERROR(ROUND(MAX(0,$B863*INDEX(tblKurallar[deger_2025],MATCH("KIK-001",tblKurallar[kural_id],0))-($C863+$D863+$E863+$F863)),kik_yuvarMax),0))</f>
        <v/>
      </c>
      <c r="I863" s="37">
        <f>IF($A863="","",IFERROR(MAX(0,$H863-$G863*kik_sifirCarpan),0))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IF($A864="","",IFERROR(ROUND(MAX(0,$B864*INDEX(tblKurallar[deger_2025],MATCH("KIK-001",tblKurallar[kural_id],0))-($C864+$D864+$E864+$F864)),kik_yuvarMax),0))</f>
        <v/>
      </c>
      <c r="I864" s="37">
        <f>IF($A864="","",IFERROR(MAX(0,$H864-$G864*kik_sifirCarpan),0))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IF($A865="","",IFERROR(ROUND(MAX(0,$B865*INDEX(tblKurallar[deger_2025],MATCH("KIK-001",tblKurallar[kural_id],0))-($C865+$D865+$E865+$F865)),kik_yuvarMax),0))</f>
        <v/>
      </c>
      <c r="I865" s="37">
        <f>IF($A865="","",IFERROR(MAX(0,$H865-$G865*kik_sifirCarpan),0))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IF($A866="","",IFERROR(ROUND(MAX(0,$B866*INDEX(tblKurallar[deger_2025],MATCH("KIK-001",tblKurallar[kural_id],0))-($C866+$D866+$E866+$F866)),kik_yuvarMax),0))</f>
        <v/>
      </c>
      <c r="I866" s="37">
        <f>IF($A866="","",IFERROR(MAX(0,$H866-$G866*kik_sifirCarpan),0))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IF($A867="","",IFERROR(ROUND(MAX(0,$B867*INDEX(tblKurallar[deger_2025],MATCH("KIK-001",tblKurallar[kural_id],0))-($C867+$D867+$E867+$F867)),kik_yuvarMax),0))</f>
        <v/>
      </c>
      <c r="I867" s="37">
        <f>IF($A867="","",IFERROR(MAX(0,$H867-$G867*kik_sifirCarpan),0))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IF($A868="","",IFERROR(ROUND(MAX(0,$B868*INDEX(tblKurallar[deger_2025],MATCH("KIK-001",tblKurallar[kural_id],0))-($C868+$D868+$E868+$F868)),kik_yuvarMax),0))</f>
        <v/>
      </c>
      <c r="I868" s="37">
        <f>IF($A868="","",IFERROR(MAX(0,$H868-$G868*kik_sifirCarpan),0))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IF($A869="","",IFERROR(ROUND(MAX(0,$B869*INDEX(tblKurallar[deger_2025],MATCH("KIK-001",tblKurallar[kural_id],0))-($C869+$D869+$E869+$F869)),kik_yuvarMax),0))</f>
        <v/>
      </c>
      <c r="I869" s="37">
        <f>IF($A869="","",IFERROR(MAX(0,$H869-$G869*kik_sifirCarpan),0))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IF($A870="","",IFERROR(ROUND(MAX(0,$B870*INDEX(tblKurallar[deger_2025],MATCH("KIK-001",tblKurallar[kural_id],0))-($C870+$D870+$E870+$F870)),kik_yuvarMax),0))</f>
        <v/>
      </c>
      <c r="I870" s="37">
        <f>IF($A870="","",IFERROR(MAX(0,$H870-$G870*kik_sifirCarpan),0))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IF($A871="","",IFERROR(ROUND(MAX(0,$B871*INDEX(tblKurallar[deger_2025],MATCH("KIK-001",tblKurallar[kural_id],0))-($C871+$D871+$E871+$F871)),kik_yuvarMax),0))</f>
        <v/>
      </c>
      <c r="I871" s="37">
        <f>IF($A871="","",IFERROR(MAX(0,$H871-$G871*kik_sifirCarpan),0))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IF($A872="","",IFERROR(ROUND(MAX(0,$B872*INDEX(tblKurallar[deger_2025],MATCH("KIK-001",tblKurallar[kural_id],0))-($C872+$D872+$E872+$F872)),kik_yuvarMax),0))</f>
        <v/>
      </c>
      <c r="I872" s="37">
        <f>IF($A872="","",IFERROR(MAX(0,$H872-$G872*kik_sifirCarpan),0))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IF($A873="","",IFERROR(ROUND(MAX(0,$B873*INDEX(tblKurallar[deger_2025],MATCH("KIK-001",tblKurallar[kural_id],0))-($C873+$D873+$E873+$F873)),kik_yuvarMax),0))</f>
        <v/>
      </c>
      <c r="I873" s="37">
        <f>IF($A873="","",IFERROR(MAX(0,$H873-$G873*kik_sifirCarpan),0))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IF($A874="","",IFERROR(ROUND(MAX(0,$B874*INDEX(tblKurallar[deger_2025],MATCH("KIK-001",tblKurallar[kural_id],0))-($C874+$D874+$E874+$F874)),kik_yuvarMax),0))</f>
        <v/>
      </c>
      <c r="I874" s="37">
        <f>IF($A874="","",IFERROR(MAX(0,$H874-$G874*kik_sifirCarpan),0))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IF($A875="","",IFERROR(ROUND(MAX(0,$B875*INDEX(tblKurallar[deger_2025],MATCH("KIK-001",tblKurallar[kural_id],0))-($C875+$D875+$E875+$F875)),kik_yuvarMax),0))</f>
        <v/>
      </c>
      <c r="I875" s="37">
        <f>IF($A875="","",IFERROR(MAX(0,$H875-$G875*kik_sifirCarpan),0))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IF($A876="","",IFERROR(ROUND(MAX(0,$B876*INDEX(tblKurallar[deger_2025],MATCH("KIK-001",tblKurallar[kural_id],0))-($C876+$D876+$E876+$F876)),kik_yuvarMax),0))</f>
        <v/>
      </c>
      <c r="I876" s="37">
        <f>IF($A876="","",IFERROR(MAX(0,$H876-$G876*kik_sifirCarpan),0))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IF($A877="","",IFERROR(ROUND(MAX(0,$B877*INDEX(tblKurallar[deger_2025],MATCH("KIK-001",tblKurallar[kural_id],0))-($C877+$D877+$E877+$F877)),kik_yuvarMax),0))</f>
        <v/>
      </c>
      <c r="I877" s="37">
        <f>IF($A877="","",IFERROR(MAX(0,$H877-$G877*kik_sifirCarpan),0))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IF($A878="","",IFERROR(ROUND(MAX(0,$B878*INDEX(tblKurallar[deger_2025],MATCH("KIK-001",tblKurallar[kural_id],0))-($C878+$D878+$E878+$F878)),kik_yuvarMax),0))</f>
        <v/>
      </c>
      <c r="I878" s="37">
        <f>IF($A878="","",IFERROR(MAX(0,$H878-$G878*kik_sifirCarpan),0))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IF($A879="","",IFERROR(ROUND(MAX(0,$B879*INDEX(tblKurallar[deger_2025],MATCH("KIK-001",tblKurallar[kural_id],0))-($C879+$D879+$E879+$F879)),kik_yuvarMax),0))</f>
        <v/>
      </c>
      <c r="I879" s="37">
        <f>IF($A879="","",IFERROR(MAX(0,$H879-$G879*kik_sifirCarpan),0))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IF($A880="","",IFERROR(ROUND(MAX(0,$B880*INDEX(tblKurallar[deger_2025],MATCH("KIK-001",tblKurallar[kural_id],0))-($C880+$D880+$E880+$F880)),kik_yuvarMax),0))</f>
        <v/>
      </c>
      <c r="I880" s="37">
        <f>IF($A880="","",IFERROR(MAX(0,$H880-$G880*kik_sifirCarpan),0))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IF($A881="","",IFERROR(ROUND(MAX(0,$B881*INDEX(tblKurallar[deger_2025],MATCH("KIK-001",tblKurallar[kural_id],0))-($C881+$D881+$E881+$F881)),kik_yuvarMax),0))</f>
        <v/>
      </c>
      <c r="I881" s="37">
        <f>IF($A881="","",IFERROR(MAX(0,$H881-$G881*kik_sifirCarpan),0))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IF($A882="","",IFERROR(ROUND(MAX(0,$B882*INDEX(tblKurallar[deger_2025],MATCH("KIK-001",tblKurallar[kural_id],0))-($C882+$D882+$E882+$F882)),kik_yuvarMax),0))</f>
        <v/>
      </c>
      <c r="I882" s="37">
        <f>IF($A882="","",IFERROR(MAX(0,$H882-$G882*kik_sifirCarpan),0))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IF($A883="","",IFERROR(ROUND(MAX(0,$B883*INDEX(tblKurallar[deger_2025],MATCH("KIK-001",tblKurallar[kural_id],0))-($C883+$D883+$E883+$F883)),kik_yuvarMax),0))</f>
        <v/>
      </c>
      <c r="I883" s="37">
        <f>IF($A883="","",IFERROR(MAX(0,$H883-$G883*kik_sifirCarpan),0))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IF($A884="","",IFERROR(ROUND(MAX(0,$B884*INDEX(tblKurallar[deger_2025],MATCH("KIK-001",tblKurallar[kural_id],0))-($C884+$D884+$E884+$F884)),kik_yuvarMax),0))</f>
        <v/>
      </c>
      <c r="I884" s="37">
        <f>IF($A884="","",IFERROR(MAX(0,$H884-$G884*kik_sifirCarpan),0))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IF($A885="","",IFERROR(ROUND(MAX(0,$B885*INDEX(tblKurallar[deger_2025],MATCH("KIK-001",tblKurallar[kural_id],0))-($C885+$D885+$E885+$F885)),kik_yuvarMax),0))</f>
        <v/>
      </c>
      <c r="I885" s="37">
        <f>IF($A885="","",IFERROR(MAX(0,$H885-$G885*kik_sifirCarpan),0))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IF($A886="","",IFERROR(ROUND(MAX(0,$B886*INDEX(tblKurallar[deger_2025],MATCH("KIK-001",tblKurallar[kural_id],0))-($C886+$D886+$E886+$F886)),kik_yuvarMax),0))</f>
        <v/>
      </c>
      <c r="I886" s="37">
        <f>IF($A886="","",IFERROR(MAX(0,$H886-$G886*kik_sifirCarpan),0))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IF($A887="","",IFERROR(ROUND(MAX(0,$B887*INDEX(tblKurallar[deger_2025],MATCH("KIK-001",tblKurallar[kural_id],0))-($C887+$D887+$E887+$F887)),kik_yuvarMax),0))</f>
        <v/>
      </c>
      <c r="I887" s="37">
        <f>IF($A887="","",IFERROR(MAX(0,$H887-$G887*kik_sifirCarpan),0))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IF($A888="","",IFERROR(ROUND(MAX(0,$B888*INDEX(tblKurallar[deger_2025],MATCH("KIK-001",tblKurallar[kural_id],0))-($C888+$D888+$E888+$F888)),kik_yuvarMax),0))</f>
        <v/>
      </c>
      <c r="I888" s="37">
        <f>IF($A888="","",IFERROR(MAX(0,$H888-$G888*kik_sifirCarpan),0))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IF($A889="","",IFERROR(ROUND(MAX(0,$B889*INDEX(tblKurallar[deger_2025],MATCH("KIK-001",tblKurallar[kural_id],0))-($C889+$D889+$E889+$F889)),kik_yuvarMax),0))</f>
        <v/>
      </c>
      <c r="I889" s="37">
        <f>IF($A889="","",IFERROR(MAX(0,$H889-$G889*kik_sifirCarpan),0))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IF($A890="","",IFERROR(ROUND(MAX(0,$B890*INDEX(tblKurallar[deger_2025],MATCH("KIK-001",tblKurallar[kural_id],0))-($C890+$D890+$E890+$F890)),kik_yuvarMax),0))</f>
        <v/>
      </c>
      <c r="I890" s="37">
        <f>IF($A890="","",IFERROR(MAX(0,$H890-$G890*kik_sifirCarpan),0))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IF($A891="","",IFERROR(ROUND(MAX(0,$B891*INDEX(tblKurallar[deger_2025],MATCH("KIK-001",tblKurallar[kural_id],0))-($C891+$D891+$E891+$F891)),kik_yuvarMax),0))</f>
        <v/>
      </c>
      <c r="I891" s="37">
        <f>IF($A891="","",IFERROR(MAX(0,$H891-$G891*kik_sifirCarpan),0))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IF($A892="","",IFERROR(ROUND(MAX(0,$B892*INDEX(tblKurallar[deger_2025],MATCH("KIK-001",tblKurallar[kural_id],0))-($C892+$D892+$E892+$F892)),kik_yuvarMax),0))</f>
        <v/>
      </c>
      <c r="I892" s="37">
        <f>IF($A892="","",IFERROR(MAX(0,$H892-$G892*kik_sifirCarpan),0))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IF($A893="","",IFERROR(ROUND(MAX(0,$B893*INDEX(tblKurallar[deger_2025],MATCH("KIK-001",tblKurallar[kural_id],0))-($C893+$D893+$E893+$F893)),kik_yuvarMax),0))</f>
        <v/>
      </c>
      <c r="I893" s="37">
        <f>IF($A893="","",IFERROR(MAX(0,$H893-$G893*kik_sifirCarpan),0))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IF($A894="","",IFERROR(ROUND(MAX(0,$B894*INDEX(tblKurallar[deger_2025],MATCH("KIK-001",tblKurallar[kural_id],0))-($C894+$D894+$E894+$F894)),kik_yuvarMax),0))</f>
        <v/>
      </c>
      <c r="I894" s="37">
        <f>IF($A894="","",IFERROR(MAX(0,$H894-$G894*kik_sifirCarpan),0))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IF($A895="","",IFERROR(ROUND(MAX(0,$B895*INDEX(tblKurallar[deger_2025],MATCH("KIK-001",tblKurallar[kural_id],0))-($C895+$D895+$E895+$F895)),kik_yuvarMax),0))</f>
        <v/>
      </c>
      <c r="I895" s="37">
        <f>IF($A895="","",IFERROR(MAX(0,$H895-$G895*kik_sifirCarpan),0))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IF($A896="","",IFERROR(ROUND(MAX(0,$B896*INDEX(tblKurallar[deger_2025],MATCH("KIK-001",tblKurallar[kural_id],0))-($C896+$D896+$E896+$F896)),kik_yuvarMax),0))</f>
        <v/>
      </c>
      <c r="I896" s="37">
        <f>IF($A896="","",IFERROR(MAX(0,$H896-$G896*kik_sifirCarpan),0))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IF($A897="","",IFERROR(ROUND(MAX(0,$B897*INDEX(tblKurallar[deger_2025],MATCH("KIK-001",tblKurallar[kural_id],0))-($C897+$D897+$E897+$F897)),kik_yuvarMax),0))</f>
        <v/>
      </c>
      <c r="I897" s="37">
        <f>IF($A897="","",IFERROR(MAX(0,$H897-$G897*kik_sifirCarpan),0))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IF($A898="","",IFERROR(ROUND(MAX(0,$B898*INDEX(tblKurallar[deger_2025],MATCH("KIK-001",tblKurallar[kural_id],0))-($C898+$D898+$E898+$F898)),kik_yuvarMax),0))</f>
        <v/>
      </c>
      <c r="I898" s="37">
        <f>IF($A898="","",IFERROR(MAX(0,$H898-$G898*kik_sifirCarpan),0))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IF($A899="","",IFERROR(ROUND(MAX(0,$B899*INDEX(tblKurallar[deger_2025],MATCH("KIK-001",tblKurallar[kural_id],0))-($C899+$D899+$E899+$F899)),kik_yuvarMax),0))</f>
        <v/>
      </c>
      <c r="I899" s="37">
        <f>IF($A899="","",IFERROR(MAX(0,$H899-$G899*kik_sifirCarpan),0))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IF($A900="","",IFERROR(ROUND(MAX(0,$B900*INDEX(tblKurallar[deger_2025],MATCH("KIK-001",tblKurallar[kural_id],0))-($C900+$D900+$E900+$F900)),kik_yuvarMax),0))</f>
        <v/>
      </c>
      <c r="I900" s="37">
        <f>IF($A900="","",IFERROR(MAX(0,$H900-$G900*kik_sifirCarpan),0))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IF($A901="","",IFERROR(ROUND(MAX(0,$B901*INDEX(tblKurallar[deger_2025],MATCH("KIK-001",tblKurallar[kural_id],0))-($C901+$D901+$E901+$F901)),kik_yuvarMax),0))</f>
        <v/>
      </c>
      <c r="I901" s="37">
        <f>IF($A901="","",IFERROR(MAX(0,$H901-$G901*kik_sifirCarpan),0))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IF($A902="","",IFERROR(ROUND(MAX(0,$B902*INDEX(tblKurallar[deger_2025],MATCH("KIK-001",tblKurallar[kural_id],0))-($C902+$D902+$E902+$F902)),kik_yuvarMax),0))</f>
        <v/>
      </c>
      <c r="I902" s="37">
        <f>IF($A902="","",IFERROR(MAX(0,$H902-$G902*kik_sifirCarpan),0))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IF($A903="","",IFERROR(ROUND(MAX(0,$B903*INDEX(tblKurallar[deger_2025],MATCH("KIK-001",tblKurallar[kural_id],0))-($C903+$D903+$E903+$F903)),kik_yuvarMax),0))</f>
        <v/>
      </c>
      <c r="I903" s="37">
        <f>IF($A903="","",IFERROR(MAX(0,$H903-$G903*kik_sifirCarpan),0))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IF($A904="","",IFERROR(ROUND(MAX(0,$B904*INDEX(tblKurallar[deger_2025],MATCH("KIK-001",tblKurallar[kural_id],0))-($C904+$D904+$E904+$F904)),kik_yuvarMax),0))</f>
        <v/>
      </c>
      <c r="I904" s="37">
        <f>IF($A904="","",IFERROR(MAX(0,$H904-$G904*kik_sifirCarpan),0))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IF($A905="","",IFERROR(ROUND(MAX(0,$B905*INDEX(tblKurallar[deger_2025],MATCH("KIK-001",tblKurallar[kural_id],0))-($C905+$D905+$E905+$F905)),kik_yuvarMax),0))</f>
        <v/>
      </c>
      <c r="I905" s="37">
        <f>IF($A905="","",IFERROR(MAX(0,$H905-$G905*kik_sifirCarpan),0))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IF($A906="","",IFERROR(ROUND(MAX(0,$B906*INDEX(tblKurallar[deger_2025],MATCH("KIK-001",tblKurallar[kural_id],0))-($C906+$D906+$E906+$F906)),kik_yuvarMax),0))</f>
        <v/>
      </c>
      <c r="I906" s="37">
        <f>IF($A906="","",IFERROR(MAX(0,$H906-$G906*kik_sifirCarpan),0))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IF($A907="","",IFERROR(ROUND(MAX(0,$B907*INDEX(tblKurallar[deger_2025],MATCH("KIK-001",tblKurallar[kural_id],0))-($C907+$D907+$E907+$F907)),kik_yuvarMax),0))</f>
        <v/>
      </c>
      <c r="I907" s="37">
        <f>IF($A907="","",IFERROR(MAX(0,$H907-$G907*kik_sifirCarpan),0))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IF($A908="","",IFERROR(ROUND(MAX(0,$B908*INDEX(tblKurallar[deger_2025],MATCH("KIK-001",tblKurallar[kural_id],0))-($C908+$D908+$E908+$F908)),kik_yuvarMax),0))</f>
        <v/>
      </c>
      <c r="I908" s="37">
        <f>IF($A908="","",IFERROR(MAX(0,$H908-$G908*kik_sifirCarpan),0))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IF($A909="","",IFERROR(ROUND(MAX(0,$B909*INDEX(tblKurallar[deger_2025],MATCH("KIK-001",tblKurallar[kural_id],0))-($C909+$D909+$E909+$F909)),kik_yuvarMax),0))</f>
        <v/>
      </c>
      <c r="I909" s="37">
        <f>IF($A909="","",IFERROR(MAX(0,$H909-$G909*kik_sifirCarpan),0))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IF($A910="","",IFERROR(ROUND(MAX(0,$B910*INDEX(tblKurallar[deger_2025],MATCH("KIK-001",tblKurallar[kural_id],0))-($C910+$D910+$E910+$F910)),kik_yuvarMax),0))</f>
        <v/>
      </c>
      <c r="I910" s="37">
        <f>IF($A910="","",IFERROR(MAX(0,$H910-$G910*kik_sifirCarpan),0))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IF($A911="","",IFERROR(ROUND(MAX(0,$B911*INDEX(tblKurallar[deger_2025],MATCH("KIK-001",tblKurallar[kural_id],0))-($C911+$D911+$E911+$F911)),kik_yuvarMax),0))</f>
        <v/>
      </c>
      <c r="I911" s="37">
        <f>IF($A911="","",IFERROR(MAX(0,$H911-$G911*kik_sifirCarpan),0))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IF($A912="","",IFERROR(ROUND(MAX(0,$B912*INDEX(tblKurallar[deger_2025],MATCH("KIK-001",tblKurallar[kural_id],0))-($C912+$D912+$E912+$F912)),kik_yuvarMax),0))</f>
        <v/>
      </c>
      <c r="I912" s="37">
        <f>IF($A912="","",IFERROR(MAX(0,$H912-$G912*kik_sifirCarpan),0))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IF($A913="","",IFERROR(ROUND(MAX(0,$B913*INDEX(tblKurallar[deger_2025],MATCH("KIK-001",tblKurallar[kural_id],0))-($C913+$D913+$E913+$F913)),kik_yuvarMax),0))</f>
        <v/>
      </c>
      <c r="I913" s="37">
        <f>IF($A913="","",IFERROR(MAX(0,$H913-$G913*kik_sifirCarpan),0))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IF($A914="","",IFERROR(ROUND(MAX(0,$B914*INDEX(tblKurallar[deger_2025],MATCH("KIK-001",tblKurallar[kural_id],0))-($C914+$D914+$E914+$F914)),kik_yuvarMax),0))</f>
        <v/>
      </c>
      <c r="I914" s="37">
        <f>IF($A914="","",IFERROR(MAX(0,$H914-$G914*kik_sifirCarpan),0))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IF($A915="","",IFERROR(ROUND(MAX(0,$B915*INDEX(tblKurallar[deger_2025],MATCH("KIK-001",tblKurallar[kural_id],0))-($C915+$D915+$E915+$F915)),kik_yuvarMax),0))</f>
        <v/>
      </c>
      <c r="I915" s="37">
        <f>IF($A915="","",IFERROR(MAX(0,$H915-$G915*kik_sifirCarpan),0))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IF($A916="","",IFERROR(ROUND(MAX(0,$B916*INDEX(tblKurallar[deger_2025],MATCH("KIK-001",tblKurallar[kural_id],0))-($C916+$D916+$E916+$F916)),kik_yuvarMax),0))</f>
        <v/>
      </c>
      <c r="I916" s="37">
        <f>IF($A916="","",IFERROR(MAX(0,$H916-$G916*kik_sifirCarpan),0))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IF($A917="","",IFERROR(ROUND(MAX(0,$B917*INDEX(tblKurallar[deger_2025],MATCH("KIK-001",tblKurallar[kural_id],0))-($C917+$D917+$E917+$F917)),kik_yuvarMax),0))</f>
        <v/>
      </c>
      <c r="I917" s="37">
        <f>IF($A917="","",IFERROR(MAX(0,$H917-$G917*kik_sifirCarpan),0))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IF($A918="","",IFERROR(ROUND(MAX(0,$B918*INDEX(tblKurallar[deger_2025],MATCH("KIK-001",tblKurallar[kural_id],0))-($C918+$D918+$E918+$F918)),kik_yuvarMax),0))</f>
        <v/>
      </c>
      <c r="I918" s="37">
        <f>IF($A918="","",IFERROR(MAX(0,$H918-$G918*kik_sifirCarpan),0))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IF($A919="","",IFERROR(ROUND(MAX(0,$B919*INDEX(tblKurallar[deger_2025],MATCH("KIK-001",tblKurallar[kural_id],0))-($C919+$D919+$E919+$F919)),kik_yuvarMax),0))</f>
        <v/>
      </c>
      <c r="I919" s="37">
        <f>IF($A919="","",IFERROR(MAX(0,$H919-$G919*kik_sifirCarpan),0))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IF($A920="","",IFERROR(ROUND(MAX(0,$B920*INDEX(tblKurallar[deger_2025],MATCH("KIK-001",tblKurallar[kural_id],0))-($C920+$D920+$E920+$F920)),kik_yuvarMax),0))</f>
        <v/>
      </c>
      <c r="I920" s="37">
        <f>IF($A920="","",IFERROR(MAX(0,$H920-$G920*kik_sifirCarpan),0))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IF($A921="","",IFERROR(ROUND(MAX(0,$B921*INDEX(tblKurallar[deger_2025],MATCH("KIK-001",tblKurallar[kural_id],0))-($C921+$D921+$E921+$F921)),kik_yuvarMax),0))</f>
        <v/>
      </c>
      <c r="I921" s="37">
        <f>IF($A921="","",IFERROR(MAX(0,$H921-$G921*kik_sifirCarpan),0))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IF($A922="","",IFERROR(ROUND(MAX(0,$B922*INDEX(tblKurallar[deger_2025],MATCH("KIK-001",tblKurallar[kural_id],0))-($C922+$D922+$E922+$F922)),kik_yuvarMax),0))</f>
        <v/>
      </c>
      <c r="I922" s="37">
        <f>IF($A922="","",IFERROR(MAX(0,$H922-$G922*kik_sifirCarpan),0))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IF($A923="","",IFERROR(ROUND(MAX(0,$B923*INDEX(tblKurallar[deger_2025],MATCH("KIK-001",tblKurallar[kural_id],0))-($C923+$D923+$E923+$F923)),kik_yuvarMax),0))</f>
        <v/>
      </c>
      <c r="I923" s="37">
        <f>IF($A923="","",IFERROR(MAX(0,$H923-$G923*kik_sifirCarpan),0))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IF($A924="","",IFERROR(ROUND(MAX(0,$B924*INDEX(tblKurallar[deger_2025],MATCH("KIK-001",tblKurallar[kural_id],0))-($C924+$D924+$E924+$F924)),kik_yuvarMax),0))</f>
        <v/>
      </c>
      <c r="I924" s="37">
        <f>IF($A924="","",IFERROR(MAX(0,$H924-$G924*kik_sifirCarpan),0))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IF($A925="","",IFERROR(ROUND(MAX(0,$B925*INDEX(tblKurallar[deger_2025],MATCH("KIK-001",tblKurallar[kural_id],0))-($C925+$D925+$E925+$F925)),kik_yuvarMax),0))</f>
        <v/>
      </c>
      <c r="I925" s="37">
        <f>IF($A925="","",IFERROR(MAX(0,$H925-$G925*kik_sifirCarpan),0))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IF($A926="","",IFERROR(ROUND(MAX(0,$B926*INDEX(tblKurallar[deger_2025],MATCH("KIK-001",tblKurallar[kural_id],0))-($C926+$D926+$E926+$F926)),kik_yuvarMax),0))</f>
        <v/>
      </c>
      <c r="I926" s="37">
        <f>IF($A926="","",IFERROR(MAX(0,$H926-$G926*kik_sifirCarpan),0))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IF($A927="","",IFERROR(ROUND(MAX(0,$B927*INDEX(tblKurallar[deger_2025],MATCH("KIK-001",tblKurallar[kural_id],0))-($C927+$D927+$E927+$F927)),kik_yuvarMax),0))</f>
        <v/>
      </c>
      <c r="I927" s="37">
        <f>IF($A927="","",IFERROR(MAX(0,$H927-$G927*kik_sifirCarpan),0))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IF($A928="","",IFERROR(ROUND(MAX(0,$B928*INDEX(tblKurallar[deger_2025],MATCH("KIK-001",tblKurallar[kural_id],0))-($C928+$D928+$E928+$F928)),kik_yuvarMax),0))</f>
        <v/>
      </c>
      <c r="I928" s="37">
        <f>IF($A928="","",IFERROR(MAX(0,$H928-$G928*kik_sifirCarpan),0))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IF($A929="","",IFERROR(ROUND(MAX(0,$B929*INDEX(tblKurallar[deger_2025],MATCH("KIK-001",tblKurallar[kural_id],0))-($C929+$D929+$E929+$F929)),kik_yuvarMax),0))</f>
        <v/>
      </c>
      <c r="I929" s="37">
        <f>IF($A929="","",IFERROR(MAX(0,$H929-$G929*kik_sifirCarpan),0))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IF($A930="","",IFERROR(ROUND(MAX(0,$B930*INDEX(tblKurallar[deger_2025],MATCH("KIK-001",tblKurallar[kural_id],0))-($C930+$D930+$E930+$F930)),kik_yuvarMax),0))</f>
        <v/>
      </c>
      <c r="I930" s="37">
        <f>IF($A930="","",IFERROR(MAX(0,$H930-$G930*kik_sifirCarpan),0))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IF($A931="","",IFERROR(ROUND(MAX(0,$B931*INDEX(tblKurallar[deger_2025],MATCH("KIK-001",tblKurallar[kural_id],0))-($C931+$D931+$E931+$F931)),kik_yuvarMax),0))</f>
        <v/>
      </c>
      <c r="I931" s="37">
        <f>IF($A931="","",IFERROR(MAX(0,$H931-$G931*kik_sifirCarpan),0))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IF($A932="","",IFERROR(ROUND(MAX(0,$B932*INDEX(tblKurallar[deger_2025],MATCH("KIK-001",tblKurallar[kural_id],0))-($C932+$D932+$E932+$F932)),kik_yuvarMax),0))</f>
        <v/>
      </c>
      <c r="I932" s="37">
        <f>IF($A932="","",IFERROR(MAX(0,$H932-$G932*kik_sifirCarpan),0))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IF($A933="","",IFERROR(ROUND(MAX(0,$B933*INDEX(tblKurallar[deger_2025],MATCH("KIK-001",tblKurallar[kural_id],0))-($C933+$D933+$E933+$F933)),kik_yuvarMax),0))</f>
        <v/>
      </c>
      <c r="I933" s="37">
        <f>IF($A933="","",IFERROR(MAX(0,$H933-$G933*kik_sifirCarpan),0))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IF($A934="","",IFERROR(ROUND(MAX(0,$B934*INDEX(tblKurallar[deger_2025],MATCH("KIK-001",tblKurallar[kural_id],0))-($C934+$D934+$E934+$F934)),kik_yuvarMax),0))</f>
        <v/>
      </c>
      <c r="I934" s="37">
        <f>IF($A934="","",IFERROR(MAX(0,$H934-$G934*kik_sifirCarpan),0))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IF($A935="","",IFERROR(ROUND(MAX(0,$B935*INDEX(tblKurallar[deger_2025],MATCH("KIK-001",tblKurallar[kural_id],0))-($C935+$D935+$E935+$F935)),kik_yuvarMax),0))</f>
        <v/>
      </c>
      <c r="I935" s="37">
        <f>IF($A935="","",IFERROR(MAX(0,$H935-$G935*kik_sifirCarpan),0))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IF($A936="","",IFERROR(ROUND(MAX(0,$B936*INDEX(tblKurallar[deger_2025],MATCH("KIK-001",tblKurallar[kural_id],0))-($C936+$D936+$E936+$F936)),kik_yuvarMax),0))</f>
        <v/>
      </c>
      <c r="I936" s="37">
        <f>IF($A936="","",IFERROR(MAX(0,$H936-$G936*kik_sifirCarpan),0))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IF($A937="","",IFERROR(ROUND(MAX(0,$B937*INDEX(tblKurallar[deger_2025],MATCH("KIK-001",tblKurallar[kural_id],0))-($C937+$D937+$E937+$F937)),kik_yuvarMax),0))</f>
        <v/>
      </c>
      <c r="I937" s="37">
        <f>IF($A937="","",IFERROR(MAX(0,$H937-$G937*kik_sifirCarpan),0))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IF($A938="","",IFERROR(ROUND(MAX(0,$B938*INDEX(tblKurallar[deger_2025],MATCH("KIK-001",tblKurallar[kural_id],0))-($C938+$D938+$E938+$F938)),kik_yuvarMax),0))</f>
        <v/>
      </c>
      <c r="I938" s="37">
        <f>IF($A938="","",IFERROR(MAX(0,$H938-$G938*kik_sifirCarpan),0))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IF($A939="","",IFERROR(ROUND(MAX(0,$B939*INDEX(tblKurallar[deger_2025],MATCH("KIK-001",tblKurallar[kural_id],0))-($C939+$D939+$E939+$F939)),kik_yuvarMax),0))</f>
        <v/>
      </c>
      <c r="I939" s="37">
        <f>IF($A939="","",IFERROR(MAX(0,$H939-$G939*kik_sifirCarpan),0))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IF($A940="","",IFERROR(ROUND(MAX(0,$B940*INDEX(tblKurallar[deger_2025],MATCH("KIK-001",tblKurallar[kural_id],0))-($C940+$D940+$E940+$F940)),kik_yuvarMax),0))</f>
        <v/>
      </c>
      <c r="I940" s="37">
        <f>IF($A940="","",IFERROR(MAX(0,$H940-$G940*kik_sifirCarpan),0))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IF($A941="","",IFERROR(ROUND(MAX(0,$B941*INDEX(tblKurallar[deger_2025],MATCH("KIK-001",tblKurallar[kural_id],0))-($C941+$D941+$E941+$F941)),kik_yuvarMax),0))</f>
        <v/>
      </c>
      <c r="I941" s="37">
        <f>IF($A941="","",IFERROR(MAX(0,$H941-$G941*kik_sifirCarpan),0))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IF($A942="","",IFERROR(ROUND(MAX(0,$B942*INDEX(tblKurallar[deger_2025],MATCH("KIK-001",tblKurallar[kural_id],0))-($C942+$D942+$E942+$F942)),kik_yuvarMax),0))</f>
        <v/>
      </c>
      <c r="I942" s="37">
        <f>IF($A942="","",IFERROR(MAX(0,$H942-$G942*kik_sifirCarpan),0))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IF($A943="","",IFERROR(ROUND(MAX(0,$B943*INDEX(tblKurallar[deger_2025],MATCH("KIK-001",tblKurallar[kural_id],0))-($C943+$D943+$E943+$F943)),kik_yuvarMax),0))</f>
        <v/>
      </c>
      <c r="I943" s="37">
        <f>IF($A943="","",IFERROR(MAX(0,$H943-$G943*kik_sifirCarpan),0))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IF($A944="","",IFERROR(ROUND(MAX(0,$B944*INDEX(tblKurallar[deger_2025],MATCH("KIK-001",tblKurallar[kural_id],0))-($C944+$D944+$E944+$F944)),kik_yuvarMax),0))</f>
        <v/>
      </c>
      <c r="I944" s="37">
        <f>IF($A944="","",IFERROR(MAX(0,$H944-$G944*kik_sifirCarpan),0))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IF($A945="","",IFERROR(ROUND(MAX(0,$B945*INDEX(tblKurallar[deger_2025],MATCH("KIK-001",tblKurallar[kural_id],0))-($C945+$D945+$E945+$F945)),kik_yuvarMax),0))</f>
        <v/>
      </c>
      <c r="I945" s="37">
        <f>IF($A945="","",IFERROR(MAX(0,$H945-$G945*kik_sifirCarpan),0))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IF($A946="","",IFERROR(ROUND(MAX(0,$B946*INDEX(tblKurallar[deger_2025],MATCH("KIK-001",tblKurallar[kural_id],0))-($C946+$D946+$E946+$F946)),kik_yuvarMax),0))</f>
        <v/>
      </c>
      <c r="I946" s="37">
        <f>IF($A946="","",IFERROR(MAX(0,$H946-$G946*kik_sifirCarpan),0))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IF($A947="","",IFERROR(ROUND(MAX(0,$B947*INDEX(tblKurallar[deger_2025],MATCH("KIK-001",tblKurallar[kural_id],0))-($C947+$D947+$E947+$F947)),kik_yuvarMax),0))</f>
        <v/>
      </c>
      <c r="I947" s="37">
        <f>IF($A947="","",IFERROR(MAX(0,$H947-$G947*kik_sifirCarpan),0))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IF($A948="","",IFERROR(ROUND(MAX(0,$B948*INDEX(tblKurallar[deger_2025],MATCH("KIK-001",tblKurallar[kural_id],0))-($C948+$D948+$E948+$F948)),kik_yuvarMax),0))</f>
        <v/>
      </c>
      <c r="I948" s="37">
        <f>IF($A948="","",IFERROR(MAX(0,$H948-$G948*kik_sifirCarpan),0))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IF($A949="","",IFERROR(ROUND(MAX(0,$B949*INDEX(tblKurallar[deger_2025],MATCH("KIK-001",tblKurallar[kural_id],0))-($C949+$D949+$E949+$F949)),kik_yuvarMax),0))</f>
        <v/>
      </c>
      <c r="I949" s="37">
        <f>IF($A949="","",IFERROR(MAX(0,$H949-$G949*kik_sifirCarpan),0))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IF($A950="","",IFERROR(ROUND(MAX(0,$B950*INDEX(tblKurallar[deger_2025],MATCH("KIK-001",tblKurallar[kural_id],0))-($C950+$D950+$E950+$F950)),kik_yuvarMax),0))</f>
        <v/>
      </c>
      <c r="I950" s="37">
        <f>IF($A950="","",IFERROR(MAX(0,$H950-$G950*kik_sifirCarpan),0))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IF($A951="","",IFERROR(ROUND(MAX(0,$B951*INDEX(tblKurallar[deger_2025],MATCH("KIK-001",tblKurallar[kural_id],0))-($C951+$D951+$E951+$F951)),kik_yuvarMax),0))</f>
        <v/>
      </c>
      <c r="I951" s="37">
        <f>IF($A951="","",IFERROR(MAX(0,$H951-$G951*kik_sifirCarpan),0))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IF($A952="","",IFERROR(ROUND(MAX(0,$B952*INDEX(tblKurallar[deger_2025],MATCH("KIK-001",tblKurallar[kural_id],0))-($C952+$D952+$E952+$F952)),kik_yuvarMax),0))</f>
        <v/>
      </c>
      <c r="I952" s="37">
        <f>IF($A952="","",IFERROR(MAX(0,$H952-$G952*kik_sifirCarpan),0))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IF($A953="","",IFERROR(ROUND(MAX(0,$B953*INDEX(tblKurallar[deger_2025],MATCH("KIK-001",tblKurallar[kural_id],0))-($C953+$D953+$E953+$F953)),kik_yuvarMax),0))</f>
        <v/>
      </c>
      <c r="I953" s="37">
        <f>IF($A953="","",IFERROR(MAX(0,$H953-$G953*kik_sifirCarpan),0))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IF($A954="","",IFERROR(ROUND(MAX(0,$B954*INDEX(tblKurallar[deger_2025],MATCH("KIK-001",tblKurallar[kural_id],0))-($C954+$D954+$E954+$F954)),kik_yuvarMax),0))</f>
        <v/>
      </c>
      <c r="I954" s="37">
        <f>IF($A954="","",IFERROR(MAX(0,$H954-$G954*kik_sifirCarpan),0))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IF($A955="","",IFERROR(ROUND(MAX(0,$B955*INDEX(tblKurallar[deger_2025],MATCH("KIK-001",tblKurallar[kural_id],0))-($C955+$D955+$E955+$F955)),kik_yuvarMax),0))</f>
        <v/>
      </c>
      <c r="I955" s="37">
        <f>IF($A955="","",IFERROR(MAX(0,$H955-$G955*kik_sifirCarpan),0))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IF($A956="","",IFERROR(ROUND(MAX(0,$B956*INDEX(tblKurallar[deger_2025],MATCH("KIK-001",tblKurallar[kural_id],0))-($C956+$D956+$E956+$F956)),kik_yuvarMax),0))</f>
        <v/>
      </c>
      <c r="I956" s="37">
        <f>IF($A956="","",IFERROR(MAX(0,$H956-$G956*kik_sifirCarpan),0))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IF($A957="","",IFERROR(ROUND(MAX(0,$B957*INDEX(tblKurallar[deger_2025],MATCH("KIK-001",tblKurallar[kural_id],0))-($C957+$D957+$E957+$F957)),kik_yuvarMax),0))</f>
        <v/>
      </c>
      <c r="I957" s="37">
        <f>IF($A957="","",IFERROR(MAX(0,$H957-$G957*kik_sifirCarpan),0))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IF($A958="","",IFERROR(ROUND(MAX(0,$B958*INDEX(tblKurallar[deger_2025],MATCH("KIK-001",tblKurallar[kural_id],0))-($C958+$D958+$E958+$F958)),kik_yuvarMax),0))</f>
        <v/>
      </c>
      <c r="I958" s="37">
        <f>IF($A958="","",IFERROR(MAX(0,$H958-$G958*kik_sifirCarpan),0))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IF($A959="","",IFERROR(ROUND(MAX(0,$B959*INDEX(tblKurallar[deger_2025],MATCH("KIK-001",tblKurallar[kural_id],0))-($C959+$D959+$E959+$F959)),kik_yuvarMax),0))</f>
        <v/>
      </c>
      <c r="I959" s="37">
        <f>IF($A959="","",IFERROR(MAX(0,$H959-$G959*kik_sifirCarpan),0))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IF($A960="","",IFERROR(ROUND(MAX(0,$B960*INDEX(tblKurallar[deger_2025],MATCH("KIK-001",tblKurallar[kural_id],0))-($C960+$D960+$E960+$F960)),kik_yuvarMax),0))</f>
        <v/>
      </c>
      <c r="I960" s="37">
        <f>IF($A960="","",IFERROR(MAX(0,$H960-$G960*kik_sifirCarpan),0))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IF($A961="","",IFERROR(ROUND(MAX(0,$B961*INDEX(tblKurallar[deger_2025],MATCH("KIK-001",tblKurallar[kural_id],0))-($C961+$D961+$E961+$F961)),kik_yuvarMax),0))</f>
        <v/>
      </c>
      <c r="I961" s="37">
        <f>IF($A961="","",IFERROR(MAX(0,$H961-$G961*kik_sifirCarpan),0))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IF($A962="","",IFERROR(ROUND(MAX(0,$B962*INDEX(tblKurallar[deger_2025],MATCH("KIK-001",tblKurallar[kural_id],0))-($C962+$D962+$E962+$F962)),kik_yuvarMax),0))</f>
        <v/>
      </c>
      <c r="I962" s="37">
        <f>IF($A962="","",IFERROR(MAX(0,$H962-$G962*kik_sifirCarpan),0))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IF($A963="","",IFERROR(ROUND(MAX(0,$B963*INDEX(tblKurallar[deger_2025],MATCH("KIK-001",tblKurallar[kural_id],0))-($C963+$D963+$E963+$F963)),kik_yuvarMax),0))</f>
        <v/>
      </c>
      <c r="I963" s="37">
        <f>IF($A963="","",IFERROR(MAX(0,$H963-$G963*kik_sifirCarpan),0))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IF($A964="","",IFERROR(ROUND(MAX(0,$B964*INDEX(tblKurallar[deger_2025],MATCH("KIK-001",tblKurallar[kural_id],0))-($C964+$D964+$E964+$F964)),kik_yuvarMax),0))</f>
        <v/>
      </c>
      <c r="I964" s="37">
        <f>IF($A964="","",IFERROR(MAX(0,$H964-$G964*kik_sifirCarpan),0))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IF($A965="","",IFERROR(ROUND(MAX(0,$B965*INDEX(tblKurallar[deger_2025],MATCH("KIK-001",tblKurallar[kural_id],0))-($C965+$D965+$E965+$F965)),kik_yuvarMax),0))</f>
        <v/>
      </c>
      <c r="I965" s="37">
        <f>IF($A965="","",IFERROR(MAX(0,$H965-$G965*kik_sifirCarpan),0))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IF($A966="","",IFERROR(ROUND(MAX(0,$B966*INDEX(tblKurallar[deger_2025],MATCH("KIK-001",tblKurallar[kural_id],0))-($C966+$D966+$E966+$F966)),kik_yuvarMax),0))</f>
        <v/>
      </c>
      <c r="I966" s="37">
        <f>IF($A966="","",IFERROR(MAX(0,$H966-$G966*kik_sifirCarpan),0))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IF($A967="","",IFERROR(ROUND(MAX(0,$B967*INDEX(tblKurallar[deger_2025],MATCH("KIK-001",tblKurallar[kural_id],0))-($C967+$D967+$E967+$F967)),kik_yuvarMax),0))</f>
        <v/>
      </c>
      <c r="I967" s="37">
        <f>IF($A967="","",IFERROR(MAX(0,$H967-$G967*kik_sifirCarpan),0))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IF($A968="","",IFERROR(ROUND(MAX(0,$B968*INDEX(tblKurallar[deger_2025],MATCH("KIK-001",tblKurallar[kural_id],0))-($C968+$D968+$E968+$F968)),kik_yuvarMax),0))</f>
        <v/>
      </c>
      <c r="I968" s="37">
        <f>IF($A968="","",IFERROR(MAX(0,$H968-$G968*kik_sifirCarpan),0))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IF($A969="","",IFERROR(ROUND(MAX(0,$B969*INDEX(tblKurallar[deger_2025],MATCH("KIK-001",tblKurallar[kural_id],0))-($C969+$D969+$E969+$F969)),kik_yuvarMax),0))</f>
        <v/>
      </c>
      <c r="I969" s="37">
        <f>IF($A969="","",IFERROR(MAX(0,$H969-$G969*kik_sifirCarpan),0))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IF($A970="","",IFERROR(ROUND(MAX(0,$B970*INDEX(tblKurallar[deger_2025],MATCH("KIK-001",tblKurallar[kural_id],0))-($C970+$D970+$E970+$F970)),kik_yuvarMax),0))</f>
        <v/>
      </c>
      <c r="I970" s="37">
        <f>IF($A970="","",IFERROR(MAX(0,$H970-$G970*kik_sifirCarpan),0))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IF($A971="","",IFERROR(ROUND(MAX(0,$B971*INDEX(tblKurallar[deger_2025],MATCH("KIK-001",tblKurallar[kural_id],0))-($C971+$D971+$E971+$F971)),kik_yuvarMax),0))</f>
        <v/>
      </c>
      <c r="I971" s="37">
        <f>IF($A971="","",IFERROR(MAX(0,$H971-$G971*kik_sifirCarpan),0))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IF($A972="","",IFERROR(ROUND(MAX(0,$B972*INDEX(tblKurallar[deger_2025],MATCH("KIK-001",tblKurallar[kural_id],0))-($C972+$D972+$E972+$F972)),kik_yuvarMax),0))</f>
        <v/>
      </c>
      <c r="I972" s="37">
        <f>IF($A972="","",IFERROR(MAX(0,$H972-$G972*kik_sifirCarpan),0))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IF($A973="","",IFERROR(ROUND(MAX(0,$B973*INDEX(tblKurallar[deger_2025],MATCH("KIK-001",tblKurallar[kural_id],0))-($C973+$D973+$E973+$F973)),kik_yuvarMax),0))</f>
        <v/>
      </c>
      <c r="I973" s="37">
        <f>IF($A973="","",IFERROR(MAX(0,$H973-$G973*kik_sifirCarpan),0))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IF($A974="","",IFERROR(ROUND(MAX(0,$B974*INDEX(tblKurallar[deger_2025],MATCH("KIK-001",tblKurallar[kural_id],0))-($C974+$D974+$E974+$F974)),kik_yuvarMax),0))</f>
        <v/>
      </c>
      <c r="I974" s="37">
        <f>IF($A974="","",IFERROR(MAX(0,$H974-$G974*kik_sifirCarpan),0))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IF($A975="","",IFERROR(ROUND(MAX(0,$B975*INDEX(tblKurallar[deger_2025],MATCH("KIK-001",tblKurallar[kural_id],0))-($C975+$D975+$E975+$F975)),kik_yuvarMax),0))</f>
        <v/>
      </c>
      <c r="I975" s="37">
        <f>IF($A975="","",IFERROR(MAX(0,$H975-$G975*kik_sifirCarpan),0))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IF($A976="","",IFERROR(ROUND(MAX(0,$B976*INDEX(tblKurallar[deger_2025],MATCH("KIK-001",tblKurallar[kural_id],0))-($C976+$D976+$E976+$F976)),kik_yuvarMax),0))</f>
        <v/>
      </c>
      <c r="I976" s="37">
        <f>IF($A976="","",IFERROR(MAX(0,$H976-$G976*kik_sifirCarpan),0))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IF($A977="","",IFERROR(ROUND(MAX(0,$B977*INDEX(tblKurallar[deger_2025],MATCH("KIK-001",tblKurallar[kural_id],0))-($C977+$D977+$E977+$F977)),kik_yuvarMax),0))</f>
        <v/>
      </c>
      <c r="I977" s="37">
        <f>IF($A977="","",IFERROR(MAX(0,$H977-$G977*kik_sifirCarpan),0))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IF($A978="","",IFERROR(ROUND(MAX(0,$B978*INDEX(tblKurallar[deger_2025],MATCH("KIK-001",tblKurallar[kural_id],0))-($C978+$D978+$E978+$F978)),kik_yuvarMax),0))</f>
        <v/>
      </c>
      <c r="I978" s="37">
        <f>IF($A978="","",IFERROR(MAX(0,$H978-$G978*kik_sifirCarpan),0))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IF($A979="","",IFERROR(ROUND(MAX(0,$B979*INDEX(tblKurallar[deger_2025],MATCH("KIK-001",tblKurallar[kural_id],0))-($C979+$D979+$E979+$F979)),kik_yuvarMax),0))</f>
        <v/>
      </c>
      <c r="I979" s="37">
        <f>IF($A979="","",IFERROR(MAX(0,$H979-$G979*kik_sifirCarpan),0))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IF($A980="","",IFERROR(ROUND(MAX(0,$B980*INDEX(tblKurallar[deger_2025],MATCH("KIK-001",tblKurallar[kural_id],0))-($C980+$D980+$E980+$F980)),kik_yuvarMax),0))</f>
        <v/>
      </c>
      <c r="I980" s="37">
        <f>IF($A980="","",IFERROR(MAX(0,$H980-$G980*kik_sifirCarpan),0))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IF($A981="","",IFERROR(ROUND(MAX(0,$B981*INDEX(tblKurallar[deger_2025],MATCH("KIK-001",tblKurallar[kural_id],0))-($C981+$D981+$E981+$F981)),kik_yuvarMax),0))</f>
        <v/>
      </c>
      <c r="I981" s="37">
        <f>IF($A981="","",IFERROR(MAX(0,$H981-$G981*kik_sifirCarpan),0))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IF($A982="","",IFERROR(ROUND(MAX(0,$B982*INDEX(tblKurallar[deger_2025],MATCH("KIK-001",tblKurallar[kural_id],0))-($C982+$D982+$E982+$F982)),kik_yuvarMax),0))</f>
        <v/>
      </c>
      <c r="I982" s="37">
        <f>IF($A982="","",IFERROR(MAX(0,$H982-$G982*kik_sifirCarpan),0))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IF($A983="","",IFERROR(ROUND(MAX(0,$B983*INDEX(tblKurallar[deger_2025],MATCH("KIK-001",tblKurallar[kural_id],0))-($C983+$D983+$E983+$F983)),kik_yuvarMax),0))</f>
        <v/>
      </c>
      <c r="I983" s="37">
        <f>IF($A983="","",IFERROR(MAX(0,$H983-$G983*kik_sifirCarpan),0))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IF($A984="","",IFERROR(ROUND(MAX(0,$B984*INDEX(tblKurallar[deger_2025],MATCH("KIK-001",tblKurallar[kural_id],0))-($C984+$D984+$E984+$F984)),kik_yuvarMax),0))</f>
        <v/>
      </c>
      <c r="I984" s="37">
        <f>IF($A984="","",IFERROR(MAX(0,$H984-$G984*kik_sifirCarpan),0))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IF($A985="","",IFERROR(ROUND(MAX(0,$B985*INDEX(tblKurallar[deger_2025],MATCH("KIK-001",tblKurallar[kural_id],0))-($C985+$D985+$E985+$F985)),kik_yuvarMax),0))</f>
        <v/>
      </c>
      <c r="I985" s="37">
        <f>IF($A985="","",IFERROR(MAX(0,$H985-$G985*kik_sifirCarpan),0))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IF($A986="","",IFERROR(ROUND(MAX(0,$B986*INDEX(tblKurallar[deger_2025],MATCH("KIK-001",tblKurallar[kural_id],0))-($C986+$D986+$E986+$F986)),kik_yuvarMax),0))</f>
        <v/>
      </c>
      <c r="I986" s="37">
        <f>IF($A986="","",IFERROR(MAX(0,$H986-$G986*kik_sifirCarpan),0))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IF($A987="","",IFERROR(ROUND(MAX(0,$B987*INDEX(tblKurallar[deger_2025],MATCH("KIK-001",tblKurallar[kural_id],0))-($C987+$D987+$E987+$F987)),kik_yuvarMax),0))</f>
        <v/>
      </c>
      <c r="I987" s="37">
        <f>IF($A987="","",IFERROR(MAX(0,$H987-$G987*kik_sifirCarpan),0))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IF($A988="","",IFERROR(ROUND(MAX(0,$B988*INDEX(tblKurallar[deger_2025],MATCH("KIK-001",tblKurallar[kural_id],0))-($C988+$D988+$E988+$F988)),kik_yuvarMax),0))</f>
        <v/>
      </c>
      <c r="I988" s="37">
        <f>IF($A988="","",IFERROR(MAX(0,$H988-$G988*kik_sifirCarpan),0))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IF($A989="","",IFERROR(ROUND(MAX(0,$B989*INDEX(tblKurallar[deger_2025],MATCH("KIK-001",tblKurallar[kural_id],0))-($C989+$D989+$E989+$F989)),kik_yuvarMax),0))</f>
        <v/>
      </c>
      <c r="I989" s="37">
        <f>IF($A989="","",IFERROR(MAX(0,$H989-$G989*kik_sifirCarpan),0))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IF($A990="","",IFERROR(ROUND(MAX(0,$B990*INDEX(tblKurallar[deger_2025],MATCH("KIK-001",tblKurallar[kural_id],0))-($C990+$D990+$E990+$F990)),kik_yuvarMax),0))</f>
        <v/>
      </c>
      <c r="I990" s="37">
        <f>IF($A990="","",IFERROR(MAX(0,$H990-$G990*kik_sifirCarpan),0))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IF($A991="","",IFERROR(ROUND(MAX(0,$B991*INDEX(tblKurallar[deger_2025],MATCH("KIK-001",tblKurallar[kural_id],0))-($C991+$D991+$E991+$F991)),kik_yuvarMax),0))</f>
        <v/>
      </c>
      <c r="I991" s="37">
        <f>IF($A991="","",IFERROR(MAX(0,$H991-$G991*kik_sifirCarpan),0))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IF($A992="","",IFERROR(ROUND(MAX(0,$B992*INDEX(tblKurallar[deger_2025],MATCH("KIK-001",tblKurallar[kural_id],0))-($C992+$D992+$E992+$F992)),kik_yuvarMax),0))</f>
        <v/>
      </c>
      <c r="I992" s="37">
        <f>IF($A992="","",IFERROR(MAX(0,$H992-$G992*kik_sifirCarpan),0))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IF($A993="","",IFERROR(ROUND(MAX(0,$B993*INDEX(tblKurallar[deger_2025],MATCH("KIK-001",tblKurallar[kural_id],0))-($C993+$D993+$E993+$F993)),kik_yuvarMax),0))</f>
        <v/>
      </c>
      <c r="I993" s="37">
        <f>IF($A993="","",IFERROR(MAX(0,$H993-$G993*kik_sifirCarpan),0))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IF($A994="","",IFERROR(ROUND(MAX(0,$B994*INDEX(tblKurallar[deger_2025],MATCH("KIK-001",tblKurallar[kural_id],0))-($C994+$D994+$E994+$F994)),kik_yuvarMax),0))</f>
        <v/>
      </c>
      <c r="I994" s="37">
        <f>IF($A994="","",IFERROR(MAX(0,$H994-$G994*kik_sifirCarpan),0))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IF($A995="","",IFERROR(ROUND(MAX(0,$B995*INDEX(tblKurallar[deger_2025],MATCH("KIK-001",tblKurallar[kural_id],0))-($C995+$D995+$E995+$F995)),kik_yuvarMax),0))</f>
        <v/>
      </c>
      <c r="I995" s="37">
        <f>IF($A995="","",IFERROR(MAX(0,$H995-$G995*kik_sifirCarpan),0))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IF($A996="","",IFERROR(ROUND(MAX(0,$B996*INDEX(tblKurallar[deger_2025],MATCH("KIK-001",tblKurallar[kural_id],0))-($C996+$D996+$E996+$F996)),kik_yuvarMax),0))</f>
        <v/>
      </c>
      <c r="I996" s="37">
        <f>IF($A996="","",IFERROR(MAX(0,$H996-$G996*kik_sifirCarpan),0))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IF($A997="","",IFERROR(ROUND(MAX(0,$B997*INDEX(tblKurallar[deger_2025],MATCH("KIK-001",tblKurallar[kural_id],0))-($C997+$D997+$E997+$F997)),kik_yuvarMax),0))</f>
        <v/>
      </c>
      <c r="I997" s="37">
        <f>IF($A997="","",IFERROR(MAX(0,$H997-$G997*kik_sifirCarpan),0))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IF($A998="","",IFERROR(ROUND(MAX(0,$B998*INDEX(tblKurallar[deger_2025],MATCH("KIK-001",tblKurallar[kural_id],0))-($C998+$D998+$E998+$F998)),kik_yuvarMax),0))</f>
        <v/>
      </c>
      <c r="I998" s="37">
        <f>IF($A998="","",IFERROR(MAX(0,$H998-$G998*kik_sifirCarpan),0))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IF($A999="","",IFERROR(ROUND(MAX(0,$B999*INDEX(tblKurallar[deger_2025],MATCH("KIK-001",tblKurallar[kural_id],0))-($C999+$D999+$E999+$F999)),kik_yuvarMax),0))</f>
        <v/>
      </c>
      <c r="I999" s="37">
        <f>IF($A999="","",IFERROR(MAX(0,$H999-$G999*kik_sifirCarpan),0))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IF($A1000="","",IFERROR(ROUND(MAX(0,$B1000*INDEX(tblKurallar[deger_2025],MATCH("KIK-001",tblKurallar[kural_id],0))-($C1000+$D1000+$E1000+$F1000)),kik_yuvarMax),0))</f>
        <v/>
      </c>
      <c r="I1000" s="37">
        <f>IF($A1000="","",IFERROR(MAX(0,$H1000-$G1000*kik_sifirCarpan),0))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IF($A1001="","",IFERROR(ROUND(MAX(0,$B1001*INDEX(tblKurallar[deger_2025],MATCH("KIK-001",tblKurallar[kural_id],0))-($C1001+$D1001+$E1001+$F1001)),kik_yuvarMax),0))</f>
        <v/>
      </c>
      <c r="I1001" s="37">
        <f>IF($A1001="","",IFERROR(MAX(0,$H1001-$G1001*kik_sifirCarpan),0))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IF($A1002="","",IFERROR(ROUND(MAX(0,$B1002*INDEX(tblKurallar[deger_2025],MATCH("KIK-001",tblKurallar[kural_id],0))-($C1002+$D1002+$E1002+$F1002)),kik_yuvarMax),0))</f>
        <v/>
      </c>
      <c r="I1002" s="37">
        <f>IF($A1002="","",IFERROR(MAX(0,$H1002-$G1002*kik_sifirCarpan),0))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IF($A1003="","",IFERROR(ROUND(MAX(0,$B1003*INDEX(tblKurallar[deger_2025],MATCH("KIK-001",tblKurallar[kural_id],0))-($C1003+$D1003+$E1003+$F1003)),kik_yuvarMax),0))</f>
        <v/>
      </c>
      <c r="I1003" s="37">
        <f>IF($A1003="","",IFERROR(MAX(0,$H1003-$G1003*kik_sifirCarpan),0))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IF($A1004="","",IFERROR(ROUND(MAX(0,$B1004*INDEX(tblKurallar[deger_2025],MATCH("KIK-001",tblKurallar[kural_id],0))-($C1004+$D1004+$E1004+$F1004)),kik_yuvarMax),0))</f>
        <v/>
      </c>
      <c r="I1004" s="37">
        <f>IF($A1004="","",IFERROR(MAX(0,$H1004-$G1004*kik_sifirCarpan),0))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İşçilik" prompt="İşçilik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Malzeme" prompt="Malzem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Genel Gider" prompt="Genel Gider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Kâr" prompt="Kâr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Dayanak" prompt="Dayanak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KİK Aşırı Düşük Savunma + Sınır Değer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KİK Aşırı Düşük Savunma + Sınır Değer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kik_tolerans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kik_kacirilanEsik</t>
        </is>
      </c>
      <c r="B9" s="6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kik_senaryoIyi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kik_senaryoKotu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kik_oranArtisPuan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kik_tahminAlt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kik_tahminUst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kik_tornadoMatrah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kik_tornadoMevcut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kik_isverenOran</t>
        </is>
      </c>
      <c r="B17" s="43" t="n">
        <v>0.205</v>
      </c>
      <c r="C17" s="7" t="inlineStr">
        <is>
          <t>oran</t>
        </is>
      </c>
      <c r="D17" s="7" t="inlineStr">
        <is>
          <t>N sıkılaştırma yedek katsayısı</t>
        </is>
      </c>
      <c r="E17" s="7" t="inlineStr">
        <is>
          <t>KİK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kik_yuzdelikOran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kik_parmakIzi</t>
        </is>
      </c>
      <c r="B19" s="65" t="inlineStr">
        <is>
          <t>88ba072d3e703699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kik_girisBeklenen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kik_riskDusuk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kik_riskOrta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kik_riskYuksek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kik_riskEsikOran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kik_yilTaban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kik_yuvarMax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kik_dayanakCarpan</t>
        </is>
      </c>
      <c r="B28" s="44" t="n">
        <v>10</v>
      </c>
      <c r="C28" s="7" t="inlineStr">
        <is>
          <t>adet</t>
        </is>
      </c>
      <c r="D28" s="7" t="inlineStr">
        <is>
          <t>Dayanak skoru çarpanı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kik_bazCarpan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kik_sifirCarpan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kik_siraBir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kik_siraIki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kik_siraUc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kik_tahminX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300000</v>
      </c>
      <c r="C35" s="7" t="inlineStr">
        <is>
          <t>TL</t>
        </is>
      </c>
      <c r="D35" s="7" t="inlineStr">
        <is>
          <t>Vaka1 yaklaşık maliyet dilimi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100000</v>
      </c>
      <c r="C36" s="7" t="inlineStr">
        <is>
          <t>TL</t>
        </is>
      </c>
      <c r="D36" s="7" t="inlineStr">
        <is>
          <t>Vaka2 teklif dilimi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9">
      <c r="B39" s="66" t="inlineStr">
        <is>
          <t>Parametre satırları yukarıda; ad tanımları B kolonuna bağlı.</t>
        </is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KİK Aşırı Düşük Savunma + Sınır Değer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SAVUNULABİLİR — teklif sınır üzerinde veya sapma savunulabilir eşikte.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İNCELE / RİSKLİ — sapma eşik üzerinde; maliyet kırılımı ve dayanakları güçlendirin.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Sınır değer = yaklaşık maliyet × N; sapma = (sınır − teklif) / sınır.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Yorum B, N katsayısını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2026-08-10T22:06:22Z</dcterms:created>
  <dcterms:modified xsi:type="dcterms:W3CDTF">2026-08-10T22:06:22Z</dcterms:modified>
</cp:coreProperties>
</file>